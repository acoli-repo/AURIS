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<sst xmlns="http://schemas.openxmlformats.org/spreadsheetml/2006/main" count="2451" uniqueCount="788">
  <si>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</si>
  <si>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</si>
  <si>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</si>
  <si>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</si>
  <si>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</si>
  <si>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</si>
  <si>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</si>
  <si>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</si>
  <si>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</si>
  <si>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</si>
  <si>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</si>
  <si>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</si>
  <si>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</si>
  <si>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sein (sein Dorfmädchen)</t>
  </si>
  <si>
    <t>Es war einmal ein kleines Dorfmädchen , das war so</t>
  </si>
  <si>
    <t>file://conllu/de/rotkaeppchen_khm-026_perrault.conllu#s1_0</t>
  </si>
  <si>
    <t>13</t>
  </si>
  <si>
    <t>sein</t>
  </si>
  <si>
    <t>niedlich , als man nur je eins sehen konnte ; ſeine Mutter war</t>
  </si>
  <si>
    <t>file://conllu/de/rotkaeppchen_khm-026_perrault.conllu#s2_0</t>
  </si>
  <si>
    <t>3</t>
  </si>
  <si>
    <t>entzücken</t>
  </si>
  <si>
    <t>ganz entzückt von dem Kinde und seine Großmutter war es noch viel mehr .</t>
  </si>
  <si>
    <t>file://conllu/de/rotkaeppchen_khm-026_perrault.conllu#s3_0</t>
  </si>
  <si>
    <t>4</t>
  </si>
  <si>
    <t>lassen</t>
  </si>
  <si>
    <t>Diese gute Frau ließ ihm ein rothes Käppchen</t>
  </si>
  <si>
    <t>file://conllu/de/rotkaeppchen_khm-026_perrault.conllu#s4_0</t>
  </si>
  <si>
    <t>5</t>
  </si>
  <si>
    <t>machen</t>
  </si>
  <si>
    <t>machen und das stand ihm so gut , daß man es überall das</t>
  </si>
  <si>
    <t>file://conllu/de/rotkaeppchen_khm-026_perrault.conllu#s5_0</t>
  </si>
  <si>
    <t>6</t>
  </si>
  <si>
    <t>nennen</t>
  </si>
  <si>
    <t>kleine Rothkäppchen nannte .</t>
  </si>
  <si>
    <t>file://conllu/de/rotkaeppchen_khm-026_perrault.conllu#s6_0</t>
  </si>
  <si>
    <t>7</t>
  </si>
  <si>
    <t>backen</t>
  </si>
  <si>
    <t>Eines Tages hatte seine Mutter Brodkuchen gebacken und</t>
  </si>
  <si>
    <t>file://conllu/de/rotkaeppchen_khm-026_perrault.conllu#s7_0</t>
  </si>
  <si>
    <t>8</t>
  </si>
  <si>
    <t>sagen</t>
  </si>
  <si>
    <t>sagte zu ihm : Geh doch zu deiner Großmutter und steh , wie</t>
  </si>
  <si>
    <t>file://conllu/de/rotkaeppchen_khm-026_perrault.conllu#s8_0</t>
  </si>
  <si>
    <t>9</t>
  </si>
  <si>
    <t>15</t>
  </si>
  <si>
    <t>bringen</t>
  </si>
  <si>
    <t>fte fich befindet , denn ich habe gehört , daß sie krank sei ; bringe</t>
  </si>
  <si>
    <t>file://conllu/de/rotkaeppchen_khm-026_perrault.conllu#s9_0</t>
  </si>
  <si>
    <t>10</t>
  </si>
  <si>
    <t>Butter</t>
  </si>
  <si>
    <t>ihr einen Brodkuchen und dieses Töpfchen Butter .</t>
  </si>
  <si>
    <t>file://conllu/de/rotkaeppchen_khm-026_perrault.conllu#s10_0</t>
  </si>
  <si>
    <t>11</t>
  </si>
  <si>
    <t>Rothkäppchen</t>
  </si>
  <si>
    <t>file://conllu/de/rotkaeppchen_khm-026_perrault.conllu#s11_0</t>
  </si>
  <si>
    <t>12</t>
  </si>
  <si>
    <t>gehen</t>
  </si>
  <si>
    <t>ging sogleich fort zu ihrer Großmutter , die in einem andern</t>
  </si>
  <si>
    <t>file://conllu/de/rotkaeppchen_khm-026_perrault.conllu#s12_0</t>
  </si>
  <si>
    <t>wohnen</t>
  </si>
  <si>
    <t>Dorfe wohnte .</t>
  </si>
  <si>
    <t>file://conllu/de/rotkaeppchen_khm-026_perrault.conllu#s13_0</t>
  </si>
  <si>
    <t>14</t>
  </si>
  <si>
    <t>begegnet</t>
  </si>
  <si>
    <t>Als sie durch ein Gehölz kam , begegnete ihr der</t>
  </si>
  <si>
    <t>file://conllu/de/rotkaeppchen_khm-026_perrault.conllu#s14_0</t>
  </si>
  <si>
    <t>sen</t>
  </si>
  <si>
    <t>Gevatter Wolf , welcher große Luft hatte , ste zu fressen ; aber er wagte es nicht , weil mehre Holzhauer im in dem Walde waren . Er</t>
  </si>
  <si>
    <t>file://conllu/de/rotkaeppchen_khm-026_perrault.conllu#s15_0</t>
  </si>
  <si>
    <t>16</t>
  </si>
  <si>
    <t>fragt</t>
  </si>
  <si>
    <t>fragte fie , wohin fte ginge .</t>
  </si>
  <si>
    <t>file://conllu/de/rotkaeppchen_khm-026_perrault.conllu#s16_0</t>
  </si>
  <si>
    <t>17</t>
  </si>
  <si>
    <t>Kind</t>
  </si>
  <si>
    <t>Das arme Kind , welches nicht wußte ,</t>
  </si>
  <si>
    <t>file://conllu/de/rotkaeppchen_khm-026_perrault.conllu#s17_0</t>
  </si>
  <si>
    <t>18</t>
  </si>
  <si>
    <t>sein (sein gefährlich)</t>
  </si>
  <si>
    <t>daß es gefährlich sei , still zu stehen und einen Wolf anzuhören ,</t>
  </si>
  <si>
    <t>file://conllu/de/rotkaeppchen_khm-026_perrault.conllu#s18_0</t>
  </si>
  <si>
    <t>19</t>
  </si>
  <si>
    <t>sagte zu ihm : „ Ich gehe zu meiner Großmutter und trage ihr</t>
  </si>
  <si>
    <t>file://conllu/de/rotkaeppchen_khm-026_perrault.conllu#s19_0</t>
  </si>
  <si>
    <t>20</t>
  </si>
  <si>
    <t>Brodkuchen</t>
  </si>
  <si>
    <t>einen Brodkuchen und einen Topf mit Butter hin , welche meine</t>
  </si>
  <si>
    <t>file://conllu/de/rotkaeppchen_khm-026_perrault.conllu#s20_0</t>
  </si>
  <si>
    <t>21</t>
  </si>
  <si>
    <t>schicken</t>
  </si>
  <si>
    <t>Mutter ihr schickt .</t>
  </si>
  <si>
    <t>file://conllu/de/rotkaeppchen_khm-026_perrault.conllu#s21_0</t>
  </si>
  <si>
    <t>22</t>
  </si>
  <si>
    <t>&amp;quot;</t>
  </si>
  <si>
    <t>' &amp;quot;</t>
  </si>
  <si>
    <t>file://conllu/de/rotkaeppchen_khm-026_perrault.conllu#s22_0</t>
  </si>
  <si>
    <t>23</t>
  </si>
  <si>
    <t>fragen</t>
  </si>
  <si>
    <t>„ Wohnt sie sehr weit ? &amp;quot; fragte der Wolf .</t>
  </si>
  <si>
    <t>file://conllu/de/rotkaeppchen_khm-026_perrault.conllu#s23_0</t>
  </si>
  <si>
    <t>24</t>
  </si>
  <si>
    <t>fen</t>
  </si>
  <si>
    <t>&amp;quot; , ! ja , &amp;quot; sagte Rothkäppchen ; fte wohnt jenseit der kleinen</t>
  </si>
  <si>
    <t>file://conllu/de/rotkaeppchen_khm-026_perrault.conllu#s24_0</t>
  </si>
  <si>
    <t>25</t>
  </si>
  <si>
    <t>Mühle</t>
  </si>
  <si>
    <t>Mühle , die du dort ganz unten siehst , im in dem ersten Hauſe des</t>
  </si>
  <si>
    <t>file://conllu/de/rotkaeppchen_khm-026_perrault.conllu#s25_0</t>
  </si>
  <si>
    <t>26</t>
  </si>
  <si>
    <t>Dorfes</t>
  </si>
  <si>
    <t>Dorfes .</t>
  </si>
  <si>
    <t>file://conllu/de/rotkaeppchen_khm-026_perrault.conllu#s26_0</t>
  </si>
  <si>
    <t>27</t>
  </si>
  <si>
    <t>file://conllu/de/rotkaeppchen_khm-026_perrault.conllu#s27_0</t>
  </si>
  <si>
    <t>28</t>
  </si>
  <si>
    <t>&amp;quot; &amp;quot;</t>
  </si>
  <si>
    <t>file://conllu/de/rotkaeppchen_khm-026_perrault.conllu#s28_0</t>
  </si>
  <si>
    <t>29</t>
  </si>
  <si>
    <t>wollen</t>
  </si>
  <si>
    <t>Nun wohl , &amp;quot; entgegnete der Wolf , ich will auch zu ihr</t>
  </si>
  <si>
    <t>file://conllu/de/rotkaeppchen_khm-026_perrault.conllu#s29_0</t>
  </si>
  <si>
    <t>30</t>
  </si>
  <si>
    <t>gehen ; ich werde diesen Weg nehmen , nimm du jenen und wir</t>
  </si>
  <si>
    <t>file://conllu/de/rotkaeppchen_khm-026_perrault.conllu#s30_0</t>
  </si>
  <si>
    <t>31</t>
  </si>
  <si>
    <t>wollen sehen , wer zuerst da sein wird . “</t>
  </si>
  <si>
    <t>file://conllu/de/rotkaeppchen_khm-026_perrault.conllu#s31_0</t>
  </si>
  <si>
    <t>32</t>
  </si>
  <si>
    <t>fangen</t>
  </si>
  <si>
    <t>Der Wolf fing an aus allen Kräften auf dem Wege zu</t>
  </si>
  <si>
    <t>file://conllu/de/rotkaeppchen_khm-026_perrault.conllu#s32_0</t>
  </si>
  <si>
    <t>33</t>
  </si>
  <si>
    <t>laufen</t>
  </si>
  <si>
    <t>laufen , der der kürzeste war , und das kleine Mädchen ging auf</t>
  </si>
  <si>
    <t>file://conllu/de/rotkaeppchen_khm-026_perrault.conllu#s33_0</t>
  </si>
  <si>
    <t>34</t>
  </si>
  <si>
    <t>foren</t>
  </si>
  <si>
    <t>dem längsten Wege fort , und beluftigte sich damit , Haselnüſſe</t>
  </si>
  <si>
    <t>file://conllu/de/rotkaeppchen_khm-026_perrault.conllu#s34_0</t>
  </si>
  <si>
    <t>35</t>
  </si>
  <si>
    <t>pflücken</t>
  </si>
  <si>
    <t>zu pflücken , Schmetterlinge zu haſchen und Sträuße zu winden</t>
  </si>
  <si>
    <t>file://conllu/de/rotkaeppchen_khm-026_perrault.conllu#s35_0</t>
  </si>
  <si>
    <t>36</t>
  </si>
  <si>
    <t>kommen</t>
  </si>
  <si>
    <t>von kleinen Blumen , die sie fand . Der Wolf kam bald bei</t>
  </si>
  <si>
    <t>file://conllu/de/rotkaeppchen_khm-026_perrault.conllu#s36_0</t>
  </si>
  <si>
    <t>37</t>
  </si>
  <si>
    <t>klopfen</t>
  </si>
  <si>
    <t>dem Hause der Großmutter an ; er klopft an : bum , bum .</t>
  </si>
  <si>
    <t>file://conllu/de/rotkaeppchen_khm-026_perrault.conllu#s37_0</t>
  </si>
  <si>
    <t>38</t>
  </si>
  <si>
    <t>&amp;quot; Wer ist da ? &amp;quot;</t>
  </si>
  <si>
    <t>file://conllu/de/rotkaeppchen_khm-026_perrault.conllu#s38_0</t>
  </si>
  <si>
    <t>39</t>
  </si>
  <si>
    <t>Deine Tochter , das Rothkäppchen , &amp;quot; sagte der Wolf , in</t>
  </si>
  <si>
    <t>file://conllu/de/rotkaeppchen_khm-026_perrault.conllu#s39_0</t>
  </si>
  <si>
    <t>40</t>
  </si>
  <si>
    <t>nachahmen</t>
  </si>
  <si>
    <t>dem er ihre Stimme nachahmte ; „ ich bringe dir einen Brod</t>
  </si>
  <si>
    <t>file://conllu/de/rotkaeppchen_khm-026_perrault.conllu#s40_0</t>
  </si>
  <si>
    <t>41</t>
  </si>
  <si>
    <t>kuchen</t>
  </si>
  <si>
    <t>kuchen und ein Töpfchen Butter , welches meine Mutter dir schickt .</t>
  </si>
  <si>
    <t>file://conllu/de/rotkaeppchen_khm-026_perrault.conllu#s41_0</t>
  </si>
  <si>
    <t>42</t>
  </si>
  <si>
    <t>“</t>
  </si>
  <si>
    <t>file://conllu/de/rotkaeppchen_khm-026_perrault.conllu#s42_0</t>
  </si>
  <si>
    <t>43</t>
  </si>
  <si>
    <t>Großmutter</t>
  </si>
  <si>
    <t>Die gute Großmutter , welche im in dem Bette lag , weil sie etwas</t>
  </si>
  <si>
    <t>file://conllu/de/rotkaeppchen_khm-026_perrault.conllu#s43_0</t>
  </si>
  <si>
    <t>44</t>
  </si>
  <si>
    <t>werden</t>
  </si>
  <si>
    <t>unwohl war , rief ihm zu : „ Ziehe an dem Pflöckchen , so wird</t>
  </si>
  <si>
    <t>file://conllu/de/rotkaeppchen_khm-026_perrault.conllu#s44_0</t>
  </si>
  <si>
    <t>45</t>
  </si>
  <si>
    <t>aufspringen</t>
  </si>
  <si>
    <t>das Schloß aufspringen .</t>
  </si>
  <si>
    <t>file://conllu/de/rotkaeppchen_khm-026_perrault.conllu#s45_0</t>
  </si>
  <si>
    <t>46</t>
  </si>
  <si>
    <t>file://conllu/de/rotkaeppchen_khm-026_perrault.conllu#s46_0</t>
  </si>
  <si>
    <t>47</t>
  </si>
  <si>
    <t>ziehen</t>
  </si>
  <si>
    <t>Der Wolf zog an dem Pflock und die Thür ging auf .</t>
  </si>
  <si>
    <t>file://conllu/de/rotkaeppchen_khm-026_perrault.conllu#s47_0</t>
  </si>
  <si>
    <t>48</t>
  </si>
  <si>
    <t>er</t>
  </si>
  <si>
    <t>Er</t>
  </si>
  <si>
    <t>file://conllu/de/rotkaeppchen_khm-026_perrault.conllu#s48_0</t>
  </si>
  <si>
    <t>49</t>
  </si>
  <si>
    <t>werfen</t>
  </si>
  <si>
    <t>warf sich auf die gute Frau und verschlang sie mit einem Ruck ,</t>
  </si>
  <si>
    <t>file://conllu/de/rotkaeppchen_khm-026_perrault.conllu#s49_0</t>
  </si>
  <si>
    <t>50</t>
  </si>
  <si>
    <t>klinken</t>
  </si>
  <si>
    <t>denn er hatte länger als drei Tage nichts gegessen . Dann klinkte</t>
  </si>
  <si>
    <t>file://conllu/de/rotkaeppchen_khm-026_perrault.conllu#s50_0</t>
  </si>
  <si>
    <t>51</t>
  </si>
  <si>
    <t>Thür</t>
  </si>
  <si>
    <t>er die Thür zu und legte sich in das Bett der Großmutter und</t>
  </si>
  <si>
    <t>file://conllu/de/rotkaeppchen_khm-026_perrault.conllu#s51_0</t>
  </si>
  <si>
    <t>52</t>
  </si>
  <si>
    <t>warten</t>
  </si>
  <si>
    <t>wartete auf Rothkäppchen , die einige Zeit nachher an die Thür</t>
  </si>
  <si>
    <t>file://conllu/de/rotkaeppchen_khm-026_perrault.conllu#s52_0</t>
  </si>
  <si>
    <t>53</t>
  </si>
  <si>
    <t>flopfen</t>
  </si>
  <si>
    <t>flopfte : Bum , bum .</t>
  </si>
  <si>
    <t>file://conllu/de/rotkaeppchen_khm-026_perrault.conllu#s53_0</t>
  </si>
  <si>
    <t>54</t>
  </si>
  <si>
    <t>Wer ist da ? &amp;quot;</t>
  </si>
  <si>
    <t>file://conllu/de/rotkaeppchen_khm-026_perrault.conllu#s54_0</t>
  </si>
  <si>
    <t>55</t>
  </si>
  <si>
    <t>Rothkäppchen , welches die grobe Stimme des Wolfs hörte ,</t>
  </si>
  <si>
    <t>file://conllu/de/rotkaeppchen_khm-026_perrault.conllu#s55_0</t>
  </si>
  <si>
    <t>56</t>
  </si>
  <si>
    <t>haben</t>
  </si>
  <si>
    <t>hatte zuerst Furcht , aber da es glaubte , daß seine Großmutter</t>
  </si>
  <si>
    <t>file://conllu/de/rotkaeppchen_khm-026_perrault.conllu#s56_0</t>
  </si>
  <si>
    <t>57</t>
  </si>
  <si>
    <t>antworten</t>
  </si>
  <si>
    <t>den Schnupfen hätte , antwortete es : Es ist Deine Tochter , das</t>
  </si>
  <si>
    <t>file://conllu/de/rotkaeppchen_khm-026_perrault.conllu#s57_0</t>
  </si>
  <si>
    <t>58</t>
  </si>
  <si>
    <t>Rothkäppchen ; ste bringt Dir einen Brodkuchen und ein Töpfchen</t>
  </si>
  <si>
    <t>file://conllu/de/rotkaeppchen_khm-026_perrault.conllu#s58_0</t>
  </si>
  <si>
    <t>59</t>
  </si>
  <si>
    <t>Butter , den die Mutter Dir schickt .</t>
  </si>
  <si>
    <t>file://conllu/de/rotkaeppchen_khm-026_perrault.conllu#s59_0</t>
  </si>
  <si>
    <t>60</t>
  </si>
  <si>
    <t>file://conllu/de/rotkaeppchen_khm-026_perrault.conllu#s60_0</t>
  </si>
  <si>
    <t>61</t>
  </si>
  <si>
    <t>rufen</t>
  </si>
  <si>
    <t>Der Wolf rief ihr zu , indem er seine Stimme ein bischen</t>
  </si>
  <si>
    <t>file://conllu/de/rotkaeppchen_khm-026_perrault.conllu#s61_0</t>
  </si>
  <si>
    <t>62</t>
  </si>
  <si>
    <t>besänftigte : „ Ziehe an dem Pflöckchen , so wird das Schloß auf</t>
  </si>
  <si>
    <t>file://conllu/de/rotkaeppchen_khm-026_perrault.conllu#s62_0</t>
  </si>
  <si>
    <t>63</t>
  </si>
  <si>
    <t>gehen .</t>
  </si>
  <si>
    <t>file://conllu/de/rotkaeppchen_khm-026_perrault.conllu#s63_0</t>
  </si>
  <si>
    <t>64</t>
  </si>
  <si>
    <t>file://conllu/de/rotkaeppchen_khm-026_perrault.conllu#s64_0</t>
  </si>
  <si>
    <t>65</t>
  </si>
  <si>
    <t>Rothkäppchen zog an dem Pflock und die Thür ging auf .</t>
  </si>
  <si>
    <t>file://conllu/de/rotkaeppchen_khm-026_perrault.conllu#s65_0</t>
  </si>
  <si>
    <t>66</t>
  </si>
  <si>
    <t>sehen (sehen sagen)</t>
  </si>
  <si>
    <t>Als der Wolf fte eintreten sah , sagte er zu ihr , indem er sich</t>
  </si>
  <si>
    <t>file://conllu/de/rotkaeppchen_khm-026_perrault.conllu#s66_0</t>
  </si>
  <si>
    <t>67</t>
  </si>
  <si>
    <t>verstecken</t>
  </si>
  <si>
    <t>unter dem Deckbett versteckte : Lege den Brodkuchen und das Töpf =</t>
  </si>
  <si>
    <t>file://conllu/de/rotkaeppchen_khm-026_perrault.conllu#s67_0</t>
  </si>
  <si>
    <t>68</t>
  </si>
  <si>
    <t>chen</t>
  </si>
  <si>
    <t>chen Butter auf den Backtrog und komm zu mir in's Bett .</t>
  </si>
  <si>
    <t>file://conllu/de/rotkaeppchen_khm-026_perrault.conllu#s68_0</t>
  </si>
  <si>
    <t>69</t>
  </si>
  <si>
    <t>file://conllu/de/rotkaeppchen_khm-026_perrault.conllu#s69_0</t>
  </si>
  <si>
    <t>70</t>
  </si>
  <si>
    <t>Rothkäppchen zog sich aus und legte sich in's Bett , wo es</t>
  </si>
  <si>
    <t>file://conllu/de/rotkaeppchen_khm-026_perrault.conllu#s70_0</t>
  </si>
  <si>
    <t>71</t>
  </si>
  <si>
    <t>sehr erstaunt über das Aussehen seiner Großmutter war , als es</t>
  </si>
  <si>
    <t>file://conllu/de/rotkaeppchen_khm-026_perrault.conllu#s71_0</t>
  </si>
  <si>
    <t>72</t>
  </si>
  <si>
    <t>sehen</t>
  </si>
  <si>
    <t>Diese ausgezogen sah .</t>
  </si>
  <si>
    <t>file://conllu/de/rotkaeppchen_khm-026_perrault.conllu#s72_0</t>
  </si>
  <si>
    <t>73</t>
  </si>
  <si>
    <t>Was?</t>
  </si>
  <si>
    <t>Es sagte zu ihr : „ Liebe Großmutter , was</t>
  </si>
  <si>
    <t>file://conllu/de/rotkaeppchen_khm-026_perrault.conllu#s73_0</t>
  </si>
  <si>
    <t>74</t>
  </si>
  <si>
    <t>hast Du für lange Arme ! &amp;quot;</t>
  </si>
  <si>
    <t>file://conllu/de/rotkaeppchen_khm-026_perrault.conllu#s74_0</t>
  </si>
  <si>
    <t>75</t>
  </si>
  <si>
    <t>umarm</t>
  </si>
  <si>
    <t>&amp;quot; Weil ich Dich beſſer damit umarmen kann , meine Tochter .</t>
  </si>
  <si>
    <t>file://conllu/de/rotkaeppchen_khm-026_perrault.conllu#s75_0</t>
  </si>
  <si>
    <t>76</t>
  </si>
  <si>
    <t>file://conllu/de/rotkaeppchen_khm-026_perrault.conllu#s76_0</t>
  </si>
  <si>
    <t>77</t>
  </si>
  <si>
    <t>Großmutter , was hast Du für große Beine ! &amp;quot;</t>
  </si>
  <si>
    <t>file://conllu/de/rotkaeppchen_khm-026_perrault.conllu#s77_0</t>
  </si>
  <si>
    <t>78</t>
  </si>
  <si>
    <t>„ Weil ich besser damit laufen kann , mein Kind . &amp;quot;</t>
  </si>
  <si>
    <t>file://conllu/de/rotkaeppchen_khm-026_perrault.conllu#s78_0</t>
  </si>
  <si>
    <t>79</t>
  </si>
  <si>
    <t>Großmutter , was hast Du für große Ohren ! &amp;quot;</t>
  </si>
  <si>
    <t>file://conllu/de/rotkaeppchen_khm-026_perrault.conllu#s79_0</t>
  </si>
  <si>
    <t>80</t>
  </si>
  <si>
    <t>Weil ich besser damit hören kann , mein Kind . &amp;quot;</t>
  </si>
  <si>
    <t>file://conllu/de/rotkaeppchen_khm-026_perrault.conllu#s80_0</t>
  </si>
  <si>
    <t>81</t>
  </si>
  <si>
    <t>Großmutter , was hast Du für große Augen ! &amp;quot;</t>
  </si>
  <si>
    <t>file://conllu/de/rotkaeppchen_khm-026_perrault.conllu#s81_0</t>
  </si>
  <si>
    <t>82</t>
  </si>
  <si>
    <t>Weil ich besser damit sehen kann , mein Kind . &amp;quot;</t>
  </si>
  <si>
    <t>file://conllu/de/rotkaeppchen_khm-026_perrault.conllu#s82_0</t>
  </si>
  <si>
    <t>83</t>
  </si>
  <si>
    <t>Großmutter , was hast Du für große Zähne ! &amp;quot;</t>
  </si>
  <si>
    <t>file://conllu/de/rotkaeppchen_khm-026_perrault.conllu#s83_0</t>
  </si>
  <si>
    <t>84</t>
  </si>
  <si>
    <t>freffen</t>
  </si>
  <si>
    <t>Um Dich damit zu freffen .</t>
  </si>
  <si>
    <t>file://conllu/de/rotkaeppchen_khm-026_perrault.conllu#s84_0</t>
  </si>
  <si>
    <t>85</t>
  </si>
  <si>
    <t>Wort</t>
  </si>
  <si>
    <t>&amp;quot; Und indem er diese Worte</t>
  </si>
  <si>
    <t>file://conllu/de/rotkaeppchen_khm-026_perrault.conllu#s85_0</t>
  </si>
  <si>
    <t>86</t>
  </si>
  <si>
    <t>sagte , warf sich der böse Wolf auf Rothkäppchen und fraß es auf .</t>
  </si>
  <si>
    <t>file://conllu/de/rotkaeppchen_khm-026_perrault.conllu#s86_0</t>
  </si>
  <si>
    <t>87</t>
  </si>
  <si>
    <t>Moral</t>
  </si>
  <si>
    <t>Moral .</t>
  </si>
  <si>
    <t>file://conllu/de/rotkaeppchen_khm-026_perrault.conllu#s87_0</t>
  </si>
  <si>
    <t>88</t>
  </si>
  <si>
    <t>warnen</t>
  </si>
  <si>
    <t>Man warnt hiermit die kleinen Kinder , /</t>
  </si>
  <si>
    <t>file://conllu/de/rotkaeppchen_khm-026_perrault.conllu#s88_0</t>
  </si>
  <si>
    <t>89</t>
  </si>
  <si>
    <t>Mädchen</t>
  </si>
  <si>
    <t>Und junge Mädchen auch nicht minder , /</t>
  </si>
  <si>
    <t>file://conllu/de/rotkaeppchen_khm-026_perrault.conllu#s89_0</t>
  </si>
  <si>
    <t>90</t>
  </si>
  <si>
    <t>sein (sein schön)</t>
  </si>
  <si>
    <t>Wenn sie schön und reizend sind , /</t>
  </si>
  <si>
    <t>file://conllu/de/rotkaeppchen_khm-026_perrault.conllu#s90_0</t>
  </si>
  <si>
    <t>91</t>
  </si>
  <si>
    <t>geschwind</t>
  </si>
  <si>
    <t>Nicht zu glauben so geschwind , Was so ein Wolf von böser Art /</t>
  </si>
  <si>
    <t>file://conllu/de/rotkaeppchen_khm-026_perrault.conllu#s91_0</t>
  </si>
  <si>
    <t>92</t>
  </si>
  <si>
    <t>sanfen</t>
  </si>
  <si>
    <t>Ihnen flüstert sanft und zart ; /</t>
  </si>
  <si>
    <t>file://conllu/de/rotkaeppchen_khm-026_perrault.conllu#s92_0</t>
  </si>
  <si>
    <t>93</t>
  </si>
  <si>
    <t>gieben</t>
  </si>
  <si>
    <t>Denn es giebt der Wölfe viel , Die nur treiben böses Spiel /</t>
  </si>
  <si>
    <t>file://conllu/de/rotkaeppchen_khm-026_perrault.conllu#s93_0</t>
  </si>
  <si>
    <t>94</t>
  </si>
  <si>
    <t>verderben</t>
  </si>
  <si>
    <t>Und die Kinder gern verderben , /</t>
  </si>
  <si>
    <t>file://conllu/de/rotkaeppchen_khm-026_perrault.conllu#s94_0</t>
  </si>
  <si>
    <t>95</t>
  </si>
  <si>
    <t>sterben</t>
  </si>
  <si>
    <t>Die dann ohne Rettung sterben .</t>
  </si>
  <si>
    <t>file://conllu/de/rotkaeppchen_khm-026_perrault.conllu#s95_0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</si>
  <si>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</si>
  <si>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</si>
  <si>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</si>
  <si>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</si>
  <si>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</si>
  <si>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</si>
  <si>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</si>
  <si>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</si>
  <si>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</si>
  <si>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</si>
  <si>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</si>
  <si>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Es war einmal ein kleines Dorfmädchen , das war so</t>
  </si>
  <si>
    <t>Es</t>
  </si>
  <si>
    <t>SBJ</t>
  </si>
  <si>
    <t>pron.pper</t>
  </si>
  <si>
    <t>?OLD</t>
  </si>
  <si>
    <t>war</t>
  </si>
  <si>
    <t>einmal</t>
  </si>
  <si>
    <t>ein</t>
  </si>
  <si>
    <t>kleines</t>
  </si>
  <si>
    <t>Dorfmädchen</t>
  </si>
  <si>
    <t>other</t>
  </si>
  <si>
    <t>indef-np.a</t>
  </si>
  <si>
    <t>,</t>
  </si>
  <si>
    <t>das</t>
  </si>
  <si>
    <t>SBJ_2</t>
  </si>
  <si>
    <t>so</t>
  </si>
  <si>
    <t># text = niedlich, als man nur je eins sehen konnte ; ſeine Mutter war</t>
  </si>
  <si>
    <t>niedlich</t>
  </si>
  <si>
    <t>als</t>
  </si>
  <si>
    <t>man</t>
  </si>
  <si>
    <t>SBJ_4</t>
  </si>
  <si>
    <t>pron.pind</t>
  </si>
  <si>
    <t>nur</t>
  </si>
  <si>
    <t>je</t>
  </si>
  <si>
    <t>eins</t>
  </si>
  <si>
    <t>OBJ_4</t>
  </si>
  <si>
    <t>konnte</t>
  </si>
  <si>
    <t>;</t>
  </si>
  <si>
    <t>ſeine</t>
  </si>
  <si>
    <t>Mutter</t>
  </si>
  <si>
    <t>indef-np</t>
  </si>
  <si>
    <t># text = ganz entzückt von dem Kinde und seine Großmutter war es noch viel mehr.</t>
  </si>
  <si>
    <t>ganz</t>
  </si>
  <si>
    <t>entzückt</t>
  </si>
  <si>
    <t>von</t>
  </si>
  <si>
    <t>dem</t>
  </si>
  <si>
    <t>Kinde</t>
  </si>
  <si>
    <t>def-np.the</t>
  </si>
  <si>
    <t>und</t>
  </si>
  <si>
    <t>seine</t>
  </si>
  <si>
    <t>SBJ_3</t>
  </si>
  <si>
    <t>es</t>
  </si>
  <si>
    <t>noch</t>
  </si>
  <si>
    <t>viel</t>
  </si>
  <si>
    <t>mehr</t>
  </si>
  <si>
    <t>.</t>
  </si>
  <si>
    <t># text = Diese gute Frau ließ ihm ein rothes Käppchen</t>
  </si>
  <si>
    <t>Diese</t>
  </si>
  <si>
    <t>other_2</t>
  </si>
  <si>
    <t>pron.pds</t>
  </si>
  <si>
    <t>gute</t>
  </si>
  <si>
    <t>Frau</t>
  </si>
  <si>
    <t>def-np.dem</t>
  </si>
  <si>
    <t>ließ</t>
  </si>
  <si>
    <t>ihm</t>
  </si>
  <si>
    <t>OBJ</t>
  </si>
  <si>
    <t>rothes</t>
  </si>
  <si>
    <t>Käppchen</t>
  </si>
  <si>
    <t># text = machen und das stand ihm so gut , daß man es überall das</t>
  </si>
  <si>
    <t>stand</t>
  </si>
  <si>
    <t>OBJ_2</t>
  </si>
  <si>
    <t>gut</t>
  </si>
  <si>
    <t>daß</t>
  </si>
  <si>
    <t>überall</t>
  </si>
  <si>
    <t># text = kleine Rothkäppchen nannte .</t>
  </si>
  <si>
    <t>kleine</t>
  </si>
  <si>
    <t>indef-np.bare</t>
  </si>
  <si>
    <t>nannte</t>
  </si>
  <si>
    <t># text = Eines Tages hatte seine Mutter Brodkuchen gebacken und</t>
  </si>
  <si>
    <t>Eines</t>
  </si>
  <si>
    <t>pron</t>
  </si>
  <si>
    <t>Tages</t>
  </si>
  <si>
    <t>hatte</t>
  </si>
  <si>
    <t>gebacken</t>
  </si>
  <si>
    <t># text = sagte zu ihm : Geh doch zu deiner Großmutter und steh , wie</t>
  </si>
  <si>
    <t>sagte</t>
  </si>
  <si>
    <t>zu</t>
  </si>
  <si>
    <t>:</t>
  </si>
  <si>
    <t>Geh</t>
  </si>
  <si>
    <t>doch</t>
  </si>
  <si>
    <t>other_3</t>
  </si>
  <si>
    <t>deiner</t>
  </si>
  <si>
    <t>steh</t>
  </si>
  <si>
    <t>wie</t>
  </si>
  <si>
    <t># text = fte fich befindet , denn ich habe gehört, daß sie krank sei ; bringe</t>
  </si>
  <si>
    <t>fte</t>
  </si>
  <si>
    <t>fich</t>
  </si>
  <si>
    <t>befindet</t>
  </si>
  <si>
    <t>denn</t>
  </si>
  <si>
    <t>ich</t>
  </si>
  <si>
    <t>habe</t>
  </si>
  <si>
    <t>gehört</t>
  </si>
  <si>
    <t>sie</t>
  </si>
  <si>
    <t>krank</t>
  </si>
  <si>
    <t>sei</t>
  </si>
  <si>
    <t>bringe</t>
  </si>
  <si>
    <t># text = ihr einen Brodkuchen und dieses Töpfchen Butter.</t>
  </si>
  <si>
    <t>ihr</t>
  </si>
  <si>
    <t>einen</t>
  </si>
  <si>
    <t>dieses</t>
  </si>
  <si>
    <t>Töpfchen</t>
  </si>
  <si>
    <t># text = Rothkäppchen</t>
  </si>
  <si>
    <t># text = ging sogleich fort zu ihrer Großmutter , die in einem andern</t>
  </si>
  <si>
    <t>ging</t>
  </si>
  <si>
    <t>sogleich</t>
  </si>
  <si>
    <t>fort</t>
  </si>
  <si>
    <t>ihrer</t>
  </si>
  <si>
    <t>die</t>
  </si>
  <si>
    <t>in</t>
  </si>
  <si>
    <t>einem</t>
  </si>
  <si>
    <t>andern</t>
  </si>
  <si>
    <t># text = Dorfe wohnte.</t>
  </si>
  <si>
    <t>Dorfe</t>
  </si>
  <si>
    <t>wohnte</t>
  </si>
  <si>
    <t># text = Als sie durch ein Gehölz kam , begegnete ihr der</t>
  </si>
  <si>
    <t>Als</t>
  </si>
  <si>
    <t>durch</t>
  </si>
  <si>
    <t>Gehölz</t>
  </si>
  <si>
    <t>kam</t>
  </si>
  <si>
    <t>begegnete</t>
  </si>
  <si>
    <t>der</t>
  </si>
  <si>
    <t># text = Gevatter Wolf, welcher große Luft hatte , ste zu fressen ; aber er wagte es nicht , weil mehre Holzhauer im Walde waren . Er</t>
  </si>
  <si>
    <t>Gevatter</t>
  </si>
  <si>
    <t>Wolf</t>
  </si>
  <si>
    <t>welcher</t>
  </si>
  <si>
    <t>große</t>
  </si>
  <si>
    <t>Luft</t>
  </si>
  <si>
    <t>OBJ_3</t>
  </si>
  <si>
    <t>ste</t>
  </si>
  <si>
    <t>fressen</t>
  </si>
  <si>
    <t>aber</t>
  </si>
  <si>
    <t>wagte</t>
  </si>
  <si>
    <t>nicht</t>
  </si>
  <si>
    <t>weil</t>
  </si>
  <si>
    <t>mehre</t>
  </si>
  <si>
    <t>other_4</t>
  </si>
  <si>
    <t>Holzhauer</t>
  </si>
  <si>
    <t>Walde</t>
  </si>
  <si>
    <t>waren</t>
  </si>
  <si>
    <t># text = fragte fie, wohin fte ginge.</t>
  </si>
  <si>
    <t>fragte</t>
  </si>
  <si>
    <t>fie</t>
  </si>
  <si>
    <t>wohin</t>
  </si>
  <si>
    <t>ginge</t>
  </si>
  <si>
    <t># text = Das arme Kind , welches nicht wußte,</t>
  </si>
  <si>
    <t>Das</t>
  </si>
  <si>
    <t>arme</t>
  </si>
  <si>
    <t>welches</t>
  </si>
  <si>
    <t>wußte</t>
  </si>
  <si>
    <t># text = daß es gefährlich sei , still zu stehen und einen Wolf anzuhören,</t>
  </si>
  <si>
    <t>gefährlich</t>
  </si>
  <si>
    <t>still</t>
  </si>
  <si>
    <t>stehen</t>
  </si>
  <si>
    <t>anzuhören</t>
  </si>
  <si>
    <t># text = sagte zu ihm : „ Ich gehe zu meiner Großmutter und trage ihr</t>
  </si>
  <si>
    <t>„</t>
  </si>
  <si>
    <t>Ich</t>
  </si>
  <si>
    <t>gehe</t>
  </si>
  <si>
    <t>meiner</t>
  </si>
  <si>
    <t>pron.ppos</t>
  </si>
  <si>
    <t>trage</t>
  </si>
  <si>
    <t># text = einen Brodkuchen und einen Topf mit Butter hin , welche meine</t>
  </si>
  <si>
    <t>Topf</t>
  </si>
  <si>
    <t>mit</t>
  </si>
  <si>
    <t>hin</t>
  </si>
  <si>
    <t>welche</t>
  </si>
  <si>
    <t>meine</t>
  </si>
  <si>
    <t># text = Mutter ihr schickt.</t>
  </si>
  <si>
    <t>schickt</t>
  </si>
  <si>
    <t>--</t>
  </si>
  <si>
    <t># text = ' \"</t>
  </si>
  <si>
    <t>'</t>
  </si>
  <si>
    <t># text = „ Wohnt sie sehr weit ? \" fragte der Wolf.</t>
  </si>
  <si>
    <t>Wohnt</t>
  </si>
  <si>
    <t>sehr</t>
  </si>
  <si>
    <t>weit</t>
  </si>
  <si>
    <t>?</t>
  </si>
  <si>
    <t># text = " , O ! ja , " sagte Rothkäppchen ; fte wohnt jenseit der kleinen</t>
  </si>
  <si>
    <t>ne</t>
  </si>
  <si>
    <t>!</t>
  </si>
  <si>
    <t>ja</t>
  </si>
  <si>
    <t>wohnt</t>
  </si>
  <si>
    <t>jenseit</t>
  </si>
  <si>
    <t>kleinen</t>
  </si>
  <si>
    <t># text = Mühle , die du dort ganz unten siehst , im ersten Hauſe des</t>
  </si>
  <si>
    <t>du</t>
  </si>
  <si>
    <t>dort</t>
  </si>
  <si>
    <t>unten</t>
  </si>
  <si>
    <t>siehst</t>
  </si>
  <si>
    <t>ersten</t>
  </si>
  <si>
    <t>Hauſe</t>
  </si>
  <si>
    <t>des</t>
  </si>
  <si>
    <t># text = Dorfes.</t>
  </si>
  <si>
    <t># text = "</t>
  </si>
  <si>
    <t># text = " "</t>
  </si>
  <si>
    <t># text = Nun wohl , " entgegnete der Wolf, ich will auch zu ihr</t>
  </si>
  <si>
    <t>Nun</t>
  </si>
  <si>
    <t>wohl</t>
  </si>
  <si>
    <t>entgegnete</t>
  </si>
  <si>
    <t>will</t>
  </si>
  <si>
    <t>auch</t>
  </si>
  <si>
    <t># text = gehen ; ich werde diesen Weg nehmen , nimm du jenen und wir</t>
  </si>
  <si>
    <t>werde</t>
  </si>
  <si>
    <t>diesen</t>
  </si>
  <si>
    <t>Weg</t>
  </si>
  <si>
    <t>nehmen</t>
  </si>
  <si>
    <t>nimm</t>
  </si>
  <si>
    <t>jenen</t>
  </si>
  <si>
    <t>wir</t>
  </si>
  <si>
    <t># text = wollen sehen , wer zuerst da sein wird . “</t>
  </si>
  <si>
    <t>wer</t>
  </si>
  <si>
    <t>pron.pint</t>
  </si>
  <si>
    <t>zuerst</t>
  </si>
  <si>
    <t>da</t>
  </si>
  <si>
    <t>wird</t>
  </si>
  <si>
    <t># text = Der Wolf fing an aus allen Kräften auf dem Wege zu</t>
  </si>
  <si>
    <t>Der</t>
  </si>
  <si>
    <t>fing</t>
  </si>
  <si>
    <t>an</t>
  </si>
  <si>
    <t>aus</t>
  </si>
  <si>
    <t>allen</t>
  </si>
  <si>
    <t>Kräften</t>
  </si>
  <si>
    <t>indef-np.quant</t>
  </si>
  <si>
    <t>auf</t>
  </si>
  <si>
    <t>Wege</t>
  </si>
  <si>
    <t># text = laufen , der der kürzeste war , und das kleine Mädchen ging auf</t>
  </si>
  <si>
    <t>kürzeste</t>
  </si>
  <si>
    <t># text = dem längsten Wege fort , und beluftigte sich damit , Haselnüſſe</t>
  </si>
  <si>
    <t>längsten</t>
  </si>
  <si>
    <t>beluftigte</t>
  </si>
  <si>
    <t>sich</t>
  </si>
  <si>
    <t>damit</t>
  </si>
  <si>
    <t>Haselnüſſe</t>
  </si>
  <si>
    <t># text = zu pflücken , Schmetterlinge zu haſchen und Sträuße zu winden</t>
  </si>
  <si>
    <t>Schmetterlinge</t>
  </si>
  <si>
    <t>haſchen</t>
  </si>
  <si>
    <t>Sträuße</t>
  </si>
  <si>
    <t>winden</t>
  </si>
  <si>
    <t># text = von kleinen Blumen , die sie fand . Der Wolf kam bald bei</t>
  </si>
  <si>
    <t>Blumen</t>
  </si>
  <si>
    <t>fand</t>
  </si>
  <si>
    <t>bald</t>
  </si>
  <si>
    <t>bei</t>
  </si>
  <si>
    <t># text = dem Hause der Großmutter an ; er klopft an : bum, bum.</t>
  </si>
  <si>
    <t>Hause</t>
  </si>
  <si>
    <t>klopft</t>
  </si>
  <si>
    <t>bum</t>
  </si>
  <si>
    <t># text = " Wer ist da ? "</t>
  </si>
  <si>
    <t>Wer</t>
  </si>
  <si>
    <t>ist</t>
  </si>
  <si>
    <t># text = Deine Tochter , das Rothkäppchen , " sagte der Wolf, in-</t>
  </si>
  <si>
    <t>Deine</t>
  </si>
  <si>
    <t>Tochter</t>
  </si>
  <si>
    <t># text = dem er ihre Stimme nachahmte ; „ ich bringe dir einen Brod-</t>
  </si>
  <si>
    <t>ihre</t>
  </si>
  <si>
    <t>Stimme</t>
  </si>
  <si>
    <t>nachahmte</t>
  </si>
  <si>
    <t>dir</t>
  </si>
  <si>
    <t>Brod</t>
  </si>
  <si>
    <t># text = kuchen und ein Töpfchen Butter , welches meine Mutter dir schickt.</t>
  </si>
  <si>
    <t># text = “</t>
  </si>
  <si>
    <t># text = Die gute Großmutter , welche im Bette lag , weil sie etwas</t>
  </si>
  <si>
    <t>Die</t>
  </si>
  <si>
    <t>Bette</t>
  </si>
  <si>
    <t>lag</t>
  </si>
  <si>
    <t>etwas</t>
  </si>
  <si>
    <t># text = unwohl war , rief ihm zu : „ Ziehe an dem Pflöckchen , so wird</t>
  </si>
  <si>
    <t>unwohl</t>
  </si>
  <si>
    <t>rief</t>
  </si>
  <si>
    <t>Ziehe</t>
  </si>
  <si>
    <t>Pflöckchen</t>
  </si>
  <si>
    <t># text = das Schloß aufspringen.</t>
  </si>
  <si>
    <t>Schloß</t>
  </si>
  <si>
    <t># text = Der Wolf zog an dem Pflock und die Thür ging auf.</t>
  </si>
  <si>
    <t>zog</t>
  </si>
  <si>
    <t>Pflock</t>
  </si>
  <si>
    <t># text = Er</t>
  </si>
  <si>
    <t># text = warf sich auf die gute Frau und verschlang sie mit einem Ruck,</t>
  </si>
  <si>
    <t>warf</t>
  </si>
  <si>
    <t>verschlang</t>
  </si>
  <si>
    <t>Ruck</t>
  </si>
  <si>
    <t># text = denn er hatte länger als drei Tage nichts gegessen . Dann klinkte</t>
  </si>
  <si>
    <t>länger</t>
  </si>
  <si>
    <t>drei</t>
  </si>
  <si>
    <t>Tage</t>
  </si>
  <si>
    <t>nichts</t>
  </si>
  <si>
    <t>gegessen</t>
  </si>
  <si>
    <t>Dann</t>
  </si>
  <si>
    <t>klinkte</t>
  </si>
  <si>
    <t># text = er die Thür zu und legte sich in das Bett der Großmutter und</t>
  </si>
  <si>
    <t>legte</t>
  </si>
  <si>
    <t>Bett</t>
  </si>
  <si>
    <t># text = wartete auf Rothkäppchen , die einige Zeit nachher an die Thür</t>
  </si>
  <si>
    <t>wartete</t>
  </si>
  <si>
    <t>einige</t>
  </si>
  <si>
    <t>Zeit</t>
  </si>
  <si>
    <t>nachher</t>
  </si>
  <si>
    <t># text = flopfte : Bum , bum.</t>
  </si>
  <si>
    <t>flopfte</t>
  </si>
  <si>
    <t>Bum</t>
  </si>
  <si>
    <t># text = Wer ist da ? \"</t>
  </si>
  <si>
    <t># text = Rothkäppchen , welches die grobe Stimme des Wolfs hörte,</t>
  </si>
  <si>
    <t>grobe</t>
  </si>
  <si>
    <t>Wolfs</t>
  </si>
  <si>
    <t>hörte</t>
  </si>
  <si>
    <t># text = hatte zuerst Furcht , aber da es glaubte , daß seine Großmutter</t>
  </si>
  <si>
    <t>Furcht</t>
  </si>
  <si>
    <t>glaubte</t>
  </si>
  <si>
    <t># text = den Schnupfen hätte , antwortete es : Es ist Deine Tochter , das</t>
  </si>
  <si>
    <t>den</t>
  </si>
  <si>
    <t>Schnupfen</t>
  </si>
  <si>
    <t>hätte</t>
  </si>
  <si>
    <t>antwortete</t>
  </si>
  <si>
    <t># text = Rothkäppchen ; ste bringt Dir einen Brodkuchen und ein Töpfchen</t>
  </si>
  <si>
    <t>bringt</t>
  </si>
  <si>
    <t>Dir</t>
  </si>
  <si>
    <t># text = Butter , den die Mutter Dir schickt.</t>
  </si>
  <si>
    <t># text = Der Wolf rief ihr zu , indem er seine Stimme ein bischen</t>
  </si>
  <si>
    <t>indem</t>
  </si>
  <si>
    <t>bischen</t>
  </si>
  <si>
    <t># text = besänftigte : „ Ziehe an dem Pflöckchen , so wird das Schloß auf-</t>
  </si>
  <si>
    <t>besänftigte</t>
  </si>
  <si>
    <t># text = gehen.</t>
  </si>
  <si>
    <t># text = Rothkäppchen zog an dem Pflock und die Thür ging auf.</t>
  </si>
  <si>
    <t># text = Als der Wolf fte eintreten sah , sagte er zu ihr , indem er sich</t>
  </si>
  <si>
    <t>eintreten</t>
  </si>
  <si>
    <t>sah</t>
  </si>
  <si>
    <t># text = unter dem Deckbett versteckte : Lege den Brodkuchen und das Töpf=</t>
  </si>
  <si>
    <t>unter</t>
  </si>
  <si>
    <t>Deckbett</t>
  </si>
  <si>
    <t>versteckte</t>
  </si>
  <si>
    <t>Lege</t>
  </si>
  <si>
    <t>Töpf</t>
  </si>
  <si>
    <t># text = chen Butter auf den Backtrog und komm zu mir in's Bett.</t>
  </si>
  <si>
    <t>Backtrog</t>
  </si>
  <si>
    <t>komm</t>
  </si>
  <si>
    <t>mir</t>
  </si>
  <si>
    <t>in's</t>
  </si>
  <si>
    <t># text = Rothkäppchen zog sich aus und legte sich in's Bett , wo es</t>
  </si>
  <si>
    <t>wo</t>
  </si>
  <si>
    <t># text = sehr erstaunt über das Aussehen seiner Großmutter war , als es</t>
  </si>
  <si>
    <t>erstaunt</t>
  </si>
  <si>
    <t>über</t>
  </si>
  <si>
    <t>Aussehen</t>
  </si>
  <si>
    <t>seiner</t>
  </si>
  <si>
    <t># text = Diese ausgezogen sah.</t>
  </si>
  <si>
    <t>ausgezogen</t>
  </si>
  <si>
    <t># text = Es sagte zu ihr : „ Liebe Großmutter , was</t>
  </si>
  <si>
    <t>Liebe</t>
  </si>
  <si>
    <t>was</t>
  </si>
  <si>
    <t># text = hast Du für lange Arme ! \"</t>
  </si>
  <si>
    <t>hast</t>
  </si>
  <si>
    <t>Du</t>
  </si>
  <si>
    <t>für</t>
  </si>
  <si>
    <t>lange</t>
  </si>
  <si>
    <t>Arme</t>
  </si>
  <si>
    <t># text = \" Weil ich Dich beſſer damit umarmen kann , meine Tochter.</t>
  </si>
  <si>
    <t>Weil</t>
  </si>
  <si>
    <t>Dich</t>
  </si>
  <si>
    <t>beſſer</t>
  </si>
  <si>
    <t>umarmen</t>
  </si>
  <si>
    <t>kann</t>
  </si>
  <si>
    <t># text = Großmutter , was hast Du für große Beine ! \"</t>
  </si>
  <si>
    <t>Beine</t>
  </si>
  <si>
    <t># text = „Weil ich besser damit laufen kann , mein Kind . "</t>
  </si>
  <si>
    <t>besser</t>
  </si>
  <si>
    <t>mein</t>
  </si>
  <si>
    <t># text = Großmutter , was hast Du für große Ohren ! "</t>
  </si>
  <si>
    <t>Ohren</t>
  </si>
  <si>
    <t># text = Weil ich besser damit hören kann , mein Kind . \"</t>
  </si>
  <si>
    <t>hören</t>
  </si>
  <si>
    <t># text = Großmutter , was hast Du für große Augen ! \"</t>
  </si>
  <si>
    <t>Augen</t>
  </si>
  <si>
    <t># text = Weil ich besser damit sehen kann , mein Kind . "</t>
  </si>
  <si>
    <t># text = Großmutter , was hast Du für große Zähne ! \"</t>
  </si>
  <si>
    <t>Zähne</t>
  </si>
  <si>
    <t># text = Um Dich damit zu freffen.</t>
  </si>
  <si>
    <t>Um</t>
  </si>
  <si>
    <t># text = \" Und indem er diese Worte</t>
  </si>
  <si>
    <t>Und</t>
  </si>
  <si>
    <t>diese</t>
  </si>
  <si>
    <t>Worte</t>
  </si>
  <si>
    <t># text = sagte , warf sich der böse Wolf auf Rothkäppchen und fraß es auf.</t>
  </si>
  <si>
    <t>böse</t>
  </si>
  <si>
    <t>fraß</t>
  </si>
  <si>
    <t># text = Moral.</t>
  </si>
  <si>
    <t># text = Man warnt hiermit die kleinen Kinder, /</t>
  </si>
  <si>
    <t>Man</t>
  </si>
  <si>
    <t>warnt</t>
  </si>
  <si>
    <t>hiermit</t>
  </si>
  <si>
    <t>Kinder</t>
  </si>
  <si>
    <t>/</t>
  </si>
  <si>
    <t># text = Und junge Mädchen auch nicht minder, /</t>
  </si>
  <si>
    <t>junge</t>
  </si>
  <si>
    <t>minder</t>
  </si>
  <si>
    <t># text = Wenn sie schön und reizend sind, /</t>
  </si>
  <si>
    <t>Wenn</t>
  </si>
  <si>
    <t>schön</t>
  </si>
  <si>
    <t>reizend</t>
  </si>
  <si>
    <t>sind</t>
  </si>
  <si>
    <t># text = Nicht zu glauben so geschwind, Was so ein Wolf von böser Art /</t>
  </si>
  <si>
    <t>Nicht</t>
  </si>
  <si>
    <t>glauben</t>
  </si>
  <si>
    <t>Was</t>
  </si>
  <si>
    <t>böser</t>
  </si>
  <si>
    <t>Art</t>
  </si>
  <si>
    <t># text = Ihnen flüstert sanft und zart ; /</t>
  </si>
  <si>
    <t>Ihnen</t>
  </si>
  <si>
    <t>flüstert</t>
  </si>
  <si>
    <t>sanft</t>
  </si>
  <si>
    <t>zart</t>
  </si>
  <si>
    <t># text = Denn es giebt der Wölfe viel, Die nur treiben böses Spiel /</t>
  </si>
  <si>
    <t>Denn</t>
  </si>
  <si>
    <t>giebt</t>
  </si>
  <si>
    <t>Wölfe</t>
  </si>
  <si>
    <t>treiben</t>
  </si>
  <si>
    <t>böses</t>
  </si>
  <si>
    <t>Spiel</t>
  </si>
  <si>
    <t># text = Und die Kinder gern verderben , /</t>
  </si>
  <si>
    <t>gern</t>
  </si>
  <si>
    <t># text = Die dann ohne Rettung sterben.</t>
  </si>
  <si>
    <t>dann</t>
  </si>
  <si>
    <t>ohne</t>
  </si>
  <si>
    <t>Rettung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</si>
</sst>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11</v>
      </c>
      <c r="C4" s="6" t="s">
        <v>12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24</v>
      </c>
      <c r="C5" s="6" t="s">
        <v>12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10</v>
      </c>
      <c r="C6" s="6" t="s">
        <v>12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20</v>
      </c>
      <c r="C7" s="6" t="s">
        <v>12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36</v>
      </c>
      <c r="C8" s="6" t="s">
        <v>12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10</v>
      </c>
      <c r="C9" s="6" t="s">
        <v>12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45</v>
      </c>
      <c r="C10" s="6" t="s">
        <v>12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36</v>
      </c>
      <c r="C11" s="6" t="s">
        <v>12</v>
      </c>
      <c r="D11" s="7" t="s">
        <v>50</v>
      </c>
      <c r="E11" s="8" t="s">
        <v>51</v>
      </c>
      <c r="F11" s="6" t="s">
        <v>52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53</v>
      </c>
      <c r="B12" s="6" t="s">
        <v>10</v>
      </c>
      <c r="C12" s="6" t="s">
        <v>12</v>
      </c>
      <c r="D12" s="7" t="s">
        <v>54</v>
      </c>
      <c r="E12" s="8" t="s">
        <v>54</v>
      </c>
      <c r="F12" s="6" t="s">
        <v>55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56</v>
      </c>
      <c r="B13" s="6" t="s">
        <v>10</v>
      </c>
      <c r="C13" s="6" t="s">
        <v>12</v>
      </c>
      <c r="D13" s="7" t="s">
        <v>57</v>
      </c>
      <c r="E13" s="8" t="s">
        <v>58</v>
      </c>
      <c r="F13" s="6" t="s">
        <v>59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16</v>
      </c>
      <c r="B14" s="6" t="s">
        <v>11</v>
      </c>
      <c r="C14" s="6" t="s">
        <v>12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63</v>
      </c>
      <c r="B15" s="6" t="s">
        <v>40</v>
      </c>
      <c r="C15" s="6" t="s">
        <v>12</v>
      </c>
      <c r="D15" s="7" t="s">
        <v>64</v>
      </c>
      <c r="E15" s="8" t="s">
        <v>65</v>
      </c>
      <c r="F15" s="6" t="s">
        <v>66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45</v>
      </c>
      <c r="B16" s="6" t="s">
        <v>44</v>
      </c>
      <c r="C16" s="6" t="s">
        <v>12</v>
      </c>
      <c r="D16" s="7" t="s">
        <v>67</v>
      </c>
      <c r="E16" s="8" t="s">
        <v>68</v>
      </c>
      <c r="F16" s="6" t="s">
        <v>69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70</v>
      </c>
      <c r="B17" s="6" t="s">
        <v>10</v>
      </c>
      <c r="C17" s="6" t="s">
        <v>12</v>
      </c>
      <c r="D17" s="7" t="s">
        <v>71</v>
      </c>
      <c r="E17" s="8" t="s">
        <v>72</v>
      </c>
      <c r="F17" s="6" t="s">
        <v>73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20</v>
      </c>
      <c r="C18" s="6" t="s">
        <v>12</v>
      </c>
      <c r="D18" s="7" t="s">
        <v>75</v>
      </c>
      <c r="E18" s="8" t="s">
        <v>76</v>
      </c>
      <c r="F18" s="6" t="s">
        <v>77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24</v>
      </c>
      <c r="C19" s="6" t="s">
        <v>12</v>
      </c>
      <c r="D19" s="7" t="s">
        <v>79</v>
      </c>
      <c r="E19" s="8" t="s">
        <v>80</v>
      </c>
      <c r="F19" s="6" t="s">
        <v>81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82</v>
      </c>
      <c r="B20" s="6" t="s">
        <v>10</v>
      </c>
      <c r="C20" s="6" t="s">
        <v>12</v>
      </c>
      <c r="D20" s="7" t="s">
        <v>41</v>
      </c>
      <c r="E20" s="8" t="s">
        <v>83</v>
      </c>
      <c r="F20" s="6" t="s">
        <v>84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85</v>
      </c>
      <c r="B21" s="6" t="s">
        <v>11</v>
      </c>
      <c r="C21" s="6" t="s">
        <v>12</v>
      </c>
      <c r="D21" s="7" t="s">
        <v>86</v>
      </c>
      <c r="E21" s="8" t="s">
        <v>87</v>
      </c>
      <c r="F21" s="6" t="s">
        <v>88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89</v>
      </c>
      <c r="B22" s="6" t="s">
        <v>20</v>
      </c>
      <c r="C22" s="6" t="s">
        <v>12</v>
      </c>
      <c r="D22" s="7" t="s">
        <v>90</v>
      </c>
      <c r="E22" s="8" t="s">
        <v>91</v>
      </c>
      <c r="F22" s="6" t="s">
        <v>92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93</v>
      </c>
      <c r="B23" s="6" t="s">
        <v>11</v>
      </c>
      <c r="C23" s="6" t="s">
        <v>12</v>
      </c>
      <c r="D23" s="7" t="s">
        <v>94</v>
      </c>
      <c r="E23" s="8" t="s">
        <v>95</v>
      </c>
      <c r="F23" s="6" t="s">
        <v>96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97</v>
      </c>
      <c r="B24" s="6" t="s">
        <v>40</v>
      </c>
      <c r="C24" s="6" t="s">
        <v>12</v>
      </c>
      <c r="D24" s="7" t="s">
        <v>98</v>
      </c>
      <c r="E24" s="8" t="s">
        <v>99</v>
      </c>
      <c r="F24" s="6" t="s">
        <v>100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101</v>
      </c>
      <c r="B25" s="6" t="s">
        <v>53</v>
      </c>
      <c r="C25" s="6" t="s">
        <v>12</v>
      </c>
      <c r="D25" s="7" t="s">
        <v>102</v>
      </c>
      <c r="E25" s="8" t="s">
        <v>103</v>
      </c>
      <c r="F25" s="6" t="s">
        <v>104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105</v>
      </c>
      <c r="B26" s="6" t="s">
        <v>10</v>
      </c>
      <c r="C26" s="6" t="s">
        <v>12</v>
      </c>
      <c r="D26" s="7" t="s">
        <v>106</v>
      </c>
      <c r="E26" s="8" t="s">
        <v>107</v>
      </c>
      <c r="F26" s="6" t="s">
        <v>108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109</v>
      </c>
      <c r="B27" s="6" t="s">
        <v>10</v>
      </c>
      <c r="C27" s="6" t="s">
        <v>12</v>
      </c>
      <c r="D27" s="7" t="s">
        <v>110</v>
      </c>
      <c r="E27" s="8" t="s">
        <v>111</v>
      </c>
      <c r="F27" s="6" t="s">
        <v>112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113</v>
      </c>
      <c r="B28" s="6" t="s">
        <v>10</v>
      </c>
      <c r="C28" s="6" t="s">
        <v>12</v>
      </c>
      <c r="D28" s="7" t="s">
        <v>94</v>
      </c>
      <c r="E28" s="8" t="s">
        <v>94</v>
      </c>
      <c r="F28" s="6" t="s">
        <v>114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115</v>
      </c>
      <c r="B29" s="6" t="s">
        <v>11</v>
      </c>
      <c r="C29" s="6" t="s">
        <v>12</v>
      </c>
      <c r="D29" s="7" t="s">
        <v>94</v>
      </c>
      <c r="E29" s="8" t="s">
        <v>116</v>
      </c>
      <c r="F29" s="6" t="s">
        <v>117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118</v>
      </c>
      <c r="B30" s="6" t="s">
        <v>49</v>
      </c>
      <c r="C30" s="6" t="s">
        <v>12</v>
      </c>
      <c r="D30" s="7" t="s">
        <v>119</v>
      </c>
      <c r="E30" s="8" t="s">
        <v>120</v>
      </c>
      <c r="F30" s="6" t="s">
        <v>121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122</v>
      </c>
      <c r="B31" s="6" t="s">
        <v>10</v>
      </c>
      <c r="C31" s="6" t="s">
        <v>12</v>
      </c>
      <c r="D31" s="7" t="s">
        <v>57</v>
      </c>
      <c r="E31" s="8" t="s">
        <v>123</v>
      </c>
      <c r="F31" s="6" t="s">
        <v>124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125</v>
      </c>
      <c r="B32" s="6" t="s">
        <v>36</v>
      </c>
      <c r="C32" s="6" t="s">
        <v>12</v>
      </c>
      <c r="D32" s="7" t="s">
        <v>17</v>
      </c>
      <c r="E32" s="8" t="s">
        <v>126</v>
      </c>
      <c r="F32" s="6" t="s">
        <v>127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128</v>
      </c>
      <c r="B33" s="6" t="s">
        <v>20</v>
      </c>
      <c r="C33" s="6" t="s">
        <v>12</v>
      </c>
      <c r="D33" s="7" t="s">
        <v>129</v>
      </c>
      <c r="E33" s="8" t="s">
        <v>130</v>
      </c>
      <c r="F33" s="6" t="s">
        <v>131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132</v>
      </c>
      <c r="B34" s="6" t="s">
        <v>10</v>
      </c>
      <c r="C34" s="6" t="s">
        <v>12</v>
      </c>
      <c r="D34" s="7" t="s">
        <v>133</v>
      </c>
      <c r="E34" s="8" t="s">
        <v>134</v>
      </c>
      <c r="F34" s="6" t="s">
        <v>135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136</v>
      </c>
      <c r="B35" s="6" t="s">
        <v>24</v>
      </c>
      <c r="C35" s="6" t="s">
        <v>12</v>
      </c>
      <c r="D35" s="7" t="s">
        <v>137</v>
      </c>
      <c r="E35" s="8" t="s">
        <v>138</v>
      </c>
      <c r="F35" s="6" t="s">
        <v>139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140</v>
      </c>
      <c r="B36" s="6" t="s">
        <v>11</v>
      </c>
      <c r="C36" s="6" t="s">
        <v>12</v>
      </c>
      <c r="D36" s="7" t="s">
        <v>141</v>
      </c>
      <c r="E36" s="8" t="s">
        <v>142</v>
      </c>
      <c r="F36" s="6" t="s">
        <v>143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144</v>
      </c>
      <c r="B37" s="6" t="s">
        <v>53</v>
      </c>
      <c r="C37" s="6" t="s">
        <v>12</v>
      </c>
      <c r="D37" s="7" t="s">
        <v>145</v>
      </c>
      <c r="E37" s="8" t="s">
        <v>146</v>
      </c>
      <c r="F37" s="6" t="s">
        <v>147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148</v>
      </c>
      <c r="B38" s="6" t="s">
        <v>40</v>
      </c>
      <c r="C38" s="6" t="s">
        <v>12</v>
      </c>
      <c r="D38" s="7" t="s">
        <v>149</v>
      </c>
      <c r="E38" s="8" t="s">
        <v>150</v>
      </c>
      <c r="F38" s="6" t="s">
        <v>151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152</v>
      </c>
      <c r="B39" s="6" t="s">
        <v>20</v>
      </c>
      <c r="C39" s="6" t="s">
        <v>12</v>
      </c>
      <c r="D39" s="7" t="s">
        <v>17</v>
      </c>
      <c r="E39" s="8" t="s">
        <v>153</v>
      </c>
      <c r="F39" s="6" t="s">
        <v>154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155</v>
      </c>
      <c r="B40" s="6" t="s">
        <v>40</v>
      </c>
      <c r="C40" s="6" t="s">
        <v>12</v>
      </c>
      <c r="D40" s="7" t="s">
        <v>41</v>
      </c>
      <c r="E40" s="8" t="s">
        <v>156</v>
      </c>
      <c r="F40" s="6" t="s">
        <v>157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158</v>
      </c>
      <c r="B41" s="6" t="s">
        <v>28</v>
      </c>
      <c r="C41" s="6" t="s">
        <v>12</v>
      </c>
      <c r="D41" s="7" t="s">
        <v>159</v>
      </c>
      <c r="E41" s="8" t="s">
        <v>160</v>
      </c>
      <c r="F41" s="6" t="s">
        <v>161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162</v>
      </c>
      <c r="B42" s="6" t="s">
        <v>10</v>
      </c>
      <c r="C42" s="6" t="s">
        <v>12</v>
      </c>
      <c r="D42" s="7" t="s">
        <v>163</v>
      </c>
      <c r="E42" s="8" t="s">
        <v>164</v>
      </c>
      <c r="F42" s="6" t="s">
        <v>165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166</v>
      </c>
      <c r="B43" s="6" t="s">
        <v>10</v>
      </c>
      <c r="C43" s="6" t="s">
        <v>12</v>
      </c>
      <c r="D43" s="7" t="s">
        <v>167</v>
      </c>
      <c r="E43" s="8" t="s">
        <v>167</v>
      </c>
      <c r="F43" s="6" t="s">
        <v>168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169</v>
      </c>
      <c r="B44" s="6" t="s">
        <v>20</v>
      </c>
      <c r="C44" s="6" t="s">
        <v>12</v>
      </c>
      <c r="D44" s="7" t="s">
        <v>170</v>
      </c>
      <c r="E44" s="8" t="s">
        <v>171</v>
      </c>
      <c r="F44" s="6" t="s">
        <v>172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173</v>
      </c>
      <c r="B45" s="6" t="s">
        <v>45</v>
      </c>
      <c r="C45" s="6" t="s">
        <v>12</v>
      </c>
      <c r="D45" s="7" t="s">
        <v>174</v>
      </c>
      <c r="E45" s="8" t="s">
        <v>175</v>
      </c>
      <c r="F45" s="6" t="s">
        <v>176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177</v>
      </c>
      <c r="B46" s="6" t="s">
        <v>20</v>
      </c>
      <c r="C46" s="6" t="s">
        <v>12</v>
      </c>
      <c r="D46" s="7" t="s">
        <v>178</v>
      </c>
      <c r="E46" s="8" t="s">
        <v>179</v>
      </c>
      <c r="F46" s="6" t="s">
        <v>180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181</v>
      </c>
      <c r="B47" s="6" t="s">
        <v>10</v>
      </c>
      <c r="C47" s="6" t="s">
        <v>12</v>
      </c>
      <c r="D47" s="7" t="s">
        <v>94</v>
      </c>
      <c r="E47" s="8" t="s">
        <v>94</v>
      </c>
      <c r="F47" s="6" t="s">
        <v>182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183</v>
      </c>
      <c r="B48" s="6" t="s">
        <v>20</v>
      </c>
      <c r="C48" s="6" t="s">
        <v>12</v>
      </c>
      <c r="D48" s="7" t="s">
        <v>184</v>
      </c>
      <c r="E48" s="8" t="s">
        <v>185</v>
      </c>
      <c r="F48" s="6" t="s">
        <v>186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187</v>
      </c>
      <c r="B49" s="6" t="s">
        <v>10</v>
      </c>
      <c r="C49" s="6" t="s">
        <v>12</v>
      </c>
      <c r="D49" s="7" t="s">
        <v>188</v>
      </c>
      <c r="E49" s="8" t="s">
        <v>189</v>
      </c>
      <c r="F49" s="6" t="s">
        <v>190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191</v>
      </c>
      <c r="B50" s="6" t="s">
        <v>10</v>
      </c>
      <c r="C50" s="6" t="s">
        <v>12</v>
      </c>
      <c r="D50" s="7" t="s">
        <v>192</v>
      </c>
      <c r="E50" s="8" t="s">
        <v>193</v>
      </c>
      <c r="F50" s="6" t="s">
        <v>194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195</v>
      </c>
      <c r="B51" s="6" t="s">
        <v>56</v>
      </c>
      <c r="C51" s="6" t="s">
        <v>12</v>
      </c>
      <c r="D51" s="7" t="s">
        <v>196</v>
      </c>
      <c r="E51" s="8" t="s">
        <v>197</v>
      </c>
      <c r="F51" s="6" t="s">
        <v>198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199</v>
      </c>
      <c r="B52" s="6" t="s">
        <v>20</v>
      </c>
      <c r="C52" s="6" t="s">
        <v>12</v>
      </c>
      <c r="D52" s="7" t="s">
        <v>200</v>
      </c>
      <c r="E52" s="8" t="s">
        <v>201</v>
      </c>
      <c r="F52" s="6" t="s">
        <v>202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203</v>
      </c>
      <c r="B53" s="6" t="s">
        <v>10</v>
      </c>
      <c r="C53" s="6" t="s">
        <v>12</v>
      </c>
      <c r="D53" s="7" t="s">
        <v>204</v>
      </c>
      <c r="E53" s="8" t="s">
        <v>205</v>
      </c>
      <c r="F53" s="6" t="s">
        <v>206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207</v>
      </c>
      <c r="B54" s="6" t="s">
        <v>10</v>
      </c>
      <c r="C54" s="6" t="s">
        <v>12</v>
      </c>
      <c r="D54" s="7" t="s">
        <v>208</v>
      </c>
      <c r="E54" s="8" t="s">
        <v>209</v>
      </c>
      <c r="F54" s="6" t="s">
        <v>210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211</v>
      </c>
      <c r="B55" s="6" t="s">
        <v>11</v>
      </c>
      <c r="C55" s="6" t="s">
        <v>12</v>
      </c>
      <c r="D55" s="7" t="s">
        <v>17</v>
      </c>
      <c r="E55" s="8" t="s">
        <v>212</v>
      </c>
      <c r="F55" s="6" t="s">
        <v>213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214</v>
      </c>
      <c r="B56" s="6" t="s">
        <v>10</v>
      </c>
      <c r="C56" s="6" t="s">
        <v>12</v>
      </c>
      <c r="D56" s="7" t="s">
        <v>54</v>
      </c>
      <c r="E56" s="8" t="s">
        <v>215</v>
      </c>
      <c r="F56" s="6" t="s">
        <v>216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217</v>
      </c>
      <c r="B57" s="6" t="s">
        <v>10</v>
      </c>
      <c r="C57" s="6" t="s">
        <v>12</v>
      </c>
      <c r="D57" s="7" t="s">
        <v>218</v>
      </c>
      <c r="E57" s="8" t="s">
        <v>219</v>
      </c>
      <c r="F57" s="6" t="s">
        <v>220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221</v>
      </c>
      <c r="B58" s="6" t="s">
        <v>28</v>
      </c>
      <c r="C58" s="6" t="s">
        <v>12</v>
      </c>
      <c r="D58" s="7" t="s">
        <v>222</v>
      </c>
      <c r="E58" s="8" t="s">
        <v>223</v>
      </c>
      <c r="F58" s="6" t="s">
        <v>224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225</v>
      </c>
      <c r="B59" s="6" t="s">
        <v>24</v>
      </c>
      <c r="C59" s="6" t="s">
        <v>12</v>
      </c>
      <c r="D59" s="7" t="s">
        <v>46</v>
      </c>
      <c r="E59" s="8" t="s">
        <v>226</v>
      </c>
      <c r="F59" s="6" t="s">
        <v>227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228</v>
      </c>
      <c r="B60" s="6" t="s">
        <v>10</v>
      </c>
      <c r="C60" s="6" t="s">
        <v>12</v>
      </c>
      <c r="D60" s="7" t="s">
        <v>50</v>
      </c>
      <c r="E60" s="8" t="s">
        <v>229</v>
      </c>
      <c r="F60" s="6" t="s">
        <v>230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231</v>
      </c>
      <c r="B61" s="6" t="s">
        <v>11</v>
      </c>
      <c r="C61" s="6" t="s">
        <v>12</v>
      </c>
      <c r="D61" s="7" t="s">
        <v>94</v>
      </c>
      <c r="E61" s="8" t="s">
        <v>116</v>
      </c>
      <c r="F61" s="6" t="s">
        <v>232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233</v>
      </c>
      <c r="B62" s="6" t="s">
        <v>20</v>
      </c>
      <c r="C62" s="6" t="s">
        <v>12</v>
      </c>
      <c r="D62" s="7" t="s">
        <v>234</v>
      </c>
      <c r="E62" s="8" t="s">
        <v>235</v>
      </c>
      <c r="F62" s="6" t="s">
        <v>236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237</v>
      </c>
      <c r="B63" s="6" t="s">
        <v>49</v>
      </c>
      <c r="C63" s="6" t="s">
        <v>12</v>
      </c>
      <c r="D63" s="7" t="s">
        <v>174</v>
      </c>
      <c r="E63" s="8" t="s">
        <v>238</v>
      </c>
      <c r="F63" s="6" t="s">
        <v>239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240</v>
      </c>
      <c r="B64" s="6" t="s">
        <v>10</v>
      </c>
      <c r="C64" s="6" t="s">
        <v>12</v>
      </c>
      <c r="D64" s="7" t="s">
        <v>57</v>
      </c>
      <c r="E64" s="8" t="s">
        <v>241</v>
      </c>
      <c r="F64" s="6" t="s">
        <v>242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243</v>
      </c>
      <c r="B65" s="6" t="s">
        <v>10</v>
      </c>
      <c r="C65" s="6" t="s">
        <v>12</v>
      </c>
      <c r="D65" s="7" t="s">
        <v>94</v>
      </c>
      <c r="E65" s="8" t="s">
        <v>94</v>
      </c>
      <c r="F65" s="6" t="s">
        <v>244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245</v>
      </c>
      <c r="B66" s="6" t="s">
        <v>11</v>
      </c>
      <c r="C66" s="6" t="s">
        <v>12</v>
      </c>
      <c r="D66" s="7" t="s">
        <v>184</v>
      </c>
      <c r="E66" s="8" t="s">
        <v>246</v>
      </c>
      <c r="F66" s="6" t="s">
        <v>247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248</v>
      </c>
      <c r="B67" s="6" t="s">
        <v>32</v>
      </c>
      <c r="C67" s="6" t="s">
        <v>12</v>
      </c>
      <c r="D67" s="7" t="s">
        <v>249</v>
      </c>
      <c r="E67" s="8" t="s">
        <v>250</v>
      </c>
      <c r="F67" s="6" t="s">
        <v>251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252</v>
      </c>
      <c r="B68" s="6" t="s">
        <v>24</v>
      </c>
      <c r="C68" s="6" t="s">
        <v>12</v>
      </c>
      <c r="D68" s="7" t="s">
        <v>253</v>
      </c>
      <c r="E68" s="8" t="s">
        <v>254</v>
      </c>
      <c r="F68" s="6" t="s">
        <v>255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256</v>
      </c>
      <c r="B69" s="6" t="s">
        <v>10</v>
      </c>
      <c r="C69" s="6" t="s">
        <v>12</v>
      </c>
      <c r="D69" s="7" t="s">
        <v>257</v>
      </c>
      <c r="E69" s="8" t="s">
        <v>258</v>
      </c>
      <c r="F69" s="6" t="s">
        <v>259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260</v>
      </c>
      <c r="B70" s="6" t="s">
        <v>11</v>
      </c>
      <c r="C70" s="6" t="s">
        <v>12</v>
      </c>
      <c r="D70" s="7" t="s">
        <v>94</v>
      </c>
      <c r="E70" s="8" t="s">
        <v>116</v>
      </c>
      <c r="F70" s="6" t="s">
        <v>261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262</v>
      </c>
      <c r="B71" s="6" t="s">
        <v>11</v>
      </c>
      <c r="C71" s="6" t="s">
        <v>12</v>
      </c>
      <c r="D71" s="7" t="s">
        <v>184</v>
      </c>
      <c r="E71" s="8" t="s">
        <v>263</v>
      </c>
      <c r="F71" s="6" t="s">
        <v>264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265</v>
      </c>
      <c r="B72" s="6" t="s">
        <v>40</v>
      </c>
      <c r="C72" s="6" t="s">
        <v>12</v>
      </c>
      <c r="D72" s="7" t="s">
        <v>17</v>
      </c>
      <c r="E72" s="8" t="s">
        <v>266</v>
      </c>
      <c r="F72" s="6" t="s">
        <v>267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268</v>
      </c>
      <c r="B73" s="6" t="s">
        <v>20</v>
      </c>
      <c r="C73" s="6" t="s">
        <v>12</v>
      </c>
      <c r="D73" s="7" t="s">
        <v>269</v>
      </c>
      <c r="E73" s="8" t="s">
        <v>270</v>
      </c>
      <c r="F73" s="6" t="s">
        <v>271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272</v>
      </c>
      <c r="B74" s="6" t="s">
        <v>11</v>
      </c>
      <c r="C74" s="6" t="s">
        <v>273</v>
      </c>
      <c r="D74" s="7" t="s">
        <v>41</v>
      </c>
      <c r="E74" s="8" t="s">
        <v>274</v>
      </c>
      <c r="F74" s="6" t="s">
        <v>275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276</v>
      </c>
      <c r="B75" s="6" t="s">
        <v>10</v>
      </c>
      <c r="C75" s="6" t="s">
        <v>12</v>
      </c>
      <c r="D75" s="7" t="s">
        <v>218</v>
      </c>
      <c r="E75" s="8" t="s">
        <v>277</v>
      </c>
      <c r="F75" s="6" t="s">
        <v>278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279</v>
      </c>
      <c r="B76" s="6" t="s">
        <v>36</v>
      </c>
      <c r="C76" s="6" t="s">
        <v>12</v>
      </c>
      <c r="D76" s="7" t="s">
        <v>280</v>
      </c>
      <c r="E76" s="8" t="s">
        <v>281</v>
      </c>
      <c r="F76" s="6" t="s">
        <v>282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283</v>
      </c>
      <c r="B77" s="6" t="s">
        <v>10</v>
      </c>
      <c r="C77" s="6" t="s">
        <v>12</v>
      </c>
      <c r="D77" s="7" t="s">
        <v>94</v>
      </c>
      <c r="E77" s="8" t="s">
        <v>94</v>
      </c>
      <c r="F77" s="6" t="s">
        <v>284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285</v>
      </c>
      <c r="B78" s="6" t="s">
        <v>10</v>
      </c>
      <c r="C78" s="6" t="s">
        <v>273</v>
      </c>
      <c r="D78" s="7" t="s">
        <v>170</v>
      </c>
      <c r="E78" s="8" t="s">
        <v>286</v>
      </c>
      <c r="F78" s="6" t="s">
        <v>287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288</v>
      </c>
      <c r="B79" s="6" t="s">
        <v>32</v>
      </c>
      <c r="C79" s="6" t="s">
        <v>12</v>
      </c>
      <c r="D79" s="7" t="s">
        <v>133</v>
      </c>
      <c r="E79" s="8" t="s">
        <v>289</v>
      </c>
      <c r="F79" s="6" t="s">
        <v>290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291</v>
      </c>
      <c r="B80" s="6" t="s">
        <v>10</v>
      </c>
      <c r="C80" s="6" t="s">
        <v>273</v>
      </c>
      <c r="D80" s="7" t="s">
        <v>170</v>
      </c>
      <c r="E80" s="8" t="s">
        <v>292</v>
      </c>
      <c r="F80" s="6" t="s">
        <v>293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294</v>
      </c>
      <c r="B81" s="6" t="s">
        <v>44</v>
      </c>
      <c r="C81" s="6" t="s">
        <v>12</v>
      </c>
      <c r="D81" s="7" t="s">
        <v>75</v>
      </c>
      <c r="E81" s="8" t="s">
        <v>295</v>
      </c>
      <c r="F81" s="6" t="s">
        <v>296</v>
      </c>
      <c r="G81" s="9">
        <f>IF(A81=1,"_",IF(C81="_","???",C81))</f>
        <v/>
      </c>
      <c r="H81" s="10" t="s">
        <v>12</v>
      </c>
      <c r="I81" s="11" t="s">
        <v>12</v>
      </c>
      <c r="J81" s="12"/>
    </row>
    <row r="82" spans="1:10" ht="60" customHeight="1">
      <c r="A82" s="6" t="s">
        <v>297</v>
      </c>
      <c r="B82" s="6" t="s">
        <v>10</v>
      </c>
      <c r="C82" s="6" t="s">
        <v>273</v>
      </c>
      <c r="D82" s="7" t="s">
        <v>170</v>
      </c>
      <c r="E82" s="8" t="s">
        <v>298</v>
      </c>
      <c r="F82" s="6" t="s">
        <v>299</v>
      </c>
      <c r="G82" s="9">
        <f>IF(A82=1,"_",IF(C82="_","???",C82))</f>
        <v/>
      </c>
      <c r="H82" s="10" t="s">
        <v>12</v>
      </c>
      <c r="I82" s="11" t="s">
        <v>12</v>
      </c>
      <c r="J82" s="12"/>
    </row>
    <row r="83" spans="1:10" ht="60" customHeight="1">
      <c r="A83" s="6" t="s">
        <v>300</v>
      </c>
      <c r="B83" s="6" t="s">
        <v>28</v>
      </c>
      <c r="C83" s="6" t="s">
        <v>12</v>
      </c>
      <c r="D83" s="7" t="s">
        <v>269</v>
      </c>
      <c r="E83" s="8" t="s">
        <v>301</v>
      </c>
      <c r="F83" s="6" t="s">
        <v>302</v>
      </c>
      <c r="G83" s="9">
        <f>IF(A83=1,"_",IF(C83="_","???",C83))</f>
        <v/>
      </c>
      <c r="H83" s="10" t="s">
        <v>12</v>
      </c>
      <c r="I83" s="11" t="s">
        <v>12</v>
      </c>
      <c r="J83" s="12"/>
    </row>
    <row r="84" spans="1:10" ht="60" customHeight="1">
      <c r="A84" s="6" t="s">
        <v>303</v>
      </c>
      <c r="B84" s="6" t="s">
        <v>10</v>
      </c>
      <c r="C84" s="6" t="s">
        <v>273</v>
      </c>
      <c r="D84" s="7" t="s">
        <v>170</v>
      </c>
      <c r="E84" s="8" t="s">
        <v>304</v>
      </c>
      <c r="F84" s="6" t="s">
        <v>305</v>
      </c>
      <c r="G84" s="9">
        <f>IF(A84=1,"_",IF(C84="_","???",C84))</f>
        <v/>
      </c>
      <c r="H84" s="10" t="s">
        <v>12</v>
      </c>
      <c r="I84" s="11" t="s">
        <v>12</v>
      </c>
      <c r="J84" s="12"/>
    </row>
    <row r="85" spans="1:10" ht="60" customHeight="1">
      <c r="A85" s="6" t="s">
        <v>306</v>
      </c>
      <c r="B85" s="6" t="s">
        <v>28</v>
      </c>
      <c r="C85" s="6" t="s">
        <v>12</v>
      </c>
      <c r="D85" s="7" t="s">
        <v>307</v>
      </c>
      <c r="E85" s="8" t="s">
        <v>308</v>
      </c>
      <c r="F85" s="6" t="s">
        <v>309</v>
      </c>
      <c r="G85" s="9">
        <f>IF(A85=1,"_",IF(C85="_","???",C85))</f>
        <v/>
      </c>
      <c r="H85" s="10" t="s">
        <v>12</v>
      </c>
      <c r="I85" s="11" t="s">
        <v>12</v>
      </c>
      <c r="J85" s="12"/>
    </row>
    <row r="86" spans="1:10" ht="60" customHeight="1">
      <c r="A86" s="6" t="s">
        <v>310</v>
      </c>
      <c r="B86" s="6" t="s">
        <v>32</v>
      </c>
      <c r="C86" s="6" t="s">
        <v>12</v>
      </c>
      <c r="D86" s="7" t="s">
        <v>311</v>
      </c>
      <c r="E86" s="8" t="s">
        <v>312</v>
      </c>
      <c r="F86" s="6" t="s">
        <v>313</v>
      </c>
      <c r="G86" s="9">
        <f>IF(A86=1,"_",IF(C86="_","???",C86))</f>
        <v/>
      </c>
      <c r="H86" s="10" t="s">
        <v>12</v>
      </c>
      <c r="I86" s="11" t="s">
        <v>12</v>
      </c>
      <c r="J86" s="12"/>
    </row>
    <row r="87" spans="1:10" ht="60" customHeight="1">
      <c r="A87" s="6" t="s">
        <v>314</v>
      </c>
      <c r="B87" s="6" t="s">
        <v>20</v>
      </c>
      <c r="C87" s="6" t="s">
        <v>12</v>
      </c>
      <c r="D87" s="7" t="s">
        <v>192</v>
      </c>
      <c r="E87" s="8" t="s">
        <v>315</v>
      </c>
      <c r="F87" s="6" t="s">
        <v>316</v>
      </c>
      <c r="G87" s="9">
        <f>IF(A87=1,"_",IF(C87="_","???",C87))</f>
        <v/>
      </c>
      <c r="H87" s="10" t="s">
        <v>12</v>
      </c>
      <c r="I87" s="11" t="s">
        <v>12</v>
      </c>
      <c r="J87" s="12"/>
    </row>
    <row r="88" spans="1:10" ht="60" customHeight="1">
      <c r="A88" s="6" t="s">
        <v>317</v>
      </c>
      <c r="B88" s="6" t="s">
        <v>10</v>
      </c>
      <c r="C88" s="6" t="s">
        <v>12</v>
      </c>
      <c r="D88" s="7" t="s">
        <v>318</v>
      </c>
      <c r="E88" s="8" t="s">
        <v>319</v>
      </c>
      <c r="F88" s="6" t="s">
        <v>320</v>
      </c>
      <c r="G88" s="9">
        <f>IF(A88=1,"_",IF(C88="_","???",C88))</f>
        <v/>
      </c>
      <c r="H88" s="10" t="s">
        <v>12</v>
      </c>
      <c r="I88" s="11" t="s">
        <v>12</v>
      </c>
      <c r="J88" s="12"/>
    </row>
    <row r="89" spans="1:10" ht="60" customHeight="1">
      <c r="A89" s="6" t="s">
        <v>321</v>
      </c>
      <c r="B89" s="6" t="s">
        <v>11</v>
      </c>
      <c r="C89" s="6" t="s">
        <v>12</v>
      </c>
      <c r="D89" s="7" t="s">
        <v>322</v>
      </c>
      <c r="E89" s="8" t="s">
        <v>323</v>
      </c>
      <c r="F89" s="6" t="s">
        <v>324</v>
      </c>
      <c r="G89" s="9">
        <f>IF(A89=1,"_",IF(C89="_","???",C89))</f>
        <v/>
      </c>
      <c r="H89" s="10" t="s">
        <v>12</v>
      </c>
      <c r="I89" s="11" t="s">
        <v>12</v>
      </c>
      <c r="J89" s="12"/>
    </row>
    <row r="90" spans="1:10" ht="60" customHeight="1">
      <c r="A90" s="6" t="s">
        <v>325</v>
      </c>
      <c r="B90" s="6" t="s">
        <v>20</v>
      </c>
      <c r="C90" s="6" t="s">
        <v>12</v>
      </c>
      <c r="D90" s="7" t="s">
        <v>326</v>
      </c>
      <c r="E90" s="8" t="s">
        <v>327</v>
      </c>
      <c r="F90" s="6" t="s">
        <v>328</v>
      </c>
      <c r="G90" s="9">
        <f>IF(A90=1,"_",IF(C90="_","???",C90))</f>
        <v/>
      </c>
      <c r="H90" s="10" t="s">
        <v>12</v>
      </c>
      <c r="I90" s="11" t="s">
        <v>12</v>
      </c>
      <c r="J90" s="12"/>
    </row>
    <row r="91" spans="1:10" ht="60" customHeight="1">
      <c r="A91" s="6" t="s">
        <v>329</v>
      </c>
      <c r="B91" s="6" t="s">
        <v>32</v>
      </c>
      <c r="C91" s="6" t="s">
        <v>12</v>
      </c>
      <c r="D91" s="7" t="s">
        <v>330</v>
      </c>
      <c r="E91" s="8" t="s">
        <v>331</v>
      </c>
      <c r="F91" s="6" t="s">
        <v>332</v>
      </c>
      <c r="G91" s="9">
        <f>IF(A91=1,"_",IF(C91="_","???",C91))</f>
        <v/>
      </c>
      <c r="H91" s="10" t="s">
        <v>12</v>
      </c>
      <c r="I91" s="11" t="s">
        <v>12</v>
      </c>
      <c r="J91" s="12"/>
    </row>
    <row r="92" spans="1:10" ht="60" customHeight="1">
      <c r="A92" s="6" t="s">
        <v>333</v>
      </c>
      <c r="B92" s="6" t="s">
        <v>28</v>
      </c>
      <c r="C92" s="6" t="s">
        <v>273</v>
      </c>
      <c r="D92" s="7" t="s">
        <v>334</v>
      </c>
      <c r="E92" s="8" t="s">
        <v>335</v>
      </c>
      <c r="F92" s="6" t="s">
        <v>336</v>
      </c>
      <c r="G92" s="9">
        <f>IF(A92=1,"_",IF(C92="_","???",C92))</f>
        <v/>
      </c>
      <c r="H92" s="10" t="s">
        <v>12</v>
      </c>
      <c r="I92" s="11" t="s">
        <v>12</v>
      </c>
      <c r="J92" s="12"/>
    </row>
    <row r="93" spans="1:10" ht="60" customHeight="1">
      <c r="A93" s="6" t="s">
        <v>337</v>
      </c>
      <c r="B93" s="6" t="s">
        <v>20</v>
      </c>
      <c r="C93" s="6" t="s">
        <v>12</v>
      </c>
      <c r="D93" s="7" t="s">
        <v>338</v>
      </c>
      <c r="E93" s="8" t="s">
        <v>339</v>
      </c>
      <c r="F93" s="6" t="s">
        <v>340</v>
      </c>
      <c r="G93" s="9">
        <f>IF(A93=1,"_",IF(C93="_","???",C93))</f>
        <v/>
      </c>
      <c r="H93" s="10" t="s">
        <v>12</v>
      </c>
      <c r="I93" s="11" t="s">
        <v>12</v>
      </c>
      <c r="J93" s="12"/>
    </row>
    <row r="94" spans="1:10" ht="60" customHeight="1">
      <c r="A94" s="6" t="s">
        <v>341</v>
      </c>
      <c r="B94" s="6" t="s">
        <v>20</v>
      </c>
      <c r="C94" s="6" t="s">
        <v>12</v>
      </c>
      <c r="D94" s="7" t="s">
        <v>342</v>
      </c>
      <c r="E94" s="8" t="s">
        <v>343</v>
      </c>
      <c r="F94" s="6" t="s">
        <v>344</v>
      </c>
      <c r="G94" s="9">
        <f>IF(A94=1,"_",IF(C94="_","???",C94))</f>
        <v/>
      </c>
      <c r="H94" s="10" t="s">
        <v>12</v>
      </c>
      <c r="I94" s="11" t="s">
        <v>12</v>
      </c>
      <c r="J94" s="12"/>
    </row>
    <row r="95" spans="1:10" ht="60" customHeight="1">
      <c r="A95" s="6" t="s">
        <v>345</v>
      </c>
      <c r="B95" s="6" t="s">
        <v>28</v>
      </c>
      <c r="C95" s="6" t="s">
        <v>12</v>
      </c>
      <c r="D95" s="7" t="s">
        <v>346</v>
      </c>
      <c r="E95" s="8" t="s">
        <v>347</v>
      </c>
      <c r="F95" s="6" t="s">
        <v>348</v>
      </c>
      <c r="G95" s="9">
        <f>IF(A95=1,"_",IF(C95="_","???",C95))</f>
        <v/>
      </c>
      <c r="H95" s="10" t="s">
        <v>12</v>
      </c>
      <c r="I95" s="11" t="s">
        <v>12</v>
      </c>
      <c r="J95" s="12"/>
    </row>
    <row r="96" spans="1:10" ht="60" customHeight="1">
      <c r="A96" s="6" t="s">
        <v>349</v>
      </c>
      <c r="B96" s="6" t="s">
        <v>28</v>
      </c>
      <c r="C96" s="6" t="s">
        <v>12</v>
      </c>
      <c r="D96" s="7" t="s">
        <v>350</v>
      </c>
      <c r="E96" s="8" t="s">
        <v>351</v>
      </c>
      <c r="F96" s="6" t="s">
        <v>352</v>
      </c>
      <c r="G96" s="9">
        <f>IF(A96=1,"_",IF(C96="_","???",C96))</f>
        <v/>
      </c>
      <c r="H96" s="10" t="s">
        <v>12</v>
      </c>
      <c r="I96" s="11" t="s">
        <v>12</v>
      </c>
      <c r="J96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353</v>
      </c>
      <c r="B1" s="13" t="s">
        <v>354</v>
      </c>
      <c r="C1" s="13" t="s">
        <v>355</v>
      </c>
      <c r="D1" s="13" t="s">
        <v>356</v>
      </c>
      <c r="E1" s="14" t="s">
        <v>357</v>
      </c>
      <c r="F1" s="15" t="s">
        <v>358</v>
      </c>
      <c r="G1" s="16" t="s">
        <v>359</v>
      </c>
      <c r="H1" s="17" t="s">
        <v>360</v>
      </c>
      <c r="I1" s="18" t="s">
        <v>361</v>
      </c>
      <c r="J1" s="18" t="s">
        <v>362</v>
      </c>
      <c r="K1" s="18" t="s">
        <v>363</v>
      </c>
      <c r="L1" s="19" t="s">
        <v>9</v>
      </c>
    </row>
    <row r="2" spans="1:12">
      <c r="A2" s="20" t="s">
        <v>364</v>
      </c>
    </row>
    <row r="3" spans="1:12">
      <c r="A3" s="20" t="s">
        <v>365</v>
      </c>
      <c r="B3" s="21" t="s">
        <v>366</v>
      </c>
      <c r="C3" s="21" t="s">
        <v>367</v>
      </c>
      <c r="D3" s="21" t="s">
        <v>368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369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370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371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372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373</v>
      </c>
      <c r="B8" s="21" t="s">
        <v>374</v>
      </c>
      <c r="C8" s="21" t="s">
        <v>375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376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377</v>
      </c>
      <c r="B10" s="21" t="s">
        <v>378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369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379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/>
    </row>
    <row r="14" spans="1:12">
      <c r="A14" s="20" t="s">
        <v>380</v>
      </c>
    </row>
    <row r="15" spans="1:12">
      <c r="A15" s="20" t="s">
        <v>381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376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382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383</v>
      </c>
      <c r="B18" s="21" t="s">
        <v>384</v>
      </c>
      <c r="C18" s="21" t="s">
        <v>385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386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387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388</v>
      </c>
      <c r="B21" s="21" t="s">
        <v>389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269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390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391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392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393</v>
      </c>
      <c r="B26" s="21" t="s">
        <v>366</v>
      </c>
      <c r="C26" s="21" t="s">
        <v>394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369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/>
    </row>
    <row r="29" spans="1:12">
      <c r="A29" s="20" t="s">
        <v>395</v>
      </c>
    </row>
    <row r="30" spans="1:12">
      <c r="A30" s="20" t="s">
        <v>396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397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398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399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400</v>
      </c>
      <c r="B34" s="21" t="s">
        <v>374</v>
      </c>
      <c r="C34" s="21" t="s">
        <v>401</v>
      </c>
      <c r="D34" s="21" t="s">
        <v>368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402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403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170</v>
      </c>
      <c r="B37" s="21" t="s">
        <v>404</v>
      </c>
      <c r="C37" s="21" t="s">
        <v>394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369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405</v>
      </c>
      <c r="B39" s="21" t="s">
        <v>384</v>
      </c>
      <c r="C39" s="21" t="s">
        <v>367</v>
      </c>
      <c r="D39" s="21" t="s">
        <v>368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406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407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408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409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/>
    </row>
    <row r="45" spans="1:12">
      <c r="A45" s="20" t="s">
        <v>410</v>
      </c>
    </row>
    <row r="46" spans="1:12">
      <c r="A46" s="20" t="s">
        <v>411</v>
      </c>
      <c r="B46" s="21" t="s">
        <v>412</v>
      </c>
      <c r="C46" s="21" t="s">
        <v>413</v>
      </c>
      <c r="D46" s="21" t="s">
        <v>368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414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415</v>
      </c>
      <c r="B48" s="21" t="s">
        <v>366</v>
      </c>
      <c r="C48" s="21" t="s">
        <v>416</v>
      </c>
      <c r="D48" s="21" t="s">
        <v>368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417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418</v>
      </c>
      <c r="B50" s="21" t="s">
        <v>419</v>
      </c>
      <c r="C50" s="21" t="s">
        <v>367</v>
      </c>
      <c r="D50" s="21" t="s">
        <v>368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371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420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421</v>
      </c>
      <c r="B53" s="21" t="s">
        <v>419</v>
      </c>
      <c r="C53" s="21" t="s">
        <v>375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/>
    </row>
    <row r="55" spans="1:12">
      <c r="A55" s="20" t="s">
        <v>422</v>
      </c>
    </row>
    <row r="56" spans="1:12">
      <c r="A56" s="20" t="s">
        <v>29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402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377</v>
      </c>
      <c r="B58" s="21" t="s">
        <v>378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423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418</v>
      </c>
      <c r="B60" s="21" t="s">
        <v>424</v>
      </c>
      <c r="C60" s="21" t="s">
        <v>367</v>
      </c>
      <c r="D60" s="21" t="s">
        <v>368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379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425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376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426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383</v>
      </c>
      <c r="B65" s="21" t="s">
        <v>378</v>
      </c>
      <c r="C65" s="21" t="s">
        <v>385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405</v>
      </c>
      <c r="B66" s="21" t="s">
        <v>424</v>
      </c>
      <c r="C66" s="21" t="s">
        <v>367</v>
      </c>
      <c r="D66" s="21" t="s">
        <v>368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427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377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/>
    </row>
    <row r="70" spans="1:12">
      <c r="A70" s="20" t="s">
        <v>428</v>
      </c>
    </row>
    <row r="71" spans="1:12">
      <c r="A71" s="20" t="s">
        <v>429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54</v>
      </c>
      <c r="B72" s="21" t="s">
        <v>366</v>
      </c>
      <c r="C72" s="21" t="s">
        <v>430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431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409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/>
    </row>
    <row r="76" spans="1:12">
      <c r="A76" s="20" t="s">
        <v>432</v>
      </c>
    </row>
    <row r="77" spans="1:12">
      <c r="A77" s="20" t="s">
        <v>433</v>
      </c>
      <c r="B77" s="21" t="s">
        <v>412</v>
      </c>
      <c r="C77" s="21" t="s">
        <v>434</v>
      </c>
      <c r="D77" s="21" t="s">
        <v>368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435</v>
      </c>
      <c r="B78" s="21" t="s">
        <v>374</v>
      </c>
      <c r="C78" s="21" t="s">
        <v>375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436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403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393</v>
      </c>
      <c r="B81" s="21" t="s">
        <v>366</v>
      </c>
      <c r="C81" s="21" t="s">
        <v>394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86</v>
      </c>
      <c r="B82" s="21" t="s">
        <v>419</v>
      </c>
      <c r="C82" s="21" t="s">
        <v>430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437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402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/>
    </row>
    <row r="86" spans="1:12">
      <c r="A86" s="20" t="s">
        <v>438</v>
      </c>
    </row>
    <row r="87" spans="1:12">
      <c r="A87" s="20" t="s">
        <v>439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440</v>
      </c>
      <c r="B88" s="21" t="s">
        <v>412</v>
      </c>
      <c r="C88" s="21" t="s">
        <v>385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418</v>
      </c>
      <c r="B89" s="21" t="s">
        <v>374</v>
      </c>
      <c r="C89" s="21" t="s">
        <v>367</v>
      </c>
      <c r="D89" s="21" t="s">
        <v>368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441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442</v>
      </c>
      <c r="B91" s="21" t="s">
        <v>366</v>
      </c>
      <c r="C91" s="21" t="s">
        <v>430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443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440</v>
      </c>
      <c r="B93" s="21" t="s">
        <v>444</v>
      </c>
      <c r="C93" s="21" t="s">
        <v>385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445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170</v>
      </c>
      <c r="B95" s="21" t="s">
        <v>412</v>
      </c>
      <c r="C95" s="21" t="s">
        <v>394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402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446</v>
      </c>
      <c r="B97" s="21" t="s">
        <v>444</v>
      </c>
      <c r="C97" s="21" t="s">
        <v>430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376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447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/>
    </row>
    <row r="101" spans="1:12">
      <c r="A101" s="20" t="s">
        <v>448</v>
      </c>
    </row>
    <row r="102" spans="1:12">
      <c r="A102" s="20" t="s">
        <v>449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450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451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376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452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453</v>
      </c>
      <c r="B107" s="21" t="s">
        <v>404</v>
      </c>
      <c r="C107" s="21" t="s">
        <v>367</v>
      </c>
      <c r="D107" s="21" t="s">
        <v>368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454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455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376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426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456</v>
      </c>
      <c r="B112" s="21" t="s">
        <v>384</v>
      </c>
      <c r="C112" s="21" t="s">
        <v>434</v>
      </c>
      <c r="D112" s="21" t="s">
        <v>368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457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458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391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459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/>
    </row>
    <row r="118" spans="1:12">
      <c r="A118" s="20" t="s">
        <v>460</v>
      </c>
    </row>
    <row r="119" spans="1:12">
      <c r="A119" s="20" t="s">
        <v>461</v>
      </c>
      <c r="B119" s="21" t="s">
        <v>374</v>
      </c>
      <c r="C119" s="21" t="s">
        <v>367</v>
      </c>
      <c r="D119" s="21" t="s">
        <v>368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462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86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402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463</v>
      </c>
      <c r="B123" s="21" t="s">
        <v>444</v>
      </c>
      <c r="C123" s="21" t="s">
        <v>413</v>
      </c>
      <c r="D123" s="21" t="s">
        <v>368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464</v>
      </c>
      <c r="B124" s="21" t="s">
        <v>412</v>
      </c>
      <c r="C124" s="21" t="s">
        <v>416</v>
      </c>
      <c r="D124" s="21" t="s">
        <v>368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50</v>
      </c>
      <c r="B125" s="21" t="s">
        <v>374</v>
      </c>
      <c r="C125" s="21" t="s">
        <v>394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409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/>
    </row>
    <row r="128" spans="1:12">
      <c r="A128" s="20" t="s">
        <v>465</v>
      </c>
    </row>
    <row r="129" spans="1:12">
      <c r="A129" s="20" t="s">
        <v>54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/>
    </row>
    <row r="131" spans="1:12">
      <c r="A131" s="20" t="s">
        <v>466</v>
      </c>
    </row>
    <row r="132" spans="1:12">
      <c r="A132" s="20" t="s">
        <v>467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468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469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440</v>
      </c>
      <c r="B135" s="21" t="s">
        <v>444</v>
      </c>
      <c r="C135" s="21" t="s">
        <v>385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470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170</v>
      </c>
      <c r="B137" s="21" t="s">
        <v>412</v>
      </c>
      <c r="C137" s="21" t="s">
        <v>394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376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471</v>
      </c>
      <c r="B139" s="21" t="s">
        <v>378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472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473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474</v>
      </c>
      <c r="B142" s="21" t="s">
        <v>374</v>
      </c>
      <c r="C142" s="21" t="s">
        <v>375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/>
    </row>
    <row r="144" spans="1:12">
      <c r="A144" s="20" t="s">
        <v>475</v>
      </c>
    </row>
    <row r="145" spans="1:12">
      <c r="A145" s="20" t="s">
        <v>476</v>
      </c>
      <c r="B145" s="21" t="s">
        <v>366</v>
      </c>
      <c r="C145" s="21" t="s">
        <v>430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477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409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/>
    </row>
    <row r="149" spans="1:12">
      <c r="A149" s="20" t="s">
        <v>478</v>
      </c>
    </row>
    <row r="150" spans="1:12">
      <c r="A150" s="20" t="s">
        <v>479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456</v>
      </c>
      <c r="B151" s="21" t="s">
        <v>378</v>
      </c>
      <c r="C151" s="21" t="s">
        <v>434</v>
      </c>
      <c r="D151" s="21" t="s">
        <v>368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480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371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481</v>
      </c>
      <c r="B154" s="21" t="s">
        <v>412</v>
      </c>
      <c r="C154" s="21" t="s">
        <v>375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482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376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483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461</v>
      </c>
      <c r="B158" s="21" t="s">
        <v>366</v>
      </c>
      <c r="C158" s="21" t="s">
        <v>367</v>
      </c>
      <c r="D158" s="21" t="s">
        <v>368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484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/>
    </row>
    <row r="161" spans="1:12">
      <c r="A161" s="20" t="s">
        <v>485</v>
      </c>
    </row>
    <row r="162" spans="1:12">
      <c r="A162" s="20" t="s">
        <v>486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487</v>
      </c>
      <c r="B163" s="21" t="s">
        <v>366</v>
      </c>
      <c r="C163" s="21" t="s">
        <v>430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376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488</v>
      </c>
      <c r="B165" s="21" t="s">
        <v>404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489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490</v>
      </c>
      <c r="B167" s="21" t="s">
        <v>491</v>
      </c>
      <c r="C167" s="21" t="s">
        <v>430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436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376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492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440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493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391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494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188</v>
      </c>
      <c r="B175" s="21" t="s">
        <v>378</v>
      </c>
      <c r="C175" s="21" t="s">
        <v>367</v>
      </c>
      <c r="D175" s="21" t="s">
        <v>368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495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405</v>
      </c>
      <c r="B177" s="21" t="s">
        <v>424</v>
      </c>
      <c r="C177" s="21" t="s">
        <v>367</v>
      </c>
      <c r="D177" s="21" t="s">
        <v>368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496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376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497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498</v>
      </c>
      <c r="B181" s="21" t="s">
        <v>499</v>
      </c>
      <c r="C181" s="21" t="s">
        <v>385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500</v>
      </c>
      <c r="B182" s="21" t="s">
        <v>404</v>
      </c>
      <c r="C182" s="21" t="s">
        <v>430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472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399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501</v>
      </c>
      <c r="B185" s="21" t="s">
        <v>444</v>
      </c>
      <c r="C185" s="21" t="s">
        <v>401</v>
      </c>
      <c r="D185" s="21" t="s">
        <v>368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502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409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189</v>
      </c>
      <c r="B188" s="21" t="s">
        <v>366</v>
      </c>
      <c r="C188" s="21" t="s">
        <v>367</v>
      </c>
      <c r="D188" s="21" t="s">
        <v>368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/>
    </row>
    <row r="190" spans="1:12">
      <c r="A190" s="20" t="s">
        <v>503</v>
      </c>
    </row>
    <row r="191" spans="1:12">
      <c r="A191" s="20" t="s">
        <v>504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505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376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506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449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507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409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/>
    </row>
    <row r="199" spans="1:12">
      <c r="A199" s="20" t="s">
        <v>508</v>
      </c>
    </row>
    <row r="200" spans="1:12">
      <c r="A200" s="20" t="s">
        <v>509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510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75</v>
      </c>
      <c r="B202" s="21" t="s">
        <v>374</v>
      </c>
      <c r="C202" s="21" t="s">
        <v>401</v>
      </c>
      <c r="D202" s="21" t="s">
        <v>368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376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511</v>
      </c>
      <c r="B204" s="21" t="s">
        <v>378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496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512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376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/>
    </row>
    <row r="209" spans="1:12">
      <c r="A209" s="20" t="s">
        <v>513</v>
      </c>
    </row>
    <row r="210" spans="1:12">
      <c r="A210" s="20" t="s">
        <v>426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405</v>
      </c>
      <c r="B211" s="21" t="s">
        <v>366</v>
      </c>
      <c r="C211" s="21" t="s">
        <v>367</v>
      </c>
      <c r="D211" s="21" t="s">
        <v>368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514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458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376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515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440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516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402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462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487</v>
      </c>
      <c r="B220" s="21" t="s">
        <v>424</v>
      </c>
      <c r="C220" s="21" t="s">
        <v>375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517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376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/>
    </row>
    <row r="224" spans="1:12">
      <c r="A224" s="20" t="s">
        <v>518</v>
      </c>
    </row>
    <row r="225" spans="1:12">
      <c r="A225" s="20" t="s">
        <v>439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440</v>
      </c>
      <c r="B226" s="21" t="s">
        <v>412</v>
      </c>
      <c r="C226" s="21" t="s">
        <v>385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418</v>
      </c>
      <c r="B227" s="21" t="s">
        <v>374</v>
      </c>
      <c r="C227" s="21" t="s">
        <v>367</v>
      </c>
      <c r="D227" s="21" t="s">
        <v>368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441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519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520</v>
      </c>
      <c r="B230" s="21" t="s">
        <v>378</v>
      </c>
      <c r="C230" s="21" t="s">
        <v>367</v>
      </c>
      <c r="D230" s="21" t="s">
        <v>368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521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440</v>
      </c>
      <c r="B232" s="21" t="s">
        <v>444</v>
      </c>
      <c r="C232" s="21" t="s">
        <v>385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522</v>
      </c>
      <c r="B233" s="21" t="s">
        <v>444</v>
      </c>
      <c r="C233" s="21" t="s">
        <v>523</v>
      </c>
      <c r="D233" s="21" t="s">
        <v>368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170</v>
      </c>
      <c r="B234" s="21" t="s">
        <v>412</v>
      </c>
      <c r="C234" s="21" t="s">
        <v>430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402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524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461</v>
      </c>
      <c r="B237" s="21" t="s">
        <v>491</v>
      </c>
      <c r="C237" s="21" t="s">
        <v>367</v>
      </c>
      <c r="D237" s="21" t="s">
        <v>368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/>
    </row>
    <row r="239" spans="1:12">
      <c r="A239" s="20" t="s">
        <v>525</v>
      </c>
    </row>
    <row r="240" spans="1:12">
      <c r="A240" s="20" t="s">
        <v>462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86</v>
      </c>
      <c r="B241" s="21" t="s">
        <v>374</v>
      </c>
      <c r="C241" s="21" t="s">
        <v>375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402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462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526</v>
      </c>
      <c r="B244" s="21" t="s">
        <v>374</v>
      </c>
      <c r="C244" s="21" t="s">
        <v>375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527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50</v>
      </c>
      <c r="B246" s="21" t="s">
        <v>374</v>
      </c>
      <c r="C246" s="21" t="s">
        <v>430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528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376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529</v>
      </c>
      <c r="B249" s="21" t="s">
        <v>404</v>
      </c>
      <c r="C249" s="21" t="s">
        <v>434</v>
      </c>
      <c r="D249" s="21" t="s">
        <v>368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530</v>
      </c>
      <c r="B250" s="21" t="s">
        <v>412</v>
      </c>
      <c r="C250" s="21" t="s">
        <v>434</v>
      </c>
      <c r="D250" s="21" t="s">
        <v>368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/>
    </row>
    <row r="252" spans="1:12">
      <c r="A252" s="20" t="s">
        <v>531</v>
      </c>
    </row>
    <row r="253" spans="1:12">
      <c r="A253" s="20" t="s">
        <v>393</v>
      </c>
      <c r="B253" s="21" t="s">
        <v>366</v>
      </c>
      <c r="C253" s="21" t="s">
        <v>430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461</v>
      </c>
      <c r="B254" s="21" t="s">
        <v>419</v>
      </c>
      <c r="C254" s="21" t="s">
        <v>367</v>
      </c>
      <c r="D254" s="21" t="s">
        <v>368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532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409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/>
    </row>
    <row r="258" spans="1:12">
      <c r="A258" s="20" t="s">
        <v>533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534</v>
      </c>
    </row>
    <row r="260" spans="1:12">
      <c r="A260" s="20" t="s">
        <v>535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94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/>
    </row>
    <row r="263" spans="1:12">
      <c r="A263" s="20" t="s">
        <v>533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536</v>
      </c>
    </row>
    <row r="265" spans="1:12">
      <c r="A265" s="20" t="s">
        <v>519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537</v>
      </c>
      <c r="B266" s="21" t="s">
        <v>419</v>
      </c>
      <c r="C266" s="21" t="s">
        <v>430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456</v>
      </c>
      <c r="B267" s="21" t="s">
        <v>378</v>
      </c>
      <c r="C267" s="21" t="s">
        <v>434</v>
      </c>
      <c r="D267" s="21" t="s">
        <v>368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538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539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540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94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504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484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487</v>
      </c>
      <c r="B274" s="21" t="s">
        <v>366</v>
      </c>
      <c r="C274" s="21" t="s">
        <v>401</v>
      </c>
      <c r="D274" s="21" t="s">
        <v>368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409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/>
    </row>
    <row r="277" spans="1:12">
      <c r="A277" s="20" t="s">
        <v>533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541</v>
      </c>
    </row>
    <row r="279" spans="1:12">
      <c r="A279" s="20" t="s">
        <v>94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376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12</v>
      </c>
      <c r="B281" s="21" t="s">
        <v>444</v>
      </c>
      <c r="C281" s="21" t="s">
        <v>542</v>
      </c>
      <c r="D281" s="21" t="s">
        <v>368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543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544</v>
      </c>
      <c r="B283" s="21" t="s">
        <v>412</v>
      </c>
      <c r="C283" s="21" t="s">
        <v>542</v>
      </c>
      <c r="D283" s="21" t="s">
        <v>368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376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94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439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54</v>
      </c>
      <c r="B287" s="21" t="s">
        <v>366</v>
      </c>
      <c r="C287" s="21" t="s">
        <v>542</v>
      </c>
      <c r="D287" s="21" t="s">
        <v>368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391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449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545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546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484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547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/>
    </row>
    <row r="295" spans="1:12">
      <c r="A295" s="20" t="s">
        <v>548</v>
      </c>
    </row>
    <row r="296" spans="1:12">
      <c r="A296" s="20" t="s">
        <v>106</v>
      </c>
      <c r="B296" s="21" t="s">
        <v>374</v>
      </c>
      <c r="C296" s="21" t="s">
        <v>430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376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471</v>
      </c>
      <c r="B298" s="21" t="s">
        <v>378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549</v>
      </c>
      <c r="B299" s="21" t="s">
        <v>378</v>
      </c>
      <c r="C299" s="21" t="s">
        <v>367</v>
      </c>
      <c r="D299" s="21" t="s">
        <v>368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550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396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551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552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376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472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399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553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554</v>
      </c>
      <c r="B308" s="21" t="s">
        <v>374</v>
      </c>
      <c r="C308" s="21" t="s">
        <v>401</v>
      </c>
      <c r="D308" s="21" t="s">
        <v>368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555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/>
    </row>
    <row r="311" spans="1:12">
      <c r="A311" s="20" t="s">
        <v>556</v>
      </c>
    </row>
    <row r="312" spans="1:12">
      <c r="A312" s="20" t="s">
        <v>110</v>
      </c>
      <c r="B312" s="21" t="s">
        <v>374</v>
      </c>
      <c r="C312" s="21" t="s">
        <v>430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409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/>
    </row>
    <row r="315" spans="1:12">
      <c r="A315" s="20" t="s">
        <v>533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557</v>
      </c>
    </row>
    <row r="317" spans="1:12">
      <c r="A317" s="20" t="s">
        <v>94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/>
    </row>
    <row r="319" spans="1:12">
      <c r="A319" s="20" t="s">
        <v>533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558</v>
      </c>
    </row>
    <row r="321" spans="1:12">
      <c r="A321" s="20" t="s">
        <v>94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94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/>
    </row>
    <row r="324" spans="1:12">
      <c r="A324" s="20" t="s">
        <v>533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559</v>
      </c>
    </row>
    <row r="326" spans="1:12">
      <c r="A326" s="20" t="s">
        <v>560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561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376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94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562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484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487</v>
      </c>
      <c r="B332" s="21" t="s">
        <v>378</v>
      </c>
      <c r="C332" s="21" t="s">
        <v>401</v>
      </c>
      <c r="D332" s="21" t="s">
        <v>368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376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453</v>
      </c>
      <c r="B334" s="21" t="s">
        <v>366</v>
      </c>
      <c r="C334" s="21" t="s">
        <v>367</v>
      </c>
      <c r="D334" s="21" t="s">
        <v>368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563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564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440</v>
      </c>
      <c r="B337" s="21" t="s">
        <v>412</v>
      </c>
      <c r="C337" s="21" t="s">
        <v>385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461</v>
      </c>
      <c r="B338" s="21" t="s">
        <v>374</v>
      </c>
      <c r="C338" s="21" t="s">
        <v>367</v>
      </c>
      <c r="D338" s="21" t="s">
        <v>368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/>
    </row>
    <row r="340" spans="1:12">
      <c r="A340" s="20" t="s">
        <v>565</v>
      </c>
    </row>
    <row r="341" spans="1:12">
      <c r="A341" s="20" t="s">
        <v>57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391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453</v>
      </c>
      <c r="B343" s="21" t="s">
        <v>366</v>
      </c>
      <c r="C343" s="21" t="s">
        <v>367</v>
      </c>
      <c r="D343" s="21" t="s">
        <v>368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566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567</v>
      </c>
      <c r="B345" s="21" t="s">
        <v>444</v>
      </c>
      <c r="C345" s="21" t="s">
        <v>413</v>
      </c>
      <c r="D345" s="21" t="s">
        <v>368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568</v>
      </c>
      <c r="B346" s="21" t="s">
        <v>424</v>
      </c>
      <c r="C346" s="21" t="s">
        <v>416</v>
      </c>
      <c r="D346" s="21" t="s">
        <v>368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569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376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570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549</v>
      </c>
      <c r="B350" s="21" t="s">
        <v>374</v>
      </c>
      <c r="C350" s="21" t="s">
        <v>367</v>
      </c>
      <c r="D350" s="21" t="s">
        <v>368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571</v>
      </c>
      <c r="B351" s="21" t="s">
        <v>424</v>
      </c>
      <c r="C351" s="21" t="s">
        <v>413</v>
      </c>
      <c r="D351" s="21" t="s">
        <v>368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402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572</v>
      </c>
      <c r="B353" s="21" t="s">
        <v>374</v>
      </c>
      <c r="C353" s="21" t="s">
        <v>434</v>
      </c>
      <c r="D353" s="21" t="s">
        <v>368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/>
    </row>
    <row r="355" spans="1:12">
      <c r="A355" s="20" t="s">
        <v>573</v>
      </c>
    </row>
    <row r="356" spans="1:12">
      <c r="A356" s="20" t="s">
        <v>119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269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376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574</v>
      </c>
      <c r="B359" s="21" t="s">
        <v>374</v>
      </c>
      <c r="C359" s="21" t="s">
        <v>575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576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577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17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578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409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167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/>
    </row>
    <row r="367" spans="1:12">
      <c r="A367" s="20" t="s">
        <v>579</v>
      </c>
    </row>
    <row r="368" spans="1:12">
      <c r="A368" s="20" t="s">
        <v>580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487</v>
      </c>
      <c r="B369" s="21" t="s">
        <v>366</v>
      </c>
      <c r="C369" s="21" t="s">
        <v>401</v>
      </c>
      <c r="D369" s="21" t="s">
        <v>368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581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582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583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584</v>
      </c>
      <c r="B373" s="21" t="s">
        <v>412</v>
      </c>
      <c r="C373" s="21" t="s">
        <v>385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585</v>
      </c>
      <c r="B374" s="21" t="s">
        <v>374</v>
      </c>
      <c r="C374" s="21" t="s">
        <v>586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587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399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588</v>
      </c>
      <c r="B377" s="21" t="s">
        <v>374</v>
      </c>
      <c r="C377" s="21" t="s">
        <v>401</v>
      </c>
      <c r="D377" s="21" t="s">
        <v>368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440</v>
      </c>
      <c r="B378" s="21" t="s">
        <v>374</v>
      </c>
      <c r="C378" s="21" t="s">
        <v>385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/>
    </row>
    <row r="380" spans="1:12">
      <c r="A380" s="20" t="s">
        <v>589</v>
      </c>
    </row>
    <row r="381" spans="1:12">
      <c r="A381" s="20" t="s">
        <v>133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376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484</v>
      </c>
      <c r="B383" s="21" t="s">
        <v>404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484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590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369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376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402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377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429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326</v>
      </c>
      <c r="B391" s="21" t="s">
        <v>378</v>
      </c>
      <c r="C391" s="21" t="s">
        <v>401</v>
      </c>
      <c r="D391" s="21" t="s">
        <v>368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467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587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/>
    </row>
    <row r="395" spans="1:12">
      <c r="A395" s="20" t="s">
        <v>591</v>
      </c>
    </row>
    <row r="396" spans="1:12">
      <c r="A396" s="20" t="s">
        <v>399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592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588</v>
      </c>
      <c r="B398" s="21" t="s">
        <v>419</v>
      </c>
      <c r="C398" s="21" t="s">
        <v>401</v>
      </c>
      <c r="D398" s="21" t="s">
        <v>368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469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376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402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593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594</v>
      </c>
      <c r="B403" s="21" t="s">
        <v>424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595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376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596</v>
      </c>
      <c r="B406" s="21" t="s">
        <v>374</v>
      </c>
      <c r="C406" s="21" t="s">
        <v>542</v>
      </c>
      <c r="D406" s="21" t="s">
        <v>368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/>
    </row>
    <row r="408" spans="1:12">
      <c r="A408" s="20" t="s">
        <v>597</v>
      </c>
    </row>
    <row r="409" spans="1:12">
      <c r="A409" s="20" t="s">
        <v>440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141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376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598</v>
      </c>
      <c r="B412" s="21" t="s">
        <v>424</v>
      </c>
      <c r="C412" s="21" t="s">
        <v>430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440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599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402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600</v>
      </c>
      <c r="B416" s="21" t="s">
        <v>424</v>
      </c>
      <c r="C416" s="21" t="s">
        <v>430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440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601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/>
    </row>
    <row r="420" spans="1:12">
      <c r="A420" s="20" t="s">
        <v>602</v>
      </c>
    </row>
    <row r="421" spans="1:12">
      <c r="A421" s="20" t="s">
        <v>398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547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603</v>
      </c>
      <c r="B423" s="21" t="s">
        <v>374</v>
      </c>
      <c r="C423" s="21" t="s">
        <v>430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376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471</v>
      </c>
      <c r="B425" s="21" t="s">
        <v>491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456</v>
      </c>
      <c r="B426" s="21" t="s">
        <v>404</v>
      </c>
      <c r="C426" s="21" t="s">
        <v>434</v>
      </c>
      <c r="D426" s="21" t="s">
        <v>368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604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409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580</v>
      </c>
      <c r="B429" s="21" t="s">
        <v>412</v>
      </c>
      <c r="C429" s="21" t="s">
        <v>434</v>
      </c>
      <c r="D429" s="21" t="s">
        <v>368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487</v>
      </c>
      <c r="B430" s="21" t="s">
        <v>366</v>
      </c>
      <c r="C430" s="21" t="s">
        <v>542</v>
      </c>
      <c r="D430" s="21" t="s">
        <v>368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482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605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606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/>
    </row>
    <row r="435" spans="1:12">
      <c r="A435" s="20" t="s">
        <v>607</v>
      </c>
    </row>
    <row r="436" spans="1:12">
      <c r="A436" s="20" t="s">
        <v>399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608</v>
      </c>
      <c r="B437" s="21" t="s">
        <v>412</v>
      </c>
      <c r="C437" s="21" t="s">
        <v>401</v>
      </c>
      <c r="D437" s="21" t="s">
        <v>368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484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170</v>
      </c>
      <c r="B439" s="21" t="s">
        <v>404</v>
      </c>
      <c r="C439" s="21" t="s">
        <v>401</v>
      </c>
      <c r="D439" s="21" t="s">
        <v>368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582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391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188</v>
      </c>
      <c r="B442" s="21" t="s">
        <v>366</v>
      </c>
      <c r="C442" s="21" t="s">
        <v>367</v>
      </c>
      <c r="D442" s="21" t="s">
        <v>368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609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582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441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610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376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610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409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/>
    </row>
    <row r="451" spans="1:12">
      <c r="A451" s="20" t="s">
        <v>533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611</v>
      </c>
    </row>
    <row r="453" spans="1:12">
      <c r="A453" s="20" t="s">
        <v>94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612</v>
      </c>
      <c r="B454" s="21" t="s">
        <v>366</v>
      </c>
      <c r="C454" s="21" t="s">
        <v>575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613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577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540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94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/>
    </row>
    <row r="460" spans="1:12">
      <c r="A460" s="20" t="s">
        <v>533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614</v>
      </c>
    </row>
    <row r="462" spans="1:12">
      <c r="A462" s="20" t="s">
        <v>615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616</v>
      </c>
      <c r="B463" s="21" t="s">
        <v>366</v>
      </c>
      <c r="C463" s="21" t="s">
        <v>394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376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377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54</v>
      </c>
      <c r="B466" s="21" t="s">
        <v>412</v>
      </c>
      <c r="C466" s="21" t="s">
        <v>401</v>
      </c>
      <c r="D466" s="21" t="s">
        <v>368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376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94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439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484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487</v>
      </c>
      <c r="B471" s="21" t="s">
        <v>374</v>
      </c>
      <c r="C471" s="21" t="s">
        <v>401</v>
      </c>
      <c r="D471" s="21" t="s">
        <v>368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376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472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12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/>
    </row>
    <row r="476" spans="1:12">
      <c r="A476" s="20" t="s">
        <v>617</v>
      </c>
    </row>
    <row r="477" spans="1:12">
      <c r="A477" s="20" t="s">
        <v>399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188</v>
      </c>
      <c r="B478" s="21" t="s">
        <v>366</v>
      </c>
      <c r="C478" s="21" t="s">
        <v>367</v>
      </c>
      <c r="D478" s="21" t="s">
        <v>368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618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619</v>
      </c>
      <c r="B480" s="21" t="s">
        <v>419</v>
      </c>
      <c r="C480" s="21" t="s">
        <v>394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620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391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519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453</v>
      </c>
      <c r="B484" s="21" t="s">
        <v>378</v>
      </c>
      <c r="C484" s="21" t="s">
        <v>367</v>
      </c>
      <c r="D484" s="21" t="s">
        <v>368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459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621</v>
      </c>
      <c r="B486" s="21" t="s">
        <v>424</v>
      </c>
      <c r="C486" s="21" t="s">
        <v>367</v>
      </c>
      <c r="D486" s="21" t="s">
        <v>368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462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622</v>
      </c>
      <c r="B488" s="21" t="s">
        <v>424</v>
      </c>
      <c r="C488" s="21" t="s">
        <v>375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12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/>
    </row>
    <row r="491" spans="1:12">
      <c r="A491" s="20" t="s">
        <v>623</v>
      </c>
    </row>
    <row r="492" spans="1:12">
      <c r="A492" s="20" t="s">
        <v>163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402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371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464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50</v>
      </c>
      <c r="B496" s="21" t="s">
        <v>374</v>
      </c>
      <c r="C496" s="21" t="s">
        <v>375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376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511</v>
      </c>
      <c r="B498" s="21" t="s">
        <v>404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530</v>
      </c>
      <c r="B499" s="21" t="s">
        <v>499</v>
      </c>
      <c r="C499" s="21" t="s">
        <v>523</v>
      </c>
      <c r="D499" s="21" t="s">
        <v>368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393</v>
      </c>
      <c r="B500" s="21" t="s">
        <v>404</v>
      </c>
      <c r="C500" s="21" t="s">
        <v>430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621</v>
      </c>
      <c r="B501" s="21" t="s">
        <v>491</v>
      </c>
      <c r="C501" s="21" t="s">
        <v>367</v>
      </c>
      <c r="D501" s="21" t="s">
        <v>368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532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409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/>
    </row>
    <row r="505" spans="1:12">
      <c r="A505" s="20" t="s">
        <v>624</v>
      </c>
    </row>
    <row r="506" spans="1:12">
      <c r="A506" s="20" t="s">
        <v>167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/>
    </row>
    <row r="508" spans="1:12">
      <c r="A508" s="20" t="s">
        <v>625</v>
      </c>
    </row>
    <row r="509" spans="1:12">
      <c r="A509" s="20" t="s">
        <v>626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414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170</v>
      </c>
      <c r="B511" s="21" t="s">
        <v>374</v>
      </c>
      <c r="C511" s="21" t="s">
        <v>401</v>
      </c>
      <c r="D511" s="21" t="s">
        <v>368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376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529</v>
      </c>
      <c r="B513" s="21" t="s">
        <v>378</v>
      </c>
      <c r="C513" s="21" t="s">
        <v>434</v>
      </c>
      <c r="D513" s="21" t="s">
        <v>368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472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399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627</v>
      </c>
      <c r="B516" s="21" t="s">
        <v>412</v>
      </c>
      <c r="C516" s="21" t="s">
        <v>401</v>
      </c>
      <c r="D516" s="21" t="s">
        <v>368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628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376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497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456</v>
      </c>
      <c r="B520" s="21" t="s">
        <v>404</v>
      </c>
      <c r="C520" s="21" t="s">
        <v>434</v>
      </c>
      <c r="D520" s="21" t="s">
        <v>368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629</v>
      </c>
      <c r="B521" s="21" t="s">
        <v>412</v>
      </c>
      <c r="C521" s="21" t="s">
        <v>385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/>
    </row>
    <row r="523" spans="1:12">
      <c r="A523" s="20" t="s">
        <v>630</v>
      </c>
    </row>
    <row r="524" spans="1:12">
      <c r="A524" s="20" t="s">
        <v>631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369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376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632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418</v>
      </c>
      <c r="B528" s="21" t="s">
        <v>424</v>
      </c>
      <c r="C528" s="21" t="s">
        <v>367</v>
      </c>
      <c r="D528" s="21" t="s">
        <v>368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440</v>
      </c>
      <c r="B529" s="21" t="s">
        <v>412</v>
      </c>
      <c r="C529" s="21" t="s">
        <v>385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441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519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633</v>
      </c>
      <c r="B532" s="21" t="s">
        <v>412</v>
      </c>
      <c r="C532" s="21" t="s">
        <v>430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582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399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634</v>
      </c>
      <c r="B535" s="21" t="s">
        <v>444</v>
      </c>
      <c r="C535" s="21" t="s">
        <v>401</v>
      </c>
      <c r="D535" s="21" t="s">
        <v>368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376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379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578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/>
    </row>
    <row r="540" spans="1:12">
      <c r="A540" s="20" t="s">
        <v>635</v>
      </c>
    </row>
    <row r="541" spans="1:12">
      <c r="A541" s="20" t="s">
        <v>377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636</v>
      </c>
      <c r="B542" s="21" t="s">
        <v>366</v>
      </c>
      <c r="C542" s="21" t="s">
        <v>401</v>
      </c>
      <c r="D542" s="21" t="s">
        <v>368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178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409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/>
    </row>
    <row r="546" spans="1:12">
      <c r="A546" s="20" t="s">
        <v>533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557</v>
      </c>
    </row>
    <row r="548" spans="1:12">
      <c r="A548" s="20" t="s">
        <v>94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/>
    </row>
    <row r="550" spans="1:12">
      <c r="A550" s="20" t="s">
        <v>637</v>
      </c>
    </row>
    <row r="551" spans="1:12">
      <c r="A551" s="20" t="s">
        <v>580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487</v>
      </c>
      <c r="B552" s="21" t="s">
        <v>366</v>
      </c>
      <c r="C552" s="21" t="s">
        <v>401</v>
      </c>
      <c r="D552" s="21" t="s">
        <v>368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638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582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399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639</v>
      </c>
      <c r="B556" s="21" t="s">
        <v>374</v>
      </c>
      <c r="C556" s="21" t="s">
        <v>401</v>
      </c>
      <c r="D556" s="21" t="s">
        <v>368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402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471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200</v>
      </c>
      <c r="B559" s="21" t="s">
        <v>412</v>
      </c>
      <c r="C559" s="21" t="s">
        <v>401</v>
      </c>
      <c r="D559" s="21" t="s">
        <v>368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467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587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409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/>
    </row>
    <row r="564" spans="1:12">
      <c r="A564" s="20" t="s">
        <v>640</v>
      </c>
    </row>
    <row r="565" spans="1:12">
      <c r="A565" s="20" t="s">
        <v>189</v>
      </c>
      <c r="B565" s="21" t="s">
        <v>374</v>
      </c>
      <c r="C565" s="21" t="s">
        <v>367</v>
      </c>
      <c r="D565" s="21" t="s">
        <v>368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/>
    </row>
    <row r="567" spans="1:12">
      <c r="A567" s="20" t="s">
        <v>641</v>
      </c>
    </row>
    <row r="568" spans="1:12">
      <c r="A568" s="20" t="s">
        <v>642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594</v>
      </c>
      <c r="B569" s="21" t="s">
        <v>419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587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471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414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415</v>
      </c>
      <c r="B573" s="21" t="s">
        <v>374</v>
      </c>
      <c r="C573" s="21" t="s">
        <v>401</v>
      </c>
      <c r="D573" s="21" t="s">
        <v>368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402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643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456</v>
      </c>
      <c r="B576" s="21" t="s">
        <v>424</v>
      </c>
      <c r="C576" s="21" t="s">
        <v>434</v>
      </c>
      <c r="D576" s="21" t="s">
        <v>368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527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473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644</v>
      </c>
      <c r="B579" s="21" t="s">
        <v>412</v>
      </c>
      <c r="C579" s="21" t="s">
        <v>375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376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/>
    </row>
    <row r="582" spans="1:12">
      <c r="A582" s="20" t="s">
        <v>645</v>
      </c>
    </row>
    <row r="583" spans="1:12">
      <c r="A583" s="20" t="s">
        <v>452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188</v>
      </c>
      <c r="B584" s="21" t="s">
        <v>378</v>
      </c>
      <c r="C584" s="21" t="s">
        <v>367</v>
      </c>
      <c r="D584" s="21" t="s">
        <v>368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436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646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382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647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648</v>
      </c>
      <c r="B589" s="21" t="s">
        <v>412</v>
      </c>
      <c r="C589" s="21" t="s">
        <v>586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649</v>
      </c>
      <c r="B590" s="21" t="s">
        <v>424</v>
      </c>
      <c r="C590" s="21" t="s">
        <v>434</v>
      </c>
      <c r="D590" s="21" t="s">
        <v>368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650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409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651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652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/>
    </row>
    <row r="596" spans="1:12">
      <c r="A596" s="20" t="s">
        <v>653</v>
      </c>
    </row>
    <row r="597" spans="1:12">
      <c r="A597" s="20" t="s">
        <v>188</v>
      </c>
      <c r="B597" s="21" t="s">
        <v>366</v>
      </c>
      <c r="C597" s="21" t="s">
        <v>367</v>
      </c>
      <c r="D597" s="21" t="s">
        <v>368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471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200</v>
      </c>
      <c r="B599" s="21" t="s">
        <v>374</v>
      </c>
      <c r="C599" s="21" t="s">
        <v>401</v>
      </c>
      <c r="D599" s="21" t="s">
        <v>368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440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402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654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594</v>
      </c>
      <c r="B603" s="21" t="s">
        <v>424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472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377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655</v>
      </c>
      <c r="B606" s="21" t="s">
        <v>412</v>
      </c>
      <c r="C606" s="21" t="s">
        <v>401</v>
      </c>
      <c r="D606" s="21" t="s">
        <v>368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484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170</v>
      </c>
      <c r="B608" s="21" t="s">
        <v>444</v>
      </c>
      <c r="C608" s="21" t="s">
        <v>401</v>
      </c>
      <c r="D608" s="21" t="s">
        <v>368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402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/>
    </row>
    <row r="611" spans="1:12">
      <c r="A611" s="20" t="s">
        <v>656</v>
      </c>
    </row>
    <row r="612" spans="1:12">
      <c r="A612" s="20" t="s">
        <v>657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587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54</v>
      </c>
      <c r="B614" s="21" t="s">
        <v>374</v>
      </c>
      <c r="C614" s="21" t="s">
        <v>430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376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471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658</v>
      </c>
      <c r="B617" s="21" t="s">
        <v>444</v>
      </c>
      <c r="C617" s="21" t="s">
        <v>385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659</v>
      </c>
      <c r="B618" s="21" t="s">
        <v>412</v>
      </c>
      <c r="C618" s="21" t="s">
        <v>401</v>
      </c>
      <c r="D618" s="21" t="s">
        <v>368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660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582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471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200</v>
      </c>
      <c r="B622" s="21" t="s">
        <v>444</v>
      </c>
      <c r="C622" s="21" t="s">
        <v>401</v>
      </c>
      <c r="D622" s="21" t="s">
        <v>368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/>
    </row>
    <row r="624" spans="1:12">
      <c r="A624" s="20" t="s">
        <v>661</v>
      </c>
    </row>
    <row r="625" spans="1:12">
      <c r="A625" s="20" t="s">
        <v>662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441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663</v>
      </c>
      <c r="B627" s="21" t="s">
        <v>374</v>
      </c>
      <c r="C627" s="21" t="s">
        <v>542</v>
      </c>
      <c r="D627" s="21" t="s">
        <v>368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376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610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409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/>
    </row>
    <row r="632" spans="1:12">
      <c r="A632" s="20" t="s">
        <v>533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664</v>
      </c>
    </row>
    <row r="634" spans="1:12">
      <c r="A634" s="20" t="s">
        <v>612</v>
      </c>
      <c r="B634" s="21" t="s">
        <v>366</v>
      </c>
      <c r="C634" s="21" t="s">
        <v>575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613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577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540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94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/>
    </row>
    <row r="640" spans="1:12">
      <c r="A640" s="20" t="s">
        <v>665</v>
      </c>
    </row>
    <row r="641" spans="1:12">
      <c r="A641" s="20" t="s">
        <v>54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376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511</v>
      </c>
      <c r="B643" s="21" t="s">
        <v>378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471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666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619</v>
      </c>
      <c r="B646" s="21" t="s">
        <v>424</v>
      </c>
      <c r="C646" s="21" t="s">
        <v>401</v>
      </c>
      <c r="D646" s="21" t="s">
        <v>368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555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667</v>
      </c>
      <c r="B648" s="21" t="s">
        <v>444</v>
      </c>
      <c r="C648" s="21" t="s">
        <v>401</v>
      </c>
      <c r="D648" s="21" t="s">
        <v>368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668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376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/>
    </row>
    <row r="652" spans="1:12">
      <c r="A652" s="20" t="s">
        <v>669</v>
      </c>
    </row>
    <row r="653" spans="1:12">
      <c r="A653" s="20" t="s">
        <v>436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576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670</v>
      </c>
      <c r="B655" s="21" t="s">
        <v>419</v>
      </c>
      <c r="C655" s="21" t="s">
        <v>430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376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494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577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405</v>
      </c>
      <c r="B659" s="21" t="s">
        <v>378</v>
      </c>
      <c r="C659" s="21" t="s">
        <v>367</v>
      </c>
      <c r="D659" s="21" t="s">
        <v>368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671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376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426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403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170</v>
      </c>
      <c r="B664" s="21" t="s">
        <v>378</v>
      </c>
      <c r="C664" s="21" t="s">
        <v>394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/>
    </row>
    <row r="666" spans="1:12">
      <c r="A666" s="20" t="s">
        <v>672</v>
      </c>
    </row>
    <row r="667" spans="1:12">
      <c r="A667" s="20" t="s">
        <v>673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674</v>
      </c>
      <c r="B668" s="21" t="s">
        <v>419</v>
      </c>
      <c r="C668" s="21" t="s">
        <v>401</v>
      </c>
      <c r="D668" s="21" t="s">
        <v>368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675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376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676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405</v>
      </c>
      <c r="B672" s="21" t="s">
        <v>366</v>
      </c>
      <c r="C672" s="21" t="s">
        <v>367</v>
      </c>
      <c r="D672" s="21" t="s">
        <v>368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441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365</v>
      </c>
      <c r="B674" s="21" t="s">
        <v>378</v>
      </c>
      <c r="C674" s="21" t="s">
        <v>367</v>
      </c>
      <c r="D674" s="21" t="s">
        <v>368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613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615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616</v>
      </c>
      <c r="B677" s="21" t="s">
        <v>378</v>
      </c>
      <c r="C677" s="21" t="s">
        <v>430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376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377</v>
      </c>
      <c r="B679" s="21" t="s">
        <v>444</v>
      </c>
      <c r="C679" s="21" t="s">
        <v>434</v>
      </c>
      <c r="D679" s="21" t="s">
        <v>368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/>
    </row>
    <row r="681" spans="1:12">
      <c r="A681" s="20" t="s">
        <v>677</v>
      </c>
    </row>
    <row r="682" spans="1:12">
      <c r="A682" s="20" t="s">
        <v>54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391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492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678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679</v>
      </c>
      <c r="B686" s="21" t="s">
        <v>366</v>
      </c>
      <c r="C686" s="21" t="s">
        <v>434</v>
      </c>
      <c r="D686" s="21" t="s">
        <v>368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462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86</v>
      </c>
      <c r="B688" s="21" t="s">
        <v>419</v>
      </c>
      <c r="C688" s="21" t="s">
        <v>375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402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371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464</v>
      </c>
      <c r="B691" s="21" t="s">
        <v>412</v>
      </c>
      <c r="C691" s="21" t="s">
        <v>375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/>
    </row>
    <row r="693" spans="1:12">
      <c r="A693" s="20" t="s">
        <v>680</v>
      </c>
    </row>
    <row r="694" spans="1:12">
      <c r="A694" s="20" t="s">
        <v>50</v>
      </c>
      <c r="B694" s="21" t="s">
        <v>374</v>
      </c>
      <c r="C694" s="21" t="s">
        <v>430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376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673</v>
      </c>
      <c r="B696" s="21" t="s">
        <v>424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471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393</v>
      </c>
      <c r="B698" s="21" t="s">
        <v>378</v>
      </c>
      <c r="C698" s="21" t="s">
        <v>401</v>
      </c>
      <c r="D698" s="21" t="s">
        <v>368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679</v>
      </c>
      <c r="B699" s="21" t="s">
        <v>444</v>
      </c>
      <c r="C699" s="21" t="s">
        <v>434</v>
      </c>
      <c r="D699" s="21" t="s">
        <v>368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532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409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/>
    </row>
    <row r="703" spans="1:12">
      <c r="A703" s="20" t="s">
        <v>533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558</v>
      </c>
    </row>
    <row r="705" spans="1:12">
      <c r="A705" s="20" t="s">
        <v>94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 t="s">
        <v>94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/>
    </row>
    <row r="708" spans="1:12">
      <c r="A708" s="20" t="s">
        <v>681</v>
      </c>
    </row>
    <row r="709" spans="1:12">
      <c r="A709" s="20" t="s">
        <v>580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487</v>
      </c>
      <c r="B710" s="21" t="s">
        <v>366</v>
      </c>
      <c r="C710" s="21" t="s">
        <v>401</v>
      </c>
      <c r="D710" s="21" t="s">
        <v>368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632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461</v>
      </c>
      <c r="B712" s="21" t="s">
        <v>419</v>
      </c>
      <c r="C712" s="21" t="s">
        <v>434</v>
      </c>
      <c r="D712" s="21" t="s">
        <v>368</v>
      </c>
      <c r="E712" s="22">
        <f>IF(D712="?OLD","!!!","")</f>
        <v/>
      </c>
      <c r="F712" s="23" t="str">
        <f>IF(OR(E712="",E712="!!!"),"",IF(NOT(ISNA(VLOOKUP(E712,E$1:E711,1,FALSE()))),"OLD",IF(AND(E712&lt;&gt;"",E712&lt;&gt;"!!!"),"NEW","")))</f>
        <v> </v>
      </c>
      <c r="G712" s="24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5" t="str">
        <f>IF(J712&lt;&gt;1,"",IF(I712="SBJ","CB","?"))</f>
        <v> </v>
      </c>
      <c r="I712" s="26" t="str">
        <f>IF(OR(E712="",E712="!!!",F712="NEW"),"",INDEX(B711:B$2,-1+SUMPRODUCT(MAX(ROW(E711:E$2)*(E712=E711:E$2)))))</f>
        <v> </v>
      </c>
      <c r="J712" s="26" t="str">
        <f>IF(OR(E712="",E712="!!!",F712="NEW"),"",COUNTBLANK(OFFSET(A$1,,,SUMPRODUCT(MAX(ROW(E$2:E712)*(E712=E$2:E712)))))-COUNTBLANK(OFFSET(A$1,,,SUMPRODUCT(MAX(ROW(E$1:E711)*(E2=E$1:E711))))))</f>
        <v> </v>
      </c>
      <c r="K712" s="26" t="str">
        <f>IF(OR(E712="",E712="!!!",F712="NEW"),"",INDEX(J$1:J711,SUMPRODUCT(MAX(ROW(E$1:E711)*(E712=E$1:E711)))))</f>
        <v> </v>
      </c>
      <c r="L712" s="27"/>
    </row>
    <row r="713" spans="1:12">
      <c r="A713" s="20" t="s">
        <v>440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376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682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 t="s">
        <v>188</v>
      </c>
      <c r="B716" s="21" t="s">
        <v>378</v>
      </c>
      <c r="C716" s="21" t="s">
        <v>367</v>
      </c>
      <c r="D716" s="21" t="s">
        <v>368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 t="s">
        <v>403</v>
      </c>
      <c r="E717" s="22">
        <f>IF(D717="?OLD","!!!","")</f>
        <v/>
      </c>
      <c r="F717" s="23" t="str">
        <f>IF(OR(E717="",E717="!!!"),"",IF(NOT(ISNA(VLOOKUP(E717,E$1:E716,1,FALSE()))),"OLD",IF(AND(E717&lt;&gt;"",E717&lt;&gt;"!!!"),"NEW","")))</f>
        <v> </v>
      </c>
      <c r="G717" s="24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5" t="str">
        <f>IF(J717&lt;&gt;1,"",IF(I717="SBJ","CB","?"))</f>
        <v> </v>
      </c>
      <c r="I717" s="26" t="str">
        <f>IF(OR(E717="",E717="!!!",F717="NEW"),"",INDEX(B716:B$2,-1+SUMPRODUCT(MAX(ROW(E716:E$2)*(E717=E716:E$2)))))</f>
        <v> </v>
      </c>
      <c r="J717" s="26" t="str">
        <f>IF(OR(E717="",E717="!!!",F717="NEW"),"",COUNTBLANK(OFFSET(A$1,,,SUMPRODUCT(MAX(ROW(E$2:E717)*(E717=E$2:E717)))))-COUNTBLANK(OFFSET(A$1,,,SUMPRODUCT(MAX(ROW(E$1:E716)*(E2=E$1:E716))))))</f>
        <v> </v>
      </c>
      <c r="K717" s="26" t="str">
        <f>IF(OR(E717="",E717="!!!",F717="NEW"),"",INDEX(J$1:J716,SUMPRODUCT(MAX(ROW(E$1:E716)*(E717=E$1:E716)))))</f>
        <v> </v>
      </c>
      <c r="L717" s="27"/>
    </row>
    <row r="718" spans="1:12">
      <c r="A718" s="20" t="s">
        <v>619</v>
      </c>
      <c r="B718" s="21" t="s">
        <v>424</v>
      </c>
      <c r="C718" s="21" t="s">
        <v>394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371</v>
      </c>
      <c r="E719" s="22">
        <f>IF(D719="?OLD","!!!","")</f>
        <v/>
      </c>
      <c r="F719" s="23" t="str">
        <f>IF(OR(E719="",E719="!!!"),"",IF(NOT(ISNA(VLOOKUP(E719,E$1:E718,1,FALSE()))),"OLD",IF(AND(E719&lt;&gt;"",E719&lt;&gt;"!!!"),"NEW","")))</f>
        <v> </v>
      </c>
      <c r="G719" s="24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5" t="str">
        <f>IF(J719&lt;&gt;1,"",IF(I719="SBJ","CB","?"))</f>
        <v> </v>
      </c>
      <c r="I719" s="26" t="str">
        <f>IF(OR(E719="",E719="!!!",F719="NEW"),"",INDEX(B718:B$2,-1+SUMPRODUCT(MAX(ROW(E718:E$2)*(E719=E718:E$2)))))</f>
        <v> </v>
      </c>
      <c r="J719" s="26" t="str">
        <f>IF(OR(E719="",E719="!!!",F719="NEW"),"",COUNTBLANK(OFFSET(A$1,,,SUMPRODUCT(MAX(ROW(E$2:E719)*(E719=E$2:E719)))))-COUNTBLANK(OFFSET(A$1,,,SUMPRODUCT(MAX(ROW(E$1:E718)*(E2=E$1:E718))))))</f>
        <v> </v>
      </c>
      <c r="K719" s="26" t="str">
        <f>IF(OR(E719="",E719="!!!",F719="NEW"),"",INDEX(J$1:J718,SUMPRODUCT(MAX(ROW(E$1:E718)*(E719=E$1:E718)))))</f>
        <v> </v>
      </c>
      <c r="L719" s="27"/>
    </row>
    <row r="720" spans="1:12">
      <c r="A720" s="20" t="s">
        <v>683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/>
    </row>
    <row r="722" spans="1:12">
      <c r="A722" s="20" t="s">
        <v>684</v>
      </c>
    </row>
    <row r="723" spans="1:12">
      <c r="A723" s="20" t="s">
        <v>685</v>
      </c>
      <c r="E723" s="22">
        <f>IF(D723="?OLD","!!!","")</f>
        <v/>
      </c>
      <c r="F723" s="23" t="str">
        <f>IF(OR(E723="",E723="!!!"),"",IF(NOT(ISNA(VLOOKUP(E723,E$1:E722,1,FALSE()))),"OLD",IF(AND(E723&lt;&gt;"",E723&lt;&gt;"!!!"),"NEW","")))</f>
        <v> </v>
      </c>
      <c r="G723" s="24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5" t="str">
        <f>IF(J723&lt;&gt;1,"",IF(I723="SBJ","CB","?"))</f>
        <v> </v>
      </c>
      <c r="I723" s="26" t="str">
        <f>IF(OR(E723="",E723="!!!",F723="NEW"),"",INDEX(B722:B$2,-1+SUMPRODUCT(MAX(ROW(E722:E$2)*(E723=E722:E$2)))))</f>
        <v> </v>
      </c>
      <c r="J723" s="26" t="str">
        <f>IF(OR(E723="",E723="!!!",F723="NEW"),"",COUNTBLANK(OFFSET(A$1,,,SUMPRODUCT(MAX(ROW(E$2:E723)*(E723=E$2:E723)))))-COUNTBLANK(OFFSET(A$1,,,SUMPRODUCT(MAX(ROW(E$1:E722)*(E2=E$1:E722))))))</f>
        <v> </v>
      </c>
      <c r="K723" s="26" t="str">
        <f>IF(OR(E723="",E723="!!!",F723="NEW"),"",INDEX(J$1:J722,SUMPRODUCT(MAX(ROW(E$1:E722)*(E723=E$1:E722)))))</f>
        <v> </v>
      </c>
      <c r="L723" s="27"/>
    </row>
    <row r="724" spans="1:12">
      <c r="A724" s="20" t="s">
        <v>441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 t="s">
        <v>519</v>
      </c>
      <c r="E725" s="22">
        <f>IF(D725="?OLD","!!!","")</f>
        <v/>
      </c>
      <c r="F725" s="23" t="str">
        <f>IF(OR(E725="",E725="!!!"),"",IF(NOT(ISNA(VLOOKUP(E725,E$1:E724,1,FALSE()))),"OLD",IF(AND(E725&lt;&gt;"",E725&lt;&gt;"!!!"),"NEW","")))</f>
        <v> </v>
      </c>
      <c r="G725" s="24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5" t="str">
        <f>IF(J725&lt;&gt;1,"",IF(I725="SBJ","CB","?"))</f>
        <v> </v>
      </c>
      <c r="I725" s="26" t="str">
        <f>IF(OR(E725="",E725="!!!",F725="NEW"),"",INDEX(B724:B$2,-1+SUMPRODUCT(MAX(ROW(E724:E$2)*(E725=E724:E$2)))))</f>
        <v> </v>
      </c>
      <c r="J725" s="26" t="str">
        <f>IF(OR(E725="",E725="!!!",F725="NEW"),"",COUNTBLANK(OFFSET(A$1,,,SUMPRODUCT(MAX(ROW(E$2:E725)*(E725=E$2:E725)))))-COUNTBLANK(OFFSET(A$1,,,SUMPRODUCT(MAX(ROW(E$1:E724)*(E2=E$1:E724))))))</f>
        <v> </v>
      </c>
      <c r="K725" s="26" t="str">
        <f>IF(OR(E725="",E725="!!!",F725="NEW"),"",INDEX(J$1:J724,SUMPRODUCT(MAX(ROW(E$1:E724)*(E725=E$1:E724)))))</f>
        <v> </v>
      </c>
      <c r="L725" s="27"/>
    </row>
    <row r="726" spans="1:12">
      <c r="A726" s="20" t="s">
        <v>633</v>
      </c>
      <c r="B726" s="21" t="s">
        <v>404</v>
      </c>
      <c r="C726" s="21" t="s">
        <v>430</v>
      </c>
      <c r="E726" s="22">
        <f>IF(D726="?OLD","!!!","")</f>
        <v/>
      </c>
      <c r="F726" s="23" t="str">
        <f>IF(OR(E726="",E726="!!!"),"",IF(NOT(ISNA(VLOOKUP(E726,E$1:E725,1,FALSE()))),"OLD",IF(AND(E726&lt;&gt;"",E726&lt;&gt;"!!!"),"NEW","")))</f>
        <v> </v>
      </c>
      <c r="G726" s="24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5" t="str">
        <f>IF(J726&lt;&gt;1,"",IF(I726="SBJ","CB","?"))</f>
        <v> </v>
      </c>
      <c r="I726" s="26" t="str">
        <f>IF(OR(E726="",E726="!!!",F726="NEW"),"",INDEX(B725:B$2,-1+SUMPRODUCT(MAX(ROW(E725:E$2)*(E726=E725:E$2)))))</f>
        <v> </v>
      </c>
      <c r="J726" s="26" t="str">
        <f>IF(OR(E726="",E726="!!!",F726="NEW"),"",COUNTBLANK(OFFSET(A$1,,,SUMPRODUCT(MAX(ROW(E$2:E726)*(E726=E$2:E726)))))-COUNTBLANK(OFFSET(A$1,,,SUMPRODUCT(MAX(ROW(E$1:E725)*(E2=E$1:E725))))))</f>
        <v> </v>
      </c>
      <c r="K726" s="26" t="str">
        <f>IF(OR(E726="",E726="!!!",F726="NEW"),"",INDEX(J$1:J725,SUMPRODUCT(MAX(ROW(E$1:E725)*(E726=E$1:E725)))))</f>
        <v> </v>
      </c>
      <c r="L726" s="27"/>
    </row>
    <row r="727" spans="1:12">
      <c r="A727" s="20" t="s">
        <v>582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 t="s">
        <v>399</v>
      </c>
      <c r="E728" s="22">
        <f>IF(D728="?OLD","!!!","")</f>
        <v/>
      </c>
      <c r="F728" s="23" t="str">
        <f>IF(OR(E728="",E728="!!!"),"",IF(NOT(ISNA(VLOOKUP(E728,E$1:E727,1,FALSE()))),"OLD",IF(AND(E728&lt;&gt;"",E728&lt;&gt;"!!!"),"NEW","")))</f>
        <v> </v>
      </c>
      <c r="G728" s="24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5" t="str">
        <f>IF(J728&lt;&gt;1,"",IF(I728="SBJ","CB","?"))</f>
        <v> </v>
      </c>
      <c r="I728" s="26" t="str">
        <f>IF(OR(E728="",E728="!!!",F728="NEW"),"",INDEX(B727:B$2,-1+SUMPRODUCT(MAX(ROW(E727:E$2)*(E728=E727:E$2)))))</f>
        <v> </v>
      </c>
      <c r="J728" s="26" t="str">
        <f>IF(OR(E728="",E728="!!!",F728="NEW"),"",COUNTBLANK(OFFSET(A$1,,,SUMPRODUCT(MAX(ROW(E$2:E728)*(E728=E$2:E728)))))-COUNTBLANK(OFFSET(A$1,,,SUMPRODUCT(MAX(ROW(E$1:E727)*(E2=E$1:E727))))))</f>
        <v> </v>
      </c>
      <c r="K728" s="26" t="str">
        <f>IF(OR(E728="",E728="!!!",F728="NEW"),"",INDEX(J$1:J727,SUMPRODUCT(MAX(ROW(E$1:E727)*(E728=E$1:E727)))))</f>
        <v> </v>
      </c>
      <c r="L728" s="27"/>
    </row>
    <row r="729" spans="1:12">
      <c r="A729" s="20" t="s">
        <v>634</v>
      </c>
      <c r="B729" s="21" t="s">
        <v>499</v>
      </c>
      <c r="C729" s="21" t="s">
        <v>401</v>
      </c>
      <c r="D729" s="21" t="s">
        <v>368</v>
      </c>
      <c r="E729" s="22">
        <f>IF(D729="?OLD","!!!","")</f>
        <v/>
      </c>
      <c r="F729" s="23" t="str">
        <f>IF(OR(E729="",E729="!!!"),"",IF(NOT(ISNA(VLOOKUP(E729,E$1:E728,1,FALSE()))),"OLD",IF(AND(E729&lt;&gt;"",E729&lt;&gt;"!!!"),"NEW","")))</f>
        <v> </v>
      </c>
      <c r="G729" s="24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5" t="str">
        <f>IF(J729&lt;&gt;1,"",IF(I729="SBJ","CB","?"))</f>
        <v> </v>
      </c>
      <c r="I729" s="26" t="str">
        <f>IF(OR(E729="",E729="!!!",F729="NEW"),"",INDEX(B728:B$2,-1+SUMPRODUCT(MAX(ROW(E728:E$2)*(E729=E728:E$2)))))</f>
        <v> </v>
      </c>
      <c r="J729" s="26" t="str">
        <f>IF(OR(E729="",E729="!!!",F729="NEW"),"",COUNTBLANK(OFFSET(A$1,,,SUMPRODUCT(MAX(ROW(E$2:E729)*(E729=E$2:E729)))))-COUNTBLANK(OFFSET(A$1,,,SUMPRODUCT(MAX(ROW(E$1:E728)*(E2=E$1:E728))))))</f>
        <v> </v>
      </c>
      <c r="K729" s="26" t="str">
        <f>IF(OR(E729="",E729="!!!",F729="NEW"),"",INDEX(J$1:J728,SUMPRODUCT(MAX(ROW(E$1:E728)*(E729=E$1:E728)))))</f>
        <v> </v>
      </c>
      <c r="L729" s="27"/>
    </row>
    <row r="730" spans="1:12">
      <c r="A730" s="20" t="s">
        <v>376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379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 t="s">
        <v>578</v>
      </c>
      <c r="E732" s="22">
        <f>IF(D732="?OLD","!!!","")</f>
        <v/>
      </c>
      <c r="F732" s="23" t="str">
        <f>IF(OR(E732="",E732="!!!"),"",IF(NOT(ISNA(VLOOKUP(E732,E$1:E731,1,FALSE()))),"OLD",IF(AND(E732&lt;&gt;"",E732&lt;&gt;"!!!"),"NEW","")))</f>
        <v> </v>
      </c>
      <c r="G732" s="24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5" t="str">
        <f>IF(J732&lt;&gt;1,"",IF(I732="SBJ","CB","?"))</f>
        <v> </v>
      </c>
      <c r="I732" s="26" t="str">
        <f>IF(OR(E732="",E732="!!!",F732="NEW"),"",INDEX(B731:B$2,-1+SUMPRODUCT(MAX(ROW(E731:E$2)*(E732=E731:E$2)))))</f>
        <v> </v>
      </c>
      <c r="J732" s="26" t="str">
        <f>IF(OR(E732="",E732="!!!",F732="NEW"),"",COUNTBLANK(OFFSET(A$1,,,SUMPRODUCT(MAX(ROW(E$2:E732)*(E732=E$2:E732)))))-COUNTBLANK(OFFSET(A$1,,,SUMPRODUCT(MAX(ROW(E$1:E731)*(E2=E$1:E731))))))</f>
        <v> </v>
      </c>
      <c r="K732" s="26" t="str">
        <f>IF(OR(E732="",E732="!!!",F732="NEW"),"",INDEX(J$1:J731,SUMPRODUCT(MAX(ROW(E$1:E731)*(E732=E$1:E731)))))</f>
        <v> </v>
      </c>
      <c r="L732" s="27"/>
    </row>
    <row r="733" spans="1:12">
      <c r="A733" s="20" t="s">
        <v>377</v>
      </c>
      <c r="E733" s="22">
        <f>IF(D733="?OLD","!!!","")</f>
        <v/>
      </c>
      <c r="F733" s="23" t="str">
        <f>IF(OR(E733="",E733="!!!"),"",IF(NOT(ISNA(VLOOKUP(E733,E$1:E732,1,FALSE()))),"OLD",IF(AND(E733&lt;&gt;"",E733&lt;&gt;"!!!"),"NEW","")))</f>
        <v> </v>
      </c>
      <c r="G733" s="24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5" t="str">
        <f>IF(J733&lt;&gt;1,"",IF(I733="SBJ","CB","?"))</f>
        <v> </v>
      </c>
      <c r="I733" s="26" t="str">
        <f>IF(OR(E733="",E733="!!!",F733="NEW"),"",INDEX(B732:B$2,-1+SUMPRODUCT(MAX(ROW(E732:E$2)*(E733=E732:E$2)))))</f>
        <v> </v>
      </c>
      <c r="J733" s="26" t="str">
        <f>IF(OR(E733="",E733="!!!",F733="NEW"),"",COUNTBLANK(OFFSET(A$1,,,SUMPRODUCT(MAX(ROW(E$2:E733)*(E733=E$2:E733)))))-COUNTBLANK(OFFSET(A$1,,,SUMPRODUCT(MAX(ROW(E$1:E732)*(E2=E$1:E732))))))</f>
        <v> </v>
      </c>
      <c r="K733" s="26" t="str">
        <f>IF(OR(E733="",E733="!!!",F733="NEW"),"",INDEX(J$1:J732,SUMPRODUCT(MAX(ROW(E$1:E732)*(E733=E$1:E732)))))</f>
        <v> </v>
      </c>
      <c r="L733" s="27"/>
    </row>
    <row r="734" spans="1:12">
      <c r="A734" s="20" t="s">
        <v>636</v>
      </c>
      <c r="B734" s="21" t="s">
        <v>366</v>
      </c>
      <c r="C734" s="21" t="s">
        <v>401</v>
      </c>
      <c r="D734" s="21" t="s">
        <v>368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 t="s">
        <v>587</v>
      </c>
      <c r="E735" s="22">
        <f>IF(D735="?OLD","!!!","")</f>
        <v/>
      </c>
      <c r="F735" s="23" t="str">
        <f>IF(OR(E735="",E735="!!!"),"",IF(NOT(ISNA(VLOOKUP(E735,E$1:E734,1,FALSE()))),"OLD",IF(AND(E735&lt;&gt;"",E735&lt;&gt;"!!!"),"NEW","")))</f>
        <v> </v>
      </c>
      <c r="G735" s="24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5" t="str">
        <f>IF(J735&lt;&gt;1,"",IF(I735="SBJ","CB","?"))</f>
        <v> </v>
      </c>
      <c r="I735" s="26" t="str">
        <f>IF(OR(E735="",E735="!!!",F735="NEW"),"",INDEX(B734:B$2,-1+SUMPRODUCT(MAX(ROW(E734:E$2)*(E735=E734:E$2)))))</f>
        <v> </v>
      </c>
      <c r="J735" s="26" t="str">
        <f>IF(OR(E735="",E735="!!!",F735="NEW"),"",COUNTBLANK(OFFSET(A$1,,,SUMPRODUCT(MAX(ROW(E$2:E735)*(E735=E$2:E735)))))-COUNTBLANK(OFFSET(A$1,,,SUMPRODUCT(MAX(ROW(E$1:E734)*(E2=E$1:E734))))))</f>
        <v> </v>
      </c>
      <c r="K735" s="26" t="str">
        <f>IF(OR(E735="",E735="!!!",F735="NEW"),"",INDEX(J$1:J734,SUMPRODUCT(MAX(ROW(E$1:E734)*(E735=E$1:E734)))))</f>
        <v> </v>
      </c>
      <c r="L735" s="27"/>
    </row>
    <row r="736" spans="1:12">
      <c r="A736" s="20" t="s">
        <v>12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/>
    </row>
    <row r="738" spans="1:12">
      <c r="A738" s="20" t="s">
        <v>686</v>
      </c>
    </row>
    <row r="739" spans="1:12">
      <c r="A739" s="20" t="s">
        <v>57</v>
      </c>
      <c r="E739" s="22">
        <f>IF(D739="?OLD","!!!","")</f>
        <v/>
      </c>
      <c r="F739" s="23" t="str">
        <f>IF(OR(E739="",E739="!!!"),"",IF(NOT(ISNA(VLOOKUP(E739,E$1:E738,1,FALSE()))),"OLD",IF(AND(E739&lt;&gt;"",E739&lt;&gt;"!!!"),"NEW","")))</f>
        <v> </v>
      </c>
      <c r="G739" s="24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5" t="str">
        <f>IF(J739&lt;&gt;1,"",IF(I739="SBJ","CB","?"))</f>
        <v> </v>
      </c>
      <c r="I739" s="26" t="str">
        <f>IF(OR(E739="",E739="!!!",F739="NEW"),"",INDEX(B738:B$2,-1+SUMPRODUCT(MAX(ROW(E738:E$2)*(E739=E738:E$2)))))</f>
        <v> </v>
      </c>
      <c r="J739" s="26" t="str">
        <f>IF(OR(E739="",E739="!!!",F739="NEW"),"",COUNTBLANK(OFFSET(A$1,,,SUMPRODUCT(MAX(ROW(E$2:E739)*(E739=E$2:E739)))))-COUNTBLANK(OFFSET(A$1,,,SUMPRODUCT(MAX(ROW(E$1:E738)*(E2=E$1:E738))))))</f>
        <v> </v>
      </c>
      <c r="K739" s="26" t="str">
        <f>IF(OR(E739="",E739="!!!",F739="NEW"),"",INDEX(J$1:J738,SUMPRODUCT(MAX(ROW(E$1:E738)*(E739=E$1:E738)))))</f>
        <v> </v>
      </c>
      <c r="L739" s="27"/>
    </row>
    <row r="740" spans="1:12">
      <c r="A740" s="20" t="s">
        <v>409</v>
      </c>
      <c r="E740" s="22">
        <f>IF(D740="?OLD","!!!","")</f>
        <v/>
      </c>
      <c r="F740" s="23" t="str">
        <f>IF(OR(E740="",E740="!!!"),"",IF(NOT(ISNA(VLOOKUP(E740,E$1:E739,1,FALSE()))),"OLD",IF(AND(E740&lt;&gt;"",E740&lt;&gt;"!!!"),"NEW","")))</f>
        <v> </v>
      </c>
      <c r="G740" s="24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5" t="str">
        <f>IF(J740&lt;&gt;1,"",IF(I740="SBJ","CB","?"))</f>
        <v> </v>
      </c>
      <c r="I740" s="26" t="str">
        <f>IF(OR(E740="",E740="!!!",F740="NEW"),"",INDEX(B739:B$2,-1+SUMPRODUCT(MAX(ROW(E739:E$2)*(E740=E739:E$2)))))</f>
        <v> </v>
      </c>
      <c r="J740" s="26" t="str">
        <f>IF(OR(E740="",E740="!!!",F740="NEW"),"",COUNTBLANK(OFFSET(A$1,,,SUMPRODUCT(MAX(ROW(E$2:E740)*(E740=E$2:E740)))))-COUNTBLANK(OFFSET(A$1,,,SUMPRODUCT(MAX(ROW(E$1:E739)*(E2=E$1:E739))))))</f>
        <v> </v>
      </c>
      <c r="K740" s="26" t="str">
        <f>IF(OR(E740="",E740="!!!",F740="NEW"),"",INDEX(J$1:J739,SUMPRODUCT(MAX(ROW(E$1:E739)*(E740=E$1:E739)))))</f>
        <v> </v>
      </c>
      <c r="L740" s="27"/>
    </row>
    <row r="741" spans="1:12">
      <c r="A741" s="20"/>
    </row>
    <row r="742" spans="1:12">
      <c r="A742" s="20" t="s">
        <v>533</v>
      </c>
      <c r="E742" s="22">
        <f>IF(D742="?OLD","!!!","")</f>
        <v/>
      </c>
      <c r="F742" s="23" t="str">
        <f>IF(OR(E742="",E742="!!!"),"",IF(NOT(ISNA(VLOOKUP(E742,E$1:E741,1,FALSE()))),"OLD",IF(AND(E742&lt;&gt;"",E742&lt;&gt;"!!!"),"NEW","")))</f>
        <v> </v>
      </c>
      <c r="G742" s="24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5" t="str">
        <f>IF(J742&lt;&gt;1,"",IF(I742="SBJ","CB","?"))</f>
        <v> </v>
      </c>
      <c r="I742" s="26" t="str">
        <f>IF(OR(E742="",E742="!!!",F742="NEW"),"",INDEX(B741:B$2,-1+SUMPRODUCT(MAX(ROW(E741:E$2)*(E742=E741:E$2)))))</f>
        <v> </v>
      </c>
      <c r="J742" s="26" t="str">
        <f>IF(OR(E742="",E742="!!!",F742="NEW"),"",COUNTBLANK(OFFSET(A$1,,,SUMPRODUCT(MAX(ROW(E$2:E742)*(E742=E$2:E742)))))-COUNTBLANK(OFFSET(A$1,,,SUMPRODUCT(MAX(ROW(E$1:E741)*(E2=E$1:E741))))))</f>
        <v> </v>
      </c>
      <c r="K742" s="26" t="str">
        <f>IF(OR(E742="",E742="!!!",F742="NEW"),"",INDEX(J$1:J741,SUMPRODUCT(MAX(ROW(E$1:E741)*(E742=E$1:E741)))))</f>
        <v> </v>
      </c>
      <c r="L742" s="27"/>
    </row>
    <row r="743" spans="1:12">
      <c r="A743" s="20" t="s">
        <v>557</v>
      </c>
    </row>
    <row r="744" spans="1:12">
      <c r="A744" s="20" t="s">
        <v>94</v>
      </c>
      <c r="E744" s="22">
        <f>IF(D744="?OLD","!!!","")</f>
        <v/>
      </c>
      <c r="F744" s="23" t="str">
        <f>IF(OR(E744="",E744="!!!"),"",IF(NOT(ISNA(VLOOKUP(E744,E$1:E743,1,FALSE()))),"OLD",IF(AND(E744&lt;&gt;"",E744&lt;&gt;"!!!"),"NEW","")))</f>
        <v> </v>
      </c>
      <c r="G744" s="24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5" t="str">
        <f>IF(J744&lt;&gt;1,"",IF(I744="SBJ","CB","?"))</f>
        <v> </v>
      </c>
      <c r="I744" s="26" t="str">
        <f>IF(OR(E744="",E744="!!!",F744="NEW"),"",INDEX(B743:B$2,-1+SUMPRODUCT(MAX(ROW(E743:E$2)*(E744=E743:E$2)))))</f>
        <v> </v>
      </c>
      <c r="J744" s="26" t="str">
        <f>IF(OR(E744="",E744="!!!",F744="NEW"),"",COUNTBLANK(OFFSET(A$1,,,SUMPRODUCT(MAX(ROW(E$2:E744)*(E744=E$2:E744)))))-COUNTBLANK(OFFSET(A$1,,,SUMPRODUCT(MAX(ROW(E$1:E743)*(E2=E$1:E743))))))</f>
        <v> </v>
      </c>
      <c r="K744" s="26" t="str">
        <f>IF(OR(E744="",E744="!!!",F744="NEW"),"",INDEX(J$1:J743,SUMPRODUCT(MAX(ROW(E$1:E743)*(E744=E$1:E743)))))</f>
        <v> </v>
      </c>
      <c r="L744" s="27"/>
    </row>
    <row r="745" spans="1:12">
      <c r="A745" s="20"/>
    </row>
    <row r="746" spans="1:12">
      <c r="A746" s="20" t="s">
        <v>687</v>
      </c>
    </row>
    <row r="747" spans="1:12">
      <c r="A747" s="20" t="s">
        <v>54</v>
      </c>
      <c r="B747" s="21" t="s">
        <v>366</v>
      </c>
      <c r="C747" s="21" t="s">
        <v>542</v>
      </c>
      <c r="D747" s="21" t="s">
        <v>368</v>
      </c>
      <c r="E747" s="22">
        <f>IF(D747="?OLD","!!!","")</f>
        <v/>
      </c>
      <c r="F747" s="23" t="str">
        <f>IF(OR(E747="",E747="!!!"),"",IF(NOT(ISNA(VLOOKUP(E747,E$1:E746,1,FALSE()))),"OLD",IF(AND(E747&lt;&gt;"",E747&lt;&gt;"!!!"),"NEW","")))</f>
        <v> </v>
      </c>
      <c r="G747" s="24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5" t="str">
        <f>IF(J747&lt;&gt;1,"",IF(I747="SBJ","CB","?"))</f>
        <v> </v>
      </c>
      <c r="I747" s="26" t="str">
        <f>IF(OR(E747="",E747="!!!",F747="NEW"),"",INDEX(B746:B$2,-1+SUMPRODUCT(MAX(ROW(E746:E$2)*(E747=E746:E$2)))))</f>
        <v> </v>
      </c>
      <c r="J747" s="26" t="str">
        <f>IF(OR(E747="",E747="!!!",F747="NEW"),"",COUNTBLANK(OFFSET(A$1,,,SUMPRODUCT(MAX(ROW(E$2:E747)*(E747=E$2:E747)))))-COUNTBLANK(OFFSET(A$1,,,SUMPRODUCT(MAX(ROW(E$1:E746)*(E2=E$1:E746))))))</f>
        <v> </v>
      </c>
      <c r="K747" s="26" t="str">
        <f>IF(OR(E747="",E747="!!!",F747="NEW"),"",INDEX(J$1:J746,SUMPRODUCT(MAX(ROW(E$1:E746)*(E747=E$1:E746)))))</f>
        <v> </v>
      </c>
      <c r="L747" s="27"/>
    </row>
    <row r="748" spans="1:12">
      <c r="A748" s="20" t="s">
        <v>638</v>
      </c>
      <c r="E748" s="22">
        <f>IF(D748="?OLD","!!!","")</f>
        <v/>
      </c>
      <c r="F748" s="23" t="str">
        <f>IF(OR(E748="",E748="!!!"),"",IF(NOT(ISNA(VLOOKUP(E748,E$1:E747,1,FALSE()))),"OLD",IF(AND(E748&lt;&gt;"",E748&lt;&gt;"!!!"),"NEW","")))</f>
        <v> </v>
      </c>
      <c r="G748" s="24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5" t="str">
        <f>IF(J748&lt;&gt;1,"",IF(I748="SBJ","CB","?"))</f>
        <v> </v>
      </c>
      <c r="I748" s="26" t="str">
        <f>IF(OR(E748="",E748="!!!",F748="NEW"),"",INDEX(B747:B$2,-1+SUMPRODUCT(MAX(ROW(E747:E$2)*(E748=E747:E$2)))))</f>
        <v> </v>
      </c>
      <c r="J748" s="26" t="str">
        <f>IF(OR(E748="",E748="!!!",F748="NEW"),"",COUNTBLANK(OFFSET(A$1,,,SUMPRODUCT(MAX(ROW(E$2:E748)*(E748=E$2:E748)))))-COUNTBLANK(OFFSET(A$1,,,SUMPRODUCT(MAX(ROW(E$1:E747)*(E2=E$1:E747))))))</f>
        <v> </v>
      </c>
      <c r="K748" s="26" t="str">
        <f>IF(OR(E748="",E748="!!!",F748="NEW"),"",INDEX(J$1:J747,SUMPRODUCT(MAX(ROW(E$1:E747)*(E748=E$1:E747)))))</f>
        <v> </v>
      </c>
      <c r="L748" s="27"/>
    </row>
    <row r="749" spans="1:12">
      <c r="A749" s="20" t="s">
        <v>582</v>
      </c>
      <c r="E749" s="22">
        <f>IF(D749="?OLD","!!!","")</f>
        <v/>
      </c>
      <c r="F749" s="23" t="str">
        <f>IF(OR(E749="",E749="!!!"),"",IF(NOT(ISNA(VLOOKUP(E749,E$1:E748,1,FALSE()))),"OLD",IF(AND(E749&lt;&gt;"",E749&lt;&gt;"!!!"),"NEW","")))</f>
        <v> </v>
      </c>
      <c r="G749" s="24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5" t="str">
        <f>IF(J749&lt;&gt;1,"",IF(I749="SBJ","CB","?"))</f>
        <v> </v>
      </c>
      <c r="I749" s="26" t="str">
        <f>IF(OR(E749="",E749="!!!",F749="NEW"),"",INDEX(B748:B$2,-1+SUMPRODUCT(MAX(ROW(E748:E$2)*(E749=E748:E$2)))))</f>
        <v> </v>
      </c>
      <c r="J749" s="26" t="str">
        <f>IF(OR(E749="",E749="!!!",F749="NEW"),"",COUNTBLANK(OFFSET(A$1,,,SUMPRODUCT(MAX(ROW(E$2:E749)*(E749=E$2:E749)))))-COUNTBLANK(OFFSET(A$1,,,SUMPRODUCT(MAX(ROW(E$1:E748)*(E2=E$1:E748))))))</f>
        <v> </v>
      </c>
      <c r="K749" s="26" t="str">
        <f>IF(OR(E749="",E749="!!!",F749="NEW"),"",INDEX(J$1:J748,SUMPRODUCT(MAX(ROW(E$1:E748)*(E749=E$1:E748)))))</f>
        <v> </v>
      </c>
      <c r="L749" s="27"/>
    </row>
    <row r="750" spans="1:12">
      <c r="A750" s="20" t="s">
        <v>399</v>
      </c>
      <c r="E750" s="22">
        <f>IF(D750="?OLD","!!!","")</f>
        <v/>
      </c>
      <c r="F750" s="23" t="str">
        <f>IF(OR(E750="",E750="!!!"),"",IF(NOT(ISNA(VLOOKUP(E750,E$1:E749,1,FALSE()))),"OLD",IF(AND(E750&lt;&gt;"",E750&lt;&gt;"!!!"),"NEW","")))</f>
        <v> </v>
      </c>
      <c r="G750" s="24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5" t="str">
        <f>IF(J750&lt;&gt;1,"",IF(I750="SBJ","CB","?"))</f>
        <v> </v>
      </c>
      <c r="I750" s="26" t="str">
        <f>IF(OR(E750="",E750="!!!",F750="NEW"),"",INDEX(B749:B$2,-1+SUMPRODUCT(MAX(ROW(E749:E$2)*(E750=E749:E$2)))))</f>
        <v> </v>
      </c>
      <c r="J750" s="26" t="str">
        <f>IF(OR(E750="",E750="!!!",F750="NEW"),"",COUNTBLANK(OFFSET(A$1,,,SUMPRODUCT(MAX(ROW(E$2:E750)*(E750=E$2:E750)))))-COUNTBLANK(OFFSET(A$1,,,SUMPRODUCT(MAX(ROW(E$1:E749)*(E2=E$1:E749))))))</f>
        <v> </v>
      </c>
      <c r="K750" s="26" t="str">
        <f>IF(OR(E750="",E750="!!!",F750="NEW"),"",INDEX(J$1:J749,SUMPRODUCT(MAX(ROW(E$1:E749)*(E750=E$1:E749)))))</f>
        <v> </v>
      </c>
      <c r="L750" s="27"/>
    </row>
    <row r="751" spans="1:12">
      <c r="A751" s="20" t="s">
        <v>639</v>
      </c>
      <c r="B751" s="21" t="s">
        <v>374</v>
      </c>
      <c r="C751" s="21" t="s">
        <v>401</v>
      </c>
      <c r="D751" s="21" t="s">
        <v>368</v>
      </c>
      <c r="E751" s="22">
        <f>IF(D751="?OLD","!!!","")</f>
        <v/>
      </c>
      <c r="F751" s="23" t="str">
        <f>IF(OR(E751="",E751="!!!"),"",IF(NOT(ISNA(VLOOKUP(E751,E$1:E750,1,FALSE()))),"OLD",IF(AND(E751&lt;&gt;"",E751&lt;&gt;"!!!"),"NEW","")))</f>
        <v> </v>
      </c>
      <c r="G751" s="24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5" t="str">
        <f>IF(J751&lt;&gt;1,"",IF(I751="SBJ","CB","?"))</f>
        <v> </v>
      </c>
      <c r="I751" s="26" t="str">
        <f>IF(OR(E751="",E751="!!!",F751="NEW"),"",INDEX(B750:B$2,-1+SUMPRODUCT(MAX(ROW(E750:E$2)*(E751=E750:E$2)))))</f>
        <v> </v>
      </c>
      <c r="J751" s="26" t="str">
        <f>IF(OR(E751="",E751="!!!",F751="NEW"),"",COUNTBLANK(OFFSET(A$1,,,SUMPRODUCT(MAX(ROW(E$2:E751)*(E751=E$2:E751)))))-COUNTBLANK(OFFSET(A$1,,,SUMPRODUCT(MAX(ROW(E$1:E750)*(E2=E$1:E750))))))</f>
        <v> </v>
      </c>
      <c r="K751" s="26" t="str">
        <f>IF(OR(E751="",E751="!!!",F751="NEW"),"",INDEX(J$1:J750,SUMPRODUCT(MAX(ROW(E$1:E750)*(E751=E$1:E750)))))</f>
        <v> </v>
      </c>
      <c r="L751" s="27"/>
    </row>
    <row r="752" spans="1:12">
      <c r="A752" s="20" t="s">
        <v>402</v>
      </c>
      <c r="E752" s="22">
        <f>IF(D752="?OLD","!!!","")</f>
        <v/>
      </c>
      <c r="F752" s="23" t="str">
        <f>IF(OR(E752="",E752="!!!"),"",IF(NOT(ISNA(VLOOKUP(E752,E$1:E751,1,FALSE()))),"OLD",IF(AND(E752&lt;&gt;"",E752&lt;&gt;"!!!"),"NEW","")))</f>
        <v> </v>
      </c>
      <c r="G752" s="24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5" t="str">
        <f>IF(J752&lt;&gt;1,"",IF(I752="SBJ","CB","?"))</f>
        <v> </v>
      </c>
      <c r="I752" s="26" t="str">
        <f>IF(OR(E752="",E752="!!!",F752="NEW"),"",INDEX(B751:B$2,-1+SUMPRODUCT(MAX(ROW(E751:E$2)*(E752=E751:E$2)))))</f>
        <v> </v>
      </c>
      <c r="J752" s="26" t="str">
        <f>IF(OR(E752="",E752="!!!",F752="NEW"),"",COUNTBLANK(OFFSET(A$1,,,SUMPRODUCT(MAX(ROW(E$2:E752)*(E752=E$2:E752)))))-COUNTBLANK(OFFSET(A$1,,,SUMPRODUCT(MAX(ROW(E$1:E751)*(E2=E$1:E751))))))</f>
        <v> </v>
      </c>
      <c r="K752" s="26" t="str">
        <f>IF(OR(E752="",E752="!!!",F752="NEW"),"",INDEX(J$1:J751,SUMPRODUCT(MAX(ROW(E$1:E751)*(E752=E$1:E751)))))</f>
        <v> </v>
      </c>
      <c r="L752" s="27"/>
    </row>
    <row r="753" spans="1:12">
      <c r="A753" s="20" t="s">
        <v>471</v>
      </c>
      <c r="E753" s="22">
        <f>IF(D753="?OLD","!!!","")</f>
        <v/>
      </c>
      <c r="F753" s="23" t="str">
        <f>IF(OR(E753="",E753="!!!"),"",IF(NOT(ISNA(VLOOKUP(E753,E$1:E752,1,FALSE()))),"OLD",IF(AND(E753&lt;&gt;"",E753&lt;&gt;"!!!"),"NEW","")))</f>
        <v> </v>
      </c>
      <c r="G753" s="24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5" t="str">
        <f>IF(J753&lt;&gt;1,"",IF(I753="SBJ","CB","?"))</f>
        <v> </v>
      </c>
      <c r="I753" s="26" t="str">
        <f>IF(OR(E753="",E753="!!!",F753="NEW"),"",INDEX(B752:B$2,-1+SUMPRODUCT(MAX(ROW(E752:E$2)*(E753=E752:E$2)))))</f>
        <v> </v>
      </c>
      <c r="J753" s="26" t="str">
        <f>IF(OR(E753="",E753="!!!",F753="NEW"),"",COUNTBLANK(OFFSET(A$1,,,SUMPRODUCT(MAX(ROW(E$2:E753)*(E753=E$2:E753)))))-COUNTBLANK(OFFSET(A$1,,,SUMPRODUCT(MAX(ROW(E$1:E752)*(E2=E$1:E752))))))</f>
        <v> </v>
      </c>
      <c r="K753" s="26" t="str">
        <f>IF(OR(E753="",E753="!!!",F753="NEW"),"",INDEX(J$1:J752,SUMPRODUCT(MAX(ROW(E$1:E752)*(E753=E$1:E752)))))</f>
        <v> </v>
      </c>
      <c r="L753" s="27"/>
    </row>
    <row r="754" spans="1:12">
      <c r="A754" s="20" t="s">
        <v>200</v>
      </c>
      <c r="B754" s="21" t="s">
        <v>412</v>
      </c>
      <c r="C754" s="21" t="s">
        <v>401</v>
      </c>
      <c r="D754" s="21" t="s">
        <v>368</v>
      </c>
      <c r="E754" s="22">
        <f>IF(D754="?OLD","!!!","")</f>
        <v/>
      </c>
      <c r="F754" s="23" t="str">
        <f>IF(OR(E754="",E754="!!!"),"",IF(NOT(ISNA(VLOOKUP(E754,E$1:E753,1,FALSE()))),"OLD",IF(AND(E754&lt;&gt;"",E754&lt;&gt;"!!!"),"NEW","")))</f>
        <v> </v>
      </c>
      <c r="G754" s="24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5" t="str">
        <f>IF(J754&lt;&gt;1,"",IF(I754="SBJ","CB","?"))</f>
        <v> </v>
      </c>
      <c r="I754" s="26" t="str">
        <f>IF(OR(E754="",E754="!!!",F754="NEW"),"",INDEX(B753:B$2,-1+SUMPRODUCT(MAX(ROW(E753:E$2)*(E754=E753:E$2)))))</f>
        <v> </v>
      </c>
      <c r="J754" s="26" t="str">
        <f>IF(OR(E754="",E754="!!!",F754="NEW"),"",COUNTBLANK(OFFSET(A$1,,,SUMPRODUCT(MAX(ROW(E$2:E754)*(E754=E$2:E754)))))-COUNTBLANK(OFFSET(A$1,,,SUMPRODUCT(MAX(ROW(E$1:E753)*(E2=E$1:E753))))))</f>
        <v> </v>
      </c>
      <c r="K754" s="26" t="str">
        <f>IF(OR(E754="",E754="!!!",F754="NEW"),"",INDEX(J$1:J753,SUMPRODUCT(MAX(ROW(E$1:E753)*(E754=E$1:E753)))))</f>
        <v> </v>
      </c>
      <c r="L754" s="27"/>
    </row>
    <row r="755" spans="1:12">
      <c r="A755" s="20" t="s">
        <v>467</v>
      </c>
      <c r="E755" s="22">
        <f>IF(D755="?OLD","!!!","")</f>
        <v/>
      </c>
      <c r="F755" s="23" t="str">
        <f>IF(OR(E755="",E755="!!!"),"",IF(NOT(ISNA(VLOOKUP(E755,E$1:E754,1,FALSE()))),"OLD",IF(AND(E755&lt;&gt;"",E755&lt;&gt;"!!!"),"NEW","")))</f>
        <v> </v>
      </c>
      <c r="G755" s="24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5" t="str">
        <f>IF(J755&lt;&gt;1,"",IF(I755="SBJ","CB","?"))</f>
        <v> </v>
      </c>
      <c r="I755" s="26" t="str">
        <f>IF(OR(E755="",E755="!!!",F755="NEW"),"",INDEX(B754:B$2,-1+SUMPRODUCT(MAX(ROW(E754:E$2)*(E755=E754:E$2)))))</f>
        <v> </v>
      </c>
      <c r="J755" s="26" t="str">
        <f>IF(OR(E755="",E755="!!!",F755="NEW"),"",COUNTBLANK(OFFSET(A$1,,,SUMPRODUCT(MAX(ROW(E$2:E755)*(E755=E$2:E755)))))-COUNTBLANK(OFFSET(A$1,,,SUMPRODUCT(MAX(ROW(E$1:E754)*(E2=E$1:E754))))))</f>
        <v> </v>
      </c>
      <c r="K755" s="26" t="str">
        <f>IF(OR(E755="",E755="!!!",F755="NEW"),"",INDEX(J$1:J754,SUMPRODUCT(MAX(ROW(E$1:E754)*(E755=E$1:E754)))))</f>
        <v> </v>
      </c>
      <c r="L755" s="27"/>
    </row>
    <row r="756" spans="1:12">
      <c r="A756" s="20" t="s">
        <v>587</v>
      </c>
      <c r="E756" s="22">
        <f>IF(D756="?OLD","!!!","")</f>
        <v/>
      </c>
      <c r="F756" s="23" t="str">
        <f>IF(OR(E756="",E756="!!!"),"",IF(NOT(ISNA(VLOOKUP(E756,E$1:E755,1,FALSE()))),"OLD",IF(AND(E756&lt;&gt;"",E756&lt;&gt;"!!!"),"NEW","")))</f>
        <v> </v>
      </c>
      <c r="G756" s="24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5" t="str">
        <f>IF(J756&lt;&gt;1,"",IF(I756="SBJ","CB","?"))</f>
        <v> </v>
      </c>
      <c r="I756" s="26" t="str">
        <f>IF(OR(E756="",E756="!!!",F756="NEW"),"",INDEX(B755:B$2,-1+SUMPRODUCT(MAX(ROW(E755:E$2)*(E756=E755:E$2)))))</f>
        <v> </v>
      </c>
      <c r="J756" s="26" t="str">
        <f>IF(OR(E756="",E756="!!!",F756="NEW"),"",COUNTBLANK(OFFSET(A$1,,,SUMPRODUCT(MAX(ROW(E$2:E756)*(E756=E$2:E756)))))-COUNTBLANK(OFFSET(A$1,,,SUMPRODUCT(MAX(ROW(E$1:E755)*(E2=E$1:E755))))))</f>
        <v> </v>
      </c>
      <c r="K756" s="26" t="str">
        <f>IF(OR(E756="",E756="!!!",F756="NEW"),"",INDEX(J$1:J755,SUMPRODUCT(MAX(ROW(E$1:E755)*(E756=E$1:E755)))))</f>
        <v> </v>
      </c>
      <c r="L756" s="27"/>
    </row>
    <row r="757" spans="1:12">
      <c r="A757" s="20" t="s">
        <v>409</v>
      </c>
      <c r="E757" s="22">
        <f>IF(D757="?OLD","!!!","")</f>
        <v/>
      </c>
      <c r="F757" s="23" t="str">
        <f>IF(OR(E757="",E757="!!!"),"",IF(NOT(ISNA(VLOOKUP(E757,E$1:E756,1,FALSE()))),"OLD",IF(AND(E757&lt;&gt;"",E757&lt;&gt;"!!!"),"NEW","")))</f>
        <v> </v>
      </c>
      <c r="G757" s="24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5" t="str">
        <f>IF(J757&lt;&gt;1,"",IF(I757="SBJ","CB","?"))</f>
        <v> </v>
      </c>
      <c r="I757" s="26" t="str">
        <f>IF(OR(E757="",E757="!!!",F757="NEW"),"",INDEX(B756:B$2,-1+SUMPRODUCT(MAX(ROW(E756:E$2)*(E757=E756:E$2)))))</f>
        <v> </v>
      </c>
      <c r="J757" s="26" t="str">
        <f>IF(OR(E757="",E757="!!!",F757="NEW"),"",COUNTBLANK(OFFSET(A$1,,,SUMPRODUCT(MAX(ROW(E$2:E757)*(E757=E$2:E757)))))-COUNTBLANK(OFFSET(A$1,,,SUMPRODUCT(MAX(ROW(E$1:E756)*(E2=E$1:E756))))))</f>
        <v> </v>
      </c>
      <c r="K757" s="26" t="str">
        <f>IF(OR(E757="",E757="!!!",F757="NEW"),"",INDEX(J$1:J756,SUMPRODUCT(MAX(ROW(E$1:E756)*(E757=E$1:E756)))))</f>
        <v> </v>
      </c>
      <c r="L757" s="27"/>
    </row>
    <row r="758" spans="1:12">
      <c r="A758" s="20"/>
    </row>
    <row r="759" spans="1:12">
      <c r="A759" s="20" t="s">
        <v>688</v>
      </c>
    </row>
    <row r="760" spans="1:12">
      <c r="A760" s="20" t="s">
        <v>479</v>
      </c>
      <c r="E760" s="22">
        <f>IF(D760="?OLD","!!!","")</f>
        <v/>
      </c>
      <c r="F760" s="23" t="str">
        <f>IF(OR(E760="",E760="!!!"),"",IF(NOT(ISNA(VLOOKUP(E760,E$1:E759,1,FALSE()))),"OLD",IF(AND(E760&lt;&gt;"",E760&lt;&gt;"!!!"),"NEW","")))</f>
        <v> </v>
      </c>
      <c r="G760" s="24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5" t="str">
        <f>IF(J760&lt;&gt;1,"",IF(I760="SBJ","CB","?"))</f>
        <v> </v>
      </c>
      <c r="I760" s="26" t="str">
        <f>IF(OR(E760="",E760="!!!",F760="NEW"),"",INDEX(B759:B$2,-1+SUMPRODUCT(MAX(ROW(E759:E$2)*(E760=E759:E$2)))))</f>
        <v> </v>
      </c>
      <c r="J760" s="26" t="str">
        <f>IF(OR(E760="",E760="!!!",F760="NEW"),"",COUNTBLANK(OFFSET(A$1,,,SUMPRODUCT(MAX(ROW(E$2:E760)*(E760=E$2:E760)))))-COUNTBLANK(OFFSET(A$1,,,SUMPRODUCT(MAX(ROW(E$1:E759)*(E2=E$1:E759))))))</f>
        <v> </v>
      </c>
      <c r="K760" s="26" t="str">
        <f>IF(OR(E760="",E760="!!!",F760="NEW"),"",INDEX(J$1:J759,SUMPRODUCT(MAX(ROW(E$1:E759)*(E760=E$1:E759)))))</f>
        <v> </v>
      </c>
      <c r="L760" s="27"/>
    </row>
    <row r="761" spans="1:12">
      <c r="A761" s="20" t="s">
        <v>484</v>
      </c>
      <c r="E761" s="22">
        <f>IF(D761="?OLD","!!!","")</f>
        <v/>
      </c>
      <c r="F761" s="23" t="str">
        <f>IF(OR(E761="",E761="!!!"),"",IF(NOT(ISNA(VLOOKUP(E761,E$1:E760,1,FALSE()))),"OLD",IF(AND(E761&lt;&gt;"",E761&lt;&gt;"!!!"),"NEW","")))</f>
        <v> </v>
      </c>
      <c r="G761" s="24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5" t="str">
        <f>IF(J761&lt;&gt;1,"",IF(I761="SBJ","CB","?"))</f>
        <v> </v>
      </c>
      <c r="I761" s="26" t="str">
        <f>IF(OR(E761="",E761="!!!",F761="NEW"),"",INDEX(B760:B$2,-1+SUMPRODUCT(MAX(ROW(E760:E$2)*(E761=E760:E$2)))))</f>
        <v> </v>
      </c>
      <c r="J761" s="26" t="str">
        <f>IF(OR(E761="",E761="!!!",F761="NEW"),"",COUNTBLANK(OFFSET(A$1,,,SUMPRODUCT(MAX(ROW(E$2:E761)*(E761=E$2:E761)))))-COUNTBLANK(OFFSET(A$1,,,SUMPRODUCT(MAX(ROW(E$1:E760)*(E2=E$1:E760))))))</f>
        <v> </v>
      </c>
      <c r="K761" s="26" t="str">
        <f>IF(OR(E761="",E761="!!!",F761="NEW"),"",INDEX(J$1:J760,SUMPRODUCT(MAX(ROW(E$1:E760)*(E761=E$1:E760)))))</f>
        <v> </v>
      </c>
      <c r="L761" s="27"/>
    </row>
    <row r="762" spans="1:12">
      <c r="A762" s="20" t="s">
        <v>487</v>
      </c>
      <c r="B762" s="21" t="s">
        <v>412</v>
      </c>
      <c r="C762" s="21" t="s">
        <v>401</v>
      </c>
      <c r="D762" s="21" t="s">
        <v>368</v>
      </c>
      <c r="E762" s="22">
        <f>IF(D762="?OLD","!!!","")</f>
        <v/>
      </c>
      <c r="F762" s="23" t="str">
        <f>IF(OR(E762="",E762="!!!"),"",IF(NOT(ISNA(VLOOKUP(E762,E$1:E761,1,FALSE()))),"OLD",IF(AND(E762&lt;&gt;"",E762&lt;&gt;"!!!"),"NEW","")))</f>
        <v> </v>
      </c>
      <c r="G762" s="24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5" t="str">
        <f>IF(J762&lt;&gt;1,"",IF(I762="SBJ","CB","?"))</f>
        <v> </v>
      </c>
      <c r="I762" s="26" t="str">
        <f>IF(OR(E762="",E762="!!!",F762="NEW"),"",INDEX(B761:B$2,-1+SUMPRODUCT(MAX(ROW(E761:E$2)*(E762=E761:E$2)))))</f>
        <v> </v>
      </c>
      <c r="J762" s="26" t="str">
        <f>IF(OR(E762="",E762="!!!",F762="NEW"),"",COUNTBLANK(OFFSET(A$1,,,SUMPRODUCT(MAX(ROW(E$2:E762)*(E762=E$2:E762)))))-COUNTBLANK(OFFSET(A$1,,,SUMPRODUCT(MAX(ROW(E$1:E761)*(E2=E$1:E761))))))</f>
        <v> </v>
      </c>
      <c r="K762" s="26" t="str">
        <f>IF(OR(E762="",E762="!!!",F762="NEW"),"",INDEX(J$1:J761,SUMPRODUCT(MAX(ROW(E$1:E761)*(E762=E$1:E761)))))</f>
        <v> </v>
      </c>
      <c r="L762" s="27"/>
    </row>
    <row r="763" spans="1:12">
      <c r="A763" s="20" t="s">
        <v>449</v>
      </c>
      <c r="E763" s="22">
        <f>IF(D763="?OLD","!!!","")</f>
        <v/>
      </c>
      <c r="F763" s="23" t="str">
        <f>IF(OR(E763="",E763="!!!"),"",IF(NOT(ISNA(VLOOKUP(E763,E$1:E762,1,FALSE()))),"OLD",IF(AND(E763&lt;&gt;"",E763&lt;&gt;"!!!"),"NEW","")))</f>
        <v> </v>
      </c>
      <c r="G763" s="24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5" t="str">
        <f>IF(J763&lt;&gt;1,"",IF(I763="SBJ","CB","?"))</f>
        <v> </v>
      </c>
      <c r="I763" s="26" t="str">
        <f>IF(OR(E763="",E763="!!!",F763="NEW"),"",INDEX(B762:B$2,-1+SUMPRODUCT(MAX(ROW(E762:E$2)*(E763=E762:E$2)))))</f>
        <v> </v>
      </c>
      <c r="J763" s="26" t="str">
        <f>IF(OR(E763="",E763="!!!",F763="NEW"),"",COUNTBLANK(OFFSET(A$1,,,SUMPRODUCT(MAX(ROW(E$2:E763)*(E763=E$2:E763)))))-COUNTBLANK(OFFSET(A$1,,,SUMPRODUCT(MAX(ROW(E$1:E762)*(E2=E$1:E762))))))</f>
        <v> </v>
      </c>
      <c r="K763" s="26" t="str">
        <f>IF(OR(E763="",E763="!!!",F763="NEW"),"",INDEX(J$1:J762,SUMPRODUCT(MAX(ROW(E$1:E762)*(E763=E$1:E762)))))</f>
        <v> </v>
      </c>
      <c r="L763" s="27"/>
    </row>
    <row r="764" spans="1:12">
      <c r="A764" s="20" t="s">
        <v>689</v>
      </c>
      <c r="E764" s="22">
        <f>IF(D764="?OLD","!!!","")</f>
        <v/>
      </c>
      <c r="F764" s="23" t="str">
        <f>IF(OR(E764="",E764="!!!"),"",IF(NOT(ISNA(VLOOKUP(E764,E$1:E763,1,FALSE()))),"OLD",IF(AND(E764&lt;&gt;"",E764&lt;&gt;"!!!"),"NEW","")))</f>
        <v> </v>
      </c>
      <c r="G764" s="24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5" t="str">
        <f>IF(J764&lt;&gt;1,"",IF(I764="SBJ","CB","?"))</f>
        <v> </v>
      </c>
      <c r="I764" s="26" t="str">
        <f>IF(OR(E764="",E764="!!!",F764="NEW"),"",INDEX(B763:B$2,-1+SUMPRODUCT(MAX(ROW(E763:E$2)*(E764=E763:E$2)))))</f>
        <v> </v>
      </c>
      <c r="J764" s="26" t="str">
        <f>IF(OR(E764="",E764="!!!",F764="NEW"),"",COUNTBLANK(OFFSET(A$1,,,SUMPRODUCT(MAX(ROW(E$2:E764)*(E764=E$2:E764)))))-COUNTBLANK(OFFSET(A$1,,,SUMPRODUCT(MAX(ROW(E$1:E763)*(E2=E$1:E763))))))</f>
        <v> </v>
      </c>
      <c r="K764" s="26" t="str">
        <f>IF(OR(E764="",E764="!!!",F764="NEW"),"",INDEX(J$1:J763,SUMPRODUCT(MAX(ROW(E$1:E763)*(E764=E$1:E763)))))</f>
        <v> </v>
      </c>
      <c r="L764" s="27"/>
    </row>
    <row r="765" spans="1:12">
      <c r="A765" s="20" t="s">
        <v>690</v>
      </c>
      <c r="E765" s="22">
        <f>IF(D765="?OLD","!!!","")</f>
        <v/>
      </c>
      <c r="F765" s="23" t="str">
        <f>IF(OR(E765="",E765="!!!"),"",IF(NOT(ISNA(VLOOKUP(E765,E$1:E764,1,FALSE()))),"OLD",IF(AND(E765&lt;&gt;"",E765&lt;&gt;"!!!"),"NEW","")))</f>
        <v> </v>
      </c>
      <c r="G765" s="24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5" t="str">
        <f>IF(J765&lt;&gt;1,"",IF(I765="SBJ","CB","?"))</f>
        <v> </v>
      </c>
      <c r="I765" s="26" t="str">
        <f>IF(OR(E765="",E765="!!!",F765="NEW"),"",INDEX(B764:B$2,-1+SUMPRODUCT(MAX(ROW(E764:E$2)*(E765=E764:E$2)))))</f>
        <v> </v>
      </c>
      <c r="J765" s="26" t="str">
        <f>IF(OR(E765="",E765="!!!",F765="NEW"),"",COUNTBLANK(OFFSET(A$1,,,SUMPRODUCT(MAX(ROW(E$2:E765)*(E765=E$2:E765)))))-COUNTBLANK(OFFSET(A$1,,,SUMPRODUCT(MAX(ROW(E$1:E764)*(E2=E$1:E764))))))</f>
        <v> </v>
      </c>
      <c r="K765" s="26" t="str">
        <f>IF(OR(E765="",E765="!!!",F765="NEW"),"",INDEX(J$1:J764,SUMPRODUCT(MAX(ROW(E$1:E764)*(E765=E$1:E764)))))</f>
        <v> </v>
      </c>
      <c r="L765" s="27"/>
    </row>
    <row r="766" spans="1:12">
      <c r="A766" s="20" t="s">
        <v>376</v>
      </c>
      <c r="E766" s="22">
        <f>IF(D766="?OLD","!!!","")</f>
        <v/>
      </c>
      <c r="F766" s="23" t="str">
        <f>IF(OR(E766="",E766="!!!"),"",IF(NOT(ISNA(VLOOKUP(E766,E$1:E765,1,FALSE()))),"OLD",IF(AND(E766&lt;&gt;"",E766&lt;&gt;"!!!"),"NEW","")))</f>
        <v> </v>
      </c>
      <c r="G766" s="24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5" t="str">
        <f>IF(J766&lt;&gt;1,"",IF(I766="SBJ","CB","?"))</f>
        <v> </v>
      </c>
      <c r="I766" s="26" t="str">
        <f>IF(OR(E766="",E766="!!!",F766="NEW"),"",INDEX(B765:B$2,-1+SUMPRODUCT(MAX(ROW(E765:E$2)*(E766=E765:E$2)))))</f>
        <v> </v>
      </c>
      <c r="J766" s="26" t="str">
        <f>IF(OR(E766="",E766="!!!",F766="NEW"),"",COUNTBLANK(OFFSET(A$1,,,SUMPRODUCT(MAX(ROW(E$2:E766)*(E766=E$2:E766)))))-COUNTBLANK(OFFSET(A$1,,,SUMPRODUCT(MAX(ROW(E$1:E765)*(E2=E$1:E765))))))</f>
        <v> </v>
      </c>
      <c r="K766" s="26" t="str">
        <f>IF(OR(E766="",E766="!!!",F766="NEW"),"",INDEX(J$1:J765,SUMPRODUCT(MAX(ROW(E$1:E765)*(E766=E$1:E765)))))</f>
        <v> </v>
      </c>
      <c r="L766" s="27"/>
    </row>
    <row r="767" spans="1:12">
      <c r="A767" s="20" t="s">
        <v>439</v>
      </c>
      <c r="E767" s="22">
        <f>IF(D767="?OLD","!!!","")</f>
        <v/>
      </c>
      <c r="F767" s="23" t="str">
        <f>IF(OR(E767="",E767="!!!"),"",IF(NOT(ISNA(VLOOKUP(E767,E$1:E766,1,FALSE()))),"OLD",IF(AND(E767&lt;&gt;"",E767&lt;&gt;"!!!"),"NEW","")))</f>
        <v> </v>
      </c>
      <c r="G767" s="24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5" t="str">
        <f>IF(J767&lt;&gt;1,"",IF(I767="SBJ","CB","?"))</f>
        <v> </v>
      </c>
      <c r="I767" s="26" t="str">
        <f>IF(OR(E767="",E767="!!!",F767="NEW"),"",INDEX(B766:B$2,-1+SUMPRODUCT(MAX(ROW(E766:E$2)*(E767=E766:E$2)))))</f>
        <v> </v>
      </c>
      <c r="J767" s="26" t="str">
        <f>IF(OR(E767="",E767="!!!",F767="NEW"),"",COUNTBLANK(OFFSET(A$1,,,SUMPRODUCT(MAX(ROW(E$2:E767)*(E767=E$2:E767)))))-COUNTBLANK(OFFSET(A$1,,,SUMPRODUCT(MAX(ROW(E$1:E766)*(E2=E$1:E766))))))</f>
        <v> </v>
      </c>
      <c r="K767" s="26" t="str">
        <f>IF(OR(E767="",E767="!!!",F767="NEW"),"",INDEX(J$1:J766,SUMPRODUCT(MAX(ROW(E$1:E766)*(E767=E$1:E766)))))</f>
        <v> </v>
      </c>
      <c r="L767" s="27"/>
    </row>
    <row r="768" spans="1:12">
      <c r="A768" s="20" t="s">
        <v>188</v>
      </c>
      <c r="B768" s="21" t="s">
        <v>366</v>
      </c>
      <c r="C768" s="21" t="s">
        <v>367</v>
      </c>
      <c r="D768" s="21" t="s">
        <v>368</v>
      </c>
      <c r="E768" s="22">
        <f>IF(D768="?OLD","!!!","")</f>
        <v/>
      </c>
      <c r="F768" s="23" t="str">
        <f>IF(OR(E768="",E768="!!!"),"",IF(NOT(ISNA(VLOOKUP(E768,E$1:E767,1,FALSE()))),"OLD",IF(AND(E768&lt;&gt;"",E768&lt;&gt;"!!!"),"NEW","")))</f>
        <v> </v>
      </c>
      <c r="G768" s="24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5" t="str">
        <f>IF(J768&lt;&gt;1,"",IF(I768="SBJ","CB","?"))</f>
        <v> </v>
      </c>
      <c r="I768" s="26" t="str">
        <f>IF(OR(E768="",E768="!!!",F768="NEW"),"",INDEX(B767:B$2,-1+SUMPRODUCT(MAX(ROW(E767:E$2)*(E768=E767:E$2)))))</f>
        <v> </v>
      </c>
      <c r="J768" s="26" t="str">
        <f>IF(OR(E768="",E768="!!!",F768="NEW"),"",COUNTBLANK(OFFSET(A$1,,,SUMPRODUCT(MAX(ROW(E$2:E768)*(E768=E$2:E768)))))-COUNTBLANK(OFFSET(A$1,,,SUMPRODUCT(MAX(ROW(E$1:E767)*(E2=E$1:E767))))))</f>
        <v> </v>
      </c>
      <c r="K768" s="26" t="str">
        <f>IF(OR(E768="",E768="!!!",F768="NEW"),"",INDEX(J$1:J767,SUMPRODUCT(MAX(ROW(E$1:E767)*(E768=E$1:E767)))))</f>
        <v> </v>
      </c>
      <c r="L768" s="27"/>
    </row>
    <row r="769" spans="1:12">
      <c r="A769" s="20" t="s">
        <v>440</v>
      </c>
      <c r="B769" s="21" t="s">
        <v>412</v>
      </c>
      <c r="C769" s="21" t="s">
        <v>385</v>
      </c>
      <c r="E769" s="22">
        <f>IF(D769="?OLD","!!!","")</f>
        <v/>
      </c>
      <c r="F769" s="23" t="str">
        <f>IF(OR(E769="",E769="!!!"),"",IF(NOT(ISNA(VLOOKUP(E769,E$1:E768,1,FALSE()))),"OLD",IF(AND(E769&lt;&gt;"",E769&lt;&gt;"!!!"),"NEW","")))</f>
        <v> </v>
      </c>
      <c r="G769" s="24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5" t="str">
        <f>IF(J769&lt;&gt;1,"",IF(I769="SBJ","CB","?"))</f>
        <v> </v>
      </c>
      <c r="I769" s="26" t="str">
        <f>IF(OR(E769="",E769="!!!",F769="NEW"),"",INDEX(B768:B$2,-1+SUMPRODUCT(MAX(ROW(E768:E$2)*(E769=E768:E$2)))))</f>
        <v> </v>
      </c>
      <c r="J769" s="26" t="str">
        <f>IF(OR(E769="",E769="!!!",F769="NEW"),"",COUNTBLANK(OFFSET(A$1,,,SUMPRODUCT(MAX(ROW(E$2:E769)*(E769=E$2:E769)))))-COUNTBLANK(OFFSET(A$1,,,SUMPRODUCT(MAX(ROW(E$1:E768)*(E2=E$1:E768))))))</f>
        <v> </v>
      </c>
      <c r="K769" s="26" t="str">
        <f>IF(OR(E769="",E769="!!!",F769="NEW"),"",INDEX(J$1:J768,SUMPRODUCT(MAX(ROW(E$1:E768)*(E769=E$1:E768)))))</f>
        <v> </v>
      </c>
      <c r="L769" s="27"/>
    </row>
    <row r="770" spans="1:12">
      <c r="A770" s="20" t="s">
        <v>461</v>
      </c>
      <c r="B770" s="21" t="s">
        <v>374</v>
      </c>
      <c r="C770" s="21" t="s">
        <v>367</v>
      </c>
      <c r="D770" s="21" t="s">
        <v>368</v>
      </c>
      <c r="E770" s="22">
        <f>IF(D770="?OLD","!!!","")</f>
        <v/>
      </c>
      <c r="F770" s="23" t="str">
        <f>IF(OR(E770="",E770="!!!"),"",IF(NOT(ISNA(VLOOKUP(E770,E$1:E769,1,FALSE()))),"OLD",IF(AND(E770&lt;&gt;"",E770&lt;&gt;"!!!"),"NEW","")))</f>
        <v> </v>
      </c>
      <c r="G770" s="24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5" t="str">
        <f>IF(J770&lt;&gt;1,"",IF(I770="SBJ","CB","?"))</f>
        <v> </v>
      </c>
      <c r="I770" s="26" t="str">
        <f>IF(OR(E770="",E770="!!!",F770="NEW"),"",INDEX(B769:B$2,-1+SUMPRODUCT(MAX(ROW(E769:E$2)*(E770=E769:E$2)))))</f>
        <v> </v>
      </c>
      <c r="J770" s="26" t="str">
        <f>IF(OR(E770="",E770="!!!",F770="NEW"),"",COUNTBLANK(OFFSET(A$1,,,SUMPRODUCT(MAX(ROW(E$2:E770)*(E770=E$2:E770)))))-COUNTBLANK(OFFSET(A$1,,,SUMPRODUCT(MAX(ROW(E$1:E769)*(E2=E$1:E769))))))</f>
        <v> </v>
      </c>
      <c r="K770" s="26" t="str">
        <f>IF(OR(E770="",E770="!!!",F770="NEW"),"",INDEX(J$1:J769,SUMPRODUCT(MAX(ROW(E$1:E769)*(E770=E$1:E769)))))</f>
        <v> </v>
      </c>
      <c r="L770" s="27"/>
    </row>
    <row r="771" spans="1:12">
      <c r="A771" s="20" t="s">
        <v>376</v>
      </c>
      <c r="E771" s="22">
        <f>IF(D771="?OLD","!!!","")</f>
        <v/>
      </c>
      <c r="F771" s="23" t="str">
        <f>IF(OR(E771="",E771="!!!"),"",IF(NOT(ISNA(VLOOKUP(E771,E$1:E770,1,FALSE()))),"OLD",IF(AND(E771&lt;&gt;"",E771&lt;&gt;"!!!"),"NEW","")))</f>
        <v> </v>
      </c>
      <c r="G771" s="24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5" t="str">
        <f>IF(J771&lt;&gt;1,"",IF(I771="SBJ","CB","?"))</f>
        <v> </v>
      </c>
      <c r="I771" s="26" t="str">
        <f>IF(OR(E771="",E771="!!!",F771="NEW"),"",INDEX(B770:B$2,-1+SUMPRODUCT(MAX(ROW(E770:E$2)*(E771=E770:E$2)))))</f>
        <v> </v>
      </c>
      <c r="J771" s="26" t="str">
        <f>IF(OR(E771="",E771="!!!",F771="NEW"),"",COUNTBLANK(OFFSET(A$1,,,SUMPRODUCT(MAX(ROW(E$2:E771)*(E771=E$2:E771)))))-COUNTBLANK(OFFSET(A$1,,,SUMPRODUCT(MAX(ROW(E$1:E770)*(E2=E$1:E770))))))</f>
        <v> </v>
      </c>
      <c r="K771" s="26" t="str">
        <f>IF(OR(E771="",E771="!!!",F771="NEW"),"",INDEX(J$1:J770,SUMPRODUCT(MAX(ROW(E$1:E770)*(E771=E$1:E770)))))</f>
        <v> </v>
      </c>
      <c r="L771" s="27"/>
    </row>
    <row r="772" spans="1:12">
      <c r="A772" s="20" t="s">
        <v>682</v>
      </c>
      <c r="E772" s="22">
        <f>IF(D772="?OLD","!!!","")</f>
        <v/>
      </c>
      <c r="F772" s="23" t="str">
        <f>IF(OR(E772="",E772="!!!"),"",IF(NOT(ISNA(VLOOKUP(E772,E$1:E771,1,FALSE()))),"OLD",IF(AND(E772&lt;&gt;"",E772&lt;&gt;"!!!"),"NEW","")))</f>
        <v> </v>
      </c>
      <c r="G772" s="24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5" t="str">
        <f>IF(J772&lt;&gt;1,"",IF(I772="SBJ","CB","?"))</f>
        <v> </v>
      </c>
      <c r="I772" s="26" t="str">
        <f>IF(OR(E772="",E772="!!!",F772="NEW"),"",INDEX(B771:B$2,-1+SUMPRODUCT(MAX(ROW(E771:E$2)*(E772=E771:E$2)))))</f>
        <v> </v>
      </c>
      <c r="J772" s="26" t="str">
        <f>IF(OR(E772="",E772="!!!",F772="NEW"),"",COUNTBLANK(OFFSET(A$1,,,SUMPRODUCT(MAX(ROW(E$2:E772)*(E772=E$2:E772)))))-COUNTBLANK(OFFSET(A$1,,,SUMPRODUCT(MAX(ROW(E$1:E771)*(E2=E$1:E771))))))</f>
        <v> </v>
      </c>
      <c r="K772" s="26" t="str">
        <f>IF(OR(E772="",E772="!!!",F772="NEW"),"",INDEX(J$1:J771,SUMPRODUCT(MAX(ROW(E$1:E771)*(E772=E$1:E771)))))</f>
        <v> </v>
      </c>
      <c r="L772" s="27"/>
    </row>
    <row r="773" spans="1:12">
      <c r="A773" s="20" t="s">
        <v>188</v>
      </c>
      <c r="B773" s="21" t="s">
        <v>404</v>
      </c>
      <c r="C773" s="21" t="s">
        <v>367</v>
      </c>
      <c r="D773" s="21" t="s">
        <v>368</v>
      </c>
      <c r="E773" s="22">
        <f>IF(D773="?OLD","!!!","")</f>
        <v/>
      </c>
      <c r="F773" s="23" t="str">
        <f>IF(OR(E773="",E773="!!!"),"",IF(NOT(ISNA(VLOOKUP(E773,E$1:E772,1,FALSE()))),"OLD",IF(AND(E773&lt;&gt;"",E773&lt;&gt;"!!!"),"NEW","")))</f>
        <v> </v>
      </c>
      <c r="G773" s="24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5" t="str">
        <f>IF(J773&lt;&gt;1,"",IF(I773="SBJ","CB","?"))</f>
        <v> </v>
      </c>
      <c r="I773" s="26" t="str">
        <f>IF(OR(E773="",E773="!!!",F773="NEW"),"",INDEX(B772:B$2,-1+SUMPRODUCT(MAX(ROW(E772:E$2)*(E773=E772:E$2)))))</f>
        <v> </v>
      </c>
      <c r="J773" s="26" t="str">
        <f>IF(OR(E773="",E773="!!!",F773="NEW"),"",COUNTBLANK(OFFSET(A$1,,,SUMPRODUCT(MAX(ROW(E$2:E773)*(E773=E$2:E773)))))-COUNTBLANK(OFFSET(A$1,,,SUMPRODUCT(MAX(ROW(E$1:E772)*(E2=E$1:E772))))))</f>
        <v> </v>
      </c>
      <c r="K773" s="26" t="str">
        <f>IF(OR(E773="",E773="!!!",F773="NEW"),"",INDEX(J$1:J772,SUMPRODUCT(MAX(ROW(E$1:E772)*(E773=E$1:E772)))))</f>
        <v> </v>
      </c>
      <c r="L773" s="27"/>
    </row>
    <row r="774" spans="1:12">
      <c r="A774" s="20" t="s">
        <v>594</v>
      </c>
      <c r="B774" s="21" t="s">
        <v>424</v>
      </c>
      <c r="E774" s="22">
        <f>IF(D774="?OLD","!!!","")</f>
        <v/>
      </c>
      <c r="F774" s="23" t="str">
        <f>IF(OR(E774="",E774="!!!"),"",IF(NOT(ISNA(VLOOKUP(E774,E$1:E773,1,FALSE()))),"OLD",IF(AND(E774&lt;&gt;"",E774&lt;&gt;"!!!"),"NEW","")))</f>
        <v> </v>
      </c>
      <c r="G774" s="24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5" t="str">
        <f>IF(J774&lt;&gt;1,"",IF(I774="SBJ","CB","?"))</f>
        <v> </v>
      </c>
      <c r="I774" s="26" t="str">
        <f>IF(OR(E774="",E774="!!!",F774="NEW"),"",INDEX(B773:B$2,-1+SUMPRODUCT(MAX(ROW(E773:E$2)*(E774=E773:E$2)))))</f>
        <v> </v>
      </c>
      <c r="J774" s="26" t="str">
        <f>IF(OR(E774="",E774="!!!",F774="NEW"),"",COUNTBLANK(OFFSET(A$1,,,SUMPRODUCT(MAX(ROW(E$2:E774)*(E774=E$2:E774)))))-COUNTBLANK(OFFSET(A$1,,,SUMPRODUCT(MAX(ROW(E$1:E773)*(E2=E$1:E773))))))</f>
        <v> </v>
      </c>
      <c r="K774" s="26" t="str">
        <f>IF(OR(E774="",E774="!!!",F774="NEW"),"",INDEX(J$1:J773,SUMPRODUCT(MAX(ROW(E$1:E773)*(E774=E$1:E773)))))</f>
        <v> </v>
      </c>
      <c r="L774" s="27"/>
    </row>
    <row r="775" spans="1:12">
      <c r="A775" s="20"/>
    </row>
    <row r="776" spans="1:12">
      <c r="A776" s="20" t="s">
        <v>691</v>
      </c>
    </row>
    <row r="777" spans="1:12">
      <c r="A777" s="20" t="s">
        <v>692</v>
      </c>
      <c r="E777" s="22">
        <f>IF(D777="?OLD","!!!","")</f>
        <v/>
      </c>
      <c r="F777" s="23" t="str">
        <f>IF(OR(E777="",E777="!!!"),"",IF(NOT(ISNA(VLOOKUP(E777,E$1:E776,1,FALSE()))),"OLD",IF(AND(E777&lt;&gt;"",E777&lt;&gt;"!!!"),"NEW","")))</f>
        <v> </v>
      </c>
      <c r="G777" s="24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5" t="str">
        <f>IF(J777&lt;&gt;1,"",IF(I777="SBJ","CB","?"))</f>
        <v> </v>
      </c>
      <c r="I777" s="26" t="str">
        <f>IF(OR(E777="",E777="!!!",F777="NEW"),"",INDEX(B776:B$2,-1+SUMPRODUCT(MAX(ROW(E776:E$2)*(E777=E776:E$2)))))</f>
        <v> </v>
      </c>
      <c r="J777" s="26" t="str">
        <f>IF(OR(E777="",E777="!!!",F777="NEW"),"",COUNTBLANK(OFFSET(A$1,,,SUMPRODUCT(MAX(ROW(E$2:E777)*(E777=E$2:E777)))))-COUNTBLANK(OFFSET(A$1,,,SUMPRODUCT(MAX(ROW(E$1:E776)*(E2=E$1:E776))))))</f>
        <v> </v>
      </c>
      <c r="K777" s="26" t="str">
        <f>IF(OR(E777="",E777="!!!",F777="NEW"),"",INDEX(J$1:J776,SUMPRODUCT(MAX(ROW(E$1:E776)*(E777=E$1:E776)))))</f>
        <v> </v>
      </c>
      <c r="L777" s="27"/>
    </row>
    <row r="778" spans="1:12">
      <c r="A778" s="20" t="s">
        <v>399</v>
      </c>
      <c r="E778" s="22">
        <f>IF(D778="?OLD","!!!","")</f>
        <v/>
      </c>
      <c r="F778" s="23" t="str">
        <f>IF(OR(E778="",E778="!!!"),"",IF(NOT(ISNA(VLOOKUP(E778,E$1:E777,1,FALSE()))),"OLD",IF(AND(E778&lt;&gt;"",E778&lt;&gt;"!!!"),"NEW","")))</f>
        <v> </v>
      </c>
      <c r="G778" s="24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5" t="str">
        <f>IF(J778&lt;&gt;1,"",IF(I778="SBJ","CB","?"))</f>
        <v> </v>
      </c>
      <c r="I778" s="26" t="str">
        <f>IF(OR(E778="",E778="!!!",F778="NEW"),"",INDEX(B777:B$2,-1+SUMPRODUCT(MAX(ROW(E777:E$2)*(E778=E777:E$2)))))</f>
        <v> </v>
      </c>
      <c r="J778" s="26" t="str">
        <f>IF(OR(E778="",E778="!!!",F778="NEW"),"",COUNTBLANK(OFFSET(A$1,,,SUMPRODUCT(MAX(ROW(E$2:E778)*(E778=E$2:E778)))))-COUNTBLANK(OFFSET(A$1,,,SUMPRODUCT(MAX(ROW(E$1:E777)*(E2=E$1:E777))))))</f>
        <v> </v>
      </c>
      <c r="K778" s="26" t="str">
        <f>IF(OR(E778="",E778="!!!",F778="NEW"),"",INDEX(J$1:J777,SUMPRODUCT(MAX(ROW(E$1:E777)*(E778=E$1:E777)))))</f>
        <v> </v>
      </c>
      <c r="L778" s="27"/>
    </row>
    <row r="779" spans="1:12">
      <c r="A779" s="20" t="s">
        <v>693</v>
      </c>
      <c r="B779" s="21" t="s">
        <v>374</v>
      </c>
      <c r="C779" s="21" t="s">
        <v>401</v>
      </c>
      <c r="D779" s="21" t="s">
        <v>368</v>
      </c>
      <c r="E779" s="22">
        <f>IF(D779="?OLD","!!!","")</f>
        <v/>
      </c>
      <c r="F779" s="23" t="str">
        <f>IF(OR(E779="",E779="!!!"),"",IF(NOT(ISNA(VLOOKUP(E779,E$1:E778,1,FALSE()))),"OLD",IF(AND(E779&lt;&gt;"",E779&lt;&gt;"!!!"),"NEW","")))</f>
        <v> </v>
      </c>
      <c r="G779" s="24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5" t="str">
        <f>IF(J779&lt;&gt;1,"",IF(I779="SBJ","CB","?"))</f>
        <v> </v>
      </c>
      <c r="I779" s="26" t="str">
        <f>IF(OR(E779="",E779="!!!",F779="NEW"),"",INDEX(B778:B$2,-1+SUMPRODUCT(MAX(ROW(E778:E$2)*(E779=E778:E$2)))))</f>
        <v> </v>
      </c>
      <c r="J779" s="26" t="str">
        <f>IF(OR(E779="",E779="!!!",F779="NEW"),"",COUNTBLANK(OFFSET(A$1,,,SUMPRODUCT(MAX(ROW(E$2:E779)*(E779=E$2:E779)))))-COUNTBLANK(OFFSET(A$1,,,SUMPRODUCT(MAX(ROW(E$1:E778)*(E2=E$1:E778))))))</f>
        <v> </v>
      </c>
      <c r="K779" s="26" t="str">
        <f>IF(OR(E779="",E779="!!!",F779="NEW"),"",INDEX(J$1:J778,SUMPRODUCT(MAX(ROW(E$1:E778)*(E779=E$1:E778)))))</f>
        <v> </v>
      </c>
      <c r="L779" s="27"/>
    </row>
    <row r="780" spans="1:12">
      <c r="A780" s="20" t="s">
        <v>694</v>
      </c>
      <c r="E780" s="22">
        <f>IF(D780="?OLD","!!!","")</f>
        <v/>
      </c>
      <c r="F780" s="23" t="str">
        <f>IF(OR(E780="",E780="!!!"),"",IF(NOT(ISNA(VLOOKUP(E780,E$1:E779,1,FALSE()))),"OLD",IF(AND(E780&lt;&gt;"",E780&lt;&gt;"!!!"),"NEW","")))</f>
        <v> </v>
      </c>
      <c r="G780" s="24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5" t="str">
        <f>IF(J780&lt;&gt;1,"",IF(I780="SBJ","CB","?"))</f>
        <v> </v>
      </c>
      <c r="I780" s="26" t="str">
        <f>IF(OR(E780="",E780="!!!",F780="NEW"),"",INDEX(B779:B$2,-1+SUMPRODUCT(MAX(ROW(E779:E$2)*(E780=E779:E$2)))))</f>
        <v> </v>
      </c>
      <c r="J780" s="26" t="str">
        <f>IF(OR(E780="",E780="!!!",F780="NEW"),"",COUNTBLANK(OFFSET(A$1,,,SUMPRODUCT(MAX(ROW(E$2:E780)*(E780=E$2:E780)))))-COUNTBLANK(OFFSET(A$1,,,SUMPRODUCT(MAX(ROW(E$1:E779)*(E2=E$1:E779))))))</f>
        <v> </v>
      </c>
      <c r="K780" s="26" t="str">
        <f>IF(OR(E780="",E780="!!!",F780="NEW"),"",INDEX(J$1:J779,SUMPRODUCT(MAX(ROW(E$1:E779)*(E780=E$1:E779)))))</f>
        <v> </v>
      </c>
      <c r="L780" s="27"/>
    </row>
    <row r="781" spans="1:12">
      <c r="A781" s="20" t="s">
        <v>441</v>
      </c>
      <c r="E781" s="22">
        <f>IF(D781="?OLD","!!!","")</f>
        <v/>
      </c>
      <c r="F781" s="23" t="str">
        <f>IF(OR(E781="",E781="!!!"),"",IF(NOT(ISNA(VLOOKUP(E781,E$1:E780,1,FALSE()))),"OLD",IF(AND(E781&lt;&gt;"",E781&lt;&gt;"!!!"),"NEW","")))</f>
        <v> </v>
      </c>
      <c r="G781" s="24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5" t="str">
        <f>IF(J781&lt;&gt;1,"",IF(I781="SBJ","CB","?"))</f>
        <v> </v>
      </c>
      <c r="I781" s="26" t="str">
        <f>IF(OR(E781="",E781="!!!",F781="NEW"),"",INDEX(B780:B$2,-1+SUMPRODUCT(MAX(ROW(E780:E$2)*(E781=E780:E$2)))))</f>
        <v> </v>
      </c>
      <c r="J781" s="26" t="str">
        <f>IF(OR(E781="",E781="!!!",F781="NEW"),"",COUNTBLANK(OFFSET(A$1,,,SUMPRODUCT(MAX(ROW(E$2:E781)*(E781=E$2:E781)))))-COUNTBLANK(OFFSET(A$1,,,SUMPRODUCT(MAX(ROW(E$1:E780)*(E2=E$1:E780))))))</f>
        <v> </v>
      </c>
      <c r="K781" s="26" t="str">
        <f>IF(OR(E781="",E781="!!!",F781="NEW"),"",INDEX(J$1:J780,SUMPRODUCT(MAX(ROW(E$1:E780)*(E781=E$1:E780)))))</f>
        <v> </v>
      </c>
      <c r="L781" s="27"/>
    </row>
    <row r="782" spans="1:12">
      <c r="A782" s="20" t="s">
        <v>695</v>
      </c>
      <c r="B782" s="21" t="s">
        <v>366</v>
      </c>
      <c r="C782" s="21" t="s">
        <v>430</v>
      </c>
      <c r="E782" s="22">
        <f>IF(D782="?OLD","!!!","")</f>
        <v/>
      </c>
      <c r="F782" s="23" t="str">
        <f>IF(OR(E782="",E782="!!!"),"",IF(NOT(ISNA(VLOOKUP(E782,E$1:E781,1,FALSE()))),"OLD",IF(AND(E782&lt;&gt;"",E782&lt;&gt;"!!!"),"NEW","")))</f>
        <v> </v>
      </c>
      <c r="G782" s="24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5" t="str">
        <f>IF(J782&lt;&gt;1,"",IF(I782="SBJ","CB","?"))</f>
        <v> </v>
      </c>
      <c r="I782" s="26" t="str">
        <f>IF(OR(E782="",E782="!!!",F782="NEW"),"",INDEX(B781:B$2,-1+SUMPRODUCT(MAX(ROW(E781:E$2)*(E782=E781:E$2)))))</f>
        <v> </v>
      </c>
      <c r="J782" s="26" t="str">
        <f>IF(OR(E782="",E782="!!!",F782="NEW"),"",COUNTBLANK(OFFSET(A$1,,,SUMPRODUCT(MAX(ROW(E$2:E782)*(E782=E$2:E782)))))-COUNTBLANK(OFFSET(A$1,,,SUMPRODUCT(MAX(ROW(E$1:E781)*(E2=E$1:E781))))))</f>
        <v> </v>
      </c>
      <c r="K782" s="26" t="str">
        <f>IF(OR(E782="",E782="!!!",F782="NEW"),"",INDEX(J$1:J781,SUMPRODUCT(MAX(ROW(E$1:E781)*(E782=E$1:E781)))))</f>
        <v> </v>
      </c>
      <c r="L782" s="27"/>
    </row>
    <row r="783" spans="1:12">
      <c r="A783" s="20" t="s">
        <v>673</v>
      </c>
      <c r="E783" s="22">
        <f>IF(D783="?OLD","!!!","")</f>
        <v/>
      </c>
      <c r="F783" s="23" t="str">
        <f>IF(OR(E783="",E783="!!!"),"",IF(NOT(ISNA(VLOOKUP(E783,E$1:E782,1,FALSE()))),"OLD",IF(AND(E783&lt;&gt;"",E783&lt;&gt;"!!!"),"NEW","")))</f>
        <v> </v>
      </c>
      <c r="G783" s="24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5" t="str">
        <f>IF(J783&lt;&gt;1,"",IF(I783="SBJ","CB","?"))</f>
        <v> </v>
      </c>
      <c r="I783" s="26" t="str">
        <f>IF(OR(E783="",E783="!!!",F783="NEW"),"",INDEX(B782:B$2,-1+SUMPRODUCT(MAX(ROW(E782:E$2)*(E783=E782:E$2)))))</f>
        <v> </v>
      </c>
      <c r="J783" s="26" t="str">
        <f>IF(OR(E783="",E783="!!!",F783="NEW"),"",COUNTBLANK(OFFSET(A$1,,,SUMPRODUCT(MAX(ROW(E$2:E783)*(E783=E$2:E783)))))-COUNTBLANK(OFFSET(A$1,,,SUMPRODUCT(MAX(ROW(E$1:E782)*(E2=E$1:E782))))))</f>
        <v> </v>
      </c>
      <c r="K783" s="26" t="str">
        <f>IF(OR(E783="",E783="!!!",F783="NEW"),"",INDEX(J$1:J782,SUMPRODUCT(MAX(ROW(E$1:E782)*(E783=E$1:E782)))))</f>
        <v> </v>
      </c>
      <c r="L783" s="27"/>
    </row>
    <row r="784" spans="1:12">
      <c r="A784" s="20" t="s">
        <v>86</v>
      </c>
      <c r="B784" s="21" t="s">
        <v>419</v>
      </c>
      <c r="C784" s="21" t="s">
        <v>401</v>
      </c>
      <c r="D784" s="21" t="s">
        <v>368</v>
      </c>
      <c r="E784" s="22">
        <f>IF(D784="?OLD","!!!","")</f>
        <v/>
      </c>
      <c r="F784" s="23" t="str">
        <f>IF(OR(E784="",E784="!!!"),"",IF(NOT(ISNA(VLOOKUP(E784,E$1:E783,1,FALSE()))),"OLD",IF(AND(E784&lt;&gt;"",E784&lt;&gt;"!!!"),"NEW","")))</f>
        <v> </v>
      </c>
      <c r="G784" s="24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5" t="str">
        <f>IF(J784&lt;&gt;1,"",IF(I784="SBJ","CB","?"))</f>
        <v> </v>
      </c>
      <c r="I784" s="26" t="str">
        <f>IF(OR(E784="",E784="!!!",F784="NEW"),"",INDEX(B783:B$2,-1+SUMPRODUCT(MAX(ROW(E783:E$2)*(E784=E783:E$2)))))</f>
        <v> </v>
      </c>
      <c r="J784" s="26" t="str">
        <f>IF(OR(E784="",E784="!!!",F784="NEW"),"",COUNTBLANK(OFFSET(A$1,,,SUMPRODUCT(MAX(ROW(E$2:E784)*(E784=E$2:E784)))))-COUNTBLANK(OFFSET(A$1,,,SUMPRODUCT(MAX(ROW(E$1:E783)*(E2=E$1:E783))))))</f>
        <v> </v>
      </c>
      <c r="K784" s="26" t="str">
        <f>IF(OR(E784="",E784="!!!",F784="NEW"),"",INDEX(J$1:J783,SUMPRODUCT(MAX(ROW(E$1:E783)*(E784=E$1:E783)))))</f>
        <v> </v>
      </c>
      <c r="L784" s="27"/>
    </row>
    <row r="785" spans="1:12">
      <c r="A785" s="20" t="s">
        <v>402</v>
      </c>
      <c r="E785" s="22">
        <f>IF(D785="?OLD","!!!","")</f>
        <v/>
      </c>
      <c r="F785" s="23" t="str">
        <f>IF(OR(E785="",E785="!!!"),"",IF(NOT(ISNA(VLOOKUP(E785,E$1:E784,1,FALSE()))),"OLD",IF(AND(E785&lt;&gt;"",E785&lt;&gt;"!!!"),"NEW","")))</f>
        <v> </v>
      </c>
      <c r="G785" s="24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5" t="str">
        <f>IF(J785&lt;&gt;1,"",IF(I785="SBJ","CB","?"))</f>
        <v> </v>
      </c>
      <c r="I785" s="26" t="str">
        <f>IF(OR(E785="",E785="!!!",F785="NEW"),"",INDEX(B784:B$2,-1+SUMPRODUCT(MAX(ROW(E784:E$2)*(E785=E784:E$2)))))</f>
        <v> </v>
      </c>
      <c r="J785" s="26" t="str">
        <f>IF(OR(E785="",E785="!!!",F785="NEW"),"",COUNTBLANK(OFFSET(A$1,,,SUMPRODUCT(MAX(ROW(E$2:E785)*(E785=E$2:E785)))))-COUNTBLANK(OFFSET(A$1,,,SUMPRODUCT(MAX(ROW(E$1:E784)*(E2=E$1:E784))))))</f>
        <v> </v>
      </c>
      <c r="K785" s="26" t="str">
        <f>IF(OR(E785="",E785="!!!",F785="NEW"),"",INDEX(J$1:J784,SUMPRODUCT(MAX(ROW(E$1:E784)*(E785=E$1:E784)))))</f>
        <v> </v>
      </c>
      <c r="L785" s="27"/>
    </row>
    <row r="786" spans="1:12">
      <c r="A786" s="20" t="s">
        <v>377</v>
      </c>
      <c r="E786" s="22">
        <f>IF(D786="?OLD","!!!","")</f>
        <v/>
      </c>
      <c r="F786" s="23" t="str">
        <f>IF(OR(E786="",E786="!!!"),"",IF(NOT(ISNA(VLOOKUP(E786,E$1:E785,1,FALSE()))),"OLD",IF(AND(E786&lt;&gt;"",E786&lt;&gt;"!!!"),"NEW","")))</f>
        <v> </v>
      </c>
      <c r="G786" s="24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5" t="str">
        <f>IF(J786&lt;&gt;1,"",IF(I786="SBJ","CB","?"))</f>
        <v> </v>
      </c>
      <c r="I786" s="26" t="str">
        <f>IF(OR(E786="",E786="!!!",F786="NEW"),"",INDEX(B785:B$2,-1+SUMPRODUCT(MAX(ROW(E785:E$2)*(E786=E785:E$2)))))</f>
        <v> </v>
      </c>
      <c r="J786" s="26" t="str">
        <f>IF(OR(E786="",E786="!!!",F786="NEW"),"",COUNTBLANK(OFFSET(A$1,,,SUMPRODUCT(MAX(ROW(E$2:E786)*(E786=E$2:E786)))))-COUNTBLANK(OFFSET(A$1,,,SUMPRODUCT(MAX(ROW(E$1:E785)*(E2=E$1:E785))))))</f>
        <v> </v>
      </c>
      <c r="K786" s="26" t="str">
        <f>IF(OR(E786="",E786="!!!",F786="NEW"),"",INDEX(J$1:J785,SUMPRODUCT(MAX(ROW(E$1:E785)*(E786=E$1:E785)))))</f>
        <v> </v>
      </c>
      <c r="L786" s="27"/>
    </row>
    <row r="787" spans="1:12">
      <c r="A787" s="20" t="s">
        <v>696</v>
      </c>
      <c r="B787" s="21" t="s">
        <v>412</v>
      </c>
      <c r="C787" s="21" t="s">
        <v>401</v>
      </c>
      <c r="D787" s="21" t="s">
        <v>368</v>
      </c>
      <c r="E787" s="22">
        <f>IF(D787="?OLD","!!!","")</f>
        <v/>
      </c>
      <c r="F787" s="23" t="str">
        <f>IF(OR(E787="",E787="!!!"),"",IF(NOT(ISNA(VLOOKUP(E787,E$1:E786,1,FALSE()))),"OLD",IF(AND(E787&lt;&gt;"",E787&lt;&gt;"!!!"),"NEW","")))</f>
        <v> </v>
      </c>
      <c r="G787" s="24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5" t="str">
        <f>IF(J787&lt;&gt;1,"",IF(I787="SBJ","CB","?"))</f>
        <v> </v>
      </c>
      <c r="I787" s="26" t="str">
        <f>IF(OR(E787="",E787="!!!",F787="NEW"),"",INDEX(B786:B$2,-1+SUMPRODUCT(MAX(ROW(E786:E$2)*(E787=E786:E$2)))))</f>
        <v> </v>
      </c>
      <c r="J787" s="26" t="str">
        <f>IF(OR(E787="",E787="!!!",F787="NEW"),"",COUNTBLANK(OFFSET(A$1,,,SUMPRODUCT(MAX(ROW(E$2:E787)*(E787=E$2:E787)))))-COUNTBLANK(OFFSET(A$1,,,SUMPRODUCT(MAX(ROW(E$1:E786)*(E2=E$1:E786))))))</f>
        <v> </v>
      </c>
      <c r="K787" s="26" t="str">
        <f>IF(OR(E787="",E787="!!!",F787="NEW"),"",INDEX(J$1:J786,SUMPRODUCT(MAX(ROW(E$1:E786)*(E787=E$1:E786)))))</f>
        <v> </v>
      </c>
      <c r="L787" s="27"/>
    </row>
    <row r="788" spans="1:12">
      <c r="A788" s="20">
        <f/>
        <v>0</v>
      </c>
      <c r="E788" s="22">
        <f>IF(D788="?OLD","!!!","")</f>
        <v/>
      </c>
      <c r="F788" s="23" t="str">
        <f>IF(OR(E788="",E788="!!!"),"",IF(NOT(ISNA(VLOOKUP(E788,E$1:E787,1,FALSE()))),"OLD",IF(AND(E788&lt;&gt;"",E788&lt;&gt;"!!!"),"NEW","")))</f>
        <v> </v>
      </c>
      <c r="G788" s="24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5" t="str">
        <f>IF(J788&lt;&gt;1,"",IF(I788="SBJ","CB","?"))</f>
        <v> </v>
      </c>
      <c r="I788" s="26" t="str">
        <f>IF(OR(E788="",E788="!!!",F788="NEW"),"",INDEX(B787:B$2,-1+SUMPRODUCT(MAX(ROW(E787:E$2)*(E788=E787:E$2)))))</f>
        <v> </v>
      </c>
      <c r="J788" s="26" t="str">
        <f>IF(OR(E788="",E788="!!!",F788="NEW"),"",COUNTBLANK(OFFSET(A$1,,,SUMPRODUCT(MAX(ROW(E$2:E788)*(E788=E$2:E788)))))-COUNTBLANK(OFFSET(A$1,,,SUMPRODUCT(MAX(ROW(E$1:E787)*(E2=E$1:E787))))))</f>
        <v> </v>
      </c>
      <c r="K788" s="26" t="str">
        <f>IF(OR(E788="",E788="!!!",F788="NEW"),"",INDEX(J$1:J787,SUMPRODUCT(MAX(ROW(E$1:E787)*(E788=E$1:E787)))))</f>
        <v> </v>
      </c>
      <c r="L788" s="27"/>
    </row>
    <row r="789" spans="1:12">
      <c r="A789" s="20"/>
    </row>
    <row r="790" spans="1:12">
      <c r="A790" s="20" t="s">
        <v>697</v>
      </c>
    </row>
    <row r="791" spans="1:12">
      <c r="A791" s="20" t="s">
        <v>257</v>
      </c>
      <c r="E791" s="22">
        <f>IF(D791="?OLD","!!!","")</f>
        <v/>
      </c>
      <c r="F791" s="23" t="str">
        <f>IF(OR(E791="",E791="!!!"),"",IF(NOT(ISNA(VLOOKUP(E791,E$1:E790,1,FALSE()))),"OLD",IF(AND(E791&lt;&gt;"",E791&lt;&gt;"!!!"),"NEW","")))</f>
        <v> </v>
      </c>
      <c r="G791" s="24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5" t="str">
        <f>IF(J791&lt;&gt;1,"",IF(I791="SBJ","CB","?"))</f>
        <v> </v>
      </c>
      <c r="I791" s="26" t="str">
        <f>IF(OR(E791="",E791="!!!",F791="NEW"),"",INDEX(B790:B$2,-1+SUMPRODUCT(MAX(ROW(E790:E$2)*(E791=E790:E$2)))))</f>
        <v> </v>
      </c>
      <c r="J791" s="26" t="str">
        <f>IF(OR(E791="",E791="!!!",F791="NEW"),"",COUNTBLANK(OFFSET(A$1,,,SUMPRODUCT(MAX(ROW(E$2:E791)*(E791=E$2:E791)))))-COUNTBLANK(OFFSET(A$1,,,SUMPRODUCT(MAX(ROW(E$1:E790)*(E2=E$1:E790))))))</f>
        <v> </v>
      </c>
      <c r="K791" s="26" t="str">
        <f>IF(OR(E791="",E791="!!!",F791="NEW"),"",INDEX(J$1:J790,SUMPRODUCT(MAX(ROW(E$1:E790)*(E791=E$1:E790)))))</f>
        <v> </v>
      </c>
      <c r="L791" s="27"/>
    </row>
    <row r="792" spans="1:12">
      <c r="A792" s="20" t="s">
        <v>50</v>
      </c>
      <c r="B792" s="21" t="s">
        <v>366</v>
      </c>
      <c r="C792" s="21" t="s">
        <v>430</v>
      </c>
      <c r="E792" s="22">
        <f>IF(D792="?OLD","!!!","")</f>
        <v/>
      </c>
      <c r="F792" s="23" t="str">
        <f>IF(OR(E792="",E792="!!!"),"",IF(NOT(ISNA(VLOOKUP(E792,E$1:E791,1,FALSE()))),"OLD",IF(AND(E792&lt;&gt;"",E792&lt;&gt;"!!!"),"NEW","")))</f>
        <v> </v>
      </c>
      <c r="G792" s="24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5" t="str">
        <f>IF(J792&lt;&gt;1,"",IF(I792="SBJ","CB","?"))</f>
        <v> </v>
      </c>
      <c r="I792" s="26" t="str">
        <f>IF(OR(E792="",E792="!!!",F792="NEW"),"",INDEX(B791:B$2,-1+SUMPRODUCT(MAX(ROW(E791:E$2)*(E792=E791:E$2)))))</f>
        <v> </v>
      </c>
      <c r="J792" s="26" t="str">
        <f>IF(OR(E792="",E792="!!!",F792="NEW"),"",COUNTBLANK(OFFSET(A$1,,,SUMPRODUCT(MAX(ROW(E$2:E792)*(E792=E$2:E792)))))-COUNTBLANK(OFFSET(A$1,,,SUMPRODUCT(MAX(ROW(E$1:E791)*(E2=E$1:E791))))))</f>
        <v> </v>
      </c>
      <c r="K792" s="26" t="str">
        <f>IF(OR(E792="",E792="!!!",F792="NEW"),"",INDEX(J$1:J791,SUMPRODUCT(MAX(ROW(E$1:E791)*(E792=E$1:E791)))))</f>
        <v> </v>
      </c>
      <c r="L792" s="27"/>
    </row>
    <row r="793" spans="1:12">
      <c r="A793" s="20" t="s">
        <v>587</v>
      </c>
      <c r="E793" s="22">
        <f>IF(D793="?OLD","!!!","")</f>
        <v/>
      </c>
      <c r="F793" s="23" t="str">
        <f>IF(OR(E793="",E793="!!!"),"",IF(NOT(ISNA(VLOOKUP(E793,E$1:E792,1,FALSE()))),"OLD",IF(AND(E793&lt;&gt;"",E793&lt;&gt;"!!!"),"NEW","")))</f>
        <v> </v>
      </c>
      <c r="G793" s="24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5" t="str">
        <f>IF(J793&lt;&gt;1,"",IF(I793="SBJ","CB","?"))</f>
        <v> </v>
      </c>
      <c r="I793" s="26" t="str">
        <f>IF(OR(E793="",E793="!!!",F793="NEW"),"",INDEX(B792:B$2,-1+SUMPRODUCT(MAX(ROW(E792:E$2)*(E793=E792:E$2)))))</f>
        <v> </v>
      </c>
      <c r="J793" s="26" t="str">
        <f>IF(OR(E793="",E793="!!!",F793="NEW"),"",COUNTBLANK(OFFSET(A$1,,,SUMPRODUCT(MAX(ROW(E$2:E793)*(E793=E$2:E793)))))-COUNTBLANK(OFFSET(A$1,,,SUMPRODUCT(MAX(ROW(E$1:E792)*(E2=E$1:E792))))))</f>
        <v> </v>
      </c>
      <c r="K793" s="26" t="str">
        <f>IF(OR(E793="",E793="!!!",F793="NEW"),"",INDEX(J$1:J792,SUMPRODUCT(MAX(ROW(E$1:E792)*(E793=E$1:E792)))))</f>
        <v> </v>
      </c>
      <c r="L793" s="27"/>
    </row>
    <row r="794" spans="1:12">
      <c r="A794" s="20" t="s">
        <v>673</v>
      </c>
      <c r="E794" s="22">
        <f>IF(D794="?OLD","!!!","")</f>
        <v/>
      </c>
      <c r="F794" s="23" t="str">
        <f>IF(OR(E794="",E794="!!!"),"",IF(NOT(ISNA(VLOOKUP(E794,E$1:E793,1,FALSE()))),"OLD",IF(AND(E794&lt;&gt;"",E794&lt;&gt;"!!!"),"NEW","")))</f>
        <v> </v>
      </c>
      <c r="G794" s="24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5" t="str">
        <f>IF(J794&lt;&gt;1,"",IF(I794="SBJ","CB","?"))</f>
        <v> </v>
      </c>
      <c r="I794" s="26" t="str">
        <f>IF(OR(E794="",E794="!!!",F794="NEW"),"",INDEX(B793:B$2,-1+SUMPRODUCT(MAX(ROW(E793:E$2)*(E794=E793:E$2)))))</f>
        <v> </v>
      </c>
      <c r="J794" s="26" t="str">
        <f>IF(OR(E794="",E794="!!!",F794="NEW"),"",COUNTBLANK(OFFSET(A$1,,,SUMPRODUCT(MAX(ROW(E$2:E794)*(E794=E$2:E794)))))-COUNTBLANK(OFFSET(A$1,,,SUMPRODUCT(MAX(ROW(E$1:E793)*(E2=E$1:E793))))))</f>
        <v> </v>
      </c>
      <c r="K794" s="26" t="str">
        <f>IF(OR(E794="",E794="!!!",F794="NEW"),"",INDEX(J$1:J793,SUMPRODUCT(MAX(ROW(E$1:E793)*(E794=E$1:E793)))))</f>
        <v> </v>
      </c>
      <c r="L794" s="27"/>
    </row>
    <row r="795" spans="1:12">
      <c r="A795" s="20" t="s">
        <v>698</v>
      </c>
      <c r="B795" s="21" t="s">
        <v>374</v>
      </c>
      <c r="C795" s="21" t="s">
        <v>401</v>
      </c>
      <c r="D795" s="21" t="s">
        <v>368</v>
      </c>
      <c r="E795" s="22">
        <f>IF(D795="?OLD","!!!","")</f>
        <v/>
      </c>
      <c r="F795" s="23" t="str">
        <f>IF(OR(E795="",E795="!!!"),"",IF(NOT(ISNA(VLOOKUP(E795,E$1:E794,1,FALSE()))),"OLD",IF(AND(E795&lt;&gt;"",E795&lt;&gt;"!!!"),"NEW","")))</f>
        <v> </v>
      </c>
      <c r="G795" s="24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5" t="str">
        <f>IF(J795&lt;&gt;1,"",IF(I795="SBJ","CB","?"))</f>
        <v> </v>
      </c>
      <c r="I795" s="26" t="str">
        <f>IF(OR(E795="",E795="!!!",F795="NEW"),"",INDEX(B794:B$2,-1+SUMPRODUCT(MAX(ROW(E794:E$2)*(E795=E794:E$2)))))</f>
        <v> </v>
      </c>
      <c r="J795" s="26" t="str">
        <f>IF(OR(E795="",E795="!!!",F795="NEW"),"",COUNTBLANK(OFFSET(A$1,,,SUMPRODUCT(MAX(ROW(E$2:E795)*(E795=E$2:E795)))))-COUNTBLANK(OFFSET(A$1,,,SUMPRODUCT(MAX(ROW(E$1:E794)*(E2=E$1:E794))))))</f>
        <v> </v>
      </c>
      <c r="K795" s="26" t="str">
        <f>IF(OR(E795="",E795="!!!",F795="NEW"),"",INDEX(J$1:J794,SUMPRODUCT(MAX(ROW(E$1:E794)*(E795=E$1:E794)))))</f>
        <v> </v>
      </c>
      <c r="L795" s="27"/>
    </row>
    <row r="796" spans="1:12">
      <c r="A796" s="20" t="s">
        <v>402</v>
      </c>
      <c r="E796" s="22">
        <f>IF(D796="?OLD","!!!","")</f>
        <v/>
      </c>
      <c r="F796" s="23" t="str">
        <f>IF(OR(E796="",E796="!!!"),"",IF(NOT(ISNA(VLOOKUP(E796,E$1:E795,1,FALSE()))),"OLD",IF(AND(E796&lt;&gt;"",E796&lt;&gt;"!!!"),"NEW","")))</f>
        <v> </v>
      </c>
      <c r="G796" s="24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5" t="str">
        <f>IF(J796&lt;&gt;1,"",IF(I796="SBJ","CB","?"))</f>
        <v> </v>
      </c>
      <c r="I796" s="26" t="str">
        <f>IF(OR(E796="",E796="!!!",F796="NEW"),"",INDEX(B795:B$2,-1+SUMPRODUCT(MAX(ROW(E795:E$2)*(E796=E795:E$2)))))</f>
        <v> </v>
      </c>
      <c r="J796" s="26" t="str">
        <f>IF(OR(E796="",E796="!!!",F796="NEW"),"",COUNTBLANK(OFFSET(A$1,,,SUMPRODUCT(MAX(ROW(E$2:E796)*(E796=E$2:E796)))))-COUNTBLANK(OFFSET(A$1,,,SUMPRODUCT(MAX(ROW(E$1:E795)*(E2=E$1:E795))))))</f>
        <v> </v>
      </c>
      <c r="K796" s="26" t="str">
        <f>IF(OR(E796="",E796="!!!",F796="NEW"),"",INDEX(J$1:J795,SUMPRODUCT(MAX(ROW(E$1:E795)*(E796=E$1:E795)))))</f>
        <v> </v>
      </c>
      <c r="L796" s="27"/>
    </row>
    <row r="797" spans="1:12">
      <c r="A797" s="20" t="s">
        <v>699</v>
      </c>
      <c r="E797" s="22">
        <f>IF(D797="?OLD","!!!","")</f>
        <v/>
      </c>
      <c r="F797" s="23" t="str">
        <f>IF(OR(E797="",E797="!!!"),"",IF(NOT(ISNA(VLOOKUP(E797,E$1:E796,1,FALSE()))),"OLD",IF(AND(E797&lt;&gt;"",E797&lt;&gt;"!!!"),"NEW","")))</f>
        <v> </v>
      </c>
      <c r="G797" s="24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5" t="str">
        <f>IF(J797&lt;&gt;1,"",IF(I797="SBJ","CB","?"))</f>
        <v> </v>
      </c>
      <c r="I797" s="26" t="str">
        <f>IF(OR(E797="",E797="!!!",F797="NEW"),"",INDEX(B796:B$2,-1+SUMPRODUCT(MAX(ROW(E796:E$2)*(E797=E796:E$2)))))</f>
        <v> </v>
      </c>
      <c r="J797" s="26" t="str">
        <f>IF(OR(E797="",E797="!!!",F797="NEW"),"",COUNTBLANK(OFFSET(A$1,,,SUMPRODUCT(MAX(ROW(E$2:E797)*(E797=E$2:E797)))))-COUNTBLANK(OFFSET(A$1,,,SUMPRODUCT(MAX(ROW(E$1:E796)*(E2=E$1:E796))))))</f>
        <v> </v>
      </c>
      <c r="K797" s="26" t="str">
        <f>IF(OR(E797="",E797="!!!",F797="NEW"),"",INDEX(J$1:J796,SUMPRODUCT(MAX(ROW(E$1:E796)*(E797=E$1:E796)))))</f>
        <v> </v>
      </c>
      <c r="L797" s="27"/>
    </row>
    <row r="798" spans="1:12">
      <c r="A798" s="20" t="s">
        <v>440</v>
      </c>
      <c r="B798" s="21" t="s">
        <v>444</v>
      </c>
      <c r="C798" s="21" t="s">
        <v>385</v>
      </c>
      <c r="E798" s="22">
        <f>IF(D798="?OLD","!!!","")</f>
        <v/>
      </c>
      <c r="F798" s="23" t="str">
        <f>IF(OR(E798="",E798="!!!"),"",IF(NOT(ISNA(VLOOKUP(E798,E$1:E797,1,FALSE()))),"OLD",IF(AND(E798&lt;&gt;"",E798&lt;&gt;"!!!"),"NEW","")))</f>
        <v> </v>
      </c>
      <c r="G798" s="24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5" t="str">
        <f>IF(J798&lt;&gt;1,"",IF(I798="SBJ","CB","?"))</f>
        <v> </v>
      </c>
      <c r="I798" s="26" t="str">
        <f>IF(OR(E798="",E798="!!!",F798="NEW"),"",INDEX(B797:B$2,-1+SUMPRODUCT(MAX(ROW(E797:E$2)*(E798=E797:E$2)))))</f>
        <v> </v>
      </c>
      <c r="J798" s="26" t="str">
        <f>IF(OR(E798="",E798="!!!",F798="NEW"),"",COUNTBLANK(OFFSET(A$1,,,SUMPRODUCT(MAX(ROW(E$2:E798)*(E798=E$2:E798)))))-COUNTBLANK(OFFSET(A$1,,,SUMPRODUCT(MAX(ROW(E$1:E797)*(E2=E$1:E797))))))</f>
        <v> </v>
      </c>
      <c r="K798" s="26" t="str">
        <f>IF(OR(E798="",E798="!!!",F798="NEW"),"",INDEX(J$1:J797,SUMPRODUCT(MAX(ROW(E$1:E797)*(E798=E$1:E797)))))</f>
        <v> </v>
      </c>
      <c r="L798" s="27"/>
    </row>
    <row r="799" spans="1:12">
      <c r="A799" s="20" t="s">
        <v>700</v>
      </c>
      <c r="B799" s="21" t="s">
        <v>412</v>
      </c>
      <c r="C799" s="21" t="s">
        <v>367</v>
      </c>
      <c r="D799" s="21" t="s">
        <v>368</v>
      </c>
      <c r="E799" s="22">
        <f>IF(D799="?OLD","!!!","")</f>
        <v/>
      </c>
      <c r="F799" s="23" t="str">
        <f>IF(OR(E799="",E799="!!!"),"",IF(NOT(ISNA(VLOOKUP(E799,E$1:E798,1,FALSE()))),"OLD",IF(AND(E799&lt;&gt;"",E799&lt;&gt;"!!!"),"NEW","")))</f>
        <v> </v>
      </c>
      <c r="G799" s="24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5" t="str">
        <f>IF(J799&lt;&gt;1,"",IF(I799="SBJ","CB","?"))</f>
        <v> </v>
      </c>
      <c r="I799" s="26" t="str">
        <f>IF(OR(E799="",E799="!!!",F799="NEW"),"",INDEX(B798:B$2,-1+SUMPRODUCT(MAX(ROW(E798:E$2)*(E799=E798:E$2)))))</f>
        <v> </v>
      </c>
      <c r="J799" s="26" t="str">
        <f>IF(OR(E799="",E799="!!!",F799="NEW"),"",COUNTBLANK(OFFSET(A$1,,,SUMPRODUCT(MAX(ROW(E$2:E799)*(E799=E$2:E799)))))-COUNTBLANK(OFFSET(A$1,,,SUMPRODUCT(MAX(ROW(E$1:E798)*(E2=E$1:E798))))))</f>
        <v> </v>
      </c>
      <c r="K799" s="26" t="str">
        <f>IF(OR(E799="",E799="!!!",F799="NEW"),"",INDEX(J$1:J798,SUMPRODUCT(MAX(ROW(E$1:E798)*(E799=E$1:E798)))))</f>
        <v> </v>
      </c>
      <c r="L799" s="27"/>
    </row>
    <row r="800" spans="1:12">
      <c r="A800" s="20" t="s">
        <v>701</v>
      </c>
      <c r="E800" s="22">
        <f>IF(D800="?OLD","!!!","")</f>
        <v/>
      </c>
      <c r="F800" s="23" t="str">
        <f>IF(OR(E800="",E800="!!!"),"",IF(NOT(ISNA(VLOOKUP(E800,E$1:E799,1,FALSE()))),"OLD",IF(AND(E800&lt;&gt;"",E800&lt;&gt;"!!!"),"NEW","")))</f>
        <v> </v>
      </c>
      <c r="G800" s="24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5" t="str">
        <f>IF(J800&lt;&gt;1,"",IF(I800="SBJ","CB","?"))</f>
        <v> </v>
      </c>
      <c r="I800" s="26" t="str">
        <f>IF(OR(E800="",E800="!!!",F800="NEW"),"",INDEX(B799:B$2,-1+SUMPRODUCT(MAX(ROW(E799:E$2)*(E800=E799:E$2)))))</f>
        <v> </v>
      </c>
      <c r="J800" s="26" t="str">
        <f>IF(OR(E800="",E800="!!!",F800="NEW"),"",COUNTBLANK(OFFSET(A$1,,,SUMPRODUCT(MAX(ROW(E$2:E800)*(E800=E$2:E800)))))-COUNTBLANK(OFFSET(A$1,,,SUMPRODUCT(MAX(ROW(E$1:E799)*(E2=E$1:E799))))))</f>
        <v> </v>
      </c>
      <c r="K800" s="26" t="str">
        <f>IF(OR(E800="",E800="!!!",F800="NEW"),"",INDEX(J$1:J799,SUMPRODUCT(MAX(ROW(E$1:E799)*(E800=E$1:E799)))))</f>
        <v> </v>
      </c>
      <c r="L800" s="27"/>
    </row>
    <row r="801" spans="1:12">
      <c r="A801" s="20" t="s">
        <v>655</v>
      </c>
      <c r="B801" s="21" t="s">
        <v>424</v>
      </c>
      <c r="C801" s="21" t="s">
        <v>430</v>
      </c>
      <c r="E801" s="22">
        <f>IF(D801="?OLD","!!!","")</f>
        <v/>
      </c>
      <c r="F801" s="23" t="str">
        <f>IF(OR(E801="",E801="!!!"),"",IF(NOT(ISNA(VLOOKUP(E801,E$1:E800,1,FALSE()))),"OLD",IF(AND(E801&lt;&gt;"",E801&lt;&gt;"!!!"),"NEW","")))</f>
        <v> </v>
      </c>
      <c r="G801" s="24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5" t="str">
        <f>IF(J801&lt;&gt;1,"",IF(I801="SBJ","CB","?"))</f>
        <v> </v>
      </c>
      <c r="I801" s="26" t="str">
        <f>IF(OR(E801="",E801="!!!",F801="NEW"),"",INDEX(B800:B$2,-1+SUMPRODUCT(MAX(ROW(E800:E$2)*(E801=E800:E$2)))))</f>
        <v> </v>
      </c>
      <c r="J801" s="26" t="str">
        <f>IF(OR(E801="",E801="!!!",F801="NEW"),"",COUNTBLANK(OFFSET(A$1,,,SUMPRODUCT(MAX(ROW(E$2:E801)*(E801=E$2:E801)))))-COUNTBLANK(OFFSET(A$1,,,SUMPRODUCT(MAX(ROW(E$1:E800)*(E2=E$1:E800))))))</f>
        <v> </v>
      </c>
      <c r="K801" s="26" t="str">
        <f>IF(OR(E801="",E801="!!!",F801="NEW"),"",INDEX(J$1:J800,SUMPRODUCT(MAX(ROW(E$1:E800)*(E801=E$1:E800)))))</f>
        <v> </v>
      </c>
      <c r="L801" s="27"/>
    </row>
    <row r="802" spans="1:12">
      <c r="A802" s="20" t="s">
        <v>409</v>
      </c>
      <c r="E802" s="22">
        <f>IF(D802="?OLD","!!!","")</f>
        <v/>
      </c>
      <c r="F802" s="23" t="str">
        <f>IF(OR(E802="",E802="!!!"),"",IF(NOT(ISNA(VLOOKUP(E802,E$1:E801,1,FALSE()))),"OLD",IF(AND(E802&lt;&gt;"",E802&lt;&gt;"!!!"),"NEW","")))</f>
        <v> </v>
      </c>
      <c r="G802" s="24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5" t="str">
        <f>IF(J802&lt;&gt;1,"",IF(I802="SBJ","CB","?"))</f>
        <v> </v>
      </c>
      <c r="I802" s="26" t="str">
        <f>IF(OR(E802="",E802="!!!",F802="NEW"),"",INDEX(B801:B$2,-1+SUMPRODUCT(MAX(ROW(E801:E$2)*(E802=E801:E$2)))))</f>
        <v> </v>
      </c>
      <c r="J802" s="26" t="str">
        <f>IF(OR(E802="",E802="!!!",F802="NEW"),"",COUNTBLANK(OFFSET(A$1,,,SUMPRODUCT(MAX(ROW(E$2:E802)*(E802=E$2:E802)))))-COUNTBLANK(OFFSET(A$1,,,SUMPRODUCT(MAX(ROW(E$1:E801)*(E2=E$1:E801))))))</f>
        <v> </v>
      </c>
      <c r="K802" s="26" t="str">
        <f>IF(OR(E802="",E802="!!!",F802="NEW"),"",INDEX(J$1:J801,SUMPRODUCT(MAX(ROW(E$1:E801)*(E802=E$1:E801)))))</f>
        <v> </v>
      </c>
      <c r="L802" s="27"/>
    </row>
    <row r="803" spans="1:12">
      <c r="A803" s="20"/>
    </row>
    <row r="804" spans="1:12">
      <c r="A804" s="20" t="s">
        <v>533</v>
      </c>
      <c r="E804" s="22">
        <f>IF(D804="?OLD","!!!","")</f>
        <v/>
      </c>
      <c r="F804" s="23" t="str">
        <f>IF(OR(E804="",E804="!!!"),"",IF(NOT(ISNA(VLOOKUP(E804,E$1:E803,1,FALSE()))),"OLD",IF(AND(E804&lt;&gt;"",E804&lt;&gt;"!!!"),"NEW","")))</f>
        <v> </v>
      </c>
      <c r="G804" s="24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5" t="str">
        <f>IF(J804&lt;&gt;1,"",IF(I804="SBJ","CB","?"))</f>
        <v> </v>
      </c>
      <c r="I804" s="26" t="str">
        <f>IF(OR(E804="",E804="!!!",F804="NEW"),"",INDEX(B803:B$2,-1+SUMPRODUCT(MAX(ROW(E803:E$2)*(E804=E803:E$2)))))</f>
        <v> </v>
      </c>
      <c r="J804" s="26" t="str">
        <f>IF(OR(E804="",E804="!!!",F804="NEW"),"",COUNTBLANK(OFFSET(A$1,,,SUMPRODUCT(MAX(ROW(E$2:E804)*(E804=E$2:E804)))))-COUNTBLANK(OFFSET(A$1,,,SUMPRODUCT(MAX(ROW(E$1:E803)*(E2=E$1:E803))))))</f>
        <v> </v>
      </c>
      <c r="K804" s="26" t="str">
        <f>IF(OR(E804="",E804="!!!",F804="NEW"),"",INDEX(J$1:J803,SUMPRODUCT(MAX(ROW(E$1:E803)*(E804=E$1:E803)))))</f>
        <v> </v>
      </c>
      <c r="L804" s="27"/>
    </row>
    <row r="805" spans="1:12">
      <c r="A805" s="20" t="s">
        <v>558</v>
      </c>
    </row>
    <row r="806" spans="1:12">
      <c r="A806" s="20" t="s">
        <v>94</v>
      </c>
      <c r="E806" s="22">
        <f>IF(D806="?OLD","!!!","")</f>
        <v/>
      </c>
      <c r="F806" s="23" t="str">
        <f>IF(OR(E806="",E806="!!!"),"",IF(NOT(ISNA(VLOOKUP(E806,E$1:E805,1,FALSE()))),"OLD",IF(AND(E806&lt;&gt;"",E806&lt;&gt;"!!!"),"NEW","")))</f>
        <v> </v>
      </c>
      <c r="G806" s="24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5" t="str">
        <f>IF(J806&lt;&gt;1,"",IF(I806="SBJ","CB","?"))</f>
        <v> </v>
      </c>
      <c r="I806" s="26" t="str">
        <f>IF(OR(E806="",E806="!!!",F806="NEW"),"",INDEX(B805:B$2,-1+SUMPRODUCT(MAX(ROW(E805:E$2)*(E806=E805:E$2)))))</f>
        <v> </v>
      </c>
      <c r="J806" s="26" t="str">
        <f>IF(OR(E806="",E806="!!!",F806="NEW"),"",COUNTBLANK(OFFSET(A$1,,,SUMPRODUCT(MAX(ROW(E$2:E806)*(E806=E$2:E806)))))-COUNTBLANK(OFFSET(A$1,,,SUMPRODUCT(MAX(ROW(E$1:E805)*(E2=E$1:E805))))))</f>
        <v> </v>
      </c>
      <c r="K806" s="26" t="str">
        <f>IF(OR(E806="",E806="!!!",F806="NEW"),"",INDEX(J$1:J805,SUMPRODUCT(MAX(ROW(E$1:E805)*(E806=E$1:E805)))))</f>
        <v> </v>
      </c>
      <c r="L806" s="27"/>
    </row>
    <row r="807" spans="1:12">
      <c r="A807" s="20" t="s">
        <v>94</v>
      </c>
      <c r="E807" s="22">
        <f>IF(D807="?OLD","!!!","")</f>
        <v/>
      </c>
      <c r="F807" s="23" t="str">
        <f>IF(OR(E807="",E807="!!!"),"",IF(NOT(ISNA(VLOOKUP(E807,E$1:E806,1,FALSE()))),"OLD",IF(AND(E807&lt;&gt;"",E807&lt;&gt;"!!!"),"NEW","")))</f>
        <v> </v>
      </c>
      <c r="G807" s="24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5" t="str">
        <f>IF(J807&lt;&gt;1,"",IF(I807="SBJ","CB","?"))</f>
        <v> </v>
      </c>
      <c r="I807" s="26" t="str">
        <f>IF(OR(E807="",E807="!!!",F807="NEW"),"",INDEX(B806:B$2,-1+SUMPRODUCT(MAX(ROW(E806:E$2)*(E807=E806:E$2)))))</f>
        <v> </v>
      </c>
      <c r="J807" s="26" t="str">
        <f>IF(OR(E807="",E807="!!!",F807="NEW"),"",COUNTBLANK(OFFSET(A$1,,,SUMPRODUCT(MAX(ROW(E$2:E807)*(E807=E$2:E807)))))-COUNTBLANK(OFFSET(A$1,,,SUMPRODUCT(MAX(ROW(E$1:E806)*(E2=E$1:E806))))))</f>
        <v> </v>
      </c>
      <c r="K807" s="26" t="str">
        <f>IF(OR(E807="",E807="!!!",F807="NEW"),"",INDEX(J$1:J806,SUMPRODUCT(MAX(ROW(E$1:E806)*(E807=E$1:E806)))))</f>
        <v> </v>
      </c>
      <c r="L807" s="27"/>
    </row>
    <row r="808" spans="1:12">
      <c r="A808" s="20"/>
    </row>
    <row r="809" spans="1:12">
      <c r="A809" s="20" t="s">
        <v>702</v>
      </c>
    </row>
    <row r="810" spans="1:12">
      <c r="A810" s="20" t="s">
        <v>54</v>
      </c>
      <c r="B810" s="21" t="s">
        <v>366</v>
      </c>
      <c r="C810" s="21" t="s">
        <v>542</v>
      </c>
      <c r="D810" s="21" t="s">
        <v>368</v>
      </c>
      <c r="E810" s="22">
        <f>IF(D810="?OLD","!!!","")</f>
        <v/>
      </c>
      <c r="F810" s="23" t="str">
        <f>IF(OR(E810="",E810="!!!"),"",IF(NOT(ISNA(VLOOKUP(E810,E$1:E809,1,FALSE()))),"OLD",IF(AND(E810&lt;&gt;"",E810&lt;&gt;"!!!"),"NEW","")))</f>
        <v> </v>
      </c>
      <c r="G810" s="24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5" t="str">
        <f>IF(J810&lt;&gt;1,"",IF(I810="SBJ","CB","?"))</f>
        <v> </v>
      </c>
      <c r="I810" s="26" t="str">
        <f>IF(OR(E810="",E810="!!!",F810="NEW"),"",INDEX(B809:B$2,-1+SUMPRODUCT(MAX(ROW(E809:E$2)*(E810=E809:E$2)))))</f>
        <v> </v>
      </c>
      <c r="J810" s="26" t="str">
        <f>IF(OR(E810="",E810="!!!",F810="NEW"),"",COUNTBLANK(OFFSET(A$1,,,SUMPRODUCT(MAX(ROW(E$2:E810)*(E810=E$2:E810)))))-COUNTBLANK(OFFSET(A$1,,,SUMPRODUCT(MAX(ROW(E$1:E809)*(E2=E$1:E809))))))</f>
        <v> </v>
      </c>
      <c r="K810" s="26" t="str">
        <f>IF(OR(E810="",E810="!!!",F810="NEW"),"",INDEX(J$1:J809,SUMPRODUCT(MAX(ROW(E$1:E809)*(E810=E$1:E809)))))</f>
        <v> </v>
      </c>
      <c r="L810" s="27"/>
    </row>
    <row r="811" spans="1:12">
      <c r="A811" s="20" t="s">
        <v>638</v>
      </c>
      <c r="E811" s="22">
        <f>IF(D811="?OLD","!!!","")</f>
        <v/>
      </c>
      <c r="F811" s="23" t="str">
        <f>IF(OR(E811="",E811="!!!"),"",IF(NOT(ISNA(VLOOKUP(E811,E$1:E810,1,FALSE()))),"OLD",IF(AND(E811&lt;&gt;"",E811&lt;&gt;"!!!"),"NEW","")))</f>
        <v> </v>
      </c>
      <c r="G811" s="24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5" t="str">
        <f>IF(J811&lt;&gt;1,"",IF(I811="SBJ","CB","?"))</f>
        <v> </v>
      </c>
      <c r="I811" s="26" t="str">
        <f>IF(OR(E811="",E811="!!!",F811="NEW"),"",INDEX(B810:B$2,-1+SUMPRODUCT(MAX(ROW(E810:E$2)*(E811=E810:E$2)))))</f>
        <v> </v>
      </c>
      <c r="J811" s="26" t="str">
        <f>IF(OR(E811="",E811="!!!",F811="NEW"),"",COUNTBLANK(OFFSET(A$1,,,SUMPRODUCT(MAX(ROW(E$2:E811)*(E811=E$2:E811)))))-COUNTBLANK(OFFSET(A$1,,,SUMPRODUCT(MAX(ROW(E$1:E810)*(E2=E$1:E810))))))</f>
        <v> </v>
      </c>
      <c r="K811" s="26" t="str">
        <f>IF(OR(E811="",E811="!!!",F811="NEW"),"",INDEX(J$1:J810,SUMPRODUCT(MAX(ROW(E$1:E810)*(E811=E$1:E810)))))</f>
        <v> </v>
      </c>
      <c r="L811" s="27"/>
    </row>
    <row r="812" spans="1:12">
      <c r="A812" s="20" t="s">
        <v>594</v>
      </c>
      <c r="B812" s="21" t="s">
        <v>419</v>
      </c>
      <c r="E812" s="22">
        <f>IF(D812="?OLD","!!!","")</f>
        <v/>
      </c>
      <c r="F812" s="23" t="str">
        <f>IF(OR(E812="",E812="!!!"),"",IF(NOT(ISNA(VLOOKUP(E812,E$1:E811,1,FALSE()))),"OLD",IF(AND(E812&lt;&gt;"",E812&lt;&gt;"!!!"),"NEW","")))</f>
        <v> </v>
      </c>
      <c r="G812" s="24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5" t="str">
        <f>IF(J812&lt;&gt;1,"",IF(I812="SBJ","CB","?"))</f>
        <v> </v>
      </c>
      <c r="I812" s="26" t="str">
        <f>IF(OR(E812="",E812="!!!",F812="NEW"),"",INDEX(B811:B$2,-1+SUMPRODUCT(MAX(ROW(E811:E$2)*(E812=E811:E$2)))))</f>
        <v> </v>
      </c>
      <c r="J812" s="26" t="str">
        <f>IF(OR(E812="",E812="!!!",F812="NEW"),"",COUNTBLANK(OFFSET(A$1,,,SUMPRODUCT(MAX(ROW(E$2:E812)*(E812=E$2:E812)))))-COUNTBLANK(OFFSET(A$1,,,SUMPRODUCT(MAX(ROW(E$1:E811)*(E2=E$1:E811))))))</f>
        <v> </v>
      </c>
      <c r="K812" s="26" t="str">
        <f>IF(OR(E812="",E812="!!!",F812="NEW"),"",INDEX(J$1:J811,SUMPRODUCT(MAX(ROW(E$1:E811)*(E812=E$1:E811)))))</f>
        <v> </v>
      </c>
      <c r="L812" s="27"/>
    </row>
    <row r="813" spans="1:12">
      <c r="A813" s="20" t="s">
        <v>583</v>
      </c>
      <c r="E813" s="22">
        <f>IF(D813="?OLD","!!!","")</f>
        <v/>
      </c>
      <c r="F813" s="23" t="str">
        <f>IF(OR(E813="",E813="!!!"),"",IF(NOT(ISNA(VLOOKUP(E813,E$1:E812,1,FALSE()))),"OLD",IF(AND(E813&lt;&gt;"",E813&lt;&gt;"!!!"),"NEW","")))</f>
        <v> </v>
      </c>
      <c r="G813" s="24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5" t="str">
        <f>IF(J813&lt;&gt;1,"",IF(I813="SBJ","CB","?"))</f>
        <v> </v>
      </c>
      <c r="I813" s="26" t="str">
        <f>IF(OR(E813="",E813="!!!",F813="NEW"),"",INDEX(B812:B$2,-1+SUMPRODUCT(MAX(ROW(E812:E$2)*(E813=E812:E$2)))))</f>
        <v> </v>
      </c>
      <c r="J813" s="26" t="str">
        <f>IF(OR(E813="",E813="!!!",F813="NEW"),"",COUNTBLANK(OFFSET(A$1,,,SUMPRODUCT(MAX(ROW(E$2:E813)*(E813=E$2:E813)))))-COUNTBLANK(OFFSET(A$1,,,SUMPRODUCT(MAX(ROW(E$1:E812)*(E2=E$1:E812))))))</f>
        <v> </v>
      </c>
      <c r="K813" s="26" t="str">
        <f>IF(OR(E813="",E813="!!!",F813="NEW"),"",INDEX(J$1:J812,SUMPRODUCT(MAX(ROW(E$1:E812)*(E813=E$1:E812)))))</f>
        <v> </v>
      </c>
      <c r="L813" s="27"/>
    </row>
    <row r="814" spans="1:12">
      <c r="A814" s="20" t="s">
        <v>402</v>
      </c>
      <c r="E814" s="22">
        <f>IF(D814="?OLD","!!!","")</f>
        <v/>
      </c>
      <c r="F814" s="23" t="str">
        <f>IF(OR(E814="",E814="!!!"),"",IF(NOT(ISNA(VLOOKUP(E814,E$1:E813,1,FALSE()))),"OLD",IF(AND(E814&lt;&gt;"",E814&lt;&gt;"!!!"),"NEW","")))</f>
        <v> </v>
      </c>
      <c r="G814" s="24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5" t="str">
        <f>IF(J814&lt;&gt;1,"",IF(I814="SBJ","CB","?"))</f>
        <v> </v>
      </c>
      <c r="I814" s="26" t="str">
        <f>IF(OR(E814="",E814="!!!",F814="NEW"),"",INDEX(B813:B$2,-1+SUMPRODUCT(MAX(ROW(E813:E$2)*(E814=E813:E$2)))))</f>
        <v> </v>
      </c>
      <c r="J814" s="26" t="str">
        <f>IF(OR(E814="",E814="!!!",F814="NEW"),"",COUNTBLANK(OFFSET(A$1,,,SUMPRODUCT(MAX(ROW(E$2:E814)*(E814=E$2:E814)))))-COUNTBLANK(OFFSET(A$1,,,SUMPRODUCT(MAX(ROW(E$1:E813)*(E2=E$1:E813))))))</f>
        <v> </v>
      </c>
      <c r="K814" s="26" t="str">
        <f>IF(OR(E814="",E814="!!!",F814="NEW"),"",INDEX(J$1:J813,SUMPRODUCT(MAX(ROW(E$1:E813)*(E814=E$1:E813)))))</f>
        <v> </v>
      </c>
      <c r="L814" s="27"/>
    </row>
    <row r="815" spans="1:12">
      <c r="A815" s="20" t="s">
        <v>654</v>
      </c>
      <c r="E815" s="22">
        <f>IF(D815="?OLD","!!!","")</f>
        <v/>
      </c>
      <c r="F815" s="23" t="str">
        <f>IF(OR(E815="",E815="!!!"),"",IF(NOT(ISNA(VLOOKUP(E815,E$1:E814,1,FALSE()))),"OLD",IF(AND(E815&lt;&gt;"",E815&lt;&gt;"!!!"),"NEW","")))</f>
        <v> </v>
      </c>
      <c r="G815" s="24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5" t="str">
        <f>IF(J815&lt;&gt;1,"",IF(I815="SBJ","CB","?"))</f>
        <v> </v>
      </c>
      <c r="I815" s="26" t="str">
        <f>IF(OR(E815="",E815="!!!",F815="NEW"),"",INDEX(B814:B$2,-1+SUMPRODUCT(MAX(ROW(E814:E$2)*(E815=E814:E$2)))))</f>
        <v> </v>
      </c>
      <c r="J815" s="26" t="str">
        <f>IF(OR(E815="",E815="!!!",F815="NEW"),"",COUNTBLANK(OFFSET(A$1,,,SUMPRODUCT(MAX(ROW(E$2:E815)*(E815=E$2:E815)))))-COUNTBLANK(OFFSET(A$1,,,SUMPRODUCT(MAX(ROW(E$1:E814)*(E2=E$1:E814))))))</f>
        <v> </v>
      </c>
      <c r="K815" s="26" t="str">
        <f>IF(OR(E815="",E815="!!!",F815="NEW"),"",INDEX(J$1:J814,SUMPRODUCT(MAX(ROW(E$1:E814)*(E815=E$1:E814)))))</f>
        <v> </v>
      </c>
      <c r="L815" s="27"/>
    </row>
    <row r="816" spans="1:12">
      <c r="A816" s="20" t="s">
        <v>594</v>
      </c>
      <c r="B816" s="21" t="s">
        <v>424</v>
      </c>
      <c r="E816" s="22">
        <f>IF(D816="?OLD","!!!","")</f>
        <v/>
      </c>
      <c r="F816" s="23" t="str">
        <f>IF(OR(E816="",E816="!!!"),"",IF(NOT(ISNA(VLOOKUP(E816,E$1:E815,1,FALSE()))),"OLD",IF(AND(E816&lt;&gt;"",E816&lt;&gt;"!!!"),"NEW","")))</f>
        <v> </v>
      </c>
      <c r="G816" s="24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5" t="str">
        <f>IF(J816&lt;&gt;1,"",IF(I816="SBJ","CB","?"))</f>
        <v> </v>
      </c>
      <c r="I816" s="26" t="str">
        <f>IF(OR(E816="",E816="!!!",F816="NEW"),"",INDEX(B815:B$2,-1+SUMPRODUCT(MAX(ROW(E815:E$2)*(E816=E815:E$2)))))</f>
        <v> </v>
      </c>
      <c r="J816" s="26" t="str">
        <f>IF(OR(E816="",E816="!!!",F816="NEW"),"",COUNTBLANK(OFFSET(A$1,,,SUMPRODUCT(MAX(ROW(E$2:E816)*(E816=E$2:E816)))))-COUNTBLANK(OFFSET(A$1,,,SUMPRODUCT(MAX(ROW(E$1:E815)*(E2=E$1:E815))))))</f>
        <v> </v>
      </c>
      <c r="K816" s="26" t="str">
        <f>IF(OR(E816="",E816="!!!",F816="NEW"),"",INDEX(J$1:J815,SUMPRODUCT(MAX(ROW(E$1:E815)*(E816=E$1:E815)))))</f>
        <v> </v>
      </c>
      <c r="L816" s="27"/>
    </row>
    <row r="817" spans="1:12">
      <c r="A817" s="20" t="s">
        <v>701</v>
      </c>
      <c r="E817" s="22">
        <f>IF(D817="?OLD","!!!","")</f>
        <v/>
      </c>
      <c r="F817" s="23" t="str">
        <f>IF(OR(E817="",E817="!!!"),"",IF(NOT(ISNA(VLOOKUP(E817,E$1:E816,1,FALSE()))),"OLD",IF(AND(E817&lt;&gt;"",E817&lt;&gt;"!!!"),"NEW","")))</f>
        <v> </v>
      </c>
      <c r="G817" s="24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5" t="str">
        <f>IF(J817&lt;&gt;1,"",IF(I817="SBJ","CB","?"))</f>
        <v> </v>
      </c>
      <c r="I817" s="26" t="str">
        <f>IF(OR(E817="",E817="!!!",F817="NEW"),"",INDEX(B816:B$2,-1+SUMPRODUCT(MAX(ROW(E816:E$2)*(E817=E816:E$2)))))</f>
        <v> </v>
      </c>
      <c r="J817" s="26" t="str">
        <f>IF(OR(E817="",E817="!!!",F817="NEW"),"",COUNTBLANK(OFFSET(A$1,,,SUMPRODUCT(MAX(ROW(E$2:E817)*(E817=E$2:E817)))))-COUNTBLANK(OFFSET(A$1,,,SUMPRODUCT(MAX(ROW(E$1:E816)*(E2=E$1:E816))))))</f>
        <v> </v>
      </c>
      <c r="K817" s="26" t="str">
        <f>IF(OR(E817="",E817="!!!",F817="NEW"),"",INDEX(J$1:J816,SUMPRODUCT(MAX(ROW(E$1:E816)*(E817=E$1:E816)))))</f>
        <v> </v>
      </c>
      <c r="L817" s="27"/>
    </row>
    <row r="818" spans="1:12">
      <c r="A818" s="20" t="s">
        <v>655</v>
      </c>
      <c r="B818" s="21" t="s">
        <v>491</v>
      </c>
      <c r="C818" s="21" t="s">
        <v>430</v>
      </c>
      <c r="E818" s="22">
        <f>IF(D818="?OLD","!!!","")</f>
        <v/>
      </c>
      <c r="F818" s="23" t="str">
        <f>IF(OR(E818="",E818="!!!"),"",IF(NOT(ISNA(VLOOKUP(E818,E$1:E817,1,FALSE()))),"OLD",IF(AND(E818&lt;&gt;"",E818&lt;&gt;"!!!"),"NEW","")))</f>
        <v> </v>
      </c>
      <c r="G818" s="24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5" t="str">
        <f>IF(J818&lt;&gt;1,"",IF(I818="SBJ","CB","?"))</f>
        <v> </v>
      </c>
      <c r="I818" s="26" t="str">
        <f>IF(OR(E818="",E818="!!!",F818="NEW"),"",INDEX(B817:B$2,-1+SUMPRODUCT(MAX(ROW(E817:E$2)*(E818=E817:E$2)))))</f>
        <v> </v>
      </c>
      <c r="J818" s="26" t="str">
        <f>IF(OR(E818="",E818="!!!",F818="NEW"),"",COUNTBLANK(OFFSET(A$1,,,SUMPRODUCT(MAX(ROW(E$2:E818)*(E818=E$2:E818)))))-COUNTBLANK(OFFSET(A$1,,,SUMPRODUCT(MAX(ROW(E$1:E817)*(E2=E$1:E817))))))</f>
        <v> </v>
      </c>
      <c r="K818" s="26" t="str">
        <f>IF(OR(E818="",E818="!!!",F818="NEW"),"",INDEX(J$1:J817,SUMPRODUCT(MAX(ROW(E$1:E817)*(E818=E$1:E817)))))</f>
        <v> </v>
      </c>
      <c r="L818" s="27"/>
    </row>
    <row r="819" spans="1:12">
      <c r="A819" s="20" t="s">
        <v>376</v>
      </c>
      <c r="E819" s="22">
        <f>IF(D819="?OLD","!!!","")</f>
        <v/>
      </c>
      <c r="F819" s="23" t="str">
        <f>IF(OR(E819="",E819="!!!"),"",IF(NOT(ISNA(VLOOKUP(E819,E$1:E818,1,FALSE()))),"OLD",IF(AND(E819&lt;&gt;"",E819&lt;&gt;"!!!"),"NEW","")))</f>
        <v> </v>
      </c>
      <c r="G819" s="24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5" t="str">
        <f>IF(J819&lt;&gt;1,"",IF(I819="SBJ","CB","?"))</f>
        <v> </v>
      </c>
      <c r="I819" s="26" t="str">
        <f>IF(OR(E819="",E819="!!!",F819="NEW"),"",INDEX(B818:B$2,-1+SUMPRODUCT(MAX(ROW(E818:E$2)*(E819=E818:E$2)))))</f>
        <v> </v>
      </c>
      <c r="J819" s="26" t="str">
        <f>IF(OR(E819="",E819="!!!",F819="NEW"),"",COUNTBLANK(OFFSET(A$1,,,SUMPRODUCT(MAX(ROW(E$2:E819)*(E819=E$2:E819)))))-COUNTBLANK(OFFSET(A$1,,,SUMPRODUCT(MAX(ROW(E$1:E818)*(E2=E$1:E818))))))</f>
        <v> </v>
      </c>
      <c r="K819" s="26" t="str">
        <f>IF(OR(E819="",E819="!!!",F819="NEW"),"",INDEX(J$1:J818,SUMPRODUCT(MAX(ROW(E$1:E818)*(E819=E$1:E818)))))</f>
        <v> </v>
      </c>
      <c r="L819" s="27"/>
    </row>
    <row r="820" spans="1:12">
      <c r="A820" s="20" t="s">
        <v>703</v>
      </c>
      <c r="E820" s="22">
        <f>IF(D820="?OLD","!!!","")</f>
        <v/>
      </c>
      <c r="F820" s="23" t="str">
        <f>IF(OR(E820="",E820="!!!"),"",IF(NOT(ISNA(VLOOKUP(E820,E$1:E819,1,FALSE()))),"OLD",IF(AND(E820&lt;&gt;"",E820&lt;&gt;"!!!"),"NEW","")))</f>
        <v> </v>
      </c>
      <c r="G820" s="24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5" t="str">
        <f>IF(J820&lt;&gt;1,"",IF(I820="SBJ","CB","?"))</f>
        <v> </v>
      </c>
      <c r="I820" s="26" t="str">
        <f>IF(OR(E820="",E820="!!!",F820="NEW"),"",INDEX(B819:B$2,-1+SUMPRODUCT(MAX(ROW(E819:E$2)*(E820=E819:E$2)))))</f>
        <v> </v>
      </c>
      <c r="J820" s="26" t="str">
        <f>IF(OR(E820="",E820="!!!",F820="NEW"),"",COUNTBLANK(OFFSET(A$1,,,SUMPRODUCT(MAX(ROW(E$2:E820)*(E820=E$2:E820)))))-COUNTBLANK(OFFSET(A$1,,,SUMPRODUCT(MAX(ROW(E$1:E819)*(E2=E$1:E819))))))</f>
        <v> </v>
      </c>
      <c r="K820" s="26" t="str">
        <f>IF(OR(E820="",E820="!!!",F820="NEW"),"",INDEX(J$1:J819,SUMPRODUCT(MAX(ROW(E$1:E819)*(E820=E$1:E819)))))</f>
        <v> </v>
      </c>
      <c r="L820" s="27"/>
    </row>
    <row r="821" spans="1:12">
      <c r="A821" s="20" t="s">
        <v>405</v>
      </c>
      <c r="B821" s="21" t="s">
        <v>404</v>
      </c>
      <c r="C821" s="21" t="s">
        <v>367</v>
      </c>
      <c r="D821" s="21" t="s">
        <v>368</v>
      </c>
      <c r="E821" s="22">
        <f>IF(D821="?OLD","!!!","")</f>
        <v/>
      </c>
      <c r="F821" s="23" t="str">
        <f>IF(OR(E821="",E821="!!!"),"",IF(NOT(ISNA(VLOOKUP(E821,E$1:E820,1,FALSE()))),"OLD",IF(AND(E821&lt;&gt;"",E821&lt;&gt;"!!!"),"NEW","")))</f>
        <v> </v>
      </c>
      <c r="G821" s="24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5" t="str">
        <f>IF(J821&lt;&gt;1,"",IF(I821="SBJ","CB","?"))</f>
        <v> </v>
      </c>
      <c r="I821" s="26" t="str">
        <f>IF(OR(E821="",E821="!!!",F821="NEW"),"",INDEX(B820:B$2,-1+SUMPRODUCT(MAX(ROW(E820:E$2)*(E821=E820:E$2)))))</f>
        <v> </v>
      </c>
      <c r="J821" s="26" t="str">
        <f>IF(OR(E821="",E821="!!!",F821="NEW"),"",COUNTBLANK(OFFSET(A$1,,,SUMPRODUCT(MAX(ROW(E$2:E821)*(E821=E$2:E821)))))-COUNTBLANK(OFFSET(A$1,,,SUMPRODUCT(MAX(ROW(E$1:E820)*(E2=E$1:E820))))))</f>
        <v> </v>
      </c>
      <c r="K821" s="26" t="str">
        <f>IF(OR(E821="",E821="!!!",F821="NEW"),"",INDEX(J$1:J820,SUMPRODUCT(MAX(ROW(E$1:E820)*(E821=E$1:E820)))))</f>
        <v> </v>
      </c>
      <c r="L821" s="27"/>
    </row>
    <row r="822" spans="1:12">
      <c r="A822" s="20"/>
    </row>
    <row r="823" spans="1:12">
      <c r="A823" s="20" t="s">
        <v>704</v>
      </c>
    </row>
    <row r="824" spans="1:12">
      <c r="A824" s="20" t="s">
        <v>538</v>
      </c>
      <c r="E824" s="22">
        <f>IF(D824="?OLD","!!!","")</f>
        <v/>
      </c>
      <c r="F824" s="23" t="str">
        <f>IF(OR(E824="",E824="!!!"),"",IF(NOT(ISNA(VLOOKUP(E824,E$1:E823,1,FALSE()))),"OLD",IF(AND(E824&lt;&gt;"",E824&lt;&gt;"!!!"),"NEW","")))</f>
        <v> </v>
      </c>
      <c r="G824" s="24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5" t="str">
        <f>IF(J824&lt;&gt;1,"",IF(I824="SBJ","CB","?"))</f>
        <v> </v>
      </c>
      <c r="I824" s="26" t="str">
        <f>IF(OR(E824="",E824="!!!",F824="NEW"),"",INDEX(B823:B$2,-1+SUMPRODUCT(MAX(ROW(E823:E$2)*(E824=E823:E$2)))))</f>
        <v> </v>
      </c>
      <c r="J824" s="26" t="str">
        <f>IF(OR(E824="",E824="!!!",F824="NEW"),"",COUNTBLANK(OFFSET(A$1,,,SUMPRODUCT(MAX(ROW(E$2:E824)*(E824=E$2:E824)))))-COUNTBLANK(OFFSET(A$1,,,SUMPRODUCT(MAX(ROW(E$1:E823)*(E2=E$1:E823))))))</f>
        <v> </v>
      </c>
      <c r="K824" s="26" t="str">
        <f>IF(OR(E824="",E824="!!!",F824="NEW"),"",INDEX(J$1:J823,SUMPRODUCT(MAX(ROW(E$1:E823)*(E824=E$1:E823)))))</f>
        <v> </v>
      </c>
      <c r="L824" s="27"/>
    </row>
    <row r="825" spans="1:12">
      <c r="A825" s="20" t="s">
        <v>705</v>
      </c>
      <c r="E825" s="22">
        <f>IF(D825="?OLD","!!!","")</f>
        <v/>
      </c>
      <c r="F825" s="23" t="str">
        <f>IF(OR(E825="",E825="!!!"),"",IF(NOT(ISNA(VLOOKUP(E825,E$1:E824,1,FALSE()))),"OLD",IF(AND(E825&lt;&gt;"",E825&lt;&gt;"!!!"),"NEW","")))</f>
        <v> </v>
      </c>
      <c r="G825" s="24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5" t="str">
        <f>IF(J825&lt;&gt;1,"",IF(I825="SBJ","CB","?"))</f>
        <v> </v>
      </c>
      <c r="I825" s="26" t="str">
        <f>IF(OR(E825="",E825="!!!",F825="NEW"),"",INDEX(B824:B$2,-1+SUMPRODUCT(MAX(ROW(E824:E$2)*(E825=E824:E$2)))))</f>
        <v> </v>
      </c>
      <c r="J825" s="26" t="str">
        <f>IF(OR(E825="",E825="!!!",F825="NEW"),"",COUNTBLANK(OFFSET(A$1,,,SUMPRODUCT(MAX(ROW(E$2:E825)*(E825=E$2:E825)))))-COUNTBLANK(OFFSET(A$1,,,SUMPRODUCT(MAX(ROW(E$1:E824)*(E2=E$1:E824))))))</f>
        <v> </v>
      </c>
      <c r="K825" s="26" t="str">
        <f>IF(OR(E825="",E825="!!!",F825="NEW"),"",INDEX(J$1:J824,SUMPRODUCT(MAX(ROW(E$1:E824)*(E825=E$1:E824)))))</f>
        <v> </v>
      </c>
      <c r="L825" s="27"/>
    </row>
    <row r="826" spans="1:12">
      <c r="A826" s="20" t="s">
        <v>706</v>
      </c>
      <c r="E826" s="22">
        <f>IF(D826="?OLD","!!!","")</f>
        <v/>
      </c>
      <c r="F826" s="23" t="str">
        <f>IF(OR(E826="",E826="!!!"),"",IF(NOT(ISNA(VLOOKUP(E826,E$1:E825,1,FALSE()))),"OLD",IF(AND(E826&lt;&gt;"",E826&lt;&gt;"!!!"),"NEW","")))</f>
        <v> </v>
      </c>
      <c r="G826" s="24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5" t="str">
        <f>IF(J826&lt;&gt;1,"",IF(I826="SBJ","CB","?"))</f>
        <v> </v>
      </c>
      <c r="I826" s="26" t="str">
        <f>IF(OR(E826="",E826="!!!",F826="NEW"),"",INDEX(B825:B$2,-1+SUMPRODUCT(MAX(ROW(E825:E$2)*(E826=E825:E$2)))))</f>
        <v> </v>
      </c>
      <c r="J826" s="26" t="str">
        <f>IF(OR(E826="",E826="!!!",F826="NEW"),"",COUNTBLANK(OFFSET(A$1,,,SUMPRODUCT(MAX(ROW(E$2:E826)*(E826=E$2:E826)))))-COUNTBLANK(OFFSET(A$1,,,SUMPRODUCT(MAX(ROW(E$1:E825)*(E2=E$1:E825))))))</f>
        <v> </v>
      </c>
      <c r="K826" s="26" t="str">
        <f>IF(OR(E826="",E826="!!!",F826="NEW"),"",INDEX(J$1:J825,SUMPRODUCT(MAX(ROW(E$1:E825)*(E826=E$1:E825)))))</f>
        <v> </v>
      </c>
      <c r="L826" s="27"/>
    </row>
    <row r="827" spans="1:12">
      <c r="A827" s="20" t="s">
        <v>377</v>
      </c>
      <c r="E827" s="22">
        <f>IF(D827="?OLD","!!!","")</f>
        <v/>
      </c>
      <c r="F827" s="23" t="str">
        <f>IF(OR(E827="",E827="!!!"),"",IF(NOT(ISNA(VLOOKUP(E827,E$1:E826,1,FALSE()))),"OLD",IF(AND(E827&lt;&gt;"",E827&lt;&gt;"!!!"),"NEW","")))</f>
        <v> </v>
      </c>
      <c r="G827" s="24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5" t="str">
        <f>IF(J827&lt;&gt;1,"",IF(I827="SBJ","CB","?"))</f>
        <v> </v>
      </c>
      <c r="I827" s="26" t="str">
        <f>IF(OR(E827="",E827="!!!",F827="NEW"),"",INDEX(B826:B$2,-1+SUMPRODUCT(MAX(ROW(E826:E$2)*(E827=E826:E$2)))))</f>
        <v> </v>
      </c>
      <c r="J827" s="26" t="str">
        <f>IF(OR(E827="",E827="!!!",F827="NEW"),"",COUNTBLANK(OFFSET(A$1,,,SUMPRODUCT(MAX(ROW(E$2:E827)*(E827=E$2:E827)))))-COUNTBLANK(OFFSET(A$1,,,SUMPRODUCT(MAX(ROW(E$1:E826)*(E2=E$1:E826))))))</f>
        <v> </v>
      </c>
      <c r="K827" s="26" t="str">
        <f>IF(OR(E827="",E827="!!!",F827="NEW"),"",INDEX(J$1:J826,SUMPRODUCT(MAX(ROW(E$1:E826)*(E827=E$1:E826)))))</f>
        <v> </v>
      </c>
      <c r="L827" s="27"/>
    </row>
    <row r="828" spans="1:12">
      <c r="A828" s="20" t="s">
        <v>707</v>
      </c>
      <c r="B828" s="21" t="s">
        <v>374</v>
      </c>
      <c r="C828" s="21" t="s">
        <v>401</v>
      </c>
      <c r="D828" s="21" t="s">
        <v>368</v>
      </c>
      <c r="E828" s="22">
        <f>IF(D828="?OLD","!!!","")</f>
        <v/>
      </c>
      <c r="F828" s="23" t="str">
        <f>IF(OR(E828="",E828="!!!"),"",IF(NOT(ISNA(VLOOKUP(E828,E$1:E827,1,FALSE()))),"OLD",IF(AND(E828&lt;&gt;"",E828&lt;&gt;"!!!"),"NEW","")))</f>
        <v> </v>
      </c>
      <c r="G828" s="24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5" t="str">
        <f>IF(J828&lt;&gt;1,"",IF(I828="SBJ","CB","?"))</f>
        <v> </v>
      </c>
      <c r="I828" s="26" t="str">
        <f>IF(OR(E828="",E828="!!!",F828="NEW"),"",INDEX(B827:B$2,-1+SUMPRODUCT(MAX(ROW(E827:E$2)*(E828=E827:E$2)))))</f>
        <v> </v>
      </c>
      <c r="J828" s="26" t="str">
        <f>IF(OR(E828="",E828="!!!",F828="NEW"),"",COUNTBLANK(OFFSET(A$1,,,SUMPRODUCT(MAX(ROW(E$2:E828)*(E828=E$2:E828)))))-COUNTBLANK(OFFSET(A$1,,,SUMPRODUCT(MAX(ROW(E$1:E827)*(E2=E$1:E827))))))</f>
        <v> </v>
      </c>
      <c r="K828" s="26" t="str">
        <f>IF(OR(E828="",E828="!!!",F828="NEW"),"",INDEX(J$1:J827,SUMPRODUCT(MAX(ROW(E$1:E827)*(E828=E$1:E827)))))</f>
        <v> </v>
      </c>
      <c r="L828" s="27"/>
    </row>
    <row r="829" spans="1:12">
      <c r="A829" s="20" t="s">
        <v>708</v>
      </c>
      <c r="E829" s="22">
        <f>IF(D829="?OLD","!!!","")</f>
        <v/>
      </c>
      <c r="F829" s="23" t="str">
        <f>IF(OR(E829="",E829="!!!"),"",IF(NOT(ISNA(VLOOKUP(E829,E$1:E828,1,FALSE()))),"OLD",IF(AND(E829&lt;&gt;"",E829&lt;&gt;"!!!"),"NEW","")))</f>
        <v> </v>
      </c>
      <c r="G829" s="24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5" t="str">
        <f>IF(J829&lt;&gt;1,"",IF(I829="SBJ","CB","?"))</f>
        <v> </v>
      </c>
      <c r="I829" s="26" t="str">
        <f>IF(OR(E829="",E829="!!!",F829="NEW"),"",INDEX(B828:B$2,-1+SUMPRODUCT(MAX(ROW(E828:E$2)*(E829=E828:E$2)))))</f>
        <v> </v>
      </c>
      <c r="J829" s="26" t="str">
        <f>IF(OR(E829="",E829="!!!",F829="NEW"),"",COUNTBLANK(OFFSET(A$1,,,SUMPRODUCT(MAX(ROW(E$2:E829)*(E829=E$2:E829)))))-COUNTBLANK(OFFSET(A$1,,,SUMPRODUCT(MAX(ROW(E$1:E828)*(E2=E$1:E828))))))</f>
        <v> </v>
      </c>
      <c r="K829" s="26" t="str">
        <f>IF(OR(E829="",E829="!!!",F829="NEW"),"",INDEX(J$1:J828,SUMPRODUCT(MAX(ROW(E$1:E828)*(E829=E$1:E828)))))</f>
        <v> </v>
      </c>
      <c r="L829" s="27"/>
    </row>
    <row r="830" spans="1:12">
      <c r="A830" s="20" t="s">
        <v>170</v>
      </c>
      <c r="B830" s="21" t="s">
        <v>412</v>
      </c>
      <c r="C830" s="21" t="s">
        <v>394</v>
      </c>
      <c r="E830" s="22">
        <f>IF(D830="?OLD","!!!","")</f>
        <v/>
      </c>
      <c r="F830" s="23" t="str">
        <f>IF(OR(E830="",E830="!!!"),"",IF(NOT(ISNA(VLOOKUP(E830,E$1:E829,1,FALSE()))),"OLD",IF(AND(E830&lt;&gt;"",E830&lt;&gt;"!!!"),"NEW","")))</f>
        <v> </v>
      </c>
      <c r="G830" s="24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5" t="str">
        <f>IF(J830&lt;&gt;1,"",IF(I830="SBJ","CB","?"))</f>
        <v> </v>
      </c>
      <c r="I830" s="26" t="str">
        <f>IF(OR(E830="",E830="!!!",F830="NEW"),"",INDEX(B829:B$2,-1+SUMPRODUCT(MAX(ROW(E829:E$2)*(E830=E829:E$2)))))</f>
        <v> </v>
      </c>
      <c r="J830" s="26" t="str">
        <f>IF(OR(E830="",E830="!!!",F830="NEW"),"",COUNTBLANK(OFFSET(A$1,,,SUMPRODUCT(MAX(ROW(E$2:E830)*(E830=E$2:E830)))))-COUNTBLANK(OFFSET(A$1,,,SUMPRODUCT(MAX(ROW(E$1:E829)*(E2=E$1:E829))))))</f>
        <v> </v>
      </c>
      <c r="K830" s="26" t="str">
        <f>IF(OR(E830="",E830="!!!",F830="NEW"),"",INDEX(J$1:J829,SUMPRODUCT(MAX(ROW(E$1:E829)*(E830=E$1:E829)))))</f>
        <v> </v>
      </c>
      <c r="L830" s="27"/>
    </row>
    <row r="831" spans="1:12">
      <c r="A831" s="20" t="s">
        <v>369</v>
      </c>
      <c r="E831" s="22">
        <f>IF(D831="?OLD","!!!","")</f>
        <v/>
      </c>
      <c r="F831" s="23" t="str">
        <f>IF(OR(E831="",E831="!!!"),"",IF(NOT(ISNA(VLOOKUP(E831,E$1:E830,1,FALSE()))),"OLD",IF(AND(E831&lt;&gt;"",E831&lt;&gt;"!!!"),"NEW","")))</f>
        <v> </v>
      </c>
      <c r="G831" s="24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5" t="str">
        <f>IF(J831&lt;&gt;1,"",IF(I831="SBJ","CB","?"))</f>
        <v> </v>
      </c>
      <c r="I831" s="26" t="str">
        <f>IF(OR(E831="",E831="!!!",F831="NEW"),"",INDEX(B830:B$2,-1+SUMPRODUCT(MAX(ROW(E830:E$2)*(E831=E830:E$2)))))</f>
        <v> </v>
      </c>
      <c r="J831" s="26" t="str">
        <f>IF(OR(E831="",E831="!!!",F831="NEW"),"",COUNTBLANK(OFFSET(A$1,,,SUMPRODUCT(MAX(ROW(E$2:E831)*(E831=E$2:E831)))))-COUNTBLANK(OFFSET(A$1,,,SUMPRODUCT(MAX(ROW(E$1:E830)*(E2=E$1:E830))))))</f>
        <v> </v>
      </c>
      <c r="K831" s="26" t="str">
        <f>IF(OR(E831="",E831="!!!",F831="NEW"),"",INDEX(J$1:J830,SUMPRODUCT(MAX(ROW(E$1:E830)*(E831=E$1:E830)))))</f>
        <v> </v>
      </c>
      <c r="L831" s="27"/>
    </row>
    <row r="832" spans="1:12">
      <c r="A832" s="20" t="s">
        <v>376</v>
      </c>
      <c r="E832" s="22">
        <f>IF(D832="?OLD","!!!","")</f>
        <v/>
      </c>
      <c r="F832" s="23" t="str">
        <f>IF(OR(E832="",E832="!!!"),"",IF(NOT(ISNA(VLOOKUP(E832,E$1:E831,1,FALSE()))),"OLD",IF(AND(E832&lt;&gt;"",E832&lt;&gt;"!!!"),"NEW","")))</f>
        <v> </v>
      </c>
      <c r="G832" s="24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5" t="str">
        <f>IF(J832&lt;&gt;1,"",IF(I832="SBJ","CB","?"))</f>
        <v> </v>
      </c>
      <c r="I832" s="26" t="str">
        <f>IF(OR(E832="",E832="!!!",F832="NEW"),"",INDEX(B831:B$2,-1+SUMPRODUCT(MAX(ROW(E831:E$2)*(E832=E831:E$2)))))</f>
        <v> </v>
      </c>
      <c r="J832" s="26" t="str">
        <f>IF(OR(E832="",E832="!!!",F832="NEW"),"",COUNTBLANK(OFFSET(A$1,,,SUMPRODUCT(MAX(ROW(E$2:E832)*(E832=E$2:E832)))))-COUNTBLANK(OFFSET(A$1,,,SUMPRODUCT(MAX(ROW(E$1:E831)*(E2=E$1:E831))))))</f>
        <v> </v>
      </c>
      <c r="K832" s="26" t="str">
        <f>IF(OR(E832="",E832="!!!",F832="NEW"),"",INDEX(J$1:J831,SUMPRODUCT(MAX(ROW(E$1:E831)*(E832=E$1:E831)))))</f>
        <v> </v>
      </c>
      <c r="L832" s="27"/>
    </row>
    <row r="833" spans="1:12">
      <c r="A833" s="20" t="s">
        <v>382</v>
      </c>
      <c r="E833" s="22">
        <f>IF(D833="?OLD","!!!","")</f>
        <v/>
      </c>
      <c r="F833" s="23" t="str">
        <f>IF(OR(E833="",E833="!!!"),"",IF(NOT(ISNA(VLOOKUP(E833,E$1:E832,1,FALSE()))),"OLD",IF(AND(E833&lt;&gt;"",E833&lt;&gt;"!!!"),"NEW","")))</f>
        <v> </v>
      </c>
      <c r="G833" s="24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5" t="str">
        <f>IF(J833&lt;&gt;1,"",IF(I833="SBJ","CB","?"))</f>
        <v> </v>
      </c>
      <c r="I833" s="26" t="str">
        <f>IF(OR(E833="",E833="!!!",F833="NEW"),"",INDEX(B832:B$2,-1+SUMPRODUCT(MAX(ROW(E832:E$2)*(E833=E832:E$2)))))</f>
        <v> </v>
      </c>
      <c r="J833" s="26" t="str">
        <f>IF(OR(E833="",E833="!!!",F833="NEW"),"",COUNTBLANK(OFFSET(A$1,,,SUMPRODUCT(MAX(ROW(E$2:E833)*(E833=E$2:E833)))))-COUNTBLANK(OFFSET(A$1,,,SUMPRODUCT(MAX(ROW(E$1:E832)*(E2=E$1:E832))))))</f>
        <v> </v>
      </c>
      <c r="K833" s="26" t="str">
        <f>IF(OR(E833="",E833="!!!",F833="NEW"),"",INDEX(J$1:J832,SUMPRODUCT(MAX(ROW(E$1:E832)*(E833=E$1:E832)))))</f>
        <v> </v>
      </c>
      <c r="L833" s="27"/>
    </row>
    <row r="834" spans="1:12">
      <c r="A834" s="20" t="s">
        <v>405</v>
      </c>
      <c r="B834" s="21" t="s">
        <v>366</v>
      </c>
      <c r="C834" s="21" t="s">
        <v>367</v>
      </c>
      <c r="D834" s="21" t="s">
        <v>368</v>
      </c>
      <c r="E834" s="22">
        <f>IF(D834="?OLD","!!!","")</f>
        <v/>
      </c>
      <c r="F834" s="23" t="str">
        <f>IF(OR(E834="",E834="!!!"),"",IF(NOT(ISNA(VLOOKUP(E834,E$1:E833,1,FALSE()))),"OLD",IF(AND(E834&lt;&gt;"",E834&lt;&gt;"!!!"),"NEW","")))</f>
        <v> </v>
      </c>
      <c r="G834" s="24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5" t="str">
        <f>IF(J834&lt;&gt;1,"",IF(I834="SBJ","CB","?"))</f>
        <v> </v>
      </c>
      <c r="I834" s="26" t="str">
        <f>IF(OR(E834="",E834="!!!",F834="NEW"),"",INDEX(B833:B$2,-1+SUMPRODUCT(MAX(ROW(E833:E$2)*(E834=E833:E$2)))))</f>
        <v> </v>
      </c>
      <c r="J834" s="26" t="str">
        <f>IF(OR(E834="",E834="!!!",F834="NEW"),"",COUNTBLANK(OFFSET(A$1,,,SUMPRODUCT(MAX(ROW(E$2:E834)*(E834=E$2:E834)))))-COUNTBLANK(OFFSET(A$1,,,SUMPRODUCT(MAX(ROW(E$1:E833)*(E2=E$1:E833))))))</f>
        <v> </v>
      </c>
      <c r="K834" s="26" t="str">
        <f>IF(OR(E834="",E834="!!!",F834="NEW"),"",INDEX(J$1:J833,SUMPRODUCT(MAX(ROW(E$1:E833)*(E834=E$1:E833)))))</f>
        <v> </v>
      </c>
      <c r="L834" s="27"/>
    </row>
    <row r="835" spans="1:12">
      <c r="A835" s="20"/>
    </row>
    <row r="836" spans="1:12">
      <c r="A836" s="20" t="s">
        <v>709</v>
      </c>
    </row>
    <row r="837" spans="1:12">
      <c r="A837" s="20" t="s">
        <v>411</v>
      </c>
      <c r="B837" s="21" t="s">
        <v>366</v>
      </c>
      <c r="C837" s="21" t="s">
        <v>413</v>
      </c>
      <c r="D837" s="21" t="s">
        <v>368</v>
      </c>
      <c r="E837" s="22">
        <f>IF(D837="?OLD","!!!","")</f>
        <v/>
      </c>
      <c r="F837" s="23" t="str">
        <f>IF(OR(E837="",E837="!!!"),"",IF(NOT(ISNA(VLOOKUP(E837,E$1:E836,1,FALSE()))),"OLD",IF(AND(E837&lt;&gt;"",E837&lt;&gt;"!!!"),"NEW","")))</f>
        <v> </v>
      </c>
      <c r="G837" s="24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5" t="str">
        <f>IF(J837&lt;&gt;1,"",IF(I837="SBJ","CB","?"))</f>
        <v> </v>
      </c>
      <c r="I837" s="26" t="str">
        <f>IF(OR(E837="",E837="!!!",F837="NEW"),"",INDEX(B836:B$2,-1+SUMPRODUCT(MAX(ROW(E836:E$2)*(E837=E836:E$2)))))</f>
        <v> </v>
      </c>
      <c r="J837" s="26" t="str">
        <f>IF(OR(E837="",E837="!!!",F837="NEW"),"",COUNTBLANK(OFFSET(A$1,,,SUMPRODUCT(MAX(ROW(E$2:E837)*(E837=E$2:E837)))))-COUNTBLANK(OFFSET(A$1,,,SUMPRODUCT(MAX(ROW(E$1:E836)*(E2=E$1:E836))))))</f>
        <v> </v>
      </c>
      <c r="K837" s="26" t="str">
        <f>IF(OR(E837="",E837="!!!",F837="NEW"),"",INDEX(J$1:J836,SUMPRODUCT(MAX(ROW(E$1:E836)*(E837=E$1:E836)))))</f>
        <v> </v>
      </c>
      <c r="L837" s="27"/>
    </row>
    <row r="838" spans="1:12">
      <c r="A838" s="20" t="s">
        <v>710</v>
      </c>
      <c r="E838" s="22">
        <f>IF(D838="?OLD","!!!","")</f>
        <v/>
      </c>
      <c r="F838" s="23" t="str">
        <f>IF(OR(E838="",E838="!!!"),"",IF(NOT(ISNA(VLOOKUP(E838,E$1:E837,1,FALSE()))),"OLD",IF(AND(E838&lt;&gt;"",E838&lt;&gt;"!!!"),"NEW","")))</f>
        <v> </v>
      </c>
      <c r="G838" s="24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5" t="str">
        <f>IF(J838&lt;&gt;1,"",IF(I838="SBJ","CB","?"))</f>
        <v> </v>
      </c>
      <c r="I838" s="26" t="str">
        <f>IF(OR(E838="",E838="!!!",F838="NEW"),"",INDEX(B837:B$2,-1+SUMPRODUCT(MAX(ROW(E837:E$2)*(E838=E837:E$2)))))</f>
        <v> </v>
      </c>
      <c r="J838" s="26" t="str">
        <f>IF(OR(E838="",E838="!!!",F838="NEW"),"",COUNTBLANK(OFFSET(A$1,,,SUMPRODUCT(MAX(ROW(E$2:E838)*(E838=E$2:E838)))))-COUNTBLANK(OFFSET(A$1,,,SUMPRODUCT(MAX(ROW(E$1:E837)*(E2=E$1:E837))))))</f>
        <v> </v>
      </c>
      <c r="K838" s="26" t="str">
        <f>IF(OR(E838="",E838="!!!",F838="NEW"),"",INDEX(J$1:J837,SUMPRODUCT(MAX(ROW(E$1:E837)*(E838=E$1:E837)))))</f>
        <v> </v>
      </c>
      <c r="L838" s="27"/>
    </row>
    <row r="839" spans="1:12">
      <c r="A839" s="20" t="s">
        <v>690</v>
      </c>
      <c r="E839" s="22">
        <f>IF(D839="?OLD","!!!","")</f>
        <v/>
      </c>
      <c r="F839" s="23" t="str">
        <f>IF(OR(E839="",E839="!!!"),"",IF(NOT(ISNA(VLOOKUP(E839,E$1:E838,1,FALSE()))),"OLD",IF(AND(E839&lt;&gt;"",E839&lt;&gt;"!!!"),"NEW","")))</f>
        <v> </v>
      </c>
      <c r="G839" s="24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5" t="str">
        <f>IF(J839&lt;&gt;1,"",IF(I839="SBJ","CB","?"))</f>
        <v> </v>
      </c>
      <c r="I839" s="26" t="str">
        <f>IF(OR(E839="",E839="!!!",F839="NEW"),"",INDEX(B838:B$2,-1+SUMPRODUCT(MAX(ROW(E838:E$2)*(E839=E838:E$2)))))</f>
        <v> </v>
      </c>
      <c r="J839" s="26" t="str">
        <f>IF(OR(E839="",E839="!!!",F839="NEW"),"",COUNTBLANK(OFFSET(A$1,,,SUMPRODUCT(MAX(ROW(E$2:E839)*(E839=E$2:E839)))))-COUNTBLANK(OFFSET(A$1,,,SUMPRODUCT(MAX(ROW(E$1:E838)*(E2=E$1:E838))))))</f>
        <v> </v>
      </c>
      <c r="K839" s="26" t="str">
        <f>IF(OR(E839="",E839="!!!",F839="NEW"),"",INDEX(J$1:J838,SUMPRODUCT(MAX(ROW(E$1:E838)*(E839=E$1:E838)))))</f>
        <v> </v>
      </c>
      <c r="L839" s="27"/>
    </row>
    <row r="840" spans="1:12">
      <c r="A840" s="20" t="s">
        <v>409</v>
      </c>
      <c r="E840" s="22">
        <f>IF(D840="?OLD","!!!","")</f>
        <v/>
      </c>
      <c r="F840" s="23" t="str">
        <f>IF(OR(E840="",E840="!!!"),"",IF(NOT(ISNA(VLOOKUP(E840,E$1:E839,1,FALSE()))),"OLD",IF(AND(E840&lt;&gt;"",E840&lt;&gt;"!!!"),"NEW","")))</f>
        <v> </v>
      </c>
      <c r="G840" s="24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5" t="str">
        <f>IF(J840&lt;&gt;1,"",IF(I840="SBJ","CB","?"))</f>
        <v> </v>
      </c>
      <c r="I840" s="26" t="str">
        <f>IF(OR(E840="",E840="!!!",F840="NEW"),"",INDEX(B839:B$2,-1+SUMPRODUCT(MAX(ROW(E839:E$2)*(E840=E839:E$2)))))</f>
        <v> </v>
      </c>
      <c r="J840" s="26" t="str">
        <f>IF(OR(E840="",E840="!!!",F840="NEW"),"",COUNTBLANK(OFFSET(A$1,,,SUMPRODUCT(MAX(ROW(E$2:E840)*(E840=E$2:E840)))))-COUNTBLANK(OFFSET(A$1,,,SUMPRODUCT(MAX(ROW(E$1:E839)*(E2=E$1:E839))))))</f>
        <v> </v>
      </c>
      <c r="K840" s="26" t="str">
        <f>IF(OR(E840="",E840="!!!",F840="NEW"),"",INDEX(J$1:J839,SUMPRODUCT(MAX(ROW(E$1:E839)*(E840=E$1:E839)))))</f>
        <v> </v>
      </c>
      <c r="L840" s="27"/>
    </row>
    <row r="841" spans="1:12">
      <c r="A841" s="20"/>
    </row>
    <row r="842" spans="1:12">
      <c r="A842" s="20" t="s">
        <v>711</v>
      </c>
    </row>
    <row r="843" spans="1:12">
      <c r="A843" s="20" t="s">
        <v>365</v>
      </c>
      <c r="B843" s="21" t="s">
        <v>366</v>
      </c>
      <c r="C843" s="21" t="s">
        <v>367</v>
      </c>
      <c r="D843" s="21" t="s">
        <v>368</v>
      </c>
      <c r="E843" s="22">
        <f>IF(D843="?OLD","!!!","")</f>
        <v/>
      </c>
      <c r="F843" s="23" t="str">
        <f>IF(OR(E843="",E843="!!!"),"",IF(NOT(ISNA(VLOOKUP(E843,E$1:E842,1,FALSE()))),"OLD",IF(AND(E843&lt;&gt;"",E843&lt;&gt;"!!!"),"NEW","")))</f>
        <v> </v>
      </c>
      <c r="G843" s="24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5" t="str">
        <f>IF(J843&lt;&gt;1,"",IF(I843="SBJ","CB","?"))</f>
        <v> </v>
      </c>
      <c r="I843" s="26" t="str">
        <f>IF(OR(E843="",E843="!!!",F843="NEW"),"",INDEX(B842:B$2,-1+SUMPRODUCT(MAX(ROW(E842:E$2)*(E843=E842:E$2)))))</f>
        <v> </v>
      </c>
      <c r="J843" s="26" t="str">
        <f>IF(OR(E843="",E843="!!!",F843="NEW"),"",COUNTBLANK(OFFSET(A$1,,,SUMPRODUCT(MAX(ROW(E$2:E843)*(E843=E$2:E843)))))-COUNTBLANK(OFFSET(A$1,,,SUMPRODUCT(MAX(ROW(E$1:E842)*(E2=E$1:E842))))))</f>
        <v> </v>
      </c>
      <c r="K843" s="26" t="str">
        <f>IF(OR(E843="",E843="!!!",F843="NEW"),"",INDEX(J$1:J842,SUMPRODUCT(MAX(ROW(E$1:E842)*(E843=E$1:E842)))))</f>
        <v> </v>
      </c>
      <c r="L843" s="27"/>
    </row>
    <row r="844" spans="1:12">
      <c r="A844" s="20" t="s">
        <v>439</v>
      </c>
      <c r="E844" s="22">
        <f>IF(D844="?OLD","!!!","")</f>
        <v/>
      </c>
      <c r="F844" s="23" t="str">
        <f>IF(OR(E844="",E844="!!!"),"",IF(NOT(ISNA(VLOOKUP(E844,E$1:E843,1,FALSE()))),"OLD",IF(AND(E844&lt;&gt;"",E844&lt;&gt;"!!!"),"NEW","")))</f>
        <v> </v>
      </c>
      <c r="G844" s="24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5" t="str">
        <f>IF(J844&lt;&gt;1,"",IF(I844="SBJ","CB","?"))</f>
        <v> </v>
      </c>
      <c r="I844" s="26" t="str">
        <f>IF(OR(E844="",E844="!!!",F844="NEW"),"",INDEX(B843:B$2,-1+SUMPRODUCT(MAX(ROW(E843:E$2)*(E844=E843:E$2)))))</f>
        <v> </v>
      </c>
      <c r="J844" s="26" t="str">
        <f>IF(OR(E844="",E844="!!!",F844="NEW"),"",COUNTBLANK(OFFSET(A$1,,,SUMPRODUCT(MAX(ROW(E$2:E844)*(E844=E$2:E844)))))-COUNTBLANK(OFFSET(A$1,,,SUMPRODUCT(MAX(ROW(E$1:E843)*(E2=E$1:E843))))))</f>
        <v> </v>
      </c>
      <c r="K844" s="26" t="str">
        <f>IF(OR(E844="",E844="!!!",F844="NEW"),"",INDEX(J$1:J843,SUMPRODUCT(MAX(ROW(E$1:E843)*(E844=E$1:E843)))))</f>
        <v> </v>
      </c>
      <c r="L844" s="27"/>
    </row>
    <row r="845" spans="1:12">
      <c r="A845" s="20" t="s">
        <v>440</v>
      </c>
      <c r="B845" s="21" t="s">
        <v>412</v>
      </c>
      <c r="C845" s="21" t="s">
        <v>385</v>
      </c>
      <c r="E845" s="22">
        <f>IF(D845="?OLD","!!!","")</f>
        <v/>
      </c>
      <c r="F845" s="23" t="str">
        <f>IF(OR(E845="",E845="!!!"),"",IF(NOT(ISNA(VLOOKUP(E845,E$1:E844,1,FALSE()))),"OLD",IF(AND(E845&lt;&gt;"",E845&lt;&gt;"!!!"),"NEW","")))</f>
        <v> </v>
      </c>
      <c r="G845" s="24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5" t="str">
        <f>IF(J845&lt;&gt;1,"",IF(I845="SBJ","CB","?"))</f>
        <v> </v>
      </c>
      <c r="I845" s="26" t="str">
        <f>IF(OR(E845="",E845="!!!",F845="NEW"),"",INDEX(B844:B$2,-1+SUMPRODUCT(MAX(ROW(E844:E$2)*(E845=E844:E$2)))))</f>
        <v> </v>
      </c>
      <c r="J845" s="26" t="str">
        <f>IF(OR(E845="",E845="!!!",F845="NEW"),"",COUNTBLANK(OFFSET(A$1,,,SUMPRODUCT(MAX(ROW(E$2:E845)*(E845=E$2:E845)))))-COUNTBLANK(OFFSET(A$1,,,SUMPRODUCT(MAX(ROW(E$1:E844)*(E2=E$1:E844))))))</f>
        <v> </v>
      </c>
      <c r="K845" s="26" t="str">
        <f>IF(OR(E845="",E845="!!!",F845="NEW"),"",INDEX(J$1:J844,SUMPRODUCT(MAX(ROW(E$1:E844)*(E845=E$1:E844)))))</f>
        <v> </v>
      </c>
      <c r="L845" s="27"/>
    </row>
    <row r="846" spans="1:12">
      <c r="A846" s="20" t="s">
        <v>461</v>
      </c>
      <c r="B846" s="21" t="s">
        <v>374</v>
      </c>
      <c r="C846" s="21" t="s">
        <v>367</v>
      </c>
      <c r="D846" s="21" t="s">
        <v>368</v>
      </c>
      <c r="E846" s="22">
        <f>IF(D846="?OLD","!!!","")</f>
        <v/>
      </c>
      <c r="F846" s="23" t="str">
        <f>IF(OR(E846="",E846="!!!"),"",IF(NOT(ISNA(VLOOKUP(E846,E$1:E845,1,FALSE()))),"OLD",IF(AND(E846&lt;&gt;"",E846&lt;&gt;"!!!"),"NEW","")))</f>
        <v> </v>
      </c>
      <c r="G846" s="24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5" t="str">
        <f>IF(J846&lt;&gt;1,"",IF(I846="SBJ","CB","?"))</f>
        <v> </v>
      </c>
      <c r="I846" s="26" t="str">
        <f>IF(OR(E846="",E846="!!!",F846="NEW"),"",INDEX(B845:B$2,-1+SUMPRODUCT(MAX(ROW(E845:E$2)*(E846=E845:E$2)))))</f>
        <v> </v>
      </c>
      <c r="J846" s="26" t="str">
        <f>IF(OR(E846="",E846="!!!",F846="NEW"),"",COUNTBLANK(OFFSET(A$1,,,SUMPRODUCT(MAX(ROW(E$2:E846)*(E846=E$2:E846)))))-COUNTBLANK(OFFSET(A$1,,,SUMPRODUCT(MAX(ROW(E$1:E845)*(E2=E$1:E845))))))</f>
        <v> </v>
      </c>
      <c r="K846" s="26" t="str">
        <f>IF(OR(E846="",E846="!!!",F846="NEW"),"",INDEX(J$1:J845,SUMPRODUCT(MAX(ROW(E$1:E845)*(E846=E$1:E845)))))</f>
        <v> </v>
      </c>
      <c r="L846" s="27"/>
    </row>
    <row r="847" spans="1:12">
      <c r="A847" s="20" t="s">
        <v>441</v>
      </c>
      <c r="E847" s="22">
        <f>IF(D847="?OLD","!!!","")</f>
        <v/>
      </c>
      <c r="F847" s="23" t="str">
        <f>IF(OR(E847="",E847="!!!"),"",IF(NOT(ISNA(VLOOKUP(E847,E$1:E846,1,FALSE()))),"OLD",IF(AND(E847&lt;&gt;"",E847&lt;&gt;"!!!"),"NEW","")))</f>
        <v> </v>
      </c>
      <c r="G847" s="24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5" t="str">
        <f>IF(J847&lt;&gt;1,"",IF(I847="SBJ","CB","?"))</f>
        <v> </v>
      </c>
      <c r="I847" s="26" t="str">
        <f>IF(OR(E847="",E847="!!!",F847="NEW"),"",INDEX(B846:B$2,-1+SUMPRODUCT(MAX(ROW(E846:E$2)*(E847=E846:E$2)))))</f>
        <v> </v>
      </c>
      <c r="J847" s="26" t="str">
        <f>IF(OR(E847="",E847="!!!",F847="NEW"),"",COUNTBLANK(OFFSET(A$1,,,SUMPRODUCT(MAX(ROW(E$2:E847)*(E847=E$2:E847)))))-COUNTBLANK(OFFSET(A$1,,,SUMPRODUCT(MAX(ROW(E$1:E846)*(E2=E$1:E846))))))</f>
        <v> </v>
      </c>
      <c r="K847" s="26" t="str">
        <f>IF(OR(E847="",E847="!!!",F847="NEW"),"",INDEX(J$1:J846,SUMPRODUCT(MAX(ROW(E$1:E846)*(E847=E$1:E846)))))</f>
        <v> </v>
      </c>
      <c r="L847" s="27"/>
    </row>
    <row r="848" spans="1:12">
      <c r="A848" s="20" t="s">
        <v>519</v>
      </c>
      <c r="E848" s="22">
        <f>IF(D848="?OLD","!!!","")</f>
        <v/>
      </c>
      <c r="F848" s="23" t="str">
        <f>IF(OR(E848="",E848="!!!"),"",IF(NOT(ISNA(VLOOKUP(E848,E$1:E847,1,FALSE()))),"OLD",IF(AND(E848&lt;&gt;"",E848&lt;&gt;"!!!"),"NEW","")))</f>
        <v> </v>
      </c>
      <c r="G848" s="24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5" t="str">
        <f>IF(J848&lt;&gt;1,"",IF(I848="SBJ","CB","?"))</f>
        <v> </v>
      </c>
      <c r="I848" s="26" t="str">
        <f>IF(OR(E848="",E848="!!!",F848="NEW"),"",INDEX(B847:B$2,-1+SUMPRODUCT(MAX(ROW(E847:E$2)*(E848=E847:E$2)))))</f>
        <v> </v>
      </c>
      <c r="J848" s="26" t="str">
        <f>IF(OR(E848="",E848="!!!",F848="NEW"),"",COUNTBLANK(OFFSET(A$1,,,SUMPRODUCT(MAX(ROW(E$2:E848)*(E848=E$2:E848)))))-COUNTBLANK(OFFSET(A$1,,,SUMPRODUCT(MAX(ROW(E$1:E847)*(E2=E$1:E847))))))</f>
        <v> </v>
      </c>
      <c r="K848" s="26" t="str">
        <f>IF(OR(E848="",E848="!!!",F848="NEW"),"",INDEX(J$1:J847,SUMPRODUCT(MAX(ROW(E$1:E847)*(E848=E$1:E847)))))</f>
        <v> </v>
      </c>
      <c r="L848" s="27"/>
    </row>
    <row r="849" spans="1:12">
      <c r="A849" s="20" t="s">
        <v>712</v>
      </c>
      <c r="B849" s="21" t="s">
        <v>412</v>
      </c>
      <c r="C849" s="21" t="s">
        <v>542</v>
      </c>
      <c r="D849" s="21" t="s">
        <v>368</v>
      </c>
      <c r="E849" s="22">
        <f>IF(D849="?OLD","!!!","")</f>
        <v/>
      </c>
      <c r="F849" s="23" t="str">
        <f>IF(OR(E849="",E849="!!!"),"",IF(NOT(ISNA(VLOOKUP(E849,E$1:E848,1,FALSE()))),"OLD",IF(AND(E849&lt;&gt;"",E849&lt;&gt;"!!!"),"NEW","")))</f>
        <v> </v>
      </c>
      <c r="G849" s="24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5" t="str">
        <f>IF(J849&lt;&gt;1,"",IF(I849="SBJ","CB","?"))</f>
        <v> </v>
      </c>
      <c r="I849" s="26" t="str">
        <f>IF(OR(E849="",E849="!!!",F849="NEW"),"",INDEX(B848:B$2,-1+SUMPRODUCT(MAX(ROW(E848:E$2)*(E849=E848:E$2)))))</f>
        <v> </v>
      </c>
      <c r="J849" s="26" t="str">
        <f>IF(OR(E849="",E849="!!!",F849="NEW"),"",COUNTBLANK(OFFSET(A$1,,,SUMPRODUCT(MAX(ROW(E$2:E849)*(E849=E$2:E849)))))-COUNTBLANK(OFFSET(A$1,,,SUMPRODUCT(MAX(ROW(E$1:E848)*(E2=E$1:E848))))))</f>
        <v> </v>
      </c>
      <c r="K849" s="26" t="str">
        <f>IF(OR(E849="",E849="!!!",F849="NEW"),"",INDEX(J$1:J848,SUMPRODUCT(MAX(ROW(E$1:E848)*(E849=E$1:E848)))))</f>
        <v> </v>
      </c>
      <c r="L849" s="27"/>
    </row>
    <row r="850" spans="1:12">
      <c r="A850" s="20" t="s">
        <v>170</v>
      </c>
      <c r="E850" s="22">
        <f>IF(D850="?OLD","!!!","")</f>
        <v/>
      </c>
      <c r="F850" s="23" t="str">
        <f>IF(OR(E850="",E850="!!!"),"",IF(NOT(ISNA(VLOOKUP(E850,E$1:E849,1,FALSE()))),"OLD",IF(AND(E850&lt;&gt;"",E850&lt;&gt;"!!!"),"NEW","")))</f>
        <v> </v>
      </c>
      <c r="G850" s="24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5" t="str">
        <f>IF(J850&lt;&gt;1,"",IF(I850="SBJ","CB","?"))</f>
        <v> </v>
      </c>
      <c r="I850" s="26" t="str">
        <f>IF(OR(E850="",E850="!!!",F850="NEW"),"",INDEX(B849:B$2,-1+SUMPRODUCT(MAX(ROW(E849:E$2)*(E850=E849:E$2)))))</f>
        <v> </v>
      </c>
      <c r="J850" s="26" t="str">
        <f>IF(OR(E850="",E850="!!!",F850="NEW"),"",COUNTBLANK(OFFSET(A$1,,,SUMPRODUCT(MAX(ROW(E$2:E850)*(E850=E$2:E850)))))-COUNTBLANK(OFFSET(A$1,,,SUMPRODUCT(MAX(ROW(E$1:E849)*(E2=E$1:E849))))))</f>
        <v> </v>
      </c>
      <c r="K850" s="26" t="str">
        <f>IF(OR(E850="",E850="!!!",F850="NEW"),"",INDEX(J$1:J849,SUMPRODUCT(MAX(ROW(E$1:E849)*(E850=E$1:E849)))))</f>
        <v> </v>
      </c>
      <c r="L850" s="27"/>
    </row>
    <row r="851" spans="1:12">
      <c r="A851" s="20" t="s">
        <v>376</v>
      </c>
      <c r="E851" s="22">
        <f>IF(D851="?OLD","!!!","")</f>
        <v/>
      </c>
      <c r="F851" s="23" t="str">
        <f>IF(OR(E851="",E851="!!!"),"",IF(NOT(ISNA(VLOOKUP(E851,E$1:E850,1,FALSE()))),"OLD",IF(AND(E851&lt;&gt;"",E851&lt;&gt;"!!!"),"NEW","")))</f>
        <v> </v>
      </c>
      <c r="G851" s="24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5" t="str">
        <f>IF(J851&lt;&gt;1,"",IF(I851="SBJ","CB","?"))</f>
        <v> </v>
      </c>
      <c r="I851" s="26" t="str">
        <f>IF(OR(E851="",E851="!!!",F851="NEW"),"",INDEX(B850:B$2,-1+SUMPRODUCT(MAX(ROW(E850:E$2)*(E851=E850:E$2)))))</f>
        <v> </v>
      </c>
      <c r="J851" s="26" t="str">
        <f>IF(OR(E851="",E851="!!!",F851="NEW"),"",COUNTBLANK(OFFSET(A$1,,,SUMPRODUCT(MAX(ROW(E$2:E851)*(E851=E$2:E851)))))-COUNTBLANK(OFFSET(A$1,,,SUMPRODUCT(MAX(ROW(E$1:E850)*(E2=E$1:E850))))))</f>
        <v> </v>
      </c>
      <c r="K851" s="26" t="str">
        <f>IF(OR(E851="",E851="!!!",F851="NEW"),"",INDEX(J$1:J850,SUMPRODUCT(MAX(ROW(E$1:E850)*(E851=E$1:E850)))))</f>
        <v> </v>
      </c>
      <c r="L851" s="27"/>
    </row>
    <row r="852" spans="1:12">
      <c r="A852" s="20" t="s">
        <v>713</v>
      </c>
      <c r="B852" s="21" t="s">
        <v>366</v>
      </c>
      <c r="C852" s="21" t="s">
        <v>434</v>
      </c>
      <c r="D852" s="21" t="s">
        <v>368</v>
      </c>
      <c r="E852" s="22">
        <f>IF(D852="?OLD","!!!","")</f>
        <v/>
      </c>
      <c r="F852" s="23" t="str">
        <f>IF(OR(E852="",E852="!!!"),"",IF(NOT(ISNA(VLOOKUP(E852,E$1:E851,1,FALSE()))),"OLD",IF(AND(E852&lt;&gt;"",E852&lt;&gt;"!!!"),"NEW","")))</f>
        <v> </v>
      </c>
      <c r="G852" s="24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5" t="str">
        <f>IF(J852&lt;&gt;1,"",IF(I852="SBJ","CB","?"))</f>
        <v> </v>
      </c>
      <c r="I852" s="26" t="str">
        <f>IF(OR(E852="",E852="!!!",F852="NEW"),"",INDEX(B851:B$2,-1+SUMPRODUCT(MAX(ROW(E851:E$2)*(E852=E851:E$2)))))</f>
        <v> </v>
      </c>
      <c r="J852" s="26" t="str">
        <f>IF(OR(E852="",E852="!!!",F852="NEW"),"",COUNTBLANK(OFFSET(A$1,,,SUMPRODUCT(MAX(ROW(E$2:E852)*(E852=E$2:E852)))))-COUNTBLANK(OFFSET(A$1,,,SUMPRODUCT(MAX(ROW(E$1:E851)*(E2=E$1:E851))))))</f>
        <v> </v>
      </c>
      <c r="K852" s="26" t="str">
        <f>IF(OR(E852="",E852="!!!",F852="NEW"),"",INDEX(J$1:J851,SUMPRODUCT(MAX(ROW(E$1:E851)*(E852=E$1:E851)))))</f>
        <v> </v>
      </c>
      <c r="L852" s="27"/>
    </row>
    <row r="853" spans="1:12">
      <c r="A853" s="20"/>
    </row>
    <row r="854" spans="1:12">
      <c r="A854" s="20" t="s">
        <v>533</v>
      </c>
      <c r="E854" s="22">
        <f>IF(D854="?OLD","!!!","")</f>
        <v/>
      </c>
      <c r="F854" s="23" t="str">
        <f>IF(OR(E854="",E854="!!!"),"",IF(NOT(ISNA(VLOOKUP(E854,E$1:E853,1,FALSE()))),"OLD",IF(AND(E854&lt;&gt;"",E854&lt;&gt;"!!!"),"NEW","")))</f>
        <v> </v>
      </c>
      <c r="G854" s="24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5" t="str">
        <f>IF(J854&lt;&gt;1,"",IF(I854="SBJ","CB","?"))</f>
        <v> </v>
      </c>
      <c r="I854" s="26" t="str">
        <f>IF(OR(E854="",E854="!!!",F854="NEW"),"",INDEX(B853:B$2,-1+SUMPRODUCT(MAX(ROW(E853:E$2)*(E854=E853:E$2)))))</f>
        <v> </v>
      </c>
      <c r="J854" s="26" t="str">
        <f>IF(OR(E854="",E854="!!!",F854="NEW"),"",COUNTBLANK(OFFSET(A$1,,,SUMPRODUCT(MAX(ROW(E$2:E854)*(E854=E$2:E854)))))-COUNTBLANK(OFFSET(A$1,,,SUMPRODUCT(MAX(ROW(E$1:E853)*(E2=E$1:E853))))))</f>
        <v> </v>
      </c>
      <c r="K854" s="26" t="str">
        <f>IF(OR(E854="",E854="!!!",F854="NEW"),"",INDEX(J$1:J853,SUMPRODUCT(MAX(ROW(E$1:E853)*(E854=E$1:E853)))))</f>
        <v> </v>
      </c>
      <c r="L854" s="27"/>
    </row>
    <row r="855" spans="1:12">
      <c r="A855" s="20" t="s">
        <v>714</v>
      </c>
    </row>
    <row r="856" spans="1:12">
      <c r="A856" s="20" t="s">
        <v>715</v>
      </c>
      <c r="E856" s="22">
        <f>IF(D856="?OLD","!!!","")</f>
        <v/>
      </c>
      <c r="F856" s="23" t="str">
        <f>IF(OR(E856="",E856="!!!"),"",IF(NOT(ISNA(VLOOKUP(E856,E$1:E855,1,FALSE()))),"OLD",IF(AND(E856&lt;&gt;"",E856&lt;&gt;"!!!"),"NEW","")))</f>
        <v> </v>
      </c>
      <c r="G856" s="24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5" t="str">
        <f>IF(J856&lt;&gt;1,"",IF(I856="SBJ","CB","?"))</f>
        <v> </v>
      </c>
      <c r="I856" s="26" t="str">
        <f>IF(OR(E856="",E856="!!!",F856="NEW"),"",INDEX(B855:B$2,-1+SUMPRODUCT(MAX(ROW(E855:E$2)*(E856=E855:E$2)))))</f>
        <v> </v>
      </c>
      <c r="J856" s="26" t="str">
        <f>IF(OR(E856="",E856="!!!",F856="NEW"),"",COUNTBLANK(OFFSET(A$1,,,SUMPRODUCT(MAX(ROW(E$2:E856)*(E856=E$2:E856)))))-COUNTBLANK(OFFSET(A$1,,,SUMPRODUCT(MAX(ROW(E$1:E855)*(E2=E$1:E855))))))</f>
        <v> </v>
      </c>
      <c r="K856" s="26" t="str">
        <f>IF(OR(E856="",E856="!!!",F856="NEW"),"",INDEX(J$1:J855,SUMPRODUCT(MAX(ROW(E$1:E855)*(E856=E$1:E855)))))</f>
        <v> </v>
      </c>
      <c r="L856" s="27"/>
    </row>
    <row r="857" spans="1:12">
      <c r="A857" s="20" t="s">
        <v>716</v>
      </c>
      <c r="B857" s="21" t="s">
        <v>366</v>
      </c>
      <c r="C857" s="21" t="s">
        <v>367</v>
      </c>
      <c r="D857" s="21" t="s">
        <v>368</v>
      </c>
      <c r="E857" s="22">
        <f>IF(D857="?OLD","!!!","")</f>
        <v/>
      </c>
      <c r="F857" s="23" t="str">
        <f>IF(OR(E857="",E857="!!!"),"",IF(NOT(ISNA(VLOOKUP(E857,E$1:E856,1,FALSE()))),"OLD",IF(AND(E857&lt;&gt;"",E857&lt;&gt;"!!!"),"NEW","")))</f>
        <v> </v>
      </c>
      <c r="G857" s="24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5" t="str">
        <f>IF(J857&lt;&gt;1,"",IF(I857="SBJ","CB","?"))</f>
        <v> </v>
      </c>
      <c r="I857" s="26" t="str">
        <f>IF(OR(E857="",E857="!!!",F857="NEW"),"",INDEX(B856:B$2,-1+SUMPRODUCT(MAX(ROW(E856:E$2)*(E857=E856:E$2)))))</f>
        <v> </v>
      </c>
      <c r="J857" s="26" t="str">
        <f>IF(OR(E857="",E857="!!!",F857="NEW"),"",COUNTBLANK(OFFSET(A$1,,,SUMPRODUCT(MAX(ROW(E$2:E857)*(E857=E$2:E857)))))-COUNTBLANK(OFFSET(A$1,,,SUMPRODUCT(MAX(ROW(E$1:E856)*(E2=E$1:E856))))))</f>
        <v> </v>
      </c>
      <c r="K857" s="26" t="str">
        <f>IF(OR(E857="",E857="!!!",F857="NEW"),"",INDEX(J$1:J856,SUMPRODUCT(MAX(ROW(E$1:E856)*(E857=E$1:E856)))))</f>
        <v> </v>
      </c>
      <c r="L857" s="27"/>
    </row>
    <row r="858" spans="1:12">
      <c r="A858" s="20" t="s">
        <v>717</v>
      </c>
      <c r="E858" s="22">
        <f>IF(D858="?OLD","!!!","")</f>
        <v/>
      </c>
      <c r="F858" s="23" t="str">
        <f>IF(OR(E858="",E858="!!!"),"",IF(NOT(ISNA(VLOOKUP(E858,E$1:E857,1,FALSE()))),"OLD",IF(AND(E858&lt;&gt;"",E858&lt;&gt;"!!!"),"NEW","")))</f>
        <v> </v>
      </c>
      <c r="G858" s="24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5" t="str">
        <f>IF(J858&lt;&gt;1,"",IF(I858="SBJ","CB","?"))</f>
        <v> </v>
      </c>
      <c r="I858" s="26" t="str">
        <f>IF(OR(E858="",E858="!!!",F858="NEW"),"",INDEX(B857:B$2,-1+SUMPRODUCT(MAX(ROW(E857:E$2)*(E858=E857:E$2)))))</f>
        <v> </v>
      </c>
      <c r="J858" s="26" t="str">
        <f>IF(OR(E858="",E858="!!!",F858="NEW"),"",COUNTBLANK(OFFSET(A$1,,,SUMPRODUCT(MAX(ROW(E$2:E858)*(E858=E$2:E858)))))-COUNTBLANK(OFFSET(A$1,,,SUMPRODUCT(MAX(ROW(E$1:E857)*(E2=E$1:E857))))))</f>
        <v> </v>
      </c>
      <c r="K858" s="26" t="str">
        <f>IF(OR(E858="",E858="!!!",F858="NEW"),"",INDEX(J$1:J857,SUMPRODUCT(MAX(ROW(E$1:E857)*(E858=E$1:E857)))))</f>
        <v> </v>
      </c>
      <c r="L858" s="27"/>
    </row>
    <row r="859" spans="1:12">
      <c r="A859" s="20" t="s">
        <v>718</v>
      </c>
      <c r="E859" s="22">
        <f>IF(D859="?OLD","!!!","")</f>
        <v/>
      </c>
      <c r="F859" s="23" t="str">
        <f>IF(OR(E859="",E859="!!!"),"",IF(NOT(ISNA(VLOOKUP(E859,E$1:E858,1,FALSE()))),"OLD",IF(AND(E859&lt;&gt;"",E859&lt;&gt;"!!!"),"NEW","")))</f>
        <v> </v>
      </c>
      <c r="G859" s="24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5" t="str">
        <f>IF(J859&lt;&gt;1,"",IF(I859="SBJ","CB","?"))</f>
        <v> </v>
      </c>
      <c r="I859" s="26" t="str">
        <f>IF(OR(E859="",E859="!!!",F859="NEW"),"",INDEX(B858:B$2,-1+SUMPRODUCT(MAX(ROW(E858:E$2)*(E859=E858:E$2)))))</f>
        <v> </v>
      </c>
      <c r="J859" s="26" t="str">
        <f>IF(OR(E859="",E859="!!!",F859="NEW"),"",COUNTBLANK(OFFSET(A$1,,,SUMPRODUCT(MAX(ROW(E$2:E859)*(E859=E$2:E859)))))-COUNTBLANK(OFFSET(A$1,,,SUMPRODUCT(MAX(ROW(E$1:E858)*(E2=E$1:E858))))))</f>
        <v> </v>
      </c>
      <c r="K859" s="26" t="str">
        <f>IF(OR(E859="",E859="!!!",F859="NEW"),"",INDEX(J$1:J858,SUMPRODUCT(MAX(ROW(E$1:E858)*(E859=E$1:E858)))))</f>
        <v> </v>
      </c>
      <c r="L859" s="27"/>
    </row>
    <row r="860" spans="1:12">
      <c r="A860" s="20" t="s">
        <v>719</v>
      </c>
      <c r="B860" s="21" t="s">
        <v>374</v>
      </c>
      <c r="C860" s="21" t="s">
        <v>430</v>
      </c>
      <c r="E860" s="22">
        <f>IF(D860="?OLD","!!!","")</f>
        <v/>
      </c>
      <c r="F860" s="23" t="str">
        <f>IF(OR(E860="",E860="!!!"),"",IF(NOT(ISNA(VLOOKUP(E860,E$1:E859,1,FALSE()))),"OLD",IF(AND(E860&lt;&gt;"",E860&lt;&gt;"!!!"),"NEW","")))</f>
        <v> </v>
      </c>
      <c r="G860" s="24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5" t="str">
        <f>IF(J860&lt;&gt;1,"",IF(I860="SBJ","CB","?"))</f>
        <v> </v>
      </c>
      <c r="I860" s="26" t="str">
        <f>IF(OR(E860="",E860="!!!",F860="NEW"),"",INDEX(B859:B$2,-1+SUMPRODUCT(MAX(ROW(E859:E$2)*(E860=E859:E$2)))))</f>
        <v> </v>
      </c>
      <c r="J860" s="26" t="str">
        <f>IF(OR(E860="",E860="!!!",F860="NEW"),"",COUNTBLANK(OFFSET(A$1,,,SUMPRODUCT(MAX(ROW(E$2:E860)*(E860=E$2:E860)))))-COUNTBLANK(OFFSET(A$1,,,SUMPRODUCT(MAX(ROW(E$1:E859)*(E2=E$1:E859))))))</f>
        <v> </v>
      </c>
      <c r="K860" s="26" t="str">
        <f>IF(OR(E860="",E860="!!!",F860="NEW"),"",INDEX(J$1:J859,SUMPRODUCT(MAX(ROW(E$1:E859)*(E860=E$1:E859)))))</f>
        <v> </v>
      </c>
      <c r="L860" s="27"/>
    </row>
    <row r="861" spans="1:12">
      <c r="A861" s="20" t="s">
        <v>543</v>
      </c>
      <c r="E861" s="22">
        <f>IF(D861="?OLD","!!!","")</f>
        <v/>
      </c>
      <c r="F861" s="23" t="str">
        <f>IF(OR(E861="",E861="!!!"),"",IF(NOT(ISNA(VLOOKUP(E861,E$1:E860,1,FALSE()))),"OLD",IF(AND(E861&lt;&gt;"",E861&lt;&gt;"!!!"),"NEW","")))</f>
        <v> </v>
      </c>
      <c r="G861" s="24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5" t="str">
        <f>IF(J861&lt;&gt;1,"",IF(I861="SBJ","CB","?"))</f>
        <v> </v>
      </c>
      <c r="I861" s="26" t="str">
        <f>IF(OR(E861="",E861="!!!",F861="NEW"),"",INDEX(B860:B$2,-1+SUMPRODUCT(MAX(ROW(E860:E$2)*(E861=E860:E$2)))))</f>
        <v> </v>
      </c>
      <c r="J861" s="26" t="str">
        <f>IF(OR(E861="",E861="!!!",F861="NEW"),"",COUNTBLANK(OFFSET(A$1,,,SUMPRODUCT(MAX(ROW(E$2:E861)*(E861=E$2:E861)))))-COUNTBLANK(OFFSET(A$1,,,SUMPRODUCT(MAX(ROW(E$1:E860)*(E2=E$1:E860))))))</f>
        <v> </v>
      </c>
      <c r="K861" s="26" t="str">
        <f>IF(OR(E861="",E861="!!!",F861="NEW"),"",INDEX(J$1:J860,SUMPRODUCT(MAX(ROW(E$1:E860)*(E861=E$1:E860)))))</f>
        <v> </v>
      </c>
      <c r="L861" s="27"/>
    </row>
    <row r="862" spans="1:12">
      <c r="A862" s="20" t="s">
        <v>94</v>
      </c>
      <c r="E862" s="22">
        <f>IF(D862="?OLD","!!!","")</f>
        <v/>
      </c>
      <c r="F862" s="23" t="str">
        <f>IF(OR(E862="",E862="!!!"),"",IF(NOT(ISNA(VLOOKUP(E862,E$1:E861,1,FALSE()))),"OLD",IF(AND(E862&lt;&gt;"",E862&lt;&gt;"!!!"),"NEW","")))</f>
        <v> </v>
      </c>
      <c r="G862" s="24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5" t="str">
        <f>IF(J862&lt;&gt;1,"",IF(I862="SBJ","CB","?"))</f>
        <v> </v>
      </c>
      <c r="I862" s="26" t="str">
        <f>IF(OR(E862="",E862="!!!",F862="NEW"),"",INDEX(B861:B$2,-1+SUMPRODUCT(MAX(ROW(E861:E$2)*(E862=E861:E$2)))))</f>
        <v> </v>
      </c>
      <c r="J862" s="26" t="str">
        <f>IF(OR(E862="",E862="!!!",F862="NEW"),"",COUNTBLANK(OFFSET(A$1,,,SUMPRODUCT(MAX(ROW(E$2:E862)*(E862=E$2:E862)))))-COUNTBLANK(OFFSET(A$1,,,SUMPRODUCT(MAX(ROW(E$1:E861)*(E2=E$1:E861))))))</f>
        <v> </v>
      </c>
      <c r="K862" s="26" t="str">
        <f>IF(OR(E862="",E862="!!!",F862="NEW"),"",INDEX(J$1:J861,SUMPRODUCT(MAX(ROW(E$1:E861)*(E862=E$1:E861)))))</f>
        <v> </v>
      </c>
      <c r="L862" s="27"/>
    </row>
    <row r="863" spans="1:12">
      <c r="A863" s="20"/>
    </row>
    <row r="864" spans="1:12">
      <c r="A864" s="20" t="s">
        <v>533</v>
      </c>
      <c r="E864" s="22">
        <f>IF(D864="?OLD","!!!","")</f>
        <v/>
      </c>
      <c r="F864" s="23" t="str">
        <f>IF(OR(E864="",E864="!!!"),"",IF(NOT(ISNA(VLOOKUP(E864,E$1:E863,1,FALSE()))),"OLD",IF(AND(E864&lt;&gt;"",E864&lt;&gt;"!!!"),"NEW","")))</f>
        <v> </v>
      </c>
      <c r="G864" s="24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5" t="str">
        <f>IF(J864&lt;&gt;1,"",IF(I864="SBJ","CB","?"))</f>
        <v> </v>
      </c>
      <c r="I864" s="26" t="str">
        <f>IF(OR(E864="",E864="!!!",F864="NEW"),"",INDEX(B863:B$2,-1+SUMPRODUCT(MAX(ROW(E863:E$2)*(E864=E863:E$2)))))</f>
        <v> </v>
      </c>
      <c r="J864" s="26" t="str">
        <f>IF(OR(E864="",E864="!!!",F864="NEW"),"",COUNTBLANK(OFFSET(A$1,,,SUMPRODUCT(MAX(ROW(E$2:E864)*(E864=E$2:E864)))))-COUNTBLANK(OFFSET(A$1,,,SUMPRODUCT(MAX(ROW(E$1:E863)*(E2=E$1:E863))))))</f>
        <v> </v>
      </c>
      <c r="K864" s="26" t="str">
        <f>IF(OR(E864="",E864="!!!",F864="NEW"),"",INDEX(J$1:J863,SUMPRODUCT(MAX(ROW(E$1:E863)*(E864=E$1:E863)))))</f>
        <v> </v>
      </c>
      <c r="L864" s="27"/>
    </row>
    <row r="865" spans="1:12">
      <c r="A865" s="20" t="s">
        <v>720</v>
      </c>
    </row>
    <row r="866" spans="1:12">
      <c r="A866" s="20" t="s">
        <v>94</v>
      </c>
      <c r="E866" s="22">
        <f>IF(D866="?OLD","!!!","")</f>
        <v/>
      </c>
      <c r="F866" s="23" t="str">
        <f>IF(OR(E866="",E866="!!!"),"",IF(NOT(ISNA(VLOOKUP(E866,E$1:E865,1,FALSE()))),"OLD",IF(AND(E866&lt;&gt;"",E866&lt;&gt;"!!!"),"NEW","")))</f>
        <v> </v>
      </c>
      <c r="G866" s="24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5" t="str">
        <f>IF(J866&lt;&gt;1,"",IF(I866="SBJ","CB","?"))</f>
        <v> </v>
      </c>
      <c r="I866" s="26" t="str">
        <f>IF(OR(E866="",E866="!!!",F866="NEW"),"",INDEX(B865:B$2,-1+SUMPRODUCT(MAX(ROW(E865:E$2)*(E866=E865:E$2)))))</f>
        <v> </v>
      </c>
      <c r="J866" s="26" t="str">
        <f>IF(OR(E866="",E866="!!!",F866="NEW"),"",COUNTBLANK(OFFSET(A$1,,,SUMPRODUCT(MAX(ROW(E$2:E866)*(E866=E$2:E866)))))-COUNTBLANK(OFFSET(A$1,,,SUMPRODUCT(MAX(ROW(E$1:E865)*(E2=E$1:E865))))))</f>
        <v> </v>
      </c>
      <c r="K866" s="26" t="str">
        <f>IF(OR(E866="",E866="!!!",F866="NEW"),"",INDEX(J$1:J865,SUMPRODUCT(MAX(ROW(E$1:E865)*(E866=E$1:E865)))))</f>
        <v> </v>
      </c>
      <c r="L866" s="27"/>
    </row>
    <row r="867" spans="1:12">
      <c r="A867" s="20" t="s">
        <v>721</v>
      </c>
      <c r="E867" s="22">
        <f>IF(D867="?OLD","!!!","")</f>
        <v/>
      </c>
      <c r="F867" s="23" t="str">
        <f>IF(OR(E867="",E867="!!!"),"",IF(NOT(ISNA(VLOOKUP(E867,E$1:E866,1,FALSE()))),"OLD",IF(AND(E867&lt;&gt;"",E867&lt;&gt;"!!!"),"NEW","")))</f>
        <v> </v>
      </c>
      <c r="G867" s="24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5" t="str">
        <f>IF(J867&lt;&gt;1,"",IF(I867="SBJ","CB","?"))</f>
        <v> </v>
      </c>
      <c r="I867" s="26" t="str">
        <f>IF(OR(E867="",E867="!!!",F867="NEW"),"",INDEX(B866:B$2,-1+SUMPRODUCT(MAX(ROW(E866:E$2)*(E867=E866:E$2)))))</f>
        <v> </v>
      </c>
      <c r="J867" s="26" t="str">
        <f>IF(OR(E867="",E867="!!!",F867="NEW"),"",COUNTBLANK(OFFSET(A$1,,,SUMPRODUCT(MAX(ROW(E$2:E867)*(E867=E$2:E867)))))-COUNTBLANK(OFFSET(A$1,,,SUMPRODUCT(MAX(ROW(E$1:E866)*(E2=E$1:E866))))))</f>
        <v> </v>
      </c>
      <c r="K867" s="26" t="str">
        <f>IF(OR(E867="",E867="!!!",F867="NEW"),"",INDEX(J$1:J866,SUMPRODUCT(MAX(ROW(E$1:E866)*(E867=E$1:E866)))))</f>
        <v> </v>
      </c>
      <c r="L867" s="27"/>
    </row>
    <row r="868" spans="1:12">
      <c r="A868" s="20" t="s">
        <v>453</v>
      </c>
      <c r="B868" s="21" t="s">
        <v>366</v>
      </c>
      <c r="C868" s="21" t="s">
        <v>367</v>
      </c>
      <c r="D868" s="21" t="s">
        <v>368</v>
      </c>
      <c r="E868" s="22">
        <f>IF(D868="?OLD","!!!","")</f>
        <v/>
      </c>
      <c r="F868" s="23" t="str">
        <f>IF(OR(E868="",E868="!!!"),"",IF(NOT(ISNA(VLOOKUP(E868,E$1:E867,1,FALSE()))),"OLD",IF(AND(E868&lt;&gt;"",E868&lt;&gt;"!!!"),"NEW","")))</f>
        <v> </v>
      </c>
      <c r="G868" s="24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5" t="str">
        <f>IF(J868&lt;&gt;1,"",IF(I868="SBJ","CB","?"))</f>
        <v> </v>
      </c>
      <c r="I868" s="26" t="str">
        <f>IF(OR(E868="",E868="!!!",F868="NEW"),"",INDEX(B867:B$2,-1+SUMPRODUCT(MAX(ROW(E867:E$2)*(E868=E867:E$2)))))</f>
        <v> </v>
      </c>
      <c r="J868" s="26" t="str">
        <f>IF(OR(E868="",E868="!!!",F868="NEW"),"",COUNTBLANK(OFFSET(A$1,,,SUMPRODUCT(MAX(ROW(E$2:E868)*(E868=E$2:E868)))))-COUNTBLANK(OFFSET(A$1,,,SUMPRODUCT(MAX(ROW(E$1:E867)*(E2=E$1:E867))))))</f>
        <v> </v>
      </c>
      <c r="K868" s="26" t="str">
        <f>IF(OR(E868="",E868="!!!",F868="NEW"),"",INDEX(J$1:J867,SUMPRODUCT(MAX(ROW(E$1:E867)*(E868=E$1:E867)))))</f>
        <v> </v>
      </c>
      <c r="L868" s="27"/>
    </row>
    <row r="869" spans="1:12">
      <c r="A869" s="20" t="s">
        <v>722</v>
      </c>
      <c r="B869" s="21" t="s">
        <v>419</v>
      </c>
      <c r="E869" s="22">
        <f>IF(D869="?OLD","!!!","")</f>
        <v/>
      </c>
      <c r="F869" s="23" t="str">
        <f>IF(OR(E869="",E869="!!!"),"",IF(NOT(ISNA(VLOOKUP(E869,E$1:E868,1,FALSE()))),"OLD",IF(AND(E869&lt;&gt;"",E869&lt;&gt;"!!!"),"NEW","")))</f>
        <v> </v>
      </c>
      <c r="G869" s="24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5" t="str">
        <f>IF(J869&lt;&gt;1,"",IF(I869="SBJ","CB","?"))</f>
        <v> </v>
      </c>
      <c r="I869" s="26" t="str">
        <f>IF(OR(E869="",E869="!!!",F869="NEW"),"",INDEX(B868:B$2,-1+SUMPRODUCT(MAX(ROW(E868:E$2)*(E869=E868:E$2)))))</f>
        <v> </v>
      </c>
      <c r="J869" s="26" t="str">
        <f>IF(OR(E869="",E869="!!!",F869="NEW"),"",COUNTBLANK(OFFSET(A$1,,,SUMPRODUCT(MAX(ROW(E$2:E869)*(E869=E$2:E869)))))-COUNTBLANK(OFFSET(A$1,,,SUMPRODUCT(MAX(ROW(E$1:E868)*(E2=E$1:E868))))))</f>
        <v> </v>
      </c>
      <c r="K869" s="26" t="str">
        <f>IF(OR(E869="",E869="!!!",F869="NEW"),"",INDEX(J$1:J868,SUMPRODUCT(MAX(ROW(E$1:E868)*(E869=E$1:E868)))))</f>
        <v> </v>
      </c>
      <c r="L869" s="27"/>
    </row>
    <row r="870" spans="1:12">
      <c r="A870" s="20" t="s">
        <v>723</v>
      </c>
      <c r="B870" s="21" t="s">
        <v>366</v>
      </c>
      <c r="E870" s="22">
        <f>IF(D870="?OLD","!!!","")</f>
        <v/>
      </c>
      <c r="F870" s="23" t="str">
        <f>IF(OR(E870="",E870="!!!"),"",IF(NOT(ISNA(VLOOKUP(E870,E$1:E869,1,FALSE()))),"OLD",IF(AND(E870&lt;&gt;"",E870&lt;&gt;"!!!"),"NEW","")))</f>
        <v> </v>
      </c>
      <c r="G870" s="24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5" t="str">
        <f>IF(J870&lt;&gt;1,"",IF(I870="SBJ","CB","?"))</f>
        <v> </v>
      </c>
      <c r="I870" s="26" t="str">
        <f>IF(OR(E870="",E870="!!!",F870="NEW"),"",INDEX(B869:B$2,-1+SUMPRODUCT(MAX(ROW(E869:E$2)*(E870=E869:E$2)))))</f>
        <v> </v>
      </c>
      <c r="J870" s="26" t="str">
        <f>IF(OR(E870="",E870="!!!",F870="NEW"),"",COUNTBLANK(OFFSET(A$1,,,SUMPRODUCT(MAX(ROW(E$2:E870)*(E870=E$2:E870)))))-COUNTBLANK(OFFSET(A$1,,,SUMPRODUCT(MAX(ROW(E$1:E869)*(E2=E$1:E869))))))</f>
        <v> </v>
      </c>
      <c r="K870" s="26" t="str">
        <f>IF(OR(E870="",E870="!!!",F870="NEW"),"",INDEX(J$1:J869,SUMPRODUCT(MAX(ROW(E$1:E869)*(E870=E$1:E869)))))</f>
        <v> </v>
      </c>
      <c r="L870" s="27"/>
    </row>
    <row r="871" spans="1:12">
      <c r="A871" s="20" t="s">
        <v>595</v>
      </c>
      <c r="E871" s="22">
        <f>IF(D871="?OLD","!!!","")</f>
        <v/>
      </c>
      <c r="F871" s="23" t="str">
        <f>IF(OR(E871="",E871="!!!"),"",IF(NOT(ISNA(VLOOKUP(E871,E$1:E870,1,FALSE()))),"OLD",IF(AND(E871&lt;&gt;"",E871&lt;&gt;"!!!"),"NEW","")))</f>
        <v> </v>
      </c>
      <c r="G871" s="24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5" t="str">
        <f>IF(J871&lt;&gt;1,"",IF(I871="SBJ","CB","?"))</f>
        <v> </v>
      </c>
      <c r="I871" s="26" t="str">
        <f>IF(OR(E871="",E871="!!!",F871="NEW"),"",INDEX(B870:B$2,-1+SUMPRODUCT(MAX(ROW(E870:E$2)*(E871=E870:E$2)))))</f>
        <v> </v>
      </c>
      <c r="J871" s="26" t="str">
        <f>IF(OR(E871="",E871="!!!",F871="NEW"),"",COUNTBLANK(OFFSET(A$1,,,SUMPRODUCT(MAX(ROW(E$2:E871)*(E871=E$2:E871)))))-COUNTBLANK(OFFSET(A$1,,,SUMPRODUCT(MAX(ROW(E$1:E870)*(E2=E$1:E870))))))</f>
        <v> </v>
      </c>
      <c r="K871" s="26" t="str">
        <f>IF(OR(E871="",E871="!!!",F871="NEW"),"",INDEX(J$1:J870,SUMPRODUCT(MAX(ROW(E$1:E870)*(E871=E$1:E870)))))</f>
        <v> </v>
      </c>
      <c r="L871" s="27"/>
    </row>
    <row r="872" spans="1:12">
      <c r="A872" s="20" t="s">
        <v>724</v>
      </c>
      <c r="E872" s="22">
        <f>IF(D872="?OLD","!!!","")</f>
        <v/>
      </c>
      <c r="F872" s="23" t="str">
        <f>IF(OR(E872="",E872="!!!"),"",IF(NOT(ISNA(VLOOKUP(E872,E$1:E871,1,FALSE()))),"OLD",IF(AND(E872&lt;&gt;"",E872&lt;&gt;"!!!"),"NEW","")))</f>
        <v> </v>
      </c>
      <c r="G872" s="24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5" t="str">
        <f>IF(J872&lt;&gt;1,"",IF(I872="SBJ","CB","?"))</f>
        <v> </v>
      </c>
      <c r="I872" s="26" t="str">
        <f>IF(OR(E872="",E872="!!!",F872="NEW"),"",INDEX(B871:B$2,-1+SUMPRODUCT(MAX(ROW(E871:E$2)*(E872=E871:E$2)))))</f>
        <v> </v>
      </c>
      <c r="J872" s="26" t="str">
        <f>IF(OR(E872="",E872="!!!",F872="NEW"),"",COUNTBLANK(OFFSET(A$1,,,SUMPRODUCT(MAX(ROW(E$2:E872)*(E872=E$2:E872)))))-COUNTBLANK(OFFSET(A$1,,,SUMPRODUCT(MAX(ROW(E$1:E871)*(E2=E$1:E871))))))</f>
        <v> </v>
      </c>
      <c r="K872" s="26" t="str">
        <f>IF(OR(E872="",E872="!!!",F872="NEW"),"",INDEX(J$1:J871,SUMPRODUCT(MAX(ROW(E$1:E871)*(E872=E$1:E871)))))</f>
        <v> </v>
      </c>
      <c r="L872" s="27"/>
    </row>
    <row r="873" spans="1:12">
      <c r="A873" s="20" t="s">
        <v>725</v>
      </c>
      <c r="E873" s="22">
        <f>IF(D873="?OLD","!!!","")</f>
        <v/>
      </c>
      <c r="F873" s="23" t="str">
        <f>IF(OR(E873="",E873="!!!"),"",IF(NOT(ISNA(VLOOKUP(E873,E$1:E872,1,FALSE()))),"OLD",IF(AND(E873&lt;&gt;"",E873&lt;&gt;"!!!"),"NEW","")))</f>
        <v> </v>
      </c>
      <c r="G873" s="24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5" t="str">
        <f>IF(J873&lt;&gt;1,"",IF(I873="SBJ","CB","?"))</f>
        <v> </v>
      </c>
      <c r="I873" s="26" t="str">
        <f>IF(OR(E873="",E873="!!!",F873="NEW"),"",INDEX(B872:B$2,-1+SUMPRODUCT(MAX(ROW(E872:E$2)*(E873=E872:E$2)))))</f>
        <v> </v>
      </c>
      <c r="J873" s="26" t="str">
        <f>IF(OR(E873="",E873="!!!",F873="NEW"),"",COUNTBLANK(OFFSET(A$1,,,SUMPRODUCT(MAX(ROW(E$2:E873)*(E873=E$2:E873)))))-COUNTBLANK(OFFSET(A$1,,,SUMPRODUCT(MAX(ROW(E$1:E872)*(E2=E$1:E872))))))</f>
        <v> </v>
      </c>
      <c r="K873" s="26" t="str">
        <f>IF(OR(E873="",E873="!!!",F873="NEW"),"",INDEX(J$1:J872,SUMPRODUCT(MAX(ROW(E$1:E872)*(E873=E$1:E872)))))</f>
        <v> </v>
      </c>
      <c r="L873" s="27"/>
    </row>
    <row r="874" spans="1:12">
      <c r="A874" s="20" t="s">
        <v>376</v>
      </c>
      <c r="E874" s="22">
        <f>IF(D874="?OLD","!!!","")</f>
        <v/>
      </c>
      <c r="F874" s="23" t="str">
        <f>IF(OR(E874="",E874="!!!"),"",IF(NOT(ISNA(VLOOKUP(E874,E$1:E873,1,FALSE()))),"OLD",IF(AND(E874&lt;&gt;"",E874&lt;&gt;"!!!"),"NEW","")))</f>
        <v> </v>
      </c>
      <c r="G874" s="24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5" t="str">
        <f>IF(J874&lt;&gt;1,"",IF(I874="SBJ","CB","?"))</f>
        <v> </v>
      </c>
      <c r="I874" s="26" t="str">
        <f>IF(OR(E874="",E874="!!!",F874="NEW"),"",INDEX(B873:B$2,-1+SUMPRODUCT(MAX(ROW(E873:E$2)*(E874=E873:E$2)))))</f>
        <v> </v>
      </c>
      <c r="J874" s="26" t="str">
        <f>IF(OR(E874="",E874="!!!",F874="NEW"),"",COUNTBLANK(OFFSET(A$1,,,SUMPRODUCT(MAX(ROW(E$2:E874)*(E874=E$2:E874)))))-COUNTBLANK(OFFSET(A$1,,,SUMPRODUCT(MAX(ROW(E$1:E873)*(E2=E$1:E873))))))</f>
        <v> </v>
      </c>
      <c r="K874" s="26" t="str">
        <f>IF(OR(E874="",E874="!!!",F874="NEW"),"",INDEX(J$1:J873,SUMPRODUCT(MAX(ROW(E$1:E873)*(E874=E$1:E873)))))</f>
        <v> </v>
      </c>
      <c r="L874" s="27"/>
    </row>
    <row r="875" spans="1:12">
      <c r="A875" s="20" t="s">
        <v>530</v>
      </c>
      <c r="B875" s="21" t="s">
        <v>412</v>
      </c>
      <c r="C875" s="21" t="s">
        <v>523</v>
      </c>
      <c r="D875" s="21" t="s">
        <v>368</v>
      </c>
      <c r="E875" s="22">
        <f>IF(D875="?OLD","!!!","")</f>
        <v/>
      </c>
      <c r="F875" s="23" t="str">
        <f>IF(OR(E875="",E875="!!!"),"",IF(NOT(ISNA(VLOOKUP(E875,E$1:E874,1,FALSE()))),"OLD",IF(AND(E875&lt;&gt;"",E875&lt;&gt;"!!!"),"NEW","")))</f>
        <v> </v>
      </c>
      <c r="G875" s="24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5" t="str">
        <f>IF(J875&lt;&gt;1,"",IF(I875="SBJ","CB","?"))</f>
        <v> </v>
      </c>
      <c r="I875" s="26" t="str">
        <f>IF(OR(E875="",E875="!!!",F875="NEW"),"",INDEX(B874:B$2,-1+SUMPRODUCT(MAX(ROW(E874:E$2)*(E875=E874:E$2)))))</f>
        <v> </v>
      </c>
      <c r="J875" s="26" t="str">
        <f>IF(OR(E875="",E875="!!!",F875="NEW"),"",COUNTBLANK(OFFSET(A$1,,,SUMPRODUCT(MAX(ROW(E$2:E875)*(E875=E$2:E875)))))-COUNTBLANK(OFFSET(A$1,,,SUMPRODUCT(MAX(ROW(E$1:E874)*(E2=E$1:E874))))))</f>
        <v> </v>
      </c>
      <c r="K875" s="26" t="str">
        <f>IF(OR(E875="",E875="!!!",F875="NEW"),"",INDEX(J$1:J874,SUMPRODUCT(MAX(ROW(E$1:E874)*(E875=E$1:E874)))))</f>
        <v> </v>
      </c>
      <c r="L875" s="27"/>
    </row>
    <row r="876" spans="1:12">
      <c r="A876" s="20" t="s">
        <v>616</v>
      </c>
      <c r="B876" s="21" t="s">
        <v>374</v>
      </c>
      <c r="C876" s="21" t="s">
        <v>430</v>
      </c>
      <c r="E876" s="22">
        <f>IF(D876="?OLD","!!!","")</f>
        <v/>
      </c>
      <c r="F876" s="23" t="str">
        <f>IF(OR(E876="",E876="!!!"),"",IF(NOT(ISNA(VLOOKUP(E876,E$1:E875,1,FALSE()))),"OLD",IF(AND(E876&lt;&gt;"",E876&lt;&gt;"!!!"),"NEW","")))</f>
        <v> </v>
      </c>
      <c r="G876" s="24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5" t="str">
        <f>IF(J876&lt;&gt;1,"",IF(I876="SBJ","CB","?"))</f>
        <v> </v>
      </c>
      <c r="I876" s="26" t="str">
        <f>IF(OR(E876="",E876="!!!",F876="NEW"),"",INDEX(B875:B$2,-1+SUMPRODUCT(MAX(ROW(E875:E$2)*(E876=E875:E$2)))))</f>
        <v> </v>
      </c>
      <c r="J876" s="26" t="str">
        <f>IF(OR(E876="",E876="!!!",F876="NEW"),"",COUNTBLANK(OFFSET(A$1,,,SUMPRODUCT(MAX(ROW(E$2:E876)*(E876=E$2:E876)))))-COUNTBLANK(OFFSET(A$1,,,SUMPRODUCT(MAX(ROW(E$1:E875)*(E2=E$1:E875))))))</f>
        <v> </v>
      </c>
      <c r="K876" s="26" t="str">
        <f>IF(OR(E876="",E876="!!!",F876="NEW"),"",INDEX(J$1:J875,SUMPRODUCT(MAX(ROW(E$1:E875)*(E876=E$1:E875)))))</f>
        <v> </v>
      </c>
      <c r="L876" s="27"/>
    </row>
    <row r="877" spans="1:12">
      <c r="A877" s="20" t="s">
        <v>409</v>
      </c>
      <c r="E877" s="22">
        <f>IF(D877="?OLD","!!!","")</f>
        <v/>
      </c>
      <c r="F877" s="23" t="str">
        <f>IF(OR(E877="",E877="!!!"),"",IF(NOT(ISNA(VLOOKUP(E877,E$1:E876,1,FALSE()))),"OLD",IF(AND(E877&lt;&gt;"",E877&lt;&gt;"!!!"),"NEW","")))</f>
        <v> </v>
      </c>
      <c r="G877" s="24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5" t="str">
        <f>IF(J877&lt;&gt;1,"",IF(I877="SBJ","CB","?"))</f>
        <v> </v>
      </c>
      <c r="I877" s="26" t="str">
        <f>IF(OR(E877="",E877="!!!",F877="NEW"),"",INDEX(B876:B$2,-1+SUMPRODUCT(MAX(ROW(E876:E$2)*(E877=E876:E$2)))))</f>
        <v> </v>
      </c>
      <c r="J877" s="26" t="str">
        <f>IF(OR(E877="",E877="!!!",F877="NEW"),"",COUNTBLANK(OFFSET(A$1,,,SUMPRODUCT(MAX(ROW(E$2:E877)*(E877=E$2:E877)))))-COUNTBLANK(OFFSET(A$1,,,SUMPRODUCT(MAX(ROW(E$1:E876)*(E2=E$1:E876))))))</f>
        <v> </v>
      </c>
      <c r="K877" s="26" t="str">
        <f>IF(OR(E877="",E877="!!!",F877="NEW"),"",INDEX(J$1:J876,SUMPRODUCT(MAX(ROW(E$1:E876)*(E877=E$1:E876)))))</f>
        <v> </v>
      </c>
      <c r="L877" s="27"/>
    </row>
    <row r="878" spans="1:12">
      <c r="A878" s="20"/>
    </row>
    <row r="879" spans="1:12">
      <c r="A879" s="20" t="s">
        <v>533</v>
      </c>
      <c r="E879" s="22">
        <f>IF(D879="?OLD","!!!","")</f>
        <v/>
      </c>
      <c r="F879" s="23" t="str">
        <f>IF(OR(E879="",E879="!!!"),"",IF(NOT(ISNA(VLOOKUP(E879,E$1:E878,1,FALSE()))),"OLD",IF(AND(E879&lt;&gt;"",E879&lt;&gt;"!!!"),"NEW","")))</f>
        <v> </v>
      </c>
      <c r="G879" s="24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5" t="str">
        <f>IF(J879&lt;&gt;1,"",IF(I879="SBJ","CB","?"))</f>
        <v> </v>
      </c>
      <c r="I879" s="26" t="str">
        <f>IF(OR(E879="",E879="!!!",F879="NEW"),"",INDEX(B878:B$2,-1+SUMPRODUCT(MAX(ROW(E878:E$2)*(E879=E878:E$2)))))</f>
        <v> </v>
      </c>
      <c r="J879" s="26" t="str">
        <f>IF(OR(E879="",E879="!!!",F879="NEW"),"",COUNTBLANK(OFFSET(A$1,,,SUMPRODUCT(MAX(ROW(E$2:E879)*(E879=E$2:E879)))))-COUNTBLANK(OFFSET(A$1,,,SUMPRODUCT(MAX(ROW(E$1:E878)*(E2=E$1:E878))))))</f>
        <v> </v>
      </c>
      <c r="K879" s="26" t="str">
        <f>IF(OR(E879="",E879="!!!",F879="NEW"),"",INDEX(J$1:J878,SUMPRODUCT(MAX(ROW(E$1:E878)*(E879=E$1:E878)))))</f>
        <v> </v>
      </c>
      <c r="L879" s="27"/>
    </row>
    <row r="880" spans="1:12">
      <c r="A880" s="20" t="s">
        <v>557</v>
      </c>
    </row>
    <row r="881" spans="1:12">
      <c r="A881" s="20" t="s">
        <v>94</v>
      </c>
      <c r="E881" s="22">
        <f>IF(D881="?OLD","!!!","")</f>
        <v/>
      </c>
      <c r="F881" s="23" t="str">
        <f>IF(OR(E881="",E881="!!!"),"",IF(NOT(ISNA(VLOOKUP(E881,E$1:E880,1,FALSE()))),"OLD",IF(AND(E881&lt;&gt;"",E881&lt;&gt;"!!!"),"NEW","")))</f>
        <v> </v>
      </c>
      <c r="G881" s="24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5" t="str">
        <f>IF(J881&lt;&gt;1,"",IF(I881="SBJ","CB","?"))</f>
        <v> </v>
      </c>
      <c r="I881" s="26" t="str">
        <f>IF(OR(E881="",E881="!!!",F881="NEW"),"",INDEX(B880:B$2,-1+SUMPRODUCT(MAX(ROW(E880:E$2)*(E881=E880:E$2)))))</f>
        <v> </v>
      </c>
      <c r="J881" s="26" t="str">
        <f>IF(OR(E881="",E881="!!!",F881="NEW"),"",COUNTBLANK(OFFSET(A$1,,,SUMPRODUCT(MAX(ROW(E$2:E881)*(E881=E$2:E881)))))-COUNTBLANK(OFFSET(A$1,,,SUMPRODUCT(MAX(ROW(E$1:E880)*(E2=E$1:E880))))))</f>
        <v> </v>
      </c>
      <c r="K881" s="26" t="str">
        <f>IF(OR(E881="",E881="!!!",F881="NEW"),"",INDEX(J$1:J880,SUMPRODUCT(MAX(ROW(E$1:E880)*(E881=E$1:E880)))))</f>
        <v> </v>
      </c>
      <c r="L881" s="27"/>
    </row>
    <row r="882" spans="1:12">
      <c r="A882" s="20"/>
    </row>
    <row r="883" spans="1:12">
      <c r="A883" s="20" t="s">
        <v>533</v>
      </c>
      <c r="E883" s="22">
        <f>IF(D883="?OLD","!!!","")</f>
        <v/>
      </c>
      <c r="F883" s="23" t="str">
        <f>IF(OR(E883="",E883="!!!"),"",IF(NOT(ISNA(VLOOKUP(E883,E$1:E882,1,FALSE()))),"OLD",IF(AND(E883&lt;&gt;"",E883&lt;&gt;"!!!"),"NEW","")))</f>
        <v> </v>
      </c>
      <c r="G883" s="24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5" t="str">
        <f>IF(J883&lt;&gt;1,"",IF(I883="SBJ","CB","?"))</f>
        <v> </v>
      </c>
      <c r="I883" s="26" t="str">
        <f>IF(OR(E883="",E883="!!!",F883="NEW"),"",INDEX(B882:B$2,-1+SUMPRODUCT(MAX(ROW(E882:E$2)*(E883=E882:E$2)))))</f>
        <v> </v>
      </c>
      <c r="J883" s="26" t="str">
        <f>IF(OR(E883="",E883="!!!",F883="NEW"),"",COUNTBLANK(OFFSET(A$1,,,SUMPRODUCT(MAX(ROW(E$2:E883)*(E883=E$2:E883)))))-COUNTBLANK(OFFSET(A$1,,,SUMPRODUCT(MAX(ROW(E$1:E882)*(E2=E$1:E882))))))</f>
        <v> </v>
      </c>
      <c r="K883" s="26" t="str">
        <f>IF(OR(E883="",E883="!!!",F883="NEW"),"",INDEX(J$1:J882,SUMPRODUCT(MAX(ROW(E$1:E882)*(E883=E$1:E882)))))</f>
        <v> </v>
      </c>
      <c r="L883" s="27"/>
    </row>
    <row r="884" spans="1:12">
      <c r="A884" s="20" t="s">
        <v>726</v>
      </c>
    </row>
    <row r="885" spans="1:12">
      <c r="A885" s="20" t="s">
        <v>170</v>
      </c>
      <c r="B885" s="21" t="s">
        <v>374</v>
      </c>
      <c r="C885" s="21" t="s">
        <v>430</v>
      </c>
      <c r="E885" s="22">
        <f>IF(D885="?OLD","!!!","")</f>
        <v/>
      </c>
      <c r="F885" s="23" t="str">
        <f>IF(OR(E885="",E885="!!!"),"",IF(NOT(ISNA(VLOOKUP(E885,E$1:E884,1,FALSE()))),"OLD",IF(AND(E885&lt;&gt;"",E885&lt;&gt;"!!!"),"NEW","")))</f>
        <v> </v>
      </c>
      <c r="G885" s="24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5" t="str">
        <f>IF(J885&lt;&gt;1,"",IF(I885="SBJ","CB","?"))</f>
        <v> </v>
      </c>
      <c r="I885" s="26" t="str">
        <f>IF(OR(E885="",E885="!!!",F885="NEW"),"",INDEX(B884:B$2,-1+SUMPRODUCT(MAX(ROW(E884:E$2)*(E885=E884:E$2)))))</f>
        <v> </v>
      </c>
      <c r="J885" s="26" t="str">
        <f>IF(OR(E885="",E885="!!!",F885="NEW"),"",COUNTBLANK(OFFSET(A$1,,,SUMPRODUCT(MAX(ROW(E$2:E885)*(E885=E$2:E885)))))-COUNTBLANK(OFFSET(A$1,,,SUMPRODUCT(MAX(ROW(E$1:E884)*(E2=E$1:E884))))))</f>
        <v> </v>
      </c>
      <c r="K885" s="26" t="str">
        <f>IF(OR(E885="",E885="!!!",F885="NEW"),"",INDEX(J$1:J884,SUMPRODUCT(MAX(ROW(E$1:E884)*(E885=E$1:E884)))))</f>
        <v> </v>
      </c>
      <c r="L885" s="27"/>
    </row>
    <row r="886" spans="1:12">
      <c r="A886" s="20" t="s">
        <v>376</v>
      </c>
      <c r="E886" s="22">
        <f>IF(D886="?OLD","!!!","")</f>
        <v/>
      </c>
      <c r="F886" s="23" t="str">
        <f>IF(OR(E886="",E886="!!!"),"",IF(NOT(ISNA(VLOOKUP(E886,E$1:E885,1,FALSE()))),"OLD",IF(AND(E886&lt;&gt;"",E886&lt;&gt;"!!!"),"NEW","")))</f>
        <v> </v>
      </c>
      <c r="G886" s="24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5" t="str">
        <f>IF(J886&lt;&gt;1,"",IF(I886="SBJ","CB","?"))</f>
        <v> </v>
      </c>
      <c r="I886" s="26" t="str">
        <f>IF(OR(E886="",E886="!!!",F886="NEW"),"",INDEX(B885:B$2,-1+SUMPRODUCT(MAX(ROW(E885:E$2)*(E886=E885:E$2)))))</f>
        <v> </v>
      </c>
      <c r="J886" s="26" t="str">
        <f>IF(OR(E886="",E886="!!!",F886="NEW"),"",COUNTBLANK(OFFSET(A$1,,,SUMPRODUCT(MAX(ROW(E$2:E886)*(E886=E$2:E886)))))-COUNTBLANK(OFFSET(A$1,,,SUMPRODUCT(MAX(ROW(E$1:E885)*(E2=E$1:E885))))))</f>
        <v> </v>
      </c>
      <c r="K886" s="26" t="str">
        <f>IF(OR(E886="",E886="!!!",F886="NEW"),"",INDEX(J$1:J885,SUMPRODUCT(MAX(ROW(E$1:E885)*(E886=E$1:E885)))))</f>
        <v> </v>
      </c>
      <c r="L886" s="27"/>
    </row>
    <row r="887" spans="1:12">
      <c r="A887" s="20" t="s">
        <v>713</v>
      </c>
      <c r="B887" s="21" t="s">
        <v>378</v>
      </c>
      <c r="C887" s="21" t="s">
        <v>434</v>
      </c>
      <c r="D887" s="21" t="s">
        <v>368</v>
      </c>
      <c r="E887" s="22">
        <f>IF(D887="?OLD","!!!","")</f>
        <v/>
      </c>
      <c r="F887" s="23" t="str">
        <f>IF(OR(E887="",E887="!!!"),"",IF(NOT(ISNA(VLOOKUP(E887,E$1:E886,1,FALSE()))),"OLD",IF(AND(E887&lt;&gt;"",E887&lt;&gt;"!!!"),"NEW","")))</f>
        <v> </v>
      </c>
      <c r="G887" s="24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5" t="str">
        <f>IF(J887&lt;&gt;1,"",IF(I887="SBJ","CB","?"))</f>
        <v> </v>
      </c>
      <c r="I887" s="26" t="str">
        <f>IF(OR(E887="",E887="!!!",F887="NEW"),"",INDEX(B886:B$2,-1+SUMPRODUCT(MAX(ROW(E886:E$2)*(E887=E886:E$2)))))</f>
        <v> </v>
      </c>
      <c r="J887" s="26" t="str">
        <f>IF(OR(E887="",E887="!!!",F887="NEW"),"",COUNTBLANK(OFFSET(A$1,,,SUMPRODUCT(MAX(ROW(E$2:E887)*(E887=E$2:E887)))))-COUNTBLANK(OFFSET(A$1,,,SUMPRODUCT(MAX(ROW(E$1:E886)*(E2=E$1:E886))))))</f>
        <v> </v>
      </c>
      <c r="K887" s="26" t="str">
        <f>IF(OR(E887="",E887="!!!",F887="NEW"),"",INDEX(J$1:J886,SUMPRODUCT(MAX(ROW(E$1:E886)*(E887=E$1:E886)))))</f>
        <v> </v>
      </c>
      <c r="L887" s="27"/>
    </row>
    <row r="888" spans="1:12">
      <c r="A888" s="20" t="s">
        <v>715</v>
      </c>
      <c r="E888" s="22">
        <f>IF(D888="?OLD","!!!","")</f>
        <v/>
      </c>
      <c r="F888" s="23" t="str">
        <f>IF(OR(E888="",E888="!!!"),"",IF(NOT(ISNA(VLOOKUP(E888,E$1:E887,1,FALSE()))),"OLD",IF(AND(E888&lt;&gt;"",E888&lt;&gt;"!!!"),"NEW","")))</f>
        <v> </v>
      </c>
      <c r="G888" s="24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5" t="str">
        <f>IF(J888&lt;&gt;1,"",IF(I888="SBJ","CB","?"))</f>
        <v> </v>
      </c>
      <c r="I888" s="26" t="str">
        <f>IF(OR(E888="",E888="!!!",F888="NEW"),"",INDEX(B887:B$2,-1+SUMPRODUCT(MAX(ROW(E887:E$2)*(E888=E887:E$2)))))</f>
        <v> </v>
      </c>
      <c r="J888" s="26" t="str">
        <f>IF(OR(E888="",E888="!!!",F888="NEW"),"",COUNTBLANK(OFFSET(A$1,,,SUMPRODUCT(MAX(ROW(E$2:E888)*(E888=E$2:E888)))))-COUNTBLANK(OFFSET(A$1,,,SUMPRODUCT(MAX(ROW(E$1:E887)*(E2=E$1:E887))))))</f>
        <v> </v>
      </c>
      <c r="K888" s="26" t="str">
        <f>IF(OR(E888="",E888="!!!",F888="NEW"),"",INDEX(J$1:J887,SUMPRODUCT(MAX(ROW(E$1:E887)*(E888=E$1:E887)))))</f>
        <v> </v>
      </c>
      <c r="L888" s="27"/>
    </row>
    <row r="889" spans="1:12">
      <c r="A889" s="20" t="s">
        <v>716</v>
      </c>
      <c r="B889" s="21" t="s">
        <v>404</v>
      </c>
      <c r="C889" s="21" t="s">
        <v>367</v>
      </c>
      <c r="D889" s="21" t="s">
        <v>368</v>
      </c>
      <c r="E889" s="22">
        <f>IF(D889="?OLD","!!!","")</f>
        <v/>
      </c>
      <c r="F889" s="23" t="str">
        <f>IF(OR(E889="",E889="!!!"),"",IF(NOT(ISNA(VLOOKUP(E889,E$1:E888,1,FALSE()))),"OLD",IF(AND(E889&lt;&gt;"",E889&lt;&gt;"!!!"),"NEW","")))</f>
        <v> </v>
      </c>
      <c r="G889" s="24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5" t="str">
        <f>IF(J889&lt;&gt;1,"",IF(I889="SBJ","CB","?"))</f>
        <v> </v>
      </c>
      <c r="I889" s="26" t="str">
        <f>IF(OR(E889="",E889="!!!",F889="NEW"),"",INDEX(B888:B$2,-1+SUMPRODUCT(MAX(ROW(E888:E$2)*(E889=E888:E$2)))))</f>
        <v> </v>
      </c>
      <c r="J889" s="26" t="str">
        <f>IF(OR(E889="",E889="!!!",F889="NEW"),"",COUNTBLANK(OFFSET(A$1,,,SUMPRODUCT(MAX(ROW(E$2:E889)*(E889=E$2:E889)))))-COUNTBLANK(OFFSET(A$1,,,SUMPRODUCT(MAX(ROW(E$1:E888)*(E2=E$1:E888))))))</f>
        <v> </v>
      </c>
      <c r="K889" s="26" t="str">
        <f>IF(OR(E889="",E889="!!!",F889="NEW"),"",INDEX(J$1:J888,SUMPRODUCT(MAX(ROW(E$1:E888)*(E889=E$1:E888)))))</f>
        <v> </v>
      </c>
      <c r="L889" s="27"/>
    </row>
    <row r="890" spans="1:12">
      <c r="A890" s="20" t="s">
        <v>717</v>
      </c>
      <c r="E890" s="22">
        <f>IF(D890="?OLD","!!!","")</f>
        <v/>
      </c>
      <c r="F890" s="23" t="str">
        <f>IF(OR(E890="",E890="!!!"),"",IF(NOT(ISNA(VLOOKUP(E890,E$1:E889,1,FALSE()))),"OLD",IF(AND(E890&lt;&gt;"",E890&lt;&gt;"!!!"),"NEW","")))</f>
        <v> </v>
      </c>
      <c r="G890" s="24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5" t="str">
        <f>IF(J890&lt;&gt;1,"",IF(I890="SBJ","CB","?"))</f>
        <v> </v>
      </c>
      <c r="I890" s="26" t="str">
        <f>IF(OR(E890="",E890="!!!",F890="NEW"),"",INDEX(B889:B$2,-1+SUMPRODUCT(MAX(ROW(E889:E$2)*(E890=E889:E$2)))))</f>
        <v> </v>
      </c>
      <c r="J890" s="26" t="str">
        <f>IF(OR(E890="",E890="!!!",F890="NEW"),"",COUNTBLANK(OFFSET(A$1,,,SUMPRODUCT(MAX(ROW(E$2:E890)*(E890=E$2:E890)))))-COUNTBLANK(OFFSET(A$1,,,SUMPRODUCT(MAX(ROW(E$1:E889)*(E2=E$1:E889))))))</f>
        <v> </v>
      </c>
      <c r="K890" s="26" t="str">
        <f>IF(OR(E890="",E890="!!!",F890="NEW"),"",INDEX(J$1:J889,SUMPRODUCT(MAX(ROW(E$1:E889)*(E890=E$1:E889)))))</f>
        <v> </v>
      </c>
      <c r="L890" s="27"/>
    </row>
    <row r="891" spans="1:12">
      <c r="A891" s="20" t="s">
        <v>489</v>
      </c>
      <c r="E891" s="22">
        <f>IF(D891="?OLD","!!!","")</f>
        <v/>
      </c>
      <c r="F891" s="23" t="str">
        <f>IF(OR(E891="",E891="!!!"),"",IF(NOT(ISNA(VLOOKUP(E891,E$1:E890,1,FALSE()))),"OLD",IF(AND(E891&lt;&gt;"",E891&lt;&gt;"!!!"),"NEW","")))</f>
        <v> </v>
      </c>
      <c r="G891" s="24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5" t="str">
        <f>IF(J891&lt;&gt;1,"",IF(I891="SBJ","CB","?"))</f>
        <v> </v>
      </c>
      <c r="I891" s="26" t="str">
        <f>IF(OR(E891="",E891="!!!",F891="NEW"),"",INDEX(B890:B$2,-1+SUMPRODUCT(MAX(ROW(E890:E$2)*(E891=E890:E$2)))))</f>
        <v> </v>
      </c>
      <c r="J891" s="26" t="str">
        <f>IF(OR(E891="",E891="!!!",F891="NEW"),"",COUNTBLANK(OFFSET(A$1,,,SUMPRODUCT(MAX(ROW(E$2:E891)*(E891=E$2:E891)))))-COUNTBLANK(OFFSET(A$1,,,SUMPRODUCT(MAX(ROW(E$1:E890)*(E2=E$1:E890))))))</f>
        <v> </v>
      </c>
      <c r="K891" s="26" t="str">
        <f>IF(OR(E891="",E891="!!!",F891="NEW"),"",INDEX(J$1:J890,SUMPRODUCT(MAX(ROW(E$1:E890)*(E891=E$1:E890)))))</f>
        <v> </v>
      </c>
      <c r="L891" s="27"/>
    </row>
    <row r="892" spans="1:12">
      <c r="A892" s="20" t="s">
        <v>727</v>
      </c>
      <c r="B892" s="21" t="s">
        <v>412</v>
      </c>
      <c r="C892" s="21" t="s">
        <v>430</v>
      </c>
      <c r="E892" s="22">
        <f>IF(D892="?OLD","!!!","")</f>
        <v/>
      </c>
      <c r="F892" s="23" t="str">
        <f>IF(OR(E892="",E892="!!!"),"",IF(NOT(ISNA(VLOOKUP(E892,E$1:E891,1,FALSE()))),"OLD",IF(AND(E892&lt;&gt;"",E892&lt;&gt;"!!!"),"NEW","")))</f>
        <v> </v>
      </c>
      <c r="G892" s="24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5" t="str">
        <f>IF(J892&lt;&gt;1,"",IF(I892="SBJ","CB","?"))</f>
        <v> </v>
      </c>
      <c r="I892" s="26" t="str">
        <f>IF(OR(E892="",E892="!!!",F892="NEW"),"",INDEX(B891:B$2,-1+SUMPRODUCT(MAX(ROW(E891:E$2)*(E892=E891:E$2)))))</f>
        <v> </v>
      </c>
      <c r="J892" s="26" t="str">
        <f>IF(OR(E892="",E892="!!!",F892="NEW"),"",COUNTBLANK(OFFSET(A$1,,,SUMPRODUCT(MAX(ROW(E$2:E892)*(E892=E$2:E892)))))-COUNTBLANK(OFFSET(A$1,,,SUMPRODUCT(MAX(ROW(E$1:E891)*(E2=E$1:E891))))))</f>
        <v> </v>
      </c>
      <c r="K892" s="26" t="str">
        <f>IF(OR(E892="",E892="!!!",F892="NEW"),"",INDEX(J$1:J891,SUMPRODUCT(MAX(ROW(E$1:E891)*(E892=E$1:E891)))))</f>
        <v> </v>
      </c>
      <c r="L892" s="27"/>
    </row>
    <row r="893" spans="1:12">
      <c r="A893" s="20" t="s">
        <v>543</v>
      </c>
      <c r="E893" s="22">
        <f>IF(D893="?OLD","!!!","")</f>
        <v/>
      </c>
      <c r="F893" s="23" t="str">
        <f>IF(OR(E893="",E893="!!!"),"",IF(NOT(ISNA(VLOOKUP(E893,E$1:E892,1,FALSE()))),"OLD",IF(AND(E893&lt;&gt;"",E893&lt;&gt;"!!!"),"NEW","")))</f>
        <v> </v>
      </c>
      <c r="G893" s="24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5" t="str">
        <f>IF(J893&lt;&gt;1,"",IF(I893="SBJ","CB","?"))</f>
        <v> </v>
      </c>
      <c r="I893" s="26" t="str">
        <f>IF(OR(E893="",E893="!!!",F893="NEW"),"",INDEX(B892:B$2,-1+SUMPRODUCT(MAX(ROW(E892:E$2)*(E893=E892:E$2)))))</f>
        <v> </v>
      </c>
      <c r="J893" s="26" t="str">
        <f>IF(OR(E893="",E893="!!!",F893="NEW"),"",COUNTBLANK(OFFSET(A$1,,,SUMPRODUCT(MAX(ROW(E$2:E893)*(E893=E$2:E893)))))-COUNTBLANK(OFFSET(A$1,,,SUMPRODUCT(MAX(ROW(E$1:E892)*(E2=E$1:E892))))))</f>
        <v> </v>
      </c>
      <c r="K893" s="26" t="str">
        <f>IF(OR(E893="",E893="!!!",F893="NEW"),"",INDEX(J$1:J892,SUMPRODUCT(MAX(ROW(E$1:E892)*(E893=E$1:E892)))))</f>
        <v> </v>
      </c>
      <c r="L893" s="27"/>
    </row>
    <row r="894" spans="1:12">
      <c r="A894" s="20" t="s">
        <v>94</v>
      </c>
      <c r="E894" s="22">
        <f>IF(D894="?OLD","!!!","")</f>
        <v/>
      </c>
      <c r="F894" s="23" t="str">
        <f>IF(OR(E894="",E894="!!!"),"",IF(NOT(ISNA(VLOOKUP(E894,E$1:E893,1,FALSE()))),"OLD",IF(AND(E894&lt;&gt;"",E894&lt;&gt;"!!!"),"NEW","")))</f>
        <v> </v>
      </c>
      <c r="G894" s="24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5" t="str">
        <f>IF(J894&lt;&gt;1,"",IF(I894="SBJ","CB","?"))</f>
        <v> </v>
      </c>
      <c r="I894" s="26" t="str">
        <f>IF(OR(E894="",E894="!!!",F894="NEW"),"",INDEX(B893:B$2,-1+SUMPRODUCT(MAX(ROW(E893:E$2)*(E894=E893:E$2)))))</f>
        <v> </v>
      </c>
      <c r="J894" s="26" t="str">
        <f>IF(OR(E894="",E894="!!!",F894="NEW"),"",COUNTBLANK(OFFSET(A$1,,,SUMPRODUCT(MAX(ROW(E$2:E894)*(E894=E$2:E894)))))-COUNTBLANK(OFFSET(A$1,,,SUMPRODUCT(MAX(ROW(E$1:E893)*(E2=E$1:E893))))))</f>
        <v> </v>
      </c>
      <c r="K894" s="26" t="str">
        <f>IF(OR(E894="",E894="!!!",F894="NEW"),"",INDEX(J$1:J893,SUMPRODUCT(MAX(ROW(E$1:E893)*(E894=E$1:E893)))))</f>
        <v> </v>
      </c>
      <c r="L894" s="27"/>
    </row>
    <row r="895" spans="1:12">
      <c r="A895" s="20"/>
    </row>
    <row r="896" spans="1:12">
      <c r="A896" s="20" t="s">
        <v>533</v>
      </c>
      <c r="E896" s="22">
        <f>IF(D896="?OLD","!!!","")</f>
        <v/>
      </c>
      <c r="F896" s="23" t="str">
        <f>IF(OR(E896="",E896="!!!"),"",IF(NOT(ISNA(VLOOKUP(E896,E$1:E895,1,FALSE()))),"OLD",IF(AND(E896&lt;&gt;"",E896&lt;&gt;"!!!"),"NEW","")))</f>
        <v> </v>
      </c>
      <c r="G896" s="24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5" t="str">
        <f>IF(J896&lt;&gt;1,"",IF(I896="SBJ","CB","?"))</f>
        <v> </v>
      </c>
      <c r="I896" s="26" t="str">
        <f>IF(OR(E896="",E896="!!!",F896="NEW"),"",INDEX(B895:B$2,-1+SUMPRODUCT(MAX(ROW(E895:E$2)*(E896=E895:E$2)))))</f>
        <v> </v>
      </c>
      <c r="J896" s="26" t="str">
        <f>IF(OR(E896="",E896="!!!",F896="NEW"),"",COUNTBLANK(OFFSET(A$1,,,SUMPRODUCT(MAX(ROW(E$2:E896)*(E896=E$2:E896)))))-COUNTBLANK(OFFSET(A$1,,,SUMPRODUCT(MAX(ROW(E$1:E895)*(E2=E$1:E895))))))</f>
        <v> </v>
      </c>
      <c r="K896" s="26" t="str">
        <f>IF(OR(E896="",E896="!!!",F896="NEW"),"",INDEX(J$1:J895,SUMPRODUCT(MAX(ROW(E$1:E895)*(E896=E$1:E895)))))</f>
        <v> </v>
      </c>
      <c r="L896" s="27"/>
    </row>
    <row r="897" spans="1:12">
      <c r="A897" s="20" t="s">
        <v>728</v>
      </c>
    </row>
    <row r="898" spans="1:12">
      <c r="A898" s="20" t="s">
        <v>519</v>
      </c>
      <c r="E898" s="22">
        <f>IF(D898="?OLD","!!!","")</f>
        <v/>
      </c>
      <c r="F898" s="23" t="str">
        <f>IF(OR(E898="",E898="!!!"),"",IF(NOT(ISNA(VLOOKUP(E898,E$1:E897,1,FALSE()))),"OLD",IF(AND(E898&lt;&gt;"",E898&lt;&gt;"!!!"),"NEW","")))</f>
        <v> </v>
      </c>
      <c r="G898" s="24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5" t="str">
        <f>IF(J898&lt;&gt;1,"",IF(I898="SBJ","CB","?"))</f>
        <v> </v>
      </c>
      <c r="I898" s="26" t="str">
        <f>IF(OR(E898="",E898="!!!",F898="NEW"),"",INDEX(B897:B$2,-1+SUMPRODUCT(MAX(ROW(E897:E$2)*(E898=E897:E$2)))))</f>
        <v> </v>
      </c>
      <c r="J898" s="26" t="str">
        <f>IF(OR(E898="",E898="!!!",F898="NEW"),"",COUNTBLANK(OFFSET(A$1,,,SUMPRODUCT(MAX(ROW(E$2:E898)*(E898=E$2:E898)))))-COUNTBLANK(OFFSET(A$1,,,SUMPRODUCT(MAX(ROW(E$1:E897)*(E2=E$1:E897))))))</f>
        <v> </v>
      </c>
      <c r="K898" s="26" t="str">
        <f>IF(OR(E898="",E898="!!!",F898="NEW"),"",INDEX(J$1:J897,SUMPRODUCT(MAX(ROW(E$1:E897)*(E898=E$1:E897)))))</f>
        <v> </v>
      </c>
      <c r="L898" s="27"/>
    </row>
    <row r="899" spans="1:12">
      <c r="A899" s="20" t="s">
        <v>721</v>
      </c>
      <c r="E899" s="22">
        <f>IF(D899="?OLD","!!!","")</f>
        <v/>
      </c>
      <c r="F899" s="23" t="str">
        <f>IF(OR(E899="",E899="!!!"),"",IF(NOT(ISNA(VLOOKUP(E899,E$1:E898,1,FALSE()))),"OLD",IF(AND(E899&lt;&gt;"",E899&lt;&gt;"!!!"),"NEW","")))</f>
        <v> </v>
      </c>
      <c r="G899" s="24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5" t="str">
        <f>IF(J899&lt;&gt;1,"",IF(I899="SBJ","CB","?"))</f>
        <v> </v>
      </c>
      <c r="I899" s="26" t="str">
        <f>IF(OR(E899="",E899="!!!",F899="NEW"),"",INDEX(B898:B$2,-1+SUMPRODUCT(MAX(ROW(E898:E$2)*(E899=E898:E$2)))))</f>
        <v> </v>
      </c>
      <c r="J899" s="26" t="str">
        <f>IF(OR(E899="",E899="!!!",F899="NEW"),"",COUNTBLANK(OFFSET(A$1,,,SUMPRODUCT(MAX(ROW(E$2:E899)*(E899=E$2:E899)))))-COUNTBLANK(OFFSET(A$1,,,SUMPRODUCT(MAX(ROW(E$1:E898)*(E2=E$1:E898))))))</f>
        <v> </v>
      </c>
      <c r="K899" s="26" t="str">
        <f>IF(OR(E899="",E899="!!!",F899="NEW"),"",INDEX(J$1:J898,SUMPRODUCT(MAX(ROW(E$1:E898)*(E899=E$1:E898)))))</f>
        <v> </v>
      </c>
      <c r="L899" s="27"/>
    </row>
    <row r="900" spans="1:12">
      <c r="A900" s="20" t="s">
        <v>453</v>
      </c>
      <c r="B900" s="21" t="s">
        <v>366</v>
      </c>
      <c r="C900" s="21" t="s">
        <v>367</v>
      </c>
      <c r="D900" s="21" t="s">
        <v>368</v>
      </c>
      <c r="E900" s="22">
        <f>IF(D900="?OLD","!!!","")</f>
        <v/>
      </c>
      <c r="F900" s="23" t="str">
        <f>IF(OR(E900="",E900="!!!"),"",IF(NOT(ISNA(VLOOKUP(E900,E$1:E899,1,FALSE()))),"OLD",IF(AND(E900&lt;&gt;"",E900&lt;&gt;"!!!"),"NEW","")))</f>
        <v> </v>
      </c>
      <c r="G900" s="24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5" t="str">
        <f>IF(J900&lt;&gt;1,"",IF(I900="SBJ","CB","?"))</f>
        <v> </v>
      </c>
      <c r="I900" s="26" t="str">
        <f>IF(OR(E900="",E900="!!!",F900="NEW"),"",INDEX(B899:B$2,-1+SUMPRODUCT(MAX(ROW(E899:E$2)*(E900=E899:E$2)))))</f>
        <v> </v>
      </c>
      <c r="J900" s="26" t="str">
        <f>IF(OR(E900="",E900="!!!",F900="NEW"),"",COUNTBLANK(OFFSET(A$1,,,SUMPRODUCT(MAX(ROW(E$2:E900)*(E900=E$2:E900)))))-COUNTBLANK(OFFSET(A$1,,,SUMPRODUCT(MAX(ROW(E$1:E899)*(E2=E$1:E899))))))</f>
        <v> </v>
      </c>
      <c r="K900" s="26" t="str">
        <f>IF(OR(E900="",E900="!!!",F900="NEW"),"",INDEX(J$1:J899,SUMPRODUCT(MAX(ROW(E$1:E899)*(E900=E$1:E899)))))</f>
        <v> </v>
      </c>
      <c r="L900" s="27"/>
    </row>
    <row r="901" spans="1:12">
      <c r="A901" s="20" t="s">
        <v>729</v>
      </c>
      <c r="E901" s="22">
        <f>IF(D901="?OLD","!!!","")</f>
        <v/>
      </c>
      <c r="F901" s="23" t="str">
        <f>IF(OR(E901="",E901="!!!"),"",IF(NOT(ISNA(VLOOKUP(E901,E$1:E900,1,FALSE()))),"OLD",IF(AND(E901&lt;&gt;"",E901&lt;&gt;"!!!"),"NEW","")))</f>
        <v> </v>
      </c>
      <c r="G901" s="24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5" t="str">
        <f>IF(J901&lt;&gt;1,"",IF(I901="SBJ","CB","?"))</f>
        <v> </v>
      </c>
      <c r="I901" s="26" t="str">
        <f>IF(OR(E901="",E901="!!!",F901="NEW"),"",INDEX(B900:B$2,-1+SUMPRODUCT(MAX(ROW(E900:E$2)*(E901=E900:E$2)))))</f>
        <v> </v>
      </c>
      <c r="J901" s="26" t="str">
        <f>IF(OR(E901="",E901="!!!",F901="NEW"),"",COUNTBLANK(OFFSET(A$1,,,SUMPRODUCT(MAX(ROW(E$2:E901)*(E901=E$2:E901)))))-COUNTBLANK(OFFSET(A$1,,,SUMPRODUCT(MAX(ROW(E$1:E900)*(E2=E$1:E900))))))</f>
        <v> </v>
      </c>
      <c r="K901" s="26" t="str">
        <f>IF(OR(E901="",E901="!!!",F901="NEW"),"",INDEX(J$1:J900,SUMPRODUCT(MAX(ROW(E$1:E900)*(E901=E$1:E900)))))</f>
        <v> </v>
      </c>
      <c r="L901" s="27"/>
    </row>
    <row r="902" spans="1:12">
      <c r="A902" s="20" t="s">
        <v>595</v>
      </c>
      <c r="E902" s="22">
        <f>IF(D902="?OLD","!!!","")</f>
        <v/>
      </c>
      <c r="F902" s="23" t="str">
        <f>IF(OR(E902="",E902="!!!"),"",IF(NOT(ISNA(VLOOKUP(E902,E$1:E901,1,FALSE()))),"OLD",IF(AND(E902&lt;&gt;"",E902&lt;&gt;"!!!"),"NEW","")))</f>
        <v> </v>
      </c>
      <c r="G902" s="24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5" t="str">
        <f>IF(J902&lt;&gt;1,"",IF(I902="SBJ","CB","?"))</f>
        <v> </v>
      </c>
      <c r="I902" s="26" t="str">
        <f>IF(OR(E902="",E902="!!!",F902="NEW"),"",INDEX(B901:B$2,-1+SUMPRODUCT(MAX(ROW(E901:E$2)*(E902=E901:E$2)))))</f>
        <v> </v>
      </c>
      <c r="J902" s="26" t="str">
        <f>IF(OR(E902="",E902="!!!",F902="NEW"),"",COUNTBLANK(OFFSET(A$1,,,SUMPRODUCT(MAX(ROW(E$2:E902)*(E902=E$2:E902)))))-COUNTBLANK(OFFSET(A$1,,,SUMPRODUCT(MAX(ROW(E$1:E901)*(E2=E$1:E901))))))</f>
        <v> </v>
      </c>
      <c r="K902" s="26" t="str">
        <f>IF(OR(E902="",E902="!!!",F902="NEW"),"",INDEX(J$1:J901,SUMPRODUCT(MAX(ROW(E$1:E901)*(E902=E$1:E901)))))</f>
        <v> </v>
      </c>
      <c r="L902" s="27"/>
    </row>
    <row r="903" spans="1:12">
      <c r="A903" s="20" t="s">
        <v>133</v>
      </c>
      <c r="E903" s="22">
        <f>IF(D903="?OLD","!!!","")</f>
        <v/>
      </c>
      <c r="F903" s="23" t="str">
        <f>IF(OR(E903="",E903="!!!"),"",IF(NOT(ISNA(VLOOKUP(E903,E$1:E902,1,FALSE()))),"OLD",IF(AND(E903&lt;&gt;"",E903&lt;&gt;"!!!"),"NEW","")))</f>
        <v> </v>
      </c>
      <c r="G903" s="24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5" t="str">
        <f>IF(J903&lt;&gt;1,"",IF(I903="SBJ","CB","?"))</f>
        <v> </v>
      </c>
      <c r="I903" s="26" t="str">
        <f>IF(OR(E903="",E903="!!!",F903="NEW"),"",INDEX(B902:B$2,-1+SUMPRODUCT(MAX(ROW(E902:E$2)*(E903=E902:E$2)))))</f>
        <v> </v>
      </c>
      <c r="J903" s="26" t="str">
        <f>IF(OR(E903="",E903="!!!",F903="NEW"),"",COUNTBLANK(OFFSET(A$1,,,SUMPRODUCT(MAX(ROW(E$2:E903)*(E903=E$2:E903)))))-COUNTBLANK(OFFSET(A$1,,,SUMPRODUCT(MAX(ROW(E$1:E902)*(E2=E$1:E902))))))</f>
        <v> </v>
      </c>
      <c r="K903" s="26" t="str">
        <f>IF(OR(E903="",E903="!!!",F903="NEW"),"",INDEX(J$1:J902,SUMPRODUCT(MAX(ROW(E$1:E902)*(E903=E$1:E902)))))</f>
        <v> </v>
      </c>
      <c r="L903" s="27"/>
    </row>
    <row r="904" spans="1:12">
      <c r="A904" s="20" t="s">
        <v>725</v>
      </c>
      <c r="E904" s="22">
        <f>IF(D904="?OLD","!!!","")</f>
        <v/>
      </c>
      <c r="F904" s="23" t="str">
        <f>IF(OR(E904="",E904="!!!"),"",IF(NOT(ISNA(VLOOKUP(E904,E$1:E903,1,FALSE()))),"OLD",IF(AND(E904&lt;&gt;"",E904&lt;&gt;"!!!"),"NEW","")))</f>
        <v> </v>
      </c>
      <c r="G904" s="24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5" t="str">
        <f>IF(J904&lt;&gt;1,"",IF(I904="SBJ","CB","?"))</f>
        <v> </v>
      </c>
      <c r="I904" s="26" t="str">
        <f>IF(OR(E904="",E904="!!!",F904="NEW"),"",INDEX(B903:B$2,-1+SUMPRODUCT(MAX(ROW(E903:E$2)*(E904=E903:E$2)))))</f>
        <v> </v>
      </c>
      <c r="J904" s="26" t="str">
        <f>IF(OR(E904="",E904="!!!",F904="NEW"),"",COUNTBLANK(OFFSET(A$1,,,SUMPRODUCT(MAX(ROW(E$2:E904)*(E904=E$2:E904)))))-COUNTBLANK(OFFSET(A$1,,,SUMPRODUCT(MAX(ROW(E$1:E903)*(E2=E$1:E903))))))</f>
        <v> </v>
      </c>
      <c r="K904" s="26" t="str">
        <f>IF(OR(E904="",E904="!!!",F904="NEW"),"",INDEX(J$1:J903,SUMPRODUCT(MAX(ROW(E$1:E903)*(E904=E$1:E903)))))</f>
        <v> </v>
      </c>
      <c r="L904" s="27"/>
    </row>
    <row r="905" spans="1:12">
      <c r="A905" s="20" t="s">
        <v>376</v>
      </c>
      <c r="E905" s="22">
        <f>IF(D905="?OLD","!!!","")</f>
        <v/>
      </c>
      <c r="F905" s="23" t="str">
        <f>IF(OR(E905="",E905="!!!"),"",IF(NOT(ISNA(VLOOKUP(E905,E$1:E904,1,FALSE()))),"OLD",IF(AND(E905&lt;&gt;"",E905&lt;&gt;"!!!"),"NEW","")))</f>
        <v> </v>
      </c>
      <c r="G905" s="24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5" t="str">
        <f>IF(J905&lt;&gt;1,"",IF(I905="SBJ","CB","?"))</f>
        <v> </v>
      </c>
      <c r="I905" s="26" t="str">
        <f>IF(OR(E905="",E905="!!!",F905="NEW"),"",INDEX(B904:B$2,-1+SUMPRODUCT(MAX(ROW(E904:E$2)*(E905=E904:E$2)))))</f>
        <v> </v>
      </c>
      <c r="J905" s="26" t="str">
        <f>IF(OR(E905="",E905="!!!",F905="NEW"),"",COUNTBLANK(OFFSET(A$1,,,SUMPRODUCT(MAX(ROW(E$2:E905)*(E905=E$2:E905)))))-COUNTBLANK(OFFSET(A$1,,,SUMPRODUCT(MAX(ROW(E$1:E904)*(E2=E$1:E904))))))</f>
        <v> </v>
      </c>
      <c r="K905" s="26" t="str">
        <f>IF(OR(E905="",E905="!!!",F905="NEW"),"",INDEX(J$1:J904,SUMPRODUCT(MAX(ROW(E$1:E904)*(E905=E$1:E904)))))</f>
        <v> </v>
      </c>
      <c r="L905" s="27"/>
    </row>
    <row r="906" spans="1:12">
      <c r="A906" s="20" t="s">
        <v>730</v>
      </c>
      <c r="B906" s="21" t="s">
        <v>412</v>
      </c>
      <c r="C906" s="21" t="s">
        <v>523</v>
      </c>
      <c r="D906" s="21" t="s">
        <v>368</v>
      </c>
      <c r="E906" s="22">
        <f>IF(D906="?OLD","!!!","")</f>
        <v/>
      </c>
      <c r="F906" s="23" t="str">
        <f>IF(OR(E906="",E906="!!!"),"",IF(NOT(ISNA(VLOOKUP(E906,E$1:E905,1,FALSE()))),"OLD",IF(AND(E906&lt;&gt;"",E906&lt;&gt;"!!!"),"NEW","")))</f>
        <v> </v>
      </c>
      <c r="G906" s="24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5" t="str">
        <f>IF(J906&lt;&gt;1,"",IF(I906="SBJ","CB","?"))</f>
        <v> </v>
      </c>
      <c r="I906" s="26" t="str">
        <f>IF(OR(E906="",E906="!!!",F906="NEW"),"",INDEX(B905:B$2,-1+SUMPRODUCT(MAX(ROW(E905:E$2)*(E906=E905:E$2)))))</f>
        <v> </v>
      </c>
      <c r="J906" s="26" t="str">
        <f>IF(OR(E906="",E906="!!!",F906="NEW"),"",COUNTBLANK(OFFSET(A$1,,,SUMPRODUCT(MAX(ROW(E$2:E906)*(E906=E$2:E906)))))-COUNTBLANK(OFFSET(A$1,,,SUMPRODUCT(MAX(ROW(E$1:E905)*(E2=E$1:E905))))))</f>
        <v> </v>
      </c>
      <c r="K906" s="26" t="str">
        <f>IF(OR(E906="",E906="!!!",F906="NEW"),"",INDEX(J$1:J905,SUMPRODUCT(MAX(ROW(E$1:E905)*(E906=E$1:E905)))))</f>
        <v> </v>
      </c>
      <c r="L906" s="27"/>
    </row>
    <row r="907" spans="1:12">
      <c r="A907" s="20" t="s">
        <v>75</v>
      </c>
      <c r="B907" s="21" t="s">
        <v>374</v>
      </c>
      <c r="C907" s="21" t="s">
        <v>430</v>
      </c>
      <c r="E907" s="22">
        <f>IF(D907="?OLD","!!!","")</f>
        <v/>
      </c>
      <c r="F907" s="23" t="str">
        <f>IF(OR(E907="",E907="!!!"),"",IF(NOT(ISNA(VLOOKUP(E907,E$1:E906,1,FALSE()))),"OLD",IF(AND(E907&lt;&gt;"",E907&lt;&gt;"!!!"),"NEW","")))</f>
        <v> </v>
      </c>
      <c r="G907" s="24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5" t="str">
        <f>IF(J907&lt;&gt;1,"",IF(I907="SBJ","CB","?"))</f>
        <v> </v>
      </c>
      <c r="I907" s="26" t="str">
        <f>IF(OR(E907="",E907="!!!",F907="NEW"),"",INDEX(B906:B$2,-1+SUMPRODUCT(MAX(ROW(E906:E$2)*(E907=E906:E$2)))))</f>
        <v> </v>
      </c>
      <c r="J907" s="26" t="str">
        <f>IF(OR(E907="",E907="!!!",F907="NEW"),"",COUNTBLANK(OFFSET(A$1,,,SUMPRODUCT(MAX(ROW(E$2:E907)*(E907=E$2:E907)))))-COUNTBLANK(OFFSET(A$1,,,SUMPRODUCT(MAX(ROW(E$1:E906)*(E2=E$1:E906))))))</f>
        <v> </v>
      </c>
      <c r="K907" s="26" t="str">
        <f>IF(OR(E907="",E907="!!!",F907="NEW"),"",INDEX(J$1:J906,SUMPRODUCT(MAX(ROW(E$1:E906)*(E907=E$1:E906)))))</f>
        <v> </v>
      </c>
      <c r="L907" s="27"/>
    </row>
    <row r="908" spans="1:12">
      <c r="A908" s="20" t="s">
        <v>409</v>
      </c>
      <c r="E908" s="22">
        <f>IF(D908="?OLD","!!!","")</f>
        <v/>
      </c>
      <c r="F908" s="23" t="str">
        <f>IF(OR(E908="",E908="!!!"),"",IF(NOT(ISNA(VLOOKUP(E908,E$1:E907,1,FALSE()))),"OLD",IF(AND(E908&lt;&gt;"",E908&lt;&gt;"!!!"),"NEW","")))</f>
        <v> </v>
      </c>
      <c r="G908" s="24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5" t="str">
        <f>IF(J908&lt;&gt;1,"",IF(I908="SBJ","CB","?"))</f>
        <v> </v>
      </c>
      <c r="I908" s="26" t="str">
        <f>IF(OR(E908="",E908="!!!",F908="NEW"),"",INDEX(B907:B$2,-1+SUMPRODUCT(MAX(ROW(E907:E$2)*(E908=E907:E$2)))))</f>
        <v> </v>
      </c>
      <c r="J908" s="26" t="str">
        <f>IF(OR(E908="",E908="!!!",F908="NEW"),"",COUNTBLANK(OFFSET(A$1,,,SUMPRODUCT(MAX(ROW(E$2:E908)*(E908=E$2:E908)))))-COUNTBLANK(OFFSET(A$1,,,SUMPRODUCT(MAX(ROW(E$1:E907)*(E2=E$1:E907))))))</f>
        <v> </v>
      </c>
      <c r="K908" s="26" t="str">
        <f>IF(OR(E908="",E908="!!!",F908="NEW"),"",INDEX(J$1:J907,SUMPRODUCT(MAX(ROW(E$1:E907)*(E908=E$1:E907)))))</f>
        <v> </v>
      </c>
      <c r="L908" s="27"/>
    </row>
    <row r="909" spans="1:12">
      <c r="A909" s="20" t="s">
        <v>94</v>
      </c>
      <c r="E909" s="22">
        <f>IF(D909="?OLD","!!!","")</f>
        <v/>
      </c>
      <c r="F909" s="23" t="str">
        <f>IF(OR(E909="",E909="!!!"),"",IF(NOT(ISNA(VLOOKUP(E909,E$1:E908,1,FALSE()))),"OLD",IF(AND(E909&lt;&gt;"",E909&lt;&gt;"!!!"),"NEW","")))</f>
        <v> </v>
      </c>
      <c r="G909" s="24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5" t="str">
        <f>IF(J909&lt;&gt;1,"",IF(I909="SBJ","CB","?"))</f>
        <v> </v>
      </c>
      <c r="I909" s="26" t="str">
        <f>IF(OR(E909="",E909="!!!",F909="NEW"),"",INDEX(B908:B$2,-1+SUMPRODUCT(MAX(ROW(E908:E$2)*(E909=E908:E$2)))))</f>
        <v> </v>
      </c>
      <c r="J909" s="26" t="str">
        <f>IF(OR(E909="",E909="!!!",F909="NEW"),"",COUNTBLANK(OFFSET(A$1,,,SUMPRODUCT(MAX(ROW(E$2:E909)*(E909=E$2:E909)))))-COUNTBLANK(OFFSET(A$1,,,SUMPRODUCT(MAX(ROW(E$1:E908)*(E2=E$1:E908))))))</f>
        <v> </v>
      </c>
      <c r="K909" s="26" t="str">
        <f>IF(OR(E909="",E909="!!!",F909="NEW"),"",INDEX(J$1:J908,SUMPRODUCT(MAX(ROW(E$1:E908)*(E909=E$1:E908)))))</f>
        <v> </v>
      </c>
      <c r="L909" s="27"/>
    </row>
    <row r="910" spans="1:12">
      <c r="A910" s="20"/>
    </row>
    <row r="911" spans="1:12">
      <c r="A911" s="20" t="s">
        <v>533</v>
      </c>
      <c r="E911" s="22">
        <f>IF(D911="?OLD","!!!","")</f>
        <v/>
      </c>
      <c r="F911" s="23" t="str">
        <f>IF(OR(E911="",E911="!!!"),"",IF(NOT(ISNA(VLOOKUP(E911,E$1:E910,1,FALSE()))),"OLD",IF(AND(E911&lt;&gt;"",E911&lt;&gt;"!!!"),"NEW","")))</f>
        <v> </v>
      </c>
      <c r="G911" s="24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5" t="str">
        <f>IF(J911&lt;&gt;1,"",IF(I911="SBJ","CB","?"))</f>
        <v> </v>
      </c>
      <c r="I911" s="26" t="str">
        <f>IF(OR(E911="",E911="!!!",F911="NEW"),"",INDEX(B910:B$2,-1+SUMPRODUCT(MAX(ROW(E910:E$2)*(E911=E910:E$2)))))</f>
        <v> </v>
      </c>
      <c r="J911" s="26" t="str">
        <f>IF(OR(E911="",E911="!!!",F911="NEW"),"",COUNTBLANK(OFFSET(A$1,,,SUMPRODUCT(MAX(ROW(E$2:E911)*(E911=E$2:E911)))))-COUNTBLANK(OFFSET(A$1,,,SUMPRODUCT(MAX(ROW(E$1:E910)*(E2=E$1:E910))))))</f>
        <v> </v>
      </c>
      <c r="K911" s="26" t="str">
        <f>IF(OR(E911="",E911="!!!",F911="NEW"),"",INDEX(J$1:J910,SUMPRODUCT(MAX(ROW(E$1:E910)*(E911=E$1:E910)))))</f>
        <v> </v>
      </c>
      <c r="L911" s="27"/>
    </row>
    <row r="912" spans="1:12">
      <c r="A912" s="20" t="s">
        <v>731</v>
      </c>
    </row>
    <row r="913" spans="1:12">
      <c r="A913" s="20" t="s">
        <v>170</v>
      </c>
      <c r="B913" s="21" t="s">
        <v>374</v>
      </c>
      <c r="C913" s="21" t="s">
        <v>430</v>
      </c>
      <c r="E913" s="22">
        <f>IF(D913="?OLD","!!!","")</f>
        <v/>
      </c>
      <c r="F913" s="23" t="str">
        <f>IF(OR(E913="",E913="!!!"),"",IF(NOT(ISNA(VLOOKUP(E913,E$1:E912,1,FALSE()))),"OLD",IF(AND(E913&lt;&gt;"",E913&lt;&gt;"!!!"),"NEW","")))</f>
        <v> </v>
      </c>
      <c r="G913" s="24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5" t="str">
        <f>IF(J913&lt;&gt;1,"",IF(I913="SBJ","CB","?"))</f>
        <v> </v>
      </c>
      <c r="I913" s="26" t="str">
        <f>IF(OR(E913="",E913="!!!",F913="NEW"),"",INDEX(B912:B$2,-1+SUMPRODUCT(MAX(ROW(E912:E$2)*(E913=E912:E$2)))))</f>
        <v> </v>
      </c>
      <c r="J913" s="26" t="str">
        <f>IF(OR(E913="",E913="!!!",F913="NEW"),"",COUNTBLANK(OFFSET(A$1,,,SUMPRODUCT(MAX(ROW(E$2:E913)*(E913=E$2:E913)))))-COUNTBLANK(OFFSET(A$1,,,SUMPRODUCT(MAX(ROW(E$1:E912)*(E2=E$1:E912))))))</f>
        <v> </v>
      </c>
      <c r="K913" s="26" t="str">
        <f>IF(OR(E913="",E913="!!!",F913="NEW"),"",INDEX(J$1:J912,SUMPRODUCT(MAX(ROW(E$1:E912)*(E913=E$1:E912)))))</f>
        <v> </v>
      </c>
      <c r="L913" s="27"/>
    </row>
    <row r="914" spans="1:12">
      <c r="A914" s="20" t="s">
        <v>376</v>
      </c>
      <c r="E914" s="22">
        <f>IF(D914="?OLD","!!!","")</f>
        <v/>
      </c>
      <c r="F914" s="23" t="str">
        <f>IF(OR(E914="",E914="!!!"),"",IF(NOT(ISNA(VLOOKUP(E914,E$1:E913,1,FALSE()))),"OLD",IF(AND(E914&lt;&gt;"",E914&lt;&gt;"!!!"),"NEW","")))</f>
        <v> </v>
      </c>
      <c r="G914" s="24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5" t="str">
        <f>IF(J914&lt;&gt;1,"",IF(I914="SBJ","CB","?"))</f>
        <v> </v>
      </c>
      <c r="I914" s="26" t="str">
        <f>IF(OR(E914="",E914="!!!",F914="NEW"),"",INDEX(B913:B$2,-1+SUMPRODUCT(MAX(ROW(E913:E$2)*(E914=E913:E$2)))))</f>
        <v> </v>
      </c>
      <c r="J914" s="26" t="str">
        <f>IF(OR(E914="",E914="!!!",F914="NEW"),"",COUNTBLANK(OFFSET(A$1,,,SUMPRODUCT(MAX(ROW(E$2:E914)*(E914=E$2:E914)))))-COUNTBLANK(OFFSET(A$1,,,SUMPRODUCT(MAX(ROW(E$1:E913)*(E2=E$1:E913))))))</f>
        <v> </v>
      </c>
      <c r="K914" s="26" t="str">
        <f>IF(OR(E914="",E914="!!!",F914="NEW"),"",INDEX(J$1:J913,SUMPRODUCT(MAX(ROW(E$1:E913)*(E914=E$1:E913)))))</f>
        <v> </v>
      </c>
      <c r="L914" s="27"/>
    </row>
    <row r="915" spans="1:12">
      <c r="A915" s="20" t="s">
        <v>713</v>
      </c>
      <c r="B915" s="21" t="s">
        <v>378</v>
      </c>
      <c r="C915" s="21" t="s">
        <v>434</v>
      </c>
      <c r="D915" s="21" t="s">
        <v>368</v>
      </c>
      <c r="E915" s="22">
        <f>IF(D915="?OLD","!!!","")</f>
        <v/>
      </c>
      <c r="F915" s="23" t="str">
        <f>IF(OR(E915="",E915="!!!"),"",IF(NOT(ISNA(VLOOKUP(E915,E$1:E914,1,FALSE()))),"OLD",IF(AND(E915&lt;&gt;"",E915&lt;&gt;"!!!"),"NEW","")))</f>
        <v> </v>
      </c>
      <c r="G915" s="24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5" t="str">
        <f>IF(J915&lt;&gt;1,"",IF(I915="SBJ","CB","?"))</f>
        <v> </v>
      </c>
      <c r="I915" s="26" t="str">
        <f>IF(OR(E915="",E915="!!!",F915="NEW"),"",INDEX(B914:B$2,-1+SUMPRODUCT(MAX(ROW(E914:E$2)*(E915=E914:E$2)))))</f>
        <v> </v>
      </c>
      <c r="J915" s="26" t="str">
        <f>IF(OR(E915="",E915="!!!",F915="NEW"),"",COUNTBLANK(OFFSET(A$1,,,SUMPRODUCT(MAX(ROW(E$2:E915)*(E915=E$2:E915)))))-COUNTBLANK(OFFSET(A$1,,,SUMPRODUCT(MAX(ROW(E$1:E914)*(E2=E$1:E914))))))</f>
        <v> </v>
      </c>
      <c r="K915" s="26" t="str">
        <f>IF(OR(E915="",E915="!!!",F915="NEW"),"",INDEX(J$1:J914,SUMPRODUCT(MAX(ROW(E$1:E914)*(E915=E$1:E914)))))</f>
        <v> </v>
      </c>
      <c r="L915" s="27"/>
    </row>
    <row r="916" spans="1:12">
      <c r="A916" s="20" t="s">
        <v>715</v>
      </c>
      <c r="E916" s="22">
        <f>IF(D916="?OLD","!!!","")</f>
        <v/>
      </c>
      <c r="F916" s="23" t="str">
        <f>IF(OR(E916="",E916="!!!"),"",IF(NOT(ISNA(VLOOKUP(E916,E$1:E915,1,FALSE()))),"OLD",IF(AND(E916&lt;&gt;"",E916&lt;&gt;"!!!"),"NEW","")))</f>
        <v> </v>
      </c>
      <c r="G916" s="24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5" t="str">
        <f>IF(J916&lt;&gt;1,"",IF(I916="SBJ","CB","?"))</f>
        <v> </v>
      </c>
      <c r="I916" s="26" t="str">
        <f>IF(OR(E916="",E916="!!!",F916="NEW"),"",INDEX(B915:B$2,-1+SUMPRODUCT(MAX(ROW(E915:E$2)*(E916=E915:E$2)))))</f>
        <v> </v>
      </c>
      <c r="J916" s="26" t="str">
        <f>IF(OR(E916="",E916="!!!",F916="NEW"),"",COUNTBLANK(OFFSET(A$1,,,SUMPRODUCT(MAX(ROW(E$2:E916)*(E916=E$2:E916)))))-COUNTBLANK(OFFSET(A$1,,,SUMPRODUCT(MAX(ROW(E$1:E915)*(E2=E$1:E915))))))</f>
        <v> </v>
      </c>
      <c r="K916" s="26" t="str">
        <f>IF(OR(E916="",E916="!!!",F916="NEW"),"",INDEX(J$1:J915,SUMPRODUCT(MAX(ROW(E$1:E915)*(E916=E$1:E915)))))</f>
        <v> </v>
      </c>
      <c r="L916" s="27"/>
    </row>
    <row r="917" spans="1:12">
      <c r="A917" s="20" t="s">
        <v>716</v>
      </c>
      <c r="B917" s="21" t="s">
        <v>404</v>
      </c>
      <c r="C917" s="21" t="s">
        <v>367</v>
      </c>
      <c r="D917" s="21" t="s">
        <v>368</v>
      </c>
      <c r="E917" s="22">
        <f>IF(D917="?OLD","!!!","")</f>
        <v/>
      </c>
      <c r="F917" s="23" t="str">
        <f>IF(OR(E917="",E917="!!!"),"",IF(NOT(ISNA(VLOOKUP(E917,E$1:E916,1,FALSE()))),"OLD",IF(AND(E917&lt;&gt;"",E917&lt;&gt;"!!!"),"NEW","")))</f>
        <v> </v>
      </c>
      <c r="G917" s="24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5" t="str">
        <f>IF(J917&lt;&gt;1,"",IF(I917="SBJ","CB","?"))</f>
        <v> </v>
      </c>
      <c r="I917" s="26" t="str">
        <f>IF(OR(E917="",E917="!!!",F917="NEW"),"",INDEX(B916:B$2,-1+SUMPRODUCT(MAX(ROW(E916:E$2)*(E917=E916:E$2)))))</f>
        <v> </v>
      </c>
      <c r="J917" s="26" t="str">
        <f>IF(OR(E917="",E917="!!!",F917="NEW"),"",COUNTBLANK(OFFSET(A$1,,,SUMPRODUCT(MAX(ROW(E$2:E917)*(E917=E$2:E917)))))-COUNTBLANK(OFFSET(A$1,,,SUMPRODUCT(MAX(ROW(E$1:E916)*(E2=E$1:E916))))))</f>
        <v> </v>
      </c>
      <c r="K917" s="26" t="str">
        <f>IF(OR(E917="",E917="!!!",F917="NEW"),"",INDEX(J$1:J916,SUMPRODUCT(MAX(ROW(E$1:E916)*(E917=E$1:E916)))))</f>
        <v> </v>
      </c>
      <c r="L917" s="27"/>
    </row>
    <row r="918" spans="1:12">
      <c r="A918" s="20" t="s">
        <v>717</v>
      </c>
      <c r="E918" s="22">
        <f>IF(D918="?OLD","!!!","")</f>
        <v/>
      </c>
      <c r="F918" s="23" t="str">
        <f>IF(OR(E918="",E918="!!!"),"",IF(NOT(ISNA(VLOOKUP(E918,E$1:E917,1,FALSE()))),"OLD",IF(AND(E918&lt;&gt;"",E918&lt;&gt;"!!!"),"NEW","")))</f>
        <v> </v>
      </c>
      <c r="G918" s="24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5" t="str">
        <f>IF(J918&lt;&gt;1,"",IF(I918="SBJ","CB","?"))</f>
        <v> </v>
      </c>
      <c r="I918" s="26" t="str">
        <f>IF(OR(E918="",E918="!!!",F918="NEW"),"",INDEX(B917:B$2,-1+SUMPRODUCT(MAX(ROW(E917:E$2)*(E918=E917:E$2)))))</f>
        <v> </v>
      </c>
      <c r="J918" s="26" t="str">
        <f>IF(OR(E918="",E918="!!!",F918="NEW"),"",COUNTBLANK(OFFSET(A$1,,,SUMPRODUCT(MAX(ROW(E$2:E918)*(E918=E$2:E918)))))-COUNTBLANK(OFFSET(A$1,,,SUMPRODUCT(MAX(ROW(E$1:E917)*(E2=E$1:E917))))))</f>
        <v> </v>
      </c>
      <c r="K918" s="26" t="str">
        <f>IF(OR(E918="",E918="!!!",F918="NEW"),"",INDEX(J$1:J917,SUMPRODUCT(MAX(ROW(E$1:E917)*(E918=E$1:E917)))))</f>
        <v> </v>
      </c>
      <c r="L918" s="27"/>
    </row>
    <row r="919" spans="1:12">
      <c r="A919" s="20" t="s">
        <v>489</v>
      </c>
      <c r="E919" s="22">
        <f>IF(D919="?OLD","!!!","")</f>
        <v/>
      </c>
      <c r="F919" s="23" t="str">
        <f>IF(OR(E919="",E919="!!!"),"",IF(NOT(ISNA(VLOOKUP(E919,E$1:E918,1,FALSE()))),"OLD",IF(AND(E919&lt;&gt;"",E919&lt;&gt;"!!!"),"NEW","")))</f>
        <v> </v>
      </c>
      <c r="G919" s="24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5" t="str">
        <f>IF(J919&lt;&gt;1,"",IF(I919="SBJ","CB","?"))</f>
        <v> </v>
      </c>
      <c r="I919" s="26" t="str">
        <f>IF(OR(E919="",E919="!!!",F919="NEW"),"",INDEX(B918:B$2,-1+SUMPRODUCT(MAX(ROW(E918:E$2)*(E919=E918:E$2)))))</f>
        <v> </v>
      </c>
      <c r="J919" s="26" t="str">
        <f>IF(OR(E919="",E919="!!!",F919="NEW"),"",COUNTBLANK(OFFSET(A$1,,,SUMPRODUCT(MAX(ROW(E$2:E919)*(E919=E$2:E919)))))-COUNTBLANK(OFFSET(A$1,,,SUMPRODUCT(MAX(ROW(E$1:E918)*(E2=E$1:E918))))))</f>
        <v> </v>
      </c>
      <c r="K919" s="26" t="str">
        <f>IF(OR(E919="",E919="!!!",F919="NEW"),"",INDEX(J$1:J918,SUMPRODUCT(MAX(ROW(E$1:E918)*(E919=E$1:E918)))))</f>
        <v> </v>
      </c>
      <c r="L919" s="27"/>
    </row>
    <row r="920" spans="1:12">
      <c r="A920" s="20" t="s">
        <v>732</v>
      </c>
      <c r="B920" s="21" t="s">
        <v>412</v>
      </c>
      <c r="C920" s="21" t="s">
        <v>430</v>
      </c>
      <c r="E920" s="22">
        <f>IF(D920="?OLD","!!!","")</f>
        <v/>
      </c>
      <c r="F920" s="23" t="str">
        <f>IF(OR(E920="",E920="!!!"),"",IF(NOT(ISNA(VLOOKUP(E920,E$1:E919,1,FALSE()))),"OLD",IF(AND(E920&lt;&gt;"",E920&lt;&gt;"!!!"),"NEW","")))</f>
        <v> </v>
      </c>
      <c r="G920" s="24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5" t="str">
        <f>IF(J920&lt;&gt;1,"",IF(I920="SBJ","CB","?"))</f>
        <v> </v>
      </c>
      <c r="I920" s="26" t="str">
        <f>IF(OR(E920="",E920="!!!",F920="NEW"),"",INDEX(B919:B$2,-1+SUMPRODUCT(MAX(ROW(E919:E$2)*(E920=E919:E$2)))))</f>
        <v> </v>
      </c>
      <c r="J920" s="26" t="str">
        <f>IF(OR(E920="",E920="!!!",F920="NEW"),"",COUNTBLANK(OFFSET(A$1,,,SUMPRODUCT(MAX(ROW(E$2:E920)*(E920=E$2:E920)))))-COUNTBLANK(OFFSET(A$1,,,SUMPRODUCT(MAX(ROW(E$1:E919)*(E2=E$1:E919))))))</f>
        <v> </v>
      </c>
      <c r="K920" s="26" t="str">
        <f>IF(OR(E920="",E920="!!!",F920="NEW"),"",INDEX(J$1:J919,SUMPRODUCT(MAX(ROW(E$1:E919)*(E920=E$1:E919)))))</f>
        <v> </v>
      </c>
      <c r="L920" s="27"/>
    </row>
    <row r="921" spans="1:12">
      <c r="A921" s="20" t="s">
        <v>543</v>
      </c>
      <c r="E921" s="22">
        <f>IF(D921="?OLD","!!!","")</f>
        <v/>
      </c>
      <c r="F921" s="23" t="str">
        <f>IF(OR(E921="",E921="!!!"),"",IF(NOT(ISNA(VLOOKUP(E921,E$1:E920,1,FALSE()))),"OLD",IF(AND(E921&lt;&gt;"",E921&lt;&gt;"!!!"),"NEW","")))</f>
        <v> </v>
      </c>
      <c r="G921" s="24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5" t="str">
        <f>IF(J921&lt;&gt;1,"",IF(I921="SBJ","CB","?"))</f>
        <v> </v>
      </c>
      <c r="I921" s="26" t="str">
        <f>IF(OR(E921="",E921="!!!",F921="NEW"),"",INDEX(B920:B$2,-1+SUMPRODUCT(MAX(ROW(E920:E$2)*(E921=E920:E$2)))))</f>
        <v> </v>
      </c>
      <c r="J921" s="26" t="str">
        <f>IF(OR(E921="",E921="!!!",F921="NEW"),"",COUNTBLANK(OFFSET(A$1,,,SUMPRODUCT(MAX(ROW(E$2:E921)*(E921=E$2:E921)))))-COUNTBLANK(OFFSET(A$1,,,SUMPRODUCT(MAX(ROW(E$1:E920)*(E2=E$1:E920))))))</f>
        <v> </v>
      </c>
      <c r="K921" s="26" t="str">
        <f>IF(OR(E921="",E921="!!!",F921="NEW"),"",INDEX(J$1:J920,SUMPRODUCT(MAX(ROW(E$1:E920)*(E921=E$1:E920)))))</f>
        <v> </v>
      </c>
      <c r="L921" s="27"/>
    </row>
    <row r="922" spans="1:12">
      <c r="A922" s="20" t="s">
        <v>94</v>
      </c>
      <c r="E922" s="22">
        <f>IF(D922="?OLD","!!!","")</f>
        <v/>
      </c>
      <c r="F922" s="23" t="str">
        <f>IF(OR(E922="",E922="!!!"),"",IF(NOT(ISNA(VLOOKUP(E922,E$1:E921,1,FALSE()))),"OLD",IF(AND(E922&lt;&gt;"",E922&lt;&gt;"!!!"),"NEW","")))</f>
        <v> </v>
      </c>
      <c r="G922" s="24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5" t="str">
        <f>IF(J922&lt;&gt;1,"",IF(I922="SBJ","CB","?"))</f>
        <v> </v>
      </c>
      <c r="I922" s="26" t="str">
        <f>IF(OR(E922="",E922="!!!",F922="NEW"),"",INDEX(B921:B$2,-1+SUMPRODUCT(MAX(ROW(E921:E$2)*(E922=E921:E$2)))))</f>
        <v> </v>
      </c>
      <c r="J922" s="26" t="str">
        <f>IF(OR(E922="",E922="!!!",F922="NEW"),"",COUNTBLANK(OFFSET(A$1,,,SUMPRODUCT(MAX(ROW(E$2:E922)*(E922=E$2:E922)))))-COUNTBLANK(OFFSET(A$1,,,SUMPRODUCT(MAX(ROW(E$1:E921)*(E2=E$1:E921))))))</f>
        <v> </v>
      </c>
      <c r="K922" s="26" t="str">
        <f>IF(OR(E922="",E922="!!!",F922="NEW"),"",INDEX(J$1:J921,SUMPRODUCT(MAX(ROW(E$1:E921)*(E922=E$1:E921)))))</f>
        <v> </v>
      </c>
      <c r="L922" s="27"/>
    </row>
    <row r="923" spans="1:12">
      <c r="A923" s="20"/>
    </row>
    <row r="924" spans="1:12">
      <c r="A924" s="20" t="s">
        <v>533</v>
      </c>
      <c r="E924" s="22">
        <f>IF(D924="?OLD","!!!","")</f>
        <v/>
      </c>
      <c r="F924" s="23" t="str">
        <f>IF(OR(E924="",E924="!!!"),"",IF(NOT(ISNA(VLOOKUP(E924,E$1:E923,1,FALSE()))),"OLD",IF(AND(E924&lt;&gt;"",E924&lt;&gt;"!!!"),"NEW","")))</f>
        <v> </v>
      </c>
      <c r="G924" s="24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5" t="str">
        <f>IF(J924&lt;&gt;1,"",IF(I924="SBJ","CB","?"))</f>
        <v> </v>
      </c>
      <c r="I924" s="26" t="str">
        <f>IF(OR(E924="",E924="!!!",F924="NEW"),"",INDEX(B923:B$2,-1+SUMPRODUCT(MAX(ROW(E923:E$2)*(E924=E923:E$2)))))</f>
        <v> </v>
      </c>
      <c r="J924" s="26" t="str">
        <f>IF(OR(E924="",E924="!!!",F924="NEW"),"",COUNTBLANK(OFFSET(A$1,,,SUMPRODUCT(MAX(ROW(E$2:E924)*(E924=E$2:E924)))))-COUNTBLANK(OFFSET(A$1,,,SUMPRODUCT(MAX(ROW(E$1:E923)*(E2=E$1:E923))))))</f>
        <v> </v>
      </c>
      <c r="K924" s="26" t="str">
        <f>IF(OR(E924="",E924="!!!",F924="NEW"),"",INDEX(J$1:J923,SUMPRODUCT(MAX(ROW(E$1:E923)*(E924=E$1:E923)))))</f>
        <v> </v>
      </c>
      <c r="L924" s="27"/>
    </row>
    <row r="925" spans="1:12">
      <c r="A925" s="20" t="s">
        <v>733</v>
      </c>
    </row>
    <row r="926" spans="1:12">
      <c r="A926" s="20" t="s">
        <v>721</v>
      </c>
      <c r="E926" s="22">
        <f>IF(D926="?OLD","!!!","")</f>
        <v/>
      </c>
      <c r="F926" s="23" t="str">
        <f>IF(OR(E926="",E926="!!!"),"",IF(NOT(ISNA(VLOOKUP(E926,E$1:E925,1,FALSE()))),"OLD",IF(AND(E926&lt;&gt;"",E926&lt;&gt;"!!!"),"NEW","")))</f>
        <v> </v>
      </c>
      <c r="G926" s="24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5" t="str">
        <f>IF(J926&lt;&gt;1,"",IF(I926="SBJ","CB","?"))</f>
        <v> </v>
      </c>
      <c r="I926" s="26" t="str">
        <f>IF(OR(E926="",E926="!!!",F926="NEW"),"",INDEX(B925:B$2,-1+SUMPRODUCT(MAX(ROW(E925:E$2)*(E926=E925:E$2)))))</f>
        <v> </v>
      </c>
      <c r="J926" s="26" t="str">
        <f>IF(OR(E926="",E926="!!!",F926="NEW"),"",COUNTBLANK(OFFSET(A$1,,,SUMPRODUCT(MAX(ROW(E$2:E926)*(E926=E$2:E926)))))-COUNTBLANK(OFFSET(A$1,,,SUMPRODUCT(MAX(ROW(E$1:E925)*(E2=E$1:E925))))))</f>
        <v> </v>
      </c>
      <c r="K926" s="26" t="str">
        <f>IF(OR(E926="",E926="!!!",F926="NEW"),"",INDEX(J$1:J925,SUMPRODUCT(MAX(ROW(E$1:E925)*(E926=E$1:E925)))))</f>
        <v> </v>
      </c>
      <c r="L926" s="27"/>
    </row>
    <row r="927" spans="1:12">
      <c r="A927" s="20" t="s">
        <v>453</v>
      </c>
      <c r="B927" s="21" t="s">
        <v>378</v>
      </c>
      <c r="C927" s="21" t="s">
        <v>367</v>
      </c>
      <c r="D927" s="21" t="s">
        <v>368</v>
      </c>
      <c r="E927" s="22">
        <f>IF(D927="?OLD","!!!","")</f>
        <v/>
      </c>
      <c r="F927" s="23" t="str">
        <f>IF(OR(E927="",E927="!!!"),"",IF(NOT(ISNA(VLOOKUP(E927,E$1:E926,1,FALSE()))),"OLD",IF(AND(E927&lt;&gt;"",E927&lt;&gt;"!!!"),"NEW","")))</f>
        <v> </v>
      </c>
      <c r="G927" s="24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5" t="str">
        <f>IF(J927&lt;&gt;1,"",IF(I927="SBJ","CB","?"))</f>
        <v> </v>
      </c>
      <c r="I927" s="26" t="str">
        <f>IF(OR(E927="",E927="!!!",F927="NEW"),"",INDEX(B926:B$2,-1+SUMPRODUCT(MAX(ROW(E926:E$2)*(E927=E926:E$2)))))</f>
        <v> </v>
      </c>
      <c r="J927" s="26" t="str">
        <f>IF(OR(E927="",E927="!!!",F927="NEW"),"",COUNTBLANK(OFFSET(A$1,,,SUMPRODUCT(MAX(ROW(E$2:E927)*(E927=E$2:E927)))))-COUNTBLANK(OFFSET(A$1,,,SUMPRODUCT(MAX(ROW(E$1:E926)*(E2=E$1:E926))))))</f>
        <v> </v>
      </c>
      <c r="K927" s="26" t="str">
        <f>IF(OR(E927="",E927="!!!",F927="NEW"),"",INDEX(J$1:J926,SUMPRODUCT(MAX(ROW(E$1:E926)*(E927=E$1:E926)))))</f>
        <v> </v>
      </c>
      <c r="L927" s="27"/>
    </row>
    <row r="928" spans="1:12">
      <c r="A928" s="20" t="s">
        <v>729</v>
      </c>
      <c r="E928" s="22">
        <f>IF(D928="?OLD","!!!","")</f>
        <v/>
      </c>
      <c r="F928" s="23" t="str">
        <f>IF(OR(E928="",E928="!!!"),"",IF(NOT(ISNA(VLOOKUP(E928,E$1:E927,1,FALSE()))),"OLD",IF(AND(E928&lt;&gt;"",E928&lt;&gt;"!!!"),"NEW","")))</f>
        <v> </v>
      </c>
      <c r="G928" s="24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5" t="str">
        <f>IF(J928&lt;&gt;1,"",IF(I928="SBJ","CB","?"))</f>
        <v> </v>
      </c>
      <c r="I928" s="26" t="str">
        <f>IF(OR(E928="",E928="!!!",F928="NEW"),"",INDEX(B927:B$2,-1+SUMPRODUCT(MAX(ROW(E927:E$2)*(E928=E927:E$2)))))</f>
        <v> </v>
      </c>
      <c r="J928" s="26" t="str">
        <f>IF(OR(E928="",E928="!!!",F928="NEW"),"",COUNTBLANK(OFFSET(A$1,,,SUMPRODUCT(MAX(ROW(E$2:E928)*(E928=E$2:E928)))))-COUNTBLANK(OFFSET(A$1,,,SUMPRODUCT(MAX(ROW(E$1:E927)*(E2=E$1:E927))))))</f>
        <v> </v>
      </c>
      <c r="K928" s="26" t="str">
        <f>IF(OR(E928="",E928="!!!",F928="NEW"),"",INDEX(J$1:J927,SUMPRODUCT(MAX(ROW(E$1:E927)*(E928=E$1:E927)))))</f>
        <v> </v>
      </c>
      <c r="L928" s="27"/>
    </row>
    <row r="929" spans="1:12">
      <c r="A929" s="20" t="s">
        <v>595</v>
      </c>
      <c r="E929" s="22">
        <f>IF(D929="?OLD","!!!","")</f>
        <v/>
      </c>
      <c r="F929" s="23" t="str">
        <f>IF(OR(E929="",E929="!!!"),"",IF(NOT(ISNA(VLOOKUP(E929,E$1:E928,1,FALSE()))),"OLD",IF(AND(E929&lt;&gt;"",E929&lt;&gt;"!!!"),"NEW","")))</f>
        <v> </v>
      </c>
      <c r="G929" s="24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5" t="str">
        <f>IF(J929&lt;&gt;1,"",IF(I929="SBJ","CB","?"))</f>
        <v> </v>
      </c>
      <c r="I929" s="26" t="str">
        <f>IF(OR(E929="",E929="!!!",F929="NEW"),"",INDEX(B928:B$2,-1+SUMPRODUCT(MAX(ROW(E928:E$2)*(E929=E928:E$2)))))</f>
        <v> </v>
      </c>
      <c r="J929" s="26" t="str">
        <f>IF(OR(E929="",E929="!!!",F929="NEW"),"",COUNTBLANK(OFFSET(A$1,,,SUMPRODUCT(MAX(ROW(E$2:E929)*(E929=E$2:E929)))))-COUNTBLANK(OFFSET(A$1,,,SUMPRODUCT(MAX(ROW(E$1:E928)*(E2=E$1:E928))))))</f>
        <v> </v>
      </c>
      <c r="K929" s="26" t="str">
        <f>IF(OR(E929="",E929="!!!",F929="NEW"),"",INDEX(J$1:J928,SUMPRODUCT(MAX(ROW(E$1:E928)*(E929=E$1:E928)))))</f>
        <v> </v>
      </c>
      <c r="L929" s="27"/>
    </row>
    <row r="930" spans="1:12">
      <c r="A930" s="20" t="s">
        <v>734</v>
      </c>
      <c r="E930" s="22">
        <f>IF(D930="?OLD","!!!","")</f>
        <v/>
      </c>
      <c r="F930" s="23" t="str">
        <f>IF(OR(E930="",E930="!!!"),"",IF(NOT(ISNA(VLOOKUP(E930,E$1:E929,1,FALSE()))),"OLD",IF(AND(E930&lt;&gt;"",E930&lt;&gt;"!!!"),"NEW","")))</f>
        <v> </v>
      </c>
      <c r="G930" s="24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5" t="str">
        <f>IF(J930&lt;&gt;1,"",IF(I930="SBJ","CB","?"))</f>
        <v> </v>
      </c>
      <c r="I930" s="26" t="str">
        <f>IF(OR(E930="",E930="!!!",F930="NEW"),"",INDEX(B929:B$2,-1+SUMPRODUCT(MAX(ROW(E929:E$2)*(E930=E929:E$2)))))</f>
        <v> </v>
      </c>
      <c r="J930" s="26" t="str">
        <f>IF(OR(E930="",E930="!!!",F930="NEW"),"",COUNTBLANK(OFFSET(A$1,,,SUMPRODUCT(MAX(ROW(E$2:E930)*(E930=E$2:E930)))))-COUNTBLANK(OFFSET(A$1,,,SUMPRODUCT(MAX(ROW(E$1:E929)*(E2=E$1:E929))))))</f>
        <v> </v>
      </c>
      <c r="K930" s="26" t="str">
        <f>IF(OR(E930="",E930="!!!",F930="NEW"),"",INDEX(J$1:J929,SUMPRODUCT(MAX(ROW(E$1:E929)*(E930=E$1:E929)))))</f>
        <v> </v>
      </c>
      <c r="L930" s="27"/>
    </row>
    <row r="931" spans="1:12">
      <c r="A931" s="20" t="s">
        <v>725</v>
      </c>
      <c r="E931" s="22">
        <f>IF(D931="?OLD","!!!","")</f>
        <v/>
      </c>
      <c r="F931" s="23" t="str">
        <f>IF(OR(E931="",E931="!!!"),"",IF(NOT(ISNA(VLOOKUP(E931,E$1:E930,1,FALSE()))),"OLD",IF(AND(E931&lt;&gt;"",E931&lt;&gt;"!!!"),"NEW","")))</f>
        <v> </v>
      </c>
      <c r="G931" s="24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5" t="str">
        <f>IF(J931&lt;&gt;1,"",IF(I931="SBJ","CB","?"))</f>
        <v> </v>
      </c>
      <c r="I931" s="26" t="str">
        <f>IF(OR(E931="",E931="!!!",F931="NEW"),"",INDEX(B930:B$2,-1+SUMPRODUCT(MAX(ROW(E930:E$2)*(E931=E930:E$2)))))</f>
        <v> </v>
      </c>
      <c r="J931" s="26" t="str">
        <f>IF(OR(E931="",E931="!!!",F931="NEW"),"",COUNTBLANK(OFFSET(A$1,,,SUMPRODUCT(MAX(ROW(E$2:E931)*(E931=E$2:E931)))))-COUNTBLANK(OFFSET(A$1,,,SUMPRODUCT(MAX(ROW(E$1:E930)*(E2=E$1:E930))))))</f>
        <v> </v>
      </c>
      <c r="K931" s="26" t="str">
        <f>IF(OR(E931="",E931="!!!",F931="NEW"),"",INDEX(J$1:J930,SUMPRODUCT(MAX(ROW(E$1:E930)*(E931=E$1:E930)))))</f>
        <v> </v>
      </c>
      <c r="L931" s="27"/>
    </row>
    <row r="932" spans="1:12">
      <c r="A932" s="20" t="s">
        <v>376</v>
      </c>
      <c r="E932" s="22">
        <f>IF(D932="?OLD","!!!","")</f>
        <v/>
      </c>
      <c r="F932" s="23" t="str">
        <f>IF(OR(E932="",E932="!!!"),"",IF(NOT(ISNA(VLOOKUP(E932,E$1:E931,1,FALSE()))),"OLD",IF(AND(E932&lt;&gt;"",E932&lt;&gt;"!!!"),"NEW","")))</f>
        <v> </v>
      </c>
      <c r="G932" s="24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5" t="str">
        <f>IF(J932&lt;&gt;1,"",IF(I932="SBJ","CB","?"))</f>
        <v> </v>
      </c>
      <c r="I932" s="26" t="str">
        <f>IF(OR(E932="",E932="!!!",F932="NEW"),"",INDEX(B931:B$2,-1+SUMPRODUCT(MAX(ROW(E931:E$2)*(E932=E931:E$2)))))</f>
        <v> </v>
      </c>
      <c r="J932" s="26" t="str">
        <f>IF(OR(E932="",E932="!!!",F932="NEW"),"",COUNTBLANK(OFFSET(A$1,,,SUMPRODUCT(MAX(ROW(E$2:E932)*(E932=E$2:E932)))))-COUNTBLANK(OFFSET(A$1,,,SUMPRODUCT(MAX(ROW(E$1:E931)*(E2=E$1:E931))))))</f>
        <v> </v>
      </c>
      <c r="K932" s="26" t="str">
        <f>IF(OR(E932="",E932="!!!",F932="NEW"),"",INDEX(J$1:J931,SUMPRODUCT(MAX(ROW(E$1:E931)*(E932=E$1:E931)))))</f>
        <v> </v>
      </c>
      <c r="L932" s="27"/>
    </row>
    <row r="933" spans="1:12">
      <c r="A933" s="20" t="s">
        <v>730</v>
      </c>
      <c r="B933" s="21" t="s">
        <v>374</v>
      </c>
      <c r="C933" s="21" t="s">
        <v>523</v>
      </c>
      <c r="D933" s="21" t="s">
        <v>368</v>
      </c>
      <c r="E933" s="22">
        <f>IF(D933="?OLD","!!!","")</f>
        <v/>
      </c>
      <c r="F933" s="23" t="str">
        <f>IF(OR(E933="",E933="!!!"),"",IF(NOT(ISNA(VLOOKUP(E933,E$1:E932,1,FALSE()))),"OLD",IF(AND(E933&lt;&gt;"",E933&lt;&gt;"!!!"),"NEW","")))</f>
        <v> </v>
      </c>
      <c r="G933" s="24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5" t="str">
        <f>IF(J933&lt;&gt;1,"",IF(I933="SBJ","CB","?"))</f>
        <v> </v>
      </c>
      <c r="I933" s="26" t="str">
        <f>IF(OR(E933="",E933="!!!",F933="NEW"),"",INDEX(B932:B$2,-1+SUMPRODUCT(MAX(ROW(E932:E$2)*(E933=E932:E$2)))))</f>
        <v> </v>
      </c>
      <c r="J933" s="26" t="str">
        <f>IF(OR(E933="",E933="!!!",F933="NEW"),"",COUNTBLANK(OFFSET(A$1,,,SUMPRODUCT(MAX(ROW(E$2:E933)*(E933=E$2:E933)))))-COUNTBLANK(OFFSET(A$1,,,SUMPRODUCT(MAX(ROW(E$1:E932)*(E2=E$1:E932))))))</f>
        <v> </v>
      </c>
      <c r="K933" s="26" t="str">
        <f>IF(OR(E933="",E933="!!!",F933="NEW"),"",INDEX(J$1:J932,SUMPRODUCT(MAX(ROW(E$1:E932)*(E933=E$1:E932)))))</f>
        <v> </v>
      </c>
      <c r="L933" s="27"/>
    </row>
    <row r="934" spans="1:12">
      <c r="A934" s="20" t="s">
        <v>75</v>
      </c>
      <c r="B934" s="21" t="s">
        <v>374</v>
      </c>
      <c r="C934" s="21" t="s">
        <v>430</v>
      </c>
      <c r="E934" s="22">
        <f>IF(D934="?OLD","!!!","")</f>
        <v/>
      </c>
      <c r="F934" s="23" t="str">
        <f>IF(OR(E934="",E934="!!!"),"",IF(NOT(ISNA(VLOOKUP(E934,E$1:E933,1,FALSE()))),"OLD",IF(AND(E934&lt;&gt;"",E934&lt;&gt;"!!!"),"NEW","")))</f>
        <v> </v>
      </c>
      <c r="G934" s="24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5" t="str">
        <f>IF(J934&lt;&gt;1,"",IF(I934="SBJ","CB","?"))</f>
        <v> </v>
      </c>
      <c r="I934" s="26" t="str">
        <f>IF(OR(E934="",E934="!!!",F934="NEW"),"",INDEX(B933:B$2,-1+SUMPRODUCT(MAX(ROW(E933:E$2)*(E934=E933:E$2)))))</f>
        <v> </v>
      </c>
      <c r="J934" s="26" t="str">
        <f>IF(OR(E934="",E934="!!!",F934="NEW"),"",COUNTBLANK(OFFSET(A$1,,,SUMPRODUCT(MAX(ROW(E$2:E934)*(E934=E$2:E934)))))-COUNTBLANK(OFFSET(A$1,,,SUMPRODUCT(MAX(ROW(E$1:E933)*(E2=E$1:E933))))))</f>
        <v> </v>
      </c>
      <c r="K934" s="26" t="str">
        <f>IF(OR(E934="",E934="!!!",F934="NEW"),"",INDEX(J$1:J933,SUMPRODUCT(MAX(ROW(E$1:E933)*(E934=E$1:E933)))))</f>
        <v> </v>
      </c>
      <c r="L934" s="27"/>
    </row>
    <row r="935" spans="1:12">
      <c r="A935" s="20" t="s">
        <v>409</v>
      </c>
      <c r="E935" s="22">
        <f>IF(D935="?OLD","!!!","")</f>
        <v/>
      </c>
      <c r="F935" s="23" t="str">
        <f>IF(OR(E935="",E935="!!!"),"",IF(NOT(ISNA(VLOOKUP(E935,E$1:E934,1,FALSE()))),"OLD",IF(AND(E935&lt;&gt;"",E935&lt;&gt;"!!!"),"NEW","")))</f>
        <v> </v>
      </c>
      <c r="G935" s="24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5" t="str">
        <f>IF(J935&lt;&gt;1,"",IF(I935="SBJ","CB","?"))</f>
        <v> </v>
      </c>
      <c r="I935" s="26" t="str">
        <f>IF(OR(E935="",E935="!!!",F935="NEW"),"",INDEX(B934:B$2,-1+SUMPRODUCT(MAX(ROW(E934:E$2)*(E935=E934:E$2)))))</f>
        <v> </v>
      </c>
      <c r="J935" s="26" t="str">
        <f>IF(OR(E935="",E935="!!!",F935="NEW"),"",COUNTBLANK(OFFSET(A$1,,,SUMPRODUCT(MAX(ROW(E$2:E935)*(E935=E$2:E935)))))-COUNTBLANK(OFFSET(A$1,,,SUMPRODUCT(MAX(ROW(E$1:E934)*(E2=E$1:E934))))))</f>
        <v> </v>
      </c>
      <c r="K935" s="26" t="str">
        <f>IF(OR(E935="",E935="!!!",F935="NEW"),"",INDEX(J$1:J934,SUMPRODUCT(MAX(ROW(E$1:E934)*(E935=E$1:E934)))))</f>
        <v> </v>
      </c>
      <c r="L935" s="27"/>
    </row>
    <row r="936" spans="1:12">
      <c r="A936" s="20" t="s">
        <v>94</v>
      </c>
      <c r="E936" s="22">
        <f>IF(D936="?OLD","!!!","")</f>
        <v/>
      </c>
      <c r="F936" s="23" t="str">
        <f>IF(OR(E936="",E936="!!!"),"",IF(NOT(ISNA(VLOOKUP(E936,E$1:E935,1,FALSE()))),"OLD",IF(AND(E936&lt;&gt;"",E936&lt;&gt;"!!!"),"NEW","")))</f>
        <v> </v>
      </c>
      <c r="G936" s="24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5" t="str">
        <f>IF(J936&lt;&gt;1,"",IF(I936="SBJ","CB","?"))</f>
        <v> </v>
      </c>
      <c r="I936" s="26" t="str">
        <f>IF(OR(E936="",E936="!!!",F936="NEW"),"",INDEX(B935:B$2,-1+SUMPRODUCT(MAX(ROW(E935:E$2)*(E936=E935:E$2)))))</f>
        <v> </v>
      </c>
      <c r="J936" s="26" t="str">
        <f>IF(OR(E936="",E936="!!!",F936="NEW"),"",COUNTBLANK(OFFSET(A$1,,,SUMPRODUCT(MAX(ROW(E$2:E936)*(E936=E$2:E936)))))-COUNTBLANK(OFFSET(A$1,,,SUMPRODUCT(MAX(ROW(E$1:E935)*(E2=E$1:E935))))))</f>
        <v> </v>
      </c>
      <c r="K936" s="26" t="str">
        <f>IF(OR(E936="",E936="!!!",F936="NEW"),"",INDEX(J$1:J935,SUMPRODUCT(MAX(ROW(E$1:E935)*(E936=E$1:E935)))))</f>
        <v> </v>
      </c>
      <c r="L936" s="27"/>
    </row>
    <row r="937" spans="1:12">
      <c r="A937" s="20"/>
    </row>
    <row r="938" spans="1:12">
      <c r="A938" s="20" t="s">
        <v>533</v>
      </c>
      <c r="E938" s="22">
        <f>IF(D938="?OLD","!!!","")</f>
        <v/>
      </c>
      <c r="F938" s="23" t="str">
        <f>IF(OR(E938="",E938="!!!"),"",IF(NOT(ISNA(VLOOKUP(E938,E$1:E937,1,FALSE()))),"OLD",IF(AND(E938&lt;&gt;"",E938&lt;&gt;"!!!"),"NEW","")))</f>
        <v> </v>
      </c>
      <c r="G938" s="24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5" t="str">
        <f>IF(J938&lt;&gt;1,"",IF(I938="SBJ","CB","?"))</f>
        <v> </v>
      </c>
      <c r="I938" s="26" t="str">
        <f>IF(OR(E938="",E938="!!!",F938="NEW"),"",INDEX(B937:B$2,-1+SUMPRODUCT(MAX(ROW(E937:E$2)*(E938=E937:E$2)))))</f>
        <v> </v>
      </c>
      <c r="J938" s="26" t="str">
        <f>IF(OR(E938="",E938="!!!",F938="NEW"),"",COUNTBLANK(OFFSET(A$1,,,SUMPRODUCT(MAX(ROW(E$2:E938)*(E938=E$2:E938)))))-COUNTBLANK(OFFSET(A$1,,,SUMPRODUCT(MAX(ROW(E$1:E937)*(E2=E$1:E937))))))</f>
        <v> </v>
      </c>
      <c r="K938" s="26" t="str">
        <f>IF(OR(E938="",E938="!!!",F938="NEW"),"",INDEX(J$1:J937,SUMPRODUCT(MAX(ROW(E$1:E937)*(E938=E$1:E937)))))</f>
        <v> </v>
      </c>
      <c r="L938" s="27"/>
    </row>
    <row r="939" spans="1:12">
      <c r="A939" s="20" t="s">
        <v>735</v>
      </c>
    </row>
    <row r="940" spans="1:12">
      <c r="A940" s="20" t="s">
        <v>170</v>
      </c>
      <c r="B940" s="21" t="s">
        <v>374</v>
      </c>
      <c r="C940" s="21" t="s">
        <v>430</v>
      </c>
      <c r="E940" s="22">
        <f>IF(D940="?OLD","!!!","")</f>
        <v/>
      </c>
      <c r="F940" s="23" t="str">
        <f>IF(OR(E940="",E940="!!!"),"",IF(NOT(ISNA(VLOOKUP(E940,E$1:E939,1,FALSE()))),"OLD",IF(AND(E940&lt;&gt;"",E940&lt;&gt;"!!!"),"NEW","")))</f>
        <v> </v>
      </c>
      <c r="G940" s="24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5" t="str">
        <f>IF(J940&lt;&gt;1,"",IF(I940="SBJ","CB","?"))</f>
        <v> </v>
      </c>
      <c r="I940" s="26" t="str">
        <f>IF(OR(E940="",E940="!!!",F940="NEW"),"",INDEX(B939:B$2,-1+SUMPRODUCT(MAX(ROW(E939:E$2)*(E940=E939:E$2)))))</f>
        <v> </v>
      </c>
      <c r="J940" s="26" t="str">
        <f>IF(OR(E940="",E940="!!!",F940="NEW"),"",COUNTBLANK(OFFSET(A$1,,,SUMPRODUCT(MAX(ROW(E$2:E940)*(E940=E$2:E940)))))-COUNTBLANK(OFFSET(A$1,,,SUMPRODUCT(MAX(ROW(E$1:E939)*(E2=E$1:E939))))))</f>
        <v> </v>
      </c>
      <c r="K940" s="26" t="str">
        <f>IF(OR(E940="",E940="!!!",F940="NEW"),"",INDEX(J$1:J939,SUMPRODUCT(MAX(ROW(E$1:E939)*(E940=E$1:E939)))))</f>
        <v> </v>
      </c>
      <c r="L940" s="27"/>
    </row>
    <row r="941" spans="1:12">
      <c r="A941" s="20" t="s">
        <v>376</v>
      </c>
      <c r="E941" s="22">
        <f>IF(D941="?OLD","!!!","")</f>
        <v/>
      </c>
      <c r="F941" s="23" t="str">
        <f>IF(OR(E941="",E941="!!!"),"",IF(NOT(ISNA(VLOOKUP(E941,E$1:E940,1,FALSE()))),"OLD",IF(AND(E941&lt;&gt;"",E941&lt;&gt;"!!!"),"NEW","")))</f>
        <v> </v>
      </c>
      <c r="G941" s="24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5" t="str">
        <f>IF(J941&lt;&gt;1,"",IF(I941="SBJ","CB","?"))</f>
        <v> </v>
      </c>
      <c r="I941" s="26" t="str">
        <f>IF(OR(E941="",E941="!!!",F941="NEW"),"",INDEX(B940:B$2,-1+SUMPRODUCT(MAX(ROW(E940:E$2)*(E941=E940:E$2)))))</f>
        <v> </v>
      </c>
      <c r="J941" s="26" t="str">
        <f>IF(OR(E941="",E941="!!!",F941="NEW"),"",COUNTBLANK(OFFSET(A$1,,,SUMPRODUCT(MAX(ROW(E$2:E941)*(E941=E$2:E941)))))-COUNTBLANK(OFFSET(A$1,,,SUMPRODUCT(MAX(ROW(E$1:E940)*(E2=E$1:E940))))))</f>
        <v> </v>
      </c>
      <c r="K941" s="26" t="str">
        <f>IF(OR(E941="",E941="!!!",F941="NEW"),"",INDEX(J$1:J940,SUMPRODUCT(MAX(ROW(E$1:E940)*(E941=E$1:E940)))))</f>
        <v> </v>
      </c>
      <c r="L941" s="27"/>
    </row>
    <row r="942" spans="1:12">
      <c r="A942" s="20" t="s">
        <v>713</v>
      </c>
      <c r="B942" s="21" t="s">
        <v>378</v>
      </c>
      <c r="C942" s="21" t="s">
        <v>434</v>
      </c>
      <c r="D942" s="21" t="s">
        <v>368</v>
      </c>
      <c r="E942" s="22">
        <f>IF(D942="?OLD","!!!","")</f>
        <v/>
      </c>
      <c r="F942" s="23" t="str">
        <f>IF(OR(E942="",E942="!!!"),"",IF(NOT(ISNA(VLOOKUP(E942,E$1:E941,1,FALSE()))),"OLD",IF(AND(E942&lt;&gt;"",E942&lt;&gt;"!!!"),"NEW","")))</f>
        <v> </v>
      </c>
      <c r="G942" s="24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5" t="str">
        <f>IF(J942&lt;&gt;1,"",IF(I942="SBJ","CB","?"))</f>
        <v> </v>
      </c>
      <c r="I942" s="26" t="str">
        <f>IF(OR(E942="",E942="!!!",F942="NEW"),"",INDEX(B941:B$2,-1+SUMPRODUCT(MAX(ROW(E941:E$2)*(E942=E941:E$2)))))</f>
        <v> </v>
      </c>
      <c r="J942" s="26" t="str">
        <f>IF(OR(E942="",E942="!!!",F942="NEW"),"",COUNTBLANK(OFFSET(A$1,,,SUMPRODUCT(MAX(ROW(E$2:E942)*(E942=E$2:E942)))))-COUNTBLANK(OFFSET(A$1,,,SUMPRODUCT(MAX(ROW(E$1:E941)*(E2=E$1:E941))))))</f>
        <v> </v>
      </c>
      <c r="K942" s="26" t="str">
        <f>IF(OR(E942="",E942="!!!",F942="NEW"),"",INDEX(J$1:J941,SUMPRODUCT(MAX(ROW(E$1:E941)*(E942=E$1:E941)))))</f>
        <v> </v>
      </c>
      <c r="L942" s="27"/>
    </row>
    <row r="943" spans="1:12">
      <c r="A943" s="20" t="s">
        <v>715</v>
      </c>
      <c r="E943" s="22">
        <f>IF(D943="?OLD","!!!","")</f>
        <v/>
      </c>
      <c r="F943" s="23" t="str">
        <f>IF(OR(E943="",E943="!!!"),"",IF(NOT(ISNA(VLOOKUP(E943,E$1:E942,1,FALSE()))),"OLD",IF(AND(E943&lt;&gt;"",E943&lt;&gt;"!!!"),"NEW","")))</f>
        <v> </v>
      </c>
      <c r="G943" s="24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5" t="str">
        <f>IF(J943&lt;&gt;1,"",IF(I943="SBJ","CB","?"))</f>
        <v> </v>
      </c>
      <c r="I943" s="26" t="str">
        <f>IF(OR(E943="",E943="!!!",F943="NEW"),"",INDEX(B942:B$2,-1+SUMPRODUCT(MAX(ROW(E942:E$2)*(E943=E942:E$2)))))</f>
        <v> </v>
      </c>
      <c r="J943" s="26" t="str">
        <f>IF(OR(E943="",E943="!!!",F943="NEW"),"",COUNTBLANK(OFFSET(A$1,,,SUMPRODUCT(MAX(ROW(E$2:E943)*(E943=E$2:E943)))))-COUNTBLANK(OFFSET(A$1,,,SUMPRODUCT(MAX(ROW(E$1:E942)*(E2=E$1:E942))))))</f>
        <v> </v>
      </c>
      <c r="K943" s="26" t="str">
        <f>IF(OR(E943="",E943="!!!",F943="NEW"),"",INDEX(J$1:J942,SUMPRODUCT(MAX(ROW(E$1:E942)*(E943=E$1:E942)))))</f>
        <v> </v>
      </c>
      <c r="L943" s="27"/>
    </row>
    <row r="944" spans="1:12">
      <c r="A944" s="20" t="s">
        <v>716</v>
      </c>
      <c r="B944" s="21" t="s">
        <v>404</v>
      </c>
      <c r="C944" s="21" t="s">
        <v>367</v>
      </c>
      <c r="D944" s="21" t="s">
        <v>368</v>
      </c>
      <c r="E944" s="22">
        <f>IF(D944="?OLD","!!!","")</f>
        <v/>
      </c>
      <c r="F944" s="23" t="str">
        <f>IF(OR(E944="",E944="!!!"),"",IF(NOT(ISNA(VLOOKUP(E944,E$1:E943,1,FALSE()))),"OLD",IF(AND(E944&lt;&gt;"",E944&lt;&gt;"!!!"),"NEW","")))</f>
        <v> </v>
      </c>
      <c r="G944" s="24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5" t="str">
        <f>IF(J944&lt;&gt;1,"",IF(I944="SBJ","CB","?"))</f>
        <v> </v>
      </c>
      <c r="I944" s="26" t="str">
        <f>IF(OR(E944="",E944="!!!",F944="NEW"),"",INDEX(B943:B$2,-1+SUMPRODUCT(MAX(ROW(E943:E$2)*(E944=E943:E$2)))))</f>
        <v> </v>
      </c>
      <c r="J944" s="26" t="str">
        <f>IF(OR(E944="",E944="!!!",F944="NEW"),"",COUNTBLANK(OFFSET(A$1,,,SUMPRODUCT(MAX(ROW(E$2:E944)*(E944=E$2:E944)))))-COUNTBLANK(OFFSET(A$1,,,SUMPRODUCT(MAX(ROW(E$1:E943)*(E2=E$1:E943))))))</f>
        <v> </v>
      </c>
      <c r="K944" s="26" t="str">
        <f>IF(OR(E944="",E944="!!!",F944="NEW"),"",INDEX(J$1:J943,SUMPRODUCT(MAX(ROW(E$1:E943)*(E944=E$1:E943)))))</f>
        <v> </v>
      </c>
      <c r="L944" s="27"/>
    </row>
    <row r="945" spans="1:12">
      <c r="A945" s="20" t="s">
        <v>717</v>
      </c>
      <c r="E945" s="22">
        <f>IF(D945="?OLD","!!!","")</f>
        <v/>
      </c>
      <c r="F945" s="23" t="str">
        <f>IF(OR(E945="",E945="!!!"),"",IF(NOT(ISNA(VLOOKUP(E945,E$1:E944,1,FALSE()))),"OLD",IF(AND(E945&lt;&gt;"",E945&lt;&gt;"!!!"),"NEW","")))</f>
        <v> </v>
      </c>
      <c r="G945" s="24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5" t="str">
        <f>IF(J945&lt;&gt;1,"",IF(I945="SBJ","CB","?"))</f>
        <v> </v>
      </c>
      <c r="I945" s="26" t="str">
        <f>IF(OR(E945="",E945="!!!",F945="NEW"),"",INDEX(B944:B$2,-1+SUMPRODUCT(MAX(ROW(E944:E$2)*(E945=E944:E$2)))))</f>
        <v> </v>
      </c>
      <c r="J945" s="26" t="str">
        <f>IF(OR(E945="",E945="!!!",F945="NEW"),"",COUNTBLANK(OFFSET(A$1,,,SUMPRODUCT(MAX(ROW(E$2:E945)*(E945=E$2:E945)))))-COUNTBLANK(OFFSET(A$1,,,SUMPRODUCT(MAX(ROW(E$1:E944)*(E2=E$1:E944))))))</f>
        <v> </v>
      </c>
      <c r="K945" s="26" t="str">
        <f>IF(OR(E945="",E945="!!!",F945="NEW"),"",INDEX(J$1:J944,SUMPRODUCT(MAX(ROW(E$1:E944)*(E945=E$1:E944)))))</f>
        <v> </v>
      </c>
      <c r="L945" s="27"/>
    </row>
    <row r="946" spans="1:12">
      <c r="A946" s="20" t="s">
        <v>489</v>
      </c>
      <c r="E946" s="22">
        <f>IF(D946="?OLD","!!!","")</f>
        <v/>
      </c>
      <c r="F946" s="23" t="str">
        <f>IF(OR(E946="",E946="!!!"),"",IF(NOT(ISNA(VLOOKUP(E946,E$1:E945,1,FALSE()))),"OLD",IF(AND(E946&lt;&gt;"",E946&lt;&gt;"!!!"),"NEW","")))</f>
        <v> </v>
      </c>
      <c r="G946" s="24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5" t="str">
        <f>IF(J946&lt;&gt;1,"",IF(I946="SBJ","CB","?"))</f>
        <v> </v>
      </c>
      <c r="I946" s="26" t="str">
        <f>IF(OR(E946="",E946="!!!",F946="NEW"),"",INDEX(B945:B$2,-1+SUMPRODUCT(MAX(ROW(E945:E$2)*(E946=E945:E$2)))))</f>
        <v> </v>
      </c>
      <c r="J946" s="26" t="str">
        <f>IF(OR(E946="",E946="!!!",F946="NEW"),"",COUNTBLANK(OFFSET(A$1,,,SUMPRODUCT(MAX(ROW(E$2:E946)*(E946=E$2:E946)))))-COUNTBLANK(OFFSET(A$1,,,SUMPRODUCT(MAX(ROW(E$1:E945)*(E2=E$1:E945))))))</f>
        <v> </v>
      </c>
      <c r="K946" s="26" t="str">
        <f>IF(OR(E946="",E946="!!!",F946="NEW"),"",INDEX(J$1:J945,SUMPRODUCT(MAX(ROW(E$1:E945)*(E946=E$1:E945)))))</f>
        <v> </v>
      </c>
      <c r="L946" s="27"/>
    </row>
    <row r="947" spans="1:12">
      <c r="A947" s="20" t="s">
        <v>736</v>
      </c>
      <c r="B947" s="21" t="s">
        <v>412</v>
      </c>
      <c r="C947" s="21" t="s">
        <v>430</v>
      </c>
      <c r="E947" s="22">
        <f>IF(D947="?OLD","!!!","")</f>
        <v/>
      </c>
      <c r="F947" s="23" t="str">
        <f>IF(OR(E947="",E947="!!!"),"",IF(NOT(ISNA(VLOOKUP(E947,E$1:E946,1,FALSE()))),"OLD",IF(AND(E947&lt;&gt;"",E947&lt;&gt;"!!!"),"NEW","")))</f>
        <v> </v>
      </c>
      <c r="G947" s="24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5" t="str">
        <f>IF(J947&lt;&gt;1,"",IF(I947="SBJ","CB","?"))</f>
        <v> </v>
      </c>
      <c r="I947" s="26" t="str">
        <f>IF(OR(E947="",E947="!!!",F947="NEW"),"",INDEX(B946:B$2,-1+SUMPRODUCT(MAX(ROW(E946:E$2)*(E947=E946:E$2)))))</f>
        <v> </v>
      </c>
      <c r="J947" s="26" t="str">
        <f>IF(OR(E947="",E947="!!!",F947="NEW"),"",COUNTBLANK(OFFSET(A$1,,,SUMPRODUCT(MAX(ROW(E$2:E947)*(E947=E$2:E947)))))-COUNTBLANK(OFFSET(A$1,,,SUMPRODUCT(MAX(ROW(E$1:E946)*(E2=E$1:E946))))))</f>
        <v> </v>
      </c>
      <c r="K947" s="26" t="str">
        <f>IF(OR(E947="",E947="!!!",F947="NEW"),"",INDEX(J$1:J946,SUMPRODUCT(MAX(ROW(E$1:E946)*(E947=E$1:E946)))))</f>
        <v> </v>
      </c>
      <c r="L947" s="27"/>
    </row>
    <row r="948" spans="1:12">
      <c r="A948" s="20" t="s">
        <v>543</v>
      </c>
      <c r="E948" s="22">
        <f>IF(D948="?OLD","!!!","")</f>
        <v/>
      </c>
      <c r="F948" s="23" t="str">
        <f>IF(OR(E948="",E948="!!!"),"",IF(NOT(ISNA(VLOOKUP(E948,E$1:E947,1,FALSE()))),"OLD",IF(AND(E948&lt;&gt;"",E948&lt;&gt;"!!!"),"NEW","")))</f>
        <v> </v>
      </c>
      <c r="G948" s="24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5" t="str">
        <f>IF(J948&lt;&gt;1,"",IF(I948="SBJ","CB","?"))</f>
        <v> </v>
      </c>
      <c r="I948" s="26" t="str">
        <f>IF(OR(E948="",E948="!!!",F948="NEW"),"",INDEX(B947:B$2,-1+SUMPRODUCT(MAX(ROW(E947:E$2)*(E948=E947:E$2)))))</f>
        <v> </v>
      </c>
      <c r="J948" s="26" t="str">
        <f>IF(OR(E948="",E948="!!!",F948="NEW"),"",COUNTBLANK(OFFSET(A$1,,,SUMPRODUCT(MAX(ROW(E$2:E948)*(E948=E$2:E948)))))-COUNTBLANK(OFFSET(A$1,,,SUMPRODUCT(MAX(ROW(E$1:E947)*(E2=E$1:E947))))))</f>
        <v> </v>
      </c>
      <c r="K948" s="26" t="str">
        <f>IF(OR(E948="",E948="!!!",F948="NEW"),"",INDEX(J$1:J947,SUMPRODUCT(MAX(ROW(E$1:E947)*(E948=E$1:E947)))))</f>
        <v> </v>
      </c>
      <c r="L948" s="27"/>
    </row>
    <row r="949" spans="1:12">
      <c r="A949" s="20" t="s">
        <v>94</v>
      </c>
      <c r="E949" s="22">
        <f>IF(D949="?OLD","!!!","")</f>
        <v/>
      </c>
      <c r="F949" s="23" t="str">
        <f>IF(OR(E949="",E949="!!!"),"",IF(NOT(ISNA(VLOOKUP(E949,E$1:E948,1,FALSE()))),"OLD",IF(AND(E949&lt;&gt;"",E949&lt;&gt;"!!!"),"NEW","")))</f>
        <v> </v>
      </c>
      <c r="G949" s="24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5" t="str">
        <f>IF(J949&lt;&gt;1,"",IF(I949="SBJ","CB","?"))</f>
        <v> </v>
      </c>
      <c r="I949" s="26" t="str">
        <f>IF(OR(E949="",E949="!!!",F949="NEW"),"",INDEX(B948:B$2,-1+SUMPRODUCT(MAX(ROW(E948:E$2)*(E949=E948:E$2)))))</f>
        <v> </v>
      </c>
      <c r="J949" s="26" t="str">
        <f>IF(OR(E949="",E949="!!!",F949="NEW"),"",COUNTBLANK(OFFSET(A$1,,,SUMPRODUCT(MAX(ROW(E$2:E949)*(E949=E$2:E949)))))-COUNTBLANK(OFFSET(A$1,,,SUMPRODUCT(MAX(ROW(E$1:E948)*(E2=E$1:E948))))))</f>
        <v> </v>
      </c>
      <c r="K949" s="26" t="str">
        <f>IF(OR(E949="",E949="!!!",F949="NEW"),"",INDEX(J$1:J948,SUMPRODUCT(MAX(ROW(E$1:E948)*(E949=E$1:E948)))))</f>
        <v> </v>
      </c>
      <c r="L949" s="27"/>
    </row>
    <row r="950" spans="1:12">
      <c r="A950" s="20"/>
    </row>
    <row r="951" spans="1:12">
      <c r="A951" s="20" t="s">
        <v>533</v>
      </c>
      <c r="E951" s="22">
        <f>IF(D951="?OLD","!!!","")</f>
        <v/>
      </c>
      <c r="F951" s="23" t="str">
        <f>IF(OR(E951="",E951="!!!"),"",IF(NOT(ISNA(VLOOKUP(E951,E$1:E950,1,FALSE()))),"OLD",IF(AND(E951&lt;&gt;"",E951&lt;&gt;"!!!"),"NEW","")))</f>
        <v> </v>
      </c>
      <c r="G951" s="24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5" t="str">
        <f>IF(J951&lt;&gt;1,"",IF(I951="SBJ","CB","?"))</f>
        <v> </v>
      </c>
      <c r="I951" s="26" t="str">
        <f>IF(OR(E951="",E951="!!!",F951="NEW"),"",INDEX(B950:B$2,-1+SUMPRODUCT(MAX(ROW(E950:E$2)*(E951=E950:E$2)))))</f>
        <v> </v>
      </c>
      <c r="J951" s="26" t="str">
        <f>IF(OR(E951="",E951="!!!",F951="NEW"),"",COUNTBLANK(OFFSET(A$1,,,SUMPRODUCT(MAX(ROW(E$2:E951)*(E951=E$2:E951)))))-COUNTBLANK(OFFSET(A$1,,,SUMPRODUCT(MAX(ROW(E$1:E950)*(E2=E$1:E950))))))</f>
        <v> </v>
      </c>
      <c r="K951" s="26" t="str">
        <f>IF(OR(E951="",E951="!!!",F951="NEW"),"",INDEX(J$1:J950,SUMPRODUCT(MAX(ROW(E$1:E950)*(E951=E$1:E950)))))</f>
        <v> </v>
      </c>
      <c r="L951" s="27"/>
    </row>
    <row r="952" spans="1:12">
      <c r="A952" s="20" t="s">
        <v>737</v>
      </c>
    </row>
    <row r="953" spans="1:12">
      <c r="A953" s="20" t="s">
        <v>721</v>
      </c>
      <c r="E953" s="22">
        <f>IF(D953="?OLD","!!!","")</f>
        <v/>
      </c>
      <c r="F953" s="23" t="str">
        <f>IF(OR(E953="",E953="!!!"),"",IF(NOT(ISNA(VLOOKUP(E953,E$1:E952,1,FALSE()))),"OLD",IF(AND(E953&lt;&gt;"",E953&lt;&gt;"!!!"),"NEW","")))</f>
        <v> </v>
      </c>
      <c r="G953" s="24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5" t="str">
        <f>IF(J953&lt;&gt;1,"",IF(I953="SBJ","CB","?"))</f>
        <v> </v>
      </c>
      <c r="I953" s="26" t="str">
        <f>IF(OR(E953="",E953="!!!",F953="NEW"),"",INDEX(B952:B$2,-1+SUMPRODUCT(MAX(ROW(E952:E$2)*(E953=E952:E$2)))))</f>
        <v> </v>
      </c>
      <c r="J953" s="26" t="str">
        <f>IF(OR(E953="",E953="!!!",F953="NEW"),"",COUNTBLANK(OFFSET(A$1,,,SUMPRODUCT(MAX(ROW(E$2:E953)*(E953=E$2:E953)))))-COUNTBLANK(OFFSET(A$1,,,SUMPRODUCT(MAX(ROW(E$1:E952)*(E2=E$1:E952))))))</f>
        <v> </v>
      </c>
      <c r="K953" s="26" t="str">
        <f>IF(OR(E953="",E953="!!!",F953="NEW"),"",INDEX(J$1:J952,SUMPRODUCT(MAX(ROW(E$1:E952)*(E953=E$1:E952)))))</f>
        <v> </v>
      </c>
      <c r="L953" s="27"/>
    </row>
    <row r="954" spans="1:12">
      <c r="A954" s="20" t="s">
        <v>453</v>
      </c>
      <c r="B954" s="21" t="s">
        <v>366</v>
      </c>
      <c r="C954" s="21" t="s">
        <v>367</v>
      </c>
      <c r="D954" s="21" t="s">
        <v>368</v>
      </c>
      <c r="E954" s="22">
        <f>IF(D954="?OLD","!!!","")</f>
        <v/>
      </c>
      <c r="F954" s="23" t="str">
        <f>IF(OR(E954="",E954="!!!"),"",IF(NOT(ISNA(VLOOKUP(E954,E$1:E953,1,FALSE()))),"OLD",IF(AND(E954&lt;&gt;"",E954&lt;&gt;"!!!"),"NEW","")))</f>
        <v> </v>
      </c>
      <c r="G954" s="24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5" t="str">
        <f>IF(J954&lt;&gt;1,"",IF(I954="SBJ","CB","?"))</f>
        <v> </v>
      </c>
      <c r="I954" s="26" t="str">
        <f>IF(OR(E954="",E954="!!!",F954="NEW"),"",INDEX(B953:B$2,-1+SUMPRODUCT(MAX(ROW(E953:E$2)*(E954=E953:E$2)))))</f>
        <v> </v>
      </c>
      <c r="J954" s="26" t="str">
        <f>IF(OR(E954="",E954="!!!",F954="NEW"),"",COUNTBLANK(OFFSET(A$1,,,SUMPRODUCT(MAX(ROW(E$2:E954)*(E954=E$2:E954)))))-COUNTBLANK(OFFSET(A$1,,,SUMPRODUCT(MAX(ROW(E$1:E953)*(E2=E$1:E953))))))</f>
        <v> </v>
      </c>
      <c r="K954" s="26" t="str">
        <f>IF(OR(E954="",E954="!!!",F954="NEW"),"",INDEX(J$1:J953,SUMPRODUCT(MAX(ROW(E$1:E953)*(E954=E$1:E953)))))</f>
        <v> </v>
      </c>
      <c r="L954" s="27"/>
    </row>
    <row r="955" spans="1:12">
      <c r="A955" s="20" t="s">
        <v>729</v>
      </c>
      <c r="E955" s="22">
        <f>IF(D955="?OLD","!!!","")</f>
        <v/>
      </c>
      <c r="F955" s="23" t="str">
        <f>IF(OR(E955="",E955="!!!"),"",IF(NOT(ISNA(VLOOKUP(E955,E$1:E954,1,FALSE()))),"OLD",IF(AND(E955&lt;&gt;"",E955&lt;&gt;"!!!"),"NEW","")))</f>
        <v> </v>
      </c>
      <c r="G955" s="24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5" t="str">
        <f>IF(J955&lt;&gt;1,"",IF(I955="SBJ","CB","?"))</f>
        <v> </v>
      </c>
      <c r="I955" s="26" t="str">
        <f>IF(OR(E955="",E955="!!!",F955="NEW"),"",INDEX(B954:B$2,-1+SUMPRODUCT(MAX(ROW(E954:E$2)*(E955=E954:E$2)))))</f>
        <v> </v>
      </c>
      <c r="J955" s="26" t="str">
        <f>IF(OR(E955="",E955="!!!",F955="NEW"),"",COUNTBLANK(OFFSET(A$1,,,SUMPRODUCT(MAX(ROW(E$2:E955)*(E955=E$2:E955)))))-COUNTBLANK(OFFSET(A$1,,,SUMPRODUCT(MAX(ROW(E$1:E954)*(E2=E$1:E954))))))</f>
        <v> </v>
      </c>
      <c r="K955" s="26" t="str">
        <f>IF(OR(E955="",E955="!!!",F955="NEW"),"",INDEX(J$1:J954,SUMPRODUCT(MAX(ROW(E$1:E954)*(E955=E$1:E954)))))</f>
        <v> </v>
      </c>
      <c r="L955" s="27"/>
    </row>
    <row r="956" spans="1:12">
      <c r="A956" s="20" t="s">
        <v>595</v>
      </c>
      <c r="E956" s="22">
        <f>IF(D956="?OLD","!!!","")</f>
        <v/>
      </c>
      <c r="F956" s="23" t="str">
        <f>IF(OR(E956="",E956="!!!"),"",IF(NOT(ISNA(VLOOKUP(E956,E$1:E955,1,FALSE()))),"OLD",IF(AND(E956&lt;&gt;"",E956&lt;&gt;"!!!"),"NEW","")))</f>
        <v> </v>
      </c>
      <c r="G956" s="24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5" t="str">
        <f>IF(J956&lt;&gt;1,"",IF(I956="SBJ","CB","?"))</f>
        <v> </v>
      </c>
      <c r="I956" s="26" t="str">
        <f>IF(OR(E956="",E956="!!!",F956="NEW"),"",INDEX(B955:B$2,-1+SUMPRODUCT(MAX(ROW(E955:E$2)*(E956=E955:E$2)))))</f>
        <v> </v>
      </c>
      <c r="J956" s="26" t="str">
        <f>IF(OR(E956="",E956="!!!",F956="NEW"),"",COUNTBLANK(OFFSET(A$1,,,SUMPRODUCT(MAX(ROW(E$2:E956)*(E956=E$2:E956)))))-COUNTBLANK(OFFSET(A$1,,,SUMPRODUCT(MAX(ROW(E$1:E955)*(E2=E$1:E955))))))</f>
        <v> </v>
      </c>
      <c r="K956" s="26" t="str">
        <f>IF(OR(E956="",E956="!!!",F956="NEW"),"",INDEX(J$1:J955,SUMPRODUCT(MAX(ROW(E$1:E955)*(E956=E$1:E955)))))</f>
        <v> </v>
      </c>
      <c r="L956" s="27"/>
    </row>
    <row r="957" spans="1:12">
      <c r="A957" s="20" t="s">
        <v>269</v>
      </c>
      <c r="E957" s="22">
        <f>IF(D957="?OLD","!!!","")</f>
        <v/>
      </c>
      <c r="F957" s="23" t="str">
        <f>IF(OR(E957="",E957="!!!"),"",IF(NOT(ISNA(VLOOKUP(E957,E$1:E956,1,FALSE()))),"OLD",IF(AND(E957&lt;&gt;"",E957&lt;&gt;"!!!"),"NEW","")))</f>
        <v> </v>
      </c>
      <c r="G957" s="24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5" t="str">
        <f>IF(J957&lt;&gt;1,"",IF(I957="SBJ","CB","?"))</f>
        <v> </v>
      </c>
      <c r="I957" s="26" t="str">
        <f>IF(OR(E957="",E957="!!!",F957="NEW"),"",INDEX(B956:B$2,-1+SUMPRODUCT(MAX(ROW(E956:E$2)*(E957=E956:E$2)))))</f>
        <v> </v>
      </c>
      <c r="J957" s="26" t="str">
        <f>IF(OR(E957="",E957="!!!",F957="NEW"),"",COUNTBLANK(OFFSET(A$1,,,SUMPRODUCT(MAX(ROW(E$2:E957)*(E957=E$2:E957)))))-COUNTBLANK(OFFSET(A$1,,,SUMPRODUCT(MAX(ROW(E$1:E956)*(E2=E$1:E956))))))</f>
        <v> </v>
      </c>
      <c r="K957" s="26" t="str">
        <f>IF(OR(E957="",E957="!!!",F957="NEW"),"",INDEX(J$1:J956,SUMPRODUCT(MAX(ROW(E$1:E956)*(E957=E$1:E956)))))</f>
        <v> </v>
      </c>
      <c r="L957" s="27"/>
    </row>
    <row r="958" spans="1:12">
      <c r="A958" s="20" t="s">
        <v>725</v>
      </c>
      <c r="E958" s="22">
        <f>IF(D958="?OLD","!!!","")</f>
        <v/>
      </c>
      <c r="F958" s="23" t="str">
        <f>IF(OR(E958="",E958="!!!"),"",IF(NOT(ISNA(VLOOKUP(E958,E$1:E957,1,FALSE()))),"OLD",IF(AND(E958&lt;&gt;"",E958&lt;&gt;"!!!"),"NEW","")))</f>
        <v> </v>
      </c>
      <c r="G958" s="24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5" t="str">
        <f>IF(J958&lt;&gt;1,"",IF(I958="SBJ","CB","?"))</f>
        <v> </v>
      </c>
      <c r="I958" s="26" t="str">
        <f>IF(OR(E958="",E958="!!!",F958="NEW"),"",INDEX(B957:B$2,-1+SUMPRODUCT(MAX(ROW(E957:E$2)*(E958=E957:E$2)))))</f>
        <v> </v>
      </c>
      <c r="J958" s="26" t="str">
        <f>IF(OR(E958="",E958="!!!",F958="NEW"),"",COUNTBLANK(OFFSET(A$1,,,SUMPRODUCT(MAX(ROW(E$2:E958)*(E958=E$2:E958)))))-COUNTBLANK(OFFSET(A$1,,,SUMPRODUCT(MAX(ROW(E$1:E957)*(E2=E$1:E957))))))</f>
        <v> </v>
      </c>
      <c r="K958" s="26" t="str">
        <f>IF(OR(E958="",E958="!!!",F958="NEW"),"",INDEX(J$1:J957,SUMPRODUCT(MAX(ROW(E$1:E957)*(E958=E$1:E957)))))</f>
        <v> </v>
      </c>
      <c r="L958" s="27"/>
    </row>
    <row r="959" spans="1:12">
      <c r="A959" s="20" t="s">
        <v>376</v>
      </c>
      <c r="E959" s="22">
        <f>IF(D959="?OLD","!!!","")</f>
        <v/>
      </c>
      <c r="F959" s="23" t="str">
        <f>IF(OR(E959="",E959="!!!"),"",IF(NOT(ISNA(VLOOKUP(E959,E$1:E958,1,FALSE()))),"OLD",IF(AND(E959&lt;&gt;"",E959&lt;&gt;"!!!"),"NEW","")))</f>
        <v> </v>
      </c>
      <c r="G959" s="24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5" t="str">
        <f>IF(J959&lt;&gt;1,"",IF(I959="SBJ","CB","?"))</f>
        <v> </v>
      </c>
      <c r="I959" s="26" t="str">
        <f>IF(OR(E959="",E959="!!!",F959="NEW"),"",INDEX(B958:B$2,-1+SUMPRODUCT(MAX(ROW(E958:E$2)*(E959=E958:E$2)))))</f>
        <v> </v>
      </c>
      <c r="J959" s="26" t="str">
        <f>IF(OR(E959="",E959="!!!",F959="NEW"),"",COUNTBLANK(OFFSET(A$1,,,SUMPRODUCT(MAX(ROW(E$2:E959)*(E959=E$2:E959)))))-COUNTBLANK(OFFSET(A$1,,,SUMPRODUCT(MAX(ROW(E$1:E958)*(E2=E$1:E958))))))</f>
        <v> </v>
      </c>
      <c r="K959" s="26" t="str">
        <f>IF(OR(E959="",E959="!!!",F959="NEW"),"",INDEX(J$1:J958,SUMPRODUCT(MAX(ROW(E$1:E958)*(E959=E$1:E958)))))</f>
        <v> </v>
      </c>
      <c r="L959" s="27"/>
    </row>
    <row r="960" spans="1:12">
      <c r="A960" s="20" t="s">
        <v>730</v>
      </c>
      <c r="B960" s="21" t="s">
        <v>412</v>
      </c>
      <c r="C960" s="21" t="s">
        <v>523</v>
      </c>
      <c r="D960" s="21" t="s">
        <v>368</v>
      </c>
      <c r="E960" s="22">
        <f>IF(D960="?OLD","!!!","")</f>
        <v/>
      </c>
      <c r="F960" s="23" t="str">
        <f>IF(OR(E960="",E960="!!!"),"",IF(NOT(ISNA(VLOOKUP(E960,E$1:E959,1,FALSE()))),"OLD",IF(AND(E960&lt;&gt;"",E960&lt;&gt;"!!!"),"NEW","")))</f>
        <v> </v>
      </c>
      <c r="G960" s="24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5" t="str">
        <f>IF(J960&lt;&gt;1,"",IF(I960="SBJ","CB","?"))</f>
        <v> </v>
      </c>
      <c r="I960" s="26" t="str">
        <f>IF(OR(E960="",E960="!!!",F960="NEW"),"",INDEX(B959:B$2,-1+SUMPRODUCT(MAX(ROW(E959:E$2)*(E960=E959:E$2)))))</f>
        <v> </v>
      </c>
      <c r="J960" s="26" t="str">
        <f>IF(OR(E960="",E960="!!!",F960="NEW"),"",COUNTBLANK(OFFSET(A$1,,,SUMPRODUCT(MAX(ROW(E$2:E960)*(E960=E$2:E960)))))-COUNTBLANK(OFFSET(A$1,,,SUMPRODUCT(MAX(ROW(E$1:E959)*(E2=E$1:E959))))))</f>
        <v> </v>
      </c>
      <c r="K960" s="26" t="str">
        <f>IF(OR(E960="",E960="!!!",F960="NEW"),"",INDEX(J$1:J959,SUMPRODUCT(MAX(ROW(E$1:E959)*(E960=E$1:E959)))))</f>
        <v> </v>
      </c>
      <c r="L960" s="27"/>
    </row>
    <row r="961" spans="1:12">
      <c r="A961" s="20" t="s">
        <v>75</v>
      </c>
      <c r="B961" s="21" t="s">
        <v>374</v>
      </c>
      <c r="C961" s="21" t="s">
        <v>430</v>
      </c>
      <c r="E961" s="22">
        <f>IF(D961="?OLD","!!!","")</f>
        <v/>
      </c>
      <c r="F961" s="23" t="str">
        <f>IF(OR(E961="",E961="!!!"),"",IF(NOT(ISNA(VLOOKUP(E961,E$1:E960,1,FALSE()))),"OLD",IF(AND(E961&lt;&gt;"",E961&lt;&gt;"!!!"),"NEW","")))</f>
        <v> </v>
      </c>
      <c r="G961" s="24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5" t="str">
        <f>IF(J961&lt;&gt;1,"",IF(I961="SBJ","CB","?"))</f>
        <v> </v>
      </c>
      <c r="I961" s="26" t="str">
        <f>IF(OR(E961="",E961="!!!",F961="NEW"),"",INDEX(B960:B$2,-1+SUMPRODUCT(MAX(ROW(E960:E$2)*(E961=E960:E$2)))))</f>
        <v> </v>
      </c>
      <c r="J961" s="26" t="str">
        <f>IF(OR(E961="",E961="!!!",F961="NEW"),"",COUNTBLANK(OFFSET(A$1,,,SUMPRODUCT(MAX(ROW(E$2:E961)*(E961=E$2:E961)))))-COUNTBLANK(OFFSET(A$1,,,SUMPRODUCT(MAX(ROW(E$1:E960)*(E2=E$1:E960))))))</f>
        <v> </v>
      </c>
      <c r="K961" s="26" t="str">
        <f>IF(OR(E961="",E961="!!!",F961="NEW"),"",INDEX(J$1:J960,SUMPRODUCT(MAX(ROW(E$1:E960)*(E961=E$1:E960)))))</f>
        <v> </v>
      </c>
      <c r="L961" s="27"/>
    </row>
    <row r="962" spans="1:12">
      <c r="A962" s="20" t="s">
        <v>409</v>
      </c>
      <c r="E962" s="22">
        <f>IF(D962="?OLD","!!!","")</f>
        <v/>
      </c>
      <c r="F962" s="23" t="str">
        <f>IF(OR(E962="",E962="!!!"),"",IF(NOT(ISNA(VLOOKUP(E962,E$1:E961,1,FALSE()))),"OLD",IF(AND(E962&lt;&gt;"",E962&lt;&gt;"!!!"),"NEW","")))</f>
        <v> </v>
      </c>
      <c r="G962" s="24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5" t="str">
        <f>IF(J962&lt;&gt;1,"",IF(I962="SBJ","CB","?"))</f>
        <v> </v>
      </c>
      <c r="I962" s="26" t="str">
        <f>IF(OR(E962="",E962="!!!",F962="NEW"),"",INDEX(B961:B$2,-1+SUMPRODUCT(MAX(ROW(E961:E$2)*(E962=E961:E$2)))))</f>
        <v> </v>
      </c>
      <c r="J962" s="26" t="str">
        <f>IF(OR(E962="",E962="!!!",F962="NEW"),"",COUNTBLANK(OFFSET(A$1,,,SUMPRODUCT(MAX(ROW(E$2:E962)*(E962=E$2:E962)))))-COUNTBLANK(OFFSET(A$1,,,SUMPRODUCT(MAX(ROW(E$1:E961)*(E2=E$1:E961))))))</f>
        <v> </v>
      </c>
      <c r="K962" s="26" t="str">
        <f>IF(OR(E962="",E962="!!!",F962="NEW"),"",INDEX(J$1:J961,SUMPRODUCT(MAX(ROW(E$1:E961)*(E962=E$1:E961)))))</f>
        <v> </v>
      </c>
      <c r="L962" s="27"/>
    </row>
    <row r="963" spans="1:12">
      <c r="A963" s="20" t="s">
        <v>94</v>
      </c>
      <c r="E963" s="22">
        <f>IF(D963="?OLD","!!!","")</f>
        <v/>
      </c>
      <c r="F963" s="23" t="str">
        <f>IF(OR(E963="",E963="!!!"),"",IF(NOT(ISNA(VLOOKUP(E963,E$1:E962,1,FALSE()))),"OLD",IF(AND(E963&lt;&gt;"",E963&lt;&gt;"!!!"),"NEW","")))</f>
        <v> </v>
      </c>
      <c r="G963" s="24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5" t="str">
        <f>IF(J963&lt;&gt;1,"",IF(I963="SBJ","CB","?"))</f>
        <v> </v>
      </c>
      <c r="I963" s="26" t="str">
        <f>IF(OR(E963="",E963="!!!",F963="NEW"),"",INDEX(B962:B$2,-1+SUMPRODUCT(MAX(ROW(E962:E$2)*(E963=E962:E$2)))))</f>
        <v> </v>
      </c>
      <c r="J963" s="26" t="str">
        <f>IF(OR(E963="",E963="!!!",F963="NEW"),"",COUNTBLANK(OFFSET(A$1,,,SUMPRODUCT(MAX(ROW(E$2:E963)*(E963=E$2:E963)))))-COUNTBLANK(OFFSET(A$1,,,SUMPRODUCT(MAX(ROW(E$1:E962)*(E2=E$1:E962))))))</f>
        <v> </v>
      </c>
      <c r="K963" s="26" t="str">
        <f>IF(OR(E963="",E963="!!!",F963="NEW"),"",INDEX(J$1:J962,SUMPRODUCT(MAX(ROW(E$1:E962)*(E963=E$1:E962)))))</f>
        <v> </v>
      </c>
      <c r="L963" s="27"/>
    </row>
    <row r="964" spans="1:12">
      <c r="A964" s="20"/>
    </row>
    <row r="965" spans="1:12">
      <c r="A965" s="20" t="s">
        <v>533</v>
      </c>
      <c r="E965" s="22">
        <f>IF(D965="?OLD","!!!","")</f>
        <v/>
      </c>
      <c r="F965" s="23" t="str">
        <f>IF(OR(E965="",E965="!!!"),"",IF(NOT(ISNA(VLOOKUP(E965,E$1:E964,1,FALSE()))),"OLD",IF(AND(E965&lt;&gt;"",E965&lt;&gt;"!!!"),"NEW","")))</f>
        <v> </v>
      </c>
      <c r="G965" s="24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5" t="str">
        <f>IF(J965&lt;&gt;1,"",IF(I965="SBJ","CB","?"))</f>
        <v> </v>
      </c>
      <c r="I965" s="26" t="str">
        <f>IF(OR(E965="",E965="!!!",F965="NEW"),"",INDEX(B964:B$2,-1+SUMPRODUCT(MAX(ROW(E964:E$2)*(E965=E964:E$2)))))</f>
        <v> </v>
      </c>
      <c r="J965" s="26" t="str">
        <f>IF(OR(E965="",E965="!!!",F965="NEW"),"",COUNTBLANK(OFFSET(A$1,,,SUMPRODUCT(MAX(ROW(E$2:E965)*(E965=E$2:E965)))))-COUNTBLANK(OFFSET(A$1,,,SUMPRODUCT(MAX(ROW(E$1:E964)*(E2=E$1:E964))))))</f>
        <v> </v>
      </c>
      <c r="K965" s="26" t="str">
        <f>IF(OR(E965="",E965="!!!",F965="NEW"),"",INDEX(J$1:J964,SUMPRODUCT(MAX(ROW(E$1:E964)*(E965=E$1:E964)))))</f>
        <v> </v>
      </c>
      <c r="L965" s="27"/>
    </row>
    <row r="966" spans="1:12">
      <c r="A966" s="20" t="s">
        <v>738</v>
      </c>
    </row>
    <row r="967" spans="1:12">
      <c r="A967" s="20" t="s">
        <v>170</v>
      </c>
      <c r="B967" s="21" t="s">
        <v>374</v>
      </c>
      <c r="C967" s="21" t="s">
        <v>430</v>
      </c>
      <c r="E967" s="22">
        <f>IF(D967="?OLD","!!!","")</f>
        <v/>
      </c>
      <c r="F967" s="23" t="str">
        <f>IF(OR(E967="",E967="!!!"),"",IF(NOT(ISNA(VLOOKUP(E967,E$1:E966,1,FALSE()))),"OLD",IF(AND(E967&lt;&gt;"",E967&lt;&gt;"!!!"),"NEW","")))</f>
        <v> </v>
      </c>
      <c r="G967" s="24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5" t="str">
        <f>IF(J967&lt;&gt;1,"",IF(I967="SBJ","CB","?"))</f>
        <v> </v>
      </c>
      <c r="I967" s="26" t="str">
        <f>IF(OR(E967="",E967="!!!",F967="NEW"),"",INDEX(B966:B$2,-1+SUMPRODUCT(MAX(ROW(E966:E$2)*(E967=E966:E$2)))))</f>
        <v> </v>
      </c>
      <c r="J967" s="26" t="str">
        <f>IF(OR(E967="",E967="!!!",F967="NEW"),"",COUNTBLANK(OFFSET(A$1,,,SUMPRODUCT(MAX(ROW(E$2:E967)*(E967=E$2:E967)))))-COUNTBLANK(OFFSET(A$1,,,SUMPRODUCT(MAX(ROW(E$1:E966)*(E2=E$1:E966))))))</f>
        <v> </v>
      </c>
      <c r="K967" s="26" t="str">
        <f>IF(OR(E967="",E967="!!!",F967="NEW"),"",INDEX(J$1:J966,SUMPRODUCT(MAX(ROW(E$1:E966)*(E967=E$1:E966)))))</f>
        <v> </v>
      </c>
      <c r="L967" s="27"/>
    </row>
    <row r="968" spans="1:12">
      <c r="A968" s="20" t="s">
        <v>376</v>
      </c>
      <c r="E968" s="22">
        <f>IF(D968="?OLD","!!!","")</f>
        <v/>
      </c>
      <c r="F968" s="23" t="str">
        <f>IF(OR(E968="",E968="!!!"),"",IF(NOT(ISNA(VLOOKUP(E968,E$1:E967,1,FALSE()))),"OLD",IF(AND(E968&lt;&gt;"",E968&lt;&gt;"!!!"),"NEW","")))</f>
        <v> </v>
      </c>
      <c r="G968" s="24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5" t="str">
        <f>IF(J968&lt;&gt;1,"",IF(I968="SBJ","CB","?"))</f>
        <v> </v>
      </c>
      <c r="I968" s="26" t="str">
        <f>IF(OR(E968="",E968="!!!",F968="NEW"),"",INDEX(B967:B$2,-1+SUMPRODUCT(MAX(ROW(E967:E$2)*(E968=E967:E$2)))))</f>
        <v> </v>
      </c>
      <c r="J968" s="26" t="str">
        <f>IF(OR(E968="",E968="!!!",F968="NEW"),"",COUNTBLANK(OFFSET(A$1,,,SUMPRODUCT(MAX(ROW(E$2:E968)*(E968=E$2:E968)))))-COUNTBLANK(OFFSET(A$1,,,SUMPRODUCT(MAX(ROW(E$1:E967)*(E2=E$1:E967))))))</f>
        <v> </v>
      </c>
      <c r="K968" s="26" t="str">
        <f>IF(OR(E968="",E968="!!!",F968="NEW"),"",INDEX(J$1:J967,SUMPRODUCT(MAX(ROW(E$1:E967)*(E968=E$1:E967)))))</f>
        <v> </v>
      </c>
      <c r="L968" s="27"/>
    </row>
    <row r="969" spans="1:12">
      <c r="A969" s="20" t="s">
        <v>713</v>
      </c>
      <c r="B969" s="21" t="s">
        <v>378</v>
      </c>
      <c r="C969" s="21" t="s">
        <v>434</v>
      </c>
      <c r="D969" s="21" t="s">
        <v>368</v>
      </c>
      <c r="E969" s="22">
        <f>IF(D969="?OLD","!!!","")</f>
        <v/>
      </c>
      <c r="F969" s="23" t="str">
        <f>IF(OR(E969="",E969="!!!"),"",IF(NOT(ISNA(VLOOKUP(E969,E$1:E968,1,FALSE()))),"OLD",IF(AND(E969&lt;&gt;"",E969&lt;&gt;"!!!"),"NEW","")))</f>
        <v> </v>
      </c>
      <c r="G969" s="24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5" t="str">
        <f>IF(J969&lt;&gt;1,"",IF(I969="SBJ","CB","?"))</f>
        <v> </v>
      </c>
      <c r="I969" s="26" t="str">
        <f>IF(OR(E969="",E969="!!!",F969="NEW"),"",INDEX(B968:B$2,-1+SUMPRODUCT(MAX(ROW(E968:E$2)*(E969=E968:E$2)))))</f>
        <v> </v>
      </c>
      <c r="J969" s="26" t="str">
        <f>IF(OR(E969="",E969="!!!",F969="NEW"),"",COUNTBLANK(OFFSET(A$1,,,SUMPRODUCT(MAX(ROW(E$2:E969)*(E969=E$2:E969)))))-COUNTBLANK(OFFSET(A$1,,,SUMPRODUCT(MAX(ROW(E$1:E968)*(E2=E$1:E968))))))</f>
        <v> </v>
      </c>
      <c r="K969" s="26" t="str">
        <f>IF(OR(E969="",E969="!!!",F969="NEW"),"",INDEX(J$1:J968,SUMPRODUCT(MAX(ROW(E$1:E968)*(E969=E$1:E968)))))</f>
        <v> </v>
      </c>
      <c r="L969" s="27"/>
    </row>
    <row r="970" spans="1:12">
      <c r="A970" s="20" t="s">
        <v>715</v>
      </c>
      <c r="E970" s="22">
        <f>IF(D970="?OLD","!!!","")</f>
        <v/>
      </c>
      <c r="F970" s="23" t="str">
        <f>IF(OR(E970="",E970="!!!"),"",IF(NOT(ISNA(VLOOKUP(E970,E$1:E969,1,FALSE()))),"OLD",IF(AND(E970&lt;&gt;"",E970&lt;&gt;"!!!"),"NEW","")))</f>
        <v> </v>
      </c>
      <c r="G970" s="24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5" t="str">
        <f>IF(J970&lt;&gt;1,"",IF(I970="SBJ","CB","?"))</f>
        <v> </v>
      </c>
      <c r="I970" s="26" t="str">
        <f>IF(OR(E970="",E970="!!!",F970="NEW"),"",INDEX(B969:B$2,-1+SUMPRODUCT(MAX(ROW(E969:E$2)*(E970=E969:E$2)))))</f>
        <v> </v>
      </c>
      <c r="J970" s="26" t="str">
        <f>IF(OR(E970="",E970="!!!",F970="NEW"),"",COUNTBLANK(OFFSET(A$1,,,SUMPRODUCT(MAX(ROW(E$2:E970)*(E970=E$2:E970)))))-COUNTBLANK(OFFSET(A$1,,,SUMPRODUCT(MAX(ROW(E$1:E969)*(E2=E$1:E969))))))</f>
        <v> </v>
      </c>
      <c r="K970" s="26" t="str">
        <f>IF(OR(E970="",E970="!!!",F970="NEW"),"",INDEX(J$1:J969,SUMPRODUCT(MAX(ROW(E$1:E969)*(E970=E$1:E969)))))</f>
        <v> </v>
      </c>
      <c r="L970" s="27"/>
    </row>
    <row r="971" spans="1:12">
      <c r="A971" s="20" t="s">
        <v>716</v>
      </c>
      <c r="B971" s="21" t="s">
        <v>404</v>
      </c>
      <c r="C971" s="21" t="s">
        <v>367</v>
      </c>
      <c r="D971" s="21" t="s">
        <v>368</v>
      </c>
      <c r="E971" s="22">
        <f>IF(D971="?OLD","!!!","")</f>
        <v/>
      </c>
      <c r="F971" s="23" t="str">
        <f>IF(OR(E971="",E971="!!!"),"",IF(NOT(ISNA(VLOOKUP(E971,E$1:E970,1,FALSE()))),"OLD",IF(AND(E971&lt;&gt;"",E971&lt;&gt;"!!!"),"NEW","")))</f>
        <v> </v>
      </c>
      <c r="G971" s="24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5" t="str">
        <f>IF(J971&lt;&gt;1,"",IF(I971="SBJ","CB","?"))</f>
        <v> </v>
      </c>
      <c r="I971" s="26" t="str">
        <f>IF(OR(E971="",E971="!!!",F971="NEW"),"",INDEX(B970:B$2,-1+SUMPRODUCT(MAX(ROW(E970:E$2)*(E971=E970:E$2)))))</f>
        <v> </v>
      </c>
      <c r="J971" s="26" t="str">
        <f>IF(OR(E971="",E971="!!!",F971="NEW"),"",COUNTBLANK(OFFSET(A$1,,,SUMPRODUCT(MAX(ROW(E$2:E971)*(E971=E$2:E971)))))-COUNTBLANK(OFFSET(A$1,,,SUMPRODUCT(MAX(ROW(E$1:E970)*(E2=E$1:E970))))))</f>
        <v> </v>
      </c>
      <c r="K971" s="26" t="str">
        <f>IF(OR(E971="",E971="!!!",F971="NEW"),"",INDEX(J$1:J970,SUMPRODUCT(MAX(ROW(E$1:E970)*(E971=E$1:E970)))))</f>
        <v> </v>
      </c>
      <c r="L971" s="27"/>
    </row>
    <row r="972" spans="1:12">
      <c r="A972" s="20" t="s">
        <v>717</v>
      </c>
      <c r="E972" s="22">
        <f>IF(D972="?OLD","!!!","")</f>
        <v/>
      </c>
      <c r="F972" s="23" t="str">
        <f>IF(OR(E972="",E972="!!!"),"",IF(NOT(ISNA(VLOOKUP(E972,E$1:E971,1,FALSE()))),"OLD",IF(AND(E972&lt;&gt;"",E972&lt;&gt;"!!!"),"NEW","")))</f>
        <v> </v>
      </c>
      <c r="G972" s="24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5" t="str">
        <f>IF(J972&lt;&gt;1,"",IF(I972="SBJ","CB","?"))</f>
        <v> </v>
      </c>
      <c r="I972" s="26" t="str">
        <f>IF(OR(E972="",E972="!!!",F972="NEW"),"",INDEX(B971:B$2,-1+SUMPRODUCT(MAX(ROW(E971:E$2)*(E972=E971:E$2)))))</f>
        <v> </v>
      </c>
      <c r="J972" s="26" t="str">
        <f>IF(OR(E972="",E972="!!!",F972="NEW"),"",COUNTBLANK(OFFSET(A$1,,,SUMPRODUCT(MAX(ROW(E$2:E972)*(E972=E$2:E972)))))-COUNTBLANK(OFFSET(A$1,,,SUMPRODUCT(MAX(ROW(E$1:E971)*(E2=E$1:E971))))))</f>
        <v> </v>
      </c>
      <c r="K972" s="26" t="str">
        <f>IF(OR(E972="",E972="!!!",F972="NEW"),"",INDEX(J$1:J971,SUMPRODUCT(MAX(ROW(E$1:E971)*(E972=E$1:E971)))))</f>
        <v> </v>
      </c>
      <c r="L972" s="27"/>
    </row>
    <row r="973" spans="1:12">
      <c r="A973" s="20" t="s">
        <v>489</v>
      </c>
      <c r="E973" s="22">
        <f>IF(D973="?OLD","!!!","")</f>
        <v/>
      </c>
      <c r="F973" s="23" t="str">
        <f>IF(OR(E973="",E973="!!!"),"",IF(NOT(ISNA(VLOOKUP(E973,E$1:E972,1,FALSE()))),"OLD",IF(AND(E973&lt;&gt;"",E973&lt;&gt;"!!!"),"NEW","")))</f>
        <v> </v>
      </c>
      <c r="G973" s="24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5" t="str">
        <f>IF(J973&lt;&gt;1,"",IF(I973="SBJ","CB","?"))</f>
        <v> </v>
      </c>
      <c r="I973" s="26" t="str">
        <f>IF(OR(E973="",E973="!!!",F973="NEW"),"",INDEX(B972:B$2,-1+SUMPRODUCT(MAX(ROW(E972:E$2)*(E973=E972:E$2)))))</f>
        <v> </v>
      </c>
      <c r="J973" s="26" t="str">
        <f>IF(OR(E973="",E973="!!!",F973="NEW"),"",COUNTBLANK(OFFSET(A$1,,,SUMPRODUCT(MAX(ROW(E$2:E973)*(E973=E$2:E973)))))-COUNTBLANK(OFFSET(A$1,,,SUMPRODUCT(MAX(ROW(E$1:E972)*(E2=E$1:E972))))))</f>
        <v> </v>
      </c>
      <c r="K973" s="26" t="str">
        <f>IF(OR(E973="",E973="!!!",F973="NEW"),"",INDEX(J$1:J972,SUMPRODUCT(MAX(ROW(E$1:E972)*(E973=E$1:E972)))))</f>
        <v> </v>
      </c>
      <c r="L973" s="27"/>
    </row>
    <row r="974" spans="1:12">
      <c r="A974" s="20" t="s">
        <v>739</v>
      </c>
      <c r="B974" s="21" t="s">
        <v>412</v>
      </c>
      <c r="C974" s="21" t="s">
        <v>430</v>
      </c>
      <c r="E974" s="22">
        <f>IF(D974="?OLD","!!!","")</f>
        <v/>
      </c>
      <c r="F974" s="23" t="str">
        <f>IF(OR(E974="",E974="!!!"),"",IF(NOT(ISNA(VLOOKUP(E974,E$1:E973,1,FALSE()))),"OLD",IF(AND(E974&lt;&gt;"",E974&lt;&gt;"!!!"),"NEW","")))</f>
        <v> </v>
      </c>
      <c r="G974" s="24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5" t="str">
        <f>IF(J974&lt;&gt;1,"",IF(I974="SBJ","CB","?"))</f>
        <v> </v>
      </c>
      <c r="I974" s="26" t="str">
        <f>IF(OR(E974="",E974="!!!",F974="NEW"),"",INDEX(B973:B$2,-1+SUMPRODUCT(MAX(ROW(E973:E$2)*(E974=E973:E$2)))))</f>
        <v> </v>
      </c>
      <c r="J974" s="26" t="str">
        <f>IF(OR(E974="",E974="!!!",F974="NEW"),"",COUNTBLANK(OFFSET(A$1,,,SUMPRODUCT(MAX(ROW(E$2:E974)*(E974=E$2:E974)))))-COUNTBLANK(OFFSET(A$1,,,SUMPRODUCT(MAX(ROW(E$1:E973)*(E2=E$1:E973))))))</f>
        <v> </v>
      </c>
      <c r="K974" s="26" t="str">
        <f>IF(OR(E974="",E974="!!!",F974="NEW"),"",INDEX(J$1:J973,SUMPRODUCT(MAX(ROW(E$1:E973)*(E974=E$1:E973)))))</f>
        <v> </v>
      </c>
      <c r="L974" s="27"/>
    </row>
    <row r="975" spans="1:12">
      <c r="A975" s="20" t="s">
        <v>543</v>
      </c>
      <c r="E975" s="22">
        <f>IF(D975="?OLD","!!!","")</f>
        <v/>
      </c>
      <c r="F975" s="23" t="str">
        <f>IF(OR(E975="",E975="!!!"),"",IF(NOT(ISNA(VLOOKUP(E975,E$1:E974,1,FALSE()))),"OLD",IF(AND(E975&lt;&gt;"",E975&lt;&gt;"!!!"),"NEW","")))</f>
        <v> </v>
      </c>
      <c r="G975" s="24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5" t="str">
        <f>IF(J975&lt;&gt;1,"",IF(I975="SBJ","CB","?"))</f>
        <v> </v>
      </c>
      <c r="I975" s="26" t="str">
        <f>IF(OR(E975="",E975="!!!",F975="NEW"),"",INDEX(B974:B$2,-1+SUMPRODUCT(MAX(ROW(E974:E$2)*(E975=E974:E$2)))))</f>
        <v> </v>
      </c>
      <c r="J975" s="26" t="str">
        <f>IF(OR(E975="",E975="!!!",F975="NEW"),"",COUNTBLANK(OFFSET(A$1,,,SUMPRODUCT(MAX(ROW(E$2:E975)*(E975=E$2:E975)))))-COUNTBLANK(OFFSET(A$1,,,SUMPRODUCT(MAX(ROW(E$1:E974)*(E2=E$1:E974))))))</f>
        <v> </v>
      </c>
      <c r="K975" s="26" t="str">
        <f>IF(OR(E975="",E975="!!!",F975="NEW"),"",INDEX(J$1:J974,SUMPRODUCT(MAX(ROW(E$1:E974)*(E975=E$1:E974)))))</f>
        <v> </v>
      </c>
      <c r="L975" s="27"/>
    </row>
    <row r="976" spans="1:12">
      <c r="A976" s="20" t="s">
        <v>94</v>
      </c>
      <c r="E976" s="22">
        <f>IF(D976="?OLD","!!!","")</f>
        <v/>
      </c>
      <c r="F976" s="23" t="str">
        <f>IF(OR(E976="",E976="!!!"),"",IF(NOT(ISNA(VLOOKUP(E976,E$1:E975,1,FALSE()))),"OLD",IF(AND(E976&lt;&gt;"",E976&lt;&gt;"!!!"),"NEW","")))</f>
        <v> </v>
      </c>
      <c r="G976" s="24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5" t="str">
        <f>IF(J976&lt;&gt;1,"",IF(I976="SBJ","CB","?"))</f>
        <v> </v>
      </c>
      <c r="I976" s="26" t="str">
        <f>IF(OR(E976="",E976="!!!",F976="NEW"),"",INDEX(B975:B$2,-1+SUMPRODUCT(MAX(ROW(E975:E$2)*(E976=E975:E$2)))))</f>
        <v> </v>
      </c>
      <c r="J976" s="26" t="str">
        <f>IF(OR(E976="",E976="!!!",F976="NEW"),"",COUNTBLANK(OFFSET(A$1,,,SUMPRODUCT(MAX(ROW(E$2:E976)*(E976=E$2:E976)))))-COUNTBLANK(OFFSET(A$1,,,SUMPRODUCT(MAX(ROW(E$1:E975)*(E2=E$1:E975))))))</f>
        <v> </v>
      </c>
      <c r="K976" s="26" t="str">
        <f>IF(OR(E976="",E976="!!!",F976="NEW"),"",INDEX(J$1:J975,SUMPRODUCT(MAX(ROW(E$1:E975)*(E976=E$1:E975)))))</f>
        <v> </v>
      </c>
      <c r="L976" s="27"/>
    </row>
    <row r="977" spans="1:12">
      <c r="A977" s="20"/>
    </row>
    <row r="978" spans="1:12">
      <c r="A978" s="20" t="s">
        <v>740</v>
      </c>
    </row>
    <row r="979" spans="1:12">
      <c r="A979" s="20" t="s">
        <v>741</v>
      </c>
      <c r="E979" s="22">
        <f>IF(D979="?OLD","!!!","")</f>
        <v/>
      </c>
      <c r="F979" s="23" t="str">
        <f>IF(OR(E979="",E979="!!!"),"",IF(NOT(ISNA(VLOOKUP(E979,E$1:E978,1,FALSE()))),"OLD",IF(AND(E979&lt;&gt;"",E979&lt;&gt;"!!!"),"NEW","")))</f>
        <v> </v>
      </c>
      <c r="G979" s="24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5" t="str">
        <f>IF(J979&lt;&gt;1,"",IF(I979="SBJ","CB","?"))</f>
        <v> </v>
      </c>
      <c r="I979" s="26" t="str">
        <f>IF(OR(E979="",E979="!!!",F979="NEW"),"",INDEX(B978:B$2,-1+SUMPRODUCT(MAX(ROW(E978:E$2)*(E979=E978:E$2)))))</f>
        <v> </v>
      </c>
      <c r="J979" s="26" t="str">
        <f>IF(OR(E979="",E979="!!!",F979="NEW"),"",COUNTBLANK(OFFSET(A$1,,,SUMPRODUCT(MAX(ROW(E$2:E979)*(E979=E$2:E979)))))-COUNTBLANK(OFFSET(A$1,,,SUMPRODUCT(MAX(ROW(E$1:E978)*(E2=E$1:E978))))))</f>
        <v> </v>
      </c>
      <c r="K979" s="26" t="str">
        <f>IF(OR(E979="",E979="!!!",F979="NEW"),"",INDEX(J$1:J978,SUMPRODUCT(MAX(ROW(E$1:E978)*(E979=E$1:E978)))))</f>
        <v> </v>
      </c>
      <c r="L979" s="27"/>
    </row>
    <row r="980" spans="1:12">
      <c r="A980" s="20" t="s">
        <v>722</v>
      </c>
      <c r="B980" s="21" t="s">
        <v>419</v>
      </c>
      <c r="E980" s="22">
        <f>IF(D980="?OLD","!!!","")</f>
        <v/>
      </c>
      <c r="F980" s="23" t="str">
        <f>IF(OR(E980="",E980="!!!"),"",IF(NOT(ISNA(VLOOKUP(E980,E$1:E979,1,FALSE()))),"OLD",IF(AND(E980&lt;&gt;"",E980&lt;&gt;"!!!"),"NEW","")))</f>
        <v> </v>
      </c>
      <c r="G980" s="24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5" t="str">
        <f>IF(J980&lt;&gt;1,"",IF(I980="SBJ","CB","?"))</f>
        <v> </v>
      </c>
      <c r="I980" s="26" t="str">
        <f>IF(OR(E980="",E980="!!!",F980="NEW"),"",INDEX(B979:B$2,-1+SUMPRODUCT(MAX(ROW(E979:E$2)*(E980=E979:E$2)))))</f>
        <v> </v>
      </c>
      <c r="J980" s="26" t="str">
        <f>IF(OR(E980="",E980="!!!",F980="NEW"),"",COUNTBLANK(OFFSET(A$1,,,SUMPRODUCT(MAX(ROW(E$2:E980)*(E980=E$2:E980)))))-COUNTBLANK(OFFSET(A$1,,,SUMPRODUCT(MAX(ROW(E$1:E979)*(E2=E$1:E979))))))</f>
        <v> </v>
      </c>
      <c r="K980" s="26" t="str">
        <f>IF(OR(E980="",E980="!!!",F980="NEW"),"",INDEX(J$1:J979,SUMPRODUCT(MAX(ROW(E$1:E979)*(E980=E$1:E979)))))</f>
        <v> </v>
      </c>
      <c r="L980" s="27"/>
    </row>
    <row r="981" spans="1:12">
      <c r="A981" s="20" t="s">
        <v>595</v>
      </c>
      <c r="E981" s="22">
        <f>IF(D981="?OLD","!!!","")</f>
        <v/>
      </c>
      <c r="F981" s="23" t="str">
        <f>IF(OR(E981="",E981="!!!"),"",IF(NOT(ISNA(VLOOKUP(E981,E$1:E980,1,FALSE()))),"OLD",IF(AND(E981&lt;&gt;"",E981&lt;&gt;"!!!"),"NEW","")))</f>
        <v> </v>
      </c>
      <c r="G981" s="24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5" t="str">
        <f>IF(J981&lt;&gt;1,"",IF(I981="SBJ","CB","?"))</f>
        <v> </v>
      </c>
      <c r="I981" s="26" t="str">
        <f>IF(OR(E981="",E981="!!!",F981="NEW"),"",INDEX(B980:B$2,-1+SUMPRODUCT(MAX(ROW(E980:E$2)*(E981=E980:E$2)))))</f>
        <v> </v>
      </c>
      <c r="J981" s="26" t="str">
        <f>IF(OR(E981="",E981="!!!",F981="NEW"),"",COUNTBLANK(OFFSET(A$1,,,SUMPRODUCT(MAX(ROW(E$2:E981)*(E981=E$2:E981)))))-COUNTBLANK(OFFSET(A$1,,,SUMPRODUCT(MAX(ROW(E$1:E980)*(E2=E$1:E980))))))</f>
        <v> </v>
      </c>
      <c r="K981" s="26" t="str">
        <f>IF(OR(E981="",E981="!!!",F981="NEW"),"",INDEX(J$1:J980,SUMPRODUCT(MAX(ROW(E$1:E980)*(E981=E$1:E980)))))</f>
        <v> </v>
      </c>
      <c r="L981" s="27"/>
    </row>
    <row r="982" spans="1:12">
      <c r="A982" s="20" t="s">
        <v>440</v>
      </c>
      <c r="E982" s="22">
        <f>IF(D982="?OLD","!!!","")</f>
        <v/>
      </c>
      <c r="F982" s="23" t="str">
        <f>IF(OR(E982="",E982="!!!"),"",IF(NOT(ISNA(VLOOKUP(E982,E$1:E981,1,FALSE()))),"OLD",IF(AND(E982&lt;&gt;"",E982&lt;&gt;"!!!"),"NEW","")))</f>
        <v> </v>
      </c>
      <c r="G982" s="24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5" t="str">
        <f>IF(J982&lt;&gt;1,"",IF(I982="SBJ","CB","?"))</f>
        <v> </v>
      </c>
      <c r="I982" s="26" t="str">
        <f>IF(OR(E982="",E982="!!!",F982="NEW"),"",INDEX(B981:B$2,-1+SUMPRODUCT(MAX(ROW(E981:E$2)*(E982=E981:E$2)))))</f>
        <v> </v>
      </c>
      <c r="J982" s="26" t="str">
        <f>IF(OR(E982="",E982="!!!",F982="NEW"),"",COUNTBLANK(OFFSET(A$1,,,SUMPRODUCT(MAX(ROW(E$2:E982)*(E982=E$2:E982)))))-COUNTBLANK(OFFSET(A$1,,,SUMPRODUCT(MAX(ROW(E$1:E981)*(E2=E$1:E981))))))</f>
        <v> </v>
      </c>
      <c r="K982" s="26" t="str">
        <f>IF(OR(E982="",E982="!!!",F982="NEW"),"",INDEX(J$1:J981,SUMPRODUCT(MAX(ROW(E$1:E981)*(E982=E$1:E981)))))</f>
        <v> </v>
      </c>
      <c r="L982" s="27"/>
    </row>
    <row r="983" spans="1:12">
      <c r="A983" s="20" t="s">
        <v>307</v>
      </c>
      <c r="E983" s="22">
        <f>IF(D983="?OLD","!!!","")</f>
        <v/>
      </c>
      <c r="F983" s="23" t="str">
        <f>IF(OR(E983="",E983="!!!"),"",IF(NOT(ISNA(VLOOKUP(E983,E$1:E982,1,FALSE()))),"OLD",IF(AND(E983&lt;&gt;"",E983&lt;&gt;"!!!"),"NEW","")))</f>
        <v> </v>
      </c>
      <c r="G983" s="24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5" t="str">
        <f>IF(J983&lt;&gt;1,"",IF(I983="SBJ","CB","?"))</f>
        <v> </v>
      </c>
      <c r="I983" s="26" t="str">
        <f>IF(OR(E983="",E983="!!!",F983="NEW"),"",INDEX(B982:B$2,-1+SUMPRODUCT(MAX(ROW(E982:E$2)*(E983=E982:E$2)))))</f>
        <v> </v>
      </c>
      <c r="J983" s="26" t="str">
        <f>IF(OR(E983="",E983="!!!",F983="NEW"),"",COUNTBLANK(OFFSET(A$1,,,SUMPRODUCT(MAX(ROW(E$2:E983)*(E983=E$2:E983)))))-COUNTBLANK(OFFSET(A$1,,,SUMPRODUCT(MAX(ROW(E$1:E982)*(E2=E$1:E982))))))</f>
        <v> </v>
      </c>
      <c r="K983" s="26" t="str">
        <f>IF(OR(E983="",E983="!!!",F983="NEW"),"",INDEX(J$1:J982,SUMPRODUCT(MAX(ROW(E$1:E982)*(E983=E$1:E982)))))</f>
        <v> </v>
      </c>
      <c r="L983" s="27"/>
    </row>
    <row r="984" spans="1:12">
      <c r="A984" s="20" t="s">
        <v>409</v>
      </c>
      <c r="E984" s="22">
        <f>IF(D984="?OLD","!!!","")</f>
        <v/>
      </c>
      <c r="F984" s="23" t="str">
        <f>IF(OR(E984="",E984="!!!"),"",IF(NOT(ISNA(VLOOKUP(E984,E$1:E983,1,FALSE()))),"OLD",IF(AND(E984&lt;&gt;"",E984&lt;&gt;"!!!"),"NEW","")))</f>
        <v> </v>
      </c>
      <c r="G984" s="24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5" t="str">
        <f>IF(J984&lt;&gt;1,"",IF(I984="SBJ","CB","?"))</f>
        <v> </v>
      </c>
      <c r="I984" s="26" t="str">
        <f>IF(OR(E984="",E984="!!!",F984="NEW"),"",INDEX(B983:B$2,-1+SUMPRODUCT(MAX(ROW(E983:E$2)*(E984=E983:E$2)))))</f>
        <v> </v>
      </c>
      <c r="J984" s="26" t="str">
        <f>IF(OR(E984="",E984="!!!",F984="NEW"),"",COUNTBLANK(OFFSET(A$1,,,SUMPRODUCT(MAX(ROW(E$2:E984)*(E984=E$2:E984)))))-COUNTBLANK(OFFSET(A$1,,,SUMPRODUCT(MAX(ROW(E$1:E983)*(E2=E$1:E983))))))</f>
        <v> </v>
      </c>
      <c r="K984" s="26" t="str">
        <f>IF(OR(E984="",E984="!!!",F984="NEW"),"",INDEX(J$1:J983,SUMPRODUCT(MAX(ROW(E$1:E983)*(E984=E$1:E983)))))</f>
        <v> </v>
      </c>
      <c r="L984" s="27"/>
    </row>
    <row r="985" spans="1:12">
      <c r="A985" s="20"/>
    </row>
    <row r="986" spans="1:12">
      <c r="A986" s="20" t="s">
        <v>533</v>
      </c>
      <c r="E986" s="22">
        <f>IF(D986="?OLD","!!!","")</f>
        <v/>
      </c>
      <c r="F986" s="23" t="str">
        <f>IF(OR(E986="",E986="!!!"),"",IF(NOT(ISNA(VLOOKUP(E986,E$1:E985,1,FALSE()))),"OLD",IF(AND(E986&lt;&gt;"",E986&lt;&gt;"!!!"),"NEW","")))</f>
        <v> </v>
      </c>
      <c r="G986" s="24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5" t="str">
        <f>IF(J986&lt;&gt;1,"",IF(I986="SBJ","CB","?"))</f>
        <v> </v>
      </c>
      <c r="I986" s="26" t="str">
        <f>IF(OR(E986="",E986="!!!",F986="NEW"),"",INDEX(B985:B$2,-1+SUMPRODUCT(MAX(ROW(E985:E$2)*(E986=E985:E$2)))))</f>
        <v> </v>
      </c>
      <c r="J986" s="26" t="str">
        <f>IF(OR(E986="",E986="!!!",F986="NEW"),"",COUNTBLANK(OFFSET(A$1,,,SUMPRODUCT(MAX(ROW(E$2:E986)*(E986=E$2:E986)))))-COUNTBLANK(OFFSET(A$1,,,SUMPRODUCT(MAX(ROW(E$1:E985)*(E2=E$1:E985))))))</f>
        <v> </v>
      </c>
      <c r="K986" s="26" t="str">
        <f>IF(OR(E986="",E986="!!!",F986="NEW"),"",INDEX(J$1:J985,SUMPRODUCT(MAX(ROW(E$1:E985)*(E986=E$1:E985)))))</f>
        <v> </v>
      </c>
      <c r="L986" s="27"/>
    </row>
    <row r="987" spans="1:12">
      <c r="A987" s="20" t="s">
        <v>742</v>
      </c>
    </row>
    <row r="988" spans="1:12">
      <c r="A988" s="20" t="s">
        <v>94</v>
      </c>
      <c r="E988" s="22">
        <f>IF(D988="?OLD","!!!","")</f>
        <v/>
      </c>
      <c r="F988" s="23" t="str">
        <f>IF(OR(E988="",E988="!!!"),"",IF(NOT(ISNA(VLOOKUP(E988,E$1:E987,1,FALSE()))),"OLD",IF(AND(E988&lt;&gt;"",E988&lt;&gt;"!!!"),"NEW","")))</f>
        <v> </v>
      </c>
      <c r="G988" s="24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5" t="str">
        <f>IF(J988&lt;&gt;1,"",IF(I988="SBJ","CB","?"))</f>
        <v> </v>
      </c>
      <c r="I988" s="26" t="str">
        <f>IF(OR(E988="",E988="!!!",F988="NEW"),"",INDEX(B987:B$2,-1+SUMPRODUCT(MAX(ROW(E987:E$2)*(E988=E987:E$2)))))</f>
        <v> </v>
      </c>
      <c r="J988" s="26" t="str">
        <f>IF(OR(E988="",E988="!!!",F988="NEW"),"",COUNTBLANK(OFFSET(A$1,,,SUMPRODUCT(MAX(ROW(E$2:E988)*(E988=E$2:E988)))))-COUNTBLANK(OFFSET(A$1,,,SUMPRODUCT(MAX(ROW(E$1:E987)*(E2=E$1:E987))))))</f>
        <v> </v>
      </c>
      <c r="K988" s="26" t="str">
        <f>IF(OR(E988="",E988="!!!",F988="NEW"),"",INDEX(J$1:J987,SUMPRODUCT(MAX(ROW(E$1:E987)*(E988=E$1:E987)))))</f>
        <v> </v>
      </c>
      <c r="L988" s="27"/>
    </row>
    <row r="989" spans="1:12">
      <c r="A989" s="20" t="s">
        <v>743</v>
      </c>
      <c r="E989" s="22">
        <f>IF(D989="?OLD","!!!","")</f>
        <v/>
      </c>
      <c r="F989" s="23" t="str">
        <f>IF(OR(E989="",E989="!!!"),"",IF(NOT(ISNA(VLOOKUP(E989,E$1:E988,1,FALSE()))),"OLD",IF(AND(E989&lt;&gt;"",E989&lt;&gt;"!!!"),"NEW","")))</f>
        <v> </v>
      </c>
      <c r="G989" s="24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5" t="str">
        <f>IF(J989&lt;&gt;1,"",IF(I989="SBJ","CB","?"))</f>
        <v> </v>
      </c>
      <c r="I989" s="26" t="str">
        <f>IF(OR(E989="",E989="!!!",F989="NEW"),"",INDEX(B988:B$2,-1+SUMPRODUCT(MAX(ROW(E988:E$2)*(E989=E988:E$2)))))</f>
        <v> </v>
      </c>
      <c r="J989" s="26" t="str">
        <f>IF(OR(E989="",E989="!!!",F989="NEW"),"",COUNTBLANK(OFFSET(A$1,,,SUMPRODUCT(MAX(ROW(E$2:E989)*(E989=E$2:E989)))))-COUNTBLANK(OFFSET(A$1,,,SUMPRODUCT(MAX(ROW(E$1:E988)*(E2=E$1:E988))))))</f>
        <v> </v>
      </c>
      <c r="K989" s="26" t="str">
        <f>IF(OR(E989="",E989="!!!",F989="NEW"),"",INDEX(J$1:J988,SUMPRODUCT(MAX(ROW(E$1:E988)*(E989=E$1:E988)))))</f>
        <v> </v>
      </c>
      <c r="L989" s="27"/>
    </row>
    <row r="990" spans="1:12">
      <c r="A990" s="20" t="s">
        <v>682</v>
      </c>
      <c r="E990" s="22">
        <f>IF(D990="?OLD","!!!","")</f>
        <v/>
      </c>
      <c r="F990" s="23" t="str">
        <f>IF(OR(E990="",E990="!!!"),"",IF(NOT(ISNA(VLOOKUP(E990,E$1:E989,1,FALSE()))),"OLD",IF(AND(E990&lt;&gt;"",E990&lt;&gt;"!!!"),"NEW","")))</f>
        <v> </v>
      </c>
      <c r="G990" s="24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5" t="str">
        <f>IF(J990&lt;&gt;1,"",IF(I990="SBJ","CB","?"))</f>
        <v> </v>
      </c>
      <c r="I990" s="26" t="str">
        <f>IF(OR(E990="",E990="!!!",F990="NEW"),"",INDEX(B989:B$2,-1+SUMPRODUCT(MAX(ROW(E989:E$2)*(E990=E989:E$2)))))</f>
        <v> </v>
      </c>
      <c r="J990" s="26" t="str">
        <f>IF(OR(E990="",E990="!!!",F990="NEW"),"",COUNTBLANK(OFFSET(A$1,,,SUMPRODUCT(MAX(ROW(E$2:E990)*(E990=E$2:E990)))))-COUNTBLANK(OFFSET(A$1,,,SUMPRODUCT(MAX(ROW(E$1:E989)*(E2=E$1:E989))))))</f>
        <v> </v>
      </c>
      <c r="K990" s="26" t="str">
        <f>IF(OR(E990="",E990="!!!",F990="NEW"),"",INDEX(J$1:J989,SUMPRODUCT(MAX(ROW(E$1:E989)*(E990=E$1:E989)))))</f>
        <v> </v>
      </c>
      <c r="L990" s="27"/>
    </row>
    <row r="991" spans="1:12">
      <c r="A991" s="20" t="s">
        <v>188</v>
      </c>
      <c r="B991" s="21" t="s">
        <v>366</v>
      </c>
      <c r="C991" s="21" t="s">
        <v>367</v>
      </c>
      <c r="D991" s="21" t="s">
        <v>368</v>
      </c>
      <c r="E991" s="22">
        <f>IF(D991="?OLD","!!!","")</f>
        <v/>
      </c>
      <c r="F991" s="23" t="str">
        <f>IF(OR(E991="",E991="!!!"),"",IF(NOT(ISNA(VLOOKUP(E991,E$1:E990,1,FALSE()))),"OLD",IF(AND(E991&lt;&gt;"",E991&lt;&gt;"!!!"),"NEW","")))</f>
        <v> </v>
      </c>
      <c r="G991" s="24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5" t="str">
        <f>IF(J991&lt;&gt;1,"",IF(I991="SBJ","CB","?"))</f>
        <v> </v>
      </c>
      <c r="I991" s="26" t="str">
        <f>IF(OR(E991="",E991="!!!",F991="NEW"),"",INDEX(B990:B$2,-1+SUMPRODUCT(MAX(ROW(E990:E$2)*(E991=E990:E$2)))))</f>
        <v> </v>
      </c>
      <c r="J991" s="26" t="str">
        <f>IF(OR(E991="",E991="!!!",F991="NEW"),"",COUNTBLANK(OFFSET(A$1,,,SUMPRODUCT(MAX(ROW(E$2:E991)*(E991=E$2:E991)))))-COUNTBLANK(OFFSET(A$1,,,SUMPRODUCT(MAX(ROW(E$1:E990)*(E2=E$1:E990))))))</f>
        <v> </v>
      </c>
      <c r="K991" s="26" t="str">
        <f>IF(OR(E991="",E991="!!!",F991="NEW"),"",INDEX(J$1:J990,SUMPRODUCT(MAX(ROW(E$1:E990)*(E991=E$1:E990)))))</f>
        <v> </v>
      </c>
      <c r="L991" s="27"/>
    </row>
    <row r="992" spans="1:12">
      <c r="A992" s="20" t="s">
        <v>744</v>
      </c>
      <c r="B992" s="21" t="s">
        <v>374</v>
      </c>
      <c r="C992" s="21" t="s">
        <v>413</v>
      </c>
      <c r="D992" s="21" t="s">
        <v>368</v>
      </c>
      <c r="E992" s="22">
        <f>IF(D992="?OLD","!!!","")</f>
        <v/>
      </c>
      <c r="F992" s="23" t="str">
        <f>IF(OR(E992="",E992="!!!"),"",IF(NOT(ISNA(VLOOKUP(E992,E$1:E991,1,FALSE()))),"OLD",IF(AND(E992&lt;&gt;"",E992&lt;&gt;"!!!"),"NEW","")))</f>
        <v> </v>
      </c>
      <c r="G992" s="24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5" t="str">
        <f>IF(J992&lt;&gt;1,"",IF(I992="SBJ","CB","?"))</f>
        <v> </v>
      </c>
      <c r="I992" s="26" t="str">
        <f>IF(OR(E992="",E992="!!!",F992="NEW"),"",INDEX(B991:B$2,-1+SUMPRODUCT(MAX(ROW(E991:E$2)*(E992=E991:E$2)))))</f>
        <v> </v>
      </c>
      <c r="J992" s="26" t="str">
        <f>IF(OR(E992="",E992="!!!",F992="NEW"),"",COUNTBLANK(OFFSET(A$1,,,SUMPRODUCT(MAX(ROW(E$2:E992)*(E992=E$2:E992)))))-COUNTBLANK(OFFSET(A$1,,,SUMPRODUCT(MAX(ROW(E$1:E991)*(E2=E$1:E991))))))</f>
        <v> </v>
      </c>
      <c r="K992" s="26" t="str">
        <f>IF(OR(E992="",E992="!!!",F992="NEW"),"",INDEX(J$1:J991,SUMPRODUCT(MAX(ROW(E$1:E991)*(E992=E$1:E991)))))</f>
        <v> </v>
      </c>
      <c r="L992" s="27"/>
    </row>
    <row r="993" spans="1:12">
      <c r="A993" s="20" t="s">
        <v>745</v>
      </c>
      <c r="B993" s="21" t="s">
        <v>374</v>
      </c>
      <c r="C993" s="21" t="s">
        <v>416</v>
      </c>
      <c r="D993" s="21" t="s">
        <v>368</v>
      </c>
      <c r="E993" s="22">
        <f>IF(D993="?OLD","!!!","")</f>
        <v/>
      </c>
      <c r="F993" s="23" t="str">
        <f>IF(OR(E993="",E993="!!!"),"",IF(NOT(ISNA(VLOOKUP(E993,E$1:E992,1,FALSE()))),"OLD",IF(AND(E993&lt;&gt;"",E993&lt;&gt;"!!!"),"NEW","")))</f>
        <v> </v>
      </c>
      <c r="G993" s="24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5" t="str">
        <f>IF(J993&lt;&gt;1,"",IF(I993="SBJ","CB","?"))</f>
        <v> </v>
      </c>
      <c r="I993" s="26" t="str">
        <f>IF(OR(E993="",E993="!!!",F993="NEW"),"",INDEX(B992:B$2,-1+SUMPRODUCT(MAX(ROW(E992:E$2)*(E993=E992:E$2)))))</f>
        <v> </v>
      </c>
      <c r="J993" s="26" t="str">
        <f>IF(OR(E993="",E993="!!!",F993="NEW"),"",COUNTBLANK(OFFSET(A$1,,,SUMPRODUCT(MAX(ROW(E$2:E993)*(E993=E$2:E993)))))-COUNTBLANK(OFFSET(A$1,,,SUMPRODUCT(MAX(ROW(E$1:E992)*(E2=E$1:E992))))))</f>
        <v> </v>
      </c>
      <c r="K993" s="26" t="str">
        <f>IF(OR(E993="",E993="!!!",F993="NEW"),"",INDEX(J$1:J992,SUMPRODUCT(MAX(ROW(E$1:E992)*(E993=E$1:E992)))))</f>
        <v> </v>
      </c>
      <c r="L993" s="27"/>
    </row>
    <row r="994" spans="1:12">
      <c r="A994" s="20"/>
    </row>
    <row r="995" spans="1:12">
      <c r="A995" s="20" t="s">
        <v>746</v>
      </c>
    </row>
    <row r="996" spans="1:12">
      <c r="A996" s="20" t="s">
        <v>439</v>
      </c>
      <c r="E996" s="22">
        <f>IF(D996="?OLD","!!!","")</f>
        <v/>
      </c>
      <c r="F996" s="23" t="str">
        <f>IF(OR(E996="",E996="!!!"),"",IF(NOT(ISNA(VLOOKUP(E996,E$1:E995,1,FALSE()))),"OLD",IF(AND(E996&lt;&gt;"",E996&lt;&gt;"!!!"),"NEW","")))</f>
        <v> </v>
      </c>
      <c r="G996" s="24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5" t="str">
        <f>IF(J996&lt;&gt;1,"",IF(I996="SBJ","CB","?"))</f>
        <v> </v>
      </c>
      <c r="I996" s="26" t="str">
        <f>IF(OR(E996="",E996="!!!",F996="NEW"),"",INDEX(B995:B$2,-1+SUMPRODUCT(MAX(ROW(E995:E$2)*(E996=E995:E$2)))))</f>
        <v> </v>
      </c>
      <c r="J996" s="26" t="str">
        <f>IF(OR(E996="",E996="!!!",F996="NEW"),"",COUNTBLANK(OFFSET(A$1,,,SUMPRODUCT(MAX(ROW(E$2:E996)*(E996=E$2:E996)))))-COUNTBLANK(OFFSET(A$1,,,SUMPRODUCT(MAX(ROW(E$1:E995)*(E2=E$1:E995))))))</f>
        <v> </v>
      </c>
      <c r="K996" s="26" t="str">
        <f>IF(OR(E996="",E996="!!!",F996="NEW"),"",INDEX(J$1:J995,SUMPRODUCT(MAX(ROW(E$1:E995)*(E996=E$1:E995)))))</f>
        <v> </v>
      </c>
      <c r="L996" s="27"/>
    </row>
    <row r="997" spans="1:12">
      <c r="A997" s="20" t="s">
        <v>376</v>
      </c>
      <c r="E997" s="22">
        <f>IF(D997="?OLD","!!!","")</f>
        <v/>
      </c>
      <c r="F997" s="23" t="str">
        <f>IF(OR(E997="",E997="!!!"),"",IF(NOT(ISNA(VLOOKUP(E997,E$1:E996,1,FALSE()))),"OLD",IF(AND(E997&lt;&gt;"",E997&lt;&gt;"!!!"),"NEW","")))</f>
        <v> </v>
      </c>
      <c r="G997" s="24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5" t="str">
        <f>IF(J997&lt;&gt;1,"",IF(I997="SBJ","CB","?"))</f>
        <v> </v>
      </c>
      <c r="I997" s="26" t="str">
        <f>IF(OR(E997="",E997="!!!",F997="NEW"),"",INDEX(B996:B$2,-1+SUMPRODUCT(MAX(ROW(E996:E$2)*(E997=E996:E$2)))))</f>
        <v> </v>
      </c>
      <c r="J997" s="26" t="str">
        <f>IF(OR(E997="",E997="!!!",F997="NEW"),"",COUNTBLANK(OFFSET(A$1,,,SUMPRODUCT(MAX(ROW(E$2:E997)*(E997=E$2:E997)))))-COUNTBLANK(OFFSET(A$1,,,SUMPRODUCT(MAX(ROW(E$1:E996)*(E2=E$1:E996))))))</f>
        <v> </v>
      </c>
      <c r="K997" s="26" t="str">
        <f>IF(OR(E997="",E997="!!!",F997="NEW"),"",INDEX(J$1:J996,SUMPRODUCT(MAX(ROW(E$1:E996)*(E997=E$1:E996)))))</f>
        <v> </v>
      </c>
      <c r="L997" s="27"/>
    </row>
    <row r="998" spans="1:12">
      <c r="A998" s="20" t="s">
        <v>642</v>
      </c>
      <c r="E998" s="22">
        <f>IF(D998="?OLD","!!!","")</f>
        <v/>
      </c>
      <c r="F998" s="23" t="str">
        <f>IF(OR(E998="",E998="!!!"),"",IF(NOT(ISNA(VLOOKUP(E998,E$1:E997,1,FALSE()))),"OLD",IF(AND(E998&lt;&gt;"",E998&lt;&gt;"!!!"),"NEW","")))</f>
        <v> </v>
      </c>
      <c r="G998" s="24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5" t="str">
        <f>IF(J998&lt;&gt;1,"",IF(I998="SBJ","CB","?"))</f>
        <v> </v>
      </c>
      <c r="I998" s="26" t="str">
        <f>IF(OR(E998="",E998="!!!",F998="NEW"),"",INDEX(B997:B$2,-1+SUMPRODUCT(MAX(ROW(E997:E$2)*(E998=E997:E$2)))))</f>
        <v> </v>
      </c>
      <c r="J998" s="26" t="str">
        <f>IF(OR(E998="",E998="!!!",F998="NEW"),"",COUNTBLANK(OFFSET(A$1,,,SUMPRODUCT(MAX(ROW(E$2:E998)*(E998=E$2:E998)))))-COUNTBLANK(OFFSET(A$1,,,SUMPRODUCT(MAX(ROW(E$1:E997)*(E2=E$1:E997))))))</f>
        <v> </v>
      </c>
      <c r="K998" s="26" t="str">
        <f>IF(OR(E998="",E998="!!!",F998="NEW"),"",INDEX(J$1:J997,SUMPRODUCT(MAX(ROW(E$1:E997)*(E998=E$1:E997)))))</f>
        <v> </v>
      </c>
      <c r="L998" s="27"/>
    </row>
    <row r="999" spans="1:12">
      <c r="A999" s="20" t="s">
        <v>594</v>
      </c>
      <c r="B999" s="21" t="s">
        <v>419</v>
      </c>
      <c r="E999" s="22">
        <f>IF(D999="?OLD","!!!","")</f>
        <v/>
      </c>
      <c r="F999" s="23" t="str">
        <f>IF(OR(E999="",E999="!!!"),"",IF(NOT(ISNA(VLOOKUP(E999,E$1:E998,1,FALSE()))),"OLD",IF(AND(E999&lt;&gt;"",E999&lt;&gt;"!!!"),"NEW","")))</f>
        <v> </v>
      </c>
      <c r="G999" s="24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5" t="str">
        <f>IF(J999&lt;&gt;1,"",IF(I999="SBJ","CB","?"))</f>
        <v> </v>
      </c>
      <c r="I999" s="26" t="str">
        <f>IF(OR(E999="",E999="!!!",F999="NEW"),"",INDEX(B998:B$2,-1+SUMPRODUCT(MAX(ROW(E998:E$2)*(E999=E998:E$2)))))</f>
        <v> </v>
      </c>
      <c r="J999" s="26" t="str">
        <f>IF(OR(E999="",E999="!!!",F999="NEW"),"",COUNTBLANK(OFFSET(A$1,,,SUMPRODUCT(MAX(ROW(E$2:E999)*(E999=E$2:E999)))))-COUNTBLANK(OFFSET(A$1,,,SUMPRODUCT(MAX(ROW(E$1:E998)*(E2=E$1:E998))))))</f>
        <v> </v>
      </c>
      <c r="K999" s="26" t="str">
        <f>IF(OR(E999="",E999="!!!",F999="NEW"),"",INDEX(J$1:J998,SUMPRODUCT(MAX(ROW(E$1:E998)*(E999=E$1:E998)))))</f>
        <v> </v>
      </c>
      <c r="L999" s="27"/>
    </row>
    <row r="1000" spans="1:12">
      <c r="A1000" s="20" t="s">
        <v>484</v>
      </c>
      <c r="E1000" s="22">
        <f>IF(D1000="?OLD","!!!","")</f>
        <v/>
      </c>
      <c r="F1000" s="23" t="str">
        <f>IF(OR(E1000="",E1000="!!!"),"",IF(NOT(ISNA(VLOOKUP(E1000,E$1:E999,1,FALSE()))),"OLD",IF(AND(E1000&lt;&gt;"",E1000&lt;&gt;"!!!"),"NEW","")))</f>
        <v> </v>
      </c>
      <c r="G1000" s="24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5" t="str">
        <f>IF(J1000&lt;&gt;1,"",IF(I1000="SBJ","CB","?"))</f>
        <v> </v>
      </c>
      <c r="I1000" s="26" t="str">
        <f>IF(OR(E1000="",E1000="!!!",F1000="NEW"),"",INDEX(B999:B$2,-1+SUMPRODUCT(MAX(ROW(E999:E$2)*(E1000=E999:E$2)))))</f>
        <v> </v>
      </c>
      <c r="J1000" s="26" t="str">
        <f>IF(OR(E1000="",E1000="!!!",F1000="NEW"),"",COUNTBLANK(OFFSET(A$1,,,SUMPRODUCT(MAX(ROW(E$2:E1000)*(E1000=E$2:E1000)))))-COUNTBLANK(OFFSET(A$1,,,SUMPRODUCT(MAX(ROW(E$1:E999)*(E2=E$1:E999))))))</f>
        <v> </v>
      </c>
      <c r="K1000" s="26" t="str">
        <f>IF(OR(E1000="",E1000="!!!",F1000="NEW"),"",INDEX(J$1:J999,SUMPRODUCT(MAX(ROW(E$1:E999)*(E1000=E$1:E999)))))</f>
        <v> </v>
      </c>
      <c r="L1000" s="27"/>
    </row>
    <row r="1001" spans="1:12">
      <c r="A1001" s="20" t="s">
        <v>747</v>
      </c>
      <c r="E1001" s="22">
        <f>IF(D1001="?OLD","!!!","")</f>
        <v/>
      </c>
      <c r="F1001" s="23" t="str">
        <f>IF(OR(E1001="",E1001="!!!"),"",IF(NOT(ISNA(VLOOKUP(E1001,E$1:E1000,1,FALSE()))),"OLD",IF(AND(E1001&lt;&gt;"",E1001&lt;&gt;"!!!"),"NEW","")))</f>
        <v> </v>
      </c>
      <c r="G1001" s="24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5" t="str">
        <f>IF(J1001&lt;&gt;1,"",IF(I1001="SBJ","CB","?"))</f>
        <v> </v>
      </c>
      <c r="I1001" s="26" t="str">
        <f>IF(OR(E1001="",E1001="!!!",F1001="NEW"),"",INDEX(B1000:B$2,-1+SUMPRODUCT(MAX(ROW(E1000:E$2)*(E1001=E1000:E$2)))))</f>
        <v> </v>
      </c>
      <c r="J1001" s="26" t="str">
        <f>IF(OR(E1001="",E1001="!!!",F1001="NEW"),"",COUNTBLANK(OFFSET(A$1,,,SUMPRODUCT(MAX(ROW(E$2:E1001)*(E1001=E$2:E1001)))))-COUNTBLANK(OFFSET(A$1,,,SUMPRODUCT(MAX(ROW(E$1:E1000)*(E2=E$1:E1000))))))</f>
        <v> </v>
      </c>
      <c r="K1001" s="26" t="str">
        <f>IF(OR(E1001="",E1001="!!!",F1001="NEW"),"",INDEX(J$1:J1000,SUMPRODUCT(MAX(ROW(E$1:E1000)*(E1001=E$1:E1000)))))</f>
        <v> </v>
      </c>
      <c r="L1001" s="27"/>
    </row>
    <row r="1002" spans="1:12">
      <c r="A1002" s="20" t="s">
        <v>487</v>
      </c>
      <c r="B1002" s="21" t="s">
        <v>366</v>
      </c>
      <c r="C1002" s="21" t="s">
        <v>401</v>
      </c>
      <c r="D1002" s="21" t="s">
        <v>368</v>
      </c>
      <c r="E1002" s="22">
        <f>IF(D1002="?OLD","!!!","")</f>
        <v/>
      </c>
      <c r="F1002" s="23" t="str">
        <f>IF(OR(E1002="",E1002="!!!"),"",IF(NOT(ISNA(VLOOKUP(E1002,E$1:E1001,1,FALSE()))),"OLD",IF(AND(E1002&lt;&gt;"",E1002&lt;&gt;"!!!"),"NEW","")))</f>
        <v> </v>
      </c>
      <c r="G1002" s="24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5" t="str">
        <f>IF(J1002&lt;&gt;1,"",IF(I1002="SBJ","CB","?"))</f>
        <v> </v>
      </c>
      <c r="I1002" s="26" t="str">
        <f>IF(OR(E1002="",E1002="!!!",F1002="NEW"),"",INDEX(B1001:B$2,-1+SUMPRODUCT(MAX(ROW(E1001:E$2)*(E1002=E1001:E$2)))))</f>
        <v> </v>
      </c>
      <c r="J1002" s="26" t="str">
        <f>IF(OR(E1002="",E1002="!!!",F1002="NEW"),"",COUNTBLANK(OFFSET(A$1,,,SUMPRODUCT(MAX(ROW(E$2:E1002)*(E1002=E$2:E1002)))))-COUNTBLANK(OFFSET(A$1,,,SUMPRODUCT(MAX(ROW(E$1:E1001)*(E2=E$1:E1001))))))</f>
        <v> </v>
      </c>
      <c r="K1002" s="26" t="str">
        <f>IF(OR(E1002="",E1002="!!!",F1002="NEW"),"",INDEX(J$1:J1001,SUMPRODUCT(MAX(ROW(E$1:E1001)*(E1002=E$1:E1001)))))</f>
        <v> </v>
      </c>
      <c r="L1002" s="27"/>
    </row>
    <row r="1003" spans="1:12">
      <c r="A1003" s="20" t="s">
        <v>587</v>
      </c>
      <c r="E1003" s="22">
        <f>IF(D1003="?OLD","!!!","")</f>
        <v/>
      </c>
      <c r="F1003" s="23" t="str">
        <f>IF(OR(E1003="",E1003="!!!"),"",IF(NOT(ISNA(VLOOKUP(E1003,E$1:E1002,1,FALSE()))),"OLD",IF(AND(E1003&lt;&gt;"",E1003&lt;&gt;"!!!"),"NEW","")))</f>
        <v> </v>
      </c>
      <c r="G1003" s="24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5" t="str">
        <f>IF(J1003&lt;&gt;1,"",IF(I1003="SBJ","CB","?"))</f>
        <v> </v>
      </c>
      <c r="I1003" s="26" t="str">
        <f>IF(OR(E1003="",E1003="!!!",F1003="NEW"),"",INDEX(B1002:B$2,-1+SUMPRODUCT(MAX(ROW(E1002:E$2)*(E1003=E1002:E$2)))))</f>
        <v> </v>
      </c>
      <c r="J1003" s="26" t="str">
        <f>IF(OR(E1003="",E1003="!!!",F1003="NEW"),"",COUNTBLANK(OFFSET(A$1,,,SUMPRODUCT(MAX(ROW(E$2:E1003)*(E1003=E$2:E1003)))))-COUNTBLANK(OFFSET(A$1,,,SUMPRODUCT(MAX(ROW(E$1:E1002)*(E2=E$1:E1002))))))</f>
        <v> </v>
      </c>
      <c r="K1003" s="26" t="str">
        <f>IF(OR(E1003="",E1003="!!!",F1003="NEW"),"",INDEX(J$1:J1002,SUMPRODUCT(MAX(ROW(E$1:E1002)*(E1003=E$1:E1002)))))</f>
        <v> </v>
      </c>
      <c r="L1003" s="27"/>
    </row>
    <row r="1004" spans="1:12">
      <c r="A1004" s="20" t="s">
        <v>54</v>
      </c>
      <c r="B1004" s="21" t="s">
        <v>374</v>
      </c>
      <c r="C1004" s="21" t="s">
        <v>430</v>
      </c>
      <c r="E1004" s="22">
        <f>IF(D1004="?OLD","!!!","")</f>
        <v/>
      </c>
      <c r="F1004" s="23" t="str">
        <f>IF(OR(E1004="",E1004="!!!"),"",IF(NOT(ISNA(VLOOKUP(E1004,E$1:E1003,1,FALSE()))),"OLD",IF(AND(E1004&lt;&gt;"",E1004&lt;&gt;"!!!"),"NEW","")))</f>
        <v> </v>
      </c>
      <c r="G1004" s="24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5" t="str">
        <f>IF(J1004&lt;&gt;1,"",IF(I1004="SBJ","CB","?"))</f>
        <v> </v>
      </c>
      <c r="I1004" s="26" t="str">
        <f>IF(OR(E1004="",E1004="!!!",F1004="NEW"),"",INDEX(B1003:B$2,-1+SUMPRODUCT(MAX(ROW(E1003:E$2)*(E1004=E1003:E$2)))))</f>
        <v> </v>
      </c>
      <c r="J1004" s="26" t="str">
        <f>IF(OR(E1004="",E1004="!!!",F1004="NEW"),"",COUNTBLANK(OFFSET(A$1,,,SUMPRODUCT(MAX(ROW(E$2:E1004)*(E1004=E$2:E1004)))))-COUNTBLANK(OFFSET(A$1,,,SUMPRODUCT(MAX(ROW(E$1:E1003)*(E2=E$1:E1003))))))</f>
        <v> </v>
      </c>
      <c r="K1004" s="26" t="str">
        <f>IF(OR(E1004="",E1004="!!!",F1004="NEW"),"",INDEX(J$1:J1003,SUMPRODUCT(MAX(ROW(E$1:E1003)*(E1004=E$1:E1003)))))</f>
        <v> </v>
      </c>
      <c r="L1004" s="27"/>
    </row>
    <row r="1005" spans="1:12">
      <c r="A1005" s="20" t="s">
        <v>402</v>
      </c>
      <c r="E1005" s="22">
        <f>IF(D1005="?OLD","!!!","")</f>
        <v/>
      </c>
      <c r="F1005" s="23" t="str">
        <f>IF(OR(E1005="",E1005="!!!"),"",IF(NOT(ISNA(VLOOKUP(E1005,E$1:E1004,1,FALSE()))),"OLD",IF(AND(E1005&lt;&gt;"",E1005&lt;&gt;"!!!"),"NEW","")))</f>
        <v> </v>
      </c>
      <c r="G1005" s="24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5" t="str">
        <f>IF(J1005&lt;&gt;1,"",IF(I1005="SBJ","CB","?"))</f>
        <v> </v>
      </c>
      <c r="I1005" s="26" t="str">
        <f>IF(OR(E1005="",E1005="!!!",F1005="NEW"),"",INDEX(B1004:B$2,-1+SUMPRODUCT(MAX(ROW(E1004:E$2)*(E1005=E1004:E$2)))))</f>
        <v> </v>
      </c>
      <c r="J1005" s="26" t="str">
        <f>IF(OR(E1005="",E1005="!!!",F1005="NEW"),"",COUNTBLANK(OFFSET(A$1,,,SUMPRODUCT(MAX(ROW(E$2:E1005)*(E1005=E$2:E1005)))))-COUNTBLANK(OFFSET(A$1,,,SUMPRODUCT(MAX(ROW(E$1:E1004)*(E2=E$1:E1004))))))</f>
        <v> </v>
      </c>
      <c r="K1005" s="26" t="str">
        <f>IF(OR(E1005="",E1005="!!!",F1005="NEW"),"",INDEX(J$1:J1004,SUMPRODUCT(MAX(ROW(E$1:E1004)*(E1005=E$1:E1004)))))</f>
        <v> </v>
      </c>
      <c r="L1005" s="27"/>
    </row>
    <row r="1006" spans="1:12">
      <c r="A1006" s="20" t="s">
        <v>748</v>
      </c>
      <c r="E1006" s="22">
        <f>IF(D1006="?OLD","!!!","")</f>
        <v/>
      </c>
      <c r="F1006" s="23" t="str">
        <f>IF(OR(E1006="",E1006="!!!"),"",IF(NOT(ISNA(VLOOKUP(E1006,E$1:E1005,1,FALSE()))),"OLD",IF(AND(E1006&lt;&gt;"",E1006&lt;&gt;"!!!"),"NEW","")))</f>
        <v> </v>
      </c>
      <c r="G1006" s="24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5" t="str">
        <f>IF(J1006&lt;&gt;1,"",IF(I1006="SBJ","CB","?"))</f>
        <v> </v>
      </c>
      <c r="I1006" s="26" t="str">
        <f>IF(OR(E1006="",E1006="!!!",F1006="NEW"),"",INDEX(B1005:B$2,-1+SUMPRODUCT(MAX(ROW(E1005:E$2)*(E1006=E1005:E$2)))))</f>
        <v> </v>
      </c>
      <c r="J1006" s="26" t="str">
        <f>IF(OR(E1006="",E1006="!!!",F1006="NEW"),"",COUNTBLANK(OFFSET(A$1,,,SUMPRODUCT(MAX(ROW(E$2:E1006)*(E1006=E$2:E1006)))))-COUNTBLANK(OFFSET(A$1,,,SUMPRODUCT(MAX(ROW(E$1:E1005)*(E2=E$1:E1005))))))</f>
        <v> </v>
      </c>
      <c r="K1006" s="26" t="str">
        <f>IF(OR(E1006="",E1006="!!!",F1006="NEW"),"",INDEX(J$1:J1005,SUMPRODUCT(MAX(ROW(E$1:E1005)*(E1006=E$1:E1005)))))</f>
        <v> </v>
      </c>
      <c r="L1006" s="27"/>
    </row>
    <row r="1007" spans="1:12">
      <c r="A1007" s="20" t="s">
        <v>405</v>
      </c>
      <c r="B1007" s="21" t="s">
        <v>424</v>
      </c>
      <c r="C1007" s="21" t="s">
        <v>367</v>
      </c>
      <c r="D1007" s="21" t="s">
        <v>368</v>
      </c>
      <c r="E1007" s="22">
        <f>IF(D1007="?OLD","!!!","")</f>
        <v/>
      </c>
      <c r="F1007" s="23" t="str">
        <f>IF(OR(E1007="",E1007="!!!"),"",IF(NOT(ISNA(VLOOKUP(E1007,E$1:E1006,1,FALSE()))),"OLD",IF(AND(E1007&lt;&gt;"",E1007&lt;&gt;"!!!"),"NEW","")))</f>
        <v> </v>
      </c>
      <c r="G1007" s="24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5" t="str">
        <f>IF(J1007&lt;&gt;1,"",IF(I1007="SBJ","CB","?"))</f>
        <v> </v>
      </c>
      <c r="I1007" s="26" t="str">
        <f>IF(OR(E1007="",E1007="!!!",F1007="NEW"),"",INDEX(B1006:B$2,-1+SUMPRODUCT(MAX(ROW(E1006:E$2)*(E1007=E1006:E$2)))))</f>
        <v> </v>
      </c>
      <c r="J1007" s="26" t="str">
        <f>IF(OR(E1007="",E1007="!!!",F1007="NEW"),"",COUNTBLANK(OFFSET(A$1,,,SUMPRODUCT(MAX(ROW(E$2:E1007)*(E1007=E$2:E1007)))))-COUNTBLANK(OFFSET(A$1,,,SUMPRODUCT(MAX(ROW(E$1:E1006)*(E2=E$1:E1006))))))</f>
        <v> </v>
      </c>
      <c r="K1007" s="26" t="str">
        <f>IF(OR(E1007="",E1007="!!!",F1007="NEW"),"",INDEX(J$1:J1006,SUMPRODUCT(MAX(ROW(E$1:E1006)*(E1007=E$1:E1006)))))</f>
        <v> </v>
      </c>
      <c r="L1007" s="27"/>
    </row>
    <row r="1008" spans="1:12">
      <c r="A1008" s="20" t="s">
        <v>587</v>
      </c>
      <c r="E1008" s="22">
        <f>IF(D1008="?OLD","!!!","")</f>
        <v/>
      </c>
      <c r="F1008" s="23" t="str">
        <f>IF(OR(E1008="",E1008="!!!"),"",IF(NOT(ISNA(VLOOKUP(E1008,E$1:E1007,1,FALSE()))),"OLD",IF(AND(E1008&lt;&gt;"",E1008&lt;&gt;"!!!"),"NEW","")))</f>
        <v> </v>
      </c>
      <c r="G1008" s="24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5" t="str">
        <f>IF(J1008&lt;&gt;1,"",IF(I1008="SBJ","CB","?"))</f>
        <v> </v>
      </c>
      <c r="I1008" s="26" t="str">
        <f>IF(OR(E1008="",E1008="!!!",F1008="NEW"),"",INDEX(B1007:B$2,-1+SUMPRODUCT(MAX(ROW(E1007:E$2)*(E1008=E1007:E$2)))))</f>
        <v> </v>
      </c>
      <c r="J1008" s="26" t="str">
        <f>IF(OR(E1008="",E1008="!!!",F1008="NEW"),"",COUNTBLANK(OFFSET(A$1,,,SUMPRODUCT(MAX(ROW(E$2:E1008)*(E1008=E$2:E1008)))))-COUNTBLANK(OFFSET(A$1,,,SUMPRODUCT(MAX(ROW(E$1:E1007)*(E2=E$1:E1007))))))</f>
        <v> </v>
      </c>
      <c r="K1008" s="26" t="str">
        <f>IF(OR(E1008="",E1008="!!!",F1008="NEW"),"",INDEX(J$1:J1007,SUMPRODUCT(MAX(ROW(E$1:E1007)*(E1008=E$1:E1007)))))</f>
        <v> </v>
      </c>
      <c r="L1008" s="27"/>
    </row>
    <row r="1009" spans="1:12">
      <c r="A1009" s="20" t="s">
        <v>409</v>
      </c>
      <c r="E1009" s="22">
        <f>IF(D1009="?OLD","!!!","")</f>
        <v/>
      </c>
      <c r="F1009" s="23" t="str">
        <f>IF(OR(E1009="",E1009="!!!"),"",IF(NOT(ISNA(VLOOKUP(E1009,E$1:E1008,1,FALSE()))),"OLD",IF(AND(E1009&lt;&gt;"",E1009&lt;&gt;"!!!"),"NEW","")))</f>
        <v> </v>
      </c>
      <c r="G1009" s="24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5" t="str">
        <f>IF(J1009&lt;&gt;1,"",IF(I1009="SBJ","CB","?"))</f>
        <v> </v>
      </c>
      <c r="I1009" s="26" t="str">
        <f>IF(OR(E1009="",E1009="!!!",F1009="NEW"),"",INDEX(B1008:B$2,-1+SUMPRODUCT(MAX(ROW(E1008:E$2)*(E1009=E1008:E$2)))))</f>
        <v> </v>
      </c>
      <c r="J1009" s="26" t="str">
        <f>IF(OR(E1009="",E1009="!!!",F1009="NEW"),"",COUNTBLANK(OFFSET(A$1,,,SUMPRODUCT(MAX(ROW(E$2:E1009)*(E1009=E$2:E1009)))))-COUNTBLANK(OFFSET(A$1,,,SUMPRODUCT(MAX(ROW(E$1:E1008)*(E2=E$1:E1008))))))</f>
        <v> </v>
      </c>
      <c r="K1009" s="26" t="str">
        <f>IF(OR(E1009="",E1009="!!!",F1009="NEW"),"",INDEX(J$1:J1008,SUMPRODUCT(MAX(ROW(E$1:E1008)*(E1009=E$1:E1008)))))</f>
        <v> </v>
      </c>
      <c r="L1009" s="27"/>
    </row>
    <row r="1010" spans="1:12">
      <c r="A1010" s="20"/>
    </row>
    <row r="1011" spans="1:12">
      <c r="A1011" s="20" t="s">
        <v>749</v>
      </c>
    </row>
    <row r="1012" spans="1:12">
      <c r="A1012" s="20" t="s">
        <v>318</v>
      </c>
      <c r="B1012" s="21" t="s">
        <v>374</v>
      </c>
      <c r="C1012" s="21" t="s">
        <v>430</v>
      </c>
      <c r="E1012" s="22">
        <f>IF(D1012="?OLD","!!!","")</f>
        <v/>
      </c>
      <c r="F1012" s="23" t="str">
        <f>IF(OR(E1012="",E1012="!!!"),"",IF(NOT(ISNA(VLOOKUP(E1012,E$1:E1011,1,FALSE()))),"OLD",IF(AND(E1012&lt;&gt;"",E1012&lt;&gt;"!!!"),"NEW","")))</f>
        <v> </v>
      </c>
      <c r="G1012" s="24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5" t="str">
        <f>IF(J1012&lt;&gt;1,"",IF(I1012="SBJ","CB","?"))</f>
        <v> </v>
      </c>
      <c r="I1012" s="26" t="str">
        <f>IF(OR(E1012="",E1012="!!!",F1012="NEW"),"",INDEX(B1011:B$2,-1+SUMPRODUCT(MAX(ROW(E1011:E$2)*(E1012=E1011:E$2)))))</f>
        <v> </v>
      </c>
      <c r="J1012" s="26" t="str">
        <f>IF(OR(E1012="",E1012="!!!",F1012="NEW"),"",COUNTBLANK(OFFSET(A$1,,,SUMPRODUCT(MAX(ROW(E$2:E1012)*(E1012=E$2:E1012)))))-COUNTBLANK(OFFSET(A$1,,,SUMPRODUCT(MAX(ROW(E$1:E1011)*(E2=E$1:E1011))))))</f>
        <v> </v>
      </c>
      <c r="K1012" s="26" t="str">
        <f>IF(OR(E1012="",E1012="!!!",F1012="NEW"),"",INDEX(J$1:J1011,SUMPRODUCT(MAX(ROW(E$1:E1011)*(E1012=E$1:E1011)))))</f>
        <v> </v>
      </c>
      <c r="L1012" s="27"/>
    </row>
    <row r="1013" spans="1:12">
      <c r="A1013" s="20" t="s">
        <v>409</v>
      </c>
      <c r="E1013" s="22">
        <f>IF(D1013="?OLD","!!!","")</f>
        <v/>
      </c>
      <c r="F1013" s="23" t="str">
        <f>IF(OR(E1013="",E1013="!!!"),"",IF(NOT(ISNA(VLOOKUP(E1013,E$1:E1012,1,FALSE()))),"OLD",IF(AND(E1013&lt;&gt;"",E1013&lt;&gt;"!!!"),"NEW","")))</f>
        <v> </v>
      </c>
      <c r="G1013" s="24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5" t="str">
        <f>IF(J1013&lt;&gt;1,"",IF(I1013="SBJ","CB","?"))</f>
        <v> </v>
      </c>
      <c r="I1013" s="26" t="str">
        <f>IF(OR(E1013="",E1013="!!!",F1013="NEW"),"",INDEX(B1012:B$2,-1+SUMPRODUCT(MAX(ROW(E1012:E$2)*(E1013=E1012:E$2)))))</f>
        <v> </v>
      </c>
      <c r="J1013" s="26" t="str">
        <f>IF(OR(E1013="",E1013="!!!",F1013="NEW"),"",COUNTBLANK(OFFSET(A$1,,,SUMPRODUCT(MAX(ROW(E$2:E1013)*(E1013=E$2:E1013)))))-COUNTBLANK(OFFSET(A$1,,,SUMPRODUCT(MAX(ROW(E$1:E1012)*(E2=E$1:E1012))))))</f>
        <v> </v>
      </c>
      <c r="K1013" s="26" t="str">
        <f>IF(OR(E1013="",E1013="!!!",F1013="NEW"),"",INDEX(J$1:J1012,SUMPRODUCT(MAX(ROW(E$1:E1012)*(E1013=E$1:E1012)))))</f>
        <v> </v>
      </c>
      <c r="L1013" s="27"/>
    </row>
    <row r="1014" spans="1:12">
      <c r="A1014" s="20"/>
    </row>
    <row r="1015" spans="1:12">
      <c r="A1015" s="20" t="s">
        <v>750</v>
      </c>
    </row>
    <row r="1016" spans="1:12">
      <c r="A1016" s="20" t="s">
        <v>751</v>
      </c>
      <c r="B1016" s="21" t="s">
        <v>366</v>
      </c>
      <c r="C1016" s="21" t="s">
        <v>385</v>
      </c>
      <c r="E1016" s="22">
        <f>IF(D1016="?OLD","!!!","")</f>
        <v/>
      </c>
      <c r="F1016" s="23" t="str">
        <f>IF(OR(E1016="",E1016="!!!"),"",IF(NOT(ISNA(VLOOKUP(E1016,E$1:E1015,1,FALSE()))),"OLD",IF(AND(E1016&lt;&gt;"",E1016&lt;&gt;"!!!"),"NEW","")))</f>
        <v> </v>
      </c>
      <c r="G1016" s="24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5" t="str">
        <f>IF(J1016&lt;&gt;1,"",IF(I1016="SBJ","CB","?"))</f>
        <v> </v>
      </c>
      <c r="I1016" s="26" t="str">
        <f>IF(OR(E1016="",E1016="!!!",F1016="NEW"),"",INDEX(B1015:B$2,-1+SUMPRODUCT(MAX(ROW(E1015:E$2)*(E1016=E1015:E$2)))))</f>
        <v> </v>
      </c>
      <c r="J1016" s="26" t="str">
        <f>IF(OR(E1016="",E1016="!!!",F1016="NEW"),"",COUNTBLANK(OFFSET(A$1,,,SUMPRODUCT(MAX(ROW(E$2:E1016)*(E1016=E$2:E1016)))))-COUNTBLANK(OFFSET(A$1,,,SUMPRODUCT(MAX(ROW(E$1:E1015)*(E2=E$1:E1015))))))</f>
        <v> </v>
      </c>
      <c r="K1016" s="26" t="str">
        <f>IF(OR(E1016="",E1016="!!!",F1016="NEW"),"",INDEX(J$1:J1015,SUMPRODUCT(MAX(ROW(E$1:E1015)*(E1016=E$1:E1015)))))</f>
        <v> </v>
      </c>
      <c r="L1016" s="27"/>
    </row>
    <row r="1017" spans="1:12">
      <c r="A1017" s="20" t="s">
        <v>752</v>
      </c>
      <c r="E1017" s="22">
        <f>IF(D1017="?OLD","!!!","")</f>
        <v/>
      </c>
      <c r="F1017" s="23" t="str">
        <f>IF(OR(E1017="",E1017="!!!"),"",IF(NOT(ISNA(VLOOKUP(E1017,E$1:E1016,1,FALSE()))),"OLD",IF(AND(E1017&lt;&gt;"",E1017&lt;&gt;"!!!"),"NEW","")))</f>
        <v> </v>
      </c>
      <c r="G1017" s="24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5" t="str">
        <f>IF(J1017&lt;&gt;1,"",IF(I1017="SBJ","CB","?"))</f>
        <v> </v>
      </c>
      <c r="I1017" s="26" t="str">
        <f>IF(OR(E1017="",E1017="!!!",F1017="NEW"),"",INDEX(B1016:B$2,-1+SUMPRODUCT(MAX(ROW(E1016:E$2)*(E1017=E1016:E$2)))))</f>
        <v> </v>
      </c>
      <c r="J1017" s="26" t="str">
        <f>IF(OR(E1017="",E1017="!!!",F1017="NEW"),"",COUNTBLANK(OFFSET(A$1,,,SUMPRODUCT(MAX(ROW(E$2:E1017)*(E1017=E$2:E1017)))))-COUNTBLANK(OFFSET(A$1,,,SUMPRODUCT(MAX(ROW(E$1:E1016)*(E2=E$1:E1016))))))</f>
        <v> </v>
      </c>
      <c r="K1017" s="26" t="str">
        <f>IF(OR(E1017="",E1017="!!!",F1017="NEW"),"",INDEX(J$1:J1016,SUMPRODUCT(MAX(ROW(E$1:E1016)*(E1017=E$1:E1016)))))</f>
        <v> </v>
      </c>
      <c r="L1017" s="27"/>
    </row>
    <row r="1018" spans="1:12">
      <c r="A1018" s="20" t="s">
        <v>753</v>
      </c>
      <c r="E1018" s="22">
        <f>IF(D1018="?OLD","!!!","")</f>
        <v/>
      </c>
      <c r="F1018" s="23" t="str">
        <f>IF(OR(E1018="",E1018="!!!"),"",IF(NOT(ISNA(VLOOKUP(E1018,E$1:E1017,1,FALSE()))),"OLD",IF(AND(E1018&lt;&gt;"",E1018&lt;&gt;"!!!"),"NEW","")))</f>
        <v> </v>
      </c>
      <c r="G1018" s="24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5" t="str">
        <f>IF(J1018&lt;&gt;1,"",IF(I1018="SBJ","CB","?"))</f>
        <v> </v>
      </c>
      <c r="I1018" s="26" t="str">
        <f>IF(OR(E1018="",E1018="!!!",F1018="NEW"),"",INDEX(B1017:B$2,-1+SUMPRODUCT(MAX(ROW(E1017:E$2)*(E1018=E1017:E$2)))))</f>
        <v> </v>
      </c>
      <c r="J1018" s="26" t="str">
        <f>IF(OR(E1018="",E1018="!!!",F1018="NEW"),"",COUNTBLANK(OFFSET(A$1,,,SUMPRODUCT(MAX(ROW(E$2:E1018)*(E1018=E$2:E1018)))))-COUNTBLANK(OFFSET(A$1,,,SUMPRODUCT(MAX(ROW(E$1:E1017)*(E2=E$1:E1017))))))</f>
        <v> </v>
      </c>
      <c r="K1018" s="26" t="str">
        <f>IF(OR(E1018="",E1018="!!!",F1018="NEW"),"",INDEX(J$1:J1017,SUMPRODUCT(MAX(ROW(E$1:E1017)*(E1018=E$1:E1017)))))</f>
        <v> </v>
      </c>
      <c r="L1018" s="27"/>
    </row>
    <row r="1019" spans="1:12">
      <c r="A1019" s="20" t="s">
        <v>471</v>
      </c>
      <c r="E1019" s="22">
        <f>IF(D1019="?OLD","!!!","")</f>
        <v/>
      </c>
      <c r="F1019" s="23" t="str">
        <f>IF(OR(E1019="",E1019="!!!"),"",IF(NOT(ISNA(VLOOKUP(E1019,E$1:E1018,1,FALSE()))),"OLD",IF(AND(E1019&lt;&gt;"",E1019&lt;&gt;"!!!"),"NEW","")))</f>
        <v> </v>
      </c>
      <c r="G1019" s="24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5" t="str">
        <f>IF(J1019&lt;&gt;1,"",IF(I1019="SBJ","CB","?"))</f>
        <v> </v>
      </c>
      <c r="I1019" s="26" t="str">
        <f>IF(OR(E1019="",E1019="!!!",F1019="NEW"),"",INDEX(B1018:B$2,-1+SUMPRODUCT(MAX(ROW(E1018:E$2)*(E1019=E1018:E$2)))))</f>
        <v> </v>
      </c>
      <c r="J1019" s="26" t="str">
        <f>IF(OR(E1019="",E1019="!!!",F1019="NEW"),"",COUNTBLANK(OFFSET(A$1,,,SUMPRODUCT(MAX(ROW(E$2:E1019)*(E1019=E$2:E1019)))))-COUNTBLANK(OFFSET(A$1,,,SUMPRODUCT(MAX(ROW(E$1:E1018)*(E2=E$1:E1018))))))</f>
        <v> </v>
      </c>
      <c r="K1019" s="26" t="str">
        <f>IF(OR(E1019="",E1019="!!!",F1019="NEW"),"",INDEX(J$1:J1018,SUMPRODUCT(MAX(ROW(E$1:E1018)*(E1019=E$1:E1018)))))</f>
        <v> </v>
      </c>
      <c r="L1019" s="27"/>
    </row>
    <row r="1020" spans="1:12">
      <c r="A1020" s="20" t="s">
        <v>547</v>
      </c>
      <c r="E1020" s="22">
        <f>IF(D1020="?OLD","!!!","")</f>
        <v/>
      </c>
      <c r="F1020" s="23" t="str">
        <f>IF(OR(E1020="",E1020="!!!"),"",IF(NOT(ISNA(VLOOKUP(E1020,E$1:E1019,1,FALSE()))),"OLD",IF(AND(E1020&lt;&gt;"",E1020&lt;&gt;"!!!"),"NEW","")))</f>
        <v> </v>
      </c>
      <c r="G1020" s="24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5" t="str">
        <f>IF(J1020&lt;&gt;1,"",IF(I1020="SBJ","CB","?"))</f>
        <v> </v>
      </c>
      <c r="I1020" s="26" t="str">
        <f>IF(OR(E1020="",E1020="!!!",F1020="NEW"),"",INDEX(B1019:B$2,-1+SUMPRODUCT(MAX(ROW(E1019:E$2)*(E1020=E1019:E$2)))))</f>
        <v> </v>
      </c>
      <c r="J1020" s="26" t="str">
        <f>IF(OR(E1020="",E1020="!!!",F1020="NEW"),"",COUNTBLANK(OFFSET(A$1,,,SUMPRODUCT(MAX(ROW(E$2:E1020)*(E1020=E$2:E1020)))))-COUNTBLANK(OFFSET(A$1,,,SUMPRODUCT(MAX(ROW(E$1:E1019)*(E2=E$1:E1019))))))</f>
        <v> </v>
      </c>
      <c r="K1020" s="26" t="str">
        <f>IF(OR(E1020="",E1020="!!!",F1020="NEW"),"",INDEX(J$1:J1019,SUMPRODUCT(MAX(ROW(E$1:E1019)*(E1020=E$1:E1019)))))</f>
        <v> </v>
      </c>
      <c r="L1020" s="27"/>
    </row>
    <row r="1021" spans="1:12">
      <c r="A1021" s="20" t="s">
        <v>754</v>
      </c>
      <c r="B1021" s="21" t="s">
        <v>419</v>
      </c>
      <c r="C1021" s="21" t="s">
        <v>401</v>
      </c>
      <c r="D1021" s="21" t="s">
        <v>368</v>
      </c>
      <c r="E1021" s="22">
        <f>IF(D1021="?OLD","!!!","")</f>
        <v/>
      </c>
      <c r="F1021" s="23" t="str">
        <f>IF(OR(E1021="",E1021="!!!"),"",IF(NOT(ISNA(VLOOKUP(E1021,E$1:E1020,1,FALSE()))),"OLD",IF(AND(E1021&lt;&gt;"",E1021&lt;&gt;"!!!"),"NEW","")))</f>
        <v> </v>
      </c>
      <c r="G1021" s="24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5" t="str">
        <f>IF(J1021&lt;&gt;1,"",IF(I1021="SBJ","CB","?"))</f>
        <v> </v>
      </c>
      <c r="I1021" s="26" t="str">
        <f>IF(OR(E1021="",E1021="!!!",F1021="NEW"),"",INDEX(B1020:B$2,-1+SUMPRODUCT(MAX(ROW(E1020:E$2)*(E1021=E1020:E$2)))))</f>
        <v> </v>
      </c>
      <c r="J1021" s="26" t="str">
        <f>IF(OR(E1021="",E1021="!!!",F1021="NEW"),"",COUNTBLANK(OFFSET(A$1,,,SUMPRODUCT(MAX(ROW(E$2:E1021)*(E1021=E$2:E1021)))))-COUNTBLANK(OFFSET(A$1,,,SUMPRODUCT(MAX(ROW(E$1:E1020)*(E2=E$1:E1020))))))</f>
        <v> </v>
      </c>
      <c r="K1021" s="26" t="str">
        <f>IF(OR(E1021="",E1021="!!!",F1021="NEW"),"",INDEX(J$1:J1020,SUMPRODUCT(MAX(ROW(E$1:E1020)*(E1021=E$1:E1020)))))</f>
        <v> </v>
      </c>
      <c r="L1021" s="27"/>
    </row>
    <row r="1022" spans="1:12">
      <c r="A1022" s="20" t="s">
        <v>376</v>
      </c>
      <c r="E1022" s="22">
        <f>IF(D1022="?OLD","!!!","")</f>
        <v/>
      </c>
      <c r="F1022" s="23" t="str">
        <f>IF(OR(E1022="",E1022="!!!"),"",IF(NOT(ISNA(VLOOKUP(E1022,E$1:E1021,1,FALSE()))),"OLD",IF(AND(E1022&lt;&gt;"",E1022&lt;&gt;"!!!"),"NEW","")))</f>
        <v> </v>
      </c>
      <c r="G1022" s="24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5" t="str">
        <f>IF(J1022&lt;&gt;1,"",IF(I1022="SBJ","CB","?"))</f>
        <v> </v>
      </c>
      <c r="I1022" s="26" t="str">
        <f>IF(OR(E1022="",E1022="!!!",F1022="NEW"),"",INDEX(B1021:B$2,-1+SUMPRODUCT(MAX(ROW(E1021:E$2)*(E1022=E1021:E$2)))))</f>
        <v> </v>
      </c>
      <c r="J1022" s="26" t="str">
        <f>IF(OR(E1022="",E1022="!!!",F1022="NEW"),"",COUNTBLANK(OFFSET(A$1,,,SUMPRODUCT(MAX(ROW(E$2:E1022)*(E1022=E$2:E1022)))))-COUNTBLANK(OFFSET(A$1,,,SUMPRODUCT(MAX(ROW(E$1:E1021)*(E2=E$1:E1021))))))</f>
        <v> </v>
      </c>
      <c r="K1022" s="26" t="str">
        <f>IF(OR(E1022="",E1022="!!!",F1022="NEW"),"",INDEX(J$1:J1021,SUMPRODUCT(MAX(ROW(E$1:E1021)*(E1022=E$1:E1021)))))</f>
        <v> </v>
      </c>
      <c r="L1022" s="27"/>
    </row>
    <row r="1023" spans="1:12">
      <c r="A1023" s="20" t="s">
        <v>755</v>
      </c>
      <c r="E1023" s="22">
        <f>IF(D1023="?OLD","!!!","")</f>
        <v/>
      </c>
      <c r="F1023" s="23" t="str">
        <f>IF(OR(E1023="",E1023="!!!"),"",IF(NOT(ISNA(VLOOKUP(E1023,E$1:E1022,1,FALSE()))),"OLD",IF(AND(E1023&lt;&gt;"",E1023&lt;&gt;"!!!"),"NEW","")))</f>
        <v> </v>
      </c>
      <c r="G1023" s="24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5" t="str">
        <f>IF(J1023&lt;&gt;1,"",IF(I1023="SBJ","CB","?"))</f>
        <v> </v>
      </c>
      <c r="I1023" s="26" t="str">
        <f>IF(OR(E1023="",E1023="!!!",F1023="NEW"),"",INDEX(B1022:B$2,-1+SUMPRODUCT(MAX(ROW(E1022:E$2)*(E1023=E1022:E$2)))))</f>
        <v> </v>
      </c>
      <c r="J1023" s="26" t="str">
        <f>IF(OR(E1023="",E1023="!!!",F1023="NEW"),"",COUNTBLANK(OFFSET(A$1,,,SUMPRODUCT(MAX(ROW(E$2:E1023)*(E1023=E$2:E1023)))))-COUNTBLANK(OFFSET(A$1,,,SUMPRODUCT(MAX(ROW(E$1:E1022)*(E2=E$1:E1022))))))</f>
        <v> </v>
      </c>
      <c r="K1023" s="26" t="str">
        <f>IF(OR(E1023="",E1023="!!!",F1023="NEW"),"",INDEX(J$1:J1022,SUMPRODUCT(MAX(ROW(E$1:E1022)*(E1023=E$1:E1022)))))</f>
        <v> </v>
      </c>
      <c r="L1023" s="27"/>
    </row>
    <row r="1024" spans="1:12">
      <c r="A1024" s="20"/>
    </row>
    <row r="1025" spans="1:12">
      <c r="A1025" s="20" t="s">
        <v>756</v>
      </c>
    </row>
    <row r="1026" spans="1:12">
      <c r="A1026" s="20" t="s">
        <v>743</v>
      </c>
      <c r="E1026" s="22">
        <f>IF(D1026="?OLD","!!!","")</f>
        <v/>
      </c>
      <c r="F1026" s="23" t="str">
        <f>IF(OR(E1026="",E1026="!!!"),"",IF(NOT(ISNA(VLOOKUP(E1026,E$1:E1025,1,FALSE()))),"OLD",IF(AND(E1026&lt;&gt;"",E1026&lt;&gt;"!!!"),"NEW","")))</f>
        <v> </v>
      </c>
      <c r="G1026" s="24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5" t="str">
        <f>IF(J1026&lt;&gt;1,"",IF(I1026="SBJ","CB","?"))</f>
        <v> </v>
      </c>
      <c r="I1026" s="26" t="str">
        <f>IF(OR(E1026="",E1026="!!!",F1026="NEW"),"",INDEX(B1025:B$2,-1+SUMPRODUCT(MAX(ROW(E1025:E$2)*(E1026=E1025:E$2)))))</f>
        <v> </v>
      </c>
      <c r="J1026" s="26" t="str">
        <f>IF(OR(E1026="",E1026="!!!",F1026="NEW"),"",COUNTBLANK(OFFSET(A$1,,,SUMPRODUCT(MAX(ROW(E$2:E1026)*(E1026=E$2:E1026)))))-COUNTBLANK(OFFSET(A$1,,,SUMPRODUCT(MAX(ROW(E$1:E1025)*(E2=E$1:E1025))))))</f>
        <v> </v>
      </c>
      <c r="K1026" s="26" t="str">
        <f>IF(OR(E1026="",E1026="!!!",F1026="NEW"),"",INDEX(J$1:J1025,SUMPRODUCT(MAX(ROW(E$1:E1025)*(E1026=E$1:E1025)))))</f>
        <v> </v>
      </c>
      <c r="L1026" s="27"/>
    </row>
    <row r="1027" spans="1:12">
      <c r="A1027" s="20" t="s">
        <v>757</v>
      </c>
      <c r="E1027" s="22">
        <f>IF(D1027="?OLD","!!!","")</f>
        <v/>
      </c>
      <c r="F1027" s="23" t="str">
        <f>IF(OR(E1027="",E1027="!!!"),"",IF(NOT(ISNA(VLOOKUP(E1027,E$1:E1026,1,FALSE()))),"OLD",IF(AND(E1027&lt;&gt;"",E1027&lt;&gt;"!!!"),"NEW","")))</f>
        <v> </v>
      </c>
      <c r="G1027" s="24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5" t="str">
        <f>IF(J1027&lt;&gt;1,"",IF(I1027="SBJ","CB","?"))</f>
        <v> </v>
      </c>
      <c r="I1027" s="26" t="str">
        <f>IF(OR(E1027="",E1027="!!!",F1027="NEW"),"",INDEX(B1026:B$2,-1+SUMPRODUCT(MAX(ROW(E1026:E$2)*(E1027=E1026:E$2)))))</f>
        <v> </v>
      </c>
      <c r="J1027" s="26" t="str">
        <f>IF(OR(E1027="",E1027="!!!",F1027="NEW"),"",COUNTBLANK(OFFSET(A$1,,,SUMPRODUCT(MAX(ROW(E$2:E1027)*(E1027=E$2:E1027)))))-COUNTBLANK(OFFSET(A$1,,,SUMPRODUCT(MAX(ROW(E$1:E1026)*(E2=E$1:E1026))))))</f>
        <v> </v>
      </c>
      <c r="K1027" s="26" t="str">
        <f>IF(OR(E1027="",E1027="!!!",F1027="NEW"),"",INDEX(J$1:J1026,SUMPRODUCT(MAX(ROW(E$1:E1026)*(E1027=E$1:E1026)))))</f>
        <v> </v>
      </c>
      <c r="L1027" s="27"/>
    </row>
    <row r="1028" spans="1:12">
      <c r="A1028" s="20" t="s">
        <v>326</v>
      </c>
      <c r="B1028" s="21" t="s">
        <v>374</v>
      </c>
      <c r="C1028" s="21" t="s">
        <v>430</v>
      </c>
      <c r="E1028" s="22">
        <f>IF(D1028="?OLD","!!!","")</f>
        <v/>
      </c>
      <c r="F1028" s="23" t="str">
        <f>IF(OR(E1028="",E1028="!!!"),"",IF(NOT(ISNA(VLOOKUP(E1028,E$1:E1027,1,FALSE()))),"OLD",IF(AND(E1028&lt;&gt;"",E1028&lt;&gt;"!!!"),"NEW","")))</f>
        <v> </v>
      </c>
      <c r="G1028" s="24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5" t="str">
        <f>IF(J1028&lt;&gt;1,"",IF(I1028="SBJ","CB","?"))</f>
        <v> </v>
      </c>
      <c r="I1028" s="26" t="str">
        <f>IF(OR(E1028="",E1028="!!!",F1028="NEW"),"",INDEX(B1027:B$2,-1+SUMPRODUCT(MAX(ROW(E1027:E$2)*(E1028=E1027:E$2)))))</f>
        <v> </v>
      </c>
      <c r="J1028" s="26" t="str">
        <f>IF(OR(E1028="",E1028="!!!",F1028="NEW"),"",COUNTBLANK(OFFSET(A$1,,,SUMPRODUCT(MAX(ROW(E$2:E1028)*(E1028=E$2:E1028)))))-COUNTBLANK(OFFSET(A$1,,,SUMPRODUCT(MAX(ROW(E$1:E1027)*(E2=E$1:E1027))))))</f>
        <v> </v>
      </c>
      <c r="K1028" s="26" t="str">
        <f>IF(OR(E1028="",E1028="!!!",F1028="NEW"),"",INDEX(J$1:J1027,SUMPRODUCT(MAX(ROW(E$1:E1027)*(E1028=E$1:E1027)))))</f>
        <v> </v>
      </c>
      <c r="L1028" s="27"/>
    </row>
    <row r="1029" spans="1:12">
      <c r="A1029" s="20" t="s">
        <v>564</v>
      </c>
      <c r="E1029" s="22">
        <f>IF(D1029="?OLD","!!!","")</f>
        <v/>
      </c>
      <c r="F1029" s="23" t="str">
        <f>IF(OR(E1029="",E1029="!!!"),"",IF(NOT(ISNA(VLOOKUP(E1029,E$1:E1028,1,FALSE()))),"OLD",IF(AND(E1029&lt;&gt;"",E1029&lt;&gt;"!!!"),"NEW","")))</f>
        <v> </v>
      </c>
      <c r="G1029" s="24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5" t="str">
        <f>IF(J1029&lt;&gt;1,"",IF(I1029="SBJ","CB","?"))</f>
        <v> </v>
      </c>
      <c r="I1029" s="26" t="str">
        <f>IF(OR(E1029="",E1029="!!!",F1029="NEW"),"",INDEX(B1028:B$2,-1+SUMPRODUCT(MAX(ROW(E1028:E$2)*(E1029=E1028:E$2)))))</f>
        <v> </v>
      </c>
      <c r="J1029" s="26" t="str">
        <f>IF(OR(E1029="",E1029="!!!",F1029="NEW"),"",COUNTBLANK(OFFSET(A$1,,,SUMPRODUCT(MAX(ROW(E$2:E1029)*(E1029=E$2:E1029)))))-COUNTBLANK(OFFSET(A$1,,,SUMPRODUCT(MAX(ROW(E$1:E1028)*(E2=E$1:E1028))))))</f>
        <v> </v>
      </c>
      <c r="K1029" s="26" t="str">
        <f>IF(OR(E1029="",E1029="!!!",F1029="NEW"),"",INDEX(J$1:J1028,SUMPRODUCT(MAX(ROW(E$1:E1028)*(E1029=E$1:E1028)))))</f>
        <v> </v>
      </c>
      <c r="L1029" s="27"/>
    </row>
    <row r="1030" spans="1:12">
      <c r="A1030" s="20" t="s">
        <v>496</v>
      </c>
      <c r="E1030" s="22">
        <f>IF(D1030="?OLD","!!!","")</f>
        <v/>
      </c>
      <c r="F1030" s="23" t="str">
        <f>IF(OR(E1030="",E1030="!!!"),"",IF(NOT(ISNA(VLOOKUP(E1030,E$1:E1029,1,FALSE()))),"OLD",IF(AND(E1030&lt;&gt;"",E1030&lt;&gt;"!!!"),"NEW","")))</f>
        <v> </v>
      </c>
      <c r="G1030" s="24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5" t="str">
        <f>IF(J1030&lt;&gt;1,"",IF(I1030="SBJ","CB","?"))</f>
        <v> </v>
      </c>
      <c r="I1030" s="26" t="str">
        <f>IF(OR(E1030="",E1030="!!!",F1030="NEW"),"",INDEX(B1029:B$2,-1+SUMPRODUCT(MAX(ROW(E1029:E$2)*(E1030=E1029:E$2)))))</f>
        <v> </v>
      </c>
      <c r="J1030" s="26" t="str">
        <f>IF(OR(E1030="",E1030="!!!",F1030="NEW"),"",COUNTBLANK(OFFSET(A$1,,,SUMPRODUCT(MAX(ROW(E$2:E1030)*(E1030=E$2:E1030)))))-COUNTBLANK(OFFSET(A$1,,,SUMPRODUCT(MAX(ROW(E$1:E1029)*(E2=E$1:E1029))))))</f>
        <v> </v>
      </c>
      <c r="K1030" s="26" t="str">
        <f>IF(OR(E1030="",E1030="!!!",F1030="NEW"),"",INDEX(J$1:J1029,SUMPRODUCT(MAX(ROW(E$1:E1029)*(E1030=E$1:E1029)))))</f>
        <v> </v>
      </c>
      <c r="L1030" s="27"/>
    </row>
    <row r="1031" spans="1:12">
      <c r="A1031" s="20" t="s">
        <v>758</v>
      </c>
      <c r="E1031" s="22">
        <f>IF(D1031="?OLD","!!!","")</f>
        <v/>
      </c>
      <c r="F1031" s="23" t="str">
        <f>IF(OR(E1031="",E1031="!!!"),"",IF(NOT(ISNA(VLOOKUP(E1031,E$1:E1030,1,FALSE()))),"OLD",IF(AND(E1031&lt;&gt;"",E1031&lt;&gt;"!!!"),"NEW","")))</f>
        <v> </v>
      </c>
      <c r="G1031" s="24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5" t="str">
        <f>IF(J1031&lt;&gt;1,"",IF(I1031="SBJ","CB","?"))</f>
        <v> </v>
      </c>
      <c r="I1031" s="26" t="str">
        <f>IF(OR(E1031="",E1031="!!!",F1031="NEW"),"",INDEX(B1030:B$2,-1+SUMPRODUCT(MAX(ROW(E1030:E$2)*(E1031=E1030:E$2)))))</f>
        <v> </v>
      </c>
      <c r="J1031" s="26" t="str">
        <f>IF(OR(E1031="",E1031="!!!",F1031="NEW"),"",COUNTBLANK(OFFSET(A$1,,,SUMPRODUCT(MAX(ROW(E$2:E1031)*(E1031=E$2:E1031)))))-COUNTBLANK(OFFSET(A$1,,,SUMPRODUCT(MAX(ROW(E$1:E1030)*(E2=E$1:E1030))))))</f>
        <v> </v>
      </c>
      <c r="K1031" s="26" t="str">
        <f>IF(OR(E1031="",E1031="!!!",F1031="NEW"),"",INDEX(J$1:J1030,SUMPRODUCT(MAX(ROW(E$1:E1030)*(E1031=E$1:E1030)))))</f>
        <v> </v>
      </c>
      <c r="L1031" s="27"/>
    </row>
    <row r="1032" spans="1:12">
      <c r="A1032" s="20" t="s">
        <v>376</v>
      </c>
      <c r="E1032" s="22">
        <f>IF(D1032="?OLD","!!!","")</f>
        <v/>
      </c>
      <c r="F1032" s="23" t="str">
        <f>IF(OR(E1032="",E1032="!!!"),"",IF(NOT(ISNA(VLOOKUP(E1032,E$1:E1031,1,FALSE()))),"OLD",IF(AND(E1032&lt;&gt;"",E1032&lt;&gt;"!!!"),"NEW","")))</f>
        <v> </v>
      </c>
      <c r="G1032" s="24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5" t="str">
        <f>IF(J1032&lt;&gt;1,"",IF(I1032="SBJ","CB","?"))</f>
        <v> </v>
      </c>
      <c r="I1032" s="26" t="str">
        <f>IF(OR(E1032="",E1032="!!!",F1032="NEW"),"",INDEX(B1031:B$2,-1+SUMPRODUCT(MAX(ROW(E1031:E$2)*(E1032=E1031:E$2)))))</f>
        <v> </v>
      </c>
      <c r="J1032" s="26" t="str">
        <f>IF(OR(E1032="",E1032="!!!",F1032="NEW"),"",COUNTBLANK(OFFSET(A$1,,,SUMPRODUCT(MAX(ROW(E$2:E1032)*(E1032=E$2:E1032)))))-COUNTBLANK(OFFSET(A$1,,,SUMPRODUCT(MAX(ROW(E$1:E1031)*(E2=E$1:E1031))))))</f>
        <v> </v>
      </c>
      <c r="K1032" s="26" t="str">
        <f>IF(OR(E1032="",E1032="!!!",F1032="NEW"),"",INDEX(J$1:J1031,SUMPRODUCT(MAX(ROW(E$1:E1031)*(E1032=E$1:E1031)))))</f>
        <v> </v>
      </c>
      <c r="L1032" s="27"/>
    </row>
    <row r="1033" spans="1:12">
      <c r="A1033" s="20" t="s">
        <v>755</v>
      </c>
      <c r="E1033" s="22">
        <f>IF(D1033="?OLD","!!!","")</f>
        <v/>
      </c>
      <c r="F1033" s="23" t="str">
        <f>IF(OR(E1033="",E1033="!!!"),"",IF(NOT(ISNA(VLOOKUP(E1033,E$1:E1032,1,FALSE()))),"OLD",IF(AND(E1033&lt;&gt;"",E1033&lt;&gt;"!!!"),"NEW","")))</f>
        <v> </v>
      </c>
      <c r="G1033" s="24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5" t="str">
        <f>IF(J1033&lt;&gt;1,"",IF(I1033="SBJ","CB","?"))</f>
        <v> </v>
      </c>
      <c r="I1033" s="26" t="str">
        <f>IF(OR(E1033="",E1033="!!!",F1033="NEW"),"",INDEX(B1032:B$2,-1+SUMPRODUCT(MAX(ROW(E1032:E$2)*(E1033=E1032:E$2)))))</f>
        <v> </v>
      </c>
      <c r="J1033" s="26" t="str">
        <f>IF(OR(E1033="",E1033="!!!",F1033="NEW"),"",COUNTBLANK(OFFSET(A$1,,,SUMPRODUCT(MAX(ROW(E$2:E1033)*(E1033=E$2:E1033)))))-COUNTBLANK(OFFSET(A$1,,,SUMPRODUCT(MAX(ROW(E$1:E1032)*(E2=E$1:E1032))))))</f>
        <v> </v>
      </c>
      <c r="K1033" s="26" t="str">
        <f>IF(OR(E1033="",E1033="!!!",F1033="NEW"),"",INDEX(J$1:J1032,SUMPRODUCT(MAX(ROW(E$1:E1032)*(E1033=E$1:E1032)))))</f>
        <v> </v>
      </c>
      <c r="L1033" s="27"/>
    </row>
    <row r="1034" spans="1:12">
      <c r="A1034" s="20"/>
    </row>
    <row r="1035" spans="1:12">
      <c r="A1035" s="20" t="s">
        <v>759</v>
      </c>
    </row>
    <row r="1036" spans="1:12">
      <c r="A1036" s="20" t="s">
        <v>760</v>
      </c>
      <c r="E1036" s="22">
        <f>IF(D1036="?OLD","!!!","")</f>
        <v/>
      </c>
      <c r="F1036" s="23" t="str">
        <f>IF(OR(E1036="",E1036="!!!"),"",IF(NOT(ISNA(VLOOKUP(E1036,E$1:E1035,1,FALSE()))),"OLD",IF(AND(E1036&lt;&gt;"",E1036&lt;&gt;"!!!"),"NEW","")))</f>
        <v> </v>
      </c>
      <c r="G1036" s="24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5" t="str">
        <f>IF(J1036&lt;&gt;1,"",IF(I1036="SBJ","CB","?"))</f>
        <v> </v>
      </c>
      <c r="I1036" s="26" t="str">
        <f>IF(OR(E1036="",E1036="!!!",F1036="NEW"),"",INDEX(B1035:B$2,-1+SUMPRODUCT(MAX(ROW(E1035:E$2)*(E1036=E1035:E$2)))))</f>
        <v> </v>
      </c>
      <c r="J1036" s="26" t="str">
        <f>IF(OR(E1036="",E1036="!!!",F1036="NEW"),"",COUNTBLANK(OFFSET(A$1,,,SUMPRODUCT(MAX(ROW(E$2:E1036)*(E1036=E$2:E1036)))))-COUNTBLANK(OFFSET(A$1,,,SUMPRODUCT(MAX(ROW(E$1:E1035)*(E2=E$1:E1035))))))</f>
        <v> </v>
      </c>
      <c r="K1036" s="26" t="str">
        <f>IF(OR(E1036="",E1036="!!!",F1036="NEW"),"",INDEX(J$1:J1035,SUMPRODUCT(MAX(ROW(E$1:E1035)*(E1036=E$1:E1035)))))</f>
        <v> </v>
      </c>
      <c r="L1036" s="27"/>
    </row>
    <row r="1037" spans="1:12">
      <c r="A1037" s="20" t="s">
        <v>456</v>
      </c>
      <c r="B1037" s="21" t="s">
        <v>366</v>
      </c>
      <c r="C1037" s="21" t="s">
        <v>434</v>
      </c>
      <c r="D1037" s="21" t="s">
        <v>368</v>
      </c>
      <c r="E1037" s="22">
        <f>IF(D1037="?OLD","!!!","")</f>
        <v/>
      </c>
      <c r="F1037" s="23" t="str">
        <f>IF(OR(E1037="",E1037="!!!"),"",IF(NOT(ISNA(VLOOKUP(E1037,E$1:E1036,1,FALSE()))),"OLD",IF(AND(E1037&lt;&gt;"",E1037&lt;&gt;"!!!"),"NEW","")))</f>
        <v> </v>
      </c>
      <c r="G1037" s="24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5" t="str">
        <f>IF(J1037&lt;&gt;1,"",IF(I1037="SBJ","CB","?"))</f>
        <v> </v>
      </c>
      <c r="I1037" s="26" t="str">
        <f>IF(OR(E1037="",E1037="!!!",F1037="NEW"),"",INDEX(B1036:B$2,-1+SUMPRODUCT(MAX(ROW(E1036:E$2)*(E1037=E1036:E$2)))))</f>
        <v> </v>
      </c>
      <c r="J1037" s="26" t="str">
        <f>IF(OR(E1037="",E1037="!!!",F1037="NEW"),"",COUNTBLANK(OFFSET(A$1,,,SUMPRODUCT(MAX(ROW(E$2:E1037)*(E1037=E$2:E1037)))))-COUNTBLANK(OFFSET(A$1,,,SUMPRODUCT(MAX(ROW(E$1:E1036)*(E2=E$1:E1036))))))</f>
        <v> </v>
      </c>
      <c r="K1037" s="26" t="str">
        <f>IF(OR(E1037="",E1037="!!!",F1037="NEW"),"",INDEX(J$1:J1036,SUMPRODUCT(MAX(ROW(E$1:E1036)*(E1037=E$1:E1036)))))</f>
        <v> </v>
      </c>
      <c r="L1037" s="27"/>
    </row>
    <row r="1038" spans="1:12">
      <c r="A1038" s="20" t="s">
        <v>761</v>
      </c>
      <c r="E1038" s="22">
        <f>IF(D1038="?OLD","!!!","")</f>
        <v/>
      </c>
      <c r="F1038" s="23" t="str">
        <f>IF(OR(E1038="",E1038="!!!"),"",IF(NOT(ISNA(VLOOKUP(E1038,E$1:E1037,1,FALSE()))),"OLD",IF(AND(E1038&lt;&gt;"",E1038&lt;&gt;"!!!"),"NEW","")))</f>
        <v> </v>
      </c>
      <c r="G1038" s="24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5" t="str">
        <f>IF(J1038&lt;&gt;1,"",IF(I1038="SBJ","CB","?"))</f>
        <v> </v>
      </c>
      <c r="I1038" s="26" t="str">
        <f>IF(OR(E1038="",E1038="!!!",F1038="NEW"),"",INDEX(B1037:B$2,-1+SUMPRODUCT(MAX(ROW(E1037:E$2)*(E1038=E1037:E$2)))))</f>
        <v> </v>
      </c>
      <c r="J1038" s="26" t="str">
        <f>IF(OR(E1038="",E1038="!!!",F1038="NEW"),"",COUNTBLANK(OFFSET(A$1,,,SUMPRODUCT(MAX(ROW(E$2:E1038)*(E1038=E$2:E1038)))))-COUNTBLANK(OFFSET(A$1,,,SUMPRODUCT(MAX(ROW(E$1:E1037)*(E2=E$1:E1037))))))</f>
        <v> </v>
      </c>
      <c r="K1038" s="26" t="str">
        <f>IF(OR(E1038="",E1038="!!!",F1038="NEW"),"",INDEX(J$1:J1037,SUMPRODUCT(MAX(ROW(E$1:E1037)*(E1038=E$1:E1037)))))</f>
        <v> </v>
      </c>
      <c r="L1038" s="27"/>
    </row>
    <row r="1039" spans="1:12">
      <c r="A1039" s="20" t="s">
        <v>402</v>
      </c>
      <c r="E1039" s="22">
        <f>IF(D1039="?OLD","!!!","")</f>
        <v/>
      </c>
      <c r="F1039" s="23" t="str">
        <f>IF(OR(E1039="",E1039="!!!"),"",IF(NOT(ISNA(VLOOKUP(E1039,E$1:E1038,1,FALSE()))),"OLD",IF(AND(E1039&lt;&gt;"",E1039&lt;&gt;"!!!"),"NEW","")))</f>
        <v> </v>
      </c>
      <c r="G1039" s="24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5" t="str">
        <f>IF(J1039&lt;&gt;1,"",IF(I1039="SBJ","CB","?"))</f>
        <v> </v>
      </c>
      <c r="I1039" s="26" t="str">
        <f>IF(OR(E1039="",E1039="!!!",F1039="NEW"),"",INDEX(B1038:B$2,-1+SUMPRODUCT(MAX(ROW(E1038:E$2)*(E1039=E1038:E$2)))))</f>
        <v> </v>
      </c>
      <c r="J1039" s="26" t="str">
        <f>IF(OR(E1039="",E1039="!!!",F1039="NEW"),"",COUNTBLANK(OFFSET(A$1,,,SUMPRODUCT(MAX(ROW(E$2:E1039)*(E1039=E$2:E1039)))))-COUNTBLANK(OFFSET(A$1,,,SUMPRODUCT(MAX(ROW(E$1:E1038)*(E2=E$1:E1038))))))</f>
        <v> </v>
      </c>
      <c r="K1039" s="26" t="str">
        <f>IF(OR(E1039="",E1039="!!!",F1039="NEW"),"",INDEX(J$1:J1038,SUMPRODUCT(MAX(ROW(E$1:E1038)*(E1039=E$1:E1038)))))</f>
        <v> </v>
      </c>
      <c r="L1039" s="27"/>
    </row>
    <row r="1040" spans="1:12">
      <c r="A1040" s="20" t="s">
        <v>762</v>
      </c>
      <c r="E1040" s="22">
        <f>IF(D1040="?OLD","!!!","")</f>
        <v/>
      </c>
      <c r="F1040" s="23" t="str">
        <f>IF(OR(E1040="",E1040="!!!"),"",IF(NOT(ISNA(VLOOKUP(E1040,E$1:E1039,1,FALSE()))),"OLD",IF(AND(E1040&lt;&gt;"",E1040&lt;&gt;"!!!"),"NEW","")))</f>
        <v> </v>
      </c>
      <c r="G1040" s="24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5" t="str">
        <f>IF(J1040&lt;&gt;1,"",IF(I1040="SBJ","CB","?"))</f>
        <v> </v>
      </c>
      <c r="I1040" s="26" t="str">
        <f>IF(OR(E1040="",E1040="!!!",F1040="NEW"),"",INDEX(B1039:B$2,-1+SUMPRODUCT(MAX(ROW(E1039:E$2)*(E1040=E1039:E$2)))))</f>
        <v> </v>
      </c>
      <c r="J1040" s="26" t="str">
        <f>IF(OR(E1040="",E1040="!!!",F1040="NEW"),"",COUNTBLANK(OFFSET(A$1,,,SUMPRODUCT(MAX(ROW(E$2:E1040)*(E1040=E$2:E1040)))))-COUNTBLANK(OFFSET(A$1,,,SUMPRODUCT(MAX(ROW(E$1:E1039)*(E2=E$1:E1039))))))</f>
        <v> </v>
      </c>
      <c r="K1040" s="26" t="str">
        <f>IF(OR(E1040="",E1040="!!!",F1040="NEW"),"",INDEX(J$1:J1039,SUMPRODUCT(MAX(ROW(E$1:E1039)*(E1040=E$1:E1039)))))</f>
        <v> </v>
      </c>
      <c r="L1040" s="27"/>
    </row>
    <row r="1041" spans="1:12">
      <c r="A1041" s="20" t="s">
        <v>763</v>
      </c>
      <c r="E1041" s="22">
        <f>IF(D1041="?OLD","!!!","")</f>
        <v/>
      </c>
      <c r="F1041" s="23" t="str">
        <f>IF(OR(E1041="",E1041="!!!"),"",IF(NOT(ISNA(VLOOKUP(E1041,E$1:E1040,1,FALSE()))),"OLD",IF(AND(E1041&lt;&gt;"",E1041&lt;&gt;"!!!"),"NEW","")))</f>
        <v> </v>
      </c>
      <c r="G1041" s="24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5" t="str">
        <f>IF(J1041&lt;&gt;1,"",IF(I1041="SBJ","CB","?"))</f>
        <v> </v>
      </c>
      <c r="I1041" s="26" t="str">
        <f>IF(OR(E1041="",E1041="!!!",F1041="NEW"),"",INDEX(B1040:B$2,-1+SUMPRODUCT(MAX(ROW(E1040:E$2)*(E1041=E1040:E$2)))))</f>
        <v> </v>
      </c>
      <c r="J1041" s="26" t="str">
        <f>IF(OR(E1041="",E1041="!!!",F1041="NEW"),"",COUNTBLANK(OFFSET(A$1,,,SUMPRODUCT(MAX(ROW(E$2:E1041)*(E1041=E$2:E1041)))))-COUNTBLANK(OFFSET(A$1,,,SUMPRODUCT(MAX(ROW(E$1:E1040)*(E2=E$1:E1040))))))</f>
        <v> </v>
      </c>
      <c r="K1041" s="26" t="str">
        <f>IF(OR(E1041="",E1041="!!!",F1041="NEW"),"",INDEX(J$1:J1040,SUMPRODUCT(MAX(ROW(E$1:E1040)*(E1041=E$1:E1040)))))</f>
        <v> </v>
      </c>
      <c r="L1041" s="27"/>
    </row>
    <row r="1042" spans="1:12">
      <c r="A1042" s="20" t="s">
        <v>376</v>
      </c>
      <c r="E1042" s="22">
        <f>IF(D1042="?OLD","!!!","")</f>
        <v/>
      </c>
      <c r="F1042" s="23" t="str">
        <f>IF(OR(E1042="",E1042="!!!"),"",IF(NOT(ISNA(VLOOKUP(E1042,E$1:E1041,1,FALSE()))),"OLD",IF(AND(E1042&lt;&gt;"",E1042&lt;&gt;"!!!"),"NEW","")))</f>
        <v> </v>
      </c>
      <c r="G1042" s="24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5" t="str">
        <f>IF(J1042&lt;&gt;1,"",IF(I1042="SBJ","CB","?"))</f>
        <v> </v>
      </c>
      <c r="I1042" s="26" t="str">
        <f>IF(OR(E1042="",E1042="!!!",F1042="NEW"),"",INDEX(B1041:B$2,-1+SUMPRODUCT(MAX(ROW(E1041:E$2)*(E1042=E1041:E$2)))))</f>
        <v> </v>
      </c>
      <c r="J1042" s="26" t="str">
        <f>IF(OR(E1042="",E1042="!!!",F1042="NEW"),"",COUNTBLANK(OFFSET(A$1,,,SUMPRODUCT(MAX(ROW(E$2:E1042)*(E1042=E$2:E1042)))))-COUNTBLANK(OFFSET(A$1,,,SUMPRODUCT(MAX(ROW(E$1:E1041)*(E2=E$1:E1041))))))</f>
        <v> </v>
      </c>
      <c r="K1042" s="26" t="str">
        <f>IF(OR(E1042="",E1042="!!!",F1042="NEW"),"",INDEX(J$1:J1041,SUMPRODUCT(MAX(ROW(E$1:E1041)*(E1042=E$1:E1041)))))</f>
        <v> </v>
      </c>
      <c r="L1042" s="27"/>
    </row>
    <row r="1043" spans="1:12">
      <c r="A1043" s="20" t="s">
        <v>755</v>
      </c>
      <c r="E1043" s="22">
        <f>IF(D1043="?OLD","!!!","")</f>
        <v/>
      </c>
      <c r="F1043" s="23" t="str">
        <f>IF(OR(E1043="",E1043="!!!"),"",IF(NOT(ISNA(VLOOKUP(E1043,E$1:E1042,1,FALSE()))),"OLD",IF(AND(E1043&lt;&gt;"",E1043&lt;&gt;"!!!"),"NEW","")))</f>
        <v> </v>
      </c>
      <c r="G1043" s="24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5" t="str">
        <f>IF(J1043&lt;&gt;1,"",IF(I1043="SBJ","CB","?"))</f>
        <v> </v>
      </c>
      <c r="I1043" s="26" t="str">
        <f>IF(OR(E1043="",E1043="!!!",F1043="NEW"),"",INDEX(B1042:B$2,-1+SUMPRODUCT(MAX(ROW(E1042:E$2)*(E1043=E1042:E$2)))))</f>
        <v> </v>
      </c>
      <c r="J1043" s="26" t="str">
        <f>IF(OR(E1043="",E1043="!!!",F1043="NEW"),"",COUNTBLANK(OFFSET(A$1,,,SUMPRODUCT(MAX(ROW(E$2:E1043)*(E1043=E$2:E1043)))))-COUNTBLANK(OFFSET(A$1,,,SUMPRODUCT(MAX(ROW(E$1:E1042)*(E2=E$1:E1042))))))</f>
        <v> </v>
      </c>
      <c r="K1043" s="26" t="str">
        <f>IF(OR(E1043="",E1043="!!!",F1043="NEW"),"",INDEX(J$1:J1042,SUMPRODUCT(MAX(ROW(E$1:E1042)*(E1043=E$1:E1042)))))</f>
        <v> </v>
      </c>
      <c r="L1043" s="27"/>
    </row>
    <row r="1044" spans="1:12">
      <c r="A1044" s="20"/>
    </row>
    <row r="1045" spans="1:12">
      <c r="A1045" s="20" t="s">
        <v>764</v>
      </c>
    </row>
    <row r="1046" spans="1:12">
      <c r="A1046" s="20" t="s">
        <v>765</v>
      </c>
      <c r="E1046" s="22">
        <f>IF(D1046="?OLD","!!!","")</f>
        <v/>
      </c>
      <c r="F1046" s="23" t="str">
        <f>IF(OR(E1046="",E1046="!!!"),"",IF(NOT(ISNA(VLOOKUP(E1046,E$1:E1045,1,FALSE()))),"OLD",IF(AND(E1046&lt;&gt;"",E1046&lt;&gt;"!!!"),"NEW","")))</f>
        <v> </v>
      </c>
      <c r="G1046" s="24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5" t="str">
        <f>IF(J1046&lt;&gt;1,"",IF(I1046="SBJ","CB","?"))</f>
        <v> </v>
      </c>
      <c r="I1046" s="26" t="str">
        <f>IF(OR(E1046="",E1046="!!!",F1046="NEW"),"",INDEX(B1045:B$2,-1+SUMPRODUCT(MAX(ROW(E1045:E$2)*(E1046=E1045:E$2)))))</f>
        <v> </v>
      </c>
      <c r="J1046" s="26" t="str">
        <f>IF(OR(E1046="",E1046="!!!",F1046="NEW"),"",COUNTBLANK(OFFSET(A$1,,,SUMPRODUCT(MAX(ROW(E$2:E1046)*(E1046=E$2:E1046)))))-COUNTBLANK(OFFSET(A$1,,,SUMPRODUCT(MAX(ROW(E$1:E1045)*(E2=E$1:E1045))))))</f>
        <v> </v>
      </c>
      <c r="K1046" s="26" t="str">
        <f>IF(OR(E1046="",E1046="!!!",F1046="NEW"),"",INDEX(J$1:J1045,SUMPRODUCT(MAX(ROW(E$1:E1045)*(E1046=E$1:E1045)))))</f>
        <v> </v>
      </c>
      <c r="L1046" s="27"/>
    </row>
    <row r="1047" spans="1:12">
      <c r="A1047" s="20" t="s">
        <v>440</v>
      </c>
      <c r="E1047" s="22">
        <f>IF(D1047="?OLD","!!!","")</f>
        <v/>
      </c>
      <c r="F1047" s="23" t="str">
        <f>IF(OR(E1047="",E1047="!!!"),"",IF(NOT(ISNA(VLOOKUP(E1047,E$1:E1046,1,FALSE()))),"OLD",IF(AND(E1047&lt;&gt;"",E1047&lt;&gt;"!!!"),"NEW","")))</f>
        <v> </v>
      </c>
      <c r="G1047" s="24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5" t="str">
        <f>IF(J1047&lt;&gt;1,"",IF(I1047="SBJ","CB","?"))</f>
        <v> </v>
      </c>
      <c r="I1047" s="26" t="str">
        <f>IF(OR(E1047="",E1047="!!!",F1047="NEW"),"",INDEX(B1046:B$2,-1+SUMPRODUCT(MAX(ROW(E1046:E$2)*(E1047=E1046:E$2)))))</f>
        <v> </v>
      </c>
      <c r="J1047" s="26" t="str">
        <f>IF(OR(E1047="",E1047="!!!",F1047="NEW"),"",COUNTBLANK(OFFSET(A$1,,,SUMPRODUCT(MAX(ROW(E$2:E1047)*(E1047=E$2:E1047)))))-COUNTBLANK(OFFSET(A$1,,,SUMPRODUCT(MAX(ROW(E$1:E1046)*(E2=E$1:E1046))))))</f>
        <v> </v>
      </c>
      <c r="K1047" s="26" t="str">
        <f>IF(OR(E1047="",E1047="!!!",F1047="NEW"),"",INDEX(J$1:J1046,SUMPRODUCT(MAX(ROW(E$1:E1046)*(E1047=E$1:E1046)))))</f>
        <v> </v>
      </c>
      <c r="L1047" s="27"/>
    </row>
    <row r="1048" spans="1:12">
      <c r="A1048" s="20" t="s">
        <v>766</v>
      </c>
      <c r="E1048" s="22">
        <f>IF(D1048="?OLD","!!!","")</f>
        <v/>
      </c>
      <c r="F1048" s="23" t="str">
        <f>IF(OR(E1048="",E1048="!!!"),"",IF(NOT(ISNA(VLOOKUP(E1048,E$1:E1047,1,FALSE()))),"OLD",IF(AND(E1048&lt;&gt;"",E1048&lt;&gt;"!!!"),"NEW","")))</f>
        <v> </v>
      </c>
      <c r="G1048" s="24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5" t="str">
        <f>IF(J1048&lt;&gt;1,"",IF(I1048="SBJ","CB","?"))</f>
        <v> </v>
      </c>
      <c r="I1048" s="26" t="str">
        <f>IF(OR(E1048="",E1048="!!!",F1048="NEW"),"",INDEX(B1047:B$2,-1+SUMPRODUCT(MAX(ROW(E1047:E$2)*(E1048=E1047:E$2)))))</f>
        <v> </v>
      </c>
      <c r="J1048" s="26" t="str">
        <f>IF(OR(E1048="",E1048="!!!",F1048="NEW"),"",COUNTBLANK(OFFSET(A$1,,,SUMPRODUCT(MAX(ROW(E$2:E1048)*(E1048=E$2:E1048)))))-COUNTBLANK(OFFSET(A$1,,,SUMPRODUCT(MAX(ROW(E$1:E1047)*(E2=E$1:E1047))))))</f>
        <v> </v>
      </c>
      <c r="K1048" s="26" t="str">
        <f>IF(OR(E1048="",E1048="!!!",F1048="NEW"),"",INDEX(J$1:J1047,SUMPRODUCT(MAX(ROW(E$1:E1047)*(E1048=E$1:E1047)))))</f>
        <v> </v>
      </c>
      <c r="L1048" s="27"/>
    </row>
    <row r="1049" spans="1:12">
      <c r="A1049" s="20" t="s">
        <v>379</v>
      </c>
      <c r="E1049" s="22">
        <f>IF(D1049="?OLD","!!!","")</f>
        <v/>
      </c>
      <c r="F1049" s="23" t="str">
        <f>IF(OR(E1049="",E1049="!!!"),"",IF(NOT(ISNA(VLOOKUP(E1049,E$1:E1048,1,FALSE()))),"OLD",IF(AND(E1049&lt;&gt;"",E1049&lt;&gt;"!!!"),"NEW","")))</f>
        <v> </v>
      </c>
      <c r="G1049" s="24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5" t="str">
        <f>IF(J1049&lt;&gt;1,"",IF(I1049="SBJ","CB","?"))</f>
        <v> </v>
      </c>
      <c r="I1049" s="26" t="str">
        <f>IF(OR(E1049="",E1049="!!!",F1049="NEW"),"",INDEX(B1048:B$2,-1+SUMPRODUCT(MAX(ROW(E1048:E$2)*(E1049=E1048:E$2)))))</f>
        <v> </v>
      </c>
      <c r="J1049" s="26" t="str">
        <f>IF(OR(E1049="",E1049="!!!",F1049="NEW"),"",COUNTBLANK(OFFSET(A$1,,,SUMPRODUCT(MAX(ROW(E$2:E1049)*(E1049=E$2:E1049)))))-COUNTBLANK(OFFSET(A$1,,,SUMPRODUCT(MAX(ROW(E$1:E1048)*(E2=E$1:E1048))))))</f>
        <v> </v>
      </c>
      <c r="K1049" s="26" t="str">
        <f>IF(OR(E1049="",E1049="!!!",F1049="NEW"),"",INDEX(J$1:J1048,SUMPRODUCT(MAX(ROW(E$1:E1048)*(E1049=E$1:E1048)))))</f>
        <v> </v>
      </c>
      <c r="L1049" s="27"/>
    </row>
    <row r="1050" spans="1:12">
      <c r="A1050" s="20" t="s">
        <v>334</v>
      </c>
      <c r="E1050" s="22">
        <f>IF(D1050="?OLD","!!!","")</f>
        <v/>
      </c>
      <c r="F1050" s="23" t="str">
        <f>IF(OR(E1050="",E1050="!!!"),"",IF(NOT(ISNA(VLOOKUP(E1050,E$1:E1049,1,FALSE()))),"OLD",IF(AND(E1050&lt;&gt;"",E1050&lt;&gt;"!!!"),"NEW","")))</f>
        <v> </v>
      </c>
      <c r="G1050" s="24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5" t="str">
        <f>IF(J1050&lt;&gt;1,"",IF(I1050="SBJ","CB","?"))</f>
        <v> </v>
      </c>
      <c r="I1050" s="26" t="str">
        <f>IF(OR(E1050="",E1050="!!!",F1050="NEW"),"",INDEX(B1049:B$2,-1+SUMPRODUCT(MAX(ROW(E1049:E$2)*(E1050=E1049:E$2)))))</f>
        <v> </v>
      </c>
      <c r="J1050" s="26" t="str">
        <f>IF(OR(E1050="",E1050="!!!",F1050="NEW"),"",COUNTBLANK(OFFSET(A$1,,,SUMPRODUCT(MAX(ROW(E$2:E1050)*(E1050=E$2:E1050)))))-COUNTBLANK(OFFSET(A$1,,,SUMPRODUCT(MAX(ROW(E$1:E1049)*(E2=E$1:E1049))))))</f>
        <v> </v>
      </c>
      <c r="K1050" s="26" t="str">
        <f>IF(OR(E1050="",E1050="!!!",F1050="NEW"),"",INDEX(J$1:J1049,SUMPRODUCT(MAX(ROW(E$1:E1049)*(E1050=E$1:E1049)))))</f>
        <v> </v>
      </c>
      <c r="L1050" s="27"/>
    </row>
    <row r="1051" spans="1:12">
      <c r="A1051" s="20" t="s">
        <v>376</v>
      </c>
      <c r="E1051" s="22">
        <f>IF(D1051="?OLD","!!!","")</f>
        <v/>
      </c>
      <c r="F1051" s="23" t="str">
        <f>IF(OR(E1051="",E1051="!!!"),"",IF(NOT(ISNA(VLOOKUP(E1051,E$1:E1050,1,FALSE()))),"OLD",IF(AND(E1051&lt;&gt;"",E1051&lt;&gt;"!!!"),"NEW","")))</f>
        <v> </v>
      </c>
      <c r="G1051" s="24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5" t="str">
        <f>IF(J1051&lt;&gt;1,"",IF(I1051="SBJ","CB","?"))</f>
        <v> </v>
      </c>
      <c r="I1051" s="26" t="str">
        <f>IF(OR(E1051="",E1051="!!!",F1051="NEW"),"",INDEX(B1050:B$2,-1+SUMPRODUCT(MAX(ROW(E1050:E$2)*(E1051=E1050:E$2)))))</f>
        <v> </v>
      </c>
      <c r="J1051" s="26" t="str">
        <f>IF(OR(E1051="",E1051="!!!",F1051="NEW"),"",COUNTBLANK(OFFSET(A$1,,,SUMPRODUCT(MAX(ROW(E$2:E1051)*(E1051=E$2:E1051)))))-COUNTBLANK(OFFSET(A$1,,,SUMPRODUCT(MAX(ROW(E$1:E1050)*(E2=E$1:E1050))))))</f>
        <v> </v>
      </c>
      <c r="K1051" s="26" t="str">
        <f>IF(OR(E1051="",E1051="!!!",F1051="NEW"),"",INDEX(J$1:J1050,SUMPRODUCT(MAX(ROW(E$1:E1050)*(E1051=E$1:E1050)))))</f>
        <v> </v>
      </c>
      <c r="L1051" s="27"/>
    </row>
    <row r="1052" spans="1:12">
      <c r="A1052" s="20" t="s">
        <v>767</v>
      </c>
      <c r="B1052" s="21" t="s">
        <v>378</v>
      </c>
      <c r="C1052" s="21" t="s">
        <v>434</v>
      </c>
      <c r="D1052" s="21" t="s">
        <v>368</v>
      </c>
      <c r="E1052" s="22">
        <f>IF(D1052="?OLD","!!!","")</f>
        <v/>
      </c>
      <c r="F1052" s="23" t="str">
        <f>IF(OR(E1052="",E1052="!!!"),"",IF(NOT(ISNA(VLOOKUP(E1052,E$1:E1051,1,FALSE()))),"OLD",IF(AND(E1052&lt;&gt;"",E1052&lt;&gt;"!!!"),"NEW","")))</f>
        <v> </v>
      </c>
      <c r="G1052" s="24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5" t="str">
        <f>IF(J1052&lt;&gt;1,"",IF(I1052="SBJ","CB","?"))</f>
        <v> </v>
      </c>
      <c r="I1052" s="26" t="str">
        <f>IF(OR(E1052="",E1052="!!!",F1052="NEW"),"",INDEX(B1051:B$2,-1+SUMPRODUCT(MAX(ROW(E1051:E$2)*(E1052=E1051:E$2)))))</f>
        <v> </v>
      </c>
      <c r="J1052" s="26" t="str">
        <f>IF(OR(E1052="",E1052="!!!",F1052="NEW"),"",COUNTBLANK(OFFSET(A$1,,,SUMPRODUCT(MAX(ROW(E$2:E1052)*(E1052=E$2:E1052)))))-COUNTBLANK(OFFSET(A$1,,,SUMPRODUCT(MAX(ROW(E$1:E1051)*(E2=E$1:E1051))))))</f>
        <v> </v>
      </c>
      <c r="K1052" s="26" t="str">
        <f>IF(OR(E1052="",E1052="!!!",F1052="NEW"),"",INDEX(J$1:J1051,SUMPRODUCT(MAX(ROW(E$1:E1051)*(E1052=E$1:E1051)))))</f>
        <v> </v>
      </c>
      <c r="L1052" s="27"/>
    </row>
    <row r="1053" spans="1:12">
      <c r="A1053" s="20" t="s">
        <v>379</v>
      </c>
      <c r="E1053" s="22">
        <f>IF(D1053="?OLD","!!!","")</f>
        <v/>
      </c>
      <c r="F1053" s="23" t="str">
        <f>IF(OR(E1053="",E1053="!!!"),"",IF(NOT(ISNA(VLOOKUP(E1053,E$1:E1052,1,FALSE()))),"OLD",IF(AND(E1053&lt;&gt;"",E1053&lt;&gt;"!!!"),"NEW","")))</f>
        <v> </v>
      </c>
      <c r="G1053" s="24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5" t="str">
        <f>IF(J1053&lt;&gt;1,"",IF(I1053="SBJ","CB","?"))</f>
        <v> </v>
      </c>
      <c r="I1053" s="26" t="str">
        <f>IF(OR(E1053="",E1053="!!!",F1053="NEW"),"",INDEX(B1052:B$2,-1+SUMPRODUCT(MAX(ROW(E1052:E$2)*(E1053=E1052:E$2)))))</f>
        <v> </v>
      </c>
      <c r="J1053" s="26" t="str">
        <f>IF(OR(E1053="",E1053="!!!",F1053="NEW"),"",COUNTBLANK(OFFSET(A$1,,,SUMPRODUCT(MAX(ROW(E$2:E1053)*(E1053=E$2:E1053)))))-COUNTBLANK(OFFSET(A$1,,,SUMPRODUCT(MAX(ROW(E$1:E1052)*(E2=E$1:E1052))))))</f>
        <v> </v>
      </c>
      <c r="K1053" s="26" t="str">
        <f>IF(OR(E1053="",E1053="!!!",F1053="NEW"),"",INDEX(J$1:J1052,SUMPRODUCT(MAX(ROW(E$1:E1052)*(E1053=E$1:E1052)))))</f>
        <v> </v>
      </c>
      <c r="L1053" s="27"/>
    </row>
    <row r="1054" spans="1:12">
      <c r="A1054" s="20" t="s">
        <v>371</v>
      </c>
      <c r="E1054" s="22">
        <f>IF(D1054="?OLD","!!!","")</f>
        <v/>
      </c>
      <c r="F1054" s="23" t="str">
        <f>IF(OR(E1054="",E1054="!!!"),"",IF(NOT(ISNA(VLOOKUP(E1054,E$1:E1053,1,FALSE()))),"OLD",IF(AND(E1054&lt;&gt;"",E1054&lt;&gt;"!!!"),"NEW","")))</f>
        <v> </v>
      </c>
      <c r="G1054" s="24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5" t="str">
        <f>IF(J1054&lt;&gt;1,"",IF(I1054="SBJ","CB","?"))</f>
        <v> </v>
      </c>
      <c r="I1054" s="26" t="str">
        <f>IF(OR(E1054="",E1054="!!!",F1054="NEW"),"",INDEX(B1053:B$2,-1+SUMPRODUCT(MAX(ROW(E1053:E$2)*(E1054=E1053:E$2)))))</f>
        <v> </v>
      </c>
      <c r="J1054" s="26" t="str">
        <f>IF(OR(E1054="",E1054="!!!",F1054="NEW"),"",COUNTBLANK(OFFSET(A$1,,,SUMPRODUCT(MAX(ROW(E$2:E1054)*(E1054=E$2:E1054)))))-COUNTBLANK(OFFSET(A$1,,,SUMPRODUCT(MAX(ROW(E$1:E1053)*(E2=E$1:E1053))))))</f>
        <v> </v>
      </c>
      <c r="K1054" s="26" t="str">
        <f>IF(OR(E1054="",E1054="!!!",F1054="NEW"),"",INDEX(J$1:J1053,SUMPRODUCT(MAX(ROW(E$1:E1053)*(E1054=E$1:E1053)))))</f>
        <v> </v>
      </c>
      <c r="L1054" s="27"/>
    </row>
    <row r="1055" spans="1:12">
      <c r="A1055" s="20" t="s">
        <v>487</v>
      </c>
      <c r="B1055" s="21" t="s">
        <v>374</v>
      </c>
      <c r="C1055" s="21" t="s">
        <v>375</v>
      </c>
      <c r="E1055" s="22">
        <f>IF(D1055="?OLD","!!!","")</f>
        <v/>
      </c>
      <c r="F1055" s="23" t="str">
        <f>IF(OR(E1055="",E1055="!!!"),"",IF(NOT(ISNA(VLOOKUP(E1055,E$1:E1054,1,FALSE()))),"OLD",IF(AND(E1055&lt;&gt;"",E1055&lt;&gt;"!!!"),"NEW","")))</f>
        <v> </v>
      </c>
      <c r="G1055" s="24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5" t="str">
        <f>IF(J1055&lt;&gt;1,"",IF(I1055="SBJ","CB","?"))</f>
        <v> </v>
      </c>
      <c r="I1055" s="26" t="str">
        <f>IF(OR(E1055="",E1055="!!!",F1055="NEW"),"",INDEX(B1054:B$2,-1+SUMPRODUCT(MAX(ROW(E1054:E$2)*(E1055=E1054:E$2)))))</f>
        <v> </v>
      </c>
      <c r="J1055" s="26" t="str">
        <f>IF(OR(E1055="",E1055="!!!",F1055="NEW"),"",COUNTBLANK(OFFSET(A$1,,,SUMPRODUCT(MAX(ROW(E$2:E1055)*(E1055=E$2:E1055)))))-COUNTBLANK(OFFSET(A$1,,,SUMPRODUCT(MAX(ROW(E$1:E1054)*(E2=E$1:E1054))))))</f>
        <v> </v>
      </c>
      <c r="K1055" s="26" t="str">
        <f>IF(OR(E1055="",E1055="!!!",F1055="NEW"),"",INDEX(J$1:J1054,SUMPRODUCT(MAX(ROW(E$1:E1054)*(E1055=E$1:E1054)))))</f>
        <v> </v>
      </c>
      <c r="L1055" s="27"/>
    </row>
    <row r="1056" spans="1:12">
      <c r="A1056" s="20" t="s">
        <v>398</v>
      </c>
      <c r="E1056" s="22">
        <f>IF(D1056="?OLD","!!!","")</f>
        <v/>
      </c>
      <c r="F1056" s="23" t="str">
        <f>IF(OR(E1056="",E1056="!!!"),"",IF(NOT(ISNA(VLOOKUP(E1056,E$1:E1055,1,FALSE()))),"OLD",IF(AND(E1056&lt;&gt;"",E1056&lt;&gt;"!!!"),"NEW","")))</f>
        <v> </v>
      </c>
      <c r="G1056" s="24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5" t="str">
        <f>IF(J1056&lt;&gt;1,"",IF(I1056="SBJ","CB","?"))</f>
        <v> </v>
      </c>
      <c r="I1056" s="26" t="str">
        <f>IF(OR(E1056="",E1056="!!!",F1056="NEW"),"",INDEX(B1055:B$2,-1+SUMPRODUCT(MAX(ROW(E1055:E$2)*(E1056=E1055:E$2)))))</f>
        <v> </v>
      </c>
      <c r="J1056" s="26" t="str">
        <f>IF(OR(E1056="",E1056="!!!",F1056="NEW"),"",COUNTBLANK(OFFSET(A$1,,,SUMPRODUCT(MAX(ROW(E$2:E1056)*(E1056=E$2:E1056)))))-COUNTBLANK(OFFSET(A$1,,,SUMPRODUCT(MAX(ROW(E$1:E1055)*(E2=E$1:E1055))))))</f>
        <v> </v>
      </c>
      <c r="K1056" s="26" t="str">
        <f>IF(OR(E1056="",E1056="!!!",F1056="NEW"),"",INDEX(J$1:J1055,SUMPRODUCT(MAX(ROW(E$1:E1055)*(E1056=E$1:E1055)))))</f>
        <v> </v>
      </c>
      <c r="L1056" s="27"/>
    </row>
    <row r="1057" spans="1:12">
      <c r="A1057" s="20" t="s">
        <v>768</v>
      </c>
      <c r="E1057" s="22">
        <f>IF(D1057="?OLD","!!!","")</f>
        <v/>
      </c>
      <c r="F1057" s="23" t="str">
        <f>IF(OR(E1057="",E1057="!!!"),"",IF(NOT(ISNA(VLOOKUP(E1057,E$1:E1056,1,FALSE()))),"OLD",IF(AND(E1057&lt;&gt;"",E1057&lt;&gt;"!!!"),"NEW","")))</f>
        <v> </v>
      </c>
      <c r="G1057" s="24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5" t="str">
        <f>IF(J1057&lt;&gt;1,"",IF(I1057="SBJ","CB","?"))</f>
        <v> </v>
      </c>
      <c r="I1057" s="26" t="str">
        <f>IF(OR(E1057="",E1057="!!!",F1057="NEW"),"",INDEX(B1056:B$2,-1+SUMPRODUCT(MAX(ROW(E1056:E$2)*(E1057=E1056:E$2)))))</f>
        <v> </v>
      </c>
      <c r="J1057" s="26" t="str">
        <f>IF(OR(E1057="",E1057="!!!",F1057="NEW"),"",COUNTBLANK(OFFSET(A$1,,,SUMPRODUCT(MAX(ROW(E$2:E1057)*(E1057=E$2:E1057)))))-COUNTBLANK(OFFSET(A$1,,,SUMPRODUCT(MAX(ROW(E$1:E1056)*(E2=E$1:E1056))))))</f>
        <v> </v>
      </c>
      <c r="K1057" s="26" t="str">
        <f>IF(OR(E1057="",E1057="!!!",F1057="NEW"),"",INDEX(J$1:J1056,SUMPRODUCT(MAX(ROW(E$1:E1056)*(E1057=E$1:E1056)))))</f>
        <v> </v>
      </c>
      <c r="L1057" s="27"/>
    </row>
    <row r="1058" spans="1:12">
      <c r="A1058" s="20" t="s">
        <v>769</v>
      </c>
      <c r="B1058" s="21" t="s">
        <v>412</v>
      </c>
      <c r="C1058" s="21" t="s">
        <v>430</v>
      </c>
      <c r="E1058" s="22">
        <f>IF(D1058="?OLD","!!!","")</f>
        <v/>
      </c>
      <c r="F1058" s="23" t="str">
        <f>IF(OR(E1058="",E1058="!!!"),"",IF(NOT(ISNA(VLOOKUP(E1058,E$1:E1057,1,FALSE()))),"OLD",IF(AND(E1058&lt;&gt;"",E1058&lt;&gt;"!!!"),"NEW","")))</f>
        <v> </v>
      </c>
      <c r="G1058" s="24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5" t="str">
        <f>IF(J1058&lt;&gt;1,"",IF(I1058="SBJ","CB","?"))</f>
        <v> </v>
      </c>
      <c r="I1058" s="26" t="str">
        <f>IF(OR(E1058="",E1058="!!!",F1058="NEW"),"",INDEX(B1057:B$2,-1+SUMPRODUCT(MAX(ROW(E1057:E$2)*(E1058=E1057:E$2)))))</f>
        <v> </v>
      </c>
      <c r="J1058" s="26" t="str">
        <f>IF(OR(E1058="",E1058="!!!",F1058="NEW"),"",COUNTBLANK(OFFSET(A$1,,,SUMPRODUCT(MAX(ROW(E$2:E1058)*(E1058=E$2:E1058)))))-COUNTBLANK(OFFSET(A$1,,,SUMPRODUCT(MAX(ROW(E$1:E1057)*(E2=E$1:E1057))))))</f>
        <v> </v>
      </c>
      <c r="K1058" s="26" t="str">
        <f>IF(OR(E1058="",E1058="!!!",F1058="NEW"),"",INDEX(J$1:J1057,SUMPRODUCT(MAX(ROW(E$1:E1057)*(E1058=E$1:E1057)))))</f>
        <v> </v>
      </c>
      <c r="L1058" s="27"/>
    </row>
    <row r="1059" spans="1:12">
      <c r="A1059" s="20" t="s">
        <v>755</v>
      </c>
      <c r="E1059" s="22">
        <f>IF(D1059="?OLD","!!!","")</f>
        <v/>
      </c>
      <c r="F1059" s="23" t="str">
        <f>IF(OR(E1059="",E1059="!!!"),"",IF(NOT(ISNA(VLOOKUP(E1059,E$1:E1058,1,FALSE()))),"OLD",IF(AND(E1059&lt;&gt;"",E1059&lt;&gt;"!!!"),"NEW","")))</f>
        <v> </v>
      </c>
      <c r="G1059" s="24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5" t="str">
        <f>IF(J1059&lt;&gt;1,"",IF(I1059="SBJ","CB","?"))</f>
        <v> </v>
      </c>
      <c r="I1059" s="26" t="str">
        <f>IF(OR(E1059="",E1059="!!!",F1059="NEW"),"",INDEX(B1058:B$2,-1+SUMPRODUCT(MAX(ROW(E1058:E$2)*(E1059=E1058:E$2)))))</f>
        <v> </v>
      </c>
      <c r="J1059" s="26" t="str">
        <f>IF(OR(E1059="",E1059="!!!",F1059="NEW"),"",COUNTBLANK(OFFSET(A$1,,,SUMPRODUCT(MAX(ROW(E$2:E1059)*(E1059=E$2:E1059)))))-COUNTBLANK(OFFSET(A$1,,,SUMPRODUCT(MAX(ROW(E$1:E1058)*(E2=E$1:E1058))))))</f>
        <v> </v>
      </c>
      <c r="K1059" s="26" t="str">
        <f>IF(OR(E1059="",E1059="!!!",F1059="NEW"),"",INDEX(J$1:J1058,SUMPRODUCT(MAX(ROW(E$1:E1058)*(E1059=E$1:E1058)))))</f>
        <v> </v>
      </c>
      <c r="L1059" s="27"/>
    </row>
    <row r="1060" spans="1:12">
      <c r="A1060" s="20"/>
    </row>
    <row r="1061" spans="1:12">
      <c r="A1061" s="20" t="s">
        <v>770</v>
      </c>
    </row>
    <row r="1062" spans="1:12">
      <c r="A1062" s="20" t="s">
        <v>771</v>
      </c>
      <c r="B1062" s="21" t="s">
        <v>419</v>
      </c>
      <c r="C1062" s="21" t="s">
        <v>367</v>
      </c>
      <c r="D1062" s="21" t="s">
        <v>368</v>
      </c>
      <c r="E1062" s="22">
        <f>IF(D1062="?OLD","!!!","")</f>
        <v/>
      </c>
      <c r="F1062" s="23" t="str">
        <f>IF(OR(E1062="",E1062="!!!"),"",IF(NOT(ISNA(VLOOKUP(E1062,E$1:E1061,1,FALSE()))),"OLD",IF(AND(E1062&lt;&gt;"",E1062&lt;&gt;"!!!"),"NEW","")))</f>
        <v> </v>
      </c>
      <c r="G1062" s="24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5" t="str">
        <f>IF(J1062&lt;&gt;1,"",IF(I1062="SBJ","CB","?"))</f>
        <v> </v>
      </c>
      <c r="I1062" s="26" t="str">
        <f>IF(OR(E1062="",E1062="!!!",F1062="NEW"),"",INDEX(B1061:B$2,-1+SUMPRODUCT(MAX(ROW(E1061:E$2)*(E1062=E1061:E$2)))))</f>
        <v> </v>
      </c>
      <c r="J1062" s="26" t="str">
        <f>IF(OR(E1062="",E1062="!!!",F1062="NEW"),"",COUNTBLANK(OFFSET(A$1,,,SUMPRODUCT(MAX(ROW(E$2:E1062)*(E1062=E$2:E1062)))))-COUNTBLANK(OFFSET(A$1,,,SUMPRODUCT(MAX(ROW(E$1:E1061)*(E2=E$1:E1061))))))</f>
        <v> </v>
      </c>
      <c r="K1062" s="26" t="str">
        <f>IF(OR(E1062="",E1062="!!!",F1062="NEW"),"",INDEX(J$1:J1061,SUMPRODUCT(MAX(ROW(E$1:E1061)*(E1062=E$1:E1061)))))</f>
        <v> </v>
      </c>
      <c r="L1062" s="27"/>
    </row>
    <row r="1063" spans="1:12">
      <c r="A1063" s="20" t="s">
        <v>772</v>
      </c>
      <c r="E1063" s="22">
        <f>IF(D1063="?OLD","!!!","")</f>
        <v/>
      </c>
      <c r="F1063" s="23" t="str">
        <f>IF(OR(E1063="",E1063="!!!"),"",IF(NOT(ISNA(VLOOKUP(E1063,E$1:E1062,1,FALSE()))),"OLD",IF(AND(E1063&lt;&gt;"",E1063&lt;&gt;"!!!"),"NEW","")))</f>
        <v> </v>
      </c>
      <c r="G1063" s="24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5" t="str">
        <f>IF(J1063&lt;&gt;1,"",IF(I1063="SBJ","CB","?"))</f>
        <v> </v>
      </c>
      <c r="I1063" s="26" t="str">
        <f>IF(OR(E1063="",E1063="!!!",F1063="NEW"),"",INDEX(B1062:B$2,-1+SUMPRODUCT(MAX(ROW(E1062:E$2)*(E1063=E1062:E$2)))))</f>
        <v> </v>
      </c>
      <c r="J1063" s="26" t="str">
        <f>IF(OR(E1063="",E1063="!!!",F1063="NEW"),"",COUNTBLANK(OFFSET(A$1,,,SUMPRODUCT(MAX(ROW(E$2:E1063)*(E1063=E$2:E1063)))))-COUNTBLANK(OFFSET(A$1,,,SUMPRODUCT(MAX(ROW(E$1:E1062)*(E2=E$1:E1062))))))</f>
        <v> </v>
      </c>
      <c r="K1063" s="26" t="str">
        <f>IF(OR(E1063="",E1063="!!!",F1063="NEW"),"",INDEX(J$1:J1062,SUMPRODUCT(MAX(ROW(E$1:E1062)*(E1063=E$1:E1062)))))</f>
        <v> </v>
      </c>
      <c r="L1063" s="27"/>
    </row>
    <row r="1064" spans="1:12">
      <c r="A1064" s="20" t="s">
        <v>773</v>
      </c>
      <c r="E1064" s="22">
        <f>IF(D1064="?OLD","!!!","")</f>
        <v/>
      </c>
      <c r="F1064" s="23" t="str">
        <f>IF(OR(E1064="",E1064="!!!"),"",IF(NOT(ISNA(VLOOKUP(E1064,E$1:E1063,1,FALSE()))),"OLD",IF(AND(E1064&lt;&gt;"",E1064&lt;&gt;"!!!"),"NEW","")))</f>
        <v> </v>
      </c>
      <c r="G1064" s="24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5" t="str">
        <f>IF(J1064&lt;&gt;1,"",IF(I1064="SBJ","CB","?"))</f>
        <v> </v>
      </c>
      <c r="I1064" s="26" t="str">
        <f>IF(OR(E1064="",E1064="!!!",F1064="NEW"),"",INDEX(B1063:B$2,-1+SUMPRODUCT(MAX(ROW(E1063:E$2)*(E1064=E1063:E$2)))))</f>
        <v> </v>
      </c>
      <c r="J1064" s="26" t="str">
        <f>IF(OR(E1064="",E1064="!!!",F1064="NEW"),"",COUNTBLANK(OFFSET(A$1,,,SUMPRODUCT(MAX(ROW(E$2:E1064)*(E1064=E$2:E1064)))))-COUNTBLANK(OFFSET(A$1,,,SUMPRODUCT(MAX(ROW(E$1:E1063)*(E2=E$1:E1063))))))</f>
        <v> </v>
      </c>
      <c r="K1064" s="26" t="str">
        <f>IF(OR(E1064="",E1064="!!!",F1064="NEW"),"",INDEX(J$1:J1063,SUMPRODUCT(MAX(ROW(E$1:E1063)*(E1064=E$1:E1063)))))</f>
        <v> </v>
      </c>
      <c r="L1064" s="27"/>
    </row>
    <row r="1065" spans="1:12">
      <c r="A1065" s="20" t="s">
        <v>402</v>
      </c>
      <c r="E1065" s="22">
        <f>IF(D1065="?OLD","!!!","")</f>
        <v/>
      </c>
      <c r="F1065" s="23" t="str">
        <f>IF(OR(E1065="",E1065="!!!"),"",IF(NOT(ISNA(VLOOKUP(E1065,E$1:E1064,1,FALSE()))),"OLD",IF(AND(E1065&lt;&gt;"",E1065&lt;&gt;"!!!"),"NEW","")))</f>
        <v> </v>
      </c>
      <c r="G1065" s="24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5" t="str">
        <f>IF(J1065&lt;&gt;1,"",IF(I1065="SBJ","CB","?"))</f>
        <v> </v>
      </c>
      <c r="I1065" s="26" t="str">
        <f>IF(OR(E1065="",E1065="!!!",F1065="NEW"),"",INDEX(B1064:B$2,-1+SUMPRODUCT(MAX(ROW(E1064:E$2)*(E1065=E1064:E$2)))))</f>
        <v> </v>
      </c>
      <c r="J1065" s="26" t="str">
        <f>IF(OR(E1065="",E1065="!!!",F1065="NEW"),"",COUNTBLANK(OFFSET(A$1,,,SUMPRODUCT(MAX(ROW(E$2:E1065)*(E1065=E$2:E1065)))))-COUNTBLANK(OFFSET(A$1,,,SUMPRODUCT(MAX(ROW(E$1:E1064)*(E2=E$1:E1064))))))</f>
        <v> </v>
      </c>
      <c r="K1065" s="26" t="str">
        <f>IF(OR(E1065="",E1065="!!!",F1065="NEW"),"",INDEX(J$1:J1064,SUMPRODUCT(MAX(ROW(E$1:E1064)*(E1065=E$1:E1064)))))</f>
        <v> </v>
      </c>
      <c r="L1065" s="27"/>
    </row>
    <row r="1066" spans="1:12">
      <c r="A1066" s="20" t="s">
        <v>774</v>
      </c>
      <c r="E1066" s="22">
        <f>IF(D1066="?OLD","!!!","")</f>
        <v/>
      </c>
      <c r="F1066" s="23" t="str">
        <f>IF(OR(E1066="",E1066="!!!"),"",IF(NOT(ISNA(VLOOKUP(E1066,E$1:E1065,1,FALSE()))),"OLD",IF(AND(E1066&lt;&gt;"",E1066&lt;&gt;"!!!"),"NEW","")))</f>
        <v> </v>
      </c>
      <c r="G1066" s="24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5" t="str">
        <f>IF(J1066&lt;&gt;1,"",IF(I1066="SBJ","CB","?"))</f>
        <v> </v>
      </c>
      <c r="I1066" s="26" t="str">
        <f>IF(OR(E1066="",E1066="!!!",F1066="NEW"),"",INDEX(B1065:B$2,-1+SUMPRODUCT(MAX(ROW(E1065:E$2)*(E1066=E1065:E$2)))))</f>
        <v> </v>
      </c>
      <c r="J1066" s="26" t="str">
        <f>IF(OR(E1066="",E1066="!!!",F1066="NEW"),"",COUNTBLANK(OFFSET(A$1,,,SUMPRODUCT(MAX(ROW(E$2:E1066)*(E1066=E$2:E1066)))))-COUNTBLANK(OFFSET(A$1,,,SUMPRODUCT(MAX(ROW(E$1:E1065)*(E2=E$1:E1065))))))</f>
        <v> </v>
      </c>
      <c r="K1066" s="26" t="str">
        <f>IF(OR(E1066="",E1066="!!!",F1066="NEW"),"",INDEX(J$1:J1065,SUMPRODUCT(MAX(ROW(E$1:E1065)*(E1066=E$1:E1065)))))</f>
        <v> </v>
      </c>
      <c r="L1066" s="27"/>
    </row>
    <row r="1067" spans="1:12">
      <c r="A1067" s="20" t="s">
        <v>391</v>
      </c>
      <c r="E1067" s="22">
        <f>IF(D1067="?OLD","!!!","")</f>
        <v/>
      </c>
      <c r="F1067" s="23" t="str">
        <f>IF(OR(E1067="",E1067="!!!"),"",IF(NOT(ISNA(VLOOKUP(E1067,E$1:E1066,1,FALSE()))),"OLD",IF(AND(E1067&lt;&gt;"",E1067&lt;&gt;"!!!"),"NEW","")))</f>
        <v> </v>
      </c>
      <c r="G1067" s="24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5" t="str">
        <f>IF(J1067&lt;&gt;1,"",IF(I1067="SBJ","CB","?"))</f>
        <v> </v>
      </c>
      <c r="I1067" s="26" t="str">
        <f>IF(OR(E1067="",E1067="!!!",F1067="NEW"),"",INDEX(B1066:B$2,-1+SUMPRODUCT(MAX(ROW(E1066:E$2)*(E1067=E1066:E$2)))))</f>
        <v> </v>
      </c>
      <c r="J1067" s="26" t="str">
        <f>IF(OR(E1067="",E1067="!!!",F1067="NEW"),"",COUNTBLANK(OFFSET(A$1,,,SUMPRODUCT(MAX(ROW(E$2:E1067)*(E1067=E$2:E1067)))))-COUNTBLANK(OFFSET(A$1,,,SUMPRODUCT(MAX(ROW(E$1:E1066)*(E2=E$1:E1066))))))</f>
        <v> </v>
      </c>
      <c r="K1067" s="26" t="str">
        <f>IF(OR(E1067="",E1067="!!!",F1067="NEW"),"",INDEX(J$1:J1066,SUMPRODUCT(MAX(ROW(E$1:E1066)*(E1067=E$1:E1066)))))</f>
        <v> </v>
      </c>
      <c r="L1067" s="27"/>
    </row>
    <row r="1068" spans="1:12">
      <c r="A1068" s="20" t="s">
        <v>755</v>
      </c>
      <c r="E1068" s="22">
        <f>IF(D1068="?OLD","!!!","")</f>
        <v/>
      </c>
      <c r="F1068" s="23" t="str">
        <f>IF(OR(E1068="",E1068="!!!"),"",IF(NOT(ISNA(VLOOKUP(E1068,E$1:E1067,1,FALSE()))),"OLD",IF(AND(E1068&lt;&gt;"",E1068&lt;&gt;"!!!"),"NEW","")))</f>
        <v> </v>
      </c>
      <c r="G1068" s="24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5" t="str">
        <f>IF(J1068&lt;&gt;1,"",IF(I1068="SBJ","CB","?"))</f>
        <v> </v>
      </c>
      <c r="I1068" s="26" t="str">
        <f>IF(OR(E1068="",E1068="!!!",F1068="NEW"),"",INDEX(B1067:B$2,-1+SUMPRODUCT(MAX(ROW(E1067:E$2)*(E1068=E1067:E$2)))))</f>
        <v> </v>
      </c>
      <c r="J1068" s="26" t="str">
        <f>IF(OR(E1068="",E1068="!!!",F1068="NEW"),"",COUNTBLANK(OFFSET(A$1,,,SUMPRODUCT(MAX(ROW(E$2:E1068)*(E1068=E$2:E1068)))))-COUNTBLANK(OFFSET(A$1,,,SUMPRODUCT(MAX(ROW(E$1:E1067)*(E2=E$1:E1067))))))</f>
        <v> </v>
      </c>
      <c r="K1068" s="26" t="str">
        <f>IF(OR(E1068="",E1068="!!!",F1068="NEW"),"",INDEX(J$1:J1067,SUMPRODUCT(MAX(ROW(E$1:E1067)*(E1068=E$1:E1067)))))</f>
        <v> </v>
      </c>
      <c r="L1068" s="27"/>
    </row>
    <row r="1069" spans="1:12">
      <c r="A1069" s="20"/>
    </row>
    <row r="1070" spans="1:12">
      <c r="A1070" s="20" t="s">
        <v>775</v>
      </c>
    </row>
    <row r="1071" spans="1:12">
      <c r="A1071" s="20" t="s">
        <v>776</v>
      </c>
      <c r="E1071" s="22">
        <f>IF(D1071="?OLD","!!!","")</f>
        <v/>
      </c>
      <c r="F1071" s="23" t="str">
        <f>IF(OR(E1071="",E1071="!!!"),"",IF(NOT(ISNA(VLOOKUP(E1071,E$1:E1070,1,FALSE()))),"OLD",IF(AND(E1071&lt;&gt;"",E1071&lt;&gt;"!!!"),"NEW","")))</f>
        <v> </v>
      </c>
      <c r="G1071" s="24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5" t="str">
        <f>IF(J1071&lt;&gt;1,"",IF(I1071="SBJ","CB","?"))</f>
        <v> </v>
      </c>
      <c r="I1071" s="26" t="str">
        <f>IF(OR(E1071="",E1071="!!!",F1071="NEW"),"",INDEX(B1070:B$2,-1+SUMPRODUCT(MAX(ROW(E1070:E$2)*(E1071=E1070:E$2)))))</f>
        <v> </v>
      </c>
      <c r="J1071" s="26" t="str">
        <f>IF(OR(E1071="",E1071="!!!",F1071="NEW"),"",COUNTBLANK(OFFSET(A$1,,,SUMPRODUCT(MAX(ROW(E$2:E1071)*(E1071=E$2:E1071)))))-COUNTBLANK(OFFSET(A$1,,,SUMPRODUCT(MAX(ROW(E$1:E1070)*(E2=E$1:E1070))))))</f>
        <v> </v>
      </c>
      <c r="K1071" s="26" t="str">
        <f>IF(OR(E1071="",E1071="!!!",F1071="NEW"),"",INDEX(J$1:J1070,SUMPRODUCT(MAX(ROW(E$1:E1070)*(E1071=E$1:E1070)))))</f>
        <v> </v>
      </c>
      <c r="L1071" s="27"/>
    </row>
    <row r="1072" spans="1:12">
      <c r="A1072" s="20" t="s">
        <v>405</v>
      </c>
      <c r="E1072" s="22">
        <f>IF(D1072="?OLD","!!!","")</f>
        <v/>
      </c>
      <c r="F1072" s="23" t="str">
        <f>IF(OR(E1072="",E1072="!!!"),"",IF(NOT(ISNA(VLOOKUP(E1072,E$1:E1071,1,FALSE()))),"OLD",IF(AND(E1072&lt;&gt;"",E1072&lt;&gt;"!!!"),"NEW","")))</f>
        <v> </v>
      </c>
      <c r="G1072" s="24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5" t="str">
        <f>IF(J1072&lt;&gt;1,"",IF(I1072="SBJ","CB","?"))</f>
        <v> </v>
      </c>
      <c r="I1072" s="26" t="str">
        <f>IF(OR(E1072="",E1072="!!!",F1072="NEW"),"",INDEX(B1071:B$2,-1+SUMPRODUCT(MAX(ROW(E1071:E$2)*(E1072=E1071:E$2)))))</f>
        <v> </v>
      </c>
      <c r="J1072" s="26" t="str">
        <f>IF(OR(E1072="",E1072="!!!",F1072="NEW"),"",COUNTBLANK(OFFSET(A$1,,,SUMPRODUCT(MAX(ROW(E$2:E1072)*(E1072=E$2:E1072)))))-COUNTBLANK(OFFSET(A$1,,,SUMPRODUCT(MAX(ROW(E$1:E1071)*(E2=E$1:E1071))))))</f>
        <v> </v>
      </c>
      <c r="K1072" s="26" t="str">
        <f>IF(OR(E1072="",E1072="!!!",F1072="NEW"),"",INDEX(J$1:J1071,SUMPRODUCT(MAX(ROW(E$1:E1071)*(E1072=E$1:E1071)))))</f>
        <v> </v>
      </c>
      <c r="L1072" s="27"/>
    </row>
    <row r="1073" spans="1:12">
      <c r="A1073" s="20" t="s">
        <v>777</v>
      </c>
      <c r="E1073" s="22">
        <f>IF(D1073="?OLD","!!!","")</f>
        <v/>
      </c>
      <c r="F1073" s="23" t="str">
        <f>IF(OR(E1073="",E1073="!!!"),"",IF(NOT(ISNA(VLOOKUP(E1073,E$1:E1072,1,FALSE()))),"OLD",IF(AND(E1073&lt;&gt;"",E1073&lt;&gt;"!!!"),"NEW","")))</f>
        <v> </v>
      </c>
      <c r="G1073" s="24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5" t="str">
        <f>IF(J1073&lt;&gt;1,"",IF(I1073="SBJ","CB","?"))</f>
        <v> </v>
      </c>
      <c r="I1073" s="26" t="str">
        <f>IF(OR(E1073="",E1073="!!!",F1073="NEW"),"",INDEX(B1072:B$2,-1+SUMPRODUCT(MAX(ROW(E1072:E$2)*(E1073=E1072:E$2)))))</f>
        <v> </v>
      </c>
      <c r="J1073" s="26" t="str">
        <f>IF(OR(E1073="",E1073="!!!",F1073="NEW"),"",COUNTBLANK(OFFSET(A$1,,,SUMPRODUCT(MAX(ROW(E$2:E1073)*(E1073=E$2:E1073)))))-COUNTBLANK(OFFSET(A$1,,,SUMPRODUCT(MAX(ROW(E$1:E1072)*(E2=E$1:E1072))))))</f>
        <v> </v>
      </c>
      <c r="K1073" s="26" t="str">
        <f>IF(OR(E1073="",E1073="!!!",F1073="NEW"),"",INDEX(J$1:J1072,SUMPRODUCT(MAX(ROW(E$1:E1072)*(E1073=E$1:E1072)))))</f>
        <v> </v>
      </c>
      <c r="L1073" s="27"/>
    </row>
    <row r="1074" spans="1:12">
      <c r="A1074" s="20" t="s">
        <v>484</v>
      </c>
      <c r="E1074" s="22">
        <f>IF(D1074="?OLD","!!!","")</f>
        <v/>
      </c>
      <c r="F1074" s="23" t="str">
        <f>IF(OR(E1074="",E1074="!!!"),"",IF(NOT(ISNA(VLOOKUP(E1074,E$1:E1073,1,FALSE()))),"OLD",IF(AND(E1074&lt;&gt;"",E1074&lt;&gt;"!!!"),"NEW","")))</f>
        <v> </v>
      </c>
      <c r="G1074" s="24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5" t="str">
        <f>IF(J1074&lt;&gt;1,"",IF(I1074="SBJ","CB","?"))</f>
        <v> </v>
      </c>
      <c r="I1074" s="26" t="str">
        <f>IF(OR(E1074="",E1074="!!!",F1074="NEW"),"",INDEX(B1073:B$2,-1+SUMPRODUCT(MAX(ROW(E1073:E$2)*(E1074=E1073:E$2)))))</f>
        <v> </v>
      </c>
      <c r="J1074" s="26" t="str">
        <f>IF(OR(E1074="",E1074="!!!",F1074="NEW"),"",COUNTBLANK(OFFSET(A$1,,,SUMPRODUCT(MAX(ROW(E$2:E1074)*(E1074=E$2:E1074)))))-COUNTBLANK(OFFSET(A$1,,,SUMPRODUCT(MAX(ROW(E$1:E1073)*(E2=E$1:E1073))))))</f>
        <v> </v>
      </c>
      <c r="K1074" s="26" t="str">
        <f>IF(OR(E1074="",E1074="!!!",F1074="NEW"),"",INDEX(J$1:J1073,SUMPRODUCT(MAX(ROW(E$1:E1073)*(E1074=E$1:E1073)))))</f>
        <v> </v>
      </c>
      <c r="L1074" s="27"/>
    </row>
    <row r="1075" spans="1:12">
      <c r="A1075" s="20" t="s">
        <v>778</v>
      </c>
      <c r="B1075" s="21" t="s">
        <v>366</v>
      </c>
      <c r="C1075" s="21" t="s">
        <v>401</v>
      </c>
      <c r="D1075" s="21" t="s">
        <v>368</v>
      </c>
      <c r="E1075" s="22">
        <f>IF(D1075="?OLD","!!!","")</f>
        <v/>
      </c>
      <c r="F1075" s="23" t="str">
        <f>IF(OR(E1075="",E1075="!!!"),"",IF(NOT(ISNA(VLOOKUP(E1075,E$1:E1074,1,FALSE()))),"OLD",IF(AND(E1075&lt;&gt;"",E1075&lt;&gt;"!!!"),"NEW","")))</f>
        <v> </v>
      </c>
      <c r="G1075" s="24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5" t="str">
        <f>IF(J1075&lt;&gt;1,"",IF(I1075="SBJ","CB","?"))</f>
        <v> </v>
      </c>
      <c r="I1075" s="26" t="str">
        <f>IF(OR(E1075="",E1075="!!!",F1075="NEW"),"",INDEX(B1074:B$2,-1+SUMPRODUCT(MAX(ROW(E1074:E$2)*(E1075=E1074:E$2)))))</f>
        <v> </v>
      </c>
      <c r="J1075" s="26" t="str">
        <f>IF(OR(E1075="",E1075="!!!",F1075="NEW"),"",COUNTBLANK(OFFSET(A$1,,,SUMPRODUCT(MAX(ROW(E$2:E1075)*(E1075=E$2:E1075)))))-COUNTBLANK(OFFSET(A$1,,,SUMPRODUCT(MAX(ROW(E$1:E1074)*(E2=E$1:E1074))))))</f>
        <v> </v>
      </c>
      <c r="K1075" s="26" t="str">
        <f>IF(OR(E1075="",E1075="!!!",F1075="NEW"),"",INDEX(J$1:J1074,SUMPRODUCT(MAX(ROW(E$1:E1074)*(E1075=E$1:E1074)))))</f>
        <v> </v>
      </c>
      <c r="L1075" s="27"/>
    </row>
    <row r="1076" spans="1:12">
      <c r="A1076" s="20" t="s">
        <v>407</v>
      </c>
      <c r="E1076" s="22">
        <f>IF(D1076="?OLD","!!!","")</f>
        <v/>
      </c>
      <c r="F1076" s="23" t="str">
        <f>IF(OR(E1076="",E1076="!!!"),"",IF(NOT(ISNA(VLOOKUP(E1076,E$1:E1075,1,FALSE()))),"OLD",IF(AND(E1076&lt;&gt;"",E1076&lt;&gt;"!!!"),"NEW","")))</f>
        <v> </v>
      </c>
      <c r="G1076" s="24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5" t="str">
        <f>IF(J1076&lt;&gt;1,"",IF(I1076="SBJ","CB","?"))</f>
        <v> </v>
      </c>
      <c r="I1076" s="26" t="str">
        <f>IF(OR(E1076="",E1076="!!!",F1076="NEW"),"",INDEX(B1075:B$2,-1+SUMPRODUCT(MAX(ROW(E1075:E$2)*(E1076=E1075:E$2)))))</f>
        <v> </v>
      </c>
      <c r="J1076" s="26" t="str">
        <f>IF(OR(E1076="",E1076="!!!",F1076="NEW"),"",COUNTBLANK(OFFSET(A$1,,,SUMPRODUCT(MAX(ROW(E$2:E1076)*(E1076=E$2:E1076)))))-COUNTBLANK(OFFSET(A$1,,,SUMPRODUCT(MAX(ROW(E$1:E1075)*(E2=E$1:E1075))))))</f>
        <v> </v>
      </c>
      <c r="K1076" s="26" t="str">
        <f>IF(OR(E1076="",E1076="!!!",F1076="NEW"),"",INDEX(J$1:J1075,SUMPRODUCT(MAX(ROW(E$1:E1075)*(E1076=E$1:E1075)))))</f>
        <v> </v>
      </c>
      <c r="L1076" s="27"/>
    </row>
    <row r="1077" spans="1:12">
      <c r="A1077" s="20" t="s">
        <v>376</v>
      </c>
      <c r="E1077" s="22">
        <f>IF(D1077="?OLD","!!!","")</f>
        <v/>
      </c>
      <c r="F1077" s="23" t="str">
        <f>IF(OR(E1077="",E1077="!!!"),"",IF(NOT(ISNA(VLOOKUP(E1077,E$1:E1076,1,FALSE()))),"OLD",IF(AND(E1077&lt;&gt;"",E1077&lt;&gt;"!!!"),"NEW","")))</f>
        <v> </v>
      </c>
      <c r="G1077" s="24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5" t="str">
        <f>IF(J1077&lt;&gt;1,"",IF(I1077="SBJ","CB","?"))</f>
        <v> </v>
      </c>
      <c r="I1077" s="26" t="str">
        <f>IF(OR(E1077="",E1077="!!!",F1077="NEW"),"",INDEX(B1076:B$2,-1+SUMPRODUCT(MAX(ROW(E1076:E$2)*(E1077=E1076:E$2)))))</f>
        <v> </v>
      </c>
      <c r="J1077" s="26" t="str">
        <f>IF(OR(E1077="",E1077="!!!",F1077="NEW"),"",COUNTBLANK(OFFSET(A$1,,,SUMPRODUCT(MAX(ROW(E$2:E1077)*(E1077=E$2:E1077)))))-COUNTBLANK(OFFSET(A$1,,,SUMPRODUCT(MAX(ROW(E$1:E1076)*(E2=E$1:E1076))))))</f>
        <v> </v>
      </c>
      <c r="K1077" s="26" t="str">
        <f>IF(OR(E1077="",E1077="!!!",F1077="NEW"),"",INDEX(J$1:J1076,SUMPRODUCT(MAX(ROW(E$1:E1076)*(E1077=E$1:E1076)))))</f>
        <v> </v>
      </c>
      <c r="L1077" s="27"/>
    </row>
    <row r="1078" spans="1:12">
      <c r="A1078" s="20" t="s">
        <v>626</v>
      </c>
      <c r="B1078" s="21" t="s">
        <v>378</v>
      </c>
      <c r="C1078" s="21" t="s">
        <v>434</v>
      </c>
      <c r="D1078" s="21" t="s">
        <v>368</v>
      </c>
      <c r="E1078" s="22">
        <f>IF(D1078="?OLD","!!!","")</f>
        <v/>
      </c>
      <c r="F1078" s="23" t="str">
        <f>IF(OR(E1078="",E1078="!!!"),"",IF(NOT(ISNA(VLOOKUP(E1078,E$1:E1077,1,FALSE()))),"OLD",IF(AND(E1078&lt;&gt;"",E1078&lt;&gt;"!!!"),"NEW","")))</f>
        <v> </v>
      </c>
      <c r="G1078" s="24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5" t="str">
        <f>IF(J1078&lt;&gt;1,"",IF(I1078="SBJ","CB","?"))</f>
        <v> </v>
      </c>
      <c r="I1078" s="26" t="str">
        <f>IF(OR(E1078="",E1078="!!!",F1078="NEW"),"",INDEX(B1077:B$2,-1+SUMPRODUCT(MAX(ROW(E1077:E$2)*(E1078=E1077:E$2)))))</f>
        <v> </v>
      </c>
      <c r="J1078" s="26" t="str">
        <f>IF(OR(E1078="",E1078="!!!",F1078="NEW"),"",COUNTBLANK(OFFSET(A$1,,,SUMPRODUCT(MAX(ROW(E$2:E1078)*(E1078=E$2:E1078)))))-COUNTBLANK(OFFSET(A$1,,,SUMPRODUCT(MAX(ROW(E$1:E1077)*(E2=E$1:E1077))))))</f>
        <v> </v>
      </c>
      <c r="K1078" s="26" t="str">
        <f>IF(OR(E1078="",E1078="!!!",F1078="NEW"),"",INDEX(J$1:J1077,SUMPRODUCT(MAX(ROW(E$1:E1077)*(E1078=E$1:E1077)))))</f>
        <v> </v>
      </c>
      <c r="L1078" s="27"/>
    </row>
    <row r="1079" spans="1:12">
      <c r="A1079" s="20" t="s">
        <v>386</v>
      </c>
      <c r="E1079" s="22">
        <f>IF(D1079="?OLD","!!!","")</f>
        <v/>
      </c>
      <c r="F1079" s="23" t="str">
        <f>IF(OR(E1079="",E1079="!!!"),"",IF(NOT(ISNA(VLOOKUP(E1079,E$1:E1078,1,FALSE()))),"OLD",IF(AND(E1079&lt;&gt;"",E1079&lt;&gt;"!!!"),"NEW","")))</f>
        <v> </v>
      </c>
      <c r="G1079" s="24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5" t="str">
        <f>IF(J1079&lt;&gt;1,"",IF(I1079="SBJ","CB","?"))</f>
        <v> </v>
      </c>
      <c r="I1079" s="26" t="str">
        <f>IF(OR(E1079="",E1079="!!!",F1079="NEW"),"",INDEX(B1078:B$2,-1+SUMPRODUCT(MAX(ROW(E1078:E$2)*(E1079=E1078:E$2)))))</f>
        <v> </v>
      </c>
      <c r="J1079" s="26" t="str">
        <f>IF(OR(E1079="",E1079="!!!",F1079="NEW"),"",COUNTBLANK(OFFSET(A$1,,,SUMPRODUCT(MAX(ROW(E$2:E1079)*(E1079=E$2:E1079)))))-COUNTBLANK(OFFSET(A$1,,,SUMPRODUCT(MAX(ROW(E$1:E1078)*(E2=E$1:E1078))))))</f>
        <v> </v>
      </c>
      <c r="K1079" s="26" t="str">
        <f>IF(OR(E1079="",E1079="!!!",F1079="NEW"),"",INDEX(J$1:J1078,SUMPRODUCT(MAX(ROW(E$1:E1078)*(E1079=E$1:E1078)))))</f>
        <v> </v>
      </c>
      <c r="L1079" s="27"/>
    </row>
    <row r="1080" spans="1:12">
      <c r="A1080" s="20" t="s">
        <v>779</v>
      </c>
      <c r="E1080" s="22">
        <f>IF(D1080="?OLD","!!!","")</f>
        <v/>
      </c>
      <c r="F1080" s="23" t="str">
        <f>IF(OR(E1080="",E1080="!!!"),"",IF(NOT(ISNA(VLOOKUP(E1080,E$1:E1079,1,FALSE()))),"OLD",IF(AND(E1080&lt;&gt;"",E1080&lt;&gt;"!!!"),"NEW","")))</f>
        <v> </v>
      </c>
      <c r="G1080" s="24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5" t="str">
        <f>IF(J1080&lt;&gt;1,"",IF(I1080="SBJ","CB","?"))</f>
        <v> </v>
      </c>
      <c r="I1080" s="26" t="str">
        <f>IF(OR(E1080="",E1080="!!!",F1080="NEW"),"",INDEX(B1079:B$2,-1+SUMPRODUCT(MAX(ROW(E1079:E$2)*(E1080=E1079:E$2)))))</f>
        <v> </v>
      </c>
      <c r="J1080" s="26" t="str">
        <f>IF(OR(E1080="",E1080="!!!",F1080="NEW"),"",COUNTBLANK(OFFSET(A$1,,,SUMPRODUCT(MAX(ROW(E$2:E1080)*(E1080=E$2:E1080)))))-COUNTBLANK(OFFSET(A$1,,,SUMPRODUCT(MAX(ROW(E$1:E1079)*(E2=E$1:E1079))))))</f>
        <v> </v>
      </c>
      <c r="K1080" s="26" t="str">
        <f>IF(OR(E1080="",E1080="!!!",F1080="NEW"),"",INDEX(J$1:J1079,SUMPRODUCT(MAX(ROW(E$1:E1079)*(E1080=E$1:E1079)))))</f>
        <v> </v>
      </c>
      <c r="L1080" s="27"/>
    </row>
    <row r="1081" spans="1:12">
      <c r="A1081" s="20" t="s">
        <v>780</v>
      </c>
      <c r="E1081" s="22">
        <f>IF(D1081="?OLD","!!!","")</f>
        <v/>
      </c>
      <c r="F1081" s="23" t="str">
        <f>IF(OR(E1081="",E1081="!!!"),"",IF(NOT(ISNA(VLOOKUP(E1081,E$1:E1080,1,FALSE()))),"OLD",IF(AND(E1081&lt;&gt;"",E1081&lt;&gt;"!!!"),"NEW","")))</f>
        <v> </v>
      </c>
      <c r="G1081" s="24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5" t="str">
        <f>IF(J1081&lt;&gt;1,"",IF(I1081="SBJ","CB","?"))</f>
        <v> </v>
      </c>
      <c r="I1081" s="26" t="str">
        <f>IF(OR(E1081="",E1081="!!!",F1081="NEW"),"",INDEX(B1080:B$2,-1+SUMPRODUCT(MAX(ROW(E1080:E$2)*(E1081=E1080:E$2)))))</f>
        <v> </v>
      </c>
      <c r="J1081" s="26" t="str">
        <f>IF(OR(E1081="",E1081="!!!",F1081="NEW"),"",COUNTBLANK(OFFSET(A$1,,,SUMPRODUCT(MAX(ROW(E$2:E1081)*(E1081=E$2:E1081)))))-COUNTBLANK(OFFSET(A$1,,,SUMPRODUCT(MAX(ROW(E$1:E1080)*(E2=E$1:E1080))))))</f>
        <v> </v>
      </c>
      <c r="K1081" s="26" t="str">
        <f>IF(OR(E1081="",E1081="!!!",F1081="NEW"),"",INDEX(J$1:J1080,SUMPRODUCT(MAX(ROW(E$1:E1080)*(E1081=E$1:E1080)))))</f>
        <v> </v>
      </c>
      <c r="L1081" s="27"/>
    </row>
    <row r="1082" spans="1:12">
      <c r="A1082" s="20" t="s">
        <v>781</v>
      </c>
      <c r="B1082" s="21" t="s">
        <v>424</v>
      </c>
      <c r="C1082" s="21" t="s">
        <v>430</v>
      </c>
      <c r="E1082" s="22">
        <f>IF(D1082="?OLD","!!!","")</f>
        <v/>
      </c>
      <c r="F1082" s="23" t="str">
        <f>IF(OR(E1082="",E1082="!!!"),"",IF(NOT(ISNA(VLOOKUP(E1082,E$1:E1081,1,FALSE()))),"OLD",IF(AND(E1082&lt;&gt;"",E1082&lt;&gt;"!!!"),"NEW","")))</f>
        <v> </v>
      </c>
      <c r="G1082" s="24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5" t="str">
        <f>IF(J1082&lt;&gt;1,"",IF(I1082="SBJ","CB","?"))</f>
        <v> </v>
      </c>
      <c r="I1082" s="26" t="str">
        <f>IF(OR(E1082="",E1082="!!!",F1082="NEW"),"",INDEX(B1081:B$2,-1+SUMPRODUCT(MAX(ROW(E1081:E$2)*(E1082=E1081:E$2)))))</f>
        <v> </v>
      </c>
      <c r="J1082" s="26" t="str">
        <f>IF(OR(E1082="",E1082="!!!",F1082="NEW"),"",COUNTBLANK(OFFSET(A$1,,,SUMPRODUCT(MAX(ROW(E$2:E1082)*(E1082=E$2:E1082)))))-COUNTBLANK(OFFSET(A$1,,,SUMPRODUCT(MAX(ROW(E$1:E1081)*(E2=E$1:E1081))))))</f>
        <v> </v>
      </c>
      <c r="K1082" s="26" t="str">
        <f>IF(OR(E1082="",E1082="!!!",F1082="NEW"),"",INDEX(J$1:J1081,SUMPRODUCT(MAX(ROW(E$1:E1081)*(E1082=E$1:E1081)))))</f>
        <v> </v>
      </c>
      <c r="L1082" s="27"/>
    </row>
    <row r="1083" spans="1:12">
      <c r="A1083" s="20" t="s">
        <v>755</v>
      </c>
      <c r="E1083" s="22">
        <f>IF(D1083="?OLD","!!!","")</f>
        <v/>
      </c>
      <c r="F1083" s="23" t="str">
        <f>IF(OR(E1083="",E1083="!!!"),"",IF(NOT(ISNA(VLOOKUP(E1083,E$1:E1082,1,FALSE()))),"OLD",IF(AND(E1083&lt;&gt;"",E1083&lt;&gt;"!!!"),"NEW","")))</f>
        <v> </v>
      </c>
      <c r="G1083" s="24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5" t="str">
        <f>IF(J1083&lt;&gt;1,"",IF(I1083="SBJ","CB","?"))</f>
        <v> </v>
      </c>
      <c r="I1083" s="26" t="str">
        <f>IF(OR(E1083="",E1083="!!!",F1083="NEW"),"",INDEX(B1082:B$2,-1+SUMPRODUCT(MAX(ROW(E1082:E$2)*(E1083=E1082:E$2)))))</f>
        <v> </v>
      </c>
      <c r="J1083" s="26" t="str">
        <f>IF(OR(E1083="",E1083="!!!",F1083="NEW"),"",COUNTBLANK(OFFSET(A$1,,,SUMPRODUCT(MAX(ROW(E$2:E1083)*(E1083=E$2:E1083)))))-COUNTBLANK(OFFSET(A$1,,,SUMPRODUCT(MAX(ROW(E$1:E1082)*(E2=E$1:E1082))))))</f>
        <v> </v>
      </c>
      <c r="K1083" s="26" t="str">
        <f>IF(OR(E1083="",E1083="!!!",F1083="NEW"),"",INDEX(J$1:J1082,SUMPRODUCT(MAX(ROW(E$1:E1082)*(E1083=E$1:E1082)))))</f>
        <v> </v>
      </c>
      <c r="L1083" s="27"/>
    </row>
    <row r="1084" spans="1:12">
      <c r="A1084" s="20"/>
    </row>
    <row r="1085" spans="1:12">
      <c r="A1085" s="20" t="s">
        <v>782</v>
      </c>
    </row>
    <row r="1086" spans="1:12">
      <c r="A1086" s="20" t="s">
        <v>743</v>
      </c>
      <c r="E1086" s="22">
        <f>IF(D1086="?OLD","!!!","")</f>
        <v/>
      </c>
      <c r="F1086" s="23" t="str">
        <f>IF(OR(E1086="",E1086="!!!"),"",IF(NOT(ISNA(VLOOKUP(E1086,E$1:E1085,1,FALSE()))),"OLD",IF(AND(E1086&lt;&gt;"",E1086&lt;&gt;"!!!"),"NEW","")))</f>
        <v> </v>
      </c>
      <c r="G1086" s="24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5" t="str">
        <f>IF(J1086&lt;&gt;1,"",IF(I1086="SBJ","CB","?"))</f>
        <v> </v>
      </c>
      <c r="I1086" s="26" t="str">
        <f>IF(OR(E1086="",E1086="!!!",F1086="NEW"),"",INDEX(B1085:B$2,-1+SUMPRODUCT(MAX(ROW(E1085:E$2)*(E1086=E1085:E$2)))))</f>
        <v> </v>
      </c>
      <c r="J1086" s="26" t="str">
        <f>IF(OR(E1086="",E1086="!!!",F1086="NEW"),"",COUNTBLANK(OFFSET(A$1,,,SUMPRODUCT(MAX(ROW(E$2:E1086)*(E1086=E$2:E1086)))))-COUNTBLANK(OFFSET(A$1,,,SUMPRODUCT(MAX(ROW(E$1:E1085)*(E2=E$1:E1085))))))</f>
        <v> </v>
      </c>
      <c r="K1086" s="26" t="str">
        <f>IF(OR(E1086="",E1086="!!!",F1086="NEW"),"",INDEX(J$1:J1085,SUMPRODUCT(MAX(ROW(E$1:E1085)*(E1086=E$1:E1085)))))</f>
        <v> </v>
      </c>
      <c r="L1086" s="27"/>
    </row>
    <row r="1087" spans="1:12">
      <c r="A1087" s="20" t="s">
        <v>471</v>
      </c>
      <c r="E1087" s="22">
        <f>IF(D1087="?OLD","!!!","")</f>
        <v/>
      </c>
      <c r="F1087" s="23" t="str">
        <f>IF(OR(E1087="",E1087="!!!"),"",IF(NOT(ISNA(VLOOKUP(E1087,E$1:E1086,1,FALSE()))),"OLD",IF(AND(E1087&lt;&gt;"",E1087&lt;&gt;"!!!"),"NEW","")))</f>
        <v> </v>
      </c>
      <c r="G1087" s="24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5" t="str">
        <f>IF(J1087&lt;&gt;1,"",IF(I1087="SBJ","CB","?"))</f>
        <v> </v>
      </c>
      <c r="I1087" s="26" t="str">
        <f>IF(OR(E1087="",E1087="!!!",F1087="NEW"),"",INDEX(B1086:B$2,-1+SUMPRODUCT(MAX(ROW(E1086:E$2)*(E1087=E1086:E$2)))))</f>
        <v> </v>
      </c>
      <c r="J1087" s="26" t="str">
        <f>IF(OR(E1087="",E1087="!!!",F1087="NEW"),"",COUNTBLANK(OFFSET(A$1,,,SUMPRODUCT(MAX(ROW(E$2:E1087)*(E1087=E$2:E1087)))))-COUNTBLANK(OFFSET(A$1,,,SUMPRODUCT(MAX(ROW(E$1:E1086)*(E2=E$1:E1086))))))</f>
        <v> </v>
      </c>
      <c r="K1087" s="26" t="str">
        <f>IF(OR(E1087="",E1087="!!!",F1087="NEW"),"",INDEX(J$1:J1086,SUMPRODUCT(MAX(ROW(E$1:E1086)*(E1087=E$1:E1086)))))</f>
        <v> </v>
      </c>
      <c r="L1087" s="27"/>
    </row>
    <row r="1088" spans="1:12">
      <c r="A1088" s="20" t="s">
        <v>754</v>
      </c>
      <c r="B1088" s="21" t="s">
        <v>419</v>
      </c>
      <c r="C1088" s="21" t="s">
        <v>401</v>
      </c>
      <c r="D1088" s="21" t="s">
        <v>368</v>
      </c>
      <c r="E1088" s="22">
        <f>IF(D1088="?OLD","!!!","")</f>
        <v/>
      </c>
      <c r="F1088" s="23" t="str">
        <f>IF(OR(E1088="",E1088="!!!"),"",IF(NOT(ISNA(VLOOKUP(E1088,E$1:E1087,1,FALSE()))),"OLD",IF(AND(E1088&lt;&gt;"",E1088&lt;&gt;"!!!"),"NEW","")))</f>
        <v> </v>
      </c>
      <c r="G1088" s="24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5" t="str">
        <f>IF(J1088&lt;&gt;1,"",IF(I1088="SBJ","CB","?"))</f>
        <v> </v>
      </c>
      <c r="I1088" s="26" t="str">
        <f>IF(OR(E1088="",E1088="!!!",F1088="NEW"),"",INDEX(B1087:B$2,-1+SUMPRODUCT(MAX(ROW(E1087:E$2)*(E1088=E1087:E$2)))))</f>
        <v> </v>
      </c>
      <c r="J1088" s="26" t="str">
        <f>IF(OR(E1088="",E1088="!!!",F1088="NEW"),"",COUNTBLANK(OFFSET(A$1,,,SUMPRODUCT(MAX(ROW(E$2:E1088)*(E1088=E$2:E1088)))))-COUNTBLANK(OFFSET(A$1,,,SUMPRODUCT(MAX(ROW(E$1:E1087)*(E2=E$1:E1087))))))</f>
        <v> </v>
      </c>
      <c r="K1088" s="26" t="str">
        <f>IF(OR(E1088="",E1088="!!!",F1088="NEW"),"",INDEX(J$1:J1087,SUMPRODUCT(MAX(ROW(E$1:E1087)*(E1088=E$1:E1087)))))</f>
        <v> </v>
      </c>
      <c r="L1088" s="27"/>
    </row>
    <row r="1089" spans="1:12">
      <c r="A1089" s="20" t="s">
        <v>783</v>
      </c>
      <c r="E1089" s="22">
        <f>IF(D1089="?OLD","!!!","")</f>
        <v/>
      </c>
      <c r="F1089" s="23" t="str">
        <f>IF(OR(E1089="",E1089="!!!"),"",IF(NOT(ISNA(VLOOKUP(E1089,E$1:E1088,1,FALSE()))),"OLD",IF(AND(E1089&lt;&gt;"",E1089&lt;&gt;"!!!"),"NEW","")))</f>
        <v> </v>
      </c>
      <c r="G1089" s="24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5" t="str">
        <f>IF(J1089&lt;&gt;1,"",IF(I1089="SBJ","CB","?"))</f>
        <v> </v>
      </c>
      <c r="I1089" s="26" t="str">
        <f>IF(OR(E1089="",E1089="!!!",F1089="NEW"),"",INDEX(B1088:B$2,-1+SUMPRODUCT(MAX(ROW(E1088:E$2)*(E1089=E1088:E$2)))))</f>
        <v> </v>
      </c>
      <c r="J1089" s="26" t="str">
        <f>IF(OR(E1089="",E1089="!!!",F1089="NEW"),"",COUNTBLANK(OFFSET(A$1,,,SUMPRODUCT(MAX(ROW(E$2:E1089)*(E1089=E$2:E1089)))))-COUNTBLANK(OFFSET(A$1,,,SUMPRODUCT(MAX(ROW(E$1:E1088)*(E2=E$1:E1088))))))</f>
        <v> </v>
      </c>
      <c r="K1089" s="26" t="str">
        <f>IF(OR(E1089="",E1089="!!!",F1089="NEW"),"",INDEX(J$1:J1088,SUMPRODUCT(MAX(ROW(E$1:E1088)*(E1089=E$1:E1088)))))</f>
        <v> </v>
      </c>
      <c r="L1089" s="27"/>
    </row>
    <row r="1090" spans="1:12">
      <c r="A1090" s="20" t="s">
        <v>346</v>
      </c>
      <c r="E1090" s="22">
        <f>IF(D1090="?OLD","!!!","")</f>
        <v/>
      </c>
      <c r="F1090" s="23" t="str">
        <f>IF(OR(E1090="",E1090="!!!"),"",IF(NOT(ISNA(VLOOKUP(E1090,E$1:E1089,1,FALSE()))),"OLD",IF(AND(E1090&lt;&gt;"",E1090&lt;&gt;"!!!"),"NEW","")))</f>
        <v> </v>
      </c>
      <c r="G1090" s="24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5" t="str">
        <f>IF(J1090&lt;&gt;1,"",IF(I1090="SBJ","CB","?"))</f>
        <v> </v>
      </c>
      <c r="I1090" s="26" t="str">
        <f>IF(OR(E1090="",E1090="!!!",F1090="NEW"),"",INDEX(B1089:B$2,-1+SUMPRODUCT(MAX(ROW(E1089:E$2)*(E1090=E1089:E$2)))))</f>
        <v> </v>
      </c>
      <c r="J1090" s="26" t="str">
        <f>IF(OR(E1090="",E1090="!!!",F1090="NEW"),"",COUNTBLANK(OFFSET(A$1,,,SUMPRODUCT(MAX(ROW(E$2:E1090)*(E1090=E$2:E1090)))))-COUNTBLANK(OFFSET(A$1,,,SUMPRODUCT(MAX(ROW(E$1:E1089)*(E2=E$1:E1089))))))</f>
        <v> </v>
      </c>
      <c r="K1090" s="26" t="str">
        <f>IF(OR(E1090="",E1090="!!!",F1090="NEW"),"",INDEX(J$1:J1089,SUMPRODUCT(MAX(ROW(E$1:E1089)*(E1090=E$1:E1089)))))</f>
        <v> </v>
      </c>
      <c r="L1090" s="27"/>
    </row>
    <row r="1091" spans="1:12">
      <c r="A1091" s="20" t="s">
        <v>376</v>
      </c>
      <c r="E1091" s="22">
        <f>IF(D1091="?OLD","!!!","")</f>
        <v/>
      </c>
      <c r="F1091" s="23" t="str">
        <f>IF(OR(E1091="",E1091="!!!"),"",IF(NOT(ISNA(VLOOKUP(E1091,E$1:E1090,1,FALSE()))),"OLD",IF(AND(E1091&lt;&gt;"",E1091&lt;&gt;"!!!"),"NEW","")))</f>
        <v> </v>
      </c>
      <c r="G1091" s="24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5" t="str">
        <f>IF(J1091&lt;&gt;1,"",IF(I1091="SBJ","CB","?"))</f>
        <v> </v>
      </c>
      <c r="I1091" s="26" t="str">
        <f>IF(OR(E1091="",E1091="!!!",F1091="NEW"),"",INDEX(B1090:B$2,-1+SUMPRODUCT(MAX(ROW(E1090:E$2)*(E1091=E1090:E$2)))))</f>
        <v> </v>
      </c>
      <c r="J1091" s="26" t="str">
        <f>IF(OR(E1091="",E1091="!!!",F1091="NEW"),"",COUNTBLANK(OFFSET(A$1,,,SUMPRODUCT(MAX(ROW(E$2:E1091)*(E1091=E$2:E1091)))))-COUNTBLANK(OFFSET(A$1,,,SUMPRODUCT(MAX(ROW(E$1:E1090)*(E2=E$1:E1090))))))</f>
        <v> </v>
      </c>
      <c r="K1091" s="26" t="str">
        <f>IF(OR(E1091="",E1091="!!!",F1091="NEW"),"",INDEX(J$1:J1090,SUMPRODUCT(MAX(ROW(E$1:E1090)*(E1091=E$1:E1090)))))</f>
        <v> </v>
      </c>
      <c r="L1091" s="27"/>
    </row>
    <row r="1092" spans="1:12">
      <c r="A1092" s="20" t="s">
        <v>755</v>
      </c>
      <c r="E1092" s="22">
        <f>IF(D1092="?OLD","!!!","")</f>
        <v/>
      </c>
      <c r="F1092" s="23" t="str">
        <f>IF(OR(E1092="",E1092="!!!"),"",IF(NOT(ISNA(VLOOKUP(E1092,E$1:E1091,1,FALSE()))),"OLD",IF(AND(E1092&lt;&gt;"",E1092&lt;&gt;"!!!"),"NEW","")))</f>
        <v> </v>
      </c>
      <c r="G1092" s="24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5" t="str">
        <f>IF(J1092&lt;&gt;1,"",IF(I1092="SBJ","CB","?"))</f>
        <v> </v>
      </c>
      <c r="I1092" s="26" t="str">
        <f>IF(OR(E1092="",E1092="!!!",F1092="NEW"),"",INDEX(B1091:B$2,-1+SUMPRODUCT(MAX(ROW(E1091:E$2)*(E1092=E1091:E$2)))))</f>
        <v> </v>
      </c>
      <c r="J1092" s="26" t="str">
        <f>IF(OR(E1092="",E1092="!!!",F1092="NEW"),"",COUNTBLANK(OFFSET(A$1,,,SUMPRODUCT(MAX(ROW(E$2:E1092)*(E1092=E$2:E1092)))))-COUNTBLANK(OFFSET(A$1,,,SUMPRODUCT(MAX(ROW(E$1:E1091)*(E2=E$1:E1091))))))</f>
        <v> </v>
      </c>
      <c r="K1092" s="26" t="str">
        <f>IF(OR(E1092="",E1092="!!!",F1092="NEW"),"",INDEX(J$1:J1091,SUMPRODUCT(MAX(ROW(E$1:E1091)*(E1092=E$1:E1091)))))</f>
        <v> </v>
      </c>
      <c r="L1092" s="27"/>
    </row>
    <row r="1093" spans="1:12">
      <c r="A1093" s="20"/>
    </row>
    <row r="1094" spans="1:12">
      <c r="A1094" s="20" t="s">
        <v>784</v>
      </c>
    </row>
    <row r="1095" spans="1:12">
      <c r="A1095" s="20" t="s">
        <v>626</v>
      </c>
      <c r="E1095" s="22">
        <f>IF(D1095="?OLD","!!!","")</f>
        <v/>
      </c>
      <c r="F1095" s="23" t="str">
        <f>IF(OR(E1095="",E1095="!!!"),"",IF(NOT(ISNA(VLOOKUP(E1095,E$1:E1094,1,FALSE()))),"OLD",IF(AND(E1095&lt;&gt;"",E1095&lt;&gt;"!!!"),"NEW","")))</f>
        <v> </v>
      </c>
      <c r="G1095" s="24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5" t="str">
        <f>IF(J1095&lt;&gt;1,"",IF(I1095="SBJ","CB","?"))</f>
        <v> </v>
      </c>
      <c r="I1095" s="26" t="str">
        <f>IF(OR(E1095="",E1095="!!!",F1095="NEW"),"",INDEX(B1094:B$2,-1+SUMPRODUCT(MAX(ROW(E1094:E$2)*(E1095=E1094:E$2)))))</f>
        <v> </v>
      </c>
      <c r="J1095" s="26" t="str">
        <f>IF(OR(E1095="",E1095="!!!",F1095="NEW"),"",COUNTBLANK(OFFSET(A$1,,,SUMPRODUCT(MAX(ROW(E$2:E1095)*(E1095=E$2:E1095)))))-COUNTBLANK(OFFSET(A$1,,,SUMPRODUCT(MAX(ROW(E$1:E1094)*(E2=E$1:E1094))))))</f>
        <v> </v>
      </c>
      <c r="K1095" s="26" t="str">
        <f>IF(OR(E1095="",E1095="!!!",F1095="NEW"),"",INDEX(J$1:J1094,SUMPRODUCT(MAX(ROW(E$1:E1094)*(E1095=E$1:E1094)))))</f>
        <v> </v>
      </c>
      <c r="L1095" s="27"/>
    </row>
    <row r="1096" spans="1:12">
      <c r="A1096" s="20" t="s">
        <v>785</v>
      </c>
      <c r="E1096" s="22">
        <f>IF(D1096="?OLD","!!!","")</f>
        <v/>
      </c>
      <c r="F1096" s="23" t="str">
        <f>IF(OR(E1096="",E1096="!!!"),"",IF(NOT(ISNA(VLOOKUP(E1096,E$1:E1095,1,FALSE()))),"OLD",IF(AND(E1096&lt;&gt;"",E1096&lt;&gt;"!!!"),"NEW","")))</f>
        <v> </v>
      </c>
      <c r="G1096" s="24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5" t="str">
        <f>IF(J1096&lt;&gt;1,"",IF(I1096="SBJ","CB","?"))</f>
        <v> </v>
      </c>
      <c r="I1096" s="26" t="str">
        <f>IF(OR(E1096="",E1096="!!!",F1096="NEW"),"",INDEX(B1095:B$2,-1+SUMPRODUCT(MAX(ROW(E1095:E$2)*(E1096=E1095:E$2)))))</f>
        <v> </v>
      </c>
      <c r="J1096" s="26" t="str">
        <f>IF(OR(E1096="",E1096="!!!",F1096="NEW"),"",COUNTBLANK(OFFSET(A$1,,,SUMPRODUCT(MAX(ROW(E$2:E1096)*(E1096=E$2:E1096)))))-COUNTBLANK(OFFSET(A$1,,,SUMPRODUCT(MAX(ROW(E$1:E1095)*(E2=E$1:E1095))))))</f>
        <v> </v>
      </c>
      <c r="K1096" s="26" t="str">
        <f>IF(OR(E1096="",E1096="!!!",F1096="NEW"),"",INDEX(J$1:J1095,SUMPRODUCT(MAX(ROW(E$1:E1095)*(E1096=E$1:E1095)))))</f>
        <v> </v>
      </c>
      <c r="L1096" s="27"/>
    </row>
    <row r="1097" spans="1:12">
      <c r="A1097" s="20" t="s">
        <v>786</v>
      </c>
      <c r="E1097" s="22">
        <f>IF(D1097="?OLD","!!!","")</f>
        <v/>
      </c>
      <c r="F1097" s="23" t="str">
        <f>IF(OR(E1097="",E1097="!!!"),"",IF(NOT(ISNA(VLOOKUP(E1097,E$1:E1096,1,FALSE()))),"OLD",IF(AND(E1097&lt;&gt;"",E1097&lt;&gt;"!!!"),"NEW","")))</f>
        <v> </v>
      </c>
      <c r="G1097" s="24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5" t="str">
        <f>IF(J1097&lt;&gt;1,"",IF(I1097="SBJ","CB","?"))</f>
        <v> </v>
      </c>
      <c r="I1097" s="26" t="str">
        <f>IF(OR(E1097="",E1097="!!!",F1097="NEW"),"",INDEX(B1096:B$2,-1+SUMPRODUCT(MAX(ROW(E1096:E$2)*(E1097=E1096:E$2)))))</f>
        <v> </v>
      </c>
      <c r="J1097" s="26" t="str">
        <f>IF(OR(E1097="",E1097="!!!",F1097="NEW"),"",COUNTBLANK(OFFSET(A$1,,,SUMPRODUCT(MAX(ROW(E$2:E1097)*(E1097=E$2:E1097)))))-COUNTBLANK(OFFSET(A$1,,,SUMPRODUCT(MAX(ROW(E$1:E1096)*(E2=E$1:E1096))))))</f>
        <v> </v>
      </c>
      <c r="K1097" s="26" t="str">
        <f>IF(OR(E1097="",E1097="!!!",F1097="NEW"),"",INDEX(J$1:J1096,SUMPRODUCT(MAX(ROW(E$1:E1096)*(E1097=E$1:E1096)))))</f>
        <v> </v>
      </c>
      <c r="L1097" s="27"/>
    </row>
    <row r="1098" spans="1:12">
      <c r="A1098" s="20" t="s">
        <v>787</v>
      </c>
      <c r="B1098" s="21" t="s">
        <v>374</v>
      </c>
      <c r="C1098" s="21" t="s">
        <v>430</v>
      </c>
      <c r="E1098" s="22">
        <f>IF(D1098="?OLD","!!!","")</f>
        <v/>
      </c>
      <c r="F1098" s="23" t="str">
        <f>IF(OR(E1098="",E1098="!!!"),"",IF(NOT(ISNA(VLOOKUP(E1098,E$1:E1097,1,FALSE()))),"OLD",IF(AND(E1098&lt;&gt;"",E1098&lt;&gt;"!!!"),"NEW","")))</f>
        <v> </v>
      </c>
      <c r="G1098" s="24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5" t="str">
        <f>IF(J1098&lt;&gt;1,"",IF(I1098="SBJ","CB","?"))</f>
        <v> </v>
      </c>
      <c r="I1098" s="26" t="str">
        <f>IF(OR(E1098="",E1098="!!!",F1098="NEW"),"",INDEX(B1097:B$2,-1+SUMPRODUCT(MAX(ROW(E1097:E$2)*(E1098=E1097:E$2)))))</f>
        <v> </v>
      </c>
      <c r="J1098" s="26" t="str">
        <f>IF(OR(E1098="",E1098="!!!",F1098="NEW"),"",COUNTBLANK(OFFSET(A$1,,,SUMPRODUCT(MAX(ROW(E$2:E1098)*(E1098=E$2:E1098)))))-COUNTBLANK(OFFSET(A$1,,,SUMPRODUCT(MAX(ROW(E$1:E1097)*(E2=E$1:E1097))))))</f>
        <v> </v>
      </c>
      <c r="K1098" s="26" t="str">
        <f>IF(OR(E1098="",E1098="!!!",F1098="NEW"),"",INDEX(J$1:J1097,SUMPRODUCT(MAX(ROW(E$1:E1097)*(E1098=E$1:E1097)))))</f>
        <v> </v>
      </c>
      <c r="L1098" s="27"/>
    </row>
    <row r="1099" spans="1:12">
      <c r="A1099" s="20" t="s">
        <v>350</v>
      </c>
      <c r="E1099" s="22">
        <f>IF(D1099="?OLD","!!!","")</f>
        <v/>
      </c>
      <c r="F1099" s="23" t="str">
        <f>IF(OR(E1099="",E1099="!!!"),"",IF(NOT(ISNA(VLOOKUP(E1099,E$1:E1098,1,FALSE()))),"OLD",IF(AND(E1099&lt;&gt;"",E1099&lt;&gt;"!!!"),"NEW","")))</f>
        <v> </v>
      </c>
      <c r="G1099" s="24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5" t="str">
        <f>IF(J1099&lt;&gt;1,"",IF(I1099="SBJ","CB","?"))</f>
        <v> </v>
      </c>
      <c r="I1099" s="26" t="str">
        <f>IF(OR(E1099="",E1099="!!!",F1099="NEW"),"",INDEX(B1098:B$2,-1+SUMPRODUCT(MAX(ROW(E1098:E$2)*(E1099=E1098:E$2)))))</f>
        <v> </v>
      </c>
      <c r="J1099" s="26" t="str">
        <f>IF(OR(E1099="",E1099="!!!",F1099="NEW"),"",COUNTBLANK(OFFSET(A$1,,,SUMPRODUCT(MAX(ROW(E$2:E1099)*(E1099=E$2:E1099)))))-COUNTBLANK(OFFSET(A$1,,,SUMPRODUCT(MAX(ROW(E$1:E1098)*(E2=E$1:E1098))))))</f>
        <v> </v>
      </c>
      <c r="K1099" s="26" t="str">
        <f>IF(OR(E1099="",E1099="!!!",F1099="NEW"),"",INDEX(J$1:J1098,SUMPRODUCT(MAX(ROW(E$1:E1098)*(E1099=E$1:E1098)))))</f>
        <v> </v>
      </c>
      <c r="L1099" s="27"/>
    </row>
    <row r="1100" spans="1:12">
      <c r="A1100" s="20" t="s">
        <v>409</v>
      </c>
      <c r="E1100" s="22">
        <f>IF(D1100="?OLD","!!!","")</f>
        <v/>
      </c>
      <c r="F1100" s="23" t="str">
        <f>IF(OR(E1100="",E1100="!!!"),"",IF(NOT(ISNA(VLOOKUP(E1100,E$1:E1099,1,FALSE()))),"OLD",IF(AND(E1100&lt;&gt;"",E1100&lt;&gt;"!!!"),"NEW","")))</f>
        <v> </v>
      </c>
      <c r="G1100" s="24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5" t="str">
        <f>IF(J1100&lt;&gt;1,"",IF(I1100="SBJ","CB","?"))</f>
        <v> </v>
      </c>
      <c r="I1100" s="26" t="str">
        <f>IF(OR(E1100="",E1100="!!!",F1100="NEW"),"",INDEX(B1099:B$2,-1+SUMPRODUCT(MAX(ROW(E1099:E$2)*(E1100=E1099:E$2)))))</f>
        <v> </v>
      </c>
      <c r="J1100" s="26" t="str">
        <f>IF(OR(E1100="",E1100="!!!",F1100="NEW"),"",COUNTBLANK(OFFSET(A$1,,,SUMPRODUCT(MAX(ROW(E$2:E1100)*(E1100=E$2:E1100)))))-COUNTBLANK(OFFSET(A$1,,,SUMPRODUCT(MAX(ROW(E$1:E1099)*(E2=E$1:E1099))))))</f>
        <v> </v>
      </c>
      <c r="K1100" s="26" t="str">
        <f>IF(OR(E1100="",E1100="!!!",F1100="NEW"),"",INDEX(J$1:J1099,SUMPRODUCT(MAX(ROW(E$1:E1099)*(E1100=E$1:E1099)))))</f>
        <v> </v>
      </c>
      <c r="L1100" s="27"/>
    </row>
    <row r="1101" spans="1:12">
      <c r="A110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2024-12-05T17:55:05Z</dcterms:created>
  <dcterms:modified xsi:type="dcterms:W3CDTF">2024-12-05T17:55:05Z</dcterms:modified>
</cp:coreProperties>
</file>