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<sst xmlns="http://schemas.openxmlformats.org/spreadsheetml/2006/main" count="1542" uniqueCount="464">
  <si>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</si>
  <si>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</si>
  <si>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</si>
  <si>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</si>
  <si>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</si>
  <si>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</si>
  <si>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</si>
  <si>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</si>
  <si>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</si>
  <si>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</si>
  <si>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</si>
  <si>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</t>
  </si>
  <si>
    <t>_</t>
  </si>
  <si>
    <t>sein (sein Buch)</t>
  </si>
  <si>
    <t>Dies ist das Buch von der Geburt Jesu Christi , der da ist ein Sohn Davids , des Sohnes Abrahams .</t>
  </si>
  <si>
    <t>file://conllu/de/bibl.de_luther1912.MAT.1.conllu#s1_0</t>
  </si>
  <si>
    <t>zeugen</t>
  </si>
  <si>
    <t>Abraham zeugte Isaak .</t>
  </si>
  <si>
    <t>file://conllu/de/bibl.de_luther1912.MAT.1.conllu#s2_0</t>
  </si>
  <si>
    <t>3</t>
  </si>
  <si>
    <t>Isaak zeugte Jakob .</t>
  </si>
  <si>
    <t>file://conllu/de/bibl.de_luther1912.MAT.1.conllu#s3_0</t>
  </si>
  <si>
    <t>4</t>
  </si>
  <si>
    <t>Jakob zeugte Juda und seine Brüder .</t>
  </si>
  <si>
    <t>file://conllu/de/bibl.de_luther1912.MAT.1.conllu#s4_0</t>
  </si>
  <si>
    <t>5</t>
  </si>
  <si>
    <t>Juda zeugte Perez und Serah von Thamar .</t>
  </si>
  <si>
    <t>file://conllu/de/bibl.de_luther1912.MAT.1.conllu#s5_0</t>
  </si>
  <si>
    <t>6</t>
  </si>
  <si>
    <t>Perez zeugte Hezron .</t>
  </si>
  <si>
    <t>file://conllu/de/bibl.de_luther1912.MAT.1.conllu#s6_0</t>
  </si>
  <si>
    <t>7</t>
  </si>
  <si>
    <t>Hezron zeugte Ram .</t>
  </si>
  <si>
    <t>file://conllu/de/bibl.de_luther1912.MAT.1.conllu#s7_0</t>
  </si>
  <si>
    <t>8</t>
  </si>
  <si>
    <t>Ram zeugte Amminadab .</t>
  </si>
  <si>
    <t>file://conllu/de/bibl.de_luther1912.MAT.1.conllu#s8_0</t>
  </si>
  <si>
    <t>9</t>
  </si>
  <si>
    <t>Amminadab zeugte Nahesson .</t>
  </si>
  <si>
    <t>file://conllu/de/bibl.de_luther1912.MAT.1.conllu#s9_0</t>
  </si>
  <si>
    <t>10</t>
  </si>
  <si>
    <t>Nahesson zeugte Salma .</t>
  </si>
  <si>
    <t>file://conllu/de/bibl.de_luther1912.MAT.1.conllu#s10_0</t>
  </si>
  <si>
    <t>11</t>
  </si>
  <si>
    <t>Salma zeugte Boas von der Rahab .</t>
  </si>
  <si>
    <t>file://conllu/de/bibl.de_luther1912.MAT.1.conllu#s11_0</t>
  </si>
  <si>
    <t>12</t>
  </si>
  <si>
    <t>Boas zeugte Obed von der Ruth .</t>
  </si>
  <si>
    <t>file://conllu/de/bibl.de_luther1912.MAT.1.conllu#s12_0</t>
  </si>
  <si>
    <t>13</t>
  </si>
  <si>
    <t>Obed zeugte Jesse .</t>
  </si>
  <si>
    <t>file://conllu/de/bibl.de_luther1912.MAT.1.conllu#s13_0</t>
  </si>
  <si>
    <t>14</t>
  </si>
  <si>
    <t>Jesse zeugte den König David .</t>
  </si>
  <si>
    <t>file://conllu/de/bibl.de_luther1912.MAT.1.conllu#s14_0</t>
  </si>
  <si>
    <t>15</t>
  </si>
  <si>
    <t>Der König David zeugte Salomo von dem Weib des Uria .</t>
  </si>
  <si>
    <t>file://conllu/de/bibl.de_luther1912.MAT.1.conllu#s15_0</t>
  </si>
  <si>
    <t>16</t>
  </si>
  <si>
    <t>Salomo zeugte Rehabeam .</t>
  </si>
  <si>
    <t>file://conllu/de/bibl.de_luther1912.MAT.1.conllu#s16_0</t>
  </si>
  <si>
    <t>17</t>
  </si>
  <si>
    <t>Rehabeam zeugte Abia .</t>
  </si>
  <si>
    <t>file://conllu/de/bibl.de_luther1912.MAT.1.conllu#s17_0</t>
  </si>
  <si>
    <t>18</t>
  </si>
  <si>
    <t>Abia zeugte Asa .</t>
  </si>
  <si>
    <t>file://conllu/de/bibl.de_luther1912.MAT.1.conllu#s18_0</t>
  </si>
  <si>
    <t>19</t>
  </si>
  <si>
    <t>Asa zeugte Josaphat .</t>
  </si>
  <si>
    <t>file://conllu/de/bibl.de_luther1912.MAT.1.conllu#s19_0</t>
  </si>
  <si>
    <t>20</t>
  </si>
  <si>
    <t>Josaphat zeugte Joram .</t>
  </si>
  <si>
    <t>file://conllu/de/bibl.de_luther1912.MAT.1.conllu#s20_0</t>
  </si>
  <si>
    <t>21</t>
  </si>
  <si>
    <t>Joram zeugte Usia .</t>
  </si>
  <si>
    <t>file://conllu/de/bibl.de_luther1912.MAT.1.conllu#s21_0</t>
  </si>
  <si>
    <t>22</t>
  </si>
  <si>
    <t>Usia zeugte Jotham .</t>
  </si>
  <si>
    <t>file://conllu/de/bibl.de_luther1912.MAT.1.conllu#s22_0</t>
  </si>
  <si>
    <t>23</t>
  </si>
  <si>
    <t>Jotham zeugte Ahas .</t>
  </si>
  <si>
    <t>file://conllu/de/bibl.de_luther1912.MAT.1.conllu#s23_0</t>
  </si>
  <si>
    <t>24</t>
  </si>
  <si>
    <t>Ahas zeugte Hiskia .</t>
  </si>
  <si>
    <t>file://conllu/de/bibl.de_luther1912.MAT.1.conllu#s24_0</t>
  </si>
  <si>
    <t>25</t>
  </si>
  <si>
    <t>Hiskia zeugte Manasse .</t>
  </si>
  <si>
    <t>file://conllu/de/bibl.de_luther1912.MAT.1.conllu#s25_0</t>
  </si>
  <si>
    <t>26</t>
  </si>
  <si>
    <t>Manasse zeugte Amon .</t>
  </si>
  <si>
    <t>file://conllu/de/bibl.de_luther1912.MAT.1.conllu#s26_0</t>
  </si>
  <si>
    <t>27</t>
  </si>
  <si>
    <t>Amon zeugte Josia .</t>
  </si>
  <si>
    <t>file://conllu/de/bibl.de_luther1912.MAT.1.conllu#s27_0</t>
  </si>
  <si>
    <t>28</t>
  </si>
  <si>
    <t>Josia zeugte Jechonja und seine Brüder um die Zeit der babylonischen Gefangenschaft .</t>
  </si>
  <si>
    <t>file://conllu/de/bibl.de_luther1912.MAT.1.conllu#s28_0</t>
  </si>
  <si>
    <t>29</t>
  </si>
  <si>
    <t>Nach der babylonischen Gefangenschaft zeugte Jechonja Sealthiel .</t>
  </si>
  <si>
    <t>file://conllu/de/bibl.de_luther1912.MAT.1.conllu#s29_0</t>
  </si>
  <si>
    <t>30</t>
  </si>
  <si>
    <t>Sealthiel zeugte Serubabel .</t>
  </si>
  <si>
    <t>file://conllu/de/bibl.de_luther1912.MAT.1.conllu#s30_0</t>
  </si>
  <si>
    <t>31</t>
  </si>
  <si>
    <t>Serubabel zeugte Abiud .</t>
  </si>
  <si>
    <t>file://conllu/de/bibl.de_luther1912.MAT.1.conllu#s31_0</t>
  </si>
  <si>
    <t>32</t>
  </si>
  <si>
    <t>Abiud zeugte Eliakim .</t>
  </si>
  <si>
    <t>file://conllu/de/bibl.de_luther1912.MAT.1.conllu#s32_0</t>
  </si>
  <si>
    <t>33</t>
  </si>
  <si>
    <t>Eliakim zeugte Asor .</t>
  </si>
  <si>
    <t>file://conllu/de/bibl.de_luther1912.MAT.1.conllu#s33_0</t>
  </si>
  <si>
    <t>34</t>
  </si>
  <si>
    <t>Asor zeugte Zadok .</t>
  </si>
  <si>
    <t>file://conllu/de/bibl.de_luther1912.MAT.1.conllu#s34_0</t>
  </si>
  <si>
    <t>35</t>
  </si>
  <si>
    <t>Zadok zeugte Achim .</t>
  </si>
  <si>
    <t>file://conllu/de/bibl.de_luther1912.MAT.1.conllu#s35_0</t>
  </si>
  <si>
    <t>36</t>
  </si>
  <si>
    <t>Achim zeugte Eliud .</t>
  </si>
  <si>
    <t>file://conllu/de/bibl.de_luther1912.MAT.1.conllu#s36_0</t>
  </si>
  <si>
    <t>37</t>
  </si>
  <si>
    <t>Eliud zeugte Eleasar .</t>
  </si>
  <si>
    <t>file://conllu/de/bibl.de_luther1912.MAT.1.conllu#s37_0</t>
  </si>
  <si>
    <t>38</t>
  </si>
  <si>
    <t>Eleasar zeugte Matthan .</t>
  </si>
  <si>
    <t>file://conllu/de/bibl.de_luther1912.MAT.1.conllu#s38_0</t>
  </si>
  <si>
    <t>39</t>
  </si>
  <si>
    <t>Matthan zeugte Jakob .</t>
  </si>
  <si>
    <t>file://conllu/de/bibl.de_luther1912.MAT.1.conllu#s39_0</t>
  </si>
  <si>
    <t>40</t>
  </si>
  <si>
    <t>Jakob zeugte Joseph , den Mann Marias , von welcher ist geboren Jesus , der da heißt Christus .</t>
  </si>
  <si>
    <t>file://conllu/de/bibl.de_luther1912.MAT.1.conllu#s40_0</t>
  </si>
  <si>
    <t>41</t>
  </si>
  <si>
    <t>sein (sein Glieder)</t>
  </si>
  <si>
    <t>Alle Glieder von Abraham bis auf David sind vierzehn Glieder .</t>
  </si>
  <si>
    <t>file://conllu/de/bibl.de_luther1912.MAT.1.conllu#s41_0</t>
  </si>
  <si>
    <t>42</t>
  </si>
  <si>
    <t>Von David bis auf die Gefangenschaft sind vierzehn Glieder .</t>
  </si>
  <si>
    <t>file://conllu/de/bibl.de_luther1912.MAT.1.conllu#s42_0</t>
  </si>
  <si>
    <t>43</t>
  </si>
  <si>
    <t>Von der babylonischen Gefangenschaft bis auf Christus sind vierzehn Glieder .</t>
  </si>
  <si>
    <t>file://conllu/de/bibl.de_luther1912.MAT.1.conllu#s43_0</t>
  </si>
  <si>
    <t>44</t>
  </si>
  <si>
    <t>sein (sein tun)</t>
  </si>
  <si>
    <t>Die Geburt Christi war aber also getan .</t>
  </si>
  <si>
    <t>file://conllu/de/bibl.de_luther1912.MAT.1.conllu#s44_0</t>
  </si>
  <si>
    <t>45</t>
  </si>
  <si>
    <t>finden</t>
  </si>
  <si>
    <t>Als Maria , seine Mutter , dem Joseph vertraut war , fand sich's ehe er sie heimholte , daß sie schwanger war von dem heiligen Geist .</t>
  </si>
  <si>
    <t>file://conllu/de/bibl.de_luther1912.MAT.1.conllu#s45_0</t>
  </si>
  <si>
    <t>46</t>
  </si>
  <si>
    <t>sein (sein frimmen)</t>
  </si>
  <si>
    <t>Joseph aber , ihr Mann , war fromm und wollte sie nicht in Schande bringen , gedachte aber , sie heimlich zu verlassen .</t>
  </si>
  <si>
    <t>file://conllu/de/bibl.de_luther1912.MAT.1.conllu#s46_0</t>
  </si>
  <si>
    <t>47</t>
  </si>
  <si>
    <t>siehe</t>
  </si>
  <si>
    <t>Indem er aber also gedachte , siehe , da erschien ihm ein Engel des HERRN im in dem Traum und sprach : Joseph , du Sohn Davids , fürchte dich nicht , Maria , dein Gemahl , zu dir zu nehmen ;</t>
  </si>
  <si>
    <t>file://conllu/de/bibl.de_luther1912.MAT.1.conllu#s47_0</t>
  </si>
  <si>
    <t>48</t>
  </si>
  <si>
    <t>dennen</t>
  </si>
  <si>
    <t>denn das in ihr geboren ist , das ist von dem heiligen Geist .</t>
  </si>
  <si>
    <t>file://conllu/de/bibl.de_luther1912.MAT.1.conllu#s48_0</t>
  </si>
  <si>
    <t>49</t>
  </si>
  <si>
    <t>gebären</t>
  </si>
  <si>
    <t>Und sie wird einen Sohn gebären , des Namen sollst du Jesus heißen ;</t>
  </si>
  <si>
    <t>file://conllu/de/bibl.de_luther1912.MAT.1.conllu#s49_0</t>
  </si>
  <si>
    <t>50</t>
  </si>
  <si>
    <t>machen</t>
  </si>
  <si>
    <t>denn er wird sein Volk selig machen von ihren Sünden .</t>
  </si>
  <si>
    <t>file://conllu/de/bibl.de_luther1912.MAT.1.conllu#s50_0</t>
  </si>
  <si>
    <t>51</t>
  </si>
  <si>
    <t>Was?</t>
  </si>
  <si>
    <t>sein (sein geschehen)</t>
  </si>
  <si>
    <t>Das ist aber alles geschehen , auf daß erfüllt würde , was der HERR durch den Propheten gesagt hat , der da spricht :</t>
  </si>
  <si>
    <t>file://conllu/de/bibl.de_luther1912.MAT.1.conllu#s51_0</t>
  </si>
  <si>
    <t>52</t>
  </si>
  <si>
    <t>&amp;amp;quot;Siehe</t>
  </si>
  <si>
    <t>&amp;amp;quot;Siehe , eine Jungfrau wird schwanger sein und einen Sohn gebären , und sie werden seinen Namen Immanuel heißen&amp;amp;quot ; , das ist verdolmetscht : Gott mit uns .</t>
  </si>
  <si>
    <t>file://conllu/de/bibl.de_luther1912.MAT.1.conllu#s52_0</t>
  </si>
  <si>
    <t>53</t>
  </si>
  <si>
    <t>tun</t>
  </si>
  <si>
    <t>Da nun Joseph vom von dem Schlaf erwachte , tat er , wie ihm des HERRN Engel befohlen hatte , und nahm sein Gemahl zu sich .</t>
  </si>
  <si>
    <t>file://conllu/de/bibl.de_luther1912.MAT.1.conllu#s53_0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</si>
  <si>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</si>
  <si>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</si>
  <si>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</si>
  <si>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</si>
  <si>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</si>
  <si>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</si>
  <si>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</si>
  <si>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</si>
  <si>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</si>
  <si>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</si>
  <si>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</si>
  <si>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Dies ist das Buch von der Geburt Jesu Christi, der da ist ein Sohn Davids, des Sohnes Abrahams.</t>
  </si>
  <si>
    <t>Dies</t>
  </si>
  <si>
    <t>SBJ</t>
  </si>
  <si>
    <t>pron.pds</t>
  </si>
  <si>
    <t>?OLD</t>
  </si>
  <si>
    <t>ist</t>
  </si>
  <si>
    <t>das</t>
  </si>
  <si>
    <t>Buch</t>
  </si>
  <si>
    <t>other</t>
  </si>
  <si>
    <t>def-np.the</t>
  </si>
  <si>
    <t>von</t>
  </si>
  <si>
    <t>der</t>
  </si>
  <si>
    <t>Geburt</t>
  </si>
  <si>
    <t>def-np.poss</t>
  </si>
  <si>
    <t>Jesu</t>
  </si>
  <si>
    <t>other_2</t>
  </si>
  <si>
    <t>ne</t>
  </si>
  <si>
    <t>Christi</t>
  </si>
  <si>
    <t>,</t>
  </si>
  <si>
    <t>SBJ_2</t>
  </si>
  <si>
    <t>da</t>
  </si>
  <si>
    <t>ein</t>
  </si>
  <si>
    <t>Sohn</t>
  </si>
  <si>
    <t>Davids</t>
  </si>
  <si>
    <t>des</t>
  </si>
  <si>
    <t>Sohnes</t>
  </si>
  <si>
    <t>Abrahams</t>
  </si>
  <si>
    <t>other_3</t>
  </si>
  <si>
    <t>.</t>
  </si>
  <si>
    <t># text = Abraham zeugte Isaak.</t>
  </si>
  <si>
    <t>Abraham</t>
  </si>
  <si>
    <t>zeugte</t>
  </si>
  <si>
    <t>Isaak</t>
  </si>
  <si>
    <t>OBJ</t>
  </si>
  <si>
    <t># text = Isaak zeugte Jakob.</t>
  </si>
  <si>
    <t>Jakob</t>
  </si>
  <si>
    <t># text = Jakob zeugte Juda und seine Brüder.</t>
  </si>
  <si>
    <t>Juda</t>
  </si>
  <si>
    <t>und</t>
  </si>
  <si>
    <t>seine</t>
  </si>
  <si>
    <t>Brüder</t>
  </si>
  <si>
    <t>indef-np</t>
  </si>
  <si>
    <t># text = Juda zeugte Perez und Serah von Thamar.</t>
  </si>
  <si>
    <t>Perez</t>
  </si>
  <si>
    <t>Serah</t>
  </si>
  <si>
    <t>Thamar</t>
  </si>
  <si>
    <t># text = Perez zeugte Hezron.</t>
  </si>
  <si>
    <t>Hezron</t>
  </si>
  <si>
    <t># text = Hezron zeugte Ram.</t>
  </si>
  <si>
    <t>Ram</t>
  </si>
  <si>
    <t># text = Ram zeugte Amminadab.</t>
  </si>
  <si>
    <t>Amminadab</t>
  </si>
  <si>
    <t># text = Amminadab zeugte Nahesson.</t>
  </si>
  <si>
    <t>Nahesson</t>
  </si>
  <si>
    <t># text = Nahesson zeugte Salma.</t>
  </si>
  <si>
    <t>Salma</t>
  </si>
  <si>
    <t># text = Salma zeugte Boas von der Rahab.</t>
  </si>
  <si>
    <t>Boas</t>
  </si>
  <si>
    <t>Rahab</t>
  </si>
  <si>
    <t># text = Boas zeugte Obed von der Ruth.</t>
  </si>
  <si>
    <t>Obed</t>
  </si>
  <si>
    <t>Ruth</t>
  </si>
  <si>
    <t># text = Obed zeugte Jesse.</t>
  </si>
  <si>
    <t>Jesse</t>
  </si>
  <si>
    <t>indef-np.bare</t>
  </si>
  <si>
    <t># text = Jesse zeugte den König David.</t>
  </si>
  <si>
    <t>den</t>
  </si>
  <si>
    <t>König</t>
  </si>
  <si>
    <t>David</t>
  </si>
  <si>
    <t># text = Der König David zeugte Salomo von dem Weib des Uria.</t>
  </si>
  <si>
    <t>Der</t>
  </si>
  <si>
    <t>Salomo</t>
  </si>
  <si>
    <t>dem</t>
  </si>
  <si>
    <t>Weib</t>
  </si>
  <si>
    <t>Uria</t>
  </si>
  <si>
    <t># text = Salomo zeugte Rehabeam.</t>
  </si>
  <si>
    <t>Rehabeam</t>
  </si>
  <si>
    <t># text = Rehabeam zeugte Abia.</t>
  </si>
  <si>
    <t>Abia</t>
  </si>
  <si>
    <t># text = Abia zeugte Asa.</t>
  </si>
  <si>
    <t>Asa</t>
  </si>
  <si>
    <t># text = Asa zeugte Josaphat.</t>
  </si>
  <si>
    <t>Josaphat</t>
  </si>
  <si>
    <t># text = Josaphat zeugte Joram.</t>
  </si>
  <si>
    <t>Joram</t>
  </si>
  <si>
    <t># text = Joram zeugte Usia.</t>
  </si>
  <si>
    <t>Usia</t>
  </si>
  <si>
    <t># text = Usia zeugte Jotham.</t>
  </si>
  <si>
    <t>Jotham</t>
  </si>
  <si>
    <t># text = Jotham zeugte Ahas.</t>
  </si>
  <si>
    <t>Ahas</t>
  </si>
  <si>
    <t># text = Ahas zeugte Hiskia.</t>
  </si>
  <si>
    <t>Hiskia</t>
  </si>
  <si>
    <t># text = Hiskia zeugte Manasse.</t>
  </si>
  <si>
    <t>Manasse</t>
  </si>
  <si>
    <t># text = Manasse zeugte Amon.</t>
  </si>
  <si>
    <t>Amon</t>
  </si>
  <si>
    <t># text = Amon zeugte Josia.</t>
  </si>
  <si>
    <t>Josia</t>
  </si>
  <si>
    <t># text = Josia zeugte Jechonja und seine Brüder um die Zeit der babylonischen Gefangenschaft.</t>
  </si>
  <si>
    <t>Jechonja</t>
  </si>
  <si>
    <t>um</t>
  </si>
  <si>
    <t>die</t>
  </si>
  <si>
    <t>Zeit</t>
  </si>
  <si>
    <t>babylonischen</t>
  </si>
  <si>
    <t>Gefangenschaft</t>
  </si>
  <si>
    <t># text = Nach der babylonischen Gefangenschaft zeugte Jechonja Sealthiel.</t>
  </si>
  <si>
    <t>Nach</t>
  </si>
  <si>
    <t>Sealthiel</t>
  </si>
  <si>
    <t># text = Sealthiel zeugte Serubabel.</t>
  </si>
  <si>
    <t>Serubabel</t>
  </si>
  <si>
    <t># text = Serubabel zeugte Abiud.</t>
  </si>
  <si>
    <t>Abiud</t>
  </si>
  <si>
    <t># text = Abiud zeugte Eliakim.</t>
  </si>
  <si>
    <t>Eliakim</t>
  </si>
  <si>
    <t># text = Eliakim zeugte Asor.</t>
  </si>
  <si>
    <t>Asor</t>
  </si>
  <si>
    <t># text = Asor zeugte Zadok.</t>
  </si>
  <si>
    <t>Zadok</t>
  </si>
  <si>
    <t># text = Zadok zeugte Achim.</t>
  </si>
  <si>
    <t>Achim</t>
  </si>
  <si>
    <t># text = Achim zeugte Eliud.</t>
  </si>
  <si>
    <t>Eliud</t>
  </si>
  <si>
    <t># text = Eliud zeugte Eleasar.</t>
  </si>
  <si>
    <t>Eleasar</t>
  </si>
  <si>
    <t># text = Eleasar zeugte Matthan.</t>
  </si>
  <si>
    <t>Matthan</t>
  </si>
  <si>
    <t># text = Matthan zeugte Jakob.</t>
  </si>
  <si>
    <t># text = Jakob zeugte Joseph, den Mann Marias, von welcher ist geboren Jesus, der da heißt Christus.</t>
  </si>
  <si>
    <t>Joseph</t>
  </si>
  <si>
    <t>Mann</t>
  </si>
  <si>
    <t>Marias</t>
  </si>
  <si>
    <t>welcher</t>
  </si>
  <si>
    <t>geboren</t>
  </si>
  <si>
    <t>Jesus</t>
  </si>
  <si>
    <t>SBJ_4</t>
  </si>
  <si>
    <t>heißt</t>
  </si>
  <si>
    <t>Christus</t>
  </si>
  <si>
    <t># text = Alle Glieder von Abraham bis auf David sind vierzehn Glieder.</t>
  </si>
  <si>
    <t>Alle</t>
  </si>
  <si>
    <t>pron.pind</t>
  </si>
  <si>
    <t>Glieder</t>
  </si>
  <si>
    <t>indef-np.quant</t>
  </si>
  <si>
    <t>bis</t>
  </si>
  <si>
    <t>auf</t>
  </si>
  <si>
    <t>sind</t>
  </si>
  <si>
    <t>vierzehn</t>
  </si>
  <si>
    <t># text = Von David bis auf die Gefangenschaft sind vierzehn Glieder.</t>
  </si>
  <si>
    <t>Von</t>
  </si>
  <si>
    <t># text = Von der babylonischen Gefangenschaft bis auf Christus sind vierzehn Glieder.</t>
  </si>
  <si>
    <t># text = Die Geburt Christi war aber also getan.</t>
  </si>
  <si>
    <t>Die</t>
  </si>
  <si>
    <t>war</t>
  </si>
  <si>
    <t>aber</t>
  </si>
  <si>
    <t>also</t>
  </si>
  <si>
    <t>getan</t>
  </si>
  <si>
    <t># text = Als Maria, seine Mutter, dem Joseph vertraut war, fand sich's ehe er sie heimholte, daß sie schwanger war von dem heiligen Geist.</t>
  </si>
  <si>
    <t>Als</t>
  </si>
  <si>
    <t>Maria</t>
  </si>
  <si>
    <t>Mutter</t>
  </si>
  <si>
    <t>vertraut</t>
  </si>
  <si>
    <t>fand</t>
  </si>
  <si>
    <t>sich's</t>
  </si>
  <si>
    <t>ehe</t>
  </si>
  <si>
    <t>er</t>
  </si>
  <si>
    <t>pron.pper</t>
  </si>
  <si>
    <t>sie</t>
  </si>
  <si>
    <t>OBJ_2</t>
  </si>
  <si>
    <t>pron</t>
  </si>
  <si>
    <t>heimholte</t>
  </si>
  <si>
    <t>daß</t>
  </si>
  <si>
    <t>SBJ_3</t>
  </si>
  <si>
    <t>schwanger</t>
  </si>
  <si>
    <t>heiligen</t>
  </si>
  <si>
    <t>Geist</t>
  </si>
  <si>
    <t># text = Joseph aber, ihr Mann, war fromm und wollte sie nicht in Schande bringen, gedachte aber, sie heimlich zu verlassen.</t>
  </si>
  <si>
    <t>ihr</t>
  </si>
  <si>
    <t>fromm</t>
  </si>
  <si>
    <t>wollte</t>
  </si>
  <si>
    <t>nicht</t>
  </si>
  <si>
    <t>in</t>
  </si>
  <si>
    <t>Schande</t>
  </si>
  <si>
    <t>bringen</t>
  </si>
  <si>
    <t>gedachte</t>
  </si>
  <si>
    <t>OBJ_3</t>
  </si>
  <si>
    <t>heimlich</t>
  </si>
  <si>
    <t>zu</t>
  </si>
  <si>
    <t>verlassen</t>
  </si>
  <si>
    <t># text = Indem er aber also gedachte, siehe, da erschien ihm ein Engel des HERRN im Traum und sprach: Joseph, du Sohn Davids, fürchte dich nicht, Maria, dein Gemahl, zu dir zu nehmen;</t>
  </si>
  <si>
    <t>Indem</t>
  </si>
  <si>
    <t>erschien</t>
  </si>
  <si>
    <t>ihm</t>
  </si>
  <si>
    <t>Engel</t>
  </si>
  <si>
    <t>HERRN</t>
  </si>
  <si>
    <t>other_4</t>
  </si>
  <si>
    <t>Traum</t>
  </si>
  <si>
    <t>sprach</t>
  </si>
  <si>
    <t>:</t>
  </si>
  <si>
    <t>du</t>
  </si>
  <si>
    <t>other_5</t>
  </si>
  <si>
    <t>fürchte</t>
  </si>
  <si>
    <t>dich</t>
  </si>
  <si>
    <t>OBJ_4</t>
  </si>
  <si>
    <t>dein</t>
  </si>
  <si>
    <t>Gemahl</t>
  </si>
  <si>
    <t>other_7</t>
  </si>
  <si>
    <t>dir</t>
  </si>
  <si>
    <t>other_6</t>
  </si>
  <si>
    <t>nehmen</t>
  </si>
  <si>
    <t>;</t>
  </si>
  <si>
    <t># text = denn das in ihr geboren ist, das ist von dem heiligen Geist.</t>
  </si>
  <si>
    <t>denn</t>
  </si>
  <si>
    <t># text = Und sie wird einen Sohn gebären, des Namen sollst du Jesus heißen;</t>
  </si>
  <si>
    <t>Und</t>
  </si>
  <si>
    <t>wird</t>
  </si>
  <si>
    <t>einen</t>
  </si>
  <si>
    <t>indef-np.a</t>
  </si>
  <si>
    <t>Namen</t>
  </si>
  <si>
    <t>sollst</t>
  </si>
  <si>
    <t>heißen</t>
  </si>
  <si>
    <t># text = denn er wird sein Volk selig machen von ihren Sünden.</t>
  </si>
  <si>
    <t>sein</t>
  </si>
  <si>
    <t>Volk</t>
  </si>
  <si>
    <t>selig</t>
  </si>
  <si>
    <t>ihren</t>
  </si>
  <si>
    <t>Sünden</t>
  </si>
  <si>
    <t># text = Das ist aber alles geschehen, auf daß erfüllt würde, was der HERR durch den Propheten gesagt hat, der da spricht:</t>
  </si>
  <si>
    <t>Das</t>
  </si>
  <si>
    <t>alles</t>
  </si>
  <si>
    <t>geschehen</t>
  </si>
  <si>
    <t>erfüllt</t>
  </si>
  <si>
    <t>würde</t>
  </si>
  <si>
    <t>was</t>
  </si>
  <si>
    <t>HERR</t>
  </si>
  <si>
    <t>durch</t>
  </si>
  <si>
    <t>Propheten</t>
  </si>
  <si>
    <t>gesagt</t>
  </si>
  <si>
    <t>hat</t>
  </si>
  <si>
    <t>spricht</t>
  </si>
  <si>
    <t># text = &amp;quot;Siehe, eine Jungfrau wird schwanger sein und einen Sohn gebären, und sie werden seinen Namen Immanuel heißen&amp;quot;, das ist verdolmetscht: Gott mit uns.</t>
  </si>
  <si>
    <t>eine</t>
  </si>
  <si>
    <t>Jungfrau</t>
  </si>
  <si>
    <t>OBJ_5</t>
  </si>
  <si>
    <t>werden</t>
  </si>
  <si>
    <t>seinen</t>
  </si>
  <si>
    <t>Immanuel</t>
  </si>
  <si>
    <t>heißen&amp;amp;quot</t>
  </si>
  <si>
    <t>SBJ_5</t>
  </si>
  <si>
    <t>verdolmetscht</t>
  </si>
  <si>
    <t>Gott</t>
  </si>
  <si>
    <t>mit</t>
  </si>
  <si>
    <t>uns</t>
  </si>
  <si>
    <t># text = Da nun Joseph vom Schlaf erwachte, tat er, wie ihm des HERRN Engel befohlen hatte, und nahm sein Gemahl zu sich.</t>
  </si>
  <si>
    <t>Da</t>
  </si>
  <si>
    <t>nun</t>
  </si>
  <si>
    <t>Schlaf</t>
  </si>
  <si>
    <t>erwachte</t>
  </si>
  <si>
    <t>tat</t>
  </si>
  <si>
    <t>wie</t>
  </si>
  <si>
    <t>befohlen</t>
  </si>
  <si>
    <t>hatte</t>
  </si>
  <si>
    <t>nahm</t>
  </si>
  <si>
    <t>sich</t>
  </si>
  <si>
    <t># text = Und er erkannte sie nicht, bis sie ihren ersten Sohn gebar;</t>
  </si>
  <si>
    <t>erkannte</t>
  </si>
  <si>
    <t>ersten</t>
  </si>
  <si>
    <t>gebar</t>
  </si>
  <si>
    <t># text = und hieß seinen Namen Jesus.</t>
  </si>
  <si>
    <t>hieß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</si>
</sst>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11</v>
      </c>
      <c r="B3" s="6" t="s">
        <v>11</v>
      </c>
      <c r="C3" s="6" t="s">
        <v>12</v>
      </c>
      <c r="D3" s="7" t="s">
        <v>16</v>
      </c>
      <c r="E3" s="8" t="s">
        <v>17</v>
      </c>
      <c r="F3" s="6" t="s">
        <v>18</v>
      </c>
      <c r="G3" s="9" t="s">
        <v>18</v>
      </c>
      <c r="H3" s="10" t="s">
        <v>12</v>
      </c>
      <c r="I3" s="11" t="s">
        <v>12</v>
      </c>
      <c r="J3" s="12"/>
    </row>
    <row r="4" spans="1:10" ht="60" customHeight="1">
      <c r="A4" s="6" t="s">
        <v>19</v>
      </c>
      <c r="B4" s="6" t="s">
        <v>11</v>
      </c>
      <c r="C4" s="6" t="s">
        <v>12</v>
      </c>
      <c r="D4" s="7" t="s">
        <v>16</v>
      </c>
      <c r="E4" s="8" t="s">
        <v>20</v>
      </c>
      <c r="F4" s="6" t="s">
        <v>21</v>
      </c>
      <c r="G4" s="9" t="s">
        <v>21</v>
      </c>
      <c r="H4" s="10" t="s">
        <v>12</v>
      </c>
      <c r="I4" s="11" t="s">
        <v>12</v>
      </c>
      <c r="J4" s="12"/>
    </row>
    <row r="5" spans="1:10" ht="60" customHeight="1">
      <c r="A5" s="6" t="s">
        <v>22</v>
      </c>
      <c r="B5" s="6" t="s">
        <v>11</v>
      </c>
      <c r="C5" s="6" t="s">
        <v>12</v>
      </c>
      <c r="D5" s="7" t="s">
        <v>16</v>
      </c>
      <c r="E5" s="8" t="s">
        <v>23</v>
      </c>
      <c r="F5" s="6" t="s">
        <v>24</v>
      </c>
      <c r="G5" s="9" t="s">
        <v>24</v>
      </c>
      <c r="H5" s="10" t="s">
        <v>12</v>
      </c>
      <c r="I5" s="11" t="s">
        <v>12</v>
      </c>
      <c r="J5" s="12"/>
    </row>
    <row r="6" spans="1:10" ht="60" customHeight="1">
      <c r="A6" s="6" t="s">
        <v>25</v>
      </c>
      <c r="B6" s="6" t="s">
        <v>11</v>
      </c>
      <c r="C6" s="6" t="s">
        <v>12</v>
      </c>
      <c r="D6" s="7" t="s">
        <v>16</v>
      </c>
      <c r="E6" s="8" t="s">
        <v>26</v>
      </c>
      <c r="F6" s="6" t="s">
        <v>27</v>
      </c>
      <c r="G6" s="9" t="s">
        <v>27</v>
      </c>
      <c r="H6" s="10" t="s">
        <v>12</v>
      </c>
      <c r="I6" s="11" t="s">
        <v>12</v>
      </c>
      <c r="J6" s="12"/>
    </row>
    <row r="7" spans="1:10" ht="60" customHeight="1">
      <c r="A7" s="6" t="s">
        <v>28</v>
      </c>
      <c r="B7" s="6" t="s">
        <v>11</v>
      </c>
      <c r="C7" s="6" t="s">
        <v>12</v>
      </c>
      <c r="D7" s="7" t="s">
        <v>16</v>
      </c>
      <c r="E7" s="8" t="s">
        <v>29</v>
      </c>
      <c r="F7" s="6" t="s">
        <v>30</v>
      </c>
      <c r="G7" s="9" t="s">
        <v>30</v>
      </c>
      <c r="H7" s="10" t="s">
        <v>12</v>
      </c>
      <c r="I7" s="11" t="s">
        <v>12</v>
      </c>
      <c r="J7" s="12"/>
    </row>
    <row r="8" spans="1:10" ht="60" customHeight="1">
      <c r="A8" s="6" t="s">
        <v>31</v>
      </c>
      <c r="B8" s="6" t="s">
        <v>11</v>
      </c>
      <c r="C8" s="6" t="s">
        <v>12</v>
      </c>
      <c r="D8" s="7" t="s">
        <v>16</v>
      </c>
      <c r="E8" s="8" t="s">
        <v>32</v>
      </c>
      <c r="F8" s="6" t="s">
        <v>33</v>
      </c>
      <c r="G8" s="9" t="s">
        <v>33</v>
      </c>
      <c r="H8" s="10" t="s">
        <v>12</v>
      </c>
      <c r="I8" s="11" t="s">
        <v>12</v>
      </c>
      <c r="J8" s="12"/>
    </row>
    <row r="9" spans="1:10" ht="60" customHeight="1">
      <c r="A9" s="6" t="s">
        <v>34</v>
      </c>
      <c r="B9" s="6" t="s">
        <v>11</v>
      </c>
      <c r="C9" s="6" t="s">
        <v>12</v>
      </c>
      <c r="D9" s="7" t="s">
        <v>16</v>
      </c>
      <c r="E9" s="8" t="s">
        <v>35</v>
      </c>
      <c r="F9" s="6" t="s">
        <v>36</v>
      </c>
      <c r="G9" s="9" t="s">
        <v>36</v>
      </c>
      <c r="H9" s="10" t="s">
        <v>12</v>
      </c>
      <c r="I9" s="11" t="s">
        <v>12</v>
      </c>
      <c r="J9" s="12"/>
    </row>
    <row r="10" spans="1:10" ht="60" customHeight="1">
      <c r="A10" s="6" t="s">
        <v>37</v>
      </c>
      <c r="B10" s="6" t="s">
        <v>11</v>
      </c>
      <c r="C10" s="6" t="s">
        <v>12</v>
      </c>
      <c r="D10" s="7" t="s">
        <v>16</v>
      </c>
      <c r="E10" s="8" t="s">
        <v>38</v>
      </c>
      <c r="F10" s="6" t="s">
        <v>39</v>
      </c>
      <c r="G10" s="9" t="s">
        <v>39</v>
      </c>
      <c r="H10" s="10" t="s">
        <v>12</v>
      </c>
      <c r="I10" s="11" t="s">
        <v>12</v>
      </c>
      <c r="J10" s="12"/>
    </row>
    <row r="11" spans="1:10" ht="60" customHeight="1">
      <c r="A11" s="6" t="s">
        <v>40</v>
      </c>
      <c r="B11" s="6" t="s">
        <v>11</v>
      </c>
      <c r="C11" s="6" t="s">
        <v>12</v>
      </c>
      <c r="D11" s="7" t="s">
        <v>16</v>
      </c>
      <c r="E11" s="8" t="s">
        <v>41</v>
      </c>
      <c r="F11" s="6" t="s">
        <v>42</v>
      </c>
      <c r="G11" s="9" t="s">
        <v>42</v>
      </c>
      <c r="H11" s="10" t="s">
        <v>12</v>
      </c>
      <c r="I11" s="11" t="s">
        <v>12</v>
      </c>
      <c r="J11" s="12"/>
    </row>
    <row r="12" spans="1:10" ht="60" customHeight="1">
      <c r="A12" s="6" t="s">
        <v>43</v>
      </c>
      <c r="B12" s="6" t="s">
        <v>11</v>
      </c>
      <c r="C12" s="6" t="s">
        <v>12</v>
      </c>
      <c r="D12" s="7" t="s">
        <v>16</v>
      </c>
      <c r="E12" s="8" t="s">
        <v>44</v>
      </c>
      <c r="F12" s="6" t="s">
        <v>45</v>
      </c>
      <c r="G12" s="9" t="s">
        <v>45</v>
      </c>
      <c r="H12" s="10" t="s">
        <v>12</v>
      </c>
      <c r="I12" s="11" t="s">
        <v>12</v>
      </c>
      <c r="J12" s="12"/>
    </row>
    <row r="13" spans="1:10" ht="60" customHeight="1">
      <c r="A13" s="6" t="s">
        <v>46</v>
      </c>
      <c r="B13" s="6" t="s">
        <v>11</v>
      </c>
      <c r="C13" s="6" t="s">
        <v>12</v>
      </c>
      <c r="D13" s="7" t="s">
        <v>16</v>
      </c>
      <c r="E13" s="8" t="s">
        <v>47</v>
      </c>
      <c r="F13" s="6" t="s">
        <v>48</v>
      </c>
      <c r="G13" s="9" t="s">
        <v>48</v>
      </c>
      <c r="H13" s="10" t="s">
        <v>12</v>
      </c>
      <c r="I13" s="11" t="s">
        <v>12</v>
      </c>
      <c r="J13" s="12"/>
    </row>
    <row r="14" spans="1:10" ht="60" customHeight="1">
      <c r="A14" s="6" t="s">
        <v>49</v>
      </c>
      <c r="B14" s="6" t="s">
        <v>11</v>
      </c>
      <c r="C14" s="6" t="s">
        <v>12</v>
      </c>
      <c r="D14" s="7" t="s">
        <v>16</v>
      </c>
      <c r="E14" s="8" t="s">
        <v>50</v>
      </c>
      <c r="F14" s="6" t="s">
        <v>51</v>
      </c>
      <c r="G14" s="9" t="s">
        <v>51</v>
      </c>
      <c r="H14" s="10" t="s">
        <v>12</v>
      </c>
      <c r="I14" s="11" t="s">
        <v>12</v>
      </c>
      <c r="J14" s="12"/>
    </row>
    <row r="15" spans="1:10" ht="60" customHeight="1">
      <c r="A15" s="6" t="s">
        <v>52</v>
      </c>
      <c r="B15" s="6" t="s">
        <v>11</v>
      </c>
      <c r="C15" s="6" t="s">
        <v>12</v>
      </c>
      <c r="D15" s="7" t="s">
        <v>16</v>
      </c>
      <c r="E15" s="8" t="s">
        <v>53</v>
      </c>
      <c r="F15" s="6" t="s">
        <v>54</v>
      </c>
      <c r="G15" s="9" t="s">
        <v>54</v>
      </c>
      <c r="H15" s="10" t="s">
        <v>12</v>
      </c>
      <c r="I15" s="11" t="s">
        <v>12</v>
      </c>
      <c r="J15" s="12"/>
    </row>
    <row r="16" spans="1:10" ht="60" customHeight="1">
      <c r="A16" s="6" t="s">
        <v>55</v>
      </c>
      <c r="B16" s="6" t="s">
        <v>22</v>
      </c>
      <c r="C16" s="6" t="s">
        <v>12</v>
      </c>
      <c r="D16" s="7" t="s">
        <v>16</v>
      </c>
      <c r="E16" s="8" t="s">
        <v>56</v>
      </c>
      <c r="F16" s="6" t="s">
        <v>57</v>
      </c>
      <c r="G16" s="9" t="s">
        <v>57</v>
      </c>
      <c r="H16" s="10" t="s">
        <v>12</v>
      </c>
      <c r="I16" s="11" t="s">
        <v>12</v>
      </c>
      <c r="J16" s="12"/>
    </row>
    <row r="17" spans="1:10" ht="60" customHeight="1">
      <c r="A17" s="6" t="s">
        <v>58</v>
      </c>
      <c r="B17" s="6" t="s">
        <v>11</v>
      </c>
      <c r="C17" s="6" t="s">
        <v>12</v>
      </c>
      <c r="D17" s="7" t="s">
        <v>16</v>
      </c>
      <c r="E17" s="8" t="s">
        <v>59</v>
      </c>
      <c r="F17" s="6" t="s">
        <v>60</v>
      </c>
      <c r="G17" s="9" t="s">
        <v>60</v>
      </c>
      <c r="H17" s="10" t="s">
        <v>12</v>
      </c>
      <c r="I17" s="11" t="s">
        <v>12</v>
      </c>
      <c r="J17" s="12"/>
    </row>
    <row r="18" spans="1:10" ht="60" customHeight="1">
      <c r="A18" s="6" t="s">
        <v>61</v>
      </c>
      <c r="B18" s="6" t="s">
        <v>11</v>
      </c>
      <c r="C18" s="6" t="s">
        <v>12</v>
      </c>
      <c r="D18" s="7" t="s">
        <v>16</v>
      </c>
      <c r="E18" s="8" t="s">
        <v>62</v>
      </c>
      <c r="F18" s="6" t="s">
        <v>63</v>
      </c>
      <c r="G18" s="9" t="s">
        <v>63</v>
      </c>
      <c r="H18" s="10" t="s">
        <v>12</v>
      </c>
      <c r="I18" s="11" t="s">
        <v>12</v>
      </c>
      <c r="J18" s="12"/>
    </row>
    <row r="19" spans="1:10" ht="60" customHeight="1">
      <c r="A19" s="6" t="s">
        <v>64</v>
      </c>
      <c r="B19" s="6" t="s">
        <v>11</v>
      </c>
      <c r="C19" s="6" t="s">
        <v>12</v>
      </c>
      <c r="D19" s="7" t="s">
        <v>16</v>
      </c>
      <c r="E19" s="8" t="s">
        <v>65</v>
      </c>
      <c r="F19" s="6" t="s">
        <v>66</v>
      </c>
      <c r="G19" s="9" t="s">
        <v>66</v>
      </c>
      <c r="H19" s="10" t="s">
        <v>12</v>
      </c>
      <c r="I19" s="11" t="s">
        <v>12</v>
      </c>
      <c r="J19" s="12"/>
    </row>
    <row r="20" spans="1:10" ht="60" customHeight="1">
      <c r="A20" s="6" t="s">
        <v>67</v>
      </c>
      <c r="B20" s="6" t="s">
        <v>11</v>
      </c>
      <c r="C20" s="6" t="s">
        <v>12</v>
      </c>
      <c r="D20" s="7" t="s">
        <v>16</v>
      </c>
      <c r="E20" s="8" t="s">
        <v>68</v>
      </c>
      <c r="F20" s="6" t="s">
        <v>69</v>
      </c>
      <c r="G20" s="9" t="s">
        <v>69</v>
      </c>
      <c r="H20" s="10" t="s">
        <v>12</v>
      </c>
      <c r="I20" s="11" t="s">
        <v>12</v>
      </c>
      <c r="J20" s="12"/>
    </row>
    <row r="21" spans="1:10" ht="60" customHeight="1">
      <c r="A21" s="6" t="s">
        <v>70</v>
      </c>
      <c r="B21" s="6" t="s">
        <v>11</v>
      </c>
      <c r="C21" s="6" t="s">
        <v>12</v>
      </c>
      <c r="D21" s="7" t="s">
        <v>16</v>
      </c>
      <c r="E21" s="8" t="s">
        <v>71</v>
      </c>
      <c r="F21" s="6" t="s">
        <v>72</v>
      </c>
      <c r="G21" s="9" t="s">
        <v>72</v>
      </c>
      <c r="H21" s="10" t="s">
        <v>12</v>
      </c>
      <c r="I21" s="11" t="s">
        <v>12</v>
      </c>
      <c r="J21" s="12"/>
    </row>
    <row r="22" spans="1:10" ht="60" customHeight="1">
      <c r="A22" s="6" t="s">
        <v>73</v>
      </c>
      <c r="B22" s="6" t="s">
        <v>11</v>
      </c>
      <c r="C22" s="6" t="s">
        <v>12</v>
      </c>
      <c r="D22" s="7" t="s">
        <v>16</v>
      </c>
      <c r="E22" s="8" t="s">
        <v>74</v>
      </c>
      <c r="F22" s="6" t="s">
        <v>75</v>
      </c>
      <c r="G22" s="9" t="s">
        <v>75</v>
      </c>
      <c r="H22" s="10" t="s">
        <v>12</v>
      </c>
      <c r="I22" s="11" t="s">
        <v>12</v>
      </c>
      <c r="J22" s="12"/>
    </row>
    <row r="23" spans="1:10" ht="60" customHeight="1">
      <c r="A23" s="6" t="s">
        <v>76</v>
      </c>
      <c r="B23" s="6" t="s">
        <v>11</v>
      </c>
      <c r="C23" s="6" t="s">
        <v>12</v>
      </c>
      <c r="D23" s="7" t="s">
        <v>16</v>
      </c>
      <c r="E23" s="8" t="s">
        <v>77</v>
      </c>
      <c r="F23" s="6" t="s">
        <v>78</v>
      </c>
      <c r="G23" s="9" t="s">
        <v>78</v>
      </c>
      <c r="H23" s="10" t="s">
        <v>12</v>
      </c>
      <c r="I23" s="11" t="s">
        <v>12</v>
      </c>
      <c r="J23" s="12"/>
    </row>
    <row r="24" spans="1:10" ht="60" customHeight="1">
      <c r="A24" s="6" t="s">
        <v>79</v>
      </c>
      <c r="B24" s="6" t="s">
        <v>11</v>
      </c>
      <c r="C24" s="6" t="s">
        <v>12</v>
      </c>
      <c r="D24" s="7" t="s">
        <v>16</v>
      </c>
      <c r="E24" s="8" t="s">
        <v>80</v>
      </c>
      <c r="F24" s="6" t="s">
        <v>81</v>
      </c>
      <c r="G24" s="9" t="s">
        <v>81</v>
      </c>
      <c r="H24" s="10" t="s">
        <v>12</v>
      </c>
      <c r="I24" s="11" t="s">
        <v>12</v>
      </c>
      <c r="J24" s="12"/>
    </row>
    <row r="25" spans="1:10" ht="60" customHeight="1">
      <c r="A25" s="6" t="s">
        <v>82</v>
      </c>
      <c r="B25" s="6" t="s">
        <v>11</v>
      </c>
      <c r="C25" s="6" t="s">
        <v>12</v>
      </c>
      <c r="D25" s="7" t="s">
        <v>16</v>
      </c>
      <c r="E25" s="8" t="s">
        <v>83</v>
      </c>
      <c r="F25" s="6" t="s">
        <v>84</v>
      </c>
      <c r="G25" s="9" t="s">
        <v>84</v>
      </c>
      <c r="H25" s="10" t="s">
        <v>12</v>
      </c>
      <c r="I25" s="11" t="s">
        <v>12</v>
      </c>
      <c r="J25" s="12"/>
    </row>
    <row r="26" spans="1:10" ht="60" customHeight="1">
      <c r="A26" s="6" t="s">
        <v>85</v>
      </c>
      <c r="B26" s="6" t="s">
        <v>11</v>
      </c>
      <c r="C26" s="6" t="s">
        <v>12</v>
      </c>
      <c r="D26" s="7" t="s">
        <v>16</v>
      </c>
      <c r="E26" s="8" t="s">
        <v>86</v>
      </c>
      <c r="F26" s="6" t="s">
        <v>87</v>
      </c>
      <c r="G26" s="9" t="s">
        <v>87</v>
      </c>
      <c r="H26" s="10" t="s">
        <v>12</v>
      </c>
      <c r="I26" s="11" t="s">
        <v>12</v>
      </c>
      <c r="J26" s="12"/>
    </row>
    <row r="27" spans="1:10" ht="60" customHeight="1">
      <c r="A27" s="6" t="s">
        <v>88</v>
      </c>
      <c r="B27" s="6" t="s">
        <v>11</v>
      </c>
      <c r="C27" s="6" t="s">
        <v>12</v>
      </c>
      <c r="D27" s="7" t="s">
        <v>16</v>
      </c>
      <c r="E27" s="8" t="s">
        <v>89</v>
      </c>
      <c r="F27" s="6" t="s">
        <v>90</v>
      </c>
      <c r="G27" s="9" t="s">
        <v>90</v>
      </c>
      <c r="H27" s="10" t="s">
        <v>12</v>
      </c>
      <c r="I27" s="11" t="s">
        <v>12</v>
      </c>
      <c r="J27" s="12"/>
    </row>
    <row r="28" spans="1:10" ht="60" customHeight="1">
      <c r="A28" s="6" t="s">
        <v>91</v>
      </c>
      <c r="B28" s="6" t="s">
        <v>11</v>
      </c>
      <c r="C28" s="6" t="s">
        <v>12</v>
      </c>
      <c r="D28" s="7" t="s">
        <v>16</v>
      </c>
      <c r="E28" s="8" t="s">
        <v>92</v>
      </c>
      <c r="F28" s="6" t="s">
        <v>93</v>
      </c>
      <c r="G28" s="9" t="s">
        <v>93</v>
      </c>
      <c r="H28" s="10" t="s">
        <v>12</v>
      </c>
      <c r="I28" s="11" t="s">
        <v>12</v>
      </c>
      <c r="J28" s="12"/>
    </row>
    <row r="29" spans="1:10" ht="60" customHeight="1">
      <c r="A29" s="6" t="s">
        <v>94</v>
      </c>
      <c r="B29" s="6" t="s">
        <v>11</v>
      </c>
      <c r="C29" s="6" t="s">
        <v>12</v>
      </c>
      <c r="D29" s="7" t="s">
        <v>16</v>
      </c>
      <c r="E29" s="8" t="s">
        <v>95</v>
      </c>
      <c r="F29" s="6" t="s">
        <v>96</v>
      </c>
      <c r="G29" s="9" t="s">
        <v>96</v>
      </c>
      <c r="H29" s="10" t="s">
        <v>12</v>
      </c>
      <c r="I29" s="11" t="s">
        <v>12</v>
      </c>
      <c r="J29" s="12"/>
    </row>
    <row r="30" spans="1:10" ht="60" customHeight="1">
      <c r="A30" s="6" t="s">
        <v>97</v>
      </c>
      <c r="B30" s="6" t="s">
        <v>25</v>
      </c>
      <c r="C30" s="6" t="s">
        <v>12</v>
      </c>
      <c r="D30" s="7" t="s">
        <v>16</v>
      </c>
      <c r="E30" s="8" t="s">
        <v>98</v>
      </c>
      <c r="F30" s="6" t="s">
        <v>99</v>
      </c>
      <c r="G30" s="9" t="s">
        <v>99</v>
      </c>
      <c r="H30" s="10" t="s">
        <v>12</v>
      </c>
      <c r="I30" s="11" t="s">
        <v>12</v>
      </c>
      <c r="J30" s="12"/>
    </row>
    <row r="31" spans="1:10" ht="60" customHeight="1">
      <c r="A31" s="6" t="s">
        <v>100</v>
      </c>
      <c r="B31" s="6" t="s">
        <v>11</v>
      </c>
      <c r="C31" s="6" t="s">
        <v>12</v>
      </c>
      <c r="D31" s="7" t="s">
        <v>16</v>
      </c>
      <c r="E31" s="8" t="s">
        <v>101</v>
      </c>
      <c r="F31" s="6" t="s">
        <v>102</v>
      </c>
      <c r="G31" s="9" t="s">
        <v>102</v>
      </c>
      <c r="H31" s="10" t="s">
        <v>12</v>
      </c>
      <c r="I31" s="11" t="s">
        <v>12</v>
      </c>
      <c r="J31" s="12"/>
    </row>
    <row r="32" spans="1:10" ht="60" customHeight="1">
      <c r="A32" s="6" t="s">
        <v>103</v>
      </c>
      <c r="B32" s="6" t="s">
        <v>11</v>
      </c>
      <c r="C32" s="6" t="s">
        <v>12</v>
      </c>
      <c r="D32" s="7" t="s">
        <v>16</v>
      </c>
      <c r="E32" s="8" t="s">
        <v>104</v>
      </c>
      <c r="F32" s="6" t="s">
        <v>105</v>
      </c>
      <c r="G32" s="9" t="s">
        <v>105</v>
      </c>
      <c r="H32" s="10" t="s">
        <v>12</v>
      </c>
      <c r="I32" s="11" t="s">
        <v>12</v>
      </c>
      <c r="J32" s="12"/>
    </row>
    <row r="33" spans="1:10" ht="60" customHeight="1">
      <c r="A33" s="6" t="s">
        <v>106</v>
      </c>
      <c r="B33" s="6" t="s">
        <v>11</v>
      </c>
      <c r="C33" s="6" t="s">
        <v>12</v>
      </c>
      <c r="D33" s="7" t="s">
        <v>16</v>
      </c>
      <c r="E33" s="8" t="s">
        <v>107</v>
      </c>
      <c r="F33" s="6" t="s">
        <v>108</v>
      </c>
      <c r="G33" s="9" t="s">
        <v>108</v>
      </c>
      <c r="H33" s="10" t="s">
        <v>12</v>
      </c>
      <c r="I33" s="11" t="s">
        <v>12</v>
      </c>
      <c r="J33" s="12"/>
    </row>
    <row r="34" spans="1:10" ht="60" customHeight="1">
      <c r="A34" s="6" t="s">
        <v>109</v>
      </c>
      <c r="B34" s="6" t="s">
        <v>11</v>
      </c>
      <c r="C34" s="6" t="s">
        <v>12</v>
      </c>
      <c r="D34" s="7" t="s">
        <v>16</v>
      </c>
      <c r="E34" s="8" t="s">
        <v>110</v>
      </c>
      <c r="F34" s="6" t="s">
        <v>111</v>
      </c>
      <c r="G34" s="9" t="s">
        <v>111</v>
      </c>
      <c r="H34" s="10" t="s">
        <v>12</v>
      </c>
      <c r="I34" s="11" t="s">
        <v>12</v>
      </c>
      <c r="J34" s="12"/>
    </row>
    <row r="35" spans="1:10" ht="60" customHeight="1">
      <c r="A35" s="6" t="s">
        <v>112</v>
      </c>
      <c r="B35" s="6" t="s">
        <v>11</v>
      </c>
      <c r="C35" s="6" t="s">
        <v>12</v>
      </c>
      <c r="D35" s="7" t="s">
        <v>16</v>
      </c>
      <c r="E35" s="8" t="s">
        <v>113</v>
      </c>
      <c r="F35" s="6" t="s">
        <v>114</v>
      </c>
      <c r="G35" s="9" t="s">
        <v>114</v>
      </c>
      <c r="H35" s="10" t="s">
        <v>12</v>
      </c>
      <c r="I35" s="11" t="s">
        <v>12</v>
      </c>
      <c r="J35" s="12"/>
    </row>
    <row r="36" spans="1:10" ht="60" customHeight="1">
      <c r="A36" s="6" t="s">
        <v>115</v>
      </c>
      <c r="B36" s="6" t="s">
        <v>11</v>
      </c>
      <c r="C36" s="6" t="s">
        <v>12</v>
      </c>
      <c r="D36" s="7" t="s">
        <v>16</v>
      </c>
      <c r="E36" s="8" t="s">
        <v>116</v>
      </c>
      <c r="F36" s="6" t="s">
        <v>117</v>
      </c>
      <c r="G36" s="9" t="s">
        <v>117</v>
      </c>
      <c r="H36" s="10" t="s">
        <v>12</v>
      </c>
      <c r="I36" s="11" t="s">
        <v>12</v>
      </c>
      <c r="J36" s="12"/>
    </row>
    <row r="37" spans="1:10" ht="60" customHeight="1">
      <c r="A37" s="6" t="s">
        <v>118</v>
      </c>
      <c r="B37" s="6" t="s">
        <v>11</v>
      </c>
      <c r="C37" s="6" t="s">
        <v>12</v>
      </c>
      <c r="D37" s="7" t="s">
        <v>16</v>
      </c>
      <c r="E37" s="8" t="s">
        <v>119</v>
      </c>
      <c r="F37" s="6" t="s">
        <v>120</v>
      </c>
      <c r="G37" s="9" t="s">
        <v>120</v>
      </c>
      <c r="H37" s="10" t="s">
        <v>12</v>
      </c>
      <c r="I37" s="11" t="s">
        <v>12</v>
      </c>
      <c r="J37" s="12"/>
    </row>
    <row r="38" spans="1:10" ht="60" customHeight="1">
      <c r="A38" s="6" t="s">
        <v>121</v>
      </c>
      <c r="B38" s="6" t="s">
        <v>11</v>
      </c>
      <c r="C38" s="6" t="s">
        <v>12</v>
      </c>
      <c r="D38" s="7" t="s">
        <v>16</v>
      </c>
      <c r="E38" s="8" t="s">
        <v>122</v>
      </c>
      <c r="F38" s="6" t="s">
        <v>123</v>
      </c>
      <c r="G38" s="9" t="s">
        <v>123</v>
      </c>
      <c r="H38" s="10" t="s">
        <v>12</v>
      </c>
      <c r="I38" s="11" t="s">
        <v>12</v>
      </c>
      <c r="J38" s="12"/>
    </row>
    <row r="39" spans="1:10" ht="60" customHeight="1">
      <c r="A39" s="6" t="s">
        <v>124</v>
      </c>
      <c r="B39" s="6" t="s">
        <v>11</v>
      </c>
      <c r="C39" s="6" t="s">
        <v>12</v>
      </c>
      <c r="D39" s="7" t="s">
        <v>16</v>
      </c>
      <c r="E39" s="8" t="s">
        <v>125</v>
      </c>
      <c r="F39" s="6" t="s">
        <v>126</v>
      </c>
      <c r="G39" s="9" t="s">
        <v>126</v>
      </c>
      <c r="H39" s="10" t="s">
        <v>12</v>
      </c>
      <c r="I39" s="11" t="s">
        <v>12</v>
      </c>
      <c r="J39" s="12"/>
    </row>
    <row r="40" spans="1:10" ht="60" customHeight="1">
      <c r="A40" s="6" t="s">
        <v>127</v>
      </c>
      <c r="B40" s="6" t="s">
        <v>11</v>
      </c>
      <c r="C40" s="6" t="s">
        <v>12</v>
      </c>
      <c r="D40" s="7" t="s">
        <v>16</v>
      </c>
      <c r="E40" s="8" t="s">
        <v>128</v>
      </c>
      <c r="F40" s="6" t="s">
        <v>129</v>
      </c>
      <c r="G40" s="9" t="s">
        <v>129</v>
      </c>
      <c r="H40" s="10" t="s">
        <v>12</v>
      </c>
      <c r="I40" s="11" t="s">
        <v>12</v>
      </c>
      <c r="J40" s="12"/>
    </row>
    <row r="41" spans="1:10" ht="60" customHeight="1">
      <c r="A41" s="6" t="s">
        <v>130</v>
      </c>
      <c r="B41" s="6" t="s">
        <v>11</v>
      </c>
      <c r="C41" s="6" t="s">
        <v>12</v>
      </c>
      <c r="D41" s="7" t="s">
        <v>16</v>
      </c>
      <c r="E41" s="8" t="s">
        <v>131</v>
      </c>
      <c r="F41" s="6" t="s">
        <v>132</v>
      </c>
      <c r="G41" s="9" t="s">
        <v>132</v>
      </c>
      <c r="H41" s="10" t="s">
        <v>12</v>
      </c>
      <c r="I41" s="11" t="s">
        <v>12</v>
      </c>
      <c r="J41" s="12"/>
    </row>
    <row r="42" spans="1:10" ht="60" customHeight="1">
      <c r="A42" s="6" t="s">
        <v>133</v>
      </c>
      <c r="B42" s="6" t="s">
        <v>34</v>
      </c>
      <c r="C42" s="6" t="s">
        <v>12</v>
      </c>
      <c r="D42" s="7" t="s">
        <v>134</v>
      </c>
      <c r="E42" s="8" t="s">
        <v>135</v>
      </c>
      <c r="F42" s="6" t="s">
        <v>136</v>
      </c>
      <c r="G42" s="9" t="s">
        <v>136</v>
      </c>
      <c r="H42" s="10" t="s">
        <v>12</v>
      </c>
      <c r="I42" s="11" t="s">
        <v>12</v>
      </c>
      <c r="J42" s="12"/>
    </row>
    <row r="43" spans="1:10" ht="60" customHeight="1">
      <c r="A43" s="6" t="s">
        <v>137</v>
      </c>
      <c r="B43" s="6" t="s">
        <v>31</v>
      </c>
      <c r="C43" s="6" t="s">
        <v>12</v>
      </c>
      <c r="D43" s="7" t="s">
        <v>134</v>
      </c>
      <c r="E43" s="8" t="s">
        <v>138</v>
      </c>
      <c r="F43" s="6" t="s">
        <v>139</v>
      </c>
      <c r="G43" s="9" t="s">
        <v>139</v>
      </c>
      <c r="H43" s="10" t="s">
        <v>12</v>
      </c>
      <c r="I43" s="11" t="s">
        <v>12</v>
      </c>
      <c r="J43" s="12"/>
    </row>
    <row r="44" spans="1:10" ht="60" customHeight="1">
      <c r="A44" s="6" t="s">
        <v>140</v>
      </c>
      <c r="B44" s="6" t="s">
        <v>34</v>
      </c>
      <c r="C44" s="6" t="s">
        <v>12</v>
      </c>
      <c r="D44" s="7" t="s">
        <v>134</v>
      </c>
      <c r="E44" s="8" t="s">
        <v>141</v>
      </c>
      <c r="F44" s="6" t="s">
        <v>142</v>
      </c>
      <c r="G44" s="9" t="s">
        <v>142</v>
      </c>
      <c r="H44" s="10" t="s">
        <v>12</v>
      </c>
      <c r="I44" s="11" t="s">
        <v>12</v>
      </c>
      <c r="J44" s="12"/>
    </row>
    <row r="45" spans="1:10" ht="60" customHeight="1">
      <c r="A45" s="6" t="s">
        <v>143</v>
      </c>
      <c r="B45" s="6" t="s">
        <v>22</v>
      </c>
      <c r="C45" s="6" t="s">
        <v>12</v>
      </c>
      <c r="D45" s="7" t="s">
        <v>144</v>
      </c>
      <c r="E45" s="8" t="s">
        <v>145</v>
      </c>
      <c r="F45" s="6" t="s">
        <v>146</v>
      </c>
      <c r="G45" s="9" t="s">
        <v>146</v>
      </c>
      <c r="H45" s="10" t="s">
        <v>12</v>
      </c>
      <c r="I45" s="11" t="s">
        <v>12</v>
      </c>
      <c r="J45" s="12"/>
    </row>
    <row r="46" spans="1:10" ht="60" customHeight="1">
      <c r="A46" s="6" t="s">
        <v>147</v>
      </c>
      <c r="B46" s="6" t="s">
        <v>46</v>
      </c>
      <c r="C46" s="6" t="s">
        <v>12</v>
      </c>
      <c r="D46" s="7" t="s">
        <v>148</v>
      </c>
      <c r="E46" s="8" t="s">
        <v>149</v>
      </c>
      <c r="F46" s="6" t="s">
        <v>150</v>
      </c>
      <c r="G46" s="9" t="s">
        <v>150</v>
      </c>
      <c r="H46" s="10" t="s">
        <v>12</v>
      </c>
      <c r="I46" s="11" t="s">
        <v>12</v>
      </c>
      <c r="J46" s="12"/>
    </row>
    <row r="47" spans="1:10" ht="60" customHeight="1">
      <c r="A47" s="6" t="s">
        <v>151</v>
      </c>
      <c r="B47" s="6" t="s">
        <v>31</v>
      </c>
      <c r="C47" s="6" t="s">
        <v>12</v>
      </c>
      <c r="D47" s="7" t="s">
        <v>152</v>
      </c>
      <c r="E47" s="8" t="s">
        <v>153</v>
      </c>
      <c r="F47" s="6" t="s">
        <v>154</v>
      </c>
      <c r="G47" s="9" t="s">
        <v>154</v>
      </c>
      <c r="H47" s="10" t="s">
        <v>12</v>
      </c>
      <c r="I47" s="11" t="s">
        <v>12</v>
      </c>
      <c r="J47" s="12"/>
    </row>
    <row r="48" spans="1:10" ht="60" customHeight="1">
      <c r="A48" s="6" t="s">
        <v>155</v>
      </c>
      <c r="B48" s="6" t="s">
        <v>31</v>
      </c>
      <c r="C48" s="6" t="s">
        <v>12</v>
      </c>
      <c r="D48" s="7" t="s">
        <v>156</v>
      </c>
      <c r="E48" s="8" t="s">
        <v>157</v>
      </c>
      <c r="F48" s="6" t="s">
        <v>158</v>
      </c>
      <c r="G48" s="9" t="s">
        <v>158</v>
      </c>
      <c r="H48" s="10" t="s">
        <v>12</v>
      </c>
      <c r="I48" s="11" t="s">
        <v>12</v>
      </c>
      <c r="J48" s="12"/>
    </row>
    <row r="49" spans="1:10" ht="60" customHeight="1">
      <c r="A49" s="6" t="s">
        <v>159</v>
      </c>
      <c r="B49" s="6" t="s">
        <v>10</v>
      </c>
      <c r="C49" s="6" t="s">
        <v>12</v>
      </c>
      <c r="D49" s="7" t="s">
        <v>160</v>
      </c>
      <c r="E49" s="8" t="s">
        <v>161</v>
      </c>
      <c r="F49" s="6" t="s">
        <v>162</v>
      </c>
      <c r="G49" s="9" t="s">
        <v>162</v>
      </c>
      <c r="H49" s="10" t="s">
        <v>12</v>
      </c>
      <c r="I49" s="11" t="s">
        <v>12</v>
      </c>
      <c r="J49" s="12"/>
    </row>
    <row r="50" spans="1:10" ht="60" customHeight="1">
      <c r="A50" s="6" t="s">
        <v>163</v>
      </c>
      <c r="B50" s="6" t="s">
        <v>28</v>
      </c>
      <c r="C50" s="6" t="s">
        <v>12</v>
      </c>
      <c r="D50" s="7" t="s">
        <v>164</v>
      </c>
      <c r="E50" s="8" t="s">
        <v>165</v>
      </c>
      <c r="F50" s="6" t="s">
        <v>166</v>
      </c>
      <c r="G50" s="9" t="s">
        <v>166</v>
      </c>
      <c r="H50" s="10" t="s">
        <v>12</v>
      </c>
      <c r="I50" s="11" t="s">
        <v>12</v>
      </c>
      <c r="J50" s="12"/>
    </row>
    <row r="51" spans="1:10" ht="60" customHeight="1">
      <c r="A51" s="6" t="s">
        <v>167</v>
      </c>
      <c r="B51" s="6" t="s">
        <v>31</v>
      </c>
      <c r="C51" s="6" t="s">
        <v>12</v>
      </c>
      <c r="D51" s="7" t="s">
        <v>168</v>
      </c>
      <c r="E51" s="8" t="s">
        <v>169</v>
      </c>
      <c r="F51" s="6" t="s">
        <v>170</v>
      </c>
      <c r="G51" s="9" t="s">
        <v>170</v>
      </c>
      <c r="H51" s="10" t="s">
        <v>12</v>
      </c>
      <c r="I51" s="11" t="s">
        <v>12</v>
      </c>
      <c r="J51" s="12"/>
    </row>
    <row r="52" spans="1:10" ht="60" customHeight="1">
      <c r="A52" s="6" t="s">
        <v>171</v>
      </c>
      <c r="B52" s="6" t="s">
        <v>11</v>
      </c>
      <c r="C52" s="6" t="s">
        <v>172</v>
      </c>
      <c r="D52" s="7" t="s">
        <v>173</v>
      </c>
      <c r="E52" s="8" t="s">
        <v>174</v>
      </c>
      <c r="F52" s="6" t="s">
        <v>175</v>
      </c>
      <c r="G52" s="9" t="s">
        <v>175</v>
      </c>
      <c r="H52" s="10" t="s">
        <v>12</v>
      </c>
      <c r="I52" s="11" t="s">
        <v>12</v>
      </c>
      <c r="J52" s="12"/>
    </row>
    <row r="53" spans="1:10" ht="60" customHeight="1">
      <c r="A53" s="6" t="s">
        <v>176</v>
      </c>
      <c r="B53" s="6" t="s">
        <v>10</v>
      </c>
      <c r="C53" s="6" t="s">
        <v>12</v>
      </c>
      <c r="D53" s="7" t="s">
        <v>177</v>
      </c>
      <c r="E53" s="8" t="s">
        <v>178</v>
      </c>
      <c r="F53" s="6" t="s">
        <v>179</v>
      </c>
      <c r="G53" s="9" t="s">
        <v>179</v>
      </c>
      <c r="H53" s="10" t="s">
        <v>12</v>
      </c>
      <c r="I53" s="11" t="s">
        <v>12</v>
      </c>
      <c r="J53" s="12"/>
    </row>
    <row r="54" spans="1:10" ht="60" customHeight="1">
      <c r="A54" s="6" t="s">
        <v>180</v>
      </c>
      <c r="B54" s="6" t="s">
        <v>37</v>
      </c>
      <c r="C54" s="6" t="s">
        <v>12</v>
      </c>
      <c r="D54" s="7" t="s">
        <v>181</v>
      </c>
      <c r="E54" s="8" t="s">
        <v>182</v>
      </c>
      <c r="F54" s="6" t="s">
        <v>183</v>
      </c>
      <c r="G54" s="9" t="s">
        <v>183</v>
      </c>
      <c r="H54" s="10" t="s">
        <v>12</v>
      </c>
      <c r="I54" s="11" t="s">
        <v>12</v>
      </c>
      <c r="J54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0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184</v>
      </c>
      <c r="B1" s="13" t="s">
        <v>185</v>
      </c>
      <c r="C1" s="13" t="s">
        <v>186</v>
      </c>
      <c r="D1" s="13" t="s">
        <v>187</v>
      </c>
      <c r="E1" s="14" t="s">
        <v>188</v>
      </c>
      <c r="F1" s="15" t="s">
        <v>189</v>
      </c>
      <c r="G1" s="16" t="s">
        <v>190</v>
      </c>
      <c r="H1" s="17" t="s">
        <v>191</v>
      </c>
      <c r="I1" s="18" t="s">
        <v>192</v>
      </c>
      <c r="J1" s="18" t="s">
        <v>193</v>
      </c>
      <c r="K1" s="18" t="s">
        <v>194</v>
      </c>
      <c r="L1" s="19" t="s">
        <v>9</v>
      </c>
    </row>
    <row r="2" spans="1:12">
      <c r="A2" s="20" t="s">
        <v>195</v>
      </c>
    </row>
    <row r="3" spans="1:12">
      <c r="A3" s="20" t="s">
        <v>196</v>
      </c>
      <c r="B3" s="21" t="s">
        <v>197</v>
      </c>
      <c r="C3" s="21" t="s">
        <v>198</v>
      </c>
      <c r="D3" s="21" t="s">
        <v>199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200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201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202</v>
      </c>
      <c r="B6" s="21" t="s">
        <v>203</v>
      </c>
      <c r="C6" s="21" t="s">
        <v>204</v>
      </c>
      <c r="D6" s="21" t="s">
        <v>199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205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206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207</v>
      </c>
      <c r="B9" s="21" t="s">
        <v>203</v>
      </c>
      <c r="C9" s="21" t="s">
        <v>208</v>
      </c>
      <c r="D9" s="21" t="s">
        <v>199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209</v>
      </c>
      <c r="B10" s="21" t="s">
        <v>210</v>
      </c>
      <c r="C10" s="21" t="s">
        <v>211</v>
      </c>
      <c r="D10" s="21" t="s">
        <v>199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212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213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206</v>
      </c>
      <c r="B13" s="21" t="s">
        <v>214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215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200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216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217</v>
      </c>
      <c r="B17" s="21" t="s">
        <v>203</v>
      </c>
      <c r="C17" s="21" t="s">
        <v>208</v>
      </c>
      <c r="D17" s="21" t="s">
        <v>199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218</v>
      </c>
      <c r="B18" s="21" t="s">
        <v>210</v>
      </c>
      <c r="C18" s="21" t="s">
        <v>211</v>
      </c>
      <c r="D18" s="21" t="s">
        <v>199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213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219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220</v>
      </c>
      <c r="B21" s="21" t="s">
        <v>210</v>
      </c>
      <c r="C21" s="21" t="s">
        <v>204</v>
      </c>
      <c r="D21" s="21" t="s">
        <v>199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221</v>
      </c>
      <c r="B22" s="21" t="s">
        <v>222</v>
      </c>
      <c r="C22" s="21" t="s">
        <v>211</v>
      </c>
      <c r="D22" s="21" t="s">
        <v>199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223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/>
    </row>
    <row r="25" spans="1:12">
      <c r="A25" s="20" t="s">
        <v>224</v>
      </c>
    </row>
    <row r="26" spans="1:12">
      <c r="A26" s="20" t="s">
        <v>225</v>
      </c>
      <c r="B26" s="21" t="s">
        <v>197</v>
      </c>
      <c r="C26" s="21" t="s">
        <v>211</v>
      </c>
      <c r="D26" s="21" t="s">
        <v>199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226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227</v>
      </c>
      <c r="B28" s="21" t="s">
        <v>228</v>
      </c>
      <c r="C28" s="21" t="s">
        <v>211</v>
      </c>
      <c r="D28" s="21" t="s">
        <v>199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223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/>
    </row>
    <row r="31" spans="1:12">
      <c r="A31" s="20" t="s">
        <v>229</v>
      </c>
    </row>
    <row r="32" spans="1:12">
      <c r="A32" s="20" t="s">
        <v>227</v>
      </c>
      <c r="B32" s="21" t="s">
        <v>197</v>
      </c>
      <c r="C32" s="21" t="s">
        <v>211</v>
      </c>
      <c r="D32" s="21" t="s">
        <v>199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226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230</v>
      </c>
      <c r="B34" s="21" t="s">
        <v>228</v>
      </c>
      <c r="C34" s="21" t="s">
        <v>211</v>
      </c>
      <c r="D34" s="21" t="s">
        <v>199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223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/>
    </row>
    <row r="37" spans="1:12">
      <c r="A37" s="20" t="s">
        <v>231</v>
      </c>
    </row>
    <row r="38" spans="1:12">
      <c r="A38" s="20" t="s">
        <v>230</v>
      </c>
      <c r="B38" s="21" t="s">
        <v>197</v>
      </c>
      <c r="C38" s="21" t="s">
        <v>211</v>
      </c>
      <c r="D38" s="21" t="s">
        <v>199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226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232</v>
      </c>
      <c r="B40" s="21" t="s">
        <v>228</v>
      </c>
      <c r="C40" s="21" t="s">
        <v>211</v>
      </c>
      <c r="D40" s="21" t="s">
        <v>199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233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234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235</v>
      </c>
      <c r="B43" s="21" t="s">
        <v>210</v>
      </c>
      <c r="C43" s="21" t="s">
        <v>236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223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/>
    </row>
    <row r="46" spans="1:12">
      <c r="A46" s="20" t="s">
        <v>237</v>
      </c>
    </row>
    <row r="47" spans="1:12">
      <c r="A47" s="20" t="s">
        <v>232</v>
      </c>
      <c r="B47" s="21" t="s">
        <v>197</v>
      </c>
      <c r="C47" s="21" t="s">
        <v>211</v>
      </c>
      <c r="D47" s="21" t="s">
        <v>199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226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238</v>
      </c>
      <c r="B49" s="21" t="s">
        <v>228</v>
      </c>
      <c r="C49" s="21" t="s">
        <v>211</v>
      </c>
      <c r="D49" s="21" t="s">
        <v>199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233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239</v>
      </c>
      <c r="B51" s="21" t="s">
        <v>210</v>
      </c>
      <c r="C51" s="21" t="s">
        <v>211</v>
      </c>
      <c r="D51" s="21" t="s">
        <v>199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205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240</v>
      </c>
      <c r="B53" s="21" t="s">
        <v>210</v>
      </c>
      <c r="C53" s="21" t="s">
        <v>211</v>
      </c>
      <c r="D53" s="21" t="s">
        <v>199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223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/>
    </row>
    <row r="56" spans="1:12">
      <c r="A56" s="20" t="s">
        <v>241</v>
      </c>
    </row>
    <row r="57" spans="1:12">
      <c r="A57" s="20" t="s">
        <v>238</v>
      </c>
      <c r="B57" s="21" t="s">
        <v>197</v>
      </c>
      <c r="C57" s="21" t="s">
        <v>211</v>
      </c>
      <c r="D57" s="21" t="s">
        <v>199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226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242</v>
      </c>
      <c r="B59" s="21" t="s">
        <v>228</v>
      </c>
      <c r="C59" s="21" t="s">
        <v>211</v>
      </c>
      <c r="D59" s="21" t="s">
        <v>199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223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/>
    </row>
    <row r="62" spans="1:12">
      <c r="A62" s="20" t="s">
        <v>243</v>
      </c>
    </row>
    <row r="63" spans="1:12">
      <c r="A63" s="20" t="s">
        <v>242</v>
      </c>
      <c r="B63" s="21" t="s">
        <v>197</v>
      </c>
      <c r="C63" s="21" t="s">
        <v>211</v>
      </c>
      <c r="D63" s="21" t="s">
        <v>199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226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244</v>
      </c>
      <c r="B65" s="21" t="s">
        <v>228</v>
      </c>
      <c r="C65" s="21" t="s">
        <v>211</v>
      </c>
      <c r="D65" s="21" t="s">
        <v>199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223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/>
    </row>
    <row r="68" spans="1:12">
      <c r="A68" s="20" t="s">
        <v>245</v>
      </c>
    </row>
    <row r="69" spans="1:12">
      <c r="A69" s="20" t="s">
        <v>244</v>
      </c>
      <c r="B69" s="21" t="s">
        <v>197</v>
      </c>
      <c r="C69" s="21" t="s">
        <v>211</v>
      </c>
      <c r="D69" s="21" t="s">
        <v>199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226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246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223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/>
    </row>
    <row r="74" spans="1:12">
      <c r="A74" s="20" t="s">
        <v>247</v>
      </c>
    </row>
    <row r="75" spans="1:12">
      <c r="A75" s="20" t="s">
        <v>246</v>
      </c>
      <c r="B75" s="21" t="s">
        <v>197</v>
      </c>
      <c r="C75" s="21" t="s">
        <v>211</v>
      </c>
      <c r="D75" s="21" t="s">
        <v>199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226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248</v>
      </c>
      <c r="B77" s="21" t="s">
        <v>228</v>
      </c>
      <c r="C77" s="21" t="s">
        <v>211</v>
      </c>
      <c r="D77" s="21" t="s">
        <v>199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223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/>
    </row>
    <row r="80" spans="1:12">
      <c r="A80" s="20" t="s">
        <v>249</v>
      </c>
    </row>
    <row r="81" spans="1:12">
      <c r="A81" s="20" t="s">
        <v>248</v>
      </c>
      <c r="B81" s="21" t="s">
        <v>197</v>
      </c>
      <c r="C81" s="21" t="s">
        <v>211</v>
      </c>
      <c r="D81" s="21" t="s">
        <v>199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226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250</v>
      </c>
      <c r="B83" s="21" t="s">
        <v>228</v>
      </c>
      <c r="C83" s="21" t="s">
        <v>211</v>
      </c>
      <c r="D83" s="21" t="s">
        <v>199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223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/>
    </row>
    <row r="86" spans="1:12">
      <c r="A86" s="20" t="s">
        <v>251</v>
      </c>
    </row>
    <row r="87" spans="1:12">
      <c r="A87" s="20" t="s">
        <v>250</v>
      </c>
      <c r="B87" s="21" t="s">
        <v>197</v>
      </c>
      <c r="C87" s="21" t="s">
        <v>211</v>
      </c>
      <c r="D87" s="21" t="s">
        <v>199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226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252</v>
      </c>
      <c r="B89" s="21" t="s">
        <v>228</v>
      </c>
      <c r="C89" s="21" t="s">
        <v>211</v>
      </c>
      <c r="D89" s="21" t="s">
        <v>199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205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206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253</v>
      </c>
      <c r="B92" s="21" t="s">
        <v>210</v>
      </c>
      <c r="C92" s="21" t="s">
        <v>211</v>
      </c>
      <c r="D92" s="21" t="s">
        <v>199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223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/>
    </row>
    <row r="95" spans="1:12">
      <c r="A95" s="20" t="s">
        <v>254</v>
      </c>
    </row>
    <row r="96" spans="1:12">
      <c r="A96" s="20" t="s">
        <v>252</v>
      </c>
      <c r="B96" s="21" t="s">
        <v>197</v>
      </c>
      <c r="C96" s="21" t="s">
        <v>211</v>
      </c>
      <c r="D96" s="21" t="s">
        <v>199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226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255</v>
      </c>
      <c r="B98" s="21" t="s">
        <v>228</v>
      </c>
      <c r="C98" s="21" t="s">
        <v>211</v>
      </c>
      <c r="D98" s="21" t="s">
        <v>199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205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206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256</v>
      </c>
      <c r="B101" s="21" t="s">
        <v>210</v>
      </c>
      <c r="C101" s="21" t="s">
        <v>211</v>
      </c>
      <c r="D101" s="21" t="s">
        <v>199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223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/>
    </row>
    <row r="104" spans="1:12">
      <c r="A104" s="20" t="s">
        <v>257</v>
      </c>
    </row>
    <row r="105" spans="1:12">
      <c r="A105" s="20" t="s">
        <v>255</v>
      </c>
      <c r="B105" s="21" t="s">
        <v>197</v>
      </c>
      <c r="C105" s="21" t="s">
        <v>211</v>
      </c>
      <c r="D105" s="21" t="s">
        <v>199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226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258</v>
      </c>
      <c r="B107" s="21" t="s">
        <v>228</v>
      </c>
      <c r="C107" s="21" t="s">
        <v>259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223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/>
    </row>
    <row r="110" spans="1:12">
      <c r="A110" s="20" t="s">
        <v>260</v>
      </c>
    </row>
    <row r="111" spans="1:12">
      <c r="A111" s="20" t="s">
        <v>258</v>
      </c>
      <c r="B111" s="21" t="s">
        <v>197</v>
      </c>
      <c r="C111" s="21" t="s">
        <v>211</v>
      </c>
      <c r="D111" s="21" t="s">
        <v>199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226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261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262</v>
      </c>
      <c r="B114" s="21" t="s">
        <v>228</v>
      </c>
      <c r="C114" s="21" t="s">
        <v>204</v>
      </c>
      <c r="D114" s="21" t="s">
        <v>199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263</v>
      </c>
      <c r="B115" s="21" t="s">
        <v>210</v>
      </c>
      <c r="C115" s="21" t="s">
        <v>211</v>
      </c>
      <c r="D115" s="21" t="s">
        <v>199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223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/>
    </row>
    <row r="118" spans="1:12">
      <c r="A118" s="20" t="s">
        <v>264</v>
      </c>
    </row>
    <row r="119" spans="1:12">
      <c r="A119" s="20" t="s">
        <v>265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262</v>
      </c>
      <c r="B120" s="21" t="s">
        <v>197</v>
      </c>
      <c r="C120" s="21" t="s">
        <v>211</v>
      </c>
      <c r="D120" s="21" t="s">
        <v>199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263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226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266</v>
      </c>
      <c r="B123" s="21" t="s">
        <v>228</v>
      </c>
      <c r="C123" s="21" t="s">
        <v>211</v>
      </c>
      <c r="D123" s="21" t="s">
        <v>199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205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267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268</v>
      </c>
      <c r="B126" s="21" t="s">
        <v>210</v>
      </c>
      <c r="C126" s="21" t="s">
        <v>208</v>
      </c>
      <c r="D126" s="21" t="s">
        <v>199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219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269</v>
      </c>
      <c r="B128" s="21" t="s">
        <v>222</v>
      </c>
      <c r="C128" s="21" t="s">
        <v>211</v>
      </c>
      <c r="D128" s="21" t="s">
        <v>199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223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/>
    </row>
    <row r="131" spans="1:12">
      <c r="A131" s="20" t="s">
        <v>270</v>
      </c>
    </row>
    <row r="132" spans="1:12">
      <c r="A132" s="20" t="s">
        <v>266</v>
      </c>
      <c r="B132" s="21" t="s">
        <v>197</v>
      </c>
      <c r="C132" s="21" t="s">
        <v>211</v>
      </c>
      <c r="D132" s="21" t="s">
        <v>199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226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271</v>
      </c>
      <c r="B134" s="21" t="s">
        <v>228</v>
      </c>
      <c r="C134" s="21" t="s">
        <v>259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223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/>
    </row>
    <row r="137" spans="1:12">
      <c r="A137" s="20" t="s">
        <v>272</v>
      </c>
    </row>
    <row r="138" spans="1:12">
      <c r="A138" s="20" t="s">
        <v>271</v>
      </c>
      <c r="B138" s="21" t="s">
        <v>197</v>
      </c>
      <c r="C138" s="21" t="s">
        <v>211</v>
      </c>
      <c r="D138" s="21" t="s">
        <v>199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226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273</v>
      </c>
      <c r="B140" s="21" t="s">
        <v>228</v>
      </c>
      <c r="C140" s="21" t="s">
        <v>211</v>
      </c>
      <c r="D140" s="21" t="s">
        <v>199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223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/>
    </row>
    <row r="143" spans="1:12">
      <c r="A143" s="20" t="s">
        <v>274</v>
      </c>
    </row>
    <row r="144" spans="1:12">
      <c r="A144" s="20" t="s">
        <v>273</v>
      </c>
      <c r="B144" s="21" t="s">
        <v>197</v>
      </c>
      <c r="C144" s="21" t="s">
        <v>211</v>
      </c>
      <c r="D144" s="21" t="s">
        <v>199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226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275</v>
      </c>
      <c r="B146" s="21" t="s">
        <v>228</v>
      </c>
      <c r="C146" s="21" t="s">
        <v>211</v>
      </c>
      <c r="D146" s="21" t="s">
        <v>199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223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/>
    </row>
    <row r="149" spans="1:12">
      <c r="A149" s="20" t="s">
        <v>276</v>
      </c>
    </row>
    <row r="150" spans="1:12">
      <c r="A150" s="20" t="s">
        <v>275</v>
      </c>
      <c r="B150" s="21" t="s">
        <v>197</v>
      </c>
      <c r="C150" s="21" t="s">
        <v>211</v>
      </c>
      <c r="D150" s="21" t="s">
        <v>199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226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277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223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/>
    </row>
    <row r="155" spans="1:12">
      <c r="A155" s="20" t="s">
        <v>278</v>
      </c>
    </row>
    <row r="156" spans="1:12">
      <c r="A156" s="20" t="s">
        <v>277</v>
      </c>
      <c r="B156" s="21" t="s">
        <v>197</v>
      </c>
      <c r="C156" s="21" t="s">
        <v>211</v>
      </c>
      <c r="D156" s="21" t="s">
        <v>199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226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279</v>
      </c>
      <c r="B158" s="21" t="s">
        <v>228</v>
      </c>
      <c r="C158" s="21" t="s">
        <v>211</v>
      </c>
      <c r="D158" s="21" t="s">
        <v>199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223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/>
    </row>
    <row r="161" spans="1:12">
      <c r="A161" s="20" t="s">
        <v>280</v>
      </c>
    </row>
    <row r="162" spans="1:12">
      <c r="A162" s="20" t="s">
        <v>279</v>
      </c>
      <c r="B162" s="21" t="s">
        <v>197</v>
      </c>
      <c r="C162" s="21" t="s">
        <v>211</v>
      </c>
      <c r="D162" s="21" t="s">
        <v>199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226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281</v>
      </c>
      <c r="B164" s="21" t="s">
        <v>228</v>
      </c>
      <c r="C164" s="21" t="s">
        <v>211</v>
      </c>
      <c r="D164" s="21" t="s">
        <v>199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223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/>
    </row>
    <row r="167" spans="1:12">
      <c r="A167" s="20" t="s">
        <v>282</v>
      </c>
    </row>
    <row r="168" spans="1:12">
      <c r="A168" s="20" t="s">
        <v>281</v>
      </c>
      <c r="B168" s="21" t="s">
        <v>197</v>
      </c>
      <c r="C168" s="21" t="s">
        <v>211</v>
      </c>
      <c r="D168" s="21" t="s">
        <v>199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226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283</v>
      </c>
      <c r="B170" s="21" t="s">
        <v>228</v>
      </c>
      <c r="C170" s="21" t="s">
        <v>211</v>
      </c>
      <c r="D170" s="21" t="s">
        <v>199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223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/>
    </row>
    <row r="173" spans="1:12">
      <c r="A173" s="20" t="s">
        <v>284</v>
      </c>
    </row>
    <row r="174" spans="1:12">
      <c r="A174" s="20" t="s">
        <v>283</v>
      </c>
      <c r="B174" s="21" t="s">
        <v>197</v>
      </c>
      <c r="C174" s="21" t="s">
        <v>211</v>
      </c>
      <c r="D174" s="21" t="s">
        <v>199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226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285</v>
      </c>
      <c r="B176" s="21" t="s">
        <v>228</v>
      </c>
      <c r="C176" s="21" t="s">
        <v>211</v>
      </c>
      <c r="D176" s="21" t="s">
        <v>199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223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/>
    </row>
    <row r="179" spans="1:12">
      <c r="A179" s="20" t="s">
        <v>286</v>
      </c>
    </row>
    <row r="180" spans="1:12">
      <c r="A180" s="20" t="s">
        <v>285</v>
      </c>
      <c r="B180" s="21" t="s">
        <v>197</v>
      </c>
      <c r="C180" s="21" t="s">
        <v>211</v>
      </c>
      <c r="D180" s="21" t="s">
        <v>199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226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287</v>
      </c>
      <c r="B182" s="21" t="s">
        <v>228</v>
      </c>
      <c r="C182" s="21" t="s">
        <v>211</v>
      </c>
      <c r="D182" s="21" t="s">
        <v>199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223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/>
    </row>
    <row r="185" spans="1:12">
      <c r="A185" s="20" t="s">
        <v>288</v>
      </c>
    </row>
    <row r="186" spans="1:12">
      <c r="A186" s="20" t="s">
        <v>287</v>
      </c>
      <c r="B186" s="21" t="s">
        <v>197</v>
      </c>
      <c r="C186" s="21" t="s">
        <v>211</v>
      </c>
      <c r="D186" s="21" t="s">
        <v>199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226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289</v>
      </c>
      <c r="B188" s="21" t="s">
        <v>228</v>
      </c>
      <c r="C188" s="21" t="s">
        <v>259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223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/>
    </row>
    <row r="191" spans="1:12">
      <c r="A191" s="20" t="s">
        <v>290</v>
      </c>
    </row>
    <row r="192" spans="1:12">
      <c r="A192" s="20" t="s">
        <v>289</v>
      </c>
      <c r="B192" s="21" t="s">
        <v>197</v>
      </c>
      <c r="C192" s="21" t="s">
        <v>211</v>
      </c>
      <c r="D192" s="21" t="s">
        <v>199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226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291</v>
      </c>
      <c r="B194" s="21" t="s">
        <v>228</v>
      </c>
      <c r="C194" s="21" t="s">
        <v>211</v>
      </c>
      <c r="D194" s="21" t="s">
        <v>199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223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/>
    </row>
    <row r="197" spans="1:12">
      <c r="A197" s="20" t="s">
        <v>292</v>
      </c>
    </row>
    <row r="198" spans="1:12">
      <c r="A198" s="20" t="s">
        <v>291</v>
      </c>
      <c r="B198" s="21" t="s">
        <v>197</v>
      </c>
      <c r="C198" s="21" t="s">
        <v>211</v>
      </c>
      <c r="D198" s="21" t="s">
        <v>199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226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293</v>
      </c>
      <c r="B200" s="21" t="s">
        <v>228</v>
      </c>
      <c r="C200" s="21" t="s">
        <v>211</v>
      </c>
      <c r="D200" s="21" t="s">
        <v>199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223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/>
    </row>
    <row r="203" spans="1:12">
      <c r="A203" s="20" t="s">
        <v>294</v>
      </c>
    </row>
    <row r="204" spans="1:12">
      <c r="A204" s="20" t="s">
        <v>293</v>
      </c>
      <c r="B204" s="21" t="s">
        <v>197</v>
      </c>
      <c r="C204" s="21" t="s">
        <v>211</v>
      </c>
      <c r="D204" s="21" t="s">
        <v>199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226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295</v>
      </c>
      <c r="B206" s="21" t="s">
        <v>228</v>
      </c>
      <c r="C206" s="21" t="s">
        <v>211</v>
      </c>
      <c r="D206" s="21" t="s">
        <v>199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233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234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235</v>
      </c>
      <c r="B209" s="21" t="s">
        <v>210</v>
      </c>
      <c r="C209" s="21" t="s">
        <v>236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296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297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298</v>
      </c>
      <c r="B212" s="21" t="s">
        <v>203</v>
      </c>
      <c r="C212" s="21" t="s">
        <v>204</v>
      </c>
      <c r="D212" s="21" t="s">
        <v>199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206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299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300</v>
      </c>
      <c r="B215" s="21" t="s">
        <v>210</v>
      </c>
      <c r="C215" s="21" t="s">
        <v>204</v>
      </c>
      <c r="D215" s="21" t="s">
        <v>199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223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/>
    </row>
    <row r="218" spans="1:12">
      <c r="A218" s="20" t="s">
        <v>301</v>
      </c>
    </row>
    <row r="219" spans="1:12">
      <c r="A219" s="20" t="s">
        <v>302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206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299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300</v>
      </c>
      <c r="B222" s="21" t="s">
        <v>203</v>
      </c>
      <c r="C222" s="21" t="s">
        <v>204</v>
      </c>
      <c r="D222" s="21" t="s">
        <v>199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226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295</v>
      </c>
      <c r="B224" s="21" t="s">
        <v>197</v>
      </c>
      <c r="C224" s="21" t="s">
        <v>211</v>
      </c>
      <c r="D224" s="21" t="s">
        <v>199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303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223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/>
    </row>
    <row r="228" spans="1:12">
      <c r="A228" s="20" t="s">
        <v>304</v>
      </c>
    </row>
    <row r="229" spans="1:12">
      <c r="A229" s="20" t="s">
        <v>303</v>
      </c>
      <c r="B229" s="21" t="s">
        <v>197</v>
      </c>
      <c r="C229" s="21" t="s">
        <v>211</v>
      </c>
      <c r="D229" s="21" t="s">
        <v>199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226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305</v>
      </c>
      <c r="B231" s="21" t="s">
        <v>228</v>
      </c>
      <c r="C231" s="21" t="s">
        <v>259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223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/>
    </row>
    <row r="234" spans="1:12">
      <c r="A234" s="20" t="s">
        <v>306</v>
      </c>
    </row>
    <row r="235" spans="1:12">
      <c r="A235" s="20" t="s">
        <v>305</v>
      </c>
      <c r="B235" s="21" t="s">
        <v>197</v>
      </c>
      <c r="C235" s="21" t="s">
        <v>211</v>
      </c>
      <c r="D235" s="21" t="s">
        <v>199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226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307</v>
      </c>
      <c r="B237" s="21" t="s">
        <v>228</v>
      </c>
      <c r="C237" s="21" t="s">
        <v>211</v>
      </c>
      <c r="D237" s="21" t="s">
        <v>199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223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/>
    </row>
    <row r="240" spans="1:12">
      <c r="A240" s="20" t="s">
        <v>308</v>
      </c>
    </row>
    <row r="241" spans="1:12">
      <c r="A241" s="20" t="s">
        <v>307</v>
      </c>
      <c r="B241" s="21" t="s">
        <v>197</v>
      </c>
      <c r="C241" s="21" t="s">
        <v>211</v>
      </c>
      <c r="D241" s="21" t="s">
        <v>199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226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309</v>
      </c>
      <c r="B243" s="21" t="s">
        <v>228</v>
      </c>
      <c r="C243" s="21" t="s">
        <v>211</v>
      </c>
      <c r="D243" s="21" t="s">
        <v>199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223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/>
    </row>
    <row r="246" spans="1:12">
      <c r="A246" s="20" t="s">
        <v>310</v>
      </c>
    </row>
    <row r="247" spans="1:12">
      <c r="A247" s="20" t="s">
        <v>309</v>
      </c>
      <c r="B247" s="21" t="s">
        <v>197</v>
      </c>
      <c r="C247" s="21" t="s">
        <v>211</v>
      </c>
      <c r="D247" s="21" t="s">
        <v>199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226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311</v>
      </c>
      <c r="B249" s="21" t="s">
        <v>228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223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/>
    </row>
    <row r="252" spans="1:12">
      <c r="A252" s="20" t="s">
        <v>312</v>
      </c>
    </row>
    <row r="253" spans="1:12">
      <c r="A253" s="20" t="s">
        <v>311</v>
      </c>
      <c r="B253" s="21" t="s">
        <v>197</v>
      </c>
      <c r="C253" s="21" t="s">
        <v>211</v>
      </c>
      <c r="D253" s="21" t="s">
        <v>199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226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313</v>
      </c>
      <c r="B255" s="21" t="s">
        <v>228</v>
      </c>
      <c r="C255" s="21" t="s">
        <v>211</v>
      </c>
      <c r="D255" s="21" t="s">
        <v>199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223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/>
    </row>
    <row r="258" spans="1:12">
      <c r="A258" s="20" t="s">
        <v>314</v>
      </c>
    </row>
    <row r="259" spans="1:12">
      <c r="A259" s="20" t="s">
        <v>313</v>
      </c>
      <c r="B259" s="21" t="s">
        <v>197</v>
      </c>
      <c r="C259" s="21" t="s">
        <v>211</v>
      </c>
      <c r="D259" s="21" t="s">
        <v>199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226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315</v>
      </c>
      <c r="B261" s="21" t="s">
        <v>228</v>
      </c>
      <c r="C261" s="21" t="s">
        <v>211</v>
      </c>
      <c r="D261" s="21" t="s">
        <v>199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223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/>
    </row>
    <row r="264" spans="1:12">
      <c r="A264" s="20" t="s">
        <v>316</v>
      </c>
    </row>
    <row r="265" spans="1:12">
      <c r="A265" s="20" t="s">
        <v>315</v>
      </c>
      <c r="B265" s="21" t="s">
        <v>197</v>
      </c>
      <c r="C265" s="21" t="s">
        <v>211</v>
      </c>
      <c r="D265" s="21" t="s">
        <v>199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226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317</v>
      </c>
      <c r="B267" s="21" t="s">
        <v>228</v>
      </c>
      <c r="C267" s="21" t="s">
        <v>211</v>
      </c>
      <c r="D267" s="21" t="s">
        <v>199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223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/>
    </row>
    <row r="270" spans="1:12">
      <c r="A270" s="20" t="s">
        <v>318</v>
      </c>
    </row>
    <row r="271" spans="1:12">
      <c r="A271" s="20" t="s">
        <v>317</v>
      </c>
      <c r="B271" s="21" t="s">
        <v>197</v>
      </c>
      <c r="C271" s="21" t="s">
        <v>211</v>
      </c>
      <c r="D271" s="21" t="s">
        <v>199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226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319</v>
      </c>
      <c r="B273" s="21" t="s">
        <v>228</v>
      </c>
      <c r="C273" s="21" t="s">
        <v>211</v>
      </c>
      <c r="D273" s="21" t="s">
        <v>199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223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/>
    </row>
    <row r="276" spans="1:12">
      <c r="A276" s="20" t="s">
        <v>320</v>
      </c>
    </row>
    <row r="277" spans="1:12">
      <c r="A277" s="20" t="s">
        <v>319</v>
      </c>
      <c r="B277" s="21" t="s">
        <v>197</v>
      </c>
      <c r="C277" s="21" t="s">
        <v>211</v>
      </c>
      <c r="D277" s="21" t="s">
        <v>199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226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321</v>
      </c>
      <c r="B279" s="21" t="s">
        <v>228</v>
      </c>
      <c r="C279" s="21" t="s">
        <v>211</v>
      </c>
      <c r="D279" s="21" t="s">
        <v>199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223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/>
    </row>
    <row r="282" spans="1:12">
      <c r="A282" s="20" t="s">
        <v>322</v>
      </c>
    </row>
    <row r="283" spans="1:12">
      <c r="A283" s="20" t="s">
        <v>321</v>
      </c>
      <c r="B283" s="21" t="s">
        <v>197</v>
      </c>
      <c r="C283" s="21" t="s">
        <v>211</v>
      </c>
      <c r="D283" s="21" t="s">
        <v>199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226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230</v>
      </c>
      <c r="B285" s="21" t="s">
        <v>228</v>
      </c>
      <c r="C285" s="21" t="s">
        <v>211</v>
      </c>
      <c r="D285" s="21" t="s">
        <v>199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223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/>
    </row>
    <row r="288" spans="1:12">
      <c r="A288" s="20" t="s">
        <v>323</v>
      </c>
    </row>
    <row r="289" spans="1:12">
      <c r="A289" s="20" t="s">
        <v>230</v>
      </c>
      <c r="B289" s="21" t="s">
        <v>197</v>
      </c>
      <c r="C289" s="21" t="s">
        <v>211</v>
      </c>
      <c r="D289" s="21" t="s">
        <v>199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226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324</v>
      </c>
      <c r="B291" s="21" t="s">
        <v>228</v>
      </c>
      <c r="C291" s="21" t="s">
        <v>211</v>
      </c>
      <c r="D291" s="21" t="s">
        <v>199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213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261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325</v>
      </c>
      <c r="B294" s="21" t="s">
        <v>228</v>
      </c>
      <c r="C294" s="21" t="s">
        <v>208</v>
      </c>
      <c r="D294" s="21" t="s">
        <v>199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326</v>
      </c>
      <c r="B295" s="21" t="s">
        <v>210</v>
      </c>
      <c r="C295" s="21" t="s">
        <v>211</v>
      </c>
      <c r="D295" s="21" t="s">
        <v>199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213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205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327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200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328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329</v>
      </c>
      <c r="B301" s="21" t="s">
        <v>210</v>
      </c>
      <c r="C301" s="21" t="s">
        <v>211</v>
      </c>
      <c r="D301" s="21" t="s">
        <v>199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213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206</v>
      </c>
      <c r="B303" s="21" t="s">
        <v>330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215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331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332</v>
      </c>
      <c r="B306" s="21" t="s">
        <v>330</v>
      </c>
      <c r="C306" s="21" t="s">
        <v>211</v>
      </c>
      <c r="D306" s="21" t="s">
        <v>199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223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/>
    </row>
    <row r="309" spans="1:12">
      <c r="A309" s="20" t="s">
        <v>333</v>
      </c>
    </row>
    <row r="310" spans="1:12">
      <c r="A310" s="20" t="s">
        <v>334</v>
      </c>
      <c r="B310" s="21" t="s">
        <v>210</v>
      </c>
      <c r="C310" s="21" t="s">
        <v>335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336</v>
      </c>
      <c r="B311" s="21" t="s">
        <v>197</v>
      </c>
      <c r="C311" s="21" t="s">
        <v>337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205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225</v>
      </c>
      <c r="B313" s="21" t="s">
        <v>210</v>
      </c>
      <c r="C313" s="21" t="s">
        <v>211</v>
      </c>
      <c r="D313" s="21" t="s">
        <v>199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338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339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263</v>
      </c>
      <c r="B316" s="21" t="s">
        <v>222</v>
      </c>
      <c r="C316" s="21" t="s">
        <v>211</v>
      </c>
      <c r="D316" s="21" t="s">
        <v>199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340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341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336</v>
      </c>
      <c r="B319" s="21" t="s">
        <v>203</v>
      </c>
      <c r="C319" s="21" t="s">
        <v>337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223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/>
    </row>
    <row r="322" spans="1:12">
      <c r="A322" s="20" t="s">
        <v>342</v>
      </c>
    </row>
    <row r="323" spans="1:12">
      <c r="A323" s="20" t="s">
        <v>343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263</v>
      </c>
      <c r="B324" s="21" t="s">
        <v>203</v>
      </c>
      <c r="C324" s="21" t="s">
        <v>211</v>
      </c>
      <c r="D324" s="21" t="s">
        <v>199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338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339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297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300</v>
      </c>
      <c r="B328" s="21" t="s">
        <v>203</v>
      </c>
      <c r="C328" s="21" t="s">
        <v>204</v>
      </c>
      <c r="D328" s="21" t="s">
        <v>199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340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341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336</v>
      </c>
      <c r="B331" s="21" t="s">
        <v>203</v>
      </c>
      <c r="C331" s="21" t="s">
        <v>337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223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/>
    </row>
    <row r="334" spans="1:12">
      <c r="A334" s="20" t="s">
        <v>344</v>
      </c>
    </row>
    <row r="335" spans="1:12">
      <c r="A335" s="20" t="s">
        <v>343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206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299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300</v>
      </c>
      <c r="B338" s="21" t="s">
        <v>203</v>
      </c>
      <c r="C338" s="21" t="s">
        <v>204</v>
      </c>
      <c r="D338" s="21" t="s">
        <v>199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338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339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332</v>
      </c>
      <c r="B341" s="21" t="s">
        <v>210</v>
      </c>
      <c r="C341" s="21" t="s">
        <v>211</v>
      </c>
      <c r="D341" s="21" t="s">
        <v>199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340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341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336</v>
      </c>
      <c r="B344" s="21" t="s">
        <v>203</v>
      </c>
      <c r="C344" s="21" t="s">
        <v>337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223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/>
    </row>
    <row r="347" spans="1:12">
      <c r="A347" s="20" t="s">
        <v>345</v>
      </c>
    </row>
    <row r="348" spans="1:12">
      <c r="A348" s="20" t="s">
        <v>346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207</v>
      </c>
      <c r="B349" s="21" t="s">
        <v>197</v>
      </c>
      <c r="C349" s="21" t="s">
        <v>204</v>
      </c>
      <c r="D349" s="21" t="s">
        <v>199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212</v>
      </c>
      <c r="B350" s="21" t="s">
        <v>210</v>
      </c>
      <c r="C350" s="21" t="s">
        <v>211</v>
      </c>
      <c r="D350" s="21" t="s">
        <v>199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347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348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349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350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223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/>
    </row>
    <row r="357" spans="1:12">
      <c r="A357" s="20" t="s">
        <v>351</v>
      </c>
    </row>
    <row r="358" spans="1:12">
      <c r="A358" s="20" t="s">
        <v>352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353</v>
      </c>
      <c r="B359" s="21" t="s">
        <v>228</v>
      </c>
      <c r="C359" s="21" t="s">
        <v>211</v>
      </c>
      <c r="D359" s="21" t="s">
        <v>199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213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234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354</v>
      </c>
      <c r="B362" s="21" t="s">
        <v>214</v>
      </c>
      <c r="C362" s="21" t="s">
        <v>236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213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267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324</v>
      </c>
      <c r="B365" s="21" t="s">
        <v>330</v>
      </c>
      <c r="C365" s="21" t="s">
        <v>211</v>
      </c>
      <c r="D365" s="21" t="s">
        <v>199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355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347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213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356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357</v>
      </c>
      <c r="B370" s="21" t="s">
        <v>197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358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359</v>
      </c>
      <c r="B372" s="21" t="s">
        <v>214</v>
      </c>
      <c r="C372" s="21" t="s">
        <v>360</v>
      </c>
      <c r="D372" s="21" t="s">
        <v>199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361</v>
      </c>
      <c r="B373" s="21" t="s">
        <v>362</v>
      </c>
      <c r="C373" s="21" t="s">
        <v>363</v>
      </c>
      <c r="D373" s="21" t="s">
        <v>199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364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213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365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361</v>
      </c>
      <c r="B377" s="21" t="s">
        <v>366</v>
      </c>
      <c r="C377" s="21" t="s">
        <v>363</v>
      </c>
      <c r="D377" s="21" t="s">
        <v>199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367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347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205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267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368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369</v>
      </c>
      <c r="B383" s="21" t="s">
        <v>222</v>
      </c>
      <c r="C383" s="21" t="s">
        <v>211</v>
      </c>
      <c r="D383" s="21" t="s">
        <v>199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223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/>
    </row>
    <row r="386" spans="1:12">
      <c r="A386" s="20" t="s">
        <v>370</v>
      </c>
    </row>
    <row r="387" spans="1:12">
      <c r="A387" s="20" t="s">
        <v>324</v>
      </c>
      <c r="B387" s="21" t="s">
        <v>197</v>
      </c>
      <c r="C387" s="21" t="s">
        <v>211</v>
      </c>
      <c r="D387" s="21" t="s">
        <v>199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348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213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371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325</v>
      </c>
      <c r="B391" s="21" t="s">
        <v>210</v>
      </c>
      <c r="C391" s="21" t="s">
        <v>236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213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347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372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233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373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361</v>
      </c>
      <c r="B397" s="21" t="s">
        <v>214</v>
      </c>
      <c r="C397" s="21" t="s">
        <v>363</v>
      </c>
      <c r="D397" s="21" t="s">
        <v>199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374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375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376</v>
      </c>
      <c r="B400" s="21" t="s">
        <v>222</v>
      </c>
      <c r="C400" s="21" t="s">
        <v>259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377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213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378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348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213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361</v>
      </c>
      <c r="B406" s="21" t="s">
        <v>379</v>
      </c>
      <c r="C406" s="21" t="s">
        <v>363</v>
      </c>
      <c r="D406" s="21" t="s">
        <v>199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380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381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382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223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/>
    </row>
    <row r="412" spans="1:12">
      <c r="A412" s="20" t="s">
        <v>383</v>
      </c>
    </row>
    <row r="413" spans="1:12">
      <c r="A413" s="20" t="s">
        <v>384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359</v>
      </c>
      <c r="B414" s="21" t="s">
        <v>214</v>
      </c>
      <c r="C414" s="21" t="s">
        <v>360</v>
      </c>
      <c r="D414" s="21" t="s">
        <v>199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348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349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378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213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156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213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215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385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386</v>
      </c>
      <c r="B423" s="21" t="s">
        <v>362</v>
      </c>
      <c r="C423" s="21" t="s">
        <v>360</v>
      </c>
      <c r="D423" s="21" t="s">
        <v>199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216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387</v>
      </c>
      <c r="B425" s="21" t="s">
        <v>366</v>
      </c>
      <c r="C425" s="21" t="s">
        <v>208</v>
      </c>
      <c r="D425" s="21" t="s">
        <v>199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219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388</v>
      </c>
      <c r="B427" s="21" t="s">
        <v>389</v>
      </c>
      <c r="C427" s="21" t="s">
        <v>211</v>
      </c>
      <c r="D427" s="21" t="s">
        <v>199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375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267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390</v>
      </c>
      <c r="B430" s="21" t="s">
        <v>389</v>
      </c>
      <c r="C430" s="21" t="s">
        <v>204</v>
      </c>
      <c r="D430" s="21" t="s">
        <v>199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233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391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392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324</v>
      </c>
      <c r="B434" s="21" t="s">
        <v>366</v>
      </c>
      <c r="C434" s="21" t="s">
        <v>211</v>
      </c>
      <c r="D434" s="21" t="s">
        <v>199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213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393</v>
      </c>
      <c r="B436" s="21" t="s">
        <v>389</v>
      </c>
      <c r="C436" s="21" t="s">
        <v>211</v>
      </c>
      <c r="D436" s="21" t="s">
        <v>199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217</v>
      </c>
      <c r="B437" s="21" t="s">
        <v>394</v>
      </c>
      <c r="C437" s="21" t="s">
        <v>211</v>
      </c>
      <c r="D437" s="21" t="s">
        <v>199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218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213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395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396</v>
      </c>
      <c r="B441" s="21" t="s">
        <v>379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374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213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353</v>
      </c>
      <c r="B444" s="21" t="s">
        <v>397</v>
      </c>
      <c r="C444" s="21" t="s">
        <v>211</v>
      </c>
      <c r="D444" s="21" t="s">
        <v>199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213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398</v>
      </c>
      <c r="B446" s="21" t="s">
        <v>394</v>
      </c>
      <c r="C446" s="21" t="s">
        <v>335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399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213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381</v>
      </c>
      <c r="B449" s="21" t="s">
        <v>400</v>
      </c>
      <c r="C449" s="21" t="s">
        <v>335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401</v>
      </c>
      <c r="B450" s="21" t="s">
        <v>402</v>
      </c>
      <c r="C450" s="21" t="s">
        <v>360</v>
      </c>
      <c r="D450" s="21" t="s">
        <v>199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381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403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404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/>
    </row>
    <row r="455" spans="1:12">
      <c r="A455" s="20" t="s">
        <v>405</v>
      </c>
    </row>
    <row r="456" spans="1:12">
      <c r="A456" s="20" t="s">
        <v>406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201</v>
      </c>
      <c r="B457" s="21" t="s">
        <v>214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375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371</v>
      </c>
      <c r="B459" s="21" t="s">
        <v>210</v>
      </c>
      <c r="C459" s="21" t="s">
        <v>360</v>
      </c>
      <c r="D459" s="21" t="s">
        <v>199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328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200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213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201</v>
      </c>
      <c r="B463" s="21" t="s">
        <v>214</v>
      </c>
      <c r="C463" s="21" t="s">
        <v>363</v>
      </c>
      <c r="D463" s="21" t="s">
        <v>199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200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205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267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368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369</v>
      </c>
      <c r="B468" s="21" t="s">
        <v>203</v>
      </c>
      <c r="C468" s="21" t="s">
        <v>211</v>
      </c>
      <c r="D468" s="21" t="s">
        <v>199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223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/>
    </row>
    <row r="471" spans="1:12">
      <c r="A471" s="20" t="s">
        <v>407</v>
      </c>
    </row>
    <row r="472" spans="1:12">
      <c r="A472" s="20" t="s">
        <v>408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361</v>
      </c>
      <c r="B473" s="21" t="s">
        <v>197</v>
      </c>
      <c r="C473" s="21" t="s">
        <v>363</v>
      </c>
      <c r="D473" s="21" t="s">
        <v>199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409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410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217</v>
      </c>
      <c r="B476" s="21" t="s">
        <v>228</v>
      </c>
      <c r="C476" s="21" t="s">
        <v>411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164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213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219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412</v>
      </c>
      <c r="B480" s="21" t="s">
        <v>362</v>
      </c>
      <c r="C480" s="21" t="s">
        <v>204</v>
      </c>
      <c r="D480" s="21" t="s">
        <v>199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413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393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329</v>
      </c>
      <c r="B483" s="21" t="s">
        <v>214</v>
      </c>
      <c r="C483" s="21" t="s">
        <v>211</v>
      </c>
      <c r="D483" s="21" t="s">
        <v>199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414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404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/>
    </row>
    <row r="487" spans="1:12">
      <c r="A487" s="20" t="s">
        <v>415</v>
      </c>
    </row>
    <row r="488" spans="1:12">
      <c r="A488" s="20" t="s">
        <v>406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359</v>
      </c>
      <c r="B489" s="21" t="s">
        <v>197</v>
      </c>
      <c r="C489" s="21" t="s">
        <v>360</v>
      </c>
      <c r="D489" s="21" t="s">
        <v>199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409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416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417</v>
      </c>
      <c r="B492" s="21" t="s">
        <v>197</v>
      </c>
      <c r="C492" s="21" t="s">
        <v>236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418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168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205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419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420</v>
      </c>
      <c r="B497" s="21" t="s">
        <v>203</v>
      </c>
      <c r="C497" s="21" t="s">
        <v>236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223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/>
    </row>
    <row r="500" spans="1:12">
      <c r="A500" s="20" t="s">
        <v>421</v>
      </c>
    </row>
    <row r="501" spans="1:12">
      <c r="A501" s="20" t="s">
        <v>422</v>
      </c>
      <c r="B501" s="21" t="s">
        <v>197</v>
      </c>
      <c r="C501" s="21" t="s">
        <v>198</v>
      </c>
      <c r="D501" s="21" t="s">
        <v>199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200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348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423</v>
      </c>
      <c r="B504" s="21" t="s">
        <v>197</v>
      </c>
      <c r="C504" s="21" t="s">
        <v>335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 t="s">
        <v>424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213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339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 t="s">
        <v>365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425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426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213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427</v>
      </c>
      <c r="B512" s="21" t="s">
        <v>362</v>
      </c>
      <c r="C512" s="21" t="s">
        <v>363</v>
      </c>
      <c r="D512" s="21" t="s">
        <v>199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206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428</v>
      </c>
      <c r="B514" s="21" t="s">
        <v>214</v>
      </c>
      <c r="C514" s="21" t="s">
        <v>211</v>
      </c>
      <c r="D514" s="21" t="s">
        <v>199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429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261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 t="s">
        <v>430</v>
      </c>
      <c r="B517" s="21" t="s">
        <v>210</v>
      </c>
      <c r="C517" s="21" t="s">
        <v>204</v>
      </c>
      <c r="D517" s="21" t="s">
        <v>199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 t="s">
        <v>431</v>
      </c>
      <c r="E518" s="22">
        <f>IF(D518="?OLD","!!!","")</f>
        <v/>
      </c>
      <c r="F518" s="23" t="str">
        <f>IF(OR(E518="",E518="!!!"),"",IF(NOT(ISNA(VLOOKUP(E518,E$1:E517,1,FALSE()))),"OLD",IF(AND(E518&lt;&gt;"",E518&lt;&gt;"!!!"),"NEW","")))</f>
        <v> </v>
      </c>
      <c r="G518" s="24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5" t="str">
        <f>IF(J518&lt;&gt;1,"",IF(I518="SBJ","CB","?"))</f>
        <v> </v>
      </c>
      <c r="I518" s="26" t="str">
        <f>IF(OR(E518="",E518="!!!",F518="NEW"),"",INDEX(B517:B$2,-1+SUMPRODUCT(MAX(ROW(E517:E$2)*(E518=E517:E$2)))))</f>
        <v> </v>
      </c>
      <c r="J518" s="26" t="str">
        <f>IF(OR(E518="",E518="!!!",F518="NEW"),"",COUNTBLANK(OFFSET(A$1,,,SUMPRODUCT(MAX(ROW(E$2:E518)*(E518=E$2:E518)))))-COUNTBLANK(OFFSET(A$1,,,SUMPRODUCT(MAX(ROW(E$1:E517)*(E2=E$1:E517))))))</f>
        <v> </v>
      </c>
      <c r="K518" s="26" t="str">
        <f>IF(OR(E518="",E518="!!!",F518="NEW"),"",INDEX(J$1:J517,SUMPRODUCT(MAX(ROW(E$1:E517)*(E518=E$1:E517)))))</f>
        <v> </v>
      </c>
      <c r="L518" s="27"/>
    </row>
    <row r="519" spans="1:12">
      <c r="A519" s="20" t="s">
        <v>432</v>
      </c>
      <c r="E519" s="22">
        <f>IF(D519="?OLD","!!!","")</f>
        <v/>
      </c>
      <c r="F519" s="23" t="str">
        <f>IF(OR(E519="",E519="!!!"),"",IF(NOT(ISNA(VLOOKUP(E519,E$1:E518,1,FALSE()))),"OLD",IF(AND(E519&lt;&gt;"",E519&lt;&gt;"!!!"),"NEW","")))</f>
        <v> </v>
      </c>
      <c r="G519" s="24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5" t="str">
        <f>IF(J519&lt;&gt;1,"",IF(I519="SBJ","CB","?"))</f>
        <v> </v>
      </c>
      <c r="I519" s="26" t="str">
        <f>IF(OR(E519="",E519="!!!",F519="NEW"),"",INDEX(B518:B$2,-1+SUMPRODUCT(MAX(ROW(E518:E$2)*(E519=E518:E$2)))))</f>
        <v> </v>
      </c>
      <c r="J519" s="26" t="str">
        <f>IF(OR(E519="",E519="!!!",F519="NEW"),"",COUNTBLANK(OFFSET(A$1,,,SUMPRODUCT(MAX(ROW(E$2:E519)*(E519=E$2:E519)))))-COUNTBLANK(OFFSET(A$1,,,SUMPRODUCT(MAX(ROW(E$1:E518)*(E2=E$1:E518))))))</f>
        <v> </v>
      </c>
      <c r="K519" s="26" t="str">
        <f>IF(OR(E519="",E519="!!!",F519="NEW"),"",INDEX(J$1:J518,SUMPRODUCT(MAX(ROW(E$1:E518)*(E519=E$1:E518)))))</f>
        <v> </v>
      </c>
      <c r="L519" s="27"/>
    </row>
    <row r="520" spans="1:12">
      <c r="A520" s="20" t="s">
        <v>213</v>
      </c>
      <c r="E520" s="22">
        <f>IF(D520="?OLD","!!!","")</f>
        <v/>
      </c>
      <c r="F520" s="23" t="str">
        <f>IF(OR(E520="",E520="!!!"),"",IF(NOT(ISNA(VLOOKUP(E520,E$1:E519,1,FALSE()))),"OLD",IF(AND(E520&lt;&gt;"",E520&lt;&gt;"!!!"),"NEW","")))</f>
        <v> </v>
      </c>
      <c r="G520" s="24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5" t="str">
        <f>IF(J520&lt;&gt;1,"",IF(I520="SBJ","CB","?"))</f>
        <v> </v>
      </c>
      <c r="I520" s="26" t="str">
        <f>IF(OR(E520="",E520="!!!",F520="NEW"),"",INDEX(B519:B$2,-1+SUMPRODUCT(MAX(ROW(E519:E$2)*(E520=E519:E$2)))))</f>
        <v> </v>
      </c>
      <c r="J520" s="26" t="str">
        <f>IF(OR(E520="",E520="!!!",F520="NEW"),"",COUNTBLANK(OFFSET(A$1,,,SUMPRODUCT(MAX(ROW(E$2:E520)*(E520=E$2:E520)))))-COUNTBLANK(OFFSET(A$1,,,SUMPRODUCT(MAX(ROW(E$1:E519)*(E2=E$1:E519))))))</f>
        <v> </v>
      </c>
      <c r="K520" s="26" t="str">
        <f>IF(OR(E520="",E520="!!!",F520="NEW"),"",INDEX(J$1:J519,SUMPRODUCT(MAX(ROW(E$1:E519)*(E520=E$1:E519)))))</f>
        <v> </v>
      </c>
      <c r="L520" s="27"/>
    </row>
    <row r="521" spans="1:12">
      <c r="A521" s="20" t="s">
        <v>206</v>
      </c>
      <c r="B521" s="21" t="s">
        <v>214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 t="s">
        <v>215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 t="s">
        <v>433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392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/>
    </row>
    <row r="526" spans="1:12">
      <c r="A526" s="20" t="s">
        <v>434</v>
      </c>
    </row>
    <row r="527" spans="1:12">
      <c r="A527" s="20" t="s">
        <v>177</v>
      </c>
      <c r="E527" s="22">
        <f>IF(D527="?OLD","!!!","")</f>
        <v/>
      </c>
      <c r="F527" s="23" t="str">
        <f>IF(OR(E527="",E527="!!!"),"",IF(NOT(ISNA(VLOOKUP(E527,E$1:E526,1,FALSE()))),"OLD",IF(AND(E527&lt;&gt;"",E527&lt;&gt;"!!!"),"NEW","")))</f>
        <v> </v>
      </c>
      <c r="G527" s="24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5" t="str">
        <f>IF(J527&lt;&gt;1,"",IF(I527="SBJ","CB","?"))</f>
        <v> </v>
      </c>
      <c r="I527" s="26" t="str">
        <f>IF(OR(E527="",E527="!!!",F527="NEW"),"",INDEX(B526:B$2,-1+SUMPRODUCT(MAX(ROW(E526:E$2)*(E527=E526:E$2)))))</f>
        <v> </v>
      </c>
      <c r="J527" s="26" t="str">
        <f>IF(OR(E527="",E527="!!!",F527="NEW"),"",COUNTBLANK(OFFSET(A$1,,,SUMPRODUCT(MAX(ROW(E$2:E527)*(E527=E$2:E527)))))-COUNTBLANK(OFFSET(A$1,,,SUMPRODUCT(MAX(ROW(E$1:E526)*(E2=E$1:E526))))))</f>
        <v> </v>
      </c>
      <c r="K527" s="26" t="str">
        <f>IF(OR(E527="",E527="!!!",F527="NEW"),"",INDEX(J$1:J526,SUMPRODUCT(MAX(ROW(E$1:E526)*(E527=E$1:E526)))))</f>
        <v> </v>
      </c>
      <c r="L527" s="27"/>
    </row>
    <row r="528" spans="1:12">
      <c r="A528" s="20" t="s">
        <v>213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435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 t="s">
        <v>436</v>
      </c>
      <c r="B530" s="21" t="s">
        <v>214</v>
      </c>
      <c r="C530" s="21" t="s">
        <v>411</v>
      </c>
      <c r="E530" s="22">
        <f>IF(D530="?OLD","!!!","")</f>
        <v/>
      </c>
      <c r="F530" s="23" t="str">
        <f>IF(OR(E530="",E530="!!!"),"",IF(NOT(ISNA(VLOOKUP(E530,E$1:E529,1,FALSE()))),"OLD",IF(AND(E530&lt;&gt;"",E530&lt;&gt;"!!!"),"NEW","")))</f>
        <v> </v>
      </c>
      <c r="G530" s="24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5" t="str">
        <f>IF(J530&lt;&gt;1,"",IF(I530="SBJ","CB","?"))</f>
        <v> </v>
      </c>
      <c r="I530" s="26" t="str">
        <f>IF(OR(E530="",E530="!!!",F530="NEW"),"",INDEX(B529:B$2,-1+SUMPRODUCT(MAX(ROW(E529:E$2)*(E530=E529:E$2)))))</f>
        <v> </v>
      </c>
      <c r="J530" s="26" t="str">
        <f>IF(OR(E530="",E530="!!!",F530="NEW"),"",COUNTBLANK(OFFSET(A$1,,,SUMPRODUCT(MAX(ROW(E$2:E530)*(E530=E$2:E530)))))-COUNTBLANK(OFFSET(A$1,,,SUMPRODUCT(MAX(ROW(E$1:E529)*(E2=E$1:E529))))))</f>
        <v> </v>
      </c>
      <c r="K530" s="26" t="str">
        <f>IF(OR(E530="",E530="!!!",F530="NEW"),"",INDEX(J$1:J529,SUMPRODUCT(MAX(ROW(E$1:E529)*(E530=E$1:E529)))))</f>
        <v> </v>
      </c>
      <c r="L530" s="27"/>
    </row>
    <row r="531" spans="1:12">
      <c r="A531" s="20" t="s">
        <v>409</v>
      </c>
      <c r="E531" s="22">
        <f>IF(D531="?OLD","!!!","")</f>
        <v/>
      </c>
      <c r="F531" s="23" t="str">
        <f>IF(OR(E531="",E531="!!!"),"",IF(NOT(ISNA(VLOOKUP(E531,E$1:E530,1,FALSE()))),"OLD",IF(AND(E531&lt;&gt;"",E531&lt;&gt;"!!!"),"NEW","")))</f>
        <v> </v>
      </c>
      <c r="G531" s="24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5" t="str">
        <f>IF(J531&lt;&gt;1,"",IF(I531="SBJ","CB","?"))</f>
        <v> </v>
      </c>
      <c r="I531" s="26" t="str">
        <f>IF(OR(E531="",E531="!!!",F531="NEW"),"",INDEX(B530:B$2,-1+SUMPRODUCT(MAX(ROW(E530:E$2)*(E531=E530:E$2)))))</f>
        <v> </v>
      </c>
      <c r="J531" s="26" t="str">
        <f>IF(OR(E531="",E531="!!!",F531="NEW"),"",COUNTBLANK(OFFSET(A$1,,,SUMPRODUCT(MAX(ROW(E$2:E531)*(E531=E$2:E531)))))-COUNTBLANK(OFFSET(A$1,,,SUMPRODUCT(MAX(ROW(E$1:E530)*(E2=E$1:E530))))))</f>
        <v> </v>
      </c>
      <c r="K531" s="26" t="str">
        <f>IF(OR(E531="",E531="!!!",F531="NEW"),"",INDEX(J$1:J530,SUMPRODUCT(MAX(ROW(E$1:E530)*(E531=E$1:E530)))))</f>
        <v> </v>
      </c>
      <c r="L531" s="27"/>
    </row>
    <row r="532" spans="1:12">
      <c r="A532" s="20" t="s">
        <v>367</v>
      </c>
      <c r="E532" s="22">
        <f>IF(D532="?OLD","!!!","")</f>
        <v/>
      </c>
      <c r="F532" s="23" t="str">
        <f>IF(OR(E532="",E532="!!!"),"",IF(NOT(ISNA(VLOOKUP(E532,E$1:E531,1,FALSE()))),"OLD",IF(AND(E532&lt;&gt;"",E532&lt;&gt;"!!!"),"NEW","")))</f>
        <v> </v>
      </c>
      <c r="G532" s="24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5" t="str">
        <f>IF(J532&lt;&gt;1,"",IF(I532="SBJ","CB","?"))</f>
        <v> </v>
      </c>
      <c r="I532" s="26" t="str">
        <f>IF(OR(E532="",E532="!!!",F532="NEW"),"",INDEX(B531:B$2,-1+SUMPRODUCT(MAX(ROW(E531:E$2)*(E532=E531:E$2)))))</f>
        <v> </v>
      </c>
      <c r="J532" s="26" t="str">
        <f>IF(OR(E532="",E532="!!!",F532="NEW"),"",COUNTBLANK(OFFSET(A$1,,,SUMPRODUCT(MAX(ROW(E$2:E532)*(E532=E$2:E532)))))-COUNTBLANK(OFFSET(A$1,,,SUMPRODUCT(MAX(ROW(E$1:E531)*(E2=E$1:E531))))))</f>
        <v> </v>
      </c>
      <c r="K532" s="26" t="str">
        <f>IF(OR(E532="",E532="!!!",F532="NEW"),"",INDEX(J$1:J531,SUMPRODUCT(MAX(ROW(E$1:E531)*(E532=E$1:E531)))))</f>
        <v> </v>
      </c>
      <c r="L532" s="27"/>
    </row>
    <row r="533" spans="1:12">
      <c r="A533" s="20" t="s">
        <v>416</v>
      </c>
      <c r="E533" s="22">
        <f>IF(D533="?OLD","!!!","")</f>
        <v/>
      </c>
      <c r="F533" s="23" t="str">
        <f>IF(OR(E533="",E533="!!!"),"",IF(NOT(ISNA(VLOOKUP(E533,E$1:E532,1,FALSE()))),"OLD",IF(AND(E533&lt;&gt;"",E533&lt;&gt;"!!!"),"NEW","")))</f>
        <v> </v>
      </c>
      <c r="G533" s="24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5" t="str">
        <f>IF(J533&lt;&gt;1,"",IF(I533="SBJ","CB","?"))</f>
        <v> </v>
      </c>
      <c r="I533" s="26" t="str">
        <f>IF(OR(E533="",E533="!!!",F533="NEW"),"",INDEX(B532:B$2,-1+SUMPRODUCT(MAX(ROW(E532:E$2)*(E533=E532:E$2)))))</f>
        <v> </v>
      </c>
      <c r="J533" s="26" t="str">
        <f>IF(OR(E533="",E533="!!!",F533="NEW"),"",COUNTBLANK(OFFSET(A$1,,,SUMPRODUCT(MAX(ROW(E$2:E533)*(E533=E$2:E533)))))-COUNTBLANK(OFFSET(A$1,,,SUMPRODUCT(MAX(ROW(E$1:E532)*(E2=E$1:E532))))))</f>
        <v> </v>
      </c>
      <c r="K533" s="26" t="str">
        <f>IF(OR(E533="",E533="!!!",F533="NEW"),"",INDEX(J$1:J532,SUMPRODUCT(MAX(ROW(E$1:E532)*(E533=E$1:E532)))))</f>
        <v> </v>
      </c>
      <c r="L533" s="27"/>
    </row>
    <row r="534" spans="1:12">
      <c r="A534" s="20" t="s">
        <v>233</v>
      </c>
      <c r="E534" s="22">
        <f>IF(D534="?OLD","!!!","")</f>
        <v/>
      </c>
      <c r="F534" s="23" t="str">
        <f>IF(OR(E534="",E534="!!!"),"",IF(NOT(ISNA(VLOOKUP(E534,E$1:E533,1,FALSE()))),"OLD",IF(AND(E534&lt;&gt;"",E534&lt;&gt;"!!!"),"NEW","")))</f>
        <v> </v>
      </c>
      <c r="G534" s="24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5" t="str">
        <f>IF(J534&lt;&gt;1,"",IF(I534="SBJ","CB","?"))</f>
        <v> </v>
      </c>
      <c r="I534" s="26" t="str">
        <f>IF(OR(E534="",E534="!!!",F534="NEW"),"",INDEX(B533:B$2,-1+SUMPRODUCT(MAX(ROW(E533:E$2)*(E534=E533:E$2)))))</f>
        <v> </v>
      </c>
      <c r="J534" s="26" t="str">
        <f>IF(OR(E534="",E534="!!!",F534="NEW"),"",COUNTBLANK(OFFSET(A$1,,,SUMPRODUCT(MAX(ROW(E$2:E534)*(E534=E$2:E534)))))-COUNTBLANK(OFFSET(A$1,,,SUMPRODUCT(MAX(ROW(E$1:E533)*(E2=E$1:E533))))))</f>
        <v> </v>
      </c>
      <c r="K534" s="26" t="str">
        <f>IF(OR(E534="",E534="!!!",F534="NEW"),"",INDEX(J$1:J533,SUMPRODUCT(MAX(ROW(E$1:E533)*(E534=E$1:E533)))))</f>
        <v> </v>
      </c>
      <c r="L534" s="27"/>
    </row>
    <row r="535" spans="1:12">
      <c r="A535" s="20" t="s">
        <v>410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217</v>
      </c>
      <c r="B536" s="21" t="s">
        <v>437</v>
      </c>
      <c r="C536" s="21" t="s">
        <v>411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 t="s">
        <v>164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 t="s">
        <v>213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 t="s">
        <v>233</v>
      </c>
      <c r="E539" s="22">
        <f>IF(D539="?OLD","!!!","")</f>
        <v/>
      </c>
      <c r="F539" s="23" t="str">
        <f>IF(OR(E539="",E539="!!!"),"",IF(NOT(ISNA(VLOOKUP(E539,E$1:E538,1,FALSE()))),"OLD",IF(AND(E539&lt;&gt;"",E539&lt;&gt;"!!!"),"NEW","")))</f>
        <v> </v>
      </c>
      <c r="G539" s="24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5" t="str">
        <f>IF(J539&lt;&gt;1,"",IF(I539="SBJ","CB","?"))</f>
        <v> </v>
      </c>
      <c r="I539" s="26" t="str">
        <f>IF(OR(E539="",E539="!!!",F539="NEW"),"",INDEX(B538:B$2,-1+SUMPRODUCT(MAX(ROW(E538:E$2)*(E539=E538:E$2)))))</f>
        <v> </v>
      </c>
      <c r="J539" s="26" t="str">
        <f>IF(OR(E539="",E539="!!!",F539="NEW"),"",COUNTBLANK(OFFSET(A$1,,,SUMPRODUCT(MAX(ROW(E$2:E539)*(E539=E$2:E539)))))-COUNTBLANK(OFFSET(A$1,,,SUMPRODUCT(MAX(ROW(E$1:E538)*(E2=E$1:E538))))))</f>
        <v> </v>
      </c>
      <c r="K539" s="26" t="str">
        <f>IF(OR(E539="",E539="!!!",F539="NEW"),"",INDEX(J$1:J538,SUMPRODUCT(MAX(ROW(E$1:E538)*(E539=E$1:E538)))))</f>
        <v> </v>
      </c>
      <c r="L539" s="27"/>
    </row>
    <row r="540" spans="1:12">
      <c r="A540" s="20" t="s">
        <v>361</v>
      </c>
      <c r="B540" s="21" t="s">
        <v>366</v>
      </c>
      <c r="C540" s="21" t="s">
        <v>363</v>
      </c>
      <c r="D540" s="21" t="s">
        <v>199</v>
      </c>
      <c r="E540" s="22">
        <f>IF(D540="?OLD","!!!","")</f>
        <v/>
      </c>
      <c r="F540" s="23" t="str">
        <f>IF(OR(E540="",E540="!!!"),"",IF(NOT(ISNA(VLOOKUP(E540,E$1:E539,1,FALSE()))),"OLD",IF(AND(E540&lt;&gt;"",E540&lt;&gt;"!!!"),"NEW","")))</f>
        <v> </v>
      </c>
      <c r="G540" s="24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5" t="str">
        <f>IF(J540&lt;&gt;1,"",IF(I540="SBJ","CB","?"))</f>
        <v> </v>
      </c>
      <c r="I540" s="26" t="str">
        <f>IF(OR(E540="",E540="!!!",F540="NEW"),"",INDEX(B539:B$2,-1+SUMPRODUCT(MAX(ROW(E539:E$2)*(E540=E539:E$2)))))</f>
        <v> </v>
      </c>
      <c r="J540" s="26" t="str">
        <f>IF(OR(E540="",E540="!!!",F540="NEW"),"",COUNTBLANK(OFFSET(A$1,,,SUMPRODUCT(MAX(ROW(E$2:E540)*(E540=E$2:E540)))))-COUNTBLANK(OFFSET(A$1,,,SUMPRODUCT(MAX(ROW(E$1:E539)*(E2=E$1:E539))))))</f>
        <v> </v>
      </c>
      <c r="K540" s="26" t="str">
        <f>IF(OR(E540="",E540="!!!",F540="NEW"),"",INDEX(J$1:J539,SUMPRODUCT(MAX(ROW(E$1:E539)*(E540=E$1:E539)))))</f>
        <v> </v>
      </c>
      <c r="L540" s="27"/>
    </row>
    <row r="541" spans="1:12">
      <c r="A541" s="20" t="s">
        <v>438</v>
      </c>
      <c r="E541" s="22">
        <f>IF(D541="?OLD","!!!","")</f>
        <v/>
      </c>
      <c r="F541" s="23" t="str">
        <f>IF(OR(E541="",E541="!!!"),"",IF(NOT(ISNA(VLOOKUP(E541,E$1:E540,1,FALSE()))),"OLD",IF(AND(E541&lt;&gt;"",E541&lt;&gt;"!!!"),"NEW","")))</f>
        <v> </v>
      </c>
      <c r="G541" s="24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5" t="str">
        <f>IF(J541&lt;&gt;1,"",IF(I541="SBJ","CB","?"))</f>
        <v> </v>
      </c>
      <c r="I541" s="26" t="str">
        <f>IF(OR(E541="",E541="!!!",F541="NEW"),"",INDEX(B540:B$2,-1+SUMPRODUCT(MAX(ROW(E540:E$2)*(E541=E540:E$2)))))</f>
        <v> </v>
      </c>
      <c r="J541" s="26" t="str">
        <f>IF(OR(E541="",E541="!!!",F541="NEW"),"",COUNTBLANK(OFFSET(A$1,,,SUMPRODUCT(MAX(ROW(E$2:E541)*(E541=E$2:E541)))))-COUNTBLANK(OFFSET(A$1,,,SUMPRODUCT(MAX(ROW(E$1:E540)*(E2=E$1:E540))))))</f>
        <v> </v>
      </c>
      <c r="K541" s="26" t="str">
        <f>IF(OR(E541="",E541="!!!",F541="NEW"),"",INDEX(J$1:J540,SUMPRODUCT(MAX(ROW(E$1:E540)*(E541=E$1:E540)))))</f>
        <v> </v>
      </c>
      <c r="L541" s="27"/>
    </row>
    <row r="542" spans="1:12">
      <c r="A542" s="20" t="s">
        <v>439</v>
      </c>
      <c r="E542" s="22">
        <f>IF(D542="?OLD","!!!","")</f>
        <v/>
      </c>
      <c r="F542" s="23" t="str">
        <f>IF(OR(E542="",E542="!!!"),"",IF(NOT(ISNA(VLOOKUP(E542,E$1:E541,1,FALSE()))),"OLD",IF(AND(E542&lt;&gt;"",E542&lt;&gt;"!!!"),"NEW","")))</f>
        <v> </v>
      </c>
      <c r="G542" s="24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5" t="str">
        <f>IF(J542&lt;&gt;1,"",IF(I542="SBJ","CB","?"))</f>
        <v> </v>
      </c>
      <c r="I542" s="26" t="str">
        <f>IF(OR(E542="",E542="!!!",F542="NEW"),"",INDEX(B541:B$2,-1+SUMPRODUCT(MAX(ROW(E541:E$2)*(E542=E541:E$2)))))</f>
        <v> </v>
      </c>
      <c r="J542" s="26" t="str">
        <f>IF(OR(E542="",E542="!!!",F542="NEW"),"",COUNTBLANK(OFFSET(A$1,,,SUMPRODUCT(MAX(ROW(E$2:E542)*(E542=E$2:E542)))))-COUNTBLANK(OFFSET(A$1,,,SUMPRODUCT(MAX(ROW(E$1:E541)*(E2=E$1:E541))))))</f>
        <v> </v>
      </c>
      <c r="K542" s="26" t="str">
        <f>IF(OR(E542="",E542="!!!",F542="NEW"),"",INDEX(J$1:J541,SUMPRODUCT(MAX(ROW(E$1:E541)*(E542=E$1:E541)))))</f>
        <v> </v>
      </c>
      <c r="L542" s="27"/>
    </row>
    <row r="543" spans="1:12">
      <c r="A543" s="20" t="s">
        <v>412</v>
      </c>
      <c r="B543" s="21" t="s">
        <v>379</v>
      </c>
      <c r="C543" s="21" t="s">
        <v>236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 t="s">
        <v>440</v>
      </c>
      <c r="B544" s="21" t="s">
        <v>389</v>
      </c>
      <c r="C544" s="21" t="s">
        <v>211</v>
      </c>
      <c r="D544" s="21" t="s">
        <v>199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 t="s">
        <v>441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404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 t="s">
        <v>213</v>
      </c>
      <c r="E547" s="22">
        <f>IF(D547="?OLD","!!!","")</f>
        <v/>
      </c>
      <c r="F547" s="23" t="str">
        <f>IF(OR(E547="",E547="!!!"),"",IF(NOT(ISNA(VLOOKUP(E547,E$1:E546,1,FALSE()))),"OLD",IF(AND(E547&lt;&gt;"",E547&lt;&gt;"!!!"),"NEW","")))</f>
        <v> </v>
      </c>
      <c r="G547" s="24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5" t="str">
        <f>IF(J547&lt;&gt;1,"",IF(I547="SBJ","CB","?"))</f>
        <v> </v>
      </c>
      <c r="I547" s="26" t="str">
        <f>IF(OR(E547="",E547="!!!",F547="NEW"),"",INDEX(B546:B$2,-1+SUMPRODUCT(MAX(ROW(E546:E$2)*(E547=E546:E$2)))))</f>
        <v> </v>
      </c>
      <c r="J547" s="26" t="str">
        <f>IF(OR(E547="",E547="!!!",F547="NEW"),"",COUNTBLANK(OFFSET(A$1,,,SUMPRODUCT(MAX(ROW(E$2:E547)*(E547=E$2:E547)))))-COUNTBLANK(OFFSET(A$1,,,SUMPRODUCT(MAX(ROW(E$1:E546)*(E2=E$1:E546))))))</f>
        <v> </v>
      </c>
      <c r="K547" s="26" t="str">
        <f>IF(OR(E547="",E547="!!!",F547="NEW"),"",INDEX(J$1:J546,SUMPRODUCT(MAX(ROW(E$1:E546)*(E547=E$1:E546)))))</f>
        <v> </v>
      </c>
      <c r="L547" s="27"/>
    </row>
    <row r="548" spans="1:12">
      <c r="A548" s="20" t="s">
        <v>201</v>
      </c>
      <c r="B548" s="21" t="s">
        <v>442</v>
      </c>
      <c r="C548" s="21" t="s">
        <v>198</v>
      </c>
      <c r="D548" s="21" t="s">
        <v>199</v>
      </c>
      <c r="E548" s="22">
        <f>IF(D548="?OLD","!!!","")</f>
        <v/>
      </c>
      <c r="F548" s="23" t="str">
        <f>IF(OR(E548="",E548="!!!"),"",IF(NOT(ISNA(VLOOKUP(E548,E$1:E547,1,FALSE()))),"OLD",IF(AND(E548&lt;&gt;"",E548&lt;&gt;"!!!"),"NEW","")))</f>
        <v> </v>
      </c>
      <c r="G548" s="24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5" t="str">
        <f>IF(J548&lt;&gt;1,"",IF(I548="SBJ","CB","?"))</f>
        <v> </v>
      </c>
      <c r="I548" s="26" t="str">
        <f>IF(OR(E548="",E548="!!!",F548="NEW"),"",INDEX(B547:B$2,-1+SUMPRODUCT(MAX(ROW(E547:E$2)*(E548=E547:E$2)))))</f>
        <v> </v>
      </c>
      <c r="J548" s="26" t="str">
        <f>IF(OR(E548="",E548="!!!",F548="NEW"),"",COUNTBLANK(OFFSET(A$1,,,SUMPRODUCT(MAX(ROW(E$2:E548)*(E548=E$2:E548)))))-COUNTBLANK(OFFSET(A$1,,,SUMPRODUCT(MAX(ROW(E$1:E547)*(E2=E$1:E547))))))</f>
        <v> </v>
      </c>
      <c r="K548" s="26" t="str">
        <f>IF(OR(E548="",E548="!!!",F548="NEW"),"",INDEX(J$1:J547,SUMPRODUCT(MAX(ROW(E$1:E547)*(E548=E$1:E547)))))</f>
        <v> </v>
      </c>
      <c r="L548" s="27"/>
    </row>
    <row r="549" spans="1:12">
      <c r="A549" s="20" t="s">
        <v>200</v>
      </c>
      <c r="E549" s="22">
        <f>IF(D549="?OLD","!!!","")</f>
        <v/>
      </c>
      <c r="F549" s="23" t="str">
        <f>IF(OR(E549="",E549="!!!"),"",IF(NOT(ISNA(VLOOKUP(E549,E$1:E548,1,FALSE()))),"OLD",IF(AND(E549&lt;&gt;"",E549&lt;&gt;"!!!"),"NEW","")))</f>
        <v> </v>
      </c>
      <c r="G549" s="24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5" t="str">
        <f>IF(J549&lt;&gt;1,"",IF(I549="SBJ","CB","?"))</f>
        <v> </v>
      </c>
      <c r="I549" s="26" t="str">
        <f>IF(OR(E549="",E549="!!!",F549="NEW"),"",INDEX(B548:B$2,-1+SUMPRODUCT(MAX(ROW(E548:E$2)*(E549=E548:E$2)))))</f>
        <v> </v>
      </c>
      <c r="J549" s="26" t="str">
        <f>IF(OR(E549="",E549="!!!",F549="NEW"),"",COUNTBLANK(OFFSET(A$1,,,SUMPRODUCT(MAX(ROW(E$2:E549)*(E549=E$2:E549)))))-COUNTBLANK(OFFSET(A$1,,,SUMPRODUCT(MAX(ROW(E$1:E548)*(E2=E$1:E548))))))</f>
        <v> </v>
      </c>
      <c r="K549" s="26" t="str">
        <f>IF(OR(E549="",E549="!!!",F549="NEW"),"",INDEX(J$1:J548,SUMPRODUCT(MAX(ROW(E$1:E548)*(E549=E$1:E548)))))</f>
        <v> </v>
      </c>
      <c r="L549" s="27"/>
    </row>
    <row r="550" spans="1:12">
      <c r="A550" s="20" t="s">
        <v>443</v>
      </c>
      <c r="E550" s="22">
        <f>IF(D550="?OLD","!!!","")</f>
        <v/>
      </c>
      <c r="F550" s="23" t="str">
        <f>IF(OR(E550="",E550="!!!"),"",IF(NOT(ISNA(VLOOKUP(E550,E$1:E549,1,FALSE()))),"OLD",IF(AND(E550&lt;&gt;"",E550&lt;&gt;"!!!"),"NEW","")))</f>
        <v> </v>
      </c>
      <c r="G550" s="24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5" t="str">
        <f>IF(J550&lt;&gt;1,"",IF(I550="SBJ","CB","?"))</f>
        <v> </v>
      </c>
      <c r="I550" s="26" t="str">
        <f>IF(OR(E550="",E550="!!!",F550="NEW"),"",INDEX(B549:B$2,-1+SUMPRODUCT(MAX(ROW(E549:E$2)*(E550=E549:E$2)))))</f>
        <v> </v>
      </c>
      <c r="J550" s="26" t="str">
        <f>IF(OR(E550="",E550="!!!",F550="NEW"),"",COUNTBLANK(OFFSET(A$1,,,SUMPRODUCT(MAX(ROW(E$2:E550)*(E550=E$2:E550)))))-COUNTBLANK(OFFSET(A$1,,,SUMPRODUCT(MAX(ROW(E$1:E549)*(E2=E$1:E549))))))</f>
        <v> </v>
      </c>
      <c r="K550" s="26" t="str">
        <f>IF(OR(E550="",E550="!!!",F550="NEW"),"",INDEX(J$1:J549,SUMPRODUCT(MAX(ROW(E$1:E549)*(E550=E$1:E549)))))</f>
        <v> </v>
      </c>
      <c r="L550" s="27"/>
    </row>
    <row r="551" spans="1:12">
      <c r="A551" s="20" t="s">
        <v>392</v>
      </c>
      <c r="E551" s="22">
        <f>IF(D551="?OLD","!!!","")</f>
        <v/>
      </c>
      <c r="F551" s="23" t="str">
        <f>IF(OR(E551="",E551="!!!"),"",IF(NOT(ISNA(VLOOKUP(E551,E$1:E550,1,FALSE()))),"OLD",IF(AND(E551&lt;&gt;"",E551&lt;&gt;"!!!"),"NEW","")))</f>
        <v> </v>
      </c>
      <c r="G551" s="24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5" t="str">
        <f>IF(J551&lt;&gt;1,"",IF(I551="SBJ","CB","?"))</f>
        <v> </v>
      </c>
      <c r="I551" s="26" t="str">
        <f>IF(OR(E551="",E551="!!!",F551="NEW"),"",INDEX(B550:B$2,-1+SUMPRODUCT(MAX(ROW(E550:E$2)*(E551=E550:E$2)))))</f>
        <v> </v>
      </c>
      <c r="J551" s="26" t="str">
        <f>IF(OR(E551="",E551="!!!",F551="NEW"),"",COUNTBLANK(OFFSET(A$1,,,SUMPRODUCT(MAX(ROW(E$2:E551)*(E551=E$2:E551)))))-COUNTBLANK(OFFSET(A$1,,,SUMPRODUCT(MAX(ROW(E$1:E550)*(E2=E$1:E550))))))</f>
        <v> </v>
      </c>
      <c r="K551" s="26" t="str">
        <f>IF(OR(E551="",E551="!!!",F551="NEW"),"",INDEX(J$1:J550,SUMPRODUCT(MAX(ROW(E$1:E550)*(E551=E$1:E550)))))</f>
        <v> </v>
      </c>
      <c r="L551" s="27"/>
    </row>
    <row r="552" spans="1:12">
      <c r="A552" s="20" t="s">
        <v>444</v>
      </c>
      <c r="B552" s="21" t="s">
        <v>389</v>
      </c>
      <c r="C552" s="21" t="s">
        <v>259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 t="s">
        <v>445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 t="s">
        <v>446</v>
      </c>
      <c r="B554" s="21" t="s">
        <v>394</v>
      </c>
      <c r="C554" s="21" t="s">
        <v>363</v>
      </c>
      <c r="D554" s="21" t="s">
        <v>199</v>
      </c>
      <c r="E554" s="22">
        <f>IF(D554="?OLD","!!!","")</f>
        <v/>
      </c>
      <c r="F554" s="23" t="str">
        <f>IF(OR(E554="",E554="!!!"),"",IF(NOT(ISNA(VLOOKUP(E554,E$1:E553,1,FALSE()))),"OLD",IF(AND(E554&lt;&gt;"",E554&lt;&gt;"!!!"),"NEW","")))</f>
        <v> </v>
      </c>
      <c r="G554" s="24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5" t="str">
        <f>IF(J554&lt;&gt;1,"",IF(I554="SBJ","CB","?"))</f>
        <v> </v>
      </c>
      <c r="I554" s="26" t="str">
        <f>IF(OR(E554="",E554="!!!",F554="NEW"),"",INDEX(B553:B$2,-1+SUMPRODUCT(MAX(ROW(E553:E$2)*(E554=E553:E$2)))))</f>
        <v> </v>
      </c>
      <c r="J554" s="26" t="str">
        <f>IF(OR(E554="",E554="!!!",F554="NEW"),"",COUNTBLANK(OFFSET(A$1,,,SUMPRODUCT(MAX(ROW(E$2:E554)*(E554=E$2:E554)))))-COUNTBLANK(OFFSET(A$1,,,SUMPRODUCT(MAX(ROW(E$1:E553)*(E2=E$1:E553))))))</f>
        <v> </v>
      </c>
      <c r="K554" s="26" t="str">
        <f>IF(OR(E554="",E554="!!!",F554="NEW"),"",INDEX(J$1:J553,SUMPRODUCT(MAX(ROW(E$1:E553)*(E554=E$1:E553)))))</f>
        <v> </v>
      </c>
      <c r="L554" s="27"/>
    </row>
    <row r="555" spans="1:12">
      <c r="A555" s="20" t="s">
        <v>223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/>
    </row>
    <row r="557" spans="1:12">
      <c r="A557" s="20" t="s">
        <v>447</v>
      </c>
    </row>
    <row r="558" spans="1:12">
      <c r="A558" s="20" t="s">
        <v>448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449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 t="s">
        <v>324</v>
      </c>
      <c r="B560" s="21" t="s">
        <v>214</v>
      </c>
      <c r="C560" s="21" t="s">
        <v>211</v>
      </c>
      <c r="D560" s="21" t="s">
        <v>199</v>
      </c>
      <c r="E560" s="22">
        <f>IF(D560="?OLD","!!!","")</f>
        <v/>
      </c>
      <c r="F560" s="23" t="str">
        <f>IF(OR(E560="",E560="!!!"),"",IF(NOT(ISNA(VLOOKUP(E560,E$1:E559,1,FALSE()))),"OLD",IF(AND(E560&lt;&gt;"",E560&lt;&gt;"!!!"),"NEW","")))</f>
        <v> </v>
      </c>
      <c r="G560" s="24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5" t="str">
        <f>IF(J560&lt;&gt;1,"",IF(I560="SBJ","CB","?"))</f>
        <v> </v>
      </c>
      <c r="I560" s="26" t="str">
        <f>IF(OR(E560="",E560="!!!",F560="NEW"),"",INDEX(B559:B$2,-1+SUMPRODUCT(MAX(ROW(E559:E$2)*(E560=E559:E$2)))))</f>
        <v> </v>
      </c>
      <c r="J560" s="26" t="str">
        <f>IF(OR(E560="",E560="!!!",F560="NEW"),"",COUNTBLANK(OFFSET(A$1,,,SUMPRODUCT(MAX(ROW(E$2:E560)*(E560=E$2:E560)))))-COUNTBLANK(OFFSET(A$1,,,SUMPRODUCT(MAX(ROW(E$1:E559)*(E2=E$1:E559))))))</f>
        <v> </v>
      </c>
      <c r="K560" s="26" t="str">
        <f>IF(OR(E560="",E560="!!!",F560="NEW"),"",INDEX(J$1:J559,SUMPRODUCT(MAX(ROW(E$1:E559)*(E560=E$1:E559)))))</f>
        <v> </v>
      </c>
      <c r="L560" s="27"/>
    </row>
    <row r="561" spans="1:12">
      <c r="A561" s="20" t="s">
        <v>205</v>
      </c>
      <c r="E561" s="22">
        <f>IF(D561="?OLD","!!!","")</f>
        <v/>
      </c>
      <c r="F561" s="23" t="str">
        <f>IF(OR(E561="",E561="!!!"),"",IF(NOT(ISNA(VLOOKUP(E561,E$1:E560,1,FALSE()))),"OLD",IF(AND(E561&lt;&gt;"",E561&lt;&gt;"!!!"),"NEW","")))</f>
        <v> </v>
      </c>
      <c r="G561" s="24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5" t="str">
        <f>IF(J561&lt;&gt;1,"",IF(I561="SBJ","CB","?"))</f>
        <v> </v>
      </c>
      <c r="I561" s="26" t="str">
        <f>IF(OR(E561="",E561="!!!",F561="NEW"),"",INDEX(B560:B$2,-1+SUMPRODUCT(MAX(ROW(E560:E$2)*(E561=E560:E$2)))))</f>
        <v> </v>
      </c>
      <c r="J561" s="26" t="str">
        <f>IF(OR(E561="",E561="!!!",F561="NEW"),"",COUNTBLANK(OFFSET(A$1,,,SUMPRODUCT(MAX(ROW(E$2:E561)*(E561=E$2:E561)))))-COUNTBLANK(OFFSET(A$1,,,SUMPRODUCT(MAX(ROW(E$1:E560)*(E2=E$1:E560))))))</f>
        <v> </v>
      </c>
      <c r="K561" s="26" t="str">
        <f>IF(OR(E561="",E561="!!!",F561="NEW"),"",INDEX(J$1:J560,SUMPRODUCT(MAX(ROW(E$1:E560)*(E561=E$1:E560)))))</f>
        <v> </v>
      </c>
      <c r="L561" s="27"/>
    </row>
    <row r="562" spans="1:12">
      <c r="A562" s="20" t="s">
        <v>267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 t="s">
        <v>450</v>
      </c>
      <c r="B563" s="21" t="s">
        <v>210</v>
      </c>
      <c r="C563" s="21" t="s">
        <v>204</v>
      </c>
      <c r="D563" s="21" t="s">
        <v>199</v>
      </c>
      <c r="E563" s="22">
        <f>IF(D563="?OLD","!!!","")</f>
        <v/>
      </c>
      <c r="F563" s="23" t="str">
        <f>IF(OR(E563="",E563="!!!"),"",IF(NOT(ISNA(VLOOKUP(E563,E$1:E562,1,FALSE()))),"OLD",IF(AND(E563&lt;&gt;"",E563&lt;&gt;"!!!"),"NEW","")))</f>
        <v> </v>
      </c>
      <c r="G563" s="24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5" t="str">
        <f>IF(J563&lt;&gt;1,"",IF(I563="SBJ","CB","?"))</f>
        <v> </v>
      </c>
      <c r="I563" s="26" t="str">
        <f>IF(OR(E563="",E563="!!!",F563="NEW"),"",INDEX(B562:B$2,-1+SUMPRODUCT(MAX(ROW(E562:E$2)*(E563=E562:E$2)))))</f>
        <v> </v>
      </c>
      <c r="J563" s="26" t="str">
        <f>IF(OR(E563="",E563="!!!",F563="NEW"),"",COUNTBLANK(OFFSET(A$1,,,SUMPRODUCT(MAX(ROW(E$2:E563)*(E563=E$2:E563)))))-COUNTBLANK(OFFSET(A$1,,,SUMPRODUCT(MAX(ROW(E$1:E562)*(E2=E$1:E562))))))</f>
        <v> </v>
      </c>
      <c r="K563" s="26" t="str">
        <f>IF(OR(E563="",E563="!!!",F563="NEW"),"",INDEX(J$1:J562,SUMPRODUCT(MAX(ROW(E$1:E562)*(E563=E$1:E562)))))</f>
        <v> </v>
      </c>
      <c r="L563" s="27"/>
    </row>
    <row r="564" spans="1:12">
      <c r="A564" s="20" t="s">
        <v>451</v>
      </c>
      <c r="E564" s="22">
        <f>IF(D564="?OLD","!!!","")</f>
        <v/>
      </c>
      <c r="F564" s="23" t="str">
        <f>IF(OR(E564="",E564="!!!"),"",IF(NOT(ISNA(VLOOKUP(E564,E$1:E563,1,FALSE()))),"OLD",IF(AND(E564&lt;&gt;"",E564&lt;&gt;"!!!"),"NEW","")))</f>
        <v> </v>
      </c>
      <c r="G564" s="24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5" t="str">
        <f>IF(J564&lt;&gt;1,"",IF(I564="SBJ","CB","?"))</f>
        <v> </v>
      </c>
      <c r="I564" s="26" t="str">
        <f>IF(OR(E564="",E564="!!!",F564="NEW"),"",INDEX(B563:B$2,-1+SUMPRODUCT(MAX(ROW(E563:E$2)*(E564=E563:E$2)))))</f>
        <v> </v>
      </c>
      <c r="J564" s="26" t="str">
        <f>IF(OR(E564="",E564="!!!",F564="NEW"),"",COUNTBLANK(OFFSET(A$1,,,SUMPRODUCT(MAX(ROW(E$2:E564)*(E564=E$2:E564)))))-COUNTBLANK(OFFSET(A$1,,,SUMPRODUCT(MAX(ROW(E$1:E563)*(E2=E$1:E563))))))</f>
        <v> </v>
      </c>
      <c r="K564" s="26" t="str">
        <f>IF(OR(E564="",E564="!!!",F564="NEW"),"",INDEX(J$1:J563,SUMPRODUCT(MAX(ROW(E$1:E563)*(E564=E$1:E563)))))</f>
        <v> </v>
      </c>
      <c r="L564" s="27"/>
    </row>
    <row r="565" spans="1:12">
      <c r="A565" s="20" t="s">
        <v>213</v>
      </c>
      <c r="E565" s="22">
        <f>IF(D565="?OLD","!!!","")</f>
        <v/>
      </c>
      <c r="F565" s="23" t="str">
        <f>IF(OR(E565="",E565="!!!"),"",IF(NOT(ISNA(VLOOKUP(E565,E$1:E564,1,FALSE()))),"OLD",IF(AND(E565&lt;&gt;"",E565&lt;&gt;"!!!"),"NEW","")))</f>
        <v> </v>
      </c>
      <c r="G565" s="24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5" t="str">
        <f>IF(J565&lt;&gt;1,"",IF(I565="SBJ","CB","?"))</f>
        <v> </v>
      </c>
      <c r="I565" s="26" t="str">
        <f>IF(OR(E565="",E565="!!!",F565="NEW"),"",INDEX(B564:B$2,-1+SUMPRODUCT(MAX(ROW(E564:E$2)*(E565=E564:E$2)))))</f>
        <v> </v>
      </c>
      <c r="J565" s="26" t="str">
        <f>IF(OR(E565="",E565="!!!",F565="NEW"),"",COUNTBLANK(OFFSET(A$1,,,SUMPRODUCT(MAX(ROW(E$2:E565)*(E565=E$2:E565)))))-COUNTBLANK(OFFSET(A$1,,,SUMPRODUCT(MAX(ROW(E$1:E564)*(E2=E$1:E564))))))</f>
        <v> </v>
      </c>
      <c r="K565" s="26" t="str">
        <f>IF(OR(E565="",E565="!!!",F565="NEW"),"",INDEX(J$1:J564,SUMPRODUCT(MAX(ROW(E$1:E564)*(E565=E$1:E564)))))</f>
        <v> </v>
      </c>
      <c r="L565" s="27"/>
    </row>
    <row r="566" spans="1:12">
      <c r="A566" s="20" t="s">
        <v>452</v>
      </c>
      <c r="E566" s="22">
        <f>IF(D566="?OLD","!!!","")</f>
        <v/>
      </c>
      <c r="F566" s="23" t="str">
        <f>IF(OR(E566="",E566="!!!"),"",IF(NOT(ISNA(VLOOKUP(E566,E$1:E565,1,FALSE()))),"OLD",IF(AND(E566&lt;&gt;"",E566&lt;&gt;"!!!"),"NEW","")))</f>
        <v> </v>
      </c>
      <c r="G566" s="24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5" t="str">
        <f>IF(J566&lt;&gt;1,"",IF(I566="SBJ","CB","?"))</f>
        <v> </v>
      </c>
      <c r="I566" s="26" t="str">
        <f>IF(OR(E566="",E566="!!!",F566="NEW"),"",INDEX(B565:B$2,-1+SUMPRODUCT(MAX(ROW(E565:E$2)*(E566=E565:E$2)))))</f>
        <v> </v>
      </c>
      <c r="J566" s="26" t="str">
        <f>IF(OR(E566="",E566="!!!",F566="NEW"),"",COUNTBLANK(OFFSET(A$1,,,SUMPRODUCT(MAX(ROW(E$2:E566)*(E566=E$2:E566)))))-COUNTBLANK(OFFSET(A$1,,,SUMPRODUCT(MAX(ROW(E$1:E565)*(E2=E$1:E565))))))</f>
        <v> </v>
      </c>
      <c r="K566" s="26" t="str">
        <f>IF(OR(E566="",E566="!!!",F566="NEW"),"",INDEX(J$1:J565,SUMPRODUCT(MAX(ROW(E$1:E565)*(E566=E$1:E565)))))</f>
        <v> </v>
      </c>
      <c r="L566" s="27"/>
    </row>
    <row r="567" spans="1:12">
      <c r="A567" s="20" t="s">
        <v>359</v>
      </c>
      <c r="B567" s="21" t="s">
        <v>197</v>
      </c>
      <c r="C567" s="21" t="s">
        <v>360</v>
      </c>
      <c r="D567" s="21" t="s">
        <v>199</v>
      </c>
      <c r="E567" s="22">
        <f>IF(D567="?OLD","!!!","")</f>
        <v/>
      </c>
      <c r="F567" s="23" t="str">
        <f>IF(OR(E567="",E567="!!!"),"",IF(NOT(ISNA(VLOOKUP(E567,E$1:E566,1,FALSE()))),"OLD",IF(AND(E567&lt;&gt;"",E567&lt;&gt;"!!!"),"NEW","")))</f>
        <v> </v>
      </c>
      <c r="G567" s="24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5" t="str">
        <f>IF(J567&lt;&gt;1,"",IF(I567="SBJ","CB","?"))</f>
        <v> </v>
      </c>
      <c r="I567" s="26" t="str">
        <f>IF(OR(E567="",E567="!!!",F567="NEW"),"",INDEX(B566:B$2,-1+SUMPRODUCT(MAX(ROW(E566:E$2)*(E567=E566:E$2)))))</f>
        <v> </v>
      </c>
      <c r="J567" s="26" t="str">
        <f>IF(OR(E567="",E567="!!!",F567="NEW"),"",COUNTBLANK(OFFSET(A$1,,,SUMPRODUCT(MAX(ROW(E$2:E567)*(E567=E$2:E567)))))-COUNTBLANK(OFFSET(A$1,,,SUMPRODUCT(MAX(ROW(E$1:E566)*(E2=E$1:E566))))))</f>
        <v> </v>
      </c>
      <c r="K567" s="26" t="str">
        <f>IF(OR(E567="",E567="!!!",F567="NEW"),"",INDEX(J$1:J566,SUMPRODUCT(MAX(ROW(E$1:E566)*(E567=E$1:E566)))))</f>
        <v> </v>
      </c>
      <c r="L567" s="27"/>
    </row>
    <row r="568" spans="1:12">
      <c r="A568" s="20" t="s">
        <v>213</v>
      </c>
      <c r="E568" s="22">
        <f>IF(D568="?OLD","!!!","")</f>
        <v/>
      </c>
      <c r="F568" s="23" t="str">
        <f>IF(OR(E568="",E568="!!!"),"",IF(NOT(ISNA(VLOOKUP(E568,E$1:E567,1,FALSE()))),"OLD",IF(AND(E568&lt;&gt;"",E568&lt;&gt;"!!!"),"NEW","")))</f>
        <v> </v>
      </c>
      <c r="G568" s="24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5" t="str">
        <f>IF(J568&lt;&gt;1,"",IF(I568="SBJ","CB","?"))</f>
        <v> </v>
      </c>
      <c r="I568" s="26" t="str">
        <f>IF(OR(E568="",E568="!!!",F568="NEW"),"",INDEX(B567:B$2,-1+SUMPRODUCT(MAX(ROW(E567:E$2)*(E568=E567:E$2)))))</f>
        <v> </v>
      </c>
      <c r="J568" s="26" t="str">
        <f>IF(OR(E568="",E568="!!!",F568="NEW"),"",COUNTBLANK(OFFSET(A$1,,,SUMPRODUCT(MAX(ROW(E$2:E568)*(E568=E$2:E568)))))-COUNTBLANK(OFFSET(A$1,,,SUMPRODUCT(MAX(ROW(E$1:E567)*(E2=E$1:E567))))))</f>
        <v> </v>
      </c>
      <c r="K568" s="26" t="str">
        <f>IF(OR(E568="",E568="!!!",F568="NEW"),"",INDEX(J$1:J567,SUMPRODUCT(MAX(ROW(E$1:E567)*(E568=E$1:E567)))))</f>
        <v> </v>
      </c>
      <c r="L568" s="27"/>
    </row>
    <row r="569" spans="1:12">
      <c r="A569" s="20" t="s">
        <v>453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386</v>
      </c>
      <c r="B570" s="21" t="s">
        <v>362</v>
      </c>
      <c r="C570" s="21" t="s">
        <v>360</v>
      </c>
      <c r="D570" s="21" t="s">
        <v>199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 t="s">
        <v>219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 t="s">
        <v>388</v>
      </c>
      <c r="E572" s="22">
        <f>IF(D572="?OLD","!!!","")</f>
        <v/>
      </c>
      <c r="F572" s="23" t="str">
        <f>IF(OR(E572="",E572="!!!"),"",IF(NOT(ISNA(VLOOKUP(E572,E$1:E571,1,FALSE()))),"OLD",IF(AND(E572&lt;&gt;"",E572&lt;&gt;"!!!"),"NEW","")))</f>
        <v> </v>
      </c>
      <c r="G572" s="24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5" t="str">
        <f>IF(J572&lt;&gt;1,"",IF(I572="SBJ","CB","?"))</f>
        <v> </v>
      </c>
      <c r="I572" s="26" t="str">
        <f>IF(OR(E572="",E572="!!!",F572="NEW"),"",INDEX(B571:B$2,-1+SUMPRODUCT(MAX(ROW(E571:E$2)*(E572=E571:E$2)))))</f>
        <v> </v>
      </c>
      <c r="J572" s="26" t="str">
        <f>IF(OR(E572="",E572="!!!",F572="NEW"),"",COUNTBLANK(OFFSET(A$1,,,SUMPRODUCT(MAX(ROW(E$2:E572)*(E572=E$2:E572)))))-COUNTBLANK(OFFSET(A$1,,,SUMPRODUCT(MAX(ROW(E$1:E571)*(E2=E$1:E571))))))</f>
        <v> </v>
      </c>
      <c r="K572" s="26" t="str">
        <f>IF(OR(E572="",E572="!!!",F572="NEW"),"",INDEX(J$1:J571,SUMPRODUCT(MAX(ROW(E$1:E571)*(E572=E$1:E571)))))</f>
        <v> </v>
      </c>
      <c r="L572" s="27"/>
    </row>
    <row r="573" spans="1:12">
      <c r="A573" s="20" t="s">
        <v>387</v>
      </c>
      <c r="B573" s="21" t="s">
        <v>214</v>
      </c>
      <c r="C573" s="21" t="s">
        <v>211</v>
      </c>
      <c r="D573" s="21" t="s">
        <v>199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454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455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 t="s">
        <v>213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 t="s">
        <v>233</v>
      </c>
      <c r="E577" s="22">
        <f>IF(D577="?OLD","!!!","")</f>
        <v/>
      </c>
      <c r="F577" s="23" t="str">
        <f>IF(OR(E577="",E577="!!!"),"",IF(NOT(ISNA(VLOOKUP(E577,E$1:E576,1,FALSE()))),"OLD",IF(AND(E577&lt;&gt;"",E577&lt;&gt;"!!!"),"NEW","")))</f>
        <v> </v>
      </c>
      <c r="G577" s="24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5" t="str">
        <f>IF(J577&lt;&gt;1,"",IF(I577="SBJ","CB","?"))</f>
        <v> </v>
      </c>
      <c r="I577" s="26" t="str">
        <f>IF(OR(E577="",E577="!!!",F577="NEW"),"",INDEX(B576:B$2,-1+SUMPRODUCT(MAX(ROW(E576:E$2)*(E577=E576:E$2)))))</f>
        <v> </v>
      </c>
      <c r="J577" s="26" t="str">
        <f>IF(OR(E577="",E577="!!!",F577="NEW"),"",COUNTBLANK(OFFSET(A$1,,,SUMPRODUCT(MAX(ROW(E$2:E577)*(E577=E$2:E577)))))-COUNTBLANK(OFFSET(A$1,,,SUMPRODUCT(MAX(ROW(E$1:E576)*(E2=E$1:E576))))))</f>
        <v> </v>
      </c>
      <c r="K577" s="26" t="str">
        <f>IF(OR(E577="",E577="!!!",F577="NEW"),"",INDEX(J$1:J576,SUMPRODUCT(MAX(ROW(E$1:E576)*(E577=E$1:E576)))))</f>
        <v> </v>
      </c>
      <c r="L577" s="27"/>
    </row>
    <row r="578" spans="1:12">
      <c r="A578" s="20" t="s">
        <v>456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 t="s">
        <v>416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399</v>
      </c>
      <c r="B580" s="21" t="s">
        <v>214</v>
      </c>
      <c r="C580" s="21" t="s">
        <v>236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 t="s">
        <v>381</v>
      </c>
      <c r="B581" s="21" t="s">
        <v>222</v>
      </c>
      <c r="C581" s="21" t="s">
        <v>335</v>
      </c>
      <c r="E581" s="22">
        <f>IF(D581="?OLD","!!!","")</f>
        <v/>
      </c>
      <c r="F581" s="23" t="str">
        <f>IF(OR(E581="",E581="!!!"),"",IF(NOT(ISNA(VLOOKUP(E581,E$1:E580,1,FALSE()))),"OLD",IF(AND(E581&lt;&gt;"",E581&lt;&gt;"!!!"),"NEW","")))</f>
        <v> </v>
      </c>
      <c r="G581" s="24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5" t="str">
        <f>IF(J581&lt;&gt;1,"",IF(I581="SBJ","CB","?"))</f>
        <v> </v>
      </c>
      <c r="I581" s="26" t="str">
        <f>IF(OR(E581="",E581="!!!",F581="NEW"),"",INDEX(B580:B$2,-1+SUMPRODUCT(MAX(ROW(E580:E$2)*(E581=E580:E$2)))))</f>
        <v> </v>
      </c>
      <c r="J581" s="26" t="str">
        <f>IF(OR(E581="",E581="!!!",F581="NEW"),"",COUNTBLANK(OFFSET(A$1,,,SUMPRODUCT(MAX(ROW(E$2:E581)*(E581=E$2:E581)))))-COUNTBLANK(OFFSET(A$1,,,SUMPRODUCT(MAX(ROW(E$1:E580)*(E2=E$1:E580))))))</f>
        <v> </v>
      </c>
      <c r="K581" s="26" t="str">
        <f>IF(OR(E581="",E581="!!!",F581="NEW"),"",INDEX(J$1:J580,SUMPRODUCT(MAX(ROW(E$1:E580)*(E581=E$1:E580)))))</f>
        <v> </v>
      </c>
      <c r="L581" s="27"/>
    </row>
    <row r="582" spans="1:12">
      <c r="A582" s="20" t="s">
        <v>457</v>
      </c>
      <c r="E582" s="22">
        <f>IF(D582="?OLD","!!!","")</f>
        <v/>
      </c>
      <c r="F582" s="23" t="str">
        <f>IF(OR(E582="",E582="!!!"),"",IF(NOT(ISNA(VLOOKUP(E582,E$1:E581,1,FALSE()))),"OLD",IF(AND(E582&lt;&gt;"",E582&lt;&gt;"!!!"),"NEW","")))</f>
        <v> </v>
      </c>
      <c r="G582" s="24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5" t="str">
        <f>IF(J582&lt;&gt;1,"",IF(I582="SBJ","CB","?"))</f>
        <v> </v>
      </c>
      <c r="I582" s="26" t="str">
        <f>IF(OR(E582="",E582="!!!",F582="NEW"),"",INDEX(B581:B$2,-1+SUMPRODUCT(MAX(ROW(E581:E$2)*(E582=E581:E$2)))))</f>
        <v> </v>
      </c>
      <c r="J582" s="26" t="str">
        <f>IF(OR(E582="",E582="!!!",F582="NEW"),"",COUNTBLANK(OFFSET(A$1,,,SUMPRODUCT(MAX(ROW(E$2:E582)*(E582=E$2:E582)))))-COUNTBLANK(OFFSET(A$1,,,SUMPRODUCT(MAX(ROW(E$1:E581)*(E2=E$1:E581))))))</f>
        <v> </v>
      </c>
      <c r="K582" s="26" t="str">
        <f>IF(OR(E582="",E582="!!!",F582="NEW"),"",INDEX(J$1:J581,SUMPRODUCT(MAX(ROW(E$1:E581)*(E582=E$1:E581)))))</f>
        <v> </v>
      </c>
      <c r="L582" s="27"/>
    </row>
    <row r="583" spans="1:12">
      <c r="A583" s="20" t="s">
        <v>223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/>
    </row>
    <row r="585" spans="1:12">
      <c r="A585" s="20" t="s">
        <v>458</v>
      </c>
    </row>
    <row r="586" spans="1:12">
      <c r="A586" s="20" t="s">
        <v>408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 t="s">
        <v>359</v>
      </c>
      <c r="B587" s="21" t="s">
        <v>197</v>
      </c>
      <c r="C587" s="21" t="s">
        <v>360</v>
      </c>
      <c r="D587" s="21" t="s">
        <v>199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 t="s">
        <v>459</v>
      </c>
      <c r="E588" s="22">
        <f>IF(D588="?OLD","!!!","")</f>
        <v/>
      </c>
      <c r="F588" s="23" t="str">
        <f>IF(OR(E588="",E588="!!!"),"",IF(NOT(ISNA(VLOOKUP(E588,E$1:E587,1,FALSE()))),"OLD",IF(AND(E588&lt;&gt;"",E588&lt;&gt;"!!!"),"NEW","")))</f>
        <v> </v>
      </c>
      <c r="G588" s="24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5" t="str">
        <f>IF(J588&lt;&gt;1,"",IF(I588="SBJ","CB","?"))</f>
        <v> </v>
      </c>
      <c r="I588" s="26" t="str">
        <f>IF(OR(E588="",E588="!!!",F588="NEW"),"",INDEX(B587:B$2,-1+SUMPRODUCT(MAX(ROW(E587:E$2)*(E588=E587:E$2)))))</f>
        <v> </v>
      </c>
      <c r="J588" s="26" t="str">
        <f>IF(OR(E588="",E588="!!!",F588="NEW"),"",COUNTBLANK(OFFSET(A$1,,,SUMPRODUCT(MAX(ROW(E$2:E588)*(E588=E$2:E588)))))-COUNTBLANK(OFFSET(A$1,,,SUMPRODUCT(MAX(ROW(E$1:E587)*(E2=E$1:E587))))))</f>
        <v> </v>
      </c>
      <c r="K588" s="26" t="str">
        <f>IF(OR(E588="",E588="!!!",F588="NEW"),"",INDEX(J$1:J587,SUMPRODUCT(MAX(ROW(E$1:E587)*(E588=E$1:E587)))))</f>
        <v> </v>
      </c>
      <c r="L588" s="27"/>
    </row>
    <row r="589" spans="1:12">
      <c r="A589" s="20" t="s">
        <v>361</v>
      </c>
      <c r="B589" s="21" t="s">
        <v>228</v>
      </c>
      <c r="C589" s="21" t="s">
        <v>363</v>
      </c>
      <c r="D589" s="21" t="s">
        <v>199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 t="s">
        <v>374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 t="s">
        <v>213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 t="s">
        <v>338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 t="s">
        <v>361</v>
      </c>
      <c r="B593" s="21" t="s">
        <v>214</v>
      </c>
      <c r="C593" s="21" t="s">
        <v>363</v>
      </c>
      <c r="D593" s="21" t="s">
        <v>199</v>
      </c>
      <c r="E593" s="22">
        <f>IF(D593="?OLD","!!!","")</f>
        <v/>
      </c>
      <c r="F593" s="23" t="str">
        <f>IF(OR(E593="",E593="!!!"),"",IF(NOT(ISNA(VLOOKUP(E593,E$1:E592,1,FALSE()))),"OLD",IF(AND(E593&lt;&gt;"",E593&lt;&gt;"!!!"),"NEW","")))</f>
        <v> </v>
      </c>
      <c r="G593" s="24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5" t="str">
        <f>IF(J593&lt;&gt;1,"",IF(I593="SBJ","CB","?"))</f>
        <v> </v>
      </c>
      <c r="I593" s="26" t="str">
        <f>IF(OR(E593="",E593="!!!",F593="NEW"),"",INDEX(B592:B$2,-1+SUMPRODUCT(MAX(ROW(E592:E$2)*(E593=E592:E$2)))))</f>
        <v> </v>
      </c>
      <c r="J593" s="26" t="str">
        <f>IF(OR(E593="",E593="!!!",F593="NEW"),"",COUNTBLANK(OFFSET(A$1,,,SUMPRODUCT(MAX(ROW(E$2:E593)*(E593=E$2:E593)))))-COUNTBLANK(OFFSET(A$1,,,SUMPRODUCT(MAX(ROW(E$1:E592)*(E2=E$1:E592))))))</f>
        <v> </v>
      </c>
      <c r="K593" s="26" t="str">
        <f>IF(OR(E593="",E593="!!!",F593="NEW"),"",INDEX(J$1:J592,SUMPRODUCT(MAX(ROW(E$1:E592)*(E593=E$1:E592)))))</f>
        <v> </v>
      </c>
      <c r="L593" s="27"/>
    </row>
    <row r="594" spans="1:12">
      <c r="A594" s="20" t="s">
        <v>419</v>
      </c>
      <c r="E594" s="22">
        <f>IF(D594="?OLD","!!!","")</f>
        <v/>
      </c>
      <c r="F594" s="23" t="str">
        <f>IF(OR(E594="",E594="!!!"),"",IF(NOT(ISNA(VLOOKUP(E594,E$1:E593,1,FALSE()))),"OLD",IF(AND(E594&lt;&gt;"",E594&lt;&gt;"!!!"),"NEW","")))</f>
        <v> </v>
      </c>
      <c r="G594" s="24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5" t="str">
        <f>IF(J594&lt;&gt;1,"",IF(I594="SBJ","CB","?"))</f>
        <v> </v>
      </c>
      <c r="I594" s="26" t="str">
        <f>IF(OR(E594="",E594="!!!",F594="NEW"),"",INDEX(B593:B$2,-1+SUMPRODUCT(MAX(ROW(E593:E$2)*(E594=E593:E$2)))))</f>
        <v> </v>
      </c>
      <c r="J594" s="26" t="str">
        <f>IF(OR(E594="",E594="!!!",F594="NEW"),"",COUNTBLANK(OFFSET(A$1,,,SUMPRODUCT(MAX(ROW(E$2:E594)*(E594=E$2:E594)))))-COUNTBLANK(OFFSET(A$1,,,SUMPRODUCT(MAX(ROW(E$1:E593)*(E2=E$1:E593))))))</f>
        <v> </v>
      </c>
      <c r="K594" s="26" t="str">
        <f>IF(OR(E594="",E594="!!!",F594="NEW"),"",INDEX(J$1:J593,SUMPRODUCT(MAX(ROW(E$1:E593)*(E594=E$1:E593)))))</f>
        <v> </v>
      </c>
      <c r="L594" s="27"/>
    </row>
    <row r="595" spans="1:12">
      <c r="A595" s="20" t="s">
        <v>460</v>
      </c>
      <c r="E595" s="22">
        <f>IF(D595="?OLD","!!!","")</f>
        <v/>
      </c>
      <c r="F595" s="23" t="str">
        <f>IF(OR(E595="",E595="!!!"),"",IF(NOT(ISNA(VLOOKUP(E595,E$1:E594,1,FALSE()))),"OLD",IF(AND(E595&lt;&gt;"",E595&lt;&gt;"!!!"),"NEW","")))</f>
        <v> </v>
      </c>
      <c r="G595" s="24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5" t="str">
        <f>IF(J595&lt;&gt;1,"",IF(I595="SBJ","CB","?"))</f>
        <v> </v>
      </c>
      <c r="I595" s="26" t="str">
        <f>IF(OR(E595="",E595="!!!",F595="NEW"),"",INDEX(B594:B$2,-1+SUMPRODUCT(MAX(ROW(E594:E$2)*(E595=E594:E$2)))))</f>
        <v> </v>
      </c>
      <c r="J595" s="26" t="str">
        <f>IF(OR(E595="",E595="!!!",F595="NEW"),"",COUNTBLANK(OFFSET(A$1,,,SUMPRODUCT(MAX(ROW(E$2:E595)*(E595=E$2:E595)))))-COUNTBLANK(OFFSET(A$1,,,SUMPRODUCT(MAX(ROW(E$1:E594)*(E2=E$1:E594))))))</f>
        <v> </v>
      </c>
      <c r="K595" s="26" t="str">
        <f>IF(OR(E595="",E595="!!!",F595="NEW"),"",INDEX(J$1:J594,SUMPRODUCT(MAX(ROW(E$1:E594)*(E595=E$1:E594)))))</f>
        <v> </v>
      </c>
      <c r="L595" s="27"/>
    </row>
    <row r="596" spans="1:12">
      <c r="A596" s="20" t="s">
        <v>217</v>
      </c>
      <c r="B596" s="21" t="s">
        <v>362</v>
      </c>
      <c r="C596" s="21" t="s">
        <v>236</v>
      </c>
      <c r="E596" s="22">
        <f>IF(D596="?OLD","!!!","")</f>
        <v/>
      </c>
      <c r="F596" s="23" t="str">
        <f>IF(OR(E596="",E596="!!!"),"",IF(NOT(ISNA(VLOOKUP(E596,E$1:E595,1,FALSE()))),"OLD",IF(AND(E596&lt;&gt;"",E596&lt;&gt;"!!!"),"NEW","")))</f>
        <v> </v>
      </c>
      <c r="G596" s="24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5" t="str">
        <f>IF(J596&lt;&gt;1,"",IF(I596="SBJ","CB","?"))</f>
        <v> </v>
      </c>
      <c r="I596" s="26" t="str">
        <f>IF(OR(E596="",E596="!!!",F596="NEW"),"",INDEX(B595:B$2,-1+SUMPRODUCT(MAX(ROW(E595:E$2)*(E596=E595:E$2)))))</f>
        <v> </v>
      </c>
      <c r="J596" s="26" t="str">
        <f>IF(OR(E596="",E596="!!!",F596="NEW"),"",COUNTBLANK(OFFSET(A$1,,,SUMPRODUCT(MAX(ROW(E$2:E596)*(E596=E$2:E596)))))-COUNTBLANK(OFFSET(A$1,,,SUMPRODUCT(MAX(ROW(E$1:E595)*(E2=E$1:E595))))))</f>
        <v> </v>
      </c>
      <c r="K596" s="26" t="str">
        <f>IF(OR(E596="",E596="!!!",F596="NEW"),"",INDEX(J$1:J595,SUMPRODUCT(MAX(ROW(E$1:E595)*(E596=E$1:E595)))))</f>
        <v> </v>
      </c>
      <c r="L596" s="27"/>
    </row>
    <row r="597" spans="1:12">
      <c r="A597" s="20" t="s">
        <v>461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 t="s">
        <v>404</v>
      </c>
      <c r="E598" s="22">
        <f>IF(D598="?OLD","!!!","")</f>
        <v/>
      </c>
      <c r="F598" s="23" t="str">
        <f>IF(OR(E598="",E598="!!!"),"",IF(NOT(ISNA(VLOOKUP(E598,E$1:E597,1,FALSE()))),"OLD",IF(AND(E598&lt;&gt;"",E598&lt;&gt;"!!!"),"NEW","")))</f>
        <v> </v>
      </c>
      <c r="G598" s="24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5" t="str">
        <f>IF(J598&lt;&gt;1,"",IF(I598="SBJ","CB","?"))</f>
        <v> </v>
      </c>
      <c r="I598" s="26" t="str">
        <f>IF(OR(E598="",E598="!!!",F598="NEW"),"",INDEX(B597:B$2,-1+SUMPRODUCT(MAX(ROW(E597:E$2)*(E598=E597:E$2)))))</f>
        <v> </v>
      </c>
      <c r="J598" s="26" t="str">
        <f>IF(OR(E598="",E598="!!!",F598="NEW"),"",COUNTBLANK(OFFSET(A$1,,,SUMPRODUCT(MAX(ROW(E$2:E598)*(E598=E$2:E598)))))-COUNTBLANK(OFFSET(A$1,,,SUMPRODUCT(MAX(ROW(E$1:E597)*(E2=E$1:E597))))))</f>
        <v> </v>
      </c>
      <c r="K598" s="26" t="str">
        <f>IF(OR(E598="",E598="!!!",F598="NEW"),"",INDEX(J$1:J597,SUMPRODUCT(MAX(ROW(E$1:E597)*(E598=E$1:E597)))))</f>
        <v> </v>
      </c>
      <c r="L598" s="27"/>
    </row>
    <row r="599" spans="1:12">
      <c r="A599" s="20"/>
    </row>
    <row r="600" spans="1:12">
      <c r="A600" s="20" t="s">
        <v>462</v>
      </c>
    </row>
    <row r="601" spans="1:12">
      <c r="A601" s="20" t="s">
        <v>233</v>
      </c>
      <c r="E601" s="22">
        <f>IF(D601="?OLD","!!!","")</f>
        <v/>
      </c>
      <c r="F601" s="23" t="str">
        <f>IF(OR(E601="",E601="!!!"),"",IF(NOT(ISNA(VLOOKUP(E601,E$1:E600,1,FALSE()))),"OLD",IF(AND(E601&lt;&gt;"",E601&lt;&gt;"!!!"),"NEW","")))</f>
        <v> </v>
      </c>
      <c r="G601" s="24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5" t="str">
        <f>IF(J601&lt;&gt;1,"",IF(I601="SBJ","CB","?"))</f>
        <v> </v>
      </c>
      <c r="I601" s="26" t="str">
        <f>IF(OR(E601="",E601="!!!",F601="NEW"),"",INDEX(B600:B$2,-1+SUMPRODUCT(MAX(ROW(E600:E$2)*(E601=E600:E$2)))))</f>
        <v> </v>
      </c>
      <c r="J601" s="26" t="str">
        <f>IF(OR(E601="",E601="!!!",F601="NEW"),"",COUNTBLANK(OFFSET(A$1,,,SUMPRODUCT(MAX(ROW(E$2:E601)*(E601=E$2:E601)))))-COUNTBLANK(OFFSET(A$1,,,SUMPRODUCT(MAX(ROW(E$1:E600)*(E2=E$1:E600))))))</f>
        <v> </v>
      </c>
      <c r="K601" s="26" t="str">
        <f>IF(OR(E601="",E601="!!!",F601="NEW"),"",INDEX(J$1:J600,SUMPRODUCT(MAX(ROW(E$1:E600)*(E601=E$1:E600)))))</f>
        <v> </v>
      </c>
      <c r="L601" s="27"/>
    </row>
    <row r="602" spans="1:12">
      <c r="A602" s="20" t="s">
        <v>463</v>
      </c>
      <c r="E602" s="22">
        <f>IF(D602="?OLD","!!!","")</f>
        <v/>
      </c>
      <c r="F602" s="23" t="str">
        <f>IF(OR(E602="",E602="!!!"),"",IF(NOT(ISNA(VLOOKUP(E602,E$1:E601,1,FALSE()))),"OLD",IF(AND(E602&lt;&gt;"",E602&lt;&gt;"!!!"),"NEW","")))</f>
        <v> </v>
      </c>
      <c r="G602" s="24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5" t="str">
        <f>IF(J602&lt;&gt;1,"",IF(I602="SBJ","CB","?"))</f>
        <v> </v>
      </c>
      <c r="I602" s="26" t="str">
        <f>IF(OR(E602="",E602="!!!",F602="NEW"),"",INDEX(B601:B$2,-1+SUMPRODUCT(MAX(ROW(E601:E$2)*(E602=E601:E$2)))))</f>
        <v> </v>
      </c>
      <c r="J602" s="26" t="str">
        <f>IF(OR(E602="",E602="!!!",F602="NEW"),"",COUNTBLANK(OFFSET(A$1,,,SUMPRODUCT(MAX(ROW(E$2:E602)*(E602=E$2:E602)))))-COUNTBLANK(OFFSET(A$1,,,SUMPRODUCT(MAX(ROW(E$1:E601)*(E2=E$1:E601))))))</f>
        <v> </v>
      </c>
      <c r="K602" s="26" t="str">
        <f>IF(OR(E602="",E602="!!!",F602="NEW"),"",INDEX(J$1:J601,SUMPRODUCT(MAX(ROW(E$1:E601)*(E602=E$1:E601)))))</f>
        <v> </v>
      </c>
      <c r="L602" s="27"/>
    </row>
    <row r="603" spans="1:12">
      <c r="A603" s="20" t="s">
        <v>439</v>
      </c>
      <c r="E603" s="22">
        <f>IF(D603="?OLD","!!!","")</f>
        <v/>
      </c>
      <c r="F603" s="23" t="str">
        <f>IF(OR(E603="",E603="!!!"),"",IF(NOT(ISNA(VLOOKUP(E603,E$1:E602,1,FALSE()))),"OLD",IF(AND(E603&lt;&gt;"",E603&lt;&gt;"!!!"),"NEW","")))</f>
        <v> </v>
      </c>
      <c r="G603" s="24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5" t="str">
        <f>IF(J603&lt;&gt;1,"",IF(I603="SBJ","CB","?"))</f>
        <v> </v>
      </c>
      <c r="I603" s="26" t="str">
        <f>IF(OR(E603="",E603="!!!",F603="NEW"),"",INDEX(B602:B$2,-1+SUMPRODUCT(MAX(ROW(E602:E$2)*(E603=E602:E$2)))))</f>
        <v> </v>
      </c>
      <c r="J603" s="26" t="str">
        <f>IF(OR(E603="",E603="!!!",F603="NEW"),"",COUNTBLANK(OFFSET(A$1,,,SUMPRODUCT(MAX(ROW(E$2:E603)*(E603=E$2:E603)))))-COUNTBLANK(OFFSET(A$1,,,SUMPRODUCT(MAX(ROW(E$1:E602)*(E2=E$1:E602))))))</f>
        <v> </v>
      </c>
      <c r="K603" s="26" t="str">
        <f>IF(OR(E603="",E603="!!!",F603="NEW"),"",INDEX(J$1:J602,SUMPRODUCT(MAX(ROW(E$1:E602)*(E603=E$1:E602)))))</f>
        <v> </v>
      </c>
      <c r="L603" s="27"/>
    </row>
    <row r="604" spans="1:12">
      <c r="A604" s="20" t="s">
        <v>412</v>
      </c>
      <c r="B604" s="21" t="s">
        <v>228</v>
      </c>
      <c r="C604" s="21" t="s">
        <v>236</v>
      </c>
      <c r="E604" s="22">
        <f>IF(D604="?OLD","!!!","")</f>
        <v/>
      </c>
      <c r="F604" s="23" t="str">
        <f>IF(OR(E604="",E604="!!!"),"",IF(NOT(ISNA(VLOOKUP(E604,E$1:E603,1,FALSE()))),"OLD",IF(AND(E604&lt;&gt;"",E604&lt;&gt;"!!!"),"NEW","")))</f>
        <v> </v>
      </c>
      <c r="G604" s="24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5" t="str">
        <f>IF(J604&lt;&gt;1,"",IF(I604="SBJ","CB","?"))</f>
        <v> </v>
      </c>
      <c r="I604" s="26" t="str">
        <f>IF(OR(E604="",E604="!!!",F604="NEW"),"",INDEX(B603:B$2,-1+SUMPRODUCT(MAX(ROW(E603:E$2)*(E604=E603:E$2)))))</f>
        <v> </v>
      </c>
      <c r="J604" s="26" t="str">
        <f>IF(OR(E604="",E604="!!!",F604="NEW"),"",COUNTBLANK(OFFSET(A$1,,,SUMPRODUCT(MAX(ROW(E$2:E604)*(E604=E$2:E604)))))-COUNTBLANK(OFFSET(A$1,,,SUMPRODUCT(MAX(ROW(E$1:E603)*(E2=E$1:E603))))))</f>
        <v> </v>
      </c>
      <c r="K604" s="26" t="str">
        <f>IF(OR(E604="",E604="!!!",F604="NEW"),"",INDEX(J$1:J603,SUMPRODUCT(MAX(ROW(E$1:E603)*(E604=E$1:E603)))))</f>
        <v> </v>
      </c>
      <c r="L604" s="27"/>
    </row>
    <row r="605" spans="1:12">
      <c r="A605" s="20" t="s">
        <v>329</v>
      </c>
      <c r="B605" s="21" t="s">
        <v>210</v>
      </c>
      <c r="C605" s="21" t="s">
        <v>211</v>
      </c>
      <c r="D605" s="21" t="s">
        <v>199</v>
      </c>
      <c r="E605" s="22">
        <f>IF(D605="?OLD","!!!","")</f>
        <v/>
      </c>
      <c r="F605" s="23" t="str">
        <f>IF(OR(E605="",E605="!!!"),"",IF(NOT(ISNA(VLOOKUP(E605,E$1:E604,1,FALSE()))),"OLD",IF(AND(E605&lt;&gt;"",E605&lt;&gt;"!!!"),"NEW","")))</f>
        <v> </v>
      </c>
      <c r="G605" s="24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5" t="str">
        <f>IF(J605&lt;&gt;1,"",IF(I605="SBJ","CB","?"))</f>
        <v> </v>
      </c>
      <c r="I605" s="26" t="str">
        <f>IF(OR(E605="",E605="!!!",F605="NEW"),"",INDEX(B604:B$2,-1+SUMPRODUCT(MAX(ROW(E604:E$2)*(E605=E604:E$2)))))</f>
        <v> </v>
      </c>
      <c r="J605" s="26" t="str">
        <f>IF(OR(E605="",E605="!!!",F605="NEW"),"",COUNTBLANK(OFFSET(A$1,,,SUMPRODUCT(MAX(ROW(E$2:E605)*(E605=E$2:E605)))))-COUNTBLANK(OFFSET(A$1,,,SUMPRODUCT(MAX(ROW(E$1:E604)*(E2=E$1:E604))))))</f>
        <v> </v>
      </c>
      <c r="K605" s="26" t="str">
        <f>IF(OR(E605="",E605="!!!",F605="NEW"),"",INDEX(J$1:J604,SUMPRODUCT(MAX(ROW(E$1:E604)*(E605=E$1:E604)))))</f>
        <v> </v>
      </c>
      <c r="L605" s="27"/>
    </row>
    <row r="606" spans="1:12">
      <c r="A606" s="20" t="s">
        <v>223</v>
      </c>
      <c r="E606" s="22">
        <f>IF(D606="?OLD","!!!","")</f>
        <v/>
      </c>
      <c r="F606" s="23" t="str">
        <f>IF(OR(E606="",E606="!!!"),"",IF(NOT(ISNA(VLOOKUP(E606,E$1:E605,1,FALSE()))),"OLD",IF(AND(E606&lt;&gt;"",E606&lt;&gt;"!!!"),"NEW","")))</f>
        <v> </v>
      </c>
      <c r="G606" s="24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5" t="str">
        <f>IF(J606&lt;&gt;1,"",IF(I606="SBJ","CB","?"))</f>
        <v> </v>
      </c>
      <c r="I606" s="26" t="str">
        <f>IF(OR(E606="",E606="!!!",F606="NEW"),"",INDEX(B605:B$2,-1+SUMPRODUCT(MAX(ROW(E605:E$2)*(E606=E605:E$2)))))</f>
        <v> </v>
      </c>
      <c r="J606" s="26" t="str">
        <f>IF(OR(E606="",E606="!!!",F606="NEW"),"",COUNTBLANK(OFFSET(A$1,,,SUMPRODUCT(MAX(ROW(E$2:E606)*(E606=E$2:E606)))))-COUNTBLANK(OFFSET(A$1,,,SUMPRODUCT(MAX(ROW(E$1:E605)*(E2=E$1:E605))))))</f>
        <v> </v>
      </c>
      <c r="K606" s="26" t="str">
        <f>IF(OR(E606="",E606="!!!",F606="NEW"),"",INDEX(J$1:J605,SUMPRODUCT(MAX(ROW(E$1:E605)*(E606=E$1:E605)))))</f>
        <v> </v>
      </c>
      <c r="L606" s="27"/>
    </row>
    <row r="607" spans="1:12">
      <c r="A607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2026-01-26T16:52:07Z</dcterms:created>
  <dcterms:modified xsi:type="dcterms:W3CDTF">2026-01-26T16:52:07Z</dcterms:modified>
</cp:coreProperties>
</file>