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<sst xmlns="http://schemas.openxmlformats.org/spreadsheetml/2006/main" count="1667" uniqueCount="455">
  <si>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</si>
  <si>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</si>
  <si>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</si>
  <si>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</si>
  <si>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</si>
  <si>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</si>
  <si>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</si>
  <si>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</si>
  <si>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</si>
  <si>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</si>
  <si>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</si>
  <si>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30</t>
  </si>
  <si>
    <t>_</t>
  </si>
  <si>
    <t>sagen</t>
  </si>
  <si>
    <t>Und die Schlange war listiger denn alle Tiere auf dem Felde , die Gott der HERR gemacht hatte , und sprach zu dem Weibe : Ja , sollte Gott gesagt haben : Ihr sollt nicht essen von den Früchten der Bäume im in dem Garten ?</t>
  </si>
  <si>
    <t>file://conllu/de/bibl.de_luther1912.GEN.3.conllu#s1_0</t>
  </si>
  <si>
    <t>2</t>
  </si>
  <si>
    <t>sprechen</t>
  </si>
  <si>
    <t>Da sprach das Weib zu der Schlange :</t>
  </si>
  <si>
    <t>file://conllu/de/bibl.de_luther1912.GEN.3.conllu#s2_0</t>
  </si>
  <si>
    <t>3</t>
  </si>
  <si>
    <t>essen</t>
  </si>
  <si>
    <t>Wir essen von den Früchten der Bäume im in dem Garten ;</t>
  </si>
  <si>
    <t>file://conllu/de/bibl.de_luther1912.GEN.3.conllu#s3_0</t>
  </si>
  <si>
    <t>4</t>
  </si>
  <si>
    <t>13</t>
  </si>
  <si>
    <t>aber von den Früchten des Baumes mitten im in dem Garten hat Gott gesagt : Eßt nicht davon , rührt's auch nicht an , daß ihr nicht sterbt .</t>
  </si>
  <si>
    <t>file://conllu/de/bibl.de_luther1912.GEN.3.conllu#s4_0</t>
  </si>
  <si>
    <t>5</t>
  </si>
  <si>
    <t>Da sprach die Schlange zum zu dem Weibe : Ihr werdet mitnichten des Todes sterben ;</t>
  </si>
  <si>
    <t>file://conllu/de/bibl.de_luther1912.GEN.3.conllu#s5_0</t>
  </si>
  <si>
    <t>6</t>
  </si>
  <si>
    <t>wissen</t>
  </si>
  <si>
    <t>sondern Gott weiß , daß , welches Tages ihr davon eßt , so werden eure Augen aufgetan , und werdet sein wie Gott und wissen , was gut und böse ist .</t>
  </si>
  <si>
    <t>file://conllu/de/bibl.de_luther1912.GEN.3.conllu#s6_0</t>
  </si>
  <si>
    <t>7</t>
  </si>
  <si>
    <t>schauen</t>
  </si>
  <si>
    <t>Und das Weib schaute an , daß von dem Baum gut zu essen wäre und daß er lieblich anzusehen und ein lustiger Baum wäre , weil er klug machte ; und sie nahm von der Frucht und aß und gab ihrem Mann auch davon , und er aß .</t>
  </si>
  <si>
    <t>file://conllu/de/bibl.de_luther1912.GEN.3.conllu#s7_0</t>
  </si>
  <si>
    <t>8</t>
  </si>
  <si>
    <t>auftun</t>
  </si>
  <si>
    <t>Da wurden ihrer beiden Augen aufgetan , und sie wurden gewahr , daß sie nackt waren , und flochten Feigenblätter zusammen und machten sich Schürze .</t>
  </si>
  <si>
    <t>file://conllu/de/bibl.de_luther1912.GEN.3.conllu#s8_0</t>
  </si>
  <si>
    <t>9</t>
  </si>
  <si>
    <t>hören</t>
  </si>
  <si>
    <t>Und sie hörten die Stimme Gottes des HERRN , der im in dem Garten ging , da der Tag kühl geworden war .</t>
  </si>
  <si>
    <t>file://conllu/de/bibl.de_luther1912.GEN.3.conllu#s9_0</t>
  </si>
  <si>
    <t>10</t>
  </si>
  <si>
    <t>verstecken</t>
  </si>
  <si>
    <t>Und Adam versteckte sich mit seinem Weibe vor dem Angesicht Gottes des HERRN unter die Bäume im in dem Garten .</t>
  </si>
  <si>
    <t>file://conllu/de/bibl.de_luther1912.GEN.3.conllu#s10_0</t>
  </si>
  <si>
    <t>11</t>
  </si>
  <si>
    <t>rufen</t>
  </si>
  <si>
    <t>Und Gott der HERR rief Adam und sprach zu ihm : Wo bist du ?</t>
  </si>
  <si>
    <t>file://conllu/de/bibl.de_luther1912.GEN.3.conllu#s11_0</t>
  </si>
  <si>
    <t>12</t>
  </si>
  <si>
    <t>hören (hören sprechen)</t>
  </si>
  <si>
    <t>Und er sprach : Ich hörte deine Stimme im in dem Garten und fürchtete mich ;</t>
  </si>
  <si>
    <t>file://conllu/de/bibl.de_luther1912.GEN.3.conllu#s12_0</t>
  </si>
  <si>
    <t>sein (sein nackt)</t>
  </si>
  <si>
    <t>denn ich bin nackt , darum versteckte ich mich .</t>
  </si>
  <si>
    <t>file://conllu/de/bibl.de_luther1912.GEN.3.conllu#s13_0</t>
  </si>
  <si>
    <t>14</t>
  </si>
  <si>
    <t>Und er sprach : Wer hat dir's gesagt , daß du nackt bist ?</t>
  </si>
  <si>
    <t>file://conllu/de/bibl.de_luther1912.GEN.3.conllu#s14_0</t>
  </si>
  <si>
    <t>15</t>
  </si>
  <si>
    <t>gegessen</t>
  </si>
  <si>
    <t>Hast du nicht gegessen von dem Baum , davon ich dir gebot , du solltest nicht davon essen ?</t>
  </si>
  <si>
    <t>file://conllu/de/bibl.de_luther1912.GEN.3.conllu#s15_0</t>
  </si>
  <si>
    <t>16</t>
  </si>
  <si>
    <t>Da sprach Adam : Das Weib , das du mir zugesellt hast , gab mir von von dem Baum , und ich aß .</t>
  </si>
  <si>
    <t>file://conllu/de/bibl.de_luther1912.GEN.3.conllu#s16_0</t>
  </si>
  <si>
    <t>17</t>
  </si>
  <si>
    <t>Warum?</t>
  </si>
  <si>
    <t>Da sprach Gott der HERR zum zu dem Weibe : Warum hast du das getan ?</t>
  </si>
  <si>
    <t>file://conllu/de/bibl.de_luther1912.GEN.3.conllu#s17_0</t>
  </si>
  <si>
    <t>18</t>
  </si>
  <si>
    <t>Das Weib sprach :</t>
  </si>
  <si>
    <t>file://conllu/de/bibl.de_luther1912.GEN.3.conllu#s18_0</t>
  </si>
  <si>
    <t>19</t>
  </si>
  <si>
    <t>betriehen</t>
  </si>
  <si>
    <t>Die Schlange betrog mich also , daß ich aß .</t>
  </si>
  <si>
    <t>file://conllu/de/bibl.de_luther1912.GEN.3.conllu#s19_0</t>
  </si>
  <si>
    <t>20</t>
  </si>
  <si>
    <t>Da sprach Gott der HERR zu der Schlange : Weil du solches getan hast , seist du verflucht vor allem Vieh und vor allen Tieren auf dem Felde .</t>
  </si>
  <si>
    <t>file://conllu/de/bibl.de_luther1912.GEN.3.conllu#s20_0</t>
  </si>
  <si>
    <t>21</t>
  </si>
  <si>
    <t>gehen</t>
  </si>
  <si>
    <t>Auf deinem Bauche sollst du gehen und Erde essen dein Leben lang .</t>
  </si>
  <si>
    <t>file://conllu/de/bibl.de_luther1912.GEN.3.conllu#s21_0</t>
  </si>
  <si>
    <t>22</t>
  </si>
  <si>
    <t>setzen</t>
  </si>
  <si>
    <t>Und ich will Feindschaft setzen zwischen dir und dem Weibe und zwischen deinem Samen und ihrem Samen .</t>
  </si>
  <si>
    <t>file://conllu/de/bibl.de_luther1912.GEN.3.conllu#s22_0</t>
  </si>
  <si>
    <t>23</t>
  </si>
  <si>
    <t>zertren</t>
  </si>
  <si>
    <t>Derselbe soll dir den Kopf zertreten , und du wirst ihn in die Ferse stechen .</t>
  </si>
  <si>
    <t>file://conllu/de/bibl.de_luther1912.GEN.3.conllu#s23_0</t>
  </si>
  <si>
    <t>24</t>
  </si>
  <si>
    <t>Und zum zu dem Weibe sprach er : Ich will dir viel Schmerzen schaffen , wenn du schwanger wirst ; du sollst mit Schmerzen Kinder gebären ; und dein Verlangen soll nach deinem Manne sein , und er soll dein Herr sein .</t>
  </si>
  <si>
    <t>file://conllu/de/bibl.de_luther1912.GEN.3.conllu#s24_0</t>
  </si>
  <si>
    <t>25</t>
  </si>
  <si>
    <t>Und zu Adam sprach er : Dieweil du hast gehorcht der Stimme deines Weibes und hast gegessen von dem Baum , davon ich dir gebot und sprach : Du sollst nicht davon essen , verflucht sei der Acker um deinetwillen , mit Kummer sollst du dich darauf nähren dein Leben lang .</t>
  </si>
  <si>
    <t>file://conllu/de/bibl.de_luther1912.GEN.3.conllu#s25_0</t>
  </si>
  <si>
    <t>26</t>
  </si>
  <si>
    <t>tragen</t>
  </si>
  <si>
    <t>Dornen und Disteln soll er dir tragen , und sollst das Kraut auf dem Felde essen .</t>
  </si>
  <si>
    <t>file://conllu/de/bibl.de_luther1912.GEN.3.conllu#s26_0</t>
  </si>
  <si>
    <t>28</t>
  </si>
  <si>
    <t>sein (sein Erde)</t>
  </si>
  <si>
    <t>Denn du bist Erde und sollst zu Erde werden .</t>
  </si>
  <si>
    <t>file://conllu/de/bibl.de_luther1912.GEN.3.conllu#s28_0</t>
  </si>
  <si>
    <t>29</t>
  </si>
  <si>
    <t>heißen</t>
  </si>
  <si>
    <t>Und Adam hieß sein Weib Eva , darum daß sie eine Mutter ist aller Lebendigen .</t>
  </si>
  <si>
    <t>file://conllu/de/bibl.de_luther1912.GEN.3.conllu#s29_0</t>
  </si>
  <si>
    <t>machen</t>
  </si>
  <si>
    <t>Und Gott der HERR machte Adam und seinem Weibe Röcke von Fellen und kleidete sie .</t>
  </si>
  <si>
    <t>file://conllu/de/bibl.de_luther1912.GEN.3.conllu#s30_0</t>
  </si>
  <si>
    <t>31</t>
  </si>
  <si>
    <t>Und Gott der HERR sprach : Siehe , Adam ist geworden wie unsereiner und weiß , was gut und böse ist .</t>
  </si>
  <si>
    <t>file://conllu/de/bibl.de_luther1912.GEN.3.conllu#s31_0</t>
  </si>
  <si>
    <t>32</t>
  </si>
  <si>
    <t>brechen</t>
  </si>
  <si>
    <t>Nun aber , daß er nicht ausstrecke seine Hand und breche auch von dem Baum des Lebens und esse und lebe ewiglich !</t>
  </si>
  <si>
    <t>file://conllu/de/bibl.de_luther1912.GEN.3.conllu#s32_0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</si>
  <si>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</si>
  <si>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</si>
  <si>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</si>
  <si>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</si>
  <si>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</si>
  <si>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</si>
  <si>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</si>
  <si>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</si>
  <si>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</si>
  <si>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</si>
  <si>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</si>
  <si>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Und die Schlange war listiger denn alle Tiere auf dem Felde, die Gott der HERR gemacht hatte, und sprach zu dem Weibe: Ja, sollte Gott gesagt haben: Ihr sollt nicht essen von den Früchten der Bäume im Garten?</t>
  </si>
  <si>
    <t>Und</t>
  </si>
  <si>
    <t>die</t>
  </si>
  <si>
    <t>Schlange</t>
  </si>
  <si>
    <t>SBJ_2</t>
  </si>
  <si>
    <t>def-np.the</t>
  </si>
  <si>
    <t>?OLD</t>
  </si>
  <si>
    <t>war</t>
  </si>
  <si>
    <t>listiger</t>
  </si>
  <si>
    <t>denn</t>
  </si>
  <si>
    <t>alle</t>
  </si>
  <si>
    <t>other_4</t>
  </si>
  <si>
    <t>pron.pind</t>
  </si>
  <si>
    <t>Tiere</t>
  </si>
  <si>
    <t>SBJ_3</t>
  </si>
  <si>
    <t>indef-np.quant</t>
  </si>
  <si>
    <t>auf</t>
  </si>
  <si>
    <t>dem</t>
  </si>
  <si>
    <t>Felde</t>
  </si>
  <si>
    <t>other_3</t>
  </si>
  <si>
    <t>,</t>
  </si>
  <si>
    <t>Gott</t>
  </si>
  <si>
    <t>der</t>
  </si>
  <si>
    <t>HERR</t>
  </si>
  <si>
    <t>ne</t>
  </si>
  <si>
    <t>gemacht</t>
  </si>
  <si>
    <t>hatte</t>
  </si>
  <si>
    <t>und</t>
  </si>
  <si>
    <t>sprach</t>
  </si>
  <si>
    <t>zu</t>
  </si>
  <si>
    <t>Weibe</t>
  </si>
  <si>
    <t>:</t>
  </si>
  <si>
    <t>Ja</t>
  </si>
  <si>
    <t>sollte</t>
  </si>
  <si>
    <t>SBJ</t>
  </si>
  <si>
    <t>indef-np.bare</t>
  </si>
  <si>
    <t>gesagt</t>
  </si>
  <si>
    <t>haben</t>
  </si>
  <si>
    <t>Ihr</t>
  </si>
  <si>
    <t>pron.pper</t>
  </si>
  <si>
    <t>sollt</t>
  </si>
  <si>
    <t>nicht</t>
  </si>
  <si>
    <t>von</t>
  </si>
  <si>
    <t>den</t>
  </si>
  <si>
    <t>Früchten</t>
  </si>
  <si>
    <t>other_2</t>
  </si>
  <si>
    <t>Bäume</t>
  </si>
  <si>
    <t>in</t>
  </si>
  <si>
    <t>Garten</t>
  </si>
  <si>
    <t>?</t>
  </si>
  <si>
    <t># text = Da sprach das Weib zu der Schlange:</t>
  </si>
  <si>
    <t>Da</t>
  </si>
  <si>
    <t>das</t>
  </si>
  <si>
    <t>Weib</t>
  </si>
  <si>
    <t>other</t>
  </si>
  <si>
    <t># text = Wir essen von den Früchten der Bäume im Garten;</t>
  </si>
  <si>
    <t>Wir</t>
  </si>
  <si>
    <t>pron</t>
  </si>
  <si>
    <t>;</t>
  </si>
  <si>
    <t># text = aber von den Früchten des Baumes mitten im Garten hat Gott gesagt: Eßt nicht davon, rührt's auch nicht an, daß ihr nicht sterbt.</t>
  </si>
  <si>
    <t>aber</t>
  </si>
  <si>
    <t>des</t>
  </si>
  <si>
    <t>Baumes</t>
  </si>
  <si>
    <t>mitten</t>
  </si>
  <si>
    <t>hat</t>
  </si>
  <si>
    <t>OBJ</t>
  </si>
  <si>
    <t>Eßt</t>
  </si>
  <si>
    <t>davon</t>
  </si>
  <si>
    <t>rührt's</t>
  </si>
  <si>
    <t>auch</t>
  </si>
  <si>
    <t>an</t>
  </si>
  <si>
    <t>daß</t>
  </si>
  <si>
    <t>ihr</t>
  </si>
  <si>
    <t>sterbt</t>
  </si>
  <si>
    <t>.</t>
  </si>
  <si>
    <t># text = Da sprach die Schlange zum Weibe: Ihr werdet mitnichten des Todes sterben;</t>
  </si>
  <si>
    <t>werdet</t>
  </si>
  <si>
    <t>mitnichten</t>
  </si>
  <si>
    <t>Todes</t>
  </si>
  <si>
    <t>sterben</t>
  </si>
  <si>
    <t># text = sondern Gott weiß, daß, welches Tages ihr davon eßt, so werden eure Augen aufgetan, und werdet sein wie Gott und wissen, was gut und böse ist.</t>
  </si>
  <si>
    <t>sondern</t>
  </si>
  <si>
    <t>weiß</t>
  </si>
  <si>
    <t>welches</t>
  </si>
  <si>
    <t>Tages</t>
  </si>
  <si>
    <t>OBJ_3</t>
  </si>
  <si>
    <t>eßt</t>
  </si>
  <si>
    <t>so</t>
  </si>
  <si>
    <t>werden</t>
  </si>
  <si>
    <t>eure</t>
  </si>
  <si>
    <t>Augen</t>
  </si>
  <si>
    <t>SBJ_4</t>
  </si>
  <si>
    <t>indef-np</t>
  </si>
  <si>
    <t>aufgetan</t>
  </si>
  <si>
    <t>sein</t>
  </si>
  <si>
    <t>wie</t>
  </si>
  <si>
    <t>was</t>
  </si>
  <si>
    <t>SBJ_6</t>
  </si>
  <si>
    <t>gut</t>
  </si>
  <si>
    <t>böse</t>
  </si>
  <si>
    <t>ist</t>
  </si>
  <si>
    <t># text = Und das Weib schaute an, daß von dem Baum gut zu essen wäre und daß er lieblich anzusehen und ein lustiger Baum wäre, weil er klug machte; und sie nahm von der Frucht und aß und gab ihrem Mann auch davon, und er aß.</t>
  </si>
  <si>
    <t>schaute</t>
  </si>
  <si>
    <t>Baum</t>
  </si>
  <si>
    <t>wäre</t>
  </si>
  <si>
    <t>er</t>
  </si>
  <si>
    <t>lieblich</t>
  </si>
  <si>
    <t>anzusehen</t>
  </si>
  <si>
    <t>ein</t>
  </si>
  <si>
    <t>lustiger</t>
  </si>
  <si>
    <t>indef-np.a</t>
  </si>
  <si>
    <t>weil</t>
  </si>
  <si>
    <t>klug</t>
  </si>
  <si>
    <t>machte</t>
  </si>
  <si>
    <t>sie</t>
  </si>
  <si>
    <t>nahm</t>
  </si>
  <si>
    <t>Frucht</t>
  </si>
  <si>
    <t>aß</t>
  </si>
  <si>
    <t>gab</t>
  </si>
  <si>
    <t>ihrem</t>
  </si>
  <si>
    <t>Mann</t>
  </si>
  <si>
    <t>OBJ_2</t>
  </si>
  <si>
    <t># text = Da wurden ihrer beiden Augen aufgetan, und sie wurden gewahr, daß sie nackt waren, und flochten Feigenblätter zusammen und machten sich Schürze.</t>
  </si>
  <si>
    <t>wurden</t>
  </si>
  <si>
    <t>ihrer</t>
  </si>
  <si>
    <t>beiden</t>
  </si>
  <si>
    <t>def-np.quant</t>
  </si>
  <si>
    <t>gewahr</t>
  </si>
  <si>
    <t>nackt</t>
  </si>
  <si>
    <t>waren</t>
  </si>
  <si>
    <t>flochten</t>
  </si>
  <si>
    <t>Feigenblätter</t>
  </si>
  <si>
    <t>zusammen</t>
  </si>
  <si>
    <t>machten</t>
  </si>
  <si>
    <t>sich</t>
  </si>
  <si>
    <t>OBJ_4</t>
  </si>
  <si>
    <t>Schürze</t>
  </si>
  <si>
    <t># text = Und sie hörten die Stimme Gottes des HERRN, der im Garten ging, da der Tag kühl geworden war.</t>
  </si>
  <si>
    <t>hörten</t>
  </si>
  <si>
    <t>Stimme</t>
  </si>
  <si>
    <t>Gottes</t>
  </si>
  <si>
    <t>def-np.poss</t>
  </si>
  <si>
    <t>HERRN</t>
  </si>
  <si>
    <t>ging</t>
  </si>
  <si>
    <t>da</t>
  </si>
  <si>
    <t>Tag</t>
  </si>
  <si>
    <t>kühl</t>
  </si>
  <si>
    <t>geworden</t>
  </si>
  <si>
    <t># text = Und Adam versteckte sich mit seinem Weibe vor dem Angesicht Gottes des HERRN unter die Bäume im Garten.</t>
  </si>
  <si>
    <t>Adam</t>
  </si>
  <si>
    <t>versteckte</t>
  </si>
  <si>
    <t>mit</t>
  </si>
  <si>
    <t>seinem</t>
  </si>
  <si>
    <t>vor</t>
  </si>
  <si>
    <t>Angesicht</t>
  </si>
  <si>
    <t>unter</t>
  </si>
  <si>
    <t># text = Und Gott der HERR rief Adam und sprach zu ihm: Wo bist du?</t>
  </si>
  <si>
    <t>rief</t>
  </si>
  <si>
    <t>ihm</t>
  </si>
  <si>
    <t>Wo</t>
  </si>
  <si>
    <t>bist</t>
  </si>
  <si>
    <t>du</t>
  </si>
  <si>
    <t># text = Und er sprach: Ich hörte deine Stimme im Garten und fürchtete mich;</t>
  </si>
  <si>
    <t>Ich</t>
  </si>
  <si>
    <t>hörte</t>
  </si>
  <si>
    <t>deine</t>
  </si>
  <si>
    <t>fürchtete</t>
  </si>
  <si>
    <t>mich</t>
  </si>
  <si>
    <t># text = denn ich bin nackt, darum versteckte ich mich.</t>
  </si>
  <si>
    <t>ich</t>
  </si>
  <si>
    <t>bin</t>
  </si>
  <si>
    <t>darum</t>
  </si>
  <si>
    <t># text = Und er sprach: Wer hat dir's gesagt, daß du nackt bist?</t>
  </si>
  <si>
    <t>Wer</t>
  </si>
  <si>
    <t>pron.pint</t>
  </si>
  <si>
    <t>dir's</t>
  </si>
  <si>
    <t># text = Hast du nicht gegessen von dem Baum, davon ich dir gebot, du solltest nicht davon essen?</t>
  </si>
  <si>
    <t>Hast</t>
  </si>
  <si>
    <t>dir</t>
  </si>
  <si>
    <t>gebot</t>
  </si>
  <si>
    <t>solltest</t>
  </si>
  <si>
    <t># text = Da sprach Adam: Das Weib, das du mir zugesellt hast, gab mir von von dem Baum, und ich aß.</t>
  </si>
  <si>
    <t>Das</t>
  </si>
  <si>
    <t>mir</t>
  </si>
  <si>
    <t>zugesellt</t>
  </si>
  <si>
    <t>hast</t>
  </si>
  <si>
    <t># text = Da sprach Gott der HERR zum Weibe: Warum hast du das getan?</t>
  </si>
  <si>
    <t>Warum</t>
  </si>
  <si>
    <t>getan</t>
  </si>
  <si>
    <t># text = Das Weib sprach:</t>
  </si>
  <si>
    <t># text = Die Schlange betrog mich also, daß ich aß.</t>
  </si>
  <si>
    <t>Die</t>
  </si>
  <si>
    <t>betrog</t>
  </si>
  <si>
    <t>also</t>
  </si>
  <si>
    <t># text = Da sprach Gott der HERR zu der Schlange: Weil du solches getan hast, seist du verflucht vor allem Vieh und vor allen Tieren auf dem Felde.</t>
  </si>
  <si>
    <t>Weil</t>
  </si>
  <si>
    <t>solches</t>
  </si>
  <si>
    <t>seist</t>
  </si>
  <si>
    <t>verflucht</t>
  </si>
  <si>
    <t>allem</t>
  </si>
  <si>
    <t>Vieh</t>
  </si>
  <si>
    <t>allen</t>
  </si>
  <si>
    <t>Tieren</t>
  </si>
  <si>
    <t># text = Auf deinem Bauche sollst du gehen und Erde essen dein Leben lang.</t>
  </si>
  <si>
    <t>Auf</t>
  </si>
  <si>
    <t>deinem</t>
  </si>
  <si>
    <t>Bauche</t>
  </si>
  <si>
    <t>sollst</t>
  </si>
  <si>
    <t>Erde</t>
  </si>
  <si>
    <t>dein</t>
  </si>
  <si>
    <t>Leben</t>
  </si>
  <si>
    <t>lang</t>
  </si>
  <si>
    <t># text = Und ich will Feindschaft setzen zwischen dir und dem Weibe und zwischen deinem Samen und ihrem Samen.</t>
  </si>
  <si>
    <t>will</t>
  </si>
  <si>
    <t>Feindschaft</t>
  </si>
  <si>
    <t>zwischen</t>
  </si>
  <si>
    <t>Samen</t>
  </si>
  <si>
    <t># text = Derselbe soll dir den Kopf zertreten, und du wirst ihn in die Ferse stechen.</t>
  </si>
  <si>
    <t>Derselbe</t>
  </si>
  <si>
    <t>soll</t>
  </si>
  <si>
    <t>Kopf</t>
  </si>
  <si>
    <t>zertreten</t>
  </si>
  <si>
    <t>wirst</t>
  </si>
  <si>
    <t>ihn</t>
  </si>
  <si>
    <t>Ferse</t>
  </si>
  <si>
    <t>stechen</t>
  </si>
  <si>
    <t># text = Und zum Weibe sprach er: Ich will dir viel Schmerzen schaffen, wenn du schwanger wirst; du sollst mit Schmerzen Kinder gebären; und dein Verlangen soll nach deinem Manne sein, und er soll dein Herr sein.</t>
  </si>
  <si>
    <t>viel</t>
  </si>
  <si>
    <t>Schmerzen</t>
  </si>
  <si>
    <t>schaffen</t>
  </si>
  <si>
    <t>wenn</t>
  </si>
  <si>
    <t>schwanger</t>
  </si>
  <si>
    <t>Kinder</t>
  </si>
  <si>
    <t>gebären</t>
  </si>
  <si>
    <t>Verlangen</t>
  </si>
  <si>
    <t>SBJ_5</t>
  </si>
  <si>
    <t>nach</t>
  </si>
  <si>
    <t>Manne</t>
  </si>
  <si>
    <t>other_6</t>
  </si>
  <si>
    <t>Herr</t>
  </si>
  <si>
    <t>other_5</t>
  </si>
  <si>
    <t># text = Und zu Adam sprach er: Dieweil du hast gehorcht der Stimme deines Weibes und hast gegessen von dem Baum, davon ich dir gebot und sprach: Du sollst nicht davon essen, verflucht sei der Acker um deinetwillen, mit Kummer sollst du dich darauf nähren dein Leben lang.</t>
  </si>
  <si>
    <t>Dieweil</t>
  </si>
  <si>
    <t>gehorcht</t>
  </si>
  <si>
    <t>deines</t>
  </si>
  <si>
    <t>Weibes</t>
  </si>
  <si>
    <t>OBJ_6</t>
  </si>
  <si>
    <t>Du</t>
  </si>
  <si>
    <t>sei</t>
  </si>
  <si>
    <t>Acker</t>
  </si>
  <si>
    <t>SBJ_7</t>
  </si>
  <si>
    <t>um</t>
  </si>
  <si>
    <t>deinetwillen</t>
  </si>
  <si>
    <t>other_8</t>
  </si>
  <si>
    <t>Kummer</t>
  </si>
  <si>
    <t>SBJ_8</t>
  </si>
  <si>
    <t>dich</t>
  </si>
  <si>
    <t>OBJ_8</t>
  </si>
  <si>
    <t>darauf</t>
  </si>
  <si>
    <t>nähren</t>
  </si>
  <si>
    <t>other_10</t>
  </si>
  <si>
    <t>other_9</t>
  </si>
  <si>
    <t># text = Dornen und Disteln soll er dir tragen, und sollst das Kraut auf dem Felde essen.</t>
  </si>
  <si>
    <t>Dornen</t>
  </si>
  <si>
    <t>Disteln</t>
  </si>
  <si>
    <t>Kraut</t>
  </si>
  <si>
    <t># text = Im Schweiße deines Angesichts sollst du dein Brot essen, bis daß du wieder zu Erde werdest, davon du genommen bist.</t>
  </si>
  <si>
    <t>In</t>
  </si>
  <si>
    <t>Schweiße</t>
  </si>
  <si>
    <t>Angesichts</t>
  </si>
  <si>
    <t>Brot</t>
  </si>
  <si>
    <t>bis</t>
  </si>
  <si>
    <t>wieder</t>
  </si>
  <si>
    <t>werdest</t>
  </si>
  <si>
    <t>genommen</t>
  </si>
  <si>
    <t># text = Denn du bist Erde und sollst zu Erde werden.</t>
  </si>
  <si>
    <t>Denn</t>
  </si>
  <si>
    <t># text = Und Adam hieß sein Weib Eva, darum daß sie eine Mutter ist aller Lebendigen.</t>
  </si>
  <si>
    <t>hieß</t>
  </si>
  <si>
    <t>Eva</t>
  </si>
  <si>
    <t>eine</t>
  </si>
  <si>
    <t>Mutter</t>
  </si>
  <si>
    <t>aller</t>
  </si>
  <si>
    <t>Lebendigen</t>
  </si>
  <si>
    <t># text = Und Gott der HERR machte Adam und seinem Weibe Röcke von Fellen und kleidete sie.</t>
  </si>
  <si>
    <t>Röcke</t>
  </si>
  <si>
    <t>Fellen</t>
  </si>
  <si>
    <t>kleidete</t>
  </si>
  <si>
    <t># text = Und Gott der HERR sprach: Siehe, Adam ist geworden wie unsereiner und weiß, was gut und böse ist.</t>
  </si>
  <si>
    <t>Siehe</t>
  </si>
  <si>
    <t>unsereiner</t>
  </si>
  <si>
    <t># text = Nun aber, daß er nicht ausstrecke seine Hand und breche auch von dem Baum des Lebens und esse und lebe ewiglich!</t>
  </si>
  <si>
    <t>Nun</t>
  </si>
  <si>
    <t>ausstrecke</t>
  </si>
  <si>
    <t>seine</t>
  </si>
  <si>
    <t>Hand</t>
  </si>
  <si>
    <t>breche</t>
  </si>
  <si>
    <t>Lebens</t>
  </si>
  <si>
    <t>esse</t>
  </si>
  <si>
    <t>lebe</t>
  </si>
  <si>
    <t>ewiglich</t>
  </si>
  <si>
    <t>!</t>
  </si>
  <si>
    <t># text = Da wies ihn Gott der HERR aus dem Garten Eden, daß er das Feld baute, davon er genommen ist,</t>
  </si>
  <si>
    <t>wies</t>
  </si>
  <si>
    <t>aus</t>
  </si>
  <si>
    <t>Eden</t>
  </si>
  <si>
    <t>Feld</t>
  </si>
  <si>
    <t>baute</t>
  </si>
  <si>
    <t>pron.padv</t>
  </si>
  <si>
    <t># text = und trieb Adam aus und lagerte vor den Garten Eden die Cherubim mit dem bloßen, hauenden Schwert, zu bewahren den Weg zu dem Baum des Lebens.</t>
  </si>
  <si>
    <t>trieb</t>
  </si>
  <si>
    <t>lagerte</t>
  </si>
  <si>
    <t>Cherubim</t>
  </si>
  <si>
    <t>bloßen</t>
  </si>
  <si>
    <t>hauenden</t>
  </si>
  <si>
    <t>Schwert</t>
  </si>
  <si>
    <t>bewahren</t>
  </si>
  <si>
    <t>Weg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</si>
</sst>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32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 t="s">
        <v>15</v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16</v>
      </c>
      <c r="C3" s="6" t="s">
        <v>12</v>
      </c>
      <c r="D3" s="7" t="s">
        <v>17</v>
      </c>
      <c r="E3" s="8" t="s">
        <v>18</v>
      </c>
      <c r="F3" s="6" t="s">
        <v>19</v>
      </c>
      <c r="G3" s="9" t="s">
        <v>19</v>
      </c>
      <c r="H3" s="10" t="s">
        <v>12</v>
      </c>
      <c r="I3" s="11" t="s">
        <v>12</v>
      </c>
      <c r="J3" s="12"/>
    </row>
    <row r="4" spans="1:10" ht="60" customHeight="1">
      <c r="A4" s="6" t="s">
        <v>20</v>
      </c>
      <c r="B4" s="6" t="s">
        <v>16</v>
      </c>
      <c r="C4" s="6" t="s">
        <v>12</v>
      </c>
      <c r="D4" s="7" t="s">
        <v>21</v>
      </c>
      <c r="E4" s="8" t="s">
        <v>22</v>
      </c>
      <c r="F4" s="6" t="s">
        <v>23</v>
      </c>
      <c r="G4" s="9" t="s">
        <v>23</v>
      </c>
      <c r="H4" s="10" t="s">
        <v>12</v>
      </c>
      <c r="I4" s="11" t="s">
        <v>12</v>
      </c>
      <c r="J4" s="12"/>
    </row>
    <row r="5" spans="1:10" ht="60" customHeight="1">
      <c r="A5" s="6" t="s">
        <v>24</v>
      </c>
      <c r="B5" s="6" t="s">
        <v>25</v>
      </c>
      <c r="C5" s="6" t="s">
        <v>12</v>
      </c>
      <c r="D5" s="7" t="s">
        <v>13</v>
      </c>
      <c r="E5" s="8" t="s">
        <v>26</v>
      </c>
      <c r="F5" s="6" t="s">
        <v>27</v>
      </c>
      <c r="G5" s="9" t="s">
        <v>27</v>
      </c>
      <c r="H5" s="10" t="s">
        <v>12</v>
      </c>
      <c r="I5" s="11" t="s">
        <v>12</v>
      </c>
      <c r="J5" s="12"/>
    </row>
    <row r="6" spans="1:10" ht="60" customHeight="1">
      <c r="A6" s="6" t="s">
        <v>28</v>
      </c>
      <c r="B6" s="6" t="s">
        <v>16</v>
      </c>
      <c r="C6" s="6" t="s">
        <v>12</v>
      </c>
      <c r="D6" s="7" t="s">
        <v>17</v>
      </c>
      <c r="E6" s="8" t="s">
        <v>29</v>
      </c>
      <c r="F6" s="6" t="s">
        <v>30</v>
      </c>
      <c r="G6" s="9" t="s">
        <v>30</v>
      </c>
      <c r="H6" s="10" t="s">
        <v>12</v>
      </c>
      <c r="I6" s="11" t="s">
        <v>12</v>
      </c>
      <c r="J6" s="12"/>
    </row>
    <row r="7" spans="1:10" ht="60" customHeight="1">
      <c r="A7" s="6" t="s">
        <v>31</v>
      </c>
      <c r="B7" s="6" t="s">
        <v>20</v>
      </c>
      <c r="C7" s="6" t="s">
        <v>12</v>
      </c>
      <c r="D7" s="7" t="s">
        <v>32</v>
      </c>
      <c r="E7" s="8" t="s">
        <v>33</v>
      </c>
      <c r="F7" s="6" t="s">
        <v>34</v>
      </c>
      <c r="G7" s="9" t="s">
        <v>34</v>
      </c>
      <c r="H7" s="10" t="s">
        <v>12</v>
      </c>
      <c r="I7" s="11" t="s">
        <v>12</v>
      </c>
      <c r="J7" s="12"/>
    </row>
    <row r="8" spans="1:10" ht="60" customHeight="1">
      <c r="A8" s="6" t="s">
        <v>35</v>
      </c>
      <c r="B8" s="6" t="s">
        <v>24</v>
      </c>
      <c r="C8" s="6" t="s">
        <v>12</v>
      </c>
      <c r="D8" s="7" t="s">
        <v>36</v>
      </c>
      <c r="E8" s="8" t="s">
        <v>37</v>
      </c>
      <c r="F8" s="6" t="s">
        <v>38</v>
      </c>
      <c r="G8" s="9" t="s">
        <v>38</v>
      </c>
      <c r="H8" s="10" t="s">
        <v>12</v>
      </c>
      <c r="I8" s="11" t="s">
        <v>12</v>
      </c>
      <c r="J8" s="12"/>
    </row>
    <row r="9" spans="1:10" ht="60" customHeight="1">
      <c r="A9" s="6" t="s">
        <v>39</v>
      </c>
      <c r="B9" s="6" t="s">
        <v>31</v>
      </c>
      <c r="C9" s="6" t="s">
        <v>12</v>
      </c>
      <c r="D9" s="7" t="s">
        <v>40</v>
      </c>
      <c r="E9" s="8" t="s">
        <v>41</v>
      </c>
      <c r="F9" s="6" t="s">
        <v>42</v>
      </c>
      <c r="G9" s="9" t="s">
        <v>42</v>
      </c>
      <c r="H9" s="10" t="s">
        <v>12</v>
      </c>
      <c r="I9" s="11" t="s">
        <v>12</v>
      </c>
      <c r="J9" s="12"/>
    </row>
    <row r="10" spans="1:10" ht="60" customHeight="1">
      <c r="A10" s="6" t="s">
        <v>43</v>
      </c>
      <c r="B10" s="6" t="s">
        <v>20</v>
      </c>
      <c r="C10" s="6" t="s">
        <v>12</v>
      </c>
      <c r="D10" s="7" t="s">
        <v>44</v>
      </c>
      <c r="E10" s="8" t="s">
        <v>45</v>
      </c>
      <c r="F10" s="6" t="s">
        <v>46</v>
      </c>
      <c r="G10" s="9" t="s">
        <v>46</v>
      </c>
      <c r="H10" s="10" t="s">
        <v>12</v>
      </c>
      <c r="I10" s="11" t="s">
        <v>12</v>
      </c>
      <c r="J10" s="12"/>
    </row>
    <row r="11" spans="1:10" ht="60" customHeight="1">
      <c r="A11" s="6" t="s">
        <v>47</v>
      </c>
      <c r="B11" s="6" t="s">
        <v>20</v>
      </c>
      <c r="C11" s="6" t="s">
        <v>12</v>
      </c>
      <c r="D11" s="7" t="s">
        <v>48</v>
      </c>
      <c r="E11" s="8" t="s">
        <v>49</v>
      </c>
      <c r="F11" s="6" t="s">
        <v>50</v>
      </c>
      <c r="G11" s="9" t="s">
        <v>50</v>
      </c>
      <c r="H11" s="10" t="s">
        <v>12</v>
      </c>
      <c r="I11" s="11" t="s">
        <v>12</v>
      </c>
      <c r="J11" s="12"/>
    </row>
    <row r="12" spans="1:10" ht="60" customHeight="1">
      <c r="A12" s="6" t="s">
        <v>51</v>
      </c>
      <c r="B12" s="6" t="s">
        <v>28</v>
      </c>
      <c r="C12" s="6" t="s">
        <v>12</v>
      </c>
      <c r="D12" s="7" t="s">
        <v>52</v>
      </c>
      <c r="E12" s="8" t="s">
        <v>53</v>
      </c>
      <c r="F12" s="6" t="s">
        <v>54</v>
      </c>
      <c r="G12" s="9" t="s">
        <v>54</v>
      </c>
      <c r="H12" s="10" t="s">
        <v>12</v>
      </c>
      <c r="I12" s="11" t="s">
        <v>12</v>
      </c>
      <c r="J12" s="12"/>
    </row>
    <row r="13" spans="1:10" ht="60" customHeight="1">
      <c r="A13" s="6" t="s">
        <v>55</v>
      </c>
      <c r="B13" s="6" t="s">
        <v>31</v>
      </c>
      <c r="C13" s="6" t="s">
        <v>12</v>
      </c>
      <c r="D13" s="7" t="s">
        <v>56</v>
      </c>
      <c r="E13" s="8" t="s">
        <v>57</v>
      </c>
      <c r="F13" s="6" t="s">
        <v>58</v>
      </c>
      <c r="G13" s="9" t="s">
        <v>58</v>
      </c>
      <c r="H13" s="10" t="s">
        <v>12</v>
      </c>
      <c r="I13" s="11" t="s">
        <v>12</v>
      </c>
      <c r="J13" s="12"/>
    </row>
    <row r="14" spans="1:10" ht="60" customHeight="1">
      <c r="A14" s="6" t="s">
        <v>25</v>
      </c>
      <c r="B14" s="6" t="s">
        <v>20</v>
      </c>
      <c r="C14" s="6" t="s">
        <v>12</v>
      </c>
      <c r="D14" s="7" t="s">
        <v>59</v>
      </c>
      <c r="E14" s="8" t="s">
        <v>60</v>
      </c>
      <c r="F14" s="6" t="s">
        <v>61</v>
      </c>
      <c r="G14" s="9" t="s">
        <v>61</v>
      </c>
      <c r="H14" s="10" t="s">
        <v>12</v>
      </c>
      <c r="I14" s="11" t="s">
        <v>12</v>
      </c>
      <c r="J14" s="12"/>
    </row>
    <row r="15" spans="1:10" ht="60" customHeight="1">
      <c r="A15" s="6" t="s">
        <v>62</v>
      </c>
      <c r="B15" s="6" t="s">
        <v>20</v>
      </c>
      <c r="C15" s="6" t="s">
        <v>12</v>
      </c>
      <c r="D15" s="7" t="s">
        <v>17</v>
      </c>
      <c r="E15" s="8" t="s">
        <v>63</v>
      </c>
      <c r="F15" s="6" t="s">
        <v>64</v>
      </c>
      <c r="G15" s="9" t="s">
        <v>64</v>
      </c>
      <c r="H15" s="10" t="s">
        <v>12</v>
      </c>
      <c r="I15" s="11" t="s">
        <v>12</v>
      </c>
      <c r="J15" s="12"/>
    </row>
    <row r="16" spans="1:10" ht="60" customHeight="1">
      <c r="A16" s="6" t="s">
        <v>65</v>
      </c>
      <c r="B16" s="6" t="s">
        <v>24</v>
      </c>
      <c r="C16" s="6" t="s">
        <v>12</v>
      </c>
      <c r="D16" s="7" t="s">
        <v>66</v>
      </c>
      <c r="E16" s="8" t="s">
        <v>67</v>
      </c>
      <c r="F16" s="6" t="s">
        <v>68</v>
      </c>
      <c r="G16" s="9" t="s">
        <v>68</v>
      </c>
      <c r="H16" s="10" t="s">
        <v>12</v>
      </c>
      <c r="I16" s="11" t="s">
        <v>12</v>
      </c>
      <c r="J16" s="12"/>
    </row>
    <row r="17" spans="1:10" ht="60" customHeight="1">
      <c r="A17" s="6" t="s">
        <v>69</v>
      </c>
      <c r="B17" s="6" t="s">
        <v>16</v>
      </c>
      <c r="C17" s="6" t="s">
        <v>12</v>
      </c>
      <c r="D17" s="7" t="s">
        <v>17</v>
      </c>
      <c r="E17" s="8" t="s">
        <v>70</v>
      </c>
      <c r="F17" s="6" t="s">
        <v>71</v>
      </c>
      <c r="G17" s="9" t="s">
        <v>71</v>
      </c>
      <c r="H17" s="10" t="s">
        <v>12</v>
      </c>
      <c r="I17" s="11" t="s">
        <v>12</v>
      </c>
      <c r="J17" s="12"/>
    </row>
    <row r="18" spans="1:10" ht="60" customHeight="1">
      <c r="A18" s="6" t="s">
        <v>72</v>
      </c>
      <c r="B18" s="6" t="s">
        <v>16</v>
      </c>
      <c r="C18" s="6" t="s">
        <v>73</v>
      </c>
      <c r="D18" s="7" t="s">
        <v>17</v>
      </c>
      <c r="E18" s="8" t="s">
        <v>74</v>
      </c>
      <c r="F18" s="6" t="s">
        <v>75</v>
      </c>
      <c r="G18" s="9" t="s">
        <v>75</v>
      </c>
      <c r="H18" s="10" t="s">
        <v>12</v>
      </c>
      <c r="I18" s="11" t="s">
        <v>12</v>
      </c>
      <c r="J18" s="12"/>
    </row>
    <row r="19" spans="1:10" ht="60" customHeight="1">
      <c r="A19" s="6" t="s">
        <v>76</v>
      </c>
      <c r="B19" s="6" t="s">
        <v>20</v>
      </c>
      <c r="C19" s="6" t="s">
        <v>12</v>
      </c>
      <c r="D19" s="7" t="s">
        <v>17</v>
      </c>
      <c r="E19" s="8" t="s">
        <v>77</v>
      </c>
      <c r="F19" s="6" t="s">
        <v>78</v>
      </c>
      <c r="G19" s="9" t="s">
        <v>78</v>
      </c>
      <c r="H19" s="10" t="s">
        <v>12</v>
      </c>
      <c r="I19" s="11" t="s">
        <v>12</v>
      </c>
      <c r="J19" s="12"/>
    </row>
    <row r="20" spans="1:10" ht="60" customHeight="1">
      <c r="A20" s="6" t="s">
        <v>79</v>
      </c>
      <c r="B20" s="6" t="s">
        <v>20</v>
      </c>
      <c r="C20" s="6" t="s">
        <v>12</v>
      </c>
      <c r="D20" s="7" t="s">
        <v>80</v>
      </c>
      <c r="E20" s="8" t="s">
        <v>81</v>
      </c>
      <c r="F20" s="6" t="s">
        <v>82</v>
      </c>
      <c r="G20" s="9" t="s">
        <v>82</v>
      </c>
      <c r="H20" s="10" t="s">
        <v>12</v>
      </c>
      <c r="I20" s="11" t="s">
        <v>12</v>
      </c>
      <c r="J20" s="12"/>
    </row>
    <row r="21" spans="1:10" ht="60" customHeight="1">
      <c r="A21" s="6" t="s">
        <v>83</v>
      </c>
      <c r="B21" s="6" t="s">
        <v>16</v>
      </c>
      <c r="C21" s="6" t="s">
        <v>12</v>
      </c>
      <c r="D21" s="7" t="s">
        <v>17</v>
      </c>
      <c r="E21" s="8" t="s">
        <v>84</v>
      </c>
      <c r="F21" s="6" t="s">
        <v>85</v>
      </c>
      <c r="G21" s="9" t="s">
        <v>85</v>
      </c>
      <c r="H21" s="10" t="s">
        <v>12</v>
      </c>
      <c r="I21" s="11" t="s">
        <v>12</v>
      </c>
      <c r="J21" s="12"/>
    </row>
    <row r="22" spans="1:10" ht="60" customHeight="1">
      <c r="A22" s="6" t="s">
        <v>86</v>
      </c>
      <c r="B22" s="6" t="s">
        <v>31</v>
      </c>
      <c r="C22" s="6" t="s">
        <v>12</v>
      </c>
      <c r="D22" s="7" t="s">
        <v>87</v>
      </c>
      <c r="E22" s="8" t="s">
        <v>88</v>
      </c>
      <c r="F22" s="6" t="s">
        <v>89</v>
      </c>
      <c r="G22" s="9" t="s">
        <v>89</v>
      </c>
      <c r="H22" s="10" t="s">
        <v>12</v>
      </c>
      <c r="I22" s="11" t="s">
        <v>12</v>
      </c>
      <c r="J22" s="12"/>
    </row>
    <row r="23" spans="1:10" ht="60" customHeight="1">
      <c r="A23" s="6" t="s">
        <v>90</v>
      </c>
      <c r="B23" s="6" t="s">
        <v>28</v>
      </c>
      <c r="C23" s="6" t="s">
        <v>12</v>
      </c>
      <c r="D23" s="7" t="s">
        <v>91</v>
      </c>
      <c r="E23" s="8" t="s">
        <v>92</v>
      </c>
      <c r="F23" s="6" t="s">
        <v>93</v>
      </c>
      <c r="G23" s="9" t="s">
        <v>93</v>
      </c>
      <c r="H23" s="10" t="s">
        <v>12</v>
      </c>
      <c r="I23" s="11" t="s">
        <v>12</v>
      </c>
      <c r="J23" s="12"/>
    </row>
    <row r="24" spans="1:10" ht="60" customHeight="1">
      <c r="A24" s="6" t="s">
        <v>94</v>
      </c>
      <c r="B24" s="6" t="s">
        <v>31</v>
      </c>
      <c r="C24" s="6" t="s">
        <v>12</v>
      </c>
      <c r="D24" s="7" t="s">
        <v>95</v>
      </c>
      <c r="E24" s="8" t="s">
        <v>96</v>
      </c>
      <c r="F24" s="6" t="s">
        <v>97</v>
      </c>
      <c r="G24" s="9" t="s">
        <v>97</v>
      </c>
      <c r="H24" s="10" t="s">
        <v>12</v>
      </c>
      <c r="I24" s="11" t="s">
        <v>12</v>
      </c>
      <c r="J24" s="12"/>
    </row>
    <row r="25" spans="1:10" ht="60" customHeight="1">
      <c r="A25" s="6" t="s">
        <v>98</v>
      </c>
      <c r="B25" s="6" t="s">
        <v>28</v>
      </c>
      <c r="C25" s="6" t="s">
        <v>12</v>
      </c>
      <c r="D25" s="7" t="s">
        <v>17</v>
      </c>
      <c r="E25" s="8" t="s">
        <v>99</v>
      </c>
      <c r="F25" s="6" t="s">
        <v>100</v>
      </c>
      <c r="G25" s="9" t="s">
        <v>100</v>
      </c>
      <c r="H25" s="10" t="s">
        <v>12</v>
      </c>
      <c r="I25" s="11" t="s">
        <v>12</v>
      </c>
      <c r="J25" s="12"/>
    </row>
    <row r="26" spans="1:10" ht="60" customHeight="1">
      <c r="A26" s="6" t="s">
        <v>101</v>
      </c>
      <c r="B26" s="6" t="s">
        <v>24</v>
      </c>
      <c r="C26" s="6" t="s">
        <v>12</v>
      </c>
      <c r="D26" s="7" t="s">
        <v>17</v>
      </c>
      <c r="E26" s="8" t="s">
        <v>102</v>
      </c>
      <c r="F26" s="6" t="s">
        <v>103</v>
      </c>
      <c r="G26" s="9" t="s">
        <v>103</v>
      </c>
      <c r="H26" s="10" t="s">
        <v>12</v>
      </c>
      <c r="I26" s="11" t="s">
        <v>12</v>
      </c>
      <c r="J26" s="12"/>
    </row>
    <row r="27" spans="1:10" ht="60" customHeight="1">
      <c r="A27" s="6" t="s">
        <v>104</v>
      </c>
      <c r="B27" s="6" t="s">
        <v>35</v>
      </c>
      <c r="C27" s="6" t="s">
        <v>12</v>
      </c>
      <c r="D27" s="7" t="s">
        <v>105</v>
      </c>
      <c r="E27" s="8" t="s">
        <v>106</v>
      </c>
      <c r="F27" s="6" t="s">
        <v>107</v>
      </c>
      <c r="G27" s="9" t="s">
        <v>107</v>
      </c>
      <c r="H27" s="10" t="s">
        <v>12</v>
      </c>
      <c r="I27" s="11" t="s">
        <v>12</v>
      </c>
      <c r="J27" s="12"/>
    </row>
    <row r="28" spans="1:10" ht="60" customHeight="1">
      <c r="A28" s="6" t="s">
        <v>108</v>
      </c>
      <c r="B28" s="6" t="s">
        <v>20</v>
      </c>
      <c r="C28" s="6" t="s">
        <v>12</v>
      </c>
      <c r="D28" s="7" t="s">
        <v>109</v>
      </c>
      <c r="E28" s="8" t="s">
        <v>110</v>
      </c>
      <c r="F28" s="6" t="s">
        <v>111</v>
      </c>
      <c r="G28" s="9" t="s">
        <v>111</v>
      </c>
      <c r="H28" s="10" t="s">
        <v>12</v>
      </c>
      <c r="I28" s="11" t="s">
        <v>12</v>
      </c>
      <c r="J28" s="12"/>
    </row>
    <row r="29" spans="1:10" ht="60" customHeight="1">
      <c r="A29" s="6" t="s">
        <v>112</v>
      </c>
      <c r="B29" s="6" t="s">
        <v>20</v>
      </c>
      <c r="C29" s="6" t="s">
        <v>12</v>
      </c>
      <c r="D29" s="7" t="s">
        <v>113</v>
      </c>
      <c r="E29" s="8" t="s">
        <v>114</v>
      </c>
      <c r="F29" s="6" t="s">
        <v>115</v>
      </c>
      <c r="G29" s="9" t="s">
        <v>115</v>
      </c>
      <c r="H29" s="10" t="s">
        <v>12</v>
      </c>
      <c r="I29" s="11" t="s">
        <v>12</v>
      </c>
      <c r="J29" s="12"/>
    </row>
    <row r="30" spans="1:10" ht="60" customHeight="1">
      <c r="A30" s="6" t="s">
        <v>11</v>
      </c>
      <c r="B30" s="6" t="s">
        <v>28</v>
      </c>
      <c r="C30" s="6" t="s">
        <v>12</v>
      </c>
      <c r="D30" s="7" t="s">
        <v>116</v>
      </c>
      <c r="E30" s="8" t="s">
        <v>117</v>
      </c>
      <c r="F30" s="6" t="s">
        <v>118</v>
      </c>
      <c r="G30" s="9" t="s">
        <v>118</v>
      </c>
      <c r="H30" s="10" t="s">
        <v>12</v>
      </c>
      <c r="I30" s="11" t="s">
        <v>12</v>
      </c>
      <c r="J30" s="12"/>
    </row>
    <row r="31" spans="1:10" ht="60" customHeight="1">
      <c r="A31" s="6" t="s">
        <v>119</v>
      </c>
      <c r="B31" s="6" t="s">
        <v>28</v>
      </c>
      <c r="C31" s="6" t="s">
        <v>12</v>
      </c>
      <c r="D31" s="7" t="s">
        <v>17</v>
      </c>
      <c r="E31" s="8" t="s">
        <v>120</v>
      </c>
      <c r="F31" s="6" t="s">
        <v>121</v>
      </c>
      <c r="G31" s="9" t="s">
        <v>121</v>
      </c>
      <c r="H31" s="10" t="s">
        <v>12</v>
      </c>
      <c r="I31" s="11" t="s">
        <v>12</v>
      </c>
      <c r="J31" s="12"/>
    </row>
    <row r="32" spans="1:10" ht="60" customHeight="1">
      <c r="A32" s="6" t="s">
        <v>122</v>
      </c>
      <c r="B32" s="6" t="s">
        <v>51</v>
      </c>
      <c r="C32" s="6" t="s">
        <v>12</v>
      </c>
      <c r="D32" s="7" t="s">
        <v>123</v>
      </c>
      <c r="E32" s="8" t="s">
        <v>124</v>
      </c>
      <c r="F32" s="6" t="s">
        <v>125</v>
      </c>
      <c r="G32" s="9" t="s">
        <v>125</v>
      </c>
      <c r="H32" s="10" t="s">
        <v>12</v>
      </c>
      <c r="I32" s="11" t="s">
        <v>12</v>
      </c>
      <c r="J32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80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126</v>
      </c>
      <c r="B1" s="13" t="s">
        <v>127</v>
      </c>
      <c r="C1" s="13" t="s">
        <v>128</v>
      </c>
      <c r="D1" s="13" t="s">
        <v>129</v>
      </c>
      <c r="E1" s="14" t="s">
        <v>130</v>
      </c>
      <c r="F1" s="15" t="s">
        <v>131</v>
      </c>
      <c r="G1" s="16" t="s">
        <v>132</v>
      </c>
      <c r="H1" s="17" t="s">
        <v>133</v>
      </c>
      <c r="I1" s="18" t="s">
        <v>134</v>
      </c>
      <c r="J1" s="18" t="s">
        <v>135</v>
      </c>
      <c r="K1" s="18" t="s">
        <v>136</v>
      </c>
      <c r="L1" s="19" t="s">
        <v>9</v>
      </c>
    </row>
    <row r="2" spans="1:12">
      <c r="A2" s="20" t="s">
        <v>137</v>
      </c>
    </row>
    <row r="3" spans="1:12">
      <c r="A3" s="20" t="s">
        <v>138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139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140</v>
      </c>
      <c r="B5" s="27" t="s">
        <v>141</v>
      </c>
      <c r="C5" s="27" t="s">
        <v>142</v>
      </c>
      <c r="D5" s="27" t="s">
        <v>143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144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145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146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147</v>
      </c>
      <c r="B9" s="27" t="s">
        <v>148</v>
      </c>
      <c r="C9" s="27" t="s">
        <v>149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150</v>
      </c>
      <c r="B10" s="27" t="s">
        <v>151</v>
      </c>
      <c r="C10" s="27" t="s">
        <v>152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153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154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 t="s">
        <v>155</v>
      </c>
      <c r="B13" s="27" t="s">
        <v>156</v>
      </c>
      <c r="C13" s="27" t="s">
        <v>142</v>
      </c>
      <c r="D13" s="27" t="s">
        <v>143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 t="s">
        <v>157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139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158</v>
      </c>
      <c r="B16" s="27" t="s">
        <v>151</v>
      </c>
      <c r="C16" s="27" t="s">
        <v>142</v>
      </c>
      <c r="D16" s="27" t="s">
        <v>143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159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160</v>
      </c>
      <c r="B18" s="27" t="s">
        <v>151</v>
      </c>
      <c r="C18" s="27" t="s">
        <v>161</v>
      </c>
      <c r="D18" s="27" t="s">
        <v>143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162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 t="s">
        <v>163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157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164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165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166</v>
      </c>
      <c r="B24" s="27" t="s">
        <v>148</v>
      </c>
      <c r="C24" s="27" t="s">
        <v>149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154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167</v>
      </c>
      <c r="B26" s="27" t="s">
        <v>156</v>
      </c>
      <c r="C26" s="27" t="s">
        <v>142</v>
      </c>
      <c r="D26" s="27" t="s">
        <v>143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168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169</v>
      </c>
      <c r="B28" s="27" t="s">
        <v>148</v>
      </c>
      <c r="C28" s="27" t="s">
        <v>161</v>
      </c>
      <c r="D28" s="27" t="s">
        <v>143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157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170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158</v>
      </c>
      <c r="B31" s="27" t="s">
        <v>171</v>
      </c>
      <c r="C31" s="27" t="s">
        <v>172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173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 t="s">
        <v>174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 t="s">
        <v>168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 t="s">
        <v>175</v>
      </c>
      <c r="B35" s="27" t="s">
        <v>141</v>
      </c>
      <c r="C35" s="27" t="s">
        <v>176</v>
      </c>
      <c r="D35" s="27" t="s">
        <v>143</v>
      </c>
      <c r="E35" s="21">
        <f>IF(D35="?OLD","!!!","")</f>
        <v/>
      </c>
      <c r="F35" s="22" t="str">
        <f>IF(OR(E35="",E35="!!!"),"",IF(NOT(ISNA(VLOOKUP(E35,E$1:E34,1,FALSE()))),"OLD",IF(AND(E35&lt;&gt;"",E35&lt;&gt;"!!!"),"NEW","")))</f>
        <v> </v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4" t="str">
        <f>IF(J35&lt;&gt;1,"",IF(I35="SBJ","CB","?"))</f>
        <v> </v>
      </c>
      <c r="I35" s="25" t="str">
        <f>IF(OR(E35="",E35="!!!",F35="NEW"),"",INDEX(B34:B$2,-1+SUMPRODUCT(MAX(ROW(E34:E$2)*(E35=E34:E$2)))))</f>
        <v> </v>
      </c>
      <c r="J35" s="25" t="str">
        <f>IF(OR(E35="",E35="!!!",F35="NEW"),"",COUNTBLANK(OFFSET(A$1,,,SUMPRODUCT(MAX(ROW(E$2:E35)*(E35=E$2:E35)))))-COUNTBLANK(OFFSET(A$1,,,SUMPRODUCT(MAX(ROW(E$1:E34)*(E2=E$1:E34))))))</f>
        <v> </v>
      </c>
      <c r="K35" s="25" t="str">
        <f>IF(OR(E35="",E35="!!!",F35="NEW"),"",INDEX(J$1:J34,SUMPRODUCT(MAX(ROW(E$1:E34)*(E35=E$1:E34)))))</f>
        <v> </v>
      </c>
      <c r="L35" s="26"/>
    </row>
    <row r="36" spans="1:12">
      <c r="A36" s="20" t="s">
        <v>177</v>
      </c>
      <c r="E36" s="21">
        <f>IF(D36="?OLD","!!!","")</f>
        <v/>
      </c>
      <c r="F36" s="22" t="str">
        <f>IF(OR(E36="",E36="!!!"),"",IF(NOT(ISNA(VLOOKUP(E36,E$1:E35,1,FALSE()))),"OLD",IF(AND(E36&lt;&gt;"",E36&lt;&gt;"!!!"),"NEW","")))</f>
        <v> </v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4" t="str">
        <f>IF(J36&lt;&gt;1,"",IF(I36="SBJ","CB","?"))</f>
        <v> </v>
      </c>
      <c r="I36" s="25" t="str">
        <f>IF(OR(E36="",E36="!!!",F36="NEW"),"",INDEX(B35:B$2,-1+SUMPRODUCT(MAX(ROW(E35:E$2)*(E36=E35:E$2)))))</f>
        <v> </v>
      </c>
      <c r="J36" s="25" t="str">
        <f>IF(OR(E36="",E36="!!!",F36="NEW"),"",COUNTBLANK(OFFSET(A$1,,,SUMPRODUCT(MAX(ROW(E$2:E36)*(E36=E$2:E36)))))-COUNTBLANK(OFFSET(A$1,,,SUMPRODUCT(MAX(ROW(E$1:E35)*(E2=E$1:E35))))))</f>
        <v> </v>
      </c>
      <c r="K36" s="25" t="str">
        <f>IF(OR(E36="",E36="!!!",F36="NEW"),"",INDEX(J$1:J35,SUMPRODUCT(MAX(ROW(E$1:E35)*(E36=E$1:E35)))))</f>
        <v> </v>
      </c>
      <c r="L36" s="26"/>
    </row>
    <row r="37" spans="1:12">
      <c r="A37" s="20" t="s">
        <v>178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 t="s">
        <v>21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179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180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181</v>
      </c>
      <c r="B41" s="27" t="s">
        <v>182</v>
      </c>
      <c r="C41" s="27" t="s">
        <v>142</v>
      </c>
      <c r="D41" s="27" t="s">
        <v>143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159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183</v>
      </c>
      <c r="B43" s="27" t="s">
        <v>156</v>
      </c>
      <c r="C43" s="27" t="s">
        <v>142</v>
      </c>
      <c r="D43" s="27" t="s">
        <v>143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184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154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185</v>
      </c>
      <c r="B46" s="27" t="s">
        <v>148</v>
      </c>
      <c r="C46" s="27" t="s">
        <v>142</v>
      </c>
      <c r="D46" s="27" t="s">
        <v>143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186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/>
    </row>
    <row r="49" spans="1:12">
      <c r="A49" s="20" t="s">
        <v>187</v>
      </c>
    </row>
    <row r="50" spans="1:12">
      <c r="A50" s="20" t="s">
        <v>188</v>
      </c>
      <c r="E50" s="21">
        <f>IF(D50="?OLD","!!!","")</f>
        <v/>
      </c>
      <c r="F50" s="22" t="str">
        <f>IF(OR(E50="",E50="!!!"),"",IF(NOT(ISNA(VLOOKUP(E50,E$1:E49,1,FALSE()))),"OLD",IF(AND(E50&lt;&gt;"",E50&lt;&gt;"!!!"),"NEW","")))</f>
        <v> </v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4" t="str">
        <f>IF(J50&lt;&gt;1,"",IF(I50="SBJ","CB","?"))</f>
        <v> </v>
      </c>
      <c r="I50" s="25" t="str">
        <f>IF(OR(E50="",E50="!!!",F50="NEW"),"",INDEX(B49:B$2,-1+SUMPRODUCT(MAX(ROW(E49:E$2)*(E50=E49:E$2)))))</f>
        <v> </v>
      </c>
      <c r="J50" s="25" t="str">
        <f>IF(OR(E50="",E50="!!!",F50="NEW"),"",COUNTBLANK(OFFSET(A$1,,,SUMPRODUCT(MAX(ROW(E$2:E50)*(E50=E$2:E50)))))-COUNTBLANK(OFFSET(A$1,,,SUMPRODUCT(MAX(ROW(E$1:E49)*(E2=E$1:E49))))))</f>
        <v> </v>
      </c>
      <c r="K50" s="25" t="str">
        <f>IF(OR(E50="",E50="!!!",F50="NEW"),"",INDEX(J$1:J49,SUMPRODUCT(MAX(ROW(E$1:E49)*(E50=E$1:E49)))))</f>
        <v> </v>
      </c>
      <c r="L50" s="26"/>
    </row>
    <row r="51" spans="1:12">
      <c r="A51" s="20" t="s">
        <v>165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 t="s">
        <v>189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190</v>
      </c>
      <c r="B53" s="27" t="s">
        <v>171</v>
      </c>
      <c r="C53" s="27" t="s">
        <v>142</v>
      </c>
      <c r="D53" s="27" t="s">
        <v>143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166</v>
      </c>
      <c r="B54" s="27" t="s">
        <v>182</v>
      </c>
      <c r="C54" s="27" t="s">
        <v>149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159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140</v>
      </c>
      <c r="B56" s="27" t="s">
        <v>191</v>
      </c>
      <c r="C56" s="27" t="s">
        <v>142</v>
      </c>
      <c r="D56" s="27" t="s">
        <v>143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168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/>
    </row>
    <row r="59" spans="1:12">
      <c r="A59" s="20" t="s">
        <v>192</v>
      </c>
    </row>
    <row r="60" spans="1:12">
      <c r="A60" s="20" t="s">
        <v>193</v>
      </c>
      <c r="B60" s="27" t="s">
        <v>171</v>
      </c>
      <c r="C60" s="27" t="s">
        <v>194</v>
      </c>
      <c r="D60" s="27" t="s">
        <v>143</v>
      </c>
      <c r="E60" s="21">
        <f>IF(D60="?OLD","!!!","")</f>
        <v/>
      </c>
      <c r="F60" s="22" t="str">
        <f>IF(OR(E60="",E60="!!!"),"",IF(NOT(ISNA(VLOOKUP(E60,E$1:E59,1,FALSE()))),"OLD",IF(AND(E60&lt;&gt;"",E60&lt;&gt;"!!!"),"NEW","")))</f>
        <v> </v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4" t="str">
        <f>IF(J60&lt;&gt;1,"",IF(I60="SBJ","CB","?"))</f>
        <v> </v>
      </c>
      <c r="I60" s="25" t="str">
        <f>IF(OR(E60="",E60="!!!",F60="NEW"),"",INDEX(B59:B$2,-1+SUMPRODUCT(MAX(ROW(E59:E$2)*(E60=E59:E$2)))))</f>
        <v> </v>
      </c>
      <c r="J60" s="25" t="str">
        <f>IF(OR(E60="",E60="!!!",F60="NEW"),"",COUNTBLANK(OFFSET(A$1,,,SUMPRODUCT(MAX(ROW(E$2:E60)*(E60=E$2:E60)))))-COUNTBLANK(OFFSET(A$1,,,SUMPRODUCT(MAX(ROW(E$1:E59)*(E2=E$1:E59))))))</f>
        <v> </v>
      </c>
      <c r="K60" s="25" t="str">
        <f>IF(OR(E60="",E60="!!!",F60="NEW"),"",INDEX(J$1:J59,SUMPRODUCT(MAX(ROW(E$1:E59)*(E60=E$1:E59)))))</f>
        <v> </v>
      </c>
      <c r="L60" s="26"/>
    </row>
    <row r="61" spans="1:12">
      <c r="A61" s="20" t="s">
        <v>21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 t="s">
        <v>179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 t="s">
        <v>180</v>
      </c>
      <c r="E63" s="21">
        <f>IF(D63="?OLD","!!!","")</f>
        <v/>
      </c>
      <c r="F63" s="22" t="str">
        <f>IF(OR(E63="",E63="!!!"),"",IF(NOT(ISNA(VLOOKUP(E63,E$1:E62,1,FALSE()))),"OLD",IF(AND(E63&lt;&gt;"",E63&lt;&gt;"!!!"),"NEW","")))</f>
        <v> </v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4" t="str">
        <f>IF(J63&lt;&gt;1,"",IF(I63="SBJ","CB","?"))</f>
        <v> </v>
      </c>
      <c r="I63" s="25" t="str">
        <f>IF(OR(E63="",E63="!!!",F63="NEW"),"",INDEX(B62:B$2,-1+SUMPRODUCT(MAX(ROW(E62:E$2)*(E63=E62:E$2)))))</f>
        <v> </v>
      </c>
      <c r="J63" s="25" t="str">
        <f>IF(OR(E63="",E63="!!!",F63="NEW"),"",COUNTBLANK(OFFSET(A$1,,,SUMPRODUCT(MAX(ROW(E$2:E63)*(E63=E$2:E63)))))-COUNTBLANK(OFFSET(A$1,,,SUMPRODUCT(MAX(ROW(E$1:E62)*(E2=E$1:E62))))))</f>
        <v> </v>
      </c>
      <c r="K63" s="25" t="str">
        <f>IF(OR(E63="",E63="!!!",F63="NEW"),"",INDEX(J$1:J62,SUMPRODUCT(MAX(ROW(E$1:E62)*(E63=E$1:E62)))))</f>
        <v> </v>
      </c>
      <c r="L63" s="26"/>
    </row>
    <row r="64" spans="1:12">
      <c r="A64" s="20" t="s">
        <v>181</v>
      </c>
      <c r="B64" s="27" t="s">
        <v>191</v>
      </c>
      <c r="C64" s="27" t="s">
        <v>142</v>
      </c>
      <c r="D64" s="27" t="s">
        <v>143</v>
      </c>
      <c r="E64" s="21">
        <f>IF(D64="?OLD","!!!","")</f>
        <v/>
      </c>
      <c r="F64" s="22" t="str">
        <f>IF(OR(E64="",E64="!!!"),"",IF(NOT(ISNA(VLOOKUP(E64,E$1:E63,1,FALSE()))),"OLD",IF(AND(E64&lt;&gt;"",E64&lt;&gt;"!!!"),"NEW","")))</f>
        <v> </v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4" t="str">
        <f>IF(J64&lt;&gt;1,"",IF(I64="SBJ","CB","?"))</f>
        <v> </v>
      </c>
      <c r="I64" s="25" t="str">
        <f>IF(OR(E64="",E64="!!!",F64="NEW"),"",INDEX(B63:B$2,-1+SUMPRODUCT(MAX(ROW(E63:E$2)*(E64=E63:E$2)))))</f>
        <v> </v>
      </c>
      <c r="J64" s="25" t="str">
        <f>IF(OR(E64="",E64="!!!",F64="NEW"),"",COUNTBLANK(OFFSET(A$1,,,SUMPRODUCT(MAX(ROW(E$2:E64)*(E64=E$2:E64)))))-COUNTBLANK(OFFSET(A$1,,,SUMPRODUCT(MAX(ROW(E$1:E63)*(E2=E$1:E63))))))</f>
        <v> </v>
      </c>
      <c r="K64" s="25" t="str">
        <f>IF(OR(E64="",E64="!!!",F64="NEW"),"",INDEX(J$1:J63,SUMPRODUCT(MAX(ROW(E$1:E63)*(E64=E$1:E63)))))</f>
        <v> </v>
      </c>
      <c r="L64" s="26"/>
    </row>
    <row r="65" spans="1:12">
      <c r="A65" s="20" t="s">
        <v>159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183</v>
      </c>
      <c r="B66" s="27" t="s">
        <v>182</v>
      </c>
      <c r="C66" s="27" t="s">
        <v>142</v>
      </c>
      <c r="D66" s="27" t="s">
        <v>143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184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154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185</v>
      </c>
      <c r="B69" s="27" t="s">
        <v>156</v>
      </c>
      <c r="C69" s="27" t="s">
        <v>142</v>
      </c>
      <c r="D69" s="27" t="s">
        <v>143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195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/>
    </row>
    <row r="72" spans="1:12">
      <c r="A72" s="20" t="s">
        <v>196</v>
      </c>
    </row>
    <row r="73" spans="1:12">
      <c r="A73" s="20" t="s">
        <v>197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179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180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181</v>
      </c>
      <c r="B76" s="27" t="s">
        <v>191</v>
      </c>
      <c r="C76" s="27" t="s">
        <v>142</v>
      </c>
      <c r="D76" s="27" t="s">
        <v>143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198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199</v>
      </c>
      <c r="B78" s="27" t="s">
        <v>182</v>
      </c>
      <c r="C78" s="27" t="s">
        <v>142</v>
      </c>
      <c r="D78" s="27" t="s">
        <v>143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200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184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154</v>
      </c>
      <c r="E81" s="21">
        <f>IF(D81="?OLD","!!!","")</f>
        <v/>
      </c>
      <c r="F81" s="22" t="str">
        <f>IF(OR(E81="",E81="!!!"),"",IF(NOT(ISNA(VLOOKUP(E81,E$1:E80,1,FALSE()))),"OLD",IF(AND(E81&lt;&gt;"",E81&lt;&gt;"!!!"),"NEW","")))</f>
        <v> </v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4" t="str">
        <f>IF(J81&lt;&gt;1,"",IF(I81="SBJ","CB","?"))</f>
        <v> </v>
      </c>
      <c r="I81" s="25" t="str">
        <f>IF(OR(E81="",E81="!!!",F81="NEW"),"",INDEX(B80:B$2,-1+SUMPRODUCT(MAX(ROW(E80:E$2)*(E81=E80:E$2)))))</f>
        <v> </v>
      </c>
      <c r="J81" s="25" t="str">
        <f>IF(OR(E81="",E81="!!!",F81="NEW"),"",COUNTBLANK(OFFSET(A$1,,,SUMPRODUCT(MAX(ROW(E$2:E81)*(E81=E$2:E81)))))-COUNTBLANK(OFFSET(A$1,,,SUMPRODUCT(MAX(ROW(E$1:E80)*(E2=E$1:E80))))))</f>
        <v> </v>
      </c>
      <c r="K81" s="25" t="str">
        <f>IF(OR(E81="",E81="!!!",F81="NEW"),"",INDEX(J$1:J80,SUMPRODUCT(MAX(ROW(E$1:E80)*(E81=E$1:E80)))))</f>
        <v> </v>
      </c>
      <c r="L81" s="26"/>
    </row>
    <row r="82" spans="1:12">
      <c r="A82" s="20" t="s">
        <v>185</v>
      </c>
      <c r="B82" s="27" t="s">
        <v>191</v>
      </c>
      <c r="C82" s="27" t="s">
        <v>142</v>
      </c>
      <c r="D82" s="27" t="s">
        <v>143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 t="s">
        <v>201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158</v>
      </c>
      <c r="B84" s="27" t="s">
        <v>202</v>
      </c>
      <c r="C84" s="27" t="s">
        <v>172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 t="s">
        <v>173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168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 t="s">
        <v>203</v>
      </c>
      <c r="B87" s="27" t="s">
        <v>191</v>
      </c>
      <c r="C87" s="27" t="s">
        <v>172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178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 t="s">
        <v>204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157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205</v>
      </c>
      <c r="B91" s="27" t="s">
        <v>141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206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 t="s">
        <v>178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207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 t="s">
        <v>157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208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209</v>
      </c>
      <c r="B97" s="27" t="s">
        <v>151</v>
      </c>
      <c r="C97" s="27" t="s">
        <v>176</v>
      </c>
      <c r="D97" s="27" t="s">
        <v>143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 t="s">
        <v>178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 t="s">
        <v>210</v>
      </c>
      <c r="E99" s="21">
        <f>IF(D99="?OLD","!!!","")</f>
        <v/>
      </c>
      <c r="F99" s="22" t="str">
        <f>IF(OR(E99="",E99="!!!"),"",IF(NOT(ISNA(VLOOKUP(E99,E$1:E98,1,FALSE()))),"OLD",IF(AND(E99&lt;&gt;"",E99&lt;&gt;"!!!"),"NEW","")))</f>
        <v> </v>
      </c>
      <c r="G99" s="23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4" t="str">
        <f>IF(J99&lt;&gt;1,"",IF(I99="SBJ","CB","?"))</f>
        <v> </v>
      </c>
      <c r="I99" s="25" t="str">
        <f>IF(OR(E99="",E99="!!!",F99="NEW"),"",INDEX(B98:B$2,-1+SUMPRODUCT(MAX(ROW(E98:E$2)*(E99=E98:E$2)))))</f>
        <v> </v>
      </c>
      <c r="J99" s="25" t="str">
        <f>IF(OR(E99="",E99="!!!",F99="NEW"),"",COUNTBLANK(OFFSET(A$1,,,SUMPRODUCT(MAX(ROW(E$2:E99)*(E99=E$2:E99)))))-COUNTBLANK(OFFSET(A$1,,,SUMPRODUCT(MAX(ROW(E$1:E98)*(E2=E$1:E98))))))</f>
        <v> </v>
      </c>
      <c r="K99" s="25" t="str">
        <f>IF(OR(E99="",E99="!!!",F99="NEW"),"",INDEX(J$1:J98,SUMPRODUCT(MAX(ROW(E$1:E98)*(E99=E$1:E98)))))</f>
        <v> </v>
      </c>
      <c r="L99" s="26"/>
    </row>
    <row r="100" spans="1:12">
      <c r="A100" s="20" t="s">
        <v>211</v>
      </c>
      <c r="E100" s="21">
        <f>IF(D100="?OLD","!!!","")</f>
        <v/>
      </c>
      <c r="F100" s="22" t="str">
        <f>IF(OR(E100="",E100="!!!"),"",IF(NOT(ISNA(VLOOKUP(E100,E$1:E99,1,FALSE()))),"OLD",IF(AND(E100&lt;&gt;"",E100&lt;&gt;"!!!"),"NEW","")))</f>
        <v> </v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4" t="str">
        <f>IF(J100&lt;&gt;1,"",IF(I100="SBJ","CB","?"))</f>
        <v> </v>
      </c>
      <c r="I100" s="25" t="str">
        <f>IF(OR(E100="",E100="!!!",F100="NEW"),"",INDEX(B99:B$2,-1+SUMPRODUCT(MAX(ROW(E99:E$2)*(E100=E99:E$2)))))</f>
        <v> </v>
      </c>
      <c r="J100" s="25" t="str">
        <f>IF(OR(E100="",E100="!!!",F100="NEW"),"",COUNTBLANK(OFFSET(A$1,,,SUMPRODUCT(MAX(ROW(E$2:E100)*(E100=E$2:E100)))))-COUNTBLANK(OFFSET(A$1,,,SUMPRODUCT(MAX(ROW(E$1:E99)*(E2=E$1:E99))))))</f>
        <v> </v>
      </c>
      <c r="K100" s="25" t="str">
        <f>IF(OR(E100="",E100="!!!",F100="NEW"),"",INDEX(J$1:J99,SUMPRODUCT(MAX(ROW(E$1:E99)*(E100=E$1:E99)))))</f>
        <v> </v>
      </c>
      <c r="L100" s="26"/>
    </row>
    <row r="101" spans="1:12">
      <c r="A101" s="20"/>
    </row>
    <row r="102" spans="1:12">
      <c r="A102" s="20" t="s">
        <v>212</v>
      </c>
    </row>
    <row r="103" spans="1:12">
      <c r="A103" s="20" t="s">
        <v>188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165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139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140</v>
      </c>
      <c r="B106" s="27" t="s">
        <v>171</v>
      </c>
      <c r="C106" s="27" t="s">
        <v>142</v>
      </c>
      <c r="D106" s="27" t="s">
        <v>143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166</v>
      </c>
      <c r="B107" s="27" t="s">
        <v>182</v>
      </c>
      <c r="C107" s="27" t="s">
        <v>149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154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167</v>
      </c>
      <c r="B109" s="27" t="s">
        <v>191</v>
      </c>
      <c r="C109" s="27" t="s">
        <v>142</v>
      </c>
      <c r="D109" s="27" t="s">
        <v>143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168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 t="s">
        <v>175</v>
      </c>
      <c r="B111" s="27" t="s">
        <v>151</v>
      </c>
      <c r="C111" s="27" t="s">
        <v>176</v>
      </c>
      <c r="D111" s="27" t="s">
        <v>143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213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 t="s">
        <v>214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 t="s">
        <v>198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 t="s">
        <v>215</v>
      </c>
      <c r="B115" s="27" t="s">
        <v>156</v>
      </c>
      <c r="C115" s="27" t="s">
        <v>142</v>
      </c>
      <c r="D115" s="27" t="s">
        <v>143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216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195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/>
    </row>
    <row r="119" spans="1:12">
      <c r="A119" s="20" t="s">
        <v>217</v>
      </c>
    </row>
    <row r="120" spans="1:12">
      <c r="A120" s="20" t="s">
        <v>218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 t="s">
        <v>158</v>
      </c>
      <c r="B121" s="27" t="s">
        <v>171</v>
      </c>
      <c r="C121" s="27" t="s">
        <v>172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 t="s">
        <v>219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 t="s">
        <v>157</v>
      </c>
      <c r="E123" s="21">
        <f>IF(D123="?OLD","!!!","")</f>
        <v/>
      </c>
      <c r="F123" s="22" t="str">
        <f>IF(OR(E123="",E123="!!!"),"",IF(NOT(ISNA(VLOOKUP(E123,E$1:E122,1,FALSE()))),"OLD",IF(AND(E123&lt;&gt;"",E123&lt;&gt;"!!!"),"NEW","")))</f>
        <v> </v>
      </c>
      <c r="G123" s="23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4" t="str">
        <f>IF(J123&lt;&gt;1,"",IF(I123="SBJ","CB","?"))</f>
        <v> </v>
      </c>
      <c r="I123" s="25" t="str">
        <f>IF(OR(E123="",E123="!!!",F123="NEW"),"",INDEX(B122:B$2,-1+SUMPRODUCT(MAX(ROW(E122:E$2)*(E123=E122:E$2)))))</f>
        <v> </v>
      </c>
      <c r="J123" s="25" t="str">
        <f>IF(OR(E123="",E123="!!!",F123="NEW"),"",COUNTBLANK(OFFSET(A$1,,,SUMPRODUCT(MAX(ROW(E$2:E123)*(E123=E$2:E123)))))-COUNTBLANK(OFFSET(A$1,,,SUMPRODUCT(MAX(ROW(E$1:E122)*(E2=E$1:E122))))))</f>
        <v> </v>
      </c>
      <c r="K123" s="25" t="str">
        <f>IF(OR(E123="",E123="!!!",F123="NEW"),"",INDEX(J$1:J122,SUMPRODUCT(MAX(ROW(E$1:E122)*(E123=E$1:E122)))))</f>
        <v> </v>
      </c>
      <c r="L123" s="26"/>
    </row>
    <row r="124" spans="1:12">
      <c r="A124" s="20" t="s">
        <v>208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 t="s">
        <v>157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220</v>
      </c>
      <c r="B126" s="27" t="s">
        <v>151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 t="s">
        <v>221</v>
      </c>
      <c r="B127" s="27" t="s">
        <v>222</v>
      </c>
      <c r="C127" s="27" t="s">
        <v>172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 t="s">
        <v>209</v>
      </c>
      <c r="B128" s="27" t="s">
        <v>222</v>
      </c>
      <c r="C128" s="27" t="s">
        <v>176</v>
      </c>
      <c r="D128" s="27" t="s">
        <v>143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 t="s">
        <v>204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 t="s">
        <v>223</v>
      </c>
      <c r="E130" s="21">
        <f>IF(D130="?OLD","!!!","")</f>
        <v/>
      </c>
      <c r="F130" s="22" t="str">
        <f>IF(OR(E130="",E130="!!!"),"",IF(NOT(ISNA(VLOOKUP(E130,E$1:E129,1,FALSE()))),"OLD",IF(AND(E130&lt;&gt;"",E130&lt;&gt;"!!!"),"NEW","")))</f>
        <v> </v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4" t="str">
        <f>IF(J130&lt;&gt;1,"",IF(I130="SBJ","CB","?"))</f>
        <v> </v>
      </c>
      <c r="I130" s="25" t="str">
        <f>IF(OR(E130="",E130="!!!",F130="NEW"),"",INDEX(B129:B$2,-1+SUMPRODUCT(MAX(ROW(E129:E$2)*(E130=E129:E$2)))))</f>
        <v> </v>
      </c>
      <c r="J130" s="25" t="str">
        <f>IF(OR(E130="",E130="!!!",F130="NEW"),"",COUNTBLANK(OFFSET(A$1,,,SUMPRODUCT(MAX(ROW(E$2:E130)*(E130=E$2:E130)))))-COUNTBLANK(OFFSET(A$1,,,SUMPRODUCT(MAX(ROW(E$1:E129)*(E2=E$1:E129))))))</f>
        <v> </v>
      </c>
      <c r="K130" s="25" t="str">
        <f>IF(OR(E130="",E130="!!!",F130="NEW"),"",INDEX(J$1:J129,SUMPRODUCT(MAX(ROW(E$1:E129)*(E130=E$1:E129)))))</f>
        <v> </v>
      </c>
      <c r="L130" s="26"/>
    </row>
    <row r="131" spans="1:12">
      <c r="A131" s="20" t="s">
        <v>157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 t="s">
        <v>224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225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 t="s">
        <v>226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227</v>
      </c>
      <c r="B135" s="27" t="s">
        <v>228</v>
      </c>
      <c r="C135" s="27" t="s">
        <v>229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 t="s">
        <v>230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157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164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213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231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232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158</v>
      </c>
      <c r="B142" s="27" t="s">
        <v>148</v>
      </c>
      <c r="C142" s="27" t="s">
        <v>172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164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32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157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233</v>
      </c>
      <c r="B146" s="27" t="s">
        <v>234</v>
      </c>
      <c r="C146" s="27" t="s">
        <v>194</v>
      </c>
      <c r="D146" s="27" t="s">
        <v>143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 t="s">
        <v>235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 t="s">
        <v>164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 t="s">
        <v>236</v>
      </c>
      <c r="E149" s="21">
        <f>IF(D149="?OLD","!!!","")</f>
        <v/>
      </c>
      <c r="F149" s="22" t="str">
        <f>IF(OR(E149="",E149="!!!"),"",IF(NOT(ISNA(VLOOKUP(E149,E$1:E148,1,FALSE()))),"OLD",IF(AND(E149&lt;&gt;"",E149&lt;&gt;"!!!"),"NEW","")))</f>
        <v> </v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4" t="str">
        <f>IF(J149&lt;&gt;1,"",IF(I149="SBJ","CB","?"))</f>
        <v> </v>
      </c>
      <c r="I149" s="25" t="str">
        <f>IF(OR(E149="",E149="!!!",F149="NEW"),"",INDEX(B148:B$2,-1+SUMPRODUCT(MAX(ROW(E148:E$2)*(E149=E148:E$2)))))</f>
        <v> </v>
      </c>
      <c r="J149" s="25" t="str">
        <f>IF(OR(E149="",E149="!!!",F149="NEW"),"",COUNTBLANK(OFFSET(A$1,,,SUMPRODUCT(MAX(ROW(E$2:E149)*(E149=E$2:E149)))))-COUNTBLANK(OFFSET(A$1,,,SUMPRODUCT(MAX(ROW(E$1:E148)*(E2=E$1:E148))))))</f>
        <v> </v>
      </c>
      <c r="K149" s="25" t="str">
        <f>IF(OR(E149="",E149="!!!",F149="NEW"),"",INDEX(J$1:J148,SUMPRODUCT(MAX(ROW(E$1:E148)*(E149=E$1:E148)))))</f>
        <v> </v>
      </c>
      <c r="L149" s="26"/>
    </row>
    <row r="150" spans="1:12">
      <c r="A150" s="20" t="s">
        <v>237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 t="s">
        <v>211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/>
    </row>
    <row r="153" spans="1:12">
      <c r="A153" s="20" t="s">
        <v>238</v>
      </c>
    </row>
    <row r="154" spans="1:12">
      <c r="A154" s="20" t="s">
        <v>138</v>
      </c>
      <c r="E154" s="21">
        <f>IF(D154="?OLD","!!!","")</f>
        <v/>
      </c>
      <c r="F154" s="22" t="str">
        <f>IF(OR(E154="",E154="!!!"),"",IF(NOT(ISNA(VLOOKUP(E154,E$1:E153,1,FALSE()))),"OLD",IF(AND(E154&lt;&gt;"",E154&lt;&gt;"!!!"),"NEW","")))</f>
        <v> </v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4" t="str">
        <f>IF(J154&lt;&gt;1,"",IF(I154="SBJ","CB","?"))</f>
        <v> </v>
      </c>
      <c r="I154" s="25" t="str">
        <f>IF(OR(E154="",E154="!!!",F154="NEW"),"",INDEX(B153:B$2,-1+SUMPRODUCT(MAX(ROW(E153:E$2)*(E154=E153:E$2)))))</f>
        <v> </v>
      </c>
      <c r="J154" s="25" t="str">
        <f>IF(OR(E154="",E154="!!!",F154="NEW"),"",COUNTBLANK(OFFSET(A$1,,,SUMPRODUCT(MAX(ROW(E$2:E154)*(E154=E$2:E154)))))-COUNTBLANK(OFFSET(A$1,,,SUMPRODUCT(MAX(ROW(E$1:E153)*(E2=E$1:E153))))))</f>
        <v> </v>
      </c>
      <c r="K154" s="25" t="str">
        <f>IF(OR(E154="",E154="!!!",F154="NEW"),"",INDEX(J$1:J153,SUMPRODUCT(MAX(ROW(E$1:E153)*(E154=E$1:E153)))))</f>
        <v> </v>
      </c>
      <c r="L154" s="26"/>
    </row>
    <row r="155" spans="1:12">
      <c r="A155" s="20" t="s">
        <v>189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 t="s">
        <v>190</v>
      </c>
      <c r="B156" s="27" t="s">
        <v>171</v>
      </c>
      <c r="C156" s="27" t="s">
        <v>142</v>
      </c>
      <c r="D156" s="27" t="s">
        <v>143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239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207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157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208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 t="s">
        <v>179</v>
      </c>
      <c r="E161" s="21">
        <f>IF(D161="?OLD","!!!","")</f>
        <v/>
      </c>
      <c r="F161" s="22" t="str">
        <f>IF(OR(E161="",E161="!!!"),"",IF(NOT(ISNA(VLOOKUP(E161,E$1:E160,1,FALSE()))),"OLD",IF(AND(E161&lt;&gt;"",E161&lt;&gt;"!!!"),"NEW","")))</f>
        <v> </v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4" t="str">
        <f>IF(J161&lt;&gt;1,"",IF(I161="SBJ","CB","?"))</f>
        <v> </v>
      </c>
      <c r="I161" s="25" t="str">
        <f>IF(OR(E161="",E161="!!!",F161="NEW"),"",INDEX(B160:B$2,-1+SUMPRODUCT(MAX(ROW(E160:E$2)*(E161=E160:E$2)))))</f>
        <v> </v>
      </c>
      <c r="J161" s="25" t="str">
        <f>IF(OR(E161="",E161="!!!",F161="NEW"),"",COUNTBLANK(OFFSET(A$1,,,SUMPRODUCT(MAX(ROW(E$2:E161)*(E161=E$2:E161)))))-COUNTBLANK(OFFSET(A$1,,,SUMPRODUCT(MAX(ROW(E$1:E160)*(E2=E$1:E160))))))</f>
        <v> </v>
      </c>
      <c r="K161" s="25" t="str">
        <f>IF(OR(E161="",E161="!!!",F161="NEW"),"",INDEX(J$1:J160,SUMPRODUCT(MAX(ROW(E$1:E160)*(E161=E$1:E160)))))</f>
        <v> </v>
      </c>
      <c r="L161" s="26"/>
    </row>
    <row r="162" spans="1:12">
      <c r="A162" s="20" t="s">
        <v>154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 t="s">
        <v>240</v>
      </c>
      <c r="B163" s="27" t="s">
        <v>182</v>
      </c>
      <c r="C163" s="27" t="s">
        <v>142</v>
      </c>
      <c r="D163" s="27" t="s">
        <v>143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 t="s">
        <v>235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166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 t="s">
        <v>21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241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164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208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 t="s">
        <v>242</v>
      </c>
      <c r="B170" s="27" t="s">
        <v>141</v>
      </c>
      <c r="C170" s="27" t="s">
        <v>176</v>
      </c>
      <c r="D170" s="27" t="s">
        <v>143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 t="s">
        <v>243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244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164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245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 t="s">
        <v>246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 t="s">
        <v>240</v>
      </c>
      <c r="B176" s="27" t="s">
        <v>182</v>
      </c>
      <c r="C176" s="27" t="s">
        <v>247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 t="s">
        <v>241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 t="s">
        <v>157</v>
      </c>
      <c r="E178" s="21">
        <f>IF(D178="?OLD","!!!","")</f>
        <v/>
      </c>
      <c r="F178" s="22" t="str">
        <f>IF(OR(E178="",E178="!!!"),"",IF(NOT(ISNA(VLOOKUP(E178,E$1:E177,1,FALSE()))),"OLD",IF(AND(E178&lt;&gt;"",E178&lt;&gt;"!!!"),"NEW","")))</f>
        <v> </v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4" t="str">
        <f>IF(J178&lt;&gt;1,"",IF(I178="SBJ","CB","?"))</f>
        <v> </v>
      </c>
      <c r="I178" s="25" t="str">
        <f>IF(OR(E178="",E178="!!!",F178="NEW"),"",INDEX(B177:B$2,-1+SUMPRODUCT(MAX(ROW(E177:E$2)*(E178=E177:E$2)))))</f>
        <v> </v>
      </c>
      <c r="J178" s="25" t="str">
        <f>IF(OR(E178="",E178="!!!",F178="NEW"),"",COUNTBLANK(OFFSET(A$1,,,SUMPRODUCT(MAX(ROW(E$2:E178)*(E178=E$2:E178)))))-COUNTBLANK(OFFSET(A$1,,,SUMPRODUCT(MAX(ROW(E$1:E177)*(E2=E$1:E177))))))</f>
        <v> </v>
      </c>
      <c r="K178" s="25" t="str">
        <f>IF(OR(E178="",E178="!!!",F178="NEW"),"",INDEX(J$1:J177,SUMPRODUCT(MAX(ROW(E$1:E177)*(E178=E$1:E177)))))</f>
        <v> </v>
      </c>
      <c r="L178" s="26"/>
    </row>
    <row r="179" spans="1:12">
      <c r="A179" s="20" t="s">
        <v>248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242</v>
      </c>
      <c r="B180" s="27" t="s">
        <v>151</v>
      </c>
      <c r="C180" s="27" t="s">
        <v>176</v>
      </c>
      <c r="D180" s="27" t="s">
        <v>143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249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250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195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 t="s">
        <v>164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 t="s">
        <v>251</v>
      </c>
      <c r="B185" s="27" t="s">
        <v>141</v>
      </c>
      <c r="C185" s="27" t="s">
        <v>194</v>
      </c>
      <c r="D185" s="27" t="s">
        <v>143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252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 t="s">
        <v>179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159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 t="s">
        <v>253</v>
      </c>
      <c r="B189" s="27" t="s">
        <v>156</v>
      </c>
      <c r="C189" s="27" t="s">
        <v>142</v>
      </c>
      <c r="D189" s="27" t="s">
        <v>143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 t="s">
        <v>164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254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164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255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256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257</v>
      </c>
      <c r="B195" s="27" t="s">
        <v>258</v>
      </c>
      <c r="C195" s="27" t="s">
        <v>229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 t="s">
        <v>206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204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157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164</v>
      </c>
      <c r="E199" s="21">
        <f>IF(D199="?OLD","!!!","")</f>
        <v/>
      </c>
      <c r="F199" s="22" t="str">
        <f>IF(OR(E199="",E199="!!!"),"",IF(NOT(ISNA(VLOOKUP(E199,E$1:E198,1,FALSE()))),"OLD",IF(AND(E199&lt;&gt;"",E199&lt;&gt;"!!!"),"NEW","")))</f>
        <v> </v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4" t="str">
        <f>IF(J199&lt;&gt;1,"",IF(I199="SBJ","CB","?"))</f>
        <v> </v>
      </c>
      <c r="I199" s="25" t="str">
        <f>IF(OR(E199="",E199="!!!",F199="NEW"),"",INDEX(B198:B$2,-1+SUMPRODUCT(MAX(ROW(E198:E$2)*(E199=E198:E$2)))))</f>
        <v> </v>
      </c>
      <c r="J199" s="25" t="str">
        <f>IF(OR(E199="",E199="!!!",F199="NEW"),"",COUNTBLANK(OFFSET(A$1,,,SUMPRODUCT(MAX(ROW(E$2:E199)*(E199=E$2:E199)))))-COUNTBLANK(OFFSET(A$1,,,SUMPRODUCT(MAX(ROW(E$1:E198)*(E2=E$1:E198))))))</f>
        <v> </v>
      </c>
      <c r="K199" s="25" t="str">
        <f>IF(OR(E199="",E199="!!!",F199="NEW"),"",INDEX(J$1:J198,SUMPRODUCT(MAX(ROW(E$1:E198)*(E199=E$1:E198)))))</f>
        <v> </v>
      </c>
      <c r="L199" s="26"/>
    </row>
    <row r="200" spans="1:12">
      <c r="A200" s="20" t="s">
        <v>242</v>
      </c>
      <c r="B200" s="27" t="s">
        <v>141</v>
      </c>
      <c r="C200" s="27" t="s">
        <v>176</v>
      </c>
      <c r="D200" s="27" t="s">
        <v>143</v>
      </c>
      <c r="E200" s="21">
        <f>IF(D200="?OLD","!!!","")</f>
        <v/>
      </c>
      <c r="F200" s="22" t="str">
        <f>IF(OR(E200="",E200="!!!"),"",IF(NOT(ISNA(VLOOKUP(E200,E$1:E199,1,FALSE()))),"OLD",IF(AND(E200&lt;&gt;"",E200&lt;&gt;"!!!"),"NEW","")))</f>
        <v> </v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4" t="str">
        <f>IF(J200&lt;&gt;1,"",IF(I200="SBJ","CB","?"))</f>
        <v> </v>
      </c>
      <c r="I200" s="25" t="str">
        <f>IF(OR(E200="",E200="!!!",F200="NEW"),"",INDEX(B199:B$2,-1+SUMPRODUCT(MAX(ROW(E199:E$2)*(E200=E199:E$2)))))</f>
        <v> </v>
      </c>
      <c r="J200" s="25" t="str">
        <f>IF(OR(E200="",E200="!!!",F200="NEW"),"",COUNTBLANK(OFFSET(A$1,,,SUMPRODUCT(MAX(ROW(E$2:E200)*(E200=E$2:E200)))))-COUNTBLANK(OFFSET(A$1,,,SUMPRODUCT(MAX(ROW(E$1:E199)*(E2=E$1:E199))))))</f>
        <v> </v>
      </c>
      <c r="K200" s="25" t="str">
        <f>IF(OR(E200="",E200="!!!",F200="NEW"),"",INDEX(J$1:J199,SUMPRODUCT(MAX(ROW(E$1:E199)*(E200=E$1:E199)))))</f>
        <v> </v>
      </c>
      <c r="L200" s="26"/>
    </row>
    <row r="201" spans="1:12">
      <c r="A201" s="20" t="s">
        <v>254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211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/>
    </row>
    <row r="204" spans="1:12">
      <c r="A204" s="20" t="s">
        <v>259</v>
      </c>
    </row>
    <row r="205" spans="1:12">
      <c r="A205" s="20" t="s">
        <v>188</v>
      </c>
      <c r="E205" s="21">
        <f>IF(D205="?OLD","!!!","")</f>
        <v/>
      </c>
      <c r="F205" s="22" t="str">
        <f>IF(OR(E205="",E205="!!!"),"",IF(NOT(ISNA(VLOOKUP(E205,E$1:E204,1,FALSE()))),"OLD",IF(AND(E205&lt;&gt;"",E205&lt;&gt;"!!!"),"NEW","")))</f>
        <v> </v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4" t="str">
        <f>IF(J205&lt;&gt;1,"",IF(I205="SBJ","CB","?"))</f>
        <v> </v>
      </c>
      <c r="I205" s="25" t="str">
        <f>IF(OR(E205="",E205="!!!",F205="NEW"),"",INDEX(B204:B$2,-1+SUMPRODUCT(MAX(ROW(E204:E$2)*(E205=E204:E$2)))))</f>
        <v> </v>
      </c>
      <c r="J205" s="25" t="str">
        <f>IF(OR(E205="",E205="!!!",F205="NEW"),"",COUNTBLANK(OFFSET(A$1,,,SUMPRODUCT(MAX(ROW(E$2:E205)*(E205=E$2:E205)))))-COUNTBLANK(OFFSET(A$1,,,SUMPRODUCT(MAX(ROW(E$1:E204)*(E2=E$1:E204))))))</f>
        <v> </v>
      </c>
      <c r="K205" s="25" t="str">
        <f>IF(OR(E205="",E205="!!!",F205="NEW"),"",INDEX(J$1:J204,SUMPRODUCT(MAX(ROW(E$1:E204)*(E205=E$1:E204)))))</f>
        <v> </v>
      </c>
      <c r="L205" s="26"/>
    </row>
    <row r="206" spans="1:12">
      <c r="A206" s="20" t="s">
        <v>260</v>
      </c>
      <c r="E206" s="21">
        <f>IF(D206="?OLD","!!!","")</f>
        <v/>
      </c>
      <c r="F206" s="22" t="str">
        <f>IF(OR(E206="",E206="!!!"),"",IF(NOT(ISNA(VLOOKUP(E206,E$1:E205,1,FALSE()))),"OLD",IF(AND(E206&lt;&gt;"",E206&lt;&gt;"!!!"),"NEW","")))</f>
        <v> </v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4" t="str">
        <f>IF(J206&lt;&gt;1,"",IF(I206="SBJ","CB","?"))</f>
        <v> </v>
      </c>
      <c r="I206" s="25" t="str">
        <f>IF(OR(E206="",E206="!!!",F206="NEW"),"",INDEX(B205:B$2,-1+SUMPRODUCT(MAX(ROW(E205:E$2)*(E206=E205:E$2)))))</f>
        <v> </v>
      </c>
      <c r="J206" s="25" t="str">
        <f>IF(OR(E206="",E206="!!!",F206="NEW"),"",COUNTBLANK(OFFSET(A$1,,,SUMPRODUCT(MAX(ROW(E$2:E206)*(E206=E$2:E206)))))-COUNTBLANK(OFFSET(A$1,,,SUMPRODUCT(MAX(ROW(E$1:E205)*(E2=E$1:E205))))))</f>
        <v> </v>
      </c>
      <c r="K206" s="25" t="str">
        <f>IF(OR(E206="",E206="!!!",F206="NEW"),"",INDEX(J$1:J205,SUMPRODUCT(MAX(ROW(E$1:E205)*(E206=E$1:E205)))))</f>
        <v> </v>
      </c>
      <c r="L206" s="26"/>
    </row>
    <row r="207" spans="1:12">
      <c r="A207" s="20" t="s">
        <v>261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262</v>
      </c>
      <c r="B208" s="27" t="s">
        <v>182</v>
      </c>
      <c r="C208" s="27" t="s">
        <v>149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227</v>
      </c>
      <c r="B209" s="27" t="s">
        <v>171</v>
      </c>
      <c r="C209" s="27" t="s">
        <v>263</v>
      </c>
      <c r="D209" s="27" t="s">
        <v>143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 t="s">
        <v>230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157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 t="s">
        <v>164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 t="s">
        <v>251</v>
      </c>
      <c r="B213" s="27" t="s">
        <v>141</v>
      </c>
      <c r="C213" s="27" t="s">
        <v>194</v>
      </c>
      <c r="D213" s="27" t="s">
        <v>143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 t="s">
        <v>260</v>
      </c>
      <c r="E214" s="21">
        <f>IF(D214="?OLD","!!!","")</f>
        <v/>
      </c>
      <c r="F214" s="22" t="str">
        <f>IF(OR(E214="",E214="!!!"),"",IF(NOT(ISNA(VLOOKUP(E214,E$1:E213,1,FALSE()))),"OLD",IF(AND(E214&lt;&gt;"",E214&lt;&gt;"!!!"),"NEW","")))</f>
        <v> </v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4" t="str">
        <f>IF(J214&lt;&gt;1,"",IF(I214="SBJ","CB","?"))</f>
        <v> </v>
      </c>
      <c r="I214" s="25" t="str">
        <f>IF(OR(E214="",E214="!!!",F214="NEW"),"",INDEX(B213:B$2,-1+SUMPRODUCT(MAX(ROW(E213:E$2)*(E214=E213:E$2)))))</f>
        <v> </v>
      </c>
      <c r="J214" s="25" t="str">
        <f>IF(OR(E214="",E214="!!!",F214="NEW"),"",COUNTBLANK(OFFSET(A$1,,,SUMPRODUCT(MAX(ROW(E$2:E214)*(E214=E$2:E214)))))-COUNTBLANK(OFFSET(A$1,,,SUMPRODUCT(MAX(ROW(E$1:E213)*(E2=E$1:E213))))))</f>
        <v> </v>
      </c>
      <c r="K214" s="25" t="str">
        <f>IF(OR(E214="",E214="!!!",F214="NEW"),"",INDEX(J$1:J213,SUMPRODUCT(MAX(ROW(E$1:E213)*(E214=E$1:E213)))))</f>
        <v> </v>
      </c>
      <c r="L214" s="26"/>
    </row>
    <row r="215" spans="1:12">
      <c r="A215" s="20" t="s">
        <v>264</v>
      </c>
      <c r="E215" s="21">
        <f>IF(D215="?OLD","!!!","")</f>
        <v/>
      </c>
      <c r="F215" s="22" t="str">
        <f>IF(OR(E215="",E215="!!!"),"",IF(NOT(ISNA(VLOOKUP(E215,E$1:E214,1,FALSE()))),"OLD",IF(AND(E215&lt;&gt;"",E215&lt;&gt;"!!!"),"NEW","")))</f>
        <v> </v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4" t="str">
        <f>IF(J215&lt;&gt;1,"",IF(I215="SBJ","CB","?"))</f>
        <v> </v>
      </c>
      <c r="I215" s="25" t="str">
        <f>IF(OR(E215="",E215="!!!",F215="NEW"),"",INDEX(B214:B$2,-1+SUMPRODUCT(MAX(ROW(E214:E$2)*(E215=E214:E$2)))))</f>
        <v> </v>
      </c>
      <c r="J215" s="25" t="str">
        <f>IF(OR(E215="",E215="!!!",F215="NEW"),"",COUNTBLANK(OFFSET(A$1,,,SUMPRODUCT(MAX(ROW(E$2:E215)*(E215=E$2:E215)))))-COUNTBLANK(OFFSET(A$1,,,SUMPRODUCT(MAX(ROW(E$1:E214)*(E2=E$1:E214))))))</f>
        <v> </v>
      </c>
      <c r="K215" s="25" t="str">
        <f>IF(OR(E215="",E215="!!!",F215="NEW"),"",INDEX(J$1:J214,SUMPRODUCT(MAX(ROW(E$1:E214)*(E215=E$1:E214)))))</f>
        <v> </v>
      </c>
      <c r="L215" s="26"/>
    </row>
    <row r="216" spans="1:12">
      <c r="A216" s="20" t="s">
        <v>157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 t="s">
        <v>208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251</v>
      </c>
      <c r="B218" s="27" t="s">
        <v>234</v>
      </c>
      <c r="C218" s="27" t="s">
        <v>194</v>
      </c>
      <c r="D218" s="27" t="s">
        <v>143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265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266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 t="s">
        <v>157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 t="s">
        <v>164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 t="s">
        <v>267</v>
      </c>
      <c r="E223" s="21">
        <f>IF(D223="?OLD","!!!","")</f>
        <v/>
      </c>
      <c r="F223" s="22" t="str">
        <f>IF(OR(E223="",E223="!!!"),"",IF(NOT(ISNA(VLOOKUP(E223,E$1:E222,1,FALSE()))),"OLD",IF(AND(E223&lt;&gt;"",E223&lt;&gt;"!!!"),"NEW","")))</f>
        <v> </v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4" t="str">
        <f>IF(J223&lt;&gt;1,"",IF(I223="SBJ","CB","?"))</f>
        <v> </v>
      </c>
      <c r="I223" s="25" t="str">
        <f>IF(OR(E223="",E223="!!!",F223="NEW"),"",INDEX(B222:B$2,-1+SUMPRODUCT(MAX(ROW(E222:E$2)*(E223=E222:E$2)))))</f>
        <v> </v>
      </c>
      <c r="J223" s="25" t="str">
        <f>IF(OR(E223="",E223="!!!",F223="NEW"),"",COUNTBLANK(OFFSET(A$1,,,SUMPRODUCT(MAX(ROW(E$2:E223)*(E223=E$2:E223)))))-COUNTBLANK(OFFSET(A$1,,,SUMPRODUCT(MAX(ROW(E$1:E222)*(E2=E$1:E222))))))</f>
        <v> </v>
      </c>
      <c r="K223" s="25" t="str">
        <f>IF(OR(E223="",E223="!!!",F223="NEW"),"",INDEX(J$1:J222,SUMPRODUCT(MAX(ROW(E$1:E222)*(E223=E$1:E222)))))</f>
        <v> </v>
      </c>
      <c r="L223" s="26"/>
    </row>
    <row r="224" spans="1:12">
      <c r="A224" s="20" t="s">
        <v>268</v>
      </c>
      <c r="B224" s="27" t="s">
        <v>151</v>
      </c>
      <c r="C224" s="27" t="s">
        <v>172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 t="s">
        <v>269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 t="s">
        <v>164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 t="s">
        <v>270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271</v>
      </c>
      <c r="B228" s="27" t="s">
        <v>272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273</v>
      </c>
      <c r="B229" s="27" t="s">
        <v>156</v>
      </c>
      <c r="C229" s="27" t="s">
        <v>172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211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/>
    </row>
    <row r="232" spans="1:12">
      <c r="A232" s="20" t="s">
        <v>274</v>
      </c>
    </row>
    <row r="233" spans="1:12">
      <c r="A233" s="20" t="s">
        <v>138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251</v>
      </c>
      <c r="B234" s="27" t="s">
        <v>171</v>
      </c>
      <c r="C234" s="27" t="s">
        <v>194</v>
      </c>
      <c r="D234" s="27" t="s">
        <v>143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275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139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 t="s">
        <v>276</v>
      </c>
      <c r="B237" s="27" t="s">
        <v>202</v>
      </c>
      <c r="C237" s="27" t="s">
        <v>142</v>
      </c>
      <c r="D237" s="27" t="s">
        <v>143</v>
      </c>
      <c r="E237" s="21">
        <f>IF(D237="?OLD","!!!","")</f>
        <v/>
      </c>
      <c r="F237" s="22" t="str">
        <f>IF(OR(E237="",E237="!!!"),"",IF(NOT(ISNA(VLOOKUP(E237,E$1:E236,1,FALSE()))),"OLD",IF(AND(E237&lt;&gt;"",E237&lt;&gt;"!!!"),"NEW","")))</f>
        <v> </v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4" t="str">
        <f>IF(J237&lt;&gt;1,"",IF(I237="SBJ","CB","?"))</f>
        <v> </v>
      </c>
      <c r="I237" s="25" t="str">
        <f>IF(OR(E237="",E237="!!!",F237="NEW"),"",INDEX(B236:B$2,-1+SUMPRODUCT(MAX(ROW(E236:E$2)*(E237=E236:E$2)))))</f>
        <v> </v>
      </c>
      <c r="J237" s="25" t="str">
        <f>IF(OR(E237="",E237="!!!",F237="NEW"),"",COUNTBLANK(OFFSET(A$1,,,SUMPRODUCT(MAX(ROW(E$2:E237)*(E237=E$2:E237)))))-COUNTBLANK(OFFSET(A$1,,,SUMPRODUCT(MAX(ROW(E$1:E236)*(E2=E$1:E236))))))</f>
        <v> </v>
      </c>
      <c r="K237" s="25" t="str">
        <f>IF(OR(E237="",E237="!!!",F237="NEW"),"",INDEX(J$1:J236,SUMPRODUCT(MAX(ROW(E$1:E236)*(E237=E$1:E236)))))</f>
        <v> </v>
      </c>
      <c r="L237" s="26"/>
    </row>
    <row r="238" spans="1:12">
      <c r="A238" s="20" t="s">
        <v>277</v>
      </c>
      <c r="B238" s="27" t="s">
        <v>182</v>
      </c>
      <c r="C238" s="27" t="s">
        <v>278</v>
      </c>
      <c r="D238" s="27" t="s">
        <v>143</v>
      </c>
      <c r="E238" s="21">
        <f>IF(D238="?OLD","!!!","")</f>
        <v/>
      </c>
      <c r="F238" s="22" t="str">
        <f>IF(OR(E238="",E238="!!!"),"",IF(NOT(ISNA(VLOOKUP(E238,E$1:E237,1,FALSE()))),"OLD",IF(AND(E238&lt;&gt;"",E238&lt;&gt;"!!!"),"NEW","")))</f>
        <v> </v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4" t="str">
        <f>IF(J238&lt;&gt;1,"",IF(I238="SBJ","CB","?"))</f>
        <v> </v>
      </c>
      <c r="I238" s="25" t="str">
        <f>IF(OR(E238="",E238="!!!",F238="NEW"),"",INDEX(B237:B$2,-1+SUMPRODUCT(MAX(ROW(E237:E$2)*(E238=E237:E$2)))))</f>
        <v> </v>
      </c>
      <c r="J238" s="25" t="str">
        <f>IF(OR(E238="",E238="!!!",F238="NEW"),"",COUNTBLANK(OFFSET(A$1,,,SUMPRODUCT(MAX(ROW(E$2:E238)*(E238=E$2:E238)))))-COUNTBLANK(OFFSET(A$1,,,SUMPRODUCT(MAX(ROW(E$1:E237)*(E2=E$1:E237))))))</f>
        <v> </v>
      </c>
      <c r="K238" s="25" t="str">
        <f>IF(OR(E238="",E238="!!!",F238="NEW"),"",INDEX(J$1:J237,SUMPRODUCT(MAX(ROW(E$1:E237)*(E238=E$1:E237)))))</f>
        <v> </v>
      </c>
      <c r="L238" s="26"/>
    </row>
    <row r="239" spans="1:12">
      <c r="A239" s="20" t="s">
        <v>198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279</v>
      </c>
      <c r="B240" s="27" t="s">
        <v>156</v>
      </c>
      <c r="C240" s="27" t="s">
        <v>161</v>
      </c>
      <c r="D240" s="27" t="s">
        <v>143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 t="s">
        <v>157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159</v>
      </c>
      <c r="B242" s="27" t="s">
        <v>141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184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154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185</v>
      </c>
      <c r="B245" s="27" t="s">
        <v>182</v>
      </c>
      <c r="C245" s="27" t="s">
        <v>142</v>
      </c>
      <c r="D245" s="27" t="s">
        <v>143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 t="s">
        <v>280</v>
      </c>
      <c r="E246" s="21">
        <f>IF(D246="?OLD","!!!","")</f>
        <v/>
      </c>
      <c r="F246" s="22" t="str">
        <f>IF(OR(E246="",E246="!!!"),"",IF(NOT(ISNA(VLOOKUP(E246,E$1:E245,1,FALSE()))),"OLD",IF(AND(E246&lt;&gt;"",E246&lt;&gt;"!!!"),"NEW","")))</f>
        <v> </v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4" t="str">
        <f>IF(J246&lt;&gt;1,"",IF(I246="SBJ","CB","?"))</f>
        <v> </v>
      </c>
      <c r="I246" s="25" t="str">
        <f>IF(OR(E246="",E246="!!!",F246="NEW"),"",INDEX(B245:B$2,-1+SUMPRODUCT(MAX(ROW(E245:E$2)*(E246=E245:E$2)))))</f>
        <v> </v>
      </c>
      <c r="J246" s="25" t="str">
        <f>IF(OR(E246="",E246="!!!",F246="NEW"),"",COUNTBLANK(OFFSET(A$1,,,SUMPRODUCT(MAX(ROW(E$2:E246)*(E246=E$2:E246)))))-COUNTBLANK(OFFSET(A$1,,,SUMPRODUCT(MAX(ROW(E$1:E245)*(E2=E$1:E245))))))</f>
        <v> </v>
      </c>
      <c r="K246" s="25" t="str">
        <f>IF(OR(E246="",E246="!!!",F246="NEW"),"",INDEX(J$1:J245,SUMPRODUCT(MAX(ROW(E$1:E245)*(E246=E$1:E245)))))</f>
        <v> </v>
      </c>
      <c r="L246" s="26"/>
    </row>
    <row r="247" spans="1:12">
      <c r="A247" s="20" t="s">
        <v>157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 t="s">
        <v>281</v>
      </c>
      <c r="E248" s="21">
        <f>IF(D248="?OLD","!!!","")</f>
        <v/>
      </c>
      <c r="F248" s="22" t="str">
        <f>IF(OR(E248="",E248="!!!"),"",IF(NOT(ISNA(VLOOKUP(E248,E$1:E247,1,FALSE()))),"OLD",IF(AND(E248&lt;&gt;"",E248&lt;&gt;"!!!"),"NEW","")))</f>
        <v> </v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4" t="str">
        <f>IF(J248&lt;&gt;1,"",IF(I248="SBJ","CB","?"))</f>
        <v> </v>
      </c>
      <c r="I248" s="25" t="str">
        <f>IF(OR(E248="",E248="!!!",F248="NEW"),"",INDEX(B247:B$2,-1+SUMPRODUCT(MAX(ROW(E247:E$2)*(E248=E247:E$2)))))</f>
        <v> </v>
      </c>
      <c r="J248" s="25" t="str">
        <f>IF(OR(E248="",E248="!!!",F248="NEW"),"",COUNTBLANK(OFFSET(A$1,,,SUMPRODUCT(MAX(ROW(E$2:E248)*(E248=E$2:E248)))))-COUNTBLANK(OFFSET(A$1,,,SUMPRODUCT(MAX(ROW(E$1:E247)*(E2=E$1:E247))))))</f>
        <v> </v>
      </c>
      <c r="K248" s="25" t="str">
        <f>IF(OR(E248="",E248="!!!",F248="NEW"),"",INDEX(J$1:J247,SUMPRODUCT(MAX(ROW(E$1:E247)*(E248=E$1:E247)))))</f>
        <v> </v>
      </c>
      <c r="L248" s="26"/>
    </row>
    <row r="249" spans="1:12">
      <c r="A249" s="20" t="s">
        <v>159</v>
      </c>
      <c r="E249" s="21">
        <f>IF(D249="?OLD","!!!","")</f>
        <v/>
      </c>
      <c r="F249" s="22" t="str">
        <f>IF(OR(E249="",E249="!!!"),"",IF(NOT(ISNA(VLOOKUP(E249,E$1:E248,1,FALSE()))),"OLD",IF(AND(E249&lt;&gt;"",E249&lt;&gt;"!!!"),"NEW","")))</f>
        <v> </v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4" t="str">
        <f>IF(J249&lt;&gt;1,"",IF(I249="SBJ","CB","?"))</f>
        <v> </v>
      </c>
      <c r="I249" s="25" t="str">
        <f>IF(OR(E249="",E249="!!!",F249="NEW"),"",INDEX(B248:B$2,-1+SUMPRODUCT(MAX(ROW(E248:E$2)*(E249=E248:E$2)))))</f>
        <v> </v>
      </c>
      <c r="J249" s="25" t="str">
        <f>IF(OR(E249="",E249="!!!",F249="NEW"),"",COUNTBLANK(OFFSET(A$1,,,SUMPRODUCT(MAX(ROW(E$2:E249)*(E249=E$2:E249)))))-COUNTBLANK(OFFSET(A$1,,,SUMPRODUCT(MAX(ROW(E$1:E248)*(E2=E$1:E248))))))</f>
        <v> </v>
      </c>
      <c r="K249" s="25" t="str">
        <f>IF(OR(E249="",E249="!!!",F249="NEW"),"",INDEX(J$1:J248,SUMPRODUCT(MAX(ROW(E$1:E248)*(E249=E$1:E248)))))</f>
        <v> </v>
      </c>
      <c r="L249" s="26"/>
    </row>
    <row r="250" spans="1:12">
      <c r="A250" s="20" t="s">
        <v>282</v>
      </c>
      <c r="B250" s="27" t="s">
        <v>141</v>
      </c>
      <c r="C250" s="27" t="s">
        <v>142</v>
      </c>
      <c r="D250" s="27" t="s">
        <v>143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 t="s">
        <v>283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 t="s">
        <v>284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144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211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/>
    </row>
    <row r="256" spans="1:12">
      <c r="A256" s="20" t="s">
        <v>285</v>
      </c>
    </row>
    <row r="257" spans="1:12">
      <c r="A257" s="20" t="s">
        <v>138</v>
      </c>
      <c r="E257" s="21">
        <f>IF(D257="?OLD","!!!","")</f>
        <v/>
      </c>
      <c r="F257" s="22" t="str">
        <f>IF(OR(E257="",E257="!!!"),"",IF(NOT(ISNA(VLOOKUP(E257,E$1:E256,1,FALSE()))),"OLD",IF(AND(E257&lt;&gt;"",E257&lt;&gt;"!!!"),"NEW","")))</f>
        <v> </v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4" t="str">
        <f>IF(J257&lt;&gt;1,"",IF(I257="SBJ","CB","?"))</f>
        <v> </v>
      </c>
      <c r="I257" s="25" t="str">
        <f>IF(OR(E257="",E257="!!!",F257="NEW"),"",INDEX(B256:B$2,-1+SUMPRODUCT(MAX(ROW(E256:E$2)*(E257=E256:E$2)))))</f>
        <v> </v>
      </c>
      <c r="J257" s="25" t="str">
        <f>IF(OR(E257="",E257="!!!",F257="NEW"),"",COUNTBLANK(OFFSET(A$1,,,SUMPRODUCT(MAX(ROW(E$2:E257)*(E257=E$2:E257)))))-COUNTBLANK(OFFSET(A$1,,,SUMPRODUCT(MAX(ROW(E$1:E256)*(E2=E$1:E256))))))</f>
        <v> </v>
      </c>
      <c r="K257" s="25" t="str">
        <f>IF(OR(E257="",E257="!!!",F257="NEW"),"",INDEX(J$1:J256,SUMPRODUCT(MAX(ROW(E$1:E256)*(E257=E$1:E256)))))</f>
        <v> </v>
      </c>
      <c r="L257" s="26"/>
    </row>
    <row r="258" spans="1:12">
      <c r="A258" s="20" t="s">
        <v>286</v>
      </c>
      <c r="B258" s="27" t="s">
        <v>171</v>
      </c>
      <c r="C258" s="27" t="s">
        <v>161</v>
      </c>
      <c r="D258" s="27" t="s">
        <v>143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287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271</v>
      </c>
      <c r="B260" s="27" t="s">
        <v>202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288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289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167</v>
      </c>
      <c r="B263" s="27" t="s">
        <v>191</v>
      </c>
      <c r="C263" s="27" t="s">
        <v>229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290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154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291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277</v>
      </c>
      <c r="B267" s="27" t="s">
        <v>182</v>
      </c>
      <c r="C267" s="27" t="s">
        <v>278</v>
      </c>
      <c r="D267" s="27" t="s">
        <v>143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 t="s">
        <v>198</v>
      </c>
      <c r="E268" s="21">
        <f>IF(D268="?OLD","!!!","")</f>
        <v/>
      </c>
      <c r="F268" s="22" t="str">
        <f>IF(OR(E268="",E268="!!!"),"",IF(NOT(ISNA(VLOOKUP(E268,E$1:E267,1,FALSE()))),"OLD",IF(AND(E268&lt;&gt;"",E268&lt;&gt;"!!!"),"NEW","")))</f>
        <v> </v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4" t="str">
        <f>IF(J268&lt;&gt;1,"",IF(I268="SBJ","CB","?"))</f>
        <v> </v>
      </c>
      <c r="I268" s="25" t="str">
        <f>IF(OR(E268="",E268="!!!",F268="NEW"),"",INDEX(B267:B$2,-1+SUMPRODUCT(MAX(ROW(E267:E$2)*(E268=E267:E$2)))))</f>
        <v> </v>
      </c>
      <c r="J268" s="25" t="str">
        <f>IF(OR(E268="",E268="!!!",F268="NEW"),"",COUNTBLANK(OFFSET(A$1,,,SUMPRODUCT(MAX(ROW(E$2:E268)*(E268=E$2:E268)))))-COUNTBLANK(OFFSET(A$1,,,SUMPRODUCT(MAX(ROW(E$1:E267)*(E2=E$1:E267))))))</f>
        <v> </v>
      </c>
      <c r="K268" s="25" t="str">
        <f>IF(OR(E268="",E268="!!!",F268="NEW"),"",INDEX(J$1:J267,SUMPRODUCT(MAX(ROW(E$1:E267)*(E268=E$1:E267)))))</f>
        <v> </v>
      </c>
      <c r="L268" s="26"/>
    </row>
    <row r="269" spans="1:12">
      <c r="A269" s="20" t="s">
        <v>279</v>
      </c>
      <c r="B269" s="27" t="s">
        <v>156</v>
      </c>
      <c r="C269" s="27" t="s">
        <v>161</v>
      </c>
      <c r="D269" s="27" t="s">
        <v>143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 t="s">
        <v>292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 t="s">
        <v>139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 t="s">
        <v>183</v>
      </c>
      <c r="B272" s="27" t="s">
        <v>191</v>
      </c>
      <c r="C272" s="27" t="s">
        <v>142</v>
      </c>
      <c r="D272" s="27" t="s">
        <v>143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 t="s">
        <v>184</v>
      </c>
      <c r="E273" s="21">
        <f>IF(D273="?OLD","!!!","")</f>
        <v/>
      </c>
      <c r="F273" s="22" t="str">
        <f>IF(OR(E273="",E273="!!!"),"",IF(NOT(ISNA(VLOOKUP(E273,E$1:E272,1,FALSE()))),"OLD",IF(AND(E273&lt;&gt;"",E273&lt;&gt;"!!!"),"NEW","")))</f>
        <v> </v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4" t="str">
        <f>IF(J273&lt;&gt;1,"",IF(I273="SBJ","CB","?"))</f>
        <v> </v>
      </c>
      <c r="I273" s="25" t="str">
        <f>IF(OR(E273="",E273="!!!",F273="NEW"),"",INDEX(B272:B$2,-1+SUMPRODUCT(MAX(ROW(E272:E$2)*(E273=E272:E$2)))))</f>
        <v> </v>
      </c>
      <c r="J273" s="25" t="str">
        <f>IF(OR(E273="",E273="!!!",F273="NEW"),"",COUNTBLANK(OFFSET(A$1,,,SUMPRODUCT(MAX(ROW(E$2:E273)*(E273=E$2:E273)))))-COUNTBLANK(OFFSET(A$1,,,SUMPRODUCT(MAX(ROW(E$1:E272)*(E2=E$1:E272))))))</f>
        <v> </v>
      </c>
      <c r="K273" s="25" t="str">
        <f>IF(OR(E273="",E273="!!!",F273="NEW"),"",INDEX(J$1:J272,SUMPRODUCT(MAX(ROW(E$1:E272)*(E273=E$1:E272)))))</f>
        <v> </v>
      </c>
      <c r="L273" s="26"/>
    </row>
    <row r="274" spans="1:12">
      <c r="A274" s="20" t="s">
        <v>154</v>
      </c>
      <c r="E274" s="21">
        <f>IF(D274="?OLD","!!!","")</f>
        <v/>
      </c>
      <c r="F274" s="22" t="str">
        <f>IF(OR(E274="",E274="!!!"),"",IF(NOT(ISNA(VLOOKUP(E274,E$1:E273,1,FALSE()))),"OLD",IF(AND(E274&lt;&gt;"",E274&lt;&gt;"!!!"),"NEW","")))</f>
        <v> </v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4" t="str">
        <f>IF(J274&lt;&gt;1,"",IF(I274="SBJ","CB","?"))</f>
        <v> </v>
      </c>
      <c r="I274" s="25" t="str">
        <f>IF(OR(E274="",E274="!!!",F274="NEW"),"",INDEX(B273:B$2,-1+SUMPRODUCT(MAX(ROW(E273:E$2)*(E274=E273:E$2)))))</f>
        <v> </v>
      </c>
      <c r="J274" s="25" t="str">
        <f>IF(OR(E274="",E274="!!!",F274="NEW"),"",COUNTBLANK(OFFSET(A$1,,,SUMPRODUCT(MAX(ROW(E$2:E274)*(E274=E$2:E274)))))-COUNTBLANK(OFFSET(A$1,,,SUMPRODUCT(MAX(ROW(E$1:E273)*(E2=E$1:E273))))))</f>
        <v> </v>
      </c>
      <c r="K274" s="25" t="str">
        <f>IF(OR(E274="",E274="!!!",F274="NEW"),"",INDEX(J$1:J273,SUMPRODUCT(MAX(ROW(E$1:E273)*(E274=E$1:E273)))))</f>
        <v> </v>
      </c>
      <c r="L274" s="26"/>
    </row>
    <row r="275" spans="1:12">
      <c r="A275" s="20" t="s">
        <v>185</v>
      </c>
      <c r="B275" s="27" t="s">
        <v>182</v>
      </c>
      <c r="C275" s="27" t="s">
        <v>142</v>
      </c>
      <c r="D275" s="27" t="s">
        <v>143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211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/>
    </row>
    <row r="278" spans="1:12">
      <c r="A278" s="20" t="s">
        <v>293</v>
      </c>
    </row>
    <row r="279" spans="1:12">
      <c r="A279" s="20" t="s">
        <v>138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158</v>
      </c>
      <c r="B280" s="27" t="s">
        <v>171</v>
      </c>
      <c r="C280" s="27" t="s">
        <v>172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159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160</v>
      </c>
      <c r="B282" s="27" t="s">
        <v>182</v>
      </c>
      <c r="C282" s="27" t="s">
        <v>161</v>
      </c>
      <c r="D282" s="27" t="s">
        <v>143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294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 t="s">
        <v>286</v>
      </c>
      <c r="B284" s="27" t="s">
        <v>141</v>
      </c>
      <c r="C284" s="27" t="s">
        <v>161</v>
      </c>
      <c r="D284" s="27" t="s">
        <v>143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 t="s">
        <v>164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 t="s">
        <v>165</v>
      </c>
      <c r="E286" s="21">
        <f>IF(D286="?OLD","!!!","")</f>
        <v/>
      </c>
      <c r="F286" s="22" t="str">
        <f>IF(OR(E286="",E286="!!!"),"",IF(NOT(ISNA(VLOOKUP(E286,E$1:E285,1,FALSE()))),"OLD",IF(AND(E286&lt;&gt;"",E286&lt;&gt;"!!!"),"NEW","")))</f>
        <v> 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4" t="str">
        <f>IF(J286&lt;&gt;1,"",IF(I286="SBJ","CB","?"))</f>
        <v> </v>
      </c>
      <c r="I286" s="25" t="str">
        <f>IF(OR(E286="",E286="!!!",F286="NEW"),"",INDEX(B285:B$2,-1+SUMPRODUCT(MAX(ROW(E285:E$2)*(E286=E285:E$2)))))</f>
        <v> </v>
      </c>
      <c r="J286" s="25" t="str">
        <f>IF(OR(E286="",E286="!!!",F286="NEW"),"",COUNTBLANK(OFFSET(A$1,,,SUMPRODUCT(MAX(ROW(E$2:E286)*(E286=E$2:E286)))))-COUNTBLANK(OFFSET(A$1,,,SUMPRODUCT(MAX(ROW(E$1:E285)*(E2=E$1:E285))))))</f>
        <v> </v>
      </c>
      <c r="K286" s="25" t="str">
        <f>IF(OR(E286="",E286="!!!",F286="NEW"),"",INDEX(J$1:J285,SUMPRODUCT(MAX(ROW(E$1:E285)*(E286=E$1:E285)))))</f>
        <v> </v>
      </c>
      <c r="L286" s="26"/>
    </row>
    <row r="287" spans="1:12">
      <c r="A287" s="20" t="s">
        <v>166</v>
      </c>
      <c r="B287" s="27" t="s">
        <v>182</v>
      </c>
      <c r="C287" s="27" t="s">
        <v>149</v>
      </c>
      <c r="E287" s="21">
        <f>IF(D287="?OLD","!!!","")</f>
        <v/>
      </c>
      <c r="F287" s="22" t="str">
        <f>IF(OR(E287="",E287="!!!"),"",IF(NOT(ISNA(VLOOKUP(E287,E$1:E286,1,FALSE()))),"OLD",IF(AND(E287&lt;&gt;"",E287&lt;&gt;"!!!"),"NEW","")))</f>
        <v> </v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4" t="str">
        <f>IF(J287&lt;&gt;1,"",IF(I287="SBJ","CB","?"))</f>
        <v> </v>
      </c>
      <c r="I287" s="25" t="str">
        <f>IF(OR(E287="",E287="!!!",F287="NEW"),"",INDEX(B286:B$2,-1+SUMPRODUCT(MAX(ROW(E286:E$2)*(E287=E286:E$2)))))</f>
        <v> </v>
      </c>
      <c r="J287" s="25" t="str">
        <f>IF(OR(E287="",E287="!!!",F287="NEW"),"",COUNTBLANK(OFFSET(A$1,,,SUMPRODUCT(MAX(ROW(E$2:E287)*(E287=E$2:E287)))))-COUNTBLANK(OFFSET(A$1,,,SUMPRODUCT(MAX(ROW(E$1:E286)*(E2=E$1:E286))))))</f>
        <v> </v>
      </c>
      <c r="K287" s="25" t="str">
        <f>IF(OR(E287="",E287="!!!",F287="NEW"),"",INDEX(J$1:J286,SUMPRODUCT(MAX(ROW(E$1:E286)*(E287=E$1:E286)))))</f>
        <v> </v>
      </c>
      <c r="L287" s="26"/>
    </row>
    <row r="288" spans="1:12">
      <c r="A288" s="20" t="s">
        <v>295</v>
      </c>
      <c r="B288" s="27" t="s">
        <v>191</v>
      </c>
      <c r="C288" s="27" t="s">
        <v>176</v>
      </c>
      <c r="D288" s="27" t="s">
        <v>143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 t="s">
        <v>168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296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297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298</v>
      </c>
      <c r="B292" s="27" t="s">
        <v>141</v>
      </c>
      <c r="C292" s="27" t="s">
        <v>176</v>
      </c>
      <c r="D292" s="27" t="s">
        <v>143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 t="s">
        <v>186</v>
      </c>
      <c r="E293" s="21">
        <f>IF(D293="?OLD","!!!","")</f>
        <v/>
      </c>
      <c r="F293" s="22" t="str">
        <f>IF(OR(E293="",E293="!!!"),"",IF(NOT(ISNA(VLOOKUP(E293,E$1:E292,1,FALSE()))),"OLD",IF(AND(E293&lt;&gt;"",E293&lt;&gt;"!!!"),"NEW","")))</f>
        <v> </v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4" t="str">
        <f>IF(J293&lt;&gt;1,"",IF(I293="SBJ","CB","?"))</f>
        <v> </v>
      </c>
      <c r="I293" s="25" t="str">
        <f>IF(OR(E293="",E293="!!!",F293="NEW"),"",INDEX(B292:B$2,-1+SUMPRODUCT(MAX(ROW(E292:E$2)*(E293=E292:E$2)))))</f>
        <v> </v>
      </c>
      <c r="J293" s="25" t="str">
        <f>IF(OR(E293="",E293="!!!",F293="NEW"),"",COUNTBLANK(OFFSET(A$1,,,SUMPRODUCT(MAX(ROW(E$2:E293)*(E293=E$2:E293)))))-COUNTBLANK(OFFSET(A$1,,,SUMPRODUCT(MAX(ROW(E$1:E292)*(E2=E$1:E292))))))</f>
        <v> </v>
      </c>
      <c r="K293" s="25" t="str">
        <f>IF(OR(E293="",E293="!!!",F293="NEW"),"",INDEX(J$1:J292,SUMPRODUCT(MAX(ROW(E$1:E292)*(E293=E$1:E292)))))</f>
        <v> </v>
      </c>
      <c r="L293" s="26"/>
    </row>
    <row r="294" spans="1:12">
      <c r="A294" s="20"/>
    </row>
    <row r="295" spans="1:12">
      <c r="A295" s="20" t="s">
        <v>299</v>
      </c>
    </row>
    <row r="296" spans="1:12">
      <c r="A296" s="20" t="s">
        <v>138</v>
      </c>
      <c r="E296" s="21">
        <f>IF(D296="?OLD","!!!","")</f>
        <v/>
      </c>
      <c r="F296" s="22" t="str">
        <f>IF(OR(E296="",E296="!!!"),"",IF(NOT(ISNA(VLOOKUP(E296,E$1:E295,1,FALSE()))),"OLD",IF(AND(E296&lt;&gt;"",E296&lt;&gt;"!!!"),"NEW","")))</f>
        <v> </v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4" t="str">
        <f>IF(J296&lt;&gt;1,"",IF(I296="SBJ","CB","?"))</f>
        <v> </v>
      </c>
      <c r="I296" s="25" t="str">
        <f>IF(OR(E296="",E296="!!!",F296="NEW"),"",INDEX(B295:B$2,-1+SUMPRODUCT(MAX(ROW(E295:E$2)*(E296=E295:E$2)))))</f>
        <v> </v>
      </c>
      <c r="J296" s="25" t="str">
        <f>IF(OR(E296="",E296="!!!",F296="NEW"),"",COUNTBLANK(OFFSET(A$1,,,SUMPRODUCT(MAX(ROW(E$2:E296)*(E296=E$2:E296)))))-COUNTBLANK(OFFSET(A$1,,,SUMPRODUCT(MAX(ROW(E$1:E295)*(E2=E$1:E295))))))</f>
        <v> </v>
      </c>
      <c r="K296" s="25" t="str">
        <f>IF(OR(E296="",E296="!!!",F296="NEW"),"",INDEX(J$1:J295,SUMPRODUCT(MAX(ROW(E$1:E295)*(E296=E$1:E295)))))</f>
        <v> </v>
      </c>
      <c r="L296" s="26"/>
    </row>
    <row r="297" spans="1:12">
      <c r="A297" s="20" t="s">
        <v>242</v>
      </c>
      <c r="B297" s="27" t="s">
        <v>171</v>
      </c>
      <c r="C297" s="27" t="s">
        <v>176</v>
      </c>
      <c r="D297" s="27" t="s">
        <v>143</v>
      </c>
      <c r="E297" s="21">
        <f>IF(D297="?OLD","!!!","")</f>
        <v/>
      </c>
      <c r="F297" s="22" t="str">
        <f>IF(OR(E297="",E297="!!!"),"",IF(NOT(ISNA(VLOOKUP(E297,E$1:E296,1,FALSE()))),"OLD",IF(AND(E297&lt;&gt;"",E297&lt;&gt;"!!!"),"NEW","")))</f>
        <v> </v>
      </c>
      <c r="G297" s="23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4" t="str">
        <f>IF(J297&lt;&gt;1,"",IF(I297="SBJ","CB","?"))</f>
        <v> </v>
      </c>
      <c r="I297" s="25" t="str">
        <f>IF(OR(E297="",E297="!!!",F297="NEW"),"",INDEX(B296:B$2,-1+SUMPRODUCT(MAX(ROW(E296:E$2)*(E297=E296:E$2)))))</f>
        <v> </v>
      </c>
      <c r="J297" s="25" t="str">
        <f>IF(OR(E297="",E297="!!!",F297="NEW"),"",COUNTBLANK(OFFSET(A$1,,,SUMPRODUCT(MAX(ROW(E$2:E297)*(E297=E$2:E297)))))-COUNTBLANK(OFFSET(A$1,,,SUMPRODUCT(MAX(ROW(E$1:E296)*(E2=E$1:E296))))))</f>
        <v> </v>
      </c>
      <c r="K297" s="25" t="str">
        <f>IF(OR(E297="",E297="!!!",F297="NEW"),"",INDEX(J$1:J296,SUMPRODUCT(MAX(ROW(E$1:E296)*(E297=E$1:E296)))))</f>
        <v> </v>
      </c>
      <c r="L297" s="26"/>
    </row>
    <row r="298" spans="1:12">
      <c r="A298" s="20" t="s">
        <v>165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 t="s">
        <v>168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300</v>
      </c>
      <c r="B300" s="27" t="s">
        <v>141</v>
      </c>
      <c r="C300" s="27" t="s">
        <v>176</v>
      </c>
      <c r="D300" s="27" t="s">
        <v>143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301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 t="s">
        <v>302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276</v>
      </c>
      <c r="B303" s="27" t="s">
        <v>141</v>
      </c>
      <c r="C303" s="27" t="s">
        <v>229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184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154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185</v>
      </c>
      <c r="B306" s="27" t="s">
        <v>182</v>
      </c>
      <c r="C306" s="27" t="s">
        <v>142</v>
      </c>
      <c r="D306" s="27" t="s">
        <v>143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164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 t="s">
        <v>303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 t="s">
        <v>304</v>
      </c>
      <c r="B309" s="27" t="s">
        <v>222</v>
      </c>
      <c r="C309" s="27" t="s">
        <v>176</v>
      </c>
      <c r="D309" s="27" t="s">
        <v>143</v>
      </c>
      <c r="E309" s="21">
        <f>IF(D309="?OLD","!!!","")</f>
        <v/>
      </c>
      <c r="F309" s="22" t="str">
        <f>IF(OR(E309="",E309="!!!"),"",IF(NOT(ISNA(VLOOKUP(E309,E$1:E308,1,FALSE()))),"OLD",IF(AND(E309&lt;&gt;"",E309&lt;&gt;"!!!"),"NEW","")))</f>
        <v> </v>
      </c>
      <c r="G309" s="23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4" t="str">
        <f>IF(J309&lt;&gt;1,"",IF(I309="SBJ","CB","?"))</f>
        <v> </v>
      </c>
      <c r="I309" s="25" t="str">
        <f>IF(OR(E309="",E309="!!!",F309="NEW"),"",INDEX(B308:B$2,-1+SUMPRODUCT(MAX(ROW(E308:E$2)*(E309=E308:E$2)))))</f>
        <v> </v>
      </c>
      <c r="J309" s="25" t="str">
        <f>IF(OR(E309="",E309="!!!",F309="NEW"),"",COUNTBLANK(OFFSET(A$1,,,SUMPRODUCT(MAX(ROW(E$2:E309)*(E309=E$2:E309)))))-COUNTBLANK(OFFSET(A$1,,,SUMPRODUCT(MAX(ROW(E$1:E308)*(E2=E$1:E308))))))</f>
        <v> </v>
      </c>
      <c r="K309" s="25" t="str">
        <f>IF(OR(E309="",E309="!!!",F309="NEW"),"",INDEX(J$1:J308,SUMPRODUCT(MAX(ROW(E$1:E308)*(E309=E$1:E308)))))</f>
        <v> </v>
      </c>
      <c r="L309" s="26"/>
    </row>
    <row r="310" spans="1:12">
      <c r="A310" s="20" t="s">
        <v>195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/>
    </row>
    <row r="312" spans="1:12">
      <c r="A312" s="20" t="s">
        <v>305</v>
      </c>
    </row>
    <row r="313" spans="1:12">
      <c r="A313" s="20" t="s">
        <v>146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 t="s">
        <v>306</v>
      </c>
      <c r="B314" s="27" t="s">
        <v>171</v>
      </c>
      <c r="C314" s="27" t="s">
        <v>176</v>
      </c>
      <c r="D314" s="27" t="s">
        <v>143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307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 t="s">
        <v>265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 t="s">
        <v>157</v>
      </c>
      <c r="E317" s="21">
        <f>IF(D317="?OLD","!!!","")</f>
        <v/>
      </c>
      <c r="F317" s="22" t="str">
        <f>IF(OR(E317="",E317="!!!"),"",IF(NOT(ISNA(VLOOKUP(E317,E$1:E316,1,FALSE()))),"OLD",IF(AND(E317&lt;&gt;"",E317&lt;&gt;"!!!"),"NEW","")))</f>
        <v> </v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4" t="str">
        <f>IF(J317&lt;&gt;1,"",IF(I317="SBJ","CB","?"))</f>
        <v> </v>
      </c>
      <c r="I317" s="25" t="str">
        <f>IF(OR(E317="",E317="!!!",F317="NEW"),"",INDEX(B316:B$2,-1+SUMPRODUCT(MAX(ROW(E316:E$2)*(E317=E316:E$2)))))</f>
        <v> </v>
      </c>
      <c r="J317" s="25" t="str">
        <f>IF(OR(E317="",E317="!!!",F317="NEW"),"",COUNTBLANK(OFFSET(A$1,,,SUMPRODUCT(MAX(ROW(E$2:E317)*(E317=E$2:E317)))))-COUNTBLANK(OFFSET(A$1,,,SUMPRODUCT(MAX(ROW(E$1:E316)*(E2=E$1:E316))))))</f>
        <v> </v>
      </c>
      <c r="K317" s="25" t="str">
        <f>IF(OR(E317="",E317="!!!",F317="NEW"),"",INDEX(J$1:J316,SUMPRODUCT(MAX(ROW(E$1:E316)*(E317=E$1:E316)))))</f>
        <v> </v>
      </c>
      <c r="L317" s="26"/>
    </row>
    <row r="318" spans="1:12">
      <c r="A318" s="20" t="s">
        <v>308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287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306</v>
      </c>
      <c r="B320" s="27" t="s">
        <v>141</v>
      </c>
      <c r="C320" s="27" t="s">
        <v>176</v>
      </c>
      <c r="D320" s="27" t="s">
        <v>143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304</v>
      </c>
      <c r="B321" s="27" t="s">
        <v>258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 t="s">
        <v>211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/>
    </row>
    <row r="324" spans="1:12">
      <c r="A324" s="20" t="s">
        <v>309</v>
      </c>
    </row>
    <row r="325" spans="1:12">
      <c r="A325" s="20" t="s">
        <v>138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 t="s">
        <v>242</v>
      </c>
      <c r="B326" s="27" t="s">
        <v>171</v>
      </c>
      <c r="C326" s="27" t="s">
        <v>176</v>
      </c>
      <c r="D326" s="27" t="s">
        <v>143</v>
      </c>
      <c r="E326" s="21">
        <f>IF(D326="?OLD","!!!","")</f>
        <v/>
      </c>
      <c r="F326" s="22" t="str">
        <f>IF(OR(E326="",E326="!!!"),"",IF(NOT(ISNA(VLOOKUP(E326,E$1:E325,1,FALSE()))),"OLD",IF(AND(E326&lt;&gt;"",E326&lt;&gt;"!!!"),"NEW","")))</f>
        <v> </v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4" t="str">
        <f>IF(J326&lt;&gt;1,"",IF(I326="SBJ","CB","?"))</f>
        <v> </v>
      </c>
      <c r="I326" s="25" t="str">
        <f>IF(OR(E326="",E326="!!!",F326="NEW"),"",INDEX(B325:B$2,-1+SUMPRODUCT(MAX(ROW(E325:E$2)*(E326=E325:E$2)))))</f>
        <v> </v>
      </c>
      <c r="J326" s="25" t="str">
        <f>IF(OR(E326="",E326="!!!",F326="NEW"),"",COUNTBLANK(OFFSET(A$1,,,SUMPRODUCT(MAX(ROW(E$2:E326)*(E326=E$2:E326)))))-COUNTBLANK(OFFSET(A$1,,,SUMPRODUCT(MAX(ROW(E$1:E325)*(E2=E$1:E325))))))</f>
        <v> </v>
      </c>
      <c r="K326" s="25" t="str">
        <f>IF(OR(E326="",E326="!!!",F326="NEW"),"",INDEX(J$1:J325,SUMPRODUCT(MAX(ROW(E$1:E325)*(E326=E$1:E325)))))</f>
        <v> </v>
      </c>
      <c r="L326" s="26"/>
    </row>
    <row r="327" spans="1:12">
      <c r="A327" s="20" t="s">
        <v>165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 t="s">
        <v>168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310</v>
      </c>
      <c r="B329" s="27" t="s">
        <v>141</v>
      </c>
      <c r="C329" s="27" t="s">
        <v>311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201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312</v>
      </c>
      <c r="B331" s="27" t="s">
        <v>151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173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157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208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 t="s">
        <v>298</v>
      </c>
      <c r="B335" s="27" t="s">
        <v>228</v>
      </c>
      <c r="C335" s="27" t="s">
        <v>176</v>
      </c>
      <c r="D335" s="27" t="s">
        <v>143</v>
      </c>
      <c r="E335" s="21">
        <f>IF(D335="?OLD","!!!","")</f>
        <v/>
      </c>
      <c r="F335" s="22" t="str">
        <f>IF(OR(E335="",E335="!!!"),"",IF(NOT(ISNA(VLOOKUP(E335,E$1:E334,1,FALSE()))),"OLD",IF(AND(E335&lt;&gt;"",E335&lt;&gt;"!!!"),"NEW","")))</f>
        <v> </v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4" t="str">
        <f>IF(J335&lt;&gt;1,"",IF(I335="SBJ","CB","?"))</f>
        <v> </v>
      </c>
      <c r="I335" s="25" t="str">
        <f>IF(OR(E335="",E335="!!!",F335="NEW"),"",INDEX(B334:B$2,-1+SUMPRODUCT(MAX(ROW(E334:E$2)*(E335=E334:E$2)))))</f>
        <v> </v>
      </c>
      <c r="J335" s="25" t="str">
        <f>IF(OR(E335="",E335="!!!",F335="NEW"),"",COUNTBLANK(OFFSET(A$1,,,SUMPRODUCT(MAX(ROW(E$2:E335)*(E335=E$2:E335)))))-COUNTBLANK(OFFSET(A$1,,,SUMPRODUCT(MAX(ROW(E$1:E334)*(E2=E$1:E334))))))</f>
        <v> </v>
      </c>
      <c r="K335" s="25" t="str">
        <f>IF(OR(E335="",E335="!!!",F335="NEW"),"",INDEX(J$1:J334,SUMPRODUCT(MAX(ROW(E$1:E334)*(E335=E$1:E334)))))</f>
        <v> </v>
      </c>
      <c r="L335" s="26"/>
    </row>
    <row r="336" spans="1:12">
      <c r="A336" s="20" t="s">
        <v>265</v>
      </c>
      <c r="E336" s="21">
        <f>IF(D336="?OLD","!!!","")</f>
        <v/>
      </c>
      <c r="F336" s="22" t="str">
        <f>IF(OR(E336="",E336="!!!"),"",IF(NOT(ISNA(VLOOKUP(E336,E$1:E335,1,FALSE()))),"OLD",IF(AND(E336&lt;&gt;"",E336&lt;&gt;"!!!"),"NEW","")))</f>
        <v> </v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4" t="str">
        <f>IF(J336&lt;&gt;1,"",IF(I336="SBJ","CB","?"))</f>
        <v> </v>
      </c>
      <c r="I336" s="25" t="str">
        <f>IF(OR(E336="",E336="!!!",F336="NEW"),"",INDEX(B335:B$2,-1+SUMPRODUCT(MAX(ROW(E335:E$2)*(E336=E335:E$2)))))</f>
        <v> </v>
      </c>
      <c r="J336" s="25" t="str">
        <f>IF(OR(E336="",E336="!!!",F336="NEW"),"",COUNTBLANK(OFFSET(A$1,,,SUMPRODUCT(MAX(ROW(E$2:E336)*(E336=E$2:E336)))))-COUNTBLANK(OFFSET(A$1,,,SUMPRODUCT(MAX(ROW(E$1:E335)*(E2=E$1:E335))))))</f>
        <v> </v>
      </c>
      <c r="K336" s="25" t="str">
        <f>IF(OR(E336="",E336="!!!",F336="NEW"),"",INDEX(J$1:J335,SUMPRODUCT(MAX(ROW(E$1:E335)*(E336=E$1:E335)))))</f>
        <v> </v>
      </c>
      <c r="L336" s="26"/>
    </row>
    <row r="337" spans="1:12">
      <c r="A337" s="20" t="s">
        <v>297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186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/>
    </row>
    <row r="340" spans="1:12">
      <c r="A340" s="20" t="s">
        <v>313</v>
      </c>
    </row>
    <row r="341" spans="1:12">
      <c r="A341" s="20" t="s">
        <v>314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 t="s">
        <v>298</v>
      </c>
      <c r="B342" s="27" t="s">
        <v>171</v>
      </c>
      <c r="C342" s="27" t="s">
        <v>176</v>
      </c>
      <c r="D342" s="27" t="s">
        <v>143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178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 t="s">
        <v>66</v>
      </c>
      <c r="E344" s="21">
        <f>IF(D344="?OLD","!!!","")</f>
        <v/>
      </c>
      <c r="F344" s="22" t="str">
        <f>IF(OR(E344="",E344="!!!"),"",IF(NOT(ISNA(VLOOKUP(E344,E$1:E343,1,FALSE()))),"OLD",IF(AND(E344&lt;&gt;"",E344&lt;&gt;"!!!"),"NEW","")))</f>
        <v> </v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4" t="str">
        <f>IF(J344&lt;&gt;1,"",IF(I344="SBJ","CB","?"))</f>
        <v> </v>
      </c>
      <c r="I344" s="25" t="str">
        <f>IF(OR(E344="",E344="!!!",F344="NEW"),"",INDEX(B343:B$2,-1+SUMPRODUCT(MAX(ROW(E343:E$2)*(E344=E343:E$2)))))</f>
        <v> </v>
      </c>
      <c r="J344" s="25" t="str">
        <f>IF(OR(E344="",E344="!!!",F344="NEW"),"",COUNTBLANK(OFFSET(A$1,,,SUMPRODUCT(MAX(ROW(E$2:E344)*(E344=E$2:E344)))))-COUNTBLANK(OFFSET(A$1,,,SUMPRODUCT(MAX(ROW(E$1:E343)*(E2=E$1:E343))))))</f>
        <v> </v>
      </c>
      <c r="K344" s="25" t="str">
        <f>IF(OR(E344="",E344="!!!",F344="NEW"),"",INDEX(J$1:J343,SUMPRODUCT(MAX(ROW(E$1:E343)*(E344=E$1:E343)))))</f>
        <v> </v>
      </c>
      <c r="L344" s="26"/>
    </row>
    <row r="345" spans="1:12">
      <c r="A345" s="20" t="s">
        <v>179</v>
      </c>
      <c r="E345" s="21">
        <f>IF(D345="?OLD","!!!","")</f>
        <v/>
      </c>
      <c r="F345" s="22" t="str">
        <f>IF(OR(E345="",E345="!!!"),"",IF(NOT(ISNA(VLOOKUP(E345,E$1:E344,1,FALSE()))),"OLD",IF(AND(E345&lt;&gt;"",E345&lt;&gt;"!!!"),"NEW","")))</f>
        <v> </v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4" t="str">
        <f>IF(J345&lt;&gt;1,"",IF(I345="SBJ","CB","?"))</f>
        <v> </v>
      </c>
      <c r="I345" s="25" t="str">
        <f>IF(OR(E345="",E345="!!!",F345="NEW"),"",INDEX(B344:B$2,-1+SUMPRODUCT(MAX(ROW(E344:E$2)*(E345=E344:E$2)))))</f>
        <v> </v>
      </c>
      <c r="J345" s="25" t="str">
        <f>IF(OR(E345="",E345="!!!",F345="NEW"),"",COUNTBLANK(OFFSET(A$1,,,SUMPRODUCT(MAX(ROW(E$2:E345)*(E345=E$2:E345)))))-COUNTBLANK(OFFSET(A$1,,,SUMPRODUCT(MAX(ROW(E$1:E344)*(E2=E$1:E344))))))</f>
        <v> </v>
      </c>
      <c r="K345" s="25" t="str">
        <f>IF(OR(E345="",E345="!!!",F345="NEW"),"",INDEX(J$1:J344,SUMPRODUCT(MAX(ROW(E$1:E344)*(E345=E$1:E344)))))</f>
        <v> </v>
      </c>
      <c r="L345" s="26"/>
    </row>
    <row r="346" spans="1:12">
      <c r="A346" s="20" t="s">
        <v>154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 t="s">
        <v>240</v>
      </c>
      <c r="B347" s="27" t="s">
        <v>191</v>
      </c>
      <c r="C347" s="27" t="s">
        <v>142</v>
      </c>
      <c r="D347" s="27" t="s">
        <v>143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 t="s">
        <v>157</v>
      </c>
      <c r="E348" s="21">
        <f>IF(D348="?OLD","!!!","")</f>
        <v/>
      </c>
      <c r="F348" s="22" t="str">
        <f>IF(OR(E348="",E348="!!!"),"",IF(NOT(ISNA(VLOOKUP(E348,E$1:E347,1,FALSE()))),"OLD",IF(AND(E348&lt;&gt;"",E348&lt;&gt;"!!!"),"NEW","")))</f>
        <v> </v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4" t="str">
        <f>IF(J348&lt;&gt;1,"",IF(I348="SBJ","CB","?"))</f>
        <v> </v>
      </c>
      <c r="I348" s="25" t="str">
        <f>IF(OR(E348="",E348="!!!",F348="NEW"),"",INDEX(B347:B$2,-1+SUMPRODUCT(MAX(ROW(E347:E$2)*(E348=E347:E$2)))))</f>
        <v> </v>
      </c>
      <c r="J348" s="25" t="str">
        <f>IF(OR(E348="",E348="!!!",F348="NEW"),"",COUNTBLANK(OFFSET(A$1,,,SUMPRODUCT(MAX(ROW(E$2:E348)*(E348=E$2:E348)))))-COUNTBLANK(OFFSET(A$1,,,SUMPRODUCT(MAX(ROW(E$1:E347)*(E2=E$1:E347))))))</f>
        <v> </v>
      </c>
      <c r="K348" s="25" t="str">
        <f>IF(OR(E348="",E348="!!!",F348="NEW"),"",INDEX(J$1:J347,SUMPRODUCT(MAX(ROW(E$1:E347)*(E348=E$1:E347)))))</f>
        <v> </v>
      </c>
      <c r="L348" s="26"/>
    </row>
    <row r="349" spans="1:12">
      <c r="A349" s="20" t="s">
        <v>204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 t="s">
        <v>306</v>
      </c>
      <c r="B350" s="27" t="s">
        <v>151</v>
      </c>
      <c r="C350" s="27" t="s">
        <v>176</v>
      </c>
      <c r="D350" s="27" t="s">
        <v>143</v>
      </c>
      <c r="E350" s="21">
        <f>IF(D350="?OLD","!!!","")</f>
        <v/>
      </c>
      <c r="F350" s="22" t="str">
        <f>IF(OR(E350="",E350="!!!"),"",IF(NOT(ISNA(VLOOKUP(E350,E$1:E349,1,FALSE()))),"OLD",IF(AND(E350&lt;&gt;"",E350&lt;&gt;"!!!"),"NEW","")))</f>
        <v> </v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4" t="str">
        <f>IF(J350&lt;&gt;1,"",IF(I350="SBJ","CB","?"))</f>
        <v> </v>
      </c>
      <c r="I350" s="25" t="str">
        <f>IF(OR(E350="",E350="!!!",F350="NEW"),"",INDEX(B349:B$2,-1+SUMPRODUCT(MAX(ROW(E349:E$2)*(E350=E349:E$2)))))</f>
        <v> </v>
      </c>
      <c r="J350" s="25" t="str">
        <f>IF(OR(E350="",E350="!!!",F350="NEW"),"",COUNTBLANK(OFFSET(A$1,,,SUMPRODUCT(MAX(ROW(E$2:E350)*(E350=E$2:E350)))))-COUNTBLANK(OFFSET(A$1,,,SUMPRODUCT(MAX(ROW(E$1:E349)*(E2=E$1:E349))))))</f>
        <v> </v>
      </c>
      <c r="K350" s="25" t="str">
        <f>IF(OR(E350="",E350="!!!",F350="NEW"),"",INDEX(J$1:J349,SUMPRODUCT(MAX(ROW(E$1:E349)*(E350=E$1:E349)))))</f>
        <v> </v>
      </c>
      <c r="L350" s="26"/>
    </row>
    <row r="351" spans="1:12">
      <c r="A351" s="20" t="s">
        <v>315</v>
      </c>
      <c r="B351" s="27" t="s">
        <v>222</v>
      </c>
      <c r="C351" s="27" t="s">
        <v>176</v>
      </c>
      <c r="D351" s="27" t="s">
        <v>143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 t="s">
        <v>316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 t="s">
        <v>157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 t="s">
        <v>298</v>
      </c>
      <c r="B354" s="27" t="s">
        <v>228</v>
      </c>
      <c r="C354" s="27" t="s">
        <v>176</v>
      </c>
      <c r="D354" s="27" t="s">
        <v>143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 t="s">
        <v>317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178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204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21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 t="s">
        <v>186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/>
    </row>
    <row r="361" spans="1:12">
      <c r="A361" s="20" t="s">
        <v>318</v>
      </c>
    </row>
    <row r="362" spans="1:12">
      <c r="A362" s="20" t="s">
        <v>188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 t="s">
        <v>165</v>
      </c>
      <c r="E363" s="21">
        <f>IF(D363="?OLD","!!!","")</f>
        <v/>
      </c>
      <c r="F363" s="22" t="str">
        <f>IF(OR(E363="",E363="!!!"),"",IF(NOT(ISNA(VLOOKUP(E363,E$1:E362,1,FALSE()))),"OLD",IF(AND(E363&lt;&gt;"",E363&lt;&gt;"!!!"),"NEW","")))</f>
        <v> </v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4" t="str">
        <f>IF(J363&lt;&gt;1,"",IF(I363="SBJ","CB","?"))</f>
        <v> </v>
      </c>
      <c r="I363" s="25" t="str">
        <f>IF(OR(E363="",E363="!!!",F363="NEW"),"",INDEX(B362:B$2,-1+SUMPRODUCT(MAX(ROW(E362:E$2)*(E363=E362:E$2)))))</f>
        <v> </v>
      </c>
      <c r="J363" s="25" t="str">
        <f>IF(OR(E363="",E363="!!!",F363="NEW"),"",COUNTBLANK(OFFSET(A$1,,,SUMPRODUCT(MAX(ROW(E$2:E363)*(E363=E$2:E363)))))-COUNTBLANK(OFFSET(A$1,,,SUMPRODUCT(MAX(ROW(E$1:E362)*(E2=E$1:E362))))))</f>
        <v> </v>
      </c>
      <c r="K363" s="25" t="str">
        <f>IF(OR(E363="",E363="!!!",F363="NEW"),"",INDEX(J$1:J362,SUMPRODUCT(MAX(ROW(E$1:E362)*(E363=E$1:E362)))))</f>
        <v> </v>
      </c>
      <c r="L363" s="26"/>
    </row>
    <row r="364" spans="1:12">
      <c r="A364" s="20" t="s">
        <v>286</v>
      </c>
      <c r="B364" s="27" t="s">
        <v>171</v>
      </c>
      <c r="C364" s="27" t="s">
        <v>161</v>
      </c>
      <c r="D364" s="27" t="s">
        <v>143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 t="s">
        <v>168</v>
      </c>
      <c r="E365" s="21">
        <f>IF(D365="?OLD","!!!","")</f>
        <v/>
      </c>
      <c r="F365" s="22" t="str">
        <f>IF(OR(E365="",E365="!!!"),"",IF(NOT(ISNA(VLOOKUP(E365,E$1:E364,1,FALSE()))),"OLD",IF(AND(E365&lt;&gt;"",E365&lt;&gt;"!!!"),"NEW","")))</f>
        <v> </v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4" t="str">
        <f>IF(J365&lt;&gt;1,"",IF(I365="SBJ","CB","?"))</f>
        <v> </v>
      </c>
      <c r="I365" s="25" t="str">
        <f>IF(OR(E365="",E365="!!!",F365="NEW"),"",INDEX(B364:B$2,-1+SUMPRODUCT(MAX(ROW(E364:E$2)*(E365=E364:E$2)))))</f>
        <v> </v>
      </c>
      <c r="J365" s="25" t="str">
        <f>IF(OR(E365="",E365="!!!",F365="NEW"),"",COUNTBLANK(OFFSET(A$1,,,SUMPRODUCT(MAX(ROW(E$2:E365)*(E365=E$2:E365)))))-COUNTBLANK(OFFSET(A$1,,,SUMPRODUCT(MAX(ROW(E$1:E364)*(E2=E$1:E364))))))</f>
        <v> </v>
      </c>
      <c r="K365" s="25" t="str">
        <f>IF(OR(E365="",E365="!!!",F365="NEW"),"",INDEX(J$1:J364,SUMPRODUCT(MAX(ROW(E$1:E364)*(E365=E$1:E364)))))</f>
        <v> </v>
      </c>
      <c r="L365" s="26"/>
    </row>
    <row r="366" spans="1:12">
      <c r="A366" s="20" t="s">
        <v>319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 t="s">
        <v>190</v>
      </c>
      <c r="B367" s="27" t="s">
        <v>141</v>
      </c>
      <c r="C367" s="27" t="s">
        <v>142</v>
      </c>
      <c r="D367" s="27" t="s">
        <v>143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 t="s">
        <v>157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189</v>
      </c>
      <c r="B369" s="27" t="s">
        <v>228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298</v>
      </c>
      <c r="B370" s="27" t="s">
        <v>228</v>
      </c>
      <c r="C370" s="27" t="s">
        <v>176</v>
      </c>
      <c r="D370" s="27" t="s">
        <v>143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320</v>
      </c>
      <c r="B371" s="27" t="s">
        <v>272</v>
      </c>
      <c r="C371" s="27" t="s">
        <v>176</v>
      </c>
      <c r="D371" s="27" t="s">
        <v>143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321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322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157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255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320</v>
      </c>
      <c r="B376" s="27" t="s">
        <v>258</v>
      </c>
      <c r="C376" s="27" t="s">
        <v>194</v>
      </c>
      <c r="D376" s="27" t="s">
        <v>143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 t="s">
        <v>179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179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 t="s">
        <v>154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 t="s">
        <v>240</v>
      </c>
      <c r="B380" s="27" t="s">
        <v>182</v>
      </c>
      <c r="C380" s="27" t="s">
        <v>142</v>
      </c>
      <c r="D380" s="27" t="s">
        <v>143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157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 t="s">
        <v>164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306</v>
      </c>
      <c r="B383" s="27" t="s">
        <v>228</v>
      </c>
      <c r="C383" s="27" t="s">
        <v>176</v>
      </c>
      <c r="D383" s="27" t="s">
        <v>143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254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211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/>
    </row>
    <row r="387" spans="1:12">
      <c r="A387" s="20" t="s">
        <v>323</v>
      </c>
    </row>
    <row r="388" spans="1:12">
      <c r="A388" s="20" t="s">
        <v>188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 t="s">
        <v>165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 t="s">
        <v>158</v>
      </c>
      <c r="B390" s="27" t="s">
        <v>171</v>
      </c>
      <c r="C390" s="27" t="s">
        <v>172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159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160</v>
      </c>
      <c r="B392" s="27" t="s">
        <v>171</v>
      </c>
      <c r="C392" s="27" t="s">
        <v>161</v>
      </c>
      <c r="D392" s="27" t="s">
        <v>143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 t="s">
        <v>166</v>
      </c>
      <c r="B393" s="27" t="s">
        <v>182</v>
      </c>
      <c r="C393" s="27" t="s">
        <v>149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 t="s">
        <v>154</v>
      </c>
      <c r="E394" s="21">
        <f>IF(D394="?OLD","!!!","")</f>
        <v/>
      </c>
      <c r="F394" s="22" t="str">
        <f>IF(OR(E394="",E394="!!!"),"",IF(NOT(ISNA(VLOOKUP(E394,E$1:E393,1,FALSE()))),"OLD",IF(AND(E394&lt;&gt;"",E394&lt;&gt;"!!!"),"NEW","")))</f>
        <v> </v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4" t="str">
        <f>IF(J394&lt;&gt;1,"",IF(I394="SBJ","CB","?"))</f>
        <v> </v>
      </c>
      <c r="I394" s="25" t="str">
        <f>IF(OR(E394="",E394="!!!",F394="NEW"),"",INDEX(B393:B$2,-1+SUMPRODUCT(MAX(ROW(E393:E$2)*(E394=E393:E$2)))))</f>
        <v> </v>
      </c>
      <c r="J394" s="25" t="str">
        <f>IF(OR(E394="",E394="!!!",F394="NEW"),"",COUNTBLANK(OFFSET(A$1,,,SUMPRODUCT(MAX(ROW(E$2:E394)*(E394=E$2:E394)))))-COUNTBLANK(OFFSET(A$1,,,SUMPRODUCT(MAX(ROW(E$1:E393)*(E2=E$1:E393))))))</f>
        <v> </v>
      </c>
      <c r="K394" s="25" t="str">
        <f>IF(OR(E394="",E394="!!!",F394="NEW"),"",INDEX(J$1:J393,SUMPRODUCT(MAX(ROW(E$1:E393)*(E394=E$1:E393)))))</f>
        <v> </v>
      </c>
      <c r="L394" s="26"/>
    </row>
    <row r="395" spans="1:12">
      <c r="A395" s="20" t="s">
        <v>167</v>
      </c>
      <c r="B395" s="27" t="s">
        <v>191</v>
      </c>
      <c r="C395" s="27" t="s">
        <v>142</v>
      </c>
      <c r="D395" s="27" t="s">
        <v>143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168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324</v>
      </c>
      <c r="B397" s="27" t="s">
        <v>141</v>
      </c>
      <c r="C397" s="27" t="s">
        <v>311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322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298</v>
      </c>
      <c r="B399" s="27" t="s">
        <v>141</v>
      </c>
      <c r="C399" s="27" t="s">
        <v>176</v>
      </c>
      <c r="D399" s="27" t="s">
        <v>143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 t="s">
        <v>189</v>
      </c>
      <c r="E400" s="21">
        <f>IF(D400="?OLD","!!!","")</f>
        <v/>
      </c>
      <c r="F400" s="22" t="str">
        <f>IF(OR(E400="",E400="!!!"),"",IF(NOT(ISNA(VLOOKUP(E400,E$1:E399,1,FALSE()))),"OLD",IF(AND(E400&lt;&gt;"",E400&lt;&gt;"!!!"),"NEW","")))</f>
        <v> </v>
      </c>
      <c r="G400" s="23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4" t="str">
        <f>IF(J400&lt;&gt;1,"",IF(I400="SBJ","CB","?"))</f>
        <v> </v>
      </c>
      <c r="I400" s="25" t="str">
        <f>IF(OR(E400="",E400="!!!",F400="NEW"),"",INDEX(B399:B$2,-1+SUMPRODUCT(MAX(ROW(E399:E$2)*(E400=E399:E$2)))))</f>
        <v> </v>
      </c>
      <c r="J400" s="25" t="str">
        <f>IF(OR(E400="",E400="!!!",F400="NEW"),"",COUNTBLANK(OFFSET(A$1,,,SUMPRODUCT(MAX(ROW(E$2:E400)*(E400=E$2:E400)))))-COUNTBLANK(OFFSET(A$1,,,SUMPRODUCT(MAX(ROW(E$1:E399)*(E2=E$1:E399))))))</f>
        <v> </v>
      </c>
      <c r="K400" s="25" t="str">
        <f>IF(OR(E400="",E400="!!!",F400="NEW"),"",INDEX(J$1:J399,SUMPRODUCT(MAX(ROW(E$1:E399)*(E400=E$1:E399)))))</f>
        <v> </v>
      </c>
      <c r="L400" s="26"/>
    </row>
    <row r="401" spans="1:12">
      <c r="A401" s="20" t="s">
        <v>325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 t="s">
        <v>186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/>
    </row>
    <row r="404" spans="1:12">
      <c r="A404" s="20" t="s">
        <v>326</v>
      </c>
    </row>
    <row r="405" spans="1:12">
      <c r="A405" s="20" t="s">
        <v>319</v>
      </c>
      <c r="E405" s="21">
        <f>IF(D405="?OLD","!!!","")</f>
        <v/>
      </c>
      <c r="F405" s="22" t="str">
        <f>IF(OR(E405="",E405="!!!"),"",IF(NOT(ISNA(VLOOKUP(E405,E$1:E404,1,FALSE()))),"OLD",IF(AND(E405&lt;&gt;"",E405&lt;&gt;"!!!"),"NEW","")))</f>
        <v> </v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4" t="str">
        <f>IF(J405&lt;&gt;1,"",IF(I405="SBJ","CB","?"))</f>
        <v> </v>
      </c>
      <c r="I405" s="25" t="str">
        <f>IF(OR(E405="",E405="!!!",F405="NEW"),"",INDEX(B404:B$2,-1+SUMPRODUCT(MAX(ROW(E404:E$2)*(E405=E404:E$2)))))</f>
        <v> </v>
      </c>
      <c r="J405" s="25" t="str">
        <f>IF(OR(E405="",E405="!!!",F405="NEW"),"",COUNTBLANK(OFFSET(A$1,,,SUMPRODUCT(MAX(ROW(E$2:E405)*(E405=E$2:E405)))))-COUNTBLANK(OFFSET(A$1,,,SUMPRODUCT(MAX(ROW(E$1:E404)*(E2=E$1:E404))))))</f>
        <v> </v>
      </c>
      <c r="K405" s="25" t="str">
        <f>IF(OR(E405="",E405="!!!",F405="NEW"),"",INDEX(J$1:J404,SUMPRODUCT(MAX(ROW(E$1:E404)*(E405=E$1:E404)))))</f>
        <v> </v>
      </c>
      <c r="L405" s="26"/>
    </row>
    <row r="406" spans="1:12">
      <c r="A406" s="20" t="s">
        <v>190</v>
      </c>
      <c r="B406" s="27" t="s">
        <v>171</v>
      </c>
      <c r="C406" s="27" t="s">
        <v>142</v>
      </c>
      <c r="D406" s="27" t="s">
        <v>143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 t="s">
        <v>165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 t="s">
        <v>168</v>
      </c>
      <c r="E408" s="21">
        <f>IF(D408="?OLD","!!!","")</f>
        <v/>
      </c>
      <c r="F408" s="22" t="str">
        <f>IF(OR(E408="",E408="!!!"),"",IF(NOT(ISNA(VLOOKUP(E408,E$1:E407,1,FALSE()))),"OLD",IF(AND(E408&lt;&gt;"",E408&lt;&gt;"!!!"),"NEW","")))</f>
        <v> </v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4" t="str">
        <f>IF(J408&lt;&gt;1,"",IF(I408="SBJ","CB","?"))</f>
        <v> </v>
      </c>
      <c r="I408" s="25" t="str">
        <f>IF(OR(E408="",E408="!!!",F408="NEW"),"",INDEX(B407:B$2,-1+SUMPRODUCT(MAX(ROW(E407:E$2)*(E408=E407:E$2)))))</f>
        <v> </v>
      </c>
      <c r="J408" s="25" t="str">
        <f>IF(OR(E408="",E408="!!!",F408="NEW"),"",COUNTBLANK(OFFSET(A$1,,,SUMPRODUCT(MAX(ROW(E$2:E408)*(E408=E$2:E408)))))-COUNTBLANK(OFFSET(A$1,,,SUMPRODUCT(MAX(ROW(E$1:E407)*(E2=E$1:E407))))))</f>
        <v> </v>
      </c>
      <c r="K408" s="25" t="str">
        <f>IF(OR(E408="",E408="!!!",F408="NEW"),"",INDEX(J$1:J407,SUMPRODUCT(MAX(ROW(E$1:E407)*(E408=E$1:E407)))))</f>
        <v> </v>
      </c>
      <c r="L408" s="26"/>
    </row>
    <row r="409" spans="1:12">
      <c r="A409" s="20"/>
    </row>
    <row r="410" spans="1:12">
      <c r="A410" s="20" t="s">
        <v>327</v>
      </c>
    </row>
    <row r="411" spans="1:12">
      <c r="A411" s="20" t="s">
        <v>328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 t="s">
        <v>140</v>
      </c>
      <c r="B412" s="27" t="s">
        <v>171</v>
      </c>
      <c r="C412" s="27" t="s">
        <v>142</v>
      </c>
      <c r="D412" s="27" t="s">
        <v>143</v>
      </c>
      <c r="E412" s="21">
        <f>IF(D412="?OLD","!!!","")</f>
        <v/>
      </c>
      <c r="F412" s="22" t="str">
        <f>IF(OR(E412="",E412="!!!"),"",IF(NOT(ISNA(VLOOKUP(E412,E$1:E411,1,FALSE()))),"OLD",IF(AND(E412&lt;&gt;"",E412&lt;&gt;"!!!"),"NEW","")))</f>
        <v> </v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4" t="str">
        <f>IF(J412&lt;&gt;1,"",IF(I412="SBJ","CB","?"))</f>
        <v> </v>
      </c>
      <c r="I412" s="25" t="str">
        <f>IF(OR(E412="",E412="!!!",F412="NEW"),"",INDEX(B411:B$2,-1+SUMPRODUCT(MAX(ROW(E411:E$2)*(E412=E411:E$2)))))</f>
        <v> </v>
      </c>
      <c r="J412" s="25" t="str">
        <f>IF(OR(E412="",E412="!!!",F412="NEW"),"",COUNTBLANK(OFFSET(A$1,,,SUMPRODUCT(MAX(ROW(E$2:E412)*(E412=E$2:E412)))))-COUNTBLANK(OFFSET(A$1,,,SUMPRODUCT(MAX(ROW(E$1:E411)*(E2=E$1:E411))))))</f>
        <v> </v>
      </c>
      <c r="K412" s="25" t="str">
        <f>IF(OR(E412="",E412="!!!",F412="NEW"),"",INDEX(J$1:J411,SUMPRODUCT(MAX(ROW(E$1:E411)*(E412=E$1:E411)))))</f>
        <v> </v>
      </c>
      <c r="L412" s="26"/>
    </row>
    <row r="413" spans="1:12">
      <c r="A413" s="20" t="s">
        <v>329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 t="s">
        <v>304</v>
      </c>
      <c r="B414" s="27" t="s">
        <v>202</v>
      </c>
      <c r="C414" s="27" t="s">
        <v>176</v>
      </c>
      <c r="D414" s="27" t="s">
        <v>143</v>
      </c>
      <c r="E414" s="21">
        <f>IF(D414="?OLD","!!!","")</f>
        <v/>
      </c>
      <c r="F414" s="22" t="str">
        <f>IF(OR(E414="",E414="!!!"),"",IF(NOT(ISNA(VLOOKUP(E414,E$1:E413,1,FALSE()))),"OLD",IF(AND(E414&lt;&gt;"",E414&lt;&gt;"!!!"),"NEW","")))</f>
        <v> </v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4" t="str">
        <f>IF(J414&lt;&gt;1,"",IF(I414="SBJ","CB","?"))</f>
        <v> </v>
      </c>
      <c r="I414" s="25" t="str">
        <f>IF(OR(E414="",E414="!!!",F414="NEW"),"",INDEX(B413:B$2,-1+SUMPRODUCT(MAX(ROW(E413:E$2)*(E414=E413:E$2)))))</f>
        <v> </v>
      </c>
      <c r="J414" s="25" t="str">
        <f>IF(OR(E414="",E414="!!!",F414="NEW"),"",COUNTBLANK(OFFSET(A$1,,,SUMPRODUCT(MAX(ROW(E$2:E414)*(E414=E$2:E414)))))-COUNTBLANK(OFFSET(A$1,,,SUMPRODUCT(MAX(ROW(E$1:E413)*(E2=E$1:E413))))))</f>
        <v> </v>
      </c>
      <c r="K414" s="25" t="str">
        <f>IF(OR(E414="",E414="!!!",F414="NEW"),"",INDEX(J$1:J413,SUMPRODUCT(MAX(ROW(E$1:E413)*(E414=E$1:E413)))))</f>
        <v> </v>
      </c>
      <c r="L414" s="26"/>
    </row>
    <row r="415" spans="1:12">
      <c r="A415" s="20" t="s">
        <v>330</v>
      </c>
      <c r="E415" s="21">
        <f>IF(D415="?OLD","!!!","")</f>
        <v/>
      </c>
      <c r="F415" s="22" t="str">
        <f>IF(OR(E415="",E415="!!!"),"",IF(NOT(ISNA(VLOOKUP(E415,E$1:E414,1,FALSE()))),"OLD",IF(AND(E415&lt;&gt;"",E415&lt;&gt;"!!!"),"NEW","")))</f>
        <v> </v>
      </c>
      <c r="G415" s="23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4" t="str">
        <f>IF(J415&lt;&gt;1,"",IF(I415="SBJ","CB","?"))</f>
        <v> </v>
      </c>
      <c r="I415" s="25" t="str">
        <f>IF(OR(E415="",E415="!!!",F415="NEW"),"",INDEX(B414:B$2,-1+SUMPRODUCT(MAX(ROW(E414:E$2)*(E415=E414:E$2)))))</f>
        <v> </v>
      </c>
      <c r="J415" s="25" t="str">
        <f>IF(OR(E415="",E415="!!!",F415="NEW"),"",COUNTBLANK(OFFSET(A$1,,,SUMPRODUCT(MAX(ROW(E$2:E415)*(E415=E$2:E415)))))-COUNTBLANK(OFFSET(A$1,,,SUMPRODUCT(MAX(ROW(E$1:E414)*(E2=E$1:E414))))))</f>
        <v> </v>
      </c>
      <c r="K415" s="25" t="str">
        <f>IF(OR(E415="",E415="!!!",F415="NEW"),"",INDEX(J$1:J414,SUMPRODUCT(MAX(ROW(E$1:E414)*(E415=E$1:E414)))))</f>
        <v> </v>
      </c>
      <c r="L415" s="26"/>
    </row>
    <row r="416" spans="1:12">
      <c r="A416" s="20" t="s">
        <v>157</v>
      </c>
      <c r="E416" s="21">
        <f>IF(D416="?OLD","!!!","")</f>
        <v/>
      </c>
      <c r="F416" s="22" t="str">
        <f>IF(OR(E416="",E416="!!!"),"",IF(NOT(ISNA(VLOOKUP(E416,E$1:E415,1,FALSE()))),"OLD",IF(AND(E416&lt;&gt;"",E416&lt;&gt;"!!!"),"NEW","")))</f>
        <v> </v>
      </c>
      <c r="G416" s="23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4" t="str">
        <f>IF(J416&lt;&gt;1,"",IF(I416="SBJ","CB","?"))</f>
        <v> </v>
      </c>
      <c r="I416" s="25" t="str">
        <f>IF(OR(E416="",E416="!!!",F416="NEW"),"",INDEX(B415:B$2,-1+SUMPRODUCT(MAX(ROW(E415:E$2)*(E416=E415:E$2)))))</f>
        <v> </v>
      </c>
      <c r="J416" s="25" t="str">
        <f>IF(OR(E416="",E416="!!!",F416="NEW"),"",COUNTBLANK(OFFSET(A$1,,,SUMPRODUCT(MAX(ROW(E$2:E416)*(E416=E$2:E416)))))-COUNTBLANK(OFFSET(A$1,,,SUMPRODUCT(MAX(ROW(E$1:E415)*(E2=E$1:E415))))))</f>
        <v> </v>
      </c>
      <c r="K416" s="25" t="str">
        <f>IF(OR(E416="",E416="!!!",F416="NEW"),"",INDEX(J$1:J415,SUMPRODUCT(MAX(ROW(E$1:E415)*(E416=E$1:E415)))))</f>
        <v> </v>
      </c>
      <c r="L416" s="26"/>
    </row>
    <row r="417" spans="1:12">
      <c r="A417" s="20" t="s">
        <v>208</v>
      </c>
      <c r="E417" s="21">
        <f>IF(D417="?OLD","!!!","")</f>
        <v/>
      </c>
      <c r="F417" s="22" t="str">
        <f>IF(OR(E417="",E417="!!!"),"",IF(NOT(ISNA(VLOOKUP(E417,E$1:E416,1,FALSE()))),"OLD",IF(AND(E417&lt;&gt;"",E417&lt;&gt;"!!!"),"NEW","")))</f>
        <v> </v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4" t="str">
        <f>IF(J417&lt;&gt;1,"",IF(I417="SBJ","CB","?"))</f>
        <v> </v>
      </c>
      <c r="I417" s="25" t="str">
        <f>IF(OR(E417="",E417="!!!",F417="NEW"),"",INDEX(B416:B$2,-1+SUMPRODUCT(MAX(ROW(E416:E$2)*(E417=E416:E$2)))))</f>
        <v> </v>
      </c>
      <c r="J417" s="25" t="str">
        <f>IF(OR(E417="",E417="!!!",F417="NEW"),"",COUNTBLANK(OFFSET(A$1,,,SUMPRODUCT(MAX(ROW(E$2:E417)*(E417=E$2:E417)))))-COUNTBLANK(OFFSET(A$1,,,SUMPRODUCT(MAX(ROW(E$1:E416)*(E2=E$1:E416))))))</f>
        <v> </v>
      </c>
      <c r="K417" s="25" t="str">
        <f>IF(OR(E417="",E417="!!!",F417="NEW"),"",INDEX(J$1:J416,SUMPRODUCT(MAX(ROW(E$1:E416)*(E417=E$1:E416)))))</f>
        <v> </v>
      </c>
      <c r="L417" s="26"/>
    </row>
    <row r="418" spans="1:12">
      <c r="A418" s="20" t="s">
        <v>306</v>
      </c>
      <c r="B418" s="27" t="s">
        <v>141</v>
      </c>
      <c r="C418" s="27" t="s">
        <v>176</v>
      </c>
      <c r="D418" s="27" t="s">
        <v>143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 t="s">
        <v>254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 t="s">
        <v>211</v>
      </c>
      <c r="E420" s="21">
        <f>IF(D420="?OLD","!!!","")</f>
        <v/>
      </c>
      <c r="F420" s="22" t="str">
        <f>IF(OR(E420="",E420="!!!"),"",IF(NOT(ISNA(VLOOKUP(E420,E$1:E419,1,FALSE()))),"OLD",IF(AND(E420&lt;&gt;"",E420&lt;&gt;"!!!"),"NEW","")))</f>
        <v> </v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4" t="str">
        <f>IF(J420&lt;&gt;1,"",IF(I420="SBJ","CB","?"))</f>
        <v> </v>
      </c>
      <c r="I420" s="25" t="str">
        <f>IF(OR(E420="",E420="!!!",F420="NEW"),"",INDEX(B419:B$2,-1+SUMPRODUCT(MAX(ROW(E419:E$2)*(E420=E419:E$2)))))</f>
        <v> </v>
      </c>
      <c r="J420" s="25" t="str">
        <f>IF(OR(E420="",E420="!!!",F420="NEW"),"",COUNTBLANK(OFFSET(A$1,,,SUMPRODUCT(MAX(ROW(E$2:E420)*(E420=E$2:E420)))))-COUNTBLANK(OFFSET(A$1,,,SUMPRODUCT(MAX(ROW(E$1:E419)*(E2=E$1:E419))))))</f>
        <v> </v>
      </c>
      <c r="K420" s="25" t="str">
        <f>IF(OR(E420="",E420="!!!",F420="NEW"),"",INDEX(J$1:J419,SUMPRODUCT(MAX(ROW(E$1:E419)*(E420=E$1:E419)))))</f>
        <v> </v>
      </c>
      <c r="L420" s="26"/>
    </row>
    <row r="421" spans="1:12">
      <c r="A421" s="20"/>
    </row>
    <row r="422" spans="1:12">
      <c r="A422" s="20" t="s">
        <v>331</v>
      </c>
    </row>
    <row r="423" spans="1:12">
      <c r="A423" s="20" t="s">
        <v>188</v>
      </c>
      <c r="E423" s="21">
        <f>IF(D423="?OLD","!!!","")</f>
        <v/>
      </c>
      <c r="F423" s="22" t="str">
        <f>IF(OR(E423="",E423="!!!"),"",IF(NOT(ISNA(VLOOKUP(E423,E$1:E422,1,FALSE()))),"OLD",IF(AND(E423&lt;&gt;"",E423&lt;&gt;"!!!"),"NEW","")))</f>
        <v> </v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4" t="str">
        <f>IF(J423&lt;&gt;1,"",IF(I423="SBJ","CB","?"))</f>
        <v> </v>
      </c>
      <c r="I423" s="25" t="str">
        <f>IF(OR(E423="",E423="!!!",F423="NEW"),"",INDEX(B422:B$2,-1+SUMPRODUCT(MAX(ROW(E422:E$2)*(E423=E422:E$2)))))</f>
        <v> </v>
      </c>
      <c r="J423" s="25" t="str">
        <f>IF(OR(E423="",E423="!!!",F423="NEW"),"",COUNTBLANK(OFFSET(A$1,,,SUMPRODUCT(MAX(ROW(E$2:E423)*(E423=E$2:E423)))))-COUNTBLANK(OFFSET(A$1,,,SUMPRODUCT(MAX(ROW(E$1:E422)*(E2=E$1:E422))))))</f>
        <v> </v>
      </c>
      <c r="K423" s="25" t="str">
        <f>IF(OR(E423="",E423="!!!",F423="NEW"),"",INDEX(J$1:J422,SUMPRODUCT(MAX(ROW(E$1:E422)*(E423=E$1:E422)))))</f>
        <v> </v>
      </c>
      <c r="L423" s="26"/>
    </row>
    <row r="424" spans="1:12">
      <c r="A424" s="20" t="s">
        <v>165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 t="s">
        <v>158</v>
      </c>
      <c r="B425" s="27" t="s">
        <v>171</v>
      </c>
      <c r="C425" s="27" t="s">
        <v>172</v>
      </c>
      <c r="E425" s="21">
        <f>IF(D425="?OLD","!!!","")</f>
        <v/>
      </c>
      <c r="F425" s="22" t="str">
        <f>IF(OR(E425="",E425="!!!"),"",IF(NOT(ISNA(VLOOKUP(E425,E$1:E424,1,FALSE()))),"OLD",IF(AND(E425&lt;&gt;"",E425&lt;&gt;"!!!"),"NEW","")))</f>
        <v> </v>
      </c>
      <c r="G425" s="23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4" t="str">
        <f>IF(J425&lt;&gt;1,"",IF(I425="SBJ","CB","?"))</f>
        <v> </v>
      </c>
      <c r="I425" s="25" t="str">
        <f>IF(OR(E425="",E425="!!!",F425="NEW"),"",INDEX(B424:B$2,-1+SUMPRODUCT(MAX(ROW(E424:E$2)*(E425=E424:E$2)))))</f>
        <v> </v>
      </c>
      <c r="J425" s="25" t="str">
        <f>IF(OR(E425="",E425="!!!",F425="NEW"),"",COUNTBLANK(OFFSET(A$1,,,SUMPRODUCT(MAX(ROW(E$2:E425)*(E425=E$2:E425)))))-COUNTBLANK(OFFSET(A$1,,,SUMPRODUCT(MAX(ROW(E$1:E424)*(E2=E$1:E424))))))</f>
        <v> </v>
      </c>
      <c r="K425" s="25" t="str">
        <f>IF(OR(E425="",E425="!!!",F425="NEW"),"",INDEX(J$1:J424,SUMPRODUCT(MAX(ROW(E$1:E424)*(E425=E$1:E424)))))</f>
        <v> </v>
      </c>
      <c r="L425" s="26"/>
    </row>
    <row r="426" spans="1:12">
      <c r="A426" s="20" t="s">
        <v>159</v>
      </c>
      <c r="E426" s="21">
        <f>IF(D426="?OLD","!!!","")</f>
        <v/>
      </c>
      <c r="F426" s="22" t="str">
        <f>IF(OR(E426="",E426="!!!"),"",IF(NOT(ISNA(VLOOKUP(E426,E$1:E425,1,FALSE()))),"OLD",IF(AND(E426&lt;&gt;"",E426&lt;&gt;"!!!"),"NEW","")))</f>
        <v> </v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4" t="str">
        <f>IF(J426&lt;&gt;1,"",IF(I426="SBJ","CB","?"))</f>
        <v> </v>
      </c>
      <c r="I426" s="25" t="str">
        <f>IF(OR(E426="",E426="!!!",F426="NEW"),"",INDEX(B425:B$2,-1+SUMPRODUCT(MAX(ROW(E425:E$2)*(E426=E425:E$2)))))</f>
        <v> </v>
      </c>
      <c r="J426" s="25" t="str">
        <f>IF(OR(E426="",E426="!!!",F426="NEW"),"",COUNTBLANK(OFFSET(A$1,,,SUMPRODUCT(MAX(ROW(E$2:E426)*(E426=E$2:E426)))))-COUNTBLANK(OFFSET(A$1,,,SUMPRODUCT(MAX(ROW(E$1:E425)*(E2=E$1:E425))))))</f>
        <v> </v>
      </c>
      <c r="K426" s="25" t="str">
        <f>IF(OR(E426="",E426="!!!",F426="NEW"),"",INDEX(J$1:J425,SUMPRODUCT(MAX(ROW(E$1:E425)*(E426=E$1:E425)))))</f>
        <v> </v>
      </c>
      <c r="L426" s="26"/>
    </row>
    <row r="427" spans="1:12">
      <c r="A427" s="20" t="s">
        <v>160</v>
      </c>
      <c r="B427" s="27" t="s">
        <v>171</v>
      </c>
      <c r="C427" s="27" t="s">
        <v>161</v>
      </c>
      <c r="D427" s="27" t="s">
        <v>143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 t="s">
        <v>166</v>
      </c>
      <c r="B428" s="27" t="s">
        <v>182</v>
      </c>
      <c r="C428" s="27" t="s">
        <v>149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 t="s">
        <v>159</v>
      </c>
      <c r="E429" s="21">
        <f>IF(D429="?OLD","!!!","")</f>
        <v/>
      </c>
      <c r="F429" s="22" t="str">
        <f>IF(OR(E429="",E429="!!!"),"",IF(NOT(ISNA(VLOOKUP(E429,E$1:E428,1,FALSE()))),"OLD",IF(AND(E429&lt;&gt;"",E429&lt;&gt;"!!!"),"NEW","")))</f>
        <v> </v>
      </c>
      <c r="G429" s="23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4" t="str">
        <f>IF(J429&lt;&gt;1,"",IF(I429="SBJ","CB","?"))</f>
        <v> </v>
      </c>
      <c r="I429" s="25" t="str">
        <f>IF(OR(E429="",E429="!!!",F429="NEW"),"",INDEX(B428:B$2,-1+SUMPRODUCT(MAX(ROW(E428:E$2)*(E429=E428:E$2)))))</f>
        <v> </v>
      </c>
      <c r="J429" s="25" t="str">
        <f>IF(OR(E429="",E429="!!!",F429="NEW"),"",COUNTBLANK(OFFSET(A$1,,,SUMPRODUCT(MAX(ROW(E$2:E429)*(E429=E$2:E429)))))-COUNTBLANK(OFFSET(A$1,,,SUMPRODUCT(MAX(ROW(E$1:E428)*(E2=E$1:E428))))))</f>
        <v> </v>
      </c>
      <c r="K429" s="25" t="str">
        <f>IF(OR(E429="",E429="!!!",F429="NEW"),"",INDEX(J$1:J428,SUMPRODUCT(MAX(ROW(E$1:E428)*(E429=E$1:E428)))))</f>
        <v> </v>
      </c>
      <c r="L429" s="26"/>
    </row>
    <row r="430" spans="1:12">
      <c r="A430" s="20" t="s">
        <v>140</v>
      </c>
      <c r="B430" s="27" t="s">
        <v>191</v>
      </c>
      <c r="C430" s="27" t="s">
        <v>142</v>
      </c>
      <c r="D430" s="27" t="s">
        <v>143</v>
      </c>
      <c r="E430" s="21">
        <f>IF(D430="?OLD","!!!","")</f>
        <v/>
      </c>
      <c r="F430" s="22" t="str">
        <f>IF(OR(E430="",E430="!!!"),"",IF(NOT(ISNA(VLOOKUP(E430,E$1:E429,1,FALSE()))),"OLD",IF(AND(E430&lt;&gt;"",E430&lt;&gt;"!!!"),"NEW","")))</f>
        <v> </v>
      </c>
      <c r="G430" s="23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4" t="str">
        <f>IF(J430&lt;&gt;1,"",IF(I430="SBJ","CB","?"))</f>
        <v> </v>
      </c>
      <c r="I430" s="25" t="str">
        <f>IF(OR(E430="",E430="!!!",F430="NEW"),"",INDEX(B429:B$2,-1+SUMPRODUCT(MAX(ROW(E429:E$2)*(E430=E429:E$2)))))</f>
        <v> </v>
      </c>
      <c r="J430" s="25" t="str">
        <f>IF(OR(E430="",E430="!!!",F430="NEW"),"",COUNTBLANK(OFFSET(A$1,,,SUMPRODUCT(MAX(ROW(E$2:E430)*(E430=E$2:E430)))))-COUNTBLANK(OFFSET(A$1,,,SUMPRODUCT(MAX(ROW(E$1:E429)*(E2=E$1:E429))))))</f>
        <v> </v>
      </c>
      <c r="K430" s="25" t="str">
        <f>IF(OR(E430="",E430="!!!",F430="NEW"),"",INDEX(J$1:J429,SUMPRODUCT(MAX(ROW(E$1:E429)*(E430=E$1:E429)))))</f>
        <v> </v>
      </c>
      <c r="L430" s="26"/>
    </row>
    <row r="431" spans="1:12">
      <c r="A431" s="20" t="s">
        <v>168</v>
      </c>
      <c r="E431" s="21">
        <f>IF(D431="?OLD","!!!","")</f>
        <v/>
      </c>
      <c r="F431" s="22" t="str">
        <f>IF(OR(E431="",E431="!!!"),"",IF(NOT(ISNA(VLOOKUP(E431,E$1:E430,1,FALSE()))),"OLD",IF(AND(E431&lt;&gt;"",E431&lt;&gt;"!!!"),"NEW","")))</f>
        <v> </v>
      </c>
      <c r="G431" s="23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4" t="str">
        <f>IF(J431&lt;&gt;1,"",IF(I431="SBJ","CB","?"))</f>
        <v> </v>
      </c>
      <c r="I431" s="25" t="str">
        <f>IF(OR(E431="",E431="!!!",F431="NEW"),"",INDEX(B430:B$2,-1+SUMPRODUCT(MAX(ROW(E430:E$2)*(E431=E430:E$2)))))</f>
        <v> </v>
      </c>
      <c r="J431" s="25" t="str">
        <f>IF(OR(E431="",E431="!!!",F431="NEW"),"",COUNTBLANK(OFFSET(A$1,,,SUMPRODUCT(MAX(ROW(E$2:E431)*(E431=E$2:E431)))))-COUNTBLANK(OFFSET(A$1,,,SUMPRODUCT(MAX(ROW(E$1:E430)*(E2=E$1:E430))))))</f>
        <v> </v>
      </c>
      <c r="K431" s="25" t="str">
        <f>IF(OR(E431="",E431="!!!",F431="NEW"),"",INDEX(J$1:J430,SUMPRODUCT(MAX(ROW(E$1:E430)*(E431=E$1:E430)))))</f>
        <v> </v>
      </c>
      <c r="L431" s="26"/>
    </row>
    <row r="432" spans="1:12">
      <c r="A432" s="20" t="s">
        <v>332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 t="s">
        <v>298</v>
      </c>
      <c r="B433" s="27" t="s">
        <v>141</v>
      </c>
      <c r="C433" s="27" t="s">
        <v>176</v>
      </c>
      <c r="D433" s="27" t="s">
        <v>143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333</v>
      </c>
      <c r="B434" s="27" t="s">
        <v>182</v>
      </c>
      <c r="C434" s="27" t="s">
        <v>149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 t="s">
        <v>325</v>
      </c>
      <c r="E435" s="21">
        <f>IF(D435="?OLD","!!!","")</f>
        <v/>
      </c>
      <c r="F435" s="22" t="str">
        <f>IF(OR(E435="",E435="!!!"),"",IF(NOT(ISNA(VLOOKUP(E435,E$1:E434,1,FALSE()))),"OLD",IF(AND(E435&lt;&gt;"",E435&lt;&gt;"!!!"),"NEW","")))</f>
        <v> </v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4" t="str">
        <f>IF(J435&lt;&gt;1,"",IF(I435="SBJ","CB","?"))</f>
        <v> </v>
      </c>
      <c r="I435" s="25" t="str">
        <f>IF(OR(E435="",E435="!!!",F435="NEW"),"",INDEX(B434:B$2,-1+SUMPRODUCT(MAX(ROW(E434:E$2)*(E435=E434:E$2)))))</f>
        <v> </v>
      </c>
      <c r="J435" s="25" t="str">
        <f>IF(OR(E435="",E435="!!!",F435="NEW"),"",COUNTBLANK(OFFSET(A$1,,,SUMPRODUCT(MAX(ROW(E$2:E435)*(E435=E$2:E435)))))-COUNTBLANK(OFFSET(A$1,,,SUMPRODUCT(MAX(ROW(E$1:E434)*(E2=E$1:E434))))))</f>
        <v> </v>
      </c>
      <c r="K435" s="25" t="str">
        <f>IF(OR(E435="",E435="!!!",F435="NEW"),"",INDEX(J$1:J434,SUMPRODUCT(MAX(ROW(E$1:E434)*(E435=E$1:E434)))))</f>
        <v> </v>
      </c>
      <c r="L435" s="26"/>
    </row>
    <row r="436" spans="1:12">
      <c r="A436" s="20" t="s">
        <v>322</v>
      </c>
      <c r="E436" s="21">
        <f>IF(D436="?OLD","!!!","")</f>
        <v/>
      </c>
      <c r="F436" s="22" t="str">
        <f>IF(OR(E436="",E436="!!!"),"",IF(NOT(ISNA(VLOOKUP(E436,E$1:E435,1,FALSE()))),"OLD",IF(AND(E436&lt;&gt;"",E436&lt;&gt;"!!!"),"NEW","")))</f>
        <v> </v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4" t="str">
        <f>IF(J436&lt;&gt;1,"",IF(I436="SBJ","CB","?"))</f>
        <v> </v>
      </c>
      <c r="I436" s="25" t="str">
        <f>IF(OR(E436="",E436="!!!",F436="NEW"),"",INDEX(B435:B$2,-1+SUMPRODUCT(MAX(ROW(E435:E$2)*(E436=E435:E$2)))))</f>
        <v> </v>
      </c>
      <c r="J436" s="25" t="str">
        <f>IF(OR(E436="",E436="!!!",F436="NEW"),"",COUNTBLANK(OFFSET(A$1,,,SUMPRODUCT(MAX(ROW(E$2:E436)*(E436=E$2:E436)))))-COUNTBLANK(OFFSET(A$1,,,SUMPRODUCT(MAX(ROW(E$1:E435)*(E2=E$1:E435))))))</f>
        <v> </v>
      </c>
      <c r="K436" s="25" t="str">
        <f>IF(OR(E436="",E436="!!!",F436="NEW"),"",INDEX(J$1:J435,SUMPRODUCT(MAX(ROW(E$1:E435)*(E436=E$1:E435)))))</f>
        <v> </v>
      </c>
      <c r="L436" s="26"/>
    </row>
    <row r="437" spans="1:12">
      <c r="A437" s="20" t="s">
        <v>157</v>
      </c>
      <c r="E437" s="21">
        <f>IF(D437="?OLD","!!!","")</f>
        <v/>
      </c>
      <c r="F437" s="22" t="str">
        <f>IF(OR(E437="",E437="!!!"),"",IF(NOT(ISNA(VLOOKUP(E437,E$1:E436,1,FALSE()))),"OLD",IF(AND(E437&lt;&gt;"",E437&lt;&gt;"!!!"),"NEW","")))</f>
        <v> </v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4" t="str">
        <f>IF(J437&lt;&gt;1,"",IF(I437="SBJ","CB","?"))</f>
        <v> </v>
      </c>
      <c r="I437" s="25" t="str">
        <f>IF(OR(E437="",E437="!!!",F437="NEW"),"",INDEX(B436:B$2,-1+SUMPRODUCT(MAX(ROW(E436:E$2)*(E437=E436:E$2)))))</f>
        <v> </v>
      </c>
      <c r="J437" s="25" t="str">
        <f>IF(OR(E437="",E437="!!!",F437="NEW"),"",COUNTBLANK(OFFSET(A$1,,,SUMPRODUCT(MAX(ROW(E$2:E437)*(E437=E$2:E437)))))-COUNTBLANK(OFFSET(A$1,,,SUMPRODUCT(MAX(ROW(E$1:E436)*(E2=E$1:E436))))))</f>
        <v> </v>
      </c>
      <c r="K437" s="25" t="str">
        <f>IF(OR(E437="",E437="!!!",F437="NEW"),"",INDEX(J$1:J436,SUMPRODUCT(MAX(ROW(E$1:E436)*(E437=E$1:E436)))))</f>
        <v> </v>
      </c>
      <c r="L437" s="26"/>
    </row>
    <row r="438" spans="1:12">
      <c r="A438" s="20" t="s">
        <v>334</v>
      </c>
      <c r="E438" s="21">
        <f>IF(D438="?OLD","!!!","")</f>
        <v/>
      </c>
      <c r="F438" s="22" t="str">
        <f>IF(OR(E438="",E438="!!!"),"",IF(NOT(ISNA(VLOOKUP(E438,E$1:E437,1,FALSE()))),"OLD",IF(AND(E438&lt;&gt;"",E438&lt;&gt;"!!!"),"NEW","")))</f>
        <v> </v>
      </c>
      <c r="G438" s="23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4" t="str">
        <f>IF(J438&lt;&gt;1,"",IF(I438="SBJ","CB","?"))</f>
        <v> </v>
      </c>
      <c r="I438" s="25" t="str">
        <f>IF(OR(E438="",E438="!!!",F438="NEW"),"",INDEX(B437:B$2,-1+SUMPRODUCT(MAX(ROW(E437:E$2)*(E438=E437:E$2)))))</f>
        <v> </v>
      </c>
      <c r="J438" s="25" t="str">
        <f>IF(OR(E438="",E438="!!!",F438="NEW"),"",COUNTBLANK(OFFSET(A$1,,,SUMPRODUCT(MAX(ROW(E$2:E438)*(E438=E$2:E438)))))-COUNTBLANK(OFFSET(A$1,,,SUMPRODUCT(MAX(ROW(E$1:E437)*(E2=E$1:E437))))))</f>
        <v> </v>
      </c>
      <c r="K438" s="25" t="str">
        <f>IF(OR(E438="",E438="!!!",F438="NEW"),"",INDEX(J$1:J437,SUMPRODUCT(MAX(ROW(E$1:E437)*(E438=E$1:E437)))))</f>
        <v> </v>
      </c>
      <c r="L438" s="26"/>
    </row>
    <row r="439" spans="1:12">
      <c r="A439" s="20" t="s">
        <v>298</v>
      </c>
      <c r="B439" s="27" t="s">
        <v>141</v>
      </c>
      <c r="C439" s="27" t="s">
        <v>176</v>
      </c>
      <c r="D439" s="27" t="s">
        <v>143</v>
      </c>
      <c r="E439" s="21">
        <f>IF(D439="?OLD","!!!","")</f>
        <v/>
      </c>
      <c r="F439" s="22" t="str">
        <f>IF(OR(E439="",E439="!!!"),"",IF(NOT(ISNA(VLOOKUP(E439,E$1:E438,1,FALSE()))),"OLD",IF(AND(E439&lt;&gt;"",E439&lt;&gt;"!!!"),"NEW","")))</f>
        <v> </v>
      </c>
      <c r="G439" s="23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4" t="str">
        <f>IF(J439&lt;&gt;1,"",IF(I439="SBJ","CB","?"))</f>
        <v> </v>
      </c>
      <c r="I439" s="25" t="str">
        <f>IF(OR(E439="",E439="!!!",F439="NEW"),"",INDEX(B438:B$2,-1+SUMPRODUCT(MAX(ROW(E438:E$2)*(E439=E438:E$2)))))</f>
        <v> </v>
      </c>
      <c r="J439" s="25" t="str">
        <f>IF(OR(E439="",E439="!!!",F439="NEW"),"",COUNTBLANK(OFFSET(A$1,,,SUMPRODUCT(MAX(ROW(E$2:E439)*(E439=E$2:E439)))))-COUNTBLANK(OFFSET(A$1,,,SUMPRODUCT(MAX(ROW(E$1:E438)*(E2=E$1:E438))))))</f>
        <v> </v>
      </c>
      <c r="K439" s="25" t="str">
        <f>IF(OR(E439="",E439="!!!",F439="NEW"),"",INDEX(J$1:J438,SUMPRODUCT(MAX(ROW(E$1:E438)*(E439=E$1:E438)))))</f>
        <v> </v>
      </c>
      <c r="L439" s="26"/>
    </row>
    <row r="440" spans="1:12">
      <c r="A440" s="20" t="s">
        <v>335</v>
      </c>
      <c r="E440" s="21">
        <f>IF(D440="?OLD","!!!","")</f>
        <v/>
      </c>
      <c r="F440" s="22" t="str">
        <f>IF(OR(E440="",E440="!!!"),"",IF(NOT(ISNA(VLOOKUP(E440,E$1:E439,1,FALSE()))),"OLD",IF(AND(E440&lt;&gt;"",E440&lt;&gt;"!!!"),"NEW","")))</f>
        <v> </v>
      </c>
      <c r="G440" s="23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4" t="str">
        <f>IF(J440&lt;&gt;1,"",IF(I440="SBJ","CB","?"))</f>
        <v> </v>
      </c>
      <c r="I440" s="25" t="str">
        <f>IF(OR(E440="",E440="!!!",F440="NEW"),"",INDEX(B439:B$2,-1+SUMPRODUCT(MAX(ROW(E439:E$2)*(E440=E439:E$2)))))</f>
        <v> </v>
      </c>
      <c r="J440" s="25" t="str">
        <f>IF(OR(E440="",E440="!!!",F440="NEW"),"",COUNTBLANK(OFFSET(A$1,,,SUMPRODUCT(MAX(ROW(E$2:E440)*(E440=E$2:E440)))))-COUNTBLANK(OFFSET(A$1,,,SUMPRODUCT(MAX(ROW(E$1:E439)*(E2=E$1:E439))))))</f>
        <v> </v>
      </c>
      <c r="K440" s="25" t="str">
        <f>IF(OR(E440="",E440="!!!",F440="NEW"),"",INDEX(J$1:J439,SUMPRODUCT(MAX(ROW(E$1:E439)*(E440=E$1:E439)))))</f>
        <v> </v>
      </c>
      <c r="L440" s="26"/>
    </row>
    <row r="441" spans="1:12">
      <c r="A441" s="20" t="s">
        <v>290</v>
      </c>
      <c r="E441" s="21">
        <f>IF(D441="?OLD","!!!","")</f>
        <v/>
      </c>
      <c r="F441" s="22" t="str">
        <f>IF(OR(E441="",E441="!!!"),"",IF(NOT(ISNA(VLOOKUP(E441,E$1:E440,1,FALSE()))),"OLD",IF(AND(E441&lt;&gt;"",E441&lt;&gt;"!!!"),"NEW","")))</f>
        <v> </v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4" t="str">
        <f>IF(J441&lt;&gt;1,"",IF(I441="SBJ","CB","?"))</f>
        <v> </v>
      </c>
      <c r="I441" s="25" t="str">
        <f>IF(OR(E441="",E441="!!!",F441="NEW"),"",INDEX(B440:B$2,-1+SUMPRODUCT(MAX(ROW(E440:E$2)*(E441=E440:E$2)))))</f>
        <v> </v>
      </c>
      <c r="J441" s="25" t="str">
        <f>IF(OR(E441="",E441="!!!",F441="NEW"),"",COUNTBLANK(OFFSET(A$1,,,SUMPRODUCT(MAX(ROW(E$2:E441)*(E441=E$2:E441)))))-COUNTBLANK(OFFSET(A$1,,,SUMPRODUCT(MAX(ROW(E$1:E440)*(E2=E$1:E440))))))</f>
        <v> </v>
      </c>
      <c r="K441" s="25" t="str">
        <f>IF(OR(E441="",E441="!!!",F441="NEW"),"",INDEX(J$1:J440,SUMPRODUCT(MAX(ROW(E$1:E440)*(E441=E$1:E440)))))</f>
        <v> </v>
      </c>
      <c r="L441" s="26"/>
    </row>
    <row r="442" spans="1:12">
      <c r="A442" s="20" t="s">
        <v>336</v>
      </c>
      <c r="B442" s="27" t="s">
        <v>182</v>
      </c>
      <c r="C442" s="27" t="s">
        <v>149</v>
      </c>
      <c r="E442" s="21">
        <f>IF(D442="?OLD","!!!","")</f>
        <v/>
      </c>
      <c r="F442" s="22" t="str">
        <f>IF(OR(E442="",E442="!!!"),"",IF(NOT(ISNA(VLOOKUP(E442,E$1:E441,1,FALSE()))),"OLD",IF(AND(E442&lt;&gt;"",E442&lt;&gt;"!!!"),"NEW","")))</f>
        <v> </v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4" t="str">
        <f>IF(J442&lt;&gt;1,"",IF(I442="SBJ","CB","?"))</f>
        <v> </v>
      </c>
      <c r="I442" s="25" t="str">
        <f>IF(OR(E442="",E442="!!!",F442="NEW"),"",INDEX(B441:B$2,-1+SUMPRODUCT(MAX(ROW(E441:E$2)*(E442=E441:E$2)))))</f>
        <v> </v>
      </c>
      <c r="J442" s="25" t="str">
        <f>IF(OR(E442="",E442="!!!",F442="NEW"),"",COUNTBLANK(OFFSET(A$1,,,SUMPRODUCT(MAX(ROW(E$2:E442)*(E442=E$2:E442)))))-COUNTBLANK(OFFSET(A$1,,,SUMPRODUCT(MAX(ROW(E$1:E441)*(E2=E$1:E441))))))</f>
        <v> </v>
      </c>
      <c r="K442" s="25" t="str">
        <f>IF(OR(E442="",E442="!!!",F442="NEW"),"",INDEX(J$1:J441,SUMPRODUCT(MAX(ROW(E$1:E441)*(E442=E$1:E441)))))</f>
        <v> </v>
      </c>
      <c r="L442" s="26"/>
    </row>
    <row r="443" spans="1:12">
      <c r="A443" s="20" t="s">
        <v>337</v>
      </c>
      <c r="B443" s="27" t="s">
        <v>258</v>
      </c>
      <c r="C443" s="27" t="s">
        <v>172</v>
      </c>
      <c r="E443" s="21">
        <f>IF(D443="?OLD","!!!","")</f>
        <v/>
      </c>
      <c r="F443" s="22" t="str">
        <f>IF(OR(E443="",E443="!!!"),"",IF(NOT(ISNA(VLOOKUP(E443,E$1:E442,1,FALSE()))),"OLD",IF(AND(E443&lt;&gt;"",E443&lt;&gt;"!!!"),"NEW","")))</f>
        <v> </v>
      </c>
      <c r="G443" s="23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4" t="str">
        <f>IF(J443&lt;&gt;1,"",IF(I443="SBJ","CB","?"))</f>
        <v> </v>
      </c>
      <c r="I443" s="25" t="str">
        <f>IF(OR(E443="",E443="!!!",F443="NEW"),"",INDEX(B442:B$2,-1+SUMPRODUCT(MAX(ROW(E442:E$2)*(E443=E442:E$2)))))</f>
        <v> </v>
      </c>
      <c r="J443" s="25" t="str">
        <f>IF(OR(E443="",E443="!!!",F443="NEW"),"",COUNTBLANK(OFFSET(A$1,,,SUMPRODUCT(MAX(ROW(E$2:E443)*(E443=E$2:E443)))))-COUNTBLANK(OFFSET(A$1,,,SUMPRODUCT(MAX(ROW(E$1:E442)*(E2=E$1:E442))))))</f>
        <v> </v>
      </c>
      <c r="K443" s="25" t="str">
        <f>IF(OR(E443="",E443="!!!",F443="NEW"),"",INDEX(J$1:J442,SUMPRODUCT(MAX(ROW(E$1:E442)*(E443=E$1:E442)))))</f>
        <v> </v>
      </c>
      <c r="L443" s="26"/>
    </row>
    <row r="444" spans="1:12">
      <c r="A444" s="20" t="s">
        <v>164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 t="s">
        <v>290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 t="s">
        <v>338</v>
      </c>
      <c r="B446" s="27" t="s">
        <v>148</v>
      </c>
      <c r="C446" s="27" t="s">
        <v>149</v>
      </c>
      <c r="E446" s="21">
        <f>IF(D446="?OLD","!!!","")</f>
        <v/>
      </c>
      <c r="F446" s="22" t="str">
        <f>IF(OR(E446="",E446="!!!"),"",IF(NOT(ISNA(VLOOKUP(E446,E$1:E445,1,FALSE()))),"OLD",IF(AND(E446&lt;&gt;"",E446&lt;&gt;"!!!"),"NEW","")))</f>
        <v> </v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4" t="str">
        <f>IF(J446&lt;&gt;1,"",IF(I446="SBJ","CB","?"))</f>
        <v> </v>
      </c>
      <c r="I446" s="25" t="str">
        <f>IF(OR(E446="",E446="!!!",F446="NEW"),"",INDEX(B445:B$2,-1+SUMPRODUCT(MAX(ROW(E445:E$2)*(E446=E445:E$2)))))</f>
        <v> </v>
      </c>
      <c r="J446" s="25" t="str">
        <f>IF(OR(E446="",E446="!!!",F446="NEW"),"",COUNTBLANK(OFFSET(A$1,,,SUMPRODUCT(MAX(ROW(E$2:E446)*(E446=E$2:E446)))))-COUNTBLANK(OFFSET(A$1,,,SUMPRODUCT(MAX(ROW(E$1:E445)*(E2=E$1:E445))))))</f>
        <v> </v>
      </c>
      <c r="K446" s="25" t="str">
        <f>IF(OR(E446="",E446="!!!",F446="NEW"),"",INDEX(J$1:J445,SUMPRODUCT(MAX(ROW(E$1:E445)*(E446=E$1:E445)))))</f>
        <v> </v>
      </c>
      <c r="L446" s="26"/>
    </row>
    <row r="447" spans="1:12">
      <c r="A447" s="20" t="s">
        <v>339</v>
      </c>
      <c r="B447" s="27" t="s">
        <v>156</v>
      </c>
      <c r="C447" s="27" t="s">
        <v>152</v>
      </c>
      <c r="E447" s="21">
        <f>IF(D447="?OLD","!!!","")</f>
        <v/>
      </c>
      <c r="F447" s="22" t="str">
        <f>IF(OR(E447="",E447="!!!"),"",IF(NOT(ISNA(VLOOKUP(E447,E$1:E446,1,FALSE()))),"OLD",IF(AND(E447&lt;&gt;"",E447&lt;&gt;"!!!"),"NEW","")))</f>
        <v> 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4" t="str">
        <f>IF(J447&lt;&gt;1,"",IF(I447="SBJ","CB","?"))</f>
        <v> </v>
      </c>
      <c r="I447" s="25" t="str">
        <f>IF(OR(E447="",E447="!!!",F447="NEW"),"",INDEX(B446:B$2,-1+SUMPRODUCT(MAX(ROW(E446:E$2)*(E447=E446:E$2)))))</f>
        <v> </v>
      </c>
      <c r="J447" s="25" t="str">
        <f>IF(OR(E447="",E447="!!!",F447="NEW"),"",COUNTBLANK(OFFSET(A$1,,,SUMPRODUCT(MAX(ROW(E$2:E447)*(E447=E$2:E447)))))-COUNTBLANK(OFFSET(A$1,,,SUMPRODUCT(MAX(ROW(E$1:E446)*(E2=E$1:E446))))))</f>
        <v> </v>
      </c>
      <c r="K447" s="25" t="str">
        <f>IF(OR(E447="",E447="!!!",F447="NEW"),"",INDEX(J$1:J446,SUMPRODUCT(MAX(ROW(E$1:E446)*(E447=E$1:E446)))))</f>
        <v> </v>
      </c>
      <c r="L447" s="26"/>
    </row>
    <row r="448" spans="1:12">
      <c r="A448" s="20" t="s">
        <v>153</v>
      </c>
      <c r="E448" s="21">
        <f>IF(D448="?OLD","!!!","")</f>
        <v/>
      </c>
      <c r="F448" s="22" t="str">
        <f>IF(OR(E448="",E448="!!!"),"",IF(NOT(ISNA(VLOOKUP(E448,E$1:E447,1,FALSE()))),"OLD",IF(AND(E448&lt;&gt;"",E448&lt;&gt;"!!!"),"NEW","")))</f>
        <v> </v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4" t="str">
        <f>IF(J448&lt;&gt;1,"",IF(I448="SBJ","CB","?"))</f>
        <v> </v>
      </c>
      <c r="I448" s="25" t="str">
        <f>IF(OR(E448="",E448="!!!",F448="NEW"),"",INDEX(B447:B$2,-1+SUMPRODUCT(MAX(ROW(E447:E$2)*(E448=E447:E$2)))))</f>
        <v> </v>
      </c>
      <c r="J448" s="25" t="str">
        <f>IF(OR(E448="",E448="!!!",F448="NEW"),"",COUNTBLANK(OFFSET(A$1,,,SUMPRODUCT(MAX(ROW(E$2:E448)*(E448=E$2:E448)))))-COUNTBLANK(OFFSET(A$1,,,SUMPRODUCT(MAX(ROW(E$1:E447)*(E2=E$1:E447))))))</f>
        <v> </v>
      </c>
      <c r="K448" s="25" t="str">
        <f>IF(OR(E448="",E448="!!!",F448="NEW"),"",INDEX(J$1:J447,SUMPRODUCT(MAX(ROW(E$1:E447)*(E448=E$1:E447)))))</f>
        <v> </v>
      </c>
      <c r="L448" s="26"/>
    </row>
    <row r="449" spans="1:12">
      <c r="A449" s="20" t="s">
        <v>154</v>
      </c>
      <c r="E449" s="21">
        <f>IF(D449="?OLD","!!!","")</f>
        <v/>
      </c>
      <c r="F449" s="22" t="str">
        <f>IF(OR(E449="",E449="!!!"),"",IF(NOT(ISNA(VLOOKUP(E449,E$1:E448,1,FALSE()))),"OLD",IF(AND(E449&lt;&gt;"",E449&lt;&gt;"!!!"),"NEW","")))</f>
        <v> </v>
      </c>
      <c r="G449" s="23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4" t="str">
        <f>IF(J449&lt;&gt;1,"",IF(I449="SBJ","CB","?"))</f>
        <v> </v>
      </c>
      <c r="I449" s="25" t="str">
        <f>IF(OR(E449="",E449="!!!",F449="NEW"),"",INDEX(B448:B$2,-1+SUMPRODUCT(MAX(ROW(E448:E$2)*(E449=E448:E$2)))))</f>
        <v> </v>
      </c>
      <c r="J449" s="25" t="str">
        <f>IF(OR(E449="",E449="!!!",F449="NEW"),"",COUNTBLANK(OFFSET(A$1,,,SUMPRODUCT(MAX(ROW(E$2:E449)*(E449=E$2:E449)))))-COUNTBLANK(OFFSET(A$1,,,SUMPRODUCT(MAX(ROW(E$1:E448)*(E2=E$1:E448))))))</f>
        <v> </v>
      </c>
      <c r="K449" s="25" t="str">
        <f>IF(OR(E449="",E449="!!!",F449="NEW"),"",INDEX(J$1:J448,SUMPRODUCT(MAX(ROW(E$1:E448)*(E449=E$1:E448)))))</f>
        <v> </v>
      </c>
      <c r="L449" s="26"/>
    </row>
    <row r="450" spans="1:12">
      <c r="A450" s="20" t="s">
        <v>155</v>
      </c>
      <c r="B450" s="27" t="s">
        <v>148</v>
      </c>
      <c r="C450" s="27" t="s">
        <v>142</v>
      </c>
      <c r="D450" s="27" t="s">
        <v>143</v>
      </c>
      <c r="E450" s="21">
        <f>IF(D450="?OLD","!!!","")</f>
        <v/>
      </c>
      <c r="F450" s="22" t="str">
        <f>IF(OR(E450="",E450="!!!"),"",IF(NOT(ISNA(VLOOKUP(E450,E$1:E449,1,FALSE()))),"OLD",IF(AND(E450&lt;&gt;"",E450&lt;&gt;"!!!"),"NEW","")))</f>
        <v> </v>
      </c>
      <c r="G450" s="23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4" t="str">
        <f>IF(J450&lt;&gt;1,"",IF(I450="SBJ","CB","?"))</f>
        <v> </v>
      </c>
      <c r="I450" s="25" t="str">
        <f>IF(OR(E450="",E450="!!!",F450="NEW"),"",INDEX(B449:B$2,-1+SUMPRODUCT(MAX(ROW(E449:E$2)*(E450=E449:E$2)))))</f>
        <v> </v>
      </c>
      <c r="J450" s="25" t="str">
        <f>IF(OR(E450="",E450="!!!",F450="NEW"),"",COUNTBLANK(OFFSET(A$1,,,SUMPRODUCT(MAX(ROW(E$2:E450)*(E450=E$2:E450)))))-COUNTBLANK(OFFSET(A$1,,,SUMPRODUCT(MAX(ROW(E$1:E449)*(E2=E$1:E449))))))</f>
        <v> </v>
      </c>
      <c r="K450" s="25" t="str">
        <f>IF(OR(E450="",E450="!!!",F450="NEW"),"",INDEX(J$1:J449,SUMPRODUCT(MAX(ROW(E$1:E449)*(E450=E$1:E449)))))</f>
        <v> </v>
      </c>
      <c r="L450" s="26"/>
    </row>
    <row r="451" spans="1:12">
      <c r="A451" s="20" t="s">
        <v>211</v>
      </c>
      <c r="E451" s="21">
        <f>IF(D451="?OLD","!!!","")</f>
        <v/>
      </c>
      <c r="F451" s="22" t="str">
        <f>IF(OR(E451="",E451="!!!"),"",IF(NOT(ISNA(VLOOKUP(E451,E$1:E450,1,FALSE()))),"OLD",IF(AND(E451&lt;&gt;"",E451&lt;&gt;"!!!"),"NEW","")))</f>
        <v> </v>
      </c>
      <c r="G451" s="23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4" t="str">
        <f>IF(J451&lt;&gt;1,"",IF(I451="SBJ","CB","?"))</f>
        <v> </v>
      </c>
      <c r="I451" s="25" t="str">
        <f>IF(OR(E451="",E451="!!!",F451="NEW"),"",INDEX(B450:B$2,-1+SUMPRODUCT(MAX(ROW(E450:E$2)*(E451=E450:E$2)))))</f>
        <v> </v>
      </c>
      <c r="J451" s="25" t="str">
        <f>IF(OR(E451="",E451="!!!",F451="NEW"),"",COUNTBLANK(OFFSET(A$1,,,SUMPRODUCT(MAX(ROW(E$2:E451)*(E451=E$2:E451)))))-COUNTBLANK(OFFSET(A$1,,,SUMPRODUCT(MAX(ROW(E$1:E450)*(E2=E$1:E450))))))</f>
        <v> </v>
      </c>
      <c r="K451" s="25" t="str">
        <f>IF(OR(E451="",E451="!!!",F451="NEW"),"",INDEX(J$1:J450,SUMPRODUCT(MAX(ROW(E$1:E450)*(E451=E$1:E450)))))</f>
        <v> </v>
      </c>
      <c r="L451" s="26"/>
    </row>
    <row r="452" spans="1:12">
      <c r="A452" s="20"/>
    </row>
    <row r="453" spans="1:12">
      <c r="A453" s="20" t="s">
        <v>340</v>
      </c>
    </row>
    <row r="454" spans="1:12">
      <c r="A454" s="20" t="s">
        <v>341</v>
      </c>
      <c r="E454" s="21">
        <f>IF(D454="?OLD","!!!","")</f>
        <v/>
      </c>
      <c r="F454" s="22" t="str">
        <f>IF(OR(E454="",E454="!!!"),"",IF(NOT(ISNA(VLOOKUP(E454,E$1:E453,1,FALSE()))),"OLD",IF(AND(E454&lt;&gt;"",E454&lt;&gt;"!!!"),"NEW","")))</f>
        <v> </v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4" t="str">
        <f>IF(J454&lt;&gt;1,"",IF(I454="SBJ","CB","?"))</f>
        <v> </v>
      </c>
      <c r="I454" s="25" t="str">
        <f>IF(OR(E454="",E454="!!!",F454="NEW"),"",INDEX(B453:B$2,-1+SUMPRODUCT(MAX(ROW(E453:E$2)*(E454=E453:E$2)))))</f>
        <v> </v>
      </c>
      <c r="J454" s="25" t="str">
        <f>IF(OR(E454="",E454="!!!",F454="NEW"),"",COUNTBLANK(OFFSET(A$1,,,SUMPRODUCT(MAX(ROW(E$2:E454)*(E454=E$2:E454)))))-COUNTBLANK(OFFSET(A$1,,,SUMPRODUCT(MAX(ROW(E$1:E453)*(E2=E$1:E453))))))</f>
        <v> </v>
      </c>
      <c r="K454" s="25" t="str">
        <f>IF(OR(E454="",E454="!!!",F454="NEW"),"",INDEX(J$1:J453,SUMPRODUCT(MAX(ROW(E$1:E453)*(E454=E$1:E453)))))</f>
        <v> </v>
      </c>
      <c r="L454" s="26"/>
    </row>
    <row r="455" spans="1:12">
      <c r="A455" s="20" t="s">
        <v>342</v>
      </c>
      <c r="E455" s="21">
        <f>IF(D455="?OLD","!!!","")</f>
        <v/>
      </c>
      <c r="F455" s="22" t="str">
        <f>IF(OR(E455="",E455="!!!"),"",IF(NOT(ISNA(VLOOKUP(E455,E$1:E454,1,FALSE()))),"OLD",IF(AND(E455&lt;&gt;"",E455&lt;&gt;"!!!"),"NEW","")))</f>
        <v> </v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4" t="str">
        <f>IF(J455&lt;&gt;1,"",IF(I455="SBJ","CB","?"))</f>
        <v> </v>
      </c>
      <c r="I455" s="25" t="str">
        <f>IF(OR(E455="",E455="!!!",F455="NEW"),"",INDEX(B454:B$2,-1+SUMPRODUCT(MAX(ROW(E454:E$2)*(E455=E454:E$2)))))</f>
        <v> </v>
      </c>
      <c r="J455" s="25" t="str">
        <f>IF(OR(E455="",E455="!!!",F455="NEW"),"",COUNTBLANK(OFFSET(A$1,,,SUMPRODUCT(MAX(ROW(E$2:E455)*(E455=E$2:E455)))))-COUNTBLANK(OFFSET(A$1,,,SUMPRODUCT(MAX(ROW(E$1:E454)*(E2=E$1:E454))))))</f>
        <v> </v>
      </c>
      <c r="K455" s="25" t="str">
        <f>IF(OR(E455="",E455="!!!",F455="NEW"),"",INDEX(J$1:J454,SUMPRODUCT(MAX(ROW(E$1:E454)*(E455=E$1:E454)))))</f>
        <v> </v>
      </c>
      <c r="L455" s="26"/>
    </row>
    <row r="456" spans="1:12">
      <c r="A456" s="20" t="s">
        <v>343</v>
      </c>
      <c r="B456" s="27" t="s">
        <v>191</v>
      </c>
      <c r="C456" s="27" t="s">
        <v>229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 t="s">
        <v>344</v>
      </c>
      <c r="E457" s="21">
        <f>IF(D457="?OLD","!!!","")</f>
        <v/>
      </c>
      <c r="F457" s="22" t="str">
        <f>IF(OR(E457="",E457="!!!"),"",IF(NOT(ISNA(VLOOKUP(E457,E$1:E456,1,FALSE()))),"OLD",IF(AND(E457&lt;&gt;"",E457&lt;&gt;"!!!"),"NEW","")))</f>
        <v> </v>
      </c>
      <c r="G457" s="23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4" t="str">
        <f>IF(J457&lt;&gt;1,"",IF(I457="SBJ","CB","?"))</f>
        <v> </v>
      </c>
      <c r="I457" s="25" t="str">
        <f>IF(OR(E457="",E457="!!!",F457="NEW"),"",INDEX(B456:B$2,-1+SUMPRODUCT(MAX(ROW(E456:E$2)*(E457=E456:E$2)))))</f>
        <v> </v>
      </c>
      <c r="J457" s="25" t="str">
        <f>IF(OR(E457="",E457="!!!",F457="NEW"),"",COUNTBLANK(OFFSET(A$1,,,SUMPRODUCT(MAX(ROW(E$2:E457)*(E457=E$2:E457)))))-COUNTBLANK(OFFSET(A$1,,,SUMPRODUCT(MAX(ROW(E$1:E456)*(E2=E$1:E456))))))</f>
        <v> </v>
      </c>
      <c r="K457" s="25" t="str">
        <f>IF(OR(E457="",E457="!!!",F457="NEW"),"",INDEX(J$1:J456,SUMPRODUCT(MAX(ROW(E$1:E456)*(E457=E$1:E456)))))</f>
        <v> </v>
      </c>
      <c r="L457" s="26"/>
    </row>
    <row r="458" spans="1:12">
      <c r="A458" s="20" t="s">
        <v>298</v>
      </c>
      <c r="B458" s="27" t="s">
        <v>171</v>
      </c>
      <c r="C458" s="27" t="s">
        <v>176</v>
      </c>
      <c r="D458" s="27" t="s">
        <v>143</v>
      </c>
      <c r="E458" s="21">
        <f>IF(D458="?OLD","!!!","")</f>
        <v/>
      </c>
      <c r="F458" s="22" t="str">
        <f>IF(OR(E458="",E458="!!!"),"",IF(NOT(ISNA(VLOOKUP(E458,E$1:E457,1,FALSE()))),"OLD",IF(AND(E458&lt;&gt;"",E458&lt;&gt;"!!!"),"NEW","")))</f>
        <v> </v>
      </c>
      <c r="G458" s="23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4" t="str">
        <f>IF(J458&lt;&gt;1,"",IF(I458="SBJ","CB","?"))</f>
        <v> </v>
      </c>
      <c r="I458" s="25" t="str">
        <f>IF(OR(E458="",E458="!!!",F458="NEW"),"",INDEX(B457:B$2,-1+SUMPRODUCT(MAX(ROW(E457:E$2)*(E458=E457:E$2)))))</f>
        <v> </v>
      </c>
      <c r="J458" s="25" t="str">
        <f>IF(OR(E458="",E458="!!!",F458="NEW"),"",COUNTBLANK(OFFSET(A$1,,,SUMPRODUCT(MAX(ROW(E$2:E458)*(E458=E$2:E458)))))-COUNTBLANK(OFFSET(A$1,,,SUMPRODUCT(MAX(ROW(E$1:E457)*(E2=E$1:E457))))))</f>
        <v> </v>
      </c>
      <c r="K458" s="25" t="str">
        <f>IF(OR(E458="",E458="!!!",F458="NEW"),"",INDEX(J$1:J457,SUMPRODUCT(MAX(ROW(E$1:E457)*(E458=E$1:E457)))))</f>
        <v> </v>
      </c>
      <c r="L458" s="26"/>
    </row>
    <row r="459" spans="1:12">
      <c r="A459" s="20" t="s">
        <v>87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 t="s">
        <v>164</v>
      </c>
      <c r="E460" s="21">
        <f>IF(D460="?OLD","!!!","")</f>
        <v/>
      </c>
      <c r="F460" s="22" t="str">
        <f>IF(OR(E460="",E460="!!!"),"",IF(NOT(ISNA(VLOOKUP(E460,E$1:E459,1,FALSE()))),"OLD",IF(AND(E460&lt;&gt;"",E460&lt;&gt;"!!!"),"NEW","")))</f>
        <v> </v>
      </c>
      <c r="G460" s="23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4" t="str">
        <f>IF(J460&lt;&gt;1,"",IF(I460="SBJ","CB","?"))</f>
        <v> </v>
      </c>
      <c r="I460" s="25" t="str">
        <f>IF(OR(E460="",E460="!!!",F460="NEW"),"",INDEX(B459:B$2,-1+SUMPRODUCT(MAX(ROW(E459:E$2)*(E460=E459:E$2)))))</f>
        <v> </v>
      </c>
      <c r="J460" s="25" t="str">
        <f>IF(OR(E460="",E460="!!!",F460="NEW"),"",COUNTBLANK(OFFSET(A$1,,,SUMPRODUCT(MAX(ROW(E$2:E460)*(E460=E$2:E460)))))-COUNTBLANK(OFFSET(A$1,,,SUMPRODUCT(MAX(ROW(E$1:E459)*(E2=E$1:E459))))))</f>
        <v> </v>
      </c>
      <c r="K460" s="25" t="str">
        <f>IF(OR(E460="",E460="!!!",F460="NEW"),"",INDEX(J$1:J459,SUMPRODUCT(MAX(ROW(E$1:E459)*(E460=E$1:E459)))))</f>
        <v> </v>
      </c>
      <c r="L460" s="26"/>
    </row>
    <row r="461" spans="1:12">
      <c r="A461" s="20" t="s">
        <v>345</v>
      </c>
      <c r="B461" s="27" t="s">
        <v>141</v>
      </c>
      <c r="C461" s="27" t="s">
        <v>161</v>
      </c>
      <c r="D461" s="27" t="s">
        <v>143</v>
      </c>
      <c r="E461" s="21">
        <f>IF(D461="?OLD","!!!","")</f>
        <v/>
      </c>
      <c r="F461" s="22" t="str">
        <f>IF(OR(E461="",E461="!!!"),"",IF(NOT(ISNA(VLOOKUP(E461,E$1:E460,1,FALSE()))),"OLD",IF(AND(E461&lt;&gt;"",E461&lt;&gt;"!!!"),"NEW","")))</f>
        <v> </v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4" t="str">
        <f>IF(J461&lt;&gt;1,"",IF(I461="SBJ","CB","?"))</f>
        <v> </v>
      </c>
      <c r="I461" s="25" t="str">
        <f>IF(OR(E461="",E461="!!!",F461="NEW"),"",INDEX(B460:B$2,-1+SUMPRODUCT(MAX(ROW(E460:E$2)*(E461=E460:E$2)))))</f>
        <v> </v>
      </c>
      <c r="J461" s="25" t="str">
        <f>IF(OR(E461="",E461="!!!",F461="NEW"),"",COUNTBLANK(OFFSET(A$1,,,SUMPRODUCT(MAX(ROW(E$2:E461)*(E461=E$2:E461)))))-COUNTBLANK(OFFSET(A$1,,,SUMPRODUCT(MAX(ROW(E$1:E460)*(E2=E$1:E460))))))</f>
        <v> </v>
      </c>
      <c r="K461" s="25" t="str">
        <f>IF(OR(E461="",E461="!!!",F461="NEW"),"",INDEX(J$1:J460,SUMPRODUCT(MAX(ROW(E$1:E460)*(E461=E$1:E460)))))</f>
        <v> </v>
      </c>
      <c r="L461" s="26"/>
    </row>
    <row r="462" spans="1:12">
      <c r="A462" s="20" t="s">
        <v>21</v>
      </c>
      <c r="E462" s="21">
        <f>IF(D462="?OLD","!!!","")</f>
        <v/>
      </c>
      <c r="F462" s="22" t="str">
        <f>IF(OR(E462="",E462="!!!"),"",IF(NOT(ISNA(VLOOKUP(E462,E$1:E461,1,FALSE()))),"OLD",IF(AND(E462&lt;&gt;"",E462&lt;&gt;"!!!"),"NEW","")))</f>
        <v> </v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4" t="str">
        <f>IF(J462&lt;&gt;1,"",IF(I462="SBJ","CB","?"))</f>
        <v> </v>
      </c>
      <c r="I462" s="25" t="str">
        <f>IF(OR(E462="",E462="!!!",F462="NEW"),"",INDEX(B461:B$2,-1+SUMPRODUCT(MAX(ROW(E461:E$2)*(E462=E461:E$2)))))</f>
        <v> </v>
      </c>
      <c r="J462" s="25" t="str">
        <f>IF(OR(E462="",E462="!!!",F462="NEW"),"",COUNTBLANK(OFFSET(A$1,,,SUMPRODUCT(MAX(ROW(E$2:E462)*(E462=E$2:E462)))))-COUNTBLANK(OFFSET(A$1,,,SUMPRODUCT(MAX(ROW(E$1:E461)*(E2=E$1:E461))))))</f>
        <v> </v>
      </c>
      <c r="K462" s="25" t="str">
        <f>IF(OR(E462="",E462="!!!",F462="NEW"),"",INDEX(J$1:J461,SUMPRODUCT(MAX(ROW(E$1:E461)*(E462=E$1:E461)))))</f>
        <v> </v>
      </c>
      <c r="L462" s="26"/>
    </row>
    <row r="463" spans="1:12">
      <c r="A463" s="20" t="s">
        <v>346</v>
      </c>
      <c r="E463" s="21">
        <f>IF(D463="?OLD","!!!","")</f>
        <v/>
      </c>
      <c r="F463" s="22" t="str">
        <f>IF(OR(E463="",E463="!!!"),"",IF(NOT(ISNA(VLOOKUP(E463,E$1:E462,1,FALSE()))),"OLD",IF(AND(E463&lt;&gt;"",E463&lt;&gt;"!!!"),"NEW","")))</f>
        <v> </v>
      </c>
      <c r="G463" s="23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4" t="str">
        <f>IF(J463&lt;&gt;1,"",IF(I463="SBJ","CB","?"))</f>
        <v> </v>
      </c>
      <c r="I463" s="25" t="str">
        <f>IF(OR(E463="",E463="!!!",F463="NEW"),"",INDEX(B462:B$2,-1+SUMPRODUCT(MAX(ROW(E462:E$2)*(E463=E462:E$2)))))</f>
        <v> </v>
      </c>
      <c r="J463" s="25" t="str">
        <f>IF(OR(E463="",E463="!!!",F463="NEW"),"",COUNTBLANK(OFFSET(A$1,,,SUMPRODUCT(MAX(ROW(E$2:E463)*(E463=E$2:E463)))))-COUNTBLANK(OFFSET(A$1,,,SUMPRODUCT(MAX(ROW(E$1:E462)*(E2=E$1:E462))))))</f>
        <v> </v>
      </c>
      <c r="K463" s="25" t="str">
        <f>IF(OR(E463="",E463="!!!",F463="NEW"),"",INDEX(J$1:J462,SUMPRODUCT(MAX(ROW(E$1:E462)*(E463=E$1:E462)))))</f>
        <v> </v>
      </c>
      <c r="L463" s="26"/>
    </row>
    <row r="464" spans="1:12">
      <c r="A464" s="20" t="s">
        <v>347</v>
      </c>
      <c r="B464" s="27" t="s">
        <v>151</v>
      </c>
      <c r="C464" s="27" t="s">
        <v>172</v>
      </c>
      <c r="E464" s="21">
        <f>IF(D464="?OLD","!!!","")</f>
        <v/>
      </c>
      <c r="F464" s="22" t="str">
        <f>IF(OR(E464="",E464="!!!"),"",IF(NOT(ISNA(VLOOKUP(E464,E$1:E463,1,FALSE()))),"OLD",IF(AND(E464&lt;&gt;"",E464&lt;&gt;"!!!"),"NEW","")))</f>
        <v> </v>
      </c>
      <c r="G464" s="23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4" t="str">
        <f>IF(J464&lt;&gt;1,"",IF(I464="SBJ","CB","?"))</f>
        <v> </v>
      </c>
      <c r="I464" s="25" t="str">
        <f>IF(OR(E464="",E464="!!!",F464="NEW"),"",INDEX(B463:B$2,-1+SUMPRODUCT(MAX(ROW(E463:E$2)*(E464=E463:E$2)))))</f>
        <v> </v>
      </c>
      <c r="J464" s="25" t="str">
        <f>IF(OR(E464="",E464="!!!",F464="NEW"),"",COUNTBLANK(OFFSET(A$1,,,SUMPRODUCT(MAX(ROW(E$2:E464)*(E464=E$2:E464)))))-COUNTBLANK(OFFSET(A$1,,,SUMPRODUCT(MAX(ROW(E$1:E463)*(E2=E$1:E463))))))</f>
        <v> </v>
      </c>
      <c r="K464" s="25" t="str">
        <f>IF(OR(E464="",E464="!!!",F464="NEW"),"",INDEX(J$1:J463,SUMPRODUCT(MAX(ROW(E$1:E463)*(E464=E$1:E463)))))</f>
        <v> </v>
      </c>
      <c r="L464" s="26"/>
    </row>
    <row r="465" spans="1:12">
      <c r="A465" s="20" t="s">
        <v>348</v>
      </c>
      <c r="E465" s="21">
        <f>IF(D465="?OLD","!!!","")</f>
        <v/>
      </c>
      <c r="F465" s="22" t="str">
        <f>IF(OR(E465="",E465="!!!"),"",IF(NOT(ISNA(VLOOKUP(E465,E$1:E464,1,FALSE()))),"OLD",IF(AND(E465&lt;&gt;"",E465&lt;&gt;"!!!"),"NEW","")))</f>
        <v> </v>
      </c>
      <c r="G465" s="23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4" t="str">
        <f>IF(J465&lt;&gt;1,"",IF(I465="SBJ","CB","?"))</f>
        <v> </v>
      </c>
      <c r="I465" s="25" t="str">
        <f>IF(OR(E465="",E465="!!!",F465="NEW"),"",INDEX(B464:B$2,-1+SUMPRODUCT(MAX(ROW(E464:E$2)*(E465=E464:E$2)))))</f>
        <v> </v>
      </c>
      <c r="J465" s="25" t="str">
        <f>IF(OR(E465="",E465="!!!",F465="NEW"),"",COUNTBLANK(OFFSET(A$1,,,SUMPRODUCT(MAX(ROW(E$2:E465)*(E465=E$2:E465)))))-COUNTBLANK(OFFSET(A$1,,,SUMPRODUCT(MAX(ROW(E$1:E464)*(E2=E$1:E464))))))</f>
        <v> </v>
      </c>
      <c r="K465" s="25" t="str">
        <f>IF(OR(E465="",E465="!!!",F465="NEW"),"",INDEX(J$1:J464,SUMPRODUCT(MAX(ROW(E$1:E464)*(E465=E$1:E464)))))</f>
        <v> </v>
      </c>
      <c r="L465" s="26"/>
    </row>
    <row r="466" spans="1:12">
      <c r="A466" s="20" t="s">
        <v>211</v>
      </c>
      <c r="E466" s="21">
        <f>IF(D466="?OLD","!!!","")</f>
        <v/>
      </c>
      <c r="F466" s="22" t="str">
        <f>IF(OR(E466="",E466="!!!"),"",IF(NOT(ISNA(VLOOKUP(E466,E$1:E465,1,FALSE()))),"OLD",IF(AND(E466&lt;&gt;"",E466&lt;&gt;"!!!"),"NEW","")))</f>
        <v> </v>
      </c>
      <c r="G466" s="23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4" t="str">
        <f>IF(J466&lt;&gt;1,"",IF(I466="SBJ","CB","?"))</f>
        <v> </v>
      </c>
      <c r="I466" s="25" t="str">
        <f>IF(OR(E466="",E466="!!!",F466="NEW"),"",INDEX(B465:B$2,-1+SUMPRODUCT(MAX(ROW(E465:E$2)*(E466=E465:E$2)))))</f>
        <v> </v>
      </c>
      <c r="J466" s="25" t="str">
        <f>IF(OR(E466="",E466="!!!",F466="NEW"),"",COUNTBLANK(OFFSET(A$1,,,SUMPRODUCT(MAX(ROW(E$2:E466)*(E466=E$2:E466)))))-COUNTBLANK(OFFSET(A$1,,,SUMPRODUCT(MAX(ROW(E$1:E465)*(E2=E$1:E465))))))</f>
        <v> </v>
      </c>
      <c r="K466" s="25" t="str">
        <f>IF(OR(E466="",E466="!!!",F466="NEW"),"",INDEX(J$1:J465,SUMPRODUCT(MAX(ROW(E$1:E465)*(E466=E$1:E465)))))</f>
        <v> </v>
      </c>
      <c r="L466" s="26"/>
    </row>
    <row r="467" spans="1:12">
      <c r="A467" s="20"/>
    </row>
    <row r="468" spans="1:12">
      <c r="A468" s="20" t="s">
        <v>349</v>
      </c>
    </row>
    <row r="469" spans="1:12">
      <c r="A469" s="20" t="s">
        <v>138</v>
      </c>
      <c r="E469" s="21">
        <f>IF(D469="?OLD","!!!","")</f>
        <v/>
      </c>
      <c r="F469" s="22" t="str">
        <f>IF(OR(E469="",E469="!!!"),"",IF(NOT(ISNA(VLOOKUP(E469,E$1:E468,1,FALSE()))),"OLD",IF(AND(E469&lt;&gt;"",E469&lt;&gt;"!!!"),"NEW","")))</f>
        <v> </v>
      </c>
      <c r="G469" s="23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4" t="str">
        <f>IF(J469&lt;&gt;1,"",IF(I469="SBJ","CB","?"))</f>
        <v> </v>
      </c>
      <c r="I469" s="25" t="str">
        <f>IF(OR(E469="",E469="!!!",F469="NEW"),"",INDEX(B468:B$2,-1+SUMPRODUCT(MAX(ROW(E468:E$2)*(E469=E468:E$2)))))</f>
        <v> </v>
      </c>
      <c r="J469" s="25" t="str">
        <f>IF(OR(E469="",E469="!!!",F469="NEW"),"",COUNTBLANK(OFFSET(A$1,,,SUMPRODUCT(MAX(ROW(E$2:E469)*(E469=E$2:E469)))))-COUNTBLANK(OFFSET(A$1,,,SUMPRODUCT(MAX(ROW(E$1:E468)*(E2=E$1:E468))))))</f>
        <v> </v>
      </c>
      <c r="K469" s="25" t="str">
        <f>IF(OR(E469="",E469="!!!",F469="NEW"),"",INDEX(J$1:J468,SUMPRODUCT(MAX(ROW(E$1:E468)*(E469=E$1:E468)))))</f>
        <v> </v>
      </c>
      <c r="L469" s="26"/>
    </row>
    <row r="470" spans="1:12">
      <c r="A470" s="20" t="s">
        <v>306</v>
      </c>
      <c r="B470" s="27" t="s">
        <v>171</v>
      </c>
      <c r="C470" s="27" t="s">
        <v>176</v>
      </c>
      <c r="D470" s="27" t="s">
        <v>143</v>
      </c>
      <c r="E470" s="21">
        <f>IF(D470="?OLD","!!!","")</f>
        <v/>
      </c>
      <c r="F470" s="22" t="str">
        <f>IF(OR(E470="",E470="!!!"),"",IF(NOT(ISNA(VLOOKUP(E470,E$1:E469,1,FALSE()))),"OLD",IF(AND(E470&lt;&gt;"",E470&lt;&gt;"!!!"),"NEW","")))</f>
        <v> </v>
      </c>
      <c r="G470" s="23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4" t="str">
        <f>IF(J470&lt;&gt;1,"",IF(I470="SBJ","CB","?"))</f>
        <v> </v>
      </c>
      <c r="I470" s="25" t="str">
        <f>IF(OR(E470="",E470="!!!",F470="NEW"),"",INDEX(B469:B$2,-1+SUMPRODUCT(MAX(ROW(E469:E$2)*(E470=E469:E$2)))))</f>
        <v> </v>
      </c>
      <c r="J470" s="25" t="str">
        <f>IF(OR(E470="",E470="!!!",F470="NEW"),"",COUNTBLANK(OFFSET(A$1,,,SUMPRODUCT(MAX(ROW(E$2:E470)*(E470=E$2:E470)))))-COUNTBLANK(OFFSET(A$1,,,SUMPRODUCT(MAX(ROW(E$1:E469)*(E2=E$1:E469))))))</f>
        <v> </v>
      </c>
      <c r="K470" s="25" t="str">
        <f>IF(OR(E470="",E470="!!!",F470="NEW"),"",INDEX(J$1:J469,SUMPRODUCT(MAX(ROW(E$1:E469)*(E470=E$1:E469)))))</f>
        <v> </v>
      </c>
      <c r="L470" s="26"/>
    </row>
    <row r="471" spans="1:12">
      <c r="A471" s="20" t="s">
        <v>350</v>
      </c>
      <c r="E471" s="21">
        <f>IF(D471="?OLD","!!!","")</f>
        <v/>
      </c>
      <c r="F471" s="22" t="str">
        <f>IF(OR(E471="",E471="!!!"),"",IF(NOT(ISNA(VLOOKUP(E471,E$1:E470,1,FALSE()))),"OLD",IF(AND(E471&lt;&gt;"",E471&lt;&gt;"!!!"),"NEW","")))</f>
        <v> </v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4" t="str">
        <f>IF(J471&lt;&gt;1,"",IF(I471="SBJ","CB","?"))</f>
        <v> </v>
      </c>
      <c r="I471" s="25" t="str">
        <f>IF(OR(E471="",E471="!!!",F471="NEW"),"",INDEX(B470:B$2,-1+SUMPRODUCT(MAX(ROW(E470:E$2)*(E471=E470:E$2)))))</f>
        <v> </v>
      </c>
      <c r="J471" s="25" t="str">
        <f>IF(OR(E471="",E471="!!!",F471="NEW"),"",COUNTBLANK(OFFSET(A$1,,,SUMPRODUCT(MAX(ROW(E$2:E471)*(E471=E$2:E471)))))-COUNTBLANK(OFFSET(A$1,,,SUMPRODUCT(MAX(ROW(E$1:E470)*(E2=E$1:E470))))))</f>
        <v> </v>
      </c>
      <c r="K471" s="25" t="str">
        <f>IF(OR(E471="",E471="!!!",F471="NEW"),"",INDEX(J$1:J470,SUMPRODUCT(MAX(ROW(E$1:E470)*(E471=E$1:E470)))))</f>
        <v> </v>
      </c>
      <c r="L471" s="26"/>
    </row>
    <row r="472" spans="1:12">
      <c r="A472" s="20" t="s">
        <v>351</v>
      </c>
      <c r="B472" s="27" t="s">
        <v>202</v>
      </c>
      <c r="C472" s="27" t="s">
        <v>172</v>
      </c>
      <c r="E472" s="21">
        <f>IF(D472="?OLD","!!!","")</f>
        <v/>
      </c>
      <c r="F472" s="22" t="str">
        <f>IF(OR(E472="",E472="!!!"),"",IF(NOT(ISNA(VLOOKUP(E472,E$1:E471,1,FALSE()))),"OLD",IF(AND(E472&lt;&gt;"",E472&lt;&gt;"!!!"),"NEW","")))</f>
        <v> </v>
      </c>
      <c r="G472" s="23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4" t="str">
        <f>IF(J472&lt;&gt;1,"",IF(I472="SBJ","CB","?"))</f>
        <v> </v>
      </c>
      <c r="I472" s="25" t="str">
        <f>IF(OR(E472="",E472="!!!",F472="NEW"),"",INDEX(B471:B$2,-1+SUMPRODUCT(MAX(ROW(E471:E$2)*(E472=E471:E$2)))))</f>
        <v> </v>
      </c>
      <c r="J472" s="25" t="str">
        <f>IF(OR(E472="",E472="!!!",F472="NEW"),"",COUNTBLANK(OFFSET(A$1,,,SUMPRODUCT(MAX(ROW(E$2:E472)*(E472=E$2:E472)))))-COUNTBLANK(OFFSET(A$1,,,SUMPRODUCT(MAX(ROW(E$1:E471)*(E2=E$1:E471))))))</f>
        <v> </v>
      </c>
      <c r="K472" s="25" t="str">
        <f>IF(OR(E472="",E472="!!!",F472="NEW"),"",INDEX(J$1:J471,SUMPRODUCT(MAX(ROW(E$1:E471)*(E472=E$1:E471)))))</f>
        <v> </v>
      </c>
      <c r="L472" s="26"/>
    </row>
    <row r="473" spans="1:12">
      <c r="A473" s="20" t="s">
        <v>91</v>
      </c>
      <c r="E473" s="21">
        <f>IF(D473="?OLD","!!!","")</f>
        <v/>
      </c>
      <c r="F473" s="22" t="str">
        <f>IF(OR(E473="",E473="!!!"),"",IF(NOT(ISNA(VLOOKUP(E473,E$1:E472,1,FALSE()))),"OLD",IF(AND(E473&lt;&gt;"",E473&lt;&gt;"!!!"),"NEW","")))</f>
        <v> </v>
      </c>
      <c r="G473" s="23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4" t="str">
        <f>IF(J473&lt;&gt;1,"",IF(I473="SBJ","CB","?"))</f>
        <v> </v>
      </c>
      <c r="I473" s="25" t="str">
        <f>IF(OR(E473="",E473="!!!",F473="NEW"),"",INDEX(B472:B$2,-1+SUMPRODUCT(MAX(ROW(E472:E$2)*(E473=E472:E$2)))))</f>
        <v> </v>
      </c>
      <c r="J473" s="25" t="str">
        <f>IF(OR(E473="",E473="!!!",F473="NEW"),"",COUNTBLANK(OFFSET(A$1,,,SUMPRODUCT(MAX(ROW(E$2:E473)*(E473=E$2:E473)))))-COUNTBLANK(OFFSET(A$1,,,SUMPRODUCT(MAX(ROW(E$1:E472)*(E2=E$1:E472))))))</f>
        <v> </v>
      </c>
      <c r="K473" s="25" t="str">
        <f>IF(OR(E473="",E473="!!!",F473="NEW"),"",INDEX(J$1:J472,SUMPRODUCT(MAX(ROW(E$1:E472)*(E473=E$1:E472)))))</f>
        <v> </v>
      </c>
      <c r="L473" s="26"/>
    </row>
    <row r="474" spans="1:12">
      <c r="A474" s="20" t="s">
        <v>352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 t="s">
        <v>315</v>
      </c>
      <c r="B475" s="27" t="s">
        <v>191</v>
      </c>
      <c r="C475" s="27" t="s">
        <v>176</v>
      </c>
      <c r="D475" s="27" t="s">
        <v>143</v>
      </c>
      <c r="E475" s="21">
        <f>IF(D475="?OLD","!!!","")</f>
        <v/>
      </c>
      <c r="F475" s="22" t="str">
        <f>IF(OR(E475="",E475="!!!"),"",IF(NOT(ISNA(VLOOKUP(E475,E$1:E474,1,FALSE()))),"OLD",IF(AND(E475&lt;&gt;"",E475&lt;&gt;"!!!"),"NEW","")))</f>
        <v> </v>
      </c>
      <c r="G475" s="23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4" t="str">
        <f>IF(J475&lt;&gt;1,"",IF(I475="SBJ","CB","?"))</f>
        <v> </v>
      </c>
      <c r="I475" s="25" t="str">
        <f>IF(OR(E475="",E475="!!!",F475="NEW"),"",INDEX(B474:B$2,-1+SUMPRODUCT(MAX(ROW(E474:E$2)*(E475=E474:E$2)))))</f>
        <v> </v>
      </c>
      <c r="J475" s="25" t="str">
        <f>IF(OR(E475="",E475="!!!",F475="NEW"),"",COUNTBLANK(OFFSET(A$1,,,SUMPRODUCT(MAX(ROW(E$2:E475)*(E475=E$2:E475)))))-COUNTBLANK(OFFSET(A$1,,,SUMPRODUCT(MAX(ROW(E$1:E474)*(E2=E$1:E474))))))</f>
        <v> </v>
      </c>
      <c r="K475" s="25" t="str">
        <f>IF(OR(E475="",E475="!!!",F475="NEW"),"",INDEX(J$1:J474,SUMPRODUCT(MAX(ROW(E$1:E474)*(E475=E$1:E474)))))</f>
        <v> </v>
      </c>
      <c r="L475" s="26"/>
    </row>
    <row r="476" spans="1:12">
      <c r="A476" s="20" t="s">
        <v>164</v>
      </c>
      <c r="E476" s="21">
        <f>IF(D476="?OLD","!!!","")</f>
        <v/>
      </c>
      <c r="F476" s="22" t="str">
        <f>IF(OR(E476="",E476="!!!"),"",IF(NOT(ISNA(VLOOKUP(E476,E$1:E475,1,FALSE()))),"OLD",IF(AND(E476&lt;&gt;"",E476&lt;&gt;"!!!"),"NEW","")))</f>
        <v> </v>
      </c>
      <c r="G476" s="23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4" t="str">
        <f>IF(J476&lt;&gt;1,"",IF(I476="SBJ","CB","?"))</f>
        <v> </v>
      </c>
      <c r="I476" s="25" t="str">
        <f>IF(OR(E476="",E476="!!!",F476="NEW"),"",INDEX(B475:B$2,-1+SUMPRODUCT(MAX(ROW(E475:E$2)*(E476=E475:E$2)))))</f>
        <v> </v>
      </c>
      <c r="J476" s="25" t="str">
        <f>IF(OR(E476="",E476="!!!",F476="NEW"),"",COUNTBLANK(OFFSET(A$1,,,SUMPRODUCT(MAX(ROW(E$2:E476)*(E476=E$2:E476)))))-COUNTBLANK(OFFSET(A$1,,,SUMPRODUCT(MAX(ROW(E$1:E475)*(E2=E$1:E475))))))</f>
        <v> </v>
      </c>
      <c r="K476" s="25" t="str">
        <f>IF(OR(E476="",E476="!!!",F476="NEW"),"",INDEX(J$1:J475,SUMPRODUCT(MAX(ROW(E$1:E475)*(E476=E$1:E475)))))</f>
        <v> </v>
      </c>
      <c r="L476" s="26"/>
    </row>
    <row r="477" spans="1:12">
      <c r="A477" s="20" t="s">
        <v>154</v>
      </c>
      <c r="E477" s="21">
        <f>IF(D477="?OLD","!!!","")</f>
        <v/>
      </c>
      <c r="F477" s="22" t="str">
        <f>IF(OR(E477="",E477="!!!"),"",IF(NOT(ISNA(VLOOKUP(E477,E$1:E476,1,FALSE()))),"OLD",IF(AND(E477&lt;&gt;"",E477&lt;&gt;"!!!"),"NEW","")))</f>
        <v> </v>
      </c>
      <c r="G477" s="23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4" t="str">
        <f>IF(J477&lt;&gt;1,"",IF(I477="SBJ","CB","?"))</f>
        <v> </v>
      </c>
      <c r="I477" s="25" t="str">
        <f>IF(OR(E477="",E477="!!!",F477="NEW"),"",INDEX(B476:B$2,-1+SUMPRODUCT(MAX(ROW(E476:E$2)*(E477=E476:E$2)))))</f>
        <v> </v>
      </c>
      <c r="J477" s="25" t="str">
        <f>IF(OR(E477="",E477="!!!",F477="NEW"),"",COUNTBLANK(OFFSET(A$1,,,SUMPRODUCT(MAX(ROW(E$2:E477)*(E477=E$2:E477)))))-COUNTBLANK(OFFSET(A$1,,,SUMPRODUCT(MAX(ROW(E$1:E476)*(E2=E$1:E476))))))</f>
        <v> </v>
      </c>
      <c r="K477" s="25" t="str">
        <f>IF(OR(E477="",E477="!!!",F477="NEW"),"",INDEX(J$1:J476,SUMPRODUCT(MAX(ROW(E$1:E476)*(E477=E$1:E476)))))</f>
        <v> </v>
      </c>
      <c r="L477" s="26"/>
    </row>
    <row r="478" spans="1:12">
      <c r="A478" s="20" t="s">
        <v>167</v>
      </c>
      <c r="B478" s="27" t="s">
        <v>182</v>
      </c>
      <c r="C478" s="27" t="s">
        <v>142</v>
      </c>
      <c r="D478" s="27" t="s">
        <v>143</v>
      </c>
      <c r="E478" s="21">
        <f>IF(D478="?OLD","!!!","")</f>
        <v/>
      </c>
      <c r="F478" s="22" t="str">
        <f>IF(OR(E478="",E478="!!!"),"",IF(NOT(ISNA(VLOOKUP(E478,E$1:E477,1,FALSE()))),"OLD",IF(AND(E478&lt;&gt;"",E478&lt;&gt;"!!!"),"NEW","")))</f>
        <v> </v>
      </c>
      <c r="G478" s="23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4" t="str">
        <f>IF(J478&lt;&gt;1,"",IF(I478="SBJ","CB","?"))</f>
        <v> </v>
      </c>
      <c r="I478" s="25" t="str">
        <f>IF(OR(E478="",E478="!!!",F478="NEW"),"",INDEX(B477:B$2,-1+SUMPRODUCT(MAX(ROW(E477:E$2)*(E478=E477:E$2)))))</f>
        <v> </v>
      </c>
      <c r="J478" s="25" t="str">
        <f>IF(OR(E478="",E478="!!!",F478="NEW"),"",COUNTBLANK(OFFSET(A$1,,,SUMPRODUCT(MAX(ROW(E$2:E478)*(E478=E$2:E478)))))-COUNTBLANK(OFFSET(A$1,,,SUMPRODUCT(MAX(ROW(E$1:E477)*(E2=E$1:E477))))))</f>
        <v> </v>
      </c>
      <c r="K478" s="25" t="str">
        <f>IF(OR(E478="",E478="!!!",F478="NEW"),"",INDEX(J$1:J477,SUMPRODUCT(MAX(ROW(E$1:E477)*(E478=E$1:E477)))))</f>
        <v> </v>
      </c>
      <c r="L478" s="26"/>
    </row>
    <row r="479" spans="1:12">
      <c r="A479" s="20" t="s">
        <v>164</v>
      </c>
      <c r="E479" s="21">
        <f>IF(D479="?OLD","!!!","")</f>
        <v/>
      </c>
      <c r="F479" s="22" t="str">
        <f>IF(OR(E479="",E479="!!!"),"",IF(NOT(ISNA(VLOOKUP(E479,E$1:E478,1,FALSE()))),"OLD",IF(AND(E479&lt;&gt;"",E479&lt;&gt;"!!!"),"NEW","")))</f>
        <v> </v>
      </c>
      <c r="G479" s="23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4" t="str">
        <f>IF(J479&lt;&gt;1,"",IF(I479="SBJ","CB","?"))</f>
        <v> </v>
      </c>
      <c r="I479" s="25" t="str">
        <f>IF(OR(E479="",E479="!!!",F479="NEW"),"",INDEX(B478:B$2,-1+SUMPRODUCT(MAX(ROW(E478:E$2)*(E479=E478:E$2)))))</f>
        <v> </v>
      </c>
      <c r="J479" s="25" t="str">
        <f>IF(OR(E479="",E479="!!!",F479="NEW"),"",COUNTBLANK(OFFSET(A$1,,,SUMPRODUCT(MAX(ROW(E$2:E479)*(E479=E$2:E479)))))-COUNTBLANK(OFFSET(A$1,,,SUMPRODUCT(MAX(ROW(E$1:E478)*(E2=E$1:E478))))))</f>
        <v> </v>
      </c>
      <c r="K479" s="25" t="str">
        <f>IF(OR(E479="",E479="!!!",F479="NEW"),"",INDEX(J$1:J478,SUMPRODUCT(MAX(ROW(E$1:E478)*(E479=E$1:E478)))))</f>
        <v> </v>
      </c>
      <c r="L479" s="26"/>
    </row>
    <row r="480" spans="1:12">
      <c r="A480" s="20" t="s">
        <v>352</v>
      </c>
      <c r="E480" s="21">
        <f>IF(D480="?OLD","!!!","")</f>
        <v/>
      </c>
      <c r="F480" s="22" t="str">
        <f>IF(OR(E480="",E480="!!!"),"",IF(NOT(ISNA(VLOOKUP(E480,E$1:E479,1,FALSE()))),"OLD",IF(AND(E480&lt;&gt;"",E480&lt;&gt;"!!!"),"NEW","")))</f>
        <v> </v>
      </c>
      <c r="G480" s="23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4" t="str">
        <f>IF(J480&lt;&gt;1,"",IF(I480="SBJ","CB","?"))</f>
        <v> </v>
      </c>
      <c r="I480" s="25" t="str">
        <f>IF(OR(E480="",E480="!!!",F480="NEW"),"",INDEX(B479:B$2,-1+SUMPRODUCT(MAX(ROW(E479:E$2)*(E480=E479:E$2)))))</f>
        <v> </v>
      </c>
      <c r="J480" s="25" t="str">
        <f>IF(OR(E480="",E480="!!!",F480="NEW"),"",COUNTBLANK(OFFSET(A$1,,,SUMPRODUCT(MAX(ROW(E$2:E480)*(E480=E$2:E480)))))-COUNTBLANK(OFFSET(A$1,,,SUMPRODUCT(MAX(ROW(E$1:E479)*(E2=E$1:E479))))))</f>
        <v> </v>
      </c>
      <c r="K480" s="25" t="str">
        <f>IF(OR(E480="",E480="!!!",F480="NEW"),"",INDEX(J$1:J479,SUMPRODUCT(MAX(ROW(E$1:E479)*(E480=E$1:E479)))))</f>
        <v> </v>
      </c>
      <c r="L480" s="26"/>
    </row>
    <row r="481" spans="1:12">
      <c r="A481" s="20" t="s">
        <v>342</v>
      </c>
      <c r="E481" s="21">
        <f>IF(D481="?OLD","!!!","")</f>
        <v/>
      </c>
      <c r="F481" s="22" t="str">
        <f>IF(OR(E481="",E481="!!!"),"",IF(NOT(ISNA(VLOOKUP(E481,E$1:E480,1,FALSE()))),"OLD",IF(AND(E481&lt;&gt;"",E481&lt;&gt;"!!!"),"NEW","")))</f>
        <v> </v>
      </c>
      <c r="G481" s="23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4" t="str">
        <f>IF(J481&lt;&gt;1,"",IF(I481="SBJ","CB","?"))</f>
        <v> </v>
      </c>
      <c r="I481" s="25" t="str">
        <f>IF(OR(E481="",E481="!!!",F481="NEW"),"",INDEX(B480:B$2,-1+SUMPRODUCT(MAX(ROW(E480:E$2)*(E481=E480:E$2)))))</f>
        <v> </v>
      </c>
      <c r="J481" s="25" t="str">
        <f>IF(OR(E481="",E481="!!!",F481="NEW"),"",COUNTBLANK(OFFSET(A$1,,,SUMPRODUCT(MAX(ROW(E$2:E481)*(E481=E$2:E481)))))-COUNTBLANK(OFFSET(A$1,,,SUMPRODUCT(MAX(ROW(E$1:E480)*(E2=E$1:E480))))))</f>
        <v> </v>
      </c>
      <c r="K481" s="25" t="str">
        <f>IF(OR(E481="",E481="!!!",F481="NEW"),"",INDEX(J$1:J480,SUMPRODUCT(MAX(ROW(E$1:E480)*(E481=E$1:E480)))))</f>
        <v> </v>
      </c>
      <c r="L481" s="26"/>
    </row>
    <row r="482" spans="1:12">
      <c r="A482" s="20" t="s">
        <v>353</v>
      </c>
      <c r="B482" s="27" t="s">
        <v>182</v>
      </c>
      <c r="C482" s="27" t="s">
        <v>229</v>
      </c>
      <c r="E482" s="21">
        <f>IF(D482="?OLD","!!!","")</f>
        <v/>
      </c>
      <c r="F482" s="22" t="str">
        <f>IF(OR(E482="",E482="!!!"),"",IF(NOT(ISNA(VLOOKUP(E482,E$1:E481,1,FALSE()))),"OLD",IF(AND(E482&lt;&gt;"",E482&lt;&gt;"!!!"),"NEW","")))</f>
        <v> </v>
      </c>
      <c r="G482" s="23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4" t="str">
        <f>IF(J482&lt;&gt;1,"",IF(I482="SBJ","CB","?"))</f>
        <v> </v>
      </c>
      <c r="I482" s="25" t="str">
        <f>IF(OR(E482="",E482="!!!",F482="NEW"),"",INDEX(B481:B$2,-1+SUMPRODUCT(MAX(ROW(E481:E$2)*(E482=E481:E$2)))))</f>
        <v> </v>
      </c>
      <c r="J482" s="25" t="str">
        <f>IF(OR(E482="",E482="!!!",F482="NEW"),"",COUNTBLANK(OFFSET(A$1,,,SUMPRODUCT(MAX(ROW(E$2:E482)*(E482=E$2:E482)))))-COUNTBLANK(OFFSET(A$1,,,SUMPRODUCT(MAX(ROW(E$1:E481)*(E2=E$1:E481))))))</f>
        <v> </v>
      </c>
      <c r="K482" s="25" t="str">
        <f>IF(OR(E482="",E482="!!!",F482="NEW"),"",INDEX(J$1:J481,SUMPRODUCT(MAX(ROW(E$1:E481)*(E482=E$1:E481)))))</f>
        <v> </v>
      </c>
      <c r="L482" s="26"/>
    </row>
    <row r="483" spans="1:12">
      <c r="A483" s="20" t="s">
        <v>164</v>
      </c>
      <c r="E483" s="21">
        <f>IF(D483="?OLD","!!!","")</f>
        <v/>
      </c>
      <c r="F483" s="22" t="str">
        <f>IF(OR(E483="",E483="!!!"),"",IF(NOT(ISNA(VLOOKUP(E483,E$1:E482,1,FALSE()))),"OLD",IF(AND(E483&lt;&gt;"",E483&lt;&gt;"!!!"),"NEW","")))</f>
        <v> </v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4" t="str">
        <f>IF(J483&lt;&gt;1,"",IF(I483="SBJ","CB","?"))</f>
        <v> </v>
      </c>
      <c r="I483" s="25" t="str">
        <f>IF(OR(E483="",E483="!!!",F483="NEW"),"",INDEX(B482:B$2,-1+SUMPRODUCT(MAX(ROW(E482:E$2)*(E483=E482:E$2)))))</f>
        <v> </v>
      </c>
      <c r="J483" s="25" t="str">
        <f>IF(OR(E483="",E483="!!!",F483="NEW"),"",COUNTBLANK(OFFSET(A$1,,,SUMPRODUCT(MAX(ROW(E$2:E483)*(E483=E$2:E483)))))-COUNTBLANK(OFFSET(A$1,,,SUMPRODUCT(MAX(ROW(E$1:E482)*(E2=E$1:E482))))))</f>
        <v> </v>
      </c>
      <c r="K483" s="25" t="str">
        <f>IF(OR(E483="",E483="!!!",F483="NEW"),"",INDEX(J$1:J482,SUMPRODUCT(MAX(ROW(E$1:E482)*(E483=E$1:E482)))))</f>
        <v> </v>
      </c>
      <c r="L483" s="26"/>
    </row>
    <row r="484" spans="1:12">
      <c r="A484" s="20" t="s">
        <v>256</v>
      </c>
      <c r="E484" s="21">
        <f>IF(D484="?OLD","!!!","")</f>
        <v/>
      </c>
      <c r="F484" s="22" t="str">
        <f>IF(OR(E484="",E484="!!!"),"",IF(NOT(ISNA(VLOOKUP(E484,E$1:E483,1,FALSE()))),"OLD",IF(AND(E484&lt;&gt;"",E484&lt;&gt;"!!!"),"NEW","")))</f>
        <v> </v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4" t="str">
        <f>IF(J484&lt;&gt;1,"",IF(I484="SBJ","CB","?"))</f>
        <v> </v>
      </c>
      <c r="I484" s="25" t="str">
        <f>IF(OR(E484="",E484="!!!",F484="NEW"),"",INDEX(B483:B$2,-1+SUMPRODUCT(MAX(ROW(E483:E$2)*(E484=E483:E$2)))))</f>
        <v> </v>
      </c>
      <c r="J484" s="25" t="str">
        <f>IF(OR(E484="",E484="!!!",F484="NEW"),"",COUNTBLANK(OFFSET(A$1,,,SUMPRODUCT(MAX(ROW(E$2:E484)*(E484=E$2:E484)))))-COUNTBLANK(OFFSET(A$1,,,SUMPRODUCT(MAX(ROW(E$1:E483)*(E2=E$1:E483))))))</f>
        <v> </v>
      </c>
      <c r="K484" s="25" t="str">
        <f>IF(OR(E484="",E484="!!!",F484="NEW"),"",INDEX(J$1:J483,SUMPRODUCT(MAX(ROW(E$1:E483)*(E484=E$1:E483)))))</f>
        <v> </v>
      </c>
      <c r="L484" s="26"/>
    </row>
    <row r="485" spans="1:12">
      <c r="A485" s="20" t="s">
        <v>353</v>
      </c>
      <c r="B485" s="27" t="s">
        <v>156</v>
      </c>
      <c r="C485" s="27" t="s">
        <v>229</v>
      </c>
      <c r="E485" s="21">
        <f>IF(D485="?OLD","!!!","")</f>
        <v/>
      </c>
      <c r="F485" s="22" t="str">
        <f>IF(OR(E485="",E485="!!!"),"",IF(NOT(ISNA(VLOOKUP(E485,E$1:E484,1,FALSE()))),"OLD",IF(AND(E485&lt;&gt;"",E485&lt;&gt;"!!!"),"NEW","")))</f>
        <v> </v>
      </c>
      <c r="G485" s="23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4" t="str">
        <f>IF(J485&lt;&gt;1,"",IF(I485="SBJ","CB","?"))</f>
        <v> </v>
      </c>
      <c r="I485" s="25" t="str">
        <f>IF(OR(E485="",E485="!!!",F485="NEW"),"",INDEX(B484:B$2,-1+SUMPRODUCT(MAX(ROW(E484:E$2)*(E485=E484:E$2)))))</f>
        <v> </v>
      </c>
      <c r="J485" s="25" t="str">
        <f>IF(OR(E485="",E485="!!!",F485="NEW"),"",COUNTBLANK(OFFSET(A$1,,,SUMPRODUCT(MAX(ROW(E$2:E485)*(E485=E$2:E485)))))-COUNTBLANK(OFFSET(A$1,,,SUMPRODUCT(MAX(ROW(E$1:E484)*(E2=E$1:E484))))))</f>
        <v> </v>
      </c>
      <c r="K485" s="25" t="str">
        <f>IF(OR(E485="",E485="!!!",F485="NEW"),"",INDEX(J$1:J484,SUMPRODUCT(MAX(ROW(E$1:E484)*(E485=E$1:E484)))))</f>
        <v> </v>
      </c>
      <c r="L485" s="26"/>
    </row>
    <row r="486" spans="1:12">
      <c r="A486" s="20" t="s">
        <v>211</v>
      </c>
      <c r="E486" s="21">
        <f>IF(D486="?OLD","!!!","")</f>
        <v/>
      </c>
      <c r="F486" s="22" t="str">
        <f>IF(OR(E486="",E486="!!!"),"",IF(NOT(ISNA(VLOOKUP(E486,E$1:E485,1,FALSE()))),"OLD",IF(AND(E486&lt;&gt;"",E486&lt;&gt;"!!!"),"NEW","")))</f>
        <v> </v>
      </c>
      <c r="G486" s="23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4" t="str">
        <f>IF(J486&lt;&gt;1,"",IF(I486="SBJ","CB","?"))</f>
        <v> </v>
      </c>
      <c r="I486" s="25" t="str">
        <f>IF(OR(E486="",E486="!!!",F486="NEW"),"",INDEX(B485:B$2,-1+SUMPRODUCT(MAX(ROW(E485:E$2)*(E486=E485:E$2)))))</f>
        <v> </v>
      </c>
      <c r="J486" s="25" t="str">
        <f>IF(OR(E486="",E486="!!!",F486="NEW"),"",COUNTBLANK(OFFSET(A$1,,,SUMPRODUCT(MAX(ROW(E$2:E486)*(E486=E$2:E486)))))-COUNTBLANK(OFFSET(A$1,,,SUMPRODUCT(MAX(ROW(E$1:E485)*(E2=E$1:E485))))))</f>
        <v> </v>
      </c>
      <c r="K486" s="25" t="str">
        <f>IF(OR(E486="",E486="!!!",F486="NEW"),"",INDEX(J$1:J485,SUMPRODUCT(MAX(ROW(E$1:E485)*(E486=E$1:E485)))))</f>
        <v> </v>
      </c>
      <c r="L486" s="26"/>
    </row>
    <row r="487" spans="1:12">
      <c r="A487" s="20"/>
    </row>
    <row r="488" spans="1:12">
      <c r="A488" s="20" t="s">
        <v>354</v>
      </c>
    </row>
    <row r="489" spans="1:12">
      <c r="A489" s="20" t="s">
        <v>355</v>
      </c>
      <c r="B489" s="27" t="s">
        <v>171</v>
      </c>
      <c r="E489" s="21">
        <f>IF(D489="?OLD","!!!","")</f>
        <v/>
      </c>
      <c r="F489" s="22" t="str">
        <f>IF(OR(E489="",E489="!!!"),"",IF(NOT(ISNA(VLOOKUP(E489,E$1:E488,1,FALSE()))),"OLD",IF(AND(E489&lt;&gt;"",E489&lt;&gt;"!!!"),"NEW","")))</f>
        <v> </v>
      </c>
      <c r="G489" s="23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4" t="str">
        <f>IF(J489&lt;&gt;1,"",IF(I489="SBJ","CB","?"))</f>
        <v> </v>
      </c>
      <c r="I489" s="25" t="str">
        <f>IF(OR(E489="",E489="!!!",F489="NEW"),"",INDEX(B488:B$2,-1+SUMPRODUCT(MAX(ROW(E488:E$2)*(E489=E488:E$2)))))</f>
        <v> </v>
      </c>
      <c r="J489" s="25" t="str">
        <f>IF(OR(E489="",E489="!!!",F489="NEW"),"",COUNTBLANK(OFFSET(A$1,,,SUMPRODUCT(MAX(ROW(E$2:E489)*(E489=E$2:E489)))))-COUNTBLANK(OFFSET(A$1,,,SUMPRODUCT(MAX(ROW(E$1:E488)*(E2=E$1:E488))))))</f>
        <v> </v>
      </c>
      <c r="K489" s="25" t="str">
        <f>IF(OR(E489="",E489="!!!",F489="NEW"),"",INDEX(J$1:J488,SUMPRODUCT(MAX(ROW(E$1:E488)*(E489=E$1:E488)))))</f>
        <v> </v>
      </c>
      <c r="L489" s="26"/>
    </row>
    <row r="490" spans="1:12">
      <c r="A490" s="20" t="s">
        <v>356</v>
      </c>
      <c r="E490" s="21">
        <f>IF(D490="?OLD","!!!","")</f>
        <v/>
      </c>
      <c r="F490" s="22" t="str">
        <f>IF(OR(E490="",E490="!!!"),"",IF(NOT(ISNA(VLOOKUP(E490,E$1:E489,1,FALSE()))),"OLD",IF(AND(E490&lt;&gt;"",E490&lt;&gt;"!!!"),"NEW","")))</f>
        <v> </v>
      </c>
      <c r="G490" s="23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4" t="str">
        <f>IF(J490&lt;&gt;1,"",IF(I490="SBJ","CB","?"))</f>
        <v> </v>
      </c>
      <c r="I490" s="25" t="str">
        <f>IF(OR(E490="",E490="!!!",F490="NEW"),"",INDEX(B489:B$2,-1+SUMPRODUCT(MAX(ROW(E489:E$2)*(E490=E489:E$2)))))</f>
        <v> </v>
      </c>
      <c r="J490" s="25" t="str">
        <f>IF(OR(E490="",E490="!!!",F490="NEW"),"",COUNTBLANK(OFFSET(A$1,,,SUMPRODUCT(MAX(ROW(E$2:E490)*(E490=E$2:E490)))))-COUNTBLANK(OFFSET(A$1,,,SUMPRODUCT(MAX(ROW(E$1:E489)*(E2=E$1:E489))))))</f>
        <v> </v>
      </c>
      <c r="K490" s="25" t="str">
        <f>IF(OR(E490="",E490="!!!",F490="NEW"),"",INDEX(J$1:J489,SUMPRODUCT(MAX(ROW(E$1:E489)*(E490=E$1:E489)))))</f>
        <v> </v>
      </c>
      <c r="L490" s="26"/>
    </row>
    <row r="491" spans="1:12">
      <c r="A491" s="20" t="s">
        <v>315</v>
      </c>
      <c r="B491" s="27" t="s">
        <v>171</v>
      </c>
      <c r="C491" s="27" t="s">
        <v>176</v>
      </c>
      <c r="D491" s="27" t="s">
        <v>143</v>
      </c>
      <c r="E491" s="21">
        <f>IF(D491="?OLD","!!!","")</f>
        <v/>
      </c>
      <c r="F491" s="22" t="str">
        <f>IF(OR(E491="",E491="!!!"),"",IF(NOT(ISNA(VLOOKUP(E491,E$1:E490,1,FALSE()))),"OLD",IF(AND(E491&lt;&gt;"",E491&lt;&gt;"!!!"),"NEW","")))</f>
        <v> </v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4" t="str">
        <f>IF(J491&lt;&gt;1,"",IF(I491="SBJ","CB","?"))</f>
        <v> </v>
      </c>
      <c r="I491" s="25" t="str">
        <f>IF(OR(E491="",E491="!!!",F491="NEW"),"",INDEX(B490:B$2,-1+SUMPRODUCT(MAX(ROW(E490:E$2)*(E491=E490:E$2)))))</f>
        <v> </v>
      </c>
      <c r="J491" s="25" t="str">
        <f>IF(OR(E491="",E491="!!!",F491="NEW"),"",COUNTBLANK(OFFSET(A$1,,,SUMPRODUCT(MAX(ROW(E$2:E491)*(E491=E$2:E491)))))-COUNTBLANK(OFFSET(A$1,,,SUMPRODUCT(MAX(ROW(E$1:E490)*(E2=E$1:E490))))))</f>
        <v> </v>
      </c>
      <c r="K491" s="25" t="str">
        <f>IF(OR(E491="",E491="!!!",F491="NEW"),"",INDEX(J$1:J490,SUMPRODUCT(MAX(ROW(E$1:E490)*(E491=E$1:E490)))))</f>
        <v> </v>
      </c>
      <c r="L491" s="26"/>
    </row>
    <row r="492" spans="1:12">
      <c r="A492" s="20" t="s">
        <v>180</v>
      </c>
      <c r="E492" s="21">
        <f>IF(D492="?OLD","!!!","")</f>
        <v/>
      </c>
      <c r="F492" s="22" t="str">
        <f>IF(OR(E492="",E492="!!!"),"",IF(NOT(ISNA(VLOOKUP(E492,E$1:E491,1,FALSE()))),"OLD",IF(AND(E492&lt;&gt;"",E492&lt;&gt;"!!!"),"NEW","")))</f>
        <v> </v>
      </c>
      <c r="G492" s="23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4" t="str">
        <f>IF(J492&lt;&gt;1,"",IF(I492="SBJ","CB","?"))</f>
        <v> </v>
      </c>
      <c r="I492" s="25" t="str">
        <f>IF(OR(E492="",E492="!!!",F492="NEW"),"",INDEX(B491:B$2,-1+SUMPRODUCT(MAX(ROW(E491:E$2)*(E492=E491:E$2)))))</f>
        <v> </v>
      </c>
      <c r="J492" s="25" t="str">
        <f>IF(OR(E492="",E492="!!!",F492="NEW"),"",COUNTBLANK(OFFSET(A$1,,,SUMPRODUCT(MAX(ROW(E$2:E492)*(E492=E$2:E492)))))-COUNTBLANK(OFFSET(A$1,,,SUMPRODUCT(MAX(ROW(E$1:E491)*(E2=E$1:E491))))))</f>
        <v> </v>
      </c>
      <c r="K492" s="25" t="str">
        <f>IF(OR(E492="",E492="!!!",F492="NEW"),"",INDEX(J$1:J491,SUMPRODUCT(MAX(ROW(E$1:E491)*(E492=E$1:E491)))))</f>
        <v> </v>
      </c>
      <c r="L492" s="26"/>
    </row>
    <row r="493" spans="1:12">
      <c r="A493" s="20" t="s">
        <v>357</v>
      </c>
      <c r="B493" s="27" t="s">
        <v>202</v>
      </c>
      <c r="C493" s="27" t="s">
        <v>142</v>
      </c>
      <c r="D493" s="27" t="s">
        <v>143</v>
      </c>
      <c r="E493" s="21">
        <f>IF(D493="?OLD","!!!","")</f>
        <v/>
      </c>
      <c r="F493" s="22" t="str">
        <f>IF(OR(E493="",E493="!!!"),"",IF(NOT(ISNA(VLOOKUP(E493,E$1:E492,1,FALSE()))),"OLD",IF(AND(E493&lt;&gt;"",E493&lt;&gt;"!!!"),"NEW","")))</f>
        <v> </v>
      </c>
      <c r="G493" s="23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4" t="str">
        <f>IF(J493&lt;&gt;1,"",IF(I493="SBJ","CB","?"))</f>
        <v> </v>
      </c>
      <c r="I493" s="25" t="str">
        <f>IF(OR(E493="",E493="!!!",F493="NEW"),"",INDEX(B492:B$2,-1+SUMPRODUCT(MAX(ROW(E492:E$2)*(E493=E492:E$2)))))</f>
        <v> </v>
      </c>
      <c r="J493" s="25" t="str">
        <f>IF(OR(E493="",E493="!!!",F493="NEW"),"",COUNTBLANK(OFFSET(A$1,,,SUMPRODUCT(MAX(ROW(E$2:E493)*(E493=E$2:E493)))))-COUNTBLANK(OFFSET(A$1,,,SUMPRODUCT(MAX(ROW(E$1:E492)*(E2=E$1:E492))))))</f>
        <v> </v>
      </c>
      <c r="K493" s="25" t="str">
        <f>IF(OR(E493="",E493="!!!",F493="NEW"),"",INDEX(J$1:J492,SUMPRODUCT(MAX(ROW(E$1:E492)*(E493=E$1:E492)))))</f>
        <v> </v>
      </c>
      <c r="L493" s="26"/>
    </row>
    <row r="494" spans="1:12">
      <c r="A494" s="20" t="s">
        <v>358</v>
      </c>
      <c r="E494" s="21">
        <f>IF(D494="?OLD","!!!","")</f>
        <v/>
      </c>
      <c r="F494" s="22" t="str">
        <f>IF(OR(E494="",E494="!!!"),"",IF(NOT(ISNA(VLOOKUP(E494,E$1:E493,1,FALSE()))),"OLD",IF(AND(E494&lt;&gt;"",E494&lt;&gt;"!!!"),"NEW","")))</f>
        <v> </v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4" t="str">
        <f>IF(J494&lt;&gt;1,"",IF(I494="SBJ","CB","?"))</f>
        <v> </v>
      </c>
      <c r="I494" s="25" t="str">
        <f>IF(OR(E494="",E494="!!!",F494="NEW"),"",INDEX(B493:B$2,-1+SUMPRODUCT(MAX(ROW(E493:E$2)*(E494=E493:E$2)))))</f>
        <v> </v>
      </c>
      <c r="J494" s="25" t="str">
        <f>IF(OR(E494="",E494="!!!",F494="NEW"),"",COUNTBLANK(OFFSET(A$1,,,SUMPRODUCT(MAX(ROW(E$2:E494)*(E494=E$2:E494)))))-COUNTBLANK(OFFSET(A$1,,,SUMPRODUCT(MAX(ROW(E$1:E493)*(E2=E$1:E493))))))</f>
        <v> </v>
      </c>
      <c r="K494" s="25" t="str">
        <f>IF(OR(E494="",E494="!!!",F494="NEW"),"",INDEX(J$1:J493,SUMPRODUCT(MAX(ROW(E$1:E493)*(E494=E$1:E493)))))</f>
        <v> </v>
      </c>
      <c r="L494" s="26"/>
    </row>
    <row r="495" spans="1:12">
      <c r="A495" s="20" t="s">
        <v>157</v>
      </c>
      <c r="E495" s="21">
        <f>IF(D495="?OLD","!!!","")</f>
        <v/>
      </c>
      <c r="F495" s="22" t="str">
        <f>IF(OR(E495="",E495="!!!"),"",IF(NOT(ISNA(VLOOKUP(E495,E$1:E494,1,FALSE()))),"OLD",IF(AND(E495&lt;&gt;"",E495&lt;&gt;"!!!"),"NEW","")))</f>
        <v> </v>
      </c>
      <c r="G495" s="23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4" t="str">
        <f>IF(J495&lt;&gt;1,"",IF(I495="SBJ","CB","?"))</f>
        <v> </v>
      </c>
      <c r="I495" s="25" t="str">
        <f>IF(OR(E495="",E495="!!!",F495="NEW"),"",INDEX(B494:B$2,-1+SUMPRODUCT(MAX(ROW(E494:E$2)*(E495=E494:E$2)))))</f>
        <v> </v>
      </c>
      <c r="J495" s="25" t="str">
        <f>IF(OR(E495="",E495="!!!",F495="NEW"),"",COUNTBLANK(OFFSET(A$1,,,SUMPRODUCT(MAX(ROW(E$2:E495)*(E495=E$2:E495)))))-COUNTBLANK(OFFSET(A$1,,,SUMPRODUCT(MAX(ROW(E$1:E494)*(E2=E$1:E494))))))</f>
        <v> </v>
      </c>
      <c r="K495" s="25" t="str">
        <f>IF(OR(E495="",E495="!!!",F495="NEW"),"",INDEX(J$1:J494,SUMPRODUCT(MAX(ROW(E$1:E494)*(E495=E$1:E494)))))</f>
        <v> </v>
      </c>
      <c r="L495" s="26"/>
    </row>
    <row r="496" spans="1:12">
      <c r="A496" s="20" t="s">
        <v>164</v>
      </c>
      <c r="E496" s="21">
        <f>IF(D496="?OLD","!!!","")</f>
        <v/>
      </c>
      <c r="F496" s="22" t="str">
        <f>IF(OR(E496="",E496="!!!"),"",IF(NOT(ISNA(VLOOKUP(E496,E$1:E495,1,FALSE()))),"OLD",IF(AND(E496&lt;&gt;"",E496&lt;&gt;"!!!"),"NEW","")))</f>
        <v> </v>
      </c>
      <c r="G496" s="23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4" t="str">
        <f>IF(J496&lt;&gt;1,"",IF(I496="SBJ","CB","?"))</f>
        <v> </v>
      </c>
      <c r="I496" s="25" t="str">
        <f>IF(OR(E496="",E496="!!!",F496="NEW"),"",INDEX(B495:B$2,-1+SUMPRODUCT(MAX(ROW(E495:E$2)*(E496=E495:E$2)))))</f>
        <v> </v>
      </c>
      <c r="J496" s="25" t="str">
        <f>IF(OR(E496="",E496="!!!",F496="NEW"),"",COUNTBLANK(OFFSET(A$1,,,SUMPRODUCT(MAX(ROW(E$2:E496)*(E496=E$2:E496)))))-COUNTBLANK(OFFSET(A$1,,,SUMPRODUCT(MAX(ROW(E$1:E495)*(E2=E$1:E495))))))</f>
        <v> </v>
      </c>
      <c r="K496" s="25" t="str">
        <f>IF(OR(E496="",E496="!!!",F496="NEW"),"",INDEX(J$1:J495,SUMPRODUCT(MAX(ROW(E$1:E495)*(E496=E$1:E495)))))</f>
        <v> </v>
      </c>
      <c r="L496" s="26"/>
    </row>
    <row r="497" spans="1:12">
      <c r="A497" s="20" t="s">
        <v>298</v>
      </c>
      <c r="B497" s="27" t="s">
        <v>141</v>
      </c>
      <c r="C497" s="27" t="s">
        <v>176</v>
      </c>
      <c r="D497" s="27" t="s">
        <v>143</v>
      </c>
      <c r="E497" s="21">
        <f>IF(D497="?OLD","!!!","")</f>
        <v/>
      </c>
      <c r="F497" s="22" t="str">
        <f>IF(OR(E497="",E497="!!!"),"",IF(NOT(ISNA(VLOOKUP(E497,E$1:E496,1,FALSE()))),"OLD",IF(AND(E497&lt;&gt;"",E497&lt;&gt;"!!!"),"NEW","")))</f>
        <v> </v>
      </c>
      <c r="G497" s="23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4" t="str">
        <f>IF(J497&lt;&gt;1,"",IF(I497="SBJ","CB","?"))</f>
        <v> </v>
      </c>
      <c r="I497" s="25" t="str">
        <f>IF(OR(E497="",E497="!!!",F497="NEW"),"",INDEX(B496:B$2,-1+SUMPRODUCT(MAX(ROW(E496:E$2)*(E497=E496:E$2)))))</f>
        <v> </v>
      </c>
      <c r="J497" s="25" t="str">
        <f>IF(OR(E497="",E497="!!!",F497="NEW"),"",COUNTBLANK(OFFSET(A$1,,,SUMPRODUCT(MAX(ROW(E$2:E497)*(E497=E$2:E497)))))-COUNTBLANK(OFFSET(A$1,,,SUMPRODUCT(MAX(ROW(E$1:E496)*(E2=E$1:E496))))))</f>
        <v> </v>
      </c>
      <c r="K497" s="25" t="str">
        <f>IF(OR(E497="",E497="!!!",F497="NEW"),"",INDEX(J$1:J496,SUMPRODUCT(MAX(ROW(E$1:E496)*(E497=E$1:E496)))))</f>
        <v> </v>
      </c>
      <c r="L497" s="26"/>
    </row>
    <row r="498" spans="1:12">
      <c r="A498" s="20" t="s">
        <v>359</v>
      </c>
      <c r="E498" s="21">
        <f>IF(D498="?OLD","!!!","")</f>
        <v/>
      </c>
      <c r="F498" s="22" t="str">
        <f>IF(OR(E498="",E498="!!!"),"",IF(NOT(ISNA(VLOOKUP(E498,E$1:E497,1,FALSE()))),"OLD",IF(AND(E498&lt;&gt;"",E498&lt;&gt;"!!!"),"NEW","")))</f>
        <v> </v>
      </c>
      <c r="G498" s="23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4" t="str">
        <f>IF(J498&lt;&gt;1,"",IF(I498="SBJ","CB","?"))</f>
        <v> </v>
      </c>
      <c r="I498" s="25" t="str">
        <f>IF(OR(E498="",E498="!!!",F498="NEW"),"",INDEX(B497:B$2,-1+SUMPRODUCT(MAX(ROW(E497:E$2)*(E498=E497:E$2)))))</f>
        <v> </v>
      </c>
      <c r="J498" s="25" t="str">
        <f>IF(OR(E498="",E498="!!!",F498="NEW"),"",COUNTBLANK(OFFSET(A$1,,,SUMPRODUCT(MAX(ROW(E$2:E498)*(E498=E$2:E498)))))-COUNTBLANK(OFFSET(A$1,,,SUMPRODUCT(MAX(ROW(E$1:E497)*(E2=E$1:E497))))))</f>
        <v> </v>
      </c>
      <c r="K498" s="25" t="str">
        <f>IF(OR(E498="",E498="!!!",F498="NEW"),"",INDEX(J$1:J497,SUMPRODUCT(MAX(ROW(E$1:E497)*(E498=E$1:E497)))))</f>
        <v> </v>
      </c>
      <c r="L498" s="26"/>
    </row>
    <row r="499" spans="1:12">
      <c r="A499" s="20" t="s">
        <v>360</v>
      </c>
      <c r="B499" s="27" t="s">
        <v>258</v>
      </c>
      <c r="C499" s="27" t="s">
        <v>176</v>
      </c>
      <c r="D499" s="27" t="s">
        <v>143</v>
      </c>
      <c r="E499" s="21">
        <f>IF(D499="?OLD","!!!","")</f>
        <v/>
      </c>
      <c r="F499" s="22" t="str">
        <f>IF(OR(E499="",E499="!!!"),"",IF(NOT(ISNA(VLOOKUP(E499,E$1:E498,1,FALSE()))),"OLD",IF(AND(E499&lt;&gt;"",E499&lt;&gt;"!!!"),"NEW","")))</f>
        <v> </v>
      </c>
      <c r="G499" s="23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4" t="str">
        <f>IF(J499&lt;&gt;1,"",IF(I499="SBJ","CB","?"))</f>
        <v> </v>
      </c>
      <c r="I499" s="25" t="str">
        <f>IF(OR(E499="",E499="!!!",F499="NEW"),"",INDEX(B498:B$2,-1+SUMPRODUCT(MAX(ROW(E498:E$2)*(E499=E498:E$2)))))</f>
        <v> </v>
      </c>
      <c r="J499" s="25" t="str">
        <f>IF(OR(E499="",E499="!!!",F499="NEW"),"",COUNTBLANK(OFFSET(A$1,,,SUMPRODUCT(MAX(ROW(E$2:E499)*(E499=E$2:E499)))))-COUNTBLANK(OFFSET(A$1,,,SUMPRODUCT(MAX(ROW(E$1:E498)*(E2=E$1:E498))))))</f>
        <v> </v>
      </c>
      <c r="K499" s="25" t="str">
        <f>IF(OR(E499="",E499="!!!",F499="NEW"),"",INDEX(J$1:J498,SUMPRODUCT(MAX(ROW(E$1:E498)*(E499=E$1:E498)))))</f>
        <v> </v>
      </c>
      <c r="L499" s="26"/>
    </row>
    <row r="500" spans="1:12">
      <c r="A500" s="20" t="s">
        <v>184</v>
      </c>
      <c r="E500" s="21">
        <f>IF(D500="?OLD","!!!","")</f>
        <v/>
      </c>
      <c r="F500" s="22" t="str">
        <f>IF(OR(E500="",E500="!!!"),"",IF(NOT(ISNA(VLOOKUP(E500,E$1:E499,1,FALSE()))),"OLD",IF(AND(E500&lt;&gt;"",E500&lt;&gt;"!!!"),"NEW","")))</f>
        <v> </v>
      </c>
      <c r="G500" s="23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4" t="str">
        <f>IF(J500&lt;&gt;1,"",IF(I500="SBJ","CB","?"))</f>
        <v> </v>
      </c>
      <c r="I500" s="25" t="str">
        <f>IF(OR(E500="",E500="!!!",F500="NEW"),"",INDEX(B499:B$2,-1+SUMPRODUCT(MAX(ROW(E499:E$2)*(E500=E499:E$2)))))</f>
        <v> </v>
      </c>
      <c r="J500" s="25" t="str">
        <f>IF(OR(E500="",E500="!!!",F500="NEW"),"",COUNTBLANK(OFFSET(A$1,,,SUMPRODUCT(MAX(ROW(E$2:E500)*(E500=E$2:E500)))))-COUNTBLANK(OFFSET(A$1,,,SUMPRODUCT(MAX(ROW(E$1:E499)*(E2=E$1:E499))))))</f>
        <v> </v>
      </c>
      <c r="K500" s="25" t="str">
        <f>IF(OR(E500="",E500="!!!",F500="NEW"),"",INDEX(J$1:J499,SUMPRODUCT(MAX(ROW(E$1:E499)*(E500=E$1:E499)))))</f>
        <v> </v>
      </c>
      <c r="L500" s="26"/>
    </row>
    <row r="501" spans="1:12">
      <c r="A501" s="20" t="s">
        <v>139</v>
      </c>
      <c r="E501" s="21">
        <f>IF(D501="?OLD","!!!","")</f>
        <v/>
      </c>
      <c r="F501" s="22" t="str">
        <f>IF(OR(E501="",E501="!!!"),"",IF(NOT(ISNA(VLOOKUP(E501,E$1:E500,1,FALSE()))),"OLD",IF(AND(E501&lt;&gt;"",E501&lt;&gt;"!!!"),"NEW","")))</f>
        <v> </v>
      </c>
      <c r="G501" s="23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4" t="str">
        <f>IF(J501&lt;&gt;1,"",IF(I501="SBJ","CB","?"))</f>
        <v> </v>
      </c>
      <c r="I501" s="25" t="str">
        <f>IF(OR(E501="",E501="!!!",F501="NEW"),"",INDEX(B500:B$2,-1+SUMPRODUCT(MAX(ROW(E500:E$2)*(E501=E500:E$2)))))</f>
        <v> </v>
      </c>
      <c r="J501" s="25" t="str">
        <f>IF(OR(E501="",E501="!!!",F501="NEW"),"",COUNTBLANK(OFFSET(A$1,,,SUMPRODUCT(MAX(ROW(E$2:E501)*(E501=E$2:E501)))))-COUNTBLANK(OFFSET(A$1,,,SUMPRODUCT(MAX(ROW(E$1:E500)*(E2=E$1:E500))))))</f>
        <v> </v>
      </c>
      <c r="K501" s="25" t="str">
        <f>IF(OR(E501="",E501="!!!",F501="NEW"),"",INDEX(J$1:J500,SUMPRODUCT(MAX(ROW(E$1:E500)*(E501=E$1:E500)))))</f>
        <v> </v>
      </c>
      <c r="L501" s="26"/>
    </row>
    <row r="502" spans="1:12">
      <c r="A502" s="20" t="s">
        <v>361</v>
      </c>
      <c r="B502" s="27" t="s">
        <v>182</v>
      </c>
      <c r="C502" s="27" t="s">
        <v>142</v>
      </c>
      <c r="D502" s="27" t="s">
        <v>143</v>
      </c>
      <c r="E502" s="21">
        <f>IF(D502="?OLD","!!!","")</f>
        <v/>
      </c>
      <c r="F502" s="22" t="str">
        <f>IF(OR(E502="",E502="!!!"),"",IF(NOT(ISNA(VLOOKUP(E502,E$1:E501,1,FALSE()))),"OLD",IF(AND(E502&lt;&gt;"",E502&lt;&gt;"!!!"),"NEW","")))</f>
        <v> </v>
      </c>
      <c r="G502" s="23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4" t="str">
        <f>IF(J502&lt;&gt;1,"",IF(I502="SBJ","CB","?"))</f>
        <v> </v>
      </c>
      <c r="I502" s="25" t="str">
        <f>IF(OR(E502="",E502="!!!",F502="NEW"),"",INDEX(B501:B$2,-1+SUMPRODUCT(MAX(ROW(E501:E$2)*(E502=E501:E$2)))))</f>
        <v> </v>
      </c>
      <c r="J502" s="25" t="str">
        <f>IF(OR(E502="",E502="!!!",F502="NEW"),"",COUNTBLANK(OFFSET(A$1,,,SUMPRODUCT(MAX(ROW(E$2:E502)*(E502=E$2:E502)))))-COUNTBLANK(OFFSET(A$1,,,SUMPRODUCT(MAX(ROW(E$1:E501)*(E2=E$1:E501))))))</f>
        <v> </v>
      </c>
      <c r="K502" s="25" t="str">
        <f>IF(OR(E502="",E502="!!!",F502="NEW"),"",INDEX(J$1:J501,SUMPRODUCT(MAX(ROW(E$1:E501)*(E502=E$1:E501)))))</f>
        <v> </v>
      </c>
      <c r="L502" s="26"/>
    </row>
    <row r="503" spans="1:12">
      <c r="A503" s="20" t="s">
        <v>362</v>
      </c>
      <c r="E503" s="21">
        <f>IF(D503="?OLD","!!!","")</f>
        <v/>
      </c>
      <c r="F503" s="22" t="str">
        <f>IF(OR(E503="",E503="!!!"),"",IF(NOT(ISNA(VLOOKUP(E503,E$1:E502,1,FALSE()))),"OLD",IF(AND(E503&lt;&gt;"",E503&lt;&gt;"!!!"),"NEW","")))</f>
        <v> </v>
      </c>
      <c r="G503" s="23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4" t="str">
        <f>IF(J503&lt;&gt;1,"",IF(I503="SBJ","CB","?"))</f>
        <v> </v>
      </c>
      <c r="I503" s="25" t="str">
        <f>IF(OR(E503="",E503="!!!",F503="NEW"),"",INDEX(B502:B$2,-1+SUMPRODUCT(MAX(ROW(E502:E$2)*(E503=E502:E$2)))))</f>
        <v> </v>
      </c>
      <c r="J503" s="25" t="str">
        <f>IF(OR(E503="",E503="!!!",F503="NEW"),"",COUNTBLANK(OFFSET(A$1,,,SUMPRODUCT(MAX(ROW(E$2:E503)*(E503=E$2:E503)))))-COUNTBLANK(OFFSET(A$1,,,SUMPRODUCT(MAX(ROW(E$1:E502)*(E2=E$1:E502))))))</f>
        <v> </v>
      </c>
      <c r="K503" s="25" t="str">
        <f>IF(OR(E503="",E503="!!!",F503="NEW"),"",INDEX(J$1:J502,SUMPRODUCT(MAX(ROW(E$1:E502)*(E503=E$1:E502)))))</f>
        <v> </v>
      </c>
      <c r="L503" s="26"/>
    </row>
    <row r="504" spans="1:12">
      <c r="A504" s="20" t="s">
        <v>211</v>
      </c>
      <c r="E504" s="21">
        <f>IF(D504="?OLD","!!!","")</f>
        <v/>
      </c>
      <c r="F504" s="22" t="str">
        <f>IF(OR(E504="",E504="!!!"),"",IF(NOT(ISNA(VLOOKUP(E504,E$1:E503,1,FALSE()))),"OLD",IF(AND(E504&lt;&gt;"",E504&lt;&gt;"!!!"),"NEW","")))</f>
        <v> </v>
      </c>
      <c r="G504" s="23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4" t="str">
        <f>IF(J504&lt;&gt;1,"",IF(I504="SBJ","CB","?"))</f>
        <v> </v>
      </c>
      <c r="I504" s="25" t="str">
        <f>IF(OR(E504="",E504="!!!",F504="NEW"),"",INDEX(B503:B$2,-1+SUMPRODUCT(MAX(ROW(E503:E$2)*(E504=E503:E$2)))))</f>
        <v> </v>
      </c>
      <c r="J504" s="25" t="str">
        <f>IF(OR(E504="",E504="!!!",F504="NEW"),"",COUNTBLANK(OFFSET(A$1,,,SUMPRODUCT(MAX(ROW(E$2:E504)*(E504=E$2:E504)))))-COUNTBLANK(OFFSET(A$1,,,SUMPRODUCT(MAX(ROW(E$1:E503)*(E2=E$1:E503))))))</f>
        <v> </v>
      </c>
      <c r="K504" s="25" t="str">
        <f>IF(OR(E504="",E504="!!!",F504="NEW"),"",INDEX(J$1:J503,SUMPRODUCT(MAX(ROW(E$1:E503)*(E504=E$1:E503)))))</f>
        <v> </v>
      </c>
      <c r="L504" s="26"/>
    </row>
    <row r="505" spans="1:12">
      <c r="A505" s="20"/>
    </row>
    <row r="506" spans="1:12">
      <c r="A506" s="20" t="s">
        <v>363</v>
      </c>
    </row>
    <row r="507" spans="1:12">
      <c r="A507" s="20" t="s">
        <v>138</v>
      </c>
      <c r="E507" s="21">
        <f>IF(D507="?OLD","!!!","")</f>
        <v/>
      </c>
      <c r="F507" s="22" t="str">
        <f>IF(OR(E507="",E507="!!!"),"",IF(NOT(ISNA(VLOOKUP(E507,E$1:E506,1,FALSE()))),"OLD",IF(AND(E507&lt;&gt;"",E507&lt;&gt;"!!!"),"NEW","")))</f>
        <v> </v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4" t="str">
        <f>IF(J507&lt;&gt;1,"",IF(I507="SBJ","CB","?"))</f>
        <v> </v>
      </c>
      <c r="I507" s="25" t="str">
        <f>IF(OR(E507="",E507="!!!",F507="NEW"),"",INDEX(B506:B$2,-1+SUMPRODUCT(MAX(ROW(E506:E$2)*(E507=E506:E$2)))))</f>
        <v> </v>
      </c>
      <c r="J507" s="25" t="str">
        <f>IF(OR(E507="",E507="!!!",F507="NEW"),"",COUNTBLANK(OFFSET(A$1,,,SUMPRODUCT(MAX(ROW(E$2:E507)*(E507=E$2:E507)))))-COUNTBLANK(OFFSET(A$1,,,SUMPRODUCT(MAX(ROW(E$1:E506)*(E2=E$1:E506))))))</f>
        <v> </v>
      </c>
      <c r="K507" s="25" t="str">
        <f>IF(OR(E507="",E507="!!!",F507="NEW"),"",INDEX(J$1:J506,SUMPRODUCT(MAX(ROW(E$1:E506)*(E507=E$1:E506)))))</f>
        <v> </v>
      </c>
      <c r="L507" s="26"/>
    </row>
    <row r="508" spans="1:12">
      <c r="A508" s="20" t="s">
        <v>166</v>
      </c>
      <c r="B508" s="27" t="s">
        <v>182</v>
      </c>
      <c r="C508" s="27" t="s">
        <v>149</v>
      </c>
      <c r="E508" s="21">
        <f>IF(D508="?OLD","!!!","")</f>
        <v/>
      </c>
      <c r="F508" s="22" t="str">
        <f>IF(OR(E508="",E508="!!!"),"",IF(NOT(ISNA(VLOOKUP(E508,E$1:E507,1,FALSE()))),"OLD",IF(AND(E508&lt;&gt;"",E508&lt;&gt;"!!!"),"NEW","")))</f>
        <v> </v>
      </c>
      <c r="G508" s="23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4" t="str">
        <f>IF(J508&lt;&gt;1,"",IF(I508="SBJ","CB","?"))</f>
        <v> </v>
      </c>
      <c r="I508" s="25" t="str">
        <f>IF(OR(E508="",E508="!!!",F508="NEW"),"",INDEX(B507:B$2,-1+SUMPRODUCT(MAX(ROW(E507:E$2)*(E508=E507:E$2)))))</f>
        <v> </v>
      </c>
      <c r="J508" s="25" t="str">
        <f>IF(OR(E508="",E508="!!!",F508="NEW"),"",COUNTBLANK(OFFSET(A$1,,,SUMPRODUCT(MAX(ROW(E$2:E508)*(E508=E$2:E508)))))-COUNTBLANK(OFFSET(A$1,,,SUMPRODUCT(MAX(ROW(E$1:E507)*(E2=E$1:E507))))))</f>
        <v> </v>
      </c>
      <c r="K508" s="25" t="str">
        <f>IF(OR(E508="",E508="!!!",F508="NEW"),"",INDEX(J$1:J507,SUMPRODUCT(MAX(ROW(E$1:E507)*(E508=E$1:E507)))))</f>
        <v> </v>
      </c>
      <c r="L508" s="26"/>
    </row>
    <row r="509" spans="1:12">
      <c r="A509" s="20" t="s">
        <v>154</v>
      </c>
      <c r="E509" s="21">
        <f>IF(D509="?OLD","!!!","")</f>
        <v/>
      </c>
      <c r="F509" s="22" t="str">
        <f>IF(OR(E509="",E509="!!!"),"",IF(NOT(ISNA(VLOOKUP(E509,E$1:E508,1,FALSE()))),"OLD",IF(AND(E509&lt;&gt;"",E509&lt;&gt;"!!!"),"NEW","")))</f>
        <v> </v>
      </c>
      <c r="G509" s="23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4" t="str">
        <f>IF(J509&lt;&gt;1,"",IF(I509="SBJ","CB","?"))</f>
        <v> </v>
      </c>
      <c r="I509" s="25" t="str">
        <f>IF(OR(E509="",E509="!!!",F509="NEW"),"",INDEX(B508:B$2,-1+SUMPRODUCT(MAX(ROW(E508:E$2)*(E509=E508:E$2)))))</f>
        <v> </v>
      </c>
      <c r="J509" s="25" t="str">
        <f>IF(OR(E509="",E509="!!!",F509="NEW"),"",COUNTBLANK(OFFSET(A$1,,,SUMPRODUCT(MAX(ROW(E$2:E509)*(E509=E$2:E509)))))-COUNTBLANK(OFFSET(A$1,,,SUMPRODUCT(MAX(ROW(E$1:E508)*(E2=E$1:E508))))))</f>
        <v> </v>
      </c>
      <c r="K509" s="25" t="str">
        <f>IF(OR(E509="",E509="!!!",F509="NEW"),"",INDEX(J$1:J508,SUMPRODUCT(MAX(ROW(E$1:E508)*(E509=E$1:E508)))))</f>
        <v> </v>
      </c>
      <c r="L509" s="26"/>
    </row>
    <row r="510" spans="1:12">
      <c r="A510" s="20" t="s">
        <v>167</v>
      </c>
      <c r="B510" s="27" t="s">
        <v>191</v>
      </c>
      <c r="C510" s="27" t="s">
        <v>142</v>
      </c>
      <c r="D510" s="27" t="s">
        <v>143</v>
      </c>
      <c r="E510" s="21">
        <f>IF(D510="?OLD","!!!","")</f>
        <v/>
      </c>
      <c r="F510" s="22" t="str">
        <f>IF(OR(E510="",E510="!!!"),"",IF(NOT(ISNA(VLOOKUP(E510,E$1:E509,1,FALSE()))),"OLD",IF(AND(E510&lt;&gt;"",E510&lt;&gt;"!!!"),"NEW","")))</f>
        <v> </v>
      </c>
      <c r="G510" s="23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4" t="str">
        <f>IF(J510&lt;&gt;1,"",IF(I510="SBJ","CB","?"))</f>
        <v> </v>
      </c>
      <c r="I510" s="25" t="str">
        <f>IF(OR(E510="",E510="!!!",F510="NEW"),"",INDEX(B509:B$2,-1+SUMPRODUCT(MAX(ROW(E509:E$2)*(E510=E509:E$2)))))</f>
        <v> </v>
      </c>
      <c r="J510" s="25" t="str">
        <f>IF(OR(E510="",E510="!!!",F510="NEW"),"",COUNTBLANK(OFFSET(A$1,,,SUMPRODUCT(MAX(ROW(E$2:E510)*(E510=E$2:E510)))))-COUNTBLANK(OFFSET(A$1,,,SUMPRODUCT(MAX(ROW(E$1:E509)*(E2=E$1:E509))))))</f>
        <v> </v>
      </c>
      <c r="K510" s="25" t="str">
        <f>IF(OR(E510="",E510="!!!",F510="NEW"),"",INDEX(J$1:J509,SUMPRODUCT(MAX(ROW(E$1:E509)*(E510=E$1:E509)))))</f>
        <v> </v>
      </c>
      <c r="L510" s="26"/>
    </row>
    <row r="511" spans="1:12">
      <c r="A511" s="20" t="s">
        <v>165</v>
      </c>
      <c r="E511" s="21">
        <f>IF(D511="?OLD","!!!","")</f>
        <v/>
      </c>
      <c r="F511" s="22" t="str">
        <f>IF(OR(E511="",E511="!!!"),"",IF(NOT(ISNA(VLOOKUP(E511,E$1:E510,1,FALSE()))),"OLD",IF(AND(E511&lt;&gt;"",E511&lt;&gt;"!!!"),"NEW","")))</f>
        <v> </v>
      </c>
      <c r="G511" s="23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4" t="str">
        <f>IF(J511&lt;&gt;1,"",IF(I511="SBJ","CB","?"))</f>
        <v> </v>
      </c>
      <c r="I511" s="25" t="str">
        <f>IF(OR(E511="",E511="!!!",F511="NEW"),"",INDEX(B510:B$2,-1+SUMPRODUCT(MAX(ROW(E510:E$2)*(E511=E510:E$2)))))</f>
        <v> </v>
      </c>
      <c r="J511" s="25" t="str">
        <f>IF(OR(E511="",E511="!!!",F511="NEW"),"",COUNTBLANK(OFFSET(A$1,,,SUMPRODUCT(MAX(ROW(E$2:E511)*(E511=E$2:E511)))))-COUNTBLANK(OFFSET(A$1,,,SUMPRODUCT(MAX(ROW(E$1:E510)*(E2=E$1:E510))))))</f>
        <v> </v>
      </c>
      <c r="K511" s="25" t="str">
        <f>IF(OR(E511="",E511="!!!",F511="NEW"),"",INDEX(J$1:J510,SUMPRODUCT(MAX(ROW(E$1:E510)*(E511=E$1:E510)))))</f>
        <v> </v>
      </c>
      <c r="L511" s="26"/>
    </row>
    <row r="512" spans="1:12">
      <c r="A512" s="20" t="s">
        <v>242</v>
      </c>
      <c r="B512" s="27" t="s">
        <v>171</v>
      </c>
      <c r="C512" s="27" t="s">
        <v>176</v>
      </c>
      <c r="D512" s="27" t="s">
        <v>143</v>
      </c>
      <c r="E512" s="21">
        <f>IF(D512="?OLD","!!!","")</f>
        <v/>
      </c>
      <c r="F512" s="22" t="str">
        <f>IF(OR(E512="",E512="!!!"),"",IF(NOT(ISNA(VLOOKUP(E512,E$1:E511,1,FALSE()))),"OLD",IF(AND(E512&lt;&gt;"",E512&lt;&gt;"!!!"),"NEW","")))</f>
        <v> </v>
      </c>
      <c r="G512" s="23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4" t="str">
        <f>IF(J512&lt;&gt;1,"",IF(I512="SBJ","CB","?"))</f>
        <v> </v>
      </c>
      <c r="I512" s="25" t="str">
        <f>IF(OR(E512="",E512="!!!",F512="NEW"),"",INDEX(B511:B$2,-1+SUMPRODUCT(MAX(ROW(E511:E$2)*(E512=E511:E$2)))))</f>
        <v> </v>
      </c>
      <c r="J512" s="25" t="str">
        <f>IF(OR(E512="",E512="!!!",F512="NEW"),"",COUNTBLANK(OFFSET(A$1,,,SUMPRODUCT(MAX(ROW(E$2:E512)*(E512=E$2:E512)))))-COUNTBLANK(OFFSET(A$1,,,SUMPRODUCT(MAX(ROW(E$1:E511)*(E2=E$1:E511))))))</f>
        <v> </v>
      </c>
      <c r="K512" s="25" t="str">
        <f>IF(OR(E512="",E512="!!!",F512="NEW"),"",INDEX(J$1:J511,SUMPRODUCT(MAX(ROW(E$1:E511)*(E512=E$1:E511)))))</f>
        <v> </v>
      </c>
      <c r="L512" s="26"/>
    </row>
    <row r="513" spans="1:12">
      <c r="A513" s="20" t="s">
        <v>168</v>
      </c>
      <c r="E513" s="21">
        <f>IF(D513="?OLD","!!!","")</f>
        <v/>
      </c>
      <c r="F513" s="22" t="str">
        <f>IF(OR(E513="",E513="!!!"),"",IF(NOT(ISNA(VLOOKUP(E513,E$1:E512,1,FALSE()))),"OLD",IF(AND(E513&lt;&gt;"",E513&lt;&gt;"!!!"),"NEW","")))</f>
        <v> </v>
      </c>
      <c r="G513" s="23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4" t="str">
        <f>IF(J513&lt;&gt;1,"",IF(I513="SBJ","CB","?"))</f>
        <v> </v>
      </c>
      <c r="I513" s="25" t="str">
        <f>IF(OR(E513="",E513="!!!",F513="NEW"),"",INDEX(B512:B$2,-1+SUMPRODUCT(MAX(ROW(E512:E$2)*(E513=E512:E$2)))))</f>
        <v> </v>
      </c>
      <c r="J513" s="25" t="str">
        <f>IF(OR(E513="",E513="!!!",F513="NEW"),"",COUNTBLANK(OFFSET(A$1,,,SUMPRODUCT(MAX(ROW(E$2:E513)*(E513=E$2:E513)))))-COUNTBLANK(OFFSET(A$1,,,SUMPRODUCT(MAX(ROW(E$1:E512)*(E2=E$1:E512))))))</f>
        <v> </v>
      </c>
      <c r="K513" s="25" t="str">
        <f>IF(OR(E513="",E513="!!!",F513="NEW"),"",INDEX(J$1:J512,SUMPRODUCT(MAX(ROW(E$1:E512)*(E513=E$1:E512)))))</f>
        <v> </v>
      </c>
      <c r="L513" s="26"/>
    </row>
    <row r="514" spans="1:12">
      <c r="A514" s="20" t="s">
        <v>300</v>
      </c>
      <c r="B514" s="27" t="s">
        <v>141</v>
      </c>
      <c r="C514" s="27" t="s">
        <v>176</v>
      </c>
      <c r="D514" s="27" t="s">
        <v>143</v>
      </c>
      <c r="E514" s="21">
        <f>IF(D514="?OLD","!!!","")</f>
        <v/>
      </c>
      <c r="F514" s="22" t="str">
        <f>IF(OR(E514="",E514="!!!"),"",IF(NOT(ISNA(VLOOKUP(E514,E$1:E513,1,FALSE()))),"OLD",IF(AND(E514&lt;&gt;"",E514&lt;&gt;"!!!"),"NEW","")))</f>
        <v> </v>
      </c>
      <c r="G514" s="23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4" t="str">
        <f>IF(J514&lt;&gt;1,"",IF(I514="SBJ","CB","?"))</f>
        <v> </v>
      </c>
      <c r="I514" s="25" t="str">
        <f>IF(OR(E514="",E514="!!!",F514="NEW"),"",INDEX(B513:B$2,-1+SUMPRODUCT(MAX(ROW(E513:E$2)*(E514=E513:E$2)))))</f>
        <v> </v>
      </c>
      <c r="J514" s="25" t="str">
        <f>IF(OR(E514="",E514="!!!",F514="NEW"),"",COUNTBLANK(OFFSET(A$1,,,SUMPRODUCT(MAX(ROW(E$2:E514)*(E514=E$2:E514)))))-COUNTBLANK(OFFSET(A$1,,,SUMPRODUCT(MAX(ROW(E$1:E513)*(E2=E$1:E513))))))</f>
        <v> </v>
      </c>
      <c r="K514" s="25" t="str">
        <f>IF(OR(E514="",E514="!!!",F514="NEW"),"",INDEX(J$1:J513,SUMPRODUCT(MAX(ROW(E$1:E513)*(E514=E$1:E513)))))</f>
        <v> </v>
      </c>
      <c r="L514" s="26"/>
    </row>
    <row r="515" spans="1:12">
      <c r="A515" s="20" t="s">
        <v>350</v>
      </c>
      <c r="E515" s="21">
        <f>IF(D515="?OLD","!!!","")</f>
        <v/>
      </c>
      <c r="F515" s="22" t="str">
        <f>IF(OR(E515="",E515="!!!"),"",IF(NOT(ISNA(VLOOKUP(E515,E$1:E514,1,FALSE()))),"OLD",IF(AND(E515&lt;&gt;"",E515&lt;&gt;"!!!"),"NEW","")))</f>
        <v> </v>
      </c>
      <c r="G515" s="23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4" t="str">
        <f>IF(J515&lt;&gt;1,"",IF(I515="SBJ","CB","?"))</f>
        <v> </v>
      </c>
      <c r="I515" s="25" t="str">
        <f>IF(OR(E515="",E515="!!!",F515="NEW"),"",INDEX(B514:B$2,-1+SUMPRODUCT(MAX(ROW(E514:E$2)*(E515=E514:E$2)))))</f>
        <v> </v>
      </c>
      <c r="J515" s="25" t="str">
        <f>IF(OR(E515="",E515="!!!",F515="NEW"),"",COUNTBLANK(OFFSET(A$1,,,SUMPRODUCT(MAX(ROW(E$2:E515)*(E515=E$2:E515)))))-COUNTBLANK(OFFSET(A$1,,,SUMPRODUCT(MAX(ROW(E$1:E514)*(E2=E$1:E514))))))</f>
        <v> </v>
      </c>
      <c r="K515" s="25" t="str">
        <f>IF(OR(E515="",E515="!!!",F515="NEW"),"",INDEX(J$1:J514,SUMPRODUCT(MAX(ROW(E$1:E514)*(E515=E$1:E514)))))</f>
        <v> </v>
      </c>
      <c r="L515" s="26"/>
    </row>
    <row r="516" spans="1:12">
      <c r="A516" s="20" t="s">
        <v>315</v>
      </c>
      <c r="B516" s="27" t="s">
        <v>141</v>
      </c>
      <c r="C516" s="27" t="s">
        <v>176</v>
      </c>
      <c r="D516" s="27" t="s">
        <v>143</v>
      </c>
      <c r="E516" s="21">
        <f>IF(D516="?OLD","!!!","")</f>
        <v/>
      </c>
      <c r="F516" s="22" t="str">
        <f>IF(OR(E516="",E516="!!!"),"",IF(NOT(ISNA(VLOOKUP(E516,E$1:E515,1,FALSE()))),"OLD",IF(AND(E516&lt;&gt;"",E516&lt;&gt;"!!!"),"NEW","")))</f>
        <v> </v>
      </c>
      <c r="G516" s="23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4" t="str">
        <f>IF(J516&lt;&gt;1,"",IF(I516="SBJ","CB","?"))</f>
        <v> </v>
      </c>
      <c r="I516" s="25" t="str">
        <f>IF(OR(E516="",E516="!!!",F516="NEW"),"",INDEX(B515:B$2,-1+SUMPRODUCT(MAX(ROW(E515:E$2)*(E516=E515:E$2)))))</f>
        <v> </v>
      </c>
      <c r="J516" s="25" t="str">
        <f>IF(OR(E516="",E516="!!!",F516="NEW"),"",COUNTBLANK(OFFSET(A$1,,,SUMPRODUCT(MAX(ROW(E$2:E516)*(E516=E$2:E516)))))-COUNTBLANK(OFFSET(A$1,,,SUMPRODUCT(MAX(ROW(E$1:E515)*(E2=E$1:E515))))))</f>
        <v> </v>
      </c>
      <c r="K516" s="25" t="str">
        <f>IF(OR(E516="",E516="!!!",F516="NEW"),"",INDEX(J$1:J515,SUMPRODUCT(MAX(ROW(E$1:E515)*(E516=E$1:E515)))))</f>
        <v> </v>
      </c>
      <c r="L516" s="26"/>
    </row>
    <row r="517" spans="1:12">
      <c r="A517" s="20" t="s">
        <v>364</v>
      </c>
      <c r="B517" s="27" t="s">
        <v>156</v>
      </c>
      <c r="C517" s="27" t="s">
        <v>149</v>
      </c>
      <c r="E517" s="21">
        <f>IF(D517="?OLD","!!!","")</f>
        <v/>
      </c>
      <c r="F517" s="22" t="str">
        <f>IF(OR(E517="",E517="!!!"),"",IF(NOT(ISNA(VLOOKUP(E517,E$1:E516,1,FALSE()))),"OLD",IF(AND(E517&lt;&gt;"",E517&lt;&gt;"!!!"),"NEW","")))</f>
        <v> </v>
      </c>
      <c r="G517" s="23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4" t="str">
        <f>IF(J517&lt;&gt;1,"",IF(I517="SBJ","CB","?"))</f>
        <v> </v>
      </c>
      <c r="I517" s="25" t="str">
        <f>IF(OR(E517="",E517="!!!",F517="NEW"),"",INDEX(B516:B$2,-1+SUMPRODUCT(MAX(ROW(E516:E$2)*(E517=E516:E$2)))))</f>
        <v> </v>
      </c>
      <c r="J517" s="25" t="str">
        <f>IF(OR(E517="",E517="!!!",F517="NEW"),"",COUNTBLANK(OFFSET(A$1,,,SUMPRODUCT(MAX(ROW(E$2:E517)*(E517=E$2:E517)))))-COUNTBLANK(OFFSET(A$1,,,SUMPRODUCT(MAX(ROW(E$1:E516)*(E2=E$1:E516))))))</f>
        <v> </v>
      </c>
      <c r="K517" s="25" t="str">
        <f>IF(OR(E517="",E517="!!!",F517="NEW"),"",INDEX(J$1:J516,SUMPRODUCT(MAX(ROW(E$1:E516)*(E517=E$1:E516)))))</f>
        <v> </v>
      </c>
      <c r="L517" s="26"/>
    </row>
    <row r="518" spans="1:12">
      <c r="A518" s="20" t="s">
        <v>365</v>
      </c>
      <c r="B518" s="27" t="s">
        <v>258</v>
      </c>
      <c r="C518" s="27" t="s">
        <v>152</v>
      </c>
      <c r="E518" s="21">
        <f>IF(D518="?OLD","!!!","")</f>
        <v/>
      </c>
      <c r="F518" s="22" t="str">
        <f>IF(OR(E518="",E518="!!!"),"",IF(NOT(ISNA(VLOOKUP(E518,E$1:E517,1,FALSE()))),"OLD",IF(AND(E518&lt;&gt;"",E518&lt;&gt;"!!!"),"NEW","")))</f>
        <v> </v>
      </c>
      <c r="G518" s="23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4" t="str">
        <f>IF(J518&lt;&gt;1,"",IF(I518="SBJ","CB","?"))</f>
        <v> </v>
      </c>
      <c r="I518" s="25" t="str">
        <f>IF(OR(E518="",E518="!!!",F518="NEW"),"",INDEX(B517:B$2,-1+SUMPRODUCT(MAX(ROW(E517:E$2)*(E518=E517:E$2)))))</f>
        <v> </v>
      </c>
      <c r="J518" s="25" t="str">
        <f>IF(OR(E518="",E518="!!!",F518="NEW"),"",COUNTBLANK(OFFSET(A$1,,,SUMPRODUCT(MAX(ROW(E$2:E518)*(E518=E$2:E518)))))-COUNTBLANK(OFFSET(A$1,,,SUMPRODUCT(MAX(ROW(E$1:E517)*(E2=E$1:E517))))))</f>
        <v> </v>
      </c>
      <c r="K518" s="25" t="str">
        <f>IF(OR(E518="",E518="!!!",F518="NEW"),"",INDEX(J$1:J517,SUMPRODUCT(MAX(ROW(E$1:E517)*(E518=E$1:E517)))))</f>
        <v> </v>
      </c>
      <c r="L518" s="26"/>
    </row>
    <row r="519" spans="1:12">
      <c r="A519" s="20" t="s">
        <v>366</v>
      </c>
      <c r="E519" s="21">
        <f>IF(D519="?OLD","!!!","")</f>
        <v/>
      </c>
      <c r="F519" s="22" t="str">
        <f>IF(OR(E519="",E519="!!!"),"",IF(NOT(ISNA(VLOOKUP(E519,E$1:E518,1,FALSE()))),"OLD",IF(AND(E519&lt;&gt;"",E519&lt;&gt;"!!!"),"NEW","")))</f>
        <v> </v>
      </c>
      <c r="G519" s="23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4" t="str">
        <f>IF(J519&lt;&gt;1,"",IF(I519="SBJ","CB","?"))</f>
        <v> </v>
      </c>
      <c r="I519" s="25" t="str">
        <f>IF(OR(E519="",E519="!!!",F519="NEW"),"",INDEX(B518:B$2,-1+SUMPRODUCT(MAX(ROW(E518:E$2)*(E519=E518:E$2)))))</f>
        <v> </v>
      </c>
      <c r="J519" s="25" t="str">
        <f>IF(OR(E519="",E519="!!!",F519="NEW"),"",COUNTBLANK(OFFSET(A$1,,,SUMPRODUCT(MAX(ROW(E$2:E519)*(E519=E$2:E519)))))-COUNTBLANK(OFFSET(A$1,,,SUMPRODUCT(MAX(ROW(E$1:E518)*(E2=E$1:E518))))))</f>
        <v> </v>
      </c>
      <c r="K519" s="25" t="str">
        <f>IF(OR(E519="",E519="!!!",F519="NEW"),"",INDEX(J$1:J518,SUMPRODUCT(MAX(ROW(E$1:E518)*(E519=E$1:E518)))))</f>
        <v> </v>
      </c>
      <c r="L519" s="26"/>
    </row>
    <row r="520" spans="1:12">
      <c r="A520" s="20" t="s">
        <v>157</v>
      </c>
      <c r="E520" s="21">
        <f>IF(D520="?OLD","!!!","")</f>
        <v/>
      </c>
      <c r="F520" s="22" t="str">
        <f>IF(OR(E520="",E520="!!!"),"",IF(NOT(ISNA(VLOOKUP(E520,E$1:E519,1,FALSE()))),"OLD",IF(AND(E520&lt;&gt;"",E520&lt;&gt;"!!!"),"NEW","")))</f>
        <v> </v>
      </c>
      <c r="G520" s="23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4" t="str">
        <f>IF(J520&lt;&gt;1,"",IF(I520="SBJ","CB","?"))</f>
        <v> </v>
      </c>
      <c r="I520" s="25" t="str">
        <f>IF(OR(E520="",E520="!!!",F520="NEW"),"",INDEX(B519:B$2,-1+SUMPRODUCT(MAX(ROW(E519:E$2)*(E520=E519:E$2)))))</f>
        <v> </v>
      </c>
      <c r="J520" s="25" t="str">
        <f>IF(OR(E520="",E520="!!!",F520="NEW"),"",COUNTBLANK(OFFSET(A$1,,,SUMPRODUCT(MAX(ROW(E$2:E520)*(E520=E$2:E520)))))-COUNTBLANK(OFFSET(A$1,,,SUMPRODUCT(MAX(ROW(E$1:E519)*(E2=E$1:E519))))))</f>
        <v> </v>
      </c>
      <c r="K520" s="25" t="str">
        <f>IF(OR(E520="",E520="!!!",F520="NEW"),"",INDEX(J$1:J519,SUMPRODUCT(MAX(ROW(E$1:E519)*(E520=E$1:E519)))))</f>
        <v> </v>
      </c>
      <c r="L520" s="26"/>
    </row>
    <row r="521" spans="1:12">
      <c r="A521" s="20" t="s">
        <v>367</v>
      </c>
      <c r="E521" s="21">
        <f>IF(D521="?OLD","!!!","")</f>
        <v/>
      </c>
      <c r="F521" s="22" t="str">
        <f>IF(OR(E521="",E521="!!!"),"",IF(NOT(ISNA(VLOOKUP(E521,E$1:E520,1,FALSE()))),"OLD",IF(AND(E521&lt;&gt;"",E521&lt;&gt;"!!!"),"NEW","")))</f>
        <v> </v>
      </c>
      <c r="G521" s="23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4" t="str">
        <f>IF(J521&lt;&gt;1,"",IF(I521="SBJ","CB","?"))</f>
        <v> </v>
      </c>
      <c r="I521" s="25" t="str">
        <f>IF(OR(E521="",E521="!!!",F521="NEW"),"",INDEX(B520:B$2,-1+SUMPRODUCT(MAX(ROW(E520:E$2)*(E521=E520:E$2)))))</f>
        <v> </v>
      </c>
      <c r="J521" s="25" t="str">
        <f>IF(OR(E521="",E521="!!!",F521="NEW"),"",COUNTBLANK(OFFSET(A$1,,,SUMPRODUCT(MAX(ROW(E$2:E521)*(E521=E$2:E521)))))-COUNTBLANK(OFFSET(A$1,,,SUMPRODUCT(MAX(ROW(E$1:E520)*(E2=E$1:E520))))))</f>
        <v> </v>
      </c>
      <c r="K521" s="25" t="str">
        <f>IF(OR(E521="",E521="!!!",F521="NEW"),"",INDEX(J$1:J520,SUMPRODUCT(MAX(ROW(E$1:E520)*(E521=E$1:E520)))))</f>
        <v> </v>
      </c>
      <c r="L521" s="26"/>
    </row>
    <row r="522" spans="1:12">
      <c r="A522" s="20" t="s">
        <v>298</v>
      </c>
      <c r="B522" s="27" t="s">
        <v>141</v>
      </c>
      <c r="C522" s="27" t="s">
        <v>176</v>
      </c>
      <c r="D522" s="27" t="s">
        <v>143</v>
      </c>
      <c r="E522" s="21">
        <f>IF(D522="?OLD","!!!","")</f>
        <v/>
      </c>
      <c r="F522" s="22" t="str">
        <f>IF(OR(E522="",E522="!!!"),"",IF(NOT(ISNA(VLOOKUP(E522,E$1:E521,1,FALSE()))),"OLD",IF(AND(E522&lt;&gt;"",E522&lt;&gt;"!!!"),"NEW","")))</f>
        <v> </v>
      </c>
      <c r="G522" s="23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4" t="str">
        <f>IF(J522&lt;&gt;1,"",IF(I522="SBJ","CB","?"))</f>
        <v> </v>
      </c>
      <c r="I522" s="25" t="str">
        <f>IF(OR(E522="",E522="!!!",F522="NEW"),"",INDEX(B521:B$2,-1+SUMPRODUCT(MAX(ROW(E521:E$2)*(E522=E521:E$2)))))</f>
        <v> </v>
      </c>
      <c r="J522" s="25" t="str">
        <f>IF(OR(E522="",E522="!!!",F522="NEW"),"",COUNTBLANK(OFFSET(A$1,,,SUMPRODUCT(MAX(ROW(E$2:E522)*(E522=E$2:E522)))))-COUNTBLANK(OFFSET(A$1,,,SUMPRODUCT(MAX(ROW(E$1:E521)*(E2=E$1:E521))))))</f>
        <v> </v>
      </c>
      <c r="K522" s="25" t="str">
        <f>IF(OR(E522="",E522="!!!",F522="NEW"),"",INDEX(J$1:J521,SUMPRODUCT(MAX(ROW(E$1:E521)*(E522=E$1:E521)))))</f>
        <v> </v>
      </c>
      <c r="L522" s="26"/>
    </row>
    <row r="523" spans="1:12">
      <c r="A523" s="20" t="s">
        <v>368</v>
      </c>
      <c r="E523" s="21">
        <f>IF(D523="?OLD","!!!","")</f>
        <v/>
      </c>
      <c r="F523" s="22" t="str">
        <f>IF(OR(E523="",E523="!!!"),"",IF(NOT(ISNA(VLOOKUP(E523,E$1:E522,1,FALSE()))),"OLD",IF(AND(E523&lt;&gt;"",E523&lt;&gt;"!!!"),"NEW","")))</f>
        <v> </v>
      </c>
      <c r="G523" s="23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4" t="str">
        <f>IF(J523&lt;&gt;1,"",IF(I523="SBJ","CB","?"))</f>
        <v> </v>
      </c>
      <c r="I523" s="25" t="str">
        <f>IF(OR(E523="",E523="!!!",F523="NEW"),"",INDEX(B522:B$2,-1+SUMPRODUCT(MAX(ROW(E522:E$2)*(E523=E522:E$2)))))</f>
        <v> </v>
      </c>
      <c r="J523" s="25" t="str">
        <f>IF(OR(E523="",E523="!!!",F523="NEW"),"",COUNTBLANK(OFFSET(A$1,,,SUMPRODUCT(MAX(ROW(E$2:E523)*(E523=E$2:E523)))))-COUNTBLANK(OFFSET(A$1,,,SUMPRODUCT(MAX(ROW(E$1:E522)*(E2=E$1:E522))))))</f>
        <v> </v>
      </c>
      <c r="K523" s="25" t="str">
        <f>IF(OR(E523="",E523="!!!",F523="NEW"),"",INDEX(J$1:J522,SUMPRODUCT(MAX(ROW(E$1:E522)*(E523=E$1:E522)))))</f>
        <v> </v>
      </c>
      <c r="L523" s="26"/>
    </row>
    <row r="524" spans="1:12">
      <c r="A524" s="20" t="s">
        <v>359</v>
      </c>
      <c r="E524" s="21">
        <f>IF(D524="?OLD","!!!","")</f>
        <v/>
      </c>
      <c r="F524" s="22" t="str">
        <f>IF(OR(E524="",E524="!!!"),"",IF(NOT(ISNA(VLOOKUP(E524,E$1:E523,1,FALSE()))),"OLD",IF(AND(E524&lt;&gt;"",E524&lt;&gt;"!!!"),"NEW","")))</f>
        <v> </v>
      </c>
      <c r="G524" s="23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4" t="str">
        <f>IF(J524&lt;&gt;1,"",IF(I524="SBJ","CB","?"))</f>
        <v> </v>
      </c>
      <c r="I524" s="25" t="str">
        <f>IF(OR(E524="",E524="!!!",F524="NEW"),"",INDEX(B523:B$2,-1+SUMPRODUCT(MAX(ROW(E523:E$2)*(E524=E523:E$2)))))</f>
        <v> </v>
      </c>
      <c r="J524" s="25" t="str">
        <f>IF(OR(E524="",E524="!!!",F524="NEW"),"",COUNTBLANK(OFFSET(A$1,,,SUMPRODUCT(MAX(ROW(E$2:E524)*(E524=E$2:E524)))))-COUNTBLANK(OFFSET(A$1,,,SUMPRODUCT(MAX(ROW(E$1:E523)*(E2=E$1:E523))))))</f>
        <v> </v>
      </c>
      <c r="K524" s="25" t="str">
        <f>IF(OR(E524="",E524="!!!",F524="NEW"),"",INDEX(J$1:J523,SUMPRODUCT(MAX(ROW(E$1:E523)*(E524=E$1:E523)))))</f>
        <v> </v>
      </c>
      <c r="L524" s="26"/>
    </row>
    <row r="525" spans="1:12">
      <c r="A525" s="20" t="s">
        <v>195</v>
      </c>
      <c r="E525" s="21">
        <f>IF(D525="?OLD","!!!","")</f>
        <v/>
      </c>
      <c r="F525" s="22" t="str">
        <f>IF(OR(E525="",E525="!!!"),"",IF(NOT(ISNA(VLOOKUP(E525,E$1:E524,1,FALSE()))),"OLD",IF(AND(E525&lt;&gt;"",E525&lt;&gt;"!!!"),"NEW","")))</f>
        <v> </v>
      </c>
      <c r="G525" s="23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4" t="str">
        <f>IF(J525&lt;&gt;1,"",IF(I525="SBJ","CB","?"))</f>
        <v> </v>
      </c>
      <c r="I525" s="25" t="str">
        <f>IF(OR(E525="",E525="!!!",F525="NEW"),"",INDEX(B524:B$2,-1+SUMPRODUCT(MAX(ROW(E524:E$2)*(E525=E524:E$2)))))</f>
        <v> </v>
      </c>
      <c r="J525" s="25" t="str">
        <f>IF(OR(E525="",E525="!!!",F525="NEW"),"",COUNTBLANK(OFFSET(A$1,,,SUMPRODUCT(MAX(ROW(E$2:E525)*(E525=E$2:E525)))))-COUNTBLANK(OFFSET(A$1,,,SUMPRODUCT(MAX(ROW(E$1:E524)*(E2=E$1:E524))))))</f>
        <v> </v>
      </c>
      <c r="K525" s="25" t="str">
        <f>IF(OR(E525="",E525="!!!",F525="NEW"),"",INDEX(J$1:J524,SUMPRODUCT(MAX(ROW(E$1:E524)*(E525=E$1:E524)))))</f>
        <v> </v>
      </c>
      <c r="L525" s="26"/>
    </row>
    <row r="526" spans="1:12">
      <c r="A526" s="20" t="s">
        <v>298</v>
      </c>
      <c r="B526" s="27" t="s">
        <v>171</v>
      </c>
      <c r="C526" s="27" t="s">
        <v>176</v>
      </c>
      <c r="D526" s="27" t="s">
        <v>143</v>
      </c>
      <c r="E526" s="21">
        <f>IF(D526="?OLD","!!!","")</f>
        <v/>
      </c>
      <c r="F526" s="22" t="str">
        <f>IF(OR(E526="",E526="!!!"),"",IF(NOT(ISNA(VLOOKUP(E526,E$1:E525,1,FALSE()))),"OLD",IF(AND(E526&lt;&gt;"",E526&lt;&gt;"!!!"),"NEW","")))</f>
        <v> </v>
      </c>
      <c r="G526" s="23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4" t="str">
        <f>IF(J526&lt;&gt;1,"",IF(I526="SBJ","CB","?"))</f>
        <v> </v>
      </c>
      <c r="I526" s="25" t="str">
        <f>IF(OR(E526="",E526="!!!",F526="NEW"),"",INDEX(B525:B$2,-1+SUMPRODUCT(MAX(ROW(E525:E$2)*(E526=E525:E$2)))))</f>
        <v> </v>
      </c>
      <c r="J526" s="25" t="str">
        <f>IF(OR(E526="",E526="!!!",F526="NEW"),"",COUNTBLANK(OFFSET(A$1,,,SUMPRODUCT(MAX(ROW(E$2:E526)*(E526=E$2:E526)))))-COUNTBLANK(OFFSET(A$1,,,SUMPRODUCT(MAX(ROW(E$1:E525)*(E2=E$1:E525))))))</f>
        <v> </v>
      </c>
      <c r="K526" s="25" t="str">
        <f>IF(OR(E526="",E526="!!!",F526="NEW"),"",INDEX(J$1:J525,SUMPRODUCT(MAX(ROW(E$1:E525)*(E526=E$1:E525)))))</f>
        <v> </v>
      </c>
      <c r="L526" s="26"/>
    </row>
    <row r="527" spans="1:12">
      <c r="A527" s="20" t="s">
        <v>344</v>
      </c>
      <c r="E527" s="21">
        <f>IF(D527="?OLD","!!!","")</f>
        <v/>
      </c>
      <c r="F527" s="22" t="str">
        <f>IF(OR(E527="",E527="!!!"),"",IF(NOT(ISNA(VLOOKUP(E527,E$1:E526,1,FALSE()))),"OLD",IF(AND(E527&lt;&gt;"",E527&lt;&gt;"!!!"),"NEW","")))</f>
        <v> </v>
      </c>
      <c r="G527" s="23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4" t="str">
        <f>IF(J527&lt;&gt;1,"",IF(I527="SBJ","CB","?"))</f>
        <v> </v>
      </c>
      <c r="I527" s="25" t="str">
        <f>IF(OR(E527="",E527="!!!",F527="NEW"),"",INDEX(B526:B$2,-1+SUMPRODUCT(MAX(ROW(E526:E$2)*(E527=E526:E$2)))))</f>
        <v> </v>
      </c>
      <c r="J527" s="25" t="str">
        <f>IF(OR(E527="",E527="!!!",F527="NEW"),"",COUNTBLANK(OFFSET(A$1,,,SUMPRODUCT(MAX(ROW(E$2:E527)*(E527=E$2:E527)))))-COUNTBLANK(OFFSET(A$1,,,SUMPRODUCT(MAX(ROW(E$1:E526)*(E2=E$1:E526))))))</f>
        <v> </v>
      </c>
      <c r="K527" s="25" t="str">
        <f>IF(OR(E527="",E527="!!!",F527="NEW"),"",INDEX(J$1:J526,SUMPRODUCT(MAX(ROW(E$1:E526)*(E527=E$1:E526)))))</f>
        <v> </v>
      </c>
      <c r="L527" s="26"/>
    </row>
    <row r="528" spans="1:12">
      <c r="A528" s="20" t="s">
        <v>288</v>
      </c>
      <c r="E528" s="21">
        <f>IF(D528="?OLD","!!!","")</f>
        <v/>
      </c>
      <c r="F528" s="22" t="str">
        <f>IF(OR(E528="",E528="!!!"),"",IF(NOT(ISNA(VLOOKUP(E528,E$1:E527,1,FALSE()))),"OLD",IF(AND(E528&lt;&gt;"",E528&lt;&gt;"!!!"),"NEW","")))</f>
        <v> </v>
      </c>
      <c r="G528" s="23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4" t="str">
        <f>IF(J528&lt;&gt;1,"",IF(I528="SBJ","CB","?"))</f>
        <v> </v>
      </c>
      <c r="I528" s="25" t="str">
        <f>IF(OR(E528="",E528="!!!",F528="NEW"),"",INDEX(B527:B$2,-1+SUMPRODUCT(MAX(ROW(E527:E$2)*(E528=E527:E$2)))))</f>
        <v> </v>
      </c>
      <c r="J528" s="25" t="str">
        <f>IF(OR(E528="",E528="!!!",F528="NEW"),"",COUNTBLANK(OFFSET(A$1,,,SUMPRODUCT(MAX(ROW(E$2:E528)*(E528=E$2:E528)))))-COUNTBLANK(OFFSET(A$1,,,SUMPRODUCT(MAX(ROW(E$1:E527)*(E2=E$1:E527))))))</f>
        <v> </v>
      </c>
      <c r="K528" s="25" t="str">
        <f>IF(OR(E528="",E528="!!!",F528="NEW"),"",INDEX(J$1:J527,SUMPRODUCT(MAX(ROW(E$1:E527)*(E528=E$1:E527)))))</f>
        <v> </v>
      </c>
      <c r="L528" s="26"/>
    </row>
    <row r="529" spans="1:12">
      <c r="A529" s="20" t="s">
        <v>365</v>
      </c>
      <c r="B529" s="27" t="s">
        <v>182</v>
      </c>
      <c r="C529" s="27" t="s">
        <v>172</v>
      </c>
      <c r="E529" s="21">
        <f>IF(D529="?OLD","!!!","")</f>
        <v/>
      </c>
      <c r="F529" s="22" t="str">
        <f>IF(OR(E529="",E529="!!!"),"",IF(NOT(ISNA(VLOOKUP(E529,E$1:E528,1,FALSE()))),"OLD",IF(AND(E529&lt;&gt;"",E529&lt;&gt;"!!!"),"NEW","")))</f>
        <v> </v>
      </c>
      <c r="G529" s="23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4" t="str">
        <f>IF(J529&lt;&gt;1,"",IF(I529="SBJ","CB","?"))</f>
        <v> </v>
      </c>
      <c r="I529" s="25" t="str">
        <f>IF(OR(E529="",E529="!!!",F529="NEW"),"",INDEX(B528:B$2,-1+SUMPRODUCT(MAX(ROW(E528:E$2)*(E529=E528:E$2)))))</f>
        <v> </v>
      </c>
      <c r="J529" s="25" t="str">
        <f>IF(OR(E529="",E529="!!!",F529="NEW"),"",COUNTBLANK(OFFSET(A$1,,,SUMPRODUCT(MAX(ROW(E$2:E529)*(E529=E$2:E529)))))-COUNTBLANK(OFFSET(A$1,,,SUMPRODUCT(MAX(ROW(E$1:E528)*(E2=E$1:E528))))))</f>
        <v> </v>
      </c>
      <c r="K529" s="25" t="str">
        <f>IF(OR(E529="",E529="!!!",F529="NEW"),"",INDEX(J$1:J528,SUMPRODUCT(MAX(ROW(E$1:E528)*(E529=E$1:E528)))))</f>
        <v> </v>
      </c>
      <c r="L529" s="26"/>
    </row>
    <row r="530" spans="1:12">
      <c r="A530" s="20" t="s">
        <v>369</v>
      </c>
      <c r="B530" s="27" t="s">
        <v>272</v>
      </c>
      <c r="C530" s="27" t="s">
        <v>172</v>
      </c>
      <c r="E530" s="21">
        <f>IF(D530="?OLD","!!!","")</f>
        <v/>
      </c>
      <c r="F530" s="22" t="str">
        <f>IF(OR(E530="",E530="!!!"),"",IF(NOT(ISNA(VLOOKUP(E530,E$1:E529,1,FALSE()))),"OLD",IF(AND(E530&lt;&gt;"",E530&lt;&gt;"!!!"),"NEW","")))</f>
        <v> </v>
      </c>
      <c r="G530" s="23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4" t="str">
        <f>IF(J530&lt;&gt;1,"",IF(I530="SBJ","CB","?"))</f>
        <v> </v>
      </c>
      <c r="I530" s="25" t="str">
        <f>IF(OR(E530="",E530="!!!",F530="NEW"),"",INDEX(B529:B$2,-1+SUMPRODUCT(MAX(ROW(E529:E$2)*(E530=E529:E$2)))))</f>
        <v> </v>
      </c>
      <c r="J530" s="25" t="str">
        <f>IF(OR(E530="",E530="!!!",F530="NEW"),"",COUNTBLANK(OFFSET(A$1,,,SUMPRODUCT(MAX(ROW(E$2:E530)*(E530=E$2:E530)))))-COUNTBLANK(OFFSET(A$1,,,SUMPRODUCT(MAX(ROW(E$1:E529)*(E2=E$1:E529))))))</f>
        <v> </v>
      </c>
      <c r="K530" s="25" t="str">
        <f>IF(OR(E530="",E530="!!!",F530="NEW"),"",INDEX(J$1:J529,SUMPRODUCT(MAX(ROW(E$1:E529)*(E530=E$1:E529)))))</f>
        <v> </v>
      </c>
      <c r="L530" s="26"/>
    </row>
    <row r="531" spans="1:12">
      <c r="A531" s="20" t="s">
        <v>370</v>
      </c>
      <c r="E531" s="21">
        <f>IF(D531="?OLD","!!!","")</f>
        <v/>
      </c>
      <c r="F531" s="22" t="str">
        <f>IF(OR(E531="",E531="!!!"),"",IF(NOT(ISNA(VLOOKUP(E531,E$1:E530,1,FALSE()))),"OLD",IF(AND(E531&lt;&gt;"",E531&lt;&gt;"!!!"),"NEW","")))</f>
        <v> </v>
      </c>
      <c r="G531" s="23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4" t="str">
        <f>IF(J531&lt;&gt;1,"",IF(I531="SBJ","CB","?"))</f>
        <v> </v>
      </c>
      <c r="I531" s="25" t="str">
        <f>IF(OR(E531="",E531="!!!",F531="NEW"),"",INDEX(B530:B$2,-1+SUMPRODUCT(MAX(ROW(E530:E$2)*(E531=E530:E$2)))))</f>
        <v> </v>
      </c>
      <c r="J531" s="25" t="str">
        <f>IF(OR(E531="",E531="!!!",F531="NEW"),"",COUNTBLANK(OFFSET(A$1,,,SUMPRODUCT(MAX(ROW(E$2:E531)*(E531=E$2:E531)))))-COUNTBLANK(OFFSET(A$1,,,SUMPRODUCT(MAX(ROW(E$1:E530)*(E2=E$1:E530))))))</f>
        <v> </v>
      </c>
      <c r="K531" s="25" t="str">
        <f>IF(OR(E531="",E531="!!!",F531="NEW"),"",INDEX(J$1:J530,SUMPRODUCT(MAX(ROW(E$1:E530)*(E531=E$1:E530)))))</f>
        <v> </v>
      </c>
      <c r="L531" s="26"/>
    </row>
    <row r="532" spans="1:12">
      <c r="A532" s="20" t="s">
        <v>195</v>
      </c>
      <c r="E532" s="21">
        <f>IF(D532="?OLD","!!!","")</f>
        <v/>
      </c>
      <c r="F532" s="22" t="str">
        <f>IF(OR(E532="",E532="!!!"),"",IF(NOT(ISNA(VLOOKUP(E532,E$1:E531,1,FALSE()))),"OLD",IF(AND(E532&lt;&gt;"",E532&lt;&gt;"!!!"),"NEW","")))</f>
        <v> </v>
      </c>
      <c r="G532" s="23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4" t="str">
        <f>IF(J532&lt;&gt;1,"",IF(I532="SBJ","CB","?"))</f>
        <v> </v>
      </c>
      <c r="I532" s="25" t="str">
        <f>IF(OR(E532="",E532="!!!",F532="NEW"),"",INDEX(B531:B$2,-1+SUMPRODUCT(MAX(ROW(E531:E$2)*(E532=E531:E$2)))))</f>
        <v> </v>
      </c>
      <c r="J532" s="25" t="str">
        <f>IF(OR(E532="",E532="!!!",F532="NEW"),"",COUNTBLANK(OFFSET(A$1,,,SUMPRODUCT(MAX(ROW(E$2:E532)*(E532=E$2:E532)))))-COUNTBLANK(OFFSET(A$1,,,SUMPRODUCT(MAX(ROW(E$1:E531)*(E2=E$1:E531))))))</f>
        <v> </v>
      </c>
      <c r="K532" s="25" t="str">
        <f>IF(OR(E532="",E532="!!!",F532="NEW"),"",INDEX(J$1:J531,SUMPRODUCT(MAX(ROW(E$1:E531)*(E532=E$1:E531)))))</f>
        <v> </v>
      </c>
      <c r="L532" s="26"/>
    </row>
    <row r="533" spans="1:12">
      <c r="A533" s="20" t="s">
        <v>164</v>
      </c>
      <c r="E533" s="21">
        <f>IF(D533="?OLD","!!!","")</f>
        <v/>
      </c>
      <c r="F533" s="22" t="str">
        <f>IF(OR(E533="",E533="!!!"),"",IF(NOT(ISNA(VLOOKUP(E533,E$1:E532,1,FALSE()))),"OLD",IF(AND(E533&lt;&gt;"",E533&lt;&gt;"!!!"),"NEW","")))</f>
        <v> </v>
      </c>
      <c r="G533" s="23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4" t="str">
        <f>IF(J533&lt;&gt;1,"",IF(I533="SBJ","CB","?"))</f>
        <v> </v>
      </c>
      <c r="I533" s="25" t="str">
        <f>IF(OR(E533="",E533="!!!",F533="NEW"),"",INDEX(B532:B$2,-1+SUMPRODUCT(MAX(ROW(E532:E$2)*(E533=E532:E$2)))))</f>
        <v> </v>
      </c>
      <c r="J533" s="25" t="str">
        <f>IF(OR(E533="",E533="!!!",F533="NEW"),"",COUNTBLANK(OFFSET(A$1,,,SUMPRODUCT(MAX(ROW(E$2:E533)*(E533=E$2:E533)))))-COUNTBLANK(OFFSET(A$1,,,SUMPRODUCT(MAX(ROW(E$1:E532)*(E2=E$1:E532))))))</f>
        <v> </v>
      </c>
      <c r="K533" s="25" t="str">
        <f>IF(OR(E533="",E533="!!!",F533="NEW"),"",INDEX(J$1:J532,SUMPRODUCT(MAX(ROW(E$1:E532)*(E533=E$1:E532)))))</f>
        <v> </v>
      </c>
      <c r="L533" s="26"/>
    </row>
    <row r="534" spans="1:12">
      <c r="A534" s="20" t="s">
        <v>346</v>
      </c>
      <c r="E534" s="21">
        <f>IF(D534="?OLD","!!!","")</f>
        <v/>
      </c>
      <c r="F534" s="22" t="str">
        <f>IF(OR(E534="",E534="!!!"),"",IF(NOT(ISNA(VLOOKUP(E534,E$1:E533,1,FALSE()))),"OLD",IF(AND(E534&lt;&gt;"",E534&lt;&gt;"!!!"),"NEW","")))</f>
        <v> </v>
      </c>
      <c r="G534" s="23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4" t="str">
        <f>IF(J534&lt;&gt;1,"",IF(I534="SBJ","CB","?"))</f>
        <v> </v>
      </c>
      <c r="I534" s="25" t="str">
        <f>IF(OR(E534="",E534="!!!",F534="NEW"),"",INDEX(B533:B$2,-1+SUMPRODUCT(MAX(ROW(E533:E$2)*(E534=E533:E$2)))))</f>
        <v> </v>
      </c>
      <c r="J534" s="25" t="str">
        <f>IF(OR(E534="",E534="!!!",F534="NEW"),"",COUNTBLANK(OFFSET(A$1,,,SUMPRODUCT(MAX(ROW(E$2:E534)*(E534=E$2:E534)))))-COUNTBLANK(OFFSET(A$1,,,SUMPRODUCT(MAX(ROW(E$1:E533)*(E2=E$1:E533))))))</f>
        <v> </v>
      </c>
      <c r="K534" s="25" t="str">
        <f>IF(OR(E534="",E534="!!!",F534="NEW"),"",INDEX(J$1:J533,SUMPRODUCT(MAX(ROW(E$1:E533)*(E534=E$1:E533)))))</f>
        <v> </v>
      </c>
      <c r="L534" s="26"/>
    </row>
    <row r="535" spans="1:12">
      <c r="A535" s="20" t="s">
        <v>371</v>
      </c>
      <c r="B535" s="27" t="s">
        <v>372</v>
      </c>
      <c r="C535" s="27" t="s">
        <v>172</v>
      </c>
      <c r="E535" s="21">
        <f>IF(D535="?OLD","!!!","")</f>
        <v/>
      </c>
      <c r="F535" s="22" t="str">
        <f>IF(OR(E535="",E535="!!!"),"",IF(NOT(ISNA(VLOOKUP(E535,E$1:E534,1,FALSE()))),"OLD",IF(AND(E535&lt;&gt;"",E535&lt;&gt;"!!!"),"NEW","")))</f>
        <v> </v>
      </c>
      <c r="G535" s="23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4" t="str">
        <f>IF(J535&lt;&gt;1,"",IF(I535="SBJ","CB","?"))</f>
        <v> </v>
      </c>
      <c r="I535" s="25" t="str">
        <f>IF(OR(E535="",E535="!!!",F535="NEW"),"",INDEX(B534:B$2,-1+SUMPRODUCT(MAX(ROW(E534:E$2)*(E535=E534:E$2)))))</f>
        <v> </v>
      </c>
      <c r="J535" s="25" t="str">
        <f>IF(OR(E535="",E535="!!!",F535="NEW"),"",COUNTBLANK(OFFSET(A$1,,,SUMPRODUCT(MAX(ROW(E$2:E535)*(E535=E$2:E535)))))-COUNTBLANK(OFFSET(A$1,,,SUMPRODUCT(MAX(ROW(E$1:E534)*(E2=E$1:E534))))))</f>
        <v> </v>
      </c>
      <c r="K535" s="25" t="str">
        <f>IF(OR(E535="",E535="!!!",F535="NEW"),"",INDEX(J$1:J534,SUMPRODUCT(MAX(ROW(E$1:E534)*(E535=E$1:E534)))))</f>
        <v> </v>
      </c>
      <c r="L535" s="26"/>
    </row>
    <row r="536" spans="1:12">
      <c r="A536" s="20" t="s">
        <v>356</v>
      </c>
      <c r="E536" s="21">
        <f>IF(D536="?OLD","!!!","")</f>
        <v/>
      </c>
      <c r="F536" s="22" t="str">
        <f>IF(OR(E536="",E536="!!!"),"",IF(NOT(ISNA(VLOOKUP(E536,E$1:E535,1,FALSE()))),"OLD",IF(AND(E536&lt;&gt;"",E536&lt;&gt;"!!!"),"NEW","")))</f>
        <v> </v>
      </c>
      <c r="G536" s="23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4" t="str">
        <f>IF(J536&lt;&gt;1,"",IF(I536="SBJ","CB","?"))</f>
        <v> </v>
      </c>
      <c r="I536" s="25" t="str">
        <f>IF(OR(E536="",E536="!!!",F536="NEW"),"",INDEX(B535:B$2,-1+SUMPRODUCT(MAX(ROW(E535:E$2)*(E536=E535:E$2)))))</f>
        <v> </v>
      </c>
      <c r="J536" s="25" t="str">
        <f>IF(OR(E536="",E536="!!!",F536="NEW"),"",COUNTBLANK(OFFSET(A$1,,,SUMPRODUCT(MAX(ROW(E$2:E536)*(E536=E$2:E536)))))-COUNTBLANK(OFFSET(A$1,,,SUMPRODUCT(MAX(ROW(E$1:E535)*(E2=E$1:E535))))))</f>
        <v> </v>
      </c>
      <c r="K536" s="25" t="str">
        <f>IF(OR(E536="",E536="!!!",F536="NEW"),"",INDEX(J$1:J535,SUMPRODUCT(MAX(ROW(E$1:E535)*(E536=E$1:E535)))))</f>
        <v> </v>
      </c>
      <c r="L536" s="26"/>
    </row>
    <row r="537" spans="1:12">
      <c r="A537" s="20" t="s">
        <v>373</v>
      </c>
      <c r="E537" s="21">
        <f>IF(D537="?OLD","!!!","")</f>
        <v/>
      </c>
      <c r="F537" s="22" t="str">
        <f>IF(OR(E537="",E537="!!!"),"",IF(NOT(ISNA(VLOOKUP(E537,E$1:E536,1,FALSE()))),"OLD",IF(AND(E537&lt;&gt;"",E537&lt;&gt;"!!!"),"NEW","")))</f>
        <v> </v>
      </c>
      <c r="G537" s="23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4" t="str">
        <f>IF(J537&lt;&gt;1,"",IF(I537="SBJ","CB","?"))</f>
        <v> </v>
      </c>
      <c r="I537" s="25" t="str">
        <f>IF(OR(E537="",E537="!!!",F537="NEW"),"",INDEX(B536:B$2,-1+SUMPRODUCT(MAX(ROW(E536:E$2)*(E537=E536:E$2)))))</f>
        <v> </v>
      </c>
      <c r="J537" s="25" t="str">
        <f>IF(OR(E537="",E537="!!!",F537="NEW"),"",COUNTBLANK(OFFSET(A$1,,,SUMPRODUCT(MAX(ROW(E$2:E537)*(E537=E$2:E537)))))-COUNTBLANK(OFFSET(A$1,,,SUMPRODUCT(MAX(ROW(E$1:E536)*(E2=E$1:E536))))))</f>
        <v> </v>
      </c>
      <c r="K537" s="25" t="str">
        <f>IF(OR(E537="",E537="!!!",F537="NEW"),"",INDEX(J$1:J536,SUMPRODUCT(MAX(ROW(E$1:E536)*(E537=E$1:E536)))))</f>
        <v> </v>
      </c>
      <c r="L537" s="26"/>
    </row>
    <row r="538" spans="1:12">
      <c r="A538" s="20" t="s">
        <v>342</v>
      </c>
      <c r="E538" s="21">
        <f>IF(D538="?OLD","!!!","")</f>
        <v/>
      </c>
      <c r="F538" s="22" t="str">
        <f>IF(OR(E538="",E538="!!!"),"",IF(NOT(ISNA(VLOOKUP(E538,E$1:E537,1,FALSE()))),"OLD",IF(AND(E538&lt;&gt;"",E538&lt;&gt;"!!!"),"NEW","")))</f>
        <v> </v>
      </c>
      <c r="G538" s="23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4" t="str">
        <f>IF(J538&lt;&gt;1,"",IF(I538="SBJ","CB","?"))</f>
        <v> </v>
      </c>
      <c r="I538" s="25" t="str">
        <f>IF(OR(E538="",E538="!!!",F538="NEW"),"",INDEX(B537:B$2,-1+SUMPRODUCT(MAX(ROW(E537:E$2)*(E538=E537:E$2)))))</f>
        <v> </v>
      </c>
      <c r="J538" s="25" t="str">
        <f>IF(OR(E538="",E538="!!!",F538="NEW"),"",COUNTBLANK(OFFSET(A$1,,,SUMPRODUCT(MAX(ROW(E$2:E538)*(E538=E$2:E538)))))-COUNTBLANK(OFFSET(A$1,,,SUMPRODUCT(MAX(ROW(E$1:E537)*(E2=E$1:E537))))))</f>
        <v> </v>
      </c>
      <c r="K538" s="25" t="str">
        <f>IF(OR(E538="",E538="!!!",F538="NEW"),"",INDEX(J$1:J537,SUMPRODUCT(MAX(ROW(E$1:E537)*(E538=E$1:E537)))))</f>
        <v> </v>
      </c>
      <c r="L538" s="26"/>
    </row>
    <row r="539" spans="1:12">
      <c r="A539" s="20" t="s">
        <v>374</v>
      </c>
      <c r="B539" s="27" t="s">
        <v>148</v>
      </c>
      <c r="C539" s="27" t="s">
        <v>229</v>
      </c>
      <c r="E539" s="21">
        <f>IF(D539="?OLD","!!!","")</f>
        <v/>
      </c>
      <c r="F539" s="22" t="str">
        <f>IF(OR(E539="",E539="!!!"),"",IF(NOT(ISNA(VLOOKUP(E539,E$1:E538,1,FALSE()))),"OLD",IF(AND(E539&lt;&gt;"",E539&lt;&gt;"!!!"),"NEW","")))</f>
        <v> </v>
      </c>
      <c r="G539" s="23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4" t="str">
        <f>IF(J539&lt;&gt;1,"",IF(I539="SBJ","CB","?"))</f>
        <v> </v>
      </c>
      <c r="I539" s="25" t="str">
        <f>IF(OR(E539="",E539="!!!",F539="NEW"),"",INDEX(B538:B$2,-1+SUMPRODUCT(MAX(ROW(E538:E$2)*(E539=E538:E$2)))))</f>
        <v> </v>
      </c>
      <c r="J539" s="25" t="str">
        <f>IF(OR(E539="",E539="!!!",F539="NEW"),"",COUNTBLANK(OFFSET(A$1,,,SUMPRODUCT(MAX(ROW(E$2:E539)*(E539=E$2:E539)))))-COUNTBLANK(OFFSET(A$1,,,SUMPRODUCT(MAX(ROW(E$1:E538)*(E2=E$1:E538))))))</f>
        <v> </v>
      </c>
      <c r="K539" s="25" t="str">
        <f>IF(OR(E539="",E539="!!!",F539="NEW"),"",INDEX(J$1:J538,SUMPRODUCT(MAX(ROW(E$1:E538)*(E539=E$1:E538)))))</f>
        <v> </v>
      </c>
      <c r="L539" s="26"/>
    </row>
    <row r="540" spans="1:12">
      <c r="A540" s="20" t="s">
        <v>231</v>
      </c>
      <c r="E540" s="21">
        <f>IF(D540="?OLD","!!!","")</f>
        <v/>
      </c>
      <c r="F540" s="22" t="str">
        <f>IF(OR(E540="",E540="!!!"),"",IF(NOT(ISNA(VLOOKUP(E540,E$1:E539,1,FALSE()))),"OLD",IF(AND(E540&lt;&gt;"",E540&lt;&gt;"!!!"),"NEW","")))</f>
        <v> </v>
      </c>
      <c r="G540" s="23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4" t="str">
        <f>IF(J540&lt;&gt;1,"",IF(I540="SBJ","CB","?"))</f>
        <v> </v>
      </c>
      <c r="I540" s="25" t="str">
        <f>IF(OR(E540="",E540="!!!",F540="NEW"),"",INDEX(B539:B$2,-1+SUMPRODUCT(MAX(ROW(E539:E$2)*(E540=E539:E$2)))))</f>
        <v> </v>
      </c>
      <c r="J540" s="25" t="str">
        <f>IF(OR(E540="",E540="!!!",F540="NEW"),"",COUNTBLANK(OFFSET(A$1,,,SUMPRODUCT(MAX(ROW(E$2:E540)*(E540=E$2:E540)))))-COUNTBLANK(OFFSET(A$1,,,SUMPRODUCT(MAX(ROW(E$1:E539)*(E2=E$1:E539))))))</f>
        <v> </v>
      </c>
      <c r="K540" s="25" t="str">
        <f>IF(OR(E540="",E540="!!!",F540="NEW"),"",INDEX(J$1:J539,SUMPRODUCT(MAX(ROW(E$1:E539)*(E540=E$1:E539)))))</f>
        <v> </v>
      </c>
      <c r="L540" s="26"/>
    </row>
    <row r="541" spans="1:12">
      <c r="A541" s="20" t="s">
        <v>157</v>
      </c>
      <c r="E541" s="21">
        <f>IF(D541="?OLD","!!!","")</f>
        <v/>
      </c>
      <c r="F541" s="22" t="str">
        <f>IF(OR(E541="",E541="!!!"),"",IF(NOT(ISNA(VLOOKUP(E541,E$1:E540,1,FALSE()))),"OLD",IF(AND(E541&lt;&gt;"",E541&lt;&gt;"!!!"),"NEW","")))</f>
        <v> </v>
      </c>
      <c r="G541" s="23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4" t="str">
        <f>IF(J541&lt;&gt;1,"",IF(I541="SBJ","CB","?"))</f>
        <v> </v>
      </c>
      <c r="I541" s="25" t="str">
        <f>IF(OR(E541="",E541="!!!",F541="NEW"),"",INDEX(B540:B$2,-1+SUMPRODUCT(MAX(ROW(E540:E$2)*(E541=E540:E$2)))))</f>
        <v> </v>
      </c>
      <c r="J541" s="25" t="str">
        <f>IF(OR(E541="",E541="!!!",F541="NEW"),"",COUNTBLANK(OFFSET(A$1,,,SUMPRODUCT(MAX(ROW(E$2:E541)*(E541=E$2:E541)))))-COUNTBLANK(OFFSET(A$1,,,SUMPRODUCT(MAX(ROW(E$1:E540)*(E2=E$1:E540))))))</f>
        <v> </v>
      </c>
      <c r="K541" s="25" t="str">
        <f>IF(OR(E541="",E541="!!!",F541="NEW"),"",INDEX(J$1:J540,SUMPRODUCT(MAX(ROW(E$1:E540)*(E541=E$1:E540)))))</f>
        <v> </v>
      </c>
      <c r="L541" s="26"/>
    </row>
    <row r="542" spans="1:12">
      <c r="A542" s="20" t="s">
        <v>164</v>
      </c>
      <c r="E542" s="21">
        <f>IF(D542="?OLD","!!!","")</f>
        <v/>
      </c>
      <c r="F542" s="22" t="str">
        <f>IF(OR(E542="",E542="!!!"),"",IF(NOT(ISNA(VLOOKUP(E542,E$1:E541,1,FALSE()))),"OLD",IF(AND(E542&lt;&gt;"",E542&lt;&gt;"!!!"),"NEW","")))</f>
        <v> </v>
      </c>
      <c r="G542" s="23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4" t="str">
        <f>IF(J542&lt;&gt;1,"",IF(I542="SBJ","CB","?"))</f>
        <v> </v>
      </c>
      <c r="I542" s="25" t="str">
        <f>IF(OR(E542="",E542="!!!",F542="NEW"),"",INDEX(B541:B$2,-1+SUMPRODUCT(MAX(ROW(E541:E$2)*(E542=E541:E$2)))))</f>
        <v> </v>
      </c>
      <c r="J542" s="25" t="str">
        <f>IF(OR(E542="",E542="!!!",F542="NEW"),"",COUNTBLANK(OFFSET(A$1,,,SUMPRODUCT(MAX(ROW(E$2:E542)*(E542=E$2:E542)))))-COUNTBLANK(OFFSET(A$1,,,SUMPRODUCT(MAX(ROW(E$1:E541)*(E2=E$1:E541))))))</f>
        <v> </v>
      </c>
      <c r="K542" s="25" t="str">
        <f>IF(OR(E542="",E542="!!!",F542="NEW"),"",INDEX(J$1:J541,SUMPRODUCT(MAX(ROW(E$1:E541)*(E542=E$1:E541)))))</f>
        <v> </v>
      </c>
      <c r="L542" s="26"/>
    </row>
    <row r="543" spans="1:12">
      <c r="A543" s="20" t="s">
        <v>242</v>
      </c>
      <c r="B543" s="27" t="s">
        <v>234</v>
      </c>
      <c r="C543" s="27" t="s">
        <v>176</v>
      </c>
      <c r="D543" s="27" t="s">
        <v>143</v>
      </c>
      <c r="E543" s="21">
        <f>IF(D543="?OLD","!!!","")</f>
        <v/>
      </c>
      <c r="F543" s="22" t="str">
        <f>IF(OR(E543="",E543="!!!"),"",IF(NOT(ISNA(VLOOKUP(E543,E$1:E542,1,FALSE()))),"OLD",IF(AND(E543&lt;&gt;"",E543&lt;&gt;"!!!"),"NEW","")))</f>
        <v> </v>
      </c>
      <c r="G543" s="23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4" t="str">
        <f>IF(J543&lt;&gt;1,"",IF(I543="SBJ","CB","?"))</f>
        <v> </v>
      </c>
      <c r="I543" s="25" t="str">
        <f>IF(OR(E543="",E543="!!!",F543="NEW"),"",INDEX(B542:B$2,-1+SUMPRODUCT(MAX(ROW(E542:E$2)*(E543=E542:E$2)))))</f>
        <v> </v>
      </c>
      <c r="J543" s="25" t="str">
        <f>IF(OR(E543="",E543="!!!",F543="NEW"),"",COUNTBLANK(OFFSET(A$1,,,SUMPRODUCT(MAX(ROW(E$2:E543)*(E543=E$2:E543)))))-COUNTBLANK(OFFSET(A$1,,,SUMPRODUCT(MAX(ROW(E$1:E542)*(E2=E$1:E542))))))</f>
        <v> </v>
      </c>
      <c r="K543" s="25" t="str">
        <f>IF(OR(E543="",E543="!!!",F543="NEW"),"",INDEX(J$1:J542,SUMPRODUCT(MAX(ROW(E$1:E542)*(E543=E$1:E542)))))</f>
        <v> </v>
      </c>
      <c r="L543" s="26"/>
    </row>
    <row r="544" spans="1:12">
      <c r="A544" s="20" t="s">
        <v>356</v>
      </c>
      <c r="E544" s="21">
        <f>IF(D544="?OLD","!!!","")</f>
        <v/>
      </c>
      <c r="F544" s="22" t="str">
        <f>IF(OR(E544="",E544="!!!"),"",IF(NOT(ISNA(VLOOKUP(E544,E$1:E543,1,FALSE()))),"OLD",IF(AND(E544&lt;&gt;"",E544&lt;&gt;"!!!"),"NEW","")))</f>
        <v> </v>
      </c>
      <c r="G544" s="23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4" t="str">
        <f>IF(J544&lt;&gt;1,"",IF(I544="SBJ","CB","?"))</f>
        <v> </v>
      </c>
      <c r="I544" s="25" t="str">
        <f>IF(OR(E544="",E544="!!!",F544="NEW"),"",INDEX(B543:B$2,-1+SUMPRODUCT(MAX(ROW(E543:E$2)*(E544=E543:E$2)))))</f>
        <v> </v>
      </c>
      <c r="J544" s="25" t="str">
        <f>IF(OR(E544="",E544="!!!",F544="NEW"),"",COUNTBLANK(OFFSET(A$1,,,SUMPRODUCT(MAX(ROW(E$2:E544)*(E544=E$2:E544)))))-COUNTBLANK(OFFSET(A$1,,,SUMPRODUCT(MAX(ROW(E$1:E543)*(E2=E$1:E543))))))</f>
        <v> </v>
      </c>
      <c r="K544" s="25" t="str">
        <f>IF(OR(E544="",E544="!!!",F544="NEW"),"",INDEX(J$1:J543,SUMPRODUCT(MAX(ROW(E$1:E543)*(E544=E$1:E543)))))</f>
        <v> </v>
      </c>
      <c r="L544" s="26"/>
    </row>
    <row r="545" spans="1:12">
      <c r="A545" s="20" t="s">
        <v>346</v>
      </c>
      <c r="B545" s="27" t="s">
        <v>375</v>
      </c>
      <c r="C545" s="27" t="s">
        <v>149</v>
      </c>
      <c r="E545" s="21">
        <f>IF(D545="?OLD","!!!","")</f>
        <v/>
      </c>
      <c r="F545" s="22" t="str">
        <f>IF(OR(E545="",E545="!!!"),"",IF(NOT(ISNA(VLOOKUP(E545,E$1:E544,1,FALSE()))),"OLD",IF(AND(E545&lt;&gt;"",E545&lt;&gt;"!!!"),"NEW","")))</f>
        <v> </v>
      </c>
      <c r="G545" s="23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4" t="str">
        <f>IF(J545&lt;&gt;1,"",IF(I545="SBJ","CB","?"))</f>
        <v> </v>
      </c>
      <c r="I545" s="25" t="str">
        <f>IF(OR(E545="",E545="!!!",F545="NEW"),"",INDEX(B544:B$2,-1+SUMPRODUCT(MAX(ROW(E544:E$2)*(E545=E544:E$2)))))</f>
        <v> </v>
      </c>
      <c r="J545" s="25" t="str">
        <f>IF(OR(E545="",E545="!!!",F545="NEW"),"",COUNTBLANK(OFFSET(A$1,,,SUMPRODUCT(MAX(ROW(E$2:E545)*(E545=E$2:E545)))))-COUNTBLANK(OFFSET(A$1,,,SUMPRODUCT(MAX(ROW(E$1:E544)*(E2=E$1:E544))))))</f>
        <v> </v>
      </c>
      <c r="K545" s="25" t="str">
        <f>IF(OR(E545="",E545="!!!",F545="NEW"),"",INDEX(J$1:J544,SUMPRODUCT(MAX(ROW(E$1:E544)*(E545=E$1:E544)))))</f>
        <v> </v>
      </c>
      <c r="L545" s="26"/>
    </row>
    <row r="546" spans="1:12">
      <c r="A546" s="20" t="s">
        <v>376</v>
      </c>
      <c r="B546" s="27" t="s">
        <v>377</v>
      </c>
      <c r="C546" s="27" t="s">
        <v>172</v>
      </c>
      <c r="E546" s="21">
        <f>IF(D546="?OLD","!!!","")</f>
        <v/>
      </c>
      <c r="F546" s="22" t="str">
        <f>IF(OR(E546="",E546="!!!"),"",IF(NOT(ISNA(VLOOKUP(E546,E$1:E545,1,FALSE()))),"OLD",IF(AND(E546&lt;&gt;"",E546&lt;&gt;"!!!"),"NEW","")))</f>
        <v> </v>
      </c>
      <c r="G546" s="23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4" t="str">
        <f>IF(J546&lt;&gt;1,"",IF(I546="SBJ","CB","?"))</f>
        <v> </v>
      </c>
      <c r="I546" s="25" t="str">
        <f>IF(OR(E546="",E546="!!!",F546="NEW"),"",INDEX(B545:B$2,-1+SUMPRODUCT(MAX(ROW(E545:E$2)*(E546=E545:E$2)))))</f>
        <v> </v>
      </c>
      <c r="J546" s="25" t="str">
        <f>IF(OR(E546="",E546="!!!",F546="NEW"),"",COUNTBLANK(OFFSET(A$1,,,SUMPRODUCT(MAX(ROW(E$2:E546)*(E546=E$2:E546)))))-COUNTBLANK(OFFSET(A$1,,,SUMPRODUCT(MAX(ROW(E$1:E545)*(E2=E$1:E545))))))</f>
        <v> </v>
      </c>
      <c r="K546" s="25" t="str">
        <f>IF(OR(E546="",E546="!!!",F546="NEW"),"",INDEX(J$1:J545,SUMPRODUCT(MAX(ROW(E$1:E545)*(E546=E$1:E545)))))</f>
        <v> </v>
      </c>
      <c r="L546" s="26"/>
    </row>
    <row r="547" spans="1:12">
      <c r="A547" s="20" t="s">
        <v>231</v>
      </c>
      <c r="E547" s="21">
        <f>IF(D547="?OLD","!!!","")</f>
        <v/>
      </c>
      <c r="F547" s="22" t="str">
        <f>IF(OR(E547="",E547="!!!"),"",IF(NOT(ISNA(VLOOKUP(E547,E$1:E546,1,FALSE()))),"OLD",IF(AND(E547&lt;&gt;"",E547&lt;&gt;"!!!"),"NEW","")))</f>
        <v> </v>
      </c>
      <c r="G547" s="23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4" t="str">
        <f>IF(J547&lt;&gt;1,"",IF(I547="SBJ","CB","?"))</f>
        <v> </v>
      </c>
      <c r="I547" s="25" t="str">
        <f>IF(OR(E547="",E547="!!!",F547="NEW"),"",INDEX(B546:B$2,-1+SUMPRODUCT(MAX(ROW(E546:E$2)*(E547=E546:E$2)))))</f>
        <v> </v>
      </c>
      <c r="J547" s="25" t="str">
        <f>IF(OR(E547="",E547="!!!",F547="NEW"),"",COUNTBLANK(OFFSET(A$1,,,SUMPRODUCT(MAX(ROW(E$2:E547)*(E547=E$2:E547)))))-COUNTBLANK(OFFSET(A$1,,,SUMPRODUCT(MAX(ROW(E$1:E546)*(E2=E$1:E546))))))</f>
        <v> </v>
      </c>
      <c r="K547" s="25" t="str">
        <f>IF(OR(E547="",E547="!!!",F547="NEW"),"",INDEX(J$1:J546,SUMPRODUCT(MAX(ROW(E$1:E546)*(E547=E$1:E546)))))</f>
        <v> </v>
      </c>
      <c r="L547" s="26"/>
    </row>
    <row r="548" spans="1:12">
      <c r="A548" s="20" t="s">
        <v>211</v>
      </c>
      <c r="E548" s="21">
        <f>IF(D548="?OLD","!!!","")</f>
        <v/>
      </c>
      <c r="F548" s="22" t="str">
        <f>IF(OR(E548="",E548="!!!"),"",IF(NOT(ISNA(VLOOKUP(E548,E$1:E547,1,FALSE()))),"OLD",IF(AND(E548&lt;&gt;"",E548&lt;&gt;"!!!"),"NEW","")))</f>
        <v> </v>
      </c>
      <c r="G548" s="23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4" t="str">
        <f>IF(J548&lt;&gt;1,"",IF(I548="SBJ","CB","?"))</f>
        <v> </v>
      </c>
      <c r="I548" s="25" t="str">
        <f>IF(OR(E548="",E548="!!!",F548="NEW"),"",INDEX(B547:B$2,-1+SUMPRODUCT(MAX(ROW(E547:E$2)*(E548=E547:E$2)))))</f>
        <v> </v>
      </c>
      <c r="J548" s="25" t="str">
        <f>IF(OR(E548="",E548="!!!",F548="NEW"),"",COUNTBLANK(OFFSET(A$1,,,SUMPRODUCT(MAX(ROW(E$2:E548)*(E548=E$2:E548)))))-COUNTBLANK(OFFSET(A$1,,,SUMPRODUCT(MAX(ROW(E$1:E547)*(E2=E$1:E547))))))</f>
        <v> </v>
      </c>
      <c r="K548" s="25" t="str">
        <f>IF(OR(E548="",E548="!!!",F548="NEW"),"",INDEX(J$1:J547,SUMPRODUCT(MAX(ROW(E$1:E547)*(E548=E$1:E547)))))</f>
        <v> </v>
      </c>
      <c r="L548" s="26"/>
    </row>
    <row r="549" spans="1:12">
      <c r="A549" s="20"/>
    </row>
    <row r="550" spans="1:12">
      <c r="A550" s="20" t="s">
        <v>378</v>
      </c>
    </row>
    <row r="551" spans="1:12">
      <c r="A551" s="20" t="s">
        <v>138</v>
      </c>
      <c r="E551" s="21">
        <f>IF(D551="?OLD","!!!","")</f>
        <v/>
      </c>
      <c r="F551" s="22" t="str">
        <f>IF(OR(E551="",E551="!!!"),"",IF(NOT(ISNA(VLOOKUP(E551,E$1:E550,1,FALSE()))),"OLD",IF(AND(E551&lt;&gt;"",E551&lt;&gt;"!!!"),"NEW","")))</f>
        <v> </v>
      </c>
      <c r="G551" s="23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4" t="str">
        <f>IF(J551&lt;&gt;1,"",IF(I551="SBJ","CB","?"))</f>
        <v> </v>
      </c>
      <c r="I551" s="25" t="str">
        <f>IF(OR(E551="",E551="!!!",F551="NEW"),"",INDEX(B550:B$2,-1+SUMPRODUCT(MAX(ROW(E550:E$2)*(E551=E550:E$2)))))</f>
        <v> </v>
      </c>
      <c r="J551" s="25" t="str">
        <f>IF(OR(E551="",E551="!!!",F551="NEW"),"",COUNTBLANK(OFFSET(A$1,,,SUMPRODUCT(MAX(ROW(E$2:E551)*(E551=E$2:E551)))))-COUNTBLANK(OFFSET(A$1,,,SUMPRODUCT(MAX(ROW(E$1:E550)*(E2=E$1:E550))))))</f>
        <v> </v>
      </c>
      <c r="K551" s="25" t="str">
        <f>IF(OR(E551="",E551="!!!",F551="NEW"),"",INDEX(J$1:J550,SUMPRODUCT(MAX(ROW(E$1:E550)*(E551=E$1:E550)))))</f>
        <v> </v>
      </c>
      <c r="L551" s="26"/>
    </row>
    <row r="552" spans="1:12">
      <c r="A552" s="20" t="s">
        <v>166</v>
      </c>
      <c r="E552" s="21">
        <f>IF(D552="?OLD","!!!","")</f>
        <v/>
      </c>
      <c r="F552" s="22" t="str">
        <f>IF(OR(E552="",E552="!!!"),"",IF(NOT(ISNA(VLOOKUP(E552,E$1:E551,1,FALSE()))),"OLD",IF(AND(E552&lt;&gt;"",E552&lt;&gt;"!!!"),"NEW","")))</f>
        <v> </v>
      </c>
      <c r="G552" s="23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4" t="str">
        <f>IF(J552&lt;&gt;1,"",IF(I552="SBJ","CB","?"))</f>
        <v> </v>
      </c>
      <c r="I552" s="25" t="str">
        <f>IF(OR(E552="",E552="!!!",F552="NEW"),"",INDEX(B551:B$2,-1+SUMPRODUCT(MAX(ROW(E551:E$2)*(E552=E551:E$2)))))</f>
        <v> </v>
      </c>
      <c r="J552" s="25" t="str">
        <f>IF(OR(E552="",E552="!!!",F552="NEW"),"",COUNTBLANK(OFFSET(A$1,,,SUMPRODUCT(MAX(ROW(E$2:E552)*(E552=E$2:E552)))))-COUNTBLANK(OFFSET(A$1,,,SUMPRODUCT(MAX(ROW(E$1:E551)*(E2=E$1:E551))))))</f>
        <v> </v>
      </c>
      <c r="K552" s="25" t="str">
        <f>IF(OR(E552="",E552="!!!",F552="NEW"),"",INDEX(J$1:J551,SUMPRODUCT(MAX(ROW(E$1:E551)*(E552=E$1:E551)))))</f>
        <v> </v>
      </c>
      <c r="L552" s="26"/>
    </row>
    <row r="553" spans="1:12">
      <c r="A553" s="20" t="s">
        <v>286</v>
      </c>
      <c r="B553" s="27" t="s">
        <v>191</v>
      </c>
      <c r="C553" s="27" t="s">
        <v>161</v>
      </c>
      <c r="D553" s="27" t="s">
        <v>143</v>
      </c>
      <c r="E553" s="21">
        <f>IF(D553="?OLD","!!!","")</f>
        <v/>
      </c>
      <c r="F553" s="22" t="str">
        <f>IF(OR(E553="",E553="!!!"),"",IF(NOT(ISNA(VLOOKUP(E553,E$1:E552,1,FALSE()))),"OLD",IF(AND(E553&lt;&gt;"",E553&lt;&gt;"!!!"),"NEW","")))</f>
        <v> </v>
      </c>
      <c r="G553" s="23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4" t="str">
        <f>IF(J553&lt;&gt;1,"",IF(I553="SBJ","CB","?"))</f>
        <v> </v>
      </c>
      <c r="I553" s="25" t="str">
        <f>IF(OR(E553="",E553="!!!",F553="NEW"),"",INDEX(B552:B$2,-1+SUMPRODUCT(MAX(ROW(E552:E$2)*(E553=E552:E$2)))))</f>
        <v> </v>
      </c>
      <c r="J553" s="25" t="str">
        <f>IF(OR(E553="",E553="!!!",F553="NEW"),"",COUNTBLANK(OFFSET(A$1,,,SUMPRODUCT(MAX(ROW(E$2:E553)*(E553=E$2:E553)))))-COUNTBLANK(OFFSET(A$1,,,SUMPRODUCT(MAX(ROW(E$1:E552)*(E2=E$1:E552))))))</f>
        <v> </v>
      </c>
      <c r="K553" s="25" t="str">
        <f>IF(OR(E553="",E553="!!!",F553="NEW"),"",INDEX(J$1:J552,SUMPRODUCT(MAX(ROW(E$1:E552)*(E553=E$1:E552)))))</f>
        <v> </v>
      </c>
      <c r="L553" s="26"/>
    </row>
    <row r="554" spans="1:12">
      <c r="A554" s="20" t="s">
        <v>165</v>
      </c>
      <c r="E554" s="21">
        <f>IF(D554="?OLD","!!!","")</f>
        <v/>
      </c>
      <c r="F554" s="22" t="str">
        <f>IF(OR(E554="",E554="!!!"),"",IF(NOT(ISNA(VLOOKUP(E554,E$1:E553,1,FALSE()))),"OLD",IF(AND(E554&lt;&gt;"",E554&lt;&gt;"!!!"),"NEW","")))</f>
        <v> </v>
      </c>
      <c r="G554" s="23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4" t="str">
        <f>IF(J554&lt;&gt;1,"",IF(I554="SBJ","CB","?"))</f>
        <v> </v>
      </c>
      <c r="I554" s="25" t="str">
        <f>IF(OR(E554="",E554="!!!",F554="NEW"),"",INDEX(B553:B$2,-1+SUMPRODUCT(MAX(ROW(E553:E$2)*(E554=E553:E$2)))))</f>
        <v> </v>
      </c>
      <c r="J554" s="25" t="str">
        <f>IF(OR(E554="",E554="!!!",F554="NEW"),"",COUNTBLANK(OFFSET(A$1,,,SUMPRODUCT(MAX(ROW(E$2:E554)*(E554=E$2:E554)))))-COUNTBLANK(OFFSET(A$1,,,SUMPRODUCT(MAX(ROW(E$1:E553)*(E2=E$1:E553))))))</f>
        <v> </v>
      </c>
      <c r="K554" s="25" t="str">
        <f>IF(OR(E554="",E554="!!!",F554="NEW"),"",INDEX(J$1:J553,SUMPRODUCT(MAX(ROW(E$1:E553)*(E554=E$1:E553)))))</f>
        <v> </v>
      </c>
      <c r="L554" s="26"/>
    </row>
    <row r="555" spans="1:12">
      <c r="A555" s="20" t="s">
        <v>242</v>
      </c>
      <c r="B555" s="27" t="s">
        <v>171</v>
      </c>
      <c r="C555" s="27" t="s">
        <v>176</v>
      </c>
      <c r="D555" s="27" t="s">
        <v>143</v>
      </c>
      <c r="E555" s="21">
        <f>IF(D555="?OLD","!!!","")</f>
        <v/>
      </c>
      <c r="F555" s="22" t="str">
        <f>IF(OR(E555="",E555="!!!"),"",IF(NOT(ISNA(VLOOKUP(E555,E$1:E554,1,FALSE()))),"OLD",IF(AND(E555&lt;&gt;"",E555&lt;&gt;"!!!"),"NEW","")))</f>
        <v> </v>
      </c>
      <c r="G555" s="23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4" t="str">
        <f>IF(J555&lt;&gt;1,"",IF(I555="SBJ","CB","?"))</f>
        <v> </v>
      </c>
      <c r="I555" s="25" t="str">
        <f>IF(OR(E555="",E555="!!!",F555="NEW"),"",INDEX(B554:B$2,-1+SUMPRODUCT(MAX(ROW(E554:E$2)*(E555=E554:E$2)))))</f>
        <v> </v>
      </c>
      <c r="J555" s="25" t="str">
        <f>IF(OR(E555="",E555="!!!",F555="NEW"),"",COUNTBLANK(OFFSET(A$1,,,SUMPRODUCT(MAX(ROW(E$2:E555)*(E555=E$2:E555)))))-COUNTBLANK(OFFSET(A$1,,,SUMPRODUCT(MAX(ROW(E$1:E554)*(E2=E$1:E554))))))</f>
        <v> </v>
      </c>
      <c r="K555" s="25" t="str">
        <f>IF(OR(E555="",E555="!!!",F555="NEW"),"",INDEX(J$1:J554,SUMPRODUCT(MAX(ROW(E$1:E554)*(E555=E$1:E554)))))</f>
        <v> </v>
      </c>
      <c r="L555" s="26"/>
    </row>
    <row r="556" spans="1:12">
      <c r="A556" s="20" t="s">
        <v>168</v>
      </c>
      <c r="E556" s="21">
        <f>IF(D556="?OLD","!!!","")</f>
        <v/>
      </c>
      <c r="F556" s="22" t="str">
        <f>IF(OR(E556="",E556="!!!"),"",IF(NOT(ISNA(VLOOKUP(E556,E$1:E555,1,FALSE()))),"OLD",IF(AND(E556&lt;&gt;"",E556&lt;&gt;"!!!"),"NEW","")))</f>
        <v> </v>
      </c>
      <c r="G556" s="23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4" t="str">
        <f>IF(J556&lt;&gt;1,"",IF(I556="SBJ","CB","?"))</f>
        <v> </v>
      </c>
      <c r="I556" s="25" t="str">
        <f>IF(OR(E556="",E556="!!!",F556="NEW"),"",INDEX(B555:B$2,-1+SUMPRODUCT(MAX(ROW(E555:E$2)*(E556=E555:E$2)))))</f>
        <v> </v>
      </c>
      <c r="J556" s="25" t="str">
        <f>IF(OR(E556="",E556="!!!",F556="NEW"),"",COUNTBLANK(OFFSET(A$1,,,SUMPRODUCT(MAX(ROW(E$2:E556)*(E556=E$2:E556)))))-COUNTBLANK(OFFSET(A$1,,,SUMPRODUCT(MAX(ROW(E$1:E555)*(E2=E$1:E555))))))</f>
        <v> </v>
      </c>
      <c r="K556" s="25" t="str">
        <f>IF(OR(E556="",E556="!!!",F556="NEW"),"",INDEX(J$1:J555,SUMPRODUCT(MAX(ROW(E$1:E555)*(E556=E$1:E555)))))</f>
        <v> </v>
      </c>
      <c r="L556" s="26"/>
    </row>
    <row r="557" spans="1:12">
      <c r="A557" s="20" t="s">
        <v>379</v>
      </c>
      <c r="E557" s="21">
        <f>IF(D557="?OLD","!!!","")</f>
        <v/>
      </c>
      <c r="F557" s="22" t="str">
        <f>IF(OR(E557="",E557="!!!"),"",IF(NOT(ISNA(VLOOKUP(E557,E$1:E556,1,FALSE()))),"OLD",IF(AND(E557&lt;&gt;"",E557&lt;&gt;"!!!"),"NEW","")))</f>
        <v> </v>
      </c>
      <c r="G557" s="23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4" t="str">
        <f>IF(J557&lt;&gt;1,"",IF(I557="SBJ","CB","?"))</f>
        <v> </v>
      </c>
      <c r="I557" s="25" t="str">
        <f>IF(OR(E557="",E557="!!!",F557="NEW"),"",INDEX(B556:B$2,-1+SUMPRODUCT(MAX(ROW(E556:E$2)*(E557=E556:E$2)))))</f>
        <v> </v>
      </c>
      <c r="J557" s="25" t="str">
        <f>IF(OR(E557="",E557="!!!",F557="NEW"),"",COUNTBLANK(OFFSET(A$1,,,SUMPRODUCT(MAX(ROW(E$2:E557)*(E557=E$2:E557)))))-COUNTBLANK(OFFSET(A$1,,,SUMPRODUCT(MAX(ROW(E$1:E556)*(E2=E$1:E556))))))</f>
        <v> </v>
      </c>
      <c r="K557" s="25" t="str">
        <f>IF(OR(E557="",E557="!!!",F557="NEW"),"",INDEX(J$1:J556,SUMPRODUCT(MAX(ROW(E$1:E556)*(E557=E$1:E556)))))</f>
        <v> </v>
      </c>
      <c r="L557" s="26"/>
    </row>
    <row r="558" spans="1:12">
      <c r="A558" s="20" t="s">
        <v>298</v>
      </c>
      <c r="B558" s="27" t="s">
        <v>141</v>
      </c>
      <c r="C558" s="27" t="s">
        <v>176</v>
      </c>
      <c r="D558" s="27" t="s">
        <v>143</v>
      </c>
      <c r="E558" s="21">
        <f>IF(D558="?OLD","!!!","")</f>
        <v/>
      </c>
      <c r="F558" s="22" t="str">
        <f>IF(OR(E558="",E558="!!!"),"",IF(NOT(ISNA(VLOOKUP(E558,E$1:E557,1,FALSE()))),"OLD",IF(AND(E558&lt;&gt;"",E558&lt;&gt;"!!!"),"NEW","")))</f>
        <v> </v>
      </c>
      <c r="G558" s="23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4" t="str">
        <f>IF(J558&lt;&gt;1,"",IF(I558="SBJ","CB","?"))</f>
        <v> </v>
      </c>
      <c r="I558" s="25" t="str">
        <f>IF(OR(E558="",E558="!!!",F558="NEW"),"",INDEX(B557:B$2,-1+SUMPRODUCT(MAX(ROW(E557:E$2)*(E558=E557:E$2)))))</f>
        <v> </v>
      </c>
      <c r="J558" s="25" t="str">
        <f>IF(OR(E558="",E558="!!!",F558="NEW"),"",COUNTBLANK(OFFSET(A$1,,,SUMPRODUCT(MAX(ROW(E$2:E558)*(E558=E$2:E558)))))-COUNTBLANK(OFFSET(A$1,,,SUMPRODUCT(MAX(ROW(E$1:E557)*(E2=E$1:E557))))))</f>
        <v> </v>
      </c>
      <c r="K558" s="25" t="str">
        <f>IF(OR(E558="",E558="!!!",F558="NEW"),"",INDEX(J$1:J557,SUMPRODUCT(MAX(ROW(E$1:E557)*(E558=E$1:E557)))))</f>
        <v> </v>
      </c>
      <c r="L558" s="26"/>
    </row>
    <row r="559" spans="1:12">
      <c r="A559" s="20" t="s">
        <v>322</v>
      </c>
      <c r="E559" s="21">
        <f>IF(D559="?OLD","!!!","")</f>
        <v/>
      </c>
      <c r="F559" s="22" t="str">
        <f>IF(OR(E559="",E559="!!!"),"",IF(NOT(ISNA(VLOOKUP(E559,E$1:E558,1,FALSE()))),"OLD",IF(AND(E559&lt;&gt;"",E559&lt;&gt;"!!!"),"NEW","")))</f>
        <v> </v>
      </c>
      <c r="G559" s="23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4" t="str">
        <f>IF(J559&lt;&gt;1,"",IF(I559="SBJ","CB","?"))</f>
        <v> </v>
      </c>
      <c r="I559" s="25" t="str">
        <f>IF(OR(E559="",E559="!!!",F559="NEW"),"",INDEX(B558:B$2,-1+SUMPRODUCT(MAX(ROW(E558:E$2)*(E559=E558:E$2)))))</f>
        <v> </v>
      </c>
      <c r="J559" s="25" t="str">
        <f>IF(OR(E559="",E559="!!!",F559="NEW"),"",COUNTBLANK(OFFSET(A$1,,,SUMPRODUCT(MAX(ROW(E$2:E559)*(E559=E$2:E559)))))-COUNTBLANK(OFFSET(A$1,,,SUMPRODUCT(MAX(ROW(E$1:E558)*(E2=E$1:E558))))))</f>
        <v> </v>
      </c>
      <c r="K559" s="25" t="str">
        <f>IF(OR(E559="",E559="!!!",F559="NEW"),"",INDEX(J$1:J558,SUMPRODUCT(MAX(ROW(E$1:E558)*(E559=E$1:E558)))))</f>
        <v> </v>
      </c>
      <c r="L559" s="26"/>
    </row>
    <row r="560" spans="1:12">
      <c r="A560" s="20" t="s">
        <v>380</v>
      </c>
      <c r="E560" s="21">
        <f>IF(D560="?OLD","!!!","")</f>
        <v/>
      </c>
      <c r="F560" s="22" t="str">
        <f>IF(OR(E560="",E560="!!!"),"",IF(NOT(ISNA(VLOOKUP(E560,E$1:E559,1,FALSE()))),"OLD",IF(AND(E560&lt;&gt;"",E560&lt;&gt;"!!!"),"NEW","")))</f>
        <v> </v>
      </c>
      <c r="G560" s="23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4" t="str">
        <f>IF(J560&lt;&gt;1,"",IF(I560="SBJ","CB","?"))</f>
        <v> </v>
      </c>
      <c r="I560" s="25" t="str">
        <f>IF(OR(E560="",E560="!!!",F560="NEW"),"",INDEX(B559:B$2,-1+SUMPRODUCT(MAX(ROW(E559:E$2)*(E560=E559:E$2)))))</f>
        <v> </v>
      </c>
      <c r="J560" s="25" t="str">
        <f>IF(OR(E560="",E560="!!!",F560="NEW"),"",COUNTBLANK(OFFSET(A$1,,,SUMPRODUCT(MAX(ROW(E$2:E560)*(E560=E$2:E560)))))-COUNTBLANK(OFFSET(A$1,,,SUMPRODUCT(MAX(ROW(E$1:E559)*(E2=E$1:E559))))))</f>
        <v> </v>
      </c>
      <c r="K560" s="25" t="str">
        <f>IF(OR(E560="",E560="!!!",F560="NEW"),"",INDEX(J$1:J559,SUMPRODUCT(MAX(ROW(E$1:E559)*(E560=E$1:E559)))))</f>
        <v> </v>
      </c>
      <c r="L560" s="26"/>
    </row>
    <row r="561" spans="1:12">
      <c r="A561" s="20" t="s">
        <v>159</v>
      </c>
      <c r="E561" s="21">
        <f>IF(D561="?OLD","!!!","")</f>
        <v/>
      </c>
      <c r="F561" s="22" t="str">
        <f>IF(OR(E561="",E561="!!!"),"",IF(NOT(ISNA(VLOOKUP(E561,E$1:E560,1,FALSE()))),"OLD",IF(AND(E561&lt;&gt;"",E561&lt;&gt;"!!!"),"NEW","")))</f>
        <v> </v>
      </c>
      <c r="G561" s="23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4" t="str">
        <f>IF(J561&lt;&gt;1,"",IF(I561="SBJ","CB","?"))</f>
        <v> </v>
      </c>
      <c r="I561" s="25" t="str">
        <f>IF(OR(E561="",E561="!!!",F561="NEW"),"",INDEX(B560:B$2,-1+SUMPRODUCT(MAX(ROW(E560:E$2)*(E561=E560:E$2)))))</f>
        <v> </v>
      </c>
      <c r="J561" s="25" t="str">
        <f>IF(OR(E561="",E561="!!!",F561="NEW"),"",COUNTBLANK(OFFSET(A$1,,,SUMPRODUCT(MAX(ROW(E$2:E561)*(E561=E$2:E561)))))-COUNTBLANK(OFFSET(A$1,,,SUMPRODUCT(MAX(ROW(E$1:E560)*(E2=E$1:E560))))))</f>
        <v> </v>
      </c>
      <c r="K561" s="25" t="str">
        <f>IF(OR(E561="",E561="!!!",F561="NEW"),"",INDEX(J$1:J560,SUMPRODUCT(MAX(ROW(E$1:E560)*(E561=E$1:E560)))))</f>
        <v> </v>
      </c>
      <c r="L561" s="26"/>
    </row>
    <row r="562" spans="1:12">
      <c r="A562" s="20" t="s">
        <v>276</v>
      </c>
      <c r="B562" s="27" t="s">
        <v>258</v>
      </c>
      <c r="C562" s="27" t="s">
        <v>142</v>
      </c>
      <c r="D562" s="27" t="s">
        <v>143</v>
      </c>
      <c r="E562" s="21">
        <f>IF(D562="?OLD","!!!","")</f>
        <v/>
      </c>
      <c r="F562" s="22" t="str">
        <f>IF(OR(E562="",E562="!!!"),"",IF(NOT(ISNA(VLOOKUP(E562,E$1:E561,1,FALSE()))),"OLD",IF(AND(E562&lt;&gt;"",E562&lt;&gt;"!!!"),"NEW","")))</f>
        <v> </v>
      </c>
      <c r="G562" s="23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4" t="str">
        <f>IF(J562&lt;&gt;1,"",IF(I562="SBJ","CB","?"))</f>
        <v> </v>
      </c>
      <c r="I562" s="25" t="str">
        <f>IF(OR(E562="",E562="!!!",F562="NEW"),"",INDEX(B561:B$2,-1+SUMPRODUCT(MAX(ROW(E561:E$2)*(E562=E561:E$2)))))</f>
        <v> </v>
      </c>
      <c r="J562" s="25" t="str">
        <f>IF(OR(E562="",E562="!!!",F562="NEW"),"",COUNTBLANK(OFFSET(A$1,,,SUMPRODUCT(MAX(ROW(E$2:E562)*(E562=E$2:E562)))))-COUNTBLANK(OFFSET(A$1,,,SUMPRODUCT(MAX(ROW(E$1:E561)*(E2=E$1:E561))))))</f>
        <v> </v>
      </c>
      <c r="K562" s="25" t="str">
        <f>IF(OR(E562="",E562="!!!",F562="NEW"),"",INDEX(J$1:J561,SUMPRODUCT(MAX(ROW(E$1:E561)*(E562=E$1:E561)))))</f>
        <v> </v>
      </c>
      <c r="L562" s="26"/>
    </row>
    <row r="563" spans="1:12">
      <c r="A563" s="20" t="s">
        <v>381</v>
      </c>
      <c r="E563" s="21">
        <f>IF(D563="?OLD","!!!","")</f>
        <v/>
      </c>
      <c r="F563" s="22" t="str">
        <f>IF(OR(E563="",E563="!!!"),"",IF(NOT(ISNA(VLOOKUP(E563,E$1:E562,1,FALSE()))),"OLD",IF(AND(E563&lt;&gt;"",E563&lt;&gt;"!!!"),"NEW","")))</f>
        <v> </v>
      </c>
      <c r="G563" s="23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4" t="str">
        <f>IF(J563&lt;&gt;1,"",IF(I563="SBJ","CB","?"))</f>
        <v> </v>
      </c>
      <c r="I563" s="25" t="str">
        <f>IF(OR(E563="",E563="!!!",F563="NEW"),"",INDEX(B562:B$2,-1+SUMPRODUCT(MAX(ROW(E562:E$2)*(E563=E562:E$2)))))</f>
        <v> </v>
      </c>
      <c r="J563" s="25" t="str">
        <f>IF(OR(E563="",E563="!!!",F563="NEW"),"",COUNTBLANK(OFFSET(A$1,,,SUMPRODUCT(MAX(ROW(E$2:E563)*(E563=E$2:E563)))))-COUNTBLANK(OFFSET(A$1,,,SUMPRODUCT(MAX(ROW(E$1:E562)*(E2=E$1:E562))))))</f>
        <v> </v>
      </c>
      <c r="K563" s="25" t="str">
        <f>IF(OR(E563="",E563="!!!",F563="NEW"),"",INDEX(J$1:J562,SUMPRODUCT(MAX(ROW(E$1:E562)*(E563=E$1:E562)))))</f>
        <v> </v>
      </c>
      <c r="L563" s="26"/>
    </row>
    <row r="564" spans="1:12">
      <c r="A564" s="20" t="s">
        <v>382</v>
      </c>
      <c r="B564" s="27" t="s">
        <v>258</v>
      </c>
      <c r="C564" s="27" t="s">
        <v>229</v>
      </c>
      <c r="E564" s="21">
        <f>IF(D564="?OLD","!!!","")</f>
        <v/>
      </c>
      <c r="F564" s="22" t="str">
        <f>IF(OR(E564="",E564="!!!"),"",IF(NOT(ISNA(VLOOKUP(E564,E$1:E563,1,FALSE()))),"OLD",IF(AND(E564&lt;&gt;"",E564&lt;&gt;"!!!"),"NEW","")))</f>
        <v> </v>
      </c>
      <c r="G564" s="23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4" t="str">
        <f>IF(J564&lt;&gt;1,"",IF(I564="SBJ","CB","?"))</f>
        <v> </v>
      </c>
      <c r="I564" s="25" t="str">
        <f>IF(OR(E564="",E564="!!!",F564="NEW"),"",INDEX(B563:B$2,-1+SUMPRODUCT(MAX(ROW(E563:E$2)*(E564=E563:E$2)))))</f>
        <v> </v>
      </c>
      <c r="J564" s="25" t="str">
        <f>IF(OR(E564="",E564="!!!",F564="NEW"),"",COUNTBLANK(OFFSET(A$1,,,SUMPRODUCT(MAX(ROW(E$2:E564)*(E564=E$2:E564)))))-COUNTBLANK(OFFSET(A$1,,,SUMPRODUCT(MAX(ROW(E$1:E563)*(E2=E$1:E563))))))</f>
        <v> </v>
      </c>
      <c r="K564" s="25" t="str">
        <f>IF(OR(E564="",E564="!!!",F564="NEW"),"",INDEX(J$1:J563,SUMPRODUCT(MAX(ROW(E$1:E563)*(E564=E$1:E563)))))</f>
        <v> </v>
      </c>
      <c r="L564" s="26"/>
    </row>
    <row r="565" spans="1:12">
      <c r="A565" s="20" t="s">
        <v>164</v>
      </c>
      <c r="E565" s="21">
        <f>IF(D565="?OLD","!!!","")</f>
        <v/>
      </c>
      <c r="F565" s="22" t="str">
        <f>IF(OR(E565="",E565="!!!"),"",IF(NOT(ISNA(VLOOKUP(E565,E$1:E564,1,FALSE()))),"OLD",IF(AND(E565&lt;&gt;"",E565&lt;&gt;"!!!"),"NEW","")))</f>
        <v> </v>
      </c>
      <c r="G565" s="23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4" t="str">
        <f>IF(J565&lt;&gt;1,"",IF(I565="SBJ","CB","?"))</f>
        <v> </v>
      </c>
      <c r="I565" s="25" t="str">
        <f>IF(OR(E565="",E565="!!!",F565="NEW"),"",INDEX(B564:B$2,-1+SUMPRODUCT(MAX(ROW(E564:E$2)*(E565=E564:E$2)))))</f>
        <v> </v>
      </c>
      <c r="J565" s="25" t="str">
        <f>IF(OR(E565="",E565="!!!",F565="NEW"),"",COUNTBLANK(OFFSET(A$1,,,SUMPRODUCT(MAX(ROW(E$2:E565)*(E565=E$2:E565)))))-COUNTBLANK(OFFSET(A$1,,,SUMPRODUCT(MAX(ROW(E$1:E564)*(E2=E$1:E564))))))</f>
        <v> </v>
      </c>
      <c r="K565" s="25" t="str">
        <f>IF(OR(E565="",E565="!!!",F565="NEW"),"",INDEX(J$1:J564,SUMPRODUCT(MAX(ROW(E$1:E564)*(E565=E$1:E564)))))</f>
        <v> </v>
      </c>
      <c r="L565" s="26"/>
    </row>
    <row r="566" spans="1:12">
      <c r="A566" s="20" t="s">
        <v>322</v>
      </c>
      <c r="E566" s="21">
        <f>IF(D566="?OLD","!!!","")</f>
        <v/>
      </c>
      <c r="F566" s="22" t="str">
        <f>IF(OR(E566="",E566="!!!"),"",IF(NOT(ISNA(VLOOKUP(E566,E$1:E565,1,FALSE()))),"OLD",IF(AND(E566&lt;&gt;"",E566&lt;&gt;"!!!"),"NEW","")))</f>
        <v> </v>
      </c>
      <c r="G566" s="23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4" t="str">
        <f>IF(J566&lt;&gt;1,"",IF(I566="SBJ","CB","?"))</f>
        <v> </v>
      </c>
      <c r="I566" s="25" t="str">
        <f>IF(OR(E566="",E566="!!!",F566="NEW"),"",INDEX(B565:B$2,-1+SUMPRODUCT(MAX(ROW(E565:E$2)*(E566=E565:E$2)))))</f>
        <v> </v>
      </c>
      <c r="J566" s="25" t="str">
        <f>IF(OR(E566="",E566="!!!",F566="NEW"),"",COUNTBLANK(OFFSET(A$1,,,SUMPRODUCT(MAX(ROW(E$2:E566)*(E566=E$2:E566)))))-COUNTBLANK(OFFSET(A$1,,,SUMPRODUCT(MAX(ROW(E$1:E565)*(E2=E$1:E565))))))</f>
        <v> </v>
      </c>
      <c r="K566" s="25" t="str">
        <f>IF(OR(E566="",E566="!!!",F566="NEW"),"",INDEX(J$1:J565,SUMPRODUCT(MAX(ROW(E$1:E565)*(E566=E$1:E565)))))</f>
        <v> </v>
      </c>
      <c r="L566" s="26"/>
    </row>
    <row r="567" spans="1:12">
      <c r="A567" s="20" t="s">
        <v>66</v>
      </c>
      <c r="E567" s="21">
        <f>IF(D567="?OLD","!!!","")</f>
        <v/>
      </c>
      <c r="F567" s="22" t="str">
        <f>IF(OR(E567="",E567="!!!"),"",IF(NOT(ISNA(VLOOKUP(E567,E$1:E566,1,FALSE()))),"OLD",IF(AND(E567&lt;&gt;"",E567&lt;&gt;"!!!"),"NEW","")))</f>
        <v> </v>
      </c>
      <c r="G567" s="23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4" t="str">
        <f>IF(J567&lt;&gt;1,"",IF(I567="SBJ","CB","?"))</f>
        <v> </v>
      </c>
      <c r="I567" s="25" t="str">
        <f>IF(OR(E567="",E567="!!!",F567="NEW"),"",INDEX(B566:B$2,-1+SUMPRODUCT(MAX(ROW(E566:E$2)*(E567=E566:E$2)))))</f>
        <v> </v>
      </c>
      <c r="J567" s="25" t="str">
        <f>IF(OR(E567="",E567="!!!",F567="NEW"),"",COUNTBLANK(OFFSET(A$1,,,SUMPRODUCT(MAX(ROW(E$2:E567)*(E567=E$2:E567)))))-COUNTBLANK(OFFSET(A$1,,,SUMPRODUCT(MAX(ROW(E$1:E566)*(E2=E$1:E566))))))</f>
        <v> </v>
      </c>
      <c r="K567" s="25" t="str">
        <f>IF(OR(E567="",E567="!!!",F567="NEW"),"",INDEX(J$1:J566,SUMPRODUCT(MAX(ROW(E$1:E566)*(E567=E$1:E566)))))</f>
        <v> </v>
      </c>
      <c r="L567" s="26"/>
    </row>
    <row r="568" spans="1:12">
      <c r="A568" s="20" t="s">
        <v>179</v>
      </c>
      <c r="E568" s="21">
        <f>IF(D568="?OLD","!!!","")</f>
        <v/>
      </c>
      <c r="F568" s="22" t="str">
        <f>IF(OR(E568="",E568="!!!"),"",IF(NOT(ISNA(VLOOKUP(E568,E$1:E567,1,FALSE()))),"OLD",IF(AND(E568&lt;&gt;"",E568&lt;&gt;"!!!"),"NEW","")))</f>
        <v> </v>
      </c>
      <c r="G568" s="23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4" t="str">
        <f>IF(J568&lt;&gt;1,"",IF(I568="SBJ","CB","?"))</f>
        <v> </v>
      </c>
      <c r="I568" s="25" t="str">
        <f>IF(OR(E568="",E568="!!!",F568="NEW"),"",INDEX(B567:B$2,-1+SUMPRODUCT(MAX(ROW(E567:E$2)*(E568=E567:E$2)))))</f>
        <v> </v>
      </c>
      <c r="J568" s="25" t="str">
        <f>IF(OR(E568="",E568="!!!",F568="NEW"),"",COUNTBLANK(OFFSET(A$1,,,SUMPRODUCT(MAX(ROW(E$2:E568)*(E568=E$2:E568)))))-COUNTBLANK(OFFSET(A$1,,,SUMPRODUCT(MAX(ROW(E$1:E567)*(E2=E$1:E567))))))</f>
        <v> </v>
      </c>
      <c r="K568" s="25" t="str">
        <f>IF(OR(E568="",E568="!!!",F568="NEW"),"",INDEX(J$1:J567,SUMPRODUCT(MAX(ROW(E$1:E567)*(E568=E$1:E567)))))</f>
        <v> </v>
      </c>
      <c r="L568" s="26"/>
    </row>
    <row r="569" spans="1:12">
      <c r="A569" s="20" t="s">
        <v>154</v>
      </c>
      <c r="E569" s="21">
        <f>IF(D569="?OLD","!!!","")</f>
        <v/>
      </c>
      <c r="F569" s="22" t="str">
        <f>IF(OR(E569="",E569="!!!"),"",IF(NOT(ISNA(VLOOKUP(E569,E$1:E568,1,FALSE()))),"OLD",IF(AND(E569&lt;&gt;"",E569&lt;&gt;"!!!"),"NEW","")))</f>
        <v> </v>
      </c>
      <c r="G569" s="23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4" t="str">
        <f>IF(J569&lt;&gt;1,"",IF(I569="SBJ","CB","?"))</f>
        <v> </v>
      </c>
      <c r="I569" s="25" t="str">
        <f>IF(OR(E569="",E569="!!!",F569="NEW"),"",INDEX(B568:B$2,-1+SUMPRODUCT(MAX(ROW(E568:E$2)*(E569=E568:E$2)))))</f>
        <v> </v>
      </c>
      <c r="J569" s="25" t="str">
        <f>IF(OR(E569="",E569="!!!",F569="NEW"),"",COUNTBLANK(OFFSET(A$1,,,SUMPRODUCT(MAX(ROW(E$2:E569)*(E569=E$2:E569)))))-COUNTBLANK(OFFSET(A$1,,,SUMPRODUCT(MAX(ROW(E$1:E568)*(E2=E$1:E568))))))</f>
        <v> </v>
      </c>
      <c r="K569" s="25" t="str">
        <f>IF(OR(E569="",E569="!!!",F569="NEW"),"",INDEX(J$1:J568,SUMPRODUCT(MAX(ROW(E$1:E568)*(E569=E$1:E568)))))</f>
        <v> </v>
      </c>
      <c r="L569" s="26"/>
    </row>
    <row r="570" spans="1:12">
      <c r="A570" s="20" t="s">
        <v>240</v>
      </c>
      <c r="B570" s="27" t="s">
        <v>377</v>
      </c>
      <c r="C570" s="27" t="s">
        <v>142</v>
      </c>
      <c r="D570" s="27" t="s">
        <v>143</v>
      </c>
      <c r="E570" s="21">
        <f>IF(D570="?OLD","!!!","")</f>
        <v/>
      </c>
      <c r="F570" s="22" t="str">
        <f>IF(OR(E570="",E570="!!!"),"",IF(NOT(ISNA(VLOOKUP(E570,E$1:E569,1,FALSE()))),"OLD",IF(AND(E570&lt;&gt;"",E570&lt;&gt;"!!!"),"NEW","")))</f>
        <v> </v>
      </c>
      <c r="G570" s="23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4" t="str">
        <f>IF(J570&lt;&gt;1,"",IF(I570="SBJ","CB","?"))</f>
        <v> </v>
      </c>
      <c r="I570" s="25" t="str">
        <f>IF(OR(E570="",E570="!!!",F570="NEW"),"",INDEX(B569:B$2,-1+SUMPRODUCT(MAX(ROW(E569:E$2)*(E570=E569:E$2)))))</f>
        <v> </v>
      </c>
      <c r="J570" s="25" t="str">
        <f>IF(OR(E570="",E570="!!!",F570="NEW"),"",COUNTBLANK(OFFSET(A$1,,,SUMPRODUCT(MAX(ROW(E$2:E570)*(E570=E$2:E570)))))-COUNTBLANK(OFFSET(A$1,,,SUMPRODUCT(MAX(ROW(E$1:E569)*(E2=E$1:E569))))))</f>
        <v> </v>
      </c>
      <c r="K570" s="25" t="str">
        <f>IF(OR(E570="",E570="!!!",F570="NEW"),"",INDEX(J$1:J569,SUMPRODUCT(MAX(ROW(E$1:E569)*(E570=E$1:E569)))))</f>
        <v> </v>
      </c>
      <c r="L570" s="26"/>
    </row>
    <row r="571" spans="1:12">
      <c r="A571" s="20" t="s">
        <v>157</v>
      </c>
      <c r="E571" s="21">
        <f>IF(D571="?OLD","!!!","")</f>
        <v/>
      </c>
      <c r="F571" s="22" t="str">
        <f>IF(OR(E571="",E571="!!!"),"",IF(NOT(ISNA(VLOOKUP(E571,E$1:E570,1,FALSE()))),"OLD",IF(AND(E571&lt;&gt;"",E571&lt;&gt;"!!!"),"NEW","")))</f>
        <v> </v>
      </c>
      <c r="G571" s="23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4" t="str">
        <f>IF(J571&lt;&gt;1,"",IF(I571="SBJ","CB","?"))</f>
        <v> </v>
      </c>
      <c r="I571" s="25" t="str">
        <f>IF(OR(E571="",E571="!!!",F571="NEW"),"",INDEX(B570:B$2,-1+SUMPRODUCT(MAX(ROW(E570:E$2)*(E571=E570:E$2)))))</f>
        <v> </v>
      </c>
      <c r="J571" s="25" t="str">
        <f>IF(OR(E571="",E571="!!!",F571="NEW"),"",COUNTBLANK(OFFSET(A$1,,,SUMPRODUCT(MAX(ROW(E$2:E571)*(E571=E$2:E571)))))-COUNTBLANK(OFFSET(A$1,,,SUMPRODUCT(MAX(ROW(E$1:E570)*(E2=E$1:E570))))))</f>
        <v> </v>
      </c>
      <c r="K571" s="25" t="str">
        <f>IF(OR(E571="",E571="!!!",F571="NEW"),"",INDEX(J$1:J570,SUMPRODUCT(MAX(ROW(E$1:E570)*(E571=E$1:E570)))))</f>
        <v> </v>
      </c>
      <c r="L571" s="26"/>
    </row>
    <row r="572" spans="1:12">
      <c r="A572" s="20" t="s">
        <v>204</v>
      </c>
      <c r="E572" s="21">
        <f>IF(D572="?OLD","!!!","")</f>
        <v/>
      </c>
      <c r="F572" s="22" t="str">
        <f>IF(OR(E572="",E572="!!!"),"",IF(NOT(ISNA(VLOOKUP(E572,E$1:E571,1,FALSE()))),"OLD",IF(AND(E572&lt;&gt;"",E572&lt;&gt;"!!!"),"NEW","")))</f>
        <v> </v>
      </c>
      <c r="G572" s="23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4" t="str">
        <f>IF(J572&lt;&gt;1,"",IF(I572="SBJ","CB","?"))</f>
        <v> </v>
      </c>
      <c r="I572" s="25" t="str">
        <f>IF(OR(E572="",E572="!!!",F572="NEW"),"",INDEX(B571:B$2,-1+SUMPRODUCT(MAX(ROW(E571:E$2)*(E572=E571:E$2)))))</f>
        <v> </v>
      </c>
      <c r="J572" s="25" t="str">
        <f>IF(OR(E572="",E572="!!!",F572="NEW"),"",COUNTBLANK(OFFSET(A$1,,,SUMPRODUCT(MAX(ROW(E$2:E572)*(E572=E$2:E572)))))-COUNTBLANK(OFFSET(A$1,,,SUMPRODUCT(MAX(ROW(E$1:E571)*(E2=E$1:E571))))))</f>
        <v> </v>
      </c>
      <c r="K572" s="25" t="str">
        <f>IF(OR(E572="",E572="!!!",F572="NEW"),"",INDEX(J$1:J571,SUMPRODUCT(MAX(ROW(E$1:E571)*(E572=E$1:E571)))))</f>
        <v> </v>
      </c>
      <c r="L572" s="26"/>
    </row>
    <row r="573" spans="1:12">
      <c r="A573" s="20" t="s">
        <v>306</v>
      </c>
      <c r="B573" s="27" t="s">
        <v>234</v>
      </c>
      <c r="C573" s="27" t="s">
        <v>176</v>
      </c>
      <c r="D573" s="27" t="s">
        <v>143</v>
      </c>
      <c r="E573" s="21">
        <f>IF(D573="?OLD","!!!","")</f>
        <v/>
      </c>
      <c r="F573" s="22" t="str">
        <f>IF(OR(E573="",E573="!!!"),"",IF(NOT(ISNA(VLOOKUP(E573,E$1:E572,1,FALSE()))),"OLD",IF(AND(E573&lt;&gt;"",E573&lt;&gt;"!!!"),"NEW","")))</f>
        <v> </v>
      </c>
      <c r="G573" s="23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4" t="str">
        <f>IF(J573&lt;&gt;1,"",IF(I573="SBJ","CB","?"))</f>
        <v> </v>
      </c>
      <c r="I573" s="25" t="str">
        <f>IF(OR(E573="",E573="!!!",F573="NEW"),"",INDEX(B572:B$2,-1+SUMPRODUCT(MAX(ROW(E572:E$2)*(E573=E572:E$2)))))</f>
        <v> </v>
      </c>
      <c r="J573" s="25" t="str">
        <f>IF(OR(E573="",E573="!!!",F573="NEW"),"",COUNTBLANK(OFFSET(A$1,,,SUMPRODUCT(MAX(ROW(E$2:E573)*(E573=E$2:E573)))))-COUNTBLANK(OFFSET(A$1,,,SUMPRODUCT(MAX(ROW(E$1:E572)*(E2=E$1:E572))))))</f>
        <v> </v>
      </c>
      <c r="K573" s="25" t="str">
        <f>IF(OR(E573="",E573="!!!",F573="NEW"),"",INDEX(J$1:J572,SUMPRODUCT(MAX(ROW(E$1:E572)*(E573=E$1:E572)))))</f>
        <v> </v>
      </c>
      <c r="L573" s="26"/>
    </row>
    <row r="574" spans="1:12">
      <c r="A574" s="20" t="s">
        <v>315</v>
      </c>
      <c r="B574" s="27" t="s">
        <v>383</v>
      </c>
      <c r="C574" s="27" t="s">
        <v>176</v>
      </c>
      <c r="D574" s="27" t="s">
        <v>143</v>
      </c>
      <c r="E574" s="21">
        <f>IF(D574="?OLD","!!!","")</f>
        <v/>
      </c>
      <c r="F574" s="22" t="str">
        <f>IF(OR(E574="",E574="!!!"),"",IF(NOT(ISNA(VLOOKUP(E574,E$1:E573,1,FALSE()))),"OLD",IF(AND(E574&lt;&gt;"",E574&lt;&gt;"!!!"),"NEW","")))</f>
        <v> </v>
      </c>
      <c r="G574" s="23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4" t="str">
        <f>IF(J574&lt;&gt;1,"",IF(I574="SBJ","CB","?"))</f>
        <v> </v>
      </c>
      <c r="I574" s="25" t="str">
        <f>IF(OR(E574="",E574="!!!",F574="NEW"),"",INDEX(B573:B$2,-1+SUMPRODUCT(MAX(ROW(E573:E$2)*(E574=E573:E$2)))))</f>
        <v> </v>
      </c>
      <c r="J574" s="25" t="str">
        <f>IF(OR(E574="",E574="!!!",F574="NEW"),"",COUNTBLANK(OFFSET(A$1,,,SUMPRODUCT(MAX(ROW(E$2:E574)*(E574=E$2:E574)))))-COUNTBLANK(OFFSET(A$1,,,SUMPRODUCT(MAX(ROW(E$1:E573)*(E2=E$1:E573))))))</f>
        <v> </v>
      </c>
      <c r="K574" s="25" t="str">
        <f>IF(OR(E574="",E574="!!!",F574="NEW"),"",INDEX(J$1:J573,SUMPRODUCT(MAX(ROW(E$1:E573)*(E574=E$1:E573)))))</f>
        <v> </v>
      </c>
      <c r="L574" s="26"/>
    </row>
    <row r="575" spans="1:12">
      <c r="A575" s="20" t="s">
        <v>316</v>
      </c>
      <c r="E575" s="21">
        <f>IF(D575="?OLD","!!!","")</f>
        <v/>
      </c>
      <c r="F575" s="22" t="str">
        <f>IF(OR(E575="",E575="!!!"),"",IF(NOT(ISNA(VLOOKUP(E575,E$1:E574,1,FALSE()))),"OLD",IF(AND(E575&lt;&gt;"",E575&lt;&gt;"!!!"),"NEW","")))</f>
        <v> </v>
      </c>
      <c r="G575" s="23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4" t="str">
        <f>IF(J575&lt;&gt;1,"",IF(I575="SBJ","CB","?"))</f>
        <v> </v>
      </c>
      <c r="I575" s="25" t="str">
        <f>IF(OR(E575="",E575="!!!",F575="NEW"),"",INDEX(B574:B$2,-1+SUMPRODUCT(MAX(ROW(E574:E$2)*(E575=E574:E$2)))))</f>
        <v> </v>
      </c>
      <c r="J575" s="25" t="str">
        <f>IF(OR(E575="",E575="!!!",F575="NEW"),"",COUNTBLANK(OFFSET(A$1,,,SUMPRODUCT(MAX(ROW(E$2:E575)*(E575=E$2:E575)))))-COUNTBLANK(OFFSET(A$1,,,SUMPRODUCT(MAX(ROW(E$1:E574)*(E2=E$1:E574))))))</f>
        <v> </v>
      </c>
      <c r="K575" s="25" t="str">
        <f>IF(OR(E575="",E575="!!!",F575="NEW"),"",INDEX(J$1:J574,SUMPRODUCT(MAX(ROW(E$1:E574)*(E575=E$1:E574)))))</f>
        <v> </v>
      </c>
      <c r="L575" s="26"/>
    </row>
    <row r="576" spans="1:12">
      <c r="A576" s="20" t="s">
        <v>164</v>
      </c>
      <c r="E576" s="21">
        <f>IF(D576="?OLD","!!!","")</f>
        <v/>
      </c>
      <c r="F576" s="22" t="str">
        <f>IF(OR(E576="",E576="!!!"),"",IF(NOT(ISNA(VLOOKUP(E576,E$1:E575,1,FALSE()))),"OLD",IF(AND(E576&lt;&gt;"",E576&lt;&gt;"!!!"),"NEW","")))</f>
        <v> </v>
      </c>
      <c r="G576" s="23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4" t="str">
        <f>IF(J576&lt;&gt;1,"",IF(I576="SBJ","CB","?"))</f>
        <v> </v>
      </c>
      <c r="I576" s="25" t="str">
        <f>IF(OR(E576="",E576="!!!",F576="NEW"),"",INDEX(B575:B$2,-1+SUMPRODUCT(MAX(ROW(E575:E$2)*(E576=E575:E$2)))))</f>
        <v> </v>
      </c>
      <c r="J576" s="25" t="str">
        <f>IF(OR(E576="",E576="!!!",F576="NEW"),"",COUNTBLANK(OFFSET(A$1,,,SUMPRODUCT(MAX(ROW(E$2:E576)*(E576=E$2:E576)))))-COUNTBLANK(OFFSET(A$1,,,SUMPRODUCT(MAX(ROW(E$1:E575)*(E2=E$1:E575))))))</f>
        <v> </v>
      </c>
      <c r="K576" s="25" t="str">
        <f>IF(OR(E576="",E576="!!!",F576="NEW"),"",INDEX(J$1:J575,SUMPRODUCT(MAX(ROW(E$1:E575)*(E576=E$1:E575)))))</f>
        <v> </v>
      </c>
      <c r="L576" s="26"/>
    </row>
    <row r="577" spans="1:12">
      <c r="A577" s="20" t="s">
        <v>165</v>
      </c>
      <c r="E577" s="21">
        <f>IF(D577="?OLD","!!!","")</f>
        <v/>
      </c>
      <c r="F577" s="22" t="str">
        <f>IF(OR(E577="",E577="!!!"),"",IF(NOT(ISNA(VLOOKUP(E577,E$1:E576,1,FALSE()))),"OLD",IF(AND(E577&lt;&gt;"",E577&lt;&gt;"!!!"),"NEW","")))</f>
        <v> </v>
      </c>
      <c r="G577" s="23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4" t="str">
        <f>IF(J577&lt;&gt;1,"",IF(I577="SBJ","CB","?"))</f>
        <v> </v>
      </c>
      <c r="I577" s="25" t="str">
        <f>IF(OR(E577="",E577="!!!",F577="NEW"),"",INDEX(B576:B$2,-1+SUMPRODUCT(MAX(ROW(E576:E$2)*(E577=E576:E$2)))))</f>
        <v> </v>
      </c>
      <c r="J577" s="25" t="str">
        <f>IF(OR(E577="",E577="!!!",F577="NEW"),"",COUNTBLANK(OFFSET(A$1,,,SUMPRODUCT(MAX(ROW(E$2:E577)*(E577=E$2:E577)))))-COUNTBLANK(OFFSET(A$1,,,SUMPRODUCT(MAX(ROW(E$1:E576)*(E2=E$1:E576))))))</f>
        <v> </v>
      </c>
      <c r="K577" s="25" t="str">
        <f>IF(OR(E577="",E577="!!!",F577="NEW"),"",INDEX(J$1:J576,SUMPRODUCT(MAX(ROW(E$1:E576)*(E577=E$1:E576)))))</f>
        <v> </v>
      </c>
      <c r="L577" s="26"/>
    </row>
    <row r="578" spans="1:12">
      <c r="A578" s="20" t="s">
        <v>168</v>
      </c>
      <c r="E578" s="21">
        <f>IF(D578="?OLD","!!!","")</f>
        <v/>
      </c>
      <c r="F578" s="22" t="str">
        <f>IF(OR(E578="",E578="!!!"),"",IF(NOT(ISNA(VLOOKUP(E578,E$1:E577,1,FALSE()))),"OLD",IF(AND(E578&lt;&gt;"",E578&lt;&gt;"!!!"),"NEW","")))</f>
        <v> </v>
      </c>
      <c r="G578" s="23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4" t="str">
        <f>IF(J578&lt;&gt;1,"",IF(I578="SBJ","CB","?"))</f>
        <v> </v>
      </c>
      <c r="I578" s="25" t="str">
        <f>IF(OR(E578="",E578="!!!",F578="NEW"),"",INDEX(B577:B$2,-1+SUMPRODUCT(MAX(ROW(E577:E$2)*(E578=E577:E$2)))))</f>
        <v> </v>
      </c>
      <c r="J578" s="25" t="str">
        <f>IF(OR(E578="",E578="!!!",F578="NEW"),"",COUNTBLANK(OFFSET(A$1,,,SUMPRODUCT(MAX(ROW(E$2:E578)*(E578=E$2:E578)))))-COUNTBLANK(OFFSET(A$1,,,SUMPRODUCT(MAX(ROW(E$1:E577)*(E2=E$1:E577))))))</f>
        <v> </v>
      </c>
      <c r="K578" s="25" t="str">
        <f>IF(OR(E578="",E578="!!!",F578="NEW"),"",INDEX(J$1:J577,SUMPRODUCT(MAX(ROW(E$1:E577)*(E578=E$1:E577)))))</f>
        <v> </v>
      </c>
      <c r="L578" s="26"/>
    </row>
    <row r="579" spans="1:12">
      <c r="A579" s="20" t="s">
        <v>384</v>
      </c>
      <c r="B579" s="27" t="s">
        <v>234</v>
      </c>
      <c r="C579" s="27" t="s">
        <v>176</v>
      </c>
      <c r="D579" s="27" t="s">
        <v>143</v>
      </c>
      <c r="E579" s="21">
        <f>IF(D579="?OLD","!!!","")</f>
        <v/>
      </c>
      <c r="F579" s="22" t="str">
        <f>IF(OR(E579="",E579="!!!"),"",IF(NOT(ISNA(VLOOKUP(E579,E$1:E578,1,FALSE()))),"OLD",IF(AND(E579&lt;&gt;"",E579&lt;&gt;"!!!"),"NEW","")))</f>
        <v> </v>
      </c>
      <c r="G579" s="23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4" t="str">
        <f>IF(J579&lt;&gt;1,"",IF(I579="SBJ","CB","?"))</f>
        <v> </v>
      </c>
      <c r="I579" s="25" t="str">
        <f>IF(OR(E579="",E579="!!!",F579="NEW"),"",INDEX(B578:B$2,-1+SUMPRODUCT(MAX(ROW(E578:E$2)*(E579=E578:E$2)))))</f>
        <v> </v>
      </c>
      <c r="J579" s="25" t="str">
        <f>IF(OR(E579="",E579="!!!",F579="NEW"),"",COUNTBLANK(OFFSET(A$1,,,SUMPRODUCT(MAX(ROW(E$2:E579)*(E579=E$2:E579)))))-COUNTBLANK(OFFSET(A$1,,,SUMPRODUCT(MAX(ROW(E$1:E578)*(E2=E$1:E578))))))</f>
        <v> </v>
      </c>
      <c r="K579" s="25" t="str">
        <f>IF(OR(E579="",E579="!!!",F579="NEW"),"",INDEX(J$1:J578,SUMPRODUCT(MAX(ROW(E$1:E578)*(E579=E$1:E578)))))</f>
        <v> </v>
      </c>
      <c r="L579" s="26"/>
    </row>
    <row r="580" spans="1:12">
      <c r="A580" s="20" t="s">
        <v>344</v>
      </c>
      <c r="E580" s="21">
        <f>IF(D580="?OLD","!!!","")</f>
        <v/>
      </c>
      <c r="F580" s="22" t="str">
        <f>IF(OR(E580="",E580="!!!"),"",IF(NOT(ISNA(VLOOKUP(E580,E$1:E579,1,FALSE()))),"OLD",IF(AND(E580&lt;&gt;"",E580&lt;&gt;"!!!"),"NEW","")))</f>
        <v> </v>
      </c>
      <c r="G580" s="23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4" t="str">
        <f>IF(J580&lt;&gt;1,"",IF(I580="SBJ","CB","?"))</f>
        <v> </v>
      </c>
      <c r="I580" s="25" t="str">
        <f>IF(OR(E580="",E580="!!!",F580="NEW"),"",INDEX(B579:B$2,-1+SUMPRODUCT(MAX(ROW(E579:E$2)*(E580=E579:E$2)))))</f>
        <v> </v>
      </c>
      <c r="J580" s="25" t="str">
        <f>IF(OR(E580="",E580="!!!",F580="NEW"),"",COUNTBLANK(OFFSET(A$1,,,SUMPRODUCT(MAX(ROW(E$2:E580)*(E580=E$2:E580)))))-COUNTBLANK(OFFSET(A$1,,,SUMPRODUCT(MAX(ROW(E$1:E579)*(E2=E$1:E579))))))</f>
        <v> </v>
      </c>
      <c r="K580" s="25" t="str">
        <f>IF(OR(E580="",E580="!!!",F580="NEW"),"",INDEX(J$1:J579,SUMPRODUCT(MAX(ROW(E$1:E579)*(E580=E$1:E579)))))</f>
        <v> </v>
      </c>
      <c r="L580" s="26"/>
    </row>
    <row r="581" spans="1:12">
      <c r="A581" s="20" t="s">
        <v>178</v>
      </c>
      <c r="E581" s="21">
        <f>IF(D581="?OLD","!!!","")</f>
        <v/>
      </c>
      <c r="F581" s="22" t="str">
        <f>IF(OR(E581="",E581="!!!"),"",IF(NOT(ISNA(VLOOKUP(E581,E$1:E580,1,FALSE()))),"OLD",IF(AND(E581&lt;&gt;"",E581&lt;&gt;"!!!"),"NEW","")))</f>
        <v> </v>
      </c>
      <c r="G581" s="23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4" t="str">
        <f>IF(J581&lt;&gt;1,"",IF(I581="SBJ","CB","?"))</f>
        <v> </v>
      </c>
      <c r="I581" s="25" t="str">
        <f>IF(OR(E581="",E581="!!!",F581="NEW"),"",INDEX(B580:B$2,-1+SUMPRODUCT(MAX(ROW(E580:E$2)*(E581=E580:E$2)))))</f>
        <v> </v>
      </c>
      <c r="J581" s="25" t="str">
        <f>IF(OR(E581="",E581="!!!",F581="NEW"),"",COUNTBLANK(OFFSET(A$1,,,SUMPRODUCT(MAX(ROW(E$2:E581)*(E581=E$2:E581)))))-COUNTBLANK(OFFSET(A$1,,,SUMPRODUCT(MAX(ROW(E$1:E580)*(E2=E$1:E580))))))</f>
        <v> </v>
      </c>
      <c r="K581" s="25" t="str">
        <f>IF(OR(E581="",E581="!!!",F581="NEW"),"",INDEX(J$1:J580,SUMPRODUCT(MAX(ROW(E$1:E580)*(E581=E$1:E580)))))</f>
        <v> </v>
      </c>
      <c r="L581" s="26"/>
    </row>
    <row r="582" spans="1:12">
      <c r="A582" s="20" t="s">
        <v>204</v>
      </c>
      <c r="E582" s="21">
        <f>IF(D582="?OLD","!!!","")</f>
        <v/>
      </c>
      <c r="F582" s="22" t="str">
        <f>IF(OR(E582="",E582="!!!"),"",IF(NOT(ISNA(VLOOKUP(E582,E$1:E581,1,FALSE()))),"OLD",IF(AND(E582&lt;&gt;"",E582&lt;&gt;"!!!"),"NEW","")))</f>
        <v> </v>
      </c>
      <c r="G582" s="23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4" t="str">
        <f>IF(J582&lt;&gt;1,"",IF(I582="SBJ","CB","?"))</f>
        <v> </v>
      </c>
      <c r="I582" s="25" t="str">
        <f>IF(OR(E582="",E582="!!!",F582="NEW"),"",INDEX(B581:B$2,-1+SUMPRODUCT(MAX(ROW(E581:E$2)*(E582=E581:E$2)))))</f>
        <v> </v>
      </c>
      <c r="J582" s="25" t="str">
        <f>IF(OR(E582="",E582="!!!",F582="NEW"),"",COUNTBLANK(OFFSET(A$1,,,SUMPRODUCT(MAX(ROW(E$2:E582)*(E582=E$2:E582)))))-COUNTBLANK(OFFSET(A$1,,,SUMPRODUCT(MAX(ROW(E$1:E581)*(E2=E$1:E581))))))</f>
        <v> </v>
      </c>
      <c r="K582" s="25" t="str">
        <f>IF(OR(E582="",E582="!!!",F582="NEW"),"",INDEX(J$1:J581,SUMPRODUCT(MAX(ROW(E$1:E581)*(E582=E$1:E581)))))</f>
        <v> </v>
      </c>
      <c r="L582" s="26"/>
    </row>
    <row r="583" spans="1:12">
      <c r="A583" s="20" t="s">
        <v>21</v>
      </c>
      <c r="E583" s="21">
        <f>IF(D583="?OLD","!!!","")</f>
        <v/>
      </c>
      <c r="F583" s="22" t="str">
        <f>IF(OR(E583="",E583="!!!"),"",IF(NOT(ISNA(VLOOKUP(E583,E$1:E582,1,FALSE()))),"OLD",IF(AND(E583&lt;&gt;"",E583&lt;&gt;"!!!"),"NEW","")))</f>
        <v> </v>
      </c>
      <c r="G583" s="23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4" t="str">
        <f>IF(J583&lt;&gt;1,"",IF(I583="SBJ","CB","?"))</f>
        <v> </v>
      </c>
      <c r="I583" s="25" t="str">
        <f>IF(OR(E583="",E583="!!!",F583="NEW"),"",INDEX(B582:B$2,-1+SUMPRODUCT(MAX(ROW(E582:E$2)*(E583=E582:E$2)))))</f>
        <v> </v>
      </c>
      <c r="J583" s="25" t="str">
        <f>IF(OR(E583="",E583="!!!",F583="NEW"),"",COUNTBLANK(OFFSET(A$1,,,SUMPRODUCT(MAX(ROW(E$2:E583)*(E583=E$2:E583)))))-COUNTBLANK(OFFSET(A$1,,,SUMPRODUCT(MAX(ROW(E$1:E582)*(E2=E$1:E582))))))</f>
        <v> </v>
      </c>
      <c r="K583" s="25" t="str">
        <f>IF(OR(E583="",E583="!!!",F583="NEW"),"",INDEX(J$1:J582,SUMPRODUCT(MAX(ROW(E$1:E582)*(E583=E$1:E582)))))</f>
        <v> </v>
      </c>
      <c r="L583" s="26"/>
    </row>
    <row r="584" spans="1:12">
      <c r="A584" s="20" t="s">
        <v>157</v>
      </c>
      <c r="E584" s="21">
        <f>IF(D584="?OLD","!!!","")</f>
        <v/>
      </c>
      <c r="F584" s="22" t="str">
        <f>IF(OR(E584="",E584="!!!"),"",IF(NOT(ISNA(VLOOKUP(E584,E$1:E583,1,FALSE()))),"OLD",IF(AND(E584&lt;&gt;"",E584&lt;&gt;"!!!"),"NEW","")))</f>
        <v> </v>
      </c>
      <c r="G584" s="23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4" t="str">
        <f>IF(J584&lt;&gt;1,"",IF(I584="SBJ","CB","?"))</f>
        <v> </v>
      </c>
      <c r="I584" s="25" t="str">
        <f>IF(OR(E584="",E584="!!!",F584="NEW"),"",INDEX(B583:B$2,-1+SUMPRODUCT(MAX(ROW(E583:E$2)*(E584=E583:E$2)))))</f>
        <v> </v>
      </c>
      <c r="J584" s="25" t="str">
        <f>IF(OR(E584="",E584="!!!",F584="NEW"),"",COUNTBLANK(OFFSET(A$1,,,SUMPRODUCT(MAX(ROW(E$2:E584)*(E584=E$2:E584)))))-COUNTBLANK(OFFSET(A$1,,,SUMPRODUCT(MAX(ROW(E$1:E583)*(E2=E$1:E583))))))</f>
        <v> </v>
      </c>
      <c r="K584" s="25" t="str">
        <f>IF(OR(E584="",E584="!!!",F584="NEW"),"",INDEX(J$1:J583,SUMPRODUCT(MAX(ROW(E$1:E583)*(E584=E$1:E583)))))</f>
        <v> </v>
      </c>
      <c r="L584" s="26"/>
    </row>
    <row r="585" spans="1:12">
      <c r="A585" s="20" t="s">
        <v>335</v>
      </c>
      <c r="E585" s="21">
        <f>IF(D585="?OLD","!!!","")</f>
        <v/>
      </c>
      <c r="F585" s="22" t="str">
        <f>IF(OR(E585="",E585="!!!"),"",IF(NOT(ISNA(VLOOKUP(E585,E$1:E584,1,FALSE()))),"OLD",IF(AND(E585&lt;&gt;"",E585&lt;&gt;"!!!"),"NEW","")))</f>
        <v> </v>
      </c>
      <c r="G585" s="23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4" t="str">
        <f>IF(J585&lt;&gt;1,"",IF(I585="SBJ","CB","?"))</f>
        <v> </v>
      </c>
      <c r="I585" s="25" t="str">
        <f>IF(OR(E585="",E585="!!!",F585="NEW"),"",INDEX(B584:B$2,-1+SUMPRODUCT(MAX(ROW(E584:E$2)*(E585=E584:E$2)))))</f>
        <v> </v>
      </c>
      <c r="J585" s="25" t="str">
        <f>IF(OR(E585="",E585="!!!",F585="NEW"),"",COUNTBLANK(OFFSET(A$1,,,SUMPRODUCT(MAX(ROW(E$2:E585)*(E585=E$2:E585)))))-COUNTBLANK(OFFSET(A$1,,,SUMPRODUCT(MAX(ROW(E$1:E584)*(E2=E$1:E584))))))</f>
        <v> </v>
      </c>
      <c r="K585" s="25" t="str">
        <f>IF(OR(E585="",E585="!!!",F585="NEW"),"",INDEX(J$1:J584,SUMPRODUCT(MAX(ROW(E$1:E584)*(E585=E$1:E584)))))</f>
        <v> </v>
      </c>
      <c r="L585" s="26"/>
    </row>
    <row r="586" spans="1:12">
      <c r="A586" s="20" t="s">
        <v>385</v>
      </c>
      <c r="E586" s="21">
        <f>IF(D586="?OLD","!!!","")</f>
        <v/>
      </c>
      <c r="F586" s="22" t="str">
        <f>IF(OR(E586="",E586="!!!"),"",IF(NOT(ISNA(VLOOKUP(E586,E$1:E585,1,FALSE()))),"OLD",IF(AND(E586&lt;&gt;"",E586&lt;&gt;"!!!"),"NEW","")))</f>
        <v> </v>
      </c>
      <c r="G586" s="23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4" t="str">
        <f>IF(J586&lt;&gt;1,"",IF(I586="SBJ","CB","?"))</f>
        <v> </v>
      </c>
      <c r="I586" s="25" t="str">
        <f>IF(OR(E586="",E586="!!!",F586="NEW"),"",INDEX(B585:B$2,-1+SUMPRODUCT(MAX(ROW(E585:E$2)*(E586=E585:E$2)))))</f>
        <v> </v>
      </c>
      <c r="J586" s="25" t="str">
        <f>IF(OR(E586="",E586="!!!",F586="NEW"),"",COUNTBLANK(OFFSET(A$1,,,SUMPRODUCT(MAX(ROW(E$2:E586)*(E586=E$2:E586)))))-COUNTBLANK(OFFSET(A$1,,,SUMPRODUCT(MAX(ROW(E$1:E585)*(E2=E$1:E585))))))</f>
        <v> </v>
      </c>
      <c r="K586" s="25" t="str">
        <f>IF(OR(E586="",E586="!!!",F586="NEW"),"",INDEX(J$1:J585,SUMPRODUCT(MAX(ROW(E$1:E585)*(E586=E$1:E585)))))</f>
        <v> </v>
      </c>
      <c r="L586" s="26"/>
    </row>
    <row r="587" spans="1:12">
      <c r="A587" s="20" t="s">
        <v>159</v>
      </c>
      <c r="E587" s="21">
        <f>IF(D587="?OLD","!!!","")</f>
        <v/>
      </c>
      <c r="F587" s="22" t="str">
        <f>IF(OR(E587="",E587="!!!"),"",IF(NOT(ISNA(VLOOKUP(E587,E$1:E586,1,FALSE()))),"OLD",IF(AND(E587&lt;&gt;"",E587&lt;&gt;"!!!"),"NEW","")))</f>
        <v> </v>
      </c>
      <c r="G587" s="23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4" t="str">
        <f>IF(J587&lt;&gt;1,"",IF(I587="SBJ","CB","?"))</f>
        <v> </v>
      </c>
      <c r="I587" s="25" t="str">
        <f>IF(OR(E587="",E587="!!!",F587="NEW"),"",INDEX(B586:B$2,-1+SUMPRODUCT(MAX(ROW(E586:E$2)*(E587=E586:E$2)))))</f>
        <v> </v>
      </c>
      <c r="J587" s="25" t="str">
        <f>IF(OR(E587="",E587="!!!",F587="NEW"),"",COUNTBLANK(OFFSET(A$1,,,SUMPRODUCT(MAX(ROW(E$2:E587)*(E587=E$2:E587)))))-COUNTBLANK(OFFSET(A$1,,,SUMPRODUCT(MAX(ROW(E$1:E586)*(E2=E$1:E586))))))</f>
        <v> </v>
      </c>
      <c r="K587" s="25" t="str">
        <f>IF(OR(E587="",E587="!!!",F587="NEW"),"",INDEX(J$1:J586,SUMPRODUCT(MAX(ROW(E$1:E586)*(E587=E$1:E586)))))</f>
        <v> </v>
      </c>
      <c r="L587" s="26"/>
    </row>
    <row r="588" spans="1:12">
      <c r="A588" s="20" t="s">
        <v>386</v>
      </c>
      <c r="B588" s="27" t="s">
        <v>387</v>
      </c>
      <c r="C588" s="27" t="s">
        <v>142</v>
      </c>
      <c r="D588" s="27" t="s">
        <v>143</v>
      </c>
      <c r="E588" s="21">
        <f>IF(D588="?OLD","!!!","")</f>
        <v/>
      </c>
      <c r="F588" s="22" t="str">
        <f>IF(OR(E588="",E588="!!!"),"",IF(NOT(ISNA(VLOOKUP(E588,E$1:E587,1,FALSE()))),"OLD",IF(AND(E588&lt;&gt;"",E588&lt;&gt;"!!!"),"NEW","")))</f>
        <v> </v>
      </c>
      <c r="G588" s="23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4" t="str">
        <f>IF(J588&lt;&gt;1,"",IF(I588="SBJ","CB","?"))</f>
        <v> </v>
      </c>
      <c r="I588" s="25" t="str">
        <f>IF(OR(E588="",E588="!!!",F588="NEW"),"",INDEX(B587:B$2,-1+SUMPRODUCT(MAX(ROW(E587:E$2)*(E588=E587:E$2)))))</f>
        <v> </v>
      </c>
      <c r="J588" s="25" t="str">
        <f>IF(OR(E588="",E588="!!!",F588="NEW"),"",COUNTBLANK(OFFSET(A$1,,,SUMPRODUCT(MAX(ROW(E$2:E588)*(E588=E$2:E588)))))-COUNTBLANK(OFFSET(A$1,,,SUMPRODUCT(MAX(ROW(E$1:E587)*(E2=E$1:E587))))))</f>
        <v> </v>
      </c>
      <c r="K588" s="25" t="str">
        <f>IF(OR(E588="",E588="!!!",F588="NEW"),"",INDEX(J$1:J587,SUMPRODUCT(MAX(ROW(E$1:E587)*(E588=E$1:E587)))))</f>
        <v> </v>
      </c>
      <c r="L588" s="26"/>
    </row>
    <row r="589" spans="1:12">
      <c r="A589" s="20" t="s">
        <v>388</v>
      </c>
      <c r="E589" s="21">
        <f>IF(D589="?OLD","!!!","")</f>
        <v/>
      </c>
      <c r="F589" s="22" t="str">
        <f>IF(OR(E589="",E589="!!!"),"",IF(NOT(ISNA(VLOOKUP(E589,E$1:E588,1,FALSE()))),"OLD",IF(AND(E589&lt;&gt;"",E589&lt;&gt;"!!!"),"NEW","")))</f>
        <v> </v>
      </c>
      <c r="G589" s="23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4" t="str">
        <f>IF(J589&lt;&gt;1,"",IF(I589="SBJ","CB","?"))</f>
        <v> </v>
      </c>
      <c r="I589" s="25" t="str">
        <f>IF(OR(E589="",E589="!!!",F589="NEW"),"",INDEX(B588:B$2,-1+SUMPRODUCT(MAX(ROW(E588:E$2)*(E589=E588:E$2)))))</f>
        <v> </v>
      </c>
      <c r="J589" s="25" t="str">
        <f>IF(OR(E589="",E589="!!!",F589="NEW"),"",COUNTBLANK(OFFSET(A$1,,,SUMPRODUCT(MAX(ROW(E$2:E589)*(E589=E$2:E589)))))-COUNTBLANK(OFFSET(A$1,,,SUMPRODUCT(MAX(ROW(E$1:E588)*(E2=E$1:E588))))))</f>
        <v> </v>
      </c>
      <c r="K589" s="25" t="str">
        <f>IF(OR(E589="",E589="!!!",F589="NEW"),"",INDEX(J$1:J588,SUMPRODUCT(MAX(ROW(E$1:E588)*(E589=E$1:E588)))))</f>
        <v> </v>
      </c>
      <c r="L589" s="26"/>
    </row>
    <row r="590" spans="1:12">
      <c r="A590" s="20" t="s">
        <v>389</v>
      </c>
      <c r="B590" s="27" t="s">
        <v>390</v>
      </c>
      <c r="C590" s="27" t="s">
        <v>161</v>
      </c>
      <c r="D590" s="27" t="s">
        <v>143</v>
      </c>
      <c r="E590" s="21">
        <f>IF(D590="?OLD","!!!","")</f>
        <v/>
      </c>
      <c r="F590" s="22" t="str">
        <f>IF(OR(E590="",E590="!!!"),"",IF(NOT(ISNA(VLOOKUP(E590,E$1:E589,1,FALSE()))),"OLD",IF(AND(E590&lt;&gt;"",E590&lt;&gt;"!!!"),"NEW","")))</f>
        <v> </v>
      </c>
      <c r="G590" s="23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4" t="str">
        <f>IF(J590&lt;&gt;1,"",IF(I590="SBJ","CB","?"))</f>
        <v> </v>
      </c>
      <c r="I590" s="25" t="str">
        <f>IF(OR(E590="",E590="!!!",F590="NEW"),"",INDEX(B589:B$2,-1+SUMPRODUCT(MAX(ROW(E589:E$2)*(E590=E589:E$2)))))</f>
        <v> </v>
      </c>
      <c r="J590" s="25" t="str">
        <f>IF(OR(E590="",E590="!!!",F590="NEW"),"",COUNTBLANK(OFFSET(A$1,,,SUMPRODUCT(MAX(ROW(E$2:E590)*(E590=E$2:E590)))))-COUNTBLANK(OFFSET(A$1,,,SUMPRODUCT(MAX(ROW(E$1:E589)*(E2=E$1:E589))))))</f>
        <v> </v>
      </c>
      <c r="K590" s="25" t="str">
        <f>IF(OR(E590="",E590="!!!",F590="NEW"),"",INDEX(J$1:J589,SUMPRODUCT(MAX(ROW(E$1:E589)*(E590=E$1:E589)))))</f>
        <v> </v>
      </c>
      <c r="L590" s="26"/>
    </row>
    <row r="591" spans="1:12">
      <c r="A591" s="20" t="s">
        <v>157</v>
      </c>
      <c r="E591" s="21">
        <f>IF(D591="?OLD","!!!","")</f>
        <v/>
      </c>
      <c r="F591" s="22" t="str">
        <f>IF(OR(E591="",E591="!!!"),"",IF(NOT(ISNA(VLOOKUP(E591,E$1:E590,1,FALSE()))),"OLD",IF(AND(E591&lt;&gt;"",E591&lt;&gt;"!!!"),"NEW","")))</f>
        <v> </v>
      </c>
      <c r="G591" s="23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4" t="str">
        <f>IF(J591&lt;&gt;1,"",IF(I591="SBJ","CB","?"))</f>
        <v> </v>
      </c>
      <c r="I591" s="25" t="str">
        <f>IF(OR(E591="",E591="!!!",F591="NEW"),"",INDEX(B590:B$2,-1+SUMPRODUCT(MAX(ROW(E590:E$2)*(E591=E590:E$2)))))</f>
        <v> </v>
      </c>
      <c r="J591" s="25" t="str">
        <f>IF(OR(E591="",E591="!!!",F591="NEW"),"",COUNTBLANK(OFFSET(A$1,,,SUMPRODUCT(MAX(ROW(E$2:E591)*(E591=E$2:E591)))))-COUNTBLANK(OFFSET(A$1,,,SUMPRODUCT(MAX(ROW(E$1:E590)*(E2=E$1:E590))))))</f>
        <v> </v>
      </c>
      <c r="K591" s="25" t="str">
        <f>IF(OR(E591="",E591="!!!",F591="NEW"),"",INDEX(J$1:J590,SUMPRODUCT(MAX(ROW(E$1:E590)*(E591=E$1:E590)))))</f>
        <v> </v>
      </c>
      <c r="L591" s="26"/>
    </row>
    <row r="592" spans="1:12">
      <c r="A592" s="20" t="s">
        <v>288</v>
      </c>
      <c r="E592" s="21">
        <f>IF(D592="?OLD","!!!","")</f>
        <v/>
      </c>
      <c r="F592" s="22" t="str">
        <f>IF(OR(E592="",E592="!!!"),"",IF(NOT(ISNA(VLOOKUP(E592,E$1:E591,1,FALSE()))),"OLD",IF(AND(E592&lt;&gt;"",E592&lt;&gt;"!!!"),"NEW","")))</f>
        <v> </v>
      </c>
      <c r="G592" s="23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4" t="str">
        <f>IF(J592&lt;&gt;1,"",IF(I592="SBJ","CB","?"))</f>
        <v> </v>
      </c>
      <c r="I592" s="25" t="str">
        <f>IF(OR(E592="",E592="!!!",F592="NEW"),"",INDEX(B591:B$2,-1+SUMPRODUCT(MAX(ROW(E591:E$2)*(E592=E591:E$2)))))</f>
        <v> </v>
      </c>
      <c r="J592" s="25" t="str">
        <f>IF(OR(E592="",E592="!!!",F592="NEW"),"",COUNTBLANK(OFFSET(A$1,,,SUMPRODUCT(MAX(ROW(E$2:E592)*(E592=E$2:E592)))))-COUNTBLANK(OFFSET(A$1,,,SUMPRODUCT(MAX(ROW(E$1:E591)*(E2=E$1:E591))))))</f>
        <v> </v>
      </c>
      <c r="K592" s="25" t="str">
        <f>IF(OR(E592="",E592="!!!",F592="NEW"),"",INDEX(J$1:J591,SUMPRODUCT(MAX(ROW(E$1:E591)*(E592=E$1:E591)))))</f>
        <v> </v>
      </c>
      <c r="L592" s="26"/>
    </row>
    <row r="593" spans="1:12">
      <c r="A593" s="20" t="s">
        <v>391</v>
      </c>
      <c r="B593" s="27" t="s">
        <v>390</v>
      </c>
      <c r="C593" s="27" t="s">
        <v>172</v>
      </c>
      <c r="E593" s="21">
        <f>IF(D593="?OLD","!!!","")</f>
        <v/>
      </c>
      <c r="F593" s="22" t="str">
        <f>IF(OR(E593="",E593="!!!"),"",IF(NOT(ISNA(VLOOKUP(E593,E$1:E592,1,FALSE()))),"OLD",IF(AND(E593&lt;&gt;"",E593&lt;&gt;"!!!"),"NEW","")))</f>
        <v> </v>
      </c>
      <c r="G593" s="23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4" t="str">
        <f>IF(J593&lt;&gt;1,"",IF(I593="SBJ","CB","?"))</f>
        <v> </v>
      </c>
      <c r="I593" s="25" t="str">
        <f>IF(OR(E593="",E593="!!!",F593="NEW"),"",INDEX(B592:B$2,-1+SUMPRODUCT(MAX(ROW(E592:E$2)*(E593=E592:E$2)))))</f>
        <v> </v>
      </c>
      <c r="J593" s="25" t="str">
        <f>IF(OR(E593="",E593="!!!",F593="NEW"),"",COUNTBLANK(OFFSET(A$1,,,SUMPRODUCT(MAX(ROW(E$2:E593)*(E593=E$2:E593)))))-COUNTBLANK(OFFSET(A$1,,,SUMPRODUCT(MAX(ROW(E$1:E592)*(E2=E$1:E592))))))</f>
        <v> </v>
      </c>
      <c r="K593" s="25" t="str">
        <f>IF(OR(E593="",E593="!!!",F593="NEW"),"",INDEX(J$1:J592,SUMPRODUCT(MAX(ROW(E$1:E592)*(E593=E$1:E592)))))</f>
        <v> </v>
      </c>
      <c r="L593" s="26"/>
    </row>
    <row r="594" spans="1:12">
      <c r="A594" s="20" t="s">
        <v>344</v>
      </c>
      <c r="E594" s="21">
        <f>IF(D594="?OLD","!!!","")</f>
        <v/>
      </c>
      <c r="F594" s="22" t="str">
        <f>IF(OR(E594="",E594="!!!"),"",IF(NOT(ISNA(VLOOKUP(E594,E$1:E593,1,FALSE()))),"OLD",IF(AND(E594&lt;&gt;"",E594&lt;&gt;"!!!"),"NEW","")))</f>
        <v> </v>
      </c>
      <c r="G594" s="23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4" t="str">
        <f>IF(J594&lt;&gt;1,"",IF(I594="SBJ","CB","?"))</f>
        <v> </v>
      </c>
      <c r="I594" s="25" t="str">
        <f>IF(OR(E594="",E594="!!!",F594="NEW"),"",INDEX(B593:B$2,-1+SUMPRODUCT(MAX(ROW(E593:E$2)*(E594=E593:E$2)))))</f>
        <v> </v>
      </c>
      <c r="J594" s="25" t="str">
        <f>IF(OR(E594="",E594="!!!",F594="NEW"),"",COUNTBLANK(OFFSET(A$1,,,SUMPRODUCT(MAX(ROW(E$2:E594)*(E594=E$2:E594)))))-COUNTBLANK(OFFSET(A$1,,,SUMPRODUCT(MAX(ROW(E$1:E593)*(E2=E$1:E593))))))</f>
        <v> </v>
      </c>
      <c r="K594" s="25" t="str">
        <f>IF(OR(E594="",E594="!!!",F594="NEW"),"",INDEX(J$1:J593,SUMPRODUCT(MAX(ROW(E$1:E593)*(E594=E$1:E593)))))</f>
        <v> </v>
      </c>
      <c r="L594" s="26"/>
    </row>
    <row r="595" spans="1:12">
      <c r="A595" s="20" t="s">
        <v>298</v>
      </c>
      <c r="B595" s="27" t="s">
        <v>392</v>
      </c>
      <c r="C595" s="27" t="s">
        <v>176</v>
      </c>
      <c r="D595" s="27" t="s">
        <v>143</v>
      </c>
      <c r="E595" s="21">
        <f>IF(D595="?OLD","!!!","")</f>
        <v/>
      </c>
      <c r="F595" s="22" t="str">
        <f>IF(OR(E595="",E595="!!!"),"",IF(NOT(ISNA(VLOOKUP(E595,E$1:E594,1,FALSE()))),"OLD",IF(AND(E595&lt;&gt;"",E595&lt;&gt;"!!!"),"NEW","")))</f>
        <v> </v>
      </c>
      <c r="G595" s="23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4" t="str">
        <f>IF(J595&lt;&gt;1,"",IF(I595="SBJ","CB","?"))</f>
        <v> </v>
      </c>
      <c r="I595" s="25" t="str">
        <f>IF(OR(E595="",E595="!!!",F595="NEW"),"",INDEX(B594:B$2,-1+SUMPRODUCT(MAX(ROW(E594:E$2)*(E595=E594:E$2)))))</f>
        <v> </v>
      </c>
      <c r="J595" s="25" t="str">
        <f>IF(OR(E595="",E595="!!!",F595="NEW"),"",COUNTBLANK(OFFSET(A$1,,,SUMPRODUCT(MAX(ROW(E$2:E595)*(E595=E$2:E595)))))-COUNTBLANK(OFFSET(A$1,,,SUMPRODUCT(MAX(ROW(E$1:E594)*(E2=E$1:E594))))))</f>
        <v> </v>
      </c>
      <c r="K595" s="25" t="str">
        <f>IF(OR(E595="",E595="!!!",F595="NEW"),"",INDEX(J$1:J594,SUMPRODUCT(MAX(ROW(E$1:E594)*(E595=E$1:E594)))))</f>
        <v> </v>
      </c>
      <c r="L595" s="26"/>
    </row>
    <row r="596" spans="1:12">
      <c r="A596" s="20" t="s">
        <v>393</v>
      </c>
      <c r="B596" s="27" t="s">
        <v>394</v>
      </c>
      <c r="E596" s="21">
        <f>IF(D596="?OLD","!!!","")</f>
        <v/>
      </c>
      <c r="F596" s="22" t="str">
        <f>IF(OR(E596="",E596="!!!"),"",IF(NOT(ISNA(VLOOKUP(E596,E$1:E595,1,FALSE()))),"OLD",IF(AND(E596&lt;&gt;"",E596&lt;&gt;"!!!"),"NEW","")))</f>
        <v> </v>
      </c>
      <c r="G596" s="23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4" t="str">
        <f>IF(J596&lt;&gt;1,"",IF(I596="SBJ","CB","?"))</f>
        <v> </v>
      </c>
      <c r="I596" s="25" t="str">
        <f>IF(OR(E596="",E596="!!!",F596="NEW"),"",INDEX(B595:B$2,-1+SUMPRODUCT(MAX(ROW(E595:E$2)*(E596=E595:E$2)))))</f>
        <v> </v>
      </c>
      <c r="J596" s="25" t="str">
        <f>IF(OR(E596="",E596="!!!",F596="NEW"),"",COUNTBLANK(OFFSET(A$1,,,SUMPRODUCT(MAX(ROW(E$2:E596)*(E596=E$2:E596)))))-COUNTBLANK(OFFSET(A$1,,,SUMPRODUCT(MAX(ROW(E$1:E595)*(E2=E$1:E595))))))</f>
        <v> </v>
      </c>
      <c r="K596" s="25" t="str">
        <f>IF(OR(E596="",E596="!!!",F596="NEW"),"",INDEX(J$1:J595,SUMPRODUCT(MAX(ROW(E$1:E595)*(E596=E$1:E595)))))</f>
        <v> </v>
      </c>
      <c r="L596" s="26"/>
    </row>
    <row r="597" spans="1:12">
      <c r="A597" s="20" t="s">
        <v>395</v>
      </c>
      <c r="E597" s="21">
        <f>IF(D597="?OLD","!!!","")</f>
        <v/>
      </c>
      <c r="F597" s="22" t="str">
        <f>IF(OR(E597="",E597="!!!"),"",IF(NOT(ISNA(VLOOKUP(E597,E$1:E596,1,FALSE()))),"OLD",IF(AND(E597&lt;&gt;"",E597&lt;&gt;"!!!"),"NEW","")))</f>
        <v> </v>
      </c>
      <c r="G597" s="23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4" t="str">
        <f>IF(J597&lt;&gt;1,"",IF(I597="SBJ","CB","?"))</f>
        <v> </v>
      </c>
      <c r="I597" s="25" t="str">
        <f>IF(OR(E597="",E597="!!!",F597="NEW"),"",INDEX(B596:B$2,-1+SUMPRODUCT(MAX(ROW(E596:E$2)*(E597=E596:E$2)))))</f>
        <v> </v>
      </c>
      <c r="J597" s="25" t="str">
        <f>IF(OR(E597="",E597="!!!",F597="NEW"),"",COUNTBLANK(OFFSET(A$1,,,SUMPRODUCT(MAX(ROW(E$2:E597)*(E597=E$2:E597)))))-COUNTBLANK(OFFSET(A$1,,,SUMPRODUCT(MAX(ROW(E$1:E596)*(E2=E$1:E596))))))</f>
        <v> </v>
      </c>
      <c r="K597" s="25" t="str">
        <f>IF(OR(E597="",E597="!!!",F597="NEW"),"",INDEX(J$1:J596,SUMPRODUCT(MAX(ROW(E$1:E596)*(E597=E$1:E596)))))</f>
        <v> </v>
      </c>
      <c r="L597" s="26"/>
    </row>
    <row r="598" spans="1:12">
      <c r="A598" s="20" t="s">
        <v>396</v>
      </c>
      <c r="E598" s="21">
        <f>IF(D598="?OLD","!!!","")</f>
        <v/>
      </c>
      <c r="F598" s="22" t="str">
        <f>IF(OR(E598="",E598="!!!"),"",IF(NOT(ISNA(VLOOKUP(E598,E$1:E597,1,FALSE()))),"OLD",IF(AND(E598&lt;&gt;"",E598&lt;&gt;"!!!"),"NEW","")))</f>
        <v> </v>
      </c>
      <c r="G598" s="23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4" t="str">
        <f>IF(J598&lt;&gt;1,"",IF(I598="SBJ","CB","?"))</f>
        <v> </v>
      </c>
      <c r="I598" s="25" t="str">
        <f>IF(OR(E598="",E598="!!!",F598="NEW"),"",INDEX(B597:B$2,-1+SUMPRODUCT(MAX(ROW(E597:E$2)*(E598=E597:E$2)))))</f>
        <v> </v>
      </c>
      <c r="J598" s="25" t="str">
        <f>IF(OR(E598="",E598="!!!",F598="NEW"),"",COUNTBLANK(OFFSET(A$1,,,SUMPRODUCT(MAX(ROW(E$2:E598)*(E598=E$2:E598)))))-COUNTBLANK(OFFSET(A$1,,,SUMPRODUCT(MAX(ROW(E$1:E597)*(E2=E$1:E597))))))</f>
        <v> </v>
      </c>
      <c r="K598" s="25" t="str">
        <f>IF(OR(E598="",E598="!!!",F598="NEW"),"",INDEX(J$1:J597,SUMPRODUCT(MAX(ROW(E$1:E597)*(E598=E$1:E597)))))</f>
        <v> </v>
      </c>
      <c r="L598" s="26"/>
    </row>
    <row r="599" spans="1:12">
      <c r="A599" s="20" t="s">
        <v>346</v>
      </c>
      <c r="B599" s="27" t="s">
        <v>397</v>
      </c>
      <c r="C599" s="27" t="s">
        <v>149</v>
      </c>
      <c r="E599" s="21">
        <f>IF(D599="?OLD","!!!","")</f>
        <v/>
      </c>
      <c r="F599" s="22" t="str">
        <f>IF(OR(E599="",E599="!!!"),"",IF(NOT(ISNA(VLOOKUP(E599,E$1:E598,1,FALSE()))),"OLD",IF(AND(E599&lt;&gt;"",E599&lt;&gt;"!!!"),"NEW","")))</f>
        <v> </v>
      </c>
      <c r="G599" s="23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4" t="str">
        <f>IF(J599&lt;&gt;1,"",IF(I599="SBJ","CB","?"))</f>
        <v> </v>
      </c>
      <c r="I599" s="25" t="str">
        <f>IF(OR(E599="",E599="!!!",F599="NEW"),"",INDEX(B598:B$2,-1+SUMPRODUCT(MAX(ROW(E598:E$2)*(E599=E598:E$2)))))</f>
        <v> </v>
      </c>
      <c r="J599" s="25" t="str">
        <f>IF(OR(E599="",E599="!!!",F599="NEW"),"",COUNTBLANK(OFFSET(A$1,,,SUMPRODUCT(MAX(ROW(E$2:E599)*(E599=E$2:E599)))))-COUNTBLANK(OFFSET(A$1,,,SUMPRODUCT(MAX(ROW(E$1:E598)*(E2=E$1:E598))))))</f>
        <v> </v>
      </c>
      <c r="K599" s="25" t="str">
        <f>IF(OR(E599="",E599="!!!",F599="NEW"),"",INDEX(J$1:J598,SUMPRODUCT(MAX(ROW(E$1:E598)*(E599=E$1:E598)))))</f>
        <v> </v>
      </c>
      <c r="L599" s="26"/>
    </row>
    <row r="600" spans="1:12">
      <c r="A600" s="20" t="s">
        <v>347</v>
      </c>
      <c r="B600" s="27" t="s">
        <v>398</v>
      </c>
      <c r="C600" s="27" t="s">
        <v>172</v>
      </c>
      <c r="E600" s="21">
        <f>IF(D600="?OLD","!!!","")</f>
        <v/>
      </c>
      <c r="F600" s="22" t="str">
        <f>IF(OR(E600="",E600="!!!"),"",IF(NOT(ISNA(VLOOKUP(E600,E$1:E599,1,FALSE()))),"OLD",IF(AND(E600&lt;&gt;"",E600&lt;&gt;"!!!"),"NEW","")))</f>
        <v> </v>
      </c>
      <c r="G600" s="23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4" t="str">
        <f>IF(J600&lt;&gt;1,"",IF(I600="SBJ","CB","?"))</f>
        <v> </v>
      </c>
      <c r="I600" s="25" t="str">
        <f>IF(OR(E600="",E600="!!!",F600="NEW"),"",INDEX(B599:B$2,-1+SUMPRODUCT(MAX(ROW(E599:E$2)*(E600=E599:E$2)))))</f>
        <v> </v>
      </c>
      <c r="J600" s="25" t="str">
        <f>IF(OR(E600="",E600="!!!",F600="NEW"),"",COUNTBLANK(OFFSET(A$1,,,SUMPRODUCT(MAX(ROW(E$2:E600)*(E600=E$2:E600)))))-COUNTBLANK(OFFSET(A$1,,,SUMPRODUCT(MAX(ROW(E$1:E599)*(E2=E$1:E599))))))</f>
        <v> </v>
      </c>
      <c r="K600" s="25" t="str">
        <f>IF(OR(E600="",E600="!!!",F600="NEW"),"",INDEX(J$1:J599,SUMPRODUCT(MAX(ROW(E$1:E599)*(E600=E$1:E599)))))</f>
        <v> </v>
      </c>
      <c r="L600" s="26"/>
    </row>
    <row r="601" spans="1:12">
      <c r="A601" s="20" t="s">
        <v>348</v>
      </c>
      <c r="E601" s="21">
        <f>IF(D601="?OLD","!!!","")</f>
        <v/>
      </c>
      <c r="F601" s="22" t="str">
        <f>IF(OR(E601="",E601="!!!"),"",IF(NOT(ISNA(VLOOKUP(E601,E$1:E600,1,FALSE()))),"OLD",IF(AND(E601&lt;&gt;"",E601&lt;&gt;"!!!"),"NEW","")))</f>
        <v> </v>
      </c>
      <c r="G601" s="23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4" t="str">
        <f>IF(J601&lt;&gt;1,"",IF(I601="SBJ","CB","?"))</f>
        <v> </v>
      </c>
      <c r="I601" s="25" t="str">
        <f>IF(OR(E601="",E601="!!!",F601="NEW"),"",INDEX(B600:B$2,-1+SUMPRODUCT(MAX(ROW(E600:E$2)*(E601=E600:E$2)))))</f>
        <v> </v>
      </c>
      <c r="J601" s="25" t="str">
        <f>IF(OR(E601="",E601="!!!",F601="NEW"),"",COUNTBLANK(OFFSET(A$1,,,SUMPRODUCT(MAX(ROW(E$2:E601)*(E601=E$2:E601)))))-COUNTBLANK(OFFSET(A$1,,,SUMPRODUCT(MAX(ROW(E$1:E600)*(E2=E$1:E600))))))</f>
        <v> </v>
      </c>
      <c r="K601" s="25" t="str">
        <f>IF(OR(E601="",E601="!!!",F601="NEW"),"",INDEX(J$1:J600,SUMPRODUCT(MAX(ROW(E$1:E600)*(E601=E$1:E600)))))</f>
        <v> </v>
      </c>
      <c r="L601" s="26"/>
    </row>
    <row r="602" spans="1:12">
      <c r="A602" s="20" t="s">
        <v>211</v>
      </c>
      <c r="E602" s="21">
        <f>IF(D602="?OLD","!!!","")</f>
        <v/>
      </c>
      <c r="F602" s="22" t="str">
        <f>IF(OR(E602="",E602="!!!"),"",IF(NOT(ISNA(VLOOKUP(E602,E$1:E601,1,FALSE()))),"OLD",IF(AND(E602&lt;&gt;"",E602&lt;&gt;"!!!"),"NEW","")))</f>
        <v> </v>
      </c>
      <c r="G602" s="23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4" t="str">
        <f>IF(J602&lt;&gt;1,"",IF(I602="SBJ","CB","?"))</f>
        <v> </v>
      </c>
      <c r="I602" s="25" t="str">
        <f>IF(OR(E602="",E602="!!!",F602="NEW"),"",INDEX(B601:B$2,-1+SUMPRODUCT(MAX(ROW(E601:E$2)*(E602=E601:E$2)))))</f>
        <v> </v>
      </c>
      <c r="J602" s="25" t="str">
        <f>IF(OR(E602="",E602="!!!",F602="NEW"),"",COUNTBLANK(OFFSET(A$1,,,SUMPRODUCT(MAX(ROW(E$2:E602)*(E602=E$2:E602)))))-COUNTBLANK(OFFSET(A$1,,,SUMPRODUCT(MAX(ROW(E$1:E601)*(E2=E$1:E601))))))</f>
        <v> </v>
      </c>
      <c r="K602" s="25" t="str">
        <f>IF(OR(E602="",E602="!!!",F602="NEW"),"",INDEX(J$1:J601,SUMPRODUCT(MAX(ROW(E$1:E601)*(E602=E$1:E601)))))</f>
        <v> </v>
      </c>
      <c r="L602" s="26"/>
    </row>
    <row r="603" spans="1:12">
      <c r="A603" s="20"/>
    </row>
    <row r="604" spans="1:12">
      <c r="A604" s="20" t="s">
        <v>399</v>
      </c>
    </row>
    <row r="605" spans="1:12">
      <c r="A605" s="20" t="s">
        <v>400</v>
      </c>
      <c r="B605" s="27" t="s">
        <v>171</v>
      </c>
      <c r="C605" s="27" t="s">
        <v>172</v>
      </c>
      <c r="E605" s="21">
        <f>IF(D605="?OLD","!!!","")</f>
        <v/>
      </c>
      <c r="F605" s="22" t="str">
        <f>IF(OR(E605="",E605="!!!"),"",IF(NOT(ISNA(VLOOKUP(E605,E$1:E604,1,FALSE()))),"OLD",IF(AND(E605&lt;&gt;"",E605&lt;&gt;"!!!"),"NEW","")))</f>
        <v> </v>
      </c>
      <c r="G605" s="23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4" t="str">
        <f>IF(J605&lt;&gt;1,"",IF(I605="SBJ","CB","?"))</f>
        <v> </v>
      </c>
      <c r="I605" s="25" t="str">
        <f>IF(OR(E605="",E605="!!!",F605="NEW"),"",INDEX(B604:B$2,-1+SUMPRODUCT(MAX(ROW(E604:E$2)*(E605=E604:E$2)))))</f>
        <v> </v>
      </c>
      <c r="J605" s="25" t="str">
        <f>IF(OR(E605="",E605="!!!",F605="NEW"),"",COUNTBLANK(OFFSET(A$1,,,SUMPRODUCT(MAX(ROW(E$2:E605)*(E605=E$2:E605)))))-COUNTBLANK(OFFSET(A$1,,,SUMPRODUCT(MAX(ROW(E$1:E604)*(E2=E$1:E604))))))</f>
        <v> </v>
      </c>
      <c r="K605" s="25" t="str">
        <f>IF(OR(E605="",E605="!!!",F605="NEW"),"",INDEX(J$1:J604,SUMPRODUCT(MAX(ROW(E$1:E604)*(E605=E$1:E604)))))</f>
        <v> </v>
      </c>
      <c r="L605" s="26"/>
    </row>
    <row r="606" spans="1:12">
      <c r="A606" s="20" t="s">
        <v>164</v>
      </c>
      <c r="E606" s="21">
        <f>IF(D606="?OLD","!!!","")</f>
        <v/>
      </c>
      <c r="F606" s="22" t="str">
        <f>IF(OR(E606="",E606="!!!"),"",IF(NOT(ISNA(VLOOKUP(E606,E$1:E605,1,FALSE()))),"OLD",IF(AND(E606&lt;&gt;"",E606&lt;&gt;"!!!"),"NEW","")))</f>
        <v> </v>
      </c>
      <c r="G606" s="23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4" t="str">
        <f>IF(J606&lt;&gt;1,"",IF(I606="SBJ","CB","?"))</f>
        <v> </v>
      </c>
      <c r="I606" s="25" t="str">
        <f>IF(OR(E606="",E606="!!!",F606="NEW"),"",INDEX(B605:B$2,-1+SUMPRODUCT(MAX(ROW(E605:E$2)*(E606=E605:E$2)))))</f>
        <v> </v>
      </c>
      <c r="J606" s="25" t="str">
        <f>IF(OR(E606="",E606="!!!",F606="NEW"),"",COUNTBLANK(OFFSET(A$1,,,SUMPRODUCT(MAX(ROW(E$2:E606)*(E606=E$2:E606)))))-COUNTBLANK(OFFSET(A$1,,,SUMPRODUCT(MAX(ROW(E$1:E605)*(E2=E$1:E605))))))</f>
        <v> </v>
      </c>
      <c r="K606" s="25" t="str">
        <f>IF(OR(E606="",E606="!!!",F606="NEW"),"",INDEX(J$1:J605,SUMPRODUCT(MAX(ROW(E$1:E605)*(E606=E$1:E605)))))</f>
        <v> </v>
      </c>
      <c r="L606" s="26"/>
    </row>
    <row r="607" spans="1:12">
      <c r="A607" s="20" t="s">
        <v>401</v>
      </c>
      <c r="B607" s="27" t="s">
        <v>182</v>
      </c>
      <c r="C607" s="27" t="s">
        <v>172</v>
      </c>
      <c r="E607" s="21">
        <f>IF(D607="?OLD","!!!","")</f>
        <v/>
      </c>
      <c r="F607" s="22" t="str">
        <f>IF(OR(E607="",E607="!!!"),"",IF(NOT(ISNA(VLOOKUP(E607,E$1:E606,1,FALSE()))),"OLD",IF(AND(E607&lt;&gt;"",E607&lt;&gt;"!!!"),"NEW","")))</f>
        <v> </v>
      </c>
      <c r="G607" s="23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4" t="str">
        <f>IF(J607&lt;&gt;1,"",IF(I607="SBJ","CB","?"))</f>
        <v> </v>
      </c>
      <c r="I607" s="25" t="str">
        <f>IF(OR(E607="",E607="!!!",F607="NEW"),"",INDEX(B606:B$2,-1+SUMPRODUCT(MAX(ROW(E606:E$2)*(E607=E606:E$2)))))</f>
        <v> </v>
      </c>
      <c r="J607" s="25" t="str">
        <f>IF(OR(E607="",E607="!!!",F607="NEW"),"",COUNTBLANK(OFFSET(A$1,,,SUMPRODUCT(MAX(ROW(E$2:E607)*(E607=E$2:E607)))))-COUNTBLANK(OFFSET(A$1,,,SUMPRODUCT(MAX(ROW(E$1:E606)*(E2=E$1:E606))))))</f>
        <v> </v>
      </c>
      <c r="K607" s="25" t="str">
        <f>IF(OR(E607="",E607="!!!",F607="NEW"),"",INDEX(J$1:J606,SUMPRODUCT(MAX(ROW(E$1:E606)*(E607=E$1:E606)))))</f>
        <v> </v>
      </c>
      <c r="L607" s="26"/>
    </row>
    <row r="608" spans="1:12">
      <c r="A608" s="20" t="s">
        <v>356</v>
      </c>
      <c r="E608" s="21">
        <f>IF(D608="?OLD","!!!","")</f>
        <v/>
      </c>
      <c r="F608" s="22" t="str">
        <f>IF(OR(E608="",E608="!!!"),"",IF(NOT(ISNA(VLOOKUP(E608,E$1:E607,1,FALSE()))),"OLD",IF(AND(E608&lt;&gt;"",E608&lt;&gt;"!!!"),"NEW","")))</f>
        <v> </v>
      </c>
      <c r="G608" s="23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4" t="str">
        <f>IF(J608&lt;&gt;1,"",IF(I608="SBJ","CB","?"))</f>
        <v> </v>
      </c>
      <c r="I608" s="25" t="str">
        <f>IF(OR(E608="",E608="!!!",F608="NEW"),"",INDEX(B607:B$2,-1+SUMPRODUCT(MAX(ROW(E607:E$2)*(E608=E607:E$2)))))</f>
        <v> </v>
      </c>
      <c r="J608" s="25" t="str">
        <f>IF(OR(E608="",E608="!!!",F608="NEW"),"",COUNTBLANK(OFFSET(A$1,,,SUMPRODUCT(MAX(ROW(E$2:E608)*(E608=E$2:E608)))))-COUNTBLANK(OFFSET(A$1,,,SUMPRODUCT(MAX(ROW(E$1:E607)*(E2=E$1:E607))))))</f>
        <v> </v>
      </c>
      <c r="K608" s="25" t="str">
        <f>IF(OR(E608="",E608="!!!",F608="NEW"),"",INDEX(J$1:J607,SUMPRODUCT(MAX(ROW(E$1:E607)*(E608=E$1:E607)))))</f>
        <v> </v>
      </c>
      <c r="L608" s="26"/>
    </row>
    <row r="609" spans="1:12">
      <c r="A609" s="20" t="s">
        <v>242</v>
      </c>
      <c r="B609" s="27" t="s">
        <v>171</v>
      </c>
      <c r="C609" s="27" t="s">
        <v>176</v>
      </c>
      <c r="D609" s="27" t="s">
        <v>143</v>
      </c>
      <c r="E609" s="21">
        <f>IF(D609="?OLD","!!!","")</f>
        <v/>
      </c>
      <c r="F609" s="22" t="str">
        <f>IF(OR(E609="",E609="!!!"),"",IF(NOT(ISNA(VLOOKUP(E609,E$1:E608,1,FALSE()))),"OLD",IF(AND(E609&lt;&gt;"",E609&lt;&gt;"!!!"),"NEW","")))</f>
        <v> </v>
      </c>
      <c r="G609" s="23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4" t="str">
        <f>IF(J609&lt;&gt;1,"",IF(I609="SBJ","CB","?"))</f>
        <v> </v>
      </c>
      <c r="I609" s="25" t="str">
        <f>IF(OR(E609="",E609="!!!",F609="NEW"),"",INDEX(B608:B$2,-1+SUMPRODUCT(MAX(ROW(E608:E$2)*(E609=E608:E$2)))))</f>
        <v> </v>
      </c>
      <c r="J609" s="25" t="str">
        <f>IF(OR(E609="",E609="!!!",F609="NEW"),"",COUNTBLANK(OFFSET(A$1,,,SUMPRODUCT(MAX(ROW(E$2:E609)*(E609=E$2:E609)))))-COUNTBLANK(OFFSET(A$1,,,SUMPRODUCT(MAX(ROW(E$1:E608)*(E2=E$1:E608))))))</f>
        <v> </v>
      </c>
      <c r="K609" s="25" t="str">
        <f>IF(OR(E609="",E609="!!!",F609="NEW"),"",INDEX(J$1:J608,SUMPRODUCT(MAX(ROW(E$1:E608)*(E609=E$1:E608)))))</f>
        <v> </v>
      </c>
      <c r="L609" s="26"/>
    </row>
    <row r="610" spans="1:12">
      <c r="A610" s="20" t="s">
        <v>315</v>
      </c>
      <c r="B610" s="27" t="s">
        <v>202</v>
      </c>
      <c r="C610" s="27" t="s">
        <v>176</v>
      </c>
      <c r="D610" s="27" t="s">
        <v>143</v>
      </c>
      <c r="E610" s="21">
        <f>IF(D610="?OLD","!!!","")</f>
        <v/>
      </c>
      <c r="F610" s="22" t="str">
        <f>IF(OR(E610="",E610="!!!"),"",IF(NOT(ISNA(VLOOKUP(E610,E$1:E609,1,FALSE()))),"OLD",IF(AND(E610&lt;&gt;"",E610&lt;&gt;"!!!"),"NEW","")))</f>
        <v> </v>
      </c>
      <c r="G610" s="23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4" t="str">
        <f>IF(J610&lt;&gt;1,"",IF(I610="SBJ","CB","?"))</f>
        <v> </v>
      </c>
      <c r="I610" s="25" t="str">
        <f>IF(OR(E610="",E610="!!!",F610="NEW"),"",INDEX(B609:B$2,-1+SUMPRODUCT(MAX(ROW(E609:E$2)*(E610=E609:E$2)))))</f>
        <v> </v>
      </c>
      <c r="J610" s="25" t="str">
        <f>IF(OR(E610="",E610="!!!",F610="NEW"),"",COUNTBLANK(OFFSET(A$1,,,SUMPRODUCT(MAX(ROW(E$2:E610)*(E610=E$2:E610)))))-COUNTBLANK(OFFSET(A$1,,,SUMPRODUCT(MAX(ROW(E$1:E609)*(E2=E$1:E609))))))</f>
        <v> </v>
      </c>
      <c r="K610" s="25" t="str">
        <f>IF(OR(E610="",E610="!!!",F610="NEW"),"",INDEX(J$1:J609,SUMPRODUCT(MAX(ROW(E$1:E609)*(E610=E$1:E609)))))</f>
        <v> </v>
      </c>
      <c r="L610" s="26"/>
    </row>
    <row r="611" spans="1:12">
      <c r="A611" s="20" t="s">
        <v>105</v>
      </c>
      <c r="E611" s="21">
        <f>IF(D611="?OLD","!!!","")</f>
        <v/>
      </c>
      <c r="F611" s="22" t="str">
        <f>IF(OR(E611="",E611="!!!"),"",IF(NOT(ISNA(VLOOKUP(E611,E$1:E610,1,FALSE()))),"OLD",IF(AND(E611&lt;&gt;"",E611&lt;&gt;"!!!"),"NEW","")))</f>
        <v> </v>
      </c>
      <c r="G611" s="23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4" t="str">
        <f>IF(J611&lt;&gt;1,"",IF(I611="SBJ","CB","?"))</f>
        <v> </v>
      </c>
      <c r="I611" s="25" t="str">
        <f>IF(OR(E611="",E611="!!!",F611="NEW"),"",INDEX(B610:B$2,-1+SUMPRODUCT(MAX(ROW(E610:E$2)*(E611=E610:E$2)))))</f>
        <v> </v>
      </c>
      <c r="J611" s="25" t="str">
        <f>IF(OR(E611="",E611="!!!",F611="NEW"),"",COUNTBLANK(OFFSET(A$1,,,SUMPRODUCT(MAX(ROW(E$2:E611)*(E611=E$2:E611)))))-COUNTBLANK(OFFSET(A$1,,,SUMPRODUCT(MAX(ROW(E$1:E610)*(E2=E$1:E610))))))</f>
        <v> </v>
      </c>
      <c r="K611" s="25" t="str">
        <f>IF(OR(E611="",E611="!!!",F611="NEW"),"",INDEX(J$1:J610,SUMPRODUCT(MAX(ROW(E$1:E610)*(E611=E$1:E610)))))</f>
        <v> </v>
      </c>
      <c r="L611" s="26"/>
    </row>
    <row r="612" spans="1:12">
      <c r="A612" s="20" t="s">
        <v>157</v>
      </c>
      <c r="E612" s="21">
        <f>IF(D612="?OLD","!!!","")</f>
        <v/>
      </c>
      <c r="F612" s="22" t="str">
        <f>IF(OR(E612="",E612="!!!"),"",IF(NOT(ISNA(VLOOKUP(E612,E$1:E611,1,FALSE()))),"OLD",IF(AND(E612&lt;&gt;"",E612&lt;&gt;"!!!"),"NEW","")))</f>
        <v> </v>
      </c>
      <c r="G612" s="23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4" t="str">
        <f>IF(J612&lt;&gt;1,"",IF(I612="SBJ","CB","?"))</f>
        <v> </v>
      </c>
      <c r="I612" s="25" t="str">
        <f>IF(OR(E612="",E612="!!!",F612="NEW"),"",INDEX(B611:B$2,-1+SUMPRODUCT(MAX(ROW(E611:E$2)*(E612=E611:E$2)))))</f>
        <v> </v>
      </c>
      <c r="J612" s="25" t="str">
        <f>IF(OR(E612="",E612="!!!",F612="NEW"),"",COUNTBLANK(OFFSET(A$1,,,SUMPRODUCT(MAX(ROW(E$2:E612)*(E612=E$2:E612)))))-COUNTBLANK(OFFSET(A$1,,,SUMPRODUCT(MAX(ROW(E$1:E611)*(E2=E$1:E611))))))</f>
        <v> </v>
      </c>
      <c r="K612" s="25" t="str">
        <f>IF(OR(E612="",E612="!!!",F612="NEW"),"",INDEX(J$1:J611,SUMPRODUCT(MAX(ROW(E$1:E611)*(E612=E$1:E611)))))</f>
        <v> </v>
      </c>
      <c r="L612" s="26"/>
    </row>
    <row r="613" spans="1:12">
      <c r="A613" s="20" t="s">
        <v>164</v>
      </c>
      <c r="E613" s="21">
        <f>IF(D613="?OLD","!!!","")</f>
        <v/>
      </c>
      <c r="F613" s="22" t="str">
        <f>IF(OR(E613="",E613="!!!"),"",IF(NOT(ISNA(VLOOKUP(E613,E$1:E612,1,FALSE()))),"OLD",IF(AND(E613&lt;&gt;"",E613&lt;&gt;"!!!"),"NEW","")))</f>
        <v> </v>
      </c>
      <c r="G613" s="23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4" t="str">
        <f>IF(J613&lt;&gt;1,"",IF(I613="SBJ","CB","?"))</f>
        <v> </v>
      </c>
      <c r="I613" s="25" t="str">
        <f>IF(OR(E613="",E613="!!!",F613="NEW"),"",INDEX(B612:B$2,-1+SUMPRODUCT(MAX(ROW(E612:E$2)*(E613=E612:E$2)))))</f>
        <v> </v>
      </c>
      <c r="J613" s="25" t="str">
        <f>IF(OR(E613="",E613="!!!",F613="NEW"),"",COUNTBLANK(OFFSET(A$1,,,SUMPRODUCT(MAX(ROW(E$2:E613)*(E613=E$2:E613)))))-COUNTBLANK(OFFSET(A$1,,,SUMPRODUCT(MAX(ROW(E$1:E612)*(E2=E$1:E612))))))</f>
        <v> </v>
      </c>
      <c r="K613" s="25" t="str">
        <f>IF(OR(E613="",E613="!!!",F613="NEW"),"",INDEX(J$1:J612,SUMPRODUCT(MAX(ROW(E$1:E612)*(E613=E$1:E612)))))</f>
        <v> </v>
      </c>
      <c r="L613" s="26"/>
    </row>
    <row r="614" spans="1:12">
      <c r="A614" s="20" t="s">
        <v>344</v>
      </c>
      <c r="E614" s="21">
        <f>IF(D614="?OLD","!!!","")</f>
        <v/>
      </c>
      <c r="F614" s="22" t="str">
        <f>IF(OR(E614="",E614="!!!"),"",IF(NOT(ISNA(VLOOKUP(E614,E$1:E613,1,FALSE()))),"OLD",IF(AND(E614&lt;&gt;"",E614&lt;&gt;"!!!"),"NEW","")))</f>
        <v> </v>
      </c>
      <c r="G614" s="23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4" t="str">
        <f>IF(J614&lt;&gt;1,"",IF(I614="SBJ","CB","?"))</f>
        <v> </v>
      </c>
      <c r="I614" s="25" t="str">
        <f>IF(OR(E614="",E614="!!!",F614="NEW"),"",INDEX(B613:B$2,-1+SUMPRODUCT(MAX(ROW(E613:E$2)*(E614=E613:E$2)))))</f>
        <v> </v>
      </c>
      <c r="J614" s="25" t="str">
        <f>IF(OR(E614="",E614="!!!",F614="NEW"),"",COUNTBLANK(OFFSET(A$1,,,SUMPRODUCT(MAX(ROW(E$2:E614)*(E614=E$2:E614)))))-COUNTBLANK(OFFSET(A$1,,,SUMPRODUCT(MAX(ROW(E$1:E613)*(E2=E$1:E613))))))</f>
        <v> </v>
      </c>
      <c r="K614" s="25" t="str">
        <f>IF(OR(E614="",E614="!!!",F614="NEW"),"",INDEX(J$1:J613,SUMPRODUCT(MAX(ROW(E$1:E613)*(E614=E$1:E613)))))</f>
        <v> </v>
      </c>
      <c r="L614" s="26"/>
    </row>
    <row r="615" spans="1:12">
      <c r="A615" s="20" t="s">
        <v>189</v>
      </c>
      <c r="E615" s="21">
        <f>IF(D615="?OLD","!!!","")</f>
        <v/>
      </c>
      <c r="F615" s="22" t="str">
        <f>IF(OR(E615="",E615="!!!"),"",IF(NOT(ISNA(VLOOKUP(E615,E$1:E614,1,FALSE()))),"OLD",IF(AND(E615&lt;&gt;"",E615&lt;&gt;"!!!"),"NEW","")))</f>
        <v> </v>
      </c>
      <c r="G615" s="23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4" t="str">
        <f>IF(J615&lt;&gt;1,"",IF(I615="SBJ","CB","?"))</f>
        <v> </v>
      </c>
      <c r="I615" s="25" t="str">
        <f>IF(OR(E615="",E615="!!!",F615="NEW"),"",INDEX(B614:B$2,-1+SUMPRODUCT(MAX(ROW(E614:E$2)*(E615=E614:E$2)))))</f>
        <v> </v>
      </c>
      <c r="J615" s="25" t="str">
        <f>IF(OR(E615="",E615="!!!",F615="NEW"),"",COUNTBLANK(OFFSET(A$1,,,SUMPRODUCT(MAX(ROW(E$2:E615)*(E615=E$2:E615)))))-COUNTBLANK(OFFSET(A$1,,,SUMPRODUCT(MAX(ROW(E$1:E614)*(E2=E$1:E614))))))</f>
        <v> </v>
      </c>
      <c r="K615" s="25" t="str">
        <f>IF(OR(E615="",E615="!!!",F615="NEW"),"",INDEX(J$1:J614,SUMPRODUCT(MAX(ROW(E$1:E614)*(E615=E$1:E614)))))</f>
        <v> </v>
      </c>
      <c r="L615" s="26"/>
    </row>
    <row r="616" spans="1:12">
      <c r="A616" s="20" t="s">
        <v>402</v>
      </c>
      <c r="B616" s="27" t="s">
        <v>141</v>
      </c>
      <c r="C616" s="27" t="s">
        <v>142</v>
      </c>
      <c r="D616" s="27" t="s">
        <v>143</v>
      </c>
      <c r="E616" s="21">
        <f>IF(D616="?OLD","!!!","")</f>
        <v/>
      </c>
      <c r="F616" s="22" t="str">
        <f>IF(OR(E616="",E616="!!!"),"",IF(NOT(ISNA(VLOOKUP(E616,E$1:E615,1,FALSE()))),"OLD",IF(AND(E616&lt;&gt;"",E616&lt;&gt;"!!!"),"NEW","")))</f>
        <v> </v>
      </c>
      <c r="G616" s="23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4" t="str">
        <f>IF(J616&lt;&gt;1,"",IF(I616="SBJ","CB","?"))</f>
        <v> </v>
      </c>
      <c r="I616" s="25" t="str">
        <f>IF(OR(E616="",E616="!!!",F616="NEW"),"",INDEX(B615:B$2,-1+SUMPRODUCT(MAX(ROW(E615:E$2)*(E616=E615:E$2)))))</f>
        <v> </v>
      </c>
      <c r="J616" s="25" t="str">
        <f>IF(OR(E616="",E616="!!!",F616="NEW"),"",COUNTBLANK(OFFSET(A$1,,,SUMPRODUCT(MAX(ROW(E$2:E616)*(E616=E$2:E616)))))-COUNTBLANK(OFFSET(A$1,,,SUMPRODUCT(MAX(ROW(E$1:E615)*(E2=E$1:E615))))))</f>
        <v> </v>
      </c>
      <c r="K616" s="25" t="str">
        <f>IF(OR(E616="",E616="!!!",F616="NEW"),"",INDEX(J$1:J615,SUMPRODUCT(MAX(ROW(E$1:E615)*(E616=E$1:E615)))))</f>
        <v> </v>
      </c>
      <c r="L616" s="26"/>
    </row>
    <row r="617" spans="1:12">
      <c r="A617" s="20" t="s">
        <v>153</v>
      </c>
      <c r="E617" s="21">
        <f>IF(D617="?OLD","!!!","")</f>
        <v/>
      </c>
      <c r="F617" s="22" t="str">
        <f>IF(OR(E617="",E617="!!!"),"",IF(NOT(ISNA(VLOOKUP(E617,E$1:E616,1,FALSE()))),"OLD",IF(AND(E617&lt;&gt;"",E617&lt;&gt;"!!!"),"NEW","")))</f>
        <v> </v>
      </c>
      <c r="G617" s="23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4" t="str">
        <f>IF(J617&lt;&gt;1,"",IF(I617="SBJ","CB","?"))</f>
        <v> </v>
      </c>
      <c r="I617" s="25" t="str">
        <f>IF(OR(E617="",E617="!!!",F617="NEW"),"",INDEX(B616:B$2,-1+SUMPRODUCT(MAX(ROW(E616:E$2)*(E617=E616:E$2)))))</f>
        <v> </v>
      </c>
      <c r="J617" s="25" t="str">
        <f>IF(OR(E617="",E617="!!!",F617="NEW"),"",COUNTBLANK(OFFSET(A$1,,,SUMPRODUCT(MAX(ROW(E$2:E617)*(E617=E$2:E617)))))-COUNTBLANK(OFFSET(A$1,,,SUMPRODUCT(MAX(ROW(E$1:E616)*(E2=E$1:E616))))))</f>
        <v> </v>
      </c>
      <c r="K617" s="25" t="str">
        <f>IF(OR(E617="",E617="!!!",F617="NEW"),"",INDEX(J$1:J616,SUMPRODUCT(MAX(ROW(E$1:E616)*(E617=E$1:E616)))))</f>
        <v> </v>
      </c>
      <c r="L617" s="26"/>
    </row>
    <row r="618" spans="1:12">
      <c r="A618" s="20" t="s">
        <v>154</v>
      </c>
      <c r="E618" s="21">
        <f>IF(D618="?OLD","!!!","")</f>
        <v/>
      </c>
      <c r="F618" s="22" t="str">
        <f>IF(OR(E618="",E618="!!!"),"",IF(NOT(ISNA(VLOOKUP(E618,E$1:E617,1,FALSE()))),"OLD",IF(AND(E618&lt;&gt;"",E618&lt;&gt;"!!!"),"NEW","")))</f>
        <v> </v>
      </c>
      <c r="G618" s="23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4" t="str">
        <f>IF(J618&lt;&gt;1,"",IF(I618="SBJ","CB","?"))</f>
        <v> </v>
      </c>
      <c r="I618" s="25" t="str">
        <f>IF(OR(E618="",E618="!!!",F618="NEW"),"",INDEX(B617:B$2,-1+SUMPRODUCT(MAX(ROW(E617:E$2)*(E618=E617:E$2)))))</f>
        <v> </v>
      </c>
      <c r="J618" s="25" t="str">
        <f>IF(OR(E618="",E618="!!!",F618="NEW"),"",COUNTBLANK(OFFSET(A$1,,,SUMPRODUCT(MAX(ROW(E$2:E618)*(E618=E$2:E618)))))-COUNTBLANK(OFFSET(A$1,,,SUMPRODUCT(MAX(ROW(E$1:E617)*(E2=E$1:E617))))))</f>
        <v> </v>
      </c>
      <c r="K618" s="25" t="str">
        <f>IF(OR(E618="",E618="!!!",F618="NEW"),"",INDEX(J$1:J617,SUMPRODUCT(MAX(ROW(E$1:E617)*(E618=E$1:E617)))))</f>
        <v> </v>
      </c>
      <c r="L618" s="26"/>
    </row>
    <row r="619" spans="1:12">
      <c r="A619" s="20" t="s">
        <v>155</v>
      </c>
      <c r="B619" s="27" t="s">
        <v>182</v>
      </c>
      <c r="C619" s="27" t="s">
        <v>142</v>
      </c>
      <c r="D619" s="27" t="s">
        <v>143</v>
      </c>
      <c r="E619" s="21">
        <f>IF(D619="?OLD","!!!","")</f>
        <v/>
      </c>
      <c r="F619" s="22" t="str">
        <f>IF(OR(E619="",E619="!!!"),"",IF(NOT(ISNA(VLOOKUP(E619,E$1:E618,1,FALSE()))),"OLD",IF(AND(E619&lt;&gt;"",E619&lt;&gt;"!!!"),"NEW","")))</f>
        <v> </v>
      </c>
      <c r="G619" s="23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4" t="str">
        <f>IF(J619&lt;&gt;1,"",IF(I619="SBJ","CB","?"))</f>
        <v> </v>
      </c>
      <c r="I619" s="25" t="str">
        <f>IF(OR(E619="",E619="!!!",F619="NEW"),"",INDEX(B618:B$2,-1+SUMPRODUCT(MAX(ROW(E618:E$2)*(E619=E618:E$2)))))</f>
        <v> </v>
      </c>
      <c r="J619" s="25" t="str">
        <f>IF(OR(E619="",E619="!!!",F619="NEW"),"",COUNTBLANK(OFFSET(A$1,,,SUMPRODUCT(MAX(ROW(E$2:E619)*(E619=E$2:E619)))))-COUNTBLANK(OFFSET(A$1,,,SUMPRODUCT(MAX(ROW(E$1:E618)*(E2=E$1:E618))))))</f>
        <v> </v>
      </c>
      <c r="K619" s="25" t="str">
        <f>IF(OR(E619="",E619="!!!",F619="NEW"),"",INDEX(J$1:J618,SUMPRODUCT(MAX(ROW(E$1:E618)*(E619=E$1:E618)))))</f>
        <v> </v>
      </c>
      <c r="L619" s="26"/>
    </row>
    <row r="620" spans="1:12">
      <c r="A620" s="20" t="s">
        <v>21</v>
      </c>
      <c r="E620" s="21">
        <f>IF(D620="?OLD","!!!","")</f>
        <v/>
      </c>
      <c r="F620" s="22" t="str">
        <f>IF(OR(E620="",E620="!!!"),"",IF(NOT(ISNA(VLOOKUP(E620,E$1:E619,1,FALSE()))),"OLD",IF(AND(E620&lt;&gt;"",E620&lt;&gt;"!!!"),"NEW","")))</f>
        <v> </v>
      </c>
      <c r="G620" s="23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4" t="str">
        <f>IF(J620&lt;&gt;1,"",IF(I620="SBJ","CB","?"))</f>
        <v> </v>
      </c>
      <c r="I620" s="25" t="str">
        <f>IF(OR(E620="",E620="!!!",F620="NEW"),"",INDEX(B619:B$2,-1+SUMPRODUCT(MAX(ROW(E619:E$2)*(E620=E619:E$2)))))</f>
        <v> </v>
      </c>
      <c r="J620" s="25" t="str">
        <f>IF(OR(E620="",E620="!!!",F620="NEW"),"",COUNTBLANK(OFFSET(A$1,,,SUMPRODUCT(MAX(ROW(E$2:E620)*(E620=E$2:E620)))))-COUNTBLANK(OFFSET(A$1,,,SUMPRODUCT(MAX(ROW(E$1:E619)*(E2=E$1:E619))))))</f>
        <v> </v>
      </c>
      <c r="K620" s="25" t="str">
        <f>IF(OR(E620="",E620="!!!",F620="NEW"),"",INDEX(J$1:J619,SUMPRODUCT(MAX(ROW(E$1:E619)*(E620=E$1:E619)))))</f>
        <v> </v>
      </c>
      <c r="L620" s="26"/>
    </row>
    <row r="621" spans="1:12">
      <c r="A621" s="20" t="s">
        <v>211</v>
      </c>
      <c r="E621" s="21">
        <f>IF(D621="?OLD","!!!","")</f>
        <v/>
      </c>
      <c r="F621" s="22" t="str">
        <f>IF(OR(E621="",E621="!!!"),"",IF(NOT(ISNA(VLOOKUP(E621,E$1:E620,1,FALSE()))),"OLD",IF(AND(E621&lt;&gt;"",E621&lt;&gt;"!!!"),"NEW","")))</f>
        <v> </v>
      </c>
      <c r="G621" s="23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4" t="str">
        <f>IF(J621&lt;&gt;1,"",IF(I621="SBJ","CB","?"))</f>
        <v> </v>
      </c>
      <c r="I621" s="25" t="str">
        <f>IF(OR(E621="",E621="!!!",F621="NEW"),"",INDEX(B620:B$2,-1+SUMPRODUCT(MAX(ROW(E620:E$2)*(E621=E620:E$2)))))</f>
        <v> </v>
      </c>
      <c r="J621" s="25" t="str">
        <f>IF(OR(E621="",E621="!!!",F621="NEW"),"",COUNTBLANK(OFFSET(A$1,,,SUMPRODUCT(MAX(ROW(E$2:E621)*(E621=E$2:E621)))))-COUNTBLANK(OFFSET(A$1,,,SUMPRODUCT(MAX(ROW(E$1:E620)*(E2=E$1:E620))))))</f>
        <v> </v>
      </c>
      <c r="K621" s="25" t="str">
        <f>IF(OR(E621="",E621="!!!",F621="NEW"),"",INDEX(J$1:J620,SUMPRODUCT(MAX(ROW(E$1:E620)*(E621=E$1:E620)))))</f>
        <v> </v>
      </c>
      <c r="L621" s="26"/>
    </row>
    <row r="622" spans="1:12">
      <c r="A622" s="20"/>
    </row>
    <row r="623" spans="1:12">
      <c r="A623" s="20" t="s">
        <v>403</v>
      </c>
    </row>
    <row r="624" spans="1:12">
      <c r="A624" s="20" t="s">
        <v>404</v>
      </c>
      <c r="E624" s="21">
        <f>IF(D624="?OLD","!!!","")</f>
        <v/>
      </c>
      <c r="F624" s="22" t="str">
        <f>IF(OR(E624="",E624="!!!"),"",IF(NOT(ISNA(VLOOKUP(E624,E$1:E623,1,FALSE()))),"OLD",IF(AND(E624&lt;&gt;"",E624&lt;&gt;"!!!"),"NEW","")))</f>
        <v> </v>
      </c>
      <c r="G624" s="23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4" t="str">
        <f>IF(J624&lt;&gt;1,"",IF(I624="SBJ","CB","?"))</f>
        <v> </v>
      </c>
      <c r="I624" s="25" t="str">
        <f>IF(OR(E624="",E624="!!!",F624="NEW"),"",INDEX(B623:B$2,-1+SUMPRODUCT(MAX(ROW(E623:E$2)*(E624=E623:E$2)))))</f>
        <v> </v>
      </c>
      <c r="J624" s="25" t="str">
        <f>IF(OR(E624="",E624="!!!",F624="NEW"),"",COUNTBLANK(OFFSET(A$1,,,SUMPRODUCT(MAX(ROW(E$2:E624)*(E624=E$2:E624)))))-COUNTBLANK(OFFSET(A$1,,,SUMPRODUCT(MAX(ROW(E$1:E623)*(E2=E$1:E623))))))</f>
        <v> </v>
      </c>
      <c r="K624" s="25" t="str">
        <f>IF(OR(E624="",E624="!!!",F624="NEW"),"",INDEX(J$1:J623,SUMPRODUCT(MAX(ROW(E$1:E623)*(E624=E$1:E623)))))</f>
        <v> </v>
      </c>
      <c r="L624" s="26"/>
    </row>
    <row r="625" spans="1:12">
      <c r="A625" s="20" t="s">
        <v>154</v>
      </c>
      <c r="E625" s="21">
        <f>IF(D625="?OLD","!!!","")</f>
        <v/>
      </c>
      <c r="F625" s="22" t="str">
        <f>IF(OR(E625="",E625="!!!"),"",IF(NOT(ISNA(VLOOKUP(E625,E$1:E624,1,FALSE()))),"OLD",IF(AND(E625&lt;&gt;"",E625&lt;&gt;"!!!"),"NEW","")))</f>
        <v> </v>
      </c>
      <c r="G625" s="23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4" t="str">
        <f>IF(J625&lt;&gt;1,"",IF(I625="SBJ","CB","?"))</f>
        <v> </v>
      </c>
      <c r="I625" s="25" t="str">
        <f>IF(OR(E625="",E625="!!!",F625="NEW"),"",INDEX(B624:B$2,-1+SUMPRODUCT(MAX(ROW(E624:E$2)*(E625=E624:E$2)))))</f>
        <v> </v>
      </c>
      <c r="J625" s="25" t="str">
        <f>IF(OR(E625="",E625="!!!",F625="NEW"),"",COUNTBLANK(OFFSET(A$1,,,SUMPRODUCT(MAX(ROW(E$2:E625)*(E625=E$2:E625)))))-COUNTBLANK(OFFSET(A$1,,,SUMPRODUCT(MAX(ROW(E$1:E624)*(E2=E$1:E624))))))</f>
        <v> </v>
      </c>
      <c r="K625" s="25" t="str">
        <f>IF(OR(E625="",E625="!!!",F625="NEW"),"",INDEX(J$1:J624,SUMPRODUCT(MAX(ROW(E$1:E624)*(E625=E$1:E624)))))</f>
        <v> </v>
      </c>
      <c r="L625" s="26"/>
    </row>
    <row r="626" spans="1:12">
      <c r="A626" s="20" t="s">
        <v>405</v>
      </c>
      <c r="B626" s="27" t="s">
        <v>191</v>
      </c>
      <c r="C626" s="27" t="s">
        <v>142</v>
      </c>
      <c r="D626" s="27" t="s">
        <v>143</v>
      </c>
      <c r="E626" s="21">
        <f>IF(D626="?OLD","!!!","")</f>
        <v/>
      </c>
      <c r="F626" s="22" t="str">
        <f>IF(OR(E626="",E626="!!!"),"",IF(NOT(ISNA(VLOOKUP(E626,E$1:E625,1,FALSE()))),"OLD",IF(AND(E626&lt;&gt;"",E626&lt;&gt;"!!!"),"NEW","")))</f>
        <v> </v>
      </c>
      <c r="G626" s="23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4" t="str">
        <f>IF(J626&lt;&gt;1,"",IF(I626="SBJ","CB","?"))</f>
        <v> </v>
      </c>
      <c r="I626" s="25" t="str">
        <f>IF(OR(E626="",E626="!!!",F626="NEW"),"",INDEX(B625:B$2,-1+SUMPRODUCT(MAX(ROW(E625:E$2)*(E626=E625:E$2)))))</f>
        <v> </v>
      </c>
      <c r="J626" s="25" t="str">
        <f>IF(OR(E626="",E626="!!!",F626="NEW"),"",COUNTBLANK(OFFSET(A$1,,,SUMPRODUCT(MAX(ROW(E$2:E626)*(E626=E$2:E626)))))-COUNTBLANK(OFFSET(A$1,,,SUMPRODUCT(MAX(ROW(E$1:E625)*(E2=E$1:E625))))))</f>
        <v> </v>
      </c>
      <c r="K626" s="25" t="str">
        <f>IF(OR(E626="",E626="!!!",F626="NEW"),"",INDEX(J$1:J625,SUMPRODUCT(MAX(ROW(E$1:E625)*(E626=E$1:E625)))))</f>
        <v> </v>
      </c>
      <c r="L626" s="26"/>
    </row>
    <row r="627" spans="1:12">
      <c r="A627" s="20" t="s">
        <v>381</v>
      </c>
      <c r="E627" s="21">
        <f>IF(D627="?OLD","!!!","")</f>
        <v/>
      </c>
      <c r="F627" s="22" t="str">
        <f>IF(OR(E627="",E627="!!!"),"",IF(NOT(ISNA(VLOOKUP(E627,E$1:E626,1,FALSE()))),"OLD",IF(AND(E627&lt;&gt;"",E627&lt;&gt;"!!!"),"NEW","")))</f>
        <v> </v>
      </c>
      <c r="G627" s="23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4" t="str">
        <f>IF(J627&lt;&gt;1,"",IF(I627="SBJ","CB","?"))</f>
        <v> </v>
      </c>
      <c r="I627" s="25" t="str">
        <f>IF(OR(E627="",E627="!!!",F627="NEW"),"",INDEX(B626:B$2,-1+SUMPRODUCT(MAX(ROW(E626:E$2)*(E627=E626:E$2)))))</f>
        <v> </v>
      </c>
      <c r="J627" s="25" t="str">
        <f>IF(OR(E627="",E627="!!!",F627="NEW"),"",COUNTBLANK(OFFSET(A$1,,,SUMPRODUCT(MAX(ROW(E$2:E627)*(E627=E$2:E627)))))-COUNTBLANK(OFFSET(A$1,,,SUMPRODUCT(MAX(ROW(E$1:E626)*(E2=E$1:E626))))))</f>
        <v> </v>
      </c>
      <c r="K627" s="25" t="str">
        <f>IF(OR(E627="",E627="!!!",F627="NEW"),"",INDEX(J$1:J626,SUMPRODUCT(MAX(ROW(E$1:E626)*(E627=E$1:E626)))))</f>
        <v> </v>
      </c>
      <c r="L627" s="26"/>
    </row>
    <row r="628" spans="1:12">
      <c r="A628" s="20" t="s">
        <v>406</v>
      </c>
      <c r="B628" s="27" t="s">
        <v>182</v>
      </c>
      <c r="C628" s="27" t="s">
        <v>229</v>
      </c>
      <c r="E628" s="21">
        <f>IF(D628="?OLD","!!!","")</f>
        <v/>
      </c>
      <c r="F628" s="22" t="str">
        <f>IF(OR(E628="",E628="!!!"),"",IF(NOT(ISNA(VLOOKUP(E628,E$1:E627,1,FALSE()))),"OLD",IF(AND(E628&lt;&gt;"",E628&lt;&gt;"!!!"),"NEW","")))</f>
        <v> </v>
      </c>
      <c r="G628" s="23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4" t="str">
        <f>IF(J628&lt;&gt;1,"",IF(I628="SBJ","CB","?"))</f>
        <v> </v>
      </c>
      <c r="I628" s="25" t="str">
        <f>IF(OR(E628="",E628="!!!",F628="NEW"),"",INDEX(B627:B$2,-1+SUMPRODUCT(MAX(ROW(E627:E$2)*(E628=E627:E$2)))))</f>
        <v> </v>
      </c>
      <c r="J628" s="25" t="str">
        <f>IF(OR(E628="",E628="!!!",F628="NEW"),"",COUNTBLANK(OFFSET(A$1,,,SUMPRODUCT(MAX(ROW(E$2:E628)*(E628=E$2:E628)))))-COUNTBLANK(OFFSET(A$1,,,SUMPRODUCT(MAX(ROW(E$1:E627)*(E2=E$1:E627))))))</f>
        <v> </v>
      </c>
      <c r="K628" s="25" t="str">
        <f>IF(OR(E628="",E628="!!!",F628="NEW"),"",INDEX(J$1:J627,SUMPRODUCT(MAX(ROW(E$1:E627)*(E628=E$1:E627)))))</f>
        <v> </v>
      </c>
      <c r="L628" s="26"/>
    </row>
    <row r="629" spans="1:12">
      <c r="A629" s="20" t="s">
        <v>344</v>
      </c>
      <c r="E629" s="21">
        <f>IF(D629="?OLD","!!!","")</f>
        <v/>
      </c>
      <c r="F629" s="22" t="str">
        <f>IF(OR(E629="",E629="!!!"),"",IF(NOT(ISNA(VLOOKUP(E629,E$1:E628,1,FALSE()))),"OLD",IF(AND(E629&lt;&gt;"",E629&lt;&gt;"!!!"),"NEW","")))</f>
        <v> </v>
      </c>
      <c r="G629" s="23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4" t="str">
        <f>IF(J629&lt;&gt;1,"",IF(I629="SBJ","CB","?"))</f>
        <v> </v>
      </c>
      <c r="I629" s="25" t="str">
        <f>IF(OR(E629="",E629="!!!",F629="NEW"),"",INDEX(B628:B$2,-1+SUMPRODUCT(MAX(ROW(E628:E$2)*(E629=E628:E$2)))))</f>
        <v> </v>
      </c>
      <c r="J629" s="25" t="str">
        <f>IF(OR(E629="",E629="!!!",F629="NEW"),"",COUNTBLANK(OFFSET(A$1,,,SUMPRODUCT(MAX(ROW(E$2:E629)*(E629=E$2:E629)))))-COUNTBLANK(OFFSET(A$1,,,SUMPRODUCT(MAX(ROW(E$1:E628)*(E2=E$1:E628))))))</f>
        <v> </v>
      </c>
      <c r="K629" s="25" t="str">
        <f>IF(OR(E629="",E629="!!!",F629="NEW"),"",INDEX(J$1:J628,SUMPRODUCT(MAX(ROW(E$1:E628)*(E629=E$1:E628)))))</f>
        <v> </v>
      </c>
      <c r="L629" s="26"/>
    </row>
    <row r="630" spans="1:12">
      <c r="A630" s="20" t="s">
        <v>298</v>
      </c>
      <c r="B630" s="27" t="s">
        <v>171</v>
      </c>
      <c r="C630" s="27" t="s">
        <v>176</v>
      </c>
      <c r="D630" s="27" t="s">
        <v>143</v>
      </c>
      <c r="E630" s="21">
        <f>IF(D630="?OLD","!!!","")</f>
        <v/>
      </c>
      <c r="F630" s="22" t="str">
        <f>IF(OR(E630="",E630="!!!"),"",IF(NOT(ISNA(VLOOKUP(E630,E$1:E629,1,FALSE()))),"OLD",IF(AND(E630&lt;&gt;"",E630&lt;&gt;"!!!"),"NEW","")))</f>
        <v> </v>
      </c>
      <c r="G630" s="23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4" t="str">
        <f>IF(J630&lt;&gt;1,"",IF(I630="SBJ","CB","?"))</f>
        <v> </v>
      </c>
      <c r="I630" s="25" t="str">
        <f>IF(OR(E630="",E630="!!!",F630="NEW"),"",INDEX(B629:B$2,-1+SUMPRODUCT(MAX(ROW(E629:E$2)*(E630=E629:E$2)))))</f>
        <v> </v>
      </c>
      <c r="J630" s="25" t="str">
        <f>IF(OR(E630="",E630="!!!",F630="NEW"),"",COUNTBLANK(OFFSET(A$1,,,SUMPRODUCT(MAX(ROW(E$2:E630)*(E630=E$2:E630)))))-COUNTBLANK(OFFSET(A$1,,,SUMPRODUCT(MAX(ROW(E$1:E629)*(E2=E$1:E629))))))</f>
        <v> </v>
      </c>
      <c r="K630" s="25" t="str">
        <f>IF(OR(E630="",E630="!!!",F630="NEW"),"",INDEX(J$1:J629,SUMPRODUCT(MAX(ROW(E$1:E629)*(E630=E$1:E629)))))</f>
        <v> </v>
      </c>
      <c r="L630" s="26"/>
    </row>
    <row r="631" spans="1:12">
      <c r="A631" s="20" t="s">
        <v>346</v>
      </c>
      <c r="E631" s="21">
        <f>IF(D631="?OLD","!!!","")</f>
        <v/>
      </c>
      <c r="F631" s="22" t="str">
        <f>IF(OR(E631="",E631="!!!"),"",IF(NOT(ISNA(VLOOKUP(E631,E$1:E630,1,FALSE()))),"OLD",IF(AND(E631&lt;&gt;"",E631&lt;&gt;"!!!"),"NEW","")))</f>
        <v> </v>
      </c>
      <c r="G631" s="23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4" t="str">
        <f>IF(J631&lt;&gt;1,"",IF(I631="SBJ","CB","?"))</f>
        <v> </v>
      </c>
      <c r="I631" s="25" t="str">
        <f>IF(OR(E631="",E631="!!!",F631="NEW"),"",INDEX(B630:B$2,-1+SUMPRODUCT(MAX(ROW(E630:E$2)*(E631=E630:E$2)))))</f>
        <v> </v>
      </c>
      <c r="J631" s="25" t="str">
        <f>IF(OR(E631="",E631="!!!",F631="NEW"),"",COUNTBLANK(OFFSET(A$1,,,SUMPRODUCT(MAX(ROW(E$2:E631)*(E631=E$2:E631)))))-COUNTBLANK(OFFSET(A$1,,,SUMPRODUCT(MAX(ROW(E$1:E630)*(E2=E$1:E630))))))</f>
        <v> </v>
      </c>
      <c r="K631" s="25" t="str">
        <f>IF(OR(E631="",E631="!!!",F631="NEW"),"",INDEX(J$1:J630,SUMPRODUCT(MAX(ROW(E$1:E630)*(E631=E$1:E630)))))</f>
        <v> </v>
      </c>
      <c r="L631" s="26"/>
    </row>
    <row r="632" spans="1:12">
      <c r="A632" s="20" t="s">
        <v>407</v>
      </c>
      <c r="B632" s="27" t="s">
        <v>202</v>
      </c>
      <c r="C632" s="27" t="s">
        <v>172</v>
      </c>
      <c r="E632" s="21">
        <f>IF(D632="?OLD","!!!","")</f>
        <v/>
      </c>
      <c r="F632" s="22" t="str">
        <f>IF(OR(E632="",E632="!!!"),"",IF(NOT(ISNA(VLOOKUP(E632,E$1:E631,1,FALSE()))),"OLD",IF(AND(E632&lt;&gt;"",E632&lt;&gt;"!!!"),"NEW","")))</f>
        <v> </v>
      </c>
      <c r="G632" s="23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4" t="str">
        <f>IF(J632&lt;&gt;1,"",IF(I632="SBJ","CB","?"))</f>
        <v> </v>
      </c>
      <c r="I632" s="25" t="str">
        <f>IF(OR(E632="",E632="!!!",F632="NEW"),"",INDEX(B631:B$2,-1+SUMPRODUCT(MAX(ROW(E631:E$2)*(E632=E631:E$2)))))</f>
        <v> </v>
      </c>
      <c r="J632" s="25" t="str">
        <f>IF(OR(E632="",E632="!!!",F632="NEW"),"",COUNTBLANK(OFFSET(A$1,,,SUMPRODUCT(MAX(ROW(E$2:E632)*(E632=E$2:E632)))))-COUNTBLANK(OFFSET(A$1,,,SUMPRODUCT(MAX(ROW(E$1:E631)*(E2=E$1:E631))))))</f>
        <v> </v>
      </c>
      <c r="K632" s="25" t="str">
        <f>IF(OR(E632="",E632="!!!",F632="NEW"),"",INDEX(J$1:J631,SUMPRODUCT(MAX(ROW(E$1:E631)*(E632=E$1:E631)))))</f>
        <v> </v>
      </c>
      <c r="L632" s="26"/>
    </row>
    <row r="633" spans="1:12">
      <c r="A633" s="20" t="s">
        <v>21</v>
      </c>
      <c r="E633" s="21">
        <f>IF(D633="?OLD","!!!","")</f>
        <v/>
      </c>
      <c r="F633" s="22" t="str">
        <f>IF(OR(E633="",E633="!!!"),"",IF(NOT(ISNA(VLOOKUP(E633,E$1:E632,1,FALSE()))),"OLD",IF(AND(E633&lt;&gt;"",E633&lt;&gt;"!!!"),"NEW","")))</f>
        <v> </v>
      </c>
      <c r="G633" s="23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4" t="str">
        <f>IF(J633&lt;&gt;1,"",IF(I633="SBJ","CB","?"))</f>
        <v> </v>
      </c>
      <c r="I633" s="25" t="str">
        <f>IF(OR(E633="",E633="!!!",F633="NEW"),"",INDEX(B632:B$2,-1+SUMPRODUCT(MAX(ROW(E632:E$2)*(E633=E632:E$2)))))</f>
        <v> </v>
      </c>
      <c r="J633" s="25" t="str">
        <f>IF(OR(E633="",E633="!!!",F633="NEW"),"",COUNTBLANK(OFFSET(A$1,,,SUMPRODUCT(MAX(ROW(E$2:E633)*(E633=E$2:E633)))))-COUNTBLANK(OFFSET(A$1,,,SUMPRODUCT(MAX(ROW(E$1:E632)*(E2=E$1:E632))))))</f>
        <v> </v>
      </c>
      <c r="K633" s="25" t="str">
        <f>IF(OR(E633="",E633="!!!",F633="NEW"),"",INDEX(J$1:J632,SUMPRODUCT(MAX(ROW(E$1:E632)*(E633=E$1:E632)))))</f>
        <v> </v>
      </c>
      <c r="L633" s="26"/>
    </row>
    <row r="634" spans="1:12">
      <c r="A634" s="20" t="s">
        <v>157</v>
      </c>
      <c r="E634" s="21">
        <f>IF(D634="?OLD","!!!","")</f>
        <v/>
      </c>
      <c r="F634" s="22" t="str">
        <f>IF(OR(E634="",E634="!!!"),"",IF(NOT(ISNA(VLOOKUP(E634,E$1:E633,1,FALSE()))),"OLD",IF(AND(E634&lt;&gt;"",E634&lt;&gt;"!!!"),"NEW","")))</f>
        <v> </v>
      </c>
      <c r="G634" s="23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4" t="str">
        <f>IF(J634&lt;&gt;1,"",IF(I634="SBJ","CB","?"))</f>
        <v> </v>
      </c>
      <c r="I634" s="25" t="str">
        <f>IF(OR(E634="",E634="!!!",F634="NEW"),"",INDEX(B633:B$2,-1+SUMPRODUCT(MAX(ROW(E633:E$2)*(E634=E633:E$2)))))</f>
        <v> </v>
      </c>
      <c r="J634" s="25" t="str">
        <f>IF(OR(E634="",E634="!!!",F634="NEW"),"",COUNTBLANK(OFFSET(A$1,,,SUMPRODUCT(MAX(ROW(E$2:E634)*(E634=E$2:E634)))))-COUNTBLANK(OFFSET(A$1,,,SUMPRODUCT(MAX(ROW(E$1:E633)*(E2=E$1:E633))))))</f>
        <v> </v>
      </c>
      <c r="K634" s="25" t="str">
        <f>IF(OR(E634="",E634="!!!",F634="NEW"),"",INDEX(J$1:J633,SUMPRODUCT(MAX(ROW(E$1:E633)*(E634=E$1:E633)))))</f>
        <v> </v>
      </c>
      <c r="L634" s="26"/>
    </row>
    <row r="635" spans="1:12">
      <c r="A635" s="20" t="s">
        <v>408</v>
      </c>
      <c r="E635" s="21">
        <f>IF(D635="?OLD","!!!","")</f>
        <v/>
      </c>
      <c r="F635" s="22" t="str">
        <f>IF(OR(E635="",E635="!!!"),"",IF(NOT(ISNA(VLOOKUP(E635,E$1:E634,1,FALSE()))),"OLD",IF(AND(E635&lt;&gt;"",E635&lt;&gt;"!!!"),"NEW","")))</f>
        <v> </v>
      </c>
      <c r="G635" s="23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4" t="str">
        <f>IF(J635&lt;&gt;1,"",IF(I635="SBJ","CB","?"))</f>
        <v> </v>
      </c>
      <c r="I635" s="25" t="str">
        <f>IF(OR(E635="",E635="!!!",F635="NEW"),"",INDEX(B634:B$2,-1+SUMPRODUCT(MAX(ROW(E634:E$2)*(E635=E634:E$2)))))</f>
        <v> </v>
      </c>
      <c r="J635" s="25" t="str">
        <f>IF(OR(E635="",E635="!!!",F635="NEW"),"",COUNTBLANK(OFFSET(A$1,,,SUMPRODUCT(MAX(ROW(E$2:E635)*(E635=E$2:E635)))))-COUNTBLANK(OFFSET(A$1,,,SUMPRODUCT(MAX(ROW(E$1:E634)*(E2=E$1:E634))))))</f>
        <v> </v>
      </c>
      <c r="K635" s="25" t="str">
        <f>IF(OR(E635="",E635="!!!",F635="NEW"),"",INDEX(J$1:J634,SUMPRODUCT(MAX(ROW(E$1:E634)*(E635=E$1:E634)))))</f>
        <v> </v>
      </c>
      <c r="L635" s="26"/>
    </row>
    <row r="636" spans="1:12">
      <c r="A636" s="20" t="s">
        <v>208</v>
      </c>
      <c r="E636" s="21">
        <f>IF(D636="?OLD","!!!","")</f>
        <v/>
      </c>
      <c r="F636" s="22" t="str">
        <f>IF(OR(E636="",E636="!!!"),"",IF(NOT(ISNA(VLOOKUP(E636,E$1:E635,1,FALSE()))),"OLD",IF(AND(E636&lt;&gt;"",E636&lt;&gt;"!!!"),"NEW","")))</f>
        <v> </v>
      </c>
      <c r="G636" s="23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4" t="str">
        <f>IF(J636&lt;&gt;1,"",IF(I636="SBJ","CB","?"))</f>
        <v> </v>
      </c>
      <c r="I636" s="25" t="str">
        <f>IF(OR(E636="",E636="!!!",F636="NEW"),"",INDEX(B635:B$2,-1+SUMPRODUCT(MAX(ROW(E635:E$2)*(E636=E635:E$2)))))</f>
        <v> </v>
      </c>
      <c r="J636" s="25" t="str">
        <f>IF(OR(E636="",E636="!!!",F636="NEW"),"",COUNTBLANK(OFFSET(A$1,,,SUMPRODUCT(MAX(ROW(E$2:E636)*(E636=E$2:E636)))))-COUNTBLANK(OFFSET(A$1,,,SUMPRODUCT(MAX(ROW(E$1:E635)*(E2=E$1:E635))))))</f>
        <v> </v>
      </c>
      <c r="K636" s="25" t="str">
        <f>IF(OR(E636="",E636="!!!",F636="NEW"),"",INDEX(J$1:J635,SUMPRODUCT(MAX(ROW(E$1:E635)*(E636=E$1:E635)))))</f>
        <v> </v>
      </c>
      <c r="L636" s="26"/>
    </row>
    <row r="637" spans="1:12">
      <c r="A637" s="20" t="s">
        <v>298</v>
      </c>
      <c r="B637" s="27" t="s">
        <v>141</v>
      </c>
      <c r="C637" s="27" t="s">
        <v>176</v>
      </c>
      <c r="D637" s="27" t="s">
        <v>143</v>
      </c>
      <c r="E637" s="21">
        <f>IF(D637="?OLD","!!!","")</f>
        <v/>
      </c>
      <c r="F637" s="22" t="str">
        <f>IF(OR(E637="",E637="!!!"),"",IF(NOT(ISNA(VLOOKUP(E637,E$1:E636,1,FALSE()))),"OLD",IF(AND(E637&lt;&gt;"",E637&lt;&gt;"!!!"),"NEW","")))</f>
        <v> </v>
      </c>
      <c r="G637" s="23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4" t="str">
        <f>IF(J637&lt;&gt;1,"",IF(I637="SBJ","CB","?"))</f>
        <v> </v>
      </c>
      <c r="I637" s="25" t="str">
        <f>IF(OR(E637="",E637="!!!",F637="NEW"),"",INDEX(B636:B$2,-1+SUMPRODUCT(MAX(ROW(E636:E$2)*(E637=E636:E$2)))))</f>
        <v> </v>
      </c>
      <c r="J637" s="25" t="str">
        <f>IF(OR(E637="",E637="!!!",F637="NEW"),"",COUNTBLANK(OFFSET(A$1,,,SUMPRODUCT(MAX(ROW(E$2:E637)*(E637=E$2:E637)))))-COUNTBLANK(OFFSET(A$1,,,SUMPRODUCT(MAX(ROW(E$1:E636)*(E2=E$1:E636))))))</f>
        <v> </v>
      </c>
      <c r="K637" s="25" t="str">
        <f>IF(OR(E637="",E637="!!!",F637="NEW"),"",INDEX(J$1:J636,SUMPRODUCT(MAX(ROW(E$1:E636)*(E637=E$1:E636)))))</f>
        <v> </v>
      </c>
      <c r="L637" s="26"/>
    </row>
    <row r="638" spans="1:12">
      <c r="A638" s="20" t="s">
        <v>409</v>
      </c>
      <c r="E638" s="21">
        <f>IF(D638="?OLD","!!!","")</f>
        <v/>
      </c>
      <c r="F638" s="22" t="str">
        <f>IF(OR(E638="",E638="!!!"),"",IF(NOT(ISNA(VLOOKUP(E638,E$1:E637,1,FALSE()))),"OLD",IF(AND(E638&lt;&gt;"",E638&lt;&gt;"!!!"),"NEW","")))</f>
        <v> </v>
      </c>
      <c r="G638" s="23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4" t="str">
        <f>IF(J638&lt;&gt;1,"",IF(I638="SBJ","CB","?"))</f>
        <v> </v>
      </c>
      <c r="I638" s="25" t="str">
        <f>IF(OR(E638="",E638="!!!",F638="NEW"),"",INDEX(B637:B$2,-1+SUMPRODUCT(MAX(ROW(E637:E$2)*(E638=E637:E$2)))))</f>
        <v> </v>
      </c>
      <c r="J638" s="25" t="str">
        <f>IF(OR(E638="",E638="!!!",F638="NEW"),"",COUNTBLANK(OFFSET(A$1,,,SUMPRODUCT(MAX(ROW(E$2:E638)*(E638=E$2:E638)))))-COUNTBLANK(OFFSET(A$1,,,SUMPRODUCT(MAX(ROW(E$1:E637)*(E2=E$1:E637))))))</f>
        <v> </v>
      </c>
      <c r="K638" s="25" t="str">
        <f>IF(OR(E638="",E638="!!!",F638="NEW"),"",INDEX(J$1:J637,SUMPRODUCT(MAX(ROW(E$1:E637)*(E638=E$1:E637)))))</f>
        <v> </v>
      </c>
      <c r="L638" s="26"/>
    </row>
    <row r="639" spans="1:12">
      <c r="A639" s="20" t="s">
        <v>166</v>
      </c>
      <c r="E639" s="21">
        <f>IF(D639="?OLD","!!!","")</f>
        <v/>
      </c>
      <c r="F639" s="22" t="str">
        <f>IF(OR(E639="",E639="!!!"),"",IF(NOT(ISNA(VLOOKUP(E639,E$1:E638,1,FALSE()))),"OLD",IF(AND(E639&lt;&gt;"",E639&lt;&gt;"!!!"),"NEW","")))</f>
        <v> </v>
      </c>
      <c r="G639" s="23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4" t="str">
        <f>IF(J639&lt;&gt;1,"",IF(I639="SBJ","CB","?"))</f>
        <v> </v>
      </c>
      <c r="I639" s="25" t="str">
        <f>IF(OR(E639="",E639="!!!",F639="NEW"),"",INDEX(B638:B$2,-1+SUMPRODUCT(MAX(ROW(E638:E$2)*(E639=E638:E$2)))))</f>
        <v> </v>
      </c>
      <c r="J639" s="25" t="str">
        <f>IF(OR(E639="",E639="!!!",F639="NEW"),"",COUNTBLANK(OFFSET(A$1,,,SUMPRODUCT(MAX(ROW(E$2:E639)*(E639=E$2:E639)))))-COUNTBLANK(OFFSET(A$1,,,SUMPRODUCT(MAX(ROW(E$1:E638)*(E2=E$1:E638))))))</f>
        <v> </v>
      </c>
      <c r="K639" s="25" t="str">
        <f>IF(OR(E639="",E639="!!!",F639="NEW"),"",INDEX(J$1:J638,SUMPRODUCT(MAX(ROW(E$1:E638)*(E639=E$1:E638)))))</f>
        <v> </v>
      </c>
      <c r="L639" s="26"/>
    </row>
    <row r="640" spans="1:12">
      <c r="A640" s="20" t="s">
        <v>345</v>
      </c>
      <c r="B640" s="27" t="s">
        <v>182</v>
      </c>
      <c r="C640" s="27" t="s">
        <v>172</v>
      </c>
      <c r="E640" s="21">
        <f>IF(D640="?OLD","!!!","")</f>
        <v/>
      </c>
      <c r="F640" s="22" t="str">
        <f>IF(OR(E640="",E640="!!!"),"",IF(NOT(ISNA(VLOOKUP(E640,E$1:E639,1,FALSE()))),"OLD",IF(AND(E640&lt;&gt;"",E640&lt;&gt;"!!!"),"NEW","")))</f>
        <v> </v>
      </c>
      <c r="G640" s="23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4" t="str">
        <f>IF(J640&lt;&gt;1,"",IF(I640="SBJ","CB","?"))</f>
        <v> </v>
      </c>
      <c r="I640" s="25" t="str">
        <f>IF(OR(E640="",E640="!!!",F640="NEW"),"",INDEX(B639:B$2,-1+SUMPRODUCT(MAX(ROW(E639:E$2)*(E640=E639:E$2)))))</f>
        <v> </v>
      </c>
      <c r="J640" s="25" t="str">
        <f>IF(OR(E640="",E640="!!!",F640="NEW"),"",COUNTBLANK(OFFSET(A$1,,,SUMPRODUCT(MAX(ROW(E$2:E640)*(E640=E$2:E640)))))-COUNTBLANK(OFFSET(A$1,,,SUMPRODUCT(MAX(ROW(E$1:E639)*(E2=E$1:E639))))))</f>
        <v> </v>
      </c>
      <c r="K640" s="25" t="str">
        <f>IF(OR(E640="",E640="!!!",F640="NEW"),"",INDEX(J$1:J639,SUMPRODUCT(MAX(ROW(E$1:E639)*(E640=E$1:E639)))))</f>
        <v> </v>
      </c>
      <c r="L640" s="26"/>
    </row>
    <row r="641" spans="1:12">
      <c r="A641" s="20" t="s">
        <v>410</v>
      </c>
      <c r="E641" s="21">
        <f>IF(D641="?OLD","!!!","")</f>
        <v/>
      </c>
      <c r="F641" s="22" t="str">
        <f>IF(OR(E641="",E641="!!!"),"",IF(NOT(ISNA(VLOOKUP(E641,E$1:E640,1,FALSE()))),"OLD",IF(AND(E641&lt;&gt;"",E641&lt;&gt;"!!!"),"NEW","")))</f>
        <v> </v>
      </c>
      <c r="G641" s="23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4" t="str">
        <f>IF(J641&lt;&gt;1,"",IF(I641="SBJ","CB","?"))</f>
        <v> </v>
      </c>
      <c r="I641" s="25" t="str">
        <f>IF(OR(E641="",E641="!!!",F641="NEW"),"",INDEX(B640:B$2,-1+SUMPRODUCT(MAX(ROW(E640:E$2)*(E641=E640:E$2)))))</f>
        <v> </v>
      </c>
      <c r="J641" s="25" t="str">
        <f>IF(OR(E641="",E641="!!!",F641="NEW"),"",COUNTBLANK(OFFSET(A$1,,,SUMPRODUCT(MAX(ROW(E$2:E641)*(E641=E$2:E641)))))-COUNTBLANK(OFFSET(A$1,,,SUMPRODUCT(MAX(ROW(E$1:E640)*(E2=E$1:E640))))))</f>
        <v> </v>
      </c>
      <c r="K641" s="25" t="str">
        <f>IF(OR(E641="",E641="!!!",F641="NEW"),"",INDEX(J$1:J640,SUMPRODUCT(MAX(ROW(E$1:E640)*(E641=E$1:E640)))))</f>
        <v> </v>
      </c>
      <c r="L641" s="26"/>
    </row>
    <row r="642" spans="1:12">
      <c r="A642" s="20" t="s">
        <v>157</v>
      </c>
      <c r="E642" s="21">
        <f>IF(D642="?OLD","!!!","")</f>
        <v/>
      </c>
      <c r="F642" s="22" t="str">
        <f>IF(OR(E642="",E642="!!!"),"",IF(NOT(ISNA(VLOOKUP(E642,E$1:E641,1,FALSE()))),"OLD",IF(AND(E642&lt;&gt;"",E642&lt;&gt;"!!!"),"NEW","")))</f>
        <v> </v>
      </c>
      <c r="G642" s="23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4" t="str">
        <f>IF(J642&lt;&gt;1,"",IF(I642="SBJ","CB","?"))</f>
        <v> </v>
      </c>
      <c r="I642" s="25" t="str">
        <f>IF(OR(E642="",E642="!!!",F642="NEW"),"",INDEX(B641:B$2,-1+SUMPRODUCT(MAX(ROW(E641:E$2)*(E642=E641:E$2)))))</f>
        <v> </v>
      </c>
      <c r="J642" s="25" t="str">
        <f>IF(OR(E642="",E642="!!!",F642="NEW"),"",COUNTBLANK(OFFSET(A$1,,,SUMPRODUCT(MAX(ROW(E$2:E642)*(E642=E$2:E642)))))-COUNTBLANK(OFFSET(A$1,,,SUMPRODUCT(MAX(ROW(E$1:E641)*(E2=E$1:E641))))))</f>
        <v> </v>
      </c>
      <c r="K642" s="25" t="str">
        <f>IF(OR(E642="",E642="!!!",F642="NEW"),"",INDEX(J$1:J641,SUMPRODUCT(MAX(ROW(E$1:E641)*(E642=E$1:E641)))))</f>
        <v> </v>
      </c>
      <c r="L642" s="26"/>
    </row>
    <row r="643" spans="1:12">
      <c r="A643" s="20" t="s">
        <v>204</v>
      </c>
      <c r="E643" s="21">
        <f>IF(D643="?OLD","!!!","")</f>
        <v/>
      </c>
      <c r="F643" s="22" t="str">
        <f>IF(OR(E643="",E643="!!!"),"",IF(NOT(ISNA(VLOOKUP(E643,E$1:E642,1,FALSE()))),"OLD",IF(AND(E643&lt;&gt;"",E643&lt;&gt;"!!!"),"NEW","")))</f>
        <v> </v>
      </c>
      <c r="G643" s="23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4" t="str">
        <f>IF(J643&lt;&gt;1,"",IF(I643="SBJ","CB","?"))</f>
        <v> </v>
      </c>
      <c r="I643" s="25" t="str">
        <f>IF(OR(E643="",E643="!!!",F643="NEW"),"",INDEX(B642:B$2,-1+SUMPRODUCT(MAX(ROW(E642:E$2)*(E643=E642:E$2)))))</f>
        <v> </v>
      </c>
      <c r="J643" s="25" t="str">
        <f>IF(OR(E643="",E643="!!!",F643="NEW"),"",COUNTBLANK(OFFSET(A$1,,,SUMPRODUCT(MAX(ROW(E$2:E643)*(E643=E$2:E643)))))-COUNTBLANK(OFFSET(A$1,,,SUMPRODUCT(MAX(ROW(E$1:E642)*(E2=E$1:E642))))))</f>
        <v> </v>
      </c>
      <c r="K643" s="25" t="str">
        <f>IF(OR(E643="",E643="!!!",F643="NEW"),"",INDEX(J$1:J642,SUMPRODUCT(MAX(ROW(E$1:E642)*(E643=E$1:E642)))))</f>
        <v> </v>
      </c>
      <c r="L643" s="26"/>
    </row>
    <row r="644" spans="1:12">
      <c r="A644" s="20" t="s">
        <v>298</v>
      </c>
      <c r="B644" s="27" t="s">
        <v>151</v>
      </c>
      <c r="C644" s="27" t="s">
        <v>176</v>
      </c>
      <c r="D644" s="27" t="s">
        <v>143</v>
      </c>
      <c r="E644" s="21">
        <f>IF(D644="?OLD","!!!","")</f>
        <v/>
      </c>
      <c r="F644" s="22" t="str">
        <f>IF(OR(E644="",E644="!!!"),"",IF(NOT(ISNA(VLOOKUP(E644,E$1:E643,1,FALSE()))),"OLD",IF(AND(E644&lt;&gt;"",E644&lt;&gt;"!!!"),"NEW","")))</f>
        <v> </v>
      </c>
      <c r="G644" s="23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4" t="str">
        <f>IF(J644&lt;&gt;1,"",IF(I644="SBJ","CB","?"))</f>
        <v> </v>
      </c>
      <c r="I644" s="25" t="str">
        <f>IF(OR(E644="",E644="!!!",F644="NEW"),"",INDEX(B643:B$2,-1+SUMPRODUCT(MAX(ROW(E643:E$2)*(E644=E643:E$2)))))</f>
        <v> </v>
      </c>
      <c r="J644" s="25" t="str">
        <f>IF(OR(E644="",E644="!!!",F644="NEW"),"",COUNTBLANK(OFFSET(A$1,,,SUMPRODUCT(MAX(ROW(E$2:E644)*(E644=E$2:E644)))))-COUNTBLANK(OFFSET(A$1,,,SUMPRODUCT(MAX(ROW(E$1:E643)*(E2=E$1:E643))))))</f>
        <v> </v>
      </c>
      <c r="K644" s="25" t="str">
        <f>IF(OR(E644="",E644="!!!",F644="NEW"),"",INDEX(J$1:J643,SUMPRODUCT(MAX(ROW(E$1:E643)*(E644=E$1:E643)))))</f>
        <v> </v>
      </c>
      <c r="L644" s="26"/>
    </row>
    <row r="645" spans="1:12">
      <c r="A645" s="20" t="s">
        <v>411</v>
      </c>
      <c r="E645" s="21">
        <f>IF(D645="?OLD","!!!","")</f>
        <v/>
      </c>
      <c r="F645" s="22" t="str">
        <f>IF(OR(E645="",E645="!!!"),"",IF(NOT(ISNA(VLOOKUP(E645,E$1:E644,1,FALSE()))),"OLD",IF(AND(E645&lt;&gt;"",E645&lt;&gt;"!!!"),"NEW","")))</f>
        <v> </v>
      </c>
      <c r="G645" s="23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4" t="str">
        <f>IF(J645&lt;&gt;1,"",IF(I645="SBJ","CB","?"))</f>
        <v> </v>
      </c>
      <c r="I645" s="25" t="str">
        <f>IF(OR(E645="",E645="!!!",F645="NEW"),"",INDEX(B644:B$2,-1+SUMPRODUCT(MAX(ROW(E644:E$2)*(E645=E644:E$2)))))</f>
        <v> </v>
      </c>
      <c r="J645" s="25" t="str">
        <f>IF(OR(E645="",E645="!!!",F645="NEW"),"",COUNTBLANK(OFFSET(A$1,,,SUMPRODUCT(MAX(ROW(E$2:E645)*(E645=E$2:E645)))))-COUNTBLANK(OFFSET(A$1,,,SUMPRODUCT(MAX(ROW(E$1:E644)*(E2=E$1:E644))))))</f>
        <v> </v>
      </c>
      <c r="K645" s="25" t="str">
        <f>IF(OR(E645="",E645="!!!",F645="NEW"),"",INDEX(J$1:J644,SUMPRODUCT(MAX(ROW(E$1:E644)*(E645=E$1:E644)))))</f>
        <v> </v>
      </c>
      <c r="L645" s="26"/>
    </row>
    <row r="646" spans="1:12">
      <c r="A646" s="20" t="s">
        <v>297</v>
      </c>
      <c r="E646" s="21">
        <f>IF(D646="?OLD","!!!","")</f>
        <v/>
      </c>
      <c r="F646" s="22" t="str">
        <f>IF(OR(E646="",E646="!!!"),"",IF(NOT(ISNA(VLOOKUP(E646,E$1:E645,1,FALSE()))),"OLD",IF(AND(E646&lt;&gt;"",E646&lt;&gt;"!!!"),"NEW","")))</f>
        <v> </v>
      </c>
      <c r="G646" s="23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4" t="str">
        <f>IF(J646&lt;&gt;1,"",IF(I646="SBJ","CB","?"))</f>
        <v> </v>
      </c>
      <c r="I646" s="25" t="str">
        <f>IF(OR(E646="",E646="!!!",F646="NEW"),"",INDEX(B645:B$2,-1+SUMPRODUCT(MAX(ROW(E645:E$2)*(E646=E645:E$2)))))</f>
        <v> </v>
      </c>
      <c r="J646" s="25" t="str">
        <f>IF(OR(E646="",E646="!!!",F646="NEW"),"",COUNTBLANK(OFFSET(A$1,,,SUMPRODUCT(MAX(ROW(E$2:E646)*(E646=E$2:E646)))))-COUNTBLANK(OFFSET(A$1,,,SUMPRODUCT(MAX(ROW(E$1:E645)*(E2=E$1:E645))))))</f>
        <v> </v>
      </c>
      <c r="K646" s="25" t="str">
        <f>IF(OR(E646="",E646="!!!",F646="NEW"),"",INDEX(J$1:J645,SUMPRODUCT(MAX(ROW(E$1:E645)*(E646=E$1:E645)))))</f>
        <v> </v>
      </c>
      <c r="L646" s="26"/>
    </row>
    <row r="647" spans="1:12">
      <c r="A647" s="20" t="s">
        <v>211</v>
      </c>
      <c r="E647" s="21">
        <f>IF(D647="?OLD","!!!","")</f>
        <v/>
      </c>
      <c r="F647" s="22" t="str">
        <f>IF(OR(E647="",E647="!!!"),"",IF(NOT(ISNA(VLOOKUP(E647,E$1:E646,1,FALSE()))),"OLD",IF(AND(E647&lt;&gt;"",E647&lt;&gt;"!!!"),"NEW","")))</f>
        <v> </v>
      </c>
      <c r="G647" s="23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4" t="str">
        <f>IF(J647&lt;&gt;1,"",IF(I647="SBJ","CB","?"))</f>
        <v> </v>
      </c>
      <c r="I647" s="25" t="str">
        <f>IF(OR(E647="",E647="!!!",F647="NEW"),"",INDEX(B646:B$2,-1+SUMPRODUCT(MAX(ROW(E646:E$2)*(E647=E646:E$2)))))</f>
        <v> </v>
      </c>
      <c r="J647" s="25" t="str">
        <f>IF(OR(E647="",E647="!!!",F647="NEW"),"",COUNTBLANK(OFFSET(A$1,,,SUMPRODUCT(MAX(ROW(E$2:E647)*(E647=E$2:E647)))))-COUNTBLANK(OFFSET(A$1,,,SUMPRODUCT(MAX(ROW(E$1:E646)*(E2=E$1:E646))))))</f>
        <v> </v>
      </c>
      <c r="K647" s="25" t="str">
        <f>IF(OR(E647="",E647="!!!",F647="NEW"),"",INDEX(J$1:J646,SUMPRODUCT(MAX(ROW(E$1:E646)*(E647=E$1:E646)))))</f>
        <v> </v>
      </c>
      <c r="L647" s="26"/>
    </row>
    <row r="648" spans="1:12">
      <c r="A648" s="20"/>
    </row>
    <row r="649" spans="1:12">
      <c r="A649" s="20" t="s">
        <v>412</v>
      </c>
    </row>
    <row r="650" spans="1:12">
      <c r="A650" s="20" t="s">
        <v>413</v>
      </c>
      <c r="E650" s="21">
        <f>IF(D650="?OLD","!!!","")</f>
        <v/>
      </c>
      <c r="F650" s="22" t="str">
        <f>IF(OR(E650="",E650="!!!"),"",IF(NOT(ISNA(VLOOKUP(E650,E$1:E649,1,FALSE()))),"OLD",IF(AND(E650&lt;&gt;"",E650&lt;&gt;"!!!"),"NEW","")))</f>
        <v> </v>
      </c>
      <c r="G650" s="23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4" t="str">
        <f>IF(J650&lt;&gt;1,"",IF(I650="SBJ","CB","?"))</f>
        <v> </v>
      </c>
      <c r="I650" s="25" t="str">
        <f>IF(OR(E650="",E650="!!!",F650="NEW"),"",INDEX(B649:B$2,-1+SUMPRODUCT(MAX(ROW(E649:E$2)*(E650=E649:E$2)))))</f>
        <v> </v>
      </c>
      <c r="J650" s="25" t="str">
        <f>IF(OR(E650="",E650="!!!",F650="NEW"),"",COUNTBLANK(OFFSET(A$1,,,SUMPRODUCT(MAX(ROW(E$2:E650)*(E650=E$2:E650)))))-COUNTBLANK(OFFSET(A$1,,,SUMPRODUCT(MAX(ROW(E$1:E649)*(E2=E$1:E649))))))</f>
        <v> </v>
      </c>
      <c r="K650" s="25" t="str">
        <f>IF(OR(E650="",E650="!!!",F650="NEW"),"",INDEX(J$1:J649,SUMPRODUCT(MAX(ROW(E$1:E649)*(E650=E$1:E649)))))</f>
        <v> </v>
      </c>
      <c r="L650" s="26"/>
    </row>
    <row r="651" spans="1:12">
      <c r="A651" s="20" t="s">
        <v>298</v>
      </c>
      <c r="B651" s="27" t="s">
        <v>171</v>
      </c>
      <c r="C651" s="27" t="s">
        <v>176</v>
      </c>
      <c r="D651" s="27" t="s">
        <v>143</v>
      </c>
      <c r="E651" s="21">
        <f>IF(D651="?OLD","!!!","")</f>
        <v/>
      </c>
      <c r="F651" s="22" t="str">
        <f>IF(OR(E651="",E651="!!!"),"",IF(NOT(ISNA(VLOOKUP(E651,E$1:E650,1,FALSE()))),"OLD",IF(AND(E651&lt;&gt;"",E651&lt;&gt;"!!!"),"NEW","")))</f>
        <v> </v>
      </c>
      <c r="G651" s="23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4" t="str">
        <f>IF(J651&lt;&gt;1,"",IF(I651="SBJ","CB","?"))</f>
        <v> </v>
      </c>
      <c r="I651" s="25" t="str">
        <f>IF(OR(E651="",E651="!!!",F651="NEW"),"",INDEX(B650:B$2,-1+SUMPRODUCT(MAX(ROW(E650:E$2)*(E651=E650:E$2)))))</f>
        <v> </v>
      </c>
      <c r="J651" s="25" t="str">
        <f>IF(OR(E651="",E651="!!!",F651="NEW"),"",COUNTBLANK(OFFSET(A$1,,,SUMPRODUCT(MAX(ROW(E$2:E651)*(E651=E$2:E651)))))-COUNTBLANK(OFFSET(A$1,,,SUMPRODUCT(MAX(ROW(E$1:E650)*(E2=E$1:E650))))))</f>
        <v> </v>
      </c>
      <c r="K651" s="25" t="str">
        <f>IF(OR(E651="",E651="!!!",F651="NEW"),"",INDEX(J$1:J650,SUMPRODUCT(MAX(ROW(E$1:E650)*(E651=E$1:E650)))))</f>
        <v> </v>
      </c>
      <c r="L651" s="26"/>
    </row>
    <row r="652" spans="1:12">
      <c r="A652" s="20" t="s">
        <v>297</v>
      </c>
      <c r="E652" s="21">
        <f>IF(D652="?OLD","!!!","")</f>
        <v/>
      </c>
      <c r="F652" s="22" t="str">
        <f>IF(OR(E652="",E652="!!!"),"",IF(NOT(ISNA(VLOOKUP(E652,E$1:E651,1,FALSE()))),"OLD",IF(AND(E652&lt;&gt;"",E652&lt;&gt;"!!!"),"NEW","")))</f>
        <v> </v>
      </c>
      <c r="G652" s="23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4" t="str">
        <f>IF(J652&lt;&gt;1,"",IF(I652="SBJ","CB","?"))</f>
        <v> </v>
      </c>
      <c r="I652" s="25" t="str">
        <f>IF(OR(E652="",E652="!!!",F652="NEW"),"",INDEX(B651:B$2,-1+SUMPRODUCT(MAX(ROW(E651:E$2)*(E652=E651:E$2)))))</f>
        <v> </v>
      </c>
      <c r="J652" s="25" t="str">
        <f>IF(OR(E652="",E652="!!!",F652="NEW"),"",COUNTBLANK(OFFSET(A$1,,,SUMPRODUCT(MAX(ROW(E$2:E652)*(E652=E$2:E652)))))-COUNTBLANK(OFFSET(A$1,,,SUMPRODUCT(MAX(ROW(E$1:E651)*(E2=E$1:E651))))))</f>
        <v> </v>
      </c>
      <c r="K652" s="25" t="str">
        <f>IF(OR(E652="",E652="!!!",F652="NEW"),"",INDEX(J$1:J651,SUMPRODUCT(MAX(ROW(E$1:E651)*(E652=E$1:E651)))))</f>
        <v> </v>
      </c>
      <c r="L652" s="26"/>
    </row>
    <row r="653" spans="1:12">
      <c r="A653" s="20" t="s">
        <v>345</v>
      </c>
      <c r="B653" s="27" t="s">
        <v>191</v>
      </c>
      <c r="C653" s="27" t="s">
        <v>172</v>
      </c>
      <c r="E653" s="21">
        <f>IF(D653="?OLD","!!!","")</f>
        <v/>
      </c>
      <c r="F653" s="22" t="str">
        <f>IF(OR(E653="",E653="!!!"),"",IF(NOT(ISNA(VLOOKUP(E653,E$1:E652,1,FALSE()))),"OLD",IF(AND(E653&lt;&gt;"",E653&lt;&gt;"!!!"),"NEW","")))</f>
        <v> </v>
      </c>
      <c r="G653" s="23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4" t="str">
        <f>IF(J653&lt;&gt;1,"",IF(I653="SBJ","CB","?"))</f>
        <v> </v>
      </c>
      <c r="I653" s="25" t="str">
        <f>IF(OR(E653="",E653="!!!",F653="NEW"),"",INDEX(B652:B$2,-1+SUMPRODUCT(MAX(ROW(E652:E$2)*(E653=E652:E$2)))))</f>
        <v> </v>
      </c>
      <c r="J653" s="25" t="str">
        <f>IF(OR(E653="",E653="!!!",F653="NEW"),"",COUNTBLANK(OFFSET(A$1,,,SUMPRODUCT(MAX(ROW(E$2:E653)*(E653=E$2:E653)))))-COUNTBLANK(OFFSET(A$1,,,SUMPRODUCT(MAX(ROW(E$1:E652)*(E2=E$1:E652))))))</f>
        <v> </v>
      </c>
      <c r="K653" s="25" t="str">
        <f>IF(OR(E653="",E653="!!!",F653="NEW"),"",INDEX(J$1:J652,SUMPRODUCT(MAX(ROW(E$1:E652)*(E653=E$1:E652)))))</f>
        <v> </v>
      </c>
      <c r="L653" s="26"/>
    </row>
    <row r="654" spans="1:12">
      <c r="A654" s="20" t="s">
        <v>164</v>
      </c>
      <c r="E654" s="21">
        <f>IF(D654="?OLD","!!!","")</f>
        <v/>
      </c>
      <c r="F654" s="22" t="str">
        <f>IF(OR(E654="",E654="!!!"),"",IF(NOT(ISNA(VLOOKUP(E654,E$1:E653,1,FALSE()))),"OLD",IF(AND(E654&lt;&gt;"",E654&lt;&gt;"!!!"),"NEW","")))</f>
        <v> </v>
      </c>
      <c r="G654" s="23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4" t="str">
        <f>IF(J654&lt;&gt;1,"",IF(I654="SBJ","CB","?"))</f>
        <v> </v>
      </c>
      <c r="I654" s="25" t="str">
        <f>IF(OR(E654="",E654="!!!",F654="NEW"),"",INDEX(B653:B$2,-1+SUMPRODUCT(MAX(ROW(E653:E$2)*(E654=E653:E$2)))))</f>
        <v> </v>
      </c>
      <c r="J654" s="25" t="str">
        <f>IF(OR(E654="",E654="!!!",F654="NEW"),"",COUNTBLANK(OFFSET(A$1,,,SUMPRODUCT(MAX(ROW(E$2:E654)*(E654=E$2:E654)))))-COUNTBLANK(OFFSET(A$1,,,SUMPRODUCT(MAX(ROW(E$1:E653)*(E2=E$1:E653))))))</f>
        <v> </v>
      </c>
      <c r="K654" s="25" t="str">
        <f>IF(OR(E654="",E654="!!!",F654="NEW"),"",INDEX(J$1:J653,SUMPRODUCT(MAX(ROW(E$1:E653)*(E654=E$1:E653)))))</f>
        <v> </v>
      </c>
      <c r="L654" s="26"/>
    </row>
    <row r="655" spans="1:12">
      <c r="A655" s="20" t="s">
        <v>344</v>
      </c>
      <c r="E655" s="21">
        <f>IF(D655="?OLD","!!!","")</f>
        <v/>
      </c>
      <c r="F655" s="22" t="str">
        <f>IF(OR(E655="",E655="!!!"),"",IF(NOT(ISNA(VLOOKUP(E655,E$1:E654,1,FALSE()))),"OLD",IF(AND(E655&lt;&gt;"",E655&lt;&gt;"!!!"),"NEW","")))</f>
        <v> </v>
      </c>
      <c r="G655" s="23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4" t="str">
        <f>IF(J655&lt;&gt;1,"",IF(I655="SBJ","CB","?"))</f>
        <v> </v>
      </c>
      <c r="I655" s="25" t="str">
        <f>IF(OR(E655="",E655="!!!",F655="NEW"),"",INDEX(B654:B$2,-1+SUMPRODUCT(MAX(ROW(E654:E$2)*(E655=E654:E$2)))))</f>
        <v> </v>
      </c>
      <c r="J655" s="25" t="str">
        <f>IF(OR(E655="",E655="!!!",F655="NEW"),"",COUNTBLANK(OFFSET(A$1,,,SUMPRODUCT(MAX(ROW(E$2:E655)*(E655=E$2:E655)))))-COUNTBLANK(OFFSET(A$1,,,SUMPRODUCT(MAX(ROW(E$1:E654)*(E2=E$1:E654))))))</f>
        <v> </v>
      </c>
      <c r="K655" s="25" t="str">
        <f>IF(OR(E655="",E655="!!!",F655="NEW"),"",INDEX(J$1:J654,SUMPRODUCT(MAX(ROW(E$1:E654)*(E655=E$1:E654)))))</f>
        <v> </v>
      </c>
      <c r="L655" s="26"/>
    </row>
    <row r="656" spans="1:12">
      <c r="A656" s="20" t="s">
        <v>166</v>
      </c>
      <c r="B656" s="27" t="s">
        <v>156</v>
      </c>
      <c r="C656" s="27" t="s">
        <v>149</v>
      </c>
      <c r="E656" s="21">
        <f>IF(D656="?OLD","!!!","")</f>
        <v/>
      </c>
      <c r="F656" s="22" t="str">
        <f>IF(OR(E656="",E656="!!!"),"",IF(NOT(ISNA(VLOOKUP(E656,E$1:E655,1,FALSE()))),"OLD",IF(AND(E656&lt;&gt;"",E656&lt;&gt;"!!!"),"NEW","")))</f>
        <v> </v>
      </c>
      <c r="G656" s="23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4" t="str">
        <f>IF(J656&lt;&gt;1,"",IF(I656="SBJ","CB","?"))</f>
        <v> </v>
      </c>
      <c r="I656" s="25" t="str">
        <f>IF(OR(E656="",E656="!!!",F656="NEW"),"",INDEX(B655:B$2,-1+SUMPRODUCT(MAX(ROW(E655:E$2)*(E656=E655:E$2)))))</f>
        <v> </v>
      </c>
      <c r="J656" s="25" t="str">
        <f>IF(OR(E656="",E656="!!!",F656="NEW"),"",COUNTBLANK(OFFSET(A$1,,,SUMPRODUCT(MAX(ROW(E$2:E656)*(E656=E$2:E656)))))-COUNTBLANK(OFFSET(A$1,,,SUMPRODUCT(MAX(ROW(E$1:E655)*(E2=E$1:E655))))))</f>
        <v> </v>
      </c>
      <c r="K656" s="25" t="str">
        <f>IF(OR(E656="",E656="!!!",F656="NEW"),"",INDEX(J$1:J655,SUMPRODUCT(MAX(ROW(E$1:E655)*(E656=E$1:E655)))))</f>
        <v> </v>
      </c>
      <c r="L656" s="26"/>
    </row>
    <row r="657" spans="1:12">
      <c r="A657" s="20" t="s">
        <v>345</v>
      </c>
      <c r="B657" s="27" t="s">
        <v>182</v>
      </c>
      <c r="C657" s="27" t="s">
        <v>172</v>
      </c>
      <c r="E657" s="21">
        <f>IF(D657="?OLD","!!!","")</f>
        <v/>
      </c>
      <c r="F657" s="22" t="str">
        <f>IF(OR(E657="",E657="!!!"),"",IF(NOT(ISNA(VLOOKUP(E657,E$1:E656,1,FALSE()))),"OLD",IF(AND(E657&lt;&gt;"",E657&lt;&gt;"!!!"),"NEW","")))</f>
        <v> </v>
      </c>
      <c r="G657" s="23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4" t="str">
        <f>IF(J657&lt;&gt;1,"",IF(I657="SBJ","CB","?"))</f>
        <v> </v>
      </c>
      <c r="I657" s="25" t="str">
        <f>IF(OR(E657="",E657="!!!",F657="NEW"),"",INDEX(B656:B$2,-1+SUMPRODUCT(MAX(ROW(E656:E$2)*(E657=E656:E$2)))))</f>
        <v> </v>
      </c>
      <c r="J657" s="25" t="str">
        <f>IF(OR(E657="",E657="!!!",F657="NEW"),"",COUNTBLANK(OFFSET(A$1,,,SUMPRODUCT(MAX(ROW(E$2:E657)*(E657=E$2:E657)))))-COUNTBLANK(OFFSET(A$1,,,SUMPRODUCT(MAX(ROW(E$1:E656)*(E2=E$1:E656))))))</f>
        <v> </v>
      </c>
      <c r="K657" s="25" t="str">
        <f>IF(OR(E657="",E657="!!!",F657="NEW"),"",INDEX(J$1:J656,SUMPRODUCT(MAX(ROW(E$1:E656)*(E657=E$1:E656)))))</f>
        <v> </v>
      </c>
      <c r="L657" s="26"/>
    </row>
    <row r="658" spans="1:12">
      <c r="A658" s="20" t="s">
        <v>225</v>
      </c>
      <c r="E658" s="21">
        <f>IF(D658="?OLD","!!!","")</f>
        <v/>
      </c>
      <c r="F658" s="22" t="str">
        <f>IF(OR(E658="",E658="!!!"),"",IF(NOT(ISNA(VLOOKUP(E658,E$1:E657,1,FALSE()))),"OLD",IF(AND(E658&lt;&gt;"",E658&lt;&gt;"!!!"),"NEW","")))</f>
        <v> </v>
      </c>
      <c r="G658" s="23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4" t="str">
        <f>IF(J658&lt;&gt;1,"",IF(I658="SBJ","CB","?"))</f>
        <v> </v>
      </c>
      <c r="I658" s="25" t="str">
        <f>IF(OR(E658="",E658="!!!",F658="NEW"),"",INDEX(B657:B$2,-1+SUMPRODUCT(MAX(ROW(E657:E$2)*(E658=E657:E$2)))))</f>
        <v> </v>
      </c>
      <c r="J658" s="25" t="str">
        <f>IF(OR(E658="",E658="!!!",F658="NEW"),"",COUNTBLANK(OFFSET(A$1,,,SUMPRODUCT(MAX(ROW(E$2:E658)*(E658=E$2:E658)))))-COUNTBLANK(OFFSET(A$1,,,SUMPRODUCT(MAX(ROW(E$1:E657)*(E2=E$1:E657))))))</f>
        <v> </v>
      </c>
      <c r="K658" s="25" t="str">
        <f>IF(OR(E658="",E658="!!!",F658="NEW"),"",INDEX(J$1:J657,SUMPRODUCT(MAX(ROW(E$1:E657)*(E658=E$1:E657)))))</f>
        <v> </v>
      </c>
      <c r="L658" s="26"/>
    </row>
    <row r="659" spans="1:12">
      <c r="A659" s="20" t="s">
        <v>211</v>
      </c>
      <c r="E659" s="21">
        <f>IF(D659="?OLD","!!!","")</f>
        <v/>
      </c>
      <c r="F659" s="22" t="str">
        <f>IF(OR(E659="",E659="!!!"),"",IF(NOT(ISNA(VLOOKUP(E659,E$1:E658,1,FALSE()))),"OLD",IF(AND(E659&lt;&gt;"",E659&lt;&gt;"!!!"),"NEW","")))</f>
        <v> </v>
      </c>
      <c r="G659" s="23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4" t="str">
        <f>IF(J659&lt;&gt;1,"",IF(I659="SBJ","CB","?"))</f>
        <v> </v>
      </c>
      <c r="I659" s="25" t="str">
        <f>IF(OR(E659="",E659="!!!",F659="NEW"),"",INDEX(B658:B$2,-1+SUMPRODUCT(MAX(ROW(E658:E$2)*(E659=E658:E$2)))))</f>
        <v> </v>
      </c>
      <c r="J659" s="25" t="str">
        <f>IF(OR(E659="",E659="!!!",F659="NEW"),"",COUNTBLANK(OFFSET(A$1,,,SUMPRODUCT(MAX(ROW(E$2:E659)*(E659=E$2:E659)))))-COUNTBLANK(OFFSET(A$1,,,SUMPRODUCT(MAX(ROW(E$1:E658)*(E2=E$1:E658))))))</f>
        <v> </v>
      </c>
      <c r="K659" s="25" t="str">
        <f>IF(OR(E659="",E659="!!!",F659="NEW"),"",INDEX(J$1:J658,SUMPRODUCT(MAX(ROW(E$1:E658)*(E659=E$1:E658)))))</f>
        <v> </v>
      </c>
      <c r="L659" s="26"/>
    </row>
    <row r="660" spans="1:12">
      <c r="A660" s="20"/>
    </row>
    <row r="661" spans="1:12">
      <c r="A661" s="20" t="s">
        <v>414</v>
      </c>
    </row>
    <row r="662" spans="1:12">
      <c r="A662" s="20" t="s">
        <v>138</v>
      </c>
      <c r="E662" s="21">
        <f>IF(D662="?OLD","!!!","")</f>
        <v/>
      </c>
      <c r="F662" s="22" t="str">
        <f>IF(OR(E662="",E662="!!!"),"",IF(NOT(ISNA(VLOOKUP(E662,E$1:E661,1,FALSE()))),"OLD",IF(AND(E662&lt;&gt;"",E662&lt;&gt;"!!!"),"NEW","")))</f>
        <v> </v>
      </c>
      <c r="G662" s="23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4" t="str">
        <f>IF(J662&lt;&gt;1,"",IF(I662="SBJ","CB","?"))</f>
        <v> </v>
      </c>
      <c r="I662" s="25" t="str">
        <f>IF(OR(E662="",E662="!!!",F662="NEW"),"",INDEX(B661:B$2,-1+SUMPRODUCT(MAX(ROW(E661:E$2)*(E662=E661:E$2)))))</f>
        <v> </v>
      </c>
      <c r="J662" s="25" t="str">
        <f>IF(OR(E662="",E662="!!!",F662="NEW"),"",COUNTBLANK(OFFSET(A$1,,,SUMPRODUCT(MAX(ROW(E$2:E662)*(E662=E$2:E662)))))-COUNTBLANK(OFFSET(A$1,,,SUMPRODUCT(MAX(ROW(E$1:E661)*(E2=E$1:E661))))))</f>
        <v> </v>
      </c>
      <c r="K662" s="25" t="str">
        <f>IF(OR(E662="",E662="!!!",F662="NEW"),"",INDEX(J$1:J661,SUMPRODUCT(MAX(ROW(E$1:E661)*(E662=E$1:E661)))))</f>
        <v> </v>
      </c>
      <c r="L662" s="26"/>
    </row>
    <row r="663" spans="1:12">
      <c r="A663" s="20" t="s">
        <v>286</v>
      </c>
      <c r="B663" s="27" t="s">
        <v>171</v>
      </c>
      <c r="C663" s="27" t="s">
        <v>161</v>
      </c>
      <c r="D663" s="27" t="s">
        <v>143</v>
      </c>
      <c r="E663" s="21">
        <f>IF(D663="?OLD","!!!","")</f>
        <v/>
      </c>
      <c r="F663" s="22" t="str">
        <f>IF(OR(E663="",E663="!!!"),"",IF(NOT(ISNA(VLOOKUP(E663,E$1:E662,1,FALSE()))),"OLD",IF(AND(E663&lt;&gt;"",E663&lt;&gt;"!!!"),"NEW","")))</f>
        <v> </v>
      </c>
      <c r="G663" s="23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4" t="str">
        <f>IF(J663&lt;&gt;1,"",IF(I663="SBJ","CB","?"))</f>
        <v> </v>
      </c>
      <c r="I663" s="25" t="str">
        <f>IF(OR(E663="",E663="!!!",F663="NEW"),"",INDEX(B662:B$2,-1+SUMPRODUCT(MAX(ROW(E662:E$2)*(E663=E662:E$2)))))</f>
        <v> </v>
      </c>
      <c r="J663" s="25" t="str">
        <f>IF(OR(E663="",E663="!!!",F663="NEW"),"",COUNTBLANK(OFFSET(A$1,,,SUMPRODUCT(MAX(ROW(E$2:E663)*(E663=E$2:E663)))))-COUNTBLANK(OFFSET(A$1,,,SUMPRODUCT(MAX(ROW(E$1:E662)*(E2=E$1:E662))))))</f>
        <v> </v>
      </c>
      <c r="K663" s="25" t="str">
        <f>IF(OR(E663="",E663="!!!",F663="NEW"),"",INDEX(J$1:J662,SUMPRODUCT(MAX(ROW(E$1:E662)*(E663=E$1:E662)))))</f>
        <v> </v>
      </c>
      <c r="L663" s="26"/>
    </row>
    <row r="664" spans="1:12">
      <c r="A664" s="20" t="s">
        <v>415</v>
      </c>
      <c r="E664" s="21">
        <f>IF(D664="?OLD","!!!","")</f>
        <v/>
      </c>
      <c r="F664" s="22" t="str">
        <f>IF(OR(E664="",E664="!!!"),"",IF(NOT(ISNA(VLOOKUP(E664,E$1:E663,1,FALSE()))),"OLD",IF(AND(E664&lt;&gt;"",E664&lt;&gt;"!!!"),"NEW","")))</f>
        <v> </v>
      </c>
      <c r="G664" s="23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4" t="str">
        <f>IF(J664&lt;&gt;1,"",IF(I664="SBJ","CB","?"))</f>
        <v> </v>
      </c>
      <c r="I664" s="25" t="str">
        <f>IF(OR(E664="",E664="!!!",F664="NEW"),"",INDEX(B663:B$2,-1+SUMPRODUCT(MAX(ROW(E663:E$2)*(E664=E663:E$2)))))</f>
        <v> </v>
      </c>
      <c r="J664" s="25" t="str">
        <f>IF(OR(E664="",E664="!!!",F664="NEW"),"",COUNTBLANK(OFFSET(A$1,,,SUMPRODUCT(MAX(ROW(E$2:E664)*(E664=E$2:E664)))))-COUNTBLANK(OFFSET(A$1,,,SUMPRODUCT(MAX(ROW(E$1:E663)*(E2=E$1:E663))))))</f>
        <v> </v>
      </c>
      <c r="K664" s="25" t="str">
        <f>IF(OR(E664="",E664="!!!",F664="NEW"),"",INDEX(J$1:J663,SUMPRODUCT(MAX(ROW(E$1:E663)*(E664=E$1:E663)))))</f>
        <v> </v>
      </c>
      <c r="L664" s="26"/>
    </row>
    <row r="665" spans="1:12">
      <c r="A665" s="20" t="s">
        <v>231</v>
      </c>
      <c r="E665" s="21">
        <f>IF(D665="?OLD","!!!","")</f>
        <v/>
      </c>
      <c r="F665" s="22" t="str">
        <f>IF(OR(E665="",E665="!!!"),"",IF(NOT(ISNA(VLOOKUP(E665,E$1:E664,1,FALSE()))),"OLD",IF(AND(E665&lt;&gt;"",E665&lt;&gt;"!!!"),"NEW","")))</f>
        <v> </v>
      </c>
      <c r="G665" s="23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4" t="str">
        <f>IF(J665&lt;&gt;1,"",IF(I665="SBJ","CB","?"))</f>
        <v> </v>
      </c>
      <c r="I665" s="25" t="str">
        <f>IF(OR(E665="",E665="!!!",F665="NEW"),"",INDEX(B664:B$2,-1+SUMPRODUCT(MAX(ROW(E664:E$2)*(E665=E664:E$2)))))</f>
        <v> </v>
      </c>
      <c r="J665" s="25" t="str">
        <f>IF(OR(E665="",E665="!!!",F665="NEW"),"",COUNTBLANK(OFFSET(A$1,,,SUMPRODUCT(MAX(ROW(E$2:E665)*(E665=E$2:E665)))))-COUNTBLANK(OFFSET(A$1,,,SUMPRODUCT(MAX(ROW(E$1:E664)*(E2=E$1:E664))))))</f>
        <v> </v>
      </c>
      <c r="K665" s="25" t="str">
        <f>IF(OR(E665="",E665="!!!",F665="NEW"),"",INDEX(J$1:J664,SUMPRODUCT(MAX(ROW(E$1:E664)*(E665=E$1:E664)))))</f>
        <v> </v>
      </c>
      <c r="L665" s="26"/>
    </row>
    <row r="666" spans="1:12">
      <c r="A666" s="20" t="s">
        <v>190</v>
      </c>
      <c r="B666" s="27" t="s">
        <v>171</v>
      </c>
      <c r="C666" s="27" t="s">
        <v>229</v>
      </c>
      <c r="E666" s="21">
        <f>IF(D666="?OLD","!!!","")</f>
        <v/>
      </c>
      <c r="F666" s="22" t="str">
        <f>IF(OR(E666="",E666="!!!"),"",IF(NOT(ISNA(VLOOKUP(E666,E$1:E665,1,FALSE()))),"OLD",IF(AND(E666&lt;&gt;"",E666&lt;&gt;"!!!"),"NEW","")))</f>
        <v> </v>
      </c>
      <c r="G666" s="23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4" t="str">
        <f>IF(J666&lt;&gt;1,"",IF(I666="SBJ","CB","?"))</f>
        <v> </v>
      </c>
      <c r="I666" s="25" t="str">
        <f>IF(OR(E666="",E666="!!!",F666="NEW"),"",INDEX(B665:B$2,-1+SUMPRODUCT(MAX(ROW(E665:E$2)*(E666=E665:E$2)))))</f>
        <v> </v>
      </c>
      <c r="J666" s="25" t="str">
        <f>IF(OR(E666="",E666="!!!",F666="NEW"),"",COUNTBLANK(OFFSET(A$1,,,SUMPRODUCT(MAX(ROW(E$2:E666)*(E666=E$2:E666)))))-COUNTBLANK(OFFSET(A$1,,,SUMPRODUCT(MAX(ROW(E$1:E665)*(E2=E$1:E665))))))</f>
        <v> </v>
      </c>
      <c r="K666" s="25" t="str">
        <f>IF(OR(E666="",E666="!!!",F666="NEW"),"",INDEX(J$1:J665,SUMPRODUCT(MAX(ROW(E$1:E665)*(E666=E$1:E665)))))</f>
        <v> </v>
      </c>
      <c r="L666" s="26"/>
    </row>
    <row r="667" spans="1:12">
      <c r="A667" s="20" t="s">
        <v>416</v>
      </c>
      <c r="B667" s="27" t="s">
        <v>182</v>
      </c>
      <c r="C667" s="27" t="s">
        <v>161</v>
      </c>
      <c r="D667" s="27" t="s">
        <v>143</v>
      </c>
      <c r="E667" s="21">
        <f>IF(D667="?OLD","!!!","")</f>
        <v/>
      </c>
      <c r="F667" s="22" t="str">
        <f>IF(OR(E667="",E667="!!!"),"",IF(NOT(ISNA(VLOOKUP(E667,E$1:E666,1,FALSE()))),"OLD",IF(AND(E667&lt;&gt;"",E667&lt;&gt;"!!!"),"NEW","")))</f>
        <v> </v>
      </c>
      <c r="G667" s="23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4" t="str">
        <f>IF(J667&lt;&gt;1,"",IF(I667="SBJ","CB","?"))</f>
        <v> </v>
      </c>
      <c r="I667" s="25" t="str">
        <f>IF(OR(E667="",E667="!!!",F667="NEW"),"",INDEX(B666:B$2,-1+SUMPRODUCT(MAX(ROW(E666:E$2)*(E667=E666:E$2)))))</f>
        <v> </v>
      </c>
      <c r="J667" s="25" t="str">
        <f>IF(OR(E667="",E667="!!!",F667="NEW"),"",COUNTBLANK(OFFSET(A$1,,,SUMPRODUCT(MAX(ROW(E$2:E667)*(E667=E$2:E667)))))-COUNTBLANK(OFFSET(A$1,,,SUMPRODUCT(MAX(ROW(E$1:E666)*(E2=E$1:E666))))))</f>
        <v> </v>
      </c>
      <c r="K667" s="25" t="str">
        <f>IF(OR(E667="",E667="!!!",F667="NEW"),"",INDEX(J$1:J666,SUMPRODUCT(MAX(ROW(E$1:E666)*(E667=E$1:E666)))))</f>
        <v> </v>
      </c>
      <c r="L667" s="26"/>
    </row>
    <row r="668" spans="1:12">
      <c r="A668" s="20" t="s">
        <v>157</v>
      </c>
      <c r="E668" s="21">
        <f>IF(D668="?OLD","!!!","")</f>
        <v/>
      </c>
      <c r="F668" s="22" t="str">
        <f>IF(OR(E668="",E668="!!!"),"",IF(NOT(ISNA(VLOOKUP(E668,E$1:E667,1,FALSE()))),"OLD",IF(AND(E668&lt;&gt;"",E668&lt;&gt;"!!!"),"NEW","")))</f>
        <v> </v>
      </c>
      <c r="G668" s="23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4" t="str">
        <f>IF(J668&lt;&gt;1,"",IF(I668="SBJ","CB","?"))</f>
        <v> </v>
      </c>
      <c r="I668" s="25" t="str">
        <f>IF(OR(E668="",E668="!!!",F668="NEW"),"",INDEX(B667:B$2,-1+SUMPRODUCT(MAX(ROW(E667:E$2)*(E668=E667:E$2)))))</f>
        <v> </v>
      </c>
      <c r="J668" s="25" t="str">
        <f>IF(OR(E668="",E668="!!!",F668="NEW"),"",COUNTBLANK(OFFSET(A$1,,,SUMPRODUCT(MAX(ROW(E$2:E668)*(E668=E$2:E668)))))-COUNTBLANK(OFFSET(A$1,,,SUMPRODUCT(MAX(ROW(E$1:E667)*(E2=E$1:E667))))))</f>
        <v> </v>
      </c>
      <c r="K668" s="25" t="str">
        <f>IF(OR(E668="",E668="!!!",F668="NEW"),"",INDEX(J$1:J667,SUMPRODUCT(MAX(ROW(E$1:E667)*(E668=E$1:E667)))))</f>
        <v> </v>
      </c>
      <c r="L668" s="26"/>
    </row>
    <row r="669" spans="1:12">
      <c r="A669" s="20" t="s">
        <v>308</v>
      </c>
      <c r="E669" s="21">
        <f>IF(D669="?OLD","!!!","")</f>
        <v/>
      </c>
      <c r="F669" s="22" t="str">
        <f>IF(OR(E669="",E669="!!!"),"",IF(NOT(ISNA(VLOOKUP(E669,E$1:E668,1,FALSE()))),"OLD",IF(AND(E669&lt;&gt;"",E669&lt;&gt;"!!!"),"NEW","")))</f>
        <v> </v>
      </c>
      <c r="G669" s="23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4" t="str">
        <f>IF(J669&lt;&gt;1,"",IF(I669="SBJ","CB","?"))</f>
        <v> </v>
      </c>
      <c r="I669" s="25" t="str">
        <f>IF(OR(E669="",E669="!!!",F669="NEW"),"",INDEX(B668:B$2,-1+SUMPRODUCT(MAX(ROW(E668:E$2)*(E669=E668:E$2)))))</f>
        <v> </v>
      </c>
      <c r="J669" s="25" t="str">
        <f>IF(OR(E669="",E669="!!!",F669="NEW"),"",COUNTBLANK(OFFSET(A$1,,,SUMPRODUCT(MAX(ROW(E$2:E669)*(E669=E$2:E669)))))-COUNTBLANK(OFFSET(A$1,,,SUMPRODUCT(MAX(ROW(E$1:E668)*(E2=E$1:E668))))))</f>
        <v> </v>
      </c>
      <c r="K669" s="25" t="str">
        <f>IF(OR(E669="",E669="!!!",F669="NEW"),"",INDEX(J$1:J668,SUMPRODUCT(MAX(ROW(E$1:E668)*(E669=E$1:E668)))))</f>
        <v> </v>
      </c>
      <c r="L669" s="26"/>
    </row>
    <row r="670" spans="1:12">
      <c r="A670" s="20" t="s">
        <v>208</v>
      </c>
      <c r="E670" s="21">
        <f>IF(D670="?OLD","!!!","")</f>
        <v/>
      </c>
      <c r="F670" s="22" t="str">
        <f>IF(OR(E670="",E670="!!!"),"",IF(NOT(ISNA(VLOOKUP(E670,E$1:E669,1,FALSE()))),"OLD",IF(AND(E670&lt;&gt;"",E670&lt;&gt;"!!!"),"NEW","")))</f>
        <v> </v>
      </c>
      <c r="G670" s="23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4" t="str">
        <f>IF(J670&lt;&gt;1,"",IF(I670="SBJ","CB","?"))</f>
        <v> </v>
      </c>
      <c r="I670" s="25" t="str">
        <f>IF(OR(E670="",E670="!!!",F670="NEW"),"",INDEX(B669:B$2,-1+SUMPRODUCT(MAX(ROW(E669:E$2)*(E670=E669:E$2)))))</f>
        <v> </v>
      </c>
      <c r="J670" s="25" t="str">
        <f>IF(OR(E670="",E670="!!!",F670="NEW"),"",COUNTBLANK(OFFSET(A$1,,,SUMPRODUCT(MAX(ROW(E$2:E670)*(E670=E$2:E670)))))-COUNTBLANK(OFFSET(A$1,,,SUMPRODUCT(MAX(ROW(E$1:E669)*(E2=E$1:E669))))))</f>
        <v> </v>
      </c>
      <c r="K670" s="25" t="str">
        <f>IF(OR(E670="",E670="!!!",F670="NEW"),"",INDEX(J$1:J669,SUMPRODUCT(MAX(ROW(E$1:E669)*(E670=E$1:E669)))))</f>
        <v> </v>
      </c>
      <c r="L670" s="26"/>
    </row>
    <row r="671" spans="1:12">
      <c r="A671" s="20" t="s">
        <v>251</v>
      </c>
      <c r="B671" s="27" t="s">
        <v>228</v>
      </c>
      <c r="C671" s="27" t="s">
        <v>194</v>
      </c>
      <c r="D671" s="27" t="s">
        <v>143</v>
      </c>
      <c r="E671" s="21">
        <f>IF(D671="?OLD","!!!","")</f>
        <v/>
      </c>
      <c r="F671" s="22" t="str">
        <f>IF(OR(E671="",E671="!!!"),"",IF(NOT(ISNA(VLOOKUP(E671,E$1:E670,1,FALSE()))),"OLD",IF(AND(E671&lt;&gt;"",E671&lt;&gt;"!!!"),"NEW","")))</f>
        <v> </v>
      </c>
      <c r="G671" s="23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4" t="str">
        <f>IF(J671&lt;&gt;1,"",IF(I671="SBJ","CB","?"))</f>
        <v> </v>
      </c>
      <c r="I671" s="25" t="str">
        <f>IF(OR(E671="",E671="!!!",F671="NEW"),"",INDEX(B670:B$2,-1+SUMPRODUCT(MAX(ROW(E670:E$2)*(E671=E670:E$2)))))</f>
        <v> </v>
      </c>
      <c r="J671" s="25" t="str">
        <f>IF(OR(E671="",E671="!!!",F671="NEW"),"",COUNTBLANK(OFFSET(A$1,,,SUMPRODUCT(MAX(ROW(E$2:E671)*(E671=E$2:E671)))))-COUNTBLANK(OFFSET(A$1,,,SUMPRODUCT(MAX(ROW(E$1:E670)*(E2=E$1:E670))))))</f>
        <v> </v>
      </c>
      <c r="K671" s="25" t="str">
        <f>IF(OR(E671="",E671="!!!",F671="NEW"),"",INDEX(J$1:J670,SUMPRODUCT(MAX(ROW(E$1:E670)*(E671=E$1:E670)))))</f>
        <v> </v>
      </c>
      <c r="L671" s="26"/>
    </row>
    <row r="672" spans="1:12">
      <c r="A672" s="20" t="s">
        <v>417</v>
      </c>
      <c r="E672" s="21">
        <f>IF(D672="?OLD","!!!","")</f>
        <v/>
      </c>
      <c r="F672" s="22" t="str">
        <f>IF(OR(E672="",E672="!!!"),"",IF(NOT(ISNA(VLOOKUP(E672,E$1:E671,1,FALSE()))),"OLD",IF(AND(E672&lt;&gt;"",E672&lt;&gt;"!!!"),"NEW","")))</f>
        <v> </v>
      </c>
      <c r="G672" s="23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4" t="str">
        <f>IF(J672&lt;&gt;1,"",IF(I672="SBJ","CB","?"))</f>
        <v> </v>
      </c>
      <c r="I672" s="25" t="str">
        <f>IF(OR(E672="",E672="!!!",F672="NEW"),"",INDEX(B671:B$2,-1+SUMPRODUCT(MAX(ROW(E671:E$2)*(E672=E671:E$2)))))</f>
        <v> </v>
      </c>
      <c r="J672" s="25" t="str">
        <f>IF(OR(E672="",E672="!!!",F672="NEW"),"",COUNTBLANK(OFFSET(A$1,,,SUMPRODUCT(MAX(ROW(E$2:E672)*(E672=E$2:E672)))))-COUNTBLANK(OFFSET(A$1,,,SUMPRODUCT(MAX(ROW(E$1:E671)*(E2=E$1:E671))))))</f>
        <v> </v>
      </c>
      <c r="K672" s="25" t="str">
        <f>IF(OR(E672="",E672="!!!",F672="NEW"),"",INDEX(J$1:J671,SUMPRODUCT(MAX(ROW(E$1:E671)*(E672=E$1:E671)))))</f>
        <v> </v>
      </c>
      <c r="L672" s="26"/>
    </row>
    <row r="673" spans="1:12">
      <c r="A673" s="20" t="s">
        <v>418</v>
      </c>
      <c r="B673" s="27" t="s">
        <v>228</v>
      </c>
      <c r="C673" s="27" t="s">
        <v>247</v>
      </c>
      <c r="E673" s="21">
        <f>IF(D673="?OLD","!!!","")</f>
        <v/>
      </c>
      <c r="F673" s="22" t="str">
        <f>IF(OR(E673="",E673="!!!"),"",IF(NOT(ISNA(VLOOKUP(E673,E$1:E672,1,FALSE()))),"OLD",IF(AND(E673&lt;&gt;"",E673&lt;&gt;"!!!"),"NEW","")))</f>
        <v> </v>
      </c>
      <c r="G673" s="23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4" t="str">
        <f>IF(J673&lt;&gt;1,"",IF(I673="SBJ","CB","?"))</f>
        <v> </v>
      </c>
      <c r="I673" s="25" t="str">
        <f>IF(OR(E673="",E673="!!!",F673="NEW"),"",INDEX(B672:B$2,-1+SUMPRODUCT(MAX(ROW(E672:E$2)*(E673=E672:E$2)))))</f>
        <v> </v>
      </c>
      <c r="J673" s="25" t="str">
        <f>IF(OR(E673="",E673="!!!",F673="NEW"),"",COUNTBLANK(OFFSET(A$1,,,SUMPRODUCT(MAX(ROW(E$2:E673)*(E673=E$2:E673)))))-COUNTBLANK(OFFSET(A$1,,,SUMPRODUCT(MAX(ROW(E$1:E672)*(E2=E$1:E672))))))</f>
        <v> </v>
      </c>
      <c r="K673" s="25" t="str">
        <f>IF(OR(E673="",E673="!!!",F673="NEW"),"",INDEX(J$1:J672,SUMPRODUCT(MAX(ROW(E$1:E672)*(E673=E$1:E672)))))</f>
        <v> </v>
      </c>
      <c r="L673" s="26"/>
    </row>
    <row r="674" spans="1:12">
      <c r="A674" s="20" t="s">
        <v>237</v>
      </c>
      <c r="E674" s="21">
        <f>IF(D674="?OLD","!!!","")</f>
        <v/>
      </c>
      <c r="F674" s="22" t="str">
        <f>IF(OR(E674="",E674="!!!"),"",IF(NOT(ISNA(VLOOKUP(E674,E$1:E673,1,FALSE()))),"OLD",IF(AND(E674&lt;&gt;"",E674&lt;&gt;"!!!"),"NEW","")))</f>
        <v> </v>
      </c>
      <c r="G674" s="23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4" t="str">
        <f>IF(J674&lt;&gt;1,"",IF(I674="SBJ","CB","?"))</f>
        <v> </v>
      </c>
      <c r="I674" s="25" t="str">
        <f>IF(OR(E674="",E674="!!!",F674="NEW"),"",INDEX(B673:B$2,-1+SUMPRODUCT(MAX(ROW(E673:E$2)*(E674=E673:E$2)))))</f>
        <v> </v>
      </c>
      <c r="J674" s="25" t="str">
        <f>IF(OR(E674="",E674="!!!",F674="NEW"),"",COUNTBLANK(OFFSET(A$1,,,SUMPRODUCT(MAX(ROW(E$2:E674)*(E674=E$2:E674)))))-COUNTBLANK(OFFSET(A$1,,,SUMPRODUCT(MAX(ROW(E$1:E673)*(E2=E$1:E673))))))</f>
        <v> </v>
      </c>
      <c r="K674" s="25" t="str">
        <f>IF(OR(E674="",E674="!!!",F674="NEW"),"",INDEX(J$1:J673,SUMPRODUCT(MAX(ROW(E$1:E673)*(E674=E$1:E673)))))</f>
        <v> </v>
      </c>
      <c r="L674" s="26"/>
    </row>
    <row r="675" spans="1:12">
      <c r="A675" s="20" t="s">
        <v>419</v>
      </c>
      <c r="B675" s="27" t="s">
        <v>148</v>
      </c>
      <c r="C675" s="27" t="s">
        <v>149</v>
      </c>
      <c r="E675" s="21">
        <f>IF(D675="?OLD","!!!","")</f>
        <v/>
      </c>
      <c r="F675" s="22" t="str">
        <f>IF(OR(E675="",E675="!!!"),"",IF(NOT(ISNA(VLOOKUP(E675,E$1:E674,1,FALSE()))),"OLD",IF(AND(E675&lt;&gt;"",E675&lt;&gt;"!!!"),"NEW","")))</f>
        <v> </v>
      </c>
      <c r="G675" s="23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4" t="str">
        <f>IF(J675&lt;&gt;1,"",IF(I675="SBJ","CB","?"))</f>
        <v> </v>
      </c>
      <c r="I675" s="25" t="str">
        <f>IF(OR(E675="",E675="!!!",F675="NEW"),"",INDEX(B674:B$2,-1+SUMPRODUCT(MAX(ROW(E674:E$2)*(E675=E674:E$2)))))</f>
        <v> </v>
      </c>
      <c r="J675" s="25" t="str">
        <f>IF(OR(E675="",E675="!!!",F675="NEW"),"",COUNTBLANK(OFFSET(A$1,,,SUMPRODUCT(MAX(ROW(E$2:E675)*(E675=E$2:E675)))))-COUNTBLANK(OFFSET(A$1,,,SUMPRODUCT(MAX(ROW(E$1:E674)*(E2=E$1:E674))))))</f>
        <v> </v>
      </c>
      <c r="K675" s="25" t="str">
        <f>IF(OR(E675="",E675="!!!",F675="NEW"),"",INDEX(J$1:J674,SUMPRODUCT(MAX(ROW(E$1:E674)*(E675=E$1:E674)))))</f>
        <v> </v>
      </c>
      <c r="L675" s="26"/>
    </row>
    <row r="676" spans="1:12">
      <c r="A676" s="20" t="s">
        <v>420</v>
      </c>
      <c r="B676" s="27" t="s">
        <v>156</v>
      </c>
      <c r="C676" s="27" t="s">
        <v>152</v>
      </c>
      <c r="E676" s="21">
        <f>IF(D676="?OLD","!!!","")</f>
        <v/>
      </c>
      <c r="F676" s="22" t="str">
        <f>IF(OR(E676="",E676="!!!"),"",IF(NOT(ISNA(VLOOKUP(E676,E$1:E675,1,FALSE()))),"OLD",IF(AND(E676&lt;&gt;"",E676&lt;&gt;"!!!"),"NEW","")))</f>
        <v> </v>
      </c>
      <c r="G676" s="23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4" t="str">
        <f>IF(J676&lt;&gt;1,"",IF(I676="SBJ","CB","?"))</f>
        <v> </v>
      </c>
      <c r="I676" s="25" t="str">
        <f>IF(OR(E676="",E676="!!!",F676="NEW"),"",INDEX(B675:B$2,-1+SUMPRODUCT(MAX(ROW(E675:E$2)*(E676=E675:E$2)))))</f>
        <v> </v>
      </c>
      <c r="J676" s="25" t="str">
        <f>IF(OR(E676="",E676="!!!",F676="NEW"),"",COUNTBLANK(OFFSET(A$1,,,SUMPRODUCT(MAX(ROW(E$2:E676)*(E676=E$2:E676)))))-COUNTBLANK(OFFSET(A$1,,,SUMPRODUCT(MAX(ROW(E$1:E675)*(E2=E$1:E675))))))</f>
        <v> </v>
      </c>
      <c r="K676" s="25" t="str">
        <f>IF(OR(E676="",E676="!!!",F676="NEW"),"",INDEX(J$1:J675,SUMPRODUCT(MAX(ROW(E$1:E675)*(E676=E$1:E675)))))</f>
        <v> </v>
      </c>
      <c r="L676" s="26"/>
    </row>
    <row r="677" spans="1:12">
      <c r="A677" s="20" t="s">
        <v>211</v>
      </c>
      <c r="E677" s="21">
        <f>IF(D677="?OLD","!!!","")</f>
        <v/>
      </c>
      <c r="F677" s="22" t="str">
        <f>IF(OR(E677="",E677="!!!"),"",IF(NOT(ISNA(VLOOKUP(E677,E$1:E676,1,FALSE()))),"OLD",IF(AND(E677&lt;&gt;"",E677&lt;&gt;"!!!"),"NEW","")))</f>
        <v> </v>
      </c>
      <c r="G677" s="23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4" t="str">
        <f>IF(J677&lt;&gt;1,"",IF(I677="SBJ","CB","?"))</f>
        <v> </v>
      </c>
      <c r="I677" s="25" t="str">
        <f>IF(OR(E677="",E677="!!!",F677="NEW"),"",INDEX(B676:B$2,-1+SUMPRODUCT(MAX(ROW(E676:E$2)*(E677=E676:E$2)))))</f>
        <v> </v>
      </c>
      <c r="J677" s="25" t="str">
        <f>IF(OR(E677="",E677="!!!",F677="NEW"),"",COUNTBLANK(OFFSET(A$1,,,SUMPRODUCT(MAX(ROW(E$2:E677)*(E677=E$2:E677)))))-COUNTBLANK(OFFSET(A$1,,,SUMPRODUCT(MAX(ROW(E$1:E676)*(E2=E$1:E676))))))</f>
        <v> </v>
      </c>
      <c r="K677" s="25" t="str">
        <f>IF(OR(E677="",E677="!!!",F677="NEW"),"",INDEX(J$1:J676,SUMPRODUCT(MAX(ROW(E$1:E676)*(E677=E$1:E676)))))</f>
        <v> </v>
      </c>
      <c r="L677" s="26"/>
    </row>
    <row r="678" spans="1:12">
      <c r="A678" s="20"/>
    </row>
    <row r="679" spans="1:12">
      <c r="A679" s="20" t="s">
        <v>421</v>
      </c>
    </row>
    <row r="680" spans="1:12">
      <c r="A680" s="20" t="s">
        <v>138</v>
      </c>
      <c r="E680" s="21">
        <f>IF(D680="?OLD","!!!","")</f>
        <v/>
      </c>
      <c r="F680" s="22" t="str">
        <f>IF(OR(E680="",E680="!!!"),"",IF(NOT(ISNA(VLOOKUP(E680,E$1:E679,1,FALSE()))),"OLD",IF(AND(E680&lt;&gt;"",E680&lt;&gt;"!!!"),"NEW","")))</f>
        <v> </v>
      </c>
      <c r="G680" s="23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4" t="str">
        <f>IF(J680&lt;&gt;1,"",IF(I680="SBJ","CB","?"))</f>
        <v> </v>
      </c>
      <c r="I680" s="25" t="str">
        <f>IF(OR(E680="",E680="!!!",F680="NEW"),"",INDEX(B679:B$2,-1+SUMPRODUCT(MAX(ROW(E679:E$2)*(E680=E679:E$2)))))</f>
        <v> </v>
      </c>
      <c r="J680" s="25" t="str">
        <f>IF(OR(E680="",E680="!!!",F680="NEW"),"",COUNTBLANK(OFFSET(A$1,,,SUMPRODUCT(MAX(ROW(E$2:E680)*(E680=E$2:E680)))))-COUNTBLANK(OFFSET(A$1,,,SUMPRODUCT(MAX(ROW(E$1:E679)*(E2=E$1:E679))))))</f>
        <v> </v>
      </c>
      <c r="K680" s="25" t="str">
        <f>IF(OR(E680="",E680="!!!",F680="NEW"),"",INDEX(J$1:J679,SUMPRODUCT(MAX(ROW(E$1:E679)*(E680=E$1:E679)))))</f>
        <v> </v>
      </c>
      <c r="L680" s="26"/>
    </row>
    <row r="681" spans="1:12">
      <c r="A681" s="20" t="s">
        <v>158</v>
      </c>
      <c r="B681" s="27" t="s">
        <v>171</v>
      </c>
      <c r="C681" s="27" t="s">
        <v>172</v>
      </c>
      <c r="E681" s="21">
        <f>IF(D681="?OLD","!!!","")</f>
        <v/>
      </c>
      <c r="F681" s="22" t="str">
        <f>IF(OR(E681="",E681="!!!"),"",IF(NOT(ISNA(VLOOKUP(E681,E$1:E680,1,FALSE()))),"OLD",IF(AND(E681&lt;&gt;"",E681&lt;&gt;"!!!"),"NEW","")))</f>
        <v> </v>
      </c>
      <c r="G681" s="23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4" t="str">
        <f>IF(J681&lt;&gt;1,"",IF(I681="SBJ","CB","?"))</f>
        <v> </v>
      </c>
      <c r="I681" s="25" t="str">
        <f>IF(OR(E681="",E681="!!!",F681="NEW"),"",INDEX(B680:B$2,-1+SUMPRODUCT(MAX(ROW(E680:E$2)*(E681=E680:E$2)))))</f>
        <v> </v>
      </c>
      <c r="J681" s="25" t="str">
        <f>IF(OR(E681="",E681="!!!",F681="NEW"),"",COUNTBLANK(OFFSET(A$1,,,SUMPRODUCT(MAX(ROW(E$2:E681)*(E681=E$2:E681)))))-COUNTBLANK(OFFSET(A$1,,,SUMPRODUCT(MAX(ROW(E$1:E680)*(E2=E$1:E680))))))</f>
        <v> </v>
      </c>
      <c r="K681" s="25" t="str">
        <f>IF(OR(E681="",E681="!!!",F681="NEW"),"",INDEX(J$1:J680,SUMPRODUCT(MAX(ROW(E$1:E680)*(E681=E$1:E680)))))</f>
        <v> </v>
      </c>
      <c r="L681" s="26"/>
    </row>
    <row r="682" spans="1:12">
      <c r="A682" s="20" t="s">
        <v>159</v>
      </c>
      <c r="E682" s="21">
        <f>IF(D682="?OLD","!!!","")</f>
        <v/>
      </c>
      <c r="F682" s="22" t="str">
        <f>IF(OR(E682="",E682="!!!"),"",IF(NOT(ISNA(VLOOKUP(E682,E$1:E681,1,FALSE()))),"OLD",IF(AND(E682&lt;&gt;"",E682&lt;&gt;"!!!"),"NEW","")))</f>
        <v> </v>
      </c>
      <c r="G682" s="23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4" t="str">
        <f>IF(J682&lt;&gt;1,"",IF(I682="SBJ","CB","?"))</f>
        <v> </v>
      </c>
      <c r="I682" s="25" t="str">
        <f>IF(OR(E682="",E682="!!!",F682="NEW"),"",INDEX(B681:B$2,-1+SUMPRODUCT(MAX(ROW(E681:E$2)*(E682=E681:E$2)))))</f>
        <v> </v>
      </c>
      <c r="J682" s="25" t="str">
        <f>IF(OR(E682="",E682="!!!",F682="NEW"),"",COUNTBLANK(OFFSET(A$1,,,SUMPRODUCT(MAX(ROW(E$2:E682)*(E682=E$2:E682)))))-COUNTBLANK(OFFSET(A$1,,,SUMPRODUCT(MAX(ROW(E$1:E681)*(E2=E$1:E681))))))</f>
        <v> </v>
      </c>
      <c r="K682" s="25" t="str">
        <f>IF(OR(E682="",E682="!!!",F682="NEW"),"",INDEX(J$1:J681,SUMPRODUCT(MAX(ROW(E$1:E681)*(E682=E$1:E681)))))</f>
        <v> </v>
      </c>
      <c r="L682" s="26"/>
    </row>
    <row r="683" spans="1:12">
      <c r="A683" s="20" t="s">
        <v>160</v>
      </c>
      <c r="B683" s="27" t="s">
        <v>182</v>
      </c>
      <c r="C683" s="27" t="s">
        <v>161</v>
      </c>
      <c r="D683" s="27" t="s">
        <v>143</v>
      </c>
      <c r="E683" s="21">
        <f>IF(D683="?OLD","!!!","")</f>
        <v/>
      </c>
      <c r="F683" s="22" t="str">
        <f>IF(OR(E683="",E683="!!!"),"",IF(NOT(ISNA(VLOOKUP(E683,E$1:E682,1,FALSE()))),"OLD",IF(AND(E683&lt;&gt;"",E683&lt;&gt;"!!!"),"NEW","")))</f>
        <v> </v>
      </c>
      <c r="G683" s="23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4" t="str">
        <f>IF(J683&lt;&gt;1,"",IF(I683="SBJ","CB","?"))</f>
        <v> </v>
      </c>
      <c r="I683" s="25" t="str">
        <f>IF(OR(E683="",E683="!!!",F683="NEW"),"",INDEX(B682:B$2,-1+SUMPRODUCT(MAX(ROW(E682:E$2)*(E683=E682:E$2)))))</f>
        <v> </v>
      </c>
      <c r="J683" s="25" t="str">
        <f>IF(OR(E683="",E683="!!!",F683="NEW"),"",COUNTBLANK(OFFSET(A$1,,,SUMPRODUCT(MAX(ROW(E$2:E683)*(E683=E$2:E683)))))-COUNTBLANK(OFFSET(A$1,,,SUMPRODUCT(MAX(ROW(E$1:E682)*(E2=E$1:E682))))))</f>
        <v> </v>
      </c>
      <c r="K683" s="25" t="str">
        <f>IF(OR(E683="",E683="!!!",F683="NEW"),"",INDEX(J$1:J682,SUMPRODUCT(MAX(ROW(E$1:E682)*(E683=E$1:E682)))))</f>
        <v> </v>
      </c>
      <c r="L683" s="26"/>
    </row>
    <row r="684" spans="1:12">
      <c r="A684" s="20" t="s">
        <v>250</v>
      </c>
      <c r="E684" s="21">
        <f>IF(D684="?OLD","!!!","")</f>
        <v/>
      </c>
      <c r="F684" s="22" t="str">
        <f>IF(OR(E684="",E684="!!!"),"",IF(NOT(ISNA(VLOOKUP(E684,E$1:E683,1,FALSE()))),"OLD",IF(AND(E684&lt;&gt;"",E684&lt;&gt;"!!!"),"NEW","")))</f>
        <v> </v>
      </c>
      <c r="G684" s="23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4" t="str">
        <f>IF(J684&lt;&gt;1,"",IF(I684="SBJ","CB","?"))</f>
        <v> </v>
      </c>
      <c r="I684" s="25" t="str">
        <f>IF(OR(E684="",E684="!!!",F684="NEW"),"",INDEX(B683:B$2,-1+SUMPRODUCT(MAX(ROW(E683:E$2)*(E684=E683:E$2)))))</f>
        <v> </v>
      </c>
      <c r="J684" s="25" t="str">
        <f>IF(OR(E684="",E684="!!!",F684="NEW"),"",COUNTBLANK(OFFSET(A$1,,,SUMPRODUCT(MAX(ROW(E$2:E684)*(E684=E$2:E684)))))-COUNTBLANK(OFFSET(A$1,,,SUMPRODUCT(MAX(ROW(E$1:E683)*(E2=E$1:E683))))))</f>
        <v> </v>
      </c>
      <c r="K684" s="25" t="str">
        <f>IF(OR(E684="",E684="!!!",F684="NEW"),"",INDEX(J$1:J683,SUMPRODUCT(MAX(ROW(E$1:E683)*(E684=E$1:E683)))))</f>
        <v> </v>
      </c>
      <c r="L684" s="26"/>
    </row>
    <row r="685" spans="1:12">
      <c r="A685" s="20" t="s">
        <v>286</v>
      </c>
      <c r="B685" s="27" t="s">
        <v>202</v>
      </c>
      <c r="C685" s="27" t="s">
        <v>161</v>
      </c>
      <c r="D685" s="27" t="s">
        <v>143</v>
      </c>
      <c r="E685" s="21">
        <f>IF(D685="?OLD","!!!","")</f>
        <v/>
      </c>
      <c r="F685" s="22" t="str">
        <f>IF(OR(E685="",E685="!!!"),"",IF(NOT(ISNA(VLOOKUP(E685,E$1:E684,1,FALSE()))),"OLD",IF(AND(E685&lt;&gt;"",E685&lt;&gt;"!!!"),"NEW","")))</f>
        <v> </v>
      </c>
      <c r="G685" s="23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4" t="str">
        <f>IF(J685&lt;&gt;1,"",IF(I685="SBJ","CB","?"))</f>
        <v> </v>
      </c>
      <c r="I685" s="25" t="str">
        <f>IF(OR(E685="",E685="!!!",F685="NEW"),"",INDEX(B684:B$2,-1+SUMPRODUCT(MAX(ROW(E684:E$2)*(E685=E684:E$2)))))</f>
        <v> </v>
      </c>
      <c r="J685" s="25" t="str">
        <f>IF(OR(E685="",E685="!!!",F685="NEW"),"",COUNTBLANK(OFFSET(A$1,,,SUMPRODUCT(MAX(ROW(E$2:E685)*(E685=E$2:E685)))))-COUNTBLANK(OFFSET(A$1,,,SUMPRODUCT(MAX(ROW(E$1:E684)*(E2=E$1:E684))))))</f>
        <v> </v>
      </c>
      <c r="K685" s="25" t="str">
        <f>IF(OR(E685="",E685="!!!",F685="NEW"),"",INDEX(J$1:J684,SUMPRODUCT(MAX(ROW(E$1:E684)*(E685=E$1:E684)))))</f>
        <v> </v>
      </c>
      <c r="L685" s="26"/>
    </row>
    <row r="686" spans="1:12">
      <c r="A686" s="20" t="s">
        <v>164</v>
      </c>
      <c r="E686" s="21">
        <f>IF(D686="?OLD","!!!","")</f>
        <v/>
      </c>
      <c r="F686" s="22" t="str">
        <f>IF(OR(E686="",E686="!!!"),"",IF(NOT(ISNA(VLOOKUP(E686,E$1:E685,1,FALSE()))),"OLD",IF(AND(E686&lt;&gt;"",E686&lt;&gt;"!!!"),"NEW","")))</f>
        <v> </v>
      </c>
      <c r="G686" s="23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4" t="str">
        <f>IF(J686&lt;&gt;1,"",IF(I686="SBJ","CB","?"))</f>
        <v> </v>
      </c>
      <c r="I686" s="25" t="str">
        <f>IF(OR(E686="",E686="!!!",F686="NEW"),"",INDEX(B685:B$2,-1+SUMPRODUCT(MAX(ROW(E685:E$2)*(E686=E685:E$2)))))</f>
        <v> </v>
      </c>
      <c r="J686" s="25" t="str">
        <f>IF(OR(E686="",E686="!!!",F686="NEW"),"",COUNTBLANK(OFFSET(A$1,,,SUMPRODUCT(MAX(ROW(E$2:E686)*(E686=E$2:E686)))))-COUNTBLANK(OFFSET(A$1,,,SUMPRODUCT(MAX(ROW(E$1:E685)*(E2=E$1:E685))))))</f>
        <v> </v>
      </c>
      <c r="K686" s="25" t="str">
        <f>IF(OR(E686="",E686="!!!",F686="NEW"),"",INDEX(J$1:J685,SUMPRODUCT(MAX(ROW(E$1:E685)*(E686=E$1:E685)))))</f>
        <v> </v>
      </c>
      <c r="L686" s="26"/>
    </row>
    <row r="687" spans="1:12">
      <c r="A687" s="20" t="s">
        <v>289</v>
      </c>
      <c r="E687" s="21">
        <f>IF(D687="?OLD","!!!","")</f>
        <v/>
      </c>
      <c r="F687" s="22" t="str">
        <f>IF(OR(E687="",E687="!!!"),"",IF(NOT(ISNA(VLOOKUP(E687,E$1:E686,1,FALSE()))),"OLD",IF(AND(E687&lt;&gt;"",E687&lt;&gt;"!!!"),"NEW","")))</f>
        <v> </v>
      </c>
      <c r="G687" s="23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4" t="str">
        <f>IF(J687&lt;&gt;1,"",IF(I687="SBJ","CB","?"))</f>
        <v> </v>
      </c>
      <c r="I687" s="25" t="str">
        <f>IF(OR(E687="",E687="!!!",F687="NEW"),"",INDEX(B686:B$2,-1+SUMPRODUCT(MAX(ROW(E686:E$2)*(E687=E686:E$2)))))</f>
        <v> </v>
      </c>
      <c r="J687" s="25" t="str">
        <f>IF(OR(E687="",E687="!!!",F687="NEW"),"",COUNTBLANK(OFFSET(A$1,,,SUMPRODUCT(MAX(ROW(E$2:E687)*(E687=E$2:E687)))))-COUNTBLANK(OFFSET(A$1,,,SUMPRODUCT(MAX(ROW(E$1:E686)*(E2=E$1:E686))))))</f>
        <v> </v>
      </c>
      <c r="K687" s="25" t="str">
        <f>IF(OR(E687="",E687="!!!",F687="NEW"),"",INDEX(J$1:J686,SUMPRODUCT(MAX(ROW(E$1:E686)*(E687=E$1:E686)))))</f>
        <v> </v>
      </c>
      <c r="L687" s="26"/>
    </row>
    <row r="688" spans="1:12">
      <c r="A688" s="20" t="s">
        <v>167</v>
      </c>
      <c r="B688" s="27" t="s">
        <v>182</v>
      </c>
      <c r="C688" s="27" t="s">
        <v>229</v>
      </c>
      <c r="E688" s="21">
        <f>IF(D688="?OLD","!!!","")</f>
        <v/>
      </c>
      <c r="F688" s="22" t="str">
        <f>IF(OR(E688="",E688="!!!"),"",IF(NOT(ISNA(VLOOKUP(E688,E$1:E687,1,FALSE()))),"OLD",IF(AND(E688&lt;&gt;"",E688&lt;&gt;"!!!"),"NEW","")))</f>
        <v> </v>
      </c>
      <c r="G688" s="23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4" t="str">
        <f>IF(J688&lt;&gt;1,"",IF(I688="SBJ","CB","?"))</f>
        <v> </v>
      </c>
      <c r="I688" s="25" t="str">
        <f>IF(OR(E688="",E688="!!!",F688="NEW"),"",INDEX(B687:B$2,-1+SUMPRODUCT(MAX(ROW(E687:E$2)*(E688=E687:E$2)))))</f>
        <v> </v>
      </c>
      <c r="J688" s="25" t="str">
        <f>IF(OR(E688="",E688="!!!",F688="NEW"),"",COUNTBLANK(OFFSET(A$1,,,SUMPRODUCT(MAX(ROW(E$2:E688)*(E688=E$2:E688)))))-COUNTBLANK(OFFSET(A$1,,,SUMPRODUCT(MAX(ROW(E$1:E687)*(E2=E$1:E687))))))</f>
        <v> </v>
      </c>
      <c r="K688" s="25" t="str">
        <f>IF(OR(E688="",E688="!!!",F688="NEW"),"",INDEX(J$1:J687,SUMPRODUCT(MAX(ROW(E$1:E687)*(E688=E$1:E687)))))</f>
        <v> </v>
      </c>
      <c r="L688" s="26"/>
    </row>
    <row r="689" spans="1:12">
      <c r="A689" s="20" t="s">
        <v>422</v>
      </c>
      <c r="B689" s="27" t="s">
        <v>156</v>
      </c>
      <c r="C689" s="27" t="s">
        <v>161</v>
      </c>
      <c r="D689" s="27" t="s">
        <v>143</v>
      </c>
      <c r="E689" s="21">
        <f>IF(D689="?OLD","!!!","")</f>
        <v/>
      </c>
      <c r="F689" s="22" t="str">
        <f>IF(OR(E689="",E689="!!!"),"",IF(NOT(ISNA(VLOOKUP(E689,E$1:E688,1,FALSE()))),"OLD",IF(AND(E689&lt;&gt;"",E689&lt;&gt;"!!!"),"NEW","")))</f>
        <v> </v>
      </c>
      <c r="G689" s="23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4" t="str">
        <f>IF(J689&lt;&gt;1,"",IF(I689="SBJ","CB","?"))</f>
        <v> </v>
      </c>
      <c r="I689" s="25" t="str">
        <f>IF(OR(E689="",E689="!!!",F689="NEW"),"",INDEX(B688:B$2,-1+SUMPRODUCT(MAX(ROW(E688:E$2)*(E689=E688:E$2)))))</f>
        <v> </v>
      </c>
      <c r="J689" s="25" t="str">
        <f>IF(OR(E689="",E689="!!!",F689="NEW"),"",COUNTBLANK(OFFSET(A$1,,,SUMPRODUCT(MAX(ROW(E$2:E689)*(E689=E$2:E689)))))-COUNTBLANK(OFFSET(A$1,,,SUMPRODUCT(MAX(ROW(E$1:E688)*(E2=E$1:E688))))))</f>
        <v> </v>
      </c>
      <c r="K689" s="25" t="str">
        <f>IF(OR(E689="",E689="!!!",F689="NEW"),"",INDEX(J$1:J688,SUMPRODUCT(MAX(ROW(E$1:E688)*(E689=E$1:E688)))))</f>
        <v> </v>
      </c>
      <c r="L689" s="26"/>
    </row>
    <row r="690" spans="1:12">
      <c r="A690" s="20" t="s">
        <v>179</v>
      </c>
      <c r="E690" s="21">
        <f>IF(D690="?OLD","!!!","")</f>
        <v/>
      </c>
      <c r="F690" s="22" t="str">
        <f>IF(OR(E690="",E690="!!!"),"",IF(NOT(ISNA(VLOOKUP(E690,E$1:E689,1,FALSE()))),"OLD",IF(AND(E690&lt;&gt;"",E690&lt;&gt;"!!!"),"NEW","")))</f>
        <v> </v>
      </c>
      <c r="G690" s="23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4" t="str">
        <f>IF(J690&lt;&gt;1,"",IF(I690="SBJ","CB","?"))</f>
        <v> </v>
      </c>
      <c r="I690" s="25" t="str">
        <f>IF(OR(E690="",E690="!!!",F690="NEW"),"",INDEX(B689:B$2,-1+SUMPRODUCT(MAX(ROW(E689:E$2)*(E690=E689:E$2)))))</f>
        <v> </v>
      </c>
      <c r="J690" s="25" t="str">
        <f>IF(OR(E690="",E690="!!!",F690="NEW"),"",COUNTBLANK(OFFSET(A$1,,,SUMPRODUCT(MAX(ROW(E$2:E690)*(E690=E$2:E690)))))-COUNTBLANK(OFFSET(A$1,,,SUMPRODUCT(MAX(ROW(E$1:E689)*(E2=E$1:E689))))))</f>
        <v> </v>
      </c>
      <c r="K690" s="25" t="str">
        <f>IF(OR(E690="",E690="!!!",F690="NEW"),"",INDEX(J$1:J689,SUMPRODUCT(MAX(ROW(E$1:E689)*(E690=E$1:E689)))))</f>
        <v> </v>
      </c>
      <c r="L690" s="26"/>
    </row>
    <row r="691" spans="1:12">
      <c r="A691" s="20" t="s">
        <v>423</v>
      </c>
      <c r="B691" s="27" t="s">
        <v>148</v>
      </c>
      <c r="C691" s="27" t="s">
        <v>161</v>
      </c>
      <c r="D691" s="27" t="s">
        <v>143</v>
      </c>
      <c r="E691" s="21">
        <f>IF(D691="?OLD","!!!","")</f>
        <v/>
      </c>
      <c r="F691" s="22" t="str">
        <f>IF(OR(E691="",E691="!!!"),"",IF(NOT(ISNA(VLOOKUP(E691,E$1:E690,1,FALSE()))),"OLD",IF(AND(E691&lt;&gt;"",E691&lt;&gt;"!!!"),"NEW","")))</f>
        <v> </v>
      </c>
      <c r="G691" s="23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4" t="str">
        <f>IF(J691&lt;&gt;1,"",IF(I691="SBJ","CB","?"))</f>
        <v> </v>
      </c>
      <c r="I691" s="25" t="str">
        <f>IF(OR(E691="",E691="!!!",F691="NEW"),"",INDEX(B690:B$2,-1+SUMPRODUCT(MAX(ROW(E690:E$2)*(E691=E690:E$2)))))</f>
        <v> </v>
      </c>
      <c r="J691" s="25" t="str">
        <f>IF(OR(E691="",E691="!!!",F691="NEW"),"",COUNTBLANK(OFFSET(A$1,,,SUMPRODUCT(MAX(ROW(E$2:E691)*(E691=E$2:E691)))))-COUNTBLANK(OFFSET(A$1,,,SUMPRODUCT(MAX(ROW(E$1:E690)*(E2=E$1:E690))))))</f>
        <v> </v>
      </c>
      <c r="K691" s="25" t="str">
        <f>IF(OR(E691="",E691="!!!",F691="NEW"),"",INDEX(J$1:J690,SUMPRODUCT(MAX(ROW(E$1:E690)*(E691=E$1:E690)))))</f>
        <v> </v>
      </c>
      <c r="L691" s="26"/>
    </row>
    <row r="692" spans="1:12">
      <c r="A692" s="20" t="s">
        <v>164</v>
      </c>
      <c r="E692" s="21">
        <f>IF(D692="?OLD","!!!","")</f>
        <v/>
      </c>
      <c r="F692" s="22" t="str">
        <f>IF(OR(E692="",E692="!!!"),"",IF(NOT(ISNA(VLOOKUP(E692,E$1:E691,1,FALSE()))),"OLD",IF(AND(E692&lt;&gt;"",E692&lt;&gt;"!!!"),"NEW","")))</f>
        <v> </v>
      </c>
      <c r="G692" s="23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4" t="str">
        <f>IF(J692&lt;&gt;1,"",IF(I692="SBJ","CB","?"))</f>
        <v> </v>
      </c>
      <c r="I692" s="25" t="str">
        <f>IF(OR(E692="",E692="!!!",F692="NEW"),"",INDEX(B691:B$2,-1+SUMPRODUCT(MAX(ROW(E691:E$2)*(E692=E691:E$2)))))</f>
        <v> </v>
      </c>
      <c r="J692" s="25" t="str">
        <f>IF(OR(E692="",E692="!!!",F692="NEW"),"",COUNTBLANK(OFFSET(A$1,,,SUMPRODUCT(MAX(ROW(E$2:E692)*(E692=E$2:E692)))))-COUNTBLANK(OFFSET(A$1,,,SUMPRODUCT(MAX(ROW(E$1:E691)*(E2=E$1:E691))))))</f>
        <v> </v>
      </c>
      <c r="K692" s="25" t="str">
        <f>IF(OR(E692="",E692="!!!",F692="NEW"),"",INDEX(J$1:J691,SUMPRODUCT(MAX(ROW(E$1:E691)*(E692=E$1:E691)))))</f>
        <v> </v>
      </c>
      <c r="L692" s="26"/>
    </row>
    <row r="693" spans="1:12">
      <c r="A693" s="20" t="s">
        <v>424</v>
      </c>
      <c r="E693" s="21">
        <f>IF(D693="?OLD","!!!","")</f>
        <v/>
      </c>
      <c r="F693" s="22" t="str">
        <f>IF(OR(E693="",E693="!!!"),"",IF(NOT(ISNA(VLOOKUP(E693,E$1:E692,1,FALSE()))),"OLD",IF(AND(E693&lt;&gt;"",E693&lt;&gt;"!!!"),"NEW","")))</f>
        <v> </v>
      </c>
      <c r="G693" s="23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4" t="str">
        <f>IF(J693&lt;&gt;1,"",IF(I693="SBJ","CB","?"))</f>
        <v> </v>
      </c>
      <c r="I693" s="25" t="str">
        <f>IF(OR(E693="",E693="!!!",F693="NEW"),"",INDEX(B692:B$2,-1+SUMPRODUCT(MAX(ROW(E692:E$2)*(E693=E692:E$2)))))</f>
        <v> </v>
      </c>
      <c r="J693" s="25" t="str">
        <f>IF(OR(E693="",E693="!!!",F693="NEW"),"",COUNTBLANK(OFFSET(A$1,,,SUMPRODUCT(MAX(ROW(E$2:E693)*(E693=E$2:E693)))))-COUNTBLANK(OFFSET(A$1,,,SUMPRODUCT(MAX(ROW(E$1:E692)*(E2=E$1:E692))))))</f>
        <v> </v>
      </c>
      <c r="K693" s="25" t="str">
        <f>IF(OR(E693="",E693="!!!",F693="NEW"),"",INDEX(J$1:J692,SUMPRODUCT(MAX(ROW(E$1:E692)*(E693=E$1:E692)))))</f>
        <v> </v>
      </c>
      <c r="L693" s="26"/>
    </row>
    <row r="694" spans="1:12">
      <c r="A694" s="20" t="s">
        <v>251</v>
      </c>
      <c r="B694" s="27" t="s">
        <v>258</v>
      </c>
      <c r="C694" s="27" t="s">
        <v>194</v>
      </c>
      <c r="D694" s="27" t="s">
        <v>143</v>
      </c>
      <c r="E694" s="21">
        <f>IF(D694="?OLD","!!!","")</f>
        <v/>
      </c>
      <c r="F694" s="22" t="str">
        <f>IF(OR(E694="",E694="!!!"),"",IF(NOT(ISNA(VLOOKUP(E694,E$1:E693,1,FALSE()))),"OLD",IF(AND(E694&lt;&gt;"",E694&lt;&gt;"!!!"),"NEW","")))</f>
        <v> </v>
      </c>
      <c r="G694" s="23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4" t="str">
        <f>IF(J694&lt;&gt;1,"",IF(I694="SBJ","CB","?"))</f>
        <v> </v>
      </c>
      <c r="I694" s="25" t="str">
        <f>IF(OR(E694="",E694="!!!",F694="NEW"),"",INDEX(B693:B$2,-1+SUMPRODUCT(MAX(ROW(E693:E$2)*(E694=E693:E$2)))))</f>
        <v> </v>
      </c>
      <c r="J694" s="25" t="str">
        <f>IF(OR(E694="",E694="!!!",F694="NEW"),"",COUNTBLANK(OFFSET(A$1,,,SUMPRODUCT(MAX(ROW(E$2:E694)*(E694=E$2:E694)))))-COUNTBLANK(OFFSET(A$1,,,SUMPRODUCT(MAX(ROW(E$1:E693)*(E2=E$1:E693))))))</f>
        <v> </v>
      </c>
      <c r="K694" s="25" t="str">
        <f>IF(OR(E694="",E694="!!!",F694="NEW"),"",INDEX(J$1:J693,SUMPRODUCT(MAX(ROW(E$1:E693)*(E694=E$1:E693)))))</f>
        <v> </v>
      </c>
      <c r="L694" s="26"/>
    </row>
    <row r="695" spans="1:12">
      <c r="A695" s="20" t="s">
        <v>211</v>
      </c>
      <c r="E695" s="21">
        <f>IF(D695="?OLD","!!!","")</f>
        <v/>
      </c>
      <c r="F695" s="22" t="str">
        <f>IF(OR(E695="",E695="!!!"),"",IF(NOT(ISNA(VLOOKUP(E695,E$1:E694,1,FALSE()))),"OLD",IF(AND(E695&lt;&gt;"",E695&lt;&gt;"!!!"),"NEW","")))</f>
        <v> </v>
      </c>
      <c r="G695" s="23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4" t="str">
        <f>IF(J695&lt;&gt;1,"",IF(I695="SBJ","CB","?"))</f>
        <v> </v>
      </c>
      <c r="I695" s="25" t="str">
        <f>IF(OR(E695="",E695="!!!",F695="NEW"),"",INDEX(B694:B$2,-1+SUMPRODUCT(MAX(ROW(E694:E$2)*(E695=E694:E$2)))))</f>
        <v> </v>
      </c>
      <c r="J695" s="25" t="str">
        <f>IF(OR(E695="",E695="!!!",F695="NEW"),"",COUNTBLANK(OFFSET(A$1,,,SUMPRODUCT(MAX(ROW(E$2:E695)*(E695=E$2:E695)))))-COUNTBLANK(OFFSET(A$1,,,SUMPRODUCT(MAX(ROW(E$1:E694)*(E2=E$1:E694))))))</f>
        <v> </v>
      </c>
      <c r="K695" s="25" t="str">
        <f>IF(OR(E695="",E695="!!!",F695="NEW"),"",INDEX(J$1:J694,SUMPRODUCT(MAX(ROW(E$1:E694)*(E695=E$1:E694)))))</f>
        <v> </v>
      </c>
      <c r="L695" s="26"/>
    </row>
    <row r="696" spans="1:12">
      <c r="A696" s="20"/>
    </row>
    <row r="697" spans="1:12">
      <c r="A697" s="20" t="s">
        <v>425</v>
      </c>
    </row>
    <row r="698" spans="1:12">
      <c r="A698" s="20" t="s">
        <v>138</v>
      </c>
      <c r="E698" s="21">
        <f>IF(D698="?OLD","!!!","")</f>
        <v/>
      </c>
      <c r="F698" s="22" t="str">
        <f>IF(OR(E698="",E698="!!!"),"",IF(NOT(ISNA(VLOOKUP(E698,E$1:E697,1,FALSE()))),"OLD",IF(AND(E698&lt;&gt;"",E698&lt;&gt;"!!!"),"NEW","")))</f>
        <v> </v>
      </c>
      <c r="G698" s="23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4" t="str">
        <f>IF(J698&lt;&gt;1,"",IF(I698="SBJ","CB","?"))</f>
        <v> </v>
      </c>
      <c r="I698" s="25" t="str">
        <f>IF(OR(E698="",E698="!!!",F698="NEW"),"",INDEX(B697:B$2,-1+SUMPRODUCT(MAX(ROW(E697:E$2)*(E698=E697:E$2)))))</f>
        <v> </v>
      </c>
      <c r="J698" s="25" t="str">
        <f>IF(OR(E698="",E698="!!!",F698="NEW"),"",COUNTBLANK(OFFSET(A$1,,,SUMPRODUCT(MAX(ROW(E$2:E698)*(E698=E$2:E698)))))-COUNTBLANK(OFFSET(A$1,,,SUMPRODUCT(MAX(ROW(E$1:E697)*(E2=E$1:E697))))))</f>
        <v> </v>
      </c>
      <c r="K698" s="25" t="str">
        <f>IF(OR(E698="",E698="!!!",F698="NEW"),"",INDEX(J$1:J697,SUMPRODUCT(MAX(ROW(E$1:E697)*(E698=E$1:E697)))))</f>
        <v> </v>
      </c>
      <c r="L698" s="26"/>
    </row>
    <row r="699" spans="1:12">
      <c r="A699" s="20" t="s">
        <v>158</v>
      </c>
      <c r="B699" s="27" t="s">
        <v>171</v>
      </c>
      <c r="C699" s="27" t="s">
        <v>172</v>
      </c>
      <c r="E699" s="21">
        <f>IF(D699="?OLD","!!!","")</f>
        <v/>
      </c>
      <c r="F699" s="22" t="str">
        <f>IF(OR(E699="",E699="!!!"),"",IF(NOT(ISNA(VLOOKUP(E699,E$1:E698,1,FALSE()))),"OLD",IF(AND(E699&lt;&gt;"",E699&lt;&gt;"!!!"),"NEW","")))</f>
        <v> </v>
      </c>
      <c r="G699" s="23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4" t="str">
        <f>IF(J699&lt;&gt;1,"",IF(I699="SBJ","CB","?"))</f>
        <v> </v>
      </c>
      <c r="I699" s="25" t="str">
        <f>IF(OR(E699="",E699="!!!",F699="NEW"),"",INDEX(B698:B$2,-1+SUMPRODUCT(MAX(ROW(E698:E$2)*(E699=E698:E$2)))))</f>
        <v> </v>
      </c>
      <c r="J699" s="25" t="str">
        <f>IF(OR(E699="",E699="!!!",F699="NEW"),"",COUNTBLANK(OFFSET(A$1,,,SUMPRODUCT(MAX(ROW(E$2:E699)*(E699=E$2:E699)))))-COUNTBLANK(OFFSET(A$1,,,SUMPRODUCT(MAX(ROW(E$1:E698)*(E2=E$1:E698))))))</f>
        <v> </v>
      </c>
      <c r="K699" s="25" t="str">
        <f>IF(OR(E699="",E699="!!!",F699="NEW"),"",INDEX(J$1:J698,SUMPRODUCT(MAX(ROW(E$1:E698)*(E699=E$1:E698)))))</f>
        <v> </v>
      </c>
      <c r="L699" s="26"/>
    </row>
    <row r="700" spans="1:12">
      <c r="A700" s="20" t="s">
        <v>159</v>
      </c>
      <c r="E700" s="21">
        <f>IF(D700="?OLD","!!!","")</f>
        <v/>
      </c>
      <c r="F700" s="22" t="str">
        <f>IF(OR(E700="",E700="!!!"),"",IF(NOT(ISNA(VLOOKUP(E700,E$1:E699,1,FALSE()))),"OLD",IF(AND(E700&lt;&gt;"",E700&lt;&gt;"!!!"),"NEW","")))</f>
        <v> </v>
      </c>
      <c r="G700" s="23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4" t="str">
        <f>IF(J700&lt;&gt;1,"",IF(I700="SBJ","CB","?"))</f>
        <v> </v>
      </c>
      <c r="I700" s="25" t="str">
        <f>IF(OR(E700="",E700="!!!",F700="NEW"),"",INDEX(B699:B$2,-1+SUMPRODUCT(MAX(ROW(E699:E$2)*(E700=E699:E$2)))))</f>
        <v> </v>
      </c>
      <c r="J700" s="25" t="str">
        <f>IF(OR(E700="",E700="!!!",F700="NEW"),"",COUNTBLANK(OFFSET(A$1,,,SUMPRODUCT(MAX(ROW(E$2:E700)*(E700=E$2:E700)))))-COUNTBLANK(OFFSET(A$1,,,SUMPRODUCT(MAX(ROW(E$1:E699)*(E2=E$1:E699))))))</f>
        <v> </v>
      </c>
      <c r="K700" s="25" t="str">
        <f>IF(OR(E700="",E700="!!!",F700="NEW"),"",INDEX(J$1:J699,SUMPRODUCT(MAX(ROW(E$1:E699)*(E700=E$1:E699)))))</f>
        <v> </v>
      </c>
      <c r="L700" s="26"/>
    </row>
    <row r="701" spans="1:12">
      <c r="A701" s="20" t="s">
        <v>160</v>
      </c>
      <c r="B701" s="27" t="s">
        <v>171</v>
      </c>
      <c r="C701" s="27" t="s">
        <v>161</v>
      </c>
      <c r="D701" s="27" t="s">
        <v>143</v>
      </c>
      <c r="E701" s="21">
        <f>IF(D701="?OLD","!!!","")</f>
        <v/>
      </c>
      <c r="F701" s="22" t="str">
        <f>IF(OR(E701="",E701="!!!"),"",IF(NOT(ISNA(VLOOKUP(E701,E$1:E700,1,FALSE()))),"OLD",IF(AND(E701&lt;&gt;"",E701&lt;&gt;"!!!"),"NEW","")))</f>
        <v> </v>
      </c>
      <c r="G701" s="23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4" t="str">
        <f>IF(J701&lt;&gt;1,"",IF(I701="SBJ","CB","?"))</f>
        <v> </v>
      </c>
      <c r="I701" s="25" t="str">
        <f>IF(OR(E701="",E701="!!!",F701="NEW"),"",INDEX(B700:B$2,-1+SUMPRODUCT(MAX(ROW(E700:E$2)*(E701=E700:E$2)))))</f>
        <v> </v>
      </c>
      <c r="J701" s="25" t="str">
        <f>IF(OR(E701="",E701="!!!",F701="NEW"),"",COUNTBLANK(OFFSET(A$1,,,SUMPRODUCT(MAX(ROW(E$2:E701)*(E701=E$2:E701)))))-COUNTBLANK(OFFSET(A$1,,,SUMPRODUCT(MAX(ROW(E$1:E700)*(E2=E$1:E700))))))</f>
        <v> </v>
      </c>
      <c r="K701" s="25" t="str">
        <f>IF(OR(E701="",E701="!!!",F701="NEW"),"",INDEX(J$1:J700,SUMPRODUCT(MAX(ROW(E$1:E700)*(E701=E$1:E700)))))</f>
        <v> </v>
      </c>
      <c r="L701" s="26"/>
    </row>
    <row r="702" spans="1:12">
      <c r="A702" s="20" t="s">
        <v>165</v>
      </c>
      <c r="E702" s="21">
        <f>IF(D702="?OLD","!!!","")</f>
        <v/>
      </c>
      <c r="F702" s="22" t="str">
        <f>IF(OR(E702="",E702="!!!"),"",IF(NOT(ISNA(VLOOKUP(E702,E$1:E701,1,FALSE()))),"OLD",IF(AND(E702&lt;&gt;"",E702&lt;&gt;"!!!"),"NEW","")))</f>
        <v> </v>
      </c>
      <c r="G702" s="23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4" t="str">
        <f>IF(J702&lt;&gt;1,"",IF(I702="SBJ","CB","?"))</f>
        <v> </v>
      </c>
      <c r="I702" s="25" t="str">
        <f>IF(OR(E702="",E702="!!!",F702="NEW"),"",INDEX(B701:B$2,-1+SUMPRODUCT(MAX(ROW(E701:E$2)*(E702=E701:E$2)))))</f>
        <v> </v>
      </c>
      <c r="J702" s="25" t="str">
        <f>IF(OR(E702="",E702="!!!",F702="NEW"),"",COUNTBLANK(OFFSET(A$1,,,SUMPRODUCT(MAX(ROW(E$2:E702)*(E702=E$2:E702)))))-COUNTBLANK(OFFSET(A$1,,,SUMPRODUCT(MAX(ROW(E$1:E701)*(E2=E$1:E701))))))</f>
        <v> </v>
      </c>
      <c r="K702" s="25" t="str">
        <f>IF(OR(E702="",E702="!!!",F702="NEW"),"",INDEX(J$1:J701,SUMPRODUCT(MAX(ROW(E$1:E701)*(E702=E$1:E701)))))</f>
        <v> </v>
      </c>
      <c r="L702" s="26"/>
    </row>
    <row r="703" spans="1:12">
      <c r="A703" s="20" t="s">
        <v>168</v>
      </c>
      <c r="E703" s="21">
        <f>IF(D703="?OLD","!!!","")</f>
        <v/>
      </c>
      <c r="F703" s="22" t="str">
        <f>IF(OR(E703="",E703="!!!"),"",IF(NOT(ISNA(VLOOKUP(E703,E$1:E702,1,FALSE()))),"OLD",IF(AND(E703&lt;&gt;"",E703&lt;&gt;"!!!"),"NEW","")))</f>
        <v> </v>
      </c>
      <c r="G703" s="23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4" t="str">
        <f>IF(J703&lt;&gt;1,"",IF(I703="SBJ","CB","?"))</f>
        <v> </v>
      </c>
      <c r="I703" s="25" t="str">
        <f>IF(OR(E703="",E703="!!!",F703="NEW"),"",INDEX(B702:B$2,-1+SUMPRODUCT(MAX(ROW(E702:E$2)*(E703=E702:E$2)))))</f>
        <v> </v>
      </c>
      <c r="J703" s="25" t="str">
        <f>IF(OR(E703="",E703="!!!",F703="NEW"),"",COUNTBLANK(OFFSET(A$1,,,SUMPRODUCT(MAX(ROW(E$2:E703)*(E703=E$2:E703)))))-COUNTBLANK(OFFSET(A$1,,,SUMPRODUCT(MAX(ROW(E$1:E702)*(E2=E$1:E702))))))</f>
        <v> </v>
      </c>
      <c r="K703" s="25" t="str">
        <f>IF(OR(E703="",E703="!!!",F703="NEW"),"",INDEX(J$1:J702,SUMPRODUCT(MAX(ROW(E$1:E702)*(E703=E$1:E702)))))</f>
        <v> </v>
      </c>
      <c r="L703" s="26"/>
    </row>
    <row r="704" spans="1:12">
      <c r="A704" s="20" t="s">
        <v>426</v>
      </c>
      <c r="B704" s="27" t="s">
        <v>191</v>
      </c>
      <c r="C704" s="27" t="s">
        <v>172</v>
      </c>
      <c r="E704" s="21">
        <f>IF(D704="?OLD","!!!","")</f>
        <v/>
      </c>
      <c r="F704" s="22" t="str">
        <f>IF(OR(E704="",E704="!!!"),"",IF(NOT(ISNA(VLOOKUP(E704,E$1:E703,1,FALSE()))),"OLD",IF(AND(E704&lt;&gt;"",E704&lt;&gt;"!!!"),"NEW","")))</f>
        <v> </v>
      </c>
      <c r="G704" s="23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4" t="str">
        <f>IF(J704&lt;&gt;1,"",IF(I704="SBJ","CB","?"))</f>
        <v> </v>
      </c>
      <c r="I704" s="25" t="str">
        <f>IF(OR(E704="",E704="!!!",F704="NEW"),"",INDEX(B703:B$2,-1+SUMPRODUCT(MAX(ROW(E703:E$2)*(E704=E703:E$2)))))</f>
        <v> </v>
      </c>
      <c r="J704" s="25" t="str">
        <f>IF(OR(E704="",E704="!!!",F704="NEW"),"",COUNTBLANK(OFFSET(A$1,,,SUMPRODUCT(MAX(ROW(E$2:E704)*(E704=E$2:E704)))))-COUNTBLANK(OFFSET(A$1,,,SUMPRODUCT(MAX(ROW(E$1:E703)*(E2=E$1:E703))))))</f>
        <v> </v>
      </c>
      <c r="K704" s="25" t="str">
        <f>IF(OR(E704="",E704="!!!",F704="NEW"),"",INDEX(J$1:J703,SUMPRODUCT(MAX(ROW(E$1:E703)*(E704=E$1:E703)))))</f>
        <v> </v>
      </c>
      <c r="L704" s="26"/>
    </row>
    <row r="705" spans="1:12">
      <c r="A705" s="20" t="s">
        <v>157</v>
      </c>
      <c r="E705" s="21">
        <f>IF(D705="?OLD","!!!","")</f>
        <v/>
      </c>
      <c r="F705" s="22" t="str">
        <f>IF(OR(E705="",E705="!!!"),"",IF(NOT(ISNA(VLOOKUP(E705,E$1:E704,1,FALSE()))),"OLD",IF(AND(E705&lt;&gt;"",E705&lt;&gt;"!!!"),"NEW","")))</f>
        <v> </v>
      </c>
      <c r="G705" s="23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4" t="str">
        <f>IF(J705&lt;&gt;1,"",IF(I705="SBJ","CB","?"))</f>
        <v> </v>
      </c>
      <c r="I705" s="25" t="str">
        <f>IF(OR(E705="",E705="!!!",F705="NEW"),"",INDEX(B704:B$2,-1+SUMPRODUCT(MAX(ROW(E704:E$2)*(E705=E704:E$2)))))</f>
        <v> </v>
      </c>
      <c r="J705" s="25" t="str">
        <f>IF(OR(E705="",E705="!!!",F705="NEW"),"",COUNTBLANK(OFFSET(A$1,,,SUMPRODUCT(MAX(ROW(E$2:E705)*(E705=E$2:E705)))))-COUNTBLANK(OFFSET(A$1,,,SUMPRODUCT(MAX(ROW(E$1:E704)*(E2=E$1:E704))))))</f>
        <v> </v>
      </c>
      <c r="K705" s="25" t="str">
        <f>IF(OR(E705="",E705="!!!",F705="NEW"),"",INDEX(J$1:J704,SUMPRODUCT(MAX(ROW(E$1:E704)*(E705=E$1:E704)))))</f>
        <v> </v>
      </c>
      <c r="L705" s="26"/>
    </row>
    <row r="706" spans="1:12">
      <c r="A706" s="20" t="s">
        <v>286</v>
      </c>
      <c r="B706" s="27" t="s">
        <v>151</v>
      </c>
      <c r="C706" s="27" t="s">
        <v>161</v>
      </c>
      <c r="D706" s="27" t="s">
        <v>143</v>
      </c>
      <c r="E706" s="21">
        <f>IF(D706="?OLD","!!!","")</f>
        <v/>
      </c>
      <c r="F706" s="22" t="str">
        <f>IF(OR(E706="",E706="!!!"),"",IF(NOT(ISNA(VLOOKUP(E706,E$1:E705,1,FALSE()))),"OLD",IF(AND(E706&lt;&gt;"",E706&lt;&gt;"!!!"),"NEW","")))</f>
        <v> </v>
      </c>
      <c r="G706" s="23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4" t="str">
        <f>IF(J706&lt;&gt;1,"",IF(I706="SBJ","CB","?"))</f>
        <v> </v>
      </c>
      <c r="I706" s="25" t="str">
        <f>IF(OR(E706="",E706="!!!",F706="NEW"),"",INDEX(B705:B$2,-1+SUMPRODUCT(MAX(ROW(E705:E$2)*(E706=E705:E$2)))))</f>
        <v> </v>
      </c>
      <c r="J706" s="25" t="str">
        <f>IF(OR(E706="",E706="!!!",F706="NEW"),"",COUNTBLANK(OFFSET(A$1,,,SUMPRODUCT(MAX(ROW(E$2:E706)*(E706=E$2:E706)))))-COUNTBLANK(OFFSET(A$1,,,SUMPRODUCT(MAX(ROW(E$1:E705)*(E2=E$1:E705))))))</f>
        <v> </v>
      </c>
      <c r="K706" s="25" t="str">
        <f>IF(OR(E706="",E706="!!!",F706="NEW"),"",INDEX(J$1:J705,SUMPRODUCT(MAX(ROW(E$1:E705)*(E706=E$1:E705)))))</f>
        <v> </v>
      </c>
      <c r="L706" s="26"/>
    </row>
    <row r="707" spans="1:12">
      <c r="A707" s="20" t="s">
        <v>237</v>
      </c>
      <c r="E707" s="21">
        <f>IF(D707="?OLD","!!!","")</f>
        <v/>
      </c>
      <c r="F707" s="22" t="str">
        <f>IF(OR(E707="",E707="!!!"),"",IF(NOT(ISNA(VLOOKUP(E707,E$1:E706,1,FALSE()))),"OLD",IF(AND(E707&lt;&gt;"",E707&lt;&gt;"!!!"),"NEW","")))</f>
        <v> </v>
      </c>
      <c r="G707" s="23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4" t="str">
        <f>IF(J707&lt;&gt;1,"",IF(I707="SBJ","CB","?"))</f>
        <v> </v>
      </c>
      <c r="I707" s="25" t="str">
        <f>IF(OR(E707="",E707="!!!",F707="NEW"),"",INDEX(B706:B$2,-1+SUMPRODUCT(MAX(ROW(E706:E$2)*(E707=E706:E$2)))))</f>
        <v> </v>
      </c>
      <c r="J707" s="25" t="str">
        <f>IF(OR(E707="",E707="!!!",F707="NEW"),"",COUNTBLANK(OFFSET(A$1,,,SUMPRODUCT(MAX(ROW(E$2:E707)*(E707=E$2:E707)))))-COUNTBLANK(OFFSET(A$1,,,SUMPRODUCT(MAX(ROW(E$1:E706)*(E2=E$1:E706))))))</f>
        <v> </v>
      </c>
      <c r="K707" s="25" t="str">
        <f>IF(OR(E707="",E707="!!!",F707="NEW"),"",INDEX(J$1:J706,SUMPRODUCT(MAX(ROW(E$1:E706)*(E707=E$1:E706)))))</f>
        <v> </v>
      </c>
      <c r="L707" s="26"/>
    </row>
    <row r="708" spans="1:12">
      <c r="A708" s="20" t="s">
        <v>284</v>
      </c>
      <c r="E708" s="21">
        <f>IF(D708="?OLD","!!!","")</f>
        <v/>
      </c>
      <c r="F708" s="22" t="str">
        <f>IF(OR(E708="",E708="!!!"),"",IF(NOT(ISNA(VLOOKUP(E708,E$1:E707,1,FALSE()))),"OLD",IF(AND(E708&lt;&gt;"",E708&lt;&gt;"!!!"),"NEW","")))</f>
        <v> </v>
      </c>
      <c r="G708" s="23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4" t="str">
        <f>IF(J708&lt;&gt;1,"",IF(I708="SBJ","CB","?"))</f>
        <v> </v>
      </c>
      <c r="I708" s="25" t="str">
        <f>IF(OR(E708="",E708="!!!",F708="NEW"),"",INDEX(B707:B$2,-1+SUMPRODUCT(MAX(ROW(E707:E$2)*(E708=E707:E$2)))))</f>
        <v> </v>
      </c>
      <c r="J708" s="25" t="str">
        <f>IF(OR(E708="",E708="!!!",F708="NEW"),"",COUNTBLANK(OFFSET(A$1,,,SUMPRODUCT(MAX(ROW(E$2:E708)*(E708=E$2:E708)))))-COUNTBLANK(OFFSET(A$1,,,SUMPRODUCT(MAX(ROW(E$1:E707)*(E2=E$1:E707))))))</f>
        <v> </v>
      </c>
      <c r="K708" s="25" t="str">
        <f>IF(OR(E708="",E708="!!!",F708="NEW"),"",INDEX(J$1:J707,SUMPRODUCT(MAX(ROW(E$1:E707)*(E708=E$1:E707)))))</f>
        <v> </v>
      </c>
      <c r="L708" s="26"/>
    </row>
    <row r="709" spans="1:12">
      <c r="A709" s="20" t="s">
        <v>232</v>
      </c>
      <c r="E709" s="21">
        <f>IF(D709="?OLD","!!!","")</f>
        <v/>
      </c>
      <c r="F709" s="22" t="str">
        <f>IF(OR(E709="",E709="!!!"),"",IF(NOT(ISNA(VLOOKUP(E709,E$1:E708,1,FALSE()))),"OLD",IF(AND(E709&lt;&gt;"",E709&lt;&gt;"!!!"),"NEW","")))</f>
        <v> </v>
      </c>
      <c r="G709" s="23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4" t="str">
        <f>IF(J709&lt;&gt;1,"",IF(I709="SBJ","CB","?"))</f>
        <v> </v>
      </c>
      <c r="I709" s="25" t="str">
        <f>IF(OR(E709="",E709="!!!",F709="NEW"),"",INDEX(B708:B$2,-1+SUMPRODUCT(MAX(ROW(E708:E$2)*(E709=E708:E$2)))))</f>
        <v> </v>
      </c>
      <c r="J709" s="25" t="str">
        <f>IF(OR(E709="",E709="!!!",F709="NEW"),"",COUNTBLANK(OFFSET(A$1,,,SUMPRODUCT(MAX(ROW(E$2:E709)*(E709=E$2:E709)))))-COUNTBLANK(OFFSET(A$1,,,SUMPRODUCT(MAX(ROW(E$1:E708)*(E2=E$1:E708))))))</f>
        <v> </v>
      </c>
      <c r="K709" s="25" t="str">
        <f>IF(OR(E709="",E709="!!!",F709="NEW"),"",INDEX(J$1:J708,SUMPRODUCT(MAX(ROW(E$1:E708)*(E709=E$1:E708)))))</f>
        <v> </v>
      </c>
      <c r="L709" s="26"/>
    </row>
    <row r="710" spans="1:12">
      <c r="A710" s="20" t="s">
        <v>427</v>
      </c>
      <c r="B710" s="27" t="s">
        <v>156</v>
      </c>
      <c r="C710" s="27" t="s">
        <v>194</v>
      </c>
      <c r="D710" s="27" t="s">
        <v>143</v>
      </c>
      <c r="E710" s="21">
        <f>IF(D710="?OLD","!!!","")</f>
        <v/>
      </c>
      <c r="F710" s="22" t="str">
        <f>IF(OR(E710="",E710="!!!"),"",IF(NOT(ISNA(VLOOKUP(E710,E$1:E709,1,FALSE()))),"OLD",IF(AND(E710&lt;&gt;"",E710&lt;&gt;"!!!"),"NEW","")))</f>
        <v> </v>
      </c>
      <c r="G710" s="23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4" t="str">
        <f>IF(J710&lt;&gt;1,"",IF(I710="SBJ","CB","?"))</f>
        <v> </v>
      </c>
      <c r="I710" s="25" t="str">
        <f>IF(OR(E710="",E710="!!!",F710="NEW"),"",INDEX(B709:B$2,-1+SUMPRODUCT(MAX(ROW(E709:E$2)*(E710=E709:E$2)))))</f>
        <v> </v>
      </c>
      <c r="J710" s="25" t="str">
        <f>IF(OR(E710="",E710="!!!",F710="NEW"),"",COUNTBLANK(OFFSET(A$1,,,SUMPRODUCT(MAX(ROW(E$2:E710)*(E710=E$2:E710)))))-COUNTBLANK(OFFSET(A$1,,,SUMPRODUCT(MAX(ROW(E$1:E709)*(E2=E$1:E709))))))</f>
        <v> </v>
      </c>
      <c r="K710" s="25" t="str">
        <f>IF(OR(E710="",E710="!!!",F710="NEW"),"",INDEX(J$1:J709,SUMPRODUCT(MAX(ROW(E$1:E709)*(E710=E$1:E709)))))</f>
        <v> </v>
      </c>
      <c r="L710" s="26"/>
    </row>
    <row r="711" spans="1:12">
      <c r="A711" s="20" t="s">
        <v>164</v>
      </c>
      <c r="E711" s="21">
        <f>IF(D711="?OLD","!!!","")</f>
        <v/>
      </c>
      <c r="F711" s="22" t="str">
        <f>IF(OR(E711="",E711="!!!"),"",IF(NOT(ISNA(VLOOKUP(E711,E$1:E710,1,FALSE()))),"OLD",IF(AND(E711&lt;&gt;"",E711&lt;&gt;"!!!"),"NEW","")))</f>
        <v> </v>
      </c>
      <c r="G711" s="23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4" t="str">
        <f>IF(J711&lt;&gt;1,"",IF(I711="SBJ","CB","?"))</f>
        <v> </v>
      </c>
      <c r="I711" s="25" t="str">
        <f>IF(OR(E711="",E711="!!!",F711="NEW"),"",INDEX(B710:B$2,-1+SUMPRODUCT(MAX(ROW(E710:E$2)*(E711=E710:E$2)))))</f>
        <v> </v>
      </c>
      <c r="J711" s="25" t="str">
        <f>IF(OR(E711="",E711="!!!",F711="NEW"),"",COUNTBLANK(OFFSET(A$1,,,SUMPRODUCT(MAX(ROW(E$2:E711)*(E711=E$2:E711)))))-COUNTBLANK(OFFSET(A$1,,,SUMPRODUCT(MAX(ROW(E$1:E710)*(E2=E$1:E710))))))</f>
        <v> </v>
      </c>
      <c r="K711" s="25" t="str">
        <f>IF(OR(E711="",E711="!!!",F711="NEW"),"",INDEX(J$1:J710,SUMPRODUCT(MAX(ROW(E$1:E710)*(E711=E$1:E710)))))</f>
        <v> </v>
      </c>
      <c r="L711" s="26"/>
    </row>
    <row r="712" spans="1:12">
      <c r="A712" s="20" t="s">
        <v>219</v>
      </c>
      <c r="E712" s="21">
        <f>IF(D712="?OLD","!!!","")</f>
        <v/>
      </c>
      <c r="F712" s="22" t="str">
        <f>IF(OR(E712="",E712="!!!"),"",IF(NOT(ISNA(VLOOKUP(E712,E$1:E711,1,FALSE()))),"OLD",IF(AND(E712&lt;&gt;"",E712&lt;&gt;"!!!"),"NEW","")))</f>
        <v> </v>
      </c>
      <c r="G712" s="23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4" t="str">
        <f>IF(J712&lt;&gt;1,"",IF(I712="SBJ","CB","?"))</f>
        <v> </v>
      </c>
      <c r="I712" s="25" t="str">
        <f>IF(OR(E712="",E712="!!!",F712="NEW"),"",INDEX(B711:B$2,-1+SUMPRODUCT(MAX(ROW(E711:E$2)*(E712=E711:E$2)))))</f>
        <v> </v>
      </c>
      <c r="J712" s="25" t="str">
        <f>IF(OR(E712="",E712="!!!",F712="NEW"),"",COUNTBLANK(OFFSET(A$1,,,SUMPRODUCT(MAX(ROW(E$2:E712)*(E712=E$2:E712)))))-COUNTBLANK(OFFSET(A$1,,,SUMPRODUCT(MAX(ROW(E$1:E711)*(E2=E$1:E711))))))</f>
        <v> </v>
      </c>
      <c r="K712" s="25" t="str">
        <f>IF(OR(E712="",E712="!!!",F712="NEW"),"",INDEX(J$1:J711,SUMPRODUCT(MAX(ROW(E$1:E711)*(E712=E$1:E711)))))</f>
        <v> </v>
      </c>
      <c r="L712" s="26"/>
    </row>
    <row r="713" spans="1:12">
      <c r="A713" s="20" t="s">
        <v>157</v>
      </c>
      <c r="E713" s="21">
        <f>IF(D713="?OLD","!!!","")</f>
        <v/>
      </c>
      <c r="F713" s="22" t="str">
        <f>IF(OR(E713="",E713="!!!"),"",IF(NOT(ISNA(VLOOKUP(E713,E$1:E712,1,FALSE()))),"OLD",IF(AND(E713&lt;&gt;"",E713&lt;&gt;"!!!"),"NEW","")))</f>
        <v> </v>
      </c>
      <c r="G713" s="23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4" t="str">
        <f>IF(J713&lt;&gt;1,"",IF(I713="SBJ","CB","?"))</f>
        <v> </v>
      </c>
      <c r="I713" s="25" t="str">
        <f>IF(OR(E713="",E713="!!!",F713="NEW"),"",INDEX(B712:B$2,-1+SUMPRODUCT(MAX(ROW(E712:E$2)*(E713=E712:E$2)))))</f>
        <v> </v>
      </c>
      <c r="J713" s="25" t="str">
        <f>IF(OR(E713="",E713="!!!",F713="NEW"),"",COUNTBLANK(OFFSET(A$1,,,SUMPRODUCT(MAX(ROW(E$2:E713)*(E713=E$2:E713)))))-COUNTBLANK(OFFSET(A$1,,,SUMPRODUCT(MAX(ROW(E$1:E712)*(E2=E$1:E712))))))</f>
        <v> </v>
      </c>
      <c r="K713" s="25" t="str">
        <f>IF(OR(E713="",E713="!!!",F713="NEW"),"",INDEX(J$1:J712,SUMPRODUCT(MAX(ROW(E$1:E712)*(E713=E$1:E712)))))</f>
        <v> </v>
      </c>
      <c r="L713" s="26"/>
    </row>
    <row r="714" spans="1:12">
      <c r="A714" s="20" t="s">
        <v>233</v>
      </c>
      <c r="B714" s="27" t="s">
        <v>372</v>
      </c>
      <c r="C714" s="27" t="s">
        <v>194</v>
      </c>
      <c r="D714" s="27" t="s">
        <v>143</v>
      </c>
      <c r="E714" s="21">
        <f>IF(D714="?OLD","!!!","")</f>
        <v/>
      </c>
      <c r="F714" s="22" t="str">
        <f>IF(OR(E714="",E714="!!!"),"",IF(NOT(ISNA(VLOOKUP(E714,E$1:E713,1,FALSE()))),"OLD",IF(AND(E714&lt;&gt;"",E714&lt;&gt;"!!!"),"NEW","")))</f>
        <v> </v>
      </c>
      <c r="G714" s="23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4" t="str">
        <f>IF(J714&lt;&gt;1,"",IF(I714="SBJ","CB","?"))</f>
        <v> </v>
      </c>
      <c r="I714" s="25" t="str">
        <f>IF(OR(E714="",E714="!!!",F714="NEW"),"",INDEX(B713:B$2,-1+SUMPRODUCT(MAX(ROW(E713:E$2)*(E714=E713:E$2)))))</f>
        <v> </v>
      </c>
      <c r="J714" s="25" t="str">
        <f>IF(OR(E714="",E714="!!!",F714="NEW"),"",COUNTBLANK(OFFSET(A$1,,,SUMPRODUCT(MAX(ROW(E$2:E714)*(E714=E$2:E714)))))-COUNTBLANK(OFFSET(A$1,,,SUMPRODUCT(MAX(ROW(E$1:E713)*(E2=E$1:E713))))))</f>
        <v> </v>
      </c>
      <c r="K714" s="25" t="str">
        <f>IF(OR(E714="",E714="!!!",F714="NEW"),"",INDEX(J$1:J713,SUMPRODUCT(MAX(ROW(E$1:E713)*(E714=E$1:E713)))))</f>
        <v> </v>
      </c>
      <c r="L714" s="26"/>
    </row>
    <row r="715" spans="1:12">
      <c r="A715" s="20" t="s">
        <v>235</v>
      </c>
      <c r="E715" s="21">
        <f>IF(D715="?OLD","!!!","")</f>
        <v/>
      </c>
      <c r="F715" s="22" t="str">
        <f>IF(OR(E715="",E715="!!!"),"",IF(NOT(ISNA(VLOOKUP(E715,E$1:E714,1,FALSE()))),"OLD",IF(AND(E715&lt;&gt;"",E715&lt;&gt;"!!!"),"NEW","")))</f>
        <v> </v>
      </c>
      <c r="G715" s="23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4" t="str">
        <f>IF(J715&lt;&gt;1,"",IF(I715="SBJ","CB","?"))</f>
        <v> </v>
      </c>
      <c r="I715" s="25" t="str">
        <f>IF(OR(E715="",E715="!!!",F715="NEW"),"",INDEX(B714:B$2,-1+SUMPRODUCT(MAX(ROW(E714:E$2)*(E715=E714:E$2)))))</f>
        <v> </v>
      </c>
      <c r="J715" s="25" t="str">
        <f>IF(OR(E715="",E715="!!!",F715="NEW"),"",COUNTBLANK(OFFSET(A$1,,,SUMPRODUCT(MAX(ROW(E$2:E715)*(E715=E$2:E715)))))-COUNTBLANK(OFFSET(A$1,,,SUMPRODUCT(MAX(ROW(E$1:E714)*(E2=E$1:E714))))))</f>
        <v> </v>
      </c>
      <c r="K715" s="25" t="str">
        <f>IF(OR(E715="",E715="!!!",F715="NEW"),"",INDEX(J$1:J714,SUMPRODUCT(MAX(ROW(E$1:E714)*(E715=E$1:E714)))))</f>
        <v> </v>
      </c>
      <c r="L715" s="26"/>
    </row>
    <row r="716" spans="1:12">
      <c r="A716" s="20" t="s">
        <v>164</v>
      </c>
      <c r="E716" s="21">
        <f>IF(D716="?OLD","!!!","")</f>
        <v/>
      </c>
      <c r="F716" s="22" t="str">
        <f>IF(OR(E716="",E716="!!!"),"",IF(NOT(ISNA(VLOOKUP(E716,E$1:E715,1,FALSE()))),"OLD",IF(AND(E716&lt;&gt;"",E716&lt;&gt;"!!!"),"NEW","")))</f>
        <v> </v>
      </c>
      <c r="G716" s="23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4" t="str">
        <f>IF(J716&lt;&gt;1,"",IF(I716="SBJ","CB","?"))</f>
        <v> </v>
      </c>
      <c r="I716" s="25" t="str">
        <f>IF(OR(E716="",E716="!!!",F716="NEW"),"",INDEX(B715:B$2,-1+SUMPRODUCT(MAX(ROW(E715:E$2)*(E716=E715:E$2)))))</f>
        <v> </v>
      </c>
      <c r="J716" s="25" t="str">
        <f>IF(OR(E716="",E716="!!!",F716="NEW"),"",COUNTBLANK(OFFSET(A$1,,,SUMPRODUCT(MAX(ROW(E$2:E716)*(E716=E$2:E716)))))-COUNTBLANK(OFFSET(A$1,,,SUMPRODUCT(MAX(ROW(E$1:E715)*(E2=E$1:E715))))))</f>
        <v> </v>
      </c>
      <c r="K716" s="25" t="str">
        <f>IF(OR(E716="",E716="!!!",F716="NEW"),"",INDEX(J$1:J715,SUMPRODUCT(MAX(ROW(E$1:E715)*(E716=E$1:E715)))))</f>
        <v> </v>
      </c>
      <c r="L716" s="26"/>
    </row>
    <row r="717" spans="1:12">
      <c r="A717" s="20" t="s">
        <v>236</v>
      </c>
      <c r="E717" s="21">
        <f>IF(D717="?OLD","!!!","")</f>
        <v/>
      </c>
      <c r="F717" s="22" t="str">
        <f>IF(OR(E717="",E717="!!!"),"",IF(NOT(ISNA(VLOOKUP(E717,E$1:E716,1,FALSE()))),"OLD",IF(AND(E717&lt;&gt;"",E717&lt;&gt;"!!!"),"NEW","")))</f>
        <v> </v>
      </c>
      <c r="G717" s="23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4" t="str">
        <f>IF(J717&lt;&gt;1,"",IF(I717="SBJ","CB","?"))</f>
        <v> </v>
      </c>
      <c r="I717" s="25" t="str">
        <f>IF(OR(E717="",E717="!!!",F717="NEW"),"",INDEX(B716:B$2,-1+SUMPRODUCT(MAX(ROW(E716:E$2)*(E717=E716:E$2)))))</f>
        <v> </v>
      </c>
      <c r="J717" s="25" t="str">
        <f>IF(OR(E717="",E717="!!!",F717="NEW"),"",COUNTBLANK(OFFSET(A$1,,,SUMPRODUCT(MAX(ROW(E$2:E717)*(E717=E$2:E717)))))-COUNTBLANK(OFFSET(A$1,,,SUMPRODUCT(MAX(ROW(E$1:E716)*(E2=E$1:E716))))))</f>
        <v> </v>
      </c>
      <c r="K717" s="25" t="str">
        <f>IF(OR(E717="",E717="!!!",F717="NEW"),"",INDEX(J$1:J716,SUMPRODUCT(MAX(ROW(E$1:E716)*(E717=E$1:E716)))))</f>
        <v> </v>
      </c>
      <c r="L717" s="26"/>
    </row>
    <row r="718" spans="1:12">
      <c r="A718" s="20" t="s">
        <v>237</v>
      </c>
      <c r="E718" s="21">
        <f>IF(D718="?OLD","!!!","")</f>
        <v/>
      </c>
      <c r="F718" s="22" t="str">
        <f>IF(OR(E718="",E718="!!!"),"",IF(NOT(ISNA(VLOOKUP(E718,E$1:E717,1,FALSE()))),"OLD",IF(AND(E718&lt;&gt;"",E718&lt;&gt;"!!!"),"NEW","")))</f>
        <v> </v>
      </c>
      <c r="G718" s="23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4" t="str">
        <f>IF(J718&lt;&gt;1,"",IF(I718="SBJ","CB","?"))</f>
        <v> </v>
      </c>
      <c r="I718" s="25" t="str">
        <f>IF(OR(E718="",E718="!!!",F718="NEW"),"",INDEX(B717:B$2,-1+SUMPRODUCT(MAX(ROW(E717:E$2)*(E718=E717:E$2)))))</f>
        <v> </v>
      </c>
      <c r="J718" s="25" t="str">
        <f>IF(OR(E718="",E718="!!!",F718="NEW"),"",COUNTBLANK(OFFSET(A$1,,,SUMPRODUCT(MAX(ROW(E$2:E718)*(E718=E$2:E718)))))-COUNTBLANK(OFFSET(A$1,,,SUMPRODUCT(MAX(ROW(E$1:E717)*(E2=E$1:E717))))))</f>
        <v> </v>
      </c>
      <c r="K718" s="25" t="str">
        <f>IF(OR(E718="",E718="!!!",F718="NEW"),"",INDEX(J$1:J717,SUMPRODUCT(MAX(ROW(E$1:E717)*(E718=E$1:E717)))))</f>
        <v> </v>
      </c>
      <c r="L718" s="26"/>
    </row>
    <row r="719" spans="1:12">
      <c r="A719" s="20" t="s">
        <v>211</v>
      </c>
      <c r="E719" s="21">
        <f>IF(D719="?OLD","!!!","")</f>
        <v/>
      </c>
      <c r="F719" s="22" t="str">
        <f>IF(OR(E719="",E719="!!!"),"",IF(NOT(ISNA(VLOOKUP(E719,E$1:E718,1,FALSE()))),"OLD",IF(AND(E719&lt;&gt;"",E719&lt;&gt;"!!!"),"NEW","")))</f>
        <v> </v>
      </c>
      <c r="G719" s="23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4" t="str">
        <f>IF(J719&lt;&gt;1,"",IF(I719="SBJ","CB","?"))</f>
        <v> </v>
      </c>
      <c r="I719" s="25" t="str">
        <f>IF(OR(E719="",E719="!!!",F719="NEW"),"",INDEX(B718:B$2,-1+SUMPRODUCT(MAX(ROW(E718:E$2)*(E719=E718:E$2)))))</f>
        <v> </v>
      </c>
      <c r="J719" s="25" t="str">
        <f>IF(OR(E719="",E719="!!!",F719="NEW"),"",COUNTBLANK(OFFSET(A$1,,,SUMPRODUCT(MAX(ROW(E$2:E719)*(E719=E$2:E719)))))-COUNTBLANK(OFFSET(A$1,,,SUMPRODUCT(MAX(ROW(E$1:E718)*(E2=E$1:E718))))))</f>
        <v> </v>
      </c>
      <c r="K719" s="25" t="str">
        <f>IF(OR(E719="",E719="!!!",F719="NEW"),"",INDEX(J$1:J718,SUMPRODUCT(MAX(ROW(E$1:E718)*(E719=E$1:E718)))))</f>
        <v> </v>
      </c>
      <c r="L719" s="26"/>
    </row>
    <row r="720" spans="1:12">
      <c r="A720" s="20"/>
    </row>
    <row r="721" spans="1:12">
      <c r="A721" s="20" t="s">
        <v>428</v>
      </c>
    </row>
    <row r="722" spans="1:12">
      <c r="A722" s="20" t="s">
        <v>429</v>
      </c>
      <c r="E722" s="21">
        <f>IF(D722="?OLD","!!!","")</f>
        <v/>
      </c>
      <c r="F722" s="22" t="str">
        <f>IF(OR(E722="",E722="!!!"),"",IF(NOT(ISNA(VLOOKUP(E722,E$1:E721,1,FALSE()))),"OLD",IF(AND(E722&lt;&gt;"",E722&lt;&gt;"!!!"),"NEW","")))</f>
        <v> </v>
      </c>
      <c r="G722" s="23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4" t="str">
        <f>IF(J722&lt;&gt;1,"",IF(I722="SBJ","CB","?"))</f>
        <v> </v>
      </c>
      <c r="I722" s="25" t="str">
        <f>IF(OR(E722="",E722="!!!",F722="NEW"),"",INDEX(B721:B$2,-1+SUMPRODUCT(MAX(ROW(E721:E$2)*(E722=E721:E$2)))))</f>
        <v> </v>
      </c>
      <c r="J722" s="25" t="str">
        <f>IF(OR(E722="",E722="!!!",F722="NEW"),"",COUNTBLANK(OFFSET(A$1,,,SUMPRODUCT(MAX(ROW(E$2:E722)*(E722=E$2:E722)))))-COUNTBLANK(OFFSET(A$1,,,SUMPRODUCT(MAX(ROW(E$1:E721)*(E2=E$1:E721))))))</f>
        <v> </v>
      </c>
      <c r="K722" s="25" t="str">
        <f>IF(OR(E722="",E722="!!!",F722="NEW"),"",INDEX(J$1:J721,SUMPRODUCT(MAX(ROW(E$1:E721)*(E722=E$1:E721)))))</f>
        <v> </v>
      </c>
      <c r="L722" s="26"/>
    </row>
    <row r="723" spans="1:12">
      <c r="A723" s="20" t="s">
        <v>197</v>
      </c>
      <c r="E723" s="21">
        <f>IF(D723="?OLD","!!!","")</f>
        <v/>
      </c>
      <c r="F723" s="22" t="str">
        <f>IF(OR(E723="",E723="!!!"),"",IF(NOT(ISNA(VLOOKUP(E723,E$1:E722,1,FALSE()))),"OLD",IF(AND(E723&lt;&gt;"",E723&lt;&gt;"!!!"),"NEW","")))</f>
        <v> </v>
      </c>
      <c r="G723" s="23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4" t="str">
        <f>IF(J723&lt;&gt;1,"",IF(I723="SBJ","CB","?"))</f>
        <v> </v>
      </c>
      <c r="I723" s="25" t="str">
        <f>IF(OR(E723="",E723="!!!",F723="NEW"),"",INDEX(B722:B$2,-1+SUMPRODUCT(MAX(ROW(E722:E$2)*(E723=E722:E$2)))))</f>
        <v> </v>
      </c>
      <c r="J723" s="25" t="str">
        <f>IF(OR(E723="",E723="!!!",F723="NEW"),"",COUNTBLANK(OFFSET(A$1,,,SUMPRODUCT(MAX(ROW(E$2:E723)*(E723=E$2:E723)))))-COUNTBLANK(OFFSET(A$1,,,SUMPRODUCT(MAX(ROW(E$1:E722)*(E2=E$1:E722))))))</f>
        <v> </v>
      </c>
      <c r="K723" s="25" t="str">
        <f>IF(OR(E723="",E723="!!!",F723="NEW"),"",INDEX(J$1:J722,SUMPRODUCT(MAX(ROW(E$1:E722)*(E723=E$1:E722)))))</f>
        <v> </v>
      </c>
      <c r="L723" s="26"/>
    </row>
    <row r="724" spans="1:12">
      <c r="A724" s="20" t="s">
        <v>157</v>
      </c>
      <c r="E724" s="21">
        <f>IF(D724="?OLD","!!!","")</f>
        <v/>
      </c>
      <c r="F724" s="22" t="str">
        <f>IF(OR(E724="",E724="!!!"),"",IF(NOT(ISNA(VLOOKUP(E724,E$1:E723,1,FALSE()))),"OLD",IF(AND(E724&lt;&gt;"",E724&lt;&gt;"!!!"),"NEW","")))</f>
        <v> </v>
      </c>
      <c r="G724" s="23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4" t="str">
        <f>IF(J724&lt;&gt;1,"",IF(I724="SBJ","CB","?"))</f>
        <v> </v>
      </c>
      <c r="I724" s="25" t="str">
        <f>IF(OR(E724="",E724="!!!",F724="NEW"),"",INDEX(B723:B$2,-1+SUMPRODUCT(MAX(ROW(E723:E$2)*(E724=E723:E$2)))))</f>
        <v> </v>
      </c>
      <c r="J724" s="25" t="str">
        <f>IF(OR(E724="",E724="!!!",F724="NEW"),"",COUNTBLANK(OFFSET(A$1,,,SUMPRODUCT(MAX(ROW(E$2:E724)*(E724=E$2:E724)))))-COUNTBLANK(OFFSET(A$1,,,SUMPRODUCT(MAX(ROW(E$1:E723)*(E2=E$1:E723))))))</f>
        <v> </v>
      </c>
      <c r="K724" s="25" t="str">
        <f>IF(OR(E724="",E724="!!!",F724="NEW"),"",INDEX(J$1:J723,SUMPRODUCT(MAX(ROW(E$1:E723)*(E724=E$1:E723)))))</f>
        <v> </v>
      </c>
      <c r="L724" s="26"/>
    </row>
    <row r="725" spans="1:12">
      <c r="A725" s="20" t="s">
        <v>208</v>
      </c>
      <c r="E725" s="21">
        <f>IF(D725="?OLD","!!!","")</f>
        <v/>
      </c>
      <c r="F725" s="22" t="str">
        <f>IF(OR(E725="",E725="!!!"),"",IF(NOT(ISNA(VLOOKUP(E725,E$1:E724,1,FALSE()))),"OLD",IF(AND(E725&lt;&gt;"",E725&lt;&gt;"!!!"),"NEW","")))</f>
        <v> </v>
      </c>
      <c r="G725" s="23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4" t="str">
        <f>IF(J725&lt;&gt;1,"",IF(I725="SBJ","CB","?"))</f>
        <v> </v>
      </c>
      <c r="I725" s="25" t="str">
        <f>IF(OR(E725="",E725="!!!",F725="NEW"),"",INDEX(B724:B$2,-1+SUMPRODUCT(MAX(ROW(E724:E$2)*(E725=E724:E$2)))))</f>
        <v> </v>
      </c>
      <c r="J725" s="25" t="str">
        <f>IF(OR(E725="",E725="!!!",F725="NEW"),"",COUNTBLANK(OFFSET(A$1,,,SUMPRODUCT(MAX(ROW(E$2:E725)*(E725=E$2:E725)))))-COUNTBLANK(OFFSET(A$1,,,SUMPRODUCT(MAX(ROW(E$1:E724)*(E2=E$1:E724))))))</f>
        <v> </v>
      </c>
      <c r="K725" s="25" t="str">
        <f>IF(OR(E725="",E725="!!!",F725="NEW"),"",INDEX(J$1:J724,SUMPRODUCT(MAX(ROW(E$1:E724)*(E725=E$1:E724)))))</f>
        <v> </v>
      </c>
      <c r="L725" s="26"/>
    </row>
    <row r="726" spans="1:12">
      <c r="A726" s="20" t="s">
        <v>242</v>
      </c>
      <c r="B726" s="27" t="s">
        <v>141</v>
      </c>
      <c r="C726" s="27" t="s">
        <v>176</v>
      </c>
      <c r="D726" s="27" t="s">
        <v>143</v>
      </c>
      <c r="E726" s="21">
        <f>IF(D726="?OLD","!!!","")</f>
        <v/>
      </c>
      <c r="F726" s="22" t="str">
        <f>IF(OR(E726="",E726="!!!"),"",IF(NOT(ISNA(VLOOKUP(E726,E$1:E725,1,FALSE()))),"OLD",IF(AND(E726&lt;&gt;"",E726&lt;&gt;"!!!"),"NEW","")))</f>
        <v> </v>
      </c>
      <c r="G726" s="23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4" t="str">
        <f>IF(J726&lt;&gt;1,"",IF(I726="SBJ","CB","?"))</f>
        <v> </v>
      </c>
      <c r="I726" s="25" t="str">
        <f>IF(OR(E726="",E726="!!!",F726="NEW"),"",INDEX(B725:B$2,-1+SUMPRODUCT(MAX(ROW(E725:E$2)*(E726=E725:E$2)))))</f>
        <v> </v>
      </c>
      <c r="J726" s="25" t="str">
        <f>IF(OR(E726="",E726="!!!",F726="NEW"),"",COUNTBLANK(OFFSET(A$1,,,SUMPRODUCT(MAX(ROW(E$2:E726)*(E726=E$2:E726)))))-COUNTBLANK(OFFSET(A$1,,,SUMPRODUCT(MAX(ROW(E$1:E725)*(E2=E$1:E725))))))</f>
        <v> </v>
      </c>
      <c r="K726" s="25" t="str">
        <f>IF(OR(E726="",E726="!!!",F726="NEW"),"",INDEX(J$1:J725,SUMPRODUCT(MAX(ROW(E$1:E725)*(E726=E$1:E725)))))</f>
        <v> </v>
      </c>
      <c r="L726" s="26"/>
    </row>
    <row r="727" spans="1:12">
      <c r="A727" s="20" t="s">
        <v>178</v>
      </c>
      <c r="E727" s="21">
        <f>IF(D727="?OLD","!!!","")</f>
        <v/>
      </c>
      <c r="F727" s="22" t="str">
        <f>IF(OR(E727="",E727="!!!"),"",IF(NOT(ISNA(VLOOKUP(E727,E$1:E726,1,FALSE()))),"OLD",IF(AND(E727&lt;&gt;"",E727&lt;&gt;"!!!"),"NEW","")))</f>
        <v> </v>
      </c>
      <c r="G727" s="23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4" t="str">
        <f>IF(J727&lt;&gt;1,"",IF(I727="SBJ","CB","?"))</f>
        <v> </v>
      </c>
      <c r="I727" s="25" t="str">
        <f>IF(OR(E727="",E727="!!!",F727="NEW"),"",INDEX(B726:B$2,-1+SUMPRODUCT(MAX(ROW(E726:E$2)*(E727=E726:E$2)))))</f>
        <v> </v>
      </c>
      <c r="J727" s="25" t="str">
        <f>IF(OR(E727="",E727="!!!",F727="NEW"),"",COUNTBLANK(OFFSET(A$1,,,SUMPRODUCT(MAX(ROW(E$2:E727)*(E727=E$2:E727)))))-COUNTBLANK(OFFSET(A$1,,,SUMPRODUCT(MAX(ROW(E$1:E726)*(E2=E$1:E726))))))</f>
        <v> </v>
      </c>
      <c r="K727" s="25" t="str">
        <f>IF(OR(E727="",E727="!!!",F727="NEW"),"",INDEX(J$1:J726,SUMPRODUCT(MAX(ROW(E$1:E726)*(E727=E$1:E726)))))</f>
        <v> </v>
      </c>
      <c r="L727" s="26"/>
    </row>
    <row r="728" spans="1:12">
      <c r="A728" s="20" t="s">
        <v>430</v>
      </c>
      <c r="E728" s="21">
        <f>IF(D728="?OLD","!!!","")</f>
        <v/>
      </c>
      <c r="F728" s="22" t="str">
        <f>IF(OR(E728="",E728="!!!"),"",IF(NOT(ISNA(VLOOKUP(E728,E$1:E727,1,FALSE()))),"OLD",IF(AND(E728&lt;&gt;"",E728&lt;&gt;"!!!"),"NEW","")))</f>
        <v> </v>
      </c>
      <c r="G728" s="23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4" t="str">
        <f>IF(J728&lt;&gt;1,"",IF(I728="SBJ","CB","?"))</f>
        <v> </v>
      </c>
      <c r="I728" s="25" t="str">
        <f>IF(OR(E728="",E728="!!!",F728="NEW"),"",INDEX(B727:B$2,-1+SUMPRODUCT(MAX(ROW(E727:E$2)*(E728=E727:E$2)))))</f>
        <v> </v>
      </c>
      <c r="J728" s="25" t="str">
        <f>IF(OR(E728="",E728="!!!",F728="NEW"),"",COUNTBLANK(OFFSET(A$1,,,SUMPRODUCT(MAX(ROW(E$2:E728)*(E728=E$2:E728)))))-COUNTBLANK(OFFSET(A$1,,,SUMPRODUCT(MAX(ROW(E$1:E727)*(E2=E$1:E727))))))</f>
        <v> </v>
      </c>
      <c r="K728" s="25" t="str">
        <f>IF(OR(E728="",E728="!!!",F728="NEW"),"",INDEX(J$1:J727,SUMPRODUCT(MAX(ROW(E$1:E727)*(E728=E$1:E727)))))</f>
        <v> </v>
      </c>
      <c r="L728" s="26"/>
    </row>
    <row r="729" spans="1:12">
      <c r="A729" s="20" t="s">
        <v>431</v>
      </c>
      <c r="E729" s="21">
        <f>IF(D729="?OLD","!!!","")</f>
        <v/>
      </c>
      <c r="F729" s="22" t="str">
        <f>IF(OR(E729="",E729="!!!"),"",IF(NOT(ISNA(VLOOKUP(E729,E$1:E728,1,FALSE()))),"OLD",IF(AND(E729&lt;&gt;"",E729&lt;&gt;"!!!"),"NEW","")))</f>
        <v> </v>
      </c>
      <c r="G729" s="23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4" t="str">
        <f>IF(J729&lt;&gt;1,"",IF(I729="SBJ","CB","?"))</f>
        <v> </v>
      </c>
      <c r="I729" s="25" t="str">
        <f>IF(OR(E729="",E729="!!!",F729="NEW"),"",INDEX(B728:B$2,-1+SUMPRODUCT(MAX(ROW(E728:E$2)*(E729=E728:E$2)))))</f>
        <v> </v>
      </c>
      <c r="J729" s="25" t="str">
        <f>IF(OR(E729="",E729="!!!",F729="NEW"),"",COUNTBLANK(OFFSET(A$1,,,SUMPRODUCT(MAX(ROW(E$2:E729)*(E729=E$2:E729)))))-COUNTBLANK(OFFSET(A$1,,,SUMPRODUCT(MAX(ROW(E$1:E728)*(E2=E$1:E728))))))</f>
        <v> </v>
      </c>
      <c r="K729" s="25" t="str">
        <f>IF(OR(E729="",E729="!!!",F729="NEW"),"",INDEX(J$1:J728,SUMPRODUCT(MAX(ROW(E$1:E728)*(E729=E$1:E728)))))</f>
        <v> </v>
      </c>
      <c r="L729" s="26"/>
    </row>
    <row r="730" spans="1:12">
      <c r="A730" s="20" t="s">
        <v>432</v>
      </c>
      <c r="B730" s="27" t="s">
        <v>258</v>
      </c>
      <c r="C730" s="27" t="s">
        <v>229</v>
      </c>
      <c r="E730" s="21">
        <f>IF(D730="?OLD","!!!","")</f>
        <v/>
      </c>
      <c r="F730" s="22" t="str">
        <f>IF(OR(E730="",E730="!!!"),"",IF(NOT(ISNA(VLOOKUP(E730,E$1:E729,1,FALSE()))),"OLD",IF(AND(E730&lt;&gt;"",E730&lt;&gt;"!!!"),"NEW","")))</f>
        <v> </v>
      </c>
      <c r="G730" s="23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4" t="str">
        <f>IF(J730&lt;&gt;1,"",IF(I730="SBJ","CB","?"))</f>
        <v> </v>
      </c>
      <c r="I730" s="25" t="str">
        <f>IF(OR(E730="",E730="!!!",F730="NEW"),"",INDEX(B729:B$2,-1+SUMPRODUCT(MAX(ROW(E729:E$2)*(E730=E729:E$2)))))</f>
        <v> </v>
      </c>
      <c r="J730" s="25" t="str">
        <f>IF(OR(E730="",E730="!!!",F730="NEW"),"",COUNTBLANK(OFFSET(A$1,,,SUMPRODUCT(MAX(ROW(E$2:E730)*(E730=E$2:E730)))))-COUNTBLANK(OFFSET(A$1,,,SUMPRODUCT(MAX(ROW(E$1:E729)*(E2=E$1:E729))))))</f>
        <v> </v>
      </c>
      <c r="K730" s="25" t="str">
        <f>IF(OR(E730="",E730="!!!",F730="NEW"),"",INDEX(J$1:J729,SUMPRODUCT(MAX(ROW(E$1:E729)*(E730=E$1:E729)))))</f>
        <v> </v>
      </c>
      <c r="L730" s="26"/>
    </row>
    <row r="731" spans="1:12">
      <c r="A731" s="20" t="s">
        <v>164</v>
      </c>
      <c r="E731" s="21">
        <f>IF(D731="?OLD","!!!","")</f>
        <v/>
      </c>
      <c r="F731" s="22" t="str">
        <f>IF(OR(E731="",E731="!!!"),"",IF(NOT(ISNA(VLOOKUP(E731,E$1:E730,1,FALSE()))),"OLD",IF(AND(E731&lt;&gt;"",E731&lt;&gt;"!!!"),"NEW","")))</f>
        <v> </v>
      </c>
      <c r="G731" s="23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4" t="str">
        <f>IF(J731&lt;&gt;1,"",IF(I731="SBJ","CB","?"))</f>
        <v> </v>
      </c>
      <c r="I731" s="25" t="str">
        <f>IF(OR(E731="",E731="!!!",F731="NEW"),"",INDEX(B730:B$2,-1+SUMPRODUCT(MAX(ROW(E730:E$2)*(E731=E730:E$2)))))</f>
        <v> </v>
      </c>
      <c r="J731" s="25" t="str">
        <f>IF(OR(E731="",E731="!!!",F731="NEW"),"",COUNTBLANK(OFFSET(A$1,,,SUMPRODUCT(MAX(ROW(E$2:E731)*(E731=E$2:E731)))))-COUNTBLANK(OFFSET(A$1,,,SUMPRODUCT(MAX(ROW(E$1:E730)*(E2=E$1:E730))))))</f>
        <v> </v>
      </c>
      <c r="K731" s="25" t="str">
        <f>IF(OR(E731="",E731="!!!",F731="NEW"),"",INDEX(J$1:J730,SUMPRODUCT(MAX(ROW(E$1:E730)*(E731=E$1:E730)))))</f>
        <v> </v>
      </c>
      <c r="L731" s="26"/>
    </row>
    <row r="732" spans="1:12">
      <c r="A732" s="20" t="s">
        <v>433</v>
      </c>
      <c r="E732" s="21">
        <f>IF(D732="?OLD","!!!","")</f>
        <v/>
      </c>
      <c r="F732" s="22" t="str">
        <f>IF(OR(E732="",E732="!!!"),"",IF(NOT(ISNA(VLOOKUP(E732,E$1:E731,1,FALSE()))),"OLD",IF(AND(E732&lt;&gt;"",E732&lt;&gt;"!!!"),"NEW","")))</f>
        <v> </v>
      </c>
      <c r="G732" s="23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4" t="str">
        <f>IF(J732&lt;&gt;1,"",IF(I732="SBJ","CB","?"))</f>
        <v> </v>
      </c>
      <c r="I732" s="25" t="str">
        <f>IF(OR(E732="",E732="!!!",F732="NEW"),"",INDEX(B731:B$2,-1+SUMPRODUCT(MAX(ROW(E731:E$2)*(E732=E731:E$2)))))</f>
        <v> </v>
      </c>
      <c r="J732" s="25" t="str">
        <f>IF(OR(E732="",E732="!!!",F732="NEW"),"",COUNTBLANK(OFFSET(A$1,,,SUMPRODUCT(MAX(ROW(E$2:E732)*(E732=E$2:E732)))))-COUNTBLANK(OFFSET(A$1,,,SUMPRODUCT(MAX(ROW(E$1:E731)*(E2=E$1:E731))))))</f>
        <v> </v>
      </c>
      <c r="K732" s="25" t="str">
        <f>IF(OR(E732="",E732="!!!",F732="NEW"),"",INDEX(J$1:J731,SUMPRODUCT(MAX(ROW(E$1:E731)*(E732=E$1:E731)))))</f>
        <v> </v>
      </c>
      <c r="L732" s="26"/>
    </row>
    <row r="733" spans="1:12">
      <c r="A733" s="20" t="s">
        <v>206</v>
      </c>
      <c r="E733" s="21">
        <f>IF(D733="?OLD","!!!","")</f>
        <v/>
      </c>
      <c r="F733" s="22" t="str">
        <f>IF(OR(E733="",E733="!!!"),"",IF(NOT(ISNA(VLOOKUP(E733,E$1:E732,1,FALSE()))),"OLD",IF(AND(E733&lt;&gt;"",E733&lt;&gt;"!!!"),"NEW","")))</f>
        <v> </v>
      </c>
      <c r="G733" s="23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4" t="str">
        <f>IF(J733&lt;&gt;1,"",IF(I733="SBJ","CB","?"))</f>
        <v> </v>
      </c>
      <c r="I733" s="25" t="str">
        <f>IF(OR(E733="",E733="!!!",F733="NEW"),"",INDEX(B732:B$2,-1+SUMPRODUCT(MAX(ROW(E732:E$2)*(E733=E732:E$2)))))</f>
        <v> </v>
      </c>
      <c r="J733" s="25" t="str">
        <f>IF(OR(E733="",E733="!!!",F733="NEW"),"",COUNTBLANK(OFFSET(A$1,,,SUMPRODUCT(MAX(ROW(E$2:E733)*(E733=E$2:E733)))))-COUNTBLANK(OFFSET(A$1,,,SUMPRODUCT(MAX(ROW(E$1:E732)*(E2=E$1:E732))))))</f>
        <v> </v>
      </c>
      <c r="K733" s="25" t="str">
        <f>IF(OR(E733="",E733="!!!",F733="NEW"),"",INDEX(J$1:J732,SUMPRODUCT(MAX(ROW(E$1:E732)*(E733=E$1:E732)))))</f>
        <v> </v>
      </c>
      <c r="L733" s="26"/>
    </row>
    <row r="734" spans="1:12">
      <c r="A734" s="20" t="s">
        <v>179</v>
      </c>
      <c r="E734" s="21">
        <f>IF(D734="?OLD","!!!","")</f>
        <v/>
      </c>
      <c r="F734" s="22" t="str">
        <f>IF(OR(E734="",E734="!!!"),"",IF(NOT(ISNA(VLOOKUP(E734,E$1:E733,1,FALSE()))),"OLD",IF(AND(E734&lt;&gt;"",E734&lt;&gt;"!!!"),"NEW","")))</f>
        <v> </v>
      </c>
      <c r="G734" s="23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4" t="str">
        <f>IF(J734&lt;&gt;1,"",IF(I734="SBJ","CB","?"))</f>
        <v> </v>
      </c>
      <c r="I734" s="25" t="str">
        <f>IF(OR(E734="",E734="!!!",F734="NEW"),"",INDEX(B733:B$2,-1+SUMPRODUCT(MAX(ROW(E733:E$2)*(E734=E733:E$2)))))</f>
        <v> </v>
      </c>
      <c r="J734" s="25" t="str">
        <f>IF(OR(E734="",E734="!!!",F734="NEW"),"",COUNTBLANK(OFFSET(A$1,,,SUMPRODUCT(MAX(ROW(E$2:E734)*(E734=E$2:E734)))))-COUNTBLANK(OFFSET(A$1,,,SUMPRODUCT(MAX(ROW(E$1:E733)*(E2=E$1:E733))))))</f>
        <v> </v>
      </c>
      <c r="K734" s="25" t="str">
        <f>IF(OR(E734="",E734="!!!",F734="NEW"),"",INDEX(J$1:J733,SUMPRODUCT(MAX(ROW(E$1:E733)*(E734=E$1:E733)))))</f>
        <v> </v>
      </c>
      <c r="L734" s="26"/>
    </row>
    <row r="735" spans="1:12">
      <c r="A735" s="20" t="s">
        <v>154</v>
      </c>
      <c r="E735" s="21">
        <f>IF(D735="?OLD","!!!","")</f>
        <v/>
      </c>
      <c r="F735" s="22" t="str">
        <f>IF(OR(E735="",E735="!!!"),"",IF(NOT(ISNA(VLOOKUP(E735,E$1:E734,1,FALSE()))),"OLD",IF(AND(E735&lt;&gt;"",E735&lt;&gt;"!!!"),"NEW","")))</f>
        <v> </v>
      </c>
      <c r="G735" s="23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4" t="str">
        <f>IF(J735&lt;&gt;1,"",IF(I735="SBJ","CB","?"))</f>
        <v> </v>
      </c>
      <c r="I735" s="25" t="str">
        <f>IF(OR(E735="",E735="!!!",F735="NEW"),"",INDEX(B734:B$2,-1+SUMPRODUCT(MAX(ROW(E734:E$2)*(E735=E734:E$2)))))</f>
        <v> </v>
      </c>
      <c r="J735" s="25" t="str">
        <f>IF(OR(E735="",E735="!!!",F735="NEW"),"",COUNTBLANK(OFFSET(A$1,,,SUMPRODUCT(MAX(ROW(E$2:E735)*(E735=E$2:E735)))))-COUNTBLANK(OFFSET(A$1,,,SUMPRODUCT(MAX(ROW(E$1:E734)*(E2=E$1:E734))))))</f>
        <v> </v>
      </c>
      <c r="K735" s="25" t="str">
        <f>IF(OR(E735="",E735="!!!",F735="NEW"),"",INDEX(J$1:J734,SUMPRODUCT(MAX(ROW(E$1:E734)*(E735=E$1:E734)))))</f>
        <v> </v>
      </c>
      <c r="L735" s="26"/>
    </row>
    <row r="736" spans="1:12">
      <c r="A736" s="20" t="s">
        <v>240</v>
      </c>
      <c r="B736" s="27" t="s">
        <v>182</v>
      </c>
      <c r="C736" s="27" t="s">
        <v>142</v>
      </c>
      <c r="D736" s="27" t="s">
        <v>143</v>
      </c>
      <c r="E736" s="21">
        <f>IF(D736="?OLD","!!!","")</f>
        <v/>
      </c>
      <c r="F736" s="22" t="str">
        <f>IF(OR(E736="",E736="!!!"),"",IF(NOT(ISNA(VLOOKUP(E736,E$1:E735,1,FALSE()))),"OLD",IF(AND(E736&lt;&gt;"",E736&lt;&gt;"!!!"),"NEW","")))</f>
        <v> </v>
      </c>
      <c r="G736" s="23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4" t="str">
        <f>IF(J736&lt;&gt;1,"",IF(I736="SBJ","CB","?"))</f>
        <v> </v>
      </c>
      <c r="I736" s="25" t="str">
        <f>IF(OR(E736="",E736="!!!",F736="NEW"),"",INDEX(B735:B$2,-1+SUMPRODUCT(MAX(ROW(E735:E$2)*(E736=E735:E$2)))))</f>
        <v> </v>
      </c>
      <c r="J736" s="25" t="str">
        <f>IF(OR(E736="",E736="!!!",F736="NEW"),"",COUNTBLANK(OFFSET(A$1,,,SUMPRODUCT(MAX(ROW(E$2:E736)*(E736=E$2:E736)))))-COUNTBLANK(OFFSET(A$1,,,SUMPRODUCT(MAX(ROW(E$1:E735)*(E2=E$1:E735))))))</f>
        <v> </v>
      </c>
      <c r="K736" s="25" t="str">
        <f>IF(OR(E736="",E736="!!!",F736="NEW"),"",INDEX(J$1:J735,SUMPRODUCT(MAX(ROW(E$1:E735)*(E736=E$1:E735)))))</f>
        <v> </v>
      </c>
      <c r="L736" s="26"/>
    </row>
    <row r="737" spans="1:12">
      <c r="A737" s="20" t="s">
        <v>198</v>
      </c>
      <c r="E737" s="21">
        <f>IF(D737="?OLD","!!!","")</f>
        <v/>
      </c>
      <c r="F737" s="22" t="str">
        <f>IF(OR(E737="",E737="!!!"),"",IF(NOT(ISNA(VLOOKUP(E737,E$1:E736,1,FALSE()))),"OLD",IF(AND(E737&lt;&gt;"",E737&lt;&gt;"!!!"),"NEW","")))</f>
        <v> </v>
      </c>
      <c r="G737" s="23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4" t="str">
        <f>IF(J737&lt;&gt;1,"",IF(I737="SBJ","CB","?"))</f>
        <v> </v>
      </c>
      <c r="I737" s="25" t="str">
        <f>IF(OR(E737="",E737="!!!",F737="NEW"),"",INDEX(B736:B$2,-1+SUMPRODUCT(MAX(ROW(E736:E$2)*(E737=E736:E$2)))))</f>
        <v> </v>
      </c>
      <c r="J737" s="25" t="str">
        <f>IF(OR(E737="",E737="!!!",F737="NEW"),"",COUNTBLANK(OFFSET(A$1,,,SUMPRODUCT(MAX(ROW(E$2:E737)*(E737=E$2:E737)))))-COUNTBLANK(OFFSET(A$1,,,SUMPRODUCT(MAX(ROW(E$1:E736)*(E2=E$1:E736))))))</f>
        <v> </v>
      </c>
      <c r="K737" s="25" t="str">
        <f>IF(OR(E737="",E737="!!!",F737="NEW"),"",INDEX(J$1:J736,SUMPRODUCT(MAX(ROW(E$1:E736)*(E737=E$1:E736)))))</f>
        <v> </v>
      </c>
      <c r="L737" s="26"/>
    </row>
    <row r="738" spans="1:12">
      <c r="A738" s="20" t="s">
        <v>434</v>
      </c>
      <c r="B738" s="27" t="s">
        <v>156</v>
      </c>
      <c r="C738" s="27" t="s">
        <v>142</v>
      </c>
      <c r="D738" s="27" t="s">
        <v>143</v>
      </c>
      <c r="E738" s="21">
        <f>IF(D738="?OLD","!!!","")</f>
        <v/>
      </c>
      <c r="F738" s="22" t="str">
        <f>IF(OR(E738="",E738="!!!"),"",IF(NOT(ISNA(VLOOKUP(E738,E$1:E737,1,FALSE()))),"OLD",IF(AND(E738&lt;&gt;"",E738&lt;&gt;"!!!"),"NEW","")))</f>
        <v> </v>
      </c>
      <c r="G738" s="23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4" t="str">
        <f>IF(J738&lt;&gt;1,"",IF(I738="SBJ","CB","?"))</f>
        <v> </v>
      </c>
      <c r="I738" s="25" t="str">
        <f>IF(OR(E738="",E738="!!!",F738="NEW"),"",INDEX(B737:B$2,-1+SUMPRODUCT(MAX(ROW(E737:E$2)*(E738=E737:E$2)))))</f>
        <v> </v>
      </c>
      <c r="J738" s="25" t="str">
        <f>IF(OR(E738="",E738="!!!",F738="NEW"),"",COUNTBLANK(OFFSET(A$1,,,SUMPRODUCT(MAX(ROW(E$2:E738)*(E738=E$2:E738)))))-COUNTBLANK(OFFSET(A$1,,,SUMPRODUCT(MAX(ROW(E$1:E737)*(E2=E$1:E737))))))</f>
        <v> </v>
      </c>
      <c r="K738" s="25" t="str">
        <f>IF(OR(E738="",E738="!!!",F738="NEW"),"",INDEX(J$1:J737,SUMPRODUCT(MAX(ROW(E$1:E737)*(E738=E$1:E737)))))</f>
        <v> </v>
      </c>
      <c r="L738" s="26"/>
    </row>
    <row r="739" spans="1:12">
      <c r="A739" s="20" t="s">
        <v>164</v>
      </c>
      <c r="E739" s="21">
        <f>IF(D739="?OLD","!!!","")</f>
        <v/>
      </c>
      <c r="F739" s="22" t="str">
        <f>IF(OR(E739="",E739="!!!"),"",IF(NOT(ISNA(VLOOKUP(E739,E$1:E738,1,FALSE()))),"OLD",IF(AND(E739&lt;&gt;"",E739&lt;&gt;"!!!"),"NEW","")))</f>
        <v> </v>
      </c>
      <c r="G739" s="23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4" t="str">
        <f>IF(J739&lt;&gt;1,"",IF(I739="SBJ","CB","?"))</f>
        <v> </v>
      </c>
      <c r="I739" s="25" t="str">
        <f>IF(OR(E739="",E739="!!!",F739="NEW"),"",INDEX(B738:B$2,-1+SUMPRODUCT(MAX(ROW(E738:E$2)*(E739=E738:E$2)))))</f>
        <v> </v>
      </c>
      <c r="J739" s="25" t="str">
        <f>IF(OR(E739="",E739="!!!",F739="NEW"),"",COUNTBLANK(OFFSET(A$1,,,SUMPRODUCT(MAX(ROW(E$2:E739)*(E739=E$2:E739)))))-COUNTBLANK(OFFSET(A$1,,,SUMPRODUCT(MAX(ROW(E$1:E738)*(E2=E$1:E738))))))</f>
        <v> </v>
      </c>
      <c r="K739" s="25" t="str">
        <f>IF(OR(E739="",E739="!!!",F739="NEW"),"",INDEX(J$1:J738,SUMPRODUCT(MAX(ROW(E$1:E738)*(E739=E$1:E738)))))</f>
        <v> </v>
      </c>
      <c r="L739" s="26"/>
    </row>
    <row r="740" spans="1:12">
      <c r="A740" s="20" t="s">
        <v>435</v>
      </c>
      <c r="E740" s="21">
        <f>IF(D740="?OLD","!!!","")</f>
        <v/>
      </c>
      <c r="F740" s="22" t="str">
        <f>IF(OR(E740="",E740="!!!"),"",IF(NOT(ISNA(VLOOKUP(E740,E$1:E739,1,FALSE()))),"OLD",IF(AND(E740&lt;&gt;"",E740&lt;&gt;"!!!"),"NEW","")))</f>
        <v> </v>
      </c>
      <c r="G740" s="23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4" t="str">
        <f>IF(J740&lt;&gt;1,"",IF(I740="SBJ","CB","?"))</f>
        <v> </v>
      </c>
      <c r="I740" s="25" t="str">
        <f>IF(OR(E740="",E740="!!!",F740="NEW"),"",INDEX(B739:B$2,-1+SUMPRODUCT(MAX(ROW(E739:E$2)*(E740=E739:E$2)))))</f>
        <v> </v>
      </c>
      <c r="J740" s="25" t="str">
        <f>IF(OR(E740="",E740="!!!",F740="NEW"),"",COUNTBLANK(OFFSET(A$1,,,SUMPRODUCT(MAX(ROW(E$2:E740)*(E740=E$2:E740)))))-COUNTBLANK(OFFSET(A$1,,,SUMPRODUCT(MAX(ROW(E$1:E739)*(E2=E$1:E739))))))</f>
        <v> </v>
      </c>
      <c r="K740" s="25" t="str">
        <f>IF(OR(E740="",E740="!!!",F740="NEW"),"",INDEX(J$1:J739,SUMPRODUCT(MAX(ROW(E$1:E739)*(E740=E$1:E739)))))</f>
        <v> </v>
      </c>
      <c r="L740" s="26"/>
    </row>
    <row r="741" spans="1:12">
      <c r="A741" s="20" t="s">
        <v>164</v>
      </c>
      <c r="E741" s="21">
        <f>IF(D741="?OLD","!!!","")</f>
        <v/>
      </c>
      <c r="F741" s="22" t="str">
        <f>IF(OR(E741="",E741="!!!"),"",IF(NOT(ISNA(VLOOKUP(E741,E$1:E740,1,FALSE()))),"OLD",IF(AND(E741&lt;&gt;"",E741&lt;&gt;"!!!"),"NEW","")))</f>
        <v> </v>
      </c>
      <c r="G741" s="23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4" t="str">
        <f>IF(J741&lt;&gt;1,"",IF(I741="SBJ","CB","?"))</f>
        <v> </v>
      </c>
      <c r="I741" s="25" t="str">
        <f>IF(OR(E741="",E741="!!!",F741="NEW"),"",INDEX(B740:B$2,-1+SUMPRODUCT(MAX(ROW(E740:E$2)*(E741=E740:E$2)))))</f>
        <v> </v>
      </c>
      <c r="J741" s="25" t="str">
        <f>IF(OR(E741="",E741="!!!",F741="NEW"),"",COUNTBLANK(OFFSET(A$1,,,SUMPRODUCT(MAX(ROW(E$2:E741)*(E741=E$2:E741)))))-COUNTBLANK(OFFSET(A$1,,,SUMPRODUCT(MAX(ROW(E$1:E740)*(E2=E$1:E740))))))</f>
        <v> </v>
      </c>
      <c r="K741" s="25" t="str">
        <f>IF(OR(E741="",E741="!!!",F741="NEW"),"",INDEX(J$1:J740,SUMPRODUCT(MAX(ROW(E$1:E740)*(E741=E$1:E740)))))</f>
        <v> </v>
      </c>
      <c r="L741" s="26"/>
    </row>
    <row r="742" spans="1:12">
      <c r="A742" s="20" t="s">
        <v>436</v>
      </c>
      <c r="E742" s="21">
        <f>IF(D742="?OLD","!!!","")</f>
        <v/>
      </c>
      <c r="F742" s="22" t="str">
        <f>IF(OR(E742="",E742="!!!"),"",IF(NOT(ISNA(VLOOKUP(E742,E$1:E741,1,FALSE()))),"OLD",IF(AND(E742&lt;&gt;"",E742&lt;&gt;"!!!"),"NEW","")))</f>
        <v> </v>
      </c>
      <c r="G742" s="23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> </v>
      </c>
      <c r="H742" s="24" t="str">
        <f>IF(J742&lt;&gt;1,"",IF(I742="SBJ","CB","?"))</f>
        <v> </v>
      </c>
      <c r="I742" s="25" t="str">
        <f>IF(OR(E742="",E742="!!!",F742="NEW"),"",INDEX(B741:B$2,-1+SUMPRODUCT(MAX(ROW(E741:E$2)*(E742=E741:E$2)))))</f>
        <v> </v>
      </c>
      <c r="J742" s="25" t="str">
        <f>IF(OR(E742="",E742="!!!",F742="NEW"),"",COUNTBLANK(OFFSET(A$1,,,SUMPRODUCT(MAX(ROW(E$2:E742)*(E742=E$2:E742)))))-COUNTBLANK(OFFSET(A$1,,,SUMPRODUCT(MAX(ROW(E$1:E741)*(E2=E$1:E741))))))</f>
        <v> </v>
      </c>
      <c r="K742" s="25" t="str">
        <f>IF(OR(E742="",E742="!!!",F742="NEW"),"",INDEX(J$1:J741,SUMPRODUCT(MAX(ROW(E$1:E741)*(E742=E$1:E741)))))</f>
        <v> </v>
      </c>
      <c r="L742" s="26"/>
    </row>
    <row r="743" spans="1:12">
      <c r="A743" s="20" t="s">
        <v>437</v>
      </c>
      <c r="E743" s="21">
        <f>IF(D743="?OLD","!!!","")</f>
        <v/>
      </c>
      <c r="F743" s="22" t="str">
        <f>IF(OR(E743="",E743="!!!"),"",IF(NOT(ISNA(VLOOKUP(E743,E$1:E742,1,FALSE()))),"OLD",IF(AND(E743&lt;&gt;"",E743&lt;&gt;"!!!"),"NEW","")))</f>
        <v> </v>
      </c>
      <c r="G743" s="23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4" t="str">
        <f>IF(J743&lt;&gt;1,"",IF(I743="SBJ","CB","?"))</f>
        <v> </v>
      </c>
      <c r="I743" s="25" t="str">
        <f>IF(OR(E743="",E743="!!!",F743="NEW"),"",INDEX(B742:B$2,-1+SUMPRODUCT(MAX(ROW(E742:E$2)*(E743=E742:E$2)))))</f>
        <v> </v>
      </c>
      <c r="J743" s="25" t="str">
        <f>IF(OR(E743="",E743="!!!",F743="NEW"),"",COUNTBLANK(OFFSET(A$1,,,SUMPRODUCT(MAX(ROW(E$2:E743)*(E743=E$2:E743)))))-COUNTBLANK(OFFSET(A$1,,,SUMPRODUCT(MAX(ROW(E$1:E742)*(E2=E$1:E742))))))</f>
        <v> </v>
      </c>
      <c r="K743" s="25" t="str">
        <f>IF(OR(E743="",E743="!!!",F743="NEW"),"",INDEX(J$1:J742,SUMPRODUCT(MAX(ROW(E$1:E742)*(E743=E$1:E742)))))</f>
        <v> </v>
      </c>
      <c r="L743" s="26"/>
    </row>
    <row r="744" spans="1:12">
      <c r="A744" s="20" t="s">
        <v>438</v>
      </c>
      <c r="E744" s="21">
        <f>IF(D744="?OLD","!!!","")</f>
        <v/>
      </c>
      <c r="F744" s="22" t="str">
        <f>IF(OR(E744="",E744="!!!"),"",IF(NOT(ISNA(VLOOKUP(E744,E$1:E743,1,FALSE()))),"OLD",IF(AND(E744&lt;&gt;"",E744&lt;&gt;"!!!"),"NEW","")))</f>
        <v> </v>
      </c>
      <c r="G744" s="23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4" t="str">
        <f>IF(J744&lt;&gt;1,"",IF(I744="SBJ","CB","?"))</f>
        <v> </v>
      </c>
      <c r="I744" s="25" t="str">
        <f>IF(OR(E744="",E744="!!!",F744="NEW"),"",INDEX(B743:B$2,-1+SUMPRODUCT(MAX(ROW(E743:E$2)*(E744=E743:E$2)))))</f>
        <v> </v>
      </c>
      <c r="J744" s="25" t="str">
        <f>IF(OR(E744="",E744="!!!",F744="NEW"),"",COUNTBLANK(OFFSET(A$1,,,SUMPRODUCT(MAX(ROW(E$2:E744)*(E744=E$2:E744)))))-COUNTBLANK(OFFSET(A$1,,,SUMPRODUCT(MAX(ROW(E$1:E743)*(E2=E$1:E743))))))</f>
        <v> </v>
      </c>
      <c r="K744" s="25" t="str">
        <f>IF(OR(E744="",E744="!!!",F744="NEW"),"",INDEX(J$1:J743,SUMPRODUCT(MAX(ROW(E$1:E743)*(E744=E$1:E743)))))</f>
        <v> </v>
      </c>
      <c r="L744" s="26"/>
    </row>
    <row r="745" spans="1:12">
      <c r="A745" s="20"/>
    </row>
    <row r="746" spans="1:12">
      <c r="A746" s="20" t="s">
        <v>439</v>
      </c>
    </row>
    <row r="747" spans="1:12">
      <c r="A747" s="20" t="s">
        <v>188</v>
      </c>
      <c r="E747" s="21">
        <f>IF(D747="?OLD","!!!","")</f>
        <v/>
      </c>
      <c r="F747" s="22" t="str">
        <f>IF(OR(E747="",E747="!!!"),"",IF(NOT(ISNA(VLOOKUP(E747,E$1:E746,1,FALSE()))),"OLD",IF(AND(E747&lt;&gt;"",E747&lt;&gt;"!!!"),"NEW","")))</f>
        <v> </v>
      </c>
      <c r="G747" s="23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4" t="str">
        <f>IF(J747&lt;&gt;1,"",IF(I747="SBJ","CB","?"))</f>
        <v> </v>
      </c>
      <c r="I747" s="25" t="str">
        <f>IF(OR(E747="",E747="!!!",F747="NEW"),"",INDEX(B746:B$2,-1+SUMPRODUCT(MAX(ROW(E746:E$2)*(E747=E746:E$2)))))</f>
        <v> </v>
      </c>
      <c r="J747" s="25" t="str">
        <f>IF(OR(E747="",E747="!!!",F747="NEW"),"",COUNTBLANK(OFFSET(A$1,,,SUMPRODUCT(MAX(ROW(E$2:E747)*(E747=E$2:E747)))))-COUNTBLANK(OFFSET(A$1,,,SUMPRODUCT(MAX(ROW(E$1:E746)*(E2=E$1:E746))))))</f>
        <v> </v>
      </c>
      <c r="K747" s="25" t="str">
        <f>IF(OR(E747="",E747="!!!",F747="NEW"),"",INDEX(J$1:J746,SUMPRODUCT(MAX(ROW(E$1:E746)*(E747=E$1:E746)))))</f>
        <v> </v>
      </c>
      <c r="L747" s="26"/>
    </row>
    <row r="748" spans="1:12">
      <c r="A748" s="20" t="s">
        <v>440</v>
      </c>
      <c r="E748" s="21">
        <f>IF(D748="?OLD","!!!","")</f>
        <v/>
      </c>
      <c r="F748" s="22" t="str">
        <f>IF(OR(E748="",E748="!!!"),"",IF(NOT(ISNA(VLOOKUP(E748,E$1:E747,1,FALSE()))),"OLD",IF(AND(E748&lt;&gt;"",E748&lt;&gt;"!!!"),"NEW","")))</f>
        <v> </v>
      </c>
      <c r="G748" s="23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4" t="str">
        <f>IF(J748&lt;&gt;1,"",IF(I748="SBJ","CB","?"))</f>
        <v> </v>
      </c>
      <c r="I748" s="25" t="str">
        <f>IF(OR(E748="",E748="!!!",F748="NEW"),"",INDEX(B747:B$2,-1+SUMPRODUCT(MAX(ROW(E747:E$2)*(E748=E747:E$2)))))</f>
        <v> </v>
      </c>
      <c r="J748" s="25" t="str">
        <f>IF(OR(E748="",E748="!!!",F748="NEW"),"",COUNTBLANK(OFFSET(A$1,,,SUMPRODUCT(MAX(ROW(E$2:E748)*(E748=E$2:E748)))))-COUNTBLANK(OFFSET(A$1,,,SUMPRODUCT(MAX(ROW(E$1:E747)*(E2=E$1:E747))))))</f>
        <v> </v>
      </c>
      <c r="K748" s="25" t="str">
        <f>IF(OR(E748="",E748="!!!",F748="NEW"),"",INDEX(J$1:J747,SUMPRODUCT(MAX(ROW(E$1:E747)*(E748=E$1:E747)))))</f>
        <v> </v>
      </c>
      <c r="L748" s="26"/>
    </row>
    <row r="749" spans="1:12">
      <c r="A749" s="20" t="s">
        <v>360</v>
      </c>
      <c r="B749" s="27" t="s">
        <v>171</v>
      </c>
      <c r="C749" s="27" t="s">
        <v>176</v>
      </c>
      <c r="D749" s="27" t="s">
        <v>143</v>
      </c>
      <c r="E749" s="21">
        <f>IF(D749="?OLD","!!!","")</f>
        <v/>
      </c>
      <c r="F749" s="22" t="str">
        <f>IF(OR(E749="",E749="!!!"),"",IF(NOT(ISNA(VLOOKUP(E749,E$1:E748,1,FALSE()))),"OLD",IF(AND(E749&lt;&gt;"",E749&lt;&gt;"!!!"),"NEW","")))</f>
        <v> </v>
      </c>
      <c r="G749" s="23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4" t="str">
        <f>IF(J749&lt;&gt;1,"",IF(I749="SBJ","CB","?"))</f>
        <v> </v>
      </c>
      <c r="I749" s="25" t="str">
        <f>IF(OR(E749="",E749="!!!",F749="NEW"),"",INDEX(B748:B$2,-1+SUMPRODUCT(MAX(ROW(E748:E$2)*(E749=E748:E$2)))))</f>
        <v> </v>
      </c>
      <c r="J749" s="25" t="str">
        <f>IF(OR(E749="",E749="!!!",F749="NEW"),"",COUNTBLANK(OFFSET(A$1,,,SUMPRODUCT(MAX(ROW(E$2:E749)*(E749=E$2:E749)))))-COUNTBLANK(OFFSET(A$1,,,SUMPRODUCT(MAX(ROW(E$1:E748)*(E2=E$1:E748))))))</f>
        <v> </v>
      </c>
      <c r="K749" s="25" t="str">
        <f>IF(OR(E749="",E749="!!!",F749="NEW"),"",INDEX(J$1:J748,SUMPRODUCT(MAX(ROW(E$1:E748)*(E749=E$1:E748)))))</f>
        <v> </v>
      </c>
      <c r="L749" s="26"/>
    </row>
    <row r="750" spans="1:12">
      <c r="A750" s="20" t="s">
        <v>158</v>
      </c>
      <c r="B750" s="27" t="s">
        <v>141</v>
      </c>
      <c r="C750" s="27" t="s">
        <v>172</v>
      </c>
      <c r="E750" s="21">
        <f>IF(D750="?OLD","!!!","")</f>
        <v/>
      </c>
      <c r="F750" s="22" t="str">
        <f>IF(OR(E750="",E750="!!!"),"",IF(NOT(ISNA(VLOOKUP(E750,E$1:E749,1,FALSE()))),"OLD",IF(AND(E750&lt;&gt;"",E750&lt;&gt;"!!!"),"NEW","")))</f>
        <v> </v>
      </c>
      <c r="G750" s="23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> </v>
      </c>
      <c r="H750" s="24" t="str">
        <f>IF(J750&lt;&gt;1,"",IF(I750="SBJ","CB","?"))</f>
        <v> </v>
      </c>
      <c r="I750" s="25" t="str">
        <f>IF(OR(E750="",E750="!!!",F750="NEW"),"",INDEX(B749:B$2,-1+SUMPRODUCT(MAX(ROW(E749:E$2)*(E750=E749:E$2)))))</f>
        <v> </v>
      </c>
      <c r="J750" s="25" t="str">
        <f>IF(OR(E750="",E750="!!!",F750="NEW"),"",COUNTBLANK(OFFSET(A$1,,,SUMPRODUCT(MAX(ROW(E$2:E750)*(E750=E$2:E750)))))-COUNTBLANK(OFFSET(A$1,,,SUMPRODUCT(MAX(ROW(E$1:E749)*(E2=E$1:E749))))))</f>
        <v> </v>
      </c>
      <c r="K750" s="25" t="str">
        <f>IF(OR(E750="",E750="!!!",F750="NEW"),"",INDEX(J$1:J749,SUMPRODUCT(MAX(ROW(E$1:E749)*(E750=E$1:E749)))))</f>
        <v> </v>
      </c>
      <c r="L750" s="26"/>
    </row>
    <row r="751" spans="1:12">
      <c r="A751" s="20" t="s">
        <v>159</v>
      </c>
      <c r="E751" s="21">
        <f>IF(D751="?OLD","!!!","")</f>
        <v/>
      </c>
      <c r="F751" s="22" t="str">
        <f>IF(OR(E751="",E751="!!!"),"",IF(NOT(ISNA(VLOOKUP(E751,E$1:E750,1,FALSE()))),"OLD",IF(AND(E751&lt;&gt;"",E751&lt;&gt;"!!!"),"NEW","")))</f>
        <v> </v>
      </c>
      <c r="G751" s="23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4" t="str">
        <f>IF(J751&lt;&gt;1,"",IF(I751="SBJ","CB","?"))</f>
        <v> </v>
      </c>
      <c r="I751" s="25" t="str">
        <f>IF(OR(E751="",E751="!!!",F751="NEW"),"",INDEX(B750:B$2,-1+SUMPRODUCT(MAX(ROW(E750:E$2)*(E751=E750:E$2)))))</f>
        <v> </v>
      </c>
      <c r="J751" s="25" t="str">
        <f>IF(OR(E751="",E751="!!!",F751="NEW"),"",COUNTBLANK(OFFSET(A$1,,,SUMPRODUCT(MAX(ROW(E$2:E751)*(E751=E$2:E751)))))-COUNTBLANK(OFFSET(A$1,,,SUMPRODUCT(MAX(ROW(E$1:E750)*(E2=E$1:E750))))))</f>
        <v> </v>
      </c>
      <c r="K751" s="25" t="str">
        <f>IF(OR(E751="",E751="!!!",F751="NEW"),"",INDEX(J$1:J750,SUMPRODUCT(MAX(ROW(E$1:E750)*(E751=E$1:E750)))))</f>
        <v> </v>
      </c>
      <c r="L751" s="26"/>
    </row>
    <row r="752" spans="1:12">
      <c r="A752" s="20" t="s">
        <v>160</v>
      </c>
      <c r="B752" s="27" t="s">
        <v>171</v>
      </c>
      <c r="C752" s="27" t="s">
        <v>161</v>
      </c>
      <c r="D752" s="27" t="s">
        <v>143</v>
      </c>
      <c r="E752" s="21">
        <f>IF(D752="?OLD","!!!","")</f>
        <v/>
      </c>
      <c r="F752" s="22" t="str">
        <f>IF(OR(E752="",E752="!!!"),"",IF(NOT(ISNA(VLOOKUP(E752,E$1:E751,1,FALSE()))),"OLD",IF(AND(E752&lt;&gt;"",E752&lt;&gt;"!!!"),"NEW","")))</f>
        <v> </v>
      </c>
      <c r="G752" s="23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4" t="str">
        <f>IF(J752&lt;&gt;1,"",IF(I752="SBJ","CB","?"))</f>
        <v> </v>
      </c>
      <c r="I752" s="25" t="str">
        <f>IF(OR(E752="",E752="!!!",F752="NEW"),"",INDEX(B751:B$2,-1+SUMPRODUCT(MAX(ROW(E751:E$2)*(E752=E751:E$2)))))</f>
        <v> </v>
      </c>
      <c r="J752" s="25" t="str">
        <f>IF(OR(E752="",E752="!!!",F752="NEW"),"",COUNTBLANK(OFFSET(A$1,,,SUMPRODUCT(MAX(ROW(E$2:E752)*(E752=E$2:E752)))))-COUNTBLANK(OFFSET(A$1,,,SUMPRODUCT(MAX(ROW(E$1:E751)*(E2=E$1:E751))))))</f>
        <v> </v>
      </c>
      <c r="K752" s="25" t="str">
        <f>IF(OR(E752="",E752="!!!",F752="NEW"),"",INDEX(J$1:J751,SUMPRODUCT(MAX(ROW(E$1:E751)*(E752=E$1:E751)))))</f>
        <v> </v>
      </c>
      <c r="L752" s="26"/>
    </row>
    <row r="753" spans="1:12">
      <c r="A753" s="20" t="s">
        <v>441</v>
      </c>
      <c r="E753" s="21">
        <f>IF(D753="?OLD","!!!","")</f>
        <v/>
      </c>
      <c r="F753" s="22" t="str">
        <f>IF(OR(E753="",E753="!!!"),"",IF(NOT(ISNA(VLOOKUP(E753,E$1:E752,1,FALSE()))),"OLD",IF(AND(E753&lt;&gt;"",E753&lt;&gt;"!!!"),"NEW","")))</f>
        <v> </v>
      </c>
      <c r="G753" s="23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4" t="str">
        <f>IF(J753&lt;&gt;1,"",IF(I753="SBJ","CB","?"))</f>
        <v> </v>
      </c>
      <c r="I753" s="25" t="str">
        <f>IF(OR(E753="",E753="!!!",F753="NEW"),"",INDEX(B752:B$2,-1+SUMPRODUCT(MAX(ROW(E752:E$2)*(E753=E752:E$2)))))</f>
        <v> </v>
      </c>
      <c r="J753" s="25" t="str">
        <f>IF(OR(E753="",E753="!!!",F753="NEW"),"",COUNTBLANK(OFFSET(A$1,,,SUMPRODUCT(MAX(ROW(E$2:E753)*(E753=E$2:E753)))))-COUNTBLANK(OFFSET(A$1,,,SUMPRODUCT(MAX(ROW(E$1:E752)*(E2=E$1:E752))))))</f>
        <v> </v>
      </c>
      <c r="K753" s="25" t="str">
        <f>IF(OR(E753="",E753="!!!",F753="NEW"),"",INDEX(J$1:J752,SUMPRODUCT(MAX(ROW(E$1:E752)*(E753=E$1:E752)))))</f>
        <v> </v>
      </c>
      <c r="L753" s="26"/>
    </row>
    <row r="754" spans="1:12">
      <c r="A754" s="20" t="s">
        <v>154</v>
      </c>
      <c r="E754" s="21">
        <f>IF(D754="?OLD","!!!","")</f>
        <v/>
      </c>
      <c r="F754" s="22" t="str">
        <f>IF(OR(E754="",E754="!!!"),"",IF(NOT(ISNA(VLOOKUP(E754,E$1:E753,1,FALSE()))),"OLD",IF(AND(E754&lt;&gt;"",E754&lt;&gt;"!!!"),"NEW","")))</f>
        <v> </v>
      </c>
      <c r="G754" s="23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4" t="str">
        <f>IF(J754&lt;&gt;1,"",IF(I754="SBJ","CB","?"))</f>
        <v> </v>
      </c>
      <c r="I754" s="25" t="str">
        <f>IF(OR(E754="",E754="!!!",F754="NEW"),"",INDEX(B753:B$2,-1+SUMPRODUCT(MAX(ROW(E753:E$2)*(E754=E753:E$2)))))</f>
        <v> </v>
      </c>
      <c r="J754" s="25" t="str">
        <f>IF(OR(E754="",E754="!!!",F754="NEW"),"",COUNTBLANK(OFFSET(A$1,,,SUMPRODUCT(MAX(ROW(E$2:E754)*(E754=E$2:E754)))))-COUNTBLANK(OFFSET(A$1,,,SUMPRODUCT(MAX(ROW(E$1:E753)*(E2=E$1:E753))))))</f>
        <v> </v>
      </c>
      <c r="K754" s="25" t="str">
        <f>IF(OR(E754="",E754="!!!",F754="NEW"),"",INDEX(J$1:J753,SUMPRODUCT(MAX(ROW(E$1:E753)*(E754=E$1:E753)))))</f>
        <v> </v>
      </c>
      <c r="L754" s="26"/>
    </row>
    <row r="755" spans="1:12">
      <c r="A755" s="20" t="s">
        <v>185</v>
      </c>
      <c r="B755" s="27" t="s">
        <v>191</v>
      </c>
      <c r="C755" s="27" t="s">
        <v>142</v>
      </c>
      <c r="D755" s="27" t="s">
        <v>143</v>
      </c>
      <c r="E755" s="21">
        <f>IF(D755="?OLD","!!!","")</f>
        <v/>
      </c>
      <c r="F755" s="22" t="str">
        <f>IF(OR(E755="",E755="!!!"),"",IF(NOT(ISNA(VLOOKUP(E755,E$1:E754,1,FALSE()))),"OLD",IF(AND(E755&lt;&gt;"",E755&lt;&gt;"!!!"),"NEW","")))</f>
        <v> </v>
      </c>
      <c r="G755" s="23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4" t="str">
        <f>IF(J755&lt;&gt;1,"",IF(I755="SBJ","CB","?"))</f>
        <v> </v>
      </c>
      <c r="I755" s="25" t="str">
        <f>IF(OR(E755="",E755="!!!",F755="NEW"),"",INDEX(B754:B$2,-1+SUMPRODUCT(MAX(ROW(E754:E$2)*(E755=E754:E$2)))))</f>
        <v> </v>
      </c>
      <c r="J755" s="25" t="str">
        <f>IF(OR(E755="",E755="!!!",F755="NEW"),"",COUNTBLANK(OFFSET(A$1,,,SUMPRODUCT(MAX(ROW(E$2:E755)*(E755=E$2:E755)))))-COUNTBLANK(OFFSET(A$1,,,SUMPRODUCT(MAX(ROW(E$1:E754)*(E2=E$1:E754))))))</f>
        <v> </v>
      </c>
      <c r="K755" s="25" t="str">
        <f>IF(OR(E755="",E755="!!!",F755="NEW"),"",INDEX(J$1:J754,SUMPRODUCT(MAX(ROW(E$1:E754)*(E755=E$1:E754)))))</f>
        <v> </v>
      </c>
      <c r="L755" s="26"/>
    </row>
    <row r="756" spans="1:12">
      <c r="A756" s="20" t="s">
        <v>442</v>
      </c>
      <c r="B756" s="27" t="s">
        <v>182</v>
      </c>
      <c r="C756" s="27" t="s">
        <v>161</v>
      </c>
      <c r="D756" s="27" t="s">
        <v>143</v>
      </c>
      <c r="E756" s="21">
        <f>IF(D756="?OLD","!!!","")</f>
        <v/>
      </c>
      <c r="F756" s="22" t="str">
        <f>IF(OR(E756="",E756="!!!"),"",IF(NOT(ISNA(VLOOKUP(E756,E$1:E755,1,FALSE()))),"OLD",IF(AND(E756&lt;&gt;"",E756&lt;&gt;"!!!"),"NEW","")))</f>
        <v> </v>
      </c>
      <c r="G756" s="23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> </v>
      </c>
      <c r="H756" s="24" t="str">
        <f>IF(J756&lt;&gt;1,"",IF(I756="SBJ","CB","?"))</f>
        <v> </v>
      </c>
      <c r="I756" s="25" t="str">
        <f>IF(OR(E756="",E756="!!!",F756="NEW"),"",INDEX(B755:B$2,-1+SUMPRODUCT(MAX(ROW(E755:E$2)*(E756=E755:E$2)))))</f>
        <v> </v>
      </c>
      <c r="J756" s="25" t="str">
        <f>IF(OR(E756="",E756="!!!",F756="NEW"),"",COUNTBLANK(OFFSET(A$1,,,SUMPRODUCT(MAX(ROW(E$2:E756)*(E756=E$2:E756)))))-COUNTBLANK(OFFSET(A$1,,,SUMPRODUCT(MAX(ROW(E$1:E755)*(E2=E$1:E755))))))</f>
        <v> </v>
      </c>
      <c r="K756" s="25" t="str">
        <f>IF(OR(E756="",E756="!!!",F756="NEW"),"",INDEX(J$1:J755,SUMPRODUCT(MAX(ROW(E$1:E755)*(E756=E$1:E755)))))</f>
        <v> </v>
      </c>
      <c r="L756" s="26"/>
    </row>
    <row r="757" spans="1:12">
      <c r="A757" s="20" t="s">
        <v>157</v>
      </c>
      <c r="E757" s="21">
        <f>IF(D757="?OLD","!!!","")</f>
        <v/>
      </c>
      <c r="F757" s="22" t="str">
        <f>IF(OR(E757="",E757="!!!"),"",IF(NOT(ISNA(VLOOKUP(E757,E$1:E756,1,FALSE()))),"OLD",IF(AND(E757&lt;&gt;"",E757&lt;&gt;"!!!"),"NEW","")))</f>
        <v> </v>
      </c>
      <c r="G757" s="23" t="str">
        <f>IF(OR(E757="",E757="!!!"),"",IF(OR(J757=0,AND(J757=1,K757=1),AND(J757=1,I757="SBJ"),AND(J757=1,I757=0)),"?IN_FOCUS",IF(J757&lt;=2,"?ACTIVATED",IF(J757&lt;&gt;"","?FAMILIAR",IF(F757="NEW",IF(ISNA(VLOOKUP(E757,#REF!,1,FALSE())),"?TYPE_IDENTIFIABLE","?REFERENTIAL"),"_")))))</f>
        <v> </v>
      </c>
      <c r="H757" s="24" t="str">
        <f>IF(J757&lt;&gt;1,"",IF(I757="SBJ","CB","?"))</f>
        <v> </v>
      </c>
      <c r="I757" s="25" t="str">
        <f>IF(OR(E757="",E757="!!!",F757="NEW"),"",INDEX(B756:B$2,-1+SUMPRODUCT(MAX(ROW(E756:E$2)*(E757=E756:E$2)))))</f>
        <v> </v>
      </c>
      <c r="J757" s="25" t="str">
        <f>IF(OR(E757="",E757="!!!",F757="NEW"),"",COUNTBLANK(OFFSET(A$1,,,SUMPRODUCT(MAX(ROW(E$2:E757)*(E757=E$2:E757)))))-COUNTBLANK(OFFSET(A$1,,,SUMPRODUCT(MAX(ROW(E$1:E756)*(E2=E$1:E756))))))</f>
        <v> </v>
      </c>
      <c r="K757" s="25" t="str">
        <f>IF(OR(E757="",E757="!!!",F757="NEW"),"",INDEX(J$1:J756,SUMPRODUCT(MAX(ROW(E$1:E756)*(E757=E$1:E756)))))</f>
        <v> </v>
      </c>
      <c r="L757" s="26"/>
    </row>
    <row r="758" spans="1:12">
      <c r="A758" s="20" t="s">
        <v>208</v>
      </c>
      <c r="E758" s="21">
        <f>IF(D758="?OLD","!!!","")</f>
        <v/>
      </c>
      <c r="F758" s="22" t="str">
        <f>IF(OR(E758="",E758="!!!"),"",IF(NOT(ISNA(VLOOKUP(E758,E$1:E757,1,FALSE()))),"OLD",IF(AND(E758&lt;&gt;"",E758&lt;&gt;"!!!"),"NEW","")))</f>
        <v> </v>
      </c>
      <c r="G758" s="23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> </v>
      </c>
      <c r="H758" s="24" t="str">
        <f>IF(J758&lt;&gt;1,"",IF(I758="SBJ","CB","?"))</f>
        <v> </v>
      </c>
      <c r="I758" s="25" t="str">
        <f>IF(OR(E758="",E758="!!!",F758="NEW"),"",INDEX(B757:B$2,-1+SUMPRODUCT(MAX(ROW(E757:E$2)*(E758=E757:E$2)))))</f>
        <v> </v>
      </c>
      <c r="J758" s="25" t="str">
        <f>IF(OR(E758="",E758="!!!",F758="NEW"),"",COUNTBLANK(OFFSET(A$1,,,SUMPRODUCT(MAX(ROW(E$2:E758)*(E758=E$2:E758)))))-COUNTBLANK(OFFSET(A$1,,,SUMPRODUCT(MAX(ROW(E$1:E757)*(E2=E$1:E757))))))</f>
        <v> </v>
      </c>
      <c r="K758" s="25" t="str">
        <f>IF(OR(E758="",E758="!!!",F758="NEW"),"",INDEX(J$1:J757,SUMPRODUCT(MAX(ROW(E$1:E757)*(E758=E$1:E757)))))</f>
        <v> </v>
      </c>
      <c r="L758" s="26"/>
    </row>
    <row r="759" spans="1:12">
      <c r="A759" s="20" t="s">
        <v>242</v>
      </c>
      <c r="B759" s="27" t="s">
        <v>141</v>
      </c>
      <c r="C759" s="27" t="s">
        <v>176</v>
      </c>
      <c r="D759" s="27" t="s">
        <v>143</v>
      </c>
      <c r="E759" s="21">
        <f>IF(D759="?OLD","!!!","")</f>
        <v/>
      </c>
      <c r="F759" s="22" t="str">
        <f>IF(OR(E759="",E759="!!!"),"",IF(NOT(ISNA(VLOOKUP(E759,E$1:E758,1,FALSE()))),"OLD",IF(AND(E759&lt;&gt;"",E759&lt;&gt;"!!!"),"NEW","")))</f>
        <v> </v>
      </c>
      <c r="G759" s="23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4" t="str">
        <f>IF(J759&lt;&gt;1,"",IF(I759="SBJ","CB","?"))</f>
        <v> </v>
      </c>
      <c r="I759" s="25" t="str">
        <f>IF(OR(E759="",E759="!!!",F759="NEW"),"",INDEX(B758:B$2,-1+SUMPRODUCT(MAX(ROW(E758:E$2)*(E759=E758:E$2)))))</f>
        <v> </v>
      </c>
      <c r="J759" s="25" t="str">
        <f>IF(OR(E759="",E759="!!!",F759="NEW"),"",COUNTBLANK(OFFSET(A$1,,,SUMPRODUCT(MAX(ROW(E$2:E759)*(E759=E$2:E759)))))-COUNTBLANK(OFFSET(A$1,,,SUMPRODUCT(MAX(ROW(E$1:E758)*(E2=E$1:E758))))))</f>
        <v> </v>
      </c>
      <c r="K759" s="25" t="str">
        <f>IF(OR(E759="",E759="!!!",F759="NEW"),"",INDEX(J$1:J758,SUMPRODUCT(MAX(ROW(E$1:E758)*(E759=E$1:E758)))))</f>
        <v> </v>
      </c>
      <c r="L759" s="26"/>
    </row>
    <row r="760" spans="1:12">
      <c r="A760" s="20" t="s">
        <v>189</v>
      </c>
      <c r="E760" s="21">
        <f>IF(D760="?OLD","!!!","")</f>
        <v/>
      </c>
      <c r="F760" s="22" t="str">
        <f>IF(OR(E760="",E760="!!!"),"",IF(NOT(ISNA(VLOOKUP(E760,E$1:E759,1,FALSE()))),"OLD",IF(AND(E760&lt;&gt;"",E760&lt;&gt;"!!!"),"NEW","")))</f>
        <v> </v>
      </c>
      <c r="G760" s="23" t="str">
        <f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> </v>
      </c>
      <c r="H760" s="24" t="str">
        <f>IF(J760&lt;&gt;1,"",IF(I760="SBJ","CB","?"))</f>
        <v> </v>
      </c>
      <c r="I760" s="25" t="str">
        <f>IF(OR(E760="",E760="!!!",F760="NEW"),"",INDEX(B759:B$2,-1+SUMPRODUCT(MAX(ROW(E759:E$2)*(E760=E759:E$2)))))</f>
        <v> </v>
      </c>
      <c r="J760" s="25" t="str">
        <f>IF(OR(E760="",E760="!!!",F760="NEW"),"",COUNTBLANK(OFFSET(A$1,,,SUMPRODUCT(MAX(ROW(E$2:E760)*(E760=E$2:E760)))))-COUNTBLANK(OFFSET(A$1,,,SUMPRODUCT(MAX(ROW(E$1:E759)*(E2=E$1:E759))))))</f>
        <v> </v>
      </c>
      <c r="K760" s="25" t="str">
        <f>IF(OR(E760="",E760="!!!",F760="NEW"),"",INDEX(J$1:J759,SUMPRODUCT(MAX(ROW(E$1:E759)*(E760=E$1:E759)))))</f>
        <v> </v>
      </c>
      <c r="L760" s="26"/>
    </row>
    <row r="761" spans="1:12">
      <c r="A761" s="20" t="s">
        <v>443</v>
      </c>
      <c r="B761" s="27" t="s">
        <v>258</v>
      </c>
      <c r="C761" s="27" t="s">
        <v>142</v>
      </c>
      <c r="D761" s="27" t="s">
        <v>143</v>
      </c>
      <c r="E761" s="21">
        <f>IF(D761="?OLD","!!!","")</f>
        <v/>
      </c>
      <c r="F761" s="22" t="str">
        <f>IF(OR(E761="",E761="!!!"),"",IF(NOT(ISNA(VLOOKUP(E761,E$1:E760,1,FALSE()))),"OLD",IF(AND(E761&lt;&gt;"",E761&lt;&gt;"!!!"),"NEW","")))</f>
        <v> </v>
      </c>
      <c r="G761" s="23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4" t="str">
        <f>IF(J761&lt;&gt;1,"",IF(I761="SBJ","CB","?"))</f>
        <v> </v>
      </c>
      <c r="I761" s="25" t="str">
        <f>IF(OR(E761="",E761="!!!",F761="NEW"),"",INDEX(B760:B$2,-1+SUMPRODUCT(MAX(ROW(E760:E$2)*(E761=E760:E$2)))))</f>
        <v> </v>
      </c>
      <c r="J761" s="25" t="str">
        <f>IF(OR(E761="",E761="!!!",F761="NEW"),"",COUNTBLANK(OFFSET(A$1,,,SUMPRODUCT(MAX(ROW(E$2:E761)*(E761=E$2:E761)))))-COUNTBLANK(OFFSET(A$1,,,SUMPRODUCT(MAX(ROW(E$1:E760)*(E2=E$1:E760))))))</f>
        <v> </v>
      </c>
      <c r="K761" s="25" t="str">
        <f>IF(OR(E761="",E761="!!!",F761="NEW"),"",INDEX(J$1:J760,SUMPRODUCT(MAX(ROW(E$1:E760)*(E761=E$1:E760)))))</f>
        <v> </v>
      </c>
      <c r="L761" s="26"/>
    </row>
    <row r="762" spans="1:12">
      <c r="A762" s="20" t="s">
        <v>444</v>
      </c>
      <c r="E762" s="21">
        <f>IF(D762="?OLD","!!!","")</f>
        <v/>
      </c>
      <c r="F762" s="22" t="str">
        <f>IF(OR(E762="",E762="!!!"),"",IF(NOT(ISNA(VLOOKUP(E762,E$1:E761,1,FALSE()))),"OLD",IF(AND(E762&lt;&gt;"",E762&lt;&gt;"!!!"),"NEW","")))</f>
        <v> </v>
      </c>
      <c r="G762" s="23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4" t="str">
        <f>IF(J762&lt;&gt;1,"",IF(I762="SBJ","CB","?"))</f>
        <v> </v>
      </c>
      <c r="I762" s="25" t="str">
        <f>IF(OR(E762="",E762="!!!",F762="NEW"),"",INDEX(B761:B$2,-1+SUMPRODUCT(MAX(ROW(E761:E$2)*(E762=E761:E$2)))))</f>
        <v> </v>
      </c>
      <c r="J762" s="25" t="str">
        <f>IF(OR(E762="",E762="!!!",F762="NEW"),"",COUNTBLANK(OFFSET(A$1,,,SUMPRODUCT(MAX(ROW(E$2:E762)*(E762=E$2:E762)))))-COUNTBLANK(OFFSET(A$1,,,SUMPRODUCT(MAX(ROW(E$1:E761)*(E2=E$1:E761))))))</f>
        <v> </v>
      </c>
      <c r="K762" s="25" t="str">
        <f>IF(OR(E762="",E762="!!!",F762="NEW"),"",INDEX(J$1:J761,SUMPRODUCT(MAX(ROW(E$1:E761)*(E762=E$1:E761)))))</f>
        <v> </v>
      </c>
      <c r="L762" s="26"/>
    </row>
    <row r="763" spans="1:12">
      <c r="A763" s="20" t="s">
        <v>157</v>
      </c>
      <c r="E763" s="21">
        <f>IF(D763="?OLD","!!!","")</f>
        <v/>
      </c>
      <c r="F763" s="22" t="str">
        <f>IF(OR(E763="",E763="!!!"),"",IF(NOT(ISNA(VLOOKUP(E763,E$1:E762,1,FALSE()))),"OLD",IF(AND(E763&lt;&gt;"",E763&lt;&gt;"!!!"),"NEW","")))</f>
        <v> </v>
      </c>
      <c r="G763" s="23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4" t="str">
        <f>IF(J763&lt;&gt;1,"",IF(I763="SBJ","CB","?"))</f>
        <v> </v>
      </c>
      <c r="I763" s="25" t="str">
        <f>IF(OR(E763="",E763="!!!",F763="NEW"),"",INDEX(B762:B$2,-1+SUMPRODUCT(MAX(ROW(E762:E$2)*(E763=E762:E$2)))))</f>
        <v> </v>
      </c>
      <c r="J763" s="25" t="str">
        <f>IF(OR(E763="",E763="!!!",F763="NEW"),"",COUNTBLANK(OFFSET(A$1,,,SUMPRODUCT(MAX(ROW(E$2:E763)*(E763=E$2:E763)))))-COUNTBLANK(OFFSET(A$1,,,SUMPRODUCT(MAX(ROW(E$1:E762)*(E2=E$1:E762))))))</f>
        <v> </v>
      </c>
      <c r="K763" s="25" t="str">
        <f>IF(OR(E763="",E763="!!!",F763="NEW"),"",INDEX(J$1:J762,SUMPRODUCT(MAX(ROW(E$1:E762)*(E763=E$1:E762)))))</f>
        <v> </v>
      </c>
      <c r="L763" s="26"/>
    </row>
    <row r="764" spans="1:12">
      <c r="A764" s="20" t="s">
        <v>204</v>
      </c>
      <c r="B764" s="27" t="s">
        <v>182</v>
      </c>
      <c r="C764" s="27" t="s">
        <v>445</v>
      </c>
      <c r="D764" s="27" t="s">
        <v>143</v>
      </c>
      <c r="E764" s="21">
        <f>IF(D764="?OLD","!!!","")</f>
        <v/>
      </c>
      <c r="F764" s="22" t="str">
        <f>IF(OR(E764="",E764="!!!"),"",IF(NOT(ISNA(VLOOKUP(E764,E$1:E763,1,FALSE()))),"OLD",IF(AND(E764&lt;&gt;"",E764&lt;&gt;"!!!"),"NEW","")))</f>
        <v> </v>
      </c>
      <c r="G764" s="23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4" t="str">
        <f>IF(J764&lt;&gt;1,"",IF(I764="SBJ","CB","?"))</f>
        <v> </v>
      </c>
      <c r="I764" s="25" t="str">
        <f>IF(OR(E764="",E764="!!!",F764="NEW"),"",INDEX(B763:B$2,-1+SUMPRODUCT(MAX(ROW(E763:E$2)*(E764=E763:E$2)))))</f>
        <v> </v>
      </c>
      <c r="J764" s="25" t="str">
        <f>IF(OR(E764="",E764="!!!",F764="NEW"),"",COUNTBLANK(OFFSET(A$1,,,SUMPRODUCT(MAX(ROW(E$2:E764)*(E764=E$2:E764)))))-COUNTBLANK(OFFSET(A$1,,,SUMPRODUCT(MAX(ROW(E$1:E763)*(E2=E$1:E763))))))</f>
        <v> </v>
      </c>
      <c r="K764" s="25" t="str">
        <f>IF(OR(E764="",E764="!!!",F764="NEW"),"",INDEX(J$1:J763,SUMPRODUCT(MAX(ROW(E$1:E763)*(E764=E$1:E763)))))</f>
        <v> </v>
      </c>
      <c r="L764" s="26"/>
    </row>
    <row r="765" spans="1:12">
      <c r="A765" s="20" t="s">
        <v>242</v>
      </c>
      <c r="B765" s="27" t="s">
        <v>141</v>
      </c>
      <c r="C765" s="27" t="s">
        <v>176</v>
      </c>
      <c r="D765" s="27" t="s">
        <v>143</v>
      </c>
      <c r="E765" s="21">
        <f>IF(D765="?OLD","!!!","")</f>
        <v/>
      </c>
      <c r="F765" s="22" t="str">
        <f>IF(OR(E765="",E765="!!!"),"",IF(NOT(ISNA(VLOOKUP(E765,E$1:E764,1,FALSE()))),"OLD",IF(AND(E765&lt;&gt;"",E765&lt;&gt;"!!!"),"NEW","")))</f>
        <v> </v>
      </c>
      <c r="G765" s="23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4" t="str">
        <f>IF(J765&lt;&gt;1,"",IF(I765="SBJ","CB","?"))</f>
        <v> </v>
      </c>
      <c r="I765" s="25" t="str">
        <f>IF(OR(E765="",E765="!!!",F765="NEW"),"",INDEX(B764:B$2,-1+SUMPRODUCT(MAX(ROW(E764:E$2)*(E765=E764:E$2)))))</f>
        <v> </v>
      </c>
      <c r="J765" s="25" t="str">
        <f>IF(OR(E765="",E765="!!!",F765="NEW"),"",COUNTBLANK(OFFSET(A$1,,,SUMPRODUCT(MAX(ROW(E$2:E765)*(E765=E$2:E765)))))-COUNTBLANK(OFFSET(A$1,,,SUMPRODUCT(MAX(ROW(E$1:E764)*(E2=E$1:E764))))))</f>
        <v> </v>
      </c>
      <c r="K765" s="25" t="str">
        <f>IF(OR(E765="",E765="!!!",F765="NEW"),"",INDEX(J$1:J764,SUMPRODUCT(MAX(ROW(E$1:E764)*(E765=E$1:E764)))))</f>
        <v> </v>
      </c>
      <c r="L765" s="26"/>
    </row>
    <row r="766" spans="1:12">
      <c r="A766" s="20" t="s">
        <v>411</v>
      </c>
      <c r="E766" s="21">
        <f>IF(D766="?OLD","!!!","")</f>
        <v/>
      </c>
      <c r="F766" s="22" t="str">
        <f>IF(OR(E766="",E766="!!!"),"",IF(NOT(ISNA(VLOOKUP(E766,E$1:E765,1,FALSE()))),"OLD",IF(AND(E766&lt;&gt;"",E766&lt;&gt;"!!!"),"NEW","")))</f>
        <v> </v>
      </c>
      <c r="G766" s="23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4" t="str">
        <f>IF(J766&lt;&gt;1,"",IF(I766="SBJ","CB","?"))</f>
        <v> </v>
      </c>
      <c r="I766" s="25" t="str">
        <f>IF(OR(E766="",E766="!!!",F766="NEW"),"",INDEX(B765:B$2,-1+SUMPRODUCT(MAX(ROW(E765:E$2)*(E766=E765:E$2)))))</f>
        <v> </v>
      </c>
      <c r="J766" s="25" t="str">
        <f>IF(OR(E766="",E766="!!!",F766="NEW"),"",COUNTBLANK(OFFSET(A$1,,,SUMPRODUCT(MAX(ROW(E$2:E766)*(E766=E$2:E766)))))-COUNTBLANK(OFFSET(A$1,,,SUMPRODUCT(MAX(ROW(E$1:E765)*(E2=E$1:E765))))))</f>
        <v> </v>
      </c>
      <c r="K766" s="25" t="str">
        <f>IF(OR(E766="",E766="!!!",F766="NEW"),"",INDEX(J$1:J765,SUMPRODUCT(MAX(ROW(E$1:E765)*(E766=E$1:E765)))))</f>
        <v> </v>
      </c>
      <c r="L766" s="26"/>
    </row>
    <row r="767" spans="1:12">
      <c r="A767" s="20" t="s">
        <v>237</v>
      </c>
      <c r="E767" s="21">
        <f>IF(D767="?OLD","!!!","")</f>
        <v/>
      </c>
      <c r="F767" s="22" t="str">
        <f>IF(OR(E767="",E767="!!!"),"",IF(NOT(ISNA(VLOOKUP(E767,E$1:E766,1,FALSE()))),"OLD",IF(AND(E767&lt;&gt;"",E767&lt;&gt;"!!!"),"NEW","")))</f>
        <v> </v>
      </c>
      <c r="G767" s="23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4" t="str">
        <f>IF(J767&lt;&gt;1,"",IF(I767="SBJ","CB","?"))</f>
        <v> </v>
      </c>
      <c r="I767" s="25" t="str">
        <f>IF(OR(E767="",E767="!!!",F767="NEW"),"",INDEX(B766:B$2,-1+SUMPRODUCT(MAX(ROW(E766:E$2)*(E767=E766:E$2)))))</f>
        <v> </v>
      </c>
      <c r="J767" s="25" t="str">
        <f>IF(OR(E767="",E767="!!!",F767="NEW"),"",COUNTBLANK(OFFSET(A$1,,,SUMPRODUCT(MAX(ROW(E$2:E767)*(E767=E$2:E767)))))-COUNTBLANK(OFFSET(A$1,,,SUMPRODUCT(MAX(ROW(E$1:E766)*(E2=E$1:E766))))))</f>
        <v> </v>
      </c>
      <c r="K767" s="25" t="str">
        <f>IF(OR(E767="",E767="!!!",F767="NEW"),"",INDEX(J$1:J766,SUMPRODUCT(MAX(ROW(E$1:E766)*(E767=E$1:E766)))))</f>
        <v> </v>
      </c>
      <c r="L767" s="26"/>
    </row>
    <row r="768" spans="1:12">
      <c r="A768" s="20" t="s">
        <v>157</v>
      </c>
      <c r="E768" s="21">
        <f>IF(D768="?OLD","!!!","")</f>
        <v/>
      </c>
      <c r="F768" s="22" t="str">
        <f>IF(OR(E768="",E768="!!!"),"",IF(NOT(ISNA(VLOOKUP(E768,E$1:E767,1,FALSE()))),"OLD",IF(AND(E768&lt;&gt;"",E768&lt;&gt;"!!!"),"NEW","")))</f>
        <v> </v>
      </c>
      <c r="G768" s="23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4" t="str">
        <f>IF(J768&lt;&gt;1,"",IF(I768="SBJ","CB","?"))</f>
        <v> </v>
      </c>
      <c r="I768" s="25" t="str">
        <f>IF(OR(E768="",E768="!!!",F768="NEW"),"",INDEX(B767:B$2,-1+SUMPRODUCT(MAX(ROW(E767:E$2)*(E768=E767:E$2)))))</f>
        <v> </v>
      </c>
      <c r="J768" s="25" t="str">
        <f>IF(OR(E768="",E768="!!!",F768="NEW"),"",COUNTBLANK(OFFSET(A$1,,,SUMPRODUCT(MAX(ROW(E$2:E768)*(E768=E$2:E768)))))-COUNTBLANK(OFFSET(A$1,,,SUMPRODUCT(MAX(ROW(E$1:E767)*(E2=E$1:E767))))))</f>
        <v> </v>
      </c>
      <c r="K768" s="25" t="str">
        <f>IF(OR(E768="",E768="!!!",F768="NEW"),"",INDEX(J$1:J767,SUMPRODUCT(MAX(ROW(E$1:E767)*(E768=E$1:E767)))))</f>
        <v> </v>
      </c>
      <c r="L768" s="26"/>
    </row>
    <row r="769" spans="1:12">
      <c r="A769" s="20"/>
    </row>
    <row r="770" spans="1:12">
      <c r="A770" s="20" t="s">
        <v>446</v>
      </c>
    </row>
    <row r="771" spans="1:12">
      <c r="A771" s="20" t="s">
        <v>164</v>
      </c>
      <c r="E771" s="21">
        <f>IF(D771="?OLD","!!!","")</f>
        <v/>
      </c>
      <c r="F771" s="22" t="str">
        <f>IF(OR(E771="",E771="!!!"),"",IF(NOT(ISNA(VLOOKUP(E771,E$1:E770,1,FALSE()))),"OLD",IF(AND(E771&lt;&gt;"",E771&lt;&gt;"!!!"),"NEW","")))</f>
        <v> </v>
      </c>
      <c r="G771" s="23" t="str">
        <f>IF(OR(E771="",E771="!!!"),"",IF(OR(J771=0,AND(J771=1,K771=1),AND(J771=1,I771="SBJ"),AND(J771=1,I771=0)),"?IN_FOCUS",IF(J771&lt;=2,"?ACTIVATED",IF(J771&lt;&gt;"","?FAMILIAR",IF(F771="NEW",IF(ISNA(VLOOKUP(E771,#REF!,1,FALSE())),"?TYPE_IDENTIFIABLE","?REFERENTIAL"),"_")))))</f>
        <v> </v>
      </c>
      <c r="H771" s="24" t="str">
        <f>IF(J771&lt;&gt;1,"",IF(I771="SBJ","CB","?"))</f>
        <v> </v>
      </c>
      <c r="I771" s="25" t="str">
        <f>IF(OR(E771="",E771="!!!",F771="NEW"),"",INDEX(B770:B$2,-1+SUMPRODUCT(MAX(ROW(E770:E$2)*(E771=E770:E$2)))))</f>
        <v> </v>
      </c>
      <c r="J771" s="25" t="str">
        <f>IF(OR(E771="",E771="!!!",F771="NEW"),"",COUNTBLANK(OFFSET(A$1,,,SUMPRODUCT(MAX(ROW(E$2:E771)*(E771=E$2:E771)))))-COUNTBLANK(OFFSET(A$1,,,SUMPRODUCT(MAX(ROW(E$1:E770)*(E2=E$1:E770))))))</f>
        <v> </v>
      </c>
      <c r="K771" s="25" t="str">
        <f>IF(OR(E771="",E771="!!!",F771="NEW"),"",INDEX(J$1:J770,SUMPRODUCT(MAX(ROW(E$1:E770)*(E771=E$1:E770)))))</f>
        <v> </v>
      </c>
      <c r="L771" s="26"/>
    </row>
    <row r="772" spans="1:12">
      <c r="A772" s="20" t="s">
        <v>447</v>
      </c>
      <c r="E772" s="21">
        <f>IF(D772="?OLD","!!!","")</f>
        <v/>
      </c>
      <c r="F772" s="22" t="str">
        <f>IF(OR(E772="",E772="!!!"),"",IF(NOT(ISNA(VLOOKUP(E772,E$1:E771,1,FALSE()))),"OLD",IF(AND(E772&lt;&gt;"",E772&lt;&gt;"!!!"),"NEW","")))</f>
        <v> </v>
      </c>
      <c r="G772" s="23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24" t="str">
        <f>IF(J772&lt;&gt;1,"",IF(I772="SBJ","CB","?"))</f>
        <v> </v>
      </c>
      <c r="I772" s="25" t="str">
        <f>IF(OR(E772="",E772="!!!",F772="NEW"),"",INDEX(B771:B$2,-1+SUMPRODUCT(MAX(ROW(E771:E$2)*(E772=E771:E$2)))))</f>
        <v> </v>
      </c>
      <c r="J772" s="25" t="str">
        <f>IF(OR(E772="",E772="!!!",F772="NEW"),"",COUNTBLANK(OFFSET(A$1,,,SUMPRODUCT(MAX(ROW(E$2:E772)*(E772=E$2:E772)))))-COUNTBLANK(OFFSET(A$1,,,SUMPRODUCT(MAX(ROW(E$1:E771)*(E2=E$1:E771))))))</f>
        <v> </v>
      </c>
      <c r="K772" s="25" t="str">
        <f>IF(OR(E772="",E772="!!!",F772="NEW"),"",INDEX(J$1:J771,SUMPRODUCT(MAX(ROW(E$1:E771)*(E772=E$1:E771)))))</f>
        <v> </v>
      </c>
      <c r="L772" s="26"/>
    </row>
    <row r="773" spans="1:12">
      <c r="A773" s="20" t="s">
        <v>286</v>
      </c>
      <c r="B773" s="27" t="s">
        <v>202</v>
      </c>
      <c r="C773" s="27" t="s">
        <v>161</v>
      </c>
      <c r="D773" s="27" t="s">
        <v>143</v>
      </c>
      <c r="E773" s="21">
        <f>IF(D773="?OLD","!!!","")</f>
        <v/>
      </c>
      <c r="F773" s="22" t="str">
        <f>IF(OR(E773="",E773="!!!"),"",IF(NOT(ISNA(VLOOKUP(E773,E$1:E772,1,FALSE()))),"OLD",IF(AND(E773&lt;&gt;"",E773&lt;&gt;"!!!"),"NEW","")))</f>
        <v> </v>
      </c>
      <c r="G773" s="23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4" t="str">
        <f>IF(J773&lt;&gt;1,"",IF(I773="SBJ","CB","?"))</f>
        <v> </v>
      </c>
      <c r="I773" s="25" t="str">
        <f>IF(OR(E773="",E773="!!!",F773="NEW"),"",INDEX(B772:B$2,-1+SUMPRODUCT(MAX(ROW(E772:E$2)*(E773=E772:E$2)))))</f>
        <v> </v>
      </c>
      <c r="J773" s="25" t="str">
        <f>IF(OR(E773="",E773="!!!",F773="NEW"),"",COUNTBLANK(OFFSET(A$1,,,SUMPRODUCT(MAX(ROW(E$2:E773)*(E773=E$2:E773)))))-COUNTBLANK(OFFSET(A$1,,,SUMPRODUCT(MAX(ROW(E$1:E772)*(E2=E$1:E772))))))</f>
        <v> </v>
      </c>
      <c r="K773" s="25" t="str">
        <f>IF(OR(E773="",E773="!!!",F773="NEW"),"",INDEX(J$1:J772,SUMPRODUCT(MAX(ROW(E$1:E772)*(E773=E$1:E772)))))</f>
        <v> </v>
      </c>
      <c r="L773" s="26"/>
    </row>
    <row r="774" spans="1:12">
      <c r="A774" s="20" t="s">
        <v>441</v>
      </c>
      <c r="E774" s="21">
        <f>IF(D774="?OLD","!!!","")</f>
        <v/>
      </c>
      <c r="F774" s="22" t="str">
        <f>IF(OR(E774="",E774="!!!"),"",IF(NOT(ISNA(VLOOKUP(E774,E$1:E773,1,FALSE()))),"OLD",IF(AND(E774&lt;&gt;"",E774&lt;&gt;"!!!"),"NEW","")))</f>
        <v> </v>
      </c>
      <c r="G774" s="23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4" t="str">
        <f>IF(J774&lt;&gt;1,"",IF(I774="SBJ","CB","?"))</f>
        <v> </v>
      </c>
      <c r="I774" s="25" t="str">
        <f>IF(OR(E774="",E774="!!!",F774="NEW"),"",INDEX(B773:B$2,-1+SUMPRODUCT(MAX(ROW(E773:E$2)*(E774=E773:E$2)))))</f>
        <v> </v>
      </c>
      <c r="J774" s="25" t="str">
        <f>IF(OR(E774="",E774="!!!",F774="NEW"),"",COUNTBLANK(OFFSET(A$1,,,SUMPRODUCT(MAX(ROW(E$2:E774)*(E774=E$2:E774)))))-COUNTBLANK(OFFSET(A$1,,,SUMPRODUCT(MAX(ROW(E$1:E773)*(E2=E$1:E773))))))</f>
        <v> </v>
      </c>
      <c r="K774" s="25" t="str">
        <f>IF(OR(E774="",E774="!!!",F774="NEW"),"",INDEX(J$1:J773,SUMPRODUCT(MAX(ROW(E$1:E773)*(E774=E$1:E773)))))</f>
        <v> </v>
      </c>
      <c r="L774" s="26"/>
    </row>
    <row r="775" spans="1:12">
      <c r="A775" s="20" t="s">
        <v>164</v>
      </c>
      <c r="E775" s="21">
        <f>IF(D775="?OLD","!!!","")</f>
        <v/>
      </c>
      <c r="F775" s="22" t="str">
        <f>IF(OR(E775="",E775="!!!"),"",IF(NOT(ISNA(VLOOKUP(E775,E$1:E774,1,FALSE()))),"OLD",IF(AND(E775&lt;&gt;"",E775&lt;&gt;"!!!"),"NEW","")))</f>
        <v> </v>
      </c>
      <c r="G775" s="23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4" t="str">
        <f>IF(J775&lt;&gt;1,"",IF(I775="SBJ","CB","?"))</f>
        <v> </v>
      </c>
      <c r="I775" s="25" t="str">
        <f>IF(OR(E775="",E775="!!!",F775="NEW"),"",INDEX(B774:B$2,-1+SUMPRODUCT(MAX(ROW(E774:E$2)*(E775=E774:E$2)))))</f>
        <v> </v>
      </c>
      <c r="J775" s="25" t="str">
        <f>IF(OR(E775="",E775="!!!",F775="NEW"),"",COUNTBLANK(OFFSET(A$1,,,SUMPRODUCT(MAX(ROW(E$2:E775)*(E775=E$2:E775)))))-COUNTBLANK(OFFSET(A$1,,,SUMPRODUCT(MAX(ROW(E$1:E774)*(E2=E$1:E774))))))</f>
        <v> </v>
      </c>
      <c r="K775" s="25" t="str">
        <f>IF(OR(E775="",E775="!!!",F775="NEW"),"",INDEX(J$1:J774,SUMPRODUCT(MAX(ROW(E$1:E774)*(E775=E$1:E774)))))</f>
        <v> </v>
      </c>
      <c r="L775" s="26"/>
    </row>
    <row r="776" spans="1:12">
      <c r="A776" s="20" t="s">
        <v>448</v>
      </c>
      <c r="E776" s="21">
        <f>IF(D776="?OLD","!!!","")</f>
        <v/>
      </c>
      <c r="F776" s="22" t="str">
        <f>IF(OR(E776="",E776="!!!"),"",IF(NOT(ISNA(VLOOKUP(E776,E$1:E775,1,FALSE()))),"OLD",IF(AND(E776&lt;&gt;"",E776&lt;&gt;"!!!"),"NEW","")))</f>
        <v> </v>
      </c>
      <c r="G776" s="23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> </v>
      </c>
      <c r="H776" s="24" t="str">
        <f>IF(J776&lt;&gt;1,"",IF(I776="SBJ","CB","?"))</f>
        <v> </v>
      </c>
      <c r="I776" s="25" t="str">
        <f>IF(OR(E776="",E776="!!!",F776="NEW"),"",INDEX(B775:B$2,-1+SUMPRODUCT(MAX(ROW(E775:E$2)*(E776=E775:E$2)))))</f>
        <v> </v>
      </c>
      <c r="J776" s="25" t="str">
        <f>IF(OR(E776="",E776="!!!",F776="NEW"),"",COUNTBLANK(OFFSET(A$1,,,SUMPRODUCT(MAX(ROW(E$2:E776)*(E776=E$2:E776)))))-COUNTBLANK(OFFSET(A$1,,,SUMPRODUCT(MAX(ROW(E$1:E775)*(E2=E$1:E775))))))</f>
        <v> </v>
      </c>
      <c r="K776" s="25" t="str">
        <f>IF(OR(E776="",E776="!!!",F776="NEW"),"",INDEX(J$1:J775,SUMPRODUCT(MAX(ROW(E$1:E775)*(E776=E$1:E775)))))</f>
        <v> </v>
      </c>
      <c r="L776" s="26"/>
    </row>
    <row r="777" spans="1:12">
      <c r="A777" s="20" t="s">
        <v>290</v>
      </c>
      <c r="E777" s="21">
        <f>IF(D777="?OLD","!!!","")</f>
        <v/>
      </c>
      <c r="F777" s="22" t="str">
        <f>IF(OR(E777="",E777="!!!"),"",IF(NOT(ISNA(VLOOKUP(E777,E$1:E776,1,FALSE()))),"OLD",IF(AND(E777&lt;&gt;"",E777&lt;&gt;"!!!"),"NEW","")))</f>
        <v> </v>
      </c>
      <c r="G777" s="23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24" t="str">
        <f>IF(J777&lt;&gt;1,"",IF(I777="SBJ","CB","?"))</f>
        <v> </v>
      </c>
      <c r="I777" s="25" t="str">
        <f>IF(OR(E777="",E777="!!!",F777="NEW"),"",INDEX(B776:B$2,-1+SUMPRODUCT(MAX(ROW(E776:E$2)*(E777=E776:E$2)))))</f>
        <v> </v>
      </c>
      <c r="J777" s="25" t="str">
        <f>IF(OR(E777="",E777="!!!",F777="NEW"),"",COUNTBLANK(OFFSET(A$1,,,SUMPRODUCT(MAX(ROW(E$2:E777)*(E777=E$2:E777)))))-COUNTBLANK(OFFSET(A$1,,,SUMPRODUCT(MAX(ROW(E$1:E776)*(E2=E$1:E776))))))</f>
        <v> </v>
      </c>
      <c r="K777" s="25" t="str">
        <f>IF(OR(E777="",E777="!!!",F777="NEW"),"",INDEX(J$1:J776,SUMPRODUCT(MAX(ROW(E$1:E776)*(E777=E$1:E776)))))</f>
        <v> </v>
      </c>
      <c r="L777" s="26"/>
    </row>
    <row r="778" spans="1:12">
      <c r="A778" s="20" t="s">
        <v>180</v>
      </c>
      <c r="E778" s="21">
        <f>IF(D778="?OLD","!!!","")</f>
        <v/>
      </c>
      <c r="F778" s="22" t="str">
        <f>IF(OR(E778="",E778="!!!"),"",IF(NOT(ISNA(VLOOKUP(E778,E$1:E777,1,FALSE()))),"OLD",IF(AND(E778&lt;&gt;"",E778&lt;&gt;"!!!"),"NEW","")))</f>
        <v> </v>
      </c>
      <c r="G778" s="23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4" t="str">
        <f>IF(J778&lt;&gt;1,"",IF(I778="SBJ","CB","?"))</f>
        <v> </v>
      </c>
      <c r="I778" s="25" t="str">
        <f>IF(OR(E778="",E778="!!!",F778="NEW"),"",INDEX(B777:B$2,-1+SUMPRODUCT(MAX(ROW(E777:E$2)*(E778=E777:E$2)))))</f>
        <v> </v>
      </c>
      <c r="J778" s="25" t="str">
        <f>IF(OR(E778="",E778="!!!",F778="NEW"),"",COUNTBLANK(OFFSET(A$1,,,SUMPRODUCT(MAX(ROW(E$2:E778)*(E778=E$2:E778)))))-COUNTBLANK(OFFSET(A$1,,,SUMPRODUCT(MAX(ROW(E$1:E777)*(E2=E$1:E777))))))</f>
        <v> </v>
      </c>
      <c r="K778" s="25" t="str">
        <f>IF(OR(E778="",E778="!!!",F778="NEW"),"",INDEX(J$1:J777,SUMPRODUCT(MAX(ROW(E$1:E777)*(E778=E$1:E777)))))</f>
        <v> </v>
      </c>
      <c r="L778" s="26"/>
    </row>
    <row r="779" spans="1:12">
      <c r="A779" s="20" t="s">
        <v>185</v>
      </c>
      <c r="B779" s="27" t="s">
        <v>182</v>
      </c>
      <c r="C779" s="27" t="s">
        <v>142</v>
      </c>
      <c r="D779" s="27" t="s">
        <v>143</v>
      </c>
      <c r="E779" s="21">
        <f>IF(D779="?OLD","!!!","")</f>
        <v/>
      </c>
      <c r="F779" s="22" t="str">
        <f>IF(OR(E779="",E779="!!!"),"",IF(NOT(ISNA(VLOOKUP(E779,E$1:E778,1,FALSE()))),"OLD",IF(AND(E779&lt;&gt;"",E779&lt;&gt;"!!!"),"NEW","")))</f>
        <v> </v>
      </c>
      <c r="G779" s="23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4" t="str">
        <f>IF(J779&lt;&gt;1,"",IF(I779="SBJ","CB","?"))</f>
        <v> </v>
      </c>
      <c r="I779" s="25" t="str">
        <f>IF(OR(E779="",E779="!!!",F779="NEW"),"",INDEX(B778:B$2,-1+SUMPRODUCT(MAX(ROW(E778:E$2)*(E779=E778:E$2)))))</f>
        <v> </v>
      </c>
      <c r="J779" s="25" t="str">
        <f>IF(OR(E779="",E779="!!!",F779="NEW"),"",COUNTBLANK(OFFSET(A$1,,,SUMPRODUCT(MAX(ROW(E$2:E779)*(E779=E$2:E779)))))-COUNTBLANK(OFFSET(A$1,,,SUMPRODUCT(MAX(ROW(E$1:E778)*(E2=E$1:E778))))))</f>
        <v> </v>
      </c>
      <c r="K779" s="25" t="str">
        <f>IF(OR(E779="",E779="!!!",F779="NEW"),"",INDEX(J$1:J778,SUMPRODUCT(MAX(ROW(E$1:E778)*(E779=E$1:E778)))))</f>
        <v> </v>
      </c>
      <c r="L779" s="26"/>
    </row>
    <row r="780" spans="1:12">
      <c r="A780" s="20" t="s">
        <v>442</v>
      </c>
      <c r="B780" s="27" t="s">
        <v>156</v>
      </c>
      <c r="C780" s="27" t="s">
        <v>161</v>
      </c>
      <c r="D780" s="27" t="s">
        <v>143</v>
      </c>
      <c r="E780" s="21">
        <f>IF(D780="?OLD","!!!","")</f>
        <v/>
      </c>
      <c r="F780" s="22" t="str">
        <f>IF(OR(E780="",E780="!!!"),"",IF(NOT(ISNA(VLOOKUP(E780,E$1:E779,1,FALSE()))),"OLD",IF(AND(E780&lt;&gt;"",E780&lt;&gt;"!!!"),"NEW","")))</f>
        <v> </v>
      </c>
      <c r="G780" s="23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4" t="str">
        <f>IF(J780&lt;&gt;1,"",IF(I780="SBJ","CB","?"))</f>
        <v> </v>
      </c>
      <c r="I780" s="25" t="str">
        <f>IF(OR(E780="",E780="!!!",F780="NEW"),"",INDEX(B779:B$2,-1+SUMPRODUCT(MAX(ROW(E779:E$2)*(E780=E779:E$2)))))</f>
        <v> </v>
      </c>
      <c r="J780" s="25" t="str">
        <f>IF(OR(E780="",E780="!!!",F780="NEW"),"",COUNTBLANK(OFFSET(A$1,,,SUMPRODUCT(MAX(ROW(E$2:E780)*(E780=E$2:E780)))))-COUNTBLANK(OFFSET(A$1,,,SUMPRODUCT(MAX(ROW(E$1:E779)*(E2=E$1:E779))))))</f>
        <v> </v>
      </c>
      <c r="K780" s="25" t="str">
        <f>IF(OR(E780="",E780="!!!",F780="NEW"),"",INDEX(J$1:J779,SUMPRODUCT(MAX(ROW(E$1:E779)*(E780=E$1:E779)))))</f>
        <v> </v>
      </c>
      <c r="L780" s="26"/>
    </row>
    <row r="781" spans="1:12">
      <c r="A781" s="20" t="s">
        <v>139</v>
      </c>
      <c r="E781" s="21">
        <f>IF(D781="?OLD","!!!","")</f>
        <v/>
      </c>
      <c r="F781" s="22" t="str">
        <f>IF(OR(E781="",E781="!!!"),"",IF(NOT(ISNA(VLOOKUP(E781,E$1:E780,1,FALSE()))),"OLD",IF(AND(E781&lt;&gt;"",E781&lt;&gt;"!!!"),"NEW","")))</f>
        <v> </v>
      </c>
      <c r="G781" s="23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4" t="str">
        <f>IF(J781&lt;&gt;1,"",IF(I781="SBJ","CB","?"))</f>
        <v> </v>
      </c>
      <c r="I781" s="25" t="str">
        <f>IF(OR(E781="",E781="!!!",F781="NEW"),"",INDEX(B780:B$2,-1+SUMPRODUCT(MAX(ROW(E780:E$2)*(E781=E780:E$2)))))</f>
        <v> </v>
      </c>
      <c r="J781" s="25" t="str">
        <f>IF(OR(E781="",E781="!!!",F781="NEW"),"",COUNTBLANK(OFFSET(A$1,,,SUMPRODUCT(MAX(ROW(E$2:E781)*(E781=E$2:E781)))))-COUNTBLANK(OFFSET(A$1,,,SUMPRODUCT(MAX(ROW(E$1:E780)*(E2=E$1:E780))))))</f>
        <v> </v>
      </c>
      <c r="K781" s="25" t="str">
        <f>IF(OR(E781="",E781="!!!",F781="NEW"),"",INDEX(J$1:J780,SUMPRODUCT(MAX(ROW(E$1:E780)*(E781=E$1:E780)))))</f>
        <v> </v>
      </c>
      <c r="L781" s="26"/>
    </row>
    <row r="782" spans="1:12">
      <c r="A782" s="20" t="s">
        <v>449</v>
      </c>
      <c r="B782" s="27" t="s">
        <v>258</v>
      </c>
      <c r="C782" s="27" t="s">
        <v>142</v>
      </c>
      <c r="D782" s="27" t="s">
        <v>143</v>
      </c>
      <c r="E782" s="21">
        <f>IF(D782="?OLD","!!!","")</f>
        <v/>
      </c>
      <c r="F782" s="22" t="str">
        <f>IF(OR(E782="",E782="!!!"),"",IF(NOT(ISNA(VLOOKUP(E782,E$1:E781,1,FALSE()))),"OLD",IF(AND(E782&lt;&gt;"",E782&lt;&gt;"!!!"),"NEW","")))</f>
        <v> </v>
      </c>
      <c r="G782" s="23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4" t="str">
        <f>IF(J782&lt;&gt;1,"",IF(I782="SBJ","CB","?"))</f>
        <v> </v>
      </c>
      <c r="I782" s="25" t="str">
        <f>IF(OR(E782="",E782="!!!",F782="NEW"),"",INDEX(B781:B$2,-1+SUMPRODUCT(MAX(ROW(E781:E$2)*(E782=E781:E$2)))))</f>
        <v> </v>
      </c>
      <c r="J782" s="25" t="str">
        <f>IF(OR(E782="",E782="!!!",F782="NEW"),"",COUNTBLANK(OFFSET(A$1,,,SUMPRODUCT(MAX(ROW(E$2:E782)*(E782=E$2:E782)))))-COUNTBLANK(OFFSET(A$1,,,SUMPRODUCT(MAX(ROW(E$1:E781)*(E2=E$1:E781))))))</f>
        <v> </v>
      </c>
      <c r="K782" s="25" t="str">
        <f>IF(OR(E782="",E782="!!!",F782="NEW"),"",INDEX(J$1:J781,SUMPRODUCT(MAX(ROW(E$1:E781)*(E782=E$1:E781)))))</f>
        <v> </v>
      </c>
      <c r="L782" s="26"/>
    </row>
    <row r="783" spans="1:12">
      <c r="A783" s="20" t="s">
        <v>288</v>
      </c>
      <c r="E783" s="21">
        <f>IF(D783="?OLD","!!!","")</f>
        <v/>
      </c>
      <c r="F783" s="22" t="str">
        <f>IF(OR(E783="",E783="!!!"),"",IF(NOT(ISNA(VLOOKUP(E783,E$1:E782,1,FALSE()))),"OLD",IF(AND(E783&lt;&gt;"",E783&lt;&gt;"!!!"),"NEW","")))</f>
        <v> </v>
      </c>
      <c r="G783" s="23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24" t="str">
        <f>IF(J783&lt;&gt;1,"",IF(I783="SBJ","CB","?"))</f>
        <v> </v>
      </c>
      <c r="I783" s="25" t="str">
        <f>IF(OR(E783="",E783="!!!",F783="NEW"),"",INDEX(B782:B$2,-1+SUMPRODUCT(MAX(ROW(E782:E$2)*(E783=E782:E$2)))))</f>
        <v> </v>
      </c>
      <c r="J783" s="25" t="str">
        <f>IF(OR(E783="",E783="!!!",F783="NEW"),"",COUNTBLANK(OFFSET(A$1,,,SUMPRODUCT(MAX(ROW(E$2:E783)*(E783=E$2:E783)))))-COUNTBLANK(OFFSET(A$1,,,SUMPRODUCT(MAX(ROW(E$1:E782)*(E2=E$1:E782))))))</f>
        <v> </v>
      </c>
      <c r="K783" s="25" t="str">
        <f>IF(OR(E783="",E783="!!!",F783="NEW"),"",INDEX(J$1:J782,SUMPRODUCT(MAX(ROW(E$1:E782)*(E783=E$1:E782)))))</f>
        <v> </v>
      </c>
      <c r="L783" s="26"/>
    </row>
    <row r="784" spans="1:12">
      <c r="A784" s="20" t="s">
        <v>154</v>
      </c>
      <c r="E784" s="21">
        <f>IF(D784="?OLD","!!!","")</f>
        <v/>
      </c>
      <c r="F784" s="22" t="str">
        <f>IF(OR(E784="",E784="!!!"),"",IF(NOT(ISNA(VLOOKUP(E784,E$1:E783,1,FALSE()))),"OLD",IF(AND(E784&lt;&gt;"",E784&lt;&gt;"!!!"),"NEW","")))</f>
        <v> </v>
      </c>
      <c r="G784" s="23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24" t="str">
        <f>IF(J784&lt;&gt;1,"",IF(I784="SBJ","CB","?"))</f>
        <v> </v>
      </c>
      <c r="I784" s="25" t="str">
        <f>IF(OR(E784="",E784="!!!",F784="NEW"),"",INDEX(B783:B$2,-1+SUMPRODUCT(MAX(ROW(E783:E$2)*(E784=E783:E$2)))))</f>
        <v> </v>
      </c>
      <c r="J784" s="25" t="str">
        <f>IF(OR(E784="",E784="!!!",F784="NEW"),"",COUNTBLANK(OFFSET(A$1,,,SUMPRODUCT(MAX(ROW(E$2:E784)*(E784=E$2:E784)))))-COUNTBLANK(OFFSET(A$1,,,SUMPRODUCT(MAX(ROW(E$1:E783)*(E2=E$1:E783))))))</f>
        <v> </v>
      </c>
      <c r="K784" s="25" t="str">
        <f>IF(OR(E784="",E784="!!!",F784="NEW"),"",INDEX(J$1:J783,SUMPRODUCT(MAX(ROW(E$1:E783)*(E784=E$1:E783)))))</f>
        <v> </v>
      </c>
      <c r="L784" s="26"/>
    </row>
    <row r="785" spans="1:12">
      <c r="A785" s="20" t="s">
        <v>450</v>
      </c>
      <c r="E785" s="21">
        <f>IF(D785="?OLD","!!!","")</f>
        <v/>
      </c>
      <c r="F785" s="22" t="str">
        <f>IF(OR(E785="",E785="!!!"),"",IF(NOT(ISNA(VLOOKUP(E785,E$1:E784,1,FALSE()))),"OLD",IF(AND(E785&lt;&gt;"",E785&lt;&gt;"!!!"),"NEW","")))</f>
        <v> </v>
      </c>
      <c r="G785" s="23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24" t="str">
        <f>IF(J785&lt;&gt;1,"",IF(I785="SBJ","CB","?"))</f>
        <v> </v>
      </c>
      <c r="I785" s="25" t="str">
        <f>IF(OR(E785="",E785="!!!",F785="NEW"),"",INDEX(B784:B$2,-1+SUMPRODUCT(MAX(ROW(E784:E$2)*(E785=E784:E$2)))))</f>
        <v> </v>
      </c>
      <c r="J785" s="25" t="str">
        <f>IF(OR(E785="",E785="!!!",F785="NEW"),"",COUNTBLANK(OFFSET(A$1,,,SUMPRODUCT(MAX(ROW(E$2:E785)*(E785=E$2:E785)))))-COUNTBLANK(OFFSET(A$1,,,SUMPRODUCT(MAX(ROW(E$1:E784)*(E2=E$1:E784))))))</f>
        <v> </v>
      </c>
      <c r="K785" s="25" t="str">
        <f>IF(OR(E785="",E785="!!!",F785="NEW"),"",INDEX(J$1:J784,SUMPRODUCT(MAX(ROW(E$1:E784)*(E785=E$1:E784)))))</f>
        <v> </v>
      </c>
      <c r="L785" s="26"/>
    </row>
    <row r="786" spans="1:12">
      <c r="A786" s="20" t="s">
        <v>157</v>
      </c>
      <c r="E786" s="21">
        <f>IF(D786="?OLD","!!!","")</f>
        <v/>
      </c>
      <c r="F786" s="22" t="str">
        <f>IF(OR(E786="",E786="!!!"),"",IF(NOT(ISNA(VLOOKUP(E786,E$1:E785,1,FALSE()))),"OLD",IF(AND(E786&lt;&gt;"",E786&lt;&gt;"!!!"),"NEW","")))</f>
        <v> </v>
      </c>
      <c r="G786" s="23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4" t="str">
        <f>IF(J786&lt;&gt;1,"",IF(I786="SBJ","CB","?"))</f>
        <v> </v>
      </c>
      <c r="I786" s="25" t="str">
        <f>IF(OR(E786="",E786="!!!",F786="NEW"),"",INDEX(B785:B$2,-1+SUMPRODUCT(MAX(ROW(E785:E$2)*(E786=E785:E$2)))))</f>
        <v> </v>
      </c>
      <c r="J786" s="25" t="str">
        <f>IF(OR(E786="",E786="!!!",F786="NEW"),"",COUNTBLANK(OFFSET(A$1,,,SUMPRODUCT(MAX(ROW(E$2:E786)*(E786=E$2:E786)))))-COUNTBLANK(OFFSET(A$1,,,SUMPRODUCT(MAX(ROW(E$1:E785)*(E2=E$1:E785))))))</f>
        <v> </v>
      </c>
      <c r="K786" s="25" t="str">
        <f>IF(OR(E786="",E786="!!!",F786="NEW"),"",INDEX(J$1:J785,SUMPRODUCT(MAX(ROW(E$1:E785)*(E786=E$1:E785)))))</f>
        <v> </v>
      </c>
      <c r="L786" s="26"/>
    </row>
    <row r="787" spans="1:12">
      <c r="A787" s="20" t="s">
        <v>451</v>
      </c>
      <c r="E787" s="21">
        <f>IF(D787="?OLD","!!!","")</f>
        <v/>
      </c>
      <c r="F787" s="22" t="str">
        <f>IF(OR(E787="",E787="!!!"),"",IF(NOT(ISNA(VLOOKUP(E787,E$1:E786,1,FALSE()))),"OLD",IF(AND(E787&lt;&gt;"",E787&lt;&gt;"!!!"),"NEW","")))</f>
        <v> </v>
      </c>
      <c r="G787" s="23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4" t="str">
        <f>IF(J787&lt;&gt;1,"",IF(I787="SBJ","CB","?"))</f>
        <v> </v>
      </c>
      <c r="I787" s="25" t="str">
        <f>IF(OR(E787="",E787="!!!",F787="NEW"),"",INDEX(B786:B$2,-1+SUMPRODUCT(MAX(ROW(E786:E$2)*(E787=E786:E$2)))))</f>
        <v> </v>
      </c>
      <c r="J787" s="25" t="str">
        <f>IF(OR(E787="",E787="!!!",F787="NEW"),"",COUNTBLANK(OFFSET(A$1,,,SUMPRODUCT(MAX(ROW(E$2:E787)*(E787=E$2:E787)))))-COUNTBLANK(OFFSET(A$1,,,SUMPRODUCT(MAX(ROW(E$1:E786)*(E2=E$1:E786))))))</f>
        <v> </v>
      </c>
      <c r="K787" s="25" t="str">
        <f>IF(OR(E787="",E787="!!!",F787="NEW"),"",INDEX(J$1:J786,SUMPRODUCT(MAX(ROW(E$1:E786)*(E787=E$1:E786)))))</f>
        <v> </v>
      </c>
      <c r="L787" s="26"/>
    </row>
    <row r="788" spans="1:12">
      <c r="A788" s="20" t="s">
        <v>452</v>
      </c>
      <c r="B788" s="27" t="s">
        <v>156</v>
      </c>
      <c r="C788" s="27" t="s">
        <v>142</v>
      </c>
      <c r="D788" s="27" t="s">
        <v>143</v>
      </c>
      <c r="E788" s="21">
        <f>IF(D788="?OLD","!!!","")</f>
        <v/>
      </c>
      <c r="F788" s="22" t="str">
        <f>IF(OR(E788="",E788="!!!"),"",IF(NOT(ISNA(VLOOKUP(E788,E$1:E787,1,FALSE()))),"OLD",IF(AND(E788&lt;&gt;"",E788&lt;&gt;"!!!"),"NEW","")))</f>
        <v> </v>
      </c>
      <c r="G788" s="23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4" t="str">
        <f>IF(J788&lt;&gt;1,"",IF(I788="SBJ","CB","?"))</f>
        <v> </v>
      </c>
      <c r="I788" s="25" t="str">
        <f>IF(OR(E788="",E788="!!!",F788="NEW"),"",INDEX(B787:B$2,-1+SUMPRODUCT(MAX(ROW(E787:E$2)*(E788=E787:E$2)))))</f>
        <v> </v>
      </c>
      <c r="J788" s="25" t="str">
        <f>IF(OR(E788="",E788="!!!",F788="NEW"),"",COUNTBLANK(OFFSET(A$1,,,SUMPRODUCT(MAX(ROW(E$2:E788)*(E788=E$2:E788)))))-COUNTBLANK(OFFSET(A$1,,,SUMPRODUCT(MAX(ROW(E$1:E787)*(E2=E$1:E787))))))</f>
        <v> </v>
      </c>
      <c r="K788" s="25" t="str">
        <f>IF(OR(E788="",E788="!!!",F788="NEW"),"",INDEX(J$1:J787,SUMPRODUCT(MAX(ROW(E$1:E787)*(E788=E$1:E787)))))</f>
        <v> </v>
      </c>
      <c r="L788" s="26"/>
    </row>
    <row r="789" spans="1:12">
      <c r="A789" s="20" t="s">
        <v>157</v>
      </c>
      <c r="E789" s="21">
        <f>IF(D789="?OLD","!!!","")</f>
        <v/>
      </c>
      <c r="F789" s="22" t="str">
        <f>IF(OR(E789="",E789="!!!"),"",IF(NOT(ISNA(VLOOKUP(E789,E$1:E788,1,FALSE()))),"OLD",IF(AND(E789&lt;&gt;"",E789&lt;&gt;"!!!"),"NEW","")))</f>
        <v> </v>
      </c>
      <c r="G789" s="23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4" t="str">
        <f>IF(J789&lt;&gt;1,"",IF(I789="SBJ","CB","?"))</f>
        <v> </v>
      </c>
      <c r="I789" s="25" t="str">
        <f>IF(OR(E789="",E789="!!!",F789="NEW"),"",INDEX(B788:B$2,-1+SUMPRODUCT(MAX(ROW(E788:E$2)*(E789=E788:E$2)))))</f>
        <v> </v>
      </c>
      <c r="J789" s="25" t="str">
        <f>IF(OR(E789="",E789="!!!",F789="NEW"),"",COUNTBLANK(OFFSET(A$1,,,SUMPRODUCT(MAX(ROW(E$2:E789)*(E789=E$2:E789)))))-COUNTBLANK(OFFSET(A$1,,,SUMPRODUCT(MAX(ROW(E$1:E788)*(E2=E$1:E788))))))</f>
        <v> </v>
      </c>
      <c r="K789" s="25" t="str">
        <f>IF(OR(E789="",E789="!!!",F789="NEW"),"",INDEX(J$1:J788,SUMPRODUCT(MAX(ROW(E$1:E788)*(E789=E$1:E788)))))</f>
        <v> </v>
      </c>
      <c r="L789" s="26"/>
    </row>
    <row r="790" spans="1:12">
      <c r="A790" s="20" t="s">
        <v>166</v>
      </c>
      <c r="E790" s="21">
        <f>IF(D790="?OLD","!!!","")</f>
        <v/>
      </c>
      <c r="F790" s="22" t="str">
        <f>IF(OR(E790="",E790="!!!"),"",IF(NOT(ISNA(VLOOKUP(E790,E$1:E789,1,FALSE()))),"OLD",IF(AND(E790&lt;&gt;"",E790&lt;&gt;"!!!"),"NEW","")))</f>
        <v> </v>
      </c>
      <c r="G790" s="23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4" t="str">
        <f>IF(J790&lt;&gt;1,"",IF(I790="SBJ","CB","?"))</f>
        <v> </v>
      </c>
      <c r="I790" s="25" t="str">
        <f>IF(OR(E790="",E790="!!!",F790="NEW"),"",INDEX(B789:B$2,-1+SUMPRODUCT(MAX(ROW(E789:E$2)*(E790=E789:E$2)))))</f>
        <v> </v>
      </c>
      <c r="J790" s="25" t="str">
        <f>IF(OR(E790="",E790="!!!",F790="NEW"),"",COUNTBLANK(OFFSET(A$1,,,SUMPRODUCT(MAX(ROW(E$2:E790)*(E790=E$2:E790)))))-COUNTBLANK(OFFSET(A$1,,,SUMPRODUCT(MAX(ROW(E$1:E789)*(E2=E$1:E789))))))</f>
        <v> </v>
      </c>
      <c r="K790" s="25" t="str">
        <f>IF(OR(E790="",E790="!!!",F790="NEW"),"",INDEX(J$1:J789,SUMPRODUCT(MAX(ROW(E$1:E789)*(E790=E$1:E789)))))</f>
        <v> </v>
      </c>
      <c r="L790" s="26"/>
    </row>
    <row r="791" spans="1:12">
      <c r="A791" s="20" t="s">
        <v>453</v>
      </c>
      <c r="E791" s="21">
        <f>IF(D791="?OLD","!!!","")</f>
        <v/>
      </c>
      <c r="F791" s="22" t="str">
        <f>IF(OR(E791="",E791="!!!"),"",IF(NOT(ISNA(VLOOKUP(E791,E$1:E790,1,FALSE()))),"OLD",IF(AND(E791&lt;&gt;"",E791&lt;&gt;"!!!"),"NEW","")))</f>
        <v> </v>
      </c>
      <c r="G791" s="23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4" t="str">
        <f>IF(J791&lt;&gt;1,"",IF(I791="SBJ","CB","?"))</f>
        <v> </v>
      </c>
      <c r="I791" s="25" t="str">
        <f>IF(OR(E791="",E791="!!!",F791="NEW"),"",INDEX(B790:B$2,-1+SUMPRODUCT(MAX(ROW(E790:E$2)*(E791=E790:E$2)))))</f>
        <v> </v>
      </c>
      <c r="J791" s="25" t="str">
        <f>IF(OR(E791="",E791="!!!",F791="NEW"),"",COUNTBLANK(OFFSET(A$1,,,SUMPRODUCT(MAX(ROW(E$2:E791)*(E791=E$2:E791)))))-COUNTBLANK(OFFSET(A$1,,,SUMPRODUCT(MAX(ROW(E$1:E790)*(E2=E$1:E790))))))</f>
        <v> </v>
      </c>
      <c r="K791" s="25" t="str">
        <f>IF(OR(E791="",E791="!!!",F791="NEW"),"",INDEX(J$1:J790,SUMPRODUCT(MAX(ROW(E$1:E790)*(E791=E$1:E790)))))</f>
        <v> </v>
      </c>
      <c r="L791" s="26"/>
    </row>
    <row r="792" spans="1:12">
      <c r="A792" s="20" t="s">
        <v>180</v>
      </c>
      <c r="E792" s="21">
        <f>IF(D792="?OLD","!!!","")</f>
        <v/>
      </c>
      <c r="F792" s="22" t="str">
        <f>IF(OR(E792="",E792="!!!"),"",IF(NOT(ISNA(VLOOKUP(E792,E$1:E791,1,FALSE()))),"OLD",IF(AND(E792&lt;&gt;"",E792&lt;&gt;"!!!"),"NEW","")))</f>
        <v> </v>
      </c>
      <c r="G792" s="23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24" t="str">
        <f>IF(J792&lt;&gt;1,"",IF(I792="SBJ","CB","?"))</f>
        <v> </v>
      </c>
      <c r="I792" s="25" t="str">
        <f>IF(OR(E792="",E792="!!!",F792="NEW"),"",INDEX(B791:B$2,-1+SUMPRODUCT(MAX(ROW(E791:E$2)*(E792=E791:E$2)))))</f>
        <v> </v>
      </c>
      <c r="J792" s="25" t="str">
        <f>IF(OR(E792="",E792="!!!",F792="NEW"),"",COUNTBLANK(OFFSET(A$1,,,SUMPRODUCT(MAX(ROW(E$2:E792)*(E792=E$2:E792)))))-COUNTBLANK(OFFSET(A$1,,,SUMPRODUCT(MAX(ROW(E$1:E791)*(E2=E$1:E791))))))</f>
        <v> </v>
      </c>
      <c r="K792" s="25" t="str">
        <f>IF(OR(E792="",E792="!!!",F792="NEW"),"",INDEX(J$1:J791,SUMPRODUCT(MAX(ROW(E$1:E791)*(E792=E$1:E791)))))</f>
        <v> </v>
      </c>
      <c r="L792" s="26"/>
    </row>
    <row r="793" spans="1:12">
      <c r="A793" s="20" t="s">
        <v>454</v>
      </c>
      <c r="B793" s="27" t="s">
        <v>222</v>
      </c>
      <c r="C793" s="27" t="s">
        <v>142</v>
      </c>
      <c r="D793" s="27" t="s">
        <v>143</v>
      </c>
      <c r="E793" s="21">
        <f>IF(D793="?OLD","!!!","")</f>
        <v/>
      </c>
      <c r="F793" s="22" t="str">
        <f>IF(OR(E793="",E793="!!!"),"",IF(NOT(ISNA(VLOOKUP(E793,E$1:E792,1,FALSE()))),"OLD",IF(AND(E793&lt;&gt;"",E793&lt;&gt;"!!!"),"NEW","")))</f>
        <v> </v>
      </c>
      <c r="G793" s="23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24" t="str">
        <f>IF(J793&lt;&gt;1,"",IF(I793="SBJ","CB","?"))</f>
        <v> </v>
      </c>
      <c r="I793" s="25" t="str">
        <f>IF(OR(E793="",E793="!!!",F793="NEW"),"",INDEX(B792:B$2,-1+SUMPRODUCT(MAX(ROW(E792:E$2)*(E793=E792:E$2)))))</f>
        <v> </v>
      </c>
      <c r="J793" s="25" t="str">
        <f>IF(OR(E793="",E793="!!!",F793="NEW"),"",COUNTBLANK(OFFSET(A$1,,,SUMPRODUCT(MAX(ROW(E$2:E793)*(E793=E$2:E793)))))-COUNTBLANK(OFFSET(A$1,,,SUMPRODUCT(MAX(ROW(E$1:E792)*(E2=E$1:E792))))))</f>
        <v> </v>
      </c>
      <c r="K793" s="25" t="str">
        <f>IF(OR(E793="",E793="!!!",F793="NEW"),"",INDEX(J$1:J792,SUMPRODUCT(MAX(ROW(E$1:E792)*(E793=E$1:E792)))))</f>
        <v> </v>
      </c>
      <c r="L793" s="26"/>
    </row>
    <row r="794" spans="1:12">
      <c r="A794" s="20" t="s">
        <v>166</v>
      </c>
      <c r="B794" s="27" t="s">
        <v>377</v>
      </c>
      <c r="C794" s="27" t="s">
        <v>149</v>
      </c>
      <c r="E794" s="21">
        <f>IF(D794="?OLD","!!!","")</f>
        <v/>
      </c>
      <c r="F794" s="22" t="str">
        <f>IF(OR(E794="",E794="!!!"),"",IF(NOT(ISNA(VLOOKUP(E794,E$1:E793,1,FALSE()))),"OLD",IF(AND(E794&lt;&gt;"",E794&lt;&gt;"!!!"),"NEW","")))</f>
        <v> </v>
      </c>
      <c r="G794" s="23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24" t="str">
        <f>IF(J794&lt;&gt;1,"",IF(I794="SBJ","CB","?"))</f>
        <v> </v>
      </c>
      <c r="I794" s="25" t="str">
        <f>IF(OR(E794="",E794="!!!",F794="NEW"),"",INDEX(B793:B$2,-1+SUMPRODUCT(MAX(ROW(E793:E$2)*(E794=E793:E$2)))))</f>
        <v> </v>
      </c>
      <c r="J794" s="25" t="str">
        <f>IF(OR(E794="",E794="!!!",F794="NEW"),"",COUNTBLANK(OFFSET(A$1,,,SUMPRODUCT(MAX(ROW(E$2:E794)*(E794=E$2:E794)))))-COUNTBLANK(OFFSET(A$1,,,SUMPRODUCT(MAX(ROW(E$1:E793)*(E2=E$1:E793))))))</f>
        <v> </v>
      </c>
      <c r="K794" s="25" t="str">
        <f>IF(OR(E794="",E794="!!!",F794="NEW"),"",INDEX(J$1:J793,SUMPRODUCT(MAX(ROW(E$1:E793)*(E794=E$1:E793)))))</f>
        <v> </v>
      </c>
      <c r="L794" s="26"/>
    </row>
    <row r="795" spans="1:12">
      <c r="A795" s="20" t="s">
        <v>154</v>
      </c>
      <c r="E795" s="21">
        <f>IF(D795="?OLD","!!!","")</f>
        <v/>
      </c>
      <c r="F795" s="22" t="str">
        <f>IF(OR(E795="",E795="!!!"),"",IF(NOT(ISNA(VLOOKUP(E795,E$1:E794,1,FALSE()))),"OLD",IF(AND(E795&lt;&gt;"",E795&lt;&gt;"!!!"),"NEW","")))</f>
        <v> </v>
      </c>
      <c r="G795" s="23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4" t="str">
        <f>IF(J795&lt;&gt;1,"",IF(I795="SBJ","CB","?"))</f>
        <v> </v>
      </c>
      <c r="I795" s="25" t="str">
        <f>IF(OR(E795="",E795="!!!",F795="NEW"),"",INDEX(B794:B$2,-1+SUMPRODUCT(MAX(ROW(E794:E$2)*(E795=E794:E$2)))))</f>
        <v> </v>
      </c>
      <c r="J795" s="25" t="str">
        <f>IF(OR(E795="",E795="!!!",F795="NEW"),"",COUNTBLANK(OFFSET(A$1,,,SUMPRODUCT(MAX(ROW(E$2:E795)*(E795=E$2:E795)))))-COUNTBLANK(OFFSET(A$1,,,SUMPRODUCT(MAX(ROW(E$1:E794)*(E2=E$1:E794))))))</f>
        <v> </v>
      </c>
      <c r="K795" s="25" t="str">
        <f>IF(OR(E795="",E795="!!!",F795="NEW"),"",INDEX(J$1:J794,SUMPRODUCT(MAX(ROW(E$1:E794)*(E795=E$1:E794)))))</f>
        <v> </v>
      </c>
      <c r="L795" s="26"/>
    </row>
    <row r="796" spans="1:12">
      <c r="A796" s="20" t="s">
        <v>240</v>
      </c>
      <c r="B796" s="27" t="s">
        <v>148</v>
      </c>
      <c r="C796" s="27" t="s">
        <v>142</v>
      </c>
      <c r="D796" s="27" t="s">
        <v>143</v>
      </c>
      <c r="E796" s="21">
        <f>IF(D796="?OLD","!!!","")</f>
        <v/>
      </c>
      <c r="F796" s="22" t="str">
        <f>IF(OR(E796="",E796="!!!"),"",IF(NOT(ISNA(VLOOKUP(E796,E$1:E795,1,FALSE()))),"OLD",IF(AND(E796&lt;&gt;"",E796&lt;&gt;"!!!"),"NEW","")))</f>
        <v> </v>
      </c>
      <c r="G796" s="23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4" t="str">
        <f>IF(J796&lt;&gt;1,"",IF(I796="SBJ","CB","?"))</f>
        <v> </v>
      </c>
      <c r="I796" s="25" t="str">
        <f>IF(OR(E796="",E796="!!!",F796="NEW"),"",INDEX(B795:B$2,-1+SUMPRODUCT(MAX(ROW(E795:E$2)*(E796=E795:E$2)))))</f>
        <v> </v>
      </c>
      <c r="J796" s="25" t="str">
        <f>IF(OR(E796="",E796="!!!",F796="NEW"),"",COUNTBLANK(OFFSET(A$1,,,SUMPRODUCT(MAX(ROW(E$2:E796)*(E796=E$2:E796)))))-COUNTBLANK(OFFSET(A$1,,,SUMPRODUCT(MAX(ROW(E$1:E795)*(E2=E$1:E795))))))</f>
        <v> </v>
      </c>
      <c r="K796" s="25" t="str">
        <f>IF(OR(E796="",E796="!!!",F796="NEW"),"",INDEX(J$1:J795,SUMPRODUCT(MAX(ROW(E$1:E795)*(E796=E$1:E795)))))</f>
        <v> </v>
      </c>
      <c r="L796" s="26"/>
    </row>
    <row r="797" spans="1:12">
      <c r="A797" s="20" t="s">
        <v>198</v>
      </c>
      <c r="E797" s="21">
        <f>IF(D797="?OLD","!!!","")</f>
        <v/>
      </c>
      <c r="F797" s="22" t="str">
        <f>IF(OR(E797="",E797="!!!"),"",IF(NOT(ISNA(VLOOKUP(E797,E$1:E796,1,FALSE()))),"OLD",IF(AND(E797&lt;&gt;"",E797&lt;&gt;"!!!"),"NEW","")))</f>
        <v> </v>
      </c>
      <c r="G797" s="23" t="str">
        <f>IF(OR(E797="",E797="!!!"),"",IF(OR(J797=0,AND(J797=1,K797=1),AND(J797=1,I797="SBJ"),AND(J797=1,I797=0)),"?IN_FOCUS",IF(J797&lt;=2,"?ACTIVATED",IF(J797&lt;&gt;"","?FAMILIAR",IF(F797="NEW",IF(ISNA(VLOOKUP(E797,#REF!,1,FALSE())),"?TYPE_IDENTIFIABLE","?REFERENTIAL"),"_")))))</f>
        <v> </v>
      </c>
      <c r="H797" s="24" t="str">
        <f>IF(J797&lt;&gt;1,"",IF(I797="SBJ","CB","?"))</f>
        <v> </v>
      </c>
      <c r="I797" s="25" t="str">
        <f>IF(OR(E797="",E797="!!!",F797="NEW"),"",INDEX(B796:B$2,-1+SUMPRODUCT(MAX(ROW(E796:E$2)*(E797=E796:E$2)))))</f>
        <v> </v>
      </c>
      <c r="J797" s="25" t="str">
        <f>IF(OR(E797="",E797="!!!",F797="NEW"),"",COUNTBLANK(OFFSET(A$1,,,SUMPRODUCT(MAX(ROW(E$2:E797)*(E797=E$2:E797)))))-COUNTBLANK(OFFSET(A$1,,,SUMPRODUCT(MAX(ROW(E$1:E796)*(E2=E$1:E796))))))</f>
        <v> </v>
      </c>
      <c r="K797" s="25" t="str">
        <f>IF(OR(E797="",E797="!!!",F797="NEW"),"",INDEX(J$1:J796,SUMPRODUCT(MAX(ROW(E$1:E796)*(E797=E$1:E796)))))</f>
        <v> </v>
      </c>
      <c r="L797" s="26"/>
    </row>
    <row r="798" spans="1:12">
      <c r="A798" s="20" t="s">
        <v>434</v>
      </c>
      <c r="B798" s="27" t="s">
        <v>377</v>
      </c>
      <c r="C798" s="27" t="s">
        <v>142</v>
      </c>
      <c r="D798" s="27" t="s">
        <v>143</v>
      </c>
      <c r="E798" s="21">
        <f>IF(D798="?OLD","!!!","")</f>
        <v/>
      </c>
      <c r="F798" s="22" t="str">
        <f>IF(OR(E798="",E798="!!!"),"",IF(NOT(ISNA(VLOOKUP(E798,E$1:E797,1,FALSE()))),"OLD",IF(AND(E798&lt;&gt;"",E798&lt;&gt;"!!!"),"NEW","")))</f>
        <v> </v>
      </c>
      <c r="G798" s="23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> </v>
      </c>
      <c r="H798" s="24" t="str">
        <f>IF(J798&lt;&gt;1,"",IF(I798="SBJ","CB","?"))</f>
        <v> </v>
      </c>
      <c r="I798" s="25" t="str">
        <f>IF(OR(E798="",E798="!!!",F798="NEW"),"",INDEX(B797:B$2,-1+SUMPRODUCT(MAX(ROW(E797:E$2)*(E798=E797:E$2)))))</f>
        <v> </v>
      </c>
      <c r="J798" s="25" t="str">
        <f>IF(OR(E798="",E798="!!!",F798="NEW"),"",COUNTBLANK(OFFSET(A$1,,,SUMPRODUCT(MAX(ROW(E$2:E798)*(E798=E$2:E798)))))-COUNTBLANK(OFFSET(A$1,,,SUMPRODUCT(MAX(ROW(E$1:E797)*(E2=E$1:E797))))))</f>
        <v> </v>
      </c>
      <c r="K798" s="25" t="str">
        <f>IF(OR(E798="",E798="!!!",F798="NEW"),"",INDEX(J$1:J797,SUMPRODUCT(MAX(ROW(E$1:E797)*(E798=E$1:E797)))))</f>
        <v> </v>
      </c>
      <c r="L798" s="26"/>
    </row>
    <row r="799" spans="1:12">
      <c r="A799" s="20" t="s">
        <v>211</v>
      </c>
      <c r="E799" s="21">
        <f>IF(D799="?OLD","!!!","")</f>
        <v/>
      </c>
      <c r="F799" s="22" t="str">
        <f>IF(OR(E799="",E799="!!!"),"",IF(NOT(ISNA(VLOOKUP(E799,E$1:E798,1,FALSE()))),"OLD",IF(AND(E799&lt;&gt;"",E799&lt;&gt;"!!!"),"NEW","")))</f>
        <v> </v>
      </c>
      <c r="G799" s="23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4" t="str">
        <f>IF(J799&lt;&gt;1,"",IF(I799="SBJ","CB","?"))</f>
        <v> </v>
      </c>
      <c r="I799" s="25" t="str">
        <f>IF(OR(E799="",E799="!!!",F799="NEW"),"",INDEX(B798:B$2,-1+SUMPRODUCT(MAX(ROW(E798:E$2)*(E799=E798:E$2)))))</f>
        <v> </v>
      </c>
      <c r="J799" s="25" t="str">
        <f>IF(OR(E799="",E799="!!!",F799="NEW"),"",COUNTBLANK(OFFSET(A$1,,,SUMPRODUCT(MAX(ROW(E$2:E799)*(E799=E$2:E799)))))-COUNTBLANK(OFFSET(A$1,,,SUMPRODUCT(MAX(ROW(E$1:E798)*(E2=E$1:E798))))))</f>
        <v> </v>
      </c>
      <c r="K799" s="25" t="str">
        <f>IF(OR(E799="",E799="!!!",F799="NEW"),"",INDEX(J$1:J798,SUMPRODUCT(MAX(ROW(E$1:E798)*(E799=E$1:E798)))))</f>
        <v> </v>
      </c>
      <c r="L799" s="26"/>
    </row>
    <row r="800" spans="1:12">
      <c r="A800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2025-11-25T13:41:49Z</dcterms:created>
  <dcterms:modified xsi:type="dcterms:W3CDTF">2025-11-25T13:41:49Z</dcterms:modified>
</cp:coreProperties>
</file>