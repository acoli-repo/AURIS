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<sst xmlns="http://schemas.openxmlformats.org/spreadsheetml/2006/main" count="1044" uniqueCount="424">
  <si>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</si>
  <si>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</si>
  <si>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</si>
  <si>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</si>
  <si>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</si>
  <si>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</si>
  <si>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</si>
  <si>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</si>
  <si>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</si>
  <si>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</si>
  <si>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</si>
  <si>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3</t>
  </si>
  <si>
    <t>_</t>
  </si>
  <si>
    <t>erhalten</t>
  </si>
  <si>
    <t>Golfer Langer erhält die Sportpyramide</t>
  </si>
  <si>
    <t>file://conllu/de/an-online.de.224441.conllu#s1_0</t>
  </si>
  <si>
    <t>2</t>
  </si>
  <si>
    <t>6</t>
  </si>
  <si>
    <t>sein (sein überschaubar)</t>
  </si>
  <si>
    <t>Seine Erfahrungen auf dem Pferd sind überschaubar .</t>
  </si>
  <si>
    <t>file://conllu/de/an-online.de.224441.conllu#s2_0</t>
  </si>
  <si>
    <t>4</t>
  </si>
  <si>
    <t>sein (sein Premiere)</t>
  </si>
  <si>
    <t>Für den 58 Jährigen war es eine Premiere .</t>
  </si>
  <si>
    <t>file://conllu/de/an-online.de.224441.conllu#s4_0</t>
  </si>
  <si>
    <t>5</t>
  </si>
  <si>
    <t>CHIO</t>
  </si>
  <si>
    <t>CHIO : &amp;quot; Goldene Sportpyramide &amp;quot; für Bernhard Langer</t>
  </si>
  <si>
    <t>file://conllu/de/an-online.de.224441.conllu#s5_0</t>
  </si>
  <si>
    <t>erinnern</t>
  </si>
  <si>
    <t>Nach einigen Minuten erinnerten sich die Pferde an ihren Feierabend , sie jagten im in dem schnellen Galopp nach Hause zu den Futtertrögen .</t>
  </si>
  <si>
    <t>file://conllu/de/an-online.de.224441.conllu#s6_0</t>
  </si>
  <si>
    <t>7</t>
  </si>
  <si>
    <t>Kilometer</t>
  </si>
  <si>
    <t>Ein Kilometer bei diesem Tempo , ich habe Angst gehabt .</t>
  </si>
  <si>
    <t>file://conllu/de/an-online.de.224441.conllu#s7_0</t>
  </si>
  <si>
    <t>8</t>
  </si>
  <si>
    <t>9</t>
  </si>
  <si>
    <t>sagen</t>
  </si>
  <si>
    <t>&amp;quot; Es war kein gutes Erlebnis &amp;quot; , sagt Langer .</t>
  </si>
  <si>
    <t>file://conllu/de/an-online.de.224441.conllu#s8_0</t>
  </si>
  <si>
    <t>enden</t>
  </si>
  <si>
    <t>Und damit endete die Reitkarriere dann auch schon wieder .</t>
  </si>
  <si>
    <t>file://conllu/de/an-online.de.224441.conllu#s9_0</t>
  </si>
  <si>
    <t>11</t>
  </si>
  <si>
    <t>lassen</t>
  </si>
  <si>
    <t>Er ließ sich mit seiner Familie über die Anlage des ALRV führen , auf ein Pferd schwang er sich nicht mal zu Fotozwecken .</t>
  </si>
  <si>
    <t>file://conllu/de/an-online.de.224441.conllu#s11_0</t>
  </si>
  <si>
    <t>12</t>
  </si>
  <si>
    <t>sein (sein Mal)</t>
  </si>
  <si>
    <t>Langer war das erste Mal in Aachen und damit auch beim bei dem CHIO .</t>
  </si>
  <si>
    <t>file://conllu/de/an-online.de.224441.conllu#s12_0</t>
  </si>
  <si>
    <t>13</t>
  </si>
  <si>
    <t>sein (sein überzeugend)</t>
  </si>
  <si>
    <t>Der Grund war durchaus überzeugend .</t>
  </si>
  <si>
    <t>file://conllu/de/an-online.de.224441.conllu#s13_0</t>
  </si>
  <si>
    <t>14</t>
  </si>
  <si>
    <t>überreichen</t>
  </si>
  <si>
    <t>Die deutsche Sporthilfe überreichte dem Mann aus Anhausen im in dem Rahmen einer kleinen Gala die Goldene Sportpyramide .</t>
  </si>
  <si>
    <t>file://conllu/de/an-online.de.224441.conllu#s14_0</t>
  </si>
  <si>
    <t>15</t>
  </si>
  <si>
    <t>mangeln</t>
  </si>
  <si>
    <t>An Auszeichnungen mangelt es dem sympathischen Sportler nicht .</t>
  </si>
  <si>
    <t>file://conllu/de/an-online.de.224441.conllu#s15_0</t>
  </si>
  <si>
    <t>16</t>
  </si>
  <si>
    <t>Bundesverdienstkreuz</t>
  </si>
  <si>
    <t>Bundesverdienstkreuz , Silbernes Lorbeerblatt , Champions Tour Player of the year ...</t>
  </si>
  <si>
    <t>file://conllu/de/an-online.de.224441.conllu#s16_0</t>
  </si>
  <si>
    <t>17</t>
  </si>
  <si>
    <t>adeln</t>
  </si>
  <si>
    <t>Selbst die britische Queen hat ihn schon geadelt .</t>
  </si>
  <si>
    <t>file://conllu/de/an-online.de.224441.conllu#s17_0</t>
  </si>
  <si>
    <t>18</t>
  </si>
  <si>
    <t>sein (sein 18)</t>
  </si>
  <si>
    <t>Langer ist der 18 .</t>
  </si>
  <si>
    <t>file://conllu/de/an-online.de.224441.conllu#s18_0</t>
  </si>
  <si>
    <t>19</t>
  </si>
  <si>
    <t>Preisträger</t>
  </si>
  <si>
    <t>Preisträger der Sportpyramide .</t>
  </si>
  <si>
    <t>file://conllu/de/an-online.de.224441.conllu#s19_0</t>
  </si>
  <si>
    <t>20</t>
  </si>
  <si>
    <t>treffen</t>
  </si>
  <si>
    <t>In Aachen traf er am an dem Samstag den ersten Preisträger Hans Günter Winkler .</t>
  </si>
  <si>
    <t>file://conllu/de/an-online.de.224441.conllu#s20_0</t>
  </si>
  <si>
    <t>21</t>
  </si>
  <si>
    <t>10</t>
  </si>
  <si>
    <t>&amp;quot; Diese Auszeichnung bedeutet mir sehr viel &amp;quot; , sagt Langer , &amp;quot; denn sie wird nicht nur für sportliche Erfolge , sondern auch für gesellschaftliches Engagement vergeben &amp;quot; .</t>
  </si>
  <si>
    <t>file://conllu/de/an-online.de.224441.conllu#s21_0</t>
  </si>
  <si>
    <t>22</t>
  </si>
  <si>
    <t>fördern</t>
  </si>
  <si>
    <t>Seit Jahrzehnten fördert Langer den Nachwuchs .</t>
  </si>
  <si>
    <t>file://conllu/de/an-online.de.224441.conllu#s22_0</t>
  </si>
  <si>
    <t>23</t>
  </si>
  <si>
    <t>geben</t>
  </si>
  <si>
    <t>Und so gab er auch das Preisgeld von 25.000 Euro gleich weiter .</t>
  </si>
  <si>
    <t>file://conllu/de/an-online.de.224441.conllu#s23_0</t>
  </si>
  <si>
    <t>24</t>
  </si>
  <si>
    <t>25</t>
  </si>
  <si>
    <t>aufnehmen</t>
  </si>
  <si>
    <t>Mit 15 weiteren herausragenden Sportlern wurde der zweifache US Masterssieger am an dem Samstag in die &amp;quot; Hall of Fame des deutschen Sports &amp;quot; aufgenommen .</t>
  </si>
  <si>
    <t>file://conllu/de/an-online.de.224441.conllu#s24_0</t>
  </si>
  <si>
    <t>gehören</t>
  </si>
  <si>
    <t>Zu den Ausgezeichneten gehören die Leichtathleten Hartwig Gauder und Harald Schmitt , der Turner Eberhard Gienger , die Fechter Cornelia Hanisch , Alexander Pusch und Arnd Schmitt , der Ruderer Peter Michael Kolbe , Bob Fahrer Meinhard Nehmer , der Judoka Frank Wieneke , der Springreiter Alwin Schockemöhle und posthum der Handballer Erhard Wunderlich .</t>
  </si>
  <si>
    <t>file://conllu/de/an-online.de.224441.conllu#s25_0</t>
  </si>
  <si>
    <t>26</t>
  </si>
  <si>
    <t>sein (sein kommen)</t>
  </si>
  <si>
    <t>Viele dieser Sportlegenden waren am an dem Samstag nach Aachen gekommen .</t>
  </si>
  <si>
    <t>file://conllu/de/an-online.de.224441.conllu#s26_0</t>
  </si>
  <si>
    <t>27</t>
  </si>
  <si>
    <t>wandern</t>
  </si>
  <si>
    <t>Nach dem offiziellen Teil wanderte die illustre Gesellschaft ins in das Springstadion , wo der Lavazza Preis lief .</t>
  </si>
  <si>
    <t>file://conllu/de/an-online.de.224441.conllu#s27_0</t>
  </si>
  <si>
    <t>28</t>
  </si>
  <si>
    <t>halten</t>
  </si>
  <si>
    <t>Bernhard Langer hielt Abstand zu den großen Tieren .</t>
  </si>
  <si>
    <t>file://conllu/de/an-online.de.224441.conllu#s28_0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</si>
  <si>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</si>
  <si>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</si>
  <si>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</si>
  <si>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</si>
  <si>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</si>
  <si>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</si>
  <si>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</si>
  <si>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</si>
  <si>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</si>
  <si>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</si>
  <si>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</si>
  <si>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Golfer Langer erhält die Sportpyramide</t>
  </si>
  <si>
    <t>Golfer</t>
  </si>
  <si>
    <t>SBJ</t>
  </si>
  <si>
    <t>ne</t>
  </si>
  <si>
    <t>?OLD</t>
  </si>
  <si>
    <t>Langer</t>
  </si>
  <si>
    <t>erhält</t>
  </si>
  <si>
    <t>die</t>
  </si>
  <si>
    <t>Sportpyramide</t>
  </si>
  <si>
    <t>OBJ</t>
  </si>
  <si>
    <t>def-np.the</t>
  </si>
  <si>
    <t># text = Seine Erfahrungen auf dem Pferd sind überschaubar.</t>
  </si>
  <si>
    <t>Seine</t>
  </si>
  <si>
    <t>Erfahrungen</t>
  </si>
  <si>
    <t>indef-np</t>
  </si>
  <si>
    <t>auf</t>
  </si>
  <si>
    <t>dem</t>
  </si>
  <si>
    <t>Pferd</t>
  </si>
  <si>
    <t>other_2</t>
  </si>
  <si>
    <t>sind</t>
  </si>
  <si>
    <t>überschaubar</t>
  </si>
  <si>
    <t>.</t>
  </si>
  <si>
    <t># text = Am Ende eines Golfturniers in Südafrika suchte Bernhard Langer mit einigen Kollegen ein bisschen Abwechslung mit einem Ausritt am Strand.</t>
  </si>
  <si>
    <t>An</t>
  </si>
  <si>
    <t>Ende</t>
  </si>
  <si>
    <t>other</t>
  </si>
  <si>
    <t>eines</t>
  </si>
  <si>
    <t>Golfturniers</t>
  </si>
  <si>
    <t>indef-np.a</t>
  </si>
  <si>
    <t>in</t>
  </si>
  <si>
    <t>Südafrika</t>
  </si>
  <si>
    <t>other_3</t>
  </si>
  <si>
    <t>suchte</t>
  </si>
  <si>
    <t>Bernhard</t>
  </si>
  <si>
    <t>mit</t>
  </si>
  <si>
    <t>einigen</t>
  </si>
  <si>
    <t>pron.pind</t>
  </si>
  <si>
    <t>Kollegen</t>
  </si>
  <si>
    <t>indef-np.quant</t>
  </si>
  <si>
    <t>ein</t>
  </si>
  <si>
    <t>bisschen</t>
  </si>
  <si>
    <t>Abwechslung</t>
  </si>
  <si>
    <t>einem</t>
  </si>
  <si>
    <t>Ausritt</t>
  </si>
  <si>
    <t>an</t>
  </si>
  <si>
    <t>Strand</t>
  </si>
  <si>
    <t># text = Für den 58-Jährigen war es eine Premiere.</t>
  </si>
  <si>
    <t>Für</t>
  </si>
  <si>
    <t>den</t>
  </si>
  <si>
    <t>58</t>
  </si>
  <si>
    <t>Jährigen</t>
  </si>
  <si>
    <t>def-np.quant</t>
  </si>
  <si>
    <t>war</t>
  </si>
  <si>
    <t>es</t>
  </si>
  <si>
    <t>pron.pper</t>
  </si>
  <si>
    <t>eine</t>
  </si>
  <si>
    <t>Premiere</t>
  </si>
  <si>
    <t>--</t>
  </si>
  <si>
    <t># text = CHIO: "Goldene Sportpyramide" für Bernhard Langer</t>
  </si>
  <si>
    <t>:</t>
  </si>
  <si>
    <t>&amp;quot;</t>
  </si>
  <si>
    <t>Goldene</t>
  </si>
  <si>
    <t>für</t>
  </si>
  <si>
    <t># text = Nach einigen Minuten erinnerten sich die Pferde an ihren Feierabend, sie jagten im schnellen Galopp nach Hause zu den Futtertrögen.</t>
  </si>
  <si>
    <t>Nach</t>
  </si>
  <si>
    <t>Minuten</t>
  </si>
  <si>
    <t>erinnerten</t>
  </si>
  <si>
    <t>sich</t>
  </si>
  <si>
    <t>Pferde</t>
  </si>
  <si>
    <t>ihren</t>
  </si>
  <si>
    <t>Feierabend</t>
  </si>
  <si>
    <t>,</t>
  </si>
  <si>
    <t>sie</t>
  </si>
  <si>
    <t>SBJ_2</t>
  </si>
  <si>
    <t>pron</t>
  </si>
  <si>
    <t>jagten</t>
  </si>
  <si>
    <t>schnellen</t>
  </si>
  <si>
    <t>Galopp</t>
  </si>
  <si>
    <t>nach</t>
  </si>
  <si>
    <t>Hause</t>
  </si>
  <si>
    <t>indef-np.bare</t>
  </si>
  <si>
    <t>zu</t>
  </si>
  <si>
    <t>other_5</t>
  </si>
  <si>
    <t>Futtertrögen</t>
  </si>
  <si>
    <t>other_4</t>
  </si>
  <si>
    <t># text = Ein Kilometer bei diesem Tempo, ich habe Angst gehabt.</t>
  </si>
  <si>
    <t>Ein</t>
  </si>
  <si>
    <t>bei</t>
  </si>
  <si>
    <t>diesem</t>
  </si>
  <si>
    <t>pron.pds</t>
  </si>
  <si>
    <t>Tempo</t>
  </si>
  <si>
    <t>def-np.dem</t>
  </si>
  <si>
    <t>ich</t>
  </si>
  <si>
    <t>habe</t>
  </si>
  <si>
    <t>Angst</t>
  </si>
  <si>
    <t>OBJ_2</t>
  </si>
  <si>
    <t>gehabt</t>
  </si>
  <si>
    <t># text = \"Es war kein gutes Erlebnis\", sagt Langer.</t>
  </si>
  <si>
    <t>Es</t>
  </si>
  <si>
    <t>kein</t>
  </si>
  <si>
    <t>gutes</t>
  </si>
  <si>
    <t>Erlebnis</t>
  </si>
  <si>
    <t>sagt</t>
  </si>
  <si>
    <t># text = Und damit endete die Reitkarriere dann auch schon wieder.</t>
  </si>
  <si>
    <t>Und</t>
  </si>
  <si>
    <t>damit</t>
  </si>
  <si>
    <t>endete</t>
  </si>
  <si>
    <t>Reitkarriere</t>
  </si>
  <si>
    <t>dann</t>
  </si>
  <si>
    <t>auch</t>
  </si>
  <si>
    <t>schon</t>
  </si>
  <si>
    <t>wieder</t>
  </si>
  <si>
    <t># text = Am Samstag war Deutschlands bester Golfer aller Zeiten - 101 Turniersiege - wieder in der Nähe von Pferden.</t>
  </si>
  <si>
    <t>Samstag</t>
  </si>
  <si>
    <t>Deutschlands</t>
  </si>
  <si>
    <t>bester</t>
  </si>
  <si>
    <t>def-np.poss</t>
  </si>
  <si>
    <t>aller</t>
  </si>
  <si>
    <t>Zeiten</t>
  </si>
  <si>
    <t>101</t>
  </si>
  <si>
    <t>Turniersiege</t>
  </si>
  <si>
    <t>der</t>
  </si>
  <si>
    <t>Nähe</t>
  </si>
  <si>
    <t>von</t>
  </si>
  <si>
    <t>Pferden</t>
  </si>
  <si>
    <t># text = Er ließ sich mit seiner Familie über die Anlage des ALRV führen, auf ein Pferd schwang er sich nicht mal zu Fotozwecken.</t>
  </si>
  <si>
    <t>Er</t>
  </si>
  <si>
    <t>ließ</t>
  </si>
  <si>
    <t>seiner</t>
  </si>
  <si>
    <t>Familie</t>
  </si>
  <si>
    <t>über</t>
  </si>
  <si>
    <t>Anlage</t>
  </si>
  <si>
    <t>des</t>
  </si>
  <si>
    <t>ALRV</t>
  </si>
  <si>
    <t>führen</t>
  </si>
  <si>
    <t>schwang</t>
  </si>
  <si>
    <t>er</t>
  </si>
  <si>
    <t>nicht</t>
  </si>
  <si>
    <t>mal</t>
  </si>
  <si>
    <t>Fotozwecken</t>
  </si>
  <si>
    <t># text = Langer war das erste Mal in Aachen und damit auch beim CHIO.</t>
  </si>
  <si>
    <t>das</t>
  </si>
  <si>
    <t>erste</t>
  </si>
  <si>
    <t>Mal</t>
  </si>
  <si>
    <t>Aachen</t>
  </si>
  <si>
    <t>und</t>
  </si>
  <si>
    <t># text = Der Grund war durchaus überzeugend.</t>
  </si>
  <si>
    <t>Der</t>
  </si>
  <si>
    <t>Grund</t>
  </si>
  <si>
    <t>durchaus</t>
  </si>
  <si>
    <t>überzeugend</t>
  </si>
  <si>
    <t># text = Die deutsche Sporthilfe überreichte dem Mann aus Anhausen im Rahmen einer kleinen Gala die Goldene Sportpyramide.</t>
  </si>
  <si>
    <t>Die</t>
  </si>
  <si>
    <t>deutsche</t>
  </si>
  <si>
    <t>Sporthilfe</t>
  </si>
  <si>
    <t>überreichte</t>
  </si>
  <si>
    <t>Mann</t>
  </si>
  <si>
    <t>aus</t>
  </si>
  <si>
    <t>Anhausen</t>
  </si>
  <si>
    <t>Rahmen</t>
  </si>
  <si>
    <t>einer</t>
  </si>
  <si>
    <t>kleinen</t>
  </si>
  <si>
    <t>Gala</t>
  </si>
  <si>
    <t># text = An Auszeichnungen mangelt es dem sympathischen Sportler nicht.</t>
  </si>
  <si>
    <t>Auszeichnungen</t>
  </si>
  <si>
    <t>mangelt</t>
  </si>
  <si>
    <t>sympathischen</t>
  </si>
  <si>
    <t>Sportler</t>
  </si>
  <si>
    <t># text = Bundesverdienstkreuz, Silbernes Lorbeerblatt, Champions-Tour-Player of the year...</t>
  </si>
  <si>
    <t>Silbernes</t>
  </si>
  <si>
    <t>Lorbeerblatt</t>
  </si>
  <si>
    <t>Champions</t>
  </si>
  <si>
    <t>Tour</t>
  </si>
  <si>
    <t>Player</t>
  </si>
  <si>
    <t>of</t>
  </si>
  <si>
    <t>the</t>
  </si>
  <si>
    <t>year</t>
  </si>
  <si>
    <t>...</t>
  </si>
  <si>
    <t># text = Selbst die britische Queen hat ihn schon geadelt.</t>
  </si>
  <si>
    <t>Selbst</t>
  </si>
  <si>
    <t>britische</t>
  </si>
  <si>
    <t>Queen</t>
  </si>
  <si>
    <t>hat</t>
  </si>
  <si>
    <t>ihn</t>
  </si>
  <si>
    <t>geadelt</t>
  </si>
  <si>
    <t># text = Langer ist der 18.</t>
  </si>
  <si>
    <t>ist</t>
  </si>
  <si>
    <t># text = Preisträger der Sportpyramide.</t>
  </si>
  <si>
    <t># text = In Aachen traf er am Samstag den ersten Preisträger Hans Günter Winkler.</t>
  </si>
  <si>
    <t>In</t>
  </si>
  <si>
    <t>traf</t>
  </si>
  <si>
    <t>ersten</t>
  </si>
  <si>
    <t>Hans</t>
  </si>
  <si>
    <t>Günter</t>
  </si>
  <si>
    <t>Winkler</t>
  </si>
  <si>
    <t># text = "Diese Auszeichnung bedeutet mir sehr viel", sagt Langer, "denn sie wird nicht nur für sportliche Erfolge, sondern auch für gesellschaftliches Engagement vergeben".</t>
  </si>
  <si>
    <t>Diese</t>
  </si>
  <si>
    <t>Auszeichnung</t>
  </si>
  <si>
    <t>bedeutet</t>
  </si>
  <si>
    <t>mir</t>
  </si>
  <si>
    <t>sehr</t>
  </si>
  <si>
    <t>viel</t>
  </si>
  <si>
    <t>denn</t>
  </si>
  <si>
    <t>SBJ_3</t>
  </si>
  <si>
    <t>wird</t>
  </si>
  <si>
    <t>nur</t>
  </si>
  <si>
    <t>sportliche</t>
  </si>
  <si>
    <t>Erfolge</t>
  </si>
  <si>
    <t>sondern</t>
  </si>
  <si>
    <t>gesellschaftliches</t>
  </si>
  <si>
    <t>Engagement</t>
  </si>
  <si>
    <t>vergeben</t>
  </si>
  <si>
    <t># text = Seit Jahrzehnten fördert Langer den Nachwuchs.</t>
  </si>
  <si>
    <t>Seit</t>
  </si>
  <si>
    <t>Jahrzehnten</t>
  </si>
  <si>
    <t>fördert</t>
  </si>
  <si>
    <t>Nachwuchs</t>
  </si>
  <si>
    <t># text = Und so gab er auch das Preisgeld von 25.000 Euro gleich weiter.</t>
  </si>
  <si>
    <t>so</t>
  </si>
  <si>
    <t>gab</t>
  </si>
  <si>
    <t>Preisgeld</t>
  </si>
  <si>
    <t>25.000</t>
  </si>
  <si>
    <t>Euro</t>
  </si>
  <si>
    <t>gleich</t>
  </si>
  <si>
    <t>weiter</t>
  </si>
  <si>
    <t># text = Mit 15 weiteren herausragenden Sportlern wurde der zweifache US-Masterssieger am Samstag in die "Hall of Fame des deutschen Sports" aufgenommen.</t>
  </si>
  <si>
    <t>Mit</t>
  </si>
  <si>
    <t>weiteren</t>
  </si>
  <si>
    <t>herausragenden</t>
  </si>
  <si>
    <t>Sportlern</t>
  </si>
  <si>
    <t>wurde</t>
  </si>
  <si>
    <t>zweifache</t>
  </si>
  <si>
    <t>US</t>
  </si>
  <si>
    <t>Masterssieger</t>
  </si>
  <si>
    <t>Hall</t>
  </si>
  <si>
    <t>Fame</t>
  </si>
  <si>
    <t>deutschen</t>
  </si>
  <si>
    <t>Sports</t>
  </si>
  <si>
    <t>aufgenommen</t>
  </si>
  <si>
    <t># text = Zu den Ausgezeichneten gehören die Leichtathleten Hartwig Gauder und Harald Schmitt, der Turner Eberhard Gienger, die Fechter Cornelia Hanisch, Alexander Pusch und Arnd Schmitt, der Ruderer Peter-Michael Kolbe, Bob-Fahrer Meinhard Nehmer, der Judoka Frank Wieneke, der Springreiter Alwin Schockemöhle und posthum der Handballer Erhard Wunderlich.</t>
  </si>
  <si>
    <t>Zu</t>
  </si>
  <si>
    <t>Ausgezeichneten</t>
  </si>
  <si>
    <t>Leichtathleten</t>
  </si>
  <si>
    <t>Hartwig</t>
  </si>
  <si>
    <t>Gauder</t>
  </si>
  <si>
    <t>Harald</t>
  </si>
  <si>
    <t>Schmitt</t>
  </si>
  <si>
    <t>Turner</t>
  </si>
  <si>
    <t>Eberhard</t>
  </si>
  <si>
    <t>Gienger</t>
  </si>
  <si>
    <t>Fechter</t>
  </si>
  <si>
    <t>Cornelia</t>
  </si>
  <si>
    <t>Hanisch</t>
  </si>
  <si>
    <t>Alexander</t>
  </si>
  <si>
    <t>Pusch</t>
  </si>
  <si>
    <t>Arnd</t>
  </si>
  <si>
    <t>Ruderer</t>
  </si>
  <si>
    <t>Peter</t>
  </si>
  <si>
    <t>Michael</t>
  </si>
  <si>
    <t>Kolbe</t>
  </si>
  <si>
    <t>Bob</t>
  </si>
  <si>
    <t>Fahrer</t>
  </si>
  <si>
    <t>Meinhard</t>
  </si>
  <si>
    <t>Nehmer</t>
  </si>
  <si>
    <t>Judoka</t>
  </si>
  <si>
    <t>Frank</t>
  </si>
  <si>
    <t>Wieneke</t>
  </si>
  <si>
    <t>Springreiter</t>
  </si>
  <si>
    <t>Alwin</t>
  </si>
  <si>
    <t>Schockemöhle</t>
  </si>
  <si>
    <t>posthum</t>
  </si>
  <si>
    <t>Handballer</t>
  </si>
  <si>
    <t>Erhard</t>
  </si>
  <si>
    <t>Wunderlich</t>
  </si>
  <si>
    <t># text = Viele dieser Sportlegenden waren am Samstag nach Aachen gekommen.</t>
  </si>
  <si>
    <t>Viele</t>
  </si>
  <si>
    <t>dieser</t>
  </si>
  <si>
    <t>Sportlegenden</t>
  </si>
  <si>
    <t>waren</t>
  </si>
  <si>
    <t>gekommen</t>
  </si>
  <si>
    <t># text = Nach dem offiziellen Teil wanderte die illustre Gesellschaft ins Springstadion, wo der Lavazza-Preis lief.</t>
  </si>
  <si>
    <t>offiziellen</t>
  </si>
  <si>
    <t>Teil</t>
  </si>
  <si>
    <t>wanderte</t>
  </si>
  <si>
    <t>illustre</t>
  </si>
  <si>
    <t>Gesellschaft</t>
  </si>
  <si>
    <t>Springstadion</t>
  </si>
  <si>
    <t>wo</t>
  </si>
  <si>
    <t>Lavazza</t>
  </si>
  <si>
    <t>SBJ_4</t>
  </si>
  <si>
    <t>Preis</t>
  </si>
  <si>
    <t>lief</t>
  </si>
  <si>
    <t># text = Bernhard Langer hielt Abstand zu den großen Tieren.</t>
  </si>
  <si>
    <t>hielt</t>
  </si>
  <si>
    <t>Abstand</t>
  </si>
  <si>
    <t>großen</t>
  </si>
  <si>
    <t>Tieren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</si>
</sst>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27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17</v>
      </c>
      <c r="C3" s="6" t="s">
        <v>12</v>
      </c>
      <c r="D3" s="7" t="s">
        <v>18</v>
      </c>
      <c r="E3" s="8" t="s">
        <v>19</v>
      </c>
      <c r="F3" s="6" t="s">
        <v>20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21</v>
      </c>
      <c r="B4" s="6" t="s">
        <v>17</v>
      </c>
      <c r="C4" s="6" t="s">
        <v>12</v>
      </c>
      <c r="D4" s="7" t="s">
        <v>22</v>
      </c>
      <c r="E4" s="8" t="s">
        <v>23</v>
      </c>
      <c r="F4" s="6" t="s">
        <v>24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25</v>
      </c>
      <c r="B5" s="6" t="s">
        <v>10</v>
      </c>
      <c r="C5" s="6" t="s">
        <v>12</v>
      </c>
      <c r="D5" s="7" t="s">
        <v>26</v>
      </c>
      <c r="E5" s="8" t="s">
        <v>27</v>
      </c>
      <c r="F5" s="6" t="s">
        <v>28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17</v>
      </c>
      <c r="B6" s="6" t="s">
        <v>21</v>
      </c>
      <c r="C6" s="6" t="s">
        <v>12</v>
      </c>
      <c r="D6" s="7" t="s">
        <v>29</v>
      </c>
      <c r="E6" s="8" t="s">
        <v>30</v>
      </c>
      <c r="F6" s="6" t="s">
        <v>31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32</v>
      </c>
      <c r="B7" s="6" t="s">
        <v>16</v>
      </c>
      <c r="C7" s="6" t="s">
        <v>12</v>
      </c>
      <c r="D7" s="7" t="s">
        <v>33</v>
      </c>
      <c r="E7" s="8" t="s">
        <v>34</v>
      </c>
      <c r="F7" s="6" t="s">
        <v>35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36</v>
      </c>
      <c r="B8" s="6" t="s">
        <v>37</v>
      </c>
      <c r="C8" s="6" t="s">
        <v>12</v>
      </c>
      <c r="D8" s="7" t="s">
        <v>38</v>
      </c>
      <c r="E8" s="8" t="s">
        <v>39</v>
      </c>
      <c r="F8" s="6" t="s">
        <v>40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37</v>
      </c>
      <c r="B9" s="6" t="s">
        <v>11</v>
      </c>
      <c r="C9" s="6" t="s">
        <v>12</v>
      </c>
      <c r="D9" s="7" t="s">
        <v>41</v>
      </c>
      <c r="E9" s="8" t="s">
        <v>42</v>
      </c>
      <c r="F9" s="6" t="s">
        <v>43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44</v>
      </c>
      <c r="B10" s="6" t="s">
        <v>16</v>
      </c>
      <c r="C10" s="6" t="s">
        <v>12</v>
      </c>
      <c r="D10" s="7" t="s">
        <v>45</v>
      </c>
      <c r="E10" s="8" t="s">
        <v>46</v>
      </c>
      <c r="F10" s="6" t="s">
        <v>47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48</v>
      </c>
      <c r="B11" s="6" t="s">
        <v>16</v>
      </c>
      <c r="C11" s="6" t="s">
        <v>12</v>
      </c>
      <c r="D11" s="7" t="s">
        <v>49</v>
      </c>
      <c r="E11" s="8" t="s">
        <v>50</v>
      </c>
      <c r="F11" s="6" t="s">
        <v>51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52</v>
      </c>
      <c r="B12" s="6" t="s">
        <v>11</v>
      </c>
      <c r="C12" s="6" t="s">
        <v>12</v>
      </c>
      <c r="D12" s="7" t="s">
        <v>53</v>
      </c>
      <c r="E12" s="8" t="s">
        <v>54</v>
      </c>
      <c r="F12" s="6" t="s">
        <v>55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56</v>
      </c>
      <c r="B13" s="6" t="s">
        <v>21</v>
      </c>
      <c r="C13" s="6" t="s">
        <v>12</v>
      </c>
      <c r="D13" s="7" t="s">
        <v>57</v>
      </c>
      <c r="E13" s="8" t="s">
        <v>58</v>
      </c>
      <c r="F13" s="6" t="s">
        <v>59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60</v>
      </c>
      <c r="B14" s="6" t="s">
        <v>11</v>
      </c>
      <c r="C14" s="6" t="s">
        <v>12</v>
      </c>
      <c r="D14" s="7" t="s">
        <v>61</v>
      </c>
      <c r="E14" s="8" t="s">
        <v>62</v>
      </c>
      <c r="F14" s="6" t="s">
        <v>63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64</v>
      </c>
      <c r="B15" s="6" t="s">
        <v>10</v>
      </c>
      <c r="C15" s="6" t="s">
        <v>12</v>
      </c>
      <c r="D15" s="7" t="s">
        <v>65</v>
      </c>
      <c r="E15" s="8" t="s">
        <v>66</v>
      </c>
      <c r="F15" s="6" t="s">
        <v>67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68</v>
      </c>
      <c r="B16" s="6" t="s">
        <v>36</v>
      </c>
      <c r="C16" s="6" t="s">
        <v>12</v>
      </c>
      <c r="D16" s="7" t="s">
        <v>69</v>
      </c>
      <c r="E16" s="8" t="s">
        <v>70</v>
      </c>
      <c r="F16" s="6" t="s">
        <v>71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72</v>
      </c>
      <c r="B17" s="6" t="s">
        <v>16</v>
      </c>
      <c r="C17" s="6" t="s">
        <v>12</v>
      </c>
      <c r="D17" s="7" t="s">
        <v>73</v>
      </c>
      <c r="E17" s="8" t="s">
        <v>74</v>
      </c>
      <c r="F17" s="6" t="s">
        <v>75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76</v>
      </c>
      <c r="B18" s="6" t="s">
        <v>10</v>
      </c>
      <c r="C18" s="6" t="s">
        <v>12</v>
      </c>
      <c r="D18" s="7" t="s">
        <v>77</v>
      </c>
      <c r="E18" s="8" t="s">
        <v>78</v>
      </c>
      <c r="F18" s="6" t="s">
        <v>79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80</v>
      </c>
      <c r="B19" s="6" t="s">
        <v>11</v>
      </c>
      <c r="C19" s="6" t="s">
        <v>12</v>
      </c>
      <c r="D19" s="7" t="s">
        <v>81</v>
      </c>
      <c r="E19" s="8" t="s">
        <v>82</v>
      </c>
      <c r="F19" s="6" t="s">
        <v>83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84</v>
      </c>
      <c r="B20" s="6" t="s">
        <v>85</v>
      </c>
      <c r="C20" s="6" t="s">
        <v>12</v>
      </c>
      <c r="D20" s="7" t="s">
        <v>38</v>
      </c>
      <c r="E20" s="8" t="s">
        <v>86</v>
      </c>
      <c r="F20" s="6" t="s">
        <v>87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88</v>
      </c>
      <c r="B21" s="6" t="s">
        <v>11</v>
      </c>
      <c r="C21" s="6" t="s">
        <v>12</v>
      </c>
      <c r="D21" s="7" t="s">
        <v>89</v>
      </c>
      <c r="E21" s="8" t="s">
        <v>90</v>
      </c>
      <c r="F21" s="6" t="s">
        <v>91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92</v>
      </c>
      <c r="B22" s="6" t="s">
        <v>11</v>
      </c>
      <c r="C22" s="6" t="s">
        <v>12</v>
      </c>
      <c r="D22" s="7" t="s">
        <v>93</v>
      </c>
      <c r="E22" s="8" t="s">
        <v>94</v>
      </c>
      <c r="F22" s="6" t="s">
        <v>95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96</v>
      </c>
      <c r="B23" s="6" t="s">
        <v>97</v>
      </c>
      <c r="C23" s="6" t="s">
        <v>12</v>
      </c>
      <c r="D23" s="7" t="s">
        <v>98</v>
      </c>
      <c r="E23" s="8" t="s">
        <v>99</v>
      </c>
      <c r="F23" s="6" t="s">
        <v>100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97</v>
      </c>
      <c r="B24" s="6" t="s">
        <v>21</v>
      </c>
      <c r="C24" s="6" t="s">
        <v>12</v>
      </c>
      <c r="D24" s="7" t="s">
        <v>101</v>
      </c>
      <c r="E24" s="8" t="s">
        <v>102</v>
      </c>
      <c r="F24" s="6" t="s">
        <v>103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104</v>
      </c>
      <c r="B25" s="6" t="s">
        <v>21</v>
      </c>
      <c r="C25" s="6" t="s">
        <v>12</v>
      </c>
      <c r="D25" s="7" t="s">
        <v>105</v>
      </c>
      <c r="E25" s="8" t="s">
        <v>106</v>
      </c>
      <c r="F25" s="6" t="s">
        <v>107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108</v>
      </c>
      <c r="B26" s="6" t="s">
        <v>25</v>
      </c>
      <c r="C26" s="6" t="s">
        <v>12</v>
      </c>
      <c r="D26" s="7" t="s">
        <v>109</v>
      </c>
      <c r="E26" s="8" t="s">
        <v>110</v>
      </c>
      <c r="F26" s="6" t="s">
        <v>111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112</v>
      </c>
      <c r="B27" s="6" t="s">
        <v>11</v>
      </c>
      <c r="C27" s="6" t="s">
        <v>12</v>
      </c>
      <c r="D27" s="7" t="s">
        <v>113</v>
      </c>
      <c r="E27" s="8" t="s">
        <v>114</v>
      </c>
      <c r="F27" s="6" t="s">
        <v>115</v>
      </c>
      <c r="G27" s="9">
        <f>IF(A27=1,"_",IF(C27="_","???",C27))</f>
        <v/>
      </c>
      <c r="H27" s="10" t="s">
        <v>12</v>
      </c>
      <c r="I27" s="11" t="s">
        <v>12</v>
      </c>
      <c r="J27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48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116</v>
      </c>
      <c r="B1" s="13" t="s">
        <v>117</v>
      </c>
      <c r="C1" s="13" t="s">
        <v>118</v>
      </c>
      <c r="D1" s="13" t="s">
        <v>119</v>
      </c>
      <c r="E1" s="14" t="s">
        <v>120</v>
      </c>
      <c r="F1" s="15" t="s">
        <v>121</v>
      </c>
      <c r="G1" s="16" t="s">
        <v>122</v>
      </c>
      <c r="H1" s="17" t="s">
        <v>123</v>
      </c>
      <c r="I1" s="18" t="s">
        <v>124</v>
      </c>
      <c r="J1" s="18" t="s">
        <v>125</v>
      </c>
      <c r="K1" s="18" t="s">
        <v>126</v>
      </c>
      <c r="L1" s="19" t="s">
        <v>9</v>
      </c>
    </row>
    <row r="2" spans="1:12">
      <c r="A2" s="20" t="s">
        <v>127</v>
      </c>
    </row>
    <row r="3" spans="1:12">
      <c r="A3" s="20" t="s">
        <v>128</v>
      </c>
      <c r="B3" s="21" t="s">
        <v>129</v>
      </c>
      <c r="C3" s="21" t="s">
        <v>130</v>
      </c>
      <c r="D3" s="21" t="s">
        <v>131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132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133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134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135</v>
      </c>
      <c r="B7" s="21" t="s">
        <v>136</v>
      </c>
      <c r="C7" s="21" t="s">
        <v>137</v>
      </c>
      <c r="D7" s="21" t="s">
        <v>131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/>
    </row>
    <row r="9" spans="1:12">
      <c r="A9" s="20" t="s">
        <v>138</v>
      </c>
    </row>
    <row r="10" spans="1:12">
      <c r="A10" s="20" t="s">
        <v>139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140</v>
      </c>
      <c r="B11" s="21" t="s">
        <v>129</v>
      </c>
      <c r="C11" s="21" t="s">
        <v>141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142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 t="s">
        <v>143</v>
      </c>
      <c r="E13" s="22">
        <f>IF(D13="?OLD","!!!","")</f>
        <v/>
      </c>
      <c r="F13" s="23" t="str">
        <f>IF(OR(E13="",E13="!!!"),"",IF(NOT(ISNA(VLOOKUP(E13,E$1:E12,1,FALSE()))),"OLD",IF(AND(E13&lt;&gt;"",E13&lt;&gt;"!!!"),"NEW","")))</f>
        <v> </v>
      </c>
      <c r="G13" s="24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5" t="str">
        <f>IF(J13&lt;&gt;1,"",IF(I13="SBJ","CB","?"))</f>
        <v> </v>
      </c>
      <c r="I13" s="26" t="str">
        <f>IF(OR(E13="",E13="!!!",F13="NEW"),"",INDEX(B12:B$2,-1+SUMPRODUCT(MAX(ROW(E12:E$2)*(E13=E12:E$2)))))</f>
        <v> </v>
      </c>
      <c r="J13" s="26" t="str">
        <f>IF(OR(E13="",E13="!!!",F13="NEW"),"",COUNTBLANK(OFFSET(A$1,,,SUMPRODUCT(MAX(ROW(E$2:E13)*(E13=E$2:E13)))))-COUNTBLANK(OFFSET(A$1,,,SUMPRODUCT(MAX(ROW(E$1:E12)*(E2=E$1:E12))))))</f>
        <v> </v>
      </c>
      <c r="K13" s="26" t="str">
        <f>IF(OR(E13="",E13="!!!",F13="NEW"),"",INDEX(J$1:J12,SUMPRODUCT(MAX(ROW(E$1:E12)*(E13=E$1:E12)))))</f>
        <v> </v>
      </c>
      <c r="L13" s="27"/>
    </row>
    <row r="14" spans="1:12">
      <c r="A14" s="20" t="s">
        <v>144</v>
      </c>
      <c r="B14" s="21" t="s">
        <v>145</v>
      </c>
      <c r="C14" s="21" t="s">
        <v>137</v>
      </c>
      <c r="D14" s="21" t="s">
        <v>131</v>
      </c>
      <c r="E14" s="22">
        <f>IF(D14="?OLD","!!!","")</f>
        <v/>
      </c>
      <c r="F14" s="23" t="str">
        <f>IF(OR(E14="",E14="!!!"),"",IF(NOT(ISNA(VLOOKUP(E14,E$1:E13,1,FALSE()))),"OLD",IF(AND(E14&lt;&gt;"",E14&lt;&gt;"!!!"),"NEW","")))</f>
        <v> </v>
      </c>
      <c r="G14" s="24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5" t="str">
        <f>IF(J14&lt;&gt;1,"",IF(I14="SBJ","CB","?"))</f>
        <v> </v>
      </c>
      <c r="I14" s="26" t="str">
        <f>IF(OR(E14="",E14="!!!",F14="NEW"),"",INDEX(B13:B$2,-1+SUMPRODUCT(MAX(ROW(E13:E$2)*(E14=E13:E$2)))))</f>
        <v> </v>
      </c>
      <c r="J14" s="26" t="str">
        <f>IF(OR(E14="",E14="!!!",F14="NEW"),"",COUNTBLANK(OFFSET(A$1,,,SUMPRODUCT(MAX(ROW(E$2:E14)*(E14=E$2:E14)))))-COUNTBLANK(OFFSET(A$1,,,SUMPRODUCT(MAX(ROW(E$1:E13)*(E2=E$1:E13))))))</f>
        <v> </v>
      </c>
      <c r="K14" s="26" t="str">
        <f>IF(OR(E14="",E14="!!!",F14="NEW"),"",INDEX(J$1:J13,SUMPRODUCT(MAX(ROW(E$1:E13)*(E14=E$1:E13)))))</f>
        <v> </v>
      </c>
      <c r="L14" s="27"/>
    </row>
    <row r="15" spans="1:12">
      <c r="A15" s="20" t="s">
        <v>146</v>
      </c>
      <c r="E15" s="22">
        <f>IF(D15="?OLD","!!!","")</f>
        <v/>
      </c>
      <c r="F15" s="23" t="str">
        <f>IF(OR(E15="",E15="!!!"),"",IF(NOT(ISNA(VLOOKUP(E15,E$1:E14,1,FALSE()))),"OLD",IF(AND(E15&lt;&gt;"",E15&lt;&gt;"!!!"),"NEW","")))</f>
        <v> </v>
      </c>
      <c r="G15" s="24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5" t="str">
        <f>IF(J15&lt;&gt;1,"",IF(I15="SBJ","CB","?"))</f>
        <v> </v>
      </c>
      <c r="I15" s="26" t="str">
        <f>IF(OR(E15="",E15="!!!",F15="NEW"),"",INDEX(B14:B$2,-1+SUMPRODUCT(MAX(ROW(E14:E$2)*(E15=E14:E$2)))))</f>
        <v> </v>
      </c>
      <c r="J15" s="26" t="str">
        <f>IF(OR(E15="",E15="!!!",F15="NEW"),"",COUNTBLANK(OFFSET(A$1,,,SUMPRODUCT(MAX(ROW(E$2:E15)*(E15=E$2:E15)))))-COUNTBLANK(OFFSET(A$1,,,SUMPRODUCT(MAX(ROW(E$1:E14)*(E2=E$1:E14))))))</f>
        <v> </v>
      </c>
      <c r="K15" s="26" t="str">
        <f>IF(OR(E15="",E15="!!!",F15="NEW"),"",INDEX(J$1:J14,SUMPRODUCT(MAX(ROW(E$1:E14)*(E15=E$1:E14)))))</f>
        <v> </v>
      </c>
      <c r="L15" s="27"/>
    </row>
    <row r="16" spans="1:12">
      <c r="A16" s="20" t="s">
        <v>147</v>
      </c>
      <c r="E16" s="22">
        <f>IF(D16="?OLD","!!!","")</f>
        <v/>
      </c>
      <c r="F16" s="23" t="str">
        <f>IF(OR(E16="",E16="!!!"),"",IF(NOT(ISNA(VLOOKUP(E16,E$1:E15,1,FALSE()))),"OLD",IF(AND(E16&lt;&gt;"",E16&lt;&gt;"!!!"),"NEW","")))</f>
        <v> </v>
      </c>
      <c r="G16" s="24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5" t="str">
        <f>IF(J16&lt;&gt;1,"",IF(I16="SBJ","CB","?"))</f>
        <v> </v>
      </c>
      <c r="I16" s="26" t="str">
        <f>IF(OR(E16="",E16="!!!",F16="NEW"),"",INDEX(B15:B$2,-1+SUMPRODUCT(MAX(ROW(E15:E$2)*(E16=E15:E$2)))))</f>
        <v> </v>
      </c>
      <c r="J16" s="26" t="str">
        <f>IF(OR(E16="",E16="!!!",F16="NEW"),"",COUNTBLANK(OFFSET(A$1,,,SUMPRODUCT(MAX(ROW(E$2:E16)*(E16=E$2:E16)))))-COUNTBLANK(OFFSET(A$1,,,SUMPRODUCT(MAX(ROW(E$1:E15)*(E2=E$1:E15))))))</f>
        <v> </v>
      </c>
      <c r="K16" s="26" t="str">
        <f>IF(OR(E16="",E16="!!!",F16="NEW"),"",INDEX(J$1:J15,SUMPRODUCT(MAX(ROW(E$1:E15)*(E16=E$1:E15)))))</f>
        <v> </v>
      </c>
      <c r="L16" s="27"/>
    </row>
    <row r="17" spans="1:12">
      <c r="A17" s="20" t="s">
        <v>148</v>
      </c>
      <c r="E17" s="22">
        <f>IF(D17="?OLD","!!!","")</f>
        <v/>
      </c>
      <c r="F17" s="23" t="str">
        <f>IF(OR(E17="",E17="!!!"),"",IF(NOT(ISNA(VLOOKUP(E17,E$1:E16,1,FALSE()))),"OLD",IF(AND(E17&lt;&gt;"",E17&lt;&gt;"!!!"),"NEW","")))</f>
        <v> </v>
      </c>
      <c r="G17" s="24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5" t="str">
        <f>IF(J17&lt;&gt;1,"",IF(I17="SBJ","CB","?"))</f>
        <v> </v>
      </c>
      <c r="I17" s="26" t="str">
        <f>IF(OR(E17="",E17="!!!",F17="NEW"),"",INDEX(B16:B$2,-1+SUMPRODUCT(MAX(ROW(E16:E$2)*(E17=E16:E$2)))))</f>
        <v> </v>
      </c>
      <c r="J17" s="26" t="str">
        <f>IF(OR(E17="",E17="!!!",F17="NEW"),"",COUNTBLANK(OFFSET(A$1,,,SUMPRODUCT(MAX(ROW(E$2:E17)*(E17=E$2:E17)))))-COUNTBLANK(OFFSET(A$1,,,SUMPRODUCT(MAX(ROW(E$1:E16)*(E2=E$1:E16))))))</f>
        <v> </v>
      </c>
      <c r="K17" s="26" t="str">
        <f>IF(OR(E17="",E17="!!!",F17="NEW"),"",INDEX(J$1:J16,SUMPRODUCT(MAX(ROW(E$1:E16)*(E17=E$1:E16)))))</f>
        <v> </v>
      </c>
      <c r="L17" s="27"/>
    </row>
    <row r="18" spans="1:12">
      <c r="A18" s="20"/>
    </row>
    <row r="19" spans="1:12">
      <c r="A19" s="20" t="s">
        <v>149</v>
      </c>
    </row>
    <row r="20" spans="1:12">
      <c r="A20" s="20" t="s">
        <v>150</v>
      </c>
      <c r="E20" s="22">
        <f>IF(D20="?OLD","!!!","")</f>
        <v/>
      </c>
      <c r="F20" s="23" t="str">
        <f>IF(OR(E20="",E20="!!!"),"",IF(NOT(ISNA(VLOOKUP(E20,E$1:E19,1,FALSE()))),"OLD",IF(AND(E20&lt;&gt;"",E20&lt;&gt;"!!!"),"NEW","")))</f>
        <v> </v>
      </c>
      <c r="G20" s="24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5" t="str">
        <f>IF(J20&lt;&gt;1,"",IF(I20="SBJ","CB","?"))</f>
        <v> </v>
      </c>
      <c r="I20" s="26" t="str">
        <f>IF(OR(E20="",E20="!!!",F20="NEW"),"",INDEX(B19:B$2,-1+SUMPRODUCT(MAX(ROW(E19:E$2)*(E20=E19:E$2)))))</f>
        <v> </v>
      </c>
      <c r="J20" s="26" t="str">
        <f>IF(OR(E20="",E20="!!!",F20="NEW"),"",COUNTBLANK(OFFSET(A$1,,,SUMPRODUCT(MAX(ROW(E$2:E20)*(E20=E$2:E20)))))-COUNTBLANK(OFFSET(A$1,,,SUMPRODUCT(MAX(ROW(E$1:E19)*(E2=E$1:E19))))))</f>
        <v> </v>
      </c>
      <c r="K20" s="26" t="str">
        <f>IF(OR(E20="",E20="!!!",F20="NEW"),"",INDEX(J$1:J19,SUMPRODUCT(MAX(ROW(E$1:E19)*(E20=E$1:E19)))))</f>
        <v> </v>
      </c>
      <c r="L20" s="27"/>
    </row>
    <row r="21" spans="1:12">
      <c r="A21" s="20" t="s">
        <v>143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 t="s">
        <v>151</v>
      </c>
      <c r="B22" s="21" t="s">
        <v>152</v>
      </c>
      <c r="C22" s="21" t="s">
        <v>137</v>
      </c>
      <c r="D22" s="21" t="s">
        <v>131</v>
      </c>
      <c r="E22" s="22">
        <f>IF(D22="?OLD","!!!","")</f>
        <v/>
      </c>
      <c r="F22" s="23" t="str">
        <f>IF(OR(E22="",E22="!!!"),"",IF(NOT(ISNA(VLOOKUP(E22,E$1:E21,1,FALSE()))),"OLD",IF(AND(E22&lt;&gt;"",E22&lt;&gt;"!!!"),"NEW","")))</f>
        <v> </v>
      </c>
      <c r="G22" s="24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5" t="str">
        <f>IF(J22&lt;&gt;1,"",IF(I22="SBJ","CB","?"))</f>
        <v> </v>
      </c>
      <c r="I22" s="26" t="str">
        <f>IF(OR(E22="",E22="!!!",F22="NEW"),"",INDEX(B21:B$2,-1+SUMPRODUCT(MAX(ROW(E21:E$2)*(E22=E21:E$2)))))</f>
        <v> </v>
      </c>
      <c r="J22" s="26" t="str">
        <f>IF(OR(E22="",E22="!!!",F22="NEW"),"",COUNTBLANK(OFFSET(A$1,,,SUMPRODUCT(MAX(ROW(E$2:E22)*(E22=E$2:E22)))))-COUNTBLANK(OFFSET(A$1,,,SUMPRODUCT(MAX(ROW(E$1:E21)*(E2=E$1:E21))))))</f>
        <v> </v>
      </c>
      <c r="K22" s="26" t="str">
        <f>IF(OR(E22="",E22="!!!",F22="NEW"),"",INDEX(J$1:J21,SUMPRODUCT(MAX(ROW(E$1:E21)*(E22=E$1:E21)))))</f>
        <v> </v>
      </c>
      <c r="L22" s="27"/>
    </row>
    <row r="23" spans="1:12">
      <c r="A23" s="20" t="s">
        <v>153</v>
      </c>
      <c r="E23" s="22">
        <f>IF(D23="?OLD","!!!","")</f>
        <v/>
      </c>
      <c r="F23" s="23" t="str">
        <f>IF(OR(E23="",E23="!!!"),"",IF(NOT(ISNA(VLOOKUP(E23,E$1:E22,1,FALSE()))),"OLD",IF(AND(E23&lt;&gt;"",E23&lt;&gt;"!!!"),"NEW","")))</f>
        <v> </v>
      </c>
      <c r="G23" s="24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5" t="str">
        <f>IF(J23&lt;&gt;1,"",IF(I23="SBJ","CB","?"))</f>
        <v> </v>
      </c>
      <c r="I23" s="26" t="str">
        <f>IF(OR(E23="",E23="!!!",F23="NEW"),"",INDEX(B22:B$2,-1+SUMPRODUCT(MAX(ROW(E22:E$2)*(E23=E22:E$2)))))</f>
        <v> </v>
      </c>
      <c r="J23" s="26" t="str">
        <f>IF(OR(E23="",E23="!!!",F23="NEW"),"",COUNTBLANK(OFFSET(A$1,,,SUMPRODUCT(MAX(ROW(E$2:E23)*(E23=E$2:E23)))))-COUNTBLANK(OFFSET(A$1,,,SUMPRODUCT(MAX(ROW(E$1:E22)*(E2=E$1:E22))))))</f>
        <v> </v>
      </c>
      <c r="K23" s="26" t="str">
        <f>IF(OR(E23="",E23="!!!",F23="NEW"),"",INDEX(J$1:J22,SUMPRODUCT(MAX(ROW(E$1:E22)*(E23=E$1:E22)))))</f>
        <v> </v>
      </c>
      <c r="L23" s="27"/>
    </row>
    <row r="24" spans="1:12">
      <c r="A24" s="20" t="s">
        <v>154</v>
      </c>
      <c r="B24" s="21" t="s">
        <v>145</v>
      </c>
      <c r="C24" s="21" t="s">
        <v>155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 t="s">
        <v>156</v>
      </c>
      <c r="E25" s="22">
        <f>IF(D25="?OLD","!!!","")</f>
        <v/>
      </c>
      <c r="F25" s="23" t="str">
        <f>IF(OR(E25="",E25="!!!"),"",IF(NOT(ISNA(VLOOKUP(E25,E$1:E24,1,FALSE()))),"OLD",IF(AND(E25&lt;&gt;"",E25&lt;&gt;"!!!"),"NEW","")))</f>
        <v> </v>
      </c>
      <c r="G25" s="24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5" t="str">
        <f>IF(J25&lt;&gt;1,"",IF(I25="SBJ","CB","?"))</f>
        <v> </v>
      </c>
      <c r="I25" s="26" t="str">
        <f>IF(OR(E25="",E25="!!!",F25="NEW"),"",INDEX(B24:B$2,-1+SUMPRODUCT(MAX(ROW(E24:E$2)*(E25=E24:E$2)))))</f>
        <v> </v>
      </c>
      <c r="J25" s="26" t="str">
        <f>IF(OR(E25="",E25="!!!",F25="NEW"),"",COUNTBLANK(OFFSET(A$1,,,SUMPRODUCT(MAX(ROW(E$2:E25)*(E25=E$2:E25)))))-COUNTBLANK(OFFSET(A$1,,,SUMPRODUCT(MAX(ROW(E$1:E24)*(E2=E$1:E24))))))</f>
        <v> </v>
      </c>
      <c r="K25" s="26" t="str">
        <f>IF(OR(E25="",E25="!!!",F25="NEW"),"",INDEX(J$1:J24,SUMPRODUCT(MAX(ROW(E$1:E24)*(E25=E$1:E24)))))</f>
        <v> </v>
      </c>
      <c r="L25" s="27"/>
    </row>
    <row r="26" spans="1:12">
      <c r="A26" s="20" t="s">
        <v>157</v>
      </c>
      <c r="B26" s="21" t="s">
        <v>158</v>
      </c>
      <c r="C26" s="21" t="s">
        <v>130</v>
      </c>
      <c r="D26" s="21" t="s">
        <v>131</v>
      </c>
      <c r="E26" s="22">
        <f>IF(D26="?OLD","!!!","")</f>
        <v/>
      </c>
      <c r="F26" s="23" t="str">
        <f>IF(OR(E26="",E26="!!!"),"",IF(NOT(ISNA(VLOOKUP(E26,E$1:E25,1,FALSE()))),"OLD",IF(AND(E26&lt;&gt;"",E26&lt;&gt;"!!!"),"NEW","")))</f>
        <v> </v>
      </c>
      <c r="G26" s="24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5" t="str">
        <f>IF(J26&lt;&gt;1,"",IF(I26="SBJ","CB","?"))</f>
        <v> </v>
      </c>
      <c r="I26" s="26" t="str">
        <f>IF(OR(E26="",E26="!!!",F26="NEW"),"",INDEX(B25:B$2,-1+SUMPRODUCT(MAX(ROW(E25:E$2)*(E26=E25:E$2)))))</f>
        <v> </v>
      </c>
      <c r="J26" s="26" t="str">
        <f>IF(OR(E26="",E26="!!!",F26="NEW"),"",COUNTBLANK(OFFSET(A$1,,,SUMPRODUCT(MAX(ROW(E$2:E26)*(E26=E$2:E26)))))-COUNTBLANK(OFFSET(A$1,,,SUMPRODUCT(MAX(ROW(E$1:E25)*(E2=E$1:E25))))))</f>
        <v> </v>
      </c>
      <c r="K26" s="26" t="str">
        <f>IF(OR(E26="",E26="!!!",F26="NEW"),"",INDEX(J$1:J25,SUMPRODUCT(MAX(ROW(E$1:E25)*(E26=E$1:E25)))))</f>
        <v> </v>
      </c>
      <c r="L26" s="27"/>
    </row>
    <row r="27" spans="1:12">
      <c r="A27" s="20" t="s">
        <v>159</v>
      </c>
      <c r="E27" s="22">
        <f>IF(D27="?OLD","!!!","")</f>
        <v/>
      </c>
      <c r="F27" s="23" t="str">
        <f>IF(OR(E27="",E27="!!!"),"",IF(NOT(ISNA(VLOOKUP(E27,E$1:E26,1,FALSE()))),"OLD",IF(AND(E27&lt;&gt;"",E27&lt;&gt;"!!!"),"NEW","")))</f>
        <v> </v>
      </c>
      <c r="G27" s="24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5" t="str">
        <f>IF(J27&lt;&gt;1,"",IF(I27="SBJ","CB","?"))</f>
        <v> </v>
      </c>
      <c r="I27" s="26" t="str">
        <f>IF(OR(E27="",E27="!!!",F27="NEW"),"",INDEX(B26:B$2,-1+SUMPRODUCT(MAX(ROW(E26:E$2)*(E27=E26:E$2)))))</f>
        <v> </v>
      </c>
      <c r="J27" s="26" t="str">
        <f>IF(OR(E27="",E27="!!!",F27="NEW"),"",COUNTBLANK(OFFSET(A$1,,,SUMPRODUCT(MAX(ROW(E$2:E27)*(E27=E$2:E27)))))-COUNTBLANK(OFFSET(A$1,,,SUMPRODUCT(MAX(ROW(E$1:E26)*(E2=E$1:E26))))))</f>
        <v> </v>
      </c>
      <c r="K27" s="26" t="str">
        <f>IF(OR(E27="",E27="!!!",F27="NEW"),"",INDEX(J$1:J26,SUMPRODUCT(MAX(ROW(E$1:E26)*(E27=E$1:E26)))))</f>
        <v> </v>
      </c>
      <c r="L27" s="27"/>
    </row>
    <row r="28" spans="1:12">
      <c r="A28" s="20" t="s">
        <v>160</v>
      </c>
      <c r="B28" s="21" t="s">
        <v>129</v>
      </c>
      <c r="C28" s="21" t="s">
        <v>130</v>
      </c>
      <c r="D28" s="21" t="s">
        <v>131</v>
      </c>
      <c r="E28" s="22">
        <f>IF(D28="?OLD","!!!","")</f>
        <v/>
      </c>
      <c r="F28" s="23" t="str">
        <f>IF(OR(E28="",E28="!!!"),"",IF(NOT(ISNA(VLOOKUP(E28,E$1:E27,1,FALSE()))),"OLD",IF(AND(E28&lt;&gt;"",E28&lt;&gt;"!!!"),"NEW","")))</f>
        <v> </v>
      </c>
      <c r="G28" s="24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5" t="str">
        <f>IF(J28&lt;&gt;1,"",IF(I28="SBJ","CB","?"))</f>
        <v> </v>
      </c>
      <c r="I28" s="26" t="str">
        <f>IF(OR(E28="",E28="!!!",F28="NEW"),"",INDEX(B27:B$2,-1+SUMPRODUCT(MAX(ROW(E27:E$2)*(E28=E27:E$2)))))</f>
        <v> </v>
      </c>
      <c r="J28" s="26" t="str">
        <f>IF(OR(E28="",E28="!!!",F28="NEW"),"",COUNTBLANK(OFFSET(A$1,,,SUMPRODUCT(MAX(ROW(E$2:E28)*(E28=E$2:E28)))))-COUNTBLANK(OFFSET(A$1,,,SUMPRODUCT(MAX(ROW(E$1:E27)*(E2=E$1:E27))))))</f>
        <v> </v>
      </c>
      <c r="K28" s="26" t="str">
        <f>IF(OR(E28="",E28="!!!",F28="NEW"),"",INDEX(J$1:J27,SUMPRODUCT(MAX(ROW(E$1:E27)*(E28=E$1:E27)))))</f>
        <v> </v>
      </c>
      <c r="L28" s="27"/>
    </row>
    <row r="29" spans="1:12">
      <c r="A29" s="20" t="s">
        <v>132</v>
      </c>
      <c r="E29" s="22">
        <f>IF(D29="?OLD","!!!","")</f>
        <v/>
      </c>
      <c r="F29" s="23" t="str">
        <f>IF(OR(E29="",E29="!!!"),"",IF(NOT(ISNA(VLOOKUP(E29,E$1:E28,1,FALSE()))),"OLD",IF(AND(E29&lt;&gt;"",E29&lt;&gt;"!!!"),"NEW","")))</f>
        <v> </v>
      </c>
      <c r="G29" s="24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5" t="str">
        <f>IF(J29&lt;&gt;1,"",IF(I29="SBJ","CB","?"))</f>
        <v> </v>
      </c>
      <c r="I29" s="26" t="str">
        <f>IF(OR(E29="",E29="!!!",F29="NEW"),"",INDEX(B28:B$2,-1+SUMPRODUCT(MAX(ROW(E28:E$2)*(E29=E28:E$2)))))</f>
        <v> </v>
      </c>
      <c r="J29" s="26" t="str">
        <f>IF(OR(E29="",E29="!!!",F29="NEW"),"",COUNTBLANK(OFFSET(A$1,,,SUMPRODUCT(MAX(ROW(E$2:E29)*(E29=E$2:E29)))))-COUNTBLANK(OFFSET(A$1,,,SUMPRODUCT(MAX(ROW(E$1:E28)*(E2=E$1:E28))))))</f>
        <v> </v>
      </c>
      <c r="K29" s="26" t="str">
        <f>IF(OR(E29="",E29="!!!",F29="NEW"),"",INDEX(J$1:J28,SUMPRODUCT(MAX(ROW(E$1:E28)*(E29=E$1:E28)))))</f>
        <v> </v>
      </c>
      <c r="L29" s="27"/>
    </row>
    <row r="30" spans="1:12">
      <c r="A30" s="20" t="s">
        <v>161</v>
      </c>
      <c r="E30" s="22">
        <f>IF(D30="?OLD","!!!","")</f>
        <v/>
      </c>
      <c r="F30" s="23" t="str">
        <f>IF(OR(E30="",E30="!!!"),"",IF(NOT(ISNA(VLOOKUP(E30,E$1:E29,1,FALSE()))),"OLD",IF(AND(E30&lt;&gt;"",E30&lt;&gt;"!!!"),"NEW","")))</f>
        <v> </v>
      </c>
      <c r="G30" s="24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5" t="str">
        <f>IF(J30&lt;&gt;1,"",IF(I30="SBJ","CB","?"))</f>
        <v> </v>
      </c>
      <c r="I30" s="26" t="str">
        <f>IF(OR(E30="",E30="!!!",F30="NEW"),"",INDEX(B29:B$2,-1+SUMPRODUCT(MAX(ROW(E29:E$2)*(E30=E29:E$2)))))</f>
        <v> </v>
      </c>
      <c r="J30" s="26" t="str">
        <f>IF(OR(E30="",E30="!!!",F30="NEW"),"",COUNTBLANK(OFFSET(A$1,,,SUMPRODUCT(MAX(ROW(E$2:E30)*(E30=E$2:E30)))))-COUNTBLANK(OFFSET(A$1,,,SUMPRODUCT(MAX(ROW(E$1:E29)*(E2=E$1:E29))))))</f>
        <v> </v>
      </c>
      <c r="K30" s="26" t="str">
        <f>IF(OR(E30="",E30="!!!",F30="NEW"),"",INDEX(J$1:J29,SUMPRODUCT(MAX(ROW(E$1:E29)*(E30=E$1:E29)))))</f>
        <v> </v>
      </c>
      <c r="L30" s="27"/>
    </row>
    <row r="31" spans="1:12">
      <c r="A31" s="20" t="s">
        <v>162</v>
      </c>
      <c r="B31" s="21" t="s">
        <v>145</v>
      </c>
      <c r="C31" s="21" t="s">
        <v>163</v>
      </c>
      <c r="E31" s="22">
        <f>IF(D31="?OLD","!!!","")</f>
        <v/>
      </c>
      <c r="F31" s="23" t="str">
        <f>IF(OR(E31="",E31="!!!"),"",IF(NOT(ISNA(VLOOKUP(E31,E$1:E30,1,FALSE()))),"OLD",IF(AND(E31&lt;&gt;"",E31&lt;&gt;"!!!"),"NEW","")))</f>
        <v> </v>
      </c>
      <c r="G31" s="24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5" t="str">
        <f>IF(J31&lt;&gt;1,"",IF(I31="SBJ","CB","?"))</f>
        <v> </v>
      </c>
      <c r="I31" s="26" t="str">
        <f>IF(OR(E31="",E31="!!!",F31="NEW"),"",INDEX(B30:B$2,-1+SUMPRODUCT(MAX(ROW(E30:E$2)*(E31=E30:E$2)))))</f>
        <v> </v>
      </c>
      <c r="J31" s="26" t="str">
        <f>IF(OR(E31="",E31="!!!",F31="NEW"),"",COUNTBLANK(OFFSET(A$1,,,SUMPRODUCT(MAX(ROW(E$2:E31)*(E31=E$2:E31)))))-COUNTBLANK(OFFSET(A$1,,,SUMPRODUCT(MAX(ROW(E$1:E30)*(E2=E$1:E30))))))</f>
        <v> </v>
      </c>
      <c r="K31" s="26" t="str">
        <f>IF(OR(E31="",E31="!!!",F31="NEW"),"",INDEX(J$1:J30,SUMPRODUCT(MAX(ROW(E$1:E30)*(E31=E$1:E30)))))</f>
        <v> </v>
      </c>
      <c r="L31" s="27"/>
    </row>
    <row r="32" spans="1:12">
      <c r="A32" s="20" t="s">
        <v>164</v>
      </c>
      <c r="B32" s="21" t="s">
        <v>152</v>
      </c>
      <c r="C32" s="21" t="s">
        <v>165</v>
      </c>
      <c r="E32" s="22">
        <f>IF(D32="?OLD","!!!","")</f>
        <v/>
      </c>
      <c r="F32" s="23" t="str">
        <f>IF(OR(E32="",E32="!!!"),"",IF(NOT(ISNA(VLOOKUP(E32,E$1:E31,1,FALSE()))),"OLD",IF(AND(E32&lt;&gt;"",E32&lt;&gt;"!!!"),"NEW","")))</f>
        <v> </v>
      </c>
      <c r="G32" s="24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5" t="str">
        <f>IF(J32&lt;&gt;1,"",IF(I32="SBJ","CB","?"))</f>
        <v> </v>
      </c>
      <c r="I32" s="26" t="str">
        <f>IF(OR(E32="",E32="!!!",F32="NEW"),"",INDEX(B31:B$2,-1+SUMPRODUCT(MAX(ROW(E31:E$2)*(E32=E31:E$2)))))</f>
        <v> </v>
      </c>
      <c r="J32" s="26" t="str">
        <f>IF(OR(E32="",E32="!!!",F32="NEW"),"",COUNTBLANK(OFFSET(A$1,,,SUMPRODUCT(MAX(ROW(E$2:E32)*(E32=E$2:E32)))))-COUNTBLANK(OFFSET(A$1,,,SUMPRODUCT(MAX(ROW(E$1:E31)*(E2=E$1:E31))))))</f>
        <v> </v>
      </c>
      <c r="K32" s="26" t="str">
        <f>IF(OR(E32="",E32="!!!",F32="NEW"),"",INDEX(J$1:J31,SUMPRODUCT(MAX(ROW(E$1:E31)*(E32=E$1:E31)))))</f>
        <v> </v>
      </c>
      <c r="L32" s="27"/>
    </row>
    <row r="33" spans="1:12">
      <c r="A33" s="20" t="s">
        <v>166</v>
      </c>
      <c r="E33" s="22">
        <f>IF(D33="?OLD","!!!","")</f>
        <v/>
      </c>
      <c r="F33" s="23" t="str">
        <f>IF(OR(E33="",E33="!!!"),"",IF(NOT(ISNA(VLOOKUP(E33,E$1:E32,1,FALSE()))),"OLD",IF(AND(E33&lt;&gt;"",E33&lt;&gt;"!!!"),"NEW","")))</f>
        <v> </v>
      </c>
      <c r="G33" s="24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5" t="str">
        <f>IF(J33&lt;&gt;1,"",IF(I33="SBJ","CB","?"))</f>
        <v> </v>
      </c>
      <c r="I33" s="26" t="str">
        <f>IF(OR(E33="",E33="!!!",F33="NEW"),"",INDEX(B32:B$2,-1+SUMPRODUCT(MAX(ROW(E32:E$2)*(E33=E32:E$2)))))</f>
        <v> </v>
      </c>
      <c r="J33" s="26" t="str">
        <f>IF(OR(E33="",E33="!!!",F33="NEW"),"",COUNTBLANK(OFFSET(A$1,,,SUMPRODUCT(MAX(ROW(E$2:E33)*(E33=E$2:E33)))))-COUNTBLANK(OFFSET(A$1,,,SUMPRODUCT(MAX(ROW(E$1:E32)*(E2=E$1:E32))))))</f>
        <v> </v>
      </c>
      <c r="K33" s="26" t="str">
        <f>IF(OR(E33="",E33="!!!",F33="NEW"),"",INDEX(J$1:J32,SUMPRODUCT(MAX(ROW(E$1:E32)*(E33=E$1:E32)))))</f>
        <v> </v>
      </c>
      <c r="L33" s="27"/>
    </row>
    <row r="34" spans="1:12">
      <c r="A34" s="20" t="s">
        <v>167</v>
      </c>
      <c r="E34" s="22">
        <f>IF(D34="?OLD","!!!","")</f>
        <v/>
      </c>
      <c r="F34" s="23" t="str">
        <f>IF(OR(E34="",E34="!!!"),"",IF(NOT(ISNA(VLOOKUP(E34,E$1:E33,1,FALSE()))),"OLD",IF(AND(E34&lt;&gt;"",E34&lt;&gt;"!!!"),"NEW","")))</f>
        <v> </v>
      </c>
      <c r="G34" s="24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5" t="str">
        <f>IF(J34&lt;&gt;1,"",IF(I34="SBJ","CB","?"))</f>
        <v> </v>
      </c>
      <c r="I34" s="26" t="str">
        <f>IF(OR(E34="",E34="!!!",F34="NEW"),"",INDEX(B33:B$2,-1+SUMPRODUCT(MAX(ROW(E33:E$2)*(E34=E33:E$2)))))</f>
        <v> </v>
      </c>
      <c r="J34" s="26" t="str">
        <f>IF(OR(E34="",E34="!!!",F34="NEW"),"",COUNTBLANK(OFFSET(A$1,,,SUMPRODUCT(MAX(ROW(E$2:E34)*(E34=E$2:E34)))))-COUNTBLANK(OFFSET(A$1,,,SUMPRODUCT(MAX(ROW(E$1:E33)*(E2=E$1:E33))))))</f>
        <v> </v>
      </c>
      <c r="K34" s="26" t="str">
        <f>IF(OR(E34="",E34="!!!",F34="NEW"),"",INDEX(J$1:J33,SUMPRODUCT(MAX(ROW(E$1:E33)*(E34=E$1:E33)))))</f>
        <v> </v>
      </c>
      <c r="L34" s="27"/>
    </row>
    <row r="35" spans="1:12">
      <c r="A35" s="20" t="s">
        <v>168</v>
      </c>
      <c r="B35" s="21" t="s">
        <v>136</v>
      </c>
      <c r="C35" s="21" t="s">
        <v>155</v>
      </c>
      <c r="E35" s="22">
        <f>IF(D35="?OLD","!!!","")</f>
        <v/>
      </c>
      <c r="F35" s="23" t="str">
        <f>IF(OR(E35="",E35="!!!"),"",IF(NOT(ISNA(VLOOKUP(E35,E$1:E34,1,FALSE()))),"OLD",IF(AND(E35&lt;&gt;"",E35&lt;&gt;"!!!"),"NEW","")))</f>
        <v> </v>
      </c>
      <c r="G35" s="24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5" t="str">
        <f>IF(J35&lt;&gt;1,"",IF(I35="SBJ","CB","?"))</f>
        <v> </v>
      </c>
      <c r="I35" s="26" t="str">
        <f>IF(OR(E35="",E35="!!!",F35="NEW"),"",INDEX(B34:B$2,-1+SUMPRODUCT(MAX(ROW(E34:E$2)*(E35=E34:E$2)))))</f>
        <v> </v>
      </c>
      <c r="J35" s="26" t="str">
        <f>IF(OR(E35="",E35="!!!",F35="NEW"),"",COUNTBLANK(OFFSET(A$1,,,SUMPRODUCT(MAX(ROW(E$2:E35)*(E35=E$2:E35)))))-COUNTBLANK(OFFSET(A$1,,,SUMPRODUCT(MAX(ROW(E$1:E34)*(E2=E$1:E34))))))</f>
        <v> </v>
      </c>
      <c r="K35" s="26" t="str">
        <f>IF(OR(E35="",E35="!!!",F35="NEW"),"",INDEX(J$1:J34,SUMPRODUCT(MAX(ROW(E$1:E34)*(E35=E$1:E34)))))</f>
        <v> </v>
      </c>
      <c r="L35" s="27"/>
    </row>
    <row r="36" spans="1:12">
      <c r="A36" s="20" t="s">
        <v>161</v>
      </c>
      <c r="E36" s="22">
        <f>IF(D36="?OLD","!!!","")</f>
        <v/>
      </c>
      <c r="F36" s="23" t="str">
        <f>IF(OR(E36="",E36="!!!"),"",IF(NOT(ISNA(VLOOKUP(E36,E$1:E35,1,FALSE()))),"OLD",IF(AND(E36&lt;&gt;"",E36&lt;&gt;"!!!"),"NEW","")))</f>
        <v> </v>
      </c>
      <c r="G36" s="24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5" t="str">
        <f>IF(J36&lt;&gt;1,"",IF(I36="SBJ","CB","?"))</f>
        <v> </v>
      </c>
      <c r="I36" s="26" t="str">
        <f>IF(OR(E36="",E36="!!!",F36="NEW"),"",INDEX(B35:B$2,-1+SUMPRODUCT(MAX(ROW(E35:E$2)*(E36=E35:E$2)))))</f>
        <v> </v>
      </c>
      <c r="J36" s="26" t="str">
        <f>IF(OR(E36="",E36="!!!",F36="NEW"),"",COUNTBLANK(OFFSET(A$1,,,SUMPRODUCT(MAX(ROW(E$2:E36)*(E36=E$2:E36)))))-COUNTBLANK(OFFSET(A$1,,,SUMPRODUCT(MAX(ROW(E$1:E35)*(E2=E$1:E35))))))</f>
        <v> </v>
      </c>
      <c r="K36" s="26" t="str">
        <f>IF(OR(E36="",E36="!!!",F36="NEW"),"",INDEX(J$1:J35,SUMPRODUCT(MAX(ROW(E$1:E35)*(E36=E$1:E35)))))</f>
        <v> </v>
      </c>
      <c r="L36" s="27"/>
    </row>
    <row r="37" spans="1:12">
      <c r="A37" s="20" t="s">
        <v>169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 t="s">
        <v>170</v>
      </c>
      <c r="B38" s="21" t="s">
        <v>145</v>
      </c>
      <c r="C38" s="21" t="s">
        <v>155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 t="s">
        <v>171</v>
      </c>
      <c r="E39" s="22">
        <f>IF(D39="?OLD","!!!","")</f>
        <v/>
      </c>
      <c r="F39" s="23" t="str">
        <f>IF(OR(E39="",E39="!!!"),"",IF(NOT(ISNA(VLOOKUP(E39,E$1:E38,1,FALSE()))),"OLD",IF(AND(E39&lt;&gt;"",E39&lt;&gt;"!!!"),"NEW","")))</f>
        <v> </v>
      </c>
      <c r="G39" s="24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5" t="str">
        <f>IF(J39&lt;&gt;1,"",IF(I39="SBJ","CB","?"))</f>
        <v> </v>
      </c>
      <c r="I39" s="26" t="str">
        <f>IF(OR(E39="",E39="!!!",F39="NEW"),"",INDEX(B38:B$2,-1+SUMPRODUCT(MAX(ROW(E38:E$2)*(E39=E38:E$2)))))</f>
        <v> </v>
      </c>
      <c r="J39" s="26" t="str">
        <f>IF(OR(E39="",E39="!!!",F39="NEW"),"",COUNTBLANK(OFFSET(A$1,,,SUMPRODUCT(MAX(ROW(E$2:E39)*(E39=E$2:E39)))))-COUNTBLANK(OFFSET(A$1,,,SUMPRODUCT(MAX(ROW(E$1:E38)*(E2=E$1:E38))))))</f>
        <v> </v>
      </c>
      <c r="K39" s="26" t="str">
        <f>IF(OR(E39="",E39="!!!",F39="NEW"),"",INDEX(J$1:J38,SUMPRODUCT(MAX(ROW(E$1:E38)*(E39=E$1:E38)))))</f>
        <v> </v>
      </c>
      <c r="L39" s="27"/>
    </row>
    <row r="40" spans="1:12">
      <c r="A40" s="20" t="s">
        <v>143</v>
      </c>
      <c r="E40" s="22">
        <f>IF(D40="?OLD","!!!","")</f>
        <v/>
      </c>
      <c r="F40" s="23" t="str">
        <f>IF(OR(E40="",E40="!!!"),"",IF(NOT(ISNA(VLOOKUP(E40,E$1:E39,1,FALSE()))),"OLD",IF(AND(E40&lt;&gt;"",E40&lt;&gt;"!!!"),"NEW","")))</f>
        <v> </v>
      </c>
      <c r="G40" s="24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5" t="str">
        <f>IF(J40&lt;&gt;1,"",IF(I40="SBJ","CB","?"))</f>
        <v> </v>
      </c>
      <c r="I40" s="26" t="str">
        <f>IF(OR(E40="",E40="!!!",F40="NEW"),"",INDEX(B39:B$2,-1+SUMPRODUCT(MAX(ROW(E39:E$2)*(E40=E39:E$2)))))</f>
        <v> </v>
      </c>
      <c r="J40" s="26" t="str">
        <f>IF(OR(E40="",E40="!!!",F40="NEW"),"",COUNTBLANK(OFFSET(A$1,,,SUMPRODUCT(MAX(ROW(E$2:E40)*(E40=E$2:E40)))))-COUNTBLANK(OFFSET(A$1,,,SUMPRODUCT(MAX(ROW(E$1:E39)*(E2=E$1:E39))))))</f>
        <v> </v>
      </c>
      <c r="K40" s="26" t="str">
        <f>IF(OR(E40="",E40="!!!",F40="NEW"),"",INDEX(J$1:J39,SUMPRODUCT(MAX(ROW(E$1:E39)*(E40=E$1:E39)))))</f>
        <v> </v>
      </c>
      <c r="L40" s="27"/>
    </row>
    <row r="41" spans="1:12">
      <c r="A41" s="20" t="s">
        <v>172</v>
      </c>
      <c r="B41" s="21" t="s">
        <v>158</v>
      </c>
      <c r="C41" s="21" t="s">
        <v>137</v>
      </c>
      <c r="D41" s="21" t="s">
        <v>131</v>
      </c>
      <c r="E41" s="22">
        <f>IF(D41="?OLD","!!!","")</f>
        <v/>
      </c>
      <c r="F41" s="23" t="str">
        <f>IF(OR(E41="",E41="!!!"),"",IF(NOT(ISNA(VLOOKUP(E41,E$1:E40,1,FALSE()))),"OLD",IF(AND(E41&lt;&gt;"",E41&lt;&gt;"!!!"),"NEW","")))</f>
        <v> </v>
      </c>
      <c r="G41" s="24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5" t="str">
        <f>IF(J41&lt;&gt;1,"",IF(I41="SBJ","CB","?"))</f>
        <v> </v>
      </c>
      <c r="I41" s="26" t="str">
        <f>IF(OR(E41="",E41="!!!",F41="NEW"),"",INDEX(B40:B$2,-1+SUMPRODUCT(MAX(ROW(E40:E$2)*(E41=E40:E$2)))))</f>
        <v> </v>
      </c>
      <c r="J41" s="26" t="str">
        <f>IF(OR(E41="",E41="!!!",F41="NEW"),"",COUNTBLANK(OFFSET(A$1,,,SUMPRODUCT(MAX(ROW(E$2:E41)*(E41=E$2:E41)))))-COUNTBLANK(OFFSET(A$1,,,SUMPRODUCT(MAX(ROW(E$1:E40)*(E2=E$1:E40))))))</f>
        <v> </v>
      </c>
      <c r="K41" s="26" t="str">
        <f>IF(OR(E41="",E41="!!!",F41="NEW"),"",INDEX(J$1:J40,SUMPRODUCT(MAX(ROW(E$1:E40)*(E41=E$1:E40)))))</f>
        <v> </v>
      </c>
      <c r="L41" s="27"/>
    </row>
    <row r="42" spans="1:12">
      <c r="A42" s="20" t="s">
        <v>148</v>
      </c>
      <c r="E42" s="22">
        <f>IF(D42="?OLD","!!!","")</f>
        <v/>
      </c>
      <c r="F42" s="23" t="str">
        <f>IF(OR(E42="",E42="!!!"),"",IF(NOT(ISNA(VLOOKUP(E42,E$1:E41,1,FALSE()))),"OLD",IF(AND(E42&lt;&gt;"",E42&lt;&gt;"!!!"),"NEW","")))</f>
        <v> </v>
      </c>
      <c r="G42" s="24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5" t="str">
        <f>IF(J42&lt;&gt;1,"",IF(I42="SBJ","CB","?"))</f>
        <v> </v>
      </c>
      <c r="I42" s="26" t="str">
        <f>IF(OR(E42="",E42="!!!",F42="NEW"),"",INDEX(B41:B$2,-1+SUMPRODUCT(MAX(ROW(E41:E$2)*(E42=E41:E$2)))))</f>
        <v> </v>
      </c>
      <c r="J42" s="26" t="str">
        <f>IF(OR(E42="",E42="!!!",F42="NEW"),"",COUNTBLANK(OFFSET(A$1,,,SUMPRODUCT(MAX(ROW(E$2:E42)*(E42=E$2:E42)))))-COUNTBLANK(OFFSET(A$1,,,SUMPRODUCT(MAX(ROW(E$1:E41)*(E2=E$1:E41))))))</f>
        <v> </v>
      </c>
      <c r="K42" s="26" t="str">
        <f>IF(OR(E42="",E42="!!!",F42="NEW"),"",INDEX(J$1:J41,SUMPRODUCT(MAX(ROW(E$1:E41)*(E42=E$1:E41)))))</f>
        <v> </v>
      </c>
      <c r="L42" s="27"/>
    </row>
    <row r="43" spans="1:12">
      <c r="A43" s="20"/>
    </row>
    <row r="44" spans="1:12">
      <c r="A44" s="20" t="s">
        <v>173</v>
      </c>
    </row>
    <row r="45" spans="1:12">
      <c r="A45" s="20" t="s">
        <v>174</v>
      </c>
      <c r="E45" s="22">
        <f>IF(D45="?OLD","!!!","")</f>
        <v/>
      </c>
      <c r="F45" s="23" t="str">
        <f>IF(OR(E45="",E45="!!!"),"",IF(NOT(ISNA(VLOOKUP(E45,E$1:E44,1,FALSE()))),"OLD",IF(AND(E45&lt;&gt;"",E45&lt;&gt;"!!!"),"NEW","")))</f>
        <v> </v>
      </c>
      <c r="G45" s="24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5" t="str">
        <f>IF(J45&lt;&gt;1,"",IF(I45="SBJ","CB","?"))</f>
        <v> </v>
      </c>
      <c r="I45" s="26" t="str">
        <f>IF(OR(E45="",E45="!!!",F45="NEW"),"",INDEX(B44:B$2,-1+SUMPRODUCT(MAX(ROW(E44:E$2)*(E45=E44:E$2)))))</f>
        <v> </v>
      </c>
      <c r="J45" s="26" t="str">
        <f>IF(OR(E45="",E45="!!!",F45="NEW"),"",COUNTBLANK(OFFSET(A$1,,,SUMPRODUCT(MAX(ROW(E$2:E45)*(E45=E$2:E45)))))-COUNTBLANK(OFFSET(A$1,,,SUMPRODUCT(MAX(ROW(E$1:E44)*(E2=E$1:E44))))))</f>
        <v> </v>
      </c>
      <c r="K45" s="26" t="str">
        <f>IF(OR(E45="",E45="!!!",F45="NEW"),"",INDEX(J$1:J44,SUMPRODUCT(MAX(ROW(E$1:E44)*(E45=E$1:E44)))))</f>
        <v> </v>
      </c>
      <c r="L45" s="27"/>
    </row>
    <row r="46" spans="1:12">
      <c r="A46" s="20" t="s">
        <v>175</v>
      </c>
      <c r="E46" s="22">
        <f>IF(D46="?OLD","!!!","")</f>
        <v/>
      </c>
      <c r="F46" s="23" t="str">
        <f>IF(OR(E46="",E46="!!!"),"",IF(NOT(ISNA(VLOOKUP(E46,E$1:E45,1,FALSE()))),"OLD",IF(AND(E46&lt;&gt;"",E46&lt;&gt;"!!!"),"NEW","")))</f>
        <v> </v>
      </c>
      <c r="G46" s="24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5" t="str">
        <f>IF(J46&lt;&gt;1,"",IF(I46="SBJ","CB","?"))</f>
        <v> </v>
      </c>
      <c r="I46" s="26" t="str">
        <f>IF(OR(E46="",E46="!!!",F46="NEW"),"",INDEX(B45:B$2,-1+SUMPRODUCT(MAX(ROW(E45:E$2)*(E46=E45:E$2)))))</f>
        <v> </v>
      </c>
      <c r="J46" s="26" t="str">
        <f>IF(OR(E46="",E46="!!!",F46="NEW"),"",COUNTBLANK(OFFSET(A$1,,,SUMPRODUCT(MAX(ROW(E$2:E46)*(E46=E$2:E46)))))-COUNTBLANK(OFFSET(A$1,,,SUMPRODUCT(MAX(ROW(E$1:E45)*(E2=E$1:E45))))))</f>
        <v> </v>
      </c>
      <c r="K46" s="26" t="str">
        <f>IF(OR(E46="",E46="!!!",F46="NEW"),"",INDEX(J$1:J45,SUMPRODUCT(MAX(ROW(E$1:E45)*(E46=E$1:E45)))))</f>
        <v> </v>
      </c>
      <c r="L46" s="27"/>
    </row>
    <row r="47" spans="1:12">
      <c r="A47" s="20" t="s">
        <v>176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 t="s">
        <v>12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 t="s">
        <v>177</v>
      </c>
      <c r="B49" s="21" t="s">
        <v>152</v>
      </c>
      <c r="C49" s="21" t="s">
        <v>178</v>
      </c>
      <c r="D49" s="21" t="s">
        <v>131</v>
      </c>
      <c r="E49" s="22">
        <f>IF(D49="?OLD","!!!","")</f>
        <v/>
      </c>
      <c r="F49" s="23" t="str">
        <f>IF(OR(E49="",E49="!!!"),"",IF(NOT(ISNA(VLOOKUP(E49,E$1:E48,1,FALSE()))),"OLD",IF(AND(E49&lt;&gt;"",E49&lt;&gt;"!!!"),"NEW","")))</f>
        <v> </v>
      </c>
      <c r="G49" s="24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5" t="str">
        <f>IF(J49&lt;&gt;1,"",IF(I49="SBJ","CB","?"))</f>
        <v> </v>
      </c>
      <c r="I49" s="26" t="str">
        <f>IF(OR(E49="",E49="!!!",F49="NEW"),"",INDEX(B48:B$2,-1+SUMPRODUCT(MAX(ROW(E48:E$2)*(E49=E48:E$2)))))</f>
        <v> </v>
      </c>
      <c r="J49" s="26" t="str">
        <f>IF(OR(E49="",E49="!!!",F49="NEW"),"",COUNTBLANK(OFFSET(A$1,,,SUMPRODUCT(MAX(ROW(E$2:E49)*(E49=E$2:E49)))))-COUNTBLANK(OFFSET(A$1,,,SUMPRODUCT(MAX(ROW(E$1:E48)*(E2=E$1:E48))))))</f>
        <v> </v>
      </c>
      <c r="K49" s="26" t="str">
        <f>IF(OR(E49="",E49="!!!",F49="NEW"),"",INDEX(J$1:J48,SUMPRODUCT(MAX(ROW(E$1:E48)*(E49=E$1:E48)))))</f>
        <v> </v>
      </c>
      <c r="L49" s="27"/>
    </row>
    <row r="50" spans="1:12">
      <c r="A50" s="20" t="s">
        <v>179</v>
      </c>
      <c r="E50" s="22">
        <f>IF(D50="?OLD","!!!","")</f>
        <v/>
      </c>
      <c r="F50" s="23" t="str">
        <f>IF(OR(E50="",E50="!!!"),"",IF(NOT(ISNA(VLOOKUP(E50,E$1:E49,1,FALSE()))),"OLD",IF(AND(E50&lt;&gt;"",E50&lt;&gt;"!!!"),"NEW","")))</f>
        <v> </v>
      </c>
      <c r="G50" s="24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5" t="str">
        <f>IF(J50&lt;&gt;1,"",IF(I50="SBJ","CB","?"))</f>
        <v> </v>
      </c>
      <c r="I50" s="26" t="str">
        <f>IF(OR(E50="",E50="!!!",F50="NEW"),"",INDEX(B49:B$2,-1+SUMPRODUCT(MAX(ROW(E49:E$2)*(E50=E49:E$2)))))</f>
        <v> </v>
      </c>
      <c r="J50" s="26" t="str">
        <f>IF(OR(E50="",E50="!!!",F50="NEW"),"",COUNTBLANK(OFFSET(A$1,,,SUMPRODUCT(MAX(ROW(E$2:E50)*(E50=E$2:E50)))))-COUNTBLANK(OFFSET(A$1,,,SUMPRODUCT(MAX(ROW(E$1:E49)*(E2=E$1:E49))))))</f>
        <v> </v>
      </c>
      <c r="K50" s="26" t="str">
        <f>IF(OR(E50="",E50="!!!",F50="NEW"),"",INDEX(J$1:J49,SUMPRODUCT(MAX(ROW(E$1:E49)*(E50=E$1:E49)))))</f>
        <v> </v>
      </c>
      <c r="L50" s="27"/>
    </row>
    <row r="51" spans="1:12">
      <c r="A51" s="20" t="s">
        <v>180</v>
      </c>
      <c r="B51" s="21" t="s">
        <v>129</v>
      </c>
      <c r="C51" s="21" t="s">
        <v>181</v>
      </c>
      <c r="D51" s="21" t="s">
        <v>131</v>
      </c>
      <c r="E51" s="22">
        <f>IF(D51="?OLD","!!!","")</f>
        <v/>
      </c>
      <c r="F51" s="23" t="str">
        <f>IF(OR(E51="",E51="!!!"),"",IF(NOT(ISNA(VLOOKUP(E51,E$1:E50,1,FALSE()))),"OLD",IF(AND(E51&lt;&gt;"",E51&lt;&gt;"!!!"),"NEW","")))</f>
        <v> </v>
      </c>
      <c r="G51" s="24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5" t="str">
        <f>IF(J51&lt;&gt;1,"",IF(I51="SBJ","CB","?"))</f>
        <v> </v>
      </c>
      <c r="I51" s="26" t="str">
        <f>IF(OR(E51="",E51="!!!",F51="NEW"),"",INDEX(B50:B$2,-1+SUMPRODUCT(MAX(ROW(E50:E$2)*(E51=E50:E$2)))))</f>
        <v> </v>
      </c>
      <c r="J51" s="26" t="str">
        <f>IF(OR(E51="",E51="!!!",F51="NEW"),"",COUNTBLANK(OFFSET(A$1,,,SUMPRODUCT(MAX(ROW(E$2:E51)*(E51=E$2:E51)))))-COUNTBLANK(OFFSET(A$1,,,SUMPRODUCT(MAX(ROW(E$1:E50)*(E2=E$1:E50))))))</f>
        <v> </v>
      </c>
      <c r="K51" s="26" t="str">
        <f>IF(OR(E51="",E51="!!!",F51="NEW"),"",INDEX(J$1:J50,SUMPRODUCT(MAX(ROW(E$1:E50)*(E51=E$1:E50)))))</f>
        <v> </v>
      </c>
      <c r="L51" s="27"/>
    </row>
    <row r="52" spans="1:12">
      <c r="A52" s="20" t="s">
        <v>182</v>
      </c>
      <c r="E52" s="22">
        <f>IF(D52="?OLD","!!!","")</f>
        <v/>
      </c>
      <c r="F52" s="23" t="str">
        <f>IF(OR(E52="",E52="!!!"),"",IF(NOT(ISNA(VLOOKUP(E52,E$1:E51,1,FALSE()))),"OLD",IF(AND(E52&lt;&gt;"",E52&lt;&gt;"!!!"),"NEW","")))</f>
        <v> </v>
      </c>
      <c r="G52" s="24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5" t="str">
        <f>IF(J52&lt;&gt;1,"",IF(I52="SBJ","CB","?"))</f>
        <v> </v>
      </c>
      <c r="I52" s="26" t="str">
        <f>IF(OR(E52="",E52="!!!",F52="NEW"),"",INDEX(B51:B$2,-1+SUMPRODUCT(MAX(ROW(E51:E$2)*(E52=E51:E$2)))))</f>
        <v> </v>
      </c>
      <c r="J52" s="26" t="str">
        <f>IF(OR(E52="",E52="!!!",F52="NEW"),"",COUNTBLANK(OFFSET(A$1,,,SUMPRODUCT(MAX(ROW(E$2:E52)*(E52=E$2:E52)))))-COUNTBLANK(OFFSET(A$1,,,SUMPRODUCT(MAX(ROW(E$1:E51)*(E2=E$1:E51))))))</f>
        <v> </v>
      </c>
      <c r="K52" s="26" t="str">
        <f>IF(OR(E52="",E52="!!!",F52="NEW"),"",INDEX(J$1:J51,SUMPRODUCT(MAX(ROW(E$1:E51)*(E52=E$1:E51)))))</f>
        <v> </v>
      </c>
      <c r="L52" s="27"/>
    </row>
    <row r="53" spans="1:12">
      <c r="A53" s="20" t="s">
        <v>183</v>
      </c>
      <c r="B53" s="21" t="s">
        <v>152</v>
      </c>
      <c r="C53" s="21" t="s">
        <v>155</v>
      </c>
      <c r="E53" s="22">
        <f>IF(D53="?OLD","!!!","")</f>
        <v/>
      </c>
      <c r="F53" s="23" t="str">
        <f>IF(OR(E53="",E53="!!!"),"",IF(NOT(ISNA(VLOOKUP(E53,E$1:E52,1,FALSE()))),"OLD",IF(AND(E53&lt;&gt;"",E53&lt;&gt;"!!!"),"NEW","")))</f>
        <v> </v>
      </c>
      <c r="G53" s="24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5" t="str">
        <f>IF(J53&lt;&gt;1,"",IF(I53="SBJ","CB","?"))</f>
        <v> </v>
      </c>
      <c r="I53" s="26" t="str">
        <f>IF(OR(E53="",E53="!!!",F53="NEW"),"",INDEX(B52:B$2,-1+SUMPRODUCT(MAX(ROW(E52:E$2)*(E53=E52:E$2)))))</f>
        <v> </v>
      </c>
      <c r="J53" s="26" t="str">
        <f>IF(OR(E53="",E53="!!!",F53="NEW"),"",COUNTBLANK(OFFSET(A$1,,,SUMPRODUCT(MAX(ROW(E$2:E53)*(E53=E$2:E53)))))-COUNTBLANK(OFFSET(A$1,,,SUMPRODUCT(MAX(ROW(E$1:E52)*(E2=E$1:E52))))))</f>
        <v> </v>
      </c>
      <c r="K53" s="26" t="str">
        <f>IF(OR(E53="",E53="!!!",F53="NEW"),"",INDEX(J$1:J52,SUMPRODUCT(MAX(ROW(E$1:E52)*(E53=E$1:E52)))))</f>
        <v> </v>
      </c>
      <c r="L53" s="27"/>
    </row>
    <row r="54" spans="1:12">
      <c r="A54" s="20" t="s">
        <v>148</v>
      </c>
      <c r="E54" s="22">
        <f>IF(D54="?OLD","!!!","")</f>
        <v/>
      </c>
      <c r="F54" s="23" t="str">
        <f>IF(OR(E54="",E54="!!!"),"",IF(NOT(ISNA(VLOOKUP(E54,E$1:E53,1,FALSE()))),"OLD",IF(AND(E54&lt;&gt;"",E54&lt;&gt;"!!!"),"NEW","")))</f>
        <v> </v>
      </c>
      <c r="G54" s="24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5" t="str">
        <f>IF(J54&lt;&gt;1,"",IF(I54="SBJ","CB","?"))</f>
        <v> </v>
      </c>
      <c r="I54" s="26" t="str">
        <f>IF(OR(E54="",E54="!!!",F54="NEW"),"",INDEX(B53:B$2,-1+SUMPRODUCT(MAX(ROW(E53:E$2)*(E54=E53:E$2)))))</f>
        <v> </v>
      </c>
      <c r="J54" s="26" t="str">
        <f>IF(OR(E54="",E54="!!!",F54="NEW"),"",COUNTBLANK(OFFSET(A$1,,,SUMPRODUCT(MAX(ROW(E$2:E54)*(E54=E$2:E54)))))-COUNTBLANK(OFFSET(A$1,,,SUMPRODUCT(MAX(ROW(E$1:E53)*(E2=E$1:E53))))))</f>
        <v> </v>
      </c>
      <c r="K54" s="26" t="str">
        <f>IF(OR(E54="",E54="!!!",F54="NEW"),"",INDEX(J$1:J53,SUMPRODUCT(MAX(ROW(E$1:E53)*(E54=E$1:E53)))))</f>
        <v> </v>
      </c>
      <c r="L54" s="27"/>
    </row>
    <row r="55" spans="1:12">
      <c r="A55" s="20"/>
    </row>
    <row r="56" spans="1:12">
      <c r="A56" s="20" t="s">
        <v>184</v>
      </c>
      <c r="E56" s="22">
        <f>IF(D56="?OLD","!!!","")</f>
        <v/>
      </c>
      <c r="F56" s="23" t="str">
        <f>IF(OR(E56="",E56="!!!"),"",IF(NOT(ISNA(VLOOKUP(E56,E$1:E55,1,FALSE()))),"OLD",IF(AND(E56&lt;&gt;"",E56&lt;&gt;"!!!"),"NEW","")))</f>
        <v> </v>
      </c>
      <c r="G56" s="24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5" t="str">
        <f>IF(J56&lt;&gt;1,"",IF(I56="SBJ","CB","?"))</f>
        <v> </v>
      </c>
      <c r="I56" s="26" t="str">
        <f>IF(OR(E56="",E56="!!!",F56="NEW"),"",INDEX(B55:B$2,-1+SUMPRODUCT(MAX(ROW(E55:E$2)*(E56=E55:E$2)))))</f>
        <v> </v>
      </c>
      <c r="J56" s="26" t="str">
        <f>IF(OR(E56="",E56="!!!",F56="NEW"),"",COUNTBLANK(OFFSET(A$1,,,SUMPRODUCT(MAX(ROW(E$2:E56)*(E56=E$2:E56)))))-COUNTBLANK(OFFSET(A$1,,,SUMPRODUCT(MAX(ROW(E$1:E55)*(E2=E$1:E55))))))</f>
        <v> </v>
      </c>
      <c r="K56" s="26" t="str">
        <f>IF(OR(E56="",E56="!!!",F56="NEW"),"",INDEX(J$1:J55,SUMPRODUCT(MAX(ROW(E$1:E55)*(E56=E$1:E55)))))</f>
        <v> </v>
      </c>
      <c r="L56" s="27"/>
    </row>
    <row r="57" spans="1:12">
      <c r="A57" s="20" t="s">
        <v>185</v>
      </c>
    </row>
    <row r="58" spans="1:12">
      <c r="A58" s="20" t="s">
        <v>26</v>
      </c>
      <c r="B58" s="21" t="s">
        <v>152</v>
      </c>
      <c r="C58" s="21" t="s">
        <v>130</v>
      </c>
      <c r="D58" s="21" t="s">
        <v>131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 t="s">
        <v>186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187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 t="s">
        <v>188</v>
      </c>
      <c r="E61" s="22">
        <f>IF(D61="?OLD","!!!","")</f>
        <v/>
      </c>
      <c r="F61" s="23" t="str">
        <f>IF(OR(E61="",E61="!!!"),"",IF(NOT(ISNA(VLOOKUP(E61,E$1:E60,1,FALSE()))),"OLD",IF(AND(E61&lt;&gt;"",E61&lt;&gt;"!!!"),"NEW","")))</f>
        <v> </v>
      </c>
      <c r="G61" s="24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5" t="str">
        <f>IF(J61&lt;&gt;1,"",IF(I61="SBJ","CB","?"))</f>
        <v> </v>
      </c>
      <c r="I61" s="26" t="str">
        <f>IF(OR(E61="",E61="!!!",F61="NEW"),"",INDEX(B60:B$2,-1+SUMPRODUCT(MAX(ROW(E60:E$2)*(E61=E60:E$2)))))</f>
        <v> </v>
      </c>
      <c r="J61" s="26" t="str">
        <f>IF(OR(E61="",E61="!!!",F61="NEW"),"",COUNTBLANK(OFFSET(A$1,,,SUMPRODUCT(MAX(ROW(E$2:E61)*(E61=E$2:E61)))))-COUNTBLANK(OFFSET(A$1,,,SUMPRODUCT(MAX(ROW(E$1:E60)*(E2=E$1:E60))))))</f>
        <v> </v>
      </c>
      <c r="K61" s="26" t="str">
        <f>IF(OR(E61="",E61="!!!",F61="NEW"),"",INDEX(J$1:J60,SUMPRODUCT(MAX(ROW(E$1:E60)*(E61=E$1:E60)))))</f>
        <v> </v>
      </c>
      <c r="L61" s="27"/>
    </row>
    <row r="62" spans="1:12">
      <c r="A62" s="20" t="s">
        <v>135</v>
      </c>
      <c r="B62" s="21" t="s">
        <v>152</v>
      </c>
      <c r="C62" s="21" t="s">
        <v>130</v>
      </c>
      <c r="D62" s="21" t="s">
        <v>131</v>
      </c>
      <c r="E62" s="22">
        <f>IF(D62="?OLD","!!!","")</f>
        <v/>
      </c>
      <c r="F62" s="23" t="str">
        <f>IF(OR(E62="",E62="!!!"),"",IF(NOT(ISNA(VLOOKUP(E62,E$1:E61,1,FALSE()))),"OLD",IF(AND(E62&lt;&gt;"",E62&lt;&gt;"!!!"),"NEW","")))</f>
        <v> </v>
      </c>
      <c r="G62" s="24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5" t="str">
        <f>IF(J62&lt;&gt;1,"",IF(I62="SBJ","CB","?"))</f>
        <v> </v>
      </c>
      <c r="I62" s="26" t="str">
        <f>IF(OR(E62="",E62="!!!",F62="NEW"),"",INDEX(B61:B$2,-1+SUMPRODUCT(MAX(ROW(E61:E$2)*(E62=E61:E$2)))))</f>
        <v> </v>
      </c>
      <c r="J62" s="26" t="str">
        <f>IF(OR(E62="",E62="!!!",F62="NEW"),"",COUNTBLANK(OFFSET(A$1,,,SUMPRODUCT(MAX(ROW(E$2:E62)*(E62=E$2:E62)))))-COUNTBLANK(OFFSET(A$1,,,SUMPRODUCT(MAX(ROW(E$1:E61)*(E2=E$1:E61))))))</f>
        <v> </v>
      </c>
      <c r="K62" s="26" t="str">
        <f>IF(OR(E62="",E62="!!!",F62="NEW"),"",INDEX(J$1:J61,SUMPRODUCT(MAX(ROW(E$1:E61)*(E62=E$1:E61)))))</f>
        <v> </v>
      </c>
      <c r="L62" s="27"/>
    </row>
    <row r="63" spans="1:12">
      <c r="A63" s="20" t="s">
        <v>187</v>
      </c>
      <c r="E63" s="22">
        <f>IF(D63="?OLD","!!!","")</f>
        <v/>
      </c>
      <c r="F63" s="23" t="str">
        <f>IF(OR(E63="",E63="!!!"),"",IF(NOT(ISNA(VLOOKUP(E63,E$1:E62,1,FALSE()))),"OLD",IF(AND(E63&lt;&gt;"",E63&lt;&gt;"!!!"),"NEW","")))</f>
        <v> </v>
      </c>
      <c r="G63" s="24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5" t="str">
        <f>IF(J63&lt;&gt;1,"",IF(I63="SBJ","CB","?"))</f>
        <v> </v>
      </c>
      <c r="I63" s="26" t="str">
        <f>IF(OR(E63="",E63="!!!",F63="NEW"),"",INDEX(B62:B$2,-1+SUMPRODUCT(MAX(ROW(E62:E$2)*(E63=E62:E$2)))))</f>
        <v> </v>
      </c>
      <c r="J63" s="26" t="str">
        <f>IF(OR(E63="",E63="!!!",F63="NEW"),"",COUNTBLANK(OFFSET(A$1,,,SUMPRODUCT(MAX(ROW(E$2:E63)*(E63=E$2:E63)))))-COUNTBLANK(OFFSET(A$1,,,SUMPRODUCT(MAX(ROW(E$1:E62)*(E2=E$1:E62))))))</f>
        <v> </v>
      </c>
      <c r="K63" s="26" t="str">
        <f>IF(OR(E63="",E63="!!!",F63="NEW"),"",INDEX(J$1:J62,SUMPRODUCT(MAX(ROW(E$1:E62)*(E63=E$1:E62)))))</f>
        <v> </v>
      </c>
      <c r="L63" s="27"/>
    </row>
    <row r="64" spans="1:12">
      <c r="A64" s="20" t="s">
        <v>189</v>
      </c>
      <c r="E64" s="22">
        <f>IF(D64="?OLD","!!!","")</f>
        <v/>
      </c>
      <c r="F64" s="23" t="str">
        <f>IF(OR(E64="",E64="!!!"),"",IF(NOT(ISNA(VLOOKUP(E64,E$1:E63,1,FALSE()))),"OLD",IF(AND(E64&lt;&gt;"",E64&lt;&gt;"!!!"),"NEW","")))</f>
        <v> </v>
      </c>
      <c r="G64" s="24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5" t="str">
        <f>IF(J64&lt;&gt;1,"",IF(I64="SBJ","CB","?"))</f>
        <v> </v>
      </c>
      <c r="I64" s="26" t="str">
        <f>IF(OR(E64="",E64="!!!",F64="NEW"),"",INDEX(B63:B$2,-1+SUMPRODUCT(MAX(ROW(E63:E$2)*(E64=E63:E$2)))))</f>
        <v> </v>
      </c>
      <c r="J64" s="26" t="str">
        <f>IF(OR(E64="",E64="!!!",F64="NEW"),"",COUNTBLANK(OFFSET(A$1,,,SUMPRODUCT(MAX(ROW(E$2:E64)*(E64=E$2:E64)))))-COUNTBLANK(OFFSET(A$1,,,SUMPRODUCT(MAX(ROW(E$1:E63)*(E2=E$1:E63))))))</f>
        <v> </v>
      </c>
      <c r="K64" s="26" t="str">
        <f>IF(OR(E64="",E64="!!!",F64="NEW"),"",INDEX(J$1:J63,SUMPRODUCT(MAX(ROW(E$1:E63)*(E64=E$1:E63)))))</f>
        <v> </v>
      </c>
      <c r="L64" s="27"/>
    </row>
    <row r="65" spans="1:12">
      <c r="A65" s="20" t="s">
        <v>160</v>
      </c>
      <c r="B65" s="21" t="s">
        <v>145</v>
      </c>
      <c r="C65" s="21" t="s">
        <v>130</v>
      </c>
      <c r="D65" s="21" t="s">
        <v>131</v>
      </c>
      <c r="E65" s="22">
        <f>IF(D65="?OLD","!!!","")</f>
        <v/>
      </c>
      <c r="F65" s="23" t="str">
        <f>IF(OR(E65="",E65="!!!"),"",IF(NOT(ISNA(VLOOKUP(E65,E$1:E64,1,FALSE()))),"OLD",IF(AND(E65&lt;&gt;"",E65&lt;&gt;"!!!"),"NEW","")))</f>
        <v> </v>
      </c>
      <c r="G65" s="24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5" t="str">
        <f>IF(J65&lt;&gt;1,"",IF(I65="SBJ","CB","?"))</f>
        <v> </v>
      </c>
      <c r="I65" s="26" t="str">
        <f>IF(OR(E65="",E65="!!!",F65="NEW"),"",INDEX(B64:B$2,-1+SUMPRODUCT(MAX(ROW(E64:E$2)*(E65=E64:E$2)))))</f>
        <v> </v>
      </c>
      <c r="J65" s="26" t="str">
        <f>IF(OR(E65="",E65="!!!",F65="NEW"),"",COUNTBLANK(OFFSET(A$1,,,SUMPRODUCT(MAX(ROW(E$2:E65)*(E65=E$2:E65)))))-COUNTBLANK(OFFSET(A$1,,,SUMPRODUCT(MAX(ROW(E$1:E64)*(E2=E$1:E64))))))</f>
        <v> </v>
      </c>
      <c r="K65" s="26" t="str">
        <f>IF(OR(E65="",E65="!!!",F65="NEW"),"",INDEX(J$1:J64,SUMPRODUCT(MAX(ROW(E$1:E64)*(E65=E$1:E64)))))</f>
        <v> </v>
      </c>
      <c r="L65" s="27"/>
    </row>
    <row r="66" spans="1:12">
      <c r="A66" s="20" t="s">
        <v>132</v>
      </c>
      <c r="E66" s="22">
        <f>IF(D66="?OLD","!!!","")</f>
        <v/>
      </c>
      <c r="F66" s="23" t="str">
        <f>IF(OR(E66="",E66="!!!"),"",IF(NOT(ISNA(VLOOKUP(E66,E$1:E65,1,FALSE()))),"OLD",IF(AND(E66&lt;&gt;"",E66&lt;&gt;"!!!"),"NEW","")))</f>
        <v> </v>
      </c>
      <c r="G66" s="24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5" t="str">
        <f>IF(J66&lt;&gt;1,"",IF(I66="SBJ","CB","?"))</f>
        <v> </v>
      </c>
      <c r="I66" s="26" t="str">
        <f>IF(OR(E66="",E66="!!!",F66="NEW"),"",INDEX(B65:B$2,-1+SUMPRODUCT(MAX(ROW(E65:E$2)*(E66=E65:E$2)))))</f>
        <v> </v>
      </c>
      <c r="J66" s="26" t="str">
        <f>IF(OR(E66="",E66="!!!",F66="NEW"),"",COUNTBLANK(OFFSET(A$1,,,SUMPRODUCT(MAX(ROW(E$2:E66)*(E66=E$2:E66)))))-COUNTBLANK(OFFSET(A$1,,,SUMPRODUCT(MAX(ROW(E$1:E65)*(E2=E$1:E65))))))</f>
        <v> </v>
      </c>
      <c r="K66" s="26" t="str">
        <f>IF(OR(E66="",E66="!!!",F66="NEW"),"",INDEX(J$1:J65,SUMPRODUCT(MAX(ROW(E$1:E65)*(E66=E$1:E65)))))</f>
        <v> </v>
      </c>
      <c r="L66" s="27"/>
    </row>
    <row r="67" spans="1:12">
      <c r="A67" s="20"/>
    </row>
    <row r="68" spans="1:12">
      <c r="A68" s="20" t="s">
        <v>190</v>
      </c>
    </row>
    <row r="69" spans="1:12">
      <c r="A69" s="20" t="s">
        <v>191</v>
      </c>
      <c r="E69" s="22">
        <f>IF(D69="?OLD","!!!","")</f>
        <v/>
      </c>
      <c r="F69" s="23" t="str">
        <f>IF(OR(E69="",E69="!!!"),"",IF(NOT(ISNA(VLOOKUP(E69,E$1:E68,1,FALSE()))),"OLD",IF(AND(E69&lt;&gt;"",E69&lt;&gt;"!!!"),"NEW","")))</f>
        <v> </v>
      </c>
      <c r="G69" s="24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5" t="str">
        <f>IF(J69&lt;&gt;1,"",IF(I69="SBJ","CB","?"))</f>
        <v> </v>
      </c>
      <c r="I69" s="26" t="str">
        <f>IF(OR(E69="",E69="!!!",F69="NEW"),"",INDEX(B68:B$2,-1+SUMPRODUCT(MAX(ROW(E68:E$2)*(E69=E68:E$2)))))</f>
        <v> </v>
      </c>
      <c r="J69" s="26" t="str">
        <f>IF(OR(E69="",E69="!!!",F69="NEW"),"",COUNTBLANK(OFFSET(A$1,,,SUMPRODUCT(MAX(ROW(E$2:E69)*(E69=E$2:E69)))))-COUNTBLANK(OFFSET(A$1,,,SUMPRODUCT(MAX(ROW(E$1:E68)*(E2=E$1:E68))))))</f>
        <v> </v>
      </c>
      <c r="K69" s="26" t="str">
        <f>IF(OR(E69="",E69="!!!",F69="NEW"),"",INDEX(J$1:J68,SUMPRODUCT(MAX(ROW(E$1:E68)*(E69=E$1:E68)))))</f>
        <v> </v>
      </c>
      <c r="L69" s="27"/>
    </row>
    <row r="70" spans="1:12">
      <c r="A70" s="20" t="s">
        <v>162</v>
      </c>
      <c r="B70" s="21" t="s">
        <v>145</v>
      </c>
      <c r="C70" s="21" t="s">
        <v>163</v>
      </c>
      <c r="E70" s="22">
        <f>IF(D70="?OLD","!!!","")</f>
        <v/>
      </c>
      <c r="F70" s="23" t="str">
        <f>IF(OR(E70="",E70="!!!"),"",IF(NOT(ISNA(VLOOKUP(E70,E$1:E69,1,FALSE()))),"OLD",IF(AND(E70&lt;&gt;"",E70&lt;&gt;"!!!"),"NEW","")))</f>
        <v> </v>
      </c>
      <c r="G70" s="24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5" t="str">
        <f>IF(J70&lt;&gt;1,"",IF(I70="SBJ","CB","?"))</f>
        <v> </v>
      </c>
      <c r="I70" s="26" t="str">
        <f>IF(OR(E70="",E70="!!!",F70="NEW"),"",INDEX(B69:B$2,-1+SUMPRODUCT(MAX(ROW(E69:E$2)*(E70=E69:E$2)))))</f>
        <v> </v>
      </c>
      <c r="J70" s="26" t="str">
        <f>IF(OR(E70="",E70="!!!",F70="NEW"),"",COUNTBLANK(OFFSET(A$1,,,SUMPRODUCT(MAX(ROW(E$2:E70)*(E70=E$2:E70)))))-COUNTBLANK(OFFSET(A$1,,,SUMPRODUCT(MAX(ROW(E$1:E69)*(E2=E$1:E69))))))</f>
        <v> </v>
      </c>
      <c r="K70" s="26" t="str">
        <f>IF(OR(E70="",E70="!!!",F70="NEW"),"",INDEX(J$1:J69,SUMPRODUCT(MAX(ROW(E$1:E69)*(E70=E$1:E69)))))</f>
        <v> </v>
      </c>
      <c r="L70" s="27"/>
    </row>
    <row r="71" spans="1:12">
      <c r="A71" s="20" t="s">
        <v>192</v>
      </c>
      <c r="B71" s="21" t="s">
        <v>152</v>
      </c>
      <c r="C71" s="21" t="s">
        <v>165</v>
      </c>
      <c r="E71" s="22">
        <f>IF(D71="?OLD","!!!","")</f>
        <v/>
      </c>
      <c r="F71" s="23" t="str">
        <f>IF(OR(E71="",E71="!!!"),"",IF(NOT(ISNA(VLOOKUP(E71,E$1:E70,1,FALSE()))),"OLD",IF(AND(E71&lt;&gt;"",E71&lt;&gt;"!!!"),"NEW","")))</f>
        <v> </v>
      </c>
      <c r="G71" s="24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5" t="str">
        <f>IF(J71&lt;&gt;1,"",IF(I71="SBJ","CB","?"))</f>
        <v> </v>
      </c>
      <c r="I71" s="26" t="str">
        <f>IF(OR(E71="",E71="!!!",F71="NEW"),"",INDEX(B70:B$2,-1+SUMPRODUCT(MAX(ROW(E70:E$2)*(E71=E70:E$2)))))</f>
        <v> </v>
      </c>
      <c r="J71" s="26" t="str">
        <f>IF(OR(E71="",E71="!!!",F71="NEW"),"",COUNTBLANK(OFFSET(A$1,,,SUMPRODUCT(MAX(ROW(E$2:E71)*(E71=E$2:E71)))))-COUNTBLANK(OFFSET(A$1,,,SUMPRODUCT(MAX(ROW(E$1:E70)*(E2=E$1:E70))))))</f>
        <v> </v>
      </c>
      <c r="K71" s="26" t="str">
        <f>IF(OR(E71="",E71="!!!",F71="NEW"),"",INDEX(J$1:J70,SUMPRODUCT(MAX(ROW(E$1:E70)*(E71=E$1:E70)))))</f>
        <v> </v>
      </c>
      <c r="L71" s="27"/>
    </row>
    <row r="72" spans="1:12">
      <c r="A72" s="20" t="s">
        <v>193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 t="s">
        <v>194</v>
      </c>
      <c r="B73" s="21" t="s">
        <v>136</v>
      </c>
      <c r="E73" s="22">
        <f>IF(D73="?OLD","!!!","")</f>
        <v/>
      </c>
      <c r="F73" s="23" t="str">
        <f>IF(OR(E73="",E73="!!!"),"",IF(NOT(ISNA(VLOOKUP(E73,E$1:E72,1,FALSE()))),"OLD",IF(AND(E73&lt;&gt;"",E73&lt;&gt;"!!!"),"NEW","")))</f>
        <v> </v>
      </c>
      <c r="G73" s="24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5" t="str">
        <f>IF(J73&lt;&gt;1,"",IF(I73="SBJ","CB","?"))</f>
        <v> </v>
      </c>
      <c r="I73" s="26" t="str">
        <f>IF(OR(E73="",E73="!!!",F73="NEW"),"",INDEX(B72:B$2,-1+SUMPRODUCT(MAX(ROW(E72:E$2)*(E73=E72:E$2)))))</f>
        <v> </v>
      </c>
      <c r="J73" s="26" t="str">
        <f>IF(OR(E73="",E73="!!!",F73="NEW"),"",COUNTBLANK(OFFSET(A$1,,,SUMPRODUCT(MAX(ROW(E$2:E73)*(E73=E$2:E73)))))-COUNTBLANK(OFFSET(A$1,,,SUMPRODUCT(MAX(ROW(E$1:E72)*(E2=E$1:E72))))))</f>
        <v> </v>
      </c>
      <c r="K73" s="26" t="str">
        <f>IF(OR(E73="",E73="!!!",F73="NEW"),"",INDEX(J$1:J72,SUMPRODUCT(MAX(ROW(E$1:E72)*(E73=E$1:E72)))))</f>
        <v> </v>
      </c>
      <c r="L73" s="27"/>
    </row>
    <row r="74" spans="1:12">
      <c r="A74" s="20" t="s">
        <v>134</v>
      </c>
      <c r="E74" s="22">
        <f>IF(D74="?OLD","!!!","")</f>
        <v/>
      </c>
      <c r="F74" s="23" t="str">
        <f>IF(OR(E74="",E74="!!!"),"",IF(NOT(ISNA(VLOOKUP(E74,E$1:E73,1,FALSE()))),"OLD",IF(AND(E74&lt;&gt;"",E74&lt;&gt;"!!!"),"NEW","")))</f>
        <v> </v>
      </c>
      <c r="G74" s="24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5" t="str">
        <f>IF(J74&lt;&gt;1,"",IF(I74="SBJ","CB","?"))</f>
        <v> </v>
      </c>
      <c r="I74" s="26" t="str">
        <f>IF(OR(E74="",E74="!!!",F74="NEW"),"",INDEX(B73:B$2,-1+SUMPRODUCT(MAX(ROW(E73:E$2)*(E74=E73:E$2)))))</f>
        <v> </v>
      </c>
      <c r="J74" s="26" t="str">
        <f>IF(OR(E74="",E74="!!!",F74="NEW"),"",COUNTBLANK(OFFSET(A$1,,,SUMPRODUCT(MAX(ROW(E$2:E74)*(E74=E$2:E74)))))-COUNTBLANK(OFFSET(A$1,,,SUMPRODUCT(MAX(ROW(E$1:E73)*(E2=E$1:E73))))))</f>
        <v> </v>
      </c>
      <c r="K74" s="26" t="str">
        <f>IF(OR(E74="",E74="!!!",F74="NEW"),"",INDEX(J$1:J73,SUMPRODUCT(MAX(ROW(E$1:E73)*(E74=E$1:E73)))))</f>
        <v> </v>
      </c>
      <c r="L74" s="27"/>
    </row>
    <row r="75" spans="1:12">
      <c r="A75" s="20" t="s">
        <v>195</v>
      </c>
      <c r="B75" s="21" t="s">
        <v>129</v>
      </c>
      <c r="C75" s="21" t="s">
        <v>137</v>
      </c>
      <c r="D75" s="21" t="s">
        <v>131</v>
      </c>
      <c r="E75" s="22">
        <f>IF(D75="?OLD","!!!","")</f>
        <v/>
      </c>
      <c r="F75" s="23" t="str">
        <f>IF(OR(E75="",E75="!!!"),"",IF(NOT(ISNA(VLOOKUP(E75,E$1:E74,1,FALSE()))),"OLD",IF(AND(E75&lt;&gt;"",E75&lt;&gt;"!!!"),"NEW","")))</f>
        <v> </v>
      </c>
      <c r="G75" s="24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5" t="str">
        <f>IF(J75&lt;&gt;1,"",IF(I75="SBJ","CB","?"))</f>
        <v> </v>
      </c>
      <c r="I75" s="26" t="str">
        <f>IF(OR(E75="",E75="!!!",F75="NEW"),"",INDEX(B74:B$2,-1+SUMPRODUCT(MAX(ROW(E74:E$2)*(E75=E74:E$2)))))</f>
        <v> </v>
      </c>
      <c r="J75" s="26" t="str">
        <f>IF(OR(E75="",E75="!!!",F75="NEW"),"",COUNTBLANK(OFFSET(A$1,,,SUMPRODUCT(MAX(ROW(E$2:E75)*(E75=E$2:E75)))))-COUNTBLANK(OFFSET(A$1,,,SUMPRODUCT(MAX(ROW(E$1:E74)*(E2=E$1:E74))))))</f>
        <v> </v>
      </c>
      <c r="K75" s="26" t="str">
        <f>IF(OR(E75="",E75="!!!",F75="NEW"),"",INDEX(J$1:J74,SUMPRODUCT(MAX(ROW(E$1:E74)*(E75=E$1:E74)))))</f>
        <v> </v>
      </c>
      <c r="L75" s="27"/>
    </row>
    <row r="76" spans="1:12">
      <c r="A76" s="20" t="s">
        <v>171</v>
      </c>
      <c r="E76" s="22">
        <f>IF(D76="?OLD","!!!","")</f>
        <v/>
      </c>
      <c r="F76" s="23" t="str">
        <f>IF(OR(E76="",E76="!!!"),"",IF(NOT(ISNA(VLOOKUP(E76,E$1:E75,1,FALSE()))),"OLD",IF(AND(E76&lt;&gt;"",E76&lt;&gt;"!!!"),"NEW","")))</f>
        <v> </v>
      </c>
      <c r="G76" s="24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5" t="str">
        <f>IF(J76&lt;&gt;1,"",IF(I76="SBJ","CB","?"))</f>
        <v> </v>
      </c>
      <c r="I76" s="26" t="str">
        <f>IF(OR(E76="",E76="!!!",F76="NEW"),"",INDEX(B75:B$2,-1+SUMPRODUCT(MAX(ROW(E75:E$2)*(E76=E75:E$2)))))</f>
        <v> </v>
      </c>
      <c r="J76" s="26" t="str">
        <f>IF(OR(E76="",E76="!!!",F76="NEW"),"",COUNTBLANK(OFFSET(A$1,,,SUMPRODUCT(MAX(ROW(E$2:E76)*(E76=E$2:E76)))))-COUNTBLANK(OFFSET(A$1,,,SUMPRODUCT(MAX(ROW(E$1:E75)*(E2=E$1:E75))))))</f>
        <v> </v>
      </c>
      <c r="K76" s="26" t="str">
        <f>IF(OR(E76="",E76="!!!",F76="NEW"),"",INDEX(J$1:J75,SUMPRODUCT(MAX(ROW(E$1:E75)*(E76=E$1:E75)))))</f>
        <v> </v>
      </c>
      <c r="L76" s="27"/>
    </row>
    <row r="77" spans="1:12">
      <c r="A77" s="20" t="s">
        <v>196</v>
      </c>
      <c r="E77" s="22">
        <f>IF(D77="?OLD","!!!","")</f>
        <v/>
      </c>
      <c r="F77" s="23" t="str">
        <f>IF(OR(E77="",E77="!!!"),"",IF(NOT(ISNA(VLOOKUP(E77,E$1:E76,1,FALSE()))),"OLD",IF(AND(E77&lt;&gt;"",E77&lt;&gt;"!!!"),"NEW","")))</f>
        <v> </v>
      </c>
      <c r="G77" s="24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5" t="str">
        <f>IF(J77&lt;&gt;1,"",IF(I77="SBJ","CB","?"))</f>
        <v> </v>
      </c>
      <c r="I77" s="26" t="str">
        <f>IF(OR(E77="",E77="!!!",F77="NEW"),"",INDEX(B76:B$2,-1+SUMPRODUCT(MAX(ROW(E76:E$2)*(E77=E76:E$2)))))</f>
        <v> </v>
      </c>
      <c r="J77" s="26" t="str">
        <f>IF(OR(E77="",E77="!!!",F77="NEW"),"",COUNTBLANK(OFFSET(A$1,,,SUMPRODUCT(MAX(ROW(E$2:E77)*(E77=E$2:E77)))))-COUNTBLANK(OFFSET(A$1,,,SUMPRODUCT(MAX(ROW(E$1:E76)*(E2=E$1:E76))))))</f>
        <v> </v>
      </c>
      <c r="K77" s="26" t="str">
        <f>IF(OR(E77="",E77="!!!",F77="NEW"),"",INDEX(J$1:J76,SUMPRODUCT(MAX(ROW(E$1:E76)*(E77=E$1:E76)))))</f>
        <v> </v>
      </c>
      <c r="L77" s="27"/>
    </row>
    <row r="78" spans="1:12">
      <c r="A78" s="20" t="s">
        <v>197</v>
      </c>
      <c r="B78" s="21" t="s">
        <v>152</v>
      </c>
      <c r="C78" s="21" t="s">
        <v>141</v>
      </c>
      <c r="E78" s="22">
        <f>IF(D78="?OLD","!!!","")</f>
        <v/>
      </c>
      <c r="F78" s="23" t="str">
        <f>IF(OR(E78="",E78="!!!"),"",IF(NOT(ISNA(VLOOKUP(E78,E$1:E77,1,FALSE()))),"OLD",IF(AND(E78&lt;&gt;"",E78&lt;&gt;"!!!"),"NEW","")))</f>
        <v> </v>
      </c>
      <c r="G78" s="24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5" t="str">
        <f>IF(J78&lt;&gt;1,"",IF(I78="SBJ","CB","?"))</f>
        <v> </v>
      </c>
      <c r="I78" s="26" t="str">
        <f>IF(OR(E78="",E78="!!!",F78="NEW"),"",INDEX(B77:B$2,-1+SUMPRODUCT(MAX(ROW(E77:E$2)*(E78=E77:E$2)))))</f>
        <v> </v>
      </c>
      <c r="J78" s="26" t="str">
        <f>IF(OR(E78="",E78="!!!",F78="NEW"),"",COUNTBLANK(OFFSET(A$1,,,SUMPRODUCT(MAX(ROW(E$2:E78)*(E78=E$2:E78)))))-COUNTBLANK(OFFSET(A$1,,,SUMPRODUCT(MAX(ROW(E$1:E77)*(E2=E$1:E77))))))</f>
        <v> </v>
      </c>
      <c r="K78" s="26" t="str">
        <f>IF(OR(E78="",E78="!!!",F78="NEW"),"",INDEX(J$1:J77,SUMPRODUCT(MAX(ROW(E$1:E77)*(E78=E$1:E77)))))</f>
        <v> </v>
      </c>
      <c r="L78" s="27"/>
    </row>
    <row r="79" spans="1:12">
      <c r="A79" s="20" t="s">
        <v>198</v>
      </c>
      <c r="E79" s="22">
        <f>IF(D79="?OLD","!!!","")</f>
        <v/>
      </c>
      <c r="F79" s="23" t="str">
        <f>IF(OR(E79="",E79="!!!"),"",IF(NOT(ISNA(VLOOKUP(E79,E$1:E78,1,FALSE()))),"OLD",IF(AND(E79&lt;&gt;"",E79&lt;&gt;"!!!"),"NEW","")))</f>
        <v> </v>
      </c>
      <c r="G79" s="24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5" t="str">
        <f>IF(J79&lt;&gt;1,"",IF(I79="SBJ","CB","?"))</f>
        <v> </v>
      </c>
      <c r="I79" s="26" t="str">
        <f>IF(OR(E79="",E79="!!!",F79="NEW"),"",INDEX(B78:B$2,-1+SUMPRODUCT(MAX(ROW(E78:E$2)*(E79=E78:E$2)))))</f>
        <v> </v>
      </c>
      <c r="J79" s="26" t="str">
        <f>IF(OR(E79="",E79="!!!",F79="NEW"),"",COUNTBLANK(OFFSET(A$1,,,SUMPRODUCT(MAX(ROW(E$2:E79)*(E79=E$2:E79)))))-COUNTBLANK(OFFSET(A$1,,,SUMPRODUCT(MAX(ROW(E$1:E78)*(E2=E$1:E78))))))</f>
        <v> </v>
      </c>
      <c r="K79" s="26" t="str">
        <f>IF(OR(E79="",E79="!!!",F79="NEW"),"",INDEX(J$1:J78,SUMPRODUCT(MAX(ROW(E$1:E78)*(E79=E$1:E78)))))</f>
        <v> </v>
      </c>
      <c r="L79" s="27"/>
    </row>
    <row r="80" spans="1:12">
      <c r="A80" s="20" t="s">
        <v>199</v>
      </c>
      <c r="B80" s="21" t="s">
        <v>200</v>
      </c>
      <c r="C80" s="21" t="s">
        <v>201</v>
      </c>
      <c r="D80" s="21" t="s">
        <v>131</v>
      </c>
      <c r="E80" s="22">
        <f>IF(D80="?OLD","!!!","")</f>
        <v/>
      </c>
      <c r="F80" s="23" t="str">
        <f>IF(OR(E80="",E80="!!!"),"",IF(NOT(ISNA(VLOOKUP(E80,E$1:E79,1,FALSE()))),"OLD",IF(AND(E80&lt;&gt;"",E80&lt;&gt;"!!!"),"NEW","")))</f>
        <v> </v>
      </c>
      <c r="G80" s="24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5" t="str">
        <f>IF(J80&lt;&gt;1,"",IF(I80="SBJ","CB","?"))</f>
        <v> </v>
      </c>
      <c r="I80" s="26" t="str">
        <f>IF(OR(E80="",E80="!!!",F80="NEW"),"",INDEX(B79:B$2,-1+SUMPRODUCT(MAX(ROW(E79:E$2)*(E80=E79:E$2)))))</f>
        <v> </v>
      </c>
      <c r="J80" s="26" t="str">
        <f>IF(OR(E80="",E80="!!!",F80="NEW"),"",COUNTBLANK(OFFSET(A$1,,,SUMPRODUCT(MAX(ROW(E$2:E80)*(E80=E$2:E80)))))-COUNTBLANK(OFFSET(A$1,,,SUMPRODUCT(MAX(ROW(E$1:E79)*(E2=E$1:E79))))))</f>
        <v> </v>
      </c>
      <c r="K80" s="26" t="str">
        <f>IF(OR(E80="",E80="!!!",F80="NEW"),"",INDEX(J$1:J79,SUMPRODUCT(MAX(ROW(E$1:E79)*(E80=E$1:E79)))))</f>
        <v> </v>
      </c>
      <c r="L80" s="27"/>
    </row>
    <row r="81" spans="1:12">
      <c r="A81" s="20" t="s">
        <v>202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156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 t="s">
        <v>143</v>
      </c>
      <c r="E83" s="22">
        <f>IF(D83="?OLD","!!!","")</f>
        <v/>
      </c>
      <c r="F83" s="23" t="str">
        <f>IF(OR(E83="",E83="!!!"),"",IF(NOT(ISNA(VLOOKUP(E83,E$1:E82,1,FALSE()))),"OLD",IF(AND(E83&lt;&gt;"",E83&lt;&gt;"!!!"),"NEW","")))</f>
        <v> </v>
      </c>
      <c r="G83" s="24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5" t="str">
        <f>IF(J83&lt;&gt;1,"",IF(I83="SBJ","CB","?"))</f>
        <v> </v>
      </c>
      <c r="I83" s="26" t="str">
        <f>IF(OR(E83="",E83="!!!",F83="NEW"),"",INDEX(B82:B$2,-1+SUMPRODUCT(MAX(ROW(E82:E$2)*(E83=E82:E$2)))))</f>
        <v> </v>
      </c>
      <c r="J83" s="26" t="str">
        <f>IF(OR(E83="",E83="!!!",F83="NEW"),"",COUNTBLANK(OFFSET(A$1,,,SUMPRODUCT(MAX(ROW(E$2:E83)*(E83=E$2:E83)))))-COUNTBLANK(OFFSET(A$1,,,SUMPRODUCT(MAX(ROW(E$1:E82)*(E2=E$1:E82))))))</f>
        <v> </v>
      </c>
      <c r="K83" s="26" t="str">
        <f>IF(OR(E83="",E83="!!!",F83="NEW"),"",INDEX(J$1:J82,SUMPRODUCT(MAX(ROW(E$1:E82)*(E83=E$1:E82)))))</f>
        <v> </v>
      </c>
      <c r="L83" s="27"/>
    </row>
    <row r="84" spans="1:12">
      <c r="A84" s="20" t="s">
        <v>203</v>
      </c>
      <c r="E84" s="22">
        <f>IF(D84="?OLD","!!!","")</f>
        <v/>
      </c>
      <c r="F84" s="23" t="str">
        <f>IF(OR(E84="",E84="!!!"),"",IF(NOT(ISNA(VLOOKUP(E84,E$1:E83,1,FALSE()))),"OLD",IF(AND(E84&lt;&gt;"",E84&lt;&gt;"!!!"),"NEW","")))</f>
        <v> </v>
      </c>
      <c r="G84" s="24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5" t="str">
        <f>IF(J84&lt;&gt;1,"",IF(I84="SBJ","CB","?"))</f>
        <v> </v>
      </c>
      <c r="I84" s="26" t="str">
        <f>IF(OR(E84="",E84="!!!",F84="NEW"),"",INDEX(B83:B$2,-1+SUMPRODUCT(MAX(ROW(E83:E$2)*(E84=E83:E$2)))))</f>
        <v> </v>
      </c>
      <c r="J84" s="26" t="str">
        <f>IF(OR(E84="",E84="!!!",F84="NEW"),"",COUNTBLANK(OFFSET(A$1,,,SUMPRODUCT(MAX(ROW(E$2:E84)*(E84=E$2:E84)))))-COUNTBLANK(OFFSET(A$1,,,SUMPRODUCT(MAX(ROW(E$1:E83)*(E2=E$1:E83))))))</f>
        <v> </v>
      </c>
      <c r="K84" s="26" t="str">
        <f>IF(OR(E84="",E84="!!!",F84="NEW"),"",INDEX(J$1:J83,SUMPRODUCT(MAX(ROW(E$1:E83)*(E84=E$1:E83)))))</f>
        <v> </v>
      </c>
      <c r="L84" s="27"/>
    </row>
    <row r="85" spans="1:12">
      <c r="A85" s="20" t="s">
        <v>204</v>
      </c>
      <c r="B85" s="21" t="s">
        <v>145</v>
      </c>
      <c r="C85" s="21" t="s">
        <v>137</v>
      </c>
      <c r="D85" s="21" t="s">
        <v>131</v>
      </c>
      <c r="E85" s="22">
        <f>IF(D85="?OLD","!!!","")</f>
        <v/>
      </c>
      <c r="F85" s="23" t="str">
        <f>IF(OR(E85="",E85="!!!"),"",IF(NOT(ISNA(VLOOKUP(E85,E$1:E84,1,FALSE()))),"OLD",IF(AND(E85&lt;&gt;"",E85&lt;&gt;"!!!"),"NEW","")))</f>
        <v> </v>
      </c>
      <c r="G85" s="24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5" t="str">
        <f>IF(J85&lt;&gt;1,"",IF(I85="SBJ","CB","?"))</f>
        <v> </v>
      </c>
      <c r="I85" s="26" t="str">
        <f>IF(OR(E85="",E85="!!!",F85="NEW"),"",INDEX(B84:B$2,-1+SUMPRODUCT(MAX(ROW(E84:E$2)*(E85=E84:E$2)))))</f>
        <v> </v>
      </c>
      <c r="J85" s="26" t="str">
        <f>IF(OR(E85="",E85="!!!",F85="NEW"),"",COUNTBLANK(OFFSET(A$1,,,SUMPRODUCT(MAX(ROW(E$2:E85)*(E85=E$2:E85)))))-COUNTBLANK(OFFSET(A$1,,,SUMPRODUCT(MAX(ROW(E$1:E84)*(E2=E$1:E84))))))</f>
        <v> </v>
      </c>
      <c r="K85" s="26" t="str">
        <f>IF(OR(E85="",E85="!!!",F85="NEW"),"",INDEX(J$1:J84,SUMPRODUCT(MAX(ROW(E$1:E84)*(E85=E$1:E84)))))</f>
        <v> </v>
      </c>
      <c r="L85" s="27"/>
    </row>
    <row r="86" spans="1:12">
      <c r="A86" s="20" t="s">
        <v>205</v>
      </c>
      <c r="E86" s="22">
        <f>IF(D86="?OLD","!!!","")</f>
        <v/>
      </c>
      <c r="F86" s="23" t="str">
        <f>IF(OR(E86="",E86="!!!"),"",IF(NOT(ISNA(VLOOKUP(E86,E$1:E85,1,FALSE()))),"OLD",IF(AND(E86&lt;&gt;"",E86&lt;&gt;"!!!"),"NEW","")))</f>
        <v> </v>
      </c>
      <c r="G86" s="24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5" t="str">
        <f>IF(J86&lt;&gt;1,"",IF(I86="SBJ","CB","?"))</f>
        <v> </v>
      </c>
      <c r="I86" s="26" t="str">
        <f>IF(OR(E86="",E86="!!!",F86="NEW"),"",INDEX(B85:B$2,-1+SUMPRODUCT(MAX(ROW(E85:E$2)*(E86=E85:E$2)))))</f>
        <v> </v>
      </c>
      <c r="J86" s="26" t="str">
        <f>IF(OR(E86="",E86="!!!",F86="NEW"),"",COUNTBLANK(OFFSET(A$1,,,SUMPRODUCT(MAX(ROW(E$2:E86)*(E86=E$2:E86)))))-COUNTBLANK(OFFSET(A$1,,,SUMPRODUCT(MAX(ROW(E$1:E85)*(E2=E$1:E85))))))</f>
        <v> </v>
      </c>
      <c r="K86" s="26" t="str">
        <f>IF(OR(E86="",E86="!!!",F86="NEW"),"",INDEX(J$1:J85,SUMPRODUCT(MAX(ROW(E$1:E85)*(E86=E$1:E85)))))</f>
        <v> </v>
      </c>
      <c r="L86" s="27"/>
    </row>
    <row r="87" spans="1:12">
      <c r="A87" s="20" t="s">
        <v>206</v>
      </c>
      <c r="B87" s="21" t="s">
        <v>158</v>
      </c>
      <c r="C87" s="21" t="s">
        <v>207</v>
      </c>
      <c r="E87" s="22">
        <f>IF(D87="?OLD","!!!","")</f>
        <v/>
      </c>
      <c r="F87" s="23" t="str">
        <f>IF(OR(E87="",E87="!!!"),"",IF(NOT(ISNA(VLOOKUP(E87,E$1:E86,1,FALSE()))),"OLD",IF(AND(E87&lt;&gt;"",E87&lt;&gt;"!!!"),"NEW","")))</f>
        <v> </v>
      </c>
      <c r="G87" s="24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5" t="str">
        <f>IF(J87&lt;&gt;1,"",IF(I87="SBJ","CB","?"))</f>
        <v> </v>
      </c>
      <c r="I87" s="26" t="str">
        <f>IF(OR(E87="",E87="!!!",F87="NEW"),"",INDEX(B86:B$2,-1+SUMPRODUCT(MAX(ROW(E86:E$2)*(E87=E86:E$2)))))</f>
        <v> </v>
      </c>
      <c r="J87" s="26" t="str">
        <f>IF(OR(E87="",E87="!!!",F87="NEW"),"",COUNTBLANK(OFFSET(A$1,,,SUMPRODUCT(MAX(ROW(E$2:E87)*(E87=E$2:E87)))))-COUNTBLANK(OFFSET(A$1,,,SUMPRODUCT(MAX(ROW(E$1:E86)*(E2=E$1:E86))))))</f>
        <v> </v>
      </c>
      <c r="K87" s="26" t="str">
        <f>IF(OR(E87="",E87="!!!",F87="NEW"),"",INDEX(J$1:J86,SUMPRODUCT(MAX(ROW(E$1:E86)*(E87=E$1:E86)))))</f>
        <v> </v>
      </c>
      <c r="L87" s="27"/>
    </row>
    <row r="88" spans="1:12">
      <c r="A88" s="20" t="s">
        <v>208</v>
      </c>
      <c r="B88" s="21" t="s">
        <v>209</v>
      </c>
      <c r="C88" s="21" t="s">
        <v>163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 t="s">
        <v>175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 t="s">
        <v>210</v>
      </c>
      <c r="B90" s="21" t="s">
        <v>211</v>
      </c>
      <c r="C90" s="21" t="s">
        <v>137</v>
      </c>
      <c r="D90" s="21" t="s">
        <v>131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148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/>
    </row>
    <row r="93" spans="1:12">
      <c r="A93" s="20" t="s">
        <v>212</v>
      </c>
    </row>
    <row r="94" spans="1:12">
      <c r="A94" s="20" t="s">
        <v>213</v>
      </c>
      <c r="E94" s="22">
        <f>IF(D94="?OLD","!!!","")</f>
        <v/>
      </c>
      <c r="F94" s="23" t="str">
        <f>IF(OR(E94="",E94="!!!"),"",IF(NOT(ISNA(VLOOKUP(E94,E$1:E93,1,FALSE()))),"OLD",IF(AND(E94&lt;&gt;"",E94&lt;&gt;"!!!"),"NEW","")))</f>
        <v> </v>
      </c>
      <c r="G94" s="24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5" t="str">
        <f>IF(J94&lt;&gt;1,"",IF(I94="SBJ","CB","?"))</f>
        <v> </v>
      </c>
      <c r="I94" s="26" t="str">
        <f>IF(OR(E94="",E94="!!!",F94="NEW"),"",INDEX(B93:B$2,-1+SUMPRODUCT(MAX(ROW(E93:E$2)*(E94=E93:E$2)))))</f>
        <v> </v>
      </c>
      <c r="J94" s="26" t="str">
        <f>IF(OR(E94="",E94="!!!",F94="NEW"),"",COUNTBLANK(OFFSET(A$1,,,SUMPRODUCT(MAX(ROW(E$2:E94)*(E94=E$2:E94)))))-COUNTBLANK(OFFSET(A$1,,,SUMPRODUCT(MAX(ROW(E$1:E93)*(E2=E$1:E93))))))</f>
        <v> </v>
      </c>
      <c r="K94" s="26" t="str">
        <f>IF(OR(E94="",E94="!!!",F94="NEW"),"",INDEX(J$1:J93,SUMPRODUCT(MAX(ROW(E$1:E93)*(E94=E$1:E93)))))</f>
        <v> </v>
      </c>
      <c r="L94" s="27"/>
    </row>
    <row r="95" spans="1:12">
      <c r="A95" s="20" t="s">
        <v>33</v>
      </c>
      <c r="B95" s="21" t="s">
        <v>152</v>
      </c>
      <c r="C95" s="21" t="s">
        <v>155</v>
      </c>
      <c r="E95" s="22">
        <f>IF(D95="?OLD","!!!","")</f>
        <v/>
      </c>
      <c r="F95" s="23" t="str">
        <f>IF(OR(E95="",E95="!!!"),"",IF(NOT(ISNA(VLOOKUP(E95,E$1:E94,1,FALSE()))),"OLD",IF(AND(E95&lt;&gt;"",E95&lt;&gt;"!!!"),"NEW","")))</f>
        <v> </v>
      </c>
      <c r="G95" s="24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5" t="str">
        <f>IF(J95&lt;&gt;1,"",IF(I95="SBJ","CB","?"))</f>
        <v> </v>
      </c>
      <c r="I95" s="26" t="str">
        <f>IF(OR(E95="",E95="!!!",F95="NEW"),"",INDEX(B94:B$2,-1+SUMPRODUCT(MAX(ROW(E94:E$2)*(E95=E94:E$2)))))</f>
        <v> </v>
      </c>
      <c r="J95" s="26" t="str">
        <f>IF(OR(E95="",E95="!!!",F95="NEW"),"",COUNTBLANK(OFFSET(A$1,,,SUMPRODUCT(MAX(ROW(E$2:E95)*(E95=E$2:E95)))))-COUNTBLANK(OFFSET(A$1,,,SUMPRODUCT(MAX(ROW(E$1:E94)*(E2=E$1:E94))))))</f>
        <v> </v>
      </c>
      <c r="K95" s="26" t="str">
        <f>IF(OR(E95="",E95="!!!",F95="NEW"),"",INDEX(J$1:J94,SUMPRODUCT(MAX(ROW(E$1:E94)*(E95=E$1:E94)))))</f>
        <v> </v>
      </c>
      <c r="L95" s="27"/>
    </row>
    <row r="96" spans="1:12">
      <c r="A96" s="20" t="s">
        <v>214</v>
      </c>
      <c r="E96" s="22">
        <f>IF(D96="?OLD","!!!","")</f>
        <v/>
      </c>
      <c r="F96" s="23" t="str">
        <f>IF(OR(E96="",E96="!!!"),"",IF(NOT(ISNA(VLOOKUP(E96,E$1:E95,1,FALSE()))),"OLD",IF(AND(E96&lt;&gt;"",E96&lt;&gt;"!!!"),"NEW","")))</f>
        <v> </v>
      </c>
      <c r="G96" s="24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5" t="str">
        <f>IF(J96&lt;&gt;1,"",IF(I96="SBJ","CB","?"))</f>
        <v> </v>
      </c>
      <c r="I96" s="26" t="str">
        <f>IF(OR(E96="",E96="!!!",F96="NEW"),"",INDEX(B95:B$2,-1+SUMPRODUCT(MAX(ROW(E95:E$2)*(E96=E95:E$2)))))</f>
        <v> </v>
      </c>
      <c r="J96" s="26" t="str">
        <f>IF(OR(E96="",E96="!!!",F96="NEW"),"",COUNTBLANK(OFFSET(A$1,,,SUMPRODUCT(MAX(ROW(E$2:E96)*(E96=E$2:E96)))))-COUNTBLANK(OFFSET(A$1,,,SUMPRODUCT(MAX(ROW(E$1:E95)*(E2=E$1:E95))))))</f>
        <v> </v>
      </c>
      <c r="K96" s="26" t="str">
        <f>IF(OR(E96="",E96="!!!",F96="NEW"),"",INDEX(J$1:J95,SUMPRODUCT(MAX(ROW(E$1:E95)*(E96=E$1:E95)))))</f>
        <v> </v>
      </c>
      <c r="L96" s="27"/>
    </row>
    <row r="97" spans="1:12">
      <c r="A97" s="20" t="s">
        <v>215</v>
      </c>
      <c r="B97" s="21" t="s">
        <v>145</v>
      </c>
      <c r="C97" s="21" t="s">
        <v>216</v>
      </c>
      <c r="D97" s="21" t="s">
        <v>131</v>
      </c>
      <c r="E97" s="22">
        <f>IF(D97="?OLD","!!!","")</f>
        <v/>
      </c>
      <c r="F97" s="23" t="str">
        <f>IF(OR(E97="",E97="!!!"),"",IF(NOT(ISNA(VLOOKUP(E97,E$1:E96,1,FALSE()))),"OLD",IF(AND(E97&lt;&gt;"",E97&lt;&gt;"!!!"),"NEW","")))</f>
        <v> </v>
      </c>
      <c r="G97" s="24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5" t="str">
        <f>IF(J97&lt;&gt;1,"",IF(I97="SBJ","CB","?"))</f>
        <v> </v>
      </c>
      <c r="I97" s="26" t="str">
        <f>IF(OR(E97="",E97="!!!",F97="NEW"),"",INDEX(B96:B$2,-1+SUMPRODUCT(MAX(ROW(E96:E$2)*(E97=E96:E$2)))))</f>
        <v> </v>
      </c>
      <c r="J97" s="26" t="str">
        <f>IF(OR(E97="",E97="!!!",F97="NEW"),"",COUNTBLANK(OFFSET(A$1,,,SUMPRODUCT(MAX(ROW(E$2:E97)*(E97=E$2:E97)))))-COUNTBLANK(OFFSET(A$1,,,SUMPRODUCT(MAX(ROW(E$1:E96)*(E2=E$1:E96))))))</f>
        <v> </v>
      </c>
      <c r="K97" s="26" t="str">
        <f>IF(OR(E97="",E97="!!!",F97="NEW"),"",INDEX(J$1:J96,SUMPRODUCT(MAX(ROW(E$1:E96)*(E97=E$1:E96)))))</f>
        <v> </v>
      </c>
      <c r="L97" s="27"/>
    </row>
    <row r="98" spans="1:12">
      <c r="A98" s="20" t="s">
        <v>217</v>
      </c>
      <c r="B98" s="21" t="s">
        <v>152</v>
      </c>
      <c r="C98" s="21" t="s">
        <v>218</v>
      </c>
      <c r="D98" s="21" t="s">
        <v>131</v>
      </c>
      <c r="E98" s="22">
        <f>IF(D98="?OLD","!!!","")</f>
        <v/>
      </c>
      <c r="F98" s="23" t="str">
        <f>IF(OR(E98="",E98="!!!"),"",IF(NOT(ISNA(VLOOKUP(E98,E$1:E97,1,FALSE()))),"OLD",IF(AND(E98&lt;&gt;"",E98&lt;&gt;"!!!"),"NEW","")))</f>
        <v> </v>
      </c>
      <c r="G98" s="24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5" t="str">
        <f>IF(J98&lt;&gt;1,"",IF(I98="SBJ","CB","?"))</f>
        <v> </v>
      </c>
      <c r="I98" s="26" t="str">
        <f>IF(OR(E98="",E98="!!!",F98="NEW"),"",INDEX(B97:B$2,-1+SUMPRODUCT(MAX(ROW(E97:E$2)*(E98=E97:E$2)))))</f>
        <v> </v>
      </c>
      <c r="J98" s="26" t="str">
        <f>IF(OR(E98="",E98="!!!",F98="NEW"),"",COUNTBLANK(OFFSET(A$1,,,SUMPRODUCT(MAX(ROW(E$2:E98)*(E98=E$2:E98)))))-COUNTBLANK(OFFSET(A$1,,,SUMPRODUCT(MAX(ROW(E$1:E97)*(E2=E$1:E97))))))</f>
        <v> </v>
      </c>
      <c r="K98" s="26" t="str">
        <f>IF(OR(E98="",E98="!!!",F98="NEW"),"",INDEX(J$1:J97,SUMPRODUCT(MAX(ROW(E$1:E97)*(E98=E$1:E97)))))</f>
        <v> </v>
      </c>
      <c r="L98" s="27"/>
    </row>
    <row r="99" spans="1:12">
      <c r="A99" s="20" t="s">
        <v>198</v>
      </c>
      <c r="E99" s="22">
        <f>IF(D99="?OLD","!!!","")</f>
        <v/>
      </c>
      <c r="F99" s="23" t="str">
        <f>IF(OR(E99="",E99="!!!"),"",IF(NOT(ISNA(VLOOKUP(E99,E$1:E98,1,FALSE()))),"OLD",IF(AND(E99&lt;&gt;"",E99&lt;&gt;"!!!"),"NEW","")))</f>
        <v> </v>
      </c>
      <c r="G99" s="24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5" t="str">
        <f>IF(J99&lt;&gt;1,"",IF(I99="SBJ","CB","?"))</f>
        <v> </v>
      </c>
      <c r="I99" s="26" t="str">
        <f>IF(OR(E99="",E99="!!!",F99="NEW"),"",INDEX(B98:B$2,-1+SUMPRODUCT(MAX(ROW(E98:E$2)*(E99=E98:E$2)))))</f>
        <v> </v>
      </c>
      <c r="J99" s="26" t="str">
        <f>IF(OR(E99="",E99="!!!",F99="NEW"),"",COUNTBLANK(OFFSET(A$1,,,SUMPRODUCT(MAX(ROW(E$2:E99)*(E99=E$2:E99)))))-COUNTBLANK(OFFSET(A$1,,,SUMPRODUCT(MAX(ROW(E$1:E98)*(E2=E$1:E98))))))</f>
        <v> </v>
      </c>
      <c r="K99" s="26" t="str">
        <f>IF(OR(E99="",E99="!!!",F99="NEW"),"",INDEX(J$1:J98,SUMPRODUCT(MAX(ROW(E$1:E98)*(E99=E$1:E98)))))</f>
        <v> </v>
      </c>
      <c r="L99" s="27"/>
    </row>
    <row r="100" spans="1:12">
      <c r="A100" s="20" t="s">
        <v>219</v>
      </c>
      <c r="B100" s="21" t="s">
        <v>200</v>
      </c>
      <c r="C100" s="21" t="s">
        <v>181</v>
      </c>
      <c r="D100" s="21" t="s">
        <v>131</v>
      </c>
      <c r="E100" s="22">
        <f>IF(D100="?OLD","!!!","")</f>
        <v/>
      </c>
      <c r="F100" s="23" t="str">
        <f>IF(OR(E100="",E100="!!!"),"",IF(NOT(ISNA(VLOOKUP(E100,E$1:E99,1,FALSE()))),"OLD",IF(AND(E100&lt;&gt;"",E100&lt;&gt;"!!!"),"NEW","")))</f>
        <v> </v>
      </c>
      <c r="G100" s="24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5" t="str">
        <f>IF(J100&lt;&gt;1,"",IF(I100="SBJ","CB","?"))</f>
        <v> </v>
      </c>
      <c r="I100" s="26" t="str">
        <f>IF(OR(E100="",E100="!!!",F100="NEW"),"",INDEX(B99:B$2,-1+SUMPRODUCT(MAX(ROW(E99:E$2)*(E100=E99:E$2)))))</f>
        <v> </v>
      </c>
      <c r="J100" s="26" t="str">
        <f>IF(OR(E100="",E100="!!!",F100="NEW"),"",COUNTBLANK(OFFSET(A$1,,,SUMPRODUCT(MAX(ROW(E$2:E100)*(E100=E$2:E100)))))-COUNTBLANK(OFFSET(A$1,,,SUMPRODUCT(MAX(ROW(E$1:E99)*(E2=E$1:E99))))))</f>
        <v> </v>
      </c>
      <c r="K100" s="26" t="str">
        <f>IF(OR(E100="",E100="!!!",F100="NEW"),"",INDEX(J$1:J99,SUMPRODUCT(MAX(ROW(E$1:E99)*(E100=E$1:E99)))))</f>
        <v> </v>
      </c>
      <c r="L100" s="27"/>
    </row>
    <row r="101" spans="1:12">
      <c r="A101" s="20" t="s">
        <v>220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 t="s">
        <v>221</v>
      </c>
      <c r="B102" s="21" t="s">
        <v>222</v>
      </c>
      <c r="C102" s="21" t="s">
        <v>207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 t="s">
        <v>223</v>
      </c>
      <c r="E103" s="22">
        <f>IF(D103="?OLD","!!!","")</f>
        <v/>
      </c>
      <c r="F103" s="23" t="str">
        <f>IF(OR(E103="",E103="!!!"),"",IF(NOT(ISNA(VLOOKUP(E103,E$1:E102,1,FALSE()))),"OLD",IF(AND(E103&lt;&gt;"",E103&lt;&gt;"!!!"),"NEW","")))</f>
        <v> </v>
      </c>
      <c r="G103" s="24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5" t="str">
        <f>IF(J103&lt;&gt;1,"",IF(I103="SBJ","CB","?"))</f>
        <v> </v>
      </c>
      <c r="I103" s="26" t="str">
        <f>IF(OR(E103="",E103="!!!",F103="NEW"),"",INDEX(B102:B$2,-1+SUMPRODUCT(MAX(ROW(E102:E$2)*(E103=E102:E$2)))))</f>
        <v> </v>
      </c>
      <c r="J103" s="26" t="str">
        <f>IF(OR(E103="",E103="!!!",F103="NEW"),"",COUNTBLANK(OFFSET(A$1,,,SUMPRODUCT(MAX(ROW(E$2:E103)*(E103=E$2:E103)))))-COUNTBLANK(OFFSET(A$1,,,SUMPRODUCT(MAX(ROW(E$1:E102)*(E2=E$1:E102))))))</f>
        <v> </v>
      </c>
      <c r="K103" s="26" t="str">
        <f>IF(OR(E103="",E103="!!!",F103="NEW"),"",INDEX(J$1:J102,SUMPRODUCT(MAX(ROW(E$1:E102)*(E103=E$1:E102)))))</f>
        <v> </v>
      </c>
      <c r="L103" s="27"/>
    </row>
    <row r="104" spans="1:12">
      <c r="A104" s="20" t="s">
        <v>148</v>
      </c>
      <c r="E104" s="22">
        <f>IF(D104="?OLD","!!!","")</f>
        <v/>
      </c>
      <c r="F104" s="23" t="str">
        <f>IF(OR(E104="",E104="!!!"),"",IF(NOT(ISNA(VLOOKUP(E104,E$1:E103,1,FALSE()))),"OLD",IF(AND(E104&lt;&gt;"",E104&lt;&gt;"!!!"),"NEW","")))</f>
        <v> </v>
      </c>
      <c r="G104" s="24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5" t="str">
        <f>IF(J104&lt;&gt;1,"",IF(I104="SBJ","CB","?"))</f>
        <v> </v>
      </c>
      <c r="I104" s="26" t="str">
        <f>IF(OR(E104="",E104="!!!",F104="NEW"),"",INDEX(B103:B$2,-1+SUMPRODUCT(MAX(ROW(E103:E$2)*(E104=E103:E$2)))))</f>
        <v> </v>
      </c>
      <c r="J104" s="26" t="str">
        <f>IF(OR(E104="",E104="!!!",F104="NEW"),"",COUNTBLANK(OFFSET(A$1,,,SUMPRODUCT(MAX(ROW(E$2:E104)*(E104=E$2:E104)))))-COUNTBLANK(OFFSET(A$1,,,SUMPRODUCT(MAX(ROW(E$1:E103)*(E2=E$1:E103))))))</f>
        <v> </v>
      </c>
      <c r="K104" s="26" t="str">
        <f>IF(OR(E104="",E104="!!!",F104="NEW"),"",INDEX(J$1:J103,SUMPRODUCT(MAX(ROW(E$1:E103)*(E104=E$1:E103)))))</f>
        <v> </v>
      </c>
      <c r="L104" s="27"/>
    </row>
    <row r="105" spans="1:12">
      <c r="A105" s="20"/>
    </row>
    <row r="106" spans="1:12">
      <c r="A106" s="20" t="s">
        <v>184</v>
      </c>
      <c r="E106" s="22">
        <f>IF(D106="?OLD","!!!","")</f>
        <v/>
      </c>
      <c r="F106" s="23" t="str">
        <f>IF(OR(E106="",E106="!!!"),"",IF(NOT(ISNA(VLOOKUP(E106,E$1:E105,1,FALSE()))),"OLD",IF(AND(E106&lt;&gt;"",E106&lt;&gt;"!!!"),"NEW","")))</f>
        <v> </v>
      </c>
      <c r="G106" s="24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5" t="str">
        <f>IF(J106&lt;&gt;1,"",IF(I106="SBJ","CB","?"))</f>
        <v> </v>
      </c>
      <c r="I106" s="26" t="str">
        <f>IF(OR(E106="",E106="!!!",F106="NEW"),"",INDEX(B105:B$2,-1+SUMPRODUCT(MAX(ROW(E105:E$2)*(E106=E105:E$2)))))</f>
        <v> </v>
      </c>
      <c r="J106" s="26" t="str">
        <f>IF(OR(E106="",E106="!!!",F106="NEW"),"",COUNTBLANK(OFFSET(A$1,,,SUMPRODUCT(MAX(ROW(E$2:E106)*(E106=E$2:E106)))))-COUNTBLANK(OFFSET(A$1,,,SUMPRODUCT(MAX(ROW(E$1:E105)*(E2=E$1:E105))))))</f>
        <v> </v>
      </c>
      <c r="K106" s="26" t="str">
        <f>IF(OR(E106="",E106="!!!",F106="NEW"),"",INDEX(J$1:J105,SUMPRODUCT(MAX(ROW(E$1:E105)*(E106=E$1:E105)))))</f>
        <v> </v>
      </c>
      <c r="L106" s="27"/>
    </row>
    <row r="107" spans="1:12">
      <c r="A107" s="20" t="s">
        <v>224</v>
      </c>
    </row>
    <row r="108" spans="1:12">
      <c r="A108" s="20" t="s">
        <v>187</v>
      </c>
      <c r="E108" s="22">
        <f>IF(D108="?OLD","!!!","")</f>
        <v/>
      </c>
      <c r="F108" s="23" t="str">
        <f>IF(OR(E108="",E108="!!!"),"",IF(NOT(ISNA(VLOOKUP(E108,E$1:E107,1,FALSE()))),"OLD",IF(AND(E108&lt;&gt;"",E108&lt;&gt;"!!!"),"NEW","")))</f>
        <v> </v>
      </c>
      <c r="G108" s="24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5" t="str">
        <f>IF(J108&lt;&gt;1,"",IF(I108="SBJ","CB","?"))</f>
        <v> </v>
      </c>
      <c r="I108" s="26" t="str">
        <f>IF(OR(E108="",E108="!!!",F108="NEW"),"",INDEX(B107:B$2,-1+SUMPRODUCT(MAX(ROW(E107:E$2)*(E108=E107:E$2)))))</f>
        <v> </v>
      </c>
      <c r="J108" s="26" t="str">
        <f>IF(OR(E108="",E108="!!!",F108="NEW"),"",COUNTBLANK(OFFSET(A$1,,,SUMPRODUCT(MAX(ROW(E$2:E108)*(E108=E$2:E108)))))-COUNTBLANK(OFFSET(A$1,,,SUMPRODUCT(MAX(ROW(E$1:E107)*(E2=E$1:E107))))))</f>
        <v> </v>
      </c>
      <c r="K108" s="26" t="str">
        <f>IF(OR(E108="",E108="!!!",F108="NEW"),"",INDEX(J$1:J107,SUMPRODUCT(MAX(ROW(E$1:E107)*(E108=E$1:E107)))))</f>
        <v> </v>
      </c>
      <c r="L108" s="27"/>
    </row>
    <row r="109" spans="1:12">
      <c r="A109" s="20" t="s">
        <v>225</v>
      </c>
      <c r="B109" s="21" t="s">
        <v>200</v>
      </c>
      <c r="C109" s="21" t="s">
        <v>181</v>
      </c>
      <c r="D109" s="21" t="s">
        <v>131</v>
      </c>
      <c r="E109" s="22">
        <f>IF(D109="?OLD","!!!","")</f>
        <v/>
      </c>
      <c r="F109" s="23" t="str">
        <f>IF(OR(E109="",E109="!!!"),"",IF(NOT(ISNA(VLOOKUP(E109,E$1:E108,1,FALSE()))),"OLD",IF(AND(E109&lt;&gt;"",E109&lt;&gt;"!!!"),"NEW","")))</f>
        <v> </v>
      </c>
      <c r="G109" s="24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5" t="str">
        <f>IF(J109&lt;&gt;1,"",IF(I109="SBJ","CB","?"))</f>
        <v> </v>
      </c>
      <c r="I109" s="26" t="str">
        <f>IF(OR(E109="",E109="!!!",F109="NEW"),"",INDEX(B108:B$2,-1+SUMPRODUCT(MAX(ROW(E108:E$2)*(E109=E108:E$2)))))</f>
        <v> </v>
      </c>
      <c r="J109" s="26" t="str">
        <f>IF(OR(E109="",E109="!!!",F109="NEW"),"",COUNTBLANK(OFFSET(A$1,,,SUMPRODUCT(MAX(ROW(E$2:E109)*(E109=E$2:E109)))))-COUNTBLANK(OFFSET(A$1,,,SUMPRODUCT(MAX(ROW(E$1:E108)*(E2=E$1:E108))))))</f>
        <v> </v>
      </c>
      <c r="K109" s="26" t="str">
        <f>IF(OR(E109="",E109="!!!",F109="NEW"),"",INDEX(J$1:J108,SUMPRODUCT(MAX(ROW(E$1:E108)*(E109=E$1:E108)))))</f>
        <v> </v>
      </c>
      <c r="L109" s="27"/>
    </row>
    <row r="110" spans="1:12">
      <c r="A110" s="20" t="s">
        <v>179</v>
      </c>
      <c r="E110" s="22">
        <f>IF(D110="?OLD","!!!","")</f>
        <v/>
      </c>
      <c r="F110" s="23" t="str">
        <f>IF(OR(E110="",E110="!!!"),"",IF(NOT(ISNA(VLOOKUP(E110,E$1:E109,1,FALSE()))),"OLD",IF(AND(E110&lt;&gt;"",E110&lt;&gt;"!!!"),"NEW","")))</f>
        <v> </v>
      </c>
      <c r="G110" s="24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5" t="str">
        <f>IF(J110&lt;&gt;1,"",IF(I110="SBJ","CB","?"))</f>
        <v> </v>
      </c>
      <c r="I110" s="26" t="str">
        <f>IF(OR(E110="",E110="!!!",F110="NEW"),"",INDEX(B109:B$2,-1+SUMPRODUCT(MAX(ROW(E109:E$2)*(E110=E109:E$2)))))</f>
        <v> </v>
      </c>
      <c r="J110" s="26" t="str">
        <f>IF(OR(E110="",E110="!!!",F110="NEW"),"",COUNTBLANK(OFFSET(A$1,,,SUMPRODUCT(MAX(ROW(E$2:E110)*(E110=E$2:E110)))))-COUNTBLANK(OFFSET(A$1,,,SUMPRODUCT(MAX(ROW(E$1:E109)*(E2=E$1:E109))))))</f>
        <v> </v>
      </c>
      <c r="K110" s="26" t="str">
        <f>IF(OR(E110="",E110="!!!",F110="NEW"),"",INDEX(J$1:J109,SUMPRODUCT(MAX(ROW(E$1:E109)*(E110=E$1:E109)))))</f>
        <v> </v>
      </c>
      <c r="L110" s="27"/>
    </row>
    <row r="111" spans="1:12">
      <c r="A111" s="20" t="s">
        <v>226</v>
      </c>
      <c r="B111" s="21" t="s">
        <v>145</v>
      </c>
      <c r="C111" s="21" t="s">
        <v>201</v>
      </c>
      <c r="D111" s="21" t="s">
        <v>131</v>
      </c>
      <c r="E111" s="22">
        <f>IF(D111="?OLD","!!!","")</f>
        <v/>
      </c>
      <c r="F111" s="23" t="str">
        <f>IF(OR(E111="",E111="!!!"),"",IF(NOT(ISNA(VLOOKUP(E111,E$1:E110,1,FALSE()))),"OLD",IF(AND(E111&lt;&gt;"",E111&lt;&gt;"!!!"),"NEW","")))</f>
        <v> </v>
      </c>
      <c r="G111" s="24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5" t="str">
        <f>IF(J111&lt;&gt;1,"",IF(I111="SBJ","CB","?"))</f>
        <v> </v>
      </c>
      <c r="I111" s="26" t="str">
        <f>IF(OR(E111="",E111="!!!",F111="NEW"),"",INDEX(B110:B$2,-1+SUMPRODUCT(MAX(ROW(E110:E$2)*(E111=E110:E$2)))))</f>
        <v> </v>
      </c>
      <c r="J111" s="26" t="str">
        <f>IF(OR(E111="",E111="!!!",F111="NEW"),"",COUNTBLANK(OFFSET(A$1,,,SUMPRODUCT(MAX(ROW(E$2:E111)*(E111=E$2:E111)))))-COUNTBLANK(OFFSET(A$1,,,SUMPRODUCT(MAX(ROW(E$1:E110)*(E2=E$1:E110))))))</f>
        <v> </v>
      </c>
      <c r="K111" s="26" t="str">
        <f>IF(OR(E111="",E111="!!!",F111="NEW"),"",INDEX(J$1:J110,SUMPRODUCT(MAX(ROW(E$1:E110)*(E111=E$1:E110)))))</f>
        <v> </v>
      </c>
      <c r="L111" s="27"/>
    </row>
    <row r="112" spans="1:12">
      <c r="A112" s="20" t="s">
        <v>227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 t="s">
        <v>228</v>
      </c>
      <c r="B113" s="21" t="s">
        <v>152</v>
      </c>
      <c r="C113" s="21" t="s">
        <v>165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 t="s">
        <v>187</v>
      </c>
      <c r="E114" s="22">
        <f>IF(D114="?OLD","!!!","")</f>
        <v/>
      </c>
      <c r="F114" s="23" t="str">
        <f>IF(OR(E114="",E114="!!!"),"",IF(NOT(ISNA(VLOOKUP(E114,E$1:E113,1,FALSE()))),"OLD",IF(AND(E114&lt;&gt;"",E114&lt;&gt;"!!!"),"NEW","")))</f>
        <v> </v>
      </c>
      <c r="G114" s="24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5" t="str">
        <f>IF(J114&lt;&gt;1,"",IF(I114="SBJ","CB","?"))</f>
        <v> </v>
      </c>
      <c r="I114" s="26" t="str">
        <f>IF(OR(E114="",E114="!!!",F114="NEW"),"",INDEX(B113:B$2,-1+SUMPRODUCT(MAX(ROW(E113:E$2)*(E114=E113:E$2)))))</f>
        <v> </v>
      </c>
      <c r="J114" s="26" t="str">
        <f>IF(OR(E114="",E114="!!!",F114="NEW"),"",COUNTBLANK(OFFSET(A$1,,,SUMPRODUCT(MAX(ROW(E$2:E114)*(E114=E$2:E114)))))-COUNTBLANK(OFFSET(A$1,,,SUMPRODUCT(MAX(ROW(E$1:E113)*(E2=E$1:E113))))))</f>
        <v> </v>
      </c>
      <c r="K114" s="26" t="str">
        <f>IF(OR(E114="",E114="!!!",F114="NEW"),"",INDEX(J$1:J113,SUMPRODUCT(MAX(ROW(E$1:E113)*(E114=E$1:E113)))))</f>
        <v> </v>
      </c>
      <c r="L114" s="27"/>
    </row>
    <row r="115" spans="1:12">
      <c r="A115" s="20" t="s">
        <v>198</v>
      </c>
      <c r="E115" s="22">
        <f>IF(D115="?OLD","!!!","")</f>
        <v/>
      </c>
      <c r="F115" s="23" t="str">
        <f>IF(OR(E115="",E115="!!!"),"",IF(NOT(ISNA(VLOOKUP(E115,E$1:E114,1,FALSE()))),"OLD",IF(AND(E115&lt;&gt;"",E115&lt;&gt;"!!!"),"NEW","")))</f>
        <v> </v>
      </c>
      <c r="G115" s="24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5" t="str">
        <f>IF(J115&lt;&gt;1,"",IF(I115="SBJ","CB","?"))</f>
        <v> </v>
      </c>
      <c r="I115" s="26" t="str">
        <f>IF(OR(E115="",E115="!!!",F115="NEW"),"",INDEX(B114:B$2,-1+SUMPRODUCT(MAX(ROW(E114:E$2)*(E115=E114:E$2)))))</f>
        <v> </v>
      </c>
      <c r="J115" s="26" t="str">
        <f>IF(OR(E115="",E115="!!!",F115="NEW"),"",COUNTBLANK(OFFSET(A$1,,,SUMPRODUCT(MAX(ROW(E$2:E115)*(E115=E$2:E115)))))-COUNTBLANK(OFFSET(A$1,,,SUMPRODUCT(MAX(ROW(E$1:E114)*(E2=E$1:E114))))))</f>
        <v> </v>
      </c>
      <c r="K115" s="26" t="str">
        <f>IF(OR(E115="",E115="!!!",F115="NEW"),"",INDEX(J$1:J114,SUMPRODUCT(MAX(ROW(E$1:E114)*(E115=E$1:E114)))))</f>
        <v> </v>
      </c>
      <c r="L115" s="27"/>
    </row>
    <row r="116" spans="1:12">
      <c r="A116" s="20" t="s">
        <v>229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 t="s">
        <v>132</v>
      </c>
      <c r="B117" s="21" t="s">
        <v>129</v>
      </c>
      <c r="C117" s="21" t="s">
        <v>207</v>
      </c>
      <c r="E117" s="22">
        <f>IF(D117="?OLD","!!!","")</f>
        <v/>
      </c>
      <c r="F117" s="23" t="str">
        <f>IF(OR(E117="",E117="!!!"),"",IF(NOT(ISNA(VLOOKUP(E117,E$1:E116,1,FALSE()))),"OLD",IF(AND(E117&lt;&gt;"",E117&lt;&gt;"!!!"),"NEW","")))</f>
        <v> </v>
      </c>
      <c r="G117" s="24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5" t="str">
        <f>IF(J117&lt;&gt;1,"",IF(I117="SBJ","CB","?"))</f>
        <v> </v>
      </c>
      <c r="I117" s="26" t="str">
        <f>IF(OR(E117="",E117="!!!",F117="NEW"),"",INDEX(B116:B$2,-1+SUMPRODUCT(MAX(ROW(E116:E$2)*(E117=E116:E$2)))))</f>
        <v> </v>
      </c>
      <c r="J117" s="26" t="str">
        <f>IF(OR(E117="",E117="!!!",F117="NEW"),"",COUNTBLANK(OFFSET(A$1,,,SUMPRODUCT(MAX(ROW(E$2:E117)*(E117=E$2:E117)))))-COUNTBLANK(OFFSET(A$1,,,SUMPRODUCT(MAX(ROW(E$1:E116)*(E2=E$1:E116))))))</f>
        <v> </v>
      </c>
      <c r="K117" s="26" t="str">
        <f>IF(OR(E117="",E117="!!!",F117="NEW"),"",INDEX(J$1:J116,SUMPRODUCT(MAX(ROW(E$1:E116)*(E117=E$1:E116)))))</f>
        <v> </v>
      </c>
      <c r="L117" s="27"/>
    </row>
    <row r="118" spans="1:12">
      <c r="A118" s="20" t="s">
        <v>148</v>
      </c>
      <c r="E118" s="22">
        <f>IF(D118="?OLD","!!!","")</f>
        <v/>
      </c>
      <c r="F118" s="23" t="str">
        <f>IF(OR(E118="",E118="!!!"),"",IF(NOT(ISNA(VLOOKUP(E118,E$1:E117,1,FALSE()))),"OLD",IF(AND(E118&lt;&gt;"",E118&lt;&gt;"!!!"),"NEW","")))</f>
        <v> </v>
      </c>
      <c r="G118" s="24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5" t="str">
        <f>IF(J118&lt;&gt;1,"",IF(I118="SBJ","CB","?"))</f>
        <v> </v>
      </c>
      <c r="I118" s="26" t="str">
        <f>IF(OR(E118="",E118="!!!",F118="NEW"),"",INDEX(B117:B$2,-1+SUMPRODUCT(MAX(ROW(E117:E$2)*(E118=E117:E$2)))))</f>
        <v> </v>
      </c>
      <c r="J118" s="26" t="str">
        <f>IF(OR(E118="",E118="!!!",F118="NEW"),"",COUNTBLANK(OFFSET(A$1,,,SUMPRODUCT(MAX(ROW(E$2:E118)*(E118=E$2:E118)))))-COUNTBLANK(OFFSET(A$1,,,SUMPRODUCT(MAX(ROW(E$1:E117)*(E2=E$1:E117))))))</f>
        <v> </v>
      </c>
      <c r="K118" s="26" t="str">
        <f>IF(OR(E118="",E118="!!!",F118="NEW"),"",INDEX(J$1:J117,SUMPRODUCT(MAX(ROW(E$1:E117)*(E118=E$1:E117)))))</f>
        <v> </v>
      </c>
      <c r="L118" s="27"/>
    </row>
    <row r="119" spans="1:12">
      <c r="A119" s="20"/>
    </row>
    <row r="120" spans="1:12">
      <c r="A120" s="20" t="s">
        <v>230</v>
      </c>
    </row>
    <row r="121" spans="1:12">
      <c r="A121" s="20" t="s">
        <v>231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232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 t="s">
        <v>233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 t="s">
        <v>134</v>
      </c>
      <c r="E124" s="22">
        <f>IF(D124="?OLD","!!!","")</f>
        <v/>
      </c>
      <c r="F124" s="23" t="str">
        <f>IF(OR(E124="",E124="!!!"),"",IF(NOT(ISNA(VLOOKUP(E124,E$1:E123,1,FALSE()))),"OLD",IF(AND(E124&lt;&gt;"",E124&lt;&gt;"!!!"),"NEW","")))</f>
        <v> </v>
      </c>
      <c r="G124" s="24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5" t="str">
        <f>IF(J124&lt;&gt;1,"",IF(I124="SBJ","CB","?"))</f>
        <v> </v>
      </c>
      <c r="I124" s="26" t="str">
        <f>IF(OR(E124="",E124="!!!",F124="NEW"),"",INDEX(B123:B$2,-1+SUMPRODUCT(MAX(ROW(E123:E$2)*(E124=E123:E$2)))))</f>
        <v> </v>
      </c>
      <c r="J124" s="26" t="str">
        <f>IF(OR(E124="",E124="!!!",F124="NEW"),"",COUNTBLANK(OFFSET(A$1,,,SUMPRODUCT(MAX(ROW(E$2:E124)*(E124=E$2:E124)))))-COUNTBLANK(OFFSET(A$1,,,SUMPRODUCT(MAX(ROW(E$1:E123)*(E2=E$1:E123))))))</f>
        <v> </v>
      </c>
      <c r="K124" s="26" t="str">
        <f>IF(OR(E124="",E124="!!!",F124="NEW"),"",INDEX(J$1:J123,SUMPRODUCT(MAX(ROW(E$1:E123)*(E124=E$1:E123)))))</f>
        <v> </v>
      </c>
      <c r="L124" s="27"/>
    </row>
    <row r="125" spans="1:12">
      <c r="A125" s="20" t="s">
        <v>234</v>
      </c>
      <c r="B125" s="21" t="s">
        <v>129</v>
      </c>
      <c r="C125" s="21" t="s">
        <v>137</v>
      </c>
      <c r="D125" s="21" t="s">
        <v>131</v>
      </c>
      <c r="E125" s="22">
        <f>IF(D125="?OLD","!!!","")</f>
        <v/>
      </c>
      <c r="F125" s="23" t="str">
        <f>IF(OR(E125="",E125="!!!"),"",IF(NOT(ISNA(VLOOKUP(E125,E$1:E124,1,FALSE()))),"OLD",IF(AND(E125&lt;&gt;"",E125&lt;&gt;"!!!"),"NEW","")))</f>
        <v> </v>
      </c>
      <c r="G125" s="24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5" t="str">
        <f>IF(J125&lt;&gt;1,"",IF(I125="SBJ","CB","?"))</f>
        <v> </v>
      </c>
      <c r="I125" s="26" t="str">
        <f>IF(OR(E125="",E125="!!!",F125="NEW"),"",INDEX(B124:B$2,-1+SUMPRODUCT(MAX(ROW(E124:E$2)*(E125=E124:E$2)))))</f>
        <v> </v>
      </c>
      <c r="J125" s="26" t="str">
        <f>IF(OR(E125="",E125="!!!",F125="NEW"),"",COUNTBLANK(OFFSET(A$1,,,SUMPRODUCT(MAX(ROW(E$2:E125)*(E125=E$2:E125)))))-COUNTBLANK(OFFSET(A$1,,,SUMPRODUCT(MAX(ROW(E$1:E124)*(E2=E$1:E124))))))</f>
        <v> </v>
      </c>
      <c r="K125" s="26" t="str">
        <f>IF(OR(E125="",E125="!!!",F125="NEW"),"",INDEX(J$1:J124,SUMPRODUCT(MAX(ROW(E$1:E124)*(E125=E$1:E124)))))</f>
        <v> </v>
      </c>
      <c r="L125" s="27"/>
    </row>
    <row r="126" spans="1:12">
      <c r="A126" s="20" t="s">
        <v>235</v>
      </c>
      <c r="E126" s="22">
        <f>IF(D126="?OLD","!!!","")</f>
        <v/>
      </c>
      <c r="F126" s="23" t="str">
        <f>IF(OR(E126="",E126="!!!"),"",IF(NOT(ISNA(VLOOKUP(E126,E$1:E125,1,FALSE()))),"OLD",IF(AND(E126&lt;&gt;"",E126&lt;&gt;"!!!"),"NEW","")))</f>
        <v> </v>
      </c>
      <c r="G126" s="24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5" t="str">
        <f>IF(J126&lt;&gt;1,"",IF(I126="SBJ","CB","?"))</f>
        <v> </v>
      </c>
      <c r="I126" s="26" t="str">
        <f>IF(OR(E126="",E126="!!!",F126="NEW"),"",INDEX(B125:B$2,-1+SUMPRODUCT(MAX(ROW(E125:E$2)*(E126=E125:E$2)))))</f>
        <v> </v>
      </c>
      <c r="J126" s="26" t="str">
        <f>IF(OR(E126="",E126="!!!",F126="NEW"),"",COUNTBLANK(OFFSET(A$1,,,SUMPRODUCT(MAX(ROW(E$2:E126)*(E126=E$2:E126)))))-COUNTBLANK(OFFSET(A$1,,,SUMPRODUCT(MAX(ROW(E$1:E125)*(E2=E$1:E125))))))</f>
        <v> </v>
      </c>
      <c r="K126" s="26" t="str">
        <f>IF(OR(E126="",E126="!!!",F126="NEW"),"",INDEX(J$1:J125,SUMPRODUCT(MAX(ROW(E$1:E125)*(E126=E$1:E125)))))</f>
        <v> </v>
      </c>
      <c r="L126" s="27"/>
    </row>
    <row r="127" spans="1:12">
      <c r="A127" s="20" t="s">
        <v>236</v>
      </c>
      <c r="E127" s="22">
        <f>IF(D127="?OLD","!!!","")</f>
        <v/>
      </c>
      <c r="F127" s="23" t="str">
        <f>IF(OR(E127="",E127="!!!"),"",IF(NOT(ISNA(VLOOKUP(E127,E$1:E126,1,FALSE()))),"OLD",IF(AND(E127&lt;&gt;"",E127&lt;&gt;"!!!"),"NEW","")))</f>
        <v> </v>
      </c>
      <c r="G127" s="24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5" t="str">
        <f>IF(J127&lt;&gt;1,"",IF(I127="SBJ","CB","?"))</f>
        <v> </v>
      </c>
      <c r="I127" s="26" t="str">
        <f>IF(OR(E127="",E127="!!!",F127="NEW"),"",INDEX(B126:B$2,-1+SUMPRODUCT(MAX(ROW(E126:E$2)*(E127=E126:E$2)))))</f>
        <v> </v>
      </c>
      <c r="J127" s="26" t="str">
        <f>IF(OR(E127="",E127="!!!",F127="NEW"),"",COUNTBLANK(OFFSET(A$1,,,SUMPRODUCT(MAX(ROW(E$2:E127)*(E127=E$2:E127)))))-COUNTBLANK(OFFSET(A$1,,,SUMPRODUCT(MAX(ROW(E$1:E126)*(E2=E$1:E126))))))</f>
        <v> </v>
      </c>
      <c r="K127" s="26" t="str">
        <f>IF(OR(E127="",E127="!!!",F127="NEW"),"",INDEX(J$1:J126,SUMPRODUCT(MAX(ROW(E$1:E126)*(E127=E$1:E126)))))</f>
        <v> </v>
      </c>
      <c r="L127" s="27"/>
    </row>
    <row r="128" spans="1:12">
      <c r="A128" s="20" t="s">
        <v>237</v>
      </c>
      <c r="E128" s="22">
        <f>IF(D128="?OLD","!!!","")</f>
        <v/>
      </c>
      <c r="F128" s="23" t="str">
        <f>IF(OR(E128="",E128="!!!"),"",IF(NOT(ISNA(VLOOKUP(E128,E$1:E127,1,FALSE()))),"OLD",IF(AND(E128&lt;&gt;"",E128&lt;&gt;"!!!"),"NEW","")))</f>
        <v> </v>
      </c>
      <c r="G128" s="24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5" t="str">
        <f>IF(J128&lt;&gt;1,"",IF(I128="SBJ","CB","?"))</f>
        <v> </v>
      </c>
      <c r="I128" s="26" t="str">
        <f>IF(OR(E128="",E128="!!!",F128="NEW"),"",INDEX(B127:B$2,-1+SUMPRODUCT(MAX(ROW(E127:E$2)*(E128=E127:E$2)))))</f>
        <v> </v>
      </c>
      <c r="J128" s="26" t="str">
        <f>IF(OR(E128="",E128="!!!",F128="NEW"),"",COUNTBLANK(OFFSET(A$1,,,SUMPRODUCT(MAX(ROW(E$2:E128)*(E128=E$2:E128)))))-COUNTBLANK(OFFSET(A$1,,,SUMPRODUCT(MAX(ROW(E$1:E127)*(E2=E$1:E127))))))</f>
        <v> </v>
      </c>
      <c r="K128" s="26" t="str">
        <f>IF(OR(E128="",E128="!!!",F128="NEW"),"",INDEX(J$1:J127,SUMPRODUCT(MAX(ROW(E$1:E127)*(E128=E$1:E127)))))</f>
        <v> </v>
      </c>
      <c r="L128" s="27"/>
    </row>
    <row r="129" spans="1:12">
      <c r="A129" s="20" t="s">
        <v>238</v>
      </c>
      <c r="E129" s="22">
        <f>IF(D129="?OLD","!!!","")</f>
        <v/>
      </c>
      <c r="F129" s="23" t="str">
        <f>IF(OR(E129="",E129="!!!"),"",IF(NOT(ISNA(VLOOKUP(E129,E$1:E128,1,FALSE()))),"OLD",IF(AND(E129&lt;&gt;"",E129&lt;&gt;"!!!"),"NEW","")))</f>
        <v> </v>
      </c>
      <c r="G129" s="24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5" t="str">
        <f>IF(J129&lt;&gt;1,"",IF(I129="SBJ","CB","?"))</f>
        <v> </v>
      </c>
      <c r="I129" s="26" t="str">
        <f>IF(OR(E129="",E129="!!!",F129="NEW"),"",INDEX(B128:B$2,-1+SUMPRODUCT(MAX(ROW(E128:E$2)*(E129=E128:E$2)))))</f>
        <v> </v>
      </c>
      <c r="J129" s="26" t="str">
        <f>IF(OR(E129="",E129="!!!",F129="NEW"),"",COUNTBLANK(OFFSET(A$1,,,SUMPRODUCT(MAX(ROW(E$2:E129)*(E129=E$2:E129)))))-COUNTBLANK(OFFSET(A$1,,,SUMPRODUCT(MAX(ROW(E$1:E128)*(E2=E$1:E128))))))</f>
        <v> </v>
      </c>
      <c r="K129" s="26" t="str">
        <f>IF(OR(E129="",E129="!!!",F129="NEW"),"",INDEX(J$1:J128,SUMPRODUCT(MAX(ROW(E$1:E128)*(E129=E$1:E128)))))</f>
        <v> </v>
      </c>
      <c r="L129" s="27"/>
    </row>
    <row r="130" spans="1:12">
      <c r="A130" s="20" t="s">
        <v>148</v>
      </c>
      <c r="E130" s="22">
        <f>IF(D130="?OLD","!!!","")</f>
        <v/>
      </c>
      <c r="F130" s="23" t="str">
        <f>IF(OR(E130="",E130="!!!"),"",IF(NOT(ISNA(VLOOKUP(E130,E$1:E129,1,FALSE()))),"OLD",IF(AND(E130&lt;&gt;"",E130&lt;&gt;"!!!"),"NEW","")))</f>
        <v> </v>
      </c>
      <c r="G130" s="24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5" t="str">
        <f>IF(J130&lt;&gt;1,"",IF(I130="SBJ","CB","?"))</f>
        <v> </v>
      </c>
      <c r="I130" s="26" t="str">
        <f>IF(OR(E130="",E130="!!!",F130="NEW"),"",INDEX(B129:B$2,-1+SUMPRODUCT(MAX(ROW(E129:E$2)*(E130=E129:E$2)))))</f>
        <v> </v>
      </c>
      <c r="J130" s="26" t="str">
        <f>IF(OR(E130="",E130="!!!",F130="NEW"),"",COUNTBLANK(OFFSET(A$1,,,SUMPRODUCT(MAX(ROW(E$2:E130)*(E130=E$2:E130)))))-COUNTBLANK(OFFSET(A$1,,,SUMPRODUCT(MAX(ROW(E$1:E129)*(E2=E$1:E129))))))</f>
        <v> </v>
      </c>
      <c r="K130" s="26" t="str">
        <f>IF(OR(E130="",E130="!!!",F130="NEW"),"",INDEX(J$1:J129,SUMPRODUCT(MAX(ROW(E$1:E129)*(E130=E$1:E129)))))</f>
        <v> </v>
      </c>
      <c r="L130" s="27"/>
    </row>
    <row r="131" spans="1:12">
      <c r="A131" s="20"/>
    </row>
    <row r="132" spans="1:12">
      <c r="A132" s="20" t="s">
        <v>239</v>
      </c>
    </row>
    <row r="133" spans="1:12">
      <c r="A133" s="20" t="s">
        <v>150</v>
      </c>
      <c r="E133" s="22">
        <f>IF(D133="?OLD","!!!","")</f>
        <v/>
      </c>
      <c r="F133" s="23" t="str">
        <f>IF(OR(E133="",E133="!!!"),"",IF(NOT(ISNA(VLOOKUP(E133,E$1:E132,1,FALSE()))),"OLD",IF(AND(E133&lt;&gt;"",E133&lt;&gt;"!!!"),"NEW","")))</f>
        <v> </v>
      </c>
      <c r="G133" s="24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5" t="str">
        <f>IF(J133&lt;&gt;1,"",IF(I133="SBJ","CB","?"))</f>
        <v> </v>
      </c>
      <c r="I133" s="26" t="str">
        <f>IF(OR(E133="",E133="!!!",F133="NEW"),"",INDEX(B132:B$2,-1+SUMPRODUCT(MAX(ROW(E132:E$2)*(E133=E132:E$2)))))</f>
        <v> </v>
      </c>
      <c r="J133" s="26" t="str">
        <f>IF(OR(E133="",E133="!!!",F133="NEW"),"",COUNTBLANK(OFFSET(A$1,,,SUMPRODUCT(MAX(ROW(E$2:E133)*(E133=E$2:E133)))))-COUNTBLANK(OFFSET(A$1,,,SUMPRODUCT(MAX(ROW(E$1:E132)*(E2=E$1:E132))))))</f>
        <v> </v>
      </c>
      <c r="K133" s="26" t="str">
        <f>IF(OR(E133="",E133="!!!",F133="NEW"),"",INDEX(J$1:J132,SUMPRODUCT(MAX(ROW(E$1:E132)*(E133=E$1:E132)))))</f>
        <v> </v>
      </c>
      <c r="L133" s="27"/>
    </row>
    <row r="134" spans="1:12">
      <c r="A134" s="20" t="s">
        <v>143</v>
      </c>
      <c r="E134" s="22">
        <f>IF(D134="?OLD","!!!","")</f>
        <v/>
      </c>
      <c r="F134" s="23" t="str">
        <f>IF(OR(E134="",E134="!!!"),"",IF(NOT(ISNA(VLOOKUP(E134,E$1:E133,1,FALSE()))),"OLD",IF(AND(E134&lt;&gt;"",E134&lt;&gt;"!!!"),"NEW","")))</f>
        <v> </v>
      </c>
      <c r="G134" s="24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5" t="str">
        <f>IF(J134&lt;&gt;1,"",IF(I134="SBJ","CB","?"))</f>
        <v> </v>
      </c>
      <c r="I134" s="26" t="str">
        <f>IF(OR(E134="",E134="!!!",F134="NEW"),"",INDEX(B133:B$2,-1+SUMPRODUCT(MAX(ROW(E133:E$2)*(E134=E133:E$2)))))</f>
        <v> </v>
      </c>
      <c r="J134" s="26" t="str">
        <f>IF(OR(E134="",E134="!!!",F134="NEW"),"",COUNTBLANK(OFFSET(A$1,,,SUMPRODUCT(MAX(ROW(E$2:E134)*(E134=E$2:E134)))))-COUNTBLANK(OFFSET(A$1,,,SUMPRODUCT(MAX(ROW(E$1:E133)*(E2=E$1:E133))))))</f>
        <v> </v>
      </c>
      <c r="K134" s="26" t="str">
        <f>IF(OR(E134="",E134="!!!",F134="NEW"),"",INDEX(J$1:J133,SUMPRODUCT(MAX(ROW(E$1:E133)*(E134=E$1:E133)))))</f>
        <v> </v>
      </c>
      <c r="L134" s="27"/>
    </row>
    <row r="135" spans="1:12">
      <c r="A135" s="20" t="s">
        <v>240</v>
      </c>
      <c r="B135" s="21" t="s">
        <v>152</v>
      </c>
      <c r="C135" s="21" t="s">
        <v>130</v>
      </c>
      <c r="D135" s="21" t="s">
        <v>131</v>
      </c>
      <c r="E135" s="22">
        <f>IF(D135="?OLD","!!!","")</f>
        <v/>
      </c>
      <c r="F135" s="23" t="str">
        <f>IF(OR(E135="",E135="!!!"),"",IF(NOT(ISNA(VLOOKUP(E135,E$1:E134,1,FALSE()))),"OLD",IF(AND(E135&lt;&gt;"",E135&lt;&gt;"!!!"),"NEW","")))</f>
        <v> </v>
      </c>
      <c r="G135" s="24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5" t="str">
        <f>IF(J135&lt;&gt;1,"",IF(I135="SBJ","CB","?"))</f>
        <v> </v>
      </c>
      <c r="I135" s="26" t="str">
        <f>IF(OR(E135="",E135="!!!",F135="NEW"),"",INDEX(B134:B$2,-1+SUMPRODUCT(MAX(ROW(E134:E$2)*(E135=E134:E$2)))))</f>
        <v> </v>
      </c>
      <c r="J135" s="26" t="str">
        <f>IF(OR(E135="",E135="!!!",F135="NEW"),"",COUNTBLANK(OFFSET(A$1,,,SUMPRODUCT(MAX(ROW(E$2:E135)*(E135=E$2:E135)))))-COUNTBLANK(OFFSET(A$1,,,SUMPRODUCT(MAX(ROW(E$1:E134)*(E2=E$1:E134))))))</f>
        <v> </v>
      </c>
      <c r="K135" s="26" t="str">
        <f>IF(OR(E135="",E135="!!!",F135="NEW"),"",INDEX(J$1:J134,SUMPRODUCT(MAX(ROW(E$1:E134)*(E135=E$1:E134)))))</f>
        <v> </v>
      </c>
      <c r="L135" s="27"/>
    </row>
    <row r="136" spans="1:12">
      <c r="A136" s="20" t="s">
        <v>179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 t="s">
        <v>241</v>
      </c>
      <c r="B137" s="21" t="s">
        <v>152</v>
      </c>
      <c r="C137" s="21" t="s">
        <v>130</v>
      </c>
      <c r="D137" s="21" t="s">
        <v>131</v>
      </c>
      <c r="E137" s="22">
        <f>IF(D137="?OLD","!!!","")</f>
        <v/>
      </c>
      <c r="F137" s="23" t="str">
        <f>IF(OR(E137="",E137="!!!"),"",IF(NOT(ISNA(VLOOKUP(E137,E$1:E136,1,FALSE()))),"OLD",IF(AND(E137&lt;&gt;"",E137&lt;&gt;"!!!"),"NEW","")))</f>
        <v> </v>
      </c>
      <c r="G137" s="24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5" t="str">
        <f>IF(J137&lt;&gt;1,"",IF(I137="SBJ","CB","?"))</f>
        <v> </v>
      </c>
      <c r="I137" s="26" t="str">
        <f>IF(OR(E137="",E137="!!!",F137="NEW"),"",INDEX(B136:B$2,-1+SUMPRODUCT(MAX(ROW(E136:E$2)*(E137=E136:E$2)))))</f>
        <v> </v>
      </c>
      <c r="J137" s="26" t="str">
        <f>IF(OR(E137="",E137="!!!",F137="NEW"),"",COUNTBLANK(OFFSET(A$1,,,SUMPRODUCT(MAX(ROW(E$2:E137)*(E137=E$2:E137)))))-COUNTBLANK(OFFSET(A$1,,,SUMPRODUCT(MAX(ROW(E$1:E136)*(E2=E$1:E136))))))</f>
        <v> </v>
      </c>
      <c r="K137" s="26" t="str">
        <f>IF(OR(E137="",E137="!!!",F137="NEW"),"",INDEX(J$1:J136,SUMPRODUCT(MAX(ROW(E$1:E136)*(E137=E$1:E136)))))</f>
        <v> </v>
      </c>
      <c r="L137" s="27"/>
    </row>
    <row r="138" spans="1:12">
      <c r="A138" s="20" t="s">
        <v>242</v>
      </c>
      <c r="E138" s="22">
        <f>IF(D138="?OLD","!!!","")</f>
        <v/>
      </c>
      <c r="F138" s="23" t="str">
        <f>IF(OR(E138="",E138="!!!"),"",IF(NOT(ISNA(VLOOKUP(E138,E$1:E137,1,FALSE()))),"OLD",IF(AND(E138&lt;&gt;"",E138&lt;&gt;"!!!"),"NEW","")))</f>
        <v> </v>
      </c>
      <c r="G138" s="24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5" t="str">
        <f>IF(J138&lt;&gt;1,"",IF(I138="SBJ","CB","?"))</f>
        <v> </v>
      </c>
      <c r="I138" s="26" t="str">
        <f>IF(OR(E138="",E138="!!!",F138="NEW"),"",INDEX(B137:B$2,-1+SUMPRODUCT(MAX(ROW(E137:E$2)*(E138=E137:E$2)))))</f>
        <v> </v>
      </c>
      <c r="J138" s="26" t="str">
        <f>IF(OR(E138="",E138="!!!",F138="NEW"),"",COUNTBLANK(OFFSET(A$1,,,SUMPRODUCT(MAX(ROW(E$2:E138)*(E138=E$2:E138)))))-COUNTBLANK(OFFSET(A$1,,,SUMPRODUCT(MAX(ROW(E$1:E137)*(E2=E$1:E137))))))</f>
        <v> </v>
      </c>
      <c r="K138" s="26" t="str">
        <f>IF(OR(E138="",E138="!!!",F138="NEW"),"",INDEX(J$1:J137,SUMPRODUCT(MAX(ROW(E$1:E137)*(E138=E$1:E137)))))</f>
        <v> </v>
      </c>
      <c r="L138" s="27"/>
    </row>
    <row r="139" spans="1:12">
      <c r="A139" s="20" t="s">
        <v>128</v>
      </c>
      <c r="B139" s="21" t="s">
        <v>152</v>
      </c>
      <c r="C139" s="21" t="s">
        <v>243</v>
      </c>
      <c r="D139" s="21" t="s">
        <v>131</v>
      </c>
      <c r="E139" s="22">
        <f>IF(D139="?OLD","!!!","")</f>
        <v/>
      </c>
      <c r="F139" s="23" t="str">
        <f>IF(OR(E139="",E139="!!!"),"",IF(NOT(ISNA(VLOOKUP(E139,E$1:E138,1,FALSE()))),"OLD",IF(AND(E139&lt;&gt;"",E139&lt;&gt;"!!!"),"NEW","")))</f>
        <v> </v>
      </c>
      <c r="G139" s="24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5" t="str">
        <f>IF(J139&lt;&gt;1,"",IF(I139="SBJ","CB","?"))</f>
        <v> </v>
      </c>
      <c r="I139" s="26" t="str">
        <f>IF(OR(E139="",E139="!!!",F139="NEW"),"",INDEX(B138:B$2,-1+SUMPRODUCT(MAX(ROW(E138:E$2)*(E139=E138:E$2)))))</f>
        <v> </v>
      </c>
      <c r="J139" s="26" t="str">
        <f>IF(OR(E139="",E139="!!!",F139="NEW"),"",COUNTBLANK(OFFSET(A$1,,,SUMPRODUCT(MAX(ROW(E$2:E139)*(E139=E$2:E139)))))-COUNTBLANK(OFFSET(A$1,,,SUMPRODUCT(MAX(ROW(E$1:E138)*(E2=E$1:E138))))))</f>
        <v> </v>
      </c>
      <c r="K139" s="26" t="str">
        <f>IF(OR(E139="",E139="!!!",F139="NEW"),"",INDEX(J$1:J138,SUMPRODUCT(MAX(ROW(E$1:E138)*(E139=E$1:E138)))))</f>
        <v> </v>
      </c>
      <c r="L139" s="27"/>
    </row>
    <row r="140" spans="1:12">
      <c r="A140" s="20" t="s">
        <v>244</v>
      </c>
      <c r="B140" s="21" t="s">
        <v>158</v>
      </c>
      <c r="C140" s="21" t="s">
        <v>163</v>
      </c>
      <c r="E140" s="22">
        <f>IF(D140="?OLD","!!!","")</f>
        <v/>
      </c>
      <c r="F140" s="23" t="str">
        <f>IF(OR(E140="",E140="!!!"),"",IF(NOT(ISNA(VLOOKUP(E140,E$1:E139,1,FALSE()))),"OLD",IF(AND(E140&lt;&gt;"",E140&lt;&gt;"!!!"),"NEW","")))</f>
        <v> </v>
      </c>
      <c r="G140" s="24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5" t="str">
        <f>IF(J140&lt;&gt;1,"",IF(I140="SBJ","CB","?"))</f>
        <v> </v>
      </c>
      <c r="I140" s="26" t="str">
        <f>IF(OR(E140="",E140="!!!",F140="NEW"),"",INDEX(B139:B$2,-1+SUMPRODUCT(MAX(ROW(E139:E$2)*(E140=E139:E$2)))))</f>
        <v> </v>
      </c>
      <c r="J140" s="26" t="str">
        <f>IF(OR(E140="",E140="!!!",F140="NEW"),"",COUNTBLANK(OFFSET(A$1,,,SUMPRODUCT(MAX(ROW(E$2:E140)*(E140=E$2:E140)))))-COUNTBLANK(OFFSET(A$1,,,SUMPRODUCT(MAX(ROW(E$1:E139)*(E2=E$1:E139))))))</f>
        <v> </v>
      </c>
      <c r="K140" s="26" t="str">
        <f>IF(OR(E140="",E140="!!!",F140="NEW"),"",INDEX(J$1:J139,SUMPRODUCT(MAX(ROW(E$1:E139)*(E140=E$1:E139)))))</f>
        <v> </v>
      </c>
      <c r="L140" s="27"/>
    </row>
    <row r="141" spans="1:12">
      <c r="A141" s="20" t="s">
        <v>245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 t="s">
        <v>12</v>
      </c>
      <c r="E142" s="22">
        <f>IF(D142="?OLD","!!!","")</f>
        <v/>
      </c>
      <c r="F142" s="23" t="str">
        <f>IF(OR(E142="",E142="!!!"),"",IF(NOT(ISNA(VLOOKUP(E142,E$1:E141,1,FALSE()))),"OLD",IF(AND(E142&lt;&gt;"",E142&lt;&gt;"!!!"),"NEW","")))</f>
        <v> </v>
      </c>
      <c r="G142" s="24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5" t="str">
        <f>IF(J142&lt;&gt;1,"",IF(I142="SBJ","CB","?"))</f>
        <v> </v>
      </c>
      <c r="I142" s="26" t="str">
        <f>IF(OR(E142="",E142="!!!",F142="NEW"),"",INDEX(B141:B$2,-1+SUMPRODUCT(MAX(ROW(E141:E$2)*(E142=E141:E$2)))))</f>
        <v> </v>
      </c>
      <c r="J142" s="26" t="str">
        <f>IF(OR(E142="",E142="!!!",F142="NEW"),"",COUNTBLANK(OFFSET(A$1,,,SUMPRODUCT(MAX(ROW(E$2:E142)*(E142=E$2:E142)))))-COUNTBLANK(OFFSET(A$1,,,SUMPRODUCT(MAX(ROW(E$1:E141)*(E2=E$1:E141))))))</f>
        <v> </v>
      </c>
      <c r="K142" s="26" t="str">
        <f>IF(OR(E142="",E142="!!!",F142="NEW"),"",INDEX(J$1:J141,SUMPRODUCT(MAX(ROW(E$1:E141)*(E142=E$1:E141)))))</f>
        <v> </v>
      </c>
      <c r="L142" s="27"/>
    </row>
    <row r="143" spans="1:12">
      <c r="A143" s="20" t="s">
        <v>246</v>
      </c>
      <c r="E143" s="22">
        <f>IF(D143="?OLD","!!!","")</f>
        <v/>
      </c>
      <c r="F143" s="23" t="str">
        <f>IF(OR(E143="",E143="!!!"),"",IF(NOT(ISNA(VLOOKUP(E143,E$1:E142,1,FALSE()))),"OLD",IF(AND(E143&lt;&gt;"",E143&lt;&gt;"!!!"),"NEW","")))</f>
        <v> </v>
      </c>
      <c r="G143" s="24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5" t="str">
        <f>IF(J143&lt;&gt;1,"",IF(I143="SBJ","CB","?"))</f>
        <v> </v>
      </c>
      <c r="I143" s="26" t="str">
        <f>IF(OR(E143="",E143="!!!",F143="NEW"),"",INDEX(B142:B$2,-1+SUMPRODUCT(MAX(ROW(E142:E$2)*(E143=E142:E$2)))))</f>
        <v> </v>
      </c>
      <c r="J143" s="26" t="str">
        <f>IF(OR(E143="",E143="!!!",F143="NEW"),"",COUNTBLANK(OFFSET(A$1,,,SUMPRODUCT(MAX(ROW(E$2:E143)*(E143=E$2:E143)))))-COUNTBLANK(OFFSET(A$1,,,SUMPRODUCT(MAX(ROW(E$1:E142)*(E2=E$1:E142))))))</f>
        <v> </v>
      </c>
      <c r="K143" s="26" t="str">
        <f>IF(OR(E143="",E143="!!!",F143="NEW"),"",INDEX(J$1:J142,SUMPRODUCT(MAX(ROW(E$1:E142)*(E143=E$1:E142)))))</f>
        <v> </v>
      </c>
      <c r="L143" s="27"/>
    </row>
    <row r="144" spans="1:12">
      <c r="A144" s="20" t="s">
        <v>247</v>
      </c>
      <c r="B144" s="21" t="s">
        <v>152</v>
      </c>
      <c r="C144" s="21" t="s">
        <v>165</v>
      </c>
      <c r="E144" s="22">
        <f>IF(D144="?OLD","!!!","")</f>
        <v/>
      </c>
      <c r="F144" s="23" t="str">
        <f>IF(OR(E144="",E144="!!!"),"",IF(NOT(ISNA(VLOOKUP(E144,E$1:E143,1,FALSE()))),"OLD",IF(AND(E144&lt;&gt;"",E144&lt;&gt;"!!!"),"NEW","")))</f>
        <v> </v>
      </c>
      <c r="G144" s="24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5" t="str">
        <f>IF(J144&lt;&gt;1,"",IF(I144="SBJ","CB","?"))</f>
        <v> </v>
      </c>
      <c r="I144" s="26" t="str">
        <f>IF(OR(E144="",E144="!!!",F144="NEW"),"",INDEX(B143:B$2,-1+SUMPRODUCT(MAX(ROW(E143:E$2)*(E144=E143:E$2)))))</f>
        <v> </v>
      </c>
      <c r="J144" s="26" t="str">
        <f>IF(OR(E144="",E144="!!!",F144="NEW"),"",COUNTBLANK(OFFSET(A$1,,,SUMPRODUCT(MAX(ROW(E$2:E144)*(E144=E$2:E144)))))-COUNTBLANK(OFFSET(A$1,,,SUMPRODUCT(MAX(ROW(E$1:E143)*(E2=E$1:E143))))))</f>
        <v> </v>
      </c>
      <c r="K144" s="26" t="str">
        <f>IF(OR(E144="",E144="!!!",F144="NEW"),"",INDEX(J$1:J143,SUMPRODUCT(MAX(ROW(E$1:E143)*(E144=E$1:E143)))))</f>
        <v> </v>
      </c>
      <c r="L144" s="27"/>
    </row>
    <row r="145" spans="1:12">
      <c r="A145" s="20" t="s">
        <v>12</v>
      </c>
      <c r="E145" s="22">
        <f>IF(D145="?OLD","!!!","")</f>
        <v/>
      </c>
      <c r="F145" s="23" t="str">
        <f>IF(OR(E145="",E145="!!!"),"",IF(NOT(ISNA(VLOOKUP(E145,E$1:E144,1,FALSE()))),"OLD",IF(AND(E145&lt;&gt;"",E145&lt;&gt;"!!!"),"NEW","")))</f>
        <v> </v>
      </c>
      <c r="G145" s="24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5" t="str">
        <f>IF(J145&lt;&gt;1,"",IF(I145="SBJ","CB","?"))</f>
        <v> </v>
      </c>
      <c r="I145" s="26" t="str">
        <f>IF(OR(E145="",E145="!!!",F145="NEW"),"",INDEX(B144:B$2,-1+SUMPRODUCT(MAX(ROW(E144:E$2)*(E145=E144:E$2)))))</f>
        <v> </v>
      </c>
      <c r="J145" s="26" t="str">
        <f>IF(OR(E145="",E145="!!!",F145="NEW"),"",COUNTBLANK(OFFSET(A$1,,,SUMPRODUCT(MAX(ROW(E$2:E145)*(E145=E$2:E145)))))-COUNTBLANK(OFFSET(A$1,,,SUMPRODUCT(MAX(ROW(E$1:E144)*(E2=E$1:E144))))))</f>
        <v> </v>
      </c>
      <c r="K145" s="26" t="str">
        <f>IF(OR(E145="",E145="!!!",F145="NEW"),"",INDEX(J$1:J144,SUMPRODUCT(MAX(ROW(E$1:E144)*(E145=E$1:E144)))))</f>
        <v> </v>
      </c>
      <c r="L145" s="27"/>
    </row>
    <row r="146" spans="1:12">
      <c r="A146" s="20" t="s">
        <v>238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 t="s">
        <v>156</v>
      </c>
      <c r="E147" s="22">
        <f>IF(D147="?OLD","!!!","")</f>
        <v/>
      </c>
      <c r="F147" s="23" t="str">
        <f>IF(OR(E147="",E147="!!!"),"",IF(NOT(ISNA(VLOOKUP(E147,E$1:E146,1,FALSE()))),"OLD",IF(AND(E147&lt;&gt;"",E147&lt;&gt;"!!!"),"NEW","")))</f>
        <v> </v>
      </c>
      <c r="G147" s="24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5" t="str">
        <f>IF(J147&lt;&gt;1,"",IF(I147="SBJ","CB","?"))</f>
        <v> </v>
      </c>
      <c r="I147" s="26" t="str">
        <f>IF(OR(E147="",E147="!!!",F147="NEW"),"",INDEX(B146:B$2,-1+SUMPRODUCT(MAX(ROW(E146:E$2)*(E147=E146:E$2)))))</f>
        <v> </v>
      </c>
      <c r="J147" s="26" t="str">
        <f>IF(OR(E147="",E147="!!!",F147="NEW"),"",COUNTBLANK(OFFSET(A$1,,,SUMPRODUCT(MAX(ROW(E$2:E147)*(E147=E$2:E147)))))-COUNTBLANK(OFFSET(A$1,,,SUMPRODUCT(MAX(ROW(E$1:E146)*(E2=E$1:E146))))))</f>
        <v> </v>
      </c>
      <c r="K147" s="26" t="str">
        <f>IF(OR(E147="",E147="!!!",F147="NEW"),"",INDEX(J$1:J146,SUMPRODUCT(MAX(ROW(E$1:E146)*(E147=E$1:E146)))))</f>
        <v> </v>
      </c>
      <c r="L147" s="27"/>
    </row>
    <row r="148" spans="1:12">
      <c r="A148" s="20" t="s">
        <v>248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249</v>
      </c>
      <c r="B149" s="21" t="s">
        <v>152</v>
      </c>
      <c r="C149" s="21" t="s">
        <v>137</v>
      </c>
      <c r="D149" s="21" t="s">
        <v>131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250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 t="s">
        <v>251</v>
      </c>
      <c r="B151" s="21" t="s">
        <v>145</v>
      </c>
      <c r="C151" s="21" t="s">
        <v>207</v>
      </c>
      <c r="E151" s="22">
        <f>IF(D151="?OLD","!!!","")</f>
        <v/>
      </c>
      <c r="F151" s="23" t="str">
        <f>IF(OR(E151="",E151="!!!"),"",IF(NOT(ISNA(VLOOKUP(E151,E$1:E150,1,FALSE()))),"OLD",IF(AND(E151&lt;&gt;"",E151&lt;&gt;"!!!"),"NEW","")))</f>
        <v> </v>
      </c>
      <c r="G151" s="24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5" t="str">
        <f>IF(J151&lt;&gt;1,"",IF(I151="SBJ","CB","?"))</f>
        <v> </v>
      </c>
      <c r="I151" s="26" t="str">
        <f>IF(OR(E151="",E151="!!!",F151="NEW"),"",INDEX(B150:B$2,-1+SUMPRODUCT(MAX(ROW(E150:E$2)*(E151=E150:E$2)))))</f>
        <v> </v>
      </c>
      <c r="J151" s="26" t="str">
        <f>IF(OR(E151="",E151="!!!",F151="NEW"),"",COUNTBLANK(OFFSET(A$1,,,SUMPRODUCT(MAX(ROW(E$2:E151)*(E151=E$2:E151)))))-COUNTBLANK(OFFSET(A$1,,,SUMPRODUCT(MAX(ROW(E$1:E150)*(E2=E$1:E150))))))</f>
        <v> </v>
      </c>
      <c r="K151" s="26" t="str">
        <f>IF(OR(E151="",E151="!!!",F151="NEW"),"",INDEX(J$1:J150,SUMPRODUCT(MAX(ROW(E$1:E150)*(E151=E$1:E150)))))</f>
        <v> </v>
      </c>
      <c r="L151" s="27"/>
    </row>
    <row r="152" spans="1:12">
      <c r="A152" s="20" t="s">
        <v>148</v>
      </c>
      <c r="E152" s="22">
        <f>IF(D152="?OLD","!!!","")</f>
        <v/>
      </c>
      <c r="F152" s="23" t="str">
        <f>IF(OR(E152="",E152="!!!"),"",IF(NOT(ISNA(VLOOKUP(E152,E$1:E151,1,FALSE()))),"OLD",IF(AND(E152&lt;&gt;"",E152&lt;&gt;"!!!"),"NEW","")))</f>
        <v> </v>
      </c>
      <c r="G152" s="24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5" t="str">
        <f>IF(J152&lt;&gt;1,"",IF(I152="SBJ","CB","?"))</f>
        <v> </v>
      </c>
      <c r="I152" s="26" t="str">
        <f>IF(OR(E152="",E152="!!!",F152="NEW"),"",INDEX(B151:B$2,-1+SUMPRODUCT(MAX(ROW(E151:E$2)*(E152=E151:E$2)))))</f>
        <v> </v>
      </c>
      <c r="J152" s="26" t="str">
        <f>IF(OR(E152="",E152="!!!",F152="NEW"),"",COUNTBLANK(OFFSET(A$1,,,SUMPRODUCT(MAX(ROW(E$2:E152)*(E152=E$2:E152)))))-COUNTBLANK(OFFSET(A$1,,,SUMPRODUCT(MAX(ROW(E$1:E151)*(E2=E$1:E151))))))</f>
        <v> </v>
      </c>
      <c r="K152" s="26" t="str">
        <f>IF(OR(E152="",E152="!!!",F152="NEW"),"",INDEX(J$1:J151,SUMPRODUCT(MAX(ROW(E$1:E151)*(E152=E$1:E151)))))</f>
        <v> </v>
      </c>
      <c r="L152" s="27"/>
    </row>
    <row r="153" spans="1:12">
      <c r="A153" s="20"/>
    </row>
    <row r="154" spans="1:12">
      <c r="A154" s="20" t="s">
        <v>252</v>
      </c>
    </row>
    <row r="155" spans="1:12">
      <c r="A155" s="20" t="s">
        <v>253</v>
      </c>
      <c r="B155" s="21" t="s">
        <v>129</v>
      </c>
      <c r="C155" s="21" t="s">
        <v>181</v>
      </c>
      <c r="D155" s="21" t="s">
        <v>131</v>
      </c>
      <c r="E155" s="22">
        <f>IF(D155="?OLD","!!!","")</f>
        <v/>
      </c>
      <c r="F155" s="23" t="str">
        <f>IF(OR(E155="",E155="!!!"),"",IF(NOT(ISNA(VLOOKUP(E155,E$1:E154,1,FALSE()))),"OLD",IF(AND(E155&lt;&gt;"",E155&lt;&gt;"!!!"),"NEW","")))</f>
        <v> </v>
      </c>
      <c r="G155" s="24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5" t="str">
        <f>IF(J155&lt;&gt;1,"",IF(I155="SBJ","CB","?"))</f>
        <v> </v>
      </c>
      <c r="I155" s="26" t="str">
        <f>IF(OR(E155="",E155="!!!",F155="NEW"),"",INDEX(B154:B$2,-1+SUMPRODUCT(MAX(ROW(E154:E$2)*(E155=E154:E$2)))))</f>
        <v> </v>
      </c>
      <c r="J155" s="26" t="str">
        <f>IF(OR(E155="",E155="!!!",F155="NEW"),"",COUNTBLANK(OFFSET(A$1,,,SUMPRODUCT(MAX(ROW(E$2:E155)*(E155=E$2:E155)))))-COUNTBLANK(OFFSET(A$1,,,SUMPRODUCT(MAX(ROW(E$1:E154)*(E2=E$1:E154))))))</f>
        <v> </v>
      </c>
      <c r="K155" s="26" t="str">
        <f>IF(OR(E155="",E155="!!!",F155="NEW"),"",INDEX(J$1:J154,SUMPRODUCT(MAX(ROW(E$1:E154)*(E155=E$1:E154)))))</f>
        <v> </v>
      </c>
      <c r="L155" s="27"/>
    </row>
    <row r="156" spans="1:12">
      <c r="A156" s="20" t="s">
        <v>254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194</v>
      </c>
      <c r="B157" s="21" t="s">
        <v>136</v>
      </c>
      <c r="E157" s="22">
        <f>IF(D157="?OLD","!!!","")</f>
        <v/>
      </c>
      <c r="F157" s="23" t="str">
        <f>IF(OR(E157="",E157="!!!"),"",IF(NOT(ISNA(VLOOKUP(E157,E$1:E156,1,FALSE()))),"OLD",IF(AND(E157&lt;&gt;"",E157&lt;&gt;"!!!"),"NEW","")))</f>
        <v> </v>
      </c>
      <c r="G157" s="24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5" t="str">
        <f>IF(J157&lt;&gt;1,"",IF(I157="SBJ","CB","?"))</f>
        <v> </v>
      </c>
      <c r="I157" s="26" t="str">
        <f>IF(OR(E157="",E157="!!!",F157="NEW"),"",INDEX(B156:B$2,-1+SUMPRODUCT(MAX(ROW(E156:E$2)*(E157=E156:E$2)))))</f>
        <v> </v>
      </c>
      <c r="J157" s="26" t="str">
        <f>IF(OR(E157="",E157="!!!",F157="NEW"),"",COUNTBLANK(OFFSET(A$1,,,SUMPRODUCT(MAX(ROW(E$2:E157)*(E157=E$2:E157)))))-COUNTBLANK(OFFSET(A$1,,,SUMPRODUCT(MAX(ROW(E$1:E156)*(E2=E$1:E156))))))</f>
        <v> </v>
      </c>
      <c r="K157" s="26" t="str">
        <f>IF(OR(E157="",E157="!!!",F157="NEW"),"",INDEX(J$1:J156,SUMPRODUCT(MAX(ROW(E$1:E156)*(E157=E$1:E156)))))</f>
        <v> </v>
      </c>
      <c r="L157" s="27"/>
    </row>
    <row r="158" spans="1:12">
      <c r="A158" s="20" t="s">
        <v>161</v>
      </c>
      <c r="E158" s="22">
        <f>IF(D158="?OLD","!!!","")</f>
        <v/>
      </c>
      <c r="F158" s="23" t="str">
        <f>IF(OR(E158="",E158="!!!"),"",IF(NOT(ISNA(VLOOKUP(E158,E$1:E157,1,FALSE()))),"OLD",IF(AND(E158&lt;&gt;"",E158&lt;&gt;"!!!"),"NEW","")))</f>
        <v> </v>
      </c>
      <c r="G158" s="24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5" t="str">
        <f>IF(J158&lt;&gt;1,"",IF(I158="SBJ","CB","?"))</f>
        <v> </v>
      </c>
      <c r="I158" s="26" t="str">
        <f>IF(OR(E158="",E158="!!!",F158="NEW"),"",INDEX(B157:B$2,-1+SUMPRODUCT(MAX(ROW(E157:E$2)*(E158=E157:E$2)))))</f>
        <v> </v>
      </c>
      <c r="J158" s="26" t="str">
        <f>IF(OR(E158="",E158="!!!",F158="NEW"),"",COUNTBLANK(OFFSET(A$1,,,SUMPRODUCT(MAX(ROW(E$2:E158)*(E158=E$2:E158)))))-COUNTBLANK(OFFSET(A$1,,,SUMPRODUCT(MAX(ROW(E$1:E157)*(E2=E$1:E157))))))</f>
        <v> </v>
      </c>
      <c r="K158" s="26" t="str">
        <f>IF(OR(E158="",E158="!!!",F158="NEW"),"",INDEX(J$1:J157,SUMPRODUCT(MAX(ROW(E$1:E157)*(E158=E$1:E157)))))</f>
        <v> </v>
      </c>
      <c r="L158" s="27"/>
    </row>
    <row r="159" spans="1:12">
      <c r="A159" s="20" t="s">
        <v>255</v>
      </c>
      <c r="E159" s="22">
        <f>IF(D159="?OLD","!!!","")</f>
        <v/>
      </c>
      <c r="F159" s="23" t="str">
        <f>IF(OR(E159="",E159="!!!"),"",IF(NOT(ISNA(VLOOKUP(E159,E$1:E158,1,FALSE()))),"OLD",IF(AND(E159&lt;&gt;"",E159&lt;&gt;"!!!"),"NEW","")))</f>
        <v> </v>
      </c>
      <c r="G159" s="24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5" t="str">
        <f>IF(J159&lt;&gt;1,"",IF(I159="SBJ","CB","?"))</f>
        <v> </v>
      </c>
      <c r="I159" s="26" t="str">
        <f>IF(OR(E159="",E159="!!!",F159="NEW"),"",INDEX(B158:B$2,-1+SUMPRODUCT(MAX(ROW(E158:E$2)*(E159=E158:E$2)))))</f>
        <v> </v>
      </c>
      <c r="J159" s="26" t="str">
        <f>IF(OR(E159="",E159="!!!",F159="NEW"),"",COUNTBLANK(OFFSET(A$1,,,SUMPRODUCT(MAX(ROW(E$2:E159)*(E159=E$2:E159)))))-COUNTBLANK(OFFSET(A$1,,,SUMPRODUCT(MAX(ROW(E$1:E158)*(E2=E$1:E158))))))</f>
        <v> </v>
      </c>
      <c r="K159" s="26" t="str">
        <f>IF(OR(E159="",E159="!!!",F159="NEW"),"",INDEX(J$1:J158,SUMPRODUCT(MAX(ROW(E$1:E158)*(E159=E$1:E158)))))</f>
        <v> </v>
      </c>
      <c r="L159" s="27"/>
    </row>
    <row r="160" spans="1:12">
      <c r="A160" s="20" t="s">
        <v>256</v>
      </c>
      <c r="B160" s="21" t="s">
        <v>152</v>
      </c>
      <c r="C160" s="21" t="s">
        <v>141</v>
      </c>
      <c r="E160" s="22">
        <f>IF(D160="?OLD","!!!","")</f>
        <v/>
      </c>
      <c r="F160" s="23" t="str">
        <f>IF(OR(E160="",E160="!!!"),"",IF(NOT(ISNA(VLOOKUP(E160,E$1:E159,1,FALSE()))),"OLD",IF(AND(E160&lt;&gt;"",E160&lt;&gt;"!!!"),"NEW","")))</f>
        <v> </v>
      </c>
      <c r="G160" s="24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5" t="str">
        <f>IF(J160&lt;&gt;1,"",IF(I160="SBJ","CB","?"))</f>
        <v> </v>
      </c>
      <c r="I160" s="26" t="str">
        <f>IF(OR(E160="",E160="!!!",F160="NEW"),"",INDEX(B159:B$2,-1+SUMPRODUCT(MAX(ROW(E159:E$2)*(E160=E159:E$2)))))</f>
        <v> </v>
      </c>
      <c r="J160" s="26" t="str">
        <f>IF(OR(E160="",E160="!!!",F160="NEW"),"",COUNTBLANK(OFFSET(A$1,,,SUMPRODUCT(MAX(ROW(E$2:E160)*(E160=E$2:E160)))))-COUNTBLANK(OFFSET(A$1,,,SUMPRODUCT(MAX(ROW(E$1:E159)*(E2=E$1:E159))))))</f>
        <v> </v>
      </c>
      <c r="K160" s="26" t="str">
        <f>IF(OR(E160="",E160="!!!",F160="NEW"),"",INDEX(J$1:J159,SUMPRODUCT(MAX(ROW(E$1:E159)*(E160=E$1:E159)))))</f>
        <v> </v>
      </c>
      <c r="L160" s="27"/>
    </row>
    <row r="161" spans="1:12">
      <c r="A161" s="20" t="s">
        <v>257</v>
      </c>
      <c r="E161" s="22">
        <f>IF(D161="?OLD","!!!","")</f>
        <v/>
      </c>
      <c r="F161" s="23" t="str">
        <f>IF(OR(E161="",E161="!!!"),"",IF(NOT(ISNA(VLOOKUP(E161,E$1:E160,1,FALSE()))),"OLD",IF(AND(E161&lt;&gt;"",E161&lt;&gt;"!!!"),"NEW","")))</f>
        <v> </v>
      </c>
      <c r="G161" s="24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5" t="str">
        <f>IF(J161&lt;&gt;1,"",IF(I161="SBJ","CB","?"))</f>
        <v> </v>
      </c>
      <c r="I161" s="26" t="str">
        <f>IF(OR(E161="",E161="!!!",F161="NEW"),"",INDEX(B160:B$2,-1+SUMPRODUCT(MAX(ROW(E160:E$2)*(E161=E160:E$2)))))</f>
        <v> </v>
      </c>
      <c r="J161" s="26" t="str">
        <f>IF(OR(E161="",E161="!!!",F161="NEW"),"",COUNTBLANK(OFFSET(A$1,,,SUMPRODUCT(MAX(ROW(E$2:E161)*(E161=E$2:E161)))))-COUNTBLANK(OFFSET(A$1,,,SUMPRODUCT(MAX(ROW(E$1:E160)*(E2=E$1:E160))))))</f>
        <v> </v>
      </c>
      <c r="K161" s="26" t="str">
        <f>IF(OR(E161="",E161="!!!",F161="NEW"),"",INDEX(J$1:J160,SUMPRODUCT(MAX(ROW(E$1:E160)*(E161=E$1:E160)))))</f>
        <v> </v>
      </c>
      <c r="L161" s="27"/>
    </row>
    <row r="162" spans="1:12">
      <c r="A162" s="20" t="s">
        <v>134</v>
      </c>
      <c r="E162" s="22">
        <f>IF(D162="?OLD","!!!","")</f>
        <v/>
      </c>
      <c r="F162" s="23" t="str">
        <f>IF(OR(E162="",E162="!!!"),"",IF(NOT(ISNA(VLOOKUP(E162,E$1:E161,1,FALSE()))),"OLD",IF(AND(E162&lt;&gt;"",E162&lt;&gt;"!!!"),"NEW","")))</f>
        <v> </v>
      </c>
      <c r="G162" s="24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5" t="str">
        <f>IF(J162&lt;&gt;1,"",IF(I162="SBJ","CB","?"))</f>
        <v> </v>
      </c>
      <c r="I162" s="26" t="str">
        <f>IF(OR(E162="",E162="!!!",F162="NEW"),"",INDEX(B161:B$2,-1+SUMPRODUCT(MAX(ROW(E161:E$2)*(E162=E161:E$2)))))</f>
        <v> </v>
      </c>
      <c r="J162" s="26" t="str">
        <f>IF(OR(E162="",E162="!!!",F162="NEW"),"",COUNTBLANK(OFFSET(A$1,,,SUMPRODUCT(MAX(ROW(E$2:E162)*(E162=E$2:E162)))))-COUNTBLANK(OFFSET(A$1,,,SUMPRODUCT(MAX(ROW(E$1:E161)*(E2=E$1:E161))))))</f>
        <v> </v>
      </c>
      <c r="K162" s="26" t="str">
        <f>IF(OR(E162="",E162="!!!",F162="NEW"),"",INDEX(J$1:J161,SUMPRODUCT(MAX(ROW(E$1:E161)*(E162=E$1:E161)))))</f>
        <v> </v>
      </c>
      <c r="L162" s="27"/>
    </row>
    <row r="163" spans="1:12">
      <c r="A163" s="20" t="s">
        <v>258</v>
      </c>
      <c r="B163" s="21" t="s">
        <v>145</v>
      </c>
      <c r="C163" s="21" t="s">
        <v>243</v>
      </c>
      <c r="D163" s="21" t="s">
        <v>131</v>
      </c>
      <c r="E163" s="22">
        <f>IF(D163="?OLD","!!!","")</f>
        <v/>
      </c>
      <c r="F163" s="23" t="str">
        <f>IF(OR(E163="",E163="!!!"),"",IF(NOT(ISNA(VLOOKUP(E163,E$1:E162,1,FALSE()))),"OLD",IF(AND(E163&lt;&gt;"",E163&lt;&gt;"!!!"),"NEW","")))</f>
        <v> </v>
      </c>
      <c r="G163" s="24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5" t="str">
        <f>IF(J163&lt;&gt;1,"",IF(I163="SBJ","CB","?"))</f>
        <v> </v>
      </c>
      <c r="I163" s="26" t="str">
        <f>IF(OR(E163="",E163="!!!",F163="NEW"),"",INDEX(B162:B$2,-1+SUMPRODUCT(MAX(ROW(E162:E$2)*(E163=E162:E$2)))))</f>
        <v> </v>
      </c>
      <c r="J163" s="26" t="str">
        <f>IF(OR(E163="",E163="!!!",F163="NEW"),"",COUNTBLANK(OFFSET(A$1,,,SUMPRODUCT(MAX(ROW(E$2:E163)*(E163=E$2:E163)))))-COUNTBLANK(OFFSET(A$1,,,SUMPRODUCT(MAX(ROW(E$1:E162)*(E2=E$1:E162))))))</f>
        <v> </v>
      </c>
      <c r="K163" s="26" t="str">
        <f>IF(OR(E163="",E163="!!!",F163="NEW"),"",INDEX(J$1:J162,SUMPRODUCT(MAX(ROW(E$1:E162)*(E163=E$1:E162)))))</f>
        <v> </v>
      </c>
      <c r="L163" s="27"/>
    </row>
    <row r="164" spans="1:12">
      <c r="A164" s="20" t="s">
        <v>259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260</v>
      </c>
      <c r="B165" s="21" t="s">
        <v>158</v>
      </c>
      <c r="C165" s="21" t="s">
        <v>130</v>
      </c>
      <c r="D165" s="21" t="s">
        <v>131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 t="s">
        <v>261</v>
      </c>
      <c r="E166" s="22">
        <f>IF(D166="?OLD","!!!","")</f>
        <v/>
      </c>
      <c r="F166" s="23" t="str">
        <f>IF(OR(E166="",E166="!!!"),"",IF(NOT(ISNA(VLOOKUP(E166,E$1:E165,1,FALSE()))),"OLD",IF(AND(E166&lt;&gt;"",E166&lt;&gt;"!!!"),"NEW","")))</f>
        <v> </v>
      </c>
      <c r="G166" s="24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5" t="str">
        <f>IF(J166&lt;&gt;1,"",IF(I166="SBJ","CB","?"))</f>
        <v> </v>
      </c>
      <c r="I166" s="26" t="str">
        <f>IF(OR(E166="",E166="!!!",F166="NEW"),"",INDEX(B165:B$2,-1+SUMPRODUCT(MAX(ROW(E165:E$2)*(E166=E165:E$2)))))</f>
        <v> </v>
      </c>
      <c r="J166" s="26" t="str">
        <f>IF(OR(E166="",E166="!!!",F166="NEW"),"",COUNTBLANK(OFFSET(A$1,,,SUMPRODUCT(MAX(ROW(E$2:E166)*(E166=E$2:E166)))))-COUNTBLANK(OFFSET(A$1,,,SUMPRODUCT(MAX(ROW(E$1:E165)*(E2=E$1:E165))))))</f>
        <v> </v>
      </c>
      <c r="K166" s="26" t="str">
        <f>IF(OR(E166="",E166="!!!",F166="NEW"),"",INDEX(J$1:J165,SUMPRODUCT(MAX(ROW(E$1:E165)*(E166=E$1:E165)))))</f>
        <v> </v>
      </c>
      <c r="L166" s="27"/>
    </row>
    <row r="167" spans="1:12">
      <c r="A167" s="20" t="s">
        <v>198</v>
      </c>
      <c r="E167" s="22">
        <f>IF(D167="?OLD","!!!","")</f>
        <v/>
      </c>
      <c r="F167" s="23" t="str">
        <f>IF(OR(E167="",E167="!!!"),"",IF(NOT(ISNA(VLOOKUP(E167,E$1:E166,1,FALSE()))),"OLD",IF(AND(E167&lt;&gt;"",E167&lt;&gt;"!!!"),"NEW","")))</f>
        <v> </v>
      </c>
      <c r="G167" s="24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5" t="str">
        <f>IF(J167&lt;&gt;1,"",IF(I167="SBJ","CB","?"))</f>
        <v> </v>
      </c>
      <c r="I167" s="26" t="str">
        <f>IF(OR(E167="",E167="!!!",F167="NEW"),"",INDEX(B166:B$2,-1+SUMPRODUCT(MAX(ROW(E166:E$2)*(E167=E166:E$2)))))</f>
        <v> </v>
      </c>
      <c r="J167" s="26" t="str">
        <f>IF(OR(E167="",E167="!!!",F167="NEW"),"",COUNTBLANK(OFFSET(A$1,,,SUMPRODUCT(MAX(ROW(E$2:E167)*(E167=E$2:E167)))))-COUNTBLANK(OFFSET(A$1,,,SUMPRODUCT(MAX(ROW(E$1:E166)*(E2=E$1:E166))))))</f>
        <v> </v>
      </c>
      <c r="K167" s="26" t="str">
        <f>IF(OR(E167="",E167="!!!",F167="NEW"),"",INDEX(J$1:J166,SUMPRODUCT(MAX(ROW(E$1:E166)*(E167=E$1:E166)))))</f>
        <v> </v>
      </c>
      <c r="L167" s="27"/>
    </row>
    <row r="168" spans="1:12">
      <c r="A168" s="20" t="s">
        <v>142</v>
      </c>
      <c r="E168" s="22">
        <f>IF(D168="?OLD","!!!","")</f>
        <v/>
      </c>
      <c r="F168" s="23" t="str">
        <f>IF(OR(E168="",E168="!!!"),"",IF(NOT(ISNA(VLOOKUP(E168,E$1:E167,1,FALSE()))),"OLD",IF(AND(E168&lt;&gt;"",E168&lt;&gt;"!!!"),"NEW","")))</f>
        <v> </v>
      </c>
      <c r="G168" s="24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5" t="str">
        <f>IF(J168&lt;&gt;1,"",IF(I168="SBJ","CB","?"))</f>
        <v> </v>
      </c>
      <c r="I168" s="26" t="str">
        <f>IF(OR(E168="",E168="!!!",F168="NEW"),"",INDEX(B167:B$2,-1+SUMPRODUCT(MAX(ROW(E167:E$2)*(E168=E167:E$2)))))</f>
        <v> </v>
      </c>
      <c r="J168" s="26" t="str">
        <f>IF(OR(E168="",E168="!!!",F168="NEW"),"",COUNTBLANK(OFFSET(A$1,,,SUMPRODUCT(MAX(ROW(E$2:E168)*(E168=E$2:E168)))))-COUNTBLANK(OFFSET(A$1,,,SUMPRODUCT(MAX(ROW(E$1:E167)*(E2=E$1:E167))))))</f>
        <v> </v>
      </c>
      <c r="K168" s="26" t="str">
        <f>IF(OR(E168="",E168="!!!",F168="NEW"),"",INDEX(J$1:J167,SUMPRODUCT(MAX(ROW(E$1:E167)*(E168=E$1:E167)))))</f>
        <v> </v>
      </c>
      <c r="L168" s="27"/>
    </row>
    <row r="169" spans="1:12">
      <c r="A169" s="20" t="s">
        <v>166</v>
      </c>
      <c r="E169" s="22">
        <f>IF(D169="?OLD","!!!","")</f>
        <v/>
      </c>
      <c r="F169" s="23" t="str">
        <f>IF(OR(E169="",E169="!!!"),"",IF(NOT(ISNA(VLOOKUP(E169,E$1:E168,1,FALSE()))),"OLD",IF(AND(E169&lt;&gt;"",E169&lt;&gt;"!!!"),"NEW","")))</f>
        <v> </v>
      </c>
      <c r="G169" s="24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5" t="str">
        <f>IF(J169&lt;&gt;1,"",IF(I169="SBJ","CB","?"))</f>
        <v> </v>
      </c>
      <c r="I169" s="26" t="str">
        <f>IF(OR(E169="",E169="!!!",F169="NEW"),"",INDEX(B168:B$2,-1+SUMPRODUCT(MAX(ROW(E168:E$2)*(E169=E168:E$2)))))</f>
        <v> </v>
      </c>
      <c r="J169" s="26" t="str">
        <f>IF(OR(E169="",E169="!!!",F169="NEW"),"",COUNTBLANK(OFFSET(A$1,,,SUMPRODUCT(MAX(ROW(E$2:E169)*(E169=E$2:E169)))))-COUNTBLANK(OFFSET(A$1,,,SUMPRODUCT(MAX(ROW(E$1:E168)*(E2=E$1:E168))))))</f>
        <v> </v>
      </c>
      <c r="K169" s="26" t="str">
        <f>IF(OR(E169="",E169="!!!",F169="NEW"),"",INDEX(J$1:J168,SUMPRODUCT(MAX(ROW(E$1:E168)*(E169=E$1:E168)))))</f>
        <v> </v>
      </c>
      <c r="L169" s="27"/>
    </row>
    <row r="170" spans="1:12">
      <c r="A170" s="20" t="s">
        <v>144</v>
      </c>
      <c r="B170" s="21" t="s">
        <v>145</v>
      </c>
      <c r="C170" s="21" t="s">
        <v>155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262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 t="s">
        <v>263</v>
      </c>
      <c r="B172" s="21" t="s">
        <v>200</v>
      </c>
      <c r="C172" s="21" t="s">
        <v>181</v>
      </c>
      <c r="D172" s="21" t="s">
        <v>131</v>
      </c>
      <c r="E172" s="22">
        <f>IF(D172="?OLD","!!!","")</f>
        <v/>
      </c>
      <c r="F172" s="23" t="str">
        <f>IF(OR(E172="",E172="!!!"),"",IF(NOT(ISNA(VLOOKUP(E172,E$1:E171,1,FALSE()))),"OLD",IF(AND(E172&lt;&gt;"",E172&lt;&gt;"!!!"),"NEW","")))</f>
        <v> </v>
      </c>
      <c r="G172" s="24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5" t="str">
        <f>IF(J172&lt;&gt;1,"",IF(I172="SBJ","CB","?"))</f>
        <v> </v>
      </c>
      <c r="I172" s="26" t="str">
        <f>IF(OR(E172="",E172="!!!",F172="NEW"),"",INDEX(B171:B$2,-1+SUMPRODUCT(MAX(ROW(E171:E$2)*(E172=E171:E$2)))))</f>
        <v> </v>
      </c>
      <c r="J172" s="26" t="str">
        <f>IF(OR(E172="",E172="!!!",F172="NEW"),"",COUNTBLANK(OFFSET(A$1,,,SUMPRODUCT(MAX(ROW(E$2:E172)*(E172=E$2:E172)))))-COUNTBLANK(OFFSET(A$1,,,SUMPRODUCT(MAX(ROW(E$1:E171)*(E2=E$1:E171))))))</f>
        <v> </v>
      </c>
      <c r="K172" s="26" t="str">
        <f>IF(OR(E172="",E172="!!!",F172="NEW"),"",INDEX(J$1:J171,SUMPRODUCT(MAX(ROW(E$1:E171)*(E172=E$1:E171)))))</f>
        <v> </v>
      </c>
      <c r="L172" s="27"/>
    </row>
    <row r="173" spans="1:12">
      <c r="A173" s="20" t="s">
        <v>194</v>
      </c>
      <c r="B173" s="21" t="s">
        <v>222</v>
      </c>
      <c r="E173" s="22">
        <f>IF(D173="?OLD","!!!","")</f>
        <v/>
      </c>
      <c r="F173" s="23" t="str">
        <f>IF(OR(E173="",E173="!!!"),"",IF(NOT(ISNA(VLOOKUP(E173,E$1:E172,1,FALSE()))),"OLD",IF(AND(E173&lt;&gt;"",E173&lt;&gt;"!!!"),"NEW","")))</f>
        <v> </v>
      </c>
      <c r="G173" s="24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5" t="str">
        <f>IF(J173&lt;&gt;1,"",IF(I173="SBJ","CB","?"))</f>
        <v> </v>
      </c>
      <c r="I173" s="26" t="str">
        <f>IF(OR(E173="",E173="!!!",F173="NEW"),"",INDEX(B172:B$2,-1+SUMPRODUCT(MAX(ROW(E172:E$2)*(E173=E172:E$2)))))</f>
        <v> </v>
      </c>
      <c r="J173" s="26" t="str">
        <f>IF(OR(E173="",E173="!!!",F173="NEW"),"",COUNTBLANK(OFFSET(A$1,,,SUMPRODUCT(MAX(ROW(E$2:E173)*(E173=E$2:E173)))))-COUNTBLANK(OFFSET(A$1,,,SUMPRODUCT(MAX(ROW(E$1:E172)*(E2=E$1:E172))))))</f>
        <v> </v>
      </c>
      <c r="K173" s="26" t="str">
        <f>IF(OR(E173="",E173="!!!",F173="NEW"),"",INDEX(J$1:J172,SUMPRODUCT(MAX(ROW(E$1:E172)*(E173=E$1:E172)))))</f>
        <v> </v>
      </c>
      <c r="L173" s="27"/>
    </row>
    <row r="174" spans="1:12">
      <c r="A174" s="20" t="s">
        <v>264</v>
      </c>
      <c r="E174" s="22">
        <f>IF(D174="?OLD","!!!","")</f>
        <v/>
      </c>
      <c r="F174" s="23" t="str">
        <f>IF(OR(E174="",E174="!!!"),"",IF(NOT(ISNA(VLOOKUP(E174,E$1:E173,1,FALSE()))),"OLD",IF(AND(E174&lt;&gt;"",E174&lt;&gt;"!!!"),"NEW","")))</f>
        <v> </v>
      </c>
      <c r="G174" s="24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5" t="str">
        <f>IF(J174&lt;&gt;1,"",IF(I174="SBJ","CB","?"))</f>
        <v> </v>
      </c>
      <c r="I174" s="26" t="str">
        <f>IF(OR(E174="",E174="!!!",F174="NEW"),"",INDEX(B173:B$2,-1+SUMPRODUCT(MAX(ROW(E173:E$2)*(E174=E173:E$2)))))</f>
        <v> </v>
      </c>
      <c r="J174" s="26" t="str">
        <f>IF(OR(E174="",E174="!!!",F174="NEW"),"",COUNTBLANK(OFFSET(A$1,,,SUMPRODUCT(MAX(ROW(E$2:E174)*(E174=E$2:E174)))))-COUNTBLANK(OFFSET(A$1,,,SUMPRODUCT(MAX(ROW(E$1:E173)*(E2=E$1:E173))))))</f>
        <v> </v>
      </c>
      <c r="K174" s="26" t="str">
        <f>IF(OR(E174="",E174="!!!",F174="NEW"),"",INDEX(J$1:J173,SUMPRODUCT(MAX(ROW(E$1:E173)*(E174=E$1:E173)))))</f>
        <v> </v>
      </c>
      <c r="L174" s="27"/>
    </row>
    <row r="175" spans="1:12">
      <c r="A175" s="20" t="s">
        <v>265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 t="s">
        <v>208</v>
      </c>
      <c r="B176" s="21" t="s">
        <v>158</v>
      </c>
      <c r="C176" s="21" t="s">
        <v>163</v>
      </c>
      <c r="E176" s="22">
        <f>IF(D176="?OLD","!!!","")</f>
        <v/>
      </c>
      <c r="F176" s="23" t="str">
        <f>IF(OR(E176="",E176="!!!"),"",IF(NOT(ISNA(VLOOKUP(E176,E$1:E175,1,FALSE()))),"OLD",IF(AND(E176&lt;&gt;"",E176&lt;&gt;"!!!"),"NEW","")))</f>
        <v> </v>
      </c>
      <c r="G176" s="24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5" t="str">
        <f>IF(J176&lt;&gt;1,"",IF(I176="SBJ","CB","?"))</f>
        <v> </v>
      </c>
      <c r="I176" s="26" t="str">
        <f>IF(OR(E176="",E176="!!!",F176="NEW"),"",INDEX(B175:B$2,-1+SUMPRODUCT(MAX(ROW(E175:E$2)*(E176=E175:E$2)))))</f>
        <v> </v>
      </c>
      <c r="J176" s="26" t="str">
        <f>IF(OR(E176="",E176="!!!",F176="NEW"),"",COUNTBLANK(OFFSET(A$1,,,SUMPRODUCT(MAX(ROW(E$2:E176)*(E176=E$2:E176)))))-COUNTBLANK(OFFSET(A$1,,,SUMPRODUCT(MAX(ROW(E$1:E175)*(E2=E$1:E175))))))</f>
        <v> </v>
      </c>
      <c r="K176" s="26" t="str">
        <f>IF(OR(E176="",E176="!!!",F176="NEW"),"",INDEX(J$1:J175,SUMPRODUCT(MAX(ROW(E$1:E175)*(E176=E$1:E175)))))</f>
        <v> </v>
      </c>
      <c r="L176" s="27"/>
    </row>
    <row r="177" spans="1:12">
      <c r="A177" s="20" t="s">
        <v>266</v>
      </c>
      <c r="B177" s="21" t="s">
        <v>145</v>
      </c>
      <c r="C177" s="21" t="s">
        <v>207</v>
      </c>
      <c r="E177" s="22">
        <f>IF(D177="?OLD","!!!","")</f>
        <v/>
      </c>
      <c r="F177" s="23" t="str">
        <f>IF(OR(E177="",E177="!!!"),"",IF(NOT(ISNA(VLOOKUP(E177,E$1:E176,1,FALSE()))),"OLD",IF(AND(E177&lt;&gt;"",E177&lt;&gt;"!!!"),"NEW","")))</f>
        <v> </v>
      </c>
      <c r="G177" s="24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5" t="str">
        <f>IF(J177&lt;&gt;1,"",IF(I177="SBJ","CB","?"))</f>
        <v> </v>
      </c>
      <c r="I177" s="26" t="str">
        <f>IF(OR(E177="",E177="!!!",F177="NEW"),"",INDEX(B176:B$2,-1+SUMPRODUCT(MAX(ROW(E176:E$2)*(E177=E176:E$2)))))</f>
        <v> </v>
      </c>
      <c r="J177" s="26" t="str">
        <f>IF(OR(E177="",E177="!!!",F177="NEW"),"",COUNTBLANK(OFFSET(A$1,,,SUMPRODUCT(MAX(ROW(E$2:E177)*(E177=E$2:E177)))))-COUNTBLANK(OFFSET(A$1,,,SUMPRODUCT(MAX(ROW(E$1:E176)*(E2=E$1:E176))))))</f>
        <v> </v>
      </c>
      <c r="K177" s="26" t="str">
        <f>IF(OR(E177="",E177="!!!",F177="NEW"),"",INDEX(J$1:J176,SUMPRODUCT(MAX(ROW(E$1:E176)*(E177=E$1:E176)))))</f>
        <v> </v>
      </c>
      <c r="L177" s="27"/>
    </row>
    <row r="178" spans="1:12">
      <c r="A178" s="20" t="s">
        <v>148</v>
      </c>
      <c r="E178" s="22">
        <f>IF(D178="?OLD","!!!","")</f>
        <v/>
      </c>
      <c r="F178" s="23" t="str">
        <f>IF(OR(E178="",E178="!!!"),"",IF(NOT(ISNA(VLOOKUP(E178,E$1:E177,1,FALSE()))),"OLD",IF(AND(E178&lt;&gt;"",E178&lt;&gt;"!!!"),"NEW","")))</f>
        <v> </v>
      </c>
      <c r="G178" s="24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5" t="str">
        <f>IF(J178&lt;&gt;1,"",IF(I178="SBJ","CB","?"))</f>
        <v> </v>
      </c>
      <c r="I178" s="26" t="str">
        <f>IF(OR(E178="",E178="!!!",F178="NEW"),"",INDEX(B177:B$2,-1+SUMPRODUCT(MAX(ROW(E177:E$2)*(E178=E177:E$2)))))</f>
        <v> </v>
      </c>
      <c r="J178" s="26" t="str">
        <f>IF(OR(E178="",E178="!!!",F178="NEW"),"",COUNTBLANK(OFFSET(A$1,,,SUMPRODUCT(MAX(ROW(E$2:E178)*(E178=E$2:E178)))))-COUNTBLANK(OFFSET(A$1,,,SUMPRODUCT(MAX(ROW(E$1:E177)*(E2=E$1:E177))))))</f>
        <v> </v>
      </c>
      <c r="K178" s="26" t="str">
        <f>IF(OR(E178="",E178="!!!",F178="NEW"),"",INDEX(J$1:J177,SUMPRODUCT(MAX(ROW(E$1:E177)*(E178=E$1:E177)))))</f>
        <v> </v>
      </c>
      <c r="L178" s="27"/>
    </row>
    <row r="179" spans="1:12">
      <c r="A179" s="20"/>
    </row>
    <row r="180" spans="1:12">
      <c r="A180" s="20" t="s">
        <v>267</v>
      </c>
    </row>
    <row r="181" spans="1:12">
      <c r="A181" s="20" t="s">
        <v>132</v>
      </c>
      <c r="E181" s="22">
        <f>IF(D181="?OLD","!!!","")</f>
        <v/>
      </c>
      <c r="F181" s="23" t="str">
        <f>IF(OR(E181="",E181="!!!"),"",IF(NOT(ISNA(VLOOKUP(E181,E$1:E180,1,FALSE()))),"OLD",IF(AND(E181&lt;&gt;"",E181&lt;&gt;"!!!"),"NEW","")))</f>
        <v> </v>
      </c>
      <c r="G181" s="24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5" t="str">
        <f>IF(J181&lt;&gt;1,"",IF(I181="SBJ","CB","?"))</f>
        <v> </v>
      </c>
      <c r="I181" s="26" t="str">
        <f>IF(OR(E181="",E181="!!!",F181="NEW"),"",INDEX(B180:B$2,-1+SUMPRODUCT(MAX(ROW(E180:E$2)*(E181=E180:E$2)))))</f>
        <v> </v>
      </c>
      <c r="J181" s="26" t="str">
        <f>IF(OR(E181="",E181="!!!",F181="NEW"),"",COUNTBLANK(OFFSET(A$1,,,SUMPRODUCT(MAX(ROW(E$2:E181)*(E181=E$2:E181)))))-COUNTBLANK(OFFSET(A$1,,,SUMPRODUCT(MAX(ROW(E$1:E180)*(E2=E$1:E180))))))</f>
        <v> </v>
      </c>
      <c r="K181" s="26" t="str">
        <f>IF(OR(E181="",E181="!!!",F181="NEW"),"",INDEX(J$1:J180,SUMPRODUCT(MAX(ROW(E$1:E180)*(E181=E$1:E180)))))</f>
        <v> </v>
      </c>
      <c r="L181" s="27"/>
    </row>
    <row r="182" spans="1:12">
      <c r="A182" s="20" t="s">
        <v>179</v>
      </c>
      <c r="E182" s="22">
        <f>IF(D182="?OLD","!!!","")</f>
        <v/>
      </c>
      <c r="F182" s="23" t="str">
        <f>IF(OR(E182="",E182="!!!"),"",IF(NOT(ISNA(VLOOKUP(E182,E$1:E181,1,FALSE()))),"OLD",IF(AND(E182&lt;&gt;"",E182&lt;&gt;"!!!"),"NEW","")))</f>
        <v> </v>
      </c>
      <c r="G182" s="24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5" t="str">
        <f>IF(J182&lt;&gt;1,"",IF(I182="SBJ","CB","?"))</f>
        <v> </v>
      </c>
      <c r="I182" s="26" t="str">
        <f>IF(OR(E182="",E182="!!!",F182="NEW"),"",INDEX(B181:B$2,-1+SUMPRODUCT(MAX(ROW(E181:E$2)*(E182=E181:E$2)))))</f>
        <v> </v>
      </c>
      <c r="J182" s="26" t="str">
        <f>IF(OR(E182="",E182="!!!",F182="NEW"),"",COUNTBLANK(OFFSET(A$1,,,SUMPRODUCT(MAX(ROW(E$2:E182)*(E182=E$2:E182)))))-COUNTBLANK(OFFSET(A$1,,,SUMPRODUCT(MAX(ROW(E$1:E181)*(E2=E$1:E181))))))</f>
        <v> </v>
      </c>
      <c r="K182" s="26" t="str">
        <f>IF(OR(E182="",E182="!!!",F182="NEW"),"",INDEX(J$1:J181,SUMPRODUCT(MAX(ROW(E$1:E181)*(E182=E$1:E181)))))</f>
        <v> </v>
      </c>
      <c r="L182" s="27"/>
    </row>
    <row r="183" spans="1:12">
      <c r="A183" s="20" t="s">
        <v>268</v>
      </c>
      <c r="E183" s="22">
        <f>IF(D183="?OLD","!!!","")</f>
        <v/>
      </c>
      <c r="F183" s="23" t="str">
        <f>IF(OR(E183="",E183="!!!"),"",IF(NOT(ISNA(VLOOKUP(E183,E$1:E182,1,FALSE()))),"OLD",IF(AND(E183&lt;&gt;"",E183&lt;&gt;"!!!"),"NEW","")))</f>
        <v> </v>
      </c>
      <c r="G183" s="24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5" t="str">
        <f>IF(J183&lt;&gt;1,"",IF(I183="SBJ","CB","?"))</f>
        <v> </v>
      </c>
      <c r="I183" s="26" t="str">
        <f>IF(OR(E183="",E183="!!!",F183="NEW"),"",INDEX(B182:B$2,-1+SUMPRODUCT(MAX(ROW(E182:E$2)*(E183=E182:E$2)))))</f>
        <v> </v>
      </c>
      <c r="J183" s="26" t="str">
        <f>IF(OR(E183="",E183="!!!",F183="NEW"),"",COUNTBLANK(OFFSET(A$1,,,SUMPRODUCT(MAX(ROW(E$2:E183)*(E183=E$2:E183)))))-COUNTBLANK(OFFSET(A$1,,,SUMPRODUCT(MAX(ROW(E$1:E182)*(E2=E$1:E182))))))</f>
        <v> </v>
      </c>
      <c r="K183" s="26" t="str">
        <f>IF(OR(E183="",E183="!!!",F183="NEW"),"",INDEX(J$1:J182,SUMPRODUCT(MAX(ROW(E$1:E182)*(E183=E$1:E182)))))</f>
        <v> </v>
      </c>
      <c r="L183" s="27"/>
    </row>
    <row r="184" spans="1:12">
      <c r="A184" s="20" t="s">
        <v>269</v>
      </c>
      <c r="E184" s="22">
        <f>IF(D184="?OLD","!!!","")</f>
        <v/>
      </c>
      <c r="F184" s="23" t="str">
        <f>IF(OR(E184="",E184="!!!"),"",IF(NOT(ISNA(VLOOKUP(E184,E$1:E183,1,FALSE()))),"OLD",IF(AND(E184&lt;&gt;"",E184&lt;&gt;"!!!"),"NEW","")))</f>
        <v> </v>
      </c>
      <c r="G184" s="24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5" t="str">
        <f>IF(J184&lt;&gt;1,"",IF(I184="SBJ","CB","?"))</f>
        <v> </v>
      </c>
      <c r="I184" s="26" t="str">
        <f>IF(OR(E184="",E184="!!!",F184="NEW"),"",INDEX(B183:B$2,-1+SUMPRODUCT(MAX(ROW(E183:E$2)*(E184=E183:E$2)))))</f>
        <v> </v>
      </c>
      <c r="J184" s="26" t="str">
        <f>IF(OR(E184="",E184="!!!",F184="NEW"),"",COUNTBLANK(OFFSET(A$1,,,SUMPRODUCT(MAX(ROW(E$2:E184)*(E184=E$2:E184)))))-COUNTBLANK(OFFSET(A$1,,,SUMPRODUCT(MAX(ROW(E$1:E183)*(E2=E$1:E183))))))</f>
        <v> </v>
      </c>
      <c r="K184" s="26" t="str">
        <f>IF(OR(E184="",E184="!!!",F184="NEW"),"",INDEX(J$1:J183,SUMPRODUCT(MAX(ROW(E$1:E183)*(E184=E$1:E183)))))</f>
        <v> </v>
      </c>
      <c r="L184" s="27"/>
    </row>
    <row r="185" spans="1:12">
      <c r="A185" s="20" t="s">
        <v>270</v>
      </c>
      <c r="B185" s="21" t="s">
        <v>152</v>
      </c>
      <c r="C185" s="21" t="s">
        <v>137</v>
      </c>
      <c r="D185" s="21" t="s">
        <v>131</v>
      </c>
      <c r="E185" s="22">
        <f>IF(D185="?OLD","!!!","")</f>
        <v/>
      </c>
      <c r="F185" s="23" t="str">
        <f>IF(OR(E185="",E185="!!!"),"",IF(NOT(ISNA(VLOOKUP(E185,E$1:E184,1,FALSE()))),"OLD",IF(AND(E185&lt;&gt;"",E185&lt;&gt;"!!!"),"NEW","")))</f>
        <v> </v>
      </c>
      <c r="G185" s="24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5" t="str">
        <f>IF(J185&lt;&gt;1,"",IF(I185="SBJ","CB","?"))</f>
        <v> </v>
      </c>
      <c r="I185" s="26" t="str">
        <f>IF(OR(E185="",E185="!!!",F185="NEW"),"",INDEX(B184:B$2,-1+SUMPRODUCT(MAX(ROW(E184:E$2)*(E185=E184:E$2)))))</f>
        <v> </v>
      </c>
      <c r="J185" s="26" t="str">
        <f>IF(OR(E185="",E185="!!!",F185="NEW"),"",COUNTBLANK(OFFSET(A$1,,,SUMPRODUCT(MAX(ROW(E$2:E185)*(E185=E$2:E185)))))-COUNTBLANK(OFFSET(A$1,,,SUMPRODUCT(MAX(ROW(E$1:E184)*(E2=E$1:E184))))))</f>
        <v> </v>
      </c>
      <c r="K185" s="26" t="str">
        <f>IF(OR(E185="",E185="!!!",F185="NEW"),"",INDEX(J$1:J184,SUMPRODUCT(MAX(ROW(E$1:E184)*(E185=E$1:E184)))))</f>
        <v> </v>
      </c>
      <c r="L185" s="27"/>
    </row>
    <row r="186" spans="1:12">
      <c r="A186" s="20" t="s">
        <v>156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 t="s">
        <v>271</v>
      </c>
      <c r="B187" s="21" t="s">
        <v>152</v>
      </c>
      <c r="C187" s="21" t="s">
        <v>130</v>
      </c>
      <c r="D187" s="21" t="s">
        <v>131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 t="s">
        <v>272</v>
      </c>
      <c r="E188" s="22">
        <f>IF(D188="?OLD","!!!","")</f>
        <v/>
      </c>
      <c r="F188" s="23" t="str">
        <f>IF(OR(E188="",E188="!!!"),"",IF(NOT(ISNA(VLOOKUP(E188,E$1:E187,1,FALSE()))),"OLD",IF(AND(E188&lt;&gt;"",E188&lt;&gt;"!!!"),"NEW","")))</f>
        <v> </v>
      </c>
      <c r="G188" s="24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5" t="str">
        <f>IF(J188&lt;&gt;1,"",IF(I188="SBJ","CB","?"))</f>
        <v> </v>
      </c>
      <c r="I188" s="26" t="str">
        <f>IF(OR(E188="",E188="!!!",F188="NEW"),"",INDEX(B187:B$2,-1+SUMPRODUCT(MAX(ROW(E187:E$2)*(E188=E187:E$2)))))</f>
        <v> </v>
      </c>
      <c r="J188" s="26" t="str">
        <f>IF(OR(E188="",E188="!!!",F188="NEW"),"",COUNTBLANK(OFFSET(A$1,,,SUMPRODUCT(MAX(ROW(E$2:E188)*(E188=E$2:E188)))))-COUNTBLANK(OFFSET(A$1,,,SUMPRODUCT(MAX(ROW(E$1:E187)*(E2=E$1:E187))))))</f>
        <v> </v>
      </c>
      <c r="K188" s="26" t="str">
        <f>IF(OR(E188="",E188="!!!",F188="NEW"),"",INDEX(J$1:J187,SUMPRODUCT(MAX(ROW(E$1:E187)*(E188=E$1:E187)))))</f>
        <v> </v>
      </c>
      <c r="L188" s="27"/>
    </row>
    <row r="189" spans="1:12">
      <c r="A189" s="20" t="s">
        <v>232</v>
      </c>
      <c r="E189" s="22">
        <f>IF(D189="?OLD","!!!","")</f>
        <v/>
      </c>
      <c r="F189" s="23" t="str">
        <f>IF(OR(E189="",E189="!!!"),"",IF(NOT(ISNA(VLOOKUP(E189,E$1:E188,1,FALSE()))),"OLD",IF(AND(E189&lt;&gt;"",E189&lt;&gt;"!!!"),"NEW","")))</f>
        <v> </v>
      </c>
      <c r="G189" s="24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5" t="str">
        <f>IF(J189&lt;&gt;1,"",IF(I189="SBJ","CB","?"))</f>
        <v> </v>
      </c>
      <c r="I189" s="26" t="str">
        <f>IF(OR(E189="",E189="!!!",F189="NEW"),"",INDEX(B188:B$2,-1+SUMPRODUCT(MAX(ROW(E188:E$2)*(E189=E188:E$2)))))</f>
        <v> </v>
      </c>
      <c r="J189" s="26" t="str">
        <f>IF(OR(E189="",E189="!!!",F189="NEW"),"",COUNTBLANK(OFFSET(A$1,,,SUMPRODUCT(MAX(ROW(E$2:E189)*(E189=E$2:E189)))))-COUNTBLANK(OFFSET(A$1,,,SUMPRODUCT(MAX(ROW(E$1:E188)*(E2=E$1:E188))))))</f>
        <v> </v>
      </c>
      <c r="K189" s="26" t="str">
        <f>IF(OR(E189="",E189="!!!",F189="NEW"),"",INDEX(J$1:J188,SUMPRODUCT(MAX(ROW(E$1:E188)*(E189=E$1:E188)))))</f>
        <v> </v>
      </c>
      <c r="L189" s="27"/>
    </row>
    <row r="190" spans="1:12">
      <c r="A190" s="20" t="s">
        <v>236</v>
      </c>
      <c r="E190" s="22">
        <f>IF(D190="?OLD","!!!","")</f>
        <v/>
      </c>
      <c r="F190" s="23" t="str">
        <f>IF(OR(E190="",E190="!!!"),"",IF(NOT(ISNA(VLOOKUP(E190,E$1:E189,1,FALSE()))),"OLD",IF(AND(E190&lt;&gt;"",E190&lt;&gt;"!!!"),"NEW","")))</f>
        <v> </v>
      </c>
      <c r="G190" s="24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5" t="str">
        <f>IF(J190&lt;&gt;1,"",IF(I190="SBJ","CB","?"))</f>
        <v> </v>
      </c>
      <c r="I190" s="26" t="str">
        <f>IF(OR(E190="",E190="!!!",F190="NEW"),"",INDEX(B189:B$2,-1+SUMPRODUCT(MAX(ROW(E189:E$2)*(E190=E189:E$2)))))</f>
        <v> </v>
      </c>
      <c r="J190" s="26" t="str">
        <f>IF(OR(E190="",E190="!!!",F190="NEW"),"",COUNTBLANK(OFFSET(A$1,,,SUMPRODUCT(MAX(ROW(E$2:E190)*(E190=E$2:E190)))))-COUNTBLANK(OFFSET(A$1,,,SUMPRODUCT(MAX(ROW(E$1:E189)*(E2=E$1:E189))))))</f>
        <v> </v>
      </c>
      <c r="K190" s="26" t="str">
        <f>IF(OR(E190="",E190="!!!",F190="NEW"),"",INDEX(J$1:J189,SUMPRODUCT(MAX(ROW(E$1:E189)*(E190=E$1:E189)))))</f>
        <v> </v>
      </c>
      <c r="L190" s="27"/>
    </row>
    <row r="191" spans="1:12">
      <c r="A191" s="20" t="s">
        <v>214</v>
      </c>
      <c r="E191" s="22">
        <f>IF(D191="?OLD","!!!","")</f>
        <v/>
      </c>
      <c r="F191" s="23" t="str">
        <f>IF(OR(E191="",E191="!!!"),"",IF(NOT(ISNA(VLOOKUP(E191,E$1:E190,1,FALSE()))),"OLD",IF(AND(E191&lt;&gt;"",E191&lt;&gt;"!!!"),"NEW","")))</f>
        <v> </v>
      </c>
      <c r="G191" s="24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5" t="str">
        <f>IF(J191&lt;&gt;1,"",IF(I191="SBJ","CB","?"))</f>
        <v> </v>
      </c>
      <c r="I191" s="26" t="str">
        <f>IF(OR(E191="",E191="!!!",F191="NEW"),"",INDEX(B190:B$2,-1+SUMPRODUCT(MAX(ROW(E190:E$2)*(E191=E190:E$2)))))</f>
        <v> </v>
      </c>
      <c r="J191" s="26" t="str">
        <f>IF(OR(E191="",E191="!!!",F191="NEW"),"",COUNTBLANK(OFFSET(A$1,,,SUMPRODUCT(MAX(ROW(E$2:E191)*(E191=E$2:E191)))))-COUNTBLANK(OFFSET(A$1,,,SUMPRODUCT(MAX(ROW(E$1:E190)*(E2=E$1:E190))))))</f>
        <v> </v>
      </c>
      <c r="K191" s="26" t="str">
        <f>IF(OR(E191="",E191="!!!",F191="NEW"),"",INDEX(J$1:J190,SUMPRODUCT(MAX(ROW(E$1:E190)*(E191=E$1:E190)))))</f>
        <v> </v>
      </c>
      <c r="L191" s="27"/>
    </row>
    <row r="192" spans="1:12">
      <c r="A192" s="20" t="s">
        <v>143</v>
      </c>
      <c r="E192" s="22">
        <f>IF(D192="?OLD","!!!","")</f>
        <v/>
      </c>
      <c r="F192" s="23" t="str">
        <f>IF(OR(E192="",E192="!!!"),"",IF(NOT(ISNA(VLOOKUP(E192,E$1:E191,1,FALSE()))),"OLD",IF(AND(E192&lt;&gt;"",E192&lt;&gt;"!!!"),"NEW","")))</f>
        <v> </v>
      </c>
      <c r="G192" s="24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5" t="str">
        <f>IF(J192&lt;&gt;1,"",IF(I192="SBJ","CB","?"))</f>
        <v> </v>
      </c>
      <c r="I192" s="26" t="str">
        <f>IF(OR(E192="",E192="!!!",F192="NEW"),"",INDEX(B191:B$2,-1+SUMPRODUCT(MAX(ROW(E191:E$2)*(E192=E191:E$2)))))</f>
        <v> </v>
      </c>
      <c r="J192" s="26" t="str">
        <f>IF(OR(E192="",E192="!!!",F192="NEW"),"",COUNTBLANK(OFFSET(A$1,,,SUMPRODUCT(MAX(ROW(E$2:E192)*(E192=E$2:E192)))))-COUNTBLANK(OFFSET(A$1,,,SUMPRODUCT(MAX(ROW(E$1:E191)*(E2=E$1:E191))))))</f>
        <v> </v>
      </c>
      <c r="K192" s="26" t="str">
        <f>IF(OR(E192="",E192="!!!",F192="NEW"),"",INDEX(J$1:J191,SUMPRODUCT(MAX(ROW(E$1:E191)*(E192=E$1:E191)))))</f>
        <v> </v>
      </c>
      <c r="L192" s="27"/>
    </row>
    <row r="193" spans="1:12">
      <c r="A193" s="20" t="s">
        <v>26</v>
      </c>
      <c r="B193" s="21" t="s">
        <v>145</v>
      </c>
      <c r="C193" s="21" t="s">
        <v>130</v>
      </c>
      <c r="D193" s="21" t="s">
        <v>131</v>
      </c>
      <c r="E193" s="22">
        <f>IF(D193="?OLD","!!!","")</f>
        <v/>
      </c>
      <c r="F193" s="23" t="str">
        <f>IF(OR(E193="",E193="!!!"),"",IF(NOT(ISNA(VLOOKUP(E193,E$1:E192,1,FALSE()))),"OLD",IF(AND(E193&lt;&gt;"",E193&lt;&gt;"!!!"),"NEW","")))</f>
        <v> </v>
      </c>
      <c r="G193" s="24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5" t="str">
        <f>IF(J193&lt;&gt;1,"",IF(I193="SBJ","CB","?"))</f>
        <v> </v>
      </c>
      <c r="I193" s="26" t="str">
        <f>IF(OR(E193="",E193="!!!",F193="NEW"),"",INDEX(B192:B$2,-1+SUMPRODUCT(MAX(ROW(E192:E$2)*(E193=E192:E$2)))))</f>
        <v> </v>
      </c>
      <c r="J193" s="26" t="str">
        <f>IF(OR(E193="",E193="!!!",F193="NEW"),"",COUNTBLANK(OFFSET(A$1,,,SUMPRODUCT(MAX(ROW(E$2:E193)*(E193=E$2:E193)))))-COUNTBLANK(OFFSET(A$1,,,SUMPRODUCT(MAX(ROW(E$1:E192)*(E2=E$1:E192))))))</f>
        <v> </v>
      </c>
      <c r="K193" s="26" t="str">
        <f>IF(OR(E193="",E193="!!!",F193="NEW"),"",INDEX(J$1:J192,SUMPRODUCT(MAX(ROW(E$1:E192)*(E193=E$1:E192)))))</f>
        <v> </v>
      </c>
      <c r="L193" s="27"/>
    </row>
    <row r="194" spans="1:12">
      <c r="A194" s="20" t="s">
        <v>148</v>
      </c>
      <c r="E194" s="22">
        <f>IF(D194="?OLD","!!!","")</f>
        <v/>
      </c>
      <c r="F194" s="23" t="str">
        <f>IF(OR(E194="",E194="!!!"),"",IF(NOT(ISNA(VLOOKUP(E194,E$1:E193,1,FALSE()))),"OLD",IF(AND(E194&lt;&gt;"",E194&lt;&gt;"!!!"),"NEW","")))</f>
        <v> </v>
      </c>
      <c r="G194" s="24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5" t="str">
        <f>IF(J194&lt;&gt;1,"",IF(I194="SBJ","CB","?"))</f>
        <v> </v>
      </c>
      <c r="I194" s="26" t="str">
        <f>IF(OR(E194="",E194="!!!",F194="NEW"),"",INDEX(B193:B$2,-1+SUMPRODUCT(MAX(ROW(E193:E$2)*(E194=E193:E$2)))))</f>
        <v> </v>
      </c>
      <c r="J194" s="26" t="str">
        <f>IF(OR(E194="",E194="!!!",F194="NEW"),"",COUNTBLANK(OFFSET(A$1,,,SUMPRODUCT(MAX(ROW(E$2:E194)*(E194=E$2:E194)))))-COUNTBLANK(OFFSET(A$1,,,SUMPRODUCT(MAX(ROW(E$1:E193)*(E2=E$1:E193))))))</f>
        <v> </v>
      </c>
      <c r="K194" s="26" t="str">
        <f>IF(OR(E194="",E194="!!!",F194="NEW"),"",INDEX(J$1:J193,SUMPRODUCT(MAX(ROW(E$1:E193)*(E194=E$1:E193)))))</f>
        <v> </v>
      </c>
      <c r="L194" s="27"/>
    </row>
    <row r="195" spans="1:12">
      <c r="A195" s="20"/>
    </row>
    <row r="196" spans="1:12">
      <c r="A196" s="20" t="s">
        <v>273</v>
      </c>
    </row>
    <row r="197" spans="1:12">
      <c r="A197" s="20" t="s">
        <v>274</v>
      </c>
      <c r="E197" s="22">
        <f>IF(D197="?OLD","!!!","")</f>
        <v/>
      </c>
      <c r="F197" s="23" t="str">
        <f>IF(OR(E197="",E197="!!!"),"",IF(NOT(ISNA(VLOOKUP(E197,E$1:E196,1,FALSE()))),"OLD",IF(AND(E197&lt;&gt;"",E197&lt;&gt;"!!!"),"NEW","")))</f>
        <v> </v>
      </c>
      <c r="G197" s="24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5" t="str">
        <f>IF(J197&lt;&gt;1,"",IF(I197="SBJ","CB","?"))</f>
        <v> </v>
      </c>
      <c r="I197" s="26" t="str">
        <f>IF(OR(E197="",E197="!!!",F197="NEW"),"",INDEX(B196:B$2,-1+SUMPRODUCT(MAX(ROW(E196:E$2)*(E197=E196:E$2)))))</f>
        <v> </v>
      </c>
      <c r="J197" s="26" t="str">
        <f>IF(OR(E197="",E197="!!!",F197="NEW"),"",COUNTBLANK(OFFSET(A$1,,,SUMPRODUCT(MAX(ROW(E$2:E197)*(E197=E$2:E197)))))-COUNTBLANK(OFFSET(A$1,,,SUMPRODUCT(MAX(ROW(E$1:E196)*(E2=E$1:E196))))))</f>
        <v> </v>
      </c>
      <c r="K197" s="26" t="str">
        <f>IF(OR(E197="",E197="!!!",F197="NEW"),"",INDEX(J$1:J196,SUMPRODUCT(MAX(ROW(E$1:E196)*(E197=E$1:E196)))))</f>
        <v> </v>
      </c>
      <c r="L197" s="27"/>
    </row>
    <row r="198" spans="1:12">
      <c r="A198" s="20" t="s">
        <v>275</v>
      </c>
      <c r="B198" s="21" t="s">
        <v>129</v>
      </c>
      <c r="C198" s="21" t="s">
        <v>137</v>
      </c>
      <c r="D198" s="21" t="s">
        <v>131</v>
      </c>
      <c r="E198" s="22">
        <f>IF(D198="?OLD","!!!","")</f>
        <v/>
      </c>
      <c r="F198" s="23" t="str">
        <f>IF(OR(E198="",E198="!!!"),"",IF(NOT(ISNA(VLOOKUP(E198,E$1:E197,1,FALSE()))),"OLD",IF(AND(E198&lt;&gt;"",E198&lt;&gt;"!!!"),"NEW","")))</f>
        <v> </v>
      </c>
      <c r="G198" s="24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5" t="str">
        <f>IF(J198&lt;&gt;1,"",IF(I198="SBJ","CB","?"))</f>
        <v> </v>
      </c>
      <c r="I198" s="26" t="str">
        <f>IF(OR(E198="",E198="!!!",F198="NEW"),"",INDEX(B197:B$2,-1+SUMPRODUCT(MAX(ROW(E197:E$2)*(E198=E197:E$2)))))</f>
        <v> </v>
      </c>
      <c r="J198" s="26" t="str">
        <f>IF(OR(E198="",E198="!!!",F198="NEW"),"",COUNTBLANK(OFFSET(A$1,,,SUMPRODUCT(MAX(ROW(E$2:E198)*(E198=E$2:E198)))))-COUNTBLANK(OFFSET(A$1,,,SUMPRODUCT(MAX(ROW(E$1:E197)*(E2=E$1:E197))))))</f>
        <v> </v>
      </c>
      <c r="K198" s="26" t="str">
        <f>IF(OR(E198="",E198="!!!",F198="NEW"),"",INDEX(J$1:J197,SUMPRODUCT(MAX(ROW(E$1:E197)*(E198=E$1:E197)))))</f>
        <v> </v>
      </c>
      <c r="L198" s="27"/>
    </row>
    <row r="199" spans="1:12">
      <c r="A199" s="20" t="s">
        <v>179</v>
      </c>
      <c r="E199" s="22">
        <f>IF(D199="?OLD","!!!","")</f>
        <v/>
      </c>
      <c r="F199" s="23" t="str">
        <f>IF(OR(E199="",E199="!!!"),"",IF(NOT(ISNA(VLOOKUP(E199,E$1:E198,1,FALSE()))),"OLD",IF(AND(E199&lt;&gt;"",E199&lt;&gt;"!!!"),"NEW","")))</f>
        <v> </v>
      </c>
      <c r="G199" s="24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5" t="str">
        <f>IF(J199&lt;&gt;1,"",IF(I199="SBJ","CB","?"))</f>
        <v> </v>
      </c>
      <c r="I199" s="26" t="str">
        <f>IF(OR(E199="",E199="!!!",F199="NEW"),"",INDEX(B198:B$2,-1+SUMPRODUCT(MAX(ROW(E198:E$2)*(E199=E198:E$2)))))</f>
        <v> </v>
      </c>
      <c r="J199" s="26" t="str">
        <f>IF(OR(E199="",E199="!!!",F199="NEW"),"",COUNTBLANK(OFFSET(A$1,,,SUMPRODUCT(MAX(ROW(E$2:E199)*(E199=E$2:E199)))))-COUNTBLANK(OFFSET(A$1,,,SUMPRODUCT(MAX(ROW(E$1:E198)*(E2=E$1:E198))))))</f>
        <v> </v>
      </c>
      <c r="K199" s="26" t="str">
        <f>IF(OR(E199="",E199="!!!",F199="NEW"),"",INDEX(J$1:J198,SUMPRODUCT(MAX(ROW(E$1:E198)*(E199=E$1:E198)))))</f>
        <v> </v>
      </c>
      <c r="L199" s="27"/>
    </row>
    <row r="200" spans="1:12">
      <c r="A200" s="20" t="s">
        <v>276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 t="s">
        <v>277</v>
      </c>
      <c r="E201" s="22">
        <f>IF(D201="?OLD","!!!","")</f>
        <v/>
      </c>
      <c r="F201" s="23" t="str">
        <f>IF(OR(E201="",E201="!!!"),"",IF(NOT(ISNA(VLOOKUP(E201,E$1:E200,1,FALSE()))),"OLD",IF(AND(E201&lt;&gt;"",E201&lt;&gt;"!!!"),"NEW","")))</f>
        <v> </v>
      </c>
      <c r="G201" s="24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5" t="str">
        <f>IF(J201&lt;&gt;1,"",IF(I201="SBJ","CB","?"))</f>
        <v> </v>
      </c>
      <c r="I201" s="26" t="str">
        <f>IF(OR(E201="",E201="!!!",F201="NEW"),"",INDEX(B200:B$2,-1+SUMPRODUCT(MAX(ROW(E200:E$2)*(E201=E200:E$2)))))</f>
        <v> </v>
      </c>
      <c r="J201" s="26" t="str">
        <f>IF(OR(E201="",E201="!!!",F201="NEW"),"",COUNTBLANK(OFFSET(A$1,,,SUMPRODUCT(MAX(ROW(E$2:E201)*(E201=E$2:E201)))))-COUNTBLANK(OFFSET(A$1,,,SUMPRODUCT(MAX(ROW(E$1:E200)*(E2=E$1:E200))))))</f>
        <v> </v>
      </c>
      <c r="K201" s="26" t="str">
        <f>IF(OR(E201="",E201="!!!",F201="NEW"),"",INDEX(J$1:J200,SUMPRODUCT(MAX(ROW(E$1:E200)*(E201=E$1:E200)))))</f>
        <v> </v>
      </c>
      <c r="L201" s="27"/>
    </row>
    <row r="202" spans="1:12">
      <c r="A202" s="20" t="s">
        <v>148</v>
      </c>
      <c r="E202" s="22">
        <f>IF(D202="?OLD","!!!","")</f>
        <v/>
      </c>
      <c r="F202" s="23" t="str">
        <f>IF(OR(E202="",E202="!!!"),"",IF(NOT(ISNA(VLOOKUP(E202,E$1:E201,1,FALSE()))),"OLD",IF(AND(E202&lt;&gt;"",E202&lt;&gt;"!!!"),"NEW","")))</f>
        <v> </v>
      </c>
      <c r="G202" s="24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5" t="str">
        <f>IF(J202&lt;&gt;1,"",IF(I202="SBJ","CB","?"))</f>
        <v> </v>
      </c>
      <c r="I202" s="26" t="str">
        <f>IF(OR(E202="",E202="!!!",F202="NEW"),"",INDEX(B201:B$2,-1+SUMPRODUCT(MAX(ROW(E201:E$2)*(E202=E201:E$2)))))</f>
        <v> </v>
      </c>
      <c r="J202" s="26" t="str">
        <f>IF(OR(E202="",E202="!!!",F202="NEW"),"",COUNTBLANK(OFFSET(A$1,,,SUMPRODUCT(MAX(ROW(E$2:E202)*(E202=E$2:E202)))))-COUNTBLANK(OFFSET(A$1,,,SUMPRODUCT(MAX(ROW(E$1:E201)*(E2=E$1:E201))))))</f>
        <v> </v>
      </c>
      <c r="K202" s="26" t="str">
        <f>IF(OR(E202="",E202="!!!",F202="NEW"),"",INDEX(J$1:J201,SUMPRODUCT(MAX(ROW(E$1:E201)*(E202=E$1:E201)))))</f>
        <v> </v>
      </c>
      <c r="L202" s="27"/>
    </row>
    <row r="203" spans="1:12">
      <c r="A203" s="20"/>
    </row>
    <row r="204" spans="1:12">
      <c r="A204" s="20" t="s">
        <v>278</v>
      </c>
    </row>
    <row r="205" spans="1:12">
      <c r="A205" s="20" t="s">
        <v>279</v>
      </c>
      <c r="E205" s="22">
        <f>IF(D205="?OLD","!!!","")</f>
        <v/>
      </c>
      <c r="F205" s="23" t="str">
        <f>IF(OR(E205="",E205="!!!"),"",IF(NOT(ISNA(VLOOKUP(E205,E$1:E204,1,FALSE()))),"OLD",IF(AND(E205&lt;&gt;"",E205&lt;&gt;"!!!"),"NEW","")))</f>
        <v> </v>
      </c>
      <c r="G205" s="24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5" t="str">
        <f>IF(J205&lt;&gt;1,"",IF(I205="SBJ","CB","?"))</f>
        <v> </v>
      </c>
      <c r="I205" s="26" t="str">
        <f>IF(OR(E205="",E205="!!!",F205="NEW"),"",INDEX(B204:B$2,-1+SUMPRODUCT(MAX(ROW(E204:E$2)*(E205=E204:E$2)))))</f>
        <v> </v>
      </c>
      <c r="J205" s="26" t="str">
        <f>IF(OR(E205="",E205="!!!",F205="NEW"),"",COUNTBLANK(OFFSET(A$1,,,SUMPRODUCT(MAX(ROW(E$2:E205)*(E205=E$2:E205)))))-COUNTBLANK(OFFSET(A$1,,,SUMPRODUCT(MAX(ROW(E$1:E204)*(E2=E$1:E204))))))</f>
        <v> </v>
      </c>
      <c r="K205" s="26" t="str">
        <f>IF(OR(E205="",E205="!!!",F205="NEW"),"",INDEX(J$1:J204,SUMPRODUCT(MAX(ROW(E$1:E204)*(E205=E$1:E204)))))</f>
        <v> </v>
      </c>
      <c r="L205" s="27"/>
    </row>
    <row r="206" spans="1:12">
      <c r="A206" s="20" t="s">
        <v>280</v>
      </c>
      <c r="E206" s="22">
        <f>IF(D206="?OLD","!!!","")</f>
        <v/>
      </c>
      <c r="F206" s="23" t="str">
        <f>IF(OR(E206="",E206="!!!"),"",IF(NOT(ISNA(VLOOKUP(E206,E$1:E205,1,FALSE()))),"OLD",IF(AND(E206&lt;&gt;"",E206&lt;&gt;"!!!"),"NEW","")))</f>
        <v> </v>
      </c>
      <c r="G206" s="24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5" t="str">
        <f>IF(J206&lt;&gt;1,"",IF(I206="SBJ","CB","?"))</f>
        <v> </v>
      </c>
      <c r="I206" s="26" t="str">
        <f>IF(OR(E206="",E206="!!!",F206="NEW"),"",INDEX(B205:B$2,-1+SUMPRODUCT(MAX(ROW(E205:E$2)*(E206=E205:E$2)))))</f>
        <v> </v>
      </c>
      <c r="J206" s="26" t="str">
        <f>IF(OR(E206="",E206="!!!",F206="NEW"),"",COUNTBLANK(OFFSET(A$1,,,SUMPRODUCT(MAX(ROW(E$2:E206)*(E206=E$2:E206)))))-COUNTBLANK(OFFSET(A$1,,,SUMPRODUCT(MAX(ROW(E$1:E205)*(E2=E$1:E205))))))</f>
        <v> </v>
      </c>
      <c r="K206" s="26" t="str">
        <f>IF(OR(E206="",E206="!!!",F206="NEW"),"",INDEX(J$1:J205,SUMPRODUCT(MAX(ROW(E$1:E205)*(E206=E$1:E205)))))</f>
        <v> </v>
      </c>
      <c r="L206" s="27"/>
    </row>
    <row r="207" spans="1:12">
      <c r="A207" s="20" t="s">
        <v>281</v>
      </c>
      <c r="B207" s="21" t="s">
        <v>129</v>
      </c>
      <c r="C207" s="21" t="s">
        <v>137</v>
      </c>
      <c r="D207" s="21" t="s">
        <v>131</v>
      </c>
      <c r="E207" s="22">
        <f>IF(D207="?OLD","!!!","")</f>
        <v/>
      </c>
      <c r="F207" s="23" t="str">
        <f>IF(OR(E207="",E207="!!!"),"",IF(NOT(ISNA(VLOOKUP(E207,E$1:E206,1,FALSE()))),"OLD",IF(AND(E207&lt;&gt;"",E207&lt;&gt;"!!!"),"NEW","")))</f>
        <v> </v>
      </c>
      <c r="G207" s="24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5" t="str">
        <f>IF(J207&lt;&gt;1,"",IF(I207="SBJ","CB","?"))</f>
        <v> </v>
      </c>
      <c r="I207" s="26" t="str">
        <f>IF(OR(E207="",E207="!!!",F207="NEW"),"",INDEX(B206:B$2,-1+SUMPRODUCT(MAX(ROW(E206:E$2)*(E207=E206:E$2)))))</f>
        <v> </v>
      </c>
      <c r="J207" s="26" t="str">
        <f>IF(OR(E207="",E207="!!!",F207="NEW"),"",COUNTBLANK(OFFSET(A$1,,,SUMPRODUCT(MAX(ROW(E$2:E207)*(E207=E$2:E207)))))-COUNTBLANK(OFFSET(A$1,,,SUMPRODUCT(MAX(ROW(E$1:E206)*(E2=E$1:E206))))))</f>
        <v> </v>
      </c>
      <c r="K207" s="26" t="str">
        <f>IF(OR(E207="",E207="!!!",F207="NEW"),"",INDEX(J$1:J206,SUMPRODUCT(MAX(ROW(E$1:E206)*(E207=E$1:E206)))))</f>
        <v> </v>
      </c>
      <c r="L207" s="27"/>
    </row>
    <row r="208" spans="1:12">
      <c r="A208" s="20" t="s">
        <v>282</v>
      </c>
      <c r="E208" s="22">
        <f>IF(D208="?OLD","!!!","")</f>
        <v/>
      </c>
      <c r="F208" s="23" t="str">
        <f>IF(OR(E208="",E208="!!!"),"",IF(NOT(ISNA(VLOOKUP(E208,E$1:E207,1,FALSE()))),"OLD",IF(AND(E208&lt;&gt;"",E208&lt;&gt;"!!!"),"NEW","")))</f>
        <v> </v>
      </c>
      <c r="G208" s="24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5" t="str">
        <f>IF(J208&lt;&gt;1,"",IF(I208="SBJ","CB","?"))</f>
        <v> </v>
      </c>
      <c r="I208" s="26" t="str">
        <f>IF(OR(E208="",E208="!!!",F208="NEW"),"",INDEX(B207:B$2,-1+SUMPRODUCT(MAX(ROW(E207:E$2)*(E208=E207:E$2)))))</f>
        <v> </v>
      </c>
      <c r="J208" s="26" t="str">
        <f>IF(OR(E208="",E208="!!!",F208="NEW"),"",COUNTBLANK(OFFSET(A$1,,,SUMPRODUCT(MAX(ROW(E$2:E208)*(E208=E$2:E208)))))-COUNTBLANK(OFFSET(A$1,,,SUMPRODUCT(MAX(ROW(E$1:E207)*(E2=E$1:E207))))))</f>
        <v> </v>
      </c>
      <c r="K208" s="26" t="str">
        <f>IF(OR(E208="",E208="!!!",F208="NEW"),"",INDEX(J$1:J207,SUMPRODUCT(MAX(ROW(E$1:E207)*(E208=E$1:E207)))))</f>
        <v> </v>
      </c>
      <c r="L208" s="27"/>
    </row>
    <row r="209" spans="1:12">
      <c r="A209" s="20" t="s">
        <v>143</v>
      </c>
      <c r="E209" s="22">
        <f>IF(D209="?OLD","!!!","")</f>
        <v/>
      </c>
      <c r="F209" s="23" t="str">
        <f>IF(OR(E209="",E209="!!!"),"",IF(NOT(ISNA(VLOOKUP(E209,E$1:E208,1,FALSE()))),"OLD",IF(AND(E209&lt;&gt;"",E209&lt;&gt;"!!!"),"NEW","")))</f>
        <v> </v>
      </c>
      <c r="G209" s="24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5" t="str">
        <f>IF(J209&lt;&gt;1,"",IF(I209="SBJ","CB","?"))</f>
        <v> </v>
      </c>
      <c r="I209" s="26" t="str">
        <f>IF(OR(E209="",E209="!!!",F209="NEW"),"",INDEX(B208:B$2,-1+SUMPRODUCT(MAX(ROW(E208:E$2)*(E209=E208:E$2)))))</f>
        <v> </v>
      </c>
      <c r="J209" s="26" t="str">
        <f>IF(OR(E209="",E209="!!!",F209="NEW"),"",COUNTBLANK(OFFSET(A$1,,,SUMPRODUCT(MAX(ROW(E$2:E209)*(E209=E$2:E209)))))-COUNTBLANK(OFFSET(A$1,,,SUMPRODUCT(MAX(ROW(E$1:E208)*(E2=E$1:E208))))))</f>
        <v> </v>
      </c>
      <c r="K209" s="26" t="str">
        <f>IF(OR(E209="",E209="!!!",F209="NEW"),"",INDEX(J$1:J208,SUMPRODUCT(MAX(ROW(E$1:E208)*(E209=E$1:E208)))))</f>
        <v> </v>
      </c>
      <c r="L209" s="27"/>
    </row>
    <row r="210" spans="1:12">
      <c r="A210" s="20" t="s">
        <v>283</v>
      </c>
      <c r="B210" s="21" t="s">
        <v>136</v>
      </c>
      <c r="C210" s="21" t="s">
        <v>137</v>
      </c>
      <c r="D210" s="21" t="s">
        <v>131</v>
      </c>
      <c r="E210" s="22">
        <f>IF(D210="?OLD","!!!","")</f>
        <v/>
      </c>
      <c r="F210" s="23" t="str">
        <f>IF(OR(E210="",E210="!!!"),"",IF(NOT(ISNA(VLOOKUP(E210,E$1:E209,1,FALSE()))),"OLD",IF(AND(E210&lt;&gt;"",E210&lt;&gt;"!!!"),"NEW","")))</f>
        <v> </v>
      </c>
      <c r="G210" s="24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5" t="str">
        <f>IF(J210&lt;&gt;1,"",IF(I210="SBJ","CB","?"))</f>
        <v> </v>
      </c>
      <c r="I210" s="26" t="str">
        <f>IF(OR(E210="",E210="!!!",F210="NEW"),"",INDEX(B209:B$2,-1+SUMPRODUCT(MAX(ROW(E209:E$2)*(E210=E209:E$2)))))</f>
        <v> </v>
      </c>
      <c r="J210" s="26" t="str">
        <f>IF(OR(E210="",E210="!!!",F210="NEW"),"",COUNTBLANK(OFFSET(A$1,,,SUMPRODUCT(MAX(ROW(E$2:E210)*(E210=E$2:E210)))))-COUNTBLANK(OFFSET(A$1,,,SUMPRODUCT(MAX(ROW(E$1:E209)*(E2=E$1:E209))))))</f>
        <v> </v>
      </c>
      <c r="K210" s="26" t="str">
        <f>IF(OR(E210="",E210="!!!",F210="NEW"),"",INDEX(J$1:J209,SUMPRODUCT(MAX(ROW(E$1:E209)*(E210=E$1:E209)))))</f>
        <v> </v>
      </c>
      <c r="L210" s="27"/>
    </row>
    <row r="211" spans="1:12">
      <c r="A211" s="20" t="s">
        <v>284</v>
      </c>
      <c r="E211" s="22">
        <f>IF(D211="?OLD","!!!","")</f>
        <v/>
      </c>
      <c r="F211" s="23" t="str">
        <f>IF(OR(E211="",E211="!!!"),"",IF(NOT(ISNA(VLOOKUP(E211,E$1:E210,1,FALSE()))),"OLD",IF(AND(E211&lt;&gt;"",E211&lt;&gt;"!!!"),"NEW","")))</f>
        <v> </v>
      </c>
      <c r="G211" s="24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5" t="str">
        <f>IF(J211&lt;&gt;1,"",IF(I211="SBJ","CB","?"))</f>
        <v> </v>
      </c>
      <c r="I211" s="26" t="str">
        <f>IF(OR(E211="",E211="!!!",F211="NEW"),"",INDEX(B210:B$2,-1+SUMPRODUCT(MAX(ROW(E210:E$2)*(E211=E210:E$2)))))</f>
        <v> </v>
      </c>
      <c r="J211" s="26" t="str">
        <f>IF(OR(E211="",E211="!!!",F211="NEW"),"",COUNTBLANK(OFFSET(A$1,,,SUMPRODUCT(MAX(ROW(E$2:E211)*(E211=E$2:E211)))))-COUNTBLANK(OFFSET(A$1,,,SUMPRODUCT(MAX(ROW(E$1:E210)*(E2=E$1:E210))))))</f>
        <v> </v>
      </c>
      <c r="K211" s="26" t="str">
        <f>IF(OR(E211="",E211="!!!",F211="NEW"),"",INDEX(J$1:J210,SUMPRODUCT(MAX(ROW(E$1:E210)*(E211=E$1:E210)))))</f>
        <v> </v>
      </c>
      <c r="L211" s="27"/>
    </row>
    <row r="212" spans="1:12">
      <c r="A212" s="20" t="s">
        <v>285</v>
      </c>
      <c r="B212" s="21" t="s">
        <v>145</v>
      </c>
      <c r="C212" s="21" t="s">
        <v>130</v>
      </c>
      <c r="D212" s="21" t="s">
        <v>131</v>
      </c>
      <c r="E212" s="22">
        <f>IF(D212="?OLD","!!!","")</f>
        <v/>
      </c>
      <c r="F212" s="23" t="str">
        <f>IF(OR(E212="",E212="!!!"),"",IF(NOT(ISNA(VLOOKUP(E212,E$1:E211,1,FALSE()))),"OLD",IF(AND(E212&lt;&gt;"",E212&lt;&gt;"!!!"),"NEW","")))</f>
        <v> </v>
      </c>
      <c r="G212" s="24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5" t="str">
        <f>IF(J212&lt;&gt;1,"",IF(I212="SBJ","CB","?"))</f>
        <v> </v>
      </c>
      <c r="I212" s="26" t="str">
        <f>IF(OR(E212="",E212="!!!",F212="NEW"),"",INDEX(B211:B$2,-1+SUMPRODUCT(MAX(ROW(E211:E$2)*(E212=E211:E$2)))))</f>
        <v> </v>
      </c>
      <c r="J212" s="26" t="str">
        <f>IF(OR(E212="",E212="!!!",F212="NEW"),"",COUNTBLANK(OFFSET(A$1,,,SUMPRODUCT(MAX(ROW(E$2:E212)*(E212=E$2:E212)))))-COUNTBLANK(OFFSET(A$1,,,SUMPRODUCT(MAX(ROW(E$1:E211)*(E2=E$1:E211))))))</f>
        <v> </v>
      </c>
      <c r="K212" s="26" t="str">
        <f>IF(OR(E212="",E212="!!!",F212="NEW"),"",INDEX(J$1:J211,SUMPRODUCT(MAX(ROW(E$1:E211)*(E212=E$1:E211)))))</f>
        <v> </v>
      </c>
      <c r="L212" s="27"/>
    </row>
    <row r="213" spans="1:12">
      <c r="A213" s="20" t="s">
        <v>156</v>
      </c>
      <c r="E213" s="22">
        <f>IF(D213="?OLD","!!!","")</f>
        <v/>
      </c>
      <c r="F213" s="23" t="str">
        <f>IF(OR(E213="",E213="!!!"),"",IF(NOT(ISNA(VLOOKUP(E213,E$1:E212,1,FALSE()))),"OLD",IF(AND(E213&lt;&gt;"",E213&lt;&gt;"!!!"),"NEW","")))</f>
        <v> </v>
      </c>
      <c r="G213" s="24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5" t="str">
        <f>IF(J213&lt;&gt;1,"",IF(I213="SBJ","CB","?"))</f>
        <v> </v>
      </c>
      <c r="I213" s="26" t="str">
        <f>IF(OR(E213="",E213="!!!",F213="NEW"),"",INDEX(B212:B$2,-1+SUMPRODUCT(MAX(ROW(E212:E$2)*(E213=E212:E$2)))))</f>
        <v> </v>
      </c>
      <c r="J213" s="26" t="str">
        <f>IF(OR(E213="",E213="!!!",F213="NEW"),"",COUNTBLANK(OFFSET(A$1,,,SUMPRODUCT(MAX(ROW(E$2:E213)*(E213=E$2:E213)))))-COUNTBLANK(OFFSET(A$1,,,SUMPRODUCT(MAX(ROW(E$1:E212)*(E2=E$1:E212))))))</f>
        <v> </v>
      </c>
      <c r="K213" s="26" t="str">
        <f>IF(OR(E213="",E213="!!!",F213="NEW"),"",INDEX(J$1:J212,SUMPRODUCT(MAX(ROW(E$1:E212)*(E213=E$1:E212)))))</f>
        <v> </v>
      </c>
      <c r="L213" s="27"/>
    </row>
    <row r="214" spans="1:12">
      <c r="A214" s="20" t="s">
        <v>143</v>
      </c>
      <c r="E214" s="22">
        <f>IF(D214="?OLD","!!!","")</f>
        <v/>
      </c>
      <c r="F214" s="23" t="str">
        <f>IF(OR(E214="",E214="!!!"),"",IF(NOT(ISNA(VLOOKUP(E214,E$1:E213,1,FALSE()))),"OLD",IF(AND(E214&lt;&gt;"",E214&lt;&gt;"!!!"),"NEW","")))</f>
        <v> </v>
      </c>
      <c r="G214" s="24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5" t="str">
        <f>IF(J214&lt;&gt;1,"",IF(I214="SBJ","CB","?"))</f>
        <v> </v>
      </c>
      <c r="I214" s="26" t="str">
        <f>IF(OR(E214="",E214="!!!",F214="NEW"),"",INDEX(B213:B$2,-1+SUMPRODUCT(MAX(ROW(E213:E$2)*(E214=E213:E$2)))))</f>
        <v> </v>
      </c>
      <c r="J214" s="26" t="str">
        <f>IF(OR(E214="",E214="!!!",F214="NEW"),"",COUNTBLANK(OFFSET(A$1,,,SUMPRODUCT(MAX(ROW(E$2:E214)*(E214=E$2:E214)))))-COUNTBLANK(OFFSET(A$1,,,SUMPRODUCT(MAX(ROW(E$1:E213)*(E2=E$1:E213))))))</f>
        <v> </v>
      </c>
      <c r="K214" s="26" t="str">
        <f>IF(OR(E214="",E214="!!!",F214="NEW"),"",INDEX(J$1:J213,SUMPRODUCT(MAX(ROW(E$1:E213)*(E214=E$1:E213)))))</f>
        <v> </v>
      </c>
      <c r="L214" s="27"/>
    </row>
    <row r="215" spans="1:12">
      <c r="A215" s="20" t="s">
        <v>286</v>
      </c>
      <c r="B215" s="21" t="s">
        <v>152</v>
      </c>
      <c r="C215" s="21" t="s">
        <v>137</v>
      </c>
      <c r="D215" s="21" t="s">
        <v>131</v>
      </c>
      <c r="E215" s="22">
        <f>IF(D215="?OLD","!!!","")</f>
        <v/>
      </c>
      <c r="F215" s="23" t="str">
        <f>IF(OR(E215="",E215="!!!"),"",IF(NOT(ISNA(VLOOKUP(E215,E$1:E214,1,FALSE()))),"OLD",IF(AND(E215&lt;&gt;"",E215&lt;&gt;"!!!"),"NEW","")))</f>
        <v> </v>
      </c>
      <c r="G215" s="24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5" t="str">
        <f>IF(J215&lt;&gt;1,"",IF(I215="SBJ","CB","?"))</f>
        <v> </v>
      </c>
      <c r="I215" s="26" t="str">
        <f>IF(OR(E215="",E215="!!!",F215="NEW"),"",INDEX(B214:B$2,-1+SUMPRODUCT(MAX(ROW(E214:E$2)*(E215=E214:E$2)))))</f>
        <v> </v>
      </c>
      <c r="J215" s="26" t="str">
        <f>IF(OR(E215="",E215="!!!",F215="NEW"),"",COUNTBLANK(OFFSET(A$1,,,SUMPRODUCT(MAX(ROW(E$2:E215)*(E215=E$2:E215)))))-COUNTBLANK(OFFSET(A$1,,,SUMPRODUCT(MAX(ROW(E$1:E214)*(E2=E$1:E214))))))</f>
        <v> </v>
      </c>
      <c r="K215" s="26" t="str">
        <f>IF(OR(E215="",E215="!!!",F215="NEW"),"",INDEX(J$1:J214,SUMPRODUCT(MAX(ROW(E$1:E214)*(E215=E$1:E214)))))</f>
        <v> </v>
      </c>
      <c r="L215" s="27"/>
    </row>
    <row r="216" spans="1:12">
      <c r="A216" s="20" t="s">
        <v>287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 t="s">
        <v>288</v>
      </c>
      <c r="E217" s="22">
        <f>IF(D217="?OLD","!!!","")</f>
        <v/>
      </c>
      <c r="F217" s="23" t="str">
        <f>IF(OR(E217="",E217="!!!"),"",IF(NOT(ISNA(VLOOKUP(E217,E$1:E216,1,FALSE()))),"OLD",IF(AND(E217&lt;&gt;"",E217&lt;&gt;"!!!"),"NEW","")))</f>
        <v> </v>
      </c>
      <c r="G217" s="24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5" t="str">
        <f>IF(J217&lt;&gt;1,"",IF(I217="SBJ","CB","?"))</f>
        <v> </v>
      </c>
      <c r="I217" s="26" t="str">
        <f>IF(OR(E217="",E217="!!!",F217="NEW"),"",INDEX(B216:B$2,-1+SUMPRODUCT(MAX(ROW(E216:E$2)*(E217=E216:E$2)))))</f>
        <v> </v>
      </c>
      <c r="J217" s="26" t="str">
        <f>IF(OR(E217="",E217="!!!",F217="NEW"),"",COUNTBLANK(OFFSET(A$1,,,SUMPRODUCT(MAX(ROW(E$2:E217)*(E217=E$2:E217)))))-COUNTBLANK(OFFSET(A$1,,,SUMPRODUCT(MAX(ROW(E$1:E216)*(E2=E$1:E216))))))</f>
        <v> </v>
      </c>
      <c r="K217" s="26" t="str">
        <f>IF(OR(E217="",E217="!!!",F217="NEW"),"",INDEX(J$1:J216,SUMPRODUCT(MAX(ROW(E$1:E216)*(E217=E$1:E216)))))</f>
        <v> </v>
      </c>
      <c r="L217" s="27"/>
    </row>
    <row r="218" spans="1:12">
      <c r="A218" s="20" t="s">
        <v>289</v>
      </c>
      <c r="B218" s="21" t="s">
        <v>145</v>
      </c>
      <c r="C218" s="21" t="s">
        <v>155</v>
      </c>
      <c r="E218" s="22">
        <f>IF(D218="?OLD","!!!","")</f>
        <v/>
      </c>
      <c r="F218" s="23" t="str">
        <f>IF(OR(E218="",E218="!!!"),"",IF(NOT(ISNA(VLOOKUP(E218,E$1:E217,1,FALSE()))),"OLD",IF(AND(E218&lt;&gt;"",E218&lt;&gt;"!!!"),"NEW","")))</f>
        <v> </v>
      </c>
      <c r="G218" s="24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5" t="str">
        <f>IF(J218&lt;&gt;1,"",IF(I218="SBJ","CB","?"))</f>
        <v> </v>
      </c>
      <c r="I218" s="26" t="str">
        <f>IF(OR(E218="",E218="!!!",F218="NEW"),"",INDEX(B217:B$2,-1+SUMPRODUCT(MAX(ROW(E217:E$2)*(E218=E217:E$2)))))</f>
        <v> </v>
      </c>
      <c r="J218" s="26" t="str">
        <f>IF(OR(E218="",E218="!!!",F218="NEW"),"",COUNTBLANK(OFFSET(A$1,,,SUMPRODUCT(MAX(ROW(E$2:E218)*(E218=E$2:E218)))))-COUNTBLANK(OFFSET(A$1,,,SUMPRODUCT(MAX(ROW(E$1:E217)*(E2=E$1:E217))))))</f>
        <v> </v>
      </c>
      <c r="K218" s="26" t="str">
        <f>IF(OR(E218="",E218="!!!",F218="NEW"),"",INDEX(J$1:J217,SUMPRODUCT(MAX(ROW(E$1:E217)*(E218=E$1:E217)))))</f>
        <v> </v>
      </c>
      <c r="L218" s="27"/>
    </row>
    <row r="219" spans="1:12">
      <c r="A219" s="20" t="s">
        <v>134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 t="s">
        <v>188</v>
      </c>
      <c r="E220" s="22">
        <f>IF(D220="?OLD","!!!","")</f>
        <v/>
      </c>
      <c r="F220" s="23" t="str">
        <f>IF(OR(E220="",E220="!!!"),"",IF(NOT(ISNA(VLOOKUP(E220,E$1:E219,1,FALSE()))),"OLD",IF(AND(E220&lt;&gt;"",E220&lt;&gt;"!!!"),"NEW","")))</f>
        <v> </v>
      </c>
      <c r="G220" s="24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5" t="str">
        <f>IF(J220&lt;&gt;1,"",IF(I220="SBJ","CB","?"))</f>
        <v> </v>
      </c>
      <c r="I220" s="26" t="str">
        <f>IF(OR(E220="",E220="!!!",F220="NEW"),"",INDEX(B219:B$2,-1+SUMPRODUCT(MAX(ROW(E219:E$2)*(E220=E219:E$2)))))</f>
        <v> </v>
      </c>
      <c r="J220" s="26" t="str">
        <f>IF(OR(E220="",E220="!!!",F220="NEW"),"",COUNTBLANK(OFFSET(A$1,,,SUMPRODUCT(MAX(ROW(E$2:E220)*(E220=E$2:E220)))))-COUNTBLANK(OFFSET(A$1,,,SUMPRODUCT(MAX(ROW(E$1:E219)*(E2=E$1:E219))))))</f>
        <v> </v>
      </c>
      <c r="K220" s="26" t="str">
        <f>IF(OR(E220="",E220="!!!",F220="NEW"),"",INDEX(J$1:J219,SUMPRODUCT(MAX(ROW(E$1:E219)*(E220=E$1:E219)))))</f>
        <v> </v>
      </c>
      <c r="L220" s="27"/>
    </row>
    <row r="221" spans="1:12">
      <c r="A221" s="20" t="s">
        <v>135</v>
      </c>
      <c r="B221" s="21" t="s">
        <v>136</v>
      </c>
      <c r="C221" s="21" t="s">
        <v>130</v>
      </c>
      <c r="D221" s="21" t="s">
        <v>131</v>
      </c>
      <c r="E221" s="22">
        <f>IF(D221="?OLD","!!!","")</f>
        <v/>
      </c>
      <c r="F221" s="23" t="str">
        <f>IF(OR(E221="",E221="!!!"),"",IF(NOT(ISNA(VLOOKUP(E221,E$1:E220,1,FALSE()))),"OLD",IF(AND(E221&lt;&gt;"",E221&lt;&gt;"!!!"),"NEW","")))</f>
        <v> </v>
      </c>
      <c r="G221" s="24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5" t="str">
        <f>IF(J221&lt;&gt;1,"",IF(I221="SBJ","CB","?"))</f>
        <v> </v>
      </c>
      <c r="I221" s="26" t="str">
        <f>IF(OR(E221="",E221="!!!",F221="NEW"),"",INDEX(B220:B$2,-1+SUMPRODUCT(MAX(ROW(E220:E$2)*(E221=E220:E$2)))))</f>
        <v> </v>
      </c>
      <c r="J221" s="26" t="str">
        <f>IF(OR(E221="",E221="!!!",F221="NEW"),"",COUNTBLANK(OFFSET(A$1,,,SUMPRODUCT(MAX(ROW(E$2:E221)*(E221=E$2:E221)))))-COUNTBLANK(OFFSET(A$1,,,SUMPRODUCT(MAX(ROW(E$1:E220)*(E2=E$1:E220))))))</f>
        <v> </v>
      </c>
      <c r="K221" s="26" t="str">
        <f>IF(OR(E221="",E221="!!!",F221="NEW"),"",INDEX(J$1:J220,SUMPRODUCT(MAX(ROW(E$1:E220)*(E221=E$1:E220)))))</f>
        <v> </v>
      </c>
      <c r="L221" s="27"/>
    </row>
    <row r="222" spans="1:12">
      <c r="A222" s="20" t="s">
        <v>148</v>
      </c>
      <c r="E222" s="22">
        <f>IF(D222="?OLD","!!!","")</f>
        <v/>
      </c>
      <c r="F222" s="23" t="str">
        <f>IF(OR(E222="",E222="!!!"),"",IF(NOT(ISNA(VLOOKUP(E222,E$1:E221,1,FALSE()))),"OLD",IF(AND(E222&lt;&gt;"",E222&lt;&gt;"!!!"),"NEW","")))</f>
        <v> </v>
      </c>
      <c r="G222" s="24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5" t="str">
        <f>IF(J222&lt;&gt;1,"",IF(I222="SBJ","CB","?"))</f>
        <v> </v>
      </c>
      <c r="I222" s="26" t="str">
        <f>IF(OR(E222="",E222="!!!",F222="NEW"),"",INDEX(B221:B$2,-1+SUMPRODUCT(MAX(ROW(E221:E$2)*(E222=E221:E$2)))))</f>
        <v> </v>
      </c>
      <c r="J222" s="26" t="str">
        <f>IF(OR(E222="",E222="!!!",F222="NEW"),"",COUNTBLANK(OFFSET(A$1,,,SUMPRODUCT(MAX(ROW(E$2:E222)*(E222=E$2:E222)))))-COUNTBLANK(OFFSET(A$1,,,SUMPRODUCT(MAX(ROW(E$1:E221)*(E2=E$1:E221))))))</f>
        <v> </v>
      </c>
      <c r="K222" s="26" t="str">
        <f>IF(OR(E222="",E222="!!!",F222="NEW"),"",INDEX(J$1:J221,SUMPRODUCT(MAX(ROW(E$1:E221)*(E222=E$1:E221)))))</f>
        <v> </v>
      </c>
      <c r="L222" s="27"/>
    </row>
    <row r="223" spans="1:12">
      <c r="A223" s="20"/>
    </row>
    <row r="224" spans="1:12">
      <c r="A224" s="20" t="s">
        <v>290</v>
      </c>
    </row>
    <row r="225" spans="1:12">
      <c r="A225" s="20" t="s">
        <v>150</v>
      </c>
      <c r="E225" s="22">
        <f>IF(D225="?OLD","!!!","")</f>
        <v/>
      </c>
      <c r="F225" s="23" t="str">
        <f>IF(OR(E225="",E225="!!!"),"",IF(NOT(ISNA(VLOOKUP(E225,E$1:E224,1,FALSE()))),"OLD",IF(AND(E225&lt;&gt;"",E225&lt;&gt;"!!!"),"NEW","")))</f>
        <v> </v>
      </c>
      <c r="G225" s="24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5" t="str">
        <f>IF(J225&lt;&gt;1,"",IF(I225="SBJ","CB","?"))</f>
        <v> </v>
      </c>
      <c r="I225" s="26" t="str">
        <f>IF(OR(E225="",E225="!!!",F225="NEW"),"",INDEX(B224:B$2,-1+SUMPRODUCT(MAX(ROW(E224:E$2)*(E225=E224:E$2)))))</f>
        <v> </v>
      </c>
      <c r="J225" s="26" t="str">
        <f>IF(OR(E225="",E225="!!!",F225="NEW"),"",COUNTBLANK(OFFSET(A$1,,,SUMPRODUCT(MAX(ROW(E$2:E225)*(E225=E$2:E225)))))-COUNTBLANK(OFFSET(A$1,,,SUMPRODUCT(MAX(ROW(E$1:E224)*(E2=E$1:E224))))))</f>
        <v> </v>
      </c>
      <c r="K225" s="26" t="str">
        <f>IF(OR(E225="",E225="!!!",F225="NEW"),"",INDEX(J$1:J224,SUMPRODUCT(MAX(ROW(E$1:E224)*(E225=E$1:E224)))))</f>
        <v> </v>
      </c>
      <c r="L225" s="27"/>
    </row>
    <row r="226" spans="1:12">
      <c r="A226" s="20" t="s">
        <v>291</v>
      </c>
      <c r="B226" s="21" t="s">
        <v>152</v>
      </c>
      <c r="C226" s="21" t="s">
        <v>207</v>
      </c>
      <c r="E226" s="22">
        <f>IF(D226="?OLD","!!!","")</f>
        <v/>
      </c>
      <c r="F226" s="23" t="str">
        <f>IF(OR(E226="",E226="!!!"),"",IF(NOT(ISNA(VLOOKUP(E226,E$1:E225,1,FALSE()))),"OLD",IF(AND(E226&lt;&gt;"",E226&lt;&gt;"!!!"),"NEW","")))</f>
        <v> </v>
      </c>
      <c r="G226" s="24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5" t="str">
        <f>IF(J226&lt;&gt;1,"",IF(I226="SBJ","CB","?"))</f>
        <v> </v>
      </c>
      <c r="I226" s="26" t="str">
        <f>IF(OR(E226="",E226="!!!",F226="NEW"),"",INDEX(B225:B$2,-1+SUMPRODUCT(MAX(ROW(E225:E$2)*(E226=E225:E$2)))))</f>
        <v> </v>
      </c>
      <c r="J226" s="26" t="str">
        <f>IF(OR(E226="",E226="!!!",F226="NEW"),"",COUNTBLANK(OFFSET(A$1,,,SUMPRODUCT(MAX(ROW(E$2:E226)*(E226=E$2:E226)))))-COUNTBLANK(OFFSET(A$1,,,SUMPRODUCT(MAX(ROW(E$1:E225)*(E2=E$1:E225))))))</f>
        <v> </v>
      </c>
      <c r="K226" s="26" t="str">
        <f>IF(OR(E226="",E226="!!!",F226="NEW"),"",INDEX(J$1:J225,SUMPRODUCT(MAX(ROW(E$1:E225)*(E226=E$1:E225)))))</f>
        <v> </v>
      </c>
      <c r="L226" s="27"/>
    </row>
    <row r="227" spans="1:12">
      <c r="A227" s="20" t="s">
        <v>292</v>
      </c>
      <c r="E227" s="22">
        <f>IF(D227="?OLD","!!!","")</f>
        <v/>
      </c>
      <c r="F227" s="23" t="str">
        <f>IF(OR(E227="",E227="!!!"),"",IF(NOT(ISNA(VLOOKUP(E227,E$1:E226,1,FALSE()))),"OLD",IF(AND(E227&lt;&gt;"",E227&lt;&gt;"!!!"),"NEW","")))</f>
        <v> </v>
      </c>
      <c r="G227" s="24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5" t="str">
        <f>IF(J227&lt;&gt;1,"",IF(I227="SBJ","CB","?"))</f>
        <v> </v>
      </c>
      <c r="I227" s="26" t="str">
        <f>IF(OR(E227="",E227="!!!",F227="NEW"),"",INDEX(B226:B$2,-1+SUMPRODUCT(MAX(ROW(E226:E$2)*(E227=E226:E$2)))))</f>
        <v> </v>
      </c>
      <c r="J227" s="26" t="str">
        <f>IF(OR(E227="",E227="!!!",F227="NEW"),"",COUNTBLANK(OFFSET(A$1,,,SUMPRODUCT(MAX(ROW(E$2:E227)*(E227=E$2:E227)))))-COUNTBLANK(OFFSET(A$1,,,SUMPRODUCT(MAX(ROW(E$1:E226)*(E2=E$1:E226))))))</f>
        <v> </v>
      </c>
      <c r="K227" s="26" t="str">
        <f>IF(OR(E227="",E227="!!!",F227="NEW"),"",INDEX(J$1:J226,SUMPRODUCT(MAX(ROW(E$1:E226)*(E227=E$1:E226)))))</f>
        <v> </v>
      </c>
      <c r="L227" s="27"/>
    </row>
    <row r="228" spans="1:12">
      <c r="A228" s="20" t="s">
        <v>180</v>
      </c>
      <c r="B228" s="21" t="s">
        <v>129</v>
      </c>
      <c r="C228" s="21" t="s">
        <v>181</v>
      </c>
      <c r="D228" s="21" t="s">
        <v>131</v>
      </c>
      <c r="E228" s="22">
        <f>IF(D228="?OLD","!!!","")</f>
        <v/>
      </c>
      <c r="F228" s="23" t="str">
        <f>IF(OR(E228="",E228="!!!"),"",IF(NOT(ISNA(VLOOKUP(E228,E$1:E227,1,FALSE()))),"OLD",IF(AND(E228&lt;&gt;"",E228&lt;&gt;"!!!"),"NEW","")))</f>
        <v> </v>
      </c>
      <c r="G228" s="24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5" t="str">
        <f>IF(J228&lt;&gt;1,"",IF(I228="SBJ","CB","?"))</f>
        <v> </v>
      </c>
      <c r="I228" s="26" t="str">
        <f>IF(OR(E228="",E228="!!!",F228="NEW"),"",INDEX(B227:B$2,-1+SUMPRODUCT(MAX(ROW(E227:E$2)*(E228=E227:E$2)))))</f>
        <v> </v>
      </c>
      <c r="J228" s="26" t="str">
        <f>IF(OR(E228="",E228="!!!",F228="NEW"),"",COUNTBLANK(OFFSET(A$1,,,SUMPRODUCT(MAX(ROW(E$2:E228)*(E228=E$2:E228)))))-COUNTBLANK(OFFSET(A$1,,,SUMPRODUCT(MAX(ROW(E$1:E227)*(E2=E$1:E227))))))</f>
        <v> </v>
      </c>
      <c r="K228" s="26" t="str">
        <f>IF(OR(E228="",E228="!!!",F228="NEW"),"",INDEX(J$1:J227,SUMPRODUCT(MAX(ROW(E$1:E227)*(E228=E$1:E227)))))</f>
        <v> </v>
      </c>
      <c r="L228" s="27"/>
    </row>
    <row r="229" spans="1:12">
      <c r="A229" s="20" t="s">
        <v>143</v>
      </c>
      <c r="E229" s="22">
        <f>IF(D229="?OLD","!!!","")</f>
        <v/>
      </c>
      <c r="F229" s="23" t="str">
        <f>IF(OR(E229="",E229="!!!"),"",IF(NOT(ISNA(VLOOKUP(E229,E$1:E228,1,FALSE()))),"OLD",IF(AND(E229&lt;&gt;"",E229&lt;&gt;"!!!"),"NEW","")))</f>
        <v> </v>
      </c>
      <c r="G229" s="24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5" t="str">
        <f>IF(J229&lt;&gt;1,"",IF(I229="SBJ","CB","?"))</f>
        <v> </v>
      </c>
      <c r="I229" s="26" t="str">
        <f>IF(OR(E229="",E229="!!!",F229="NEW"),"",INDEX(B228:B$2,-1+SUMPRODUCT(MAX(ROW(E228:E$2)*(E229=E228:E$2)))))</f>
        <v> </v>
      </c>
      <c r="J229" s="26" t="str">
        <f>IF(OR(E229="",E229="!!!",F229="NEW"),"",COUNTBLANK(OFFSET(A$1,,,SUMPRODUCT(MAX(ROW(E$2:E229)*(E229=E$2:E229)))))-COUNTBLANK(OFFSET(A$1,,,SUMPRODUCT(MAX(ROW(E$1:E228)*(E2=E$1:E228))))))</f>
        <v> </v>
      </c>
      <c r="K229" s="26" t="str">
        <f>IF(OR(E229="",E229="!!!",F229="NEW"),"",INDEX(J$1:J228,SUMPRODUCT(MAX(ROW(E$1:E228)*(E229=E$1:E228)))))</f>
        <v> </v>
      </c>
      <c r="L229" s="27"/>
    </row>
    <row r="230" spans="1:12">
      <c r="A230" s="20" t="s">
        <v>293</v>
      </c>
      <c r="E230" s="22">
        <f>IF(D230="?OLD","!!!","")</f>
        <v/>
      </c>
      <c r="F230" s="23" t="str">
        <f>IF(OR(E230="",E230="!!!"),"",IF(NOT(ISNA(VLOOKUP(E230,E$1:E229,1,FALSE()))),"OLD",IF(AND(E230&lt;&gt;"",E230&lt;&gt;"!!!"),"NEW","")))</f>
        <v> </v>
      </c>
      <c r="G230" s="24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5" t="str">
        <f>IF(J230&lt;&gt;1,"",IF(I230="SBJ","CB","?"))</f>
        <v> </v>
      </c>
      <c r="I230" s="26" t="str">
        <f>IF(OR(E230="",E230="!!!",F230="NEW"),"",INDEX(B229:B$2,-1+SUMPRODUCT(MAX(ROW(E229:E$2)*(E230=E229:E$2)))))</f>
        <v> </v>
      </c>
      <c r="J230" s="26" t="str">
        <f>IF(OR(E230="",E230="!!!",F230="NEW"),"",COUNTBLANK(OFFSET(A$1,,,SUMPRODUCT(MAX(ROW(E$2:E230)*(E230=E$2:E230)))))-COUNTBLANK(OFFSET(A$1,,,SUMPRODUCT(MAX(ROW(E$1:E229)*(E2=E$1:E229))))))</f>
        <v> </v>
      </c>
      <c r="K230" s="26" t="str">
        <f>IF(OR(E230="",E230="!!!",F230="NEW"),"",INDEX(J$1:J229,SUMPRODUCT(MAX(ROW(E$1:E229)*(E230=E$1:E229)))))</f>
        <v> </v>
      </c>
      <c r="L230" s="27"/>
    </row>
    <row r="231" spans="1:12">
      <c r="A231" s="20" t="s">
        <v>294</v>
      </c>
      <c r="B231" s="21" t="s">
        <v>136</v>
      </c>
      <c r="C231" s="21" t="s">
        <v>137</v>
      </c>
      <c r="D231" s="21" t="s">
        <v>131</v>
      </c>
      <c r="E231" s="22">
        <f>IF(D231="?OLD","!!!","")</f>
        <v/>
      </c>
      <c r="F231" s="23" t="str">
        <f>IF(OR(E231="",E231="!!!"),"",IF(NOT(ISNA(VLOOKUP(E231,E$1:E230,1,FALSE()))),"OLD",IF(AND(E231&lt;&gt;"",E231&lt;&gt;"!!!"),"NEW","")))</f>
        <v> </v>
      </c>
      <c r="G231" s="24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5" t="str">
        <f>IF(J231&lt;&gt;1,"",IF(I231="SBJ","CB","?"))</f>
        <v> </v>
      </c>
      <c r="I231" s="26" t="str">
        <f>IF(OR(E231="",E231="!!!",F231="NEW"),"",INDEX(B230:B$2,-1+SUMPRODUCT(MAX(ROW(E230:E$2)*(E231=E230:E$2)))))</f>
        <v> </v>
      </c>
      <c r="J231" s="26" t="str">
        <f>IF(OR(E231="",E231="!!!",F231="NEW"),"",COUNTBLANK(OFFSET(A$1,,,SUMPRODUCT(MAX(ROW(E$2:E231)*(E231=E$2:E231)))))-COUNTBLANK(OFFSET(A$1,,,SUMPRODUCT(MAX(ROW(E$1:E230)*(E2=E$1:E230))))))</f>
        <v> </v>
      </c>
      <c r="K231" s="26" t="str">
        <f>IF(OR(E231="",E231="!!!",F231="NEW"),"",INDEX(J$1:J230,SUMPRODUCT(MAX(ROW(E$1:E230)*(E231=E$1:E230)))))</f>
        <v> </v>
      </c>
      <c r="L231" s="27"/>
    </row>
    <row r="232" spans="1:12">
      <c r="A232" s="20" t="s">
        <v>264</v>
      </c>
      <c r="E232" s="22">
        <f>IF(D232="?OLD","!!!","")</f>
        <v/>
      </c>
      <c r="F232" s="23" t="str">
        <f>IF(OR(E232="",E232="!!!"),"",IF(NOT(ISNA(VLOOKUP(E232,E$1:E231,1,FALSE()))),"OLD",IF(AND(E232&lt;&gt;"",E232&lt;&gt;"!!!"),"NEW","")))</f>
        <v> </v>
      </c>
      <c r="G232" s="24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5" t="str">
        <f>IF(J232&lt;&gt;1,"",IF(I232="SBJ","CB","?"))</f>
        <v> </v>
      </c>
      <c r="I232" s="26" t="str">
        <f>IF(OR(E232="",E232="!!!",F232="NEW"),"",INDEX(B231:B$2,-1+SUMPRODUCT(MAX(ROW(E231:E$2)*(E232=E231:E$2)))))</f>
        <v> </v>
      </c>
      <c r="J232" s="26" t="str">
        <f>IF(OR(E232="",E232="!!!",F232="NEW"),"",COUNTBLANK(OFFSET(A$1,,,SUMPRODUCT(MAX(ROW(E$2:E232)*(E232=E$2:E232)))))-COUNTBLANK(OFFSET(A$1,,,SUMPRODUCT(MAX(ROW(E$1:E231)*(E2=E$1:E231))))))</f>
        <v> </v>
      </c>
      <c r="K232" s="26" t="str">
        <f>IF(OR(E232="",E232="!!!",F232="NEW"),"",INDEX(J$1:J231,SUMPRODUCT(MAX(ROW(E$1:E231)*(E232=E$1:E231)))))</f>
        <v> </v>
      </c>
      <c r="L232" s="27"/>
    </row>
    <row r="233" spans="1:12">
      <c r="A233" s="20" t="s">
        <v>148</v>
      </c>
      <c r="E233" s="22">
        <f>IF(D233="?OLD","!!!","")</f>
        <v/>
      </c>
      <c r="F233" s="23" t="str">
        <f>IF(OR(E233="",E233="!!!"),"",IF(NOT(ISNA(VLOOKUP(E233,E$1:E232,1,FALSE()))),"OLD",IF(AND(E233&lt;&gt;"",E233&lt;&gt;"!!!"),"NEW","")))</f>
        <v> </v>
      </c>
      <c r="G233" s="24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5" t="str">
        <f>IF(J233&lt;&gt;1,"",IF(I233="SBJ","CB","?"))</f>
        <v> </v>
      </c>
      <c r="I233" s="26" t="str">
        <f>IF(OR(E233="",E233="!!!",F233="NEW"),"",INDEX(B232:B$2,-1+SUMPRODUCT(MAX(ROW(E232:E$2)*(E233=E232:E$2)))))</f>
        <v> </v>
      </c>
      <c r="J233" s="26" t="str">
        <f>IF(OR(E233="",E233="!!!",F233="NEW"),"",COUNTBLANK(OFFSET(A$1,,,SUMPRODUCT(MAX(ROW(E$2:E233)*(E233=E$2:E233)))))-COUNTBLANK(OFFSET(A$1,,,SUMPRODUCT(MAX(ROW(E$1:E232)*(E2=E$1:E232))))))</f>
        <v> </v>
      </c>
      <c r="K233" s="26" t="str">
        <f>IF(OR(E233="",E233="!!!",F233="NEW"),"",INDEX(J$1:J232,SUMPRODUCT(MAX(ROW(E$1:E232)*(E233=E$1:E232)))))</f>
        <v> </v>
      </c>
      <c r="L233" s="27"/>
    </row>
    <row r="234" spans="1:12">
      <c r="A234" s="20"/>
    </row>
    <row r="235" spans="1:12">
      <c r="A235" s="20" t="s">
        <v>295</v>
      </c>
    </row>
    <row r="236" spans="1:12">
      <c r="A236" s="20" t="s">
        <v>65</v>
      </c>
      <c r="B236" s="21" t="s">
        <v>152</v>
      </c>
      <c r="C236" s="21" t="s">
        <v>130</v>
      </c>
      <c r="D236" s="21" t="s">
        <v>131</v>
      </c>
      <c r="E236" s="22">
        <f>IF(D236="?OLD","!!!","")</f>
        <v/>
      </c>
      <c r="F236" s="23" t="str">
        <f>IF(OR(E236="",E236="!!!"),"",IF(NOT(ISNA(VLOOKUP(E236,E$1:E235,1,FALSE()))),"OLD",IF(AND(E236&lt;&gt;"",E236&lt;&gt;"!!!"),"NEW","")))</f>
        <v> </v>
      </c>
      <c r="G236" s="24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5" t="str">
        <f>IF(J236&lt;&gt;1,"",IF(I236="SBJ","CB","?"))</f>
        <v> </v>
      </c>
      <c r="I236" s="26" t="str">
        <f>IF(OR(E236="",E236="!!!",F236="NEW"),"",INDEX(B235:B$2,-1+SUMPRODUCT(MAX(ROW(E235:E$2)*(E236=E235:E$2)))))</f>
        <v> </v>
      </c>
      <c r="J236" s="26" t="str">
        <f>IF(OR(E236="",E236="!!!",F236="NEW"),"",COUNTBLANK(OFFSET(A$1,,,SUMPRODUCT(MAX(ROW(E$2:E236)*(E236=E$2:E236)))))-COUNTBLANK(OFFSET(A$1,,,SUMPRODUCT(MAX(ROW(E$1:E235)*(E2=E$1:E235))))))</f>
        <v> </v>
      </c>
      <c r="K236" s="26" t="str">
        <f>IF(OR(E236="",E236="!!!",F236="NEW"),"",INDEX(J$1:J235,SUMPRODUCT(MAX(ROW(E$1:E235)*(E236=E$1:E235)))))</f>
        <v> </v>
      </c>
      <c r="L236" s="27"/>
    </row>
    <row r="237" spans="1:12">
      <c r="A237" s="20" t="s">
        <v>198</v>
      </c>
      <c r="E237" s="22">
        <f>IF(D237="?OLD","!!!","")</f>
        <v/>
      </c>
      <c r="F237" s="23" t="str">
        <f>IF(OR(E237="",E237="!!!"),"",IF(NOT(ISNA(VLOOKUP(E237,E$1:E236,1,FALSE()))),"OLD",IF(AND(E237&lt;&gt;"",E237&lt;&gt;"!!!"),"NEW","")))</f>
        <v> </v>
      </c>
      <c r="G237" s="24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5" t="str">
        <f>IF(J237&lt;&gt;1,"",IF(I237="SBJ","CB","?"))</f>
        <v> </v>
      </c>
      <c r="I237" s="26" t="str">
        <f>IF(OR(E237="",E237="!!!",F237="NEW"),"",INDEX(B236:B$2,-1+SUMPRODUCT(MAX(ROW(E236:E$2)*(E237=E236:E$2)))))</f>
        <v> </v>
      </c>
      <c r="J237" s="26" t="str">
        <f>IF(OR(E237="",E237="!!!",F237="NEW"),"",COUNTBLANK(OFFSET(A$1,,,SUMPRODUCT(MAX(ROW(E$2:E237)*(E237=E$2:E237)))))-COUNTBLANK(OFFSET(A$1,,,SUMPRODUCT(MAX(ROW(E$1:E236)*(E2=E$1:E236))))))</f>
        <v> </v>
      </c>
      <c r="K237" s="26" t="str">
        <f>IF(OR(E237="",E237="!!!",F237="NEW"),"",INDEX(J$1:J236,SUMPRODUCT(MAX(ROW(E$1:E236)*(E237=E$1:E236)))))</f>
        <v> </v>
      </c>
      <c r="L237" s="27"/>
    </row>
    <row r="238" spans="1:12">
      <c r="A238" s="20" t="s">
        <v>296</v>
      </c>
      <c r="B238" s="21" t="s">
        <v>152</v>
      </c>
      <c r="C238" s="21" t="s">
        <v>130</v>
      </c>
      <c r="D238" s="21" t="s">
        <v>131</v>
      </c>
      <c r="E238" s="22">
        <f>IF(D238="?OLD","!!!","")</f>
        <v/>
      </c>
      <c r="F238" s="23" t="str">
        <f>IF(OR(E238="",E238="!!!"),"",IF(NOT(ISNA(VLOOKUP(E238,E$1:E237,1,FALSE()))),"OLD",IF(AND(E238&lt;&gt;"",E238&lt;&gt;"!!!"),"NEW","")))</f>
        <v> </v>
      </c>
      <c r="G238" s="24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5" t="str">
        <f>IF(J238&lt;&gt;1,"",IF(I238="SBJ","CB","?"))</f>
        <v> </v>
      </c>
      <c r="I238" s="26" t="str">
        <f>IF(OR(E238="",E238="!!!",F238="NEW"),"",INDEX(B237:B$2,-1+SUMPRODUCT(MAX(ROW(E237:E$2)*(E238=E237:E$2)))))</f>
        <v> </v>
      </c>
      <c r="J238" s="26" t="str">
        <f>IF(OR(E238="",E238="!!!",F238="NEW"),"",COUNTBLANK(OFFSET(A$1,,,SUMPRODUCT(MAX(ROW(E$2:E238)*(E238=E$2:E238)))))-COUNTBLANK(OFFSET(A$1,,,SUMPRODUCT(MAX(ROW(E$1:E237)*(E2=E$1:E237))))))</f>
        <v> </v>
      </c>
      <c r="K238" s="26" t="str">
        <f>IF(OR(E238="",E238="!!!",F238="NEW"),"",INDEX(J$1:J237,SUMPRODUCT(MAX(ROW(E$1:E237)*(E238=E$1:E237)))))</f>
        <v> </v>
      </c>
      <c r="L238" s="27"/>
    </row>
    <row r="239" spans="1:12">
      <c r="A239" s="20" t="s">
        <v>297</v>
      </c>
      <c r="E239" s="22">
        <f>IF(D239="?OLD","!!!","")</f>
        <v/>
      </c>
      <c r="F239" s="23" t="str">
        <f>IF(OR(E239="",E239="!!!"),"",IF(NOT(ISNA(VLOOKUP(E239,E$1:E238,1,FALSE()))),"OLD",IF(AND(E239&lt;&gt;"",E239&lt;&gt;"!!!"),"NEW","")))</f>
        <v> </v>
      </c>
      <c r="G239" s="24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5" t="str">
        <f>IF(J239&lt;&gt;1,"",IF(I239="SBJ","CB","?"))</f>
        <v> </v>
      </c>
      <c r="I239" s="26" t="str">
        <f>IF(OR(E239="",E239="!!!",F239="NEW"),"",INDEX(B238:B$2,-1+SUMPRODUCT(MAX(ROW(E238:E$2)*(E239=E238:E$2)))))</f>
        <v> </v>
      </c>
      <c r="J239" s="26" t="str">
        <f>IF(OR(E239="",E239="!!!",F239="NEW"),"",COUNTBLANK(OFFSET(A$1,,,SUMPRODUCT(MAX(ROW(E$2:E239)*(E239=E$2:E239)))))-COUNTBLANK(OFFSET(A$1,,,SUMPRODUCT(MAX(ROW(E$1:E238)*(E2=E$1:E238))))))</f>
        <v> </v>
      </c>
      <c r="K239" s="26" t="str">
        <f>IF(OR(E239="",E239="!!!",F239="NEW"),"",INDEX(J$1:J238,SUMPRODUCT(MAX(ROW(E$1:E238)*(E239=E$1:E238)))))</f>
        <v> </v>
      </c>
      <c r="L239" s="27"/>
    </row>
    <row r="240" spans="1:12">
      <c r="A240" s="20" t="s">
        <v>198</v>
      </c>
      <c r="E240" s="22">
        <f>IF(D240="?OLD","!!!","")</f>
        <v/>
      </c>
      <c r="F240" s="23" t="str">
        <f>IF(OR(E240="",E240="!!!"),"",IF(NOT(ISNA(VLOOKUP(E240,E$1:E239,1,FALSE()))),"OLD",IF(AND(E240&lt;&gt;"",E240&lt;&gt;"!!!"),"NEW","")))</f>
        <v> </v>
      </c>
      <c r="G240" s="24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5" t="str">
        <f>IF(J240&lt;&gt;1,"",IF(I240="SBJ","CB","?"))</f>
        <v> </v>
      </c>
      <c r="I240" s="26" t="str">
        <f>IF(OR(E240="",E240="!!!",F240="NEW"),"",INDEX(B239:B$2,-1+SUMPRODUCT(MAX(ROW(E239:E$2)*(E240=E239:E$2)))))</f>
        <v> </v>
      </c>
      <c r="J240" s="26" t="str">
        <f>IF(OR(E240="",E240="!!!",F240="NEW"),"",COUNTBLANK(OFFSET(A$1,,,SUMPRODUCT(MAX(ROW(E$2:E240)*(E240=E$2:E240)))))-COUNTBLANK(OFFSET(A$1,,,SUMPRODUCT(MAX(ROW(E$1:E239)*(E2=E$1:E239))))))</f>
        <v> </v>
      </c>
      <c r="K240" s="26" t="str">
        <f>IF(OR(E240="",E240="!!!",F240="NEW"),"",INDEX(J$1:J239,SUMPRODUCT(MAX(ROW(E$1:E239)*(E240=E$1:E239)))))</f>
        <v> </v>
      </c>
      <c r="L240" s="27"/>
    </row>
    <row r="241" spans="1:12">
      <c r="A241" s="20" t="s">
        <v>298</v>
      </c>
      <c r="B241" s="21" t="s">
        <v>152</v>
      </c>
      <c r="C241" s="21" t="s">
        <v>130</v>
      </c>
      <c r="D241" s="21" t="s">
        <v>131</v>
      </c>
      <c r="E241" s="22">
        <f>IF(D241="?OLD","!!!","")</f>
        <v/>
      </c>
      <c r="F241" s="23" t="str">
        <f>IF(OR(E241="",E241="!!!"),"",IF(NOT(ISNA(VLOOKUP(E241,E$1:E240,1,FALSE()))),"OLD",IF(AND(E241&lt;&gt;"",E241&lt;&gt;"!!!"),"NEW","")))</f>
        <v> </v>
      </c>
      <c r="G241" s="24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5" t="str">
        <f>IF(J241&lt;&gt;1,"",IF(I241="SBJ","CB","?"))</f>
        <v> </v>
      </c>
      <c r="I241" s="26" t="str">
        <f>IF(OR(E241="",E241="!!!",F241="NEW"),"",INDEX(B240:B$2,-1+SUMPRODUCT(MAX(ROW(E240:E$2)*(E241=E240:E$2)))))</f>
        <v> </v>
      </c>
      <c r="J241" s="26" t="str">
        <f>IF(OR(E241="",E241="!!!",F241="NEW"),"",COUNTBLANK(OFFSET(A$1,,,SUMPRODUCT(MAX(ROW(E$2:E241)*(E241=E$2:E241)))))-COUNTBLANK(OFFSET(A$1,,,SUMPRODUCT(MAX(ROW(E$1:E240)*(E2=E$1:E240))))))</f>
        <v> </v>
      </c>
      <c r="K241" s="26" t="str">
        <f>IF(OR(E241="",E241="!!!",F241="NEW"),"",INDEX(J$1:J240,SUMPRODUCT(MAX(ROW(E$1:E240)*(E241=E$1:E240)))))</f>
        <v> </v>
      </c>
      <c r="L241" s="27"/>
    </row>
    <row r="242" spans="1:12">
      <c r="A242" s="20" t="s">
        <v>12</v>
      </c>
      <c r="E242" s="22">
        <f>IF(D242="?OLD","!!!","")</f>
        <v/>
      </c>
      <c r="F242" s="23" t="str">
        <f>IF(OR(E242="",E242="!!!"),"",IF(NOT(ISNA(VLOOKUP(E242,E$1:E241,1,FALSE()))),"OLD",IF(AND(E242&lt;&gt;"",E242&lt;&gt;"!!!"),"NEW","")))</f>
        <v> </v>
      </c>
      <c r="G242" s="24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5" t="str">
        <f>IF(J242&lt;&gt;1,"",IF(I242="SBJ","CB","?"))</f>
        <v> </v>
      </c>
      <c r="I242" s="26" t="str">
        <f>IF(OR(E242="",E242="!!!",F242="NEW"),"",INDEX(B241:B$2,-1+SUMPRODUCT(MAX(ROW(E241:E$2)*(E242=E241:E$2)))))</f>
        <v> </v>
      </c>
      <c r="J242" s="26" t="str">
        <f>IF(OR(E242="",E242="!!!",F242="NEW"),"",COUNTBLANK(OFFSET(A$1,,,SUMPRODUCT(MAX(ROW(E$2:E242)*(E242=E$2:E242)))))-COUNTBLANK(OFFSET(A$1,,,SUMPRODUCT(MAX(ROW(E$1:E241)*(E2=E$1:E241))))))</f>
        <v> </v>
      </c>
      <c r="K242" s="26" t="str">
        <f>IF(OR(E242="",E242="!!!",F242="NEW"),"",INDEX(J$1:J241,SUMPRODUCT(MAX(ROW(E$1:E241)*(E242=E$1:E241)))))</f>
        <v> </v>
      </c>
      <c r="L242" s="27"/>
    </row>
    <row r="243" spans="1:12">
      <c r="A243" s="20" t="s">
        <v>299</v>
      </c>
      <c r="E243" s="22">
        <f>IF(D243="?OLD","!!!","")</f>
        <v/>
      </c>
      <c r="F243" s="23" t="str">
        <f>IF(OR(E243="",E243="!!!"),"",IF(NOT(ISNA(VLOOKUP(E243,E$1:E242,1,FALSE()))),"OLD",IF(AND(E243&lt;&gt;"",E243&lt;&gt;"!!!"),"NEW","")))</f>
        <v> </v>
      </c>
      <c r="G243" s="24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5" t="str">
        <f>IF(J243&lt;&gt;1,"",IF(I243="SBJ","CB","?"))</f>
        <v> </v>
      </c>
      <c r="I243" s="26" t="str">
        <f>IF(OR(E243="",E243="!!!",F243="NEW"),"",INDEX(B242:B$2,-1+SUMPRODUCT(MAX(ROW(E242:E$2)*(E243=E242:E$2)))))</f>
        <v> </v>
      </c>
      <c r="J243" s="26" t="str">
        <f>IF(OR(E243="",E243="!!!",F243="NEW"),"",COUNTBLANK(OFFSET(A$1,,,SUMPRODUCT(MAX(ROW(E$2:E243)*(E243=E$2:E243)))))-COUNTBLANK(OFFSET(A$1,,,SUMPRODUCT(MAX(ROW(E$1:E242)*(E2=E$1:E242))))))</f>
        <v> </v>
      </c>
      <c r="K243" s="26" t="str">
        <f>IF(OR(E243="",E243="!!!",F243="NEW"),"",INDEX(J$1:J242,SUMPRODUCT(MAX(ROW(E$1:E242)*(E243=E$1:E242)))))</f>
        <v> </v>
      </c>
      <c r="L243" s="27"/>
    </row>
    <row r="244" spans="1:12">
      <c r="A244" s="20" t="s">
        <v>12</v>
      </c>
      <c r="E244" s="22">
        <f>IF(D244="?OLD","!!!","")</f>
        <v/>
      </c>
      <c r="F244" s="23" t="str">
        <f>IF(OR(E244="",E244="!!!"),"",IF(NOT(ISNA(VLOOKUP(E244,E$1:E243,1,FALSE()))),"OLD",IF(AND(E244&lt;&gt;"",E244&lt;&gt;"!!!"),"NEW","")))</f>
        <v> </v>
      </c>
      <c r="G244" s="24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5" t="str">
        <f>IF(J244&lt;&gt;1,"",IF(I244="SBJ","CB","?"))</f>
        <v> </v>
      </c>
      <c r="I244" s="26" t="str">
        <f>IF(OR(E244="",E244="!!!",F244="NEW"),"",INDEX(B243:B$2,-1+SUMPRODUCT(MAX(ROW(E243:E$2)*(E244=E243:E$2)))))</f>
        <v> </v>
      </c>
      <c r="J244" s="26" t="str">
        <f>IF(OR(E244="",E244="!!!",F244="NEW"),"",COUNTBLANK(OFFSET(A$1,,,SUMPRODUCT(MAX(ROW(E$2:E244)*(E244=E$2:E244)))))-COUNTBLANK(OFFSET(A$1,,,SUMPRODUCT(MAX(ROW(E$1:E243)*(E2=E$1:E243))))))</f>
        <v> </v>
      </c>
      <c r="K244" s="26" t="str">
        <f>IF(OR(E244="",E244="!!!",F244="NEW"),"",INDEX(J$1:J243,SUMPRODUCT(MAX(ROW(E$1:E243)*(E244=E$1:E243)))))</f>
        <v> </v>
      </c>
      <c r="L244" s="27"/>
    </row>
    <row r="245" spans="1:12">
      <c r="A245" s="20" t="s">
        <v>300</v>
      </c>
      <c r="E245" s="22">
        <f>IF(D245="?OLD","!!!","")</f>
        <v/>
      </c>
      <c r="F245" s="23" t="str">
        <f>IF(OR(E245="",E245="!!!"),"",IF(NOT(ISNA(VLOOKUP(E245,E$1:E244,1,FALSE()))),"OLD",IF(AND(E245&lt;&gt;"",E245&lt;&gt;"!!!"),"NEW","")))</f>
        <v> </v>
      </c>
      <c r="G245" s="24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5" t="str">
        <f>IF(J245&lt;&gt;1,"",IF(I245="SBJ","CB","?"))</f>
        <v> </v>
      </c>
      <c r="I245" s="26" t="str">
        <f>IF(OR(E245="",E245="!!!",F245="NEW"),"",INDEX(B244:B$2,-1+SUMPRODUCT(MAX(ROW(E244:E$2)*(E245=E244:E$2)))))</f>
        <v> </v>
      </c>
      <c r="J245" s="26" t="str">
        <f>IF(OR(E245="",E245="!!!",F245="NEW"),"",COUNTBLANK(OFFSET(A$1,,,SUMPRODUCT(MAX(ROW(E$2:E245)*(E245=E$2:E245)))))-COUNTBLANK(OFFSET(A$1,,,SUMPRODUCT(MAX(ROW(E$1:E244)*(E2=E$1:E244))))))</f>
        <v> </v>
      </c>
      <c r="K245" s="26" t="str">
        <f>IF(OR(E245="",E245="!!!",F245="NEW"),"",INDEX(J$1:J244,SUMPRODUCT(MAX(ROW(E$1:E244)*(E245=E$1:E244)))))</f>
        <v> </v>
      </c>
      <c r="L245" s="27"/>
    </row>
    <row r="246" spans="1:12">
      <c r="A246" s="20" t="s">
        <v>301</v>
      </c>
      <c r="E246" s="22">
        <f>IF(D246="?OLD","!!!","")</f>
        <v/>
      </c>
      <c r="F246" s="23" t="str">
        <f>IF(OR(E246="",E246="!!!"),"",IF(NOT(ISNA(VLOOKUP(E246,E$1:E245,1,FALSE()))),"OLD",IF(AND(E246&lt;&gt;"",E246&lt;&gt;"!!!"),"NEW","")))</f>
        <v> </v>
      </c>
      <c r="G246" s="24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5" t="str">
        <f>IF(J246&lt;&gt;1,"",IF(I246="SBJ","CB","?"))</f>
        <v> </v>
      </c>
      <c r="I246" s="26" t="str">
        <f>IF(OR(E246="",E246="!!!",F246="NEW"),"",INDEX(B245:B$2,-1+SUMPRODUCT(MAX(ROW(E245:E$2)*(E246=E245:E$2)))))</f>
        <v> </v>
      </c>
      <c r="J246" s="26" t="str">
        <f>IF(OR(E246="",E246="!!!",F246="NEW"),"",COUNTBLANK(OFFSET(A$1,,,SUMPRODUCT(MAX(ROW(E$2:E246)*(E246=E$2:E246)))))-COUNTBLANK(OFFSET(A$1,,,SUMPRODUCT(MAX(ROW(E$1:E245)*(E2=E$1:E245))))))</f>
        <v> </v>
      </c>
      <c r="K246" s="26" t="str">
        <f>IF(OR(E246="",E246="!!!",F246="NEW"),"",INDEX(J$1:J245,SUMPRODUCT(MAX(ROW(E$1:E245)*(E246=E$1:E245)))))</f>
        <v> </v>
      </c>
      <c r="L246" s="27"/>
    </row>
    <row r="247" spans="1:12">
      <c r="A247" s="20" t="s">
        <v>302</v>
      </c>
      <c r="E247" s="22">
        <f>IF(D247="?OLD","!!!","")</f>
        <v/>
      </c>
      <c r="F247" s="23" t="str">
        <f>IF(OR(E247="",E247="!!!"),"",IF(NOT(ISNA(VLOOKUP(E247,E$1:E246,1,FALSE()))),"OLD",IF(AND(E247&lt;&gt;"",E247&lt;&gt;"!!!"),"NEW","")))</f>
        <v> </v>
      </c>
      <c r="G247" s="24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5" t="str">
        <f>IF(J247&lt;&gt;1,"",IF(I247="SBJ","CB","?"))</f>
        <v> </v>
      </c>
      <c r="I247" s="26" t="str">
        <f>IF(OR(E247="",E247="!!!",F247="NEW"),"",INDEX(B246:B$2,-1+SUMPRODUCT(MAX(ROW(E246:E$2)*(E247=E246:E$2)))))</f>
        <v> </v>
      </c>
      <c r="J247" s="26" t="str">
        <f>IF(OR(E247="",E247="!!!",F247="NEW"),"",COUNTBLANK(OFFSET(A$1,,,SUMPRODUCT(MAX(ROW(E$2:E247)*(E247=E$2:E247)))))-COUNTBLANK(OFFSET(A$1,,,SUMPRODUCT(MAX(ROW(E$1:E246)*(E2=E$1:E246))))))</f>
        <v> </v>
      </c>
      <c r="K247" s="26" t="str">
        <f>IF(OR(E247="",E247="!!!",F247="NEW"),"",INDEX(J$1:J246,SUMPRODUCT(MAX(ROW(E$1:E246)*(E247=E$1:E246)))))</f>
        <v> </v>
      </c>
      <c r="L247" s="27"/>
    </row>
    <row r="248" spans="1:12">
      <c r="A248" s="20" t="s">
        <v>303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 t="s">
        <v>304</v>
      </c>
      <c r="E249" s="22">
        <f>IF(D249="?OLD","!!!","")</f>
        <v/>
      </c>
      <c r="F249" s="23" t="str">
        <f>IF(OR(E249="",E249="!!!"),"",IF(NOT(ISNA(VLOOKUP(E249,E$1:E248,1,FALSE()))),"OLD",IF(AND(E249&lt;&gt;"",E249&lt;&gt;"!!!"),"NEW","")))</f>
        <v> </v>
      </c>
      <c r="G249" s="24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5" t="str">
        <f>IF(J249&lt;&gt;1,"",IF(I249="SBJ","CB","?"))</f>
        <v> </v>
      </c>
      <c r="I249" s="26" t="str">
        <f>IF(OR(E249="",E249="!!!",F249="NEW"),"",INDEX(B248:B$2,-1+SUMPRODUCT(MAX(ROW(E248:E$2)*(E249=E248:E$2)))))</f>
        <v> </v>
      </c>
      <c r="J249" s="26" t="str">
        <f>IF(OR(E249="",E249="!!!",F249="NEW"),"",COUNTBLANK(OFFSET(A$1,,,SUMPRODUCT(MAX(ROW(E$2:E249)*(E249=E$2:E249)))))-COUNTBLANK(OFFSET(A$1,,,SUMPRODUCT(MAX(ROW(E$1:E248)*(E2=E$1:E248))))))</f>
        <v> </v>
      </c>
      <c r="K249" s="26" t="str">
        <f>IF(OR(E249="",E249="!!!",F249="NEW"),"",INDEX(J$1:J248,SUMPRODUCT(MAX(ROW(E$1:E248)*(E249=E$1:E248)))))</f>
        <v> </v>
      </c>
      <c r="L249" s="27"/>
    </row>
    <row r="250" spans="1:12">
      <c r="A250" s="20"/>
    </row>
    <row r="251" spans="1:12">
      <c r="A251" s="20" t="s">
        <v>305</v>
      </c>
    </row>
    <row r="252" spans="1:12">
      <c r="A252" s="20" t="s">
        <v>306</v>
      </c>
      <c r="E252" s="22">
        <f>IF(D252="?OLD","!!!","")</f>
        <v/>
      </c>
      <c r="F252" s="23" t="str">
        <f>IF(OR(E252="",E252="!!!"),"",IF(NOT(ISNA(VLOOKUP(E252,E$1:E251,1,FALSE()))),"OLD",IF(AND(E252&lt;&gt;"",E252&lt;&gt;"!!!"),"NEW","")))</f>
        <v> </v>
      </c>
      <c r="G252" s="24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5" t="str">
        <f>IF(J252&lt;&gt;1,"",IF(I252="SBJ","CB","?"))</f>
        <v> </v>
      </c>
      <c r="I252" s="26" t="str">
        <f>IF(OR(E252="",E252="!!!",F252="NEW"),"",INDEX(B251:B$2,-1+SUMPRODUCT(MAX(ROW(E251:E$2)*(E252=E251:E$2)))))</f>
        <v> </v>
      </c>
      <c r="J252" s="26" t="str">
        <f>IF(OR(E252="",E252="!!!",F252="NEW"),"",COUNTBLANK(OFFSET(A$1,,,SUMPRODUCT(MAX(ROW(E$2:E252)*(E252=E$2:E252)))))-COUNTBLANK(OFFSET(A$1,,,SUMPRODUCT(MAX(ROW(E$1:E251)*(E2=E$1:E251))))))</f>
        <v> </v>
      </c>
      <c r="K252" s="26" t="str">
        <f>IF(OR(E252="",E252="!!!",F252="NEW"),"",INDEX(J$1:J251,SUMPRODUCT(MAX(ROW(E$1:E251)*(E252=E$1:E251)))))</f>
        <v> </v>
      </c>
      <c r="L252" s="27"/>
    </row>
    <row r="253" spans="1:12">
      <c r="A253" s="20" t="s">
        <v>134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307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308</v>
      </c>
      <c r="B255" s="21" t="s">
        <v>129</v>
      </c>
      <c r="C255" s="21" t="s">
        <v>137</v>
      </c>
      <c r="D255" s="21" t="s">
        <v>131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 t="s">
        <v>309</v>
      </c>
      <c r="E256" s="22">
        <f>IF(D256="?OLD","!!!","")</f>
        <v/>
      </c>
      <c r="F256" s="23" t="str">
        <f>IF(OR(E256="",E256="!!!"),"",IF(NOT(ISNA(VLOOKUP(E256,E$1:E255,1,FALSE()))),"OLD",IF(AND(E256&lt;&gt;"",E256&lt;&gt;"!!!"),"NEW","")))</f>
        <v> </v>
      </c>
      <c r="G256" s="24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5" t="str">
        <f>IF(J256&lt;&gt;1,"",IF(I256="SBJ","CB","?"))</f>
        <v> </v>
      </c>
      <c r="I256" s="26" t="str">
        <f>IF(OR(E256="",E256="!!!",F256="NEW"),"",INDEX(B255:B$2,-1+SUMPRODUCT(MAX(ROW(E255:E$2)*(E256=E255:E$2)))))</f>
        <v> </v>
      </c>
      <c r="J256" s="26" t="str">
        <f>IF(OR(E256="",E256="!!!",F256="NEW"),"",COUNTBLANK(OFFSET(A$1,,,SUMPRODUCT(MAX(ROW(E$2:E256)*(E256=E$2:E256)))))-COUNTBLANK(OFFSET(A$1,,,SUMPRODUCT(MAX(ROW(E$1:E255)*(E2=E$1:E255))))))</f>
        <v> </v>
      </c>
      <c r="K256" s="26" t="str">
        <f>IF(OR(E256="",E256="!!!",F256="NEW"),"",INDEX(J$1:J255,SUMPRODUCT(MAX(ROW(E$1:E255)*(E256=E$1:E255)))))</f>
        <v> </v>
      </c>
      <c r="L256" s="27"/>
    </row>
    <row r="257" spans="1:12">
      <c r="A257" s="20" t="s">
        <v>310</v>
      </c>
      <c r="B257" s="21" t="s">
        <v>136</v>
      </c>
      <c r="C257" s="21" t="s">
        <v>181</v>
      </c>
      <c r="D257" s="21" t="s">
        <v>131</v>
      </c>
      <c r="E257" s="22">
        <f>IF(D257="?OLD","!!!","")</f>
        <v/>
      </c>
      <c r="F257" s="23" t="str">
        <f>IF(OR(E257="",E257="!!!"),"",IF(NOT(ISNA(VLOOKUP(E257,E$1:E256,1,FALSE()))),"OLD",IF(AND(E257&lt;&gt;"",E257&lt;&gt;"!!!"),"NEW","")))</f>
        <v> </v>
      </c>
      <c r="G257" s="24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5" t="str">
        <f>IF(J257&lt;&gt;1,"",IF(I257="SBJ","CB","?"))</f>
        <v> </v>
      </c>
      <c r="I257" s="26" t="str">
        <f>IF(OR(E257="",E257="!!!",F257="NEW"),"",INDEX(B256:B$2,-1+SUMPRODUCT(MAX(ROW(E256:E$2)*(E257=E256:E$2)))))</f>
        <v> </v>
      </c>
      <c r="J257" s="26" t="str">
        <f>IF(OR(E257="",E257="!!!",F257="NEW"),"",COUNTBLANK(OFFSET(A$1,,,SUMPRODUCT(MAX(ROW(E$2:E257)*(E257=E$2:E257)))))-COUNTBLANK(OFFSET(A$1,,,SUMPRODUCT(MAX(ROW(E$1:E256)*(E2=E$1:E256))))))</f>
        <v> </v>
      </c>
      <c r="K257" s="26" t="str">
        <f>IF(OR(E257="",E257="!!!",F257="NEW"),"",INDEX(J$1:J256,SUMPRODUCT(MAX(ROW(E$1:E256)*(E257=E$1:E256)))))</f>
        <v> </v>
      </c>
      <c r="L257" s="27"/>
    </row>
    <row r="258" spans="1:12">
      <c r="A258" s="20" t="s">
        <v>237</v>
      </c>
      <c r="E258" s="22">
        <f>IF(D258="?OLD","!!!","")</f>
        <v/>
      </c>
      <c r="F258" s="23" t="str">
        <f>IF(OR(E258="",E258="!!!"),"",IF(NOT(ISNA(VLOOKUP(E258,E$1:E257,1,FALSE()))),"OLD",IF(AND(E258&lt;&gt;"",E258&lt;&gt;"!!!"),"NEW","")))</f>
        <v> </v>
      </c>
      <c r="G258" s="24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5" t="str">
        <f>IF(J258&lt;&gt;1,"",IF(I258="SBJ","CB","?"))</f>
        <v> </v>
      </c>
      <c r="I258" s="26" t="str">
        <f>IF(OR(E258="",E258="!!!",F258="NEW"),"",INDEX(B257:B$2,-1+SUMPRODUCT(MAX(ROW(E257:E$2)*(E258=E257:E$2)))))</f>
        <v> </v>
      </c>
      <c r="J258" s="26" t="str">
        <f>IF(OR(E258="",E258="!!!",F258="NEW"),"",COUNTBLANK(OFFSET(A$1,,,SUMPRODUCT(MAX(ROW(E$2:E258)*(E258=E$2:E258)))))-COUNTBLANK(OFFSET(A$1,,,SUMPRODUCT(MAX(ROW(E$1:E257)*(E2=E$1:E257))))))</f>
        <v> </v>
      </c>
      <c r="K258" s="26" t="str">
        <f>IF(OR(E258="",E258="!!!",F258="NEW"),"",INDEX(J$1:J257,SUMPRODUCT(MAX(ROW(E$1:E257)*(E258=E$1:E257)))))</f>
        <v> </v>
      </c>
      <c r="L258" s="27"/>
    </row>
    <row r="259" spans="1:12">
      <c r="A259" s="20" t="s">
        <v>311</v>
      </c>
      <c r="E259" s="22">
        <f>IF(D259="?OLD","!!!","")</f>
        <v/>
      </c>
      <c r="F259" s="23" t="str">
        <f>IF(OR(E259="",E259="!!!"),"",IF(NOT(ISNA(VLOOKUP(E259,E$1:E258,1,FALSE()))),"OLD",IF(AND(E259&lt;&gt;"",E259&lt;&gt;"!!!"),"NEW","")))</f>
        <v> </v>
      </c>
      <c r="G259" s="24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5" t="str">
        <f>IF(J259&lt;&gt;1,"",IF(I259="SBJ","CB","?"))</f>
        <v> </v>
      </c>
      <c r="I259" s="26" t="str">
        <f>IF(OR(E259="",E259="!!!",F259="NEW"),"",INDEX(B258:B$2,-1+SUMPRODUCT(MAX(ROW(E258:E$2)*(E259=E258:E$2)))))</f>
        <v> </v>
      </c>
      <c r="J259" s="26" t="str">
        <f>IF(OR(E259="",E259="!!!",F259="NEW"),"",COUNTBLANK(OFFSET(A$1,,,SUMPRODUCT(MAX(ROW(E$2:E259)*(E259=E$2:E259)))))-COUNTBLANK(OFFSET(A$1,,,SUMPRODUCT(MAX(ROW(E$1:E258)*(E2=E$1:E258))))))</f>
        <v> </v>
      </c>
      <c r="K259" s="26" t="str">
        <f>IF(OR(E259="",E259="!!!",F259="NEW"),"",INDEX(J$1:J258,SUMPRODUCT(MAX(ROW(E$1:E258)*(E259=E$1:E258)))))</f>
        <v> </v>
      </c>
      <c r="L259" s="27"/>
    </row>
    <row r="260" spans="1:12">
      <c r="A260" s="20" t="s">
        <v>148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/>
    </row>
    <row r="262" spans="1:12">
      <c r="A262" s="20" t="s">
        <v>312</v>
      </c>
    </row>
    <row r="263" spans="1:12">
      <c r="A263" s="20" t="s">
        <v>132</v>
      </c>
      <c r="B263" s="21" t="s">
        <v>129</v>
      </c>
      <c r="C263" s="21" t="s">
        <v>207</v>
      </c>
      <c r="E263" s="22">
        <f>IF(D263="?OLD","!!!","")</f>
        <v/>
      </c>
      <c r="F263" s="23" t="str">
        <f>IF(OR(E263="",E263="!!!"),"",IF(NOT(ISNA(VLOOKUP(E263,E$1:E262,1,FALSE()))),"OLD",IF(AND(E263&lt;&gt;"",E263&lt;&gt;"!!!"),"NEW","")))</f>
        <v> </v>
      </c>
      <c r="G263" s="24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5" t="str">
        <f>IF(J263&lt;&gt;1,"",IF(I263="SBJ","CB","?"))</f>
        <v> </v>
      </c>
      <c r="I263" s="26" t="str">
        <f>IF(OR(E263="",E263="!!!",F263="NEW"),"",INDEX(B262:B$2,-1+SUMPRODUCT(MAX(ROW(E262:E$2)*(E263=E262:E$2)))))</f>
        <v> </v>
      </c>
      <c r="J263" s="26" t="str">
        <f>IF(OR(E263="",E263="!!!",F263="NEW"),"",COUNTBLANK(OFFSET(A$1,,,SUMPRODUCT(MAX(ROW(E$2:E263)*(E263=E$2:E263)))))-COUNTBLANK(OFFSET(A$1,,,SUMPRODUCT(MAX(ROW(E$1:E262)*(E2=E$1:E262))))))</f>
        <v> </v>
      </c>
      <c r="K263" s="26" t="str">
        <f>IF(OR(E263="",E263="!!!",F263="NEW"),"",INDEX(J$1:J262,SUMPRODUCT(MAX(ROW(E$1:E262)*(E263=E$1:E262)))))</f>
        <v> </v>
      </c>
      <c r="L263" s="27"/>
    </row>
    <row r="264" spans="1:12">
      <c r="A264" s="20" t="s">
        <v>313</v>
      </c>
      <c r="E264" s="22">
        <f>IF(D264="?OLD","!!!","")</f>
        <v/>
      </c>
      <c r="F264" s="23" t="str">
        <f>IF(OR(E264="",E264="!!!"),"",IF(NOT(ISNA(VLOOKUP(E264,E$1:E263,1,FALSE()))),"OLD",IF(AND(E264&lt;&gt;"",E264&lt;&gt;"!!!"),"NEW","")))</f>
        <v> </v>
      </c>
      <c r="G264" s="24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5" t="str">
        <f>IF(J264&lt;&gt;1,"",IF(I264="SBJ","CB","?"))</f>
        <v> </v>
      </c>
      <c r="I264" s="26" t="str">
        <f>IF(OR(E264="",E264="!!!",F264="NEW"),"",INDEX(B263:B$2,-1+SUMPRODUCT(MAX(ROW(E263:E$2)*(E264=E263:E$2)))))</f>
        <v> </v>
      </c>
      <c r="J264" s="26" t="str">
        <f>IF(OR(E264="",E264="!!!",F264="NEW"),"",COUNTBLANK(OFFSET(A$1,,,SUMPRODUCT(MAX(ROW(E$2:E264)*(E264=E$2:E264)))))-COUNTBLANK(OFFSET(A$1,,,SUMPRODUCT(MAX(ROW(E$1:E263)*(E2=E$1:E263))))))</f>
        <v> </v>
      </c>
      <c r="K264" s="26" t="str">
        <f>IF(OR(E264="",E264="!!!",F264="NEW"),"",INDEX(J$1:J263,SUMPRODUCT(MAX(ROW(E$1:E263)*(E264=E$1:E263)))))</f>
        <v> </v>
      </c>
      <c r="L264" s="27"/>
    </row>
    <row r="265" spans="1:12">
      <c r="A265" s="20" t="s">
        <v>248</v>
      </c>
      <c r="E265" s="22">
        <f>IF(D265="?OLD","!!!","")</f>
        <v/>
      </c>
      <c r="F265" s="23" t="str">
        <f>IF(OR(E265="",E265="!!!"),"",IF(NOT(ISNA(VLOOKUP(E265,E$1:E264,1,FALSE()))),"OLD",IF(AND(E265&lt;&gt;"",E265&lt;&gt;"!!!"),"NEW","")))</f>
        <v> </v>
      </c>
      <c r="G265" s="24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5" t="str">
        <f>IF(J265&lt;&gt;1,"",IF(I265="SBJ","CB","?"))</f>
        <v> </v>
      </c>
      <c r="I265" s="26" t="str">
        <f>IF(OR(E265="",E265="!!!",F265="NEW"),"",INDEX(B264:B$2,-1+SUMPRODUCT(MAX(ROW(E264:E$2)*(E265=E264:E$2)))))</f>
        <v> </v>
      </c>
      <c r="J265" s="26" t="str">
        <f>IF(OR(E265="",E265="!!!",F265="NEW"),"",COUNTBLANK(OFFSET(A$1,,,SUMPRODUCT(MAX(ROW(E$2:E265)*(E265=E$2:E265)))))-COUNTBLANK(OFFSET(A$1,,,SUMPRODUCT(MAX(ROW(E$1:E264)*(E2=E$1:E264))))))</f>
        <v> </v>
      </c>
      <c r="K265" s="26" t="str">
        <f>IF(OR(E265="",E265="!!!",F265="NEW"),"",INDEX(J$1:J264,SUMPRODUCT(MAX(ROW(E$1:E264)*(E265=E$1:E264)))))</f>
        <v> </v>
      </c>
      <c r="L265" s="27"/>
    </row>
    <row r="266" spans="1:12">
      <c r="A266" s="20" t="s">
        <v>72</v>
      </c>
      <c r="E266" s="22">
        <f>IF(D266="?OLD","!!!","")</f>
        <v/>
      </c>
      <c r="F266" s="23" t="str">
        <f>IF(OR(E266="",E266="!!!"),"",IF(NOT(ISNA(VLOOKUP(E266,E$1:E265,1,FALSE()))),"OLD",IF(AND(E266&lt;&gt;"",E266&lt;&gt;"!!!"),"NEW","")))</f>
        <v> </v>
      </c>
      <c r="G266" s="24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5" t="str">
        <f>IF(J266&lt;&gt;1,"",IF(I266="SBJ","CB","?"))</f>
        <v> </v>
      </c>
      <c r="I266" s="26" t="str">
        <f>IF(OR(E266="",E266="!!!",F266="NEW"),"",INDEX(B265:B$2,-1+SUMPRODUCT(MAX(ROW(E265:E$2)*(E266=E265:E$2)))))</f>
        <v> </v>
      </c>
      <c r="J266" s="26" t="str">
        <f>IF(OR(E266="",E266="!!!",F266="NEW"),"",COUNTBLANK(OFFSET(A$1,,,SUMPRODUCT(MAX(ROW(E$2:E266)*(E266=E$2:E266)))))-COUNTBLANK(OFFSET(A$1,,,SUMPRODUCT(MAX(ROW(E$1:E265)*(E2=E$1:E265))))))</f>
        <v> </v>
      </c>
      <c r="K266" s="26" t="str">
        <f>IF(OR(E266="",E266="!!!",F266="NEW"),"",INDEX(J$1:J265,SUMPRODUCT(MAX(ROW(E$1:E265)*(E266=E$1:E265)))))</f>
        <v> </v>
      </c>
      <c r="L266" s="27"/>
    </row>
    <row r="267" spans="1:12">
      <c r="A267" s="20" t="s">
        <v>148</v>
      </c>
      <c r="E267" s="22">
        <f>IF(D267="?OLD","!!!","")</f>
        <v/>
      </c>
      <c r="F267" s="23" t="str">
        <f>IF(OR(E267="",E267="!!!"),"",IF(NOT(ISNA(VLOOKUP(E267,E$1:E266,1,FALSE()))),"OLD",IF(AND(E267&lt;&gt;"",E267&lt;&gt;"!!!"),"NEW","")))</f>
        <v> </v>
      </c>
      <c r="G267" s="24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5" t="str">
        <f>IF(J267&lt;&gt;1,"",IF(I267="SBJ","CB","?"))</f>
        <v> </v>
      </c>
      <c r="I267" s="26" t="str">
        <f>IF(OR(E267="",E267="!!!",F267="NEW"),"",INDEX(B266:B$2,-1+SUMPRODUCT(MAX(ROW(E266:E$2)*(E267=E266:E$2)))))</f>
        <v> </v>
      </c>
      <c r="J267" s="26" t="str">
        <f>IF(OR(E267="",E267="!!!",F267="NEW"),"",COUNTBLANK(OFFSET(A$1,,,SUMPRODUCT(MAX(ROW(E$2:E267)*(E267=E$2:E267)))))-COUNTBLANK(OFFSET(A$1,,,SUMPRODUCT(MAX(ROW(E$1:E266)*(E2=E$1:E266))))))</f>
        <v> </v>
      </c>
      <c r="K267" s="26" t="str">
        <f>IF(OR(E267="",E267="!!!",F267="NEW"),"",INDEX(J$1:J266,SUMPRODUCT(MAX(ROW(E$1:E266)*(E267=E$1:E266)))))</f>
        <v> </v>
      </c>
      <c r="L267" s="27"/>
    </row>
    <row r="268" spans="1:12">
      <c r="A268" s="20"/>
    </row>
    <row r="269" spans="1:12">
      <c r="A269" s="20" t="s">
        <v>314</v>
      </c>
    </row>
    <row r="270" spans="1:12">
      <c r="A270" s="20" t="s">
        <v>77</v>
      </c>
      <c r="B270" s="21" t="s">
        <v>152</v>
      </c>
      <c r="C270" s="21" t="s">
        <v>207</v>
      </c>
      <c r="E270" s="22">
        <f>IF(D270="?OLD","!!!","")</f>
        <v/>
      </c>
      <c r="F270" s="23" t="str">
        <f>IF(OR(E270="",E270="!!!"),"",IF(NOT(ISNA(VLOOKUP(E270,E$1:E269,1,FALSE()))),"OLD",IF(AND(E270&lt;&gt;"",E270&lt;&gt;"!!!"),"NEW","")))</f>
        <v> </v>
      </c>
      <c r="G270" s="24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5" t="str">
        <f>IF(J270&lt;&gt;1,"",IF(I270="SBJ","CB","?"))</f>
        <v> </v>
      </c>
      <c r="I270" s="26" t="str">
        <f>IF(OR(E270="",E270="!!!",F270="NEW"),"",INDEX(B269:B$2,-1+SUMPRODUCT(MAX(ROW(E269:E$2)*(E270=E269:E$2)))))</f>
        <v> </v>
      </c>
      <c r="J270" s="26" t="str">
        <f>IF(OR(E270="",E270="!!!",F270="NEW"),"",COUNTBLANK(OFFSET(A$1,,,SUMPRODUCT(MAX(ROW(E$2:E270)*(E270=E$2:E270)))))-COUNTBLANK(OFFSET(A$1,,,SUMPRODUCT(MAX(ROW(E$1:E269)*(E2=E$1:E269))))))</f>
        <v> </v>
      </c>
      <c r="K270" s="26" t="str">
        <f>IF(OR(E270="",E270="!!!",F270="NEW"),"",INDEX(J$1:J269,SUMPRODUCT(MAX(ROW(E$1:E269)*(E270=E$1:E269)))))</f>
        <v> </v>
      </c>
      <c r="L270" s="27"/>
    </row>
    <row r="271" spans="1:12">
      <c r="A271" s="20" t="s">
        <v>248</v>
      </c>
      <c r="E271" s="22">
        <f>IF(D271="?OLD","!!!","")</f>
        <v/>
      </c>
      <c r="F271" s="23" t="str">
        <f>IF(OR(E271="",E271="!!!"),"",IF(NOT(ISNA(VLOOKUP(E271,E$1:E270,1,FALSE()))),"OLD",IF(AND(E271&lt;&gt;"",E271&lt;&gt;"!!!"),"NEW","")))</f>
        <v> </v>
      </c>
      <c r="G271" s="24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5" t="str">
        <f>IF(J271&lt;&gt;1,"",IF(I271="SBJ","CB","?"))</f>
        <v> </v>
      </c>
      <c r="I271" s="26" t="str">
        <f>IF(OR(E271="",E271="!!!",F271="NEW"),"",INDEX(B270:B$2,-1+SUMPRODUCT(MAX(ROW(E270:E$2)*(E271=E270:E$2)))))</f>
        <v> </v>
      </c>
      <c r="J271" s="26" t="str">
        <f>IF(OR(E271="",E271="!!!",F271="NEW"),"",COUNTBLANK(OFFSET(A$1,,,SUMPRODUCT(MAX(ROW(E$2:E271)*(E271=E$2:E271)))))-COUNTBLANK(OFFSET(A$1,,,SUMPRODUCT(MAX(ROW(E$1:E270)*(E2=E$1:E270))))))</f>
        <v> </v>
      </c>
      <c r="K271" s="26" t="str">
        <f>IF(OR(E271="",E271="!!!",F271="NEW"),"",INDEX(J$1:J270,SUMPRODUCT(MAX(ROW(E$1:E270)*(E271=E$1:E270)))))</f>
        <v> </v>
      </c>
      <c r="L271" s="27"/>
    </row>
    <row r="272" spans="1:12">
      <c r="A272" s="20" t="s">
        <v>135</v>
      </c>
      <c r="B272" s="21" t="s">
        <v>152</v>
      </c>
      <c r="C272" s="21" t="s">
        <v>137</v>
      </c>
      <c r="D272" s="21" t="s">
        <v>131</v>
      </c>
      <c r="E272" s="22">
        <f>IF(D272="?OLD","!!!","")</f>
        <v/>
      </c>
      <c r="F272" s="23" t="str">
        <f>IF(OR(E272="",E272="!!!"),"",IF(NOT(ISNA(VLOOKUP(E272,E$1:E271,1,FALSE()))),"OLD",IF(AND(E272&lt;&gt;"",E272&lt;&gt;"!!!"),"NEW","")))</f>
        <v> </v>
      </c>
      <c r="G272" s="24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5" t="str">
        <f>IF(J272&lt;&gt;1,"",IF(I272="SBJ","CB","?"))</f>
        <v> </v>
      </c>
      <c r="I272" s="26" t="str">
        <f>IF(OR(E272="",E272="!!!",F272="NEW"),"",INDEX(B271:B$2,-1+SUMPRODUCT(MAX(ROW(E271:E$2)*(E272=E271:E$2)))))</f>
        <v> </v>
      </c>
      <c r="J272" s="26" t="str">
        <f>IF(OR(E272="",E272="!!!",F272="NEW"),"",COUNTBLANK(OFFSET(A$1,,,SUMPRODUCT(MAX(ROW(E$2:E272)*(E272=E$2:E272)))))-COUNTBLANK(OFFSET(A$1,,,SUMPRODUCT(MAX(ROW(E$1:E271)*(E2=E$1:E271))))))</f>
        <v> </v>
      </c>
      <c r="K272" s="26" t="str">
        <f>IF(OR(E272="",E272="!!!",F272="NEW"),"",INDEX(J$1:J271,SUMPRODUCT(MAX(ROW(E$1:E271)*(E272=E$1:E271)))))</f>
        <v> </v>
      </c>
      <c r="L272" s="27"/>
    </row>
    <row r="273" spans="1:12">
      <c r="A273" s="20" t="s">
        <v>148</v>
      </c>
      <c r="E273" s="22">
        <f>IF(D273="?OLD","!!!","")</f>
        <v/>
      </c>
      <c r="F273" s="23" t="str">
        <f>IF(OR(E273="",E273="!!!"),"",IF(NOT(ISNA(VLOOKUP(E273,E$1:E272,1,FALSE()))),"OLD",IF(AND(E273&lt;&gt;"",E273&lt;&gt;"!!!"),"NEW","")))</f>
        <v> </v>
      </c>
      <c r="G273" s="24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5" t="str">
        <f>IF(J273&lt;&gt;1,"",IF(I273="SBJ","CB","?"))</f>
        <v> </v>
      </c>
      <c r="I273" s="26" t="str">
        <f>IF(OR(E273="",E273="!!!",F273="NEW"),"",INDEX(B272:B$2,-1+SUMPRODUCT(MAX(ROW(E272:E$2)*(E273=E272:E$2)))))</f>
        <v> </v>
      </c>
      <c r="J273" s="26" t="str">
        <f>IF(OR(E273="",E273="!!!",F273="NEW"),"",COUNTBLANK(OFFSET(A$1,,,SUMPRODUCT(MAX(ROW(E$2:E273)*(E273=E$2:E273)))))-COUNTBLANK(OFFSET(A$1,,,SUMPRODUCT(MAX(ROW(E$1:E272)*(E2=E$1:E272))))))</f>
        <v> </v>
      </c>
      <c r="K273" s="26" t="str">
        <f>IF(OR(E273="",E273="!!!",F273="NEW"),"",INDEX(J$1:J272,SUMPRODUCT(MAX(ROW(E$1:E272)*(E273=E$1:E272)))))</f>
        <v> </v>
      </c>
      <c r="L273" s="27"/>
    </row>
    <row r="274" spans="1:12">
      <c r="A274" s="20"/>
    </row>
    <row r="275" spans="1:12">
      <c r="A275" s="20" t="s">
        <v>315</v>
      </c>
    </row>
    <row r="276" spans="1:12">
      <c r="A276" s="20" t="s">
        <v>316</v>
      </c>
      <c r="E276" s="22">
        <f>IF(D276="?OLD","!!!","")</f>
        <v/>
      </c>
      <c r="F276" s="23" t="str">
        <f>IF(OR(E276="",E276="!!!"),"",IF(NOT(ISNA(VLOOKUP(E276,E$1:E275,1,FALSE()))),"OLD",IF(AND(E276&lt;&gt;"",E276&lt;&gt;"!!!"),"NEW","")))</f>
        <v> </v>
      </c>
      <c r="G276" s="24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5" t="str">
        <f>IF(J276&lt;&gt;1,"",IF(I276="SBJ","CB","?"))</f>
        <v> </v>
      </c>
      <c r="I276" s="26" t="str">
        <f>IF(OR(E276="",E276="!!!",F276="NEW"),"",INDEX(B275:B$2,-1+SUMPRODUCT(MAX(ROW(E275:E$2)*(E276=E275:E$2)))))</f>
        <v> </v>
      </c>
      <c r="J276" s="26" t="str">
        <f>IF(OR(E276="",E276="!!!",F276="NEW"),"",COUNTBLANK(OFFSET(A$1,,,SUMPRODUCT(MAX(ROW(E$2:E276)*(E276=E$2:E276)))))-COUNTBLANK(OFFSET(A$1,,,SUMPRODUCT(MAX(ROW(E$1:E275)*(E2=E$1:E275))))))</f>
        <v> </v>
      </c>
      <c r="K276" s="26" t="str">
        <f>IF(OR(E276="",E276="!!!",F276="NEW"),"",INDEX(J$1:J275,SUMPRODUCT(MAX(ROW(E$1:E275)*(E276=E$1:E275)))))</f>
        <v> </v>
      </c>
      <c r="L276" s="27"/>
    </row>
    <row r="277" spans="1:12">
      <c r="A277" s="20" t="s">
        <v>271</v>
      </c>
      <c r="B277" s="21" t="s">
        <v>152</v>
      </c>
      <c r="C277" s="21" t="s">
        <v>130</v>
      </c>
      <c r="D277" s="21" t="s">
        <v>131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 t="s">
        <v>317</v>
      </c>
      <c r="E278" s="22">
        <f>IF(D278="?OLD","!!!","")</f>
        <v/>
      </c>
      <c r="F278" s="23" t="str">
        <f>IF(OR(E278="",E278="!!!"),"",IF(NOT(ISNA(VLOOKUP(E278,E$1:E277,1,FALSE()))),"OLD",IF(AND(E278&lt;&gt;"",E278&lt;&gt;"!!!"),"NEW","")))</f>
        <v> </v>
      </c>
      <c r="G278" s="24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5" t="str">
        <f>IF(J278&lt;&gt;1,"",IF(I278="SBJ","CB","?"))</f>
        <v> </v>
      </c>
      <c r="I278" s="26" t="str">
        <f>IF(OR(E278="",E278="!!!",F278="NEW"),"",INDEX(B277:B$2,-1+SUMPRODUCT(MAX(ROW(E277:E$2)*(E278=E277:E$2)))))</f>
        <v> </v>
      </c>
      <c r="J278" s="26" t="str">
        <f>IF(OR(E278="",E278="!!!",F278="NEW"),"",COUNTBLANK(OFFSET(A$1,,,SUMPRODUCT(MAX(ROW(E$2:E278)*(E278=E$2:E278)))))-COUNTBLANK(OFFSET(A$1,,,SUMPRODUCT(MAX(ROW(E$1:E277)*(E2=E$1:E277))))))</f>
        <v> </v>
      </c>
      <c r="K278" s="26" t="str">
        <f>IF(OR(E278="",E278="!!!",F278="NEW"),"",INDEX(J$1:J277,SUMPRODUCT(MAX(ROW(E$1:E277)*(E278=E$1:E277)))))</f>
        <v> </v>
      </c>
      <c r="L278" s="27"/>
    </row>
    <row r="279" spans="1:12">
      <c r="A279" s="20" t="s">
        <v>263</v>
      </c>
      <c r="B279" s="21" t="s">
        <v>129</v>
      </c>
      <c r="C279" s="21" t="s">
        <v>181</v>
      </c>
      <c r="D279" s="21" t="s">
        <v>131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 t="s">
        <v>171</v>
      </c>
      <c r="E280" s="22">
        <f>IF(D280="?OLD","!!!","")</f>
        <v/>
      </c>
      <c r="F280" s="23" t="str">
        <f>IF(OR(E280="",E280="!!!"),"",IF(NOT(ISNA(VLOOKUP(E280,E$1:E279,1,FALSE()))),"OLD",IF(AND(E280&lt;&gt;"",E280&lt;&gt;"!!!"),"NEW","")))</f>
        <v> </v>
      </c>
      <c r="G280" s="24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5" t="str">
        <f>IF(J280&lt;&gt;1,"",IF(I280="SBJ","CB","?"))</f>
        <v> </v>
      </c>
      <c r="I280" s="26" t="str">
        <f>IF(OR(E280="",E280="!!!",F280="NEW"),"",INDEX(B279:B$2,-1+SUMPRODUCT(MAX(ROW(E279:E$2)*(E280=E279:E$2)))))</f>
        <v> </v>
      </c>
      <c r="J280" s="26" t="str">
        <f>IF(OR(E280="",E280="!!!",F280="NEW"),"",COUNTBLANK(OFFSET(A$1,,,SUMPRODUCT(MAX(ROW(E$2:E280)*(E280=E$2:E280)))))-COUNTBLANK(OFFSET(A$1,,,SUMPRODUCT(MAX(ROW(E$1:E279)*(E2=E$1:E279))))))</f>
        <v> </v>
      </c>
      <c r="K280" s="26" t="str">
        <f>IF(OR(E280="",E280="!!!",F280="NEW"),"",INDEX(J$1:J279,SUMPRODUCT(MAX(ROW(E$1:E279)*(E280=E$1:E279)))))</f>
        <v> </v>
      </c>
      <c r="L280" s="27"/>
    </row>
    <row r="281" spans="1:12">
      <c r="A281" s="20" t="s">
        <v>143</v>
      </c>
      <c r="E281" s="22">
        <f>IF(D281="?OLD","!!!","")</f>
        <v/>
      </c>
      <c r="F281" s="23" t="str">
        <f>IF(OR(E281="",E281="!!!"),"",IF(NOT(ISNA(VLOOKUP(E281,E$1:E280,1,FALSE()))),"OLD",IF(AND(E281&lt;&gt;"",E281&lt;&gt;"!!!"),"NEW","")))</f>
        <v> </v>
      </c>
      <c r="G281" s="24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5" t="str">
        <f>IF(J281&lt;&gt;1,"",IF(I281="SBJ","CB","?"))</f>
        <v> </v>
      </c>
      <c r="I281" s="26" t="str">
        <f>IF(OR(E281="",E281="!!!",F281="NEW"),"",INDEX(B280:B$2,-1+SUMPRODUCT(MAX(ROW(E280:E$2)*(E281=E280:E$2)))))</f>
        <v> </v>
      </c>
      <c r="J281" s="26" t="str">
        <f>IF(OR(E281="",E281="!!!",F281="NEW"),"",COUNTBLANK(OFFSET(A$1,,,SUMPRODUCT(MAX(ROW(E$2:E281)*(E281=E$2:E281)))))-COUNTBLANK(OFFSET(A$1,,,SUMPRODUCT(MAX(ROW(E$1:E280)*(E2=E$1:E280))))))</f>
        <v> </v>
      </c>
      <c r="K281" s="26" t="str">
        <f>IF(OR(E281="",E281="!!!",F281="NEW"),"",INDEX(J$1:J280,SUMPRODUCT(MAX(ROW(E$1:E280)*(E281=E$1:E280)))))</f>
        <v> </v>
      </c>
      <c r="L281" s="27"/>
    </row>
    <row r="282" spans="1:12">
      <c r="A282" s="20" t="s">
        <v>240</v>
      </c>
      <c r="B282" s="21" t="s">
        <v>152</v>
      </c>
      <c r="C282" s="21" t="s">
        <v>130</v>
      </c>
      <c r="D282" s="21" t="s">
        <v>131</v>
      </c>
      <c r="E282" s="22">
        <f>IF(D282="?OLD","!!!","")</f>
        <v/>
      </c>
      <c r="F282" s="23" t="str">
        <f>IF(OR(E282="",E282="!!!"),"",IF(NOT(ISNA(VLOOKUP(E282,E$1:E281,1,FALSE()))),"OLD",IF(AND(E282&lt;&gt;"",E282&lt;&gt;"!!!"),"NEW","")))</f>
        <v> </v>
      </c>
      <c r="G282" s="24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5" t="str">
        <f>IF(J282&lt;&gt;1,"",IF(I282="SBJ","CB","?"))</f>
        <v> </v>
      </c>
      <c r="I282" s="26" t="str">
        <f>IF(OR(E282="",E282="!!!",F282="NEW"),"",INDEX(B281:B$2,-1+SUMPRODUCT(MAX(ROW(E281:E$2)*(E282=E281:E$2)))))</f>
        <v> </v>
      </c>
      <c r="J282" s="26" t="str">
        <f>IF(OR(E282="",E282="!!!",F282="NEW"),"",COUNTBLANK(OFFSET(A$1,,,SUMPRODUCT(MAX(ROW(E$2:E282)*(E282=E$2:E282)))))-COUNTBLANK(OFFSET(A$1,,,SUMPRODUCT(MAX(ROW(E$1:E281)*(E2=E$1:E281))))))</f>
        <v> </v>
      </c>
      <c r="K282" s="26" t="str">
        <f>IF(OR(E282="",E282="!!!",F282="NEW"),"",INDEX(J$1:J281,SUMPRODUCT(MAX(ROW(E$1:E281)*(E282=E$1:E281)))))</f>
        <v> </v>
      </c>
      <c r="L282" s="27"/>
    </row>
    <row r="283" spans="1:12">
      <c r="A283" s="20" t="s">
        <v>175</v>
      </c>
      <c r="E283" s="22">
        <f>IF(D283="?OLD","!!!","")</f>
        <v/>
      </c>
      <c r="F283" s="23" t="str">
        <f>IF(OR(E283="",E283="!!!"),"",IF(NOT(ISNA(VLOOKUP(E283,E$1:E282,1,FALSE()))),"OLD",IF(AND(E283&lt;&gt;"",E283&lt;&gt;"!!!"),"NEW","")))</f>
        <v> </v>
      </c>
      <c r="G283" s="24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5" t="str">
        <f>IF(J283&lt;&gt;1,"",IF(I283="SBJ","CB","?"))</f>
        <v> </v>
      </c>
      <c r="I283" s="26" t="str">
        <f>IF(OR(E283="",E283="!!!",F283="NEW"),"",INDEX(B282:B$2,-1+SUMPRODUCT(MAX(ROW(E282:E$2)*(E283=E282:E$2)))))</f>
        <v> </v>
      </c>
      <c r="J283" s="26" t="str">
        <f>IF(OR(E283="",E283="!!!",F283="NEW"),"",COUNTBLANK(OFFSET(A$1,,,SUMPRODUCT(MAX(ROW(E$2:E283)*(E283=E$2:E283)))))-COUNTBLANK(OFFSET(A$1,,,SUMPRODUCT(MAX(ROW(E$1:E282)*(E2=E$1:E282))))))</f>
        <v> </v>
      </c>
      <c r="K283" s="26" t="str">
        <f>IF(OR(E283="",E283="!!!",F283="NEW"),"",INDEX(J$1:J282,SUMPRODUCT(MAX(ROW(E$1:E282)*(E283=E$1:E282)))))</f>
        <v> </v>
      </c>
      <c r="L283" s="27"/>
    </row>
    <row r="284" spans="1:12">
      <c r="A284" s="20" t="s">
        <v>318</v>
      </c>
      <c r="E284" s="22">
        <f>IF(D284="?OLD","!!!","")</f>
        <v/>
      </c>
      <c r="F284" s="23" t="str">
        <f>IF(OR(E284="",E284="!!!"),"",IF(NOT(ISNA(VLOOKUP(E284,E$1:E283,1,FALSE()))),"OLD",IF(AND(E284&lt;&gt;"",E284&lt;&gt;"!!!"),"NEW","")))</f>
        <v> </v>
      </c>
      <c r="G284" s="24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5" t="str">
        <f>IF(J284&lt;&gt;1,"",IF(I284="SBJ","CB","?"))</f>
        <v> </v>
      </c>
      <c r="I284" s="26" t="str">
        <f>IF(OR(E284="",E284="!!!",F284="NEW"),"",INDEX(B283:B$2,-1+SUMPRODUCT(MAX(ROW(E283:E$2)*(E284=E283:E$2)))))</f>
        <v> </v>
      </c>
      <c r="J284" s="26" t="str">
        <f>IF(OR(E284="",E284="!!!",F284="NEW"),"",COUNTBLANK(OFFSET(A$1,,,SUMPRODUCT(MAX(ROW(E$2:E284)*(E284=E$2:E284)))))-COUNTBLANK(OFFSET(A$1,,,SUMPRODUCT(MAX(ROW(E$1:E283)*(E2=E$1:E283))))))</f>
        <v> </v>
      </c>
      <c r="K284" s="26" t="str">
        <f>IF(OR(E284="",E284="!!!",F284="NEW"),"",INDEX(J$1:J283,SUMPRODUCT(MAX(ROW(E$1:E283)*(E284=E$1:E283)))))</f>
        <v> </v>
      </c>
      <c r="L284" s="27"/>
    </row>
    <row r="285" spans="1:12">
      <c r="A285" s="20" t="s">
        <v>77</v>
      </c>
      <c r="B285" s="21" t="s">
        <v>136</v>
      </c>
      <c r="C285" s="21" t="s">
        <v>137</v>
      </c>
      <c r="D285" s="21" t="s">
        <v>131</v>
      </c>
      <c r="E285" s="22">
        <f>IF(D285="?OLD","!!!","")</f>
        <v/>
      </c>
      <c r="F285" s="23" t="str">
        <f>IF(OR(E285="",E285="!!!"),"",IF(NOT(ISNA(VLOOKUP(E285,E$1:E284,1,FALSE()))),"OLD",IF(AND(E285&lt;&gt;"",E285&lt;&gt;"!!!"),"NEW","")))</f>
        <v> </v>
      </c>
      <c r="G285" s="24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5" t="str">
        <f>IF(J285&lt;&gt;1,"",IF(I285="SBJ","CB","?"))</f>
        <v> </v>
      </c>
      <c r="I285" s="26" t="str">
        <f>IF(OR(E285="",E285="!!!",F285="NEW"),"",INDEX(B284:B$2,-1+SUMPRODUCT(MAX(ROW(E284:E$2)*(E285=E284:E$2)))))</f>
        <v> </v>
      </c>
      <c r="J285" s="26" t="str">
        <f>IF(OR(E285="",E285="!!!",F285="NEW"),"",COUNTBLANK(OFFSET(A$1,,,SUMPRODUCT(MAX(ROW(E$2:E285)*(E285=E$2:E285)))))-COUNTBLANK(OFFSET(A$1,,,SUMPRODUCT(MAX(ROW(E$1:E284)*(E2=E$1:E284))))))</f>
        <v> </v>
      </c>
      <c r="K285" s="26" t="str">
        <f>IF(OR(E285="",E285="!!!",F285="NEW"),"",INDEX(J$1:J284,SUMPRODUCT(MAX(ROW(E$1:E284)*(E285=E$1:E284)))))</f>
        <v> </v>
      </c>
      <c r="L285" s="27"/>
    </row>
    <row r="286" spans="1:12">
      <c r="A286" s="20" t="s">
        <v>319</v>
      </c>
      <c r="B286" s="21" t="s">
        <v>145</v>
      </c>
      <c r="C286" s="21" t="s">
        <v>130</v>
      </c>
      <c r="D286" s="21" t="s">
        <v>131</v>
      </c>
      <c r="E286" s="22">
        <f>IF(D286="?OLD","!!!","")</f>
        <v/>
      </c>
      <c r="F286" s="23" t="str">
        <f>IF(OR(E286="",E286="!!!"),"",IF(NOT(ISNA(VLOOKUP(E286,E$1:E285,1,FALSE()))),"OLD",IF(AND(E286&lt;&gt;"",E286&lt;&gt;"!!!"),"NEW","")))</f>
        <v> </v>
      </c>
      <c r="G286" s="24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5" t="str">
        <f>IF(J286&lt;&gt;1,"",IF(I286="SBJ","CB","?"))</f>
        <v> </v>
      </c>
      <c r="I286" s="26" t="str">
        <f>IF(OR(E286="",E286="!!!",F286="NEW"),"",INDEX(B285:B$2,-1+SUMPRODUCT(MAX(ROW(E285:E$2)*(E286=E285:E$2)))))</f>
        <v> </v>
      </c>
      <c r="J286" s="26" t="str">
        <f>IF(OR(E286="",E286="!!!",F286="NEW"),"",COUNTBLANK(OFFSET(A$1,,,SUMPRODUCT(MAX(ROW(E$2:E286)*(E286=E$2:E286)))))-COUNTBLANK(OFFSET(A$1,,,SUMPRODUCT(MAX(ROW(E$1:E285)*(E2=E$1:E285))))))</f>
        <v> </v>
      </c>
      <c r="K286" s="26" t="str">
        <f>IF(OR(E286="",E286="!!!",F286="NEW"),"",INDEX(J$1:J285,SUMPRODUCT(MAX(ROW(E$1:E285)*(E286=E$1:E285)))))</f>
        <v> </v>
      </c>
      <c r="L286" s="27"/>
    </row>
    <row r="287" spans="1:12">
      <c r="A287" s="20" t="s">
        <v>320</v>
      </c>
      <c r="E287" s="22">
        <f>IF(D287="?OLD","!!!","")</f>
        <v/>
      </c>
      <c r="F287" s="23" t="str">
        <f>IF(OR(E287="",E287="!!!"),"",IF(NOT(ISNA(VLOOKUP(E287,E$1:E286,1,FALSE()))),"OLD",IF(AND(E287&lt;&gt;"",E287&lt;&gt;"!!!"),"NEW","")))</f>
        <v> </v>
      </c>
      <c r="G287" s="24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5" t="str">
        <f>IF(J287&lt;&gt;1,"",IF(I287="SBJ","CB","?"))</f>
        <v> </v>
      </c>
      <c r="I287" s="26" t="str">
        <f>IF(OR(E287="",E287="!!!",F287="NEW"),"",INDEX(B286:B$2,-1+SUMPRODUCT(MAX(ROW(E286:E$2)*(E287=E286:E$2)))))</f>
        <v> </v>
      </c>
      <c r="J287" s="26" t="str">
        <f>IF(OR(E287="",E287="!!!",F287="NEW"),"",COUNTBLANK(OFFSET(A$1,,,SUMPRODUCT(MAX(ROW(E$2:E287)*(E287=E$2:E287)))))-COUNTBLANK(OFFSET(A$1,,,SUMPRODUCT(MAX(ROW(E$1:E286)*(E2=E$1:E286))))))</f>
        <v> </v>
      </c>
      <c r="K287" s="26" t="str">
        <f>IF(OR(E287="",E287="!!!",F287="NEW"),"",INDEX(J$1:J286,SUMPRODUCT(MAX(ROW(E$1:E286)*(E287=E$1:E286)))))</f>
        <v> </v>
      </c>
      <c r="L287" s="27"/>
    </row>
    <row r="288" spans="1:12">
      <c r="A288" s="20" t="s">
        <v>321</v>
      </c>
      <c r="E288" s="22">
        <f>IF(D288="?OLD","!!!","")</f>
        <v/>
      </c>
      <c r="F288" s="23" t="str">
        <f>IF(OR(E288="",E288="!!!"),"",IF(NOT(ISNA(VLOOKUP(E288,E$1:E287,1,FALSE()))),"OLD",IF(AND(E288&lt;&gt;"",E288&lt;&gt;"!!!"),"NEW","")))</f>
        <v> </v>
      </c>
      <c r="G288" s="24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5" t="str">
        <f>IF(J288&lt;&gt;1,"",IF(I288="SBJ","CB","?"))</f>
        <v> </v>
      </c>
      <c r="I288" s="26" t="str">
        <f>IF(OR(E288="",E288="!!!",F288="NEW"),"",INDEX(B287:B$2,-1+SUMPRODUCT(MAX(ROW(E287:E$2)*(E288=E287:E$2)))))</f>
        <v> </v>
      </c>
      <c r="J288" s="26" t="str">
        <f>IF(OR(E288="",E288="!!!",F288="NEW"),"",COUNTBLANK(OFFSET(A$1,,,SUMPRODUCT(MAX(ROW(E$2:E288)*(E288=E$2:E288)))))-COUNTBLANK(OFFSET(A$1,,,SUMPRODUCT(MAX(ROW(E$1:E287)*(E2=E$1:E287))))))</f>
        <v> </v>
      </c>
      <c r="K288" s="26" t="str">
        <f>IF(OR(E288="",E288="!!!",F288="NEW"),"",INDEX(J$1:J287,SUMPRODUCT(MAX(ROW(E$1:E287)*(E288=E$1:E287)))))</f>
        <v> </v>
      </c>
      <c r="L288" s="27"/>
    </row>
    <row r="289" spans="1:12">
      <c r="A289" s="20" t="s">
        <v>148</v>
      </c>
      <c r="E289" s="22">
        <f>IF(D289="?OLD","!!!","")</f>
        <v/>
      </c>
      <c r="F289" s="23" t="str">
        <f>IF(OR(E289="",E289="!!!"),"",IF(NOT(ISNA(VLOOKUP(E289,E$1:E288,1,FALSE()))),"OLD",IF(AND(E289&lt;&gt;"",E289&lt;&gt;"!!!"),"NEW","")))</f>
        <v> </v>
      </c>
      <c r="G289" s="24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5" t="str">
        <f>IF(J289&lt;&gt;1,"",IF(I289="SBJ","CB","?"))</f>
        <v> </v>
      </c>
      <c r="I289" s="26" t="str">
        <f>IF(OR(E289="",E289="!!!",F289="NEW"),"",INDEX(B288:B$2,-1+SUMPRODUCT(MAX(ROW(E288:E$2)*(E289=E288:E$2)))))</f>
        <v> </v>
      </c>
      <c r="J289" s="26" t="str">
        <f>IF(OR(E289="",E289="!!!",F289="NEW"),"",COUNTBLANK(OFFSET(A$1,,,SUMPRODUCT(MAX(ROW(E$2:E289)*(E289=E$2:E289)))))-COUNTBLANK(OFFSET(A$1,,,SUMPRODUCT(MAX(ROW(E$1:E288)*(E2=E$1:E288))))))</f>
        <v> </v>
      </c>
      <c r="K289" s="26" t="str">
        <f>IF(OR(E289="",E289="!!!",F289="NEW"),"",INDEX(J$1:J288,SUMPRODUCT(MAX(ROW(E$1:E288)*(E289=E$1:E288)))))</f>
        <v> </v>
      </c>
      <c r="L289" s="27"/>
    </row>
    <row r="290" spans="1:12">
      <c r="A290" s="20"/>
    </row>
    <row r="291" spans="1:12">
      <c r="A291" s="20" t="s">
        <v>184</v>
      </c>
      <c r="E291" s="22">
        <f>IF(D291="?OLD","!!!","")</f>
        <v/>
      </c>
      <c r="F291" s="23" t="str">
        <f>IF(OR(E291="",E291="!!!"),"",IF(NOT(ISNA(VLOOKUP(E291,E$1:E290,1,FALSE()))),"OLD",IF(AND(E291&lt;&gt;"",E291&lt;&gt;"!!!"),"NEW","")))</f>
        <v> </v>
      </c>
      <c r="G291" s="24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5" t="str">
        <f>IF(J291&lt;&gt;1,"",IF(I291="SBJ","CB","?"))</f>
        <v> </v>
      </c>
      <c r="I291" s="26" t="str">
        <f>IF(OR(E291="",E291="!!!",F291="NEW"),"",INDEX(B290:B$2,-1+SUMPRODUCT(MAX(ROW(E290:E$2)*(E291=E290:E$2)))))</f>
        <v> </v>
      </c>
      <c r="J291" s="26" t="str">
        <f>IF(OR(E291="",E291="!!!",F291="NEW"),"",COUNTBLANK(OFFSET(A$1,,,SUMPRODUCT(MAX(ROW(E$2:E291)*(E291=E$2:E291)))))-COUNTBLANK(OFFSET(A$1,,,SUMPRODUCT(MAX(ROW(E$1:E290)*(E2=E$1:E290))))))</f>
        <v> </v>
      </c>
      <c r="K291" s="26" t="str">
        <f>IF(OR(E291="",E291="!!!",F291="NEW"),"",INDEX(J$1:J290,SUMPRODUCT(MAX(ROW(E$1:E290)*(E291=E$1:E290)))))</f>
        <v> </v>
      </c>
      <c r="L291" s="27"/>
    </row>
    <row r="292" spans="1:12">
      <c r="A292" s="20" t="s">
        <v>322</v>
      </c>
    </row>
    <row r="293" spans="1:12">
      <c r="A293" s="20" t="s">
        <v>187</v>
      </c>
      <c r="E293" s="22">
        <f>IF(D293="?OLD","!!!","")</f>
        <v/>
      </c>
      <c r="F293" s="23" t="str">
        <f>IF(OR(E293="",E293="!!!"),"",IF(NOT(ISNA(VLOOKUP(E293,E$1:E292,1,FALSE()))),"OLD",IF(AND(E293&lt;&gt;"",E293&lt;&gt;"!!!"),"NEW","")))</f>
        <v> </v>
      </c>
      <c r="G293" s="24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5" t="str">
        <f>IF(J293&lt;&gt;1,"",IF(I293="SBJ","CB","?"))</f>
        <v> </v>
      </c>
      <c r="I293" s="26" t="str">
        <f>IF(OR(E293="",E293="!!!",F293="NEW"),"",INDEX(B292:B$2,-1+SUMPRODUCT(MAX(ROW(E292:E$2)*(E293=E292:E$2)))))</f>
        <v> </v>
      </c>
      <c r="J293" s="26" t="str">
        <f>IF(OR(E293="",E293="!!!",F293="NEW"),"",COUNTBLANK(OFFSET(A$1,,,SUMPRODUCT(MAX(ROW(E$2:E293)*(E293=E$2:E293)))))-COUNTBLANK(OFFSET(A$1,,,SUMPRODUCT(MAX(ROW(E$1:E292)*(E2=E$1:E292))))))</f>
        <v> </v>
      </c>
      <c r="K293" s="26" t="str">
        <f>IF(OR(E293="",E293="!!!",F293="NEW"),"",INDEX(J$1:J292,SUMPRODUCT(MAX(ROW(E$1:E292)*(E293=E$1:E292)))))</f>
        <v> </v>
      </c>
      <c r="L293" s="27"/>
    </row>
    <row r="294" spans="1:12">
      <c r="A294" s="20" t="s">
        <v>323</v>
      </c>
      <c r="B294" s="21" t="s">
        <v>158</v>
      </c>
      <c r="C294" s="21" t="s">
        <v>216</v>
      </c>
      <c r="D294" s="21" t="s">
        <v>131</v>
      </c>
      <c r="E294" s="22">
        <f>IF(D294="?OLD","!!!","")</f>
        <v/>
      </c>
      <c r="F294" s="23" t="str">
        <f>IF(OR(E294="",E294="!!!"),"",IF(NOT(ISNA(VLOOKUP(E294,E$1:E293,1,FALSE()))),"OLD",IF(AND(E294&lt;&gt;"",E294&lt;&gt;"!!!"),"NEW","")))</f>
        <v> </v>
      </c>
      <c r="G294" s="24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5" t="str">
        <f>IF(J294&lt;&gt;1,"",IF(I294="SBJ","CB","?"))</f>
        <v> </v>
      </c>
      <c r="I294" s="26" t="str">
        <f>IF(OR(E294="",E294="!!!",F294="NEW"),"",INDEX(B293:B$2,-1+SUMPRODUCT(MAX(ROW(E293:E$2)*(E294=E293:E$2)))))</f>
        <v> </v>
      </c>
      <c r="J294" s="26" t="str">
        <f>IF(OR(E294="",E294="!!!",F294="NEW"),"",COUNTBLANK(OFFSET(A$1,,,SUMPRODUCT(MAX(ROW(E$2:E294)*(E294=E$2:E294)))))-COUNTBLANK(OFFSET(A$1,,,SUMPRODUCT(MAX(ROW(E$1:E293)*(E2=E$1:E293))))))</f>
        <v> </v>
      </c>
      <c r="K294" s="26" t="str">
        <f>IF(OR(E294="",E294="!!!",F294="NEW"),"",INDEX(J$1:J293,SUMPRODUCT(MAX(ROW(E$1:E293)*(E294=E$1:E293)))))</f>
        <v> </v>
      </c>
      <c r="L294" s="27"/>
    </row>
    <row r="295" spans="1:12">
      <c r="A295" s="20" t="s">
        <v>324</v>
      </c>
      <c r="B295" s="21" t="s">
        <v>200</v>
      </c>
      <c r="C295" s="21" t="s">
        <v>218</v>
      </c>
      <c r="D295" s="21" t="s">
        <v>131</v>
      </c>
      <c r="E295" s="22">
        <f>IF(D295="?OLD","!!!","")</f>
        <v/>
      </c>
      <c r="F295" s="23" t="str">
        <f>IF(OR(E295="",E295="!!!"),"",IF(NOT(ISNA(VLOOKUP(E295,E$1:E294,1,FALSE()))),"OLD",IF(AND(E295&lt;&gt;"",E295&lt;&gt;"!!!"),"NEW","")))</f>
        <v> </v>
      </c>
      <c r="G295" s="24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5" t="str">
        <f>IF(J295&lt;&gt;1,"",IF(I295="SBJ","CB","?"))</f>
        <v> </v>
      </c>
      <c r="I295" s="26" t="str">
        <f>IF(OR(E295="",E295="!!!",F295="NEW"),"",INDEX(B294:B$2,-1+SUMPRODUCT(MAX(ROW(E294:E$2)*(E295=E294:E$2)))))</f>
        <v> </v>
      </c>
      <c r="J295" s="26" t="str">
        <f>IF(OR(E295="",E295="!!!",F295="NEW"),"",COUNTBLANK(OFFSET(A$1,,,SUMPRODUCT(MAX(ROW(E$2:E295)*(E295=E$2:E295)))))-COUNTBLANK(OFFSET(A$1,,,SUMPRODUCT(MAX(ROW(E$1:E294)*(E2=E$1:E294))))))</f>
        <v> </v>
      </c>
      <c r="K295" s="26" t="str">
        <f>IF(OR(E295="",E295="!!!",F295="NEW"),"",INDEX(J$1:J294,SUMPRODUCT(MAX(ROW(E$1:E294)*(E295=E$1:E294)))))</f>
        <v> </v>
      </c>
      <c r="L295" s="27"/>
    </row>
    <row r="296" spans="1:12">
      <c r="A296" s="20" t="s">
        <v>325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 t="s">
        <v>326</v>
      </c>
      <c r="B297" s="21" t="s">
        <v>222</v>
      </c>
      <c r="C297" s="21" t="s">
        <v>181</v>
      </c>
      <c r="D297" s="21" t="s">
        <v>131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 t="s">
        <v>327</v>
      </c>
      <c r="E298" s="22">
        <f>IF(D298="?OLD","!!!","")</f>
        <v/>
      </c>
      <c r="F298" s="23" t="str">
        <f>IF(OR(E298="",E298="!!!"),"",IF(NOT(ISNA(VLOOKUP(E298,E$1:E297,1,FALSE()))),"OLD",IF(AND(E298&lt;&gt;"",E298&lt;&gt;"!!!"),"NEW","")))</f>
        <v> </v>
      </c>
      <c r="G298" s="24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5" t="str">
        <f>IF(J298&lt;&gt;1,"",IF(I298="SBJ","CB","?"))</f>
        <v> </v>
      </c>
      <c r="I298" s="26" t="str">
        <f>IF(OR(E298="",E298="!!!",F298="NEW"),"",INDEX(B297:B$2,-1+SUMPRODUCT(MAX(ROW(E297:E$2)*(E298=E297:E$2)))))</f>
        <v> </v>
      </c>
      <c r="J298" s="26" t="str">
        <f>IF(OR(E298="",E298="!!!",F298="NEW"),"",COUNTBLANK(OFFSET(A$1,,,SUMPRODUCT(MAX(ROW(E$2:E298)*(E298=E$2:E298)))))-COUNTBLANK(OFFSET(A$1,,,SUMPRODUCT(MAX(ROW(E$1:E297)*(E2=E$1:E297))))))</f>
        <v> </v>
      </c>
      <c r="K298" s="26" t="str">
        <f>IF(OR(E298="",E298="!!!",F298="NEW"),"",INDEX(J$1:J297,SUMPRODUCT(MAX(ROW(E$1:E297)*(E298=E$1:E297)))))</f>
        <v> </v>
      </c>
      <c r="L298" s="27"/>
    </row>
    <row r="299" spans="1:12">
      <c r="A299" s="20" t="s">
        <v>328</v>
      </c>
      <c r="B299" s="21" t="s">
        <v>222</v>
      </c>
      <c r="C299" s="21" t="s">
        <v>163</v>
      </c>
      <c r="E299" s="22">
        <f>IF(D299="?OLD","!!!","")</f>
        <v/>
      </c>
      <c r="F299" s="23" t="str">
        <f>IF(OR(E299="",E299="!!!"),"",IF(NOT(ISNA(VLOOKUP(E299,E$1:E298,1,FALSE()))),"OLD",IF(AND(E299&lt;&gt;"",E299&lt;&gt;"!!!"),"NEW","")))</f>
        <v> </v>
      </c>
      <c r="G299" s="24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5" t="str">
        <f>IF(J299&lt;&gt;1,"",IF(I299="SBJ","CB","?"))</f>
        <v> </v>
      </c>
      <c r="I299" s="26" t="str">
        <f>IF(OR(E299="",E299="!!!",F299="NEW"),"",INDEX(B298:B$2,-1+SUMPRODUCT(MAX(ROW(E298:E$2)*(E299=E298:E$2)))))</f>
        <v> </v>
      </c>
      <c r="J299" s="26" t="str">
        <f>IF(OR(E299="",E299="!!!",F299="NEW"),"",COUNTBLANK(OFFSET(A$1,,,SUMPRODUCT(MAX(ROW(E$2:E299)*(E299=E$2:E299)))))-COUNTBLANK(OFFSET(A$1,,,SUMPRODUCT(MAX(ROW(E$1:E298)*(E2=E$1:E298))))))</f>
        <v> </v>
      </c>
      <c r="K299" s="26" t="str">
        <f>IF(OR(E299="",E299="!!!",F299="NEW"),"",INDEX(J$1:J298,SUMPRODUCT(MAX(ROW(E$1:E298)*(E299=E$1:E298)))))</f>
        <v> </v>
      </c>
      <c r="L299" s="27"/>
    </row>
    <row r="300" spans="1:12">
      <c r="A300" s="20" t="s">
        <v>187</v>
      </c>
      <c r="E300" s="22">
        <f>IF(D300="?OLD","!!!","")</f>
        <v/>
      </c>
      <c r="F300" s="23" t="str">
        <f>IF(OR(E300="",E300="!!!"),"",IF(NOT(ISNA(VLOOKUP(E300,E$1:E299,1,FALSE()))),"OLD",IF(AND(E300&lt;&gt;"",E300&lt;&gt;"!!!"),"NEW","")))</f>
        <v> </v>
      </c>
      <c r="G300" s="24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5" t="str">
        <f>IF(J300&lt;&gt;1,"",IF(I300="SBJ","CB","?"))</f>
        <v> </v>
      </c>
      <c r="I300" s="26" t="str">
        <f>IF(OR(E300="",E300="!!!",F300="NEW"),"",INDEX(B299:B$2,-1+SUMPRODUCT(MAX(ROW(E299:E$2)*(E300=E299:E$2)))))</f>
        <v> </v>
      </c>
      <c r="J300" s="26" t="str">
        <f>IF(OR(E300="",E300="!!!",F300="NEW"),"",COUNTBLANK(OFFSET(A$1,,,SUMPRODUCT(MAX(ROW(E$2:E300)*(E300=E$2:E300)))))-COUNTBLANK(OFFSET(A$1,,,SUMPRODUCT(MAX(ROW(E$1:E299)*(E2=E$1:E299))))))</f>
        <v> </v>
      </c>
      <c r="K300" s="26" t="str">
        <f>IF(OR(E300="",E300="!!!",F300="NEW"),"",INDEX(J$1:J299,SUMPRODUCT(MAX(ROW(E$1:E299)*(E300=E$1:E299)))))</f>
        <v> </v>
      </c>
      <c r="L300" s="27"/>
    </row>
    <row r="301" spans="1:12">
      <c r="A301" s="20" t="s">
        <v>198</v>
      </c>
      <c r="E301" s="22">
        <f>IF(D301="?OLD","!!!","")</f>
        <v/>
      </c>
      <c r="F301" s="23" t="str">
        <f>IF(OR(E301="",E301="!!!"),"",IF(NOT(ISNA(VLOOKUP(E301,E$1:E300,1,FALSE()))),"OLD",IF(AND(E301&lt;&gt;"",E301&lt;&gt;"!!!"),"NEW","")))</f>
        <v> </v>
      </c>
      <c r="G301" s="24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5" t="str">
        <f>IF(J301&lt;&gt;1,"",IF(I301="SBJ","CB","?"))</f>
        <v> </v>
      </c>
      <c r="I301" s="26" t="str">
        <f>IF(OR(E301="",E301="!!!",F301="NEW"),"",INDEX(B300:B$2,-1+SUMPRODUCT(MAX(ROW(E300:E$2)*(E301=E300:E$2)))))</f>
        <v> </v>
      </c>
      <c r="J301" s="26" t="str">
        <f>IF(OR(E301="",E301="!!!",F301="NEW"),"",COUNTBLANK(OFFSET(A$1,,,SUMPRODUCT(MAX(ROW(E$2:E301)*(E301=E$2:E301)))))-COUNTBLANK(OFFSET(A$1,,,SUMPRODUCT(MAX(ROW(E$1:E300)*(E2=E$1:E300))))))</f>
        <v> </v>
      </c>
      <c r="K301" s="26" t="str">
        <f>IF(OR(E301="",E301="!!!",F301="NEW"),"",INDEX(J$1:J300,SUMPRODUCT(MAX(ROW(E$1:E300)*(E301=E$1:E300)))))</f>
        <v> </v>
      </c>
      <c r="L301" s="27"/>
    </row>
    <row r="302" spans="1:12">
      <c r="A302" s="20" t="s">
        <v>229</v>
      </c>
      <c r="E302" s="22">
        <f>IF(D302="?OLD","!!!","")</f>
        <v/>
      </c>
      <c r="F302" s="23" t="str">
        <f>IF(OR(E302="",E302="!!!"),"",IF(NOT(ISNA(VLOOKUP(E302,E$1:E301,1,FALSE()))),"OLD",IF(AND(E302&lt;&gt;"",E302&lt;&gt;"!!!"),"NEW","")))</f>
        <v> </v>
      </c>
      <c r="G302" s="24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5" t="str">
        <f>IF(J302&lt;&gt;1,"",IF(I302="SBJ","CB","?"))</f>
        <v> </v>
      </c>
      <c r="I302" s="26" t="str">
        <f>IF(OR(E302="",E302="!!!",F302="NEW"),"",INDEX(B301:B$2,-1+SUMPRODUCT(MAX(ROW(E301:E$2)*(E302=E301:E$2)))))</f>
        <v> </v>
      </c>
      <c r="J302" s="26" t="str">
        <f>IF(OR(E302="",E302="!!!",F302="NEW"),"",COUNTBLANK(OFFSET(A$1,,,SUMPRODUCT(MAX(ROW(E$2:E302)*(E302=E$2:E302)))))-COUNTBLANK(OFFSET(A$1,,,SUMPRODUCT(MAX(ROW(E$1:E301)*(E2=E$1:E301))))))</f>
        <v> </v>
      </c>
      <c r="K302" s="26" t="str">
        <f>IF(OR(E302="",E302="!!!",F302="NEW"),"",INDEX(J$1:J301,SUMPRODUCT(MAX(ROW(E$1:E301)*(E302=E$1:E301)))))</f>
        <v> </v>
      </c>
      <c r="L302" s="27"/>
    </row>
    <row r="303" spans="1:12">
      <c r="A303" s="20" t="s">
        <v>132</v>
      </c>
      <c r="B303" s="21" t="s">
        <v>129</v>
      </c>
      <c r="C303" s="21" t="s">
        <v>207</v>
      </c>
      <c r="E303" s="22">
        <f>IF(D303="?OLD","!!!","")</f>
        <v/>
      </c>
      <c r="F303" s="23" t="str">
        <f>IF(OR(E303="",E303="!!!"),"",IF(NOT(ISNA(VLOOKUP(E303,E$1:E302,1,FALSE()))),"OLD",IF(AND(E303&lt;&gt;"",E303&lt;&gt;"!!!"),"NEW","")))</f>
        <v> </v>
      </c>
      <c r="G303" s="24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5" t="str">
        <f>IF(J303&lt;&gt;1,"",IF(I303="SBJ","CB","?"))</f>
        <v> </v>
      </c>
      <c r="I303" s="26" t="str">
        <f>IF(OR(E303="",E303="!!!",F303="NEW"),"",INDEX(B302:B$2,-1+SUMPRODUCT(MAX(ROW(E302:E$2)*(E303=E302:E$2)))))</f>
        <v> </v>
      </c>
      <c r="J303" s="26" t="str">
        <f>IF(OR(E303="",E303="!!!",F303="NEW"),"",COUNTBLANK(OFFSET(A$1,,,SUMPRODUCT(MAX(ROW(E$2:E303)*(E303=E$2:E303)))))-COUNTBLANK(OFFSET(A$1,,,SUMPRODUCT(MAX(ROW(E$1:E302)*(E2=E$1:E302))))))</f>
        <v> </v>
      </c>
      <c r="K303" s="26" t="str">
        <f>IF(OR(E303="",E303="!!!",F303="NEW"),"",INDEX(J$1:J302,SUMPRODUCT(MAX(ROW(E$1:E302)*(E303=E$1:E302)))))</f>
        <v> </v>
      </c>
      <c r="L303" s="27"/>
    </row>
    <row r="304" spans="1:12">
      <c r="A304" s="20" t="s">
        <v>198</v>
      </c>
      <c r="E304" s="22">
        <f>IF(D304="?OLD","!!!","")</f>
        <v/>
      </c>
      <c r="F304" s="23" t="str">
        <f>IF(OR(E304="",E304="!!!"),"",IF(NOT(ISNA(VLOOKUP(E304,E$1:E303,1,FALSE()))),"OLD",IF(AND(E304&lt;&gt;"",E304&lt;&gt;"!!!"),"NEW","")))</f>
        <v> </v>
      </c>
      <c r="G304" s="24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5" t="str">
        <f>IF(J304&lt;&gt;1,"",IF(I304="SBJ","CB","?"))</f>
        <v> </v>
      </c>
      <c r="I304" s="26" t="str">
        <f>IF(OR(E304="",E304="!!!",F304="NEW"),"",INDEX(B303:B$2,-1+SUMPRODUCT(MAX(ROW(E303:E$2)*(E304=E303:E$2)))))</f>
        <v> </v>
      </c>
      <c r="J304" s="26" t="str">
        <f>IF(OR(E304="",E304="!!!",F304="NEW"),"",COUNTBLANK(OFFSET(A$1,,,SUMPRODUCT(MAX(ROW(E$2:E304)*(E304=E$2:E304)))))-COUNTBLANK(OFFSET(A$1,,,SUMPRODUCT(MAX(ROW(E$1:E303)*(E2=E$1:E303))))))</f>
        <v> </v>
      </c>
      <c r="K304" s="26" t="str">
        <f>IF(OR(E304="",E304="!!!",F304="NEW"),"",INDEX(J$1:J303,SUMPRODUCT(MAX(ROW(E$1:E303)*(E304=E$1:E303)))))</f>
        <v> </v>
      </c>
      <c r="L304" s="27"/>
    </row>
    <row r="305" spans="1:12">
      <c r="A305" s="20" t="s">
        <v>187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 t="s">
        <v>329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199</v>
      </c>
      <c r="B307" s="21" t="s">
        <v>330</v>
      </c>
      <c r="C307" s="21" t="s">
        <v>201</v>
      </c>
      <c r="D307" s="21" t="s">
        <v>131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 t="s">
        <v>331</v>
      </c>
      <c r="E308" s="22">
        <f>IF(D308="?OLD","!!!","")</f>
        <v/>
      </c>
      <c r="F308" s="23" t="str">
        <f>IF(OR(E308="",E308="!!!"),"",IF(NOT(ISNA(VLOOKUP(E308,E$1:E307,1,FALSE()))),"OLD",IF(AND(E308&lt;&gt;"",E308&lt;&gt;"!!!"),"NEW","")))</f>
        <v> </v>
      </c>
      <c r="G308" s="24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5" t="str">
        <f>IF(J308&lt;&gt;1,"",IF(I308="SBJ","CB","?"))</f>
        <v> </v>
      </c>
      <c r="I308" s="26" t="str">
        <f>IF(OR(E308="",E308="!!!",F308="NEW"),"",INDEX(B307:B$2,-1+SUMPRODUCT(MAX(ROW(E307:E$2)*(E308=E307:E$2)))))</f>
        <v> </v>
      </c>
      <c r="J308" s="26" t="str">
        <f>IF(OR(E308="",E308="!!!",F308="NEW"),"",COUNTBLANK(OFFSET(A$1,,,SUMPRODUCT(MAX(ROW(E$2:E308)*(E308=E$2:E308)))))-COUNTBLANK(OFFSET(A$1,,,SUMPRODUCT(MAX(ROW(E$1:E307)*(E2=E$1:E307))))))</f>
        <v> </v>
      </c>
      <c r="K308" s="26" t="str">
        <f>IF(OR(E308="",E308="!!!",F308="NEW"),"",INDEX(J$1:J307,SUMPRODUCT(MAX(ROW(E$1:E307)*(E308=E$1:E307)))))</f>
        <v> </v>
      </c>
      <c r="L308" s="27"/>
    </row>
    <row r="309" spans="1:12">
      <c r="A309" s="20" t="s">
        <v>264</v>
      </c>
      <c r="E309" s="22">
        <f>IF(D309="?OLD","!!!","")</f>
        <v/>
      </c>
      <c r="F309" s="23" t="str">
        <f>IF(OR(E309="",E309="!!!"),"",IF(NOT(ISNA(VLOOKUP(E309,E$1:E308,1,FALSE()))),"OLD",IF(AND(E309&lt;&gt;"",E309&lt;&gt;"!!!"),"NEW","")))</f>
        <v> </v>
      </c>
      <c r="G309" s="24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5" t="str">
        <f>IF(J309&lt;&gt;1,"",IF(I309="SBJ","CB","?"))</f>
        <v> </v>
      </c>
      <c r="I309" s="26" t="str">
        <f>IF(OR(E309="",E309="!!!",F309="NEW"),"",INDEX(B308:B$2,-1+SUMPRODUCT(MAX(ROW(E308:E$2)*(E309=E308:E$2)))))</f>
        <v> </v>
      </c>
      <c r="J309" s="26" t="str">
        <f>IF(OR(E309="",E309="!!!",F309="NEW"),"",COUNTBLANK(OFFSET(A$1,,,SUMPRODUCT(MAX(ROW(E$2:E309)*(E309=E$2:E309)))))-COUNTBLANK(OFFSET(A$1,,,SUMPRODUCT(MAX(ROW(E$1:E308)*(E2=E$1:E308))))))</f>
        <v> </v>
      </c>
      <c r="K309" s="26" t="str">
        <f>IF(OR(E309="",E309="!!!",F309="NEW"),"",INDEX(J$1:J308,SUMPRODUCT(MAX(ROW(E$1:E308)*(E309=E$1:E308)))))</f>
        <v> </v>
      </c>
      <c r="L309" s="27"/>
    </row>
    <row r="310" spans="1:12">
      <c r="A310" s="20" t="s">
        <v>332</v>
      </c>
      <c r="E310" s="22">
        <f>IF(D310="?OLD","!!!","")</f>
        <v/>
      </c>
      <c r="F310" s="23" t="str">
        <f>IF(OR(E310="",E310="!!!"),"",IF(NOT(ISNA(VLOOKUP(E310,E$1:E309,1,FALSE()))),"OLD",IF(AND(E310&lt;&gt;"",E310&lt;&gt;"!!!"),"NEW","")))</f>
        <v> </v>
      </c>
      <c r="G310" s="24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5" t="str">
        <f>IF(J310&lt;&gt;1,"",IF(I310="SBJ","CB","?"))</f>
        <v> </v>
      </c>
      <c r="I310" s="26" t="str">
        <f>IF(OR(E310="",E310="!!!",F310="NEW"),"",INDEX(B309:B$2,-1+SUMPRODUCT(MAX(ROW(E309:E$2)*(E310=E309:E$2)))))</f>
        <v> </v>
      </c>
      <c r="J310" s="26" t="str">
        <f>IF(OR(E310="",E310="!!!",F310="NEW"),"",COUNTBLANK(OFFSET(A$1,,,SUMPRODUCT(MAX(ROW(E$2:E310)*(E310=E$2:E310)))))-COUNTBLANK(OFFSET(A$1,,,SUMPRODUCT(MAX(ROW(E$1:E309)*(E2=E$1:E309))))))</f>
        <v> </v>
      </c>
      <c r="K310" s="26" t="str">
        <f>IF(OR(E310="",E310="!!!",F310="NEW"),"",INDEX(J$1:J309,SUMPRODUCT(MAX(ROW(E$1:E309)*(E310=E$1:E309)))))</f>
        <v> </v>
      </c>
      <c r="L310" s="27"/>
    </row>
    <row r="311" spans="1:12">
      <c r="A311" s="20" t="s">
        <v>189</v>
      </c>
      <c r="E311" s="22">
        <f>IF(D311="?OLD","!!!","")</f>
        <v/>
      </c>
      <c r="F311" s="23" t="str">
        <f>IF(OR(E311="",E311="!!!"),"",IF(NOT(ISNA(VLOOKUP(E311,E$1:E310,1,FALSE()))),"OLD",IF(AND(E311&lt;&gt;"",E311&lt;&gt;"!!!"),"NEW","")))</f>
        <v> </v>
      </c>
      <c r="G311" s="24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5" t="str">
        <f>IF(J311&lt;&gt;1,"",IF(I311="SBJ","CB","?"))</f>
        <v> </v>
      </c>
      <c r="I311" s="26" t="str">
        <f>IF(OR(E311="",E311="!!!",F311="NEW"),"",INDEX(B310:B$2,-1+SUMPRODUCT(MAX(ROW(E310:E$2)*(E311=E310:E$2)))))</f>
        <v> </v>
      </c>
      <c r="J311" s="26" t="str">
        <f>IF(OR(E311="",E311="!!!",F311="NEW"),"",COUNTBLANK(OFFSET(A$1,,,SUMPRODUCT(MAX(ROW(E$2:E311)*(E311=E$2:E311)))))-COUNTBLANK(OFFSET(A$1,,,SUMPRODUCT(MAX(ROW(E$1:E310)*(E2=E$1:E310))))))</f>
        <v> </v>
      </c>
      <c r="K311" s="26" t="str">
        <f>IF(OR(E311="",E311="!!!",F311="NEW"),"",INDEX(J$1:J310,SUMPRODUCT(MAX(ROW(E$1:E310)*(E311=E$1:E310)))))</f>
        <v> </v>
      </c>
      <c r="L311" s="27"/>
    </row>
    <row r="312" spans="1:12">
      <c r="A312" s="20" t="s">
        <v>333</v>
      </c>
      <c r="E312" s="22">
        <f>IF(D312="?OLD","!!!","")</f>
        <v/>
      </c>
      <c r="F312" s="23" t="str">
        <f>IF(OR(E312="",E312="!!!"),"",IF(NOT(ISNA(VLOOKUP(E312,E$1:E311,1,FALSE()))),"OLD",IF(AND(E312&lt;&gt;"",E312&lt;&gt;"!!!"),"NEW","")))</f>
        <v> </v>
      </c>
      <c r="G312" s="24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5" t="str">
        <f>IF(J312&lt;&gt;1,"",IF(I312="SBJ","CB","?"))</f>
        <v> </v>
      </c>
      <c r="I312" s="26" t="str">
        <f>IF(OR(E312="",E312="!!!",F312="NEW"),"",INDEX(B311:B$2,-1+SUMPRODUCT(MAX(ROW(E311:E$2)*(E312=E311:E$2)))))</f>
        <v> </v>
      </c>
      <c r="J312" s="26" t="str">
        <f>IF(OR(E312="",E312="!!!",F312="NEW"),"",COUNTBLANK(OFFSET(A$1,,,SUMPRODUCT(MAX(ROW(E$2:E312)*(E312=E$2:E312)))))-COUNTBLANK(OFFSET(A$1,,,SUMPRODUCT(MAX(ROW(E$1:E311)*(E2=E$1:E311))))))</f>
        <v> </v>
      </c>
      <c r="K312" s="26" t="str">
        <f>IF(OR(E312="",E312="!!!",F312="NEW"),"",INDEX(J$1:J311,SUMPRODUCT(MAX(ROW(E$1:E311)*(E312=E$1:E311)))))</f>
        <v> </v>
      </c>
      <c r="L312" s="27"/>
    </row>
    <row r="313" spans="1:12">
      <c r="A313" s="20" t="s">
        <v>334</v>
      </c>
      <c r="B313" s="21" t="s">
        <v>145</v>
      </c>
      <c r="C313" s="21" t="s">
        <v>207</v>
      </c>
      <c r="E313" s="22">
        <f>IF(D313="?OLD","!!!","")</f>
        <v/>
      </c>
      <c r="F313" s="23" t="str">
        <f>IF(OR(E313="",E313="!!!"),"",IF(NOT(ISNA(VLOOKUP(E313,E$1:E312,1,FALSE()))),"OLD",IF(AND(E313&lt;&gt;"",E313&lt;&gt;"!!!"),"NEW","")))</f>
        <v> </v>
      </c>
      <c r="G313" s="24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5" t="str">
        <f>IF(J313&lt;&gt;1,"",IF(I313="SBJ","CB","?"))</f>
        <v> </v>
      </c>
      <c r="I313" s="26" t="str">
        <f>IF(OR(E313="",E313="!!!",F313="NEW"),"",INDEX(B312:B$2,-1+SUMPRODUCT(MAX(ROW(E312:E$2)*(E313=E312:E$2)))))</f>
        <v> </v>
      </c>
      <c r="J313" s="26" t="str">
        <f>IF(OR(E313="",E313="!!!",F313="NEW"),"",COUNTBLANK(OFFSET(A$1,,,SUMPRODUCT(MAX(ROW(E$2:E313)*(E313=E$2:E313)))))-COUNTBLANK(OFFSET(A$1,,,SUMPRODUCT(MAX(ROW(E$1:E312)*(E2=E$1:E312))))))</f>
        <v> </v>
      </c>
      <c r="K313" s="26" t="str">
        <f>IF(OR(E313="",E313="!!!",F313="NEW"),"",INDEX(J$1:J312,SUMPRODUCT(MAX(ROW(E$1:E312)*(E313=E$1:E312)))))</f>
        <v> </v>
      </c>
      <c r="L313" s="27"/>
    </row>
    <row r="314" spans="1:12">
      <c r="A314" s="20" t="s">
        <v>198</v>
      </c>
      <c r="E314" s="22">
        <f>IF(D314="?OLD","!!!","")</f>
        <v/>
      </c>
      <c r="F314" s="23" t="str">
        <f>IF(OR(E314="",E314="!!!"),"",IF(NOT(ISNA(VLOOKUP(E314,E$1:E313,1,FALSE()))),"OLD",IF(AND(E314&lt;&gt;"",E314&lt;&gt;"!!!"),"NEW","")))</f>
        <v> </v>
      </c>
      <c r="G314" s="24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5" t="str">
        <f>IF(J314&lt;&gt;1,"",IF(I314="SBJ","CB","?"))</f>
        <v> </v>
      </c>
      <c r="I314" s="26" t="str">
        <f>IF(OR(E314="",E314="!!!",F314="NEW"),"",INDEX(B313:B$2,-1+SUMPRODUCT(MAX(ROW(E313:E$2)*(E314=E313:E$2)))))</f>
        <v> </v>
      </c>
      <c r="J314" s="26" t="str">
        <f>IF(OR(E314="",E314="!!!",F314="NEW"),"",COUNTBLANK(OFFSET(A$1,,,SUMPRODUCT(MAX(ROW(E$2:E314)*(E314=E$2:E314)))))-COUNTBLANK(OFFSET(A$1,,,SUMPRODUCT(MAX(ROW(E$1:E313)*(E2=E$1:E313))))))</f>
        <v> </v>
      </c>
      <c r="K314" s="26" t="str">
        <f>IF(OR(E314="",E314="!!!",F314="NEW"),"",INDEX(J$1:J313,SUMPRODUCT(MAX(ROW(E$1:E313)*(E314=E$1:E313)))))</f>
        <v> </v>
      </c>
      <c r="L314" s="27"/>
    </row>
    <row r="315" spans="1:12">
      <c r="A315" s="20" t="s">
        <v>335</v>
      </c>
      <c r="E315" s="22">
        <f>IF(D315="?OLD","!!!","")</f>
        <v/>
      </c>
      <c r="F315" s="23" t="str">
        <f>IF(OR(E315="",E315="!!!"),"",IF(NOT(ISNA(VLOOKUP(E315,E$1:E314,1,FALSE()))),"OLD",IF(AND(E315&lt;&gt;"",E315&lt;&gt;"!!!"),"NEW","")))</f>
        <v> </v>
      </c>
      <c r="G315" s="24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5" t="str">
        <f>IF(J315&lt;&gt;1,"",IF(I315="SBJ","CB","?"))</f>
        <v> </v>
      </c>
      <c r="I315" s="26" t="str">
        <f>IF(OR(E315="",E315="!!!",F315="NEW"),"",INDEX(B314:B$2,-1+SUMPRODUCT(MAX(ROW(E314:E$2)*(E315=E314:E$2)))))</f>
        <v> </v>
      </c>
      <c r="J315" s="26" t="str">
        <f>IF(OR(E315="",E315="!!!",F315="NEW"),"",COUNTBLANK(OFFSET(A$1,,,SUMPRODUCT(MAX(ROW(E$2:E315)*(E315=E$2:E315)))))-COUNTBLANK(OFFSET(A$1,,,SUMPRODUCT(MAX(ROW(E$1:E314)*(E2=E$1:E314))))))</f>
        <v> </v>
      </c>
      <c r="K315" s="26" t="str">
        <f>IF(OR(E315="",E315="!!!",F315="NEW"),"",INDEX(J$1:J314,SUMPRODUCT(MAX(ROW(E$1:E314)*(E315=E$1:E314)))))</f>
        <v> </v>
      </c>
      <c r="L315" s="27"/>
    </row>
    <row r="316" spans="1:12">
      <c r="A316" s="20" t="s">
        <v>236</v>
      </c>
      <c r="E316" s="22">
        <f>IF(D316="?OLD","!!!","")</f>
        <v/>
      </c>
      <c r="F316" s="23" t="str">
        <f>IF(OR(E316="",E316="!!!"),"",IF(NOT(ISNA(VLOOKUP(E316,E$1:E315,1,FALSE()))),"OLD",IF(AND(E316&lt;&gt;"",E316&lt;&gt;"!!!"),"NEW","")))</f>
        <v> </v>
      </c>
      <c r="G316" s="24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5" t="str">
        <f>IF(J316&lt;&gt;1,"",IF(I316="SBJ","CB","?"))</f>
        <v> </v>
      </c>
      <c r="I316" s="26" t="str">
        <f>IF(OR(E316="",E316="!!!",F316="NEW"),"",INDEX(B315:B$2,-1+SUMPRODUCT(MAX(ROW(E315:E$2)*(E316=E315:E$2)))))</f>
        <v> </v>
      </c>
      <c r="J316" s="26" t="str">
        <f>IF(OR(E316="",E316="!!!",F316="NEW"),"",COUNTBLANK(OFFSET(A$1,,,SUMPRODUCT(MAX(ROW(E$2:E316)*(E316=E$2:E316)))))-COUNTBLANK(OFFSET(A$1,,,SUMPRODUCT(MAX(ROW(E$1:E315)*(E2=E$1:E315))))))</f>
        <v> </v>
      </c>
      <c r="K316" s="26" t="str">
        <f>IF(OR(E316="",E316="!!!",F316="NEW"),"",INDEX(J$1:J315,SUMPRODUCT(MAX(ROW(E$1:E315)*(E316=E$1:E315)))))</f>
        <v> </v>
      </c>
      <c r="L316" s="27"/>
    </row>
    <row r="317" spans="1:12">
      <c r="A317" s="20" t="s">
        <v>189</v>
      </c>
      <c r="E317" s="22">
        <f>IF(D317="?OLD","!!!","")</f>
        <v/>
      </c>
      <c r="F317" s="23" t="str">
        <f>IF(OR(E317="",E317="!!!"),"",IF(NOT(ISNA(VLOOKUP(E317,E$1:E316,1,FALSE()))),"OLD",IF(AND(E317&lt;&gt;"",E317&lt;&gt;"!!!"),"NEW","")))</f>
        <v> </v>
      </c>
      <c r="G317" s="24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5" t="str">
        <f>IF(J317&lt;&gt;1,"",IF(I317="SBJ","CB","?"))</f>
        <v> </v>
      </c>
      <c r="I317" s="26" t="str">
        <f>IF(OR(E317="",E317="!!!",F317="NEW"),"",INDEX(B316:B$2,-1+SUMPRODUCT(MAX(ROW(E316:E$2)*(E317=E316:E$2)))))</f>
        <v> </v>
      </c>
      <c r="J317" s="26" t="str">
        <f>IF(OR(E317="",E317="!!!",F317="NEW"),"",COUNTBLANK(OFFSET(A$1,,,SUMPRODUCT(MAX(ROW(E$2:E317)*(E317=E$2:E317)))))-COUNTBLANK(OFFSET(A$1,,,SUMPRODUCT(MAX(ROW(E$1:E316)*(E2=E$1:E316))))))</f>
        <v> </v>
      </c>
      <c r="K317" s="26" t="str">
        <f>IF(OR(E317="",E317="!!!",F317="NEW"),"",INDEX(J$1:J316,SUMPRODUCT(MAX(ROW(E$1:E316)*(E317=E$1:E316)))))</f>
        <v> </v>
      </c>
      <c r="L317" s="27"/>
    </row>
    <row r="318" spans="1:12">
      <c r="A318" s="20" t="s">
        <v>336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 t="s">
        <v>337</v>
      </c>
      <c r="B319" s="21" t="s">
        <v>211</v>
      </c>
      <c r="C319" s="21" t="s">
        <v>207</v>
      </c>
      <c r="E319" s="22">
        <f>IF(D319="?OLD","!!!","")</f>
        <v/>
      </c>
      <c r="F319" s="23" t="str">
        <f>IF(OR(E319="",E319="!!!"),"",IF(NOT(ISNA(VLOOKUP(E319,E$1:E318,1,FALSE()))),"OLD",IF(AND(E319&lt;&gt;"",E319&lt;&gt;"!!!"),"NEW","")))</f>
        <v> </v>
      </c>
      <c r="G319" s="24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5" t="str">
        <f>IF(J319&lt;&gt;1,"",IF(I319="SBJ","CB","?"))</f>
        <v> </v>
      </c>
      <c r="I319" s="26" t="str">
        <f>IF(OR(E319="",E319="!!!",F319="NEW"),"",INDEX(B318:B$2,-1+SUMPRODUCT(MAX(ROW(E318:E$2)*(E319=E318:E$2)))))</f>
        <v> </v>
      </c>
      <c r="J319" s="26" t="str">
        <f>IF(OR(E319="",E319="!!!",F319="NEW"),"",COUNTBLANK(OFFSET(A$1,,,SUMPRODUCT(MAX(ROW(E$2:E319)*(E319=E$2:E319)))))-COUNTBLANK(OFFSET(A$1,,,SUMPRODUCT(MAX(ROW(E$1:E318)*(E2=E$1:E318))))))</f>
        <v> </v>
      </c>
      <c r="K319" s="26" t="str">
        <f>IF(OR(E319="",E319="!!!",F319="NEW"),"",INDEX(J$1:J318,SUMPRODUCT(MAX(ROW(E$1:E318)*(E319=E$1:E318)))))</f>
        <v> </v>
      </c>
      <c r="L319" s="27"/>
    </row>
    <row r="320" spans="1:12">
      <c r="A320" s="20" t="s">
        <v>338</v>
      </c>
      <c r="E320" s="22">
        <f>IF(D320="?OLD","!!!","")</f>
        <v/>
      </c>
      <c r="F320" s="23" t="str">
        <f>IF(OR(E320="",E320="!!!"),"",IF(NOT(ISNA(VLOOKUP(E320,E$1:E319,1,FALSE()))),"OLD",IF(AND(E320&lt;&gt;"",E320&lt;&gt;"!!!"),"NEW","")))</f>
        <v> </v>
      </c>
      <c r="G320" s="24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5" t="str">
        <f>IF(J320&lt;&gt;1,"",IF(I320="SBJ","CB","?"))</f>
        <v> </v>
      </c>
      <c r="I320" s="26" t="str">
        <f>IF(OR(E320="",E320="!!!",F320="NEW"),"",INDEX(B319:B$2,-1+SUMPRODUCT(MAX(ROW(E319:E$2)*(E320=E319:E$2)))))</f>
        <v> </v>
      </c>
      <c r="J320" s="26" t="str">
        <f>IF(OR(E320="",E320="!!!",F320="NEW"),"",COUNTBLANK(OFFSET(A$1,,,SUMPRODUCT(MAX(ROW(E$2:E320)*(E320=E$2:E320)))))-COUNTBLANK(OFFSET(A$1,,,SUMPRODUCT(MAX(ROW(E$1:E319)*(E2=E$1:E319))))))</f>
        <v> </v>
      </c>
      <c r="K320" s="26" t="str">
        <f>IF(OR(E320="",E320="!!!",F320="NEW"),"",INDEX(J$1:J319,SUMPRODUCT(MAX(ROW(E$1:E319)*(E320=E$1:E319)))))</f>
        <v> </v>
      </c>
      <c r="L320" s="27"/>
    </row>
    <row r="321" spans="1:12">
      <c r="A321" s="20" t="s">
        <v>187</v>
      </c>
      <c r="E321" s="22">
        <f>IF(D321="?OLD","!!!","")</f>
        <v/>
      </c>
      <c r="F321" s="23" t="str">
        <f>IF(OR(E321="",E321="!!!"),"",IF(NOT(ISNA(VLOOKUP(E321,E$1:E320,1,FALSE()))),"OLD",IF(AND(E321&lt;&gt;"",E321&lt;&gt;"!!!"),"NEW","")))</f>
        <v> </v>
      </c>
      <c r="G321" s="24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5" t="str">
        <f>IF(J321&lt;&gt;1,"",IF(I321="SBJ","CB","?"))</f>
        <v> </v>
      </c>
      <c r="I321" s="26" t="str">
        <f>IF(OR(E321="",E321="!!!",F321="NEW"),"",INDEX(B320:B$2,-1+SUMPRODUCT(MAX(ROW(E320:E$2)*(E321=E320:E$2)))))</f>
        <v> </v>
      </c>
      <c r="J321" s="26" t="str">
        <f>IF(OR(E321="",E321="!!!",F321="NEW"),"",COUNTBLANK(OFFSET(A$1,,,SUMPRODUCT(MAX(ROW(E$2:E321)*(E321=E$2:E321)))))-COUNTBLANK(OFFSET(A$1,,,SUMPRODUCT(MAX(ROW(E$1:E320)*(E2=E$1:E320))))))</f>
        <v> </v>
      </c>
      <c r="K321" s="26" t="str">
        <f>IF(OR(E321="",E321="!!!",F321="NEW"),"",INDEX(J$1:J320,SUMPRODUCT(MAX(ROW(E$1:E320)*(E321=E$1:E320)))))</f>
        <v> </v>
      </c>
      <c r="L321" s="27"/>
    </row>
    <row r="322" spans="1:12">
      <c r="A322" s="20" t="s">
        <v>148</v>
      </c>
      <c r="E322" s="22">
        <f>IF(D322="?OLD","!!!","")</f>
        <v/>
      </c>
      <c r="F322" s="23" t="str">
        <f>IF(OR(E322="",E322="!!!"),"",IF(NOT(ISNA(VLOOKUP(E322,E$1:E321,1,FALSE()))),"OLD",IF(AND(E322&lt;&gt;"",E322&lt;&gt;"!!!"),"NEW","")))</f>
        <v> </v>
      </c>
      <c r="G322" s="24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5" t="str">
        <f>IF(J322&lt;&gt;1,"",IF(I322="SBJ","CB","?"))</f>
        <v> </v>
      </c>
      <c r="I322" s="26" t="str">
        <f>IF(OR(E322="",E322="!!!",F322="NEW"),"",INDEX(B321:B$2,-1+SUMPRODUCT(MAX(ROW(E321:E$2)*(E322=E321:E$2)))))</f>
        <v> </v>
      </c>
      <c r="J322" s="26" t="str">
        <f>IF(OR(E322="",E322="!!!",F322="NEW"),"",COUNTBLANK(OFFSET(A$1,,,SUMPRODUCT(MAX(ROW(E$2:E322)*(E322=E$2:E322)))))-COUNTBLANK(OFFSET(A$1,,,SUMPRODUCT(MAX(ROW(E$1:E321)*(E2=E$1:E321))))))</f>
        <v> </v>
      </c>
      <c r="K322" s="26" t="str">
        <f>IF(OR(E322="",E322="!!!",F322="NEW"),"",INDEX(J$1:J321,SUMPRODUCT(MAX(ROW(E$1:E321)*(E322=E$1:E321)))))</f>
        <v> </v>
      </c>
      <c r="L322" s="27"/>
    </row>
    <row r="323" spans="1:12">
      <c r="A323" s="20"/>
    </row>
    <row r="324" spans="1:12">
      <c r="A324" s="20" t="s">
        <v>339</v>
      </c>
    </row>
    <row r="325" spans="1:12">
      <c r="A325" s="20" t="s">
        <v>340</v>
      </c>
      <c r="E325" s="22">
        <f>IF(D325="?OLD","!!!","")</f>
        <v/>
      </c>
      <c r="F325" s="23" t="str">
        <f>IF(OR(E325="",E325="!!!"),"",IF(NOT(ISNA(VLOOKUP(E325,E$1:E324,1,FALSE()))),"OLD",IF(AND(E325&lt;&gt;"",E325&lt;&gt;"!!!"),"NEW","")))</f>
        <v> </v>
      </c>
      <c r="G325" s="24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5" t="str">
        <f>IF(J325&lt;&gt;1,"",IF(I325="SBJ","CB","?"))</f>
        <v> </v>
      </c>
      <c r="I325" s="26" t="str">
        <f>IF(OR(E325="",E325="!!!",F325="NEW"),"",INDEX(B324:B$2,-1+SUMPRODUCT(MAX(ROW(E324:E$2)*(E325=E324:E$2)))))</f>
        <v> </v>
      </c>
      <c r="J325" s="26" t="str">
        <f>IF(OR(E325="",E325="!!!",F325="NEW"),"",COUNTBLANK(OFFSET(A$1,,,SUMPRODUCT(MAX(ROW(E$2:E325)*(E325=E$2:E325)))))-COUNTBLANK(OFFSET(A$1,,,SUMPRODUCT(MAX(ROW(E$1:E324)*(E2=E$1:E324))))))</f>
        <v> </v>
      </c>
      <c r="K325" s="26" t="str">
        <f>IF(OR(E325="",E325="!!!",F325="NEW"),"",INDEX(J$1:J324,SUMPRODUCT(MAX(ROW(E$1:E324)*(E325=E$1:E324)))))</f>
        <v> </v>
      </c>
      <c r="L325" s="27"/>
    </row>
    <row r="326" spans="1:12">
      <c r="A326" s="20" t="s">
        <v>341</v>
      </c>
      <c r="B326" s="21" t="s">
        <v>152</v>
      </c>
      <c r="C326" s="21" t="s">
        <v>207</v>
      </c>
      <c r="E326" s="22">
        <f>IF(D326="?OLD","!!!","")</f>
        <v/>
      </c>
      <c r="F326" s="23" t="str">
        <f>IF(OR(E326="",E326="!!!"),"",IF(NOT(ISNA(VLOOKUP(E326,E$1:E325,1,FALSE()))),"OLD",IF(AND(E326&lt;&gt;"",E326&lt;&gt;"!!!"),"NEW","")))</f>
        <v> </v>
      </c>
      <c r="G326" s="24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5" t="str">
        <f>IF(J326&lt;&gt;1,"",IF(I326="SBJ","CB","?"))</f>
        <v> </v>
      </c>
      <c r="I326" s="26" t="str">
        <f>IF(OR(E326="",E326="!!!",F326="NEW"),"",INDEX(B325:B$2,-1+SUMPRODUCT(MAX(ROW(E325:E$2)*(E326=E325:E$2)))))</f>
        <v> </v>
      </c>
      <c r="J326" s="26" t="str">
        <f>IF(OR(E326="",E326="!!!",F326="NEW"),"",COUNTBLANK(OFFSET(A$1,,,SUMPRODUCT(MAX(ROW(E$2:E326)*(E326=E$2:E326)))))-COUNTBLANK(OFFSET(A$1,,,SUMPRODUCT(MAX(ROW(E$1:E325)*(E2=E$1:E325))))))</f>
        <v> </v>
      </c>
      <c r="K326" s="26" t="str">
        <f>IF(OR(E326="",E326="!!!",F326="NEW"),"",INDEX(J$1:J325,SUMPRODUCT(MAX(ROW(E$1:E325)*(E326=E$1:E325)))))</f>
        <v> </v>
      </c>
      <c r="L326" s="27"/>
    </row>
    <row r="327" spans="1:12">
      <c r="A327" s="20" t="s">
        <v>342</v>
      </c>
      <c r="E327" s="22">
        <f>IF(D327="?OLD","!!!","")</f>
        <v/>
      </c>
      <c r="F327" s="23" t="str">
        <f>IF(OR(E327="",E327="!!!"),"",IF(NOT(ISNA(VLOOKUP(E327,E$1:E326,1,FALSE()))),"OLD",IF(AND(E327&lt;&gt;"",E327&lt;&gt;"!!!"),"NEW","")))</f>
        <v> </v>
      </c>
      <c r="G327" s="24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5" t="str">
        <f>IF(J327&lt;&gt;1,"",IF(I327="SBJ","CB","?"))</f>
        <v> </v>
      </c>
      <c r="I327" s="26" t="str">
        <f>IF(OR(E327="",E327="!!!",F327="NEW"),"",INDEX(B326:B$2,-1+SUMPRODUCT(MAX(ROW(E326:E$2)*(E327=E326:E$2)))))</f>
        <v> </v>
      </c>
      <c r="J327" s="26" t="str">
        <f>IF(OR(E327="",E327="!!!",F327="NEW"),"",COUNTBLANK(OFFSET(A$1,,,SUMPRODUCT(MAX(ROW(E$2:E327)*(E327=E$2:E327)))))-COUNTBLANK(OFFSET(A$1,,,SUMPRODUCT(MAX(ROW(E$1:E326)*(E2=E$1:E326))))))</f>
        <v> </v>
      </c>
      <c r="K327" s="26" t="str">
        <f>IF(OR(E327="",E327="!!!",F327="NEW"),"",INDEX(J$1:J326,SUMPRODUCT(MAX(ROW(E$1:E326)*(E327=E$1:E326)))))</f>
        <v> </v>
      </c>
      <c r="L327" s="27"/>
    </row>
    <row r="328" spans="1:12">
      <c r="A328" s="20" t="s">
        <v>132</v>
      </c>
      <c r="B328" s="21" t="s">
        <v>129</v>
      </c>
      <c r="C328" s="21" t="s">
        <v>130</v>
      </c>
      <c r="D328" s="21" t="s">
        <v>131</v>
      </c>
      <c r="E328" s="22">
        <f>IF(D328="?OLD","!!!","")</f>
        <v/>
      </c>
      <c r="F328" s="23" t="str">
        <f>IF(OR(E328="",E328="!!!"),"",IF(NOT(ISNA(VLOOKUP(E328,E$1:E327,1,FALSE()))),"OLD",IF(AND(E328&lt;&gt;"",E328&lt;&gt;"!!!"),"NEW","")))</f>
        <v> </v>
      </c>
      <c r="G328" s="24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5" t="str">
        <f>IF(J328&lt;&gt;1,"",IF(I328="SBJ","CB","?"))</f>
        <v> </v>
      </c>
      <c r="I328" s="26" t="str">
        <f>IF(OR(E328="",E328="!!!",F328="NEW"),"",INDEX(B327:B$2,-1+SUMPRODUCT(MAX(ROW(E327:E$2)*(E328=E327:E$2)))))</f>
        <v> </v>
      </c>
      <c r="J328" s="26" t="str">
        <f>IF(OR(E328="",E328="!!!",F328="NEW"),"",COUNTBLANK(OFFSET(A$1,,,SUMPRODUCT(MAX(ROW(E$2:E328)*(E328=E$2:E328)))))-COUNTBLANK(OFFSET(A$1,,,SUMPRODUCT(MAX(ROW(E$1:E327)*(E2=E$1:E327))))))</f>
        <v> </v>
      </c>
      <c r="K328" s="26" t="str">
        <f>IF(OR(E328="",E328="!!!",F328="NEW"),"",INDEX(J$1:J327,SUMPRODUCT(MAX(ROW(E$1:E327)*(E328=E$1:E327)))))</f>
        <v> </v>
      </c>
      <c r="L328" s="27"/>
    </row>
    <row r="329" spans="1:12">
      <c r="A329" s="20" t="s">
        <v>175</v>
      </c>
      <c r="E329" s="22">
        <f>IF(D329="?OLD","!!!","")</f>
        <v/>
      </c>
      <c r="F329" s="23" t="str">
        <f>IF(OR(E329="",E329="!!!"),"",IF(NOT(ISNA(VLOOKUP(E329,E$1:E328,1,FALSE()))),"OLD",IF(AND(E329&lt;&gt;"",E329&lt;&gt;"!!!"),"NEW","")))</f>
        <v> </v>
      </c>
      <c r="G329" s="24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5" t="str">
        <f>IF(J329&lt;&gt;1,"",IF(I329="SBJ","CB","?"))</f>
        <v> </v>
      </c>
      <c r="I329" s="26" t="str">
        <f>IF(OR(E329="",E329="!!!",F329="NEW"),"",INDEX(B328:B$2,-1+SUMPRODUCT(MAX(ROW(E328:E$2)*(E329=E328:E$2)))))</f>
        <v> </v>
      </c>
      <c r="J329" s="26" t="str">
        <f>IF(OR(E329="",E329="!!!",F329="NEW"),"",COUNTBLANK(OFFSET(A$1,,,SUMPRODUCT(MAX(ROW(E$2:E329)*(E329=E$2:E329)))))-COUNTBLANK(OFFSET(A$1,,,SUMPRODUCT(MAX(ROW(E$1:E328)*(E2=E$1:E328))))))</f>
        <v> </v>
      </c>
      <c r="K329" s="26" t="str">
        <f>IF(OR(E329="",E329="!!!",F329="NEW"),"",INDEX(J$1:J328,SUMPRODUCT(MAX(ROW(E$1:E328)*(E329=E$1:E328)))))</f>
        <v> </v>
      </c>
      <c r="L329" s="27"/>
    </row>
    <row r="330" spans="1:12">
      <c r="A330" s="20" t="s">
        <v>343</v>
      </c>
      <c r="B330" s="21" t="s">
        <v>136</v>
      </c>
      <c r="C330" s="21" t="s">
        <v>137</v>
      </c>
      <c r="D330" s="21" t="s">
        <v>131</v>
      </c>
      <c r="E330" s="22">
        <f>IF(D330="?OLD","!!!","")</f>
        <v/>
      </c>
      <c r="F330" s="23" t="str">
        <f>IF(OR(E330="",E330="!!!"),"",IF(NOT(ISNA(VLOOKUP(E330,E$1:E329,1,FALSE()))),"OLD",IF(AND(E330&lt;&gt;"",E330&lt;&gt;"!!!"),"NEW","")))</f>
        <v> </v>
      </c>
      <c r="G330" s="24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5" t="str">
        <f>IF(J330&lt;&gt;1,"",IF(I330="SBJ","CB","?"))</f>
        <v> </v>
      </c>
      <c r="I330" s="26" t="str">
        <f>IF(OR(E330="",E330="!!!",F330="NEW"),"",INDEX(B329:B$2,-1+SUMPRODUCT(MAX(ROW(E329:E$2)*(E330=E329:E$2)))))</f>
        <v> </v>
      </c>
      <c r="J330" s="26" t="str">
        <f>IF(OR(E330="",E330="!!!",F330="NEW"),"",COUNTBLANK(OFFSET(A$1,,,SUMPRODUCT(MAX(ROW(E$2:E330)*(E330=E$2:E330)))))-COUNTBLANK(OFFSET(A$1,,,SUMPRODUCT(MAX(ROW(E$1:E329)*(E2=E$1:E329))))))</f>
        <v> </v>
      </c>
      <c r="K330" s="26" t="str">
        <f>IF(OR(E330="",E330="!!!",F330="NEW"),"",INDEX(J$1:J329,SUMPRODUCT(MAX(ROW(E$1:E329)*(E330=E$1:E329)))))</f>
        <v> </v>
      </c>
      <c r="L330" s="27"/>
    </row>
    <row r="331" spans="1:12">
      <c r="A331" s="20" t="s">
        <v>148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/>
    </row>
    <row r="333" spans="1:12">
      <c r="A333" s="20" t="s">
        <v>344</v>
      </c>
    </row>
    <row r="334" spans="1:12">
      <c r="A334" s="20" t="s">
        <v>231</v>
      </c>
      <c r="E334" s="22">
        <f>IF(D334="?OLD","!!!","")</f>
        <v/>
      </c>
      <c r="F334" s="23" t="str">
        <f>IF(OR(E334="",E334="!!!"),"",IF(NOT(ISNA(VLOOKUP(E334,E$1:E333,1,FALSE()))),"OLD",IF(AND(E334&lt;&gt;"",E334&lt;&gt;"!!!"),"NEW","")))</f>
        <v> </v>
      </c>
      <c r="G334" s="24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5" t="str">
        <f>IF(J334&lt;&gt;1,"",IF(I334="SBJ","CB","?"))</f>
        <v> </v>
      </c>
      <c r="I334" s="26" t="str">
        <f>IF(OR(E334="",E334="!!!",F334="NEW"),"",INDEX(B333:B$2,-1+SUMPRODUCT(MAX(ROW(E333:E$2)*(E334=E333:E$2)))))</f>
        <v> </v>
      </c>
      <c r="J334" s="26" t="str">
        <f>IF(OR(E334="",E334="!!!",F334="NEW"),"",COUNTBLANK(OFFSET(A$1,,,SUMPRODUCT(MAX(ROW(E$2:E334)*(E334=E$2:E334)))))-COUNTBLANK(OFFSET(A$1,,,SUMPRODUCT(MAX(ROW(E$1:E333)*(E2=E$1:E333))))))</f>
        <v> </v>
      </c>
      <c r="K334" s="26" t="str">
        <f>IF(OR(E334="",E334="!!!",F334="NEW"),"",INDEX(J$1:J333,SUMPRODUCT(MAX(ROW(E$1:E333)*(E334=E$1:E333)))))</f>
        <v> </v>
      </c>
      <c r="L334" s="27"/>
    </row>
    <row r="335" spans="1:12">
      <c r="A335" s="20" t="s">
        <v>345</v>
      </c>
      <c r="E335" s="22">
        <f>IF(D335="?OLD","!!!","")</f>
        <v/>
      </c>
      <c r="F335" s="23" t="str">
        <f>IF(OR(E335="",E335="!!!"),"",IF(NOT(ISNA(VLOOKUP(E335,E$1:E334,1,FALSE()))),"OLD",IF(AND(E335&lt;&gt;"",E335&lt;&gt;"!!!"),"NEW","")))</f>
        <v> </v>
      </c>
      <c r="G335" s="24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5" t="str">
        <f>IF(J335&lt;&gt;1,"",IF(I335="SBJ","CB","?"))</f>
        <v> </v>
      </c>
      <c r="I335" s="26" t="str">
        <f>IF(OR(E335="",E335="!!!",F335="NEW"),"",INDEX(B334:B$2,-1+SUMPRODUCT(MAX(ROW(E334:E$2)*(E335=E334:E$2)))))</f>
        <v> </v>
      </c>
      <c r="J335" s="26" t="str">
        <f>IF(OR(E335="",E335="!!!",F335="NEW"),"",COUNTBLANK(OFFSET(A$1,,,SUMPRODUCT(MAX(ROW(E$2:E335)*(E335=E$2:E335)))))-COUNTBLANK(OFFSET(A$1,,,SUMPRODUCT(MAX(ROW(E$1:E334)*(E2=E$1:E334))))))</f>
        <v> </v>
      </c>
      <c r="K335" s="26" t="str">
        <f>IF(OR(E335="",E335="!!!",F335="NEW"),"",INDEX(J$1:J334,SUMPRODUCT(MAX(ROW(E$1:E334)*(E335=E$1:E334)))))</f>
        <v> </v>
      </c>
      <c r="L335" s="27"/>
    </row>
    <row r="336" spans="1:12">
      <c r="A336" s="20" t="s">
        <v>346</v>
      </c>
      <c r="E336" s="22">
        <f>IF(D336="?OLD","!!!","")</f>
        <v/>
      </c>
      <c r="F336" s="23" t="str">
        <f>IF(OR(E336="",E336="!!!"),"",IF(NOT(ISNA(VLOOKUP(E336,E$1:E335,1,FALSE()))),"OLD",IF(AND(E336&lt;&gt;"",E336&lt;&gt;"!!!"),"NEW","")))</f>
        <v> </v>
      </c>
      <c r="G336" s="24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5" t="str">
        <f>IF(J336&lt;&gt;1,"",IF(I336="SBJ","CB","?"))</f>
        <v> </v>
      </c>
      <c r="I336" s="26" t="str">
        <f>IF(OR(E336="",E336="!!!",F336="NEW"),"",INDEX(B335:B$2,-1+SUMPRODUCT(MAX(ROW(E335:E$2)*(E336=E335:E$2)))))</f>
        <v> </v>
      </c>
      <c r="J336" s="26" t="str">
        <f>IF(OR(E336="",E336="!!!",F336="NEW"),"",COUNTBLANK(OFFSET(A$1,,,SUMPRODUCT(MAX(ROW(E$2:E336)*(E336=E$2:E336)))))-COUNTBLANK(OFFSET(A$1,,,SUMPRODUCT(MAX(ROW(E$1:E335)*(E2=E$1:E335))))))</f>
        <v> </v>
      </c>
      <c r="K336" s="26" t="str">
        <f>IF(OR(E336="",E336="!!!",F336="NEW"),"",INDEX(J$1:J335,SUMPRODUCT(MAX(ROW(E$1:E335)*(E336=E$1:E335)))))</f>
        <v> </v>
      </c>
      <c r="L336" s="27"/>
    </row>
    <row r="337" spans="1:12">
      <c r="A337" s="20" t="s">
        <v>263</v>
      </c>
      <c r="B337" s="21" t="s">
        <v>129</v>
      </c>
      <c r="C337" s="21" t="s">
        <v>181</v>
      </c>
      <c r="D337" s="21" t="s">
        <v>131</v>
      </c>
      <c r="E337" s="22">
        <f>IF(D337="?OLD","!!!","")</f>
        <v/>
      </c>
      <c r="F337" s="23" t="str">
        <f>IF(OR(E337="",E337="!!!"),"",IF(NOT(ISNA(VLOOKUP(E337,E$1:E336,1,FALSE()))),"OLD",IF(AND(E337&lt;&gt;"",E337&lt;&gt;"!!!"),"NEW","")))</f>
        <v> </v>
      </c>
      <c r="G337" s="24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5" t="str">
        <f>IF(J337&lt;&gt;1,"",IF(I337="SBJ","CB","?"))</f>
        <v> </v>
      </c>
      <c r="I337" s="26" t="str">
        <f>IF(OR(E337="",E337="!!!",F337="NEW"),"",INDEX(B336:B$2,-1+SUMPRODUCT(MAX(ROW(E336:E$2)*(E337=E336:E$2)))))</f>
        <v> </v>
      </c>
      <c r="J337" s="26" t="str">
        <f>IF(OR(E337="",E337="!!!",F337="NEW"),"",COUNTBLANK(OFFSET(A$1,,,SUMPRODUCT(MAX(ROW(E$2:E337)*(E337=E$2:E337)))))-COUNTBLANK(OFFSET(A$1,,,SUMPRODUCT(MAX(ROW(E$1:E336)*(E2=E$1:E336))))))</f>
        <v> </v>
      </c>
      <c r="K337" s="26" t="str">
        <f>IF(OR(E337="",E337="!!!",F337="NEW"),"",INDEX(J$1:J336,SUMPRODUCT(MAX(ROW(E$1:E336)*(E337=E$1:E336)))))</f>
        <v> </v>
      </c>
      <c r="L337" s="27"/>
    </row>
    <row r="338" spans="1:12">
      <c r="A338" s="20" t="s">
        <v>236</v>
      </c>
      <c r="E338" s="22">
        <f>IF(D338="?OLD","!!!","")</f>
        <v/>
      </c>
      <c r="F338" s="23" t="str">
        <f>IF(OR(E338="",E338="!!!"),"",IF(NOT(ISNA(VLOOKUP(E338,E$1:E337,1,FALSE()))),"OLD",IF(AND(E338&lt;&gt;"",E338&lt;&gt;"!!!"),"NEW","")))</f>
        <v> </v>
      </c>
      <c r="G338" s="24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5" t="str">
        <f>IF(J338&lt;&gt;1,"",IF(I338="SBJ","CB","?"))</f>
        <v> </v>
      </c>
      <c r="I338" s="26" t="str">
        <f>IF(OR(E338="",E338="!!!",F338="NEW"),"",INDEX(B337:B$2,-1+SUMPRODUCT(MAX(ROW(E337:E$2)*(E338=E337:E$2)))))</f>
        <v> </v>
      </c>
      <c r="J338" s="26" t="str">
        <f>IF(OR(E338="",E338="!!!",F338="NEW"),"",COUNTBLANK(OFFSET(A$1,,,SUMPRODUCT(MAX(ROW(E$2:E338)*(E338=E$2:E338)))))-COUNTBLANK(OFFSET(A$1,,,SUMPRODUCT(MAX(ROW(E$1:E337)*(E2=E$1:E337))))))</f>
        <v> </v>
      </c>
      <c r="K338" s="26" t="str">
        <f>IF(OR(E338="",E338="!!!",F338="NEW"),"",INDEX(J$1:J337,SUMPRODUCT(MAX(ROW(E$1:E337)*(E338=E$1:E337)))))</f>
        <v> </v>
      </c>
      <c r="L338" s="27"/>
    </row>
    <row r="339" spans="1:12">
      <c r="A339" s="20" t="s">
        <v>268</v>
      </c>
      <c r="E339" s="22">
        <f>IF(D339="?OLD","!!!","")</f>
        <v/>
      </c>
      <c r="F339" s="23" t="str">
        <f>IF(OR(E339="",E339="!!!"),"",IF(NOT(ISNA(VLOOKUP(E339,E$1:E338,1,FALSE()))),"OLD",IF(AND(E339&lt;&gt;"",E339&lt;&gt;"!!!"),"NEW","")))</f>
        <v> </v>
      </c>
      <c r="G339" s="24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5" t="str">
        <f>IF(J339&lt;&gt;1,"",IF(I339="SBJ","CB","?"))</f>
        <v> </v>
      </c>
      <c r="I339" s="26" t="str">
        <f>IF(OR(E339="",E339="!!!",F339="NEW"),"",INDEX(B338:B$2,-1+SUMPRODUCT(MAX(ROW(E338:E$2)*(E339=E338:E$2)))))</f>
        <v> </v>
      </c>
      <c r="J339" s="26" t="str">
        <f>IF(OR(E339="",E339="!!!",F339="NEW"),"",COUNTBLANK(OFFSET(A$1,,,SUMPRODUCT(MAX(ROW(E$2:E339)*(E339=E$2:E339)))))-COUNTBLANK(OFFSET(A$1,,,SUMPRODUCT(MAX(ROW(E$1:E338)*(E2=E$1:E338))))))</f>
        <v> </v>
      </c>
      <c r="K339" s="26" t="str">
        <f>IF(OR(E339="",E339="!!!",F339="NEW"),"",INDEX(J$1:J338,SUMPRODUCT(MAX(ROW(E$1:E338)*(E339=E$1:E338)))))</f>
        <v> </v>
      </c>
      <c r="L339" s="27"/>
    </row>
    <row r="340" spans="1:12">
      <c r="A340" s="20" t="s">
        <v>347</v>
      </c>
      <c r="B340" s="21" t="s">
        <v>136</v>
      </c>
      <c r="C340" s="21" t="s">
        <v>137</v>
      </c>
      <c r="D340" s="21" t="s">
        <v>131</v>
      </c>
      <c r="E340" s="22">
        <f>IF(D340="?OLD","!!!","")</f>
        <v/>
      </c>
      <c r="F340" s="23" t="str">
        <f>IF(OR(E340="",E340="!!!"),"",IF(NOT(ISNA(VLOOKUP(E340,E$1:E339,1,FALSE()))),"OLD",IF(AND(E340&lt;&gt;"",E340&lt;&gt;"!!!"),"NEW","")))</f>
        <v> </v>
      </c>
      <c r="G340" s="24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5" t="str">
        <f>IF(J340&lt;&gt;1,"",IF(I340="SBJ","CB","?"))</f>
        <v> </v>
      </c>
      <c r="I340" s="26" t="str">
        <f>IF(OR(E340="",E340="!!!",F340="NEW"),"",INDEX(B339:B$2,-1+SUMPRODUCT(MAX(ROW(E339:E$2)*(E340=E339:E$2)))))</f>
        <v> </v>
      </c>
      <c r="J340" s="26" t="str">
        <f>IF(OR(E340="",E340="!!!",F340="NEW"),"",COUNTBLANK(OFFSET(A$1,,,SUMPRODUCT(MAX(ROW(E$2:E340)*(E340=E$2:E340)))))-COUNTBLANK(OFFSET(A$1,,,SUMPRODUCT(MAX(ROW(E$1:E339)*(E2=E$1:E339))))))</f>
        <v> </v>
      </c>
      <c r="K340" s="26" t="str">
        <f>IF(OR(E340="",E340="!!!",F340="NEW"),"",INDEX(J$1:J339,SUMPRODUCT(MAX(ROW(E$1:E339)*(E340=E$1:E339)))))</f>
        <v> </v>
      </c>
      <c r="L340" s="27"/>
    </row>
    <row r="341" spans="1:12">
      <c r="A341" s="20" t="s">
        <v>250</v>
      </c>
      <c r="E341" s="22">
        <f>IF(D341="?OLD","!!!","")</f>
        <v/>
      </c>
      <c r="F341" s="23" t="str">
        <f>IF(OR(E341="",E341="!!!"),"",IF(NOT(ISNA(VLOOKUP(E341,E$1:E340,1,FALSE()))),"OLD",IF(AND(E341&lt;&gt;"",E341&lt;&gt;"!!!"),"NEW","")))</f>
        <v> </v>
      </c>
      <c r="G341" s="24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5" t="str">
        <f>IF(J341&lt;&gt;1,"",IF(I341="SBJ","CB","?"))</f>
        <v> </v>
      </c>
      <c r="I341" s="26" t="str">
        <f>IF(OR(E341="",E341="!!!",F341="NEW"),"",INDEX(B340:B$2,-1+SUMPRODUCT(MAX(ROW(E340:E$2)*(E341=E340:E$2)))))</f>
        <v> </v>
      </c>
      <c r="J341" s="26" t="str">
        <f>IF(OR(E341="",E341="!!!",F341="NEW"),"",COUNTBLANK(OFFSET(A$1,,,SUMPRODUCT(MAX(ROW(E$2:E341)*(E341=E$2:E341)))))-COUNTBLANK(OFFSET(A$1,,,SUMPRODUCT(MAX(ROW(E$1:E340)*(E2=E$1:E340))))))</f>
        <v> </v>
      </c>
      <c r="K341" s="26" t="str">
        <f>IF(OR(E341="",E341="!!!",F341="NEW"),"",INDEX(J$1:J340,SUMPRODUCT(MAX(ROW(E$1:E340)*(E341=E$1:E340)))))</f>
        <v> </v>
      </c>
      <c r="L341" s="27"/>
    </row>
    <row r="342" spans="1:12">
      <c r="A342" s="20" t="s">
        <v>348</v>
      </c>
      <c r="E342" s="22">
        <f>IF(D342="?OLD","!!!","")</f>
        <v/>
      </c>
      <c r="F342" s="23" t="str">
        <f>IF(OR(E342="",E342="!!!"),"",IF(NOT(ISNA(VLOOKUP(E342,E$1:E341,1,FALSE()))),"OLD",IF(AND(E342&lt;&gt;"",E342&lt;&gt;"!!!"),"NEW","")))</f>
        <v> </v>
      </c>
      <c r="G342" s="24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5" t="str">
        <f>IF(J342&lt;&gt;1,"",IF(I342="SBJ","CB","?"))</f>
        <v> </v>
      </c>
      <c r="I342" s="26" t="str">
        <f>IF(OR(E342="",E342="!!!",F342="NEW"),"",INDEX(B341:B$2,-1+SUMPRODUCT(MAX(ROW(E341:E$2)*(E342=E341:E$2)))))</f>
        <v> </v>
      </c>
      <c r="J342" s="26" t="str">
        <f>IF(OR(E342="",E342="!!!",F342="NEW"),"",COUNTBLANK(OFFSET(A$1,,,SUMPRODUCT(MAX(ROW(E$2:E342)*(E342=E$2:E342)))))-COUNTBLANK(OFFSET(A$1,,,SUMPRODUCT(MAX(ROW(E$1:E341)*(E2=E$1:E341))))))</f>
        <v> </v>
      </c>
      <c r="K342" s="26" t="str">
        <f>IF(OR(E342="",E342="!!!",F342="NEW"),"",INDEX(J$1:J341,SUMPRODUCT(MAX(ROW(E$1:E341)*(E342=E$1:E341)))))</f>
        <v> </v>
      </c>
      <c r="L342" s="27"/>
    </row>
    <row r="343" spans="1:12">
      <c r="A343" s="20" t="s">
        <v>349</v>
      </c>
      <c r="B343" s="21" t="s">
        <v>145</v>
      </c>
      <c r="C343" s="21" t="s">
        <v>130</v>
      </c>
      <c r="D343" s="21" t="s">
        <v>131</v>
      </c>
      <c r="E343" s="22">
        <f>IF(D343="?OLD","!!!","")</f>
        <v/>
      </c>
      <c r="F343" s="23" t="str">
        <f>IF(OR(E343="",E343="!!!"),"",IF(NOT(ISNA(VLOOKUP(E343,E$1:E342,1,FALSE()))),"OLD",IF(AND(E343&lt;&gt;"",E343&lt;&gt;"!!!"),"NEW","")))</f>
        <v> </v>
      </c>
      <c r="G343" s="24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5" t="str">
        <f>IF(J343&lt;&gt;1,"",IF(I343="SBJ","CB","?"))</f>
        <v> </v>
      </c>
      <c r="I343" s="26" t="str">
        <f>IF(OR(E343="",E343="!!!",F343="NEW"),"",INDEX(B342:B$2,-1+SUMPRODUCT(MAX(ROW(E342:E$2)*(E343=E342:E$2)))))</f>
        <v> </v>
      </c>
      <c r="J343" s="26" t="str">
        <f>IF(OR(E343="",E343="!!!",F343="NEW"),"",COUNTBLANK(OFFSET(A$1,,,SUMPRODUCT(MAX(ROW(E$2:E343)*(E343=E$2:E343)))))-COUNTBLANK(OFFSET(A$1,,,SUMPRODUCT(MAX(ROW(E$1:E342)*(E2=E$1:E342))))))</f>
        <v> </v>
      </c>
      <c r="K343" s="26" t="str">
        <f>IF(OR(E343="",E343="!!!",F343="NEW"),"",INDEX(J$1:J342,SUMPRODUCT(MAX(ROW(E$1:E342)*(E343=E$1:E342)))))</f>
        <v> </v>
      </c>
      <c r="L343" s="27"/>
    </row>
    <row r="344" spans="1:12">
      <c r="A344" s="20" t="s">
        <v>350</v>
      </c>
      <c r="E344" s="22">
        <f>IF(D344="?OLD","!!!","")</f>
        <v/>
      </c>
      <c r="F344" s="23" t="str">
        <f>IF(OR(E344="",E344="!!!"),"",IF(NOT(ISNA(VLOOKUP(E344,E$1:E343,1,FALSE()))),"OLD",IF(AND(E344&lt;&gt;"",E344&lt;&gt;"!!!"),"NEW","")))</f>
        <v> </v>
      </c>
      <c r="G344" s="24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5" t="str">
        <f>IF(J344&lt;&gt;1,"",IF(I344="SBJ","CB","?"))</f>
        <v> </v>
      </c>
      <c r="I344" s="26" t="str">
        <f>IF(OR(E344="",E344="!!!",F344="NEW"),"",INDEX(B343:B$2,-1+SUMPRODUCT(MAX(ROW(E343:E$2)*(E344=E343:E$2)))))</f>
        <v> </v>
      </c>
      <c r="J344" s="26" t="str">
        <f>IF(OR(E344="",E344="!!!",F344="NEW"),"",COUNTBLANK(OFFSET(A$1,,,SUMPRODUCT(MAX(ROW(E$2:E344)*(E344=E$2:E344)))))-COUNTBLANK(OFFSET(A$1,,,SUMPRODUCT(MAX(ROW(E$1:E343)*(E2=E$1:E343))))))</f>
        <v> </v>
      </c>
      <c r="K344" s="26" t="str">
        <f>IF(OR(E344="",E344="!!!",F344="NEW"),"",INDEX(J$1:J343,SUMPRODUCT(MAX(ROW(E$1:E343)*(E344=E$1:E343)))))</f>
        <v> </v>
      </c>
      <c r="L344" s="27"/>
    </row>
    <row r="345" spans="1:12">
      <c r="A345" s="20" t="s">
        <v>351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 t="s">
        <v>148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/>
    </row>
    <row r="348" spans="1:12">
      <c r="A348" s="20" t="s">
        <v>184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 t="s">
        <v>352</v>
      </c>
    </row>
    <row r="350" spans="1:12">
      <c r="A350" s="20" t="s">
        <v>353</v>
      </c>
      <c r="E350" s="22">
        <f>IF(D350="?OLD","!!!","")</f>
        <v/>
      </c>
      <c r="F350" s="23" t="str">
        <f>IF(OR(E350="",E350="!!!"),"",IF(NOT(ISNA(VLOOKUP(E350,E$1:E349,1,FALSE()))),"OLD",IF(AND(E350&lt;&gt;"",E350&lt;&gt;"!!!"),"NEW","")))</f>
        <v> </v>
      </c>
      <c r="G350" s="24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5" t="str">
        <f>IF(J350&lt;&gt;1,"",IF(I350="SBJ","CB","?"))</f>
        <v> </v>
      </c>
      <c r="I350" s="26" t="str">
        <f>IF(OR(E350="",E350="!!!",F350="NEW"),"",INDEX(B349:B$2,-1+SUMPRODUCT(MAX(ROW(E349:E$2)*(E350=E349:E$2)))))</f>
        <v> </v>
      </c>
      <c r="J350" s="26" t="str">
        <f>IF(OR(E350="",E350="!!!",F350="NEW"),"",COUNTBLANK(OFFSET(A$1,,,SUMPRODUCT(MAX(ROW(E$2:E350)*(E350=E$2:E350)))))-COUNTBLANK(OFFSET(A$1,,,SUMPRODUCT(MAX(ROW(E$1:E349)*(E2=E$1:E349))))))</f>
        <v> </v>
      </c>
      <c r="K350" s="26" t="str">
        <f>IF(OR(E350="",E350="!!!",F350="NEW"),"",INDEX(J$1:J349,SUMPRODUCT(MAX(ROW(E$1:E349)*(E350=E$1:E349)))))</f>
        <v> </v>
      </c>
      <c r="L350" s="27"/>
    </row>
    <row r="351" spans="1:12">
      <c r="A351" s="20" t="s">
        <v>60</v>
      </c>
      <c r="E351" s="22">
        <f>IF(D351="?OLD","!!!","")</f>
        <v/>
      </c>
      <c r="F351" s="23" t="str">
        <f>IF(OR(E351="",E351="!!!"),"",IF(NOT(ISNA(VLOOKUP(E351,E$1:E350,1,FALSE()))),"OLD",IF(AND(E351&lt;&gt;"",E351&lt;&gt;"!!!"),"NEW","")))</f>
        <v> </v>
      </c>
      <c r="G351" s="24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5" t="str">
        <f>IF(J351&lt;&gt;1,"",IF(I351="SBJ","CB","?"))</f>
        <v> </v>
      </c>
      <c r="I351" s="26" t="str">
        <f>IF(OR(E351="",E351="!!!",F351="NEW"),"",INDEX(B350:B$2,-1+SUMPRODUCT(MAX(ROW(E350:E$2)*(E351=E350:E$2)))))</f>
        <v> </v>
      </c>
      <c r="J351" s="26" t="str">
        <f>IF(OR(E351="",E351="!!!",F351="NEW"),"",COUNTBLANK(OFFSET(A$1,,,SUMPRODUCT(MAX(ROW(E$2:E351)*(E351=E$2:E351)))))-COUNTBLANK(OFFSET(A$1,,,SUMPRODUCT(MAX(ROW(E$1:E350)*(E2=E$1:E350))))))</f>
        <v> </v>
      </c>
      <c r="K351" s="26" t="str">
        <f>IF(OR(E351="",E351="!!!",F351="NEW"),"",INDEX(J$1:J350,SUMPRODUCT(MAX(ROW(E$1:E350)*(E351=E$1:E350)))))</f>
        <v> </v>
      </c>
      <c r="L351" s="27"/>
    </row>
    <row r="352" spans="1:12">
      <c r="A352" s="20" t="s">
        <v>354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 t="s">
        <v>355</v>
      </c>
      <c r="E353" s="22">
        <f>IF(D353="?OLD","!!!","")</f>
        <v/>
      </c>
      <c r="F353" s="23" t="str">
        <f>IF(OR(E353="",E353="!!!"),"",IF(NOT(ISNA(VLOOKUP(E353,E$1:E352,1,FALSE()))),"OLD",IF(AND(E353&lt;&gt;"",E353&lt;&gt;"!!!"),"NEW","")))</f>
        <v> </v>
      </c>
      <c r="G353" s="24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5" t="str">
        <f>IF(J353&lt;&gt;1,"",IF(I353="SBJ","CB","?"))</f>
        <v> </v>
      </c>
      <c r="I353" s="26" t="str">
        <f>IF(OR(E353="",E353="!!!",F353="NEW"),"",INDEX(B352:B$2,-1+SUMPRODUCT(MAX(ROW(E352:E$2)*(E353=E352:E$2)))))</f>
        <v> </v>
      </c>
      <c r="J353" s="26" t="str">
        <f>IF(OR(E353="",E353="!!!",F353="NEW"),"",COUNTBLANK(OFFSET(A$1,,,SUMPRODUCT(MAX(ROW(E$2:E353)*(E353=E$2:E353)))))-COUNTBLANK(OFFSET(A$1,,,SUMPRODUCT(MAX(ROW(E$1:E352)*(E2=E$1:E352))))))</f>
        <v> </v>
      </c>
      <c r="K353" s="26" t="str">
        <f>IF(OR(E353="",E353="!!!",F353="NEW"),"",INDEX(J$1:J352,SUMPRODUCT(MAX(ROW(E$1:E352)*(E353=E$1:E352)))))</f>
        <v> </v>
      </c>
      <c r="L353" s="27"/>
    </row>
    <row r="354" spans="1:12">
      <c r="A354" s="20" t="s">
        <v>356</v>
      </c>
      <c r="B354" s="21" t="s">
        <v>152</v>
      </c>
      <c r="C354" s="21" t="s">
        <v>165</v>
      </c>
      <c r="E354" s="22">
        <f>IF(D354="?OLD","!!!","")</f>
        <v/>
      </c>
      <c r="F354" s="23" t="str">
        <f>IF(OR(E354="",E354="!!!"),"",IF(NOT(ISNA(VLOOKUP(E354,E$1:E353,1,FALSE()))),"OLD",IF(AND(E354&lt;&gt;"",E354&lt;&gt;"!!!"),"NEW","")))</f>
        <v> </v>
      </c>
      <c r="G354" s="24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5" t="str">
        <f>IF(J354&lt;&gt;1,"",IF(I354="SBJ","CB","?"))</f>
        <v> </v>
      </c>
      <c r="I354" s="26" t="str">
        <f>IF(OR(E354="",E354="!!!",F354="NEW"),"",INDEX(B353:B$2,-1+SUMPRODUCT(MAX(ROW(E353:E$2)*(E354=E353:E$2)))))</f>
        <v> </v>
      </c>
      <c r="J354" s="26" t="str">
        <f>IF(OR(E354="",E354="!!!",F354="NEW"),"",COUNTBLANK(OFFSET(A$1,,,SUMPRODUCT(MAX(ROW(E$2:E354)*(E354=E$2:E354)))))-COUNTBLANK(OFFSET(A$1,,,SUMPRODUCT(MAX(ROW(E$1:E353)*(E2=E$1:E353))))))</f>
        <v> </v>
      </c>
      <c r="K354" s="26" t="str">
        <f>IF(OR(E354="",E354="!!!",F354="NEW"),"",INDEX(J$1:J353,SUMPRODUCT(MAX(ROW(E$1:E353)*(E354=E$1:E353)))))</f>
        <v> </v>
      </c>
      <c r="L354" s="27"/>
    </row>
    <row r="355" spans="1:12">
      <c r="A355" s="20" t="s">
        <v>357</v>
      </c>
      <c r="B355" s="21" t="s">
        <v>152</v>
      </c>
      <c r="C355" s="21" t="s">
        <v>243</v>
      </c>
      <c r="D355" s="21" t="s">
        <v>131</v>
      </c>
      <c r="E355" s="22">
        <f>IF(D355="?OLD","!!!","")</f>
        <v/>
      </c>
      <c r="F355" s="23" t="str">
        <f>IF(OR(E355="",E355="!!!"),"",IF(NOT(ISNA(VLOOKUP(E355,E$1:E354,1,FALSE()))),"OLD",IF(AND(E355&lt;&gt;"",E355&lt;&gt;"!!!"),"NEW","")))</f>
        <v> </v>
      </c>
      <c r="G355" s="24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5" t="str">
        <f>IF(J355&lt;&gt;1,"",IF(I355="SBJ","CB","?"))</f>
        <v> </v>
      </c>
      <c r="I355" s="26" t="str">
        <f>IF(OR(E355="",E355="!!!",F355="NEW"),"",INDEX(B354:B$2,-1+SUMPRODUCT(MAX(ROW(E354:E$2)*(E355=E354:E$2)))))</f>
        <v> </v>
      </c>
      <c r="J355" s="26" t="str">
        <f>IF(OR(E355="",E355="!!!",F355="NEW"),"",COUNTBLANK(OFFSET(A$1,,,SUMPRODUCT(MAX(ROW(E$2:E355)*(E355=E$2:E355)))))-COUNTBLANK(OFFSET(A$1,,,SUMPRODUCT(MAX(ROW(E$1:E354)*(E2=E$1:E354))))))</f>
        <v> </v>
      </c>
      <c r="K355" s="26" t="str">
        <f>IF(OR(E355="",E355="!!!",F355="NEW"),"",INDEX(J$1:J354,SUMPRODUCT(MAX(ROW(E$1:E354)*(E355=E$1:E354)))))</f>
        <v> </v>
      </c>
      <c r="L355" s="27"/>
    </row>
    <row r="356" spans="1:12">
      <c r="A356" s="20" t="s">
        <v>248</v>
      </c>
      <c r="E356" s="22">
        <f>IF(D356="?OLD","!!!","")</f>
        <v/>
      </c>
      <c r="F356" s="23" t="str">
        <f>IF(OR(E356="",E356="!!!"),"",IF(NOT(ISNA(VLOOKUP(E356,E$1:E355,1,FALSE()))),"OLD",IF(AND(E356&lt;&gt;"",E356&lt;&gt;"!!!"),"NEW","")))</f>
        <v> </v>
      </c>
      <c r="G356" s="24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5" t="str">
        <f>IF(J356&lt;&gt;1,"",IF(I356="SBJ","CB","?"))</f>
        <v> </v>
      </c>
      <c r="I356" s="26" t="str">
        <f>IF(OR(E356="",E356="!!!",F356="NEW"),"",INDEX(B355:B$2,-1+SUMPRODUCT(MAX(ROW(E355:E$2)*(E356=E355:E$2)))))</f>
        <v> </v>
      </c>
      <c r="J356" s="26" t="str">
        <f>IF(OR(E356="",E356="!!!",F356="NEW"),"",COUNTBLANK(OFFSET(A$1,,,SUMPRODUCT(MAX(ROW(E$2:E356)*(E356=E$2:E356)))))-COUNTBLANK(OFFSET(A$1,,,SUMPRODUCT(MAX(ROW(E$1:E355)*(E2=E$1:E355))))))</f>
        <v> </v>
      </c>
      <c r="K356" s="26" t="str">
        <f>IF(OR(E356="",E356="!!!",F356="NEW"),"",INDEX(J$1:J355,SUMPRODUCT(MAX(ROW(E$1:E355)*(E356=E$1:E355)))))</f>
        <v> </v>
      </c>
      <c r="L356" s="27"/>
    </row>
    <row r="357" spans="1:12">
      <c r="A357" s="20" t="s">
        <v>358</v>
      </c>
      <c r="E357" s="22">
        <f>IF(D357="?OLD","!!!","")</f>
        <v/>
      </c>
      <c r="F357" s="23" t="str">
        <f>IF(OR(E357="",E357="!!!"),"",IF(NOT(ISNA(VLOOKUP(E357,E$1:E356,1,FALSE()))),"OLD",IF(AND(E357&lt;&gt;"",E357&lt;&gt;"!!!"),"NEW","")))</f>
        <v> </v>
      </c>
      <c r="G357" s="24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5" t="str">
        <f>IF(J357&lt;&gt;1,"",IF(I357="SBJ","CB","?"))</f>
        <v> </v>
      </c>
      <c r="I357" s="26" t="str">
        <f>IF(OR(E357="",E357="!!!",F357="NEW"),"",INDEX(B356:B$2,-1+SUMPRODUCT(MAX(ROW(E356:E$2)*(E357=E356:E$2)))))</f>
        <v> </v>
      </c>
      <c r="J357" s="26" t="str">
        <f>IF(OR(E357="",E357="!!!",F357="NEW"),"",COUNTBLANK(OFFSET(A$1,,,SUMPRODUCT(MAX(ROW(E$2:E357)*(E357=E$2:E357)))))-COUNTBLANK(OFFSET(A$1,,,SUMPRODUCT(MAX(ROW(E$1:E356)*(E2=E$1:E356))))))</f>
        <v> </v>
      </c>
      <c r="K357" s="26" t="str">
        <f>IF(OR(E357="",E357="!!!",F357="NEW"),"",INDEX(J$1:J356,SUMPRODUCT(MAX(ROW(E$1:E356)*(E357=E$1:E356)))))</f>
        <v> </v>
      </c>
      <c r="L357" s="27"/>
    </row>
    <row r="358" spans="1:12">
      <c r="A358" s="20" t="s">
        <v>359</v>
      </c>
      <c r="B358" s="21" t="s">
        <v>145</v>
      </c>
      <c r="C358" s="21" t="s">
        <v>130</v>
      </c>
      <c r="D358" s="21" t="s">
        <v>131</v>
      </c>
      <c r="E358" s="22">
        <f>IF(D358="?OLD","!!!","")</f>
        <v/>
      </c>
      <c r="F358" s="23" t="str">
        <f>IF(OR(E358="",E358="!!!"),"",IF(NOT(ISNA(VLOOKUP(E358,E$1:E357,1,FALSE()))),"OLD",IF(AND(E358&lt;&gt;"",E358&lt;&gt;"!!!"),"NEW","")))</f>
        <v> </v>
      </c>
      <c r="G358" s="24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5" t="str">
        <f>IF(J358&lt;&gt;1,"",IF(I358="SBJ","CB","?"))</f>
        <v> </v>
      </c>
      <c r="I358" s="26" t="str">
        <f>IF(OR(E358="",E358="!!!",F358="NEW"),"",INDEX(B357:B$2,-1+SUMPRODUCT(MAX(ROW(E357:E$2)*(E358=E357:E$2)))))</f>
        <v> </v>
      </c>
      <c r="J358" s="26" t="str">
        <f>IF(OR(E358="",E358="!!!",F358="NEW"),"",COUNTBLANK(OFFSET(A$1,,,SUMPRODUCT(MAX(ROW(E$2:E358)*(E358=E$2:E358)))))-COUNTBLANK(OFFSET(A$1,,,SUMPRODUCT(MAX(ROW(E$1:E357)*(E2=E$1:E357))))))</f>
        <v> </v>
      </c>
      <c r="K358" s="26" t="str">
        <f>IF(OR(E358="",E358="!!!",F358="NEW"),"",INDEX(J$1:J357,SUMPRODUCT(MAX(ROW(E$1:E357)*(E358=E$1:E357)))))</f>
        <v> </v>
      </c>
      <c r="L358" s="27"/>
    </row>
    <row r="359" spans="1:12">
      <c r="A359" s="20" t="s">
        <v>12</v>
      </c>
      <c r="E359" s="22">
        <f>IF(D359="?OLD","!!!","")</f>
        <v/>
      </c>
      <c r="F359" s="23" t="str">
        <f>IF(OR(E359="",E359="!!!"),"",IF(NOT(ISNA(VLOOKUP(E359,E$1:E358,1,FALSE()))),"OLD",IF(AND(E359&lt;&gt;"",E359&lt;&gt;"!!!"),"NEW","")))</f>
        <v> </v>
      </c>
      <c r="G359" s="24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5" t="str">
        <f>IF(J359&lt;&gt;1,"",IF(I359="SBJ","CB","?"))</f>
        <v> </v>
      </c>
      <c r="I359" s="26" t="str">
        <f>IF(OR(E359="",E359="!!!",F359="NEW"),"",INDEX(B358:B$2,-1+SUMPRODUCT(MAX(ROW(E358:E$2)*(E359=E358:E$2)))))</f>
        <v> </v>
      </c>
      <c r="J359" s="26" t="str">
        <f>IF(OR(E359="",E359="!!!",F359="NEW"),"",COUNTBLANK(OFFSET(A$1,,,SUMPRODUCT(MAX(ROW(E$2:E359)*(E359=E$2:E359)))))-COUNTBLANK(OFFSET(A$1,,,SUMPRODUCT(MAX(ROW(E$1:E358)*(E2=E$1:E358))))))</f>
        <v> </v>
      </c>
      <c r="K359" s="26" t="str">
        <f>IF(OR(E359="",E359="!!!",F359="NEW"),"",INDEX(J$1:J358,SUMPRODUCT(MAX(ROW(E$1:E358)*(E359=E$1:E358)))))</f>
        <v> </v>
      </c>
      <c r="L359" s="27"/>
    </row>
    <row r="360" spans="1:12">
      <c r="A360" s="20" t="s">
        <v>360</v>
      </c>
      <c r="E360" s="22">
        <f>IF(D360="?OLD","!!!","")</f>
        <v/>
      </c>
      <c r="F360" s="23" t="str">
        <f>IF(OR(E360="",E360="!!!"),"",IF(NOT(ISNA(VLOOKUP(E360,E$1:E359,1,FALSE()))),"OLD",IF(AND(E360&lt;&gt;"",E360&lt;&gt;"!!!"),"NEW","")))</f>
        <v> </v>
      </c>
      <c r="G360" s="24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5" t="str">
        <f>IF(J360&lt;&gt;1,"",IF(I360="SBJ","CB","?"))</f>
        <v> </v>
      </c>
      <c r="I360" s="26" t="str">
        <f>IF(OR(E360="",E360="!!!",F360="NEW"),"",INDEX(B359:B$2,-1+SUMPRODUCT(MAX(ROW(E359:E$2)*(E360=E359:E$2)))))</f>
        <v> </v>
      </c>
      <c r="J360" s="26" t="str">
        <f>IF(OR(E360="",E360="!!!",F360="NEW"),"",COUNTBLANK(OFFSET(A$1,,,SUMPRODUCT(MAX(ROW(E$2:E360)*(E360=E$2:E360)))))-COUNTBLANK(OFFSET(A$1,,,SUMPRODUCT(MAX(ROW(E$1:E359)*(E2=E$1:E359))))))</f>
        <v> </v>
      </c>
      <c r="K360" s="26" t="str">
        <f>IF(OR(E360="",E360="!!!",F360="NEW"),"",INDEX(J$1:J359,SUMPRODUCT(MAX(ROW(E$1:E359)*(E360=E$1:E359)))))</f>
        <v> </v>
      </c>
      <c r="L360" s="27"/>
    </row>
    <row r="361" spans="1:12">
      <c r="A361" s="20" t="s">
        <v>171</v>
      </c>
      <c r="E361" s="22">
        <f>IF(D361="?OLD","!!!","")</f>
        <v/>
      </c>
      <c r="F361" s="23" t="str">
        <f>IF(OR(E361="",E361="!!!"),"",IF(NOT(ISNA(VLOOKUP(E361,E$1:E360,1,FALSE()))),"OLD",IF(AND(E361&lt;&gt;"",E361&lt;&gt;"!!!"),"NEW","")))</f>
        <v> </v>
      </c>
      <c r="G361" s="24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5" t="str">
        <f>IF(J361&lt;&gt;1,"",IF(I361="SBJ","CB","?"))</f>
        <v> </v>
      </c>
      <c r="I361" s="26" t="str">
        <f>IF(OR(E361="",E361="!!!",F361="NEW"),"",INDEX(B360:B$2,-1+SUMPRODUCT(MAX(ROW(E360:E$2)*(E361=E360:E$2)))))</f>
        <v> </v>
      </c>
      <c r="J361" s="26" t="str">
        <f>IF(OR(E361="",E361="!!!",F361="NEW"),"",COUNTBLANK(OFFSET(A$1,,,SUMPRODUCT(MAX(ROW(E$2:E361)*(E361=E$2:E361)))))-COUNTBLANK(OFFSET(A$1,,,SUMPRODUCT(MAX(ROW(E$1:E360)*(E2=E$1:E360))))))</f>
        <v> </v>
      </c>
      <c r="K361" s="26" t="str">
        <f>IF(OR(E361="",E361="!!!",F361="NEW"),"",INDEX(J$1:J360,SUMPRODUCT(MAX(ROW(E$1:E360)*(E361=E$1:E360)))))</f>
        <v> </v>
      </c>
      <c r="L361" s="27"/>
    </row>
    <row r="362" spans="1:12">
      <c r="A362" s="20" t="s">
        <v>143</v>
      </c>
      <c r="E362" s="22">
        <f>IF(D362="?OLD","!!!","")</f>
        <v/>
      </c>
      <c r="F362" s="23" t="str">
        <f>IF(OR(E362="",E362="!!!"),"",IF(NOT(ISNA(VLOOKUP(E362,E$1:E361,1,FALSE()))),"OLD",IF(AND(E362&lt;&gt;"",E362&lt;&gt;"!!!"),"NEW","")))</f>
        <v> </v>
      </c>
      <c r="G362" s="24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5" t="str">
        <f>IF(J362&lt;&gt;1,"",IF(I362="SBJ","CB","?"))</f>
        <v> </v>
      </c>
      <c r="I362" s="26" t="str">
        <f>IF(OR(E362="",E362="!!!",F362="NEW"),"",INDEX(B361:B$2,-1+SUMPRODUCT(MAX(ROW(E361:E$2)*(E362=E361:E$2)))))</f>
        <v> </v>
      </c>
      <c r="J362" s="26" t="str">
        <f>IF(OR(E362="",E362="!!!",F362="NEW"),"",COUNTBLANK(OFFSET(A$1,,,SUMPRODUCT(MAX(ROW(E$2:E362)*(E362=E$2:E362)))))-COUNTBLANK(OFFSET(A$1,,,SUMPRODUCT(MAX(ROW(E$1:E361)*(E2=E$1:E361))))))</f>
        <v> </v>
      </c>
      <c r="K362" s="26" t="str">
        <f>IF(OR(E362="",E362="!!!",F362="NEW"),"",INDEX(J$1:J361,SUMPRODUCT(MAX(ROW(E$1:E361)*(E362=E$1:E361)))))</f>
        <v> </v>
      </c>
      <c r="L362" s="27"/>
    </row>
    <row r="363" spans="1:12">
      <c r="A363" s="20" t="s">
        <v>240</v>
      </c>
      <c r="B363" s="21" t="s">
        <v>158</v>
      </c>
      <c r="C363" s="21" t="s">
        <v>130</v>
      </c>
      <c r="D363" s="21" t="s">
        <v>131</v>
      </c>
      <c r="E363" s="22">
        <f>IF(D363="?OLD","!!!","")</f>
        <v/>
      </c>
      <c r="F363" s="23" t="str">
        <f>IF(OR(E363="",E363="!!!"),"",IF(NOT(ISNA(VLOOKUP(E363,E$1:E362,1,FALSE()))),"OLD",IF(AND(E363&lt;&gt;"",E363&lt;&gt;"!!!"),"NEW","")))</f>
        <v> </v>
      </c>
      <c r="G363" s="24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5" t="str">
        <f>IF(J363&lt;&gt;1,"",IF(I363="SBJ","CB","?"))</f>
        <v> </v>
      </c>
      <c r="I363" s="26" t="str">
        <f>IF(OR(E363="",E363="!!!",F363="NEW"),"",INDEX(B362:B$2,-1+SUMPRODUCT(MAX(ROW(E362:E$2)*(E363=E362:E$2)))))</f>
        <v> </v>
      </c>
      <c r="J363" s="26" t="str">
        <f>IF(OR(E363="",E363="!!!",F363="NEW"),"",COUNTBLANK(OFFSET(A$1,,,SUMPRODUCT(MAX(ROW(E$2:E363)*(E363=E$2:E363)))))-COUNTBLANK(OFFSET(A$1,,,SUMPRODUCT(MAX(ROW(E$1:E362)*(E2=E$1:E362))))))</f>
        <v> </v>
      </c>
      <c r="K363" s="26" t="str">
        <f>IF(OR(E363="",E363="!!!",F363="NEW"),"",INDEX(J$1:J362,SUMPRODUCT(MAX(ROW(E$1:E362)*(E363=E$1:E362)))))</f>
        <v> </v>
      </c>
      <c r="L363" s="27"/>
    </row>
    <row r="364" spans="1:12">
      <c r="A364" s="20" t="s">
        <v>156</v>
      </c>
      <c r="E364" s="22">
        <f>IF(D364="?OLD","!!!","")</f>
        <v/>
      </c>
      <c r="F364" s="23" t="str">
        <f>IF(OR(E364="",E364="!!!"),"",IF(NOT(ISNA(VLOOKUP(E364,E$1:E363,1,FALSE()))),"OLD",IF(AND(E364&lt;&gt;"",E364&lt;&gt;"!!!"),"NEW","")))</f>
        <v> </v>
      </c>
      <c r="G364" s="24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5" t="str">
        <f>IF(J364&lt;&gt;1,"",IF(I364="SBJ","CB","?"))</f>
        <v> </v>
      </c>
      <c r="I364" s="26" t="str">
        <f>IF(OR(E364="",E364="!!!",F364="NEW"),"",INDEX(B363:B$2,-1+SUMPRODUCT(MAX(ROW(E363:E$2)*(E364=E363:E$2)))))</f>
        <v> </v>
      </c>
      <c r="J364" s="26" t="str">
        <f>IF(OR(E364="",E364="!!!",F364="NEW"),"",COUNTBLANK(OFFSET(A$1,,,SUMPRODUCT(MAX(ROW(E$2:E364)*(E364=E$2:E364)))))-COUNTBLANK(OFFSET(A$1,,,SUMPRODUCT(MAX(ROW(E$1:E363)*(E2=E$1:E363))))))</f>
        <v> </v>
      </c>
      <c r="K364" s="26" t="str">
        <f>IF(OR(E364="",E364="!!!",F364="NEW"),"",INDEX(J$1:J363,SUMPRODUCT(MAX(ROW(E$1:E363)*(E364=E$1:E363)))))</f>
        <v> </v>
      </c>
      <c r="L364" s="27"/>
    </row>
    <row r="365" spans="1:12">
      <c r="A365" s="20" t="s">
        <v>134</v>
      </c>
      <c r="E365" s="22">
        <f>IF(D365="?OLD","!!!","")</f>
        <v/>
      </c>
      <c r="F365" s="23" t="str">
        <f>IF(OR(E365="",E365="!!!"),"",IF(NOT(ISNA(VLOOKUP(E365,E$1:E364,1,FALSE()))),"OLD",IF(AND(E365&lt;&gt;"",E365&lt;&gt;"!!!"),"NEW","")))</f>
        <v> </v>
      </c>
      <c r="G365" s="24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5" t="str">
        <f>IF(J365&lt;&gt;1,"",IF(I365="SBJ","CB","?"))</f>
        <v> </v>
      </c>
      <c r="I365" s="26" t="str">
        <f>IF(OR(E365="",E365="!!!",F365="NEW"),"",INDEX(B364:B$2,-1+SUMPRODUCT(MAX(ROW(E364:E$2)*(E365=E364:E$2)))))</f>
        <v> </v>
      </c>
      <c r="J365" s="26" t="str">
        <f>IF(OR(E365="",E365="!!!",F365="NEW"),"",COUNTBLANK(OFFSET(A$1,,,SUMPRODUCT(MAX(ROW(E$2:E365)*(E365=E$2:E365)))))-COUNTBLANK(OFFSET(A$1,,,SUMPRODUCT(MAX(ROW(E$1:E364)*(E2=E$1:E364))))))</f>
        <v> </v>
      </c>
      <c r="K365" s="26" t="str">
        <f>IF(OR(E365="",E365="!!!",F365="NEW"),"",INDEX(J$1:J364,SUMPRODUCT(MAX(ROW(E$1:E364)*(E365=E$1:E364)))))</f>
        <v> </v>
      </c>
      <c r="L365" s="27"/>
    </row>
    <row r="366" spans="1:12">
      <c r="A366" s="20" t="s">
        <v>187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361</v>
      </c>
      <c r="B367" s="21" t="s">
        <v>152</v>
      </c>
      <c r="C367" s="21" t="s">
        <v>130</v>
      </c>
      <c r="D367" s="21" t="s">
        <v>131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 t="s">
        <v>301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 t="s">
        <v>362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259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 t="s">
        <v>363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364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 t="s">
        <v>187</v>
      </c>
      <c r="E373" s="22">
        <f>IF(D373="?OLD","!!!","")</f>
        <v/>
      </c>
      <c r="F373" s="23" t="str">
        <f>IF(OR(E373="",E373="!!!"),"",IF(NOT(ISNA(VLOOKUP(E373,E$1:E372,1,FALSE()))),"OLD",IF(AND(E373&lt;&gt;"",E373&lt;&gt;"!!!"),"NEW","")))</f>
        <v> </v>
      </c>
      <c r="G373" s="24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5" t="str">
        <f>IF(J373&lt;&gt;1,"",IF(I373="SBJ","CB","?"))</f>
        <v> </v>
      </c>
      <c r="I373" s="26" t="str">
        <f>IF(OR(E373="",E373="!!!",F373="NEW"),"",INDEX(B372:B$2,-1+SUMPRODUCT(MAX(ROW(E372:E$2)*(E373=E372:E$2)))))</f>
        <v> </v>
      </c>
      <c r="J373" s="26" t="str">
        <f>IF(OR(E373="",E373="!!!",F373="NEW"),"",COUNTBLANK(OFFSET(A$1,,,SUMPRODUCT(MAX(ROW(E$2:E373)*(E373=E$2:E373)))))-COUNTBLANK(OFFSET(A$1,,,SUMPRODUCT(MAX(ROW(E$1:E372)*(E2=E$1:E372))))))</f>
        <v> </v>
      </c>
      <c r="K373" s="26" t="str">
        <f>IF(OR(E373="",E373="!!!",F373="NEW"),"",INDEX(J$1:J372,SUMPRODUCT(MAX(ROW(E$1:E372)*(E373=E$1:E372)))))</f>
        <v> </v>
      </c>
      <c r="L373" s="27"/>
    </row>
    <row r="374" spans="1:12">
      <c r="A374" s="20" t="s">
        <v>365</v>
      </c>
      <c r="E374" s="22">
        <f>IF(D374="?OLD","!!!","")</f>
        <v/>
      </c>
      <c r="F374" s="23" t="str">
        <f>IF(OR(E374="",E374="!!!"),"",IF(NOT(ISNA(VLOOKUP(E374,E$1:E373,1,FALSE()))),"OLD",IF(AND(E374&lt;&gt;"",E374&lt;&gt;"!!!"),"NEW","")))</f>
        <v> </v>
      </c>
      <c r="G374" s="24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5" t="str">
        <f>IF(J374&lt;&gt;1,"",IF(I374="SBJ","CB","?"))</f>
        <v> </v>
      </c>
      <c r="I374" s="26" t="str">
        <f>IF(OR(E374="",E374="!!!",F374="NEW"),"",INDEX(B373:B$2,-1+SUMPRODUCT(MAX(ROW(E373:E$2)*(E374=E373:E$2)))))</f>
        <v> </v>
      </c>
      <c r="J374" s="26" t="str">
        <f>IF(OR(E374="",E374="!!!",F374="NEW"),"",COUNTBLANK(OFFSET(A$1,,,SUMPRODUCT(MAX(ROW(E$2:E374)*(E374=E$2:E374)))))-COUNTBLANK(OFFSET(A$1,,,SUMPRODUCT(MAX(ROW(E$1:E373)*(E2=E$1:E373))))))</f>
        <v> </v>
      </c>
      <c r="K374" s="26" t="str">
        <f>IF(OR(E374="",E374="!!!",F374="NEW"),"",INDEX(J$1:J373,SUMPRODUCT(MAX(ROW(E$1:E373)*(E374=E$1:E373)))))</f>
        <v> </v>
      </c>
      <c r="L374" s="27"/>
    </row>
    <row r="375" spans="1:12">
      <c r="A375" s="20" t="s">
        <v>148</v>
      </c>
      <c r="E375" s="22">
        <f>IF(D375="?OLD","!!!","")</f>
        <v/>
      </c>
      <c r="F375" s="23" t="str">
        <f>IF(OR(E375="",E375="!!!"),"",IF(NOT(ISNA(VLOOKUP(E375,E$1:E374,1,FALSE()))),"OLD",IF(AND(E375&lt;&gt;"",E375&lt;&gt;"!!!"),"NEW","")))</f>
        <v> </v>
      </c>
      <c r="G375" s="24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5" t="str">
        <f>IF(J375&lt;&gt;1,"",IF(I375="SBJ","CB","?"))</f>
        <v> </v>
      </c>
      <c r="I375" s="26" t="str">
        <f>IF(OR(E375="",E375="!!!",F375="NEW"),"",INDEX(B374:B$2,-1+SUMPRODUCT(MAX(ROW(E374:E$2)*(E375=E374:E$2)))))</f>
        <v> </v>
      </c>
      <c r="J375" s="26" t="str">
        <f>IF(OR(E375="",E375="!!!",F375="NEW"),"",COUNTBLANK(OFFSET(A$1,,,SUMPRODUCT(MAX(ROW(E$2:E375)*(E375=E$2:E375)))))-COUNTBLANK(OFFSET(A$1,,,SUMPRODUCT(MAX(ROW(E$1:E374)*(E2=E$1:E374))))))</f>
        <v> </v>
      </c>
      <c r="K375" s="26" t="str">
        <f>IF(OR(E375="",E375="!!!",F375="NEW"),"",INDEX(J$1:J374,SUMPRODUCT(MAX(ROW(E$1:E374)*(E375=E$1:E374)))))</f>
        <v> </v>
      </c>
      <c r="L375" s="27"/>
    </row>
    <row r="376" spans="1:12">
      <c r="A376" s="20"/>
    </row>
    <row r="377" spans="1:12">
      <c r="A377" s="20" t="s">
        <v>366</v>
      </c>
    </row>
    <row r="378" spans="1:12">
      <c r="A378" s="20" t="s">
        <v>367</v>
      </c>
      <c r="B378" s="21" t="s">
        <v>145</v>
      </c>
      <c r="C378" s="21" t="s">
        <v>163</v>
      </c>
      <c r="E378" s="22">
        <f>IF(D378="?OLD","!!!","")</f>
        <v/>
      </c>
      <c r="F378" s="23" t="str">
        <f>IF(OR(E378="",E378="!!!"),"",IF(NOT(ISNA(VLOOKUP(E378,E$1:E377,1,FALSE()))),"OLD",IF(AND(E378&lt;&gt;"",E378&lt;&gt;"!!!"),"NEW","")))</f>
        <v> </v>
      </c>
      <c r="G378" s="24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5" t="str">
        <f>IF(J378&lt;&gt;1,"",IF(I378="SBJ","CB","?"))</f>
        <v> </v>
      </c>
      <c r="I378" s="26" t="str">
        <f>IF(OR(E378="",E378="!!!",F378="NEW"),"",INDEX(B377:B$2,-1+SUMPRODUCT(MAX(ROW(E377:E$2)*(E378=E377:E$2)))))</f>
        <v> </v>
      </c>
      <c r="J378" s="26" t="str">
        <f>IF(OR(E378="",E378="!!!",F378="NEW"),"",COUNTBLANK(OFFSET(A$1,,,SUMPRODUCT(MAX(ROW(E$2:E378)*(E378=E$2:E378)))))-COUNTBLANK(OFFSET(A$1,,,SUMPRODUCT(MAX(ROW(E$1:E377)*(E2=E$1:E377))))))</f>
        <v> </v>
      </c>
      <c r="K378" s="26" t="str">
        <f>IF(OR(E378="",E378="!!!",F378="NEW"),"",INDEX(J$1:J377,SUMPRODUCT(MAX(ROW(E$1:E377)*(E378=E$1:E377)))))</f>
        <v> </v>
      </c>
      <c r="L378" s="27"/>
    </row>
    <row r="379" spans="1:12">
      <c r="A379" s="20" t="s">
        <v>175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 t="s">
        <v>368</v>
      </c>
      <c r="B380" s="21" t="s">
        <v>152</v>
      </c>
      <c r="C380" s="21" t="s">
        <v>137</v>
      </c>
      <c r="D380" s="21" t="s">
        <v>131</v>
      </c>
      <c r="E380" s="22">
        <f>IF(D380="?OLD","!!!","")</f>
        <v/>
      </c>
      <c r="F380" s="23" t="str">
        <f>IF(OR(E380="",E380="!!!"),"",IF(NOT(ISNA(VLOOKUP(E380,E$1:E379,1,FALSE()))),"OLD",IF(AND(E380&lt;&gt;"",E380&lt;&gt;"!!!"),"NEW","")))</f>
        <v> </v>
      </c>
      <c r="G380" s="24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5" t="str">
        <f>IF(J380&lt;&gt;1,"",IF(I380="SBJ","CB","?"))</f>
        <v> </v>
      </c>
      <c r="I380" s="26" t="str">
        <f>IF(OR(E380="",E380="!!!",F380="NEW"),"",INDEX(B379:B$2,-1+SUMPRODUCT(MAX(ROW(E379:E$2)*(E380=E379:E$2)))))</f>
        <v> </v>
      </c>
      <c r="J380" s="26" t="str">
        <f>IF(OR(E380="",E380="!!!",F380="NEW"),"",COUNTBLANK(OFFSET(A$1,,,SUMPRODUCT(MAX(ROW(E$2:E380)*(E380=E$2:E380)))))-COUNTBLANK(OFFSET(A$1,,,SUMPRODUCT(MAX(ROW(E$1:E379)*(E2=E$1:E379))))))</f>
        <v> </v>
      </c>
      <c r="K380" s="26" t="str">
        <f>IF(OR(E380="",E380="!!!",F380="NEW"),"",INDEX(J$1:J379,SUMPRODUCT(MAX(ROW(E$1:E379)*(E380=E$1:E379)))))</f>
        <v> </v>
      </c>
      <c r="L380" s="27"/>
    </row>
    <row r="381" spans="1:12">
      <c r="A381" s="20" t="s">
        <v>101</v>
      </c>
      <c r="E381" s="22">
        <f>IF(D381="?OLD","!!!","")</f>
        <v/>
      </c>
      <c r="F381" s="23" t="str">
        <f>IF(OR(E381="",E381="!!!"),"",IF(NOT(ISNA(VLOOKUP(E381,E$1:E380,1,FALSE()))),"OLD",IF(AND(E381&lt;&gt;"",E381&lt;&gt;"!!!"),"NEW","")))</f>
        <v> </v>
      </c>
      <c r="G381" s="24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5" t="str">
        <f>IF(J381&lt;&gt;1,"",IF(I381="SBJ","CB","?"))</f>
        <v> </v>
      </c>
      <c r="I381" s="26" t="str">
        <f>IF(OR(E381="",E381="!!!",F381="NEW"),"",INDEX(B380:B$2,-1+SUMPRODUCT(MAX(ROW(E380:E$2)*(E381=E380:E$2)))))</f>
        <v> </v>
      </c>
      <c r="J381" s="26" t="str">
        <f>IF(OR(E381="",E381="!!!",F381="NEW"),"",COUNTBLANK(OFFSET(A$1,,,SUMPRODUCT(MAX(ROW(E$2:E381)*(E381=E$2:E381)))))-COUNTBLANK(OFFSET(A$1,,,SUMPRODUCT(MAX(ROW(E$1:E380)*(E2=E$1:E380))))))</f>
        <v> </v>
      </c>
      <c r="K381" s="26" t="str">
        <f>IF(OR(E381="",E381="!!!",F381="NEW"),"",INDEX(J$1:J380,SUMPRODUCT(MAX(ROW(E$1:E380)*(E381=E$1:E380)))))</f>
        <v> </v>
      </c>
      <c r="L381" s="27"/>
    </row>
    <row r="382" spans="1:12">
      <c r="A382" s="20" t="s">
        <v>134</v>
      </c>
      <c r="E382" s="22">
        <f>IF(D382="?OLD","!!!","")</f>
        <v/>
      </c>
      <c r="F382" s="23" t="str">
        <f>IF(OR(E382="",E382="!!!"),"",IF(NOT(ISNA(VLOOKUP(E382,E$1:E381,1,FALSE()))),"OLD",IF(AND(E382&lt;&gt;"",E382&lt;&gt;"!!!"),"NEW","")))</f>
        <v> </v>
      </c>
      <c r="G382" s="24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5" t="str">
        <f>IF(J382&lt;&gt;1,"",IF(I382="SBJ","CB","?"))</f>
        <v> </v>
      </c>
      <c r="I382" s="26" t="str">
        <f>IF(OR(E382="",E382="!!!",F382="NEW"),"",INDEX(B381:B$2,-1+SUMPRODUCT(MAX(ROW(E381:E$2)*(E382=E381:E$2)))))</f>
        <v> </v>
      </c>
      <c r="J382" s="26" t="str">
        <f>IF(OR(E382="",E382="!!!",F382="NEW"),"",COUNTBLANK(OFFSET(A$1,,,SUMPRODUCT(MAX(ROW(E$2:E382)*(E382=E$2:E382)))))-COUNTBLANK(OFFSET(A$1,,,SUMPRODUCT(MAX(ROW(E$1:E381)*(E2=E$1:E381))))))</f>
        <v> </v>
      </c>
      <c r="K382" s="26" t="str">
        <f>IF(OR(E382="",E382="!!!",F382="NEW"),"",INDEX(J$1:J381,SUMPRODUCT(MAX(ROW(E$1:E381)*(E382=E$1:E381)))))</f>
        <v> </v>
      </c>
      <c r="L382" s="27"/>
    </row>
    <row r="383" spans="1:12">
      <c r="A383" s="20" t="s">
        <v>369</v>
      </c>
      <c r="B383" s="21" t="s">
        <v>129</v>
      </c>
      <c r="C383" s="21" t="s">
        <v>137</v>
      </c>
      <c r="D383" s="21" t="s">
        <v>131</v>
      </c>
      <c r="E383" s="22">
        <f>IF(D383="?OLD","!!!","")</f>
        <v/>
      </c>
      <c r="F383" s="23" t="str">
        <f>IF(OR(E383="",E383="!!!"),"",IF(NOT(ISNA(VLOOKUP(E383,E$1:E382,1,FALSE()))),"OLD",IF(AND(E383&lt;&gt;"",E383&lt;&gt;"!!!"),"NEW","")))</f>
        <v> </v>
      </c>
      <c r="G383" s="24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5" t="str">
        <f>IF(J383&lt;&gt;1,"",IF(I383="SBJ","CB","?"))</f>
        <v> </v>
      </c>
      <c r="I383" s="26" t="str">
        <f>IF(OR(E383="",E383="!!!",F383="NEW"),"",INDEX(B382:B$2,-1+SUMPRODUCT(MAX(ROW(E382:E$2)*(E383=E382:E$2)))))</f>
        <v> </v>
      </c>
      <c r="J383" s="26" t="str">
        <f>IF(OR(E383="",E383="!!!",F383="NEW"),"",COUNTBLANK(OFFSET(A$1,,,SUMPRODUCT(MAX(ROW(E$2:E383)*(E383=E$2:E383)))))-COUNTBLANK(OFFSET(A$1,,,SUMPRODUCT(MAX(ROW(E$1:E382)*(E2=E$1:E382))))))</f>
        <v> </v>
      </c>
      <c r="K383" s="26" t="str">
        <f>IF(OR(E383="",E383="!!!",F383="NEW"),"",INDEX(J$1:J382,SUMPRODUCT(MAX(ROW(E$1:E382)*(E383=E$1:E382)))))</f>
        <v> </v>
      </c>
      <c r="L383" s="27"/>
    </row>
    <row r="384" spans="1:12">
      <c r="A384" s="20" t="s">
        <v>370</v>
      </c>
      <c r="B384" s="21" t="s">
        <v>145</v>
      </c>
      <c r="C384" s="21" t="s">
        <v>130</v>
      </c>
      <c r="D384" s="21" t="s">
        <v>131</v>
      </c>
      <c r="E384" s="22">
        <f>IF(D384="?OLD","!!!","")</f>
        <v/>
      </c>
      <c r="F384" s="23" t="str">
        <f>IF(OR(E384="",E384="!!!"),"",IF(NOT(ISNA(VLOOKUP(E384,E$1:E383,1,FALSE()))),"OLD",IF(AND(E384&lt;&gt;"",E384&lt;&gt;"!!!"),"NEW","")))</f>
        <v> </v>
      </c>
      <c r="G384" s="24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5" t="str">
        <f>IF(J384&lt;&gt;1,"",IF(I384="SBJ","CB","?"))</f>
        <v> </v>
      </c>
      <c r="I384" s="26" t="str">
        <f>IF(OR(E384="",E384="!!!",F384="NEW"),"",INDEX(B383:B$2,-1+SUMPRODUCT(MAX(ROW(E383:E$2)*(E384=E383:E$2)))))</f>
        <v> </v>
      </c>
      <c r="J384" s="26" t="str">
        <f>IF(OR(E384="",E384="!!!",F384="NEW"),"",COUNTBLANK(OFFSET(A$1,,,SUMPRODUCT(MAX(ROW(E$2:E384)*(E384=E$2:E384)))))-COUNTBLANK(OFFSET(A$1,,,SUMPRODUCT(MAX(ROW(E$1:E383)*(E2=E$1:E383))))))</f>
        <v> </v>
      </c>
      <c r="K384" s="26" t="str">
        <f>IF(OR(E384="",E384="!!!",F384="NEW"),"",INDEX(J$1:J383,SUMPRODUCT(MAX(ROW(E$1:E383)*(E384=E$1:E383)))))</f>
        <v> </v>
      </c>
      <c r="L384" s="27"/>
    </row>
    <row r="385" spans="1:12">
      <c r="A385" s="20" t="s">
        <v>371</v>
      </c>
      <c r="E385" s="22">
        <f>IF(D385="?OLD","!!!","")</f>
        <v/>
      </c>
      <c r="F385" s="23" t="str">
        <f>IF(OR(E385="",E385="!!!"),"",IF(NOT(ISNA(VLOOKUP(E385,E$1:E384,1,FALSE()))),"OLD",IF(AND(E385&lt;&gt;"",E385&lt;&gt;"!!!"),"NEW","")))</f>
        <v> </v>
      </c>
      <c r="G385" s="24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5" t="str">
        <f>IF(J385&lt;&gt;1,"",IF(I385="SBJ","CB","?"))</f>
        <v> </v>
      </c>
      <c r="I385" s="26" t="str">
        <f>IF(OR(E385="",E385="!!!",F385="NEW"),"",INDEX(B384:B$2,-1+SUMPRODUCT(MAX(ROW(E384:E$2)*(E385=E384:E$2)))))</f>
        <v> </v>
      </c>
      <c r="J385" s="26" t="str">
        <f>IF(OR(E385="",E385="!!!",F385="NEW"),"",COUNTBLANK(OFFSET(A$1,,,SUMPRODUCT(MAX(ROW(E$2:E385)*(E385=E$2:E385)))))-COUNTBLANK(OFFSET(A$1,,,SUMPRODUCT(MAX(ROW(E$1:E384)*(E2=E$1:E384))))))</f>
        <v> </v>
      </c>
      <c r="K385" s="26" t="str">
        <f>IF(OR(E385="",E385="!!!",F385="NEW"),"",INDEX(J$1:J384,SUMPRODUCT(MAX(ROW(E$1:E384)*(E385=E$1:E384)))))</f>
        <v> </v>
      </c>
      <c r="L385" s="27"/>
    </row>
    <row r="386" spans="1:12">
      <c r="A386" s="20" t="s">
        <v>272</v>
      </c>
      <c r="E386" s="22">
        <f>IF(D386="?OLD","!!!","")</f>
        <v/>
      </c>
      <c r="F386" s="23" t="str">
        <f>IF(OR(E386="",E386="!!!"),"",IF(NOT(ISNA(VLOOKUP(E386,E$1:E385,1,FALSE()))),"OLD",IF(AND(E386&lt;&gt;"",E386&lt;&gt;"!!!"),"NEW","")))</f>
        <v> </v>
      </c>
      <c r="G386" s="24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5" t="str">
        <f>IF(J386&lt;&gt;1,"",IF(I386="SBJ","CB","?"))</f>
        <v> </v>
      </c>
      <c r="I386" s="26" t="str">
        <f>IF(OR(E386="",E386="!!!",F386="NEW"),"",INDEX(B385:B$2,-1+SUMPRODUCT(MAX(ROW(E385:E$2)*(E386=E385:E$2)))))</f>
        <v> </v>
      </c>
      <c r="J386" s="26" t="str">
        <f>IF(OR(E386="",E386="!!!",F386="NEW"),"",COUNTBLANK(OFFSET(A$1,,,SUMPRODUCT(MAX(ROW(E$2:E386)*(E386=E$2:E386)))))-COUNTBLANK(OFFSET(A$1,,,SUMPRODUCT(MAX(ROW(E$1:E385)*(E2=E$1:E385))))))</f>
        <v> </v>
      </c>
      <c r="K386" s="26" t="str">
        <f>IF(OR(E386="",E386="!!!",F386="NEW"),"",INDEX(J$1:J385,SUMPRODUCT(MAX(ROW(E$1:E385)*(E386=E$1:E385)))))</f>
        <v> </v>
      </c>
      <c r="L386" s="27"/>
    </row>
    <row r="387" spans="1:12">
      <c r="A387" s="20" t="s">
        <v>372</v>
      </c>
      <c r="B387" s="21" t="s">
        <v>158</v>
      </c>
      <c r="C387" s="21" t="s">
        <v>130</v>
      </c>
      <c r="D387" s="21" t="s">
        <v>131</v>
      </c>
      <c r="E387" s="22">
        <f>IF(D387="?OLD","!!!","")</f>
        <v/>
      </c>
      <c r="F387" s="23" t="str">
        <f>IF(OR(E387="",E387="!!!"),"",IF(NOT(ISNA(VLOOKUP(E387,E$1:E386,1,FALSE()))),"OLD",IF(AND(E387&lt;&gt;"",E387&lt;&gt;"!!!"),"NEW","")))</f>
        <v> </v>
      </c>
      <c r="G387" s="24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5" t="str">
        <f>IF(J387&lt;&gt;1,"",IF(I387="SBJ","CB","?"))</f>
        <v> </v>
      </c>
      <c r="I387" s="26" t="str">
        <f>IF(OR(E387="",E387="!!!",F387="NEW"),"",INDEX(B386:B$2,-1+SUMPRODUCT(MAX(ROW(E386:E$2)*(E387=E386:E$2)))))</f>
        <v> </v>
      </c>
      <c r="J387" s="26" t="str">
        <f>IF(OR(E387="",E387="!!!",F387="NEW"),"",COUNTBLANK(OFFSET(A$1,,,SUMPRODUCT(MAX(ROW(E$2:E387)*(E387=E$2:E387)))))-COUNTBLANK(OFFSET(A$1,,,SUMPRODUCT(MAX(ROW(E$1:E386)*(E2=E$1:E386))))))</f>
        <v> </v>
      </c>
      <c r="K387" s="26" t="str">
        <f>IF(OR(E387="",E387="!!!",F387="NEW"),"",INDEX(J$1:J386,SUMPRODUCT(MAX(ROW(E$1:E386)*(E387=E$1:E386)))))</f>
        <v> </v>
      </c>
      <c r="L387" s="27"/>
    </row>
    <row r="388" spans="1:12">
      <c r="A388" s="20" t="s">
        <v>373</v>
      </c>
      <c r="E388" s="22">
        <f>IF(D388="?OLD","!!!","")</f>
        <v/>
      </c>
      <c r="F388" s="23" t="str">
        <f>IF(OR(E388="",E388="!!!"),"",IF(NOT(ISNA(VLOOKUP(E388,E$1:E387,1,FALSE()))),"OLD",IF(AND(E388&lt;&gt;"",E388&lt;&gt;"!!!"),"NEW","")))</f>
        <v> </v>
      </c>
      <c r="G388" s="24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5" t="str">
        <f>IF(J388&lt;&gt;1,"",IF(I388="SBJ","CB","?"))</f>
        <v> </v>
      </c>
      <c r="I388" s="26" t="str">
        <f>IF(OR(E388="",E388="!!!",F388="NEW"),"",INDEX(B387:B$2,-1+SUMPRODUCT(MAX(ROW(E387:E$2)*(E388=E387:E$2)))))</f>
        <v> </v>
      </c>
      <c r="J388" s="26" t="str">
        <f>IF(OR(E388="",E388="!!!",F388="NEW"),"",COUNTBLANK(OFFSET(A$1,,,SUMPRODUCT(MAX(ROW(E$2:E388)*(E388=E$2:E388)))))-COUNTBLANK(OFFSET(A$1,,,SUMPRODUCT(MAX(ROW(E$1:E387)*(E2=E$1:E387))))))</f>
        <v> </v>
      </c>
      <c r="K388" s="26" t="str">
        <f>IF(OR(E388="",E388="!!!",F388="NEW"),"",INDEX(J$1:J387,SUMPRODUCT(MAX(ROW(E$1:E387)*(E388=E$1:E387)))))</f>
        <v> </v>
      </c>
      <c r="L388" s="27"/>
    </row>
    <row r="389" spans="1:12">
      <c r="A389" s="20" t="s">
        <v>198</v>
      </c>
      <c r="E389" s="22">
        <f>IF(D389="?OLD","!!!","")</f>
        <v/>
      </c>
      <c r="F389" s="23" t="str">
        <f>IF(OR(E389="",E389="!!!"),"",IF(NOT(ISNA(VLOOKUP(E389,E$1:E388,1,FALSE()))),"OLD",IF(AND(E389&lt;&gt;"",E389&lt;&gt;"!!!"),"NEW","")))</f>
        <v> </v>
      </c>
      <c r="G389" s="24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5" t="str">
        <f>IF(J389&lt;&gt;1,"",IF(I389="SBJ","CB","?"))</f>
        <v> </v>
      </c>
      <c r="I389" s="26" t="str">
        <f>IF(OR(E389="",E389="!!!",F389="NEW"),"",INDEX(B388:B$2,-1+SUMPRODUCT(MAX(ROW(E388:E$2)*(E389=E388:E$2)))))</f>
        <v> </v>
      </c>
      <c r="J389" s="26" t="str">
        <f>IF(OR(E389="",E389="!!!",F389="NEW"),"",COUNTBLANK(OFFSET(A$1,,,SUMPRODUCT(MAX(ROW(E$2:E389)*(E389=E$2:E389)))))-COUNTBLANK(OFFSET(A$1,,,SUMPRODUCT(MAX(ROW(E$1:E388)*(E2=E$1:E388))))))</f>
        <v> </v>
      </c>
      <c r="K389" s="26" t="str">
        <f>IF(OR(E389="",E389="!!!",F389="NEW"),"",INDEX(J$1:J388,SUMPRODUCT(MAX(ROW(E$1:E388)*(E389=E$1:E388)))))</f>
        <v> </v>
      </c>
      <c r="L389" s="27"/>
    </row>
    <row r="390" spans="1:12">
      <c r="A390" s="20" t="s">
        <v>248</v>
      </c>
      <c r="E390" s="22">
        <f>IF(D390="?OLD","!!!","")</f>
        <v/>
      </c>
      <c r="F390" s="23" t="str">
        <f>IF(OR(E390="",E390="!!!"),"",IF(NOT(ISNA(VLOOKUP(E390,E$1:E389,1,FALSE()))),"OLD",IF(AND(E390&lt;&gt;"",E390&lt;&gt;"!!!"),"NEW","")))</f>
        <v> </v>
      </c>
      <c r="G390" s="24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5" t="str">
        <f>IF(J390&lt;&gt;1,"",IF(I390="SBJ","CB","?"))</f>
        <v> </v>
      </c>
      <c r="I390" s="26" t="str">
        <f>IF(OR(E390="",E390="!!!",F390="NEW"),"",INDEX(B389:B$2,-1+SUMPRODUCT(MAX(ROW(E389:E$2)*(E390=E389:E$2)))))</f>
        <v> </v>
      </c>
      <c r="J390" s="26" t="str">
        <f>IF(OR(E390="",E390="!!!",F390="NEW"),"",COUNTBLANK(OFFSET(A$1,,,SUMPRODUCT(MAX(ROW(E$2:E390)*(E390=E$2:E390)))))-COUNTBLANK(OFFSET(A$1,,,SUMPRODUCT(MAX(ROW(E$1:E389)*(E2=E$1:E389))))))</f>
        <v> </v>
      </c>
      <c r="K390" s="26" t="str">
        <f>IF(OR(E390="",E390="!!!",F390="NEW"),"",INDEX(J$1:J389,SUMPRODUCT(MAX(ROW(E$1:E389)*(E390=E$1:E389)))))</f>
        <v> </v>
      </c>
      <c r="L390" s="27"/>
    </row>
    <row r="391" spans="1:12">
      <c r="A391" s="20" t="s">
        <v>374</v>
      </c>
      <c r="B391" s="21" t="s">
        <v>145</v>
      </c>
      <c r="C391" s="21" t="s">
        <v>137</v>
      </c>
      <c r="D391" s="21" t="s">
        <v>131</v>
      </c>
      <c r="E391" s="22">
        <f>IF(D391="?OLD","!!!","")</f>
        <v/>
      </c>
      <c r="F391" s="23" t="str">
        <f>IF(OR(E391="",E391="!!!"),"",IF(NOT(ISNA(VLOOKUP(E391,E$1:E390,1,FALSE()))),"OLD",IF(AND(E391&lt;&gt;"",E391&lt;&gt;"!!!"),"NEW","")))</f>
        <v> </v>
      </c>
      <c r="G391" s="24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5" t="str">
        <f>IF(J391&lt;&gt;1,"",IF(I391="SBJ","CB","?"))</f>
        <v> </v>
      </c>
      <c r="I391" s="26" t="str">
        <f>IF(OR(E391="",E391="!!!",F391="NEW"),"",INDEX(B390:B$2,-1+SUMPRODUCT(MAX(ROW(E390:E$2)*(E391=E390:E$2)))))</f>
        <v> </v>
      </c>
      <c r="J391" s="26" t="str">
        <f>IF(OR(E391="",E391="!!!",F391="NEW"),"",COUNTBLANK(OFFSET(A$1,,,SUMPRODUCT(MAX(ROW(E$2:E391)*(E391=E$2:E391)))))-COUNTBLANK(OFFSET(A$1,,,SUMPRODUCT(MAX(ROW(E$1:E390)*(E2=E$1:E390))))))</f>
        <v> </v>
      </c>
      <c r="K391" s="26" t="str">
        <f>IF(OR(E391="",E391="!!!",F391="NEW"),"",INDEX(J$1:J390,SUMPRODUCT(MAX(ROW(E$1:E390)*(E391=E$1:E390)))))</f>
        <v> </v>
      </c>
      <c r="L391" s="27"/>
    </row>
    <row r="392" spans="1:12">
      <c r="A392" s="20" t="s">
        <v>375</v>
      </c>
      <c r="B392" s="21" t="s">
        <v>158</v>
      </c>
      <c r="C392" s="21" t="s">
        <v>130</v>
      </c>
      <c r="D392" s="21" t="s">
        <v>131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 t="s">
        <v>376</v>
      </c>
      <c r="E393" s="22">
        <f>IF(D393="?OLD","!!!","")</f>
        <v/>
      </c>
      <c r="F393" s="23" t="str">
        <f>IF(OR(E393="",E393="!!!"),"",IF(NOT(ISNA(VLOOKUP(E393,E$1:E392,1,FALSE()))),"OLD",IF(AND(E393&lt;&gt;"",E393&lt;&gt;"!!!"),"NEW","")))</f>
        <v> </v>
      </c>
      <c r="G393" s="24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5" t="str">
        <f>IF(J393&lt;&gt;1,"",IF(I393="SBJ","CB","?"))</f>
        <v> </v>
      </c>
      <c r="I393" s="26" t="str">
        <f>IF(OR(E393="",E393="!!!",F393="NEW"),"",INDEX(B392:B$2,-1+SUMPRODUCT(MAX(ROW(E392:E$2)*(E393=E392:E$2)))))</f>
        <v> </v>
      </c>
      <c r="J393" s="26" t="str">
        <f>IF(OR(E393="",E393="!!!",F393="NEW"),"",COUNTBLANK(OFFSET(A$1,,,SUMPRODUCT(MAX(ROW(E$2:E393)*(E393=E$2:E393)))))-COUNTBLANK(OFFSET(A$1,,,SUMPRODUCT(MAX(ROW(E$1:E392)*(E2=E$1:E392))))))</f>
        <v> </v>
      </c>
      <c r="K393" s="26" t="str">
        <f>IF(OR(E393="",E393="!!!",F393="NEW"),"",INDEX(J$1:J392,SUMPRODUCT(MAX(ROW(E$1:E392)*(E393=E$1:E392)))))</f>
        <v> </v>
      </c>
      <c r="L393" s="27"/>
    </row>
    <row r="394" spans="1:12">
      <c r="A394" s="20" t="s">
        <v>198</v>
      </c>
      <c r="E394" s="22">
        <f>IF(D394="?OLD","!!!","")</f>
        <v/>
      </c>
      <c r="F394" s="23" t="str">
        <f>IF(OR(E394="",E394="!!!"),"",IF(NOT(ISNA(VLOOKUP(E394,E$1:E393,1,FALSE()))),"OLD",IF(AND(E394&lt;&gt;"",E394&lt;&gt;"!!!"),"NEW","")))</f>
        <v> </v>
      </c>
      <c r="G394" s="24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5" t="str">
        <f>IF(J394&lt;&gt;1,"",IF(I394="SBJ","CB","?"))</f>
        <v> </v>
      </c>
      <c r="I394" s="26" t="str">
        <f>IF(OR(E394="",E394="!!!",F394="NEW"),"",INDEX(B393:B$2,-1+SUMPRODUCT(MAX(ROW(E393:E$2)*(E394=E393:E$2)))))</f>
        <v> </v>
      </c>
      <c r="J394" s="26" t="str">
        <f>IF(OR(E394="",E394="!!!",F394="NEW"),"",COUNTBLANK(OFFSET(A$1,,,SUMPRODUCT(MAX(ROW(E$2:E394)*(E394=E$2:E394)))))-COUNTBLANK(OFFSET(A$1,,,SUMPRODUCT(MAX(ROW(E$1:E393)*(E2=E$1:E393))))))</f>
        <v> </v>
      </c>
      <c r="K394" s="26" t="str">
        <f>IF(OR(E394="",E394="!!!",F394="NEW"),"",INDEX(J$1:J393,SUMPRODUCT(MAX(ROW(E$1:E393)*(E394=E$1:E393)))))</f>
        <v> </v>
      </c>
      <c r="L394" s="27"/>
    </row>
    <row r="395" spans="1:12">
      <c r="A395" s="20" t="s">
        <v>134</v>
      </c>
      <c r="E395" s="22">
        <f>IF(D395="?OLD","!!!","")</f>
        <v/>
      </c>
      <c r="F395" s="23" t="str">
        <f>IF(OR(E395="",E395="!!!"),"",IF(NOT(ISNA(VLOOKUP(E395,E$1:E394,1,FALSE()))),"OLD",IF(AND(E395&lt;&gt;"",E395&lt;&gt;"!!!"),"NEW","")))</f>
        <v> </v>
      </c>
      <c r="G395" s="24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5" t="str">
        <f>IF(J395&lt;&gt;1,"",IF(I395="SBJ","CB","?"))</f>
        <v> </v>
      </c>
      <c r="I395" s="26" t="str">
        <f>IF(OR(E395="",E395="!!!",F395="NEW"),"",INDEX(B394:B$2,-1+SUMPRODUCT(MAX(ROW(E394:E$2)*(E395=E394:E$2)))))</f>
        <v> </v>
      </c>
      <c r="J395" s="26" t="str">
        <f>IF(OR(E395="",E395="!!!",F395="NEW"),"",COUNTBLANK(OFFSET(A$1,,,SUMPRODUCT(MAX(ROW(E$2:E395)*(E395=E$2:E395)))))-COUNTBLANK(OFFSET(A$1,,,SUMPRODUCT(MAX(ROW(E$1:E394)*(E2=E$1:E394))))))</f>
        <v> </v>
      </c>
      <c r="K395" s="26" t="str">
        <f>IF(OR(E395="",E395="!!!",F395="NEW"),"",INDEX(J$1:J394,SUMPRODUCT(MAX(ROW(E$1:E394)*(E395=E$1:E394)))))</f>
        <v> </v>
      </c>
      <c r="L395" s="27"/>
    </row>
    <row r="396" spans="1:12">
      <c r="A396" s="20" t="s">
        <v>377</v>
      </c>
      <c r="B396" s="21" t="s">
        <v>145</v>
      </c>
      <c r="C396" s="21" t="s">
        <v>137</v>
      </c>
      <c r="D396" s="21" t="s">
        <v>131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 t="s">
        <v>378</v>
      </c>
      <c r="B397" s="21" t="s">
        <v>158</v>
      </c>
      <c r="C397" s="21" t="s">
        <v>130</v>
      </c>
      <c r="D397" s="21" t="s">
        <v>131</v>
      </c>
      <c r="E397" s="22">
        <f>IF(D397="?OLD","!!!","")</f>
        <v/>
      </c>
      <c r="F397" s="23" t="str">
        <f>IF(OR(E397="",E397="!!!"),"",IF(NOT(ISNA(VLOOKUP(E397,E$1:E396,1,FALSE()))),"OLD",IF(AND(E397&lt;&gt;"",E397&lt;&gt;"!!!"),"NEW","")))</f>
        <v> </v>
      </c>
      <c r="G397" s="24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5" t="str">
        <f>IF(J397&lt;&gt;1,"",IF(I397="SBJ","CB","?"))</f>
        <v> </v>
      </c>
      <c r="I397" s="26" t="str">
        <f>IF(OR(E397="",E397="!!!",F397="NEW"),"",INDEX(B396:B$2,-1+SUMPRODUCT(MAX(ROW(E396:E$2)*(E397=E396:E$2)))))</f>
        <v> </v>
      </c>
      <c r="J397" s="26" t="str">
        <f>IF(OR(E397="",E397="!!!",F397="NEW"),"",COUNTBLANK(OFFSET(A$1,,,SUMPRODUCT(MAX(ROW(E$2:E397)*(E397=E$2:E397)))))-COUNTBLANK(OFFSET(A$1,,,SUMPRODUCT(MAX(ROW(E$1:E396)*(E2=E$1:E396))))))</f>
        <v> </v>
      </c>
      <c r="K397" s="26" t="str">
        <f>IF(OR(E397="",E397="!!!",F397="NEW"),"",INDEX(J$1:J396,SUMPRODUCT(MAX(ROW(E$1:E396)*(E397=E$1:E396)))))</f>
        <v> </v>
      </c>
      <c r="L397" s="27"/>
    </row>
    <row r="398" spans="1:12">
      <c r="A398" s="20" t="s">
        <v>379</v>
      </c>
      <c r="E398" s="22">
        <f>IF(D398="?OLD","!!!","")</f>
        <v/>
      </c>
      <c r="F398" s="23" t="str">
        <f>IF(OR(E398="",E398="!!!"),"",IF(NOT(ISNA(VLOOKUP(E398,E$1:E397,1,FALSE()))),"OLD",IF(AND(E398&lt;&gt;"",E398&lt;&gt;"!!!"),"NEW","")))</f>
        <v> </v>
      </c>
      <c r="G398" s="24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5" t="str">
        <f>IF(J398&lt;&gt;1,"",IF(I398="SBJ","CB","?"))</f>
        <v> </v>
      </c>
      <c r="I398" s="26" t="str">
        <f>IF(OR(E398="",E398="!!!",F398="NEW"),"",INDEX(B397:B$2,-1+SUMPRODUCT(MAX(ROW(E397:E$2)*(E398=E397:E$2)))))</f>
        <v> </v>
      </c>
      <c r="J398" s="26" t="str">
        <f>IF(OR(E398="",E398="!!!",F398="NEW"),"",COUNTBLANK(OFFSET(A$1,,,SUMPRODUCT(MAX(ROW(E$2:E398)*(E398=E$2:E398)))))-COUNTBLANK(OFFSET(A$1,,,SUMPRODUCT(MAX(ROW(E$1:E397)*(E2=E$1:E397))))))</f>
        <v> </v>
      </c>
      <c r="K398" s="26" t="str">
        <f>IF(OR(E398="",E398="!!!",F398="NEW"),"",INDEX(J$1:J397,SUMPRODUCT(MAX(ROW(E$1:E397)*(E398=E$1:E397)))))</f>
        <v> </v>
      </c>
      <c r="L398" s="27"/>
    </row>
    <row r="399" spans="1:12">
      <c r="A399" s="20" t="s">
        <v>198</v>
      </c>
      <c r="E399" s="22">
        <f>IF(D399="?OLD","!!!","")</f>
        <v/>
      </c>
      <c r="F399" s="23" t="str">
        <f>IF(OR(E399="",E399="!!!"),"",IF(NOT(ISNA(VLOOKUP(E399,E$1:E398,1,FALSE()))),"OLD",IF(AND(E399&lt;&gt;"",E399&lt;&gt;"!!!"),"NEW","")))</f>
        <v> </v>
      </c>
      <c r="G399" s="24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5" t="str">
        <f>IF(J399&lt;&gt;1,"",IF(I399="SBJ","CB","?"))</f>
        <v> </v>
      </c>
      <c r="I399" s="26" t="str">
        <f>IF(OR(E399="",E399="!!!",F399="NEW"),"",INDEX(B398:B$2,-1+SUMPRODUCT(MAX(ROW(E398:E$2)*(E399=E398:E$2)))))</f>
        <v> </v>
      </c>
      <c r="J399" s="26" t="str">
        <f>IF(OR(E399="",E399="!!!",F399="NEW"),"",COUNTBLANK(OFFSET(A$1,,,SUMPRODUCT(MAX(ROW(E$2:E399)*(E399=E$2:E399)))))-COUNTBLANK(OFFSET(A$1,,,SUMPRODUCT(MAX(ROW(E$1:E398)*(E2=E$1:E398))))))</f>
        <v> </v>
      </c>
      <c r="K399" s="26" t="str">
        <f>IF(OR(E399="",E399="!!!",F399="NEW"),"",INDEX(J$1:J398,SUMPRODUCT(MAX(ROW(E$1:E398)*(E399=E$1:E398)))))</f>
        <v> </v>
      </c>
      <c r="L399" s="27"/>
    </row>
    <row r="400" spans="1:12">
      <c r="A400" s="20" t="s">
        <v>380</v>
      </c>
      <c r="B400" s="21" t="s">
        <v>145</v>
      </c>
      <c r="C400" s="21" t="s">
        <v>130</v>
      </c>
      <c r="D400" s="21" t="s">
        <v>131</v>
      </c>
      <c r="E400" s="22">
        <f>IF(D400="?OLD","!!!","")</f>
        <v/>
      </c>
      <c r="F400" s="23" t="str">
        <f>IF(OR(E400="",E400="!!!"),"",IF(NOT(ISNA(VLOOKUP(E400,E$1:E399,1,FALSE()))),"OLD",IF(AND(E400&lt;&gt;"",E400&lt;&gt;"!!!"),"NEW","")))</f>
        <v> </v>
      </c>
      <c r="G400" s="24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5" t="str">
        <f>IF(J400&lt;&gt;1,"",IF(I400="SBJ","CB","?"))</f>
        <v> </v>
      </c>
      <c r="I400" s="26" t="str">
        <f>IF(OR(E400="",E400="!!!",F400="NEW"),"",INDEX(B399:B$2,-1+SUMPRODUCT(MAX(ROW(E399:E$2)*(E400=E399:E$2)))))</f>
        <v> </v>
      </c>
      <c r="J400" s="26" t="str">
        <f>IF(OR(E400="",E400="!!!",F400="NEW"),"",COUNTBLANK(OFFSET(A$1,,,SUMPRODUCT(MAX(ROW(E$2:E400)*(E400=E$2:E400)))))-COUNTBLANK(OFFSET(A$1,,,SUMPRODUCT(MAX(ROW(E$1:E399)*(E2=E$1:E399))))))</f>
        <v> </v>
      </c>
      <c r="K400" s="26" t="str">
        <f>IF(OR(E400="",E400="!!!",F400="NEW"),"",INDEX(J$1:J399,SUMPRODUCT(MAX(ROW(E$1:E399)*(E400=E$1:E399)))))</f>
        <v> </v>
      </c>
      <c r="L400" s="27"/>
    </row>
    <row r="401" spans="1:12">
      <c r="A401" s="20" t="s">
        <v>381</v>
      </c>
      <c r="E401" s="22">
        <f>IF(D401="?OLD","!!!","")</f>
        <v/>
      </c>
      <c r="F401" s="23" t="str">
        <f>IF(OR(E401="",E401="!!!"),"",IF(NOT(ISNA(VLOOKUP(E401,E$1:E400,1,FALSE()))),"OLD",IF(AND(E401&lt;&gt;"",E401&lt;&gt;"!!!"),"NEW","")))</f>
        <v> </v>
      </c>
      <c r="G401" s="24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5" t="str">
        <f>IF(J401&lt;&gt;1,"",IF(I401="SBJ","CB","?"))</f>
        <v> </v>
      </c>
      <c r="I401" s="26" t="str">
        <f>IF(OR(E401="",E401="!!!",F401="NEW"),"",INDEX(B400:B$2,-1+SUMPRODUCT(MAX(ROW(E400:E$2)*(E401=E400:E$2)))))</f>
        <v> </v>
      </c>
      <c r="J401" s="26" t="str">
        <f>IF(OR(E401="",E401="!!!",F401="NEW"),"",COUNTBLANK(OFFSET(A$1,,,SUMPRODUCT(MAX(ROW(E$2:E401)*(E401=E$2:E401)))))-COUNTBLANK(OFFSET(A$1,,,SUMPRODUCT(MAX(ROW(E$1:E400)*(E2=E$1:E400))))))</f>
        <v> </v>
      </c>
      <c r="K401" s="26" t="str">
        <f>IF(OR(E401="",E401="!!!",F401="NEW"),"",INDEX(J$1:J400,SUMPRODUCT(MAX(ROW(E$1:E400)*(E401=E$1:E400)))))</f>
        <v> </v>
      </c>
      <c r="L401" s="27"/>
    </row>
    <row r="402" spans="1:12">
      <c r="A402" s="20" t="s">
        <v>272</v>
      </c>
      <c r="E402" s="22">
        <f>IF(D402="?OLD","!!!","")</f>
        <v/>
      </c>
      <c r="F402" s="23" t="str">
        <f>IF(OR(E402="",E402="!!!"),"",IF(NOT(ISNA(VLOOKUP(E402,E$1:E401,1,FALSE()))),"OLD",IF(AND(E402&lt;&gt;"",E402&lt;&gt;"!!!"),"NEW","")))</f>
        <v> </v>
      </c>
      <c r="G402" s="24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5" t="str">
        <f>IF(J402&lt;&gt;1,"",IF(I402="SBJ","CB","?"))</f>
        <v> </v>
      </c>
      <c r="I402" s="26" t="str">
        <f>IF(OR(E402="",E402="!!!",F402="NEW"),"",INDEX(B401:B$2,-1+SUMPRODUCT(MAX(ROW(E401:E$2)*(E402=E401:E$2)))))</f>
        <v> </v>
      </c>
      <c r="J402" s="26" t="str">
        <f>IF(OR(E402="",E402="!!!",F402="NEW"),"",COUNTBLANK(OFFSET(A$1,,,SUMPRODUCT(MAX(ROW(E$2:E402)*(E402=E$2:E402)))))-COUNTBLANK(OFFSET(A$1,,,SUMPRODUCT(MAX(ROW(E$1:E401)*(E2=E$1:E401))))))</f>
        <v> </v>
      </c>
      <c r="K402" s="26" t="str">
        <f>IF(OR(E402="",E402="!!!",F402="NEW"),"",INDEX(J$1:J401,SUMPRODUCT(MAX(ROW(E$1:E401)*(E402=E$1:E401)))))</f>
        <v> </v>
      </c>
      <c r="L402" s="27"/>
    </row>
    <row r="403" spans="1:12">
      <c r="A403" s="20" t="s">
        <v>382</v>
      </c>
      <c r="B403" s="21" t="s">
        <v>145</v>
      </c>
      <c r="C403" s="21" t="s">
        <v>130</v>
      </c>
      <c r="D403" s="21" t="s">
        <v>131</v>
      </c>
      <c r="E403" s="22">
        <f>IF(D403="?OLD","!!!","")</f>
        <v/>
      </c>
      <c r="F403" s="23" t="str">
        <f>IF(OR(E403="",E403="!!!"),"",IF(NOT(ISNA(VLOOKUP(E403,E$1:E402,1,FALSE()))),"OLD",IF(AND(E403&lt;&gt;"",E403&lt;&gt;"!!!"),"NEW","")))</f>
        <v> </v>
      </c>
      <c r="G403" s="24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5" t="str">
        <f>IF(J403&lt;&gt;1,"",IF(I403="SBJ","CB","?"))</f>
        <v> </v>
      </c>
      <c r="I403" s="26" t="str">
        <f>IF(OR(E403="",E403="!!!",F403="NEW"),"",INDEX(B402:B$2,-1+SUMPRODUCT(MAX(ROW(E402:E$2)*(E403=E402:E$2)))))</f>
        <v> </v>
      </c>
      <c r="J403" s="26" t="str">
        <f>IF(OR(E403="",E403="!!!",F403="NEW"),"",COUNTBLANK(OFFSET(A$1,,,SUMPRODUCT(MAX(ROW(E$2:E403)*(E403=E$2:E403)))))-COUNTBLANK(OFFSET(A$1,,,SUMPRODUCT(MAX(ROW(E$1:E402)*(E2=E$1:E402))))))</f>
        <v> </v>
      </c>
      <c r="K403" s="26" t="str">
        <f>IF(OR(E403="",E403="!!!",F403="NEW"),"",INDEX(J$1:J402,SUMPRODUCT(MAX(ROW(E$1:E402)*(E403=E$1:E402)))))</f>
        <v> </v>
      </c>
      <c r="L403" s="27"/>
    </row>
    <row r="404" spans="1:12">
      <c r="A404" s="20" t="s">
        <v>373</v>
      </c>
      <c r="E404" s="22">
        <f>IF(D404="?OLD","!!!","")</f>
        <v/>
      </c>
      <c r="F404" s="23" t="str">
        <f>IF(OR(E404="",E404="!!!"),"",IF(NOT(ISNA(VLOOKUP(E404,E$1:E403,1,FALSE()))),"OLD",IF(AND(E404&lt;&gt;"",E404&lt;&gt;"!!!"),"NEW","")))</f>
        <v> </v>
      </c>
      <c r="G404" s="24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5" t="str">
        <f>IF(J404&lt;&gt;1,"",IF(I404="SBJ","CB","?"))</f>
        <v> </v>
      </c>
      <c r="I404" s="26" t="str">
        <f>IF(OR(E404="",E404="!!!",F404="NEW"),"",INDEX(B403:B$2,-1+SUMPRODUCT(MAX(ROW(E403:E$2)*(E404=E403:E$2)))))</f>
        <v> </v>
      </c>
      <c r="J404" s="26" t="str">
        <f>IF(OR(E404="",E404="!!!",F404="NEW"),"",COUNTBLANK(OFFSET(A$1,,,SUMPRODUCT(MAX(ROW(E$2:E404)*(E404=E$2:E404)))))-COUNTBLANK(OFFSET(A$1,,,SUMPRODUCT(MAX(ROW(E$1:E403)*(E2=E$1:E403))))))</f>
        <v> </v>
      </c>
      <c r="K404" s="26" t="str">
        <f>IF(OR(E404="",E404="!!!",F404="NEW"),"",INDEX(J$1:J403,SUMPRODUCT(MAX(ROW(E$1:E403)*(E404=E$1:E403)))))</f>
        <v> </v>
      </c>
      <c r="L404" s="27"/>
    </row>
    <row r="405" spans="1:12">
      <c r="A405" s="20" t="s">
        <v>198</v>
      </c>
      <c r="E405" s="22">
        <f>IF(D405="?OLD","!!!","")</f>
        <v/>
      </c>
      <c r="F405" s="23" t="str">
        <f>IF(OR(E405="",E405="!!!"),"",IF(NOT(ISNA(VLOOKUP(E405,E$1:E404,1,FALSE()))),"OLD",IF(AND(E405&lt;&gt;"",E405&lt;&gt;"!!!"),"NEW","")))</f>
        <v> </v>
      </c>
      <c r="G405" s="24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5" t="str">
        <f>IF(J405&lt;&gt;1,"",IF(I405="SBJ","CB","?"))</f>
        <v> </v>
      </c>
      <c r="I405" s="26" t="str">
        <f>IF(OR(E405="",E405="!!!",F405="NEW"),"",INDEX(B404:B$2,-1+SUMPRODUCT(MAX(ROW(E404:E$2)*(E405=E404:E$2)))))</f>
        <v> </v>
      </c>
      <c r="J405" s="26" t="str">
        <f>IF(OR(E405="",E405="!!!",F405="NEW"),"",COUNTBLANK(OFFSET(A$1,,,SUMPRODUCT(MAX(ROW(E$2:E405)*(E405=E$2:E405)))))-COUNTBLANK(OFFSET(A$1,,,SUMPRODUCT(MAX(ROW(E$1:E404)*(E2=E$1:E404))))))</f>
        <v> </v>
      </c>
      <c r="K405" s="26" t="str">
        <f>IF(OR(E405="",E405="!!!",F405="NEW"),"",INDEX(J$1:J404,SUMPRODUCT(MAX(ROW(E$1:E404)*(E405=E$1:E404)))))</f>
        <v> </v>
      </c>
      <c r="L405" s="27"/>
    </row>
    <row r="406" spans="1:12">
      <c r="A406" s="20" t="s">
        <v>248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 t="s">
        <v>383</v>
      </c>
      <c r="B407" s="21" t="s">
        <v>145</v>
      </c>
      <c r="C407" s="21" t="s">
        <v>137</v>
      </c>
      <c r="D407" s="21" t="s">
        <v>131</v>
      </c>
      <c r="E407" s="22">
        <f>IF(D407="?OLD","!!!","")</f>
        <v/>
      </c>
      <c r="F407" s="23" t="str">
        <f>IF(OR(E407="",E407="!!!"),"",IF(NOT(ISNA(VLOOKUP(E407,E$1:E406,1,FALSE()))),"OLD",IF(AND(E407&lt;&gt;"",E407&lt;&gt;"!!!"),"NEW","")))</f>
        <v> </v>
      </c>
      <c r="G407" s="24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5" t="str">
        <f>IF(J407&lt;&gt;1,"",IF(I407="SBJ","CB","?"))</f>
        <v> </v>
      </c>
      <c r="I407" s="26" t="str">
        <f>IF(OR(E407="",E407="!!!",F407="NEW"),"",INDEX(B406:B$2,-1+SUMPRODUCT(MAX(ROW(E406:E$2)*(E407=E406:E$2)))))</f>
        <v> </v>
      </c>
      <c r="J407" s="26" t="str">
        <f>IF(OR(E407="",E407="!!!",F407="NEW"),"",COUNTBLANK(OFFSET(A$1,,,SUMPRODUCT(MAX(ROW(E$2:E407)*(E407=E$2:E407)))))-COUNTBLANK(OFFSET(A$1,,,SUMPRODUCT(MAX(ROW(E$1:E406)*(E2=E$1:E406))))))</f>
        <v> </v>
      </c>
      <c r="K407" s="26" t="str">
        <f>IF(OR(E407="",E407="!!!",F407="NEW"),"",INDEX(J$1:J406,SUMPRODUCT(MAX(ROW(E$1:E406)*(E407=E$1:E406)))))</f>
        <v> </v>
      </c>
      <c r="L407" s="27"/>
    </row>
    <row r="408" spans="1:12">
      <c r="A408" s="20" t="s">
        <v>384</v>
      </c>
      <c r="B408" s="21" t="s">
        <v>158</v>
      </c>
      <c r="C408" s="21" t="s">
        <v>130</v>
      </c>
      <c r="D408" s="21" t="s">
        <v>131</v>
      </c>
      <c r="E408" s="22">
        <f>IF(D408="?OLD","!!!","")</f>
        <v/>
      </c>
      <c r="F408" s="23" t="str">
        <f>IF(OR(E408="",E408="!!!"),"",IF(NOT(ISNA(VLOOKUP(E408,E$1:E407,1,FALSE()))),"OLD",IF(AND(E408&lt;&gt;"",E408&lt;&gt;"!!!"),"NEW","")))</f>
        <v> </v>
      </c>
      <c r="G408" s="24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5" t="str">
        <f>IF(J408&lt;&gt;1,"",IF(I408="SBJ","CB","?"))</f>
        <v> </v>
      </c>
      <c r="I408" s="26" t="str">
        <f>IF(OR(E408="",E408="!!!",F408="NEW"),"",INDEX(B407:B$2,-1+SUMPRODUCT(MAX(ROW(E407:E$2)*(E408=E407:E$2)))))</f>
        <v> </v>
      </c>
      <c r="J408" s="26" t="str">
        <f>IF(OR(E408="",E408="!!!",F408="NEW"),"",COUNTBLANK(OFFSET(A$1,,,SUMPRODUCT(MAX(ROW(E$2:E408)*(E408=E$2:E408)))))-COUNTBLANK(OFFSET(A$1,,,SUMPRODUCT(MAX(ROW(E$1:E407)*(E2=E$1:E407))))))</f>
        <v> </v>
      </c>
      <c r="K408" s="26" t="str">
        <f>IF(OR(E408="",E408="!!!",F408="NEW"),"",INDEX(J$1:J407,SUMPRODUCT(MAX(ROW(E$1:E407)*(E408=E$1:E407)))))</f>
        <v> </v>
      </c>
      <c r="L408" s="27"/>
    </row>
    <row r="409" spans="1:12">
      <c r="A409" s="20" t="s">
        <v>12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385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 t="s">
        <v>386</v>
      </c>
      <c r="E411" s="22">
        <f>IF(D411="?OLD","!!!","")</f>
        <v/>
      </c>
      <c r="F411" s="23" t="str">
        <f>IF(OR(E411="",E411="!!!"),"",IF(NOT(ISNA(VLOOKUP(E411,E$1:E410,1,FALSE()))),"OLD",IF(AND(E411&lt;&gt;"",E411&lt;&gt;"!!!"),"NEW","")))</f>
        <v> </v>
      </c>
      <c r="G411" s="24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5" t="str">
        <f>IF(J411&lt;&gt;1,"",IF(I411="SBJ","CB","?"))</f>
        <v> </v>
      </c>
      <c r="I411" s="26" t="str">
        <f>IF(OR(E411="",E411="!!!",F411="NEW"),"",INDEX(B410:B$2,-1+SUMPRODUCT(MAX(ROW(E410:E$2)*(E411=E410:E$2)))))</f>
        <v> </v>
      </c>
      <c r="J411" s="26" t="str">
        <f>IF(OR(E411="",E411="!!!",F411="NEW"),"",COUNTBLANK(OFFSET(A$1,,,SUMPRODUCT(MAX(ROW(E$2:E411)*(E411=E$2:E411)))))-COUNTBLANK(OFFSET(A$1,,,SUMPRODUCT(MAX(ROW(E$1:E410)*(E2=E$1:E410))))))</f>
        <v> </v>
      </c>
      <c r="K411" s="26" t="str">
        <f>IF(OR(E411="",E411="!!!",F411="NEW"),"",INDEX(J$1:J410,SUMPRODUCT(MAX(ROW(E$1:E410)*(E411=E$1:E410)))))</f>
        <v> </v>
      </c>
      <c r="L411" s="27"/>
    </row>
    <row r="412" spans="1:12">
      <c r="A412" s="20" t="s">
        <v>198</v>
      </c>
      <c r="E412" s="22">
        <f>IF(D412="?OLD","!!!","")</f>
        <v/>
      </c>
      <c r="F412" s="23" t="str">
        <f>IF(OR(E412="",E412="!!!"),"",IF(NOT(ISNA(VLOOKUP(E412,E$1:E411,1,FALSE()))),"OLD",IF(AND(E412&lt;&gt;"",E412&lt;&gt;"!!!"),"NEW","")))</f>
        <v> </v>
      </c>
      <c r="G412" s="24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5" t="str">
        <f>IF(J412&lt;&gt;1,"",IF(I412="SBJ","CB","?"))</f>
        <v> </v>
      </c>
      <c r="I412" s="26" t="str">
        <f>IF(OR(E412="",E412="!!!",F412="NEW"),"",INDEX(B411:B$2,-1+SUMPRODUCT(MAX(ROW(E411:E$2)*(E412=E411:E$2)))))</f>
        <v> </v>
      </c>
      <c r="J412" s="26" t="str">
        <f>IF(OR(E412="",E412="!!!",F412="NEW"),"",COUNTBLANK(OFFSET(A$1,,,SUMPRODUCT(MAX(ROW(E$2:E412)*(E412=E$2:E412)))))-COUNTBLANK(OFFSET(A$1,,,SUMPRODUCT(MAX(ROW(E$1:E411)*(E2=E$1:E411))))))</f>
        <v> </v>
      </c>
      <c r="K412" s="26" t="str">
        <f>IF(OR(E412="",E412="!!!",F412="NEW"),"",INDEX(J$1:J411,SUMPRODUCT(MAX(ROW(E$1:E411)*(E412=E$1:E411)))))</f>
        <v> </v>
      </c>
      <c r="L412" s="27"/>
    </row>
    <row r="413" spans="1:12">
      <c r="A413" s="20" t="s">
        <v>387</v>
      </c>
      <c r="B413" s="21" t="s">
        <v>145</v>
      </c>
      <c r="C413" s="21" t="s">
        <v>130</v>
      </c>
      <c r="D413" s="21" t="s">
        <v>131</v>
      </c>
      <c r="E413" s="22">
        <f>IF(D413="?OLD","!!!","")</f>
        <v/>
      </c>
      <c r="F413" s="23" t="str">
        <f>IF(OR(E413="",E413="!!!"),"",IF(NOT(ISNA(VLOOKUP(E413,E$1:E412,1,FALSE()))),"OLD",IF(AND(E413&lt;&gt;"",E413&lt;&gt;"!!!"),"NEW","")))</f>
        <v> </v>
      </c>
      <c r="G413" s="24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5" t="str">
        <f>IF(J413&lt;&gt;1,"",IF(I413="SBJ","CB","?"))</f>
        <v> </v>
      </c>
      <c r="I413" s="26" t="str">
        <f>IF(OR(E413="",E413="!!!",F413="NEW"),"",INDEX(B412:B$2,-1+SUMPRODUCT(MAX(ROW(E412:E$2)*(E413=E412:E$2)))))</f>
        <v> </v>
      </c>
      <c r="J413" s="26" t="str">
        <f>IF(OR(E413="",E413="!!!",F413="NEW"),"",COUNTBLANK(OFFSET(A$1,,,SUMPRODUCT(MAX(ROW(E$2:E413)*(E413=E$2:E413)))))-COUNTBLANK(OFFSET(A$1,,,SUMPRODUCT(MAX(ROW(E$1:E412)*(E2=E$1:E412))))))</f>
        <v> </v>
      </c>
      <c r="K413" s="26" t="str">
        <f>IF(OR(E413="",E413="!!!",F413="NEW"),"",INDEX(J$1:J412,SUMPRODUCT(MAX(ROW(E$1:E412)*(E413=E$1:E412)))))</f>
        <v> </v>
      </c>
      <c r="L413" s="27"/>
    </row>
    <row r="414" spans="1:12">
      <c r="A414" s="20" t="s">
        <v>12</v>
      </c>
      <c r="E414" s="22">
        <f>IF(D414="?OLD","!!!","")</f>
        <v/>
      </c>
      <c r="F414" s="23" t="str">
        <f>IF(OR(E414="",E414="!!!"),"",IF(NOT(ISNA(VLOOKUP(E414,E$1:E413,1,FALSE()))),"OLD",IF(AND(E414&lt;&gt;"",E414&lt;&gt;"!!!"),"NEW","")))</f>
        <v> </v>
      </c>
      <c r="G414" s="24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5" t="str">
        <f>IF(J414&lt;&gt;1,"",IF(I414="SBJ","CB","?"))</f>
        <v> </v>
      </c>
      <c r="I414" s="26" t="str">
        <f>IF(OR(E414="",E414="!!!",F414="NEW"),"",INDEX(B413:B$2,-1+SUMPRODUCT(MAX(ROW(E413:E$2)*(E414=E413:E$2)))))</f>
        <v> </v>
      </c>
      <c r="J414" s="26" t="str">
        <f>IF(OR(E414="",E414="!!!",F414="NEW"),"",COUNTBLANK(OFFSET(A$1,,,SUMPRODUCT(MAX(ROW(E$2:E414)*(E414=E$2:E414)))))-COUNTBLANK(OFFSET(A$1,,,SUMPRODUCT(MAX(ROW(E$1:E413)*(E2=E$1:E413))))))</f>
        <v> </v>
      </c>
      <c r="K414" s="26" t="str">
        <f>IF(OR(E414="",E414="!!!",F414="NEW"),"",INDEX(J$1:J413,SUMPRODUCT(MAX(ROW(E$1:E413)*(E414=E$1:E413)))))</f>
        <v> </v>
      </c>
      <c r="L414" s="27"/>
    </row>
    <row r="415" spans="1:12">
      <c r="A415" s="20" t="s">
        <v>388</v>
      </c>
      <c r="E415" s="22">
        <f>IF(D415="?OLD","!!!","")</f>
        <v/>
      </c>
      <c r="F415" s="23" t="str">
        <f>IF(OR(E415="",E415="!!!"),"",IF(NOT(ISNA(VLOOKUP(E415,E$1:E414,1,FALSE()))),"OLD",IF(AND(E415&lt;&gt;"",E415&lt;&gt;"!!!"),"NEW","")))</f>
        <v> </v>
      </c>
      <c r="G415" s="24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5" t="str">
        <f>IF(J415&lt;&gt;1,"",IF(I415="SBJ","CB","?"))</f>
        <v> </v>
      </c>
      <c r="I415" s="26" t="str">
        <f>IF(OR(E415="",E415="!!!",F415="NEW"),"",INDEX(B414:B$2,-1+SUMPRODUCT(MAX(ROW(E414:E$2)*(E415=E414:E$2)))))</f>
        <v> </v>
      </c>
      <c r="J415" s="26" t="str">
        <f>IF(OR(E415="",E415="!!!",F415="NEW"),"",COUNTBLANK(OFFSET(A$1,,,SUMPRODUCT(MAX(ROW(E$2:E415)*(E415=E$2:E415)))))-COUNTBLANK(OFFSET(A$1,,,SUMPRODUCT(MAX(ROW(E$1:E414)*(E2=E$1:E414))))))</f>
        <v> </v>
      </c>
      <c r="K415" s="26" t="str">
        <f>IF(OR(E415="",E415="!!!",F415="NEW"),"",INDEX(J$1:J414,SUMPRODUCT(MAX(ROW(E$1:E414)*(E415=E$1:E414)))))</f>
        <v> </v>
      </c>
      <c r="L415" s="27"/>
    </row>
    <row r="416" spans="1:12">
      <c r="A416" s="20" t="s">
        <v>389</v>
      </c>
      <c r="B416" s="21" t="s">
        <v>158</v>
      </c>
      <c r="C416" s="21" t="s">
        <v>130</v>
      </c>
      <c r="D416" s="21" t="s">
        <v>131</v>
      </c>
      <c r="E416" s="22">
        <f>IF(D416="?OLD","!!!","")</f>
        <v/>
      </c>
      <c r="F416" s="23" t="str">
        <f>IF(OR(E416="",E416="!!!"),"",IF(NOT(ISNA(VLOOKUP(E416,E$1:E415,1,FALSE()))),"OLD",IF(AND(E416&lt;&gt;"",E416&lt;&gt;"!!!"),"NEW","")))</f>
        <v> </v>
      </c>
      <c r="G416" s="24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5" t="str">
        <f>IF(J416&lt;&gt;1,"",IF(I416="SBJ","CB","?"))</f>
        <v> </v>
      </c>
      <c r="I416" s="26" t="str">
        <f>IF(OR(E416="",E416="!!!",F416="NEW"),"",INDEX(B415:B$2,-1+SUMPRODUCT(MAX(ROW(E415:E$2)*(E416=E415:E$2)))))</f>
        <v> </v>
      </c>
      <c r="J416" s="26" t="str">
        <f>IF(OR(E416="",E416="!!!",F416="NEW"),"",COUNTBLANK(OFFSET(A$1,,,SUMPRODUCT(MAX(ROW(E$2:E416)*(E416=E$2:E416)))))-COUNTBLANK(OFFSET(A$1,,,SUMPRODUCT(MAX(ROW(E$1:E415)*(E2=E$1:E415))))))</f>
        <v> </v>
      </c>
      <c r="K416" s="26" t="str">
        <f>IF(OR(E416="",E416="!!!",F416="NEW"),"",INDEX(J$1:J415,SUMPRODUCT(MAX(ROW(E$1:E415)*(E416=E$1:E415)))))</f>
        <v> </v>
      </c>
      <c r="L416" s="27"/>
    </row>
    <row r="417" spans="1:12">
      <c r="A417" s="20" t="s">
        <v>390</v>
      </c>
      <c r="E417" s="22">
        <f>IF(D417="?OLD","!!!","")</f>
        <v/>
      </c>
      <c r="F417" s="23" t="str">
        <f>IF(OR(E417="",E417="!!!"),"",IF(NOT(ISNA(VLOOKUP(E417,E$1:E416,1,FALSE()))),"OLD",IF(AND(E417&lt;&gt;"",E417&lt;&gt;"!!!"),"NEW","")))</f>
        <v> </v>
      </c>
      <c r="G417" s="24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5" t="str">
        <f>IF(J417&lt;&gt;1,"",IF(I417="SBJ","CB","?"))</f>
        <v> </v>
      </c>
      <c r="I417" s="26" t="str">
        <f>IF(OR(E417="",E417="!!!",F417="NEW"),"",INDEX(B416:B$2,-1+SUMPRODUCT(MAX(ROW(E416:E$2)*(E417=E416:E$2)))))</f>
        <v> </v>
      </c>
      <c r="J417" s="26" t="str">
        <f>IF(OR(E417="",E417="!!!",F417="NEW"),"",COUNTBLANK(OFFSET(A$1,,,SUMPRODUCT(MAX(ROW(E$2:E417)*(E417=E$2:E417)))))-COUNTBLANK(OFFSET(A$1,,,SUMPRODUCT(MAX(ROW(E$1:E416)*(E2=E$1:E416))))))</f>
        <v> </v>
      </c>
      <c r="K417" s="26" t="str">
        <f>IF(OR(E417="",E417="!!!",F417="NEW"),"",INDEX(J$1:J416,SUMPRODUCT(MAX(ROW(E$1:E416)*(E417=E$1:E416)))))</f>
        <v> </v>
      </c>
      <c r="L417" s="27"/>
    </row>
    <row r="418" spans="1:12">
      <c r="A418" s="20" t="s">
        <v>198</v>
      </c>
      <c r="E418" s="22">
        <f>IF(D418="?OLD","!!!","")</f>
        <v/>
      </c>
      <c r="F418" s="23" t="str">
        <f>IF(OR(E418="",E418="!!!"),"",IF(NOT(ISNA(VLOOKUP(E418,E$1:E417,1,FALSE()))),"OLD",IF(AND(E418&lt;&gt;"",E418&lt;&gt;"!!!"),"NEW","")))</f>
        <v> </v>
      </c>
      <c r="G418" s="24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5" t="str">
        <f>IF(J418&lt;&gt;1,"",IF(I418="SBJ","CB","?"))</f>
        <v> </v>
      </c>
      <c r="I418" s="26" t="str">
        <f>IF(OR(E418="",E418="!!!",F418="NEW"),"",INDEX(B417:B$2,-1+SUMPRODUCT(MAX(ROW(E417:E$2)*(E418=E417:E$2)))))</f>
        <v> </v>
      </c>
      <c r="J418" s="26" t="str">
        <f>IF(OR(E418="",E418="!!!",F418="NEW"),"",COUNTBLANK(OFFSET(A$1,,,SUMPRODUCT(MAX(ROW(E$2:E418)*(E418=E$2:E418)))))-COUNTBLANK(OFFSET(A$1,,,SUMPRODUCT(MAX(ROW(E$1:E417)*(E2=E$1:E417))))))</f>
        <v> </v>
      </c>
      <c r="K418" s="26" t="str">
        <f>IF(OR(E418="",E418="!!!",F418="NEW"),"",INDEX(J$1:J417,SUMPRODUCT(MAX(ROW(E$1:E417)*(E418=E$1:E417)))))</f>
        <v> </v>
      </c>
      <c r="L418" s="27"/>
    </row>
    <row r="419" spans="1:12">
      <c r="A419" s="20" t="s">
        <v>248</v>
      </c>
      <c r="E419" s="22">
        <f>IF(D419="?OLD","!!!","")</f>
        <v/>
      </c>
      <c r="F419" s="23" t="str">
        <f>IF(OR(E419="",E419="!!!"),"",IF(NOT(ISNA(VLOOKUP(E419,E$1:E418,1,FALSE()))),"OLD",IF(AND(E419&lt;&gt;"",E419&lt;&gt;"!!!"),"NEW","")))</f>
        <v> </v>
      </c>
      <c r="G419" s="24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5" t="str">
        <f>IF(J419&lt;&gt;1,"",IF(I419="SBJ","CB","?"))</f>
        <v> </v>
      </c>
      <c r="I419" s="26" t="str">
        <f>IF(OR(E419="",E419="!!!",F419="NEW"),"",INDEX(B418:B$2,-1+SUMPRODUCT(MAX(ROW(E418:E$2)*(E419=E418:E$2)))))</f>
        <v> </v>
      </c>
      <c r="J419" s="26" t="str">
        <f>IF(OR(E419="",E419="!!!",F419="NEW"),"",COUNTBLANK(OFFSET(A$1,,,SUMPRODUCT(MAX(ROW(E$2:E419)*(E419=E$2:E419)))))-COUNTBLANK(OFFSET(A$1,,,SUMPRODUCT(MAX(ROW(E$1:E418)*(E2=E$1:E418))))))</f>
        <v> </v>
      </c>
      <c r="K419" s="26" t="str">
        <f>IF(OR(E419="",E419="!!!",F419="NEW"),"",INDEX(J$1:J418,SUMPRODUCT(MAX(ROW(E$1:E418)*(E419=E$1:E418)))))</f>
        <v> </v>
      </c>
      <c r="L419" s="27"/>
    </row>
    <row r="420" spans="1:12">
      <c r="A420" s="20" t="s">
        <v>391</v>
      </c>
      <c r="B420" s="21" t="s">
        <v>145</v>
      </c>
      <c r="C420" s="21" t="s">
        <v>130</v>
      </c>
      <c r="D420" s="21" t="s">
        <v>131</v>
      </c>
      <c r="E420" s="22">
        <f>IF(D420="?OLD","!!!","")</f>
        <v/>
      </c>
      <c r="F420" s="23" t="str">
        <f>IF(OR(E420="",E420="!!!"),"",IF(NOT(ISNA(VLOOKUP(E420,E$1:E419,1,FALSE()))),"OLD",IF(AND(E420&lt;&gt;"",E420&lt;&gt;"!!!"),"NEW","")))</f>
        <v> </v>
      </c>
      <c r="G420" s="24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5" t="str">
        <f>IF(J420&lt;&gt;1,"",IF(I420="SBJ","CB","?"))</f>
        <v> </v>
      </c>
      <c r="I420" s="26" t="str">
        <f>IF(OR(E420="",E420="!!!",F420="NEW"),"",INDEX(B419:B$2,-1+SUMPRODUCT(MAX(ROW(E419:E$2)*(E420=E419:E$2)))))</f>
        <v> </v>
      </c>
      <c r="J420" s="26" t="str">
        <f>IF(OR(E420="",E420="!!!",F420="NEW"),"",COUNTBLANK(OFFSET(A$1,,,SUMPRODUCT(MAX(ROW(E$2:E420)*(E420=E$2:E420)))))-COUNTBLANK(OFFSET(A$1,,,SUMPRODUCT(MAX(ROW(E$1:E419)*(E2=E$1:E419))))))</f>
        <v> </v>
      </c>
      <c r="K420" s="26" t="str">
        <f>IF(OR(E420="",E420="!!!",F420="NEW"),"",INDEX(J$1:J419,SUMPRODUCT(MAX(ROW(E$1:E419)*(E420=E$1:E419)))))</f>
        <v> </v>
      </c>
      <c r="L420" s="27"/>
    </row>
    <row r="421" spans="1:12">
      <c r="A421" s="20" t="s">
        <v>392</v>
      </c>
      <c r="E421" s="22">
        <f>IF(D421="?OLD","!!!","")</f>
        <v/>
      </c>
      <c r="F421" s="23" t="str">
        <f>IF(OR(E421="",E421="!!!"),"",IF(NOT(ISNA(VLOOKUP(E421,E$1:E420,1,FALSE()))),"OLD",IF(AND(E421&lt;&gt;"",E421&lt;&gt;"!!!"),"NEW","")))</f>
        <v> </v>
      </c>
      <c r="G421" s="24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5" t="str">
        <f>IF(J421&lt;&gt;1,"",IF(I421="SBJ","CB","?"))</f>
        <v> </v>
      </c>
      <c r="I421" s="26" t="str">
        <f>IF(OR(E421="",E421="!!!",F421="NEW"),"",INDEX(B420:B$2,-1+SUMPRODUCT(MAX(ROW(E420:E$2)*(E421=E420:E$2)))))</f>
        <v> </v>
      </c>
      <c r="J421" s="26" t="str">
        <f>IF(OR(E421="",E421="!!!",F421="NEW"),"",COUNTBLANK(OFFSET(A$1,,,SUMPRODUCT(MAX(ROW(E$2:E421)*(E421=E$2:E421)))))-COUNTBLANK(OFFSET(A$1,,,SUMPRODUCT(MAX(ROW(E$1:E420)*(E2=E$1:E420))))))</f>
        <v> </v>
      </c>
      <c r="K421" s="26" t="str">
        <f>IF(OR(E421="",E421="!!!",F421="NEW"),"",INDEX(J$1:J420,SUMPRODUCT(MAX(ROW(E$1:E420)*(E421=E$1:E420)))))</f>
        <v> </v>
      </c>
      <c r="L421" s="27"/>
    </row>
    <row r="422" spans="1:12">
      <c r="A422" s="20" t="s">
        <v>393</v>
      </c>
      <c r="E422" s="22">
        <f>IF(D422="?OLD","!!!","")</f>
        <v/>
      </c>
      <c r="F422" s="23" t="str">
        <f>IF(OR(E422="",E422="!!!"),"",IF(NOT(ISNA(VLOOKUP(E422,E$1:E421,1,FALSE()))),"OLD",IF(AND(E422&lt;&gt;"",E422&lt;&gt;"!!!"),"NEW","")))</f>
        <v> </v>
      </c>
      <c r="G422" s="24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5" t="str">
        <f>IF(J422&lt;&gt;1,"",IF(I422="SBJ","CB","?"))</f>
        <v> </v>
      </c>
      <c r="I422" s="26" t="str">
        <f>IF(OR(E422="",E422="!!!",F422="NEW"),"",INDEX(B421:B$2,-1+SUMPRODUCT(MAX(ROW(E421:E$2)*(E422=E421:E$2)))))</f>
        <v> </v>
      </c>
      <c r="J422" s="26" t="str">
        <f>IF(OR(E422="",E422="!!!",F422="NEW"),"",COUNTBLANK(OFFSET(A$1,,,SUMPRODUCT(MAX(ROW(E$2:E422)*(E422=E$2:E422)))))-COUNTBLANK(OFFSET(A$1,,,SUMPRODUCT(MAX(ROW(E$1:E421)*(E2=E$1:E421))))))</f>
        <v> </v>
      </c>
      <c r="K422" s="26" t="str">
        <f>IF(OR(E422="",E422="!!!",F422="NEW"),"",INDEX(J$1:J421,SUMPRODUCT(MAX(ROW(E$1:E421)*(E422=E$1:E421)))))</f>
        <v> </v>
      </c>
      <c r="L422" s="27"/>
    </row>
    <row r="423" spans="1:12">
      <c r="A423" s="20" t="s">
        <v>198</v>
      </c>
      <c r="E423" s="22">
        <f>IF(D423="?OLD","!!!","")</f>
        <v/>
      </c>
      <c r="F423" s="23" t="str">
        <f>IF(OR(E423="",E423="!!!"),"",IF(NOT(ISNA(VLOOKUP(E423,E$1:E422,1,FALSE()))),"OLD",IF(AND(E423&lt;&gt;"",E423&lt;&gt;"!!!"),"NEW","")))</f>
        <v> </v>
      </c>
      <c r="G423" s="24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5" t="str">
        <f>IF(J423&lt;&gt;1,"",IF(I423="SBJ","CB","?"))</f>
        <v> </v>
      </c>
      <c r="I423" s="26" t="str">
        <f>IF(OR(E423="",E423="!!!",F423="NEW"),"",INDEX(B422:B$2,-1+SUMPRODUCT(MAX(ROW(E422:E$2)*(E423=E422:E$2)))))</f>
        <v> </v>
      </c>
      <c r="J423" s="26" t="str">
        <f>IF(OR(E423="",E423="!!!",F423="NEW"),"",COUNTBLANK(OFFSET(A$1,,,SUMPRODUCT(MAX(ROW(E$2:E423)*(E423=E$2:E423)))))-COUNTBLANK(OFFSET(A$1,,,SUMPRODUCT(MAX(ROW(E$1:E422)*(E2=E$1:E422))))))</f>
        <v> </v>
      </c>
      <c r="K423" s="26" t="str">
        <f>IF(OR(E423="",E423="!!!",F423="NEW"),"",INDEX(J$1:J422,SUMPRODUCT(MAX(ROW(E$1:E422)*(E423=E$1:E422)))))</f>
        <v> </v>
      </c>
      <c r="L423" s="27"/>
    </row>
    <row r="424" spans="1:12">
      <c r="A424" s="20" t="s">
        <v>248</v>
      </c>
      <c r="E424" s="22">
        <f>IF(D424="?OLD","!!!","")</f>
        <v/>
      </c>
      <c r="F424" s="23" t="str">
        <f>IF(OR(E424="",E424="!!!"),"",IF(NOT(ISNA(VLOOKUP(E424,E$1:E423,1,FALSE()))),"OLD",IF(AND(E424&lt;&gt;"",E424&lt;&gt;"!!!"),"NEW","")))</f>
        <v> </v>
      </c>
      <c r="G424" s="24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5" t="str">
        <f>IF(J424&lt;&gt;1,"",IF(I424="SBJ","CB","?"))</f>
        <v> </v>
      </c>
      <c r="I424" s="26" t="str">
        <f>IF(OR(E424="",E424="!!!",F424="NEW"),"",INDEX(B423:B$2,-1+SUMPRODUCT(MAX(ROW(E423:E$2)*(E424=E423:E$2)))))</f>
        <v> </v>
      </c>
      <c r="J424" s="26" t="str">
        <f>IF(OR(E424="",E424="!!!",F424="NEW"),"",COUNTBLANK(OFFSET(A$1,,,SUMPRODUCT(MAX(ROW(E$2:E424)*(E424=E$2:E424)))))-COUNTBLANK(OFFSET(A$1,,,SUMPRODUCT(MAX(ROW(E$1:E423)*(E2=E$1:E423))))))</f>
        <v> </v>
      </c>
      <c r="K424" s="26" t="str">
        <f>IF(OR(E424="",E424="!!!",F424="NEW"),"",INDEX(J$1:J423,SUMPRODUCT(MAX(ROW(E$1:E423)*(E424=E$1:E423)))))</f>
        <v> </v>
      </c>
      <c r="L424" s="27"/>
    </row>
    <row r="425" spans="1:12">
      <c r="A425" s="20" t="s">
        <v>394</v>
      </c>
      <c r="B425" s="21" t="s">
        <v>145</v>
      </c>
      <c r="C425" s="21" t="s">
        <v>137</v>
      </c>
      <c r="D425" s="21" t="s">
        <v>131</v>
      </c>
      <c r="E425" s="22">
        <f>IF(D425="?OLD","!!!","")</f>
        <v/>
      </c>
      <c r="F425" s="23" t="str">
        <f>IF(OR(E425="",E425="!!!"),"",IF(NOT(ISNA(VLOOKUP(E425,E$1:E424,1,FALSE()))),"OLD",IF(AND(E425&lt;&gt;"",E425&lt;&gt;"!!!"),"NEW","")))</f>
        <v> </v>
      </c>
      <c r="G425" s="24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5" t="str">
        <f>IF(J425&lt;&gt;1,"",IF(I425="SBJ","CB","?"))</f>
        <v> </v>
      </c>
      <c r="I425" s="26" t="str">
        <f>IF(OR(E425="",E425="!!!",F425="NEW"),"",INDEX(B424:B$2,-1+SUMPRODUCT(MAX(ROW(E424:E$2)*(E425=E424:E$2)))))</f>
        <v> </v>
      </c>
      <c r="J425" s="26" t="str">
        <f>IF(OR(E425="",E425="!!!",F425="NEW"),"",COUNTBLANK(OFFSET(A$1,,,SUMPRODUCT(MAX(ROW(E$2:E425)*(E425=E$2:E425)))))-COUNTBLANK(OFFSET(A$1,,,SUMPRODUCT(MAX(ROW(E$1:E424)*(E2=E$1:E424))))))</f>
        <v> </v>
      </c>
      <c r="K425" s="26" t="str">
        <f>IF(OR(E425="",E425="!!!",F425="NEW"),"",INDEX(J$1:J424,SUMPRODUCT(MAX(ROW(E$1:E424)*(E425=E$1:E424)))))</f>
        <v> </v>
      </c>
      <c r="L425" s="27"/>
    </row>
    <row r="426" spans="1:12">
      <c r="A426" s="20" t="s">
        <v>395</v>
      </c>
      <c r="B426" s="21" t="s">
        <v>158</v>
      </c>
      <c r="C426" s="21" t="s">
        <v>130</v>
      </c>
      <c r="D426" s="21" t="s">
        <v>131</v>
      </c>
      <c r="E426" s="22">
        <f>IF(D426="?OLD","!!!","")</f>
        <v/>
      </c>
      <c r="F426" s="23" t="str">
        <f>IF(OR(E426="",E426="!!!"),"",IF(NOT(ISNA(VLOOKUP(E426,E$1:E425,1,FALSE()))),"OLD",IF(AND(E426&lt;&gt;"",E426&lt;&gt;"!!!"),"NEW","")))</f>
        <v> </v>
      </c>
      <c r="G426" s="24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5" t="str">
        <f>IF(J426&lt;&gt;1,"",IF(I426="SBJ","CB","?"))</f>
        <v> </v>
      </c>
      <c r="I426" s="26" t="str">
        <f>IF(OR(E426="",E426="!!!",F426="NEW"),"",INDEX(B425:B$2,-1+SUMPRODUCT(MAX(ROW(E425:E$2)*(E426=E425:E$2)))))</f>
        <v> </v>
      </c>
      <c r="J426" s="26" t="str">
        <f>IF(OR(E426="",E426="!!!",F426="NEW"),"",COUNTBLANK(OFFSET(A$1,,,SUMPRODUCT(MAX(ROW(E$2:E426)*(E426=E$2:E426)))))-COUNTBLANK(OFFSET(A$1,,,SUMPRODUCT(MAX(ROW(E$1:E425)*(E2=E$1:E425))))))</f>
        <v> </v>
      </c>
      <c r="K426" s="26" t="str">
        <f>IF(OR(E426="",E426="!!!",F426="NEW"),"",INDEX(J$1:J425,SUMPRODUCT(MAX(ROW(E$1:E425)*(E426=E$1:E425)))))</f>
        <v> </v>
      </c>
      <c r="L426" s="27"/>
    </row>
    <row r="427" spans="1:12">
      <c r="A427" s="20" t="s">
        <v>396</v>
      </c>
      <c r="E427" s="22">
        <f>IF(D427="?OLD","!!!","")</f>
        <v/>
      </c>
      <c r="F427" s="23" t="str">
        <f>IF(OR(E427="",E427="!!!"),"",IF(NOT(ISNA(VLOOKUP(E427,E$1:E426,1,FALSE()))),"OLD",IF(AND(E427&lt;&gt;"",E427&lt;&gt;"!!!"),"NEW","")))</f>
        <v> </v>
      </c>
      <c r="G427" s="24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5" t="str">
        <f>IF(J427&lt;&gt;1,"",IF(I427="SBJ","CB","?"))</f>
        <v> </v>
      </c>
      <c r="I427" s="26" t="str">
        <f>IF(OR(E427="",E427="!!!",F427="NEW"),"",INDEX(B426:B$2,-1+SUMPRODUCT(MAX(ROW(E426:E$2)*(E427=E426:E$2)))))</f>
        <v> </v>
      </c>
      <c r="J427" s="26" t="str">
        <f>IF(OR(E427="",E427="!!!",F427="NEW"),"",COUNTBLANK(OFFSET(A$1,,,SUMPRODUCT(MAX(ROW(E$2:E427)*(E427=E$2:E427)))))-COUNTBLANK(OFFSET(A$1,,,SUMPRODUCT(MAX(ROW(E$1:E426)*(E2=E$1:E426))))))</f>
        <v> </v>
      </c>
      <c r="K427" s="26" t="str">
        <f>IF(OR(E427="",E427="!!!",F427="NEW"),"",INDEX(J$1:J426,SUMPRODUCT(MAX(ROW(E$1:E426)*(E427=E$1:E426)))))</f>
        <v> </v>
      </c>
      <c r="L427" s="27"/>
    </row>
    <row r="428" spans="1:12">
      <c r="A428" s="20" t="s">
        <v>272</v>
      </c>
      <c r="E428" s="22">
        <f>IF(D428="?OLD","!!!","")</f>
        <v/>
      </c>
      <c r="F428" s="23" t="str">
        <f>IF(OR(E428="",E428="!!!"),"",IF(NOT(ISNA(VLOOKUP(E428,E$1:E427,1,FALSE()))),"OLD",IF(AND(E428&lt;&gt;"",E428&lt;&gt;"!!!"),"NEW","")))</f>
        <v> </v>
      </c>
      <c r="G428" s="24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5" t="str">
        <f>IF(J428&lt;&gt;1,"",IF(I428="SBJ","CB","?"))</f>
        <v> </v>
      </c>
      <c r="I428" s="26" t="str">
        <f>IF(OR(E428="",E428="!!!",F428="NEW"),"",INDEX(B427:B$2,-1+SUMPRODUCT(MAX(ROW(E427:E$2)*(E428=E427:E$2)))))</f>
        <v> </v>
      </c>
      <c r="J428" s="26" t="str">
        <f>IF(OR(E428="",E428="!!!",F428="NEW"),"",COUNTBLANK(OFFSET(A$1,,,SUMPRODUCT(MAX(ROW(E$2:E428)*(E428=E$2:E428)))))-COUNTBLANK(OFFSET(A$1,,,SUMPRODUCT(MAX(ROW(E$1:E427)*(E2=E$1:E427))))))</f>
        <v> </v>
      </c>
      <c r="K428" s="26" t="str">
        <f>IF(OR(E428="",E428="!!!",F428="NEW"),"",INDEX(J$1:J427,SUMPRODUCT(MAX(ROW(E$1:E427)*(E428=E$1:E427)))))</f>
        <v> </v>
      </c>
      <c r="L428" s="27"/>
    </row>
    <row r="429" spans="1:12">
      <c r="A429" s="20" t="s">
        <v>397</v>
      </c>
      <c r="B429" s="21" t="s">
        <v>158</v>
      </c>
      <c r="C429" s="21" t="s">
        <v>130</v>
      </c>
      <c r="D429" s="21" t="s">
        <v>131</v>
      </c>
      <c r="E429" s="22">
        <f>IF(D429="?OLD","!!!","")</f>
        <v/>
      </c>
      <c r="F429" s="23" t="str">
        <f>IF(OR(E429="",E429="!!!"),"",IF(NOT(ISNA(VLOOKUP(E429,E$1:E428,1,FALSE()))),"OLD",IF(AND(E429&lt;&gt;"",E429&lt;&gt;"!!!"),"NEW","")))</f>
        <v> </v>
      </c>
      <c r="G429" s="24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5" t="str">
        <f>IF(J429&lt;&gt;1,"",IF(I429="SBJ","CB","?"))</f>
        <v> </v>
      </c>
      <c r="I429" s="26" t="str">
        <f>IF(OR(E429="",E429="!!!",F429="NEW"),"",INDEX(B428:B$2,-1+SUMPRODUCT(MAX(ROW(E428:E$2)*(E429=E428:E$2)))))</f>
        <v> </v>
      </c>
      <c r="J429" s="26" t="str">
        <f>IF(OR(E429="",E429="!!!",F429="NEW"),"",COUNTBLANK(OFFSET(A$1,,,SUMPRODUCT(MAX(ROW(E$2:E429)*(E429=E$2:E429)))))-COUNTBLANK(OFFSET(A$1,,,SUMPRODUCT(MAX(ROW(E$1:E428)*(E2=E$1:E428))))))</f>
        <v> </v>
      </c>
      <c r="K429" s="26" t="str">
        <f>IF(OR(E429="",E429="!!!",F429="NEW"),"",INDEX(J$1:J428,SUMPRODUCT(MAX(ROW(E$1:E428)*(E429=E$1:E428)))))</f>
        <v> </v>
      </c>
      <c r="L429" s="27"/>
    </row>
    <row r="430" spans="1:12">
      <c r="A430" s="20" t="s">
        <v>248</v>
      </c>
      <c r="E430" s="22">
        <f>IF(D430="?OLD","!!!","")</f>
        <v/>
      </c>
      <c r="F430" s="23" t="str">
        <f>IF(OR(E430="",E430="!!!"),"",IF(NOT(ISNA(VLOOKUP(E430,E$1:E429,1,FALSE()))),"OLD",IF(AND(E430&lt;&gt;"",E430&lt;&gt;"!!!"),"NEW","")))</f>
        <v> </v>
      </c>
      <c r="G430" s="24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5" t="str">
        <f>IF(J430&lt;&gt;1,"",IF(I430="SBJ","CB","?"))</f>
        <v> </v>
      </c>
      <c r="I430" s="26" t="str">
        <f>IF(OR(E430="",E430="!!!",F430="NEW"),"",INDEX(B429:B$2,-1+SUMPRODUCT(MAX(ROW(E429:E$2)*(E430=E429:E$2)))))</f>
        <v> </v>
      </c>
      <c r="J430" s="26" t="str">
        <f>IF(OR(E430="",E430="!!!",F430="NEW"),"",COUNTBLANK(OFFSET(A$1,,,SUMPRODUCT(MAX(ROW(E$2:E430)*(E430=E$2:E430)))))-COUNTBLANK(OFFSET(A$1,,,SUMPRODUCT(MAX(ROW(E$1:E429)*(E2=E$1:E429))))))</f>
        <v> </v>
      </c>
      <c r="K430" s="26" t="str">
        <f>IF(OR(E430="",E430="!!!",F430="NEW"),"",INDEX(J$1:J429,SUMPRODUCT(MAX(ROW(E$1:E429)*(E430=E$1:E429)))))</f>
        <v> </v>
      </c>
      <c r="L430" s="27"/>
    </row>
    <row r="431" spans="1:12">
      <c r="A431" s="20" t="s">
        <v>398</v>
      </c>
      <c r="B431" s="21" t="s">
        <v>145</v>
      </c>
      <c r="C431" s="21" t="s">
        <v>137</v>
      </c>
      <c r="D431" s="21" t="s">
        <v>131</v>
      </c>
      <c r="E431" s="22">
        <f>IF(D431="?OLD","!!!","")</f>
        <v/>
      </c>
      <c r="F431" s="23" t="str">
        <f>IF(OR(E431="",E431="!!!"),"",IF(NOT(ISNA(VLOOKUP(E431,E$1:E430,1,FALSE()))),"OLD",IF(AND(E431&lt;&gt;"",E431&lt;&gt;"!!!"),"NEW","")))</f>
        <v> </v>
      </c>
      <c r="G431" s="24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5" t="str">
        <f>IF(J431&lt;&gt;1,"",IF(I431="SBJ","CB","?"))</f>
        <v> </v>
      </c>
      <c r="I431" s="26" t="str">
        <f>IF(OR(E431="",E431="!!!",F431="NEW"),"",INDEX(B430:B$2,-1+SUMPRODUCT(MAX(ROW(E430:E$2)*(E431=E430:E$2)))))</f>
        <v> </v>
      </c>
      <c r="J431" s="26" t="str">
        <f>IF(OR(E431="",E431="!!!",F431="NEW"),"",COUNTBLANK(OFFSET(A$1,,,SUMPRODUCT(MAX(ROW(E$2:E431)*(E431=E$2:E431)))))-COUNTBLANK(OFFSET(A$1,,,SUMPRODUCT(MAX(ROW(E$1:E430)*(E2=E$1:E430))))))</f>
        <v> </v>
      </c>
      <c r="K431" s="26" t="str">
        <f>IF(OR(E431="",E431="!!!",F431="NEW"),"",INDEX(J$1:J430,SUMPRODUCT(MAX(ROW(E$1:E430)*(E431=E$1:E430)))))</f>
        <v> </v>
      </c>
      <c r="L431" s="27"/>
    </row>
    <row r="432" spans="1:12">
      <c r="A432" s="20" t="s">
        <v>399</v>
      </c>
      <c r="B432" s="21" t="s">
        <v>158</v>
      </c>
      <c r="C432" s="21" t="s">
        <v>130</v>
      </c>
      <c r="D432" s="21" t="s">
        <v>131</v>
      </c>
      <c r="E432" s="22">
        <f>IF(D432="?OLD","!!!","")</f>
        <v/>
      </c>
      <c r="F432" s="23" t="str">
        <f>IF(OR(E432="",E432="!!!"),"",IF(NOT(ISNA(VLOOKUP(E432,E$1:E431,1,FALSE()))),"OLD",IF(AND(E432&lt;&gt;"",E432&lt;&gt;"!!!"),"NEW","")))</f>
        <v> </v>
      </c>
      <c r="G432" s="24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5" t="str">
        <f>IF(J432&lt;&gt;1,"",IF(I432="SBJ","CB","?"))</f>
        <v> </v>
      </c>
      <c r="I432" s="26" t="str">
        <f>IF(OR(E432="",E432="!!!",F432="NEW"),"",INDEX(B431:B$2,-1+SUMPRODUCT(MAX(ROW(E431:E$2)*(E432=E431:E$2)))))</f>
        <v> </v>
      </c>
      <c r="J432" s="26" t="str">
        <f>IF(OR(E432="",E432="!!!",F432="NEW"),"",COUNTBLANK(OFFSET(A$1,,,SUMPRODUCT(MAX(ROW(E$2:E432)*(E432=E$2:E432)))))-COUNTBLANK(OFFSET(A$1,,,SUMPRODUCT(MAX(ROW(E$1:E431)*(E2=E$1:E431))))))</f>
        <v> </v>
      </c>
      <c r="K432" s="26" t="str">
        <f>IF(OR(E432="",E432="!!!",F432="NEW"),"",INDEX(J$1:J431,SUMPRODUCT(MAX(ROW(E$1:E431)*(E432=E$1:E431)))))</f>
        <v> </v>
      </c>
      <c r="L432" s="27"/>
    </row>
    <row r="433" spans="1:12">
      <c r="A433" s="20" t="s">
        <v>400</v>
      </c>
      <c r="E433" s="22">
        <f>IF(D433="?OLD","!!!","")</f>
        <v/>
      </c>
      <c r="F433" s="23" t="str">
        <f>IF(OR(E433="",E433="!!!"),"",IF(NOT(ISNA(VLOOKUP(E433,E$1:E432,1,FALSE()))),"OLD",IF(AND(E433&lt;&gt;"",E433&lt;&gt;"!!!"),"NEW","")))</f>
        <v> </v>
      </c>
      <c r="G433" s="24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5" t="str">
        <f>IF(J433&lt;&gt;1,"",IF(I433="SBJ","CB","?"))</f>
        <v> </v>
      </c>
      <c r="I433" s="26" t="str">
        <f>IF(OR(E433="",E433="!!!",F433="NEW"),"",INDEX(B432:B$2,-1+SUMPRODUCT(MAX(ROW(E432:E$2)*(E433=E432:E$2)))))</f>
        <v> </v>
      </c>
      <c r="J433" s="26" t="str">
        <f>IF(OR(E433="",E433="!!!",F433="NEW"),"",COUNTBLANK(OFFSET(A$1,,,SUMPRODUCT(MAX(ROW(E$2:E433)*(E433=E$2:E433)))))-COUNTBLANK(OFFSET(A$1,,,SUMPRODUCT(MAX(ROW(E$1:E432)*(E2=E$1:E432))))))</f>
        <v> </v>
      </c>
      <c r="K433" s="26" t="str">
        <f>IF(OR(E433="",E433="!!!",F433="NEW"),"",INDEX(J$1:J432,SUMPRODUCT(MAX(ROW(E$1:E432)*(E433=E$1:E432)))))</f>
        <v> </v>
      </c>
      <c r="L433" s="27"/>
    </row>
    <row r="434" spans="1:12">
      <c r="A434" s="20" t="s">
        <v>148</v>
      </c>
      <c r="E434" s="22">
        <f>IF(D434="?OLD","!!!","")</f>
        <v/>
      </c>
      <c r="F434" s="23" t="str">
        <f>IF(OR(E434="",E434="!!!"),"",IF(NOT(ISNA(VLOOKUP(E434,E$1:E433,1,FALSE()))),"OLD",IF(AND(E434&lt;&gt;"",E434&lt;&gt;"!!!"),"NEW","")))</f>
        <v> </v>
      </c>
      <c r="G434" s="24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5" t="str">
        <f>IF(J434&lt;&gt;1,"",IF(I434="SBJ","CB","?"))</f>
        <v> </v>
      </c>
      <c r="I434" s="26" t="str">
        <f>IF(OR(E434="",E434="!!!",F434="NEW"),"",INDEX(B433:B$2,-1+SUMPRODUCT(MAX(ROW(E433:E$2)*(E434=E433:E$2)))))</f>
        <v> </v>
      </c>
      <c r="J434" s="26" t="str">
        <f>IF(OR(E434="",E434="!!!",F434="NEW"),"",COUNTBLANK(OFFSET(A$1,,,SUMPRODUCT(MAX(ROW(E$2:E434)*(E434=E$2:E434)))))-COUNTBLANK(OFFSET(A$1,,,SUMPRODUCT(MAX(ROW(E$1:E433)*(E2=E$1:E433))))))</f>
        <v> </v>
      </c>
      <c r="K434" s="26" t="str">
        <f>IF(OR(E434="",E434="!!!",F434="NEW"),"",INDEX(J$1:J433,SUMPRODUCT(MAX(ROW(E$1:E433)*(E434=E$1:E433)))))</f>
        <v> </v>
      </c>
      <c r="L434" s="27"/>
    </row>
    <row r="435" spans="1:12">
      <c r="A435" s="20"/>
    </row>
    <row r="436" spans="1:12">
      <c r="A436" s="20" t="s">
        <v>401</v>
      </c>
    </row>
    <row r="437" spans="1:12">
      <c r="A437" s="20" t="s">
        <v>402</v>
      </c>
      <c r="B437" s="21" t="s">
        <v>129</v>
      </c>
      <c r="C437" s="21" t="s">
        <v>201</v>
      </c>
      <c r="D437" s="21" t="s">
        <v>131</v>
      </c>
      <c r="E437" s="22">
        <f>IF(D437="?OLD","!!!","")</f>
        <v/>
      </c>
      <c r="F437" s="23" t="str">
        <f>IF(OR(E437="",E437="!!!"),"",IF(NOT(ISNA(VLOOKUP(E437,E$1:E436,1,FALSE()))),"OLD",IF(AND(E437&lt;&gt;"",E437&lt;&gt;"!!!"),"NEW","")))</f>
        <v> </v>
      </c>
      <c r="G437" s="24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5" t="str">
        <f>IF(J437&lt;&gt;1,"",IF(I437="SBJ","CB","?"))</f>
        <v> </v>
      </c>
      <c r="I437" s="26" t="str">
        <f>IF(OR(E437="",E437="!!!",F437="NEW"),"",INDEX(B436:B$2,-1+SUMPRODUCT(MAX(ROW(E436:E$2)*(E437=E436:E$2)))))</f>
        <v> </v>
      </c>
      <c r="J437" s="26" t="str">
        <f>IF(OR(E437="",E437="!!!",F437="NEW"),"",COUNTBLANK(OFFSET(A$1,,,SUMPRODUCT(MAX(ROW(E$2:E437)*(E437=E$2:E437)))))-COUNTBLANK(OFFSET(A$1,,,SUMPRODUCT(MAX(ROW(E$1:E436)*(E2=E$1:E436))))))</f>
        <v> </v>
      </c>
      <c r="K437" s="26" t="str">
        <f>IF(OR(E437="",E437="!!!",F437="NEW"),"",INDEX(J$1:J436,SUMPRODUCT(MAX(ROW(E$1:E436)*(E437=E$1:E436)))))</f>
        <v> </v>
      </c>
      <c r="L437" s="27"/>
    </row>
    <row r="438" spans="1:12">
      <c r="A438" s="20" t="s">
        <v>403</v>
      </c>
      <c r="B438" s="21" t="s">
        <v>158</v>
      </c>
      <c r="C438" s="21" t="s">
        <v>216</v>
      </c>
      <c r="D438" s="21" t="s">
        <v>131</v>
      </c>
      <c r="E438" s="22">
        <f>IF(D438="?OLD","!!!","")</f>
        <v/>
      </c>
      <c r="F438" s="23" t="str">
        <f>IF(OR(E438="",E438="!!!"),"",IF(NOT(ISNA(VLOOKUP(E438,E$1:E437,1,FALSE()))),"OLD",IF(AND(E438&lt;&gt;"",E438&lt;&gt;"!!!"),"NEW","")))</f>
        <v> </v>
      </c>
      <c r="G438" s="24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5" t="str">
        <f>IF(J438&lt;&gt;1,"",IF(I438="SBJ","CB","?"))</f>
        <v> </v>
      </c>
      <c r="I438" s="26" t="str">
        <f>IF(OR(E438="",E438="!!!",F438="NEW"),"",INDEX(B437:B$2,-1+SUMPRODUCT(MAX(ROW(E437:E$2)*(E438=E437:E$2)))))</f>
        <v> </v>
      </c>
      <c r="J438" s="26" t="str">
        <f>IF(OR(E438="",E438="!!!",F438="NEW"),"",COUNTBLANK(OFFSET(A$1,,,SUMPRODUCT(MAX(ROW(E$2:E438)*(E438=E$2:E438)))))-COUNTBLANK(OFFSET(A$1,,,SUMPRODUCT(MAX(ROW(E$1:E437)*(E2=E$1:E437))))))</f>
        <v> </v>
      </c>
      <c r="K438" s="26" t="str">
        <f>IF(OR(E438="",E438="!!!",F438="NEW"),"",INDEX(J$1:J437,SUMPRODUCT(MAX(ROW(E$1:E437)*(E438=E$1:E437)))))</f>
        <v> </v>
      </c>
      <c r="L438" s="27"/>
    </row>
    <row r="439" spans="1:12">
      <c r="A439" s="20" t="s">
        <v>404</v>
      </c>
      <c r="B439" s="21" t="s">
        <v>145</v>
      </c>
      <c r="C439" s="21" t="s">
        <v>218</v>
      </c>
      <c r="D439" s="21" t="s">
        <v>131</v>
      </c>
      <c r="E439" s="22">
        <f>IF(D439="?OLD","!!!","")</f>
        <v/>
      </c>
      <c r="F439" s="23" t="str">
        <f>IF(OR(E439="",E439="!!!"),"",IF(NOT(ISNA(VLOOKUP(E439,E$1:E438,1,FALSE()))),"OLD",IF(AND(E439&lt;&gt;"",E439&lt;&gt;"!!!"),"NEW","")))</f>
        <v> </v>
      </c>
      <c r="G439" s="24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5" t="str">
        <f>IF(J439&lt;&gt;1,"",IF(I439="SBJ","CB","?"))</f>
        <v> </v>
      </c>
      <c r="I439" s="26" t="str">
        <f>IF(OR(E439="",E439="!!!",F439="NEW"),"",INDEX(B438:B$2,-1+SUMPRODUCT(MAX(ROW(E438:E$2)*(E439=E438:E$2)))))</f>
        <v> </v>
      </c>
      <c r="J439" s="26" t="str">
        <f>IF(OR(E439="",E439="!!!",F439="NEW"),"",COUNTBLANK(OFFSET(A$1,,,SUMPRODUCT(MAX(ROW(E$2:E439)*(E439=E$2:E439)))))-COUNTBLANK(OFFSET(A$1,,,SUMPRODUCT(MAX(ROW(E$1:E438)*(E2=E$1:E438))))))</f>
        <v> </v>
      </c>
      <c r="K439" s="26" t="str">
        <f>IF(OR(E439="",E439="!!!",F439="NEW"),"",INDEX(J$1:J438,SUMPRODUCT(MAX(ROW(E$1:E438)*(E439=E$1:E438)))))</f>
        <v> </v>
      </c>
      <c r="L439" s="27"/>
    </row>
    <row r="440" spans="1:12">
      <c r="A440" s="20" t="s">
        <v>405</v>
      </c>
      <c r="E440" s="22">
        <f>IF(D440="?OLD","!!!","")</f>
        <v/>
      </c>
      <c r="F440" s="23" t="str">
        <f>IF(OR(E440="",E440="!!!"),"",IF(NOT(ISNA(VLOOKUP(E440,E$1:E439,1,FALSE()))),"OLD",IF(AND(E440&lt;&gt;"",E440&lt;&gt;"!!!"),"NEW","")))</f>
        <v> </v>
      </c>
      <c r="G440" s="24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5" t="str">
        <f>IF(J440&lt;&gt;1,"",IF(I440="SBJ","CB","?"))</f>
        <v> </v>
      </c>
      <c r="I440" s="26" t="str">
        <f>IF(OR(E440="",E440="!!!",F440="NEW"),"",INDEX(B439:B$2,-1+SUMPRODUCT(MAX(ROW(E439:E$2)*(E440=E439:E$2)))))</f>
        <v> </v>
      </c>
      <c r="J440" s="26" t="str">
        <f>IF(OR(E440="",E440="!!!",F440="NEW"),"",COUNTBLANK(OFFSET(A$1,,,SUMPRODUCT(MAX(ROW(E$2:E440)*(E440=E$2:E440)))))-COUNTBLANK(OFFSET(A$1,,,SUMPRODUCT(MAX(ROW(E$1:E439)*(E2=E$1:E439))))))</f>
        <v> </v>
      </c>
      <c r="K440" s="26" t="str">
        <f>IF(OR(E440="",E440="!!!",F440="NEW"),"",INDEX(J$1:J439,SUMPRODUCT(MAX(ROW(E$1:E439)*(E440=E$1:E439)))))</f>
        <v> </v>
      </c>
      <c r="L440" s="27"/>
    </row>
    <row r="441" spans="1:12">
      <c r="A441" s="20" t="s">
        <v>171</v>
      </c>
      <c r="E441" s="22">
        <f>IF(D441="?OLD","!!!","")</f>
        <v/>
      </c>
      <c r="F441" s="23" t="str">
        <f>IF(OR(E441="",E441="!!!"),"",IF(NOT(ISNA(VLOOKUP(E441,E$1:E440,1,FALSE()))),"OLD",IF(AND(E441&lt;&gt;"",E441&lt;&gt;"!!!"),"NEW","")))</f>
        <v> </v>
      </c>
      <c r="G441" s="24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5" t="str">
        <f>IF(J441&lt;&gt;1,"",IF(I441="SBJ","CB","?"))</f>
        <v> </v>
      </c>
      <c r="I441" s="26" t="str">
        <f>IF(OR(E441="",E441="!!!",F441="NEW"),"",INDEX(B440:B$2,-1+SUMPRODUCT(MAX(ROW(E440:E$2)*(E441=E440:E$2)))))</f>
        <v> </v>
      </c>
      <c r="J441" s="26" t="str">
        <f>IF(OR(E441="",E441="!!!",F441="NEW"),"",COUNTBLANK(OFFSET(A$1,,,SUMPRODUCT(MAX(ROW(E$2:E441)*(E441=E$2:E441)))))-COUNTBLANK(OFFSET(A$1,,,SUMPRODUCT(MAX(ROW(E$1:E440)*(E2=E$1:E440))))))</f>
        <v> </v>
      </c>
      <c r="K441" s="26" t="str">
        <f>IF(OR(E441="",E441="!!!",F441="NEW"),"",INDEX(J$1:J440,SUMPRODUCT(MAX(ROW(E$1:E440)*(E441=E$1:E440)))))</f>
        <v> </v>
      </c>
      <c r="L441" s="27"/>
    </row>
    <row r="442" spans="1:12">
      <c r="A442" s="20" t="s">
        <v>143</v>
      </c>
      <c r="E442" s="22">
        <f>IF(D442="?OLD","!!!","")</f>
        <v/>
      </c>
      <c r="F442" s="23" t="str">
        <f>IF(OR(E442="",E442="!!!"),"",IF(NOT(ISNA(VLOOKUP(E442,E$1:E441,1,FALSE()))),"OLD",IF(AND(E442&lt;&gt;"",E442&lt;&gt;"!!!"),"NEW","")))</f>
        <v> </v>
      </c>
      <c r="G442" s="24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5" t="str">
        <f>IF(J442&lt;&gt;1,"",IF(I442="SBJ","CB","?"))</f>
        <v> </v>
      </c>
      <c r="I442" s="26" t="str">
        <f>IF(OR(E442="",E442="!!!",F442="NEW"),"",INDEX(B441:B$2,-1+SUMPRODUCT(MAX(ROW(E441:E$2)*(E442=E441:E$2)))))</f>
        <v> </v>
      </c>
      <c r="J442" s="26" t="str">
        <f>IF(OR(E442="",E442="!!!",F442="NEW"),"",COUNTBLANK(OFFSET(A$1,,,SUMPRODUCT(MAX(ROW(E$2:E442)*(E442=E$2:E442)))))-COUNTBLANK(OFFSET(A$1,,,SUMPRODUCT(MAX(ROW(E$1:E441)*(E2=E$1:E441))))))</f>
        <v> </v>
      </c>
      <c r="K442" s="26" t="str">
        <f>IF(OR(E442="",E442="!!!",F442="NEW"),"",INDEX(J$1:J441,SUMPRODUCT(MAX(ROW(E$1:E441)*(E442=E$1:E441)))))</f>
        <v> </v>
      </c>
      <c r="L442" s="27"/>
    </row>
    <row r="443" spans="1:12">
      <c r="A443" s="20" t="s">
        <v>240</v>
      </c>
      <c r="B443" s="21" t="s">
        <v>152</v>
      </c>
      <c r="C443" s="21" t="s">
        <v>130</v>
      </c>
      <c r="D443" s="21" t="s">
        <v>131</v>
      </c>
      <c r="E443" s="22">
        <f>IF(D443="?OLD","!!!","")</f>
        <v/>
      </c>
      <c r="F443" s="23" t="str">
        <f>IF(OR(E443="",E443="!!!"),"",IF(NOT(ISNA(VLOOKUP(E443,E$1:E442,1,FALSE()))),"OLD",IF(AND(E443&lt;&gt;"",E443&lt;&gt;"!!!"),"NEW","")))</f>
        <v> </v>
      </c>
      <c r="G443" s="24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5" t="str">
        <f>IF(J443&lt;&gt;1,"",IF(I443="SBJ","CB","?"))</f>
        <v> </v>
      </c>
      <c r="I443" s="26" t="str">
        <f>IF(OR(E443="",E443="!!!",F443="NEW"),"",INDEX(B442:B$2,-1+SUMPRODUCT(MAX(ROW(E442:E$2)*(E443=E442:E$2)))))</f>
        <v> </v>
      </c>
      <c r="J443" s="26" t="str">
        <f>IF(OR(E443="",E443="!!!",F443="NEW"),"",COUNTBLANK(OFFSET(A$1,,,SUMPRODUCT(MAX(ROW(E$2:E443)*(E443=E$2:E443)))))-COUNTBLANK(OFFSET(A$1,,,SUMPRODUCT(MAX(ROW(E$1:E442)*(E2=E$1:E442))))))</f>
        <v> </v>
      </c>
      <c r="K443" s="26" t="str">
        <f>IF(OR(E443="",E443="!!!",F443="NEW"),"",INDEX(J$1:J442,SUMPRODUCT(MAX(ROW(E$1:E442)*(E443=E$1:E442)))))</f>
        <v> </v>
      </c>
      <c r="L443" s="27"/>
    </row>
    <row r="444" spans="1:12">
      <c r="A444" s="20" t="s">
        <v>205</v>
      </c>
      <c r="E444" s="22">
        <f>IF(D444="?OLD","!!!","")</f>
        <v/>
      </c>
      <c r="F444" s="23" t="str">
        <f>IF(OR(E444="",E444="!!!"),"",IF(NOT(ISNA(VLOOKUP(E444,E$1:E443,1,FALSE()))),"OLD",IF(AND(E444&lt;&gt;"",E444&lt;&gt;"!!!"),"NEW","")))</f>
        <v> </v>
      </c>
      <c r="G444" s="24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5" t="str">
        <f>IF(J444&lt;&gt;1,"",IF(I444="SBJ","CB","?"))</f>
        <v> </v>
      </c>
      <c r="I444" s="26" t="str">
        <f>IF(OR(E444="",E444="!!!",F444="NEW"),"",INDEX(B443:B$2,-1+SUMPRODUCT(MAX(ROW(E443:E$2)*(E444=E443:E$2)))))</f>
        <v> </v>
      </c>
      <c r="J444" s="26" t="str">
        <f>IF(OR(E444="",E444="!!!",F444="NEW"),"",COUNTBLANK(OFFSET(A$1,,,SUMPRODUCT(MAX(ROW(E$2:E444)*(E444=E$2:E444)))))-COUNTBLANK(OFFSET(A$1,,,SUMPRODUCT(MAX(ROW(E$1:E443)*(E2=E$1:E443))))))</f>
        <v> </v>
      </c>
      <c r="K444" s="26" t="str">
        <f>IF(OR(E444="",E444="!!!",F444="NEW"),"",INDEX(J$1:J443,SUMPRODUCT(MAX(ROW(E$1:E443)*(E444=E$1:E443)))))</f>
        <v> </v>
      </c>
      <c r="L444" s="27"/>
    </row>
    <row r="445" spans="1:12">
      <c r="A445" s="20" t="s">
        <v>271</v>
      </c>
      <c r="B445" s="21" t="s">
        <v>152</v>
      </c>
      <c r="C445" s="21" t="s">
        <v>130</v>
      </c>
      <c r="D445" s="21" t="s">
        <v>131</v>
      </c>
      <c r="E445" s="22">
        <f>IF(D445="?OLD","!!!","")</f>
        <v/>
      </c>
      <c r="F445" s="23" t="str">
        <f>IF(OR(E445="",E445="!!!"),"",IF(NOT(ISNA(VLOOKUP(E445,E$1:E444,1,FALSE()))),"OLD",IF(AND(E445&lt;&gt;"",E445&lt;&gt;"!!!"),"NEW","")))</f>
        <v> </v>
      </c>
      <c r="G445" s="24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5" t="str">
        <f>IF(J445&lt;&gt;1,"",IF(I445="SBJ","CB","?"))</f>
        <v> </v>
      </c>
      <c r="I445" s="26" t="str">
        <f>IF(OR(E445="",E445="!!!",F445="NEW"),"",INDEX(B444:B$2,-1+SUMPRODUCT(MAX(ROW(E444:E$2)*(E445=E444:E$2)))))</f>
        <v> </v>
      </c>
      <c r="J445" s="26" t="str">
        <f>IF(OR(E445="",E445="!!!",F445="NEW"),"",COUNTBLANK(OFFSET(A$1,,,SUMPRODUCT(MAX(ROW(E$2:E445)*(E445=E$2:E445)))))-COUNTBLANK(OFFSET(A$1,,,SUMPRODUCT(MAX(ROW(E$1:E444)*(E2=E$1:E444))))))</f>
        <v> </v>
      </c>
      <c r="K445" s="26" t="str">
        <f>IF(OR(E445="",E445="!!!",F445="NEW"),"",INDEX(J$1:J444,SUMPRODUCT(MAX(ROW(E$1:E444)*(E445=E$1:E444)))))</f>
        <v> </v>
      </c>
      <c r="L445" s="27"/>
    </row>
    <row r="446" spans="1:12">
      <c r="A446" s="20" t="s">
        <v>406</v>
      </c>
      <c r="E446" s="22">
        <f>IF(D446="?OLD","!!!","")</f>
        <v/>
      </c>
      <c r="F446" s="23" t="str">
        <f>IF(OR(E446="",E446="!!!"),"",IF(NOT(ISNA(VLOOKUP(E446,E$1:E445,1,FALSE()))),"OLD",IF(AND(E446&lt;&gt;"",E446&lt;&gt;"!!!"),"NEW","")))</f>
        <v> </v>
      </c>
      <c r="G446" s="24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5" t="str">
        <f>IF(J446&lt;&gt;1,"",IF(I446="SBJ","CB","?"))</f>
        <v> </v>
      </c>
      <c r="I446" s="26" t="str">
        <f>IF(OR(E446="",E446="!!!",F446="NEW"),"",INDEX(B445:B$2,-1+SUMPRODUCT(MAX(ROW(E445:E$2)*(E446=E445:E$2)))))</f>
        <v> </v>
      </c>
      <c r="J446" s="26" t="str">
        <f>IF(OR(E446="",E446="!!!",F446="NEW"),"",COUNTBLANK(OFFSET(A$1,,,SUMPRODUCT(MAX(ROW(E$2:E446)*(E446=E$2:E446)))))-COUNTBLANK(OFFSET(A$1,,,SUMPRODUCT(MAX(ROW(E$1:E445)*(E2=E$1:E445))))))</f>
        <v> </v>
      </c>
      <c r="K446" s="26" t="str">
        <f>IF(OR(E446="",E446="!!!",F446="NEW"),"",INDEX(J$1:J445,SUMPRODUCT(MAX(ROW(E$1:E445)*(E446=E$1:E445)))))</f>
        <v> </v>
      </c>
      <c r="L446" s="27"/>
    </row>
    <row r="447" spans="1:12">
      <c r="A447" s="20" t="s">
        <v>148</v>
      </c>
      <c r="E447" s="22">
        <f>IF(D447="?OLD","!!!","")</f>
        <v/>
      </c>
      <c r="F447" s="23" t="str">
        <f>IF(OR(E447="",E447="!!!"),"",IF(NOT(ISNA(VLOOKUP(E447,E$1:E446,1,FALSE()))),"OLD",IF(AND(E447&lt;&gt;"",E447&lt;&gt;"!!!"),"NEW","")))</f>
        <v> </v>
      </c>
      <c r="G447" s="24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5" t="str">
        <f>IF(J447&lt;&gt;1,"",IF(I447="SBJ","CB","?"))</f>
        <v> </v>
      </c>
      <c r="I447" s="26" t="str">
        <f>IF(OR(E447="",E447="!!!",F447="NEW"),"",INDEX(B446:B$2,-1+SUMPRODUCT(MAX(ROW(E446:E$2)*(E447=E446:E$2)))))</f>
        <v> </v>
      </c>
      <c r="J447" s="26" t="str">
        <f>IF(OR(E447="",E447="!!!",F447="NEW"),"",COUNTBLANK(OFFSET(A$1,,,SUMPRODUCT(MAX(ROW(E$2:E447)*(E447=E$2:E447)))))-COUNTBLANK(OFFSET(A$1,,,SUMPRODUCT(MAX(ROW(E$1:E446)*(E2=E$1:E446))))))</f>
        <v> </v>
      </c>
      <c r="K447" s="26" t="str">
        <f>IF(OR(E447="",E447="!!!",F447="NEW"),"",INDEX(J$1:J446,SUMPRODUCT(MAX(ROW(E$1:E446)*(E447=E$1:E446)))))</f>
        <v> </v>
      </c>
      <c r="L447" s="27"/>
    </row>
    <row r="448" spans="1:12">
      <c r="A448" s="20"/>
    </row>
    <row r="449" spans="1:12">
      <c r="A449" s="20" t="s">
        <v>407</v>
      </c>
    </row>
    <row r="450" spans="1:12">
      <c r="A450" s="20" t="s">
        <v>191</v>
      </c>
      <c r="E450" s="22">
        <f>IF(D450="?OLD","!!!","")</f>
        <v/>
      </c>
      <c r="F450" s="23" t="str">
        <f>IF(OR(E450="",E450="!!!"),"",IF(NOT(ISNA(VLOOKUP(E450,E$1:E449,1,FALSE()))),"OLD",IF(AND(E450&lt;&gt;"",E450&lt;&gt;"!!!"),"NEW","")))</f>
        <v> </v>
      </c>
      <c r="G450" s="24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5" t="str">
        <f>IF(J450&lt;&gt;1,"",IF(I450="SBJ","CB","?"))</f>
        <v> </v>
      </c>
      <c r="I450" s="26" t="str">
        <f>IF(OR(E450="",E450="!!!",F450="NEW"),"",INDEX(B449:B$2,-1+SUMPRODUCT(MAX(ROW(E449:E$2)*(E450=E449:E$2)))))</f>
        <v> </v>
      </c>
      <c r="J450" s="26" t="str">
        <f>IF(OR(E450="",E450="!!!",F450="NEW"),"",COUNTBLANK(OFFSET(A$1,,,SUMPRODUCT(MAX(ROW(E$2:E450)*(E450=E$2:E450)))))-COUNTBLANK(OFFSET(A$1,,,SUMPRODUCT(MAX(ROW(E$1:E449)*(E2=E$1:E449))))))</f>
        <v> </v>
      </c>
      <c r="K450" s="26" t="str">
        <f>IF(OR(E450="",E450="!!!",F450="NEW"),"",INDEX(J$1:J449,SUMPRODUCT(MAX(ROW(E$1:E449)*(E450=E$1:E449)))))</f>
        <v> </v>
      </c>
      <c r="L450" s="27"/>
    </row>
    <row r="451" spans="1:12">
      <c r="A451" s="20" t="s">
        <v>143</v>
      </c>
      <c r="E451" s="22">
        <f>IF(D451="?OLD","!!!","")</f>
        <v/>
      </c>
      <c r="F451" s="23" t="str">
        <f>IF(OR(E451="",E451="!!!"),"",IF(NOT(ISNA(VLOOKUP(E451,E$1:E450,1,FALSE()))),"OLD",IF(AND(E451&lt;&gt;"",E451&lt;&gt;"!!!"),"NEW","")))</f>
        <v> </v>
      </c>
      <c r="G451" s="24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5" t="str">
        <f>IF(J451&lt;&gt;1,"",IF(I451="SBJ","CB","?"))</f>
        <v> </v>
      </c>
      <c r="I451" s="26" t="str">
        <f>IF(OR(E451="",E451="!!!",F451="NEW"),"",INDEX(B450:B$2,-1+SUMPRODUCT(MAX(ROW(E450:E$2)*(E451=E450:E$2)))))</f>
        <v> </v>
      </c>
      <c r="J451" s="26" t="str">
        <f>IF(OR(E451="",E451="!!!",F451="NEW"),"",COUNTBLANK(OFFSET(A$1,,,SUMPRODUCT(MAX(ROW(E$2:E451)*(E451=E$2:E451)))))-COUNTBLANK(OFFSET(A$1,,,SUMPRODUCT(MAX(ROW(E$1:E450)*(E2=E$1:E450))))))</f>
        <v> </v>
      </c>
      <c r="K451" s="26" t="str">
        <f>IF(OR(E451="",E451="!!!",F451="NEW"),"",INDEX(J$1:J450,SUMPRODUCT(MAX(ROW(E$1:E450)*(E451=E$1:E450)))))</f>
        <v> </v>
      </c>
      <c r="L451" s="27"/>
    </row>
    <row r="452" spans="1:12">
      <c r="A452" s="20" t="s">
        <v>408</v>
      </c>
      <c r="E452" s="22">
        <f>IF(D452="?OLD","!!!","")</f>
        <v/>
      </c>
      <c r="F452" s="23" t="str">
        <f>IF(OR(E452="",E452="!!!"),"",IF(NOT(ISNA(VLOOKUP(E452,E$1:E451,1,FALSE()))),"OLD",IF(AND(E452&lt;&gt;"",E452&lt;&gt;"!!!"),"NEW","")))</f>
        <v> </v>
      </c>
      <c r="G452" s="24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5" t="str">
        <f>IF(J452&lt;&gt;1,"",IF(I452="SBJ","CB","?"))</f>
        <v> </v>
      </c>
      <c r="I452" s="26" t="str">
        <f>IF(OR(E452="",E452="!!!",F452="NEW"),"",INDEX(B451:B$2,-1+SUMPRODUCT(MAX(ROW(E451:E$2)*(E452=E451:E$2)))))</f>
        <v> </v>
      </c>
      <c r="J452" s="26" t="str">
        <f>IF(OR(E452="",E452="!!!",F452="NEW"),"",COUNTBLANK(OFFSET(A$1,,,SUMPRODUCT(MAX(ROW(E$2:E452)*(E452=E$2:E452)))))-COUNTBLANK(OFFSET(A$1,,,SUMPRODUCT(MAX(ROW(E$1:E451)*(E2=E$1:E451))))))</f>
        <v> </v>
      </c>
      <c r="K452" s="26" t="str">
        <f>IF(OR(E452="",E452="!!!",F452="NEW"),"",INDEX(J$1:J451,SUMPRODUCT(MAX(ROW(E$1:E451)*(E452=E$1:E451)))))</f>
        <v> </v>
      </c>
      <c r="L452" s="27"/>
    </row>
    <row r="453" spans="1:12">
      <c r="A453" s="20" t="s">
        <v>409</v>
      </c>
      <c r="B453" s="21" t="s">
        <v>152</v>
      </c>
      <c r="C453" s="21" t="s">
        <v>137</v>
      </c>
      <c r="D453" s="21" t="s">
        <v>131</v>
      </c>
      <c r="E453" s="22">
        <f>IF(D453="?OLD","!!!","")</f>
        <v/>
      </c>
      <c r="F453" s="23" t="str">
        <f>IF(OR(E453="",E453="!!!"),"",IF(NOT(ISNA(VLOOKUP(E453,E$1:E452,1,FALSE()))),"OLD",IF(AND(E453&lt;&gt;"",E453&lt;&gt;"!!!"),"NEW","")))</f>
        <v> </v>
      </c>
      <c r="G453" s="24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5" t="str">
        <f>IF(J453&lt;&gt;1,"",IF(I453="SBJ","CB","?"))</f>
        <v> </v>
      </c>
      <c r="I453" s="26" t="str">
        <f>IF(OR(E453="",E453="!!!",F453="NEW"),"",INDEX(B452:B$2,-1+SUMPRODUCT(MAX(ROW(E452:E$2)*(E453=E452:E$2)))))</f>
        <v> </v>
      </c>
      <c r="J453" s="26" t="str">
        <f>IF(OR(E453="",E453="!!!",F453="NEW"),"",COUNTBLANK(OFFSET(A$1,,,SUMPRODUCT(MAX(ROW(E$2:E453)*(E453=E$2:E453)))))-COUNTBLANK(OFFSET(A$1,,,SUMPRODUCT(MAX(ROW(E$1:E452)*(E2=E$1:E452))))))</f>
        <v> </v>
      </c>
      <c r="K453" s="26" t="str">
        <f>IF(OR(E453="",E453="!!!",F453="NEW"),"",INDEX(J$1:J452,SUMPRODUCT(MAX(ROW(E$1:E452)*(E453=E$1:E452)))))</f>
        <v> </v>
      </c>
      <c r="L453" s="27"/>
    </row>
    <row r="454" spans="1:12">
      <c r="A454" s="20" t="s">
        <v>410</v>
      </c>
      <c r="E454" s="22">
        <f>IF(D454="?OLD","!!!","")</f>
        <v/>
      </c>
      <c r="F454" s="23" t="str">
        <f>IF(OR(E454="",E454="!!!"),"",IF(NOT(ISNA(VLOOKUP(E454,E$1:E453,1,FALSE()))),"OLD",IF(AND(E454&lt;&gt;"",E454&lt;&gt;"!!!"),"NEW","")))</f>
        <v> </v>
      </c>
      <c r="G454" s="24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5" t="str">
        <f>IF(J454&lt;&gt;1,"",IF(I454="SBJ","CB","?"))</f>
        <v> </v>
      </c>
      <c r="I454" s="26" t="str">
        <f>IF(OR(E454="",E454="!!!",F454="NEW"),"",INDEX(B453:B$2,-1+SUMPRODUCT(MAX(ROW(E453:E$2)*(E454=E453:E$2)))))</f>
        <v> </v>
      </c>
      <c r="J454" s="26" t="str">
        <f>IF(OR(E454="",E454="!!!",F454="NEW"),"",COUNTBLANK(OFFSET(A$1,,,SUMPRODUCT(MAX(ROW(E$2:E454)*(E454=E$2:E454)))))-COUNTBLANK(OFFSET(A$1,,,SUMPRODUCT(MAX(ROW(E$1:E453)*(E2=E$1:E453))))))</f>
        <v> </v>
      </c>
      <c r="K454" s="26" t="str">
        <f>IF(OR(E454="",E454="!!!",F454="NEW"),"",INDEX(J$1:J453,SUMPRODUCT(MAX(ROW(E$1:E453)*(E454=E$1:E453)))))</f>
        <v> </v>
      </c>
      <c r="L454" s="27"/>
    </row>
    <row r="455" spans="1:12">
      <c r="A455" s="20" t="s">
        <v>134</v>
      </c>
      <c r="E455" s="22">
        <f>IF(D455="?OLD","!!!","")</f>
        <v/>
      </c>
      <c r="F455" s="23" t="str">
        <f>IF(OR(E455="",E455="!!!"),"",IF(NOT(ISNA(VLOOKUP(E455,E$1:E454,1,FALSE()))),"OLD",IF(AND(E455&lt;&gt;"",E455&lt;&gt;"!!!"),"NEW","")))</f>
        <v> </v>
      </c>
      <c r="G455" s="24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5" t="str">
        <f>IF(J455&lt;&gt;1,"",IF(I455="SBJ","CB","?"))</f>
        <v> </v>
      </c>
      <c r="I455" s="26" t="str">
        <f>IF(OR(E455="",E455="!!!",F455="NEW"),"",INDEX(B454:B$2,-1+SUMPRODUCT(MAX(ROW(E454:E$2)*(E455=E454:E$2)))))</f>
        <v> </v>
      </c>
      <c r="J455" s="26" t="str">
        <f>IF(OR(E455="",E455="!!!",F455="NEW"),"",COUNTBLANK(OFFSET(A$1,,,SUMPRODUCT(MAX(ROW(E$2:E455)*(E455=E$2:E455)))))-COUNTBLANK(OFFSET(A$1,,,SUMPRODUCT(MAX(ROW(E$1:E454)*(E2=E$1:E454))))))</f>
        <v> </v>
      </c>
      <c r="K455" s="26" t="str">
        <f>IF(OR(E455="",E455="!!!",F455="NEW"),"",INDEX(J$1:J454,SUMPRODUCT(MAX(ROW(E$1:E454)*(E455=E$1:E454)))))</f>
        <v> </v>
      </c>
      <c r="L455" s="27"/>
    </row>
    <row r="456" spans="1:12">
      <c r="A456" s="20" t="s">
        <v>411</v>
      </c>
      <c r="E456" s="22">
        <f>IF(D456="?OLD","!!!","")</f>
        <v/>
      </c>
      <c r="F456" s="23" t="str">
        <f>IF(OR(E456="",E456="!!!"),"",IF(NOT(ISNA(VLOOKUP(E456,E$1:E455,1,FALSE()))),"OLD",IF(AND(E456&lt;&gt;"",E456&lt;&gt;"!!!"),"NEW","")))</f>
        <v> </v>
      </c>
      <c r="G456" s="24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5" t="str">
        <f>IF(J456&lt;&gt;1,"",IF(I456="SBJ","CB","?"))</f>
        <v> </v>
      </c>
      <c r="I456" s="26" t="str">
        <f>IF(OR(E456="",E456="!!!",F456="NEW"),"",INDEX(B455:B$2,-1+SUMPRODUCT(MAX(ROW(E455:E$2)*(E456=E455:E$2)))))</f>
        <v> </v>
      </c>
      <c r="J456" s="26" t="str">
        <f>IF(OR(E456="",E456="!!!",F456="NEW"),"",COUNTBLANK(OFFSET(A$1,,,SUMPRODUCT(MAX(ROW(E$2:E456)*(E456=E$2:E456)))))-COUNTBLANK(OFFSET(A$1,,,SUMPRODUCT(MAX(ROW(E$1:E455)*(E2=E$1:E455))))))</f>
        <v> </v>
      </c>
      <c r="K456" s="26" t="str">
        <f>IF(OR(E456="",E456="!!!",F456="NEW"),"",INDEX(J$1:J455,SUMPRODUCT(MAX(ROW(E$1:E455)*(E456=E$1:E455)))))</f>
        <v> </v>
      </c>
      <c r="L456" s="27"/>
    </row>
    <row r="457" spans="1:12">
      <c r="A457" s="20" t="s">
        <v>412</v>
      </c>
      <c r="B457" s="21" t="s">
        <v>129</v>
      </c>
      <c r="C457" s="21" t="s">
        <v>137</v>
      </c>
      <c r="D457" s="21" t="s">
        <v>131</v>
      </c>
      <c r="E457" s="22">
        <f>IF(D457="?OLD","!!!","")</f>
        <v/>
      </c>
      <c r="F457" s="23" t="str">
        <f>IF(OR(E457="",E457="!!!"),"",IF(NOT(ISNA(VLOOKUP(E457,E$1:E456,1,FALSE()))),"OLD",IF(AND(E457&lt;&gt;"",E457&lt;&gt;"!!!"),"NEW","")))</f>
        <v> </v>
      </c>
      <c r="G457" s="24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5" t="str">
        <f>IF(J457&lt;&gt;1,"",IF(I457="SBJ","CB","?"))</f>
        <v> </v>
      </c>
      <c r="I457" s="26" t="str">
        <f>IF(OR(E457="",E457="!!!",F457="NEW"),"",INDEX(B456:B$2,-1+SUMPRODUCT(MAX(ROW(E456:E$2)*(E457=E456:E$2)))))</f>
        <v> </v>
      </c>
      <c r="J457" s="26" t="str">
        <f>IF(OR(E457="",E457="!!!",F457="NEW"),"",COUNTBLANK(OFFSET(A$1,,,SUMPRODUCT(MAX(ROW(E$2:E457)*(E457=E$2:E457)))))-COUNTBLANK(OFFSET(A$1,,,SUMPRODUCT(MAX(ROW(E$1:E456)*(E2=E$1:E456))))))</f>
        <v> </v>
      </c>
      <c r="K457" s="26" t="str">
        <f>IF(OR(E457="",E457="!!!",F457="NEW"),"",INDEX(J$1:J456,SUMPRODUCT(MAX(ROW(E$1:E456)*(E457=E$1:E456)))))</f>
        <v> </v>
      </c>
      <c r="L457" s="27"/>
    </row>
    <row r="458" spans="1:12">
      <c r="A458" s="20" t="s">
        <v>156</v>
      </c>
      <c r="E458" s="22">
        <f>IF(D458="?OLD","!!!","")</f>
        <v/>
      </c>
      <c r="F458" s="23" t="str">
        <f>IF(OR(E458="",E458="!!!"),"",IF(NOT(ISNA(VLOOKUP(E458,E$1:E457,1,FALSE()))),"OLD",IF(AND(E458&lt;&gt;"",E458&lt;&gt;"!!!"),"NEW","")))</f>
        <v> </v>
      </c>
      <c r="G458" s="24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5" t="str">
        <f>IF(J458&lt;&gt;1,"",IF(I458="SBJ","CB","?"))</f>
        <v> </v>
      </c>
      <c r="I458" s="26" t="str">
        <f>IF(OR(E458="",E458="!!!",F458="NEW"),"",INDEX(B457:B$2,-1+SUMPRODUCT(MAX(ROW(E457:E$2)*(E458=E457:E$2)))))</f>
        <v> </v>
      </c>
      <c r="J458" s="26" t="str">
        <f>IF(OR(E458="",E458="!!!",F458="NEW"),"",COUNTBLANK(OFFSET(A$1,,,SUMPRODUCT(MAX(ROW(E$2:E458)*(E458=E$2:E458)))))-COUNTBLANK(OFFSET(A$1,,,SUMPRODUCT(MAX(ROW(E$1:E457)*(E2=E$1:E457))))))</f>
        <v> </v>
      </c>
      <c r="K458" s="26" t="str">
        <f>IF(OR(E458="",E458="!!!",F458="NEW"),"",INDEX(J$1:J457,SUMPRODUCT(MAX(ROW(E$1:E457)*(E458=E$1:E457)))))</f>
        <v> </v>
      </c>
      <c r="L458" s="27"/>
    </row>
    <row r="459" spans="1:12">
      <c r="A459" s="20" t="s">
        <v>268</v>
      </c>
      <c r="E459" s="22">
        <f>IF(D459="?OLD","!!!","")</f>
        <v/>
      </c>
      <c r="F459" s="23" t="str">
        <f>IF(OR(E459="",E459="!!!"),"",IF(NOT(ISNA(VLOOKUP(E459,E$1:E458,1,FALSE()))),"OLD",IF(AND(E459&lt;&gt;"",E459&lt;&gt;"!!!"),"NEW","")))</f>
        <v> </v>
      </c>
      <c r="G459" s="24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5" t="str">
        <f>IF(J459&lt;&gt;1,"",IF(I459="SBJ","CB","?"))</f>
        <v> </v>
      </c>
      <c r="I459" s="26" t="str">
        <f>IF(OR(E459="",E459="!!!",F459="NEW"),"",INDEX(B458:B$2,-1+SUMPRODUCT(MAX(ROW(E458:E$2)*(E459=E458:E$2)))))</f>
        <v> </v>
      </c>
      <c r="J459" s="26" t="str">
        <f>IF(OR(E459="",E459="!!!",F459="NEW"),"",COUNTBLANK(OFFSET(A$1,,,SUMPRODUCT(MAX(ROW(E$2:E459)*(E459=E$2:E459)))))-COUNTBLANK(OFFSET(A$1,,,SUMPRODUCT(MAX(ROW(E$1:E458)*(E2=E$1:E458))))))</f>
        <v> </v>
      </c>
      <c r="K459" s="26" t="str">
        <f>IF(OR(E459="",E459="!!!",F459="NEW"),"",INDEX(J$1:J458,SUMPRODUCT(MAX(ROW(E$1:E458)*(E459=E$1:E458)))))</f>
        <v> </v>
      </c>
      <c r="L459" s="27"/>
    </row>
    <row r="460" spans="1:12">
      <c r="A460" s="20" t="s">
        <v>413</v>
      </c>
      <c r="B460" s="21" t="s">
        <v>145</v>
      </c>
      <c r="C460" s="21" t="s">
        <v>137</v>
      </c>
      <c r="D460" s="21" t="s">
        <v>131</v>
      </c>
      <c r="E460" s="22">
        <f>IF(D460="?OLD","!!!","")</f>
        <v/>
      </c>
      <c r="F460" s="23" t="str">
        <f>IF(OR(E460="",E460="!!!"),"",IF(NOT(ISNA(VLOOKUP(E460,E$1:E459,1,FALSE()))),"OLD",IF(AND(E460&lt;&gt;"",E460&lt;&gt;"!!!"),"NEW","")))</f>
        <v> </v>
      </c>
      <c r="G460" s="24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5" t="str">
        <f>IF(J460&lt;&gt;1,"",IF(I460="SBJ","CB","?"))</f>
        <v> </v>
      </c>
      <c r="I460" s="26" t="str">
        <f>IF(OR(E460="",E460="!!!",F460="NEW"),"",INDEX(B459:B$2,-1+SUMPRODUCT(MAX(ROW(E459:E$2)*(E460=E459:E$2)))))</f>
        <v> </v>
      </c>
      <c r="J460" s="26" t="str">
        <f>IF(OR(E460="",E460="!!!",F460="NEW"),"",COUNTBLANK(OFFSET(A$1,,,SUMPRODUCT(MAX(ROW(E$2:E460)*(E460=E$2:E460)))))-COUNTBLANK(OFFSET(A$1,,,SUMPRODUCT(MAX(ROW(E$1:E459)*(E2=E$1:E459))))))</f>
        <v> </v>
      </c>
      <c r="K460" s="26" t="str">
        <f>IF(OR(E460="",E460="!!!",F460="NEW"),"",INDEX(J$1:J459,SUMPRODUCT(MAX(ROW(E$1:E459)*(E460=E$1:E459)))))</f>
        <v> </v>
      </c>
      <c r="L460" s="27"/>
    </row>
    <row r="461" spans="1:12">
      <c r="A461" s="20" t="s">
        <v>198</v>
      </c>
      <c r="E461" s="22">
        <f>IF(D461="?OLD","!!!","")</f>
        <v/>
      </c>
      <c r="F461" s="23" t="str">
        <f>IF(OR(E461="",E461="!!!"),"",IF(NOT(ISNA(VLOOKUP(E461,E$1:E460,1,FALSE()))),"OLD",IF(AND(E461&lt;&gt;"",E461&lt;&gt;"!!!"),"NEW","")))</f>
        <v> </v>
      </c>
      <c r="G461" s="24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5" t="str">
        <f>IF(J461&lt;&gt;1,"",IF(I461="SBJ","CB","?"))</f>
        <v> </v>
      </c>
      <c r="I461" s="26" t="str">
        <f>IF(OR(E461="",E461="!!!",F461="NEW"),"",INDEX(B460:B$2,-1+SUMPRODUCT(MAX(ROW(E460:E$2)*(E461=E460:E$2)))))</f>
        <v> </v>
      </c>
      <c r="J461" s="26" t="str">
        <f>IF(OR(E461="",E461="!!!",F461="NEW"),"",COUNTBLANK(OFFSET(A$1,,,SUMPRODUCT(MAX(ROW(E$2:E461)*(E461=E$2:E461)))))-COUNTBLANK(OFFSET(A$1,,,SUMPRODUCT(MAX(ROW(E$1:E460)*(E2=E$1:E460))))))</f>
        <v> </v>
      </c>
      <c r="K461" s="26" t="str">
        <f>IF(OR(E461="",E461="!!!",F461="NEW"),"",INDEX(J$1:J460,SUMPRODUCT(MAX(ROW(E$1:E460)*(E461=E$1:E460)))))</f>
        <v> </v>
      </c>
      <c r="L461" s="27"/>
    </row>
    <row r="462" spans="1:12">
      <c r="A462" s="20" t="s">
        <v>414</v>
      </c>
      <c r="E462" s="22">
        <f>IF(D462="?OLD","!!!","")</f>
        <v/>
      </c>
      <c r="F462" s="23" t="str">
        <f>IF(OR(E462="",E462="!!!"),"",IF(NOT(ISNA(VLOOKUP(E462,E$1:E461,1,FALSE()))),"OLD",IF(AND(E462&lt;&gt;"",E462&lt;&gt;"!!!"),"NEW","")))</f>
        <v> </v>
      </c>
      <c r="G462" s="24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5" t="str">
        <f>IF(J462&lt;&gt;1,"",IF(I462="SBJ","CB","?"))</f>
        <v> </v>
      </c>
      <c r="I462" s="26" t="str">
        <f>IF(OR(E462="",E462="!!!",F462="NEW"),"",INDEX(B461:B$2,-1+SUMPRODUCT(MAX(ROW(E461:E$2)*(E462=E461:E$2)))))</f>
        <v> </v>
      </c>
      <c r="J462" s="26" t="str">
        <f>IF(OR(E462="",E462="!!!",F462="NEW"),"",COUNTBLANK(OFFSET(A$1,,,SUMPRODUCT(MAX(ROW(E$2:E462)*(E462=E$2:E462)))))-COUNTBLANK(OFFSET(A$1,,,SUMPRODUCT(MAX(ROW(E$1:E461)*(E2=E$1:E461))))))</f>
        <v> </v>
      </c>
      <c r="K462" s="26" t="str">
        <f>IF(OR(E462="",E462="!!!",F462="NEW"),"",INDEX(J$1:J461,SUMPRODUCT(MAX(ROW(E$1:E461)*(E462=E$1:E461)))))</f>
        <v> </v>
      </c>
      <c r="L462" s="27"/>
    </row>
    <row r="463" spans="1:12">
      <c r="A463" s="20" t="s">
        <v>248</v>
      </c>
      <c r="E463" s="22">
        <f>IF(D463="?OLD","!!!","")</f>
        <v/>
      </c>
      <c r="F463" s="23" t="str">
        <f>IF(OR(E463="",E463="!!!"),"",IF(NOT(ISNA(VLOOKUP(E463,E$1:E462,1,FALSE()))),"OLD",IF(AND(E463&lt;&gt;"",E463&lt;&gt;"!!!"),"NEW","")))</f>
        <v> </v>
      </c>
      <c r="G463" s="24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5" t="str">
        <f>IF(J463&lt;&gt;1,"",IF(I463="SBJ","CB","?"))</f>
        <v> </v>
      </c>
      <c r="I463" s="26" t="str">
        <f>IF(OR(E463="",E463="!!!",F463="NEW"),"",INDEX(B462:B$2,-1+SUMPRODUCT(MAX(ROW(E462:E$2)*(E463=E462:E$2)))))</f>
        <v> </v>
      </c>
      <c r="J463" s="26" t="str">
        <f>IF(OR(E463="",E463="!!!",F463="NEW"),"",COUNTBLANK(OFFSET(A$1,,,SUMPRODUCT(MAX(ROW(E$2:E463)*(E463=E$2:E463)))))-COUNTBLANK(OFFSET(A$1,,,SUMPRODUCT(MAX(ROW(E$1:E462)*(E2=E$1:E462))))))</f>
        <v> </v>
      </c>
      <c r="K463" s="26" t="str">
        <f>IF(OR(E463="",E463="!!!",F463="NEW"),"",INDEX(J$1:J462,SUMPRODUCT(MAX(ROW(E$1:E462)*(E463=E$1:E462)))))</f>
        <v> </v>
      </c>
      <c r="L463" s="27"/>
    </row>
    <row r="464" spans="1:12">
      <c r="A464" s="20" t="s">
        <v>415</v>
      </c>
      <c r="B464" s="21" t="s">
        <v>416</v>
      </c>
      <c r="C464" s="21" t="s">
        <v>130</v>
      </c>
      <c r="D464" s="21" t="s">
        <v>131</v>
      </c>
      <c r="E464" s="22">
        <f>IF(D464="?OLD","!!!","")</f>
        <v/>
      </c>
      <c r="F464" s="23" t="str">
        <f>IF(OR(E464="",E464="!!!"),"",IF(NOT(ISNA(VLOOKUP(E464,E$1:E463,1,FALSE()))),"OLD",IF(AND(E464&lt;&gt;"",E464&lt;&gt;"!!!"),"NEW","")))</f>
        <v> </v>
      </c>
      <c r="G464" s="24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5" t="str">
        <f>IF(J464&lt;&gt;1,"",IF(I464="SBJ","CB","?"))</f>
        <v> </v>
      </c>
      <c r="I464" s="26" t="str">
        <f>IF(OR(E464="",E464="!!!",F464="NEW"),"",INDEX(B463:B$2,-1+SUMPRODUCT(MAX(ROW(E463:E$2)*(E464=E463:E$2)))))</f>
        <v> </v>
      </c>
      <c r="J464" s="26" t="str">
        <f>IF(OR(E464="",E464="!!!",F464="NEW"),"",COUNTBLANK(OFFSET(A$1,,,SUMPRODUCT(MAX(ROW(E$2:E464)*(E464=E$2:E464)))))-COUNTBLANK(OFFSET(A$1,,,SUMPRODUCT(MAX(ROW(E$1:E463)*(E2=E$1:E463))))))</f>
        <v> </v>
      </c>
      <c r="K464" s="26" t="str">
        <f>IF(OR(E464="",E464="!!!",F464="NEW"),"",INDEX(J$1:J463,SUMPRODUCT(MAX(ROW(E$1:E463)*(E464=E$1:E463)))))</f>
        <v> </v>
      </c>
      <c r="L464" s="27"/>
    </row>
    <row r="465" spans="1:12">
      <c r="A465" s="20" t="s">
        <v>12</v>
      </c>
      <c r="E465" s="22">
        <f>IF(D465="?OLD","!!!","")</f>
        <v/>
      </c>
      <c r="F465" s="23" t="str">
        <f>IF(OR(E465="",E465="!!!"),"",IF(NOT(ISNA(VLOOKUP(E465,E$1:E464,1,FALSE()))),"OLD",IF(AND(E465&lt;&gt;"",E465&lt;&gt;"!!!"),"NEW","")))</f>
        <v> </v>
      </c>
      <c r="G465" s="24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5" t="str">
        <f>IF(J465&lt;&gt;1,"",IF(I465="SBJ","CB","?"))</f>
        <v> </v>
      </c>
      <c r="I465" s="26" t="str">
        <f>IF(OR(E465="",E465="!!!",F465="NEW"),"",INDEX(B464:B$2,-1+SUMPRODUCT(MAX(ROW(E464:E$2)*(E465=E464:E$2)))))</f>
        <v> </v>
      </c>
      <c r="J465" s="26" t="str">
        <f>IF(OR(E465="",E465="!!!",F465="NEW"),"",COUNTBLANK(OFFSET(A$1,,,SUMPRODUCT(MAX(ROW(E$2:E465)*(E465=E$2:E465)))))-COUNTBLANK(OFFSET(A$1,,,SUMPRODUCT(MAX(ROW(E$1:E464)*(E2=E$1:E464))))))</f>
        <v> </v>
      </c>
      <c r="K465" s="26" t="str">
        <f>IF(OR(E465="",E465="!!!",F465="NEW"),"",INDEX(J$1:J464,SUMPRODUCT(MAX(ROW(E$1:E464)*(E465=E$1:E464)))))</f>
        <v> </v>
      </c>
      <c r="L465" s="27"/>
    </row>
    <row r="466" spans="1:12">
      <c r="A466" s="20" t="s">
        <v>417</v>
      </c>
      <c r="E466" s="22">
        <f>IF(D466="?OLD","!!!","")</f>
        <v/>
      </c>
      <c r="F466" s="23" t="str">
        <f>IF(OR(E466="",E466="!!!"),"",IF(NOT(ISNA(VLOOKUP(E466,E$1:E465,1,FALSE()))),"OLD",IF(AND(E466&lt;&gt;"",E466&lt;&gt;"!!!"),"NEW","")))</f>
        <v> </v>
      </c>
      <c r="G466" s="24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5" t="str">
        <f>IF(J466&lt;&gt;1,"",IF(I466="SBJ","CB","?"))</f>
        <v> </v>
      </c>
      <c r="I466" s="26" t="str">
        <f>IF(OR(E466="",E466="!!!",F466="NEW"),"",INDEX(B465:B$2,-1+SUMPRODUCT(MAX(ROW(E465:E$2)*(E466=E465:E$2)))))</f>
        <v> </v>
      </c>
      <c r="J466" s="26" t="str">
        <f>IF(OR(E466="",E466="!!!",F466="NEW"),"",COUNTBLANK(OFFSET(A$1,,,SUMPRODUCT(MAX(ROW(E$2:E466)*(E466=E$2:E466)))))-COUNTBLANK(OFFSET(A$1,,,SUMPRODUCT(MAX(ROW(E$1:E465)*(E2=E$1:E465))))))</f>
        <v> </v>
      </c>
      <c r="K466" s="26" t="str">
        <f>IF(OR(E466="",E466="!!!",F466="NEW"),"",INDEX(J$1:J465,SUMPRODUCT(MAX(ROW(E$1:E465)*(E466=E$1:E465)))))</f>
        <v> </v>
      </c>
      <c r="L466" s="27"/>
    </row>
    <row r="467" spans="1:12">
      <c r="A467" s="20" t="s">
        <v>418</v>
      </c>
      <c r="E467" s="22">
        <f>IF(D467="?OLD","!!!","")</f>
        <v/>
      </c>
      <c r="F467" s="23" t="str">
        <f>IF(OR(E467="",E467="!!!"),"",IF(NOT(ISNA(VLOOKUP(E467,E$1:E466,1,FALSE()))),"OLD",IF(AND(E467&lt;&gt;"",E467&lt;&gt;"!!!"),"NEW","")))</f>
        <v> </v>
      </c>
      <c r="G467" s="24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5" t="str">
        <f>IF(J467&lt;&gt;1,"",IF(I467="SBJ","CB","?"))</f>
        <v> </v>
      </c>
      <c r="I467" s="26" t="str">
        <f>IF(OR(E467="",E467="!!!",F467="NEW"),"",INDEX(B466:B$2,-1+SUMPRODUCT(MAX(ROW(E466:E$2)*(E467=E466:E$2)))))</f>
        <v> </v>
      </c>
      <c r="J467" s="26" t="str">
        <f>IF(OR(E467="",E467="!!!",F467="NEW"),"",COUNTBLANK(OFFSET(A$1,,,SUMPRODUCT(MAX(ROW(E$2:E467)*(E467=E$2:E467)))))-COUNTBLANK(OFFSET(A$1,,,SUMPRODUCT(MAX(ROW(E$1:E466)*(E2=E$1:E466))))))</f>
        <v> </v>
      </c>
      <c r="K467" s="26" t="str">
        <f>IF(OR(E467="",E467="!!!",F467="NEW"),"",INDEX(J$1:J466,SUMPRODUCT(MAX(ROW(E$1:E466)*(E467=E$1:E466)))))</f>
        <v> </v>
      </c>
      <c r="L467" s="27"/>
    </row>
    <row r="468" spans="1:12">
      <c r="A468" s="20" t="s">
        <v>148</v>
      </c>
      <c r="E468" s="22">
        <f>IF(D468="?OLD","!!!","")</f>
        <v/>
      </c>
      <c r="F468" s="23" t="str">
        <f>IF(OR(E468="",E468="!!!"),"",IF(NOT(ISNA(VLOOKUP(E468,E$1:E467,1,FALSE()))),"OLD",IF(AND(E468&lt;&gt;"",E468&lt;&gt;"!!!"),"NEW","")))</f>
        <v> </v>
      </c>
      <c r="G468" s="24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5" t="str">
        <f>IF(J468&lt;&gt;1,"",IF(I468="SBJ","CB","?"))</f>
        <v> </v>
      </c>
      <c r="I468" s="26" t="str">
        <f>IF(OR(E468="",E468="!!!",F468="NEW"),"",INDEX(B467:B$2,-1+SUMPRODUCT(MAX(ROW(E467:E$2)*(E468=E467:E$2)))))</f>
        <v> </v>
      </c>
      <c r="J468" s="26" t="str">
        <f>IF(OR(E468="",E468="!!!",F468="NEW"),"",COUNTBLANK(OFFSET(A$1,,,SUMPRODUCT(MAX(ROW(E$2:E468)*(E468=E$2:E468)))))-COUNTBLANK(OFFSET(A$1,,,SUMPRODUCT(MAX(ROW(E$1:E467)*(E2=E$1:E467))))))</f>
        <v> </v>
      </c>
      <c r="K468" s="26" t="str">
        <f>IF(OR(E468="",E468="!!!",F468="NEW"),"",INDEX(J$1:J467,SUMPRODUCT(MAX(ROW(E$1:E467)*(E468=E$1:E467)))))</f>
        <v> </v>
      </c>
      <c r="L468" s="27"/>
    </row>
    <row r="469" spans="1:12">
      <c r="A469" s="20"/>
    </row>
    <row r="470" spans="1:12">
      <c r="A470" s="20" t="s">
        <v>419</v>
      </c>
    </row>
    <row r="471" spans="1:12">
      <c r="A471" s="20" t="s">
        <v>160</v>
      </c>
      <c r="B471" s="21" t="s">
        <v>129</v>
      </c>
      <c r="C471" s="21" t="s">
        <v>130</v>
      </c>
      <c r="D471" s="21" t="s">
        <v>131</v>
      </c>
      <c r="E471" s="22">
        <f>IF(D471="?OLD","!!!","")</f>
        <v/>
      </c>
      <c r="F471" s="23" t="str">
        <f>IF(OR(E471="",E471="!!!"),"",IF(NOT(ISNA(VLOOKUP(E471,E$1:E470,1,FALSE()))),"OLD",IF(AND(E471&lt;&gt;"",E471&lt;&gt;"!!!"),"NEW","")))</f>
        <v> </v>
      </c>
      <c r="G471" s="24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5" t="str">
        <f>IF(J471&lt;&gt;1,"",IF(I471="SBJ","CB","?"))</f>
        <v> </v>
      </c>
      <c r="I471" s="26" t="str">
        <f>IF(OR(E471="",E471="!!!",F471="NEW"),"",INDEX(B470:B$2,-1+SUMPRODUCT(MAX(ROW(E470:E$2)*(E471=E470:E$2)))))</f>
        <v> </v>
      </c>
      <c r="J471" s="26" t="str">
        <f>IF(OR(E471="",E471="!!!",F471="NEW"),"",COUNTBLANK(OFFSET(A$1,,,SUMPRODUCT(MAX(ROW(E$2:E471)*(E471=E$2:E471)))))-COUNTBLANK(OFFSET(A$1,,,SUMPRODUCT(MAX(ROW(E$1:E470)*(E2=E$1:E470))))))</f>
        <v> </v>
      </c>
      <c r="K471" s="26" t="str">
        <f>IF(OR(E471="",E471="!!!",F471="NEW"),"",INDEX(J$1:J470,SUMPRODUCT(MAX(ROW(E$1:E470)*(E471=E$1:E470)))))</f>
        <v> </v>
      </c>
      <c r="L471" s="27"/>
    </row>
    <row r="472" spans="1:12">
      <c r="A472" s="20" t="s">
        <v>132</v>
      </c>
      <c r="E472" s="22">
        <f>IF(D472="?OLD","!!!","")</f>
        <v/>
      </c>
      <c r="F472" s="23" t="str">
        <f>IF(OR(E472="",E472="!!!"),"",IF(NOT(ISNA(VLOOKUP(E472,E$1:E471,1,FALSE()))),"OLD",IF(AND(E472&lt;&gt;"",E472&lt;&gt;"!!!"),"NEW","")))</f>
        <v> </v>
      </c>
      <c r="G472" s="24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5" t="str">
        <f>IF(J472&lt;&gt;1,"",IF(I472="SBJ","CB","?"))</f>
        <v> </v>
      </c>
      <c r="I472" s="26" t="str">
        <f>IF(OR(E472="",E472="!!!",F472="NEW"),"",INDEX(B471:B$2,-1+SUMPRODUCT(MAX(ROW(E471:E$2)*(E472=E471:E$2)))))</f>
        <v> </v>
      </c>
      <c r="J472" s="26" t="str">
        <f>IF(OR(E472="",E472="!!!",F472="NEW"),"",COUNTBLANK(OFFSET(A$1,,,SUMPRODUCT(MAX(ROW(E$2:E472)*(E472=E$2:E472)))))-COUNTBLANK(OFFSET(A$1,,,SUMPRODUCT(MAX(ROW(E$1:E471)*(E2=E$1:E471))))))</f>
        <v> </v>
      </c>
      <c r="K472" s="26" t="str">
        <f>IF(OR(E472="",E472="!!!",F472="NEW"),"",INDEX(J$1:J471,SUMPRODUCT(MAX(ROW(E$1:E471)*(E472=E$1:E471)))))</f>
        <v> </v>
      </c>
      <c r="L472" s="27"/>
    </row>
    <row r="473" spans="1:12">
      <c r="A473" s="20" t="s">
        <v>420</v>
      </c>
      <c r="E473" s="22">
        <f>IF(D473="?OLD","!!!","")</f>
        <v/>
      </c>
      <c r="F473" s="23" t="str">
        <f>IF(OR(E473="",E473="!!!"),"",IF(NOT(ISNA(VLOOKUP(E473,E$1:E472,1,FALSE()))),"OLD",IF(AND(E473&lt;&gt;"",E473&lt;&gt;"!!!"),"NEW","")))</f>
        <v> </v>
      </c>
      <c r="G473" s="24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5" t="str">
        <f>IF(J473&lt;&gt;1,"",IF(I473="SBJ","CB","?"))</f>
        <v> </v>
      </c>
      <c r="I473" s="26" t="str">
        <f>IF(OR(E473="",E473="!!!",F473="NEW"),"",INDEX(B472:B$2,-1+SUMPRODUCT(MAX(ROW(E472:E$2)*(E473=E472:E$2)))))</f>
        <v> </v>
      </c>
      <c r="J473" s="26" t="str">
        <f>IF(OR(E473="",E473="!!!",F473="NEW"),"",COUNTBLANK(OFFSET(A$1,,,SUMPRODUCT(MAX(ROW(E$2:E473)*(E473=E$2:E473)))))-COUNTBLANK(OFFSET(A$1,,,SUMPRODUCT(MAX(ROW(E$1:E472)*(E2=E$1:E472))))))</f>
        <v> </v>
      </c>
      <c r="K473" s="26" t="str">
        <f>IF(OR(E473="",E473="!!!",F473="NEW"),"",INDEX(J$1:J472,SUMPRODUCT(MAX(ROW(E$1:E472)*(E473=E$1:E472)))))</f>
        <v> </v>
      </c>
      <c r="L473" s="27"/>
    </row>
    <row r="474" spans="1:12">
      <c r="A474" s="20" t="s">
        <v>421</v>
      </c>
      <c r="B474" s="21" t="s">
        <v>136</v>
      </c>
      <c r="C474" s="21" t="s">
        <v>207</v>
      </c>
      <c r="E474" s="22">
        <f>IF(D474="?OLD","!!!","")</f>
        <v/>
      </c>
      <c r="F474" s="23" t="str">
        <f>IF(OR(E474="",E474="!!!"),"",IF(NOT(ISNA(VLOOKUP(E474,E$1:E473,1,FALSE()))),"OLD",IF(AND(E474&lt;&gt;"",E474&lt;&gt;"!!!"),"NEW","")))</f>
        <v> </v>
      </c>
      <c r="G474" s="24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5" t="str">
        <f>IF(J474&lt;&gt;1,"",IF(I474="SBJ","CB","?"))</f>
        <v> </v>
      </c>
      <c r="I474" s="26" t="str">
        <f>IF(OR(E474="",E474="!!!",F474="NEW"),"",INDEX(B473:B$2,-1+SUMPRODUCT(MAX(ROW(E473:E$2)*(E474=E473:E$2)))))</f>
        <v> </v>
      </c>
      <c r="J474" s="26" t="str">
        <f>IF(OR(E474="",E474="!!!",F474="NEW"),"",COUNTBLANK(OFFSET(A$1,,,SUMPRODUCT(MAX(ROW(E$2:E474)*(E474=E$2:E474)))))-COUNTBLANK(OFFSET(A$1,,,SUMPRODUCT(MAX(ROW(E$1:E473)*(E2=E$1:E473))))))</f>
        <v> </v>
      </c>
      <c r="K474" s="26" t="str">
        <f>IF(OR(E474="",E474="!!!",F474="NEW"),"",INDEX(J$1:J473,SUMPRODUCT(MAX(ROW(E$1:E473)*(E474=E$1:E473)))))</f>
        <v> </v>
      </c>
      <c r="L474" s="27"/>
    </row>
    <row r="475" spans="1:12">
      <c r="A475" s="20" t="s">
        <v>208</v>
      </c>
      <c r="B475" s="21" t="s">
        <v>145</v>
      </c>
      <c r="C475" s="21" t="s">
        <v>163</v>
      </c>
      <c r="E475" s="22">
        <f>IF(D475="?OLD","!!!","")</f>
        <v/>
      </c>
      <c r="F475" s="23" t="str">
        <f>IF(OR(E475="",E475="!!!"),"",IF(NOT(ISNA(VLOOKUP(E475,E$1:E474,1,FALSE()))),"OLD",IF(AND(E475&lt;&gt;"",E475&lt;&gt;"!!!"),"NEW","")))</f>
        <v> </v>
      </c>
      <c r="G475" s="24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5" t="str">
        <f>IF(J475&lt;&gt;1,"",IF(I475="SBJ","CB","?"))</f>
        <v> </v>
      </c>
      <c r="I475" s="26" t="str">
        <f>IF(OR(E475="",E475="!!!",F475="NEW"),"",INDEX(B474:B$2,-1+SUMPRODUCT(MAX(ROW(E474:E$2)*(E475=E474:E$2)))))</f>
        <v> </v>
      </c>
      <c r="J475" s="26" t="str">
        <f>IF(OR(E475="",E475="!!!",F475="NEW"),"",COUNTBLANK(OFFSET(A$1,,,SUMPRODUCT(MAX(ROW(E$2:E475)*(E475=E$2:E475)))))-COUNTBLANK(OFFSET(A$1,,,SUMPRODUCT(MAX(ROW(E$1:E474)*(E2=E$1:E474))))))</f>
        <v> </v>
      </c>
      <c r="K475" s="26" t="str">
        <f>IF(OR(E475="",E475="!!!",F475="NEW"),"",INDEX(J$1:J474,SUMPRODUCT(MAX(ROW(E$1:E474)*(E475=E$1:E474)))))</f>
        <v> </v>
      </c>
      <c r="L475" s="27"/>
    </row>
    <row r="476" spans="1:12">
      <c r="A476" s="20" t="s">
        <v>175</v>
      </c>
      <c r="E476" s="22">
        <f>IF(D476="?OLD","!!!","")</f>
        <v/>
      </c>
      <c r="F476" s="23" t="str">
        <f>IF(OR(E476="",E476="!!!"),"",IF(NOT(ISNA(VLOOKUP(E476,E$1:E475,1,FALSE()))),"OLD",IF(AND(E476&lt;&gt;"",E476&lt;&gt;"!!!"),"NEW","")))</f>
        <v> </v>
      </c>
      <c r="G476" s="24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5" t="str">
        <f>IF(J476&lt;&gt;1,"",IF(I476="SBJ","CB","?"))</f>
        <v> </v>
      </c>
      <c r="I476" s="26" t="str">
        <f>IF(OR(E476="",E476="!!!",F476="NEW"),"",INDEX(B475:B$2,-1+SUMPRODUCT(MAX(ROW(E475:E$2)*(E476=E475:E$2)))))</f>
        <v> </v>
      </c>
      <c r="J476" s="26" t="str">
        <f>IF(OR(E476="",E476="!!!",F476="NEW"),"",COUNTBLANK(OFFSET(A$1,,,SUMPRODUCT(MAX(ROW(E$2:E476)*(E476=E$2:E476)))))-COUNTBLANK(OFFSET(A$1,,,SUMPRODUCT(MAX(ROW(E$1:E475)*(E2=E$1:E475))))))</f>
        <v> </v>
      </c>
      <c r="K476" s="26" t="str">
        <f>IF(OR(E476="",E476="!!!",F476="NEW"),"",INDEX(J$1:J475,SUMPRODUCT(MAX(ROW(E$1:E475)*(E476=E$1:E475)))))</f>
        <v> </v>
      </c>
      <c r="L476" s="27"/>
    </row>
    <row r="477" spans="1:12">
      <c r="A477" s="20" t="s">
        <v>422</v>
      </c>
      <c r="E477" s="22">
        <f>IF(D477="?OLD","!!!","")</f>
        <v/>
      </c>
      <c r="F477" s="23" t="str">
        <f>IF(OR(E477="",E477="!!!"),"",IF(NOT(ISNA(VLOOKUP(E477,E$1:E476,1,FALSE()))),"OLD",IF(AND(E477&lt;&gt;"",E477&lt;&gt;"!!!"),"NEW","")))</f>
        <v> </v>
      </c>
      <c r="G477" s="24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5" t="str">
        <f>IF(J477&lt;&gt;1,"",IF(I477="SBJ","CB","?"))</f>
        <v> </v>
      </c>
      <c r="I477" s="26" t="str">
        <f>IF(OR(E477="",E477="!!!",F477="NEW"),"",INDEX(B476:B$2,-1+SUMPRODUCT(MAX(ROW(E476:E$2)*(E477=E476:E$2)))))</f>
        <v> </v>
      </c>
      <c r="J477" s="26" t="str">
        <f>IF(OR(E477="",E477="!!!",F477="NEW"),"",COUNTBLANK(OFFSET(A$1,,,SUMPRODUCT(MAX(ROW(E$2:E477)*(E477=E$2:E477)))))-COUNTBLANK(OFFSET(A$1,,,SUMPRODUCT(MAX(ROW(E$1:E476)*(E2=E$1:E476))))))</f>
        <v> </v>
      </c>
      <c r="K477" s="26" t="str">
        <f>IF(OR(E477="",E477="!!!",F477="NEW"),"",INDEX(J$1:J476,SUMPRODUCT(MAX(ROW(E$1:E476)*(E477=E$1:E476)))))</f>
        <v> </v>
      </c>
      <c r="L477" s="27"/>
    </row>
    <row r="478" spans="1:12">
      <c r="A478" s="20" t="s">
        <v>423</v>
      </c>
      <c r="B478" s="21" t="s">
        <v>152</v>
      </c>
      <c r="C478" s="21" t="s">
        <v>137</v>
      </c>
      <c r="D478" s="21" t="s">
        <v>131</v>
      </c>
      <c r="E478" s="22">
        <f>IF(D478="?OLD","!!!","")</f>
        <v/>
      </c>
      <c r="F478" s="23" t="str">
        <f>IF(OR(E478="",E478="!!!"),"",IF(NOT(ISNA(VLOOKUP(E478,E$1:E477,1,FALSE()))),"OLD",IF(AND(E478&lt;&gt;"",E478&lt;&gt;"!!!"),"NEW","")))</f>
        <v> </v>
      </c>
      <c r="G478" s="24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5" t="str">
        <f>IF(J478&lt;&gt;1,"",IF(I478="SBJ","CB","?"))</f>
        <v> </v>
      </c>
      <c r="I478" s="26" t="str">
        <f>IF(OR(E478="",E478="!!!",F478="NEW"),"",INDEX(B477:B$2,-1+SUMPRODUCT(MAX(ROW(E477:E$2)*(E478=E477:E$2)))))</f>
        <v> </v>
      </c>
      <c r="J478" s="26" t="str">
        <f>IF(OR(E478="",E478="!!!",F478="NEW"),"",COUNTBLANK(OFFSET(A$1,,,SUMPRODUCT(MAX(ROW(E$2:E478)*(E478=E$2:E478)))))-COUNTBLANK(OFFSET(A$1,,,SUMPRODUCT(MAX(ROW(E$1:E477)*(E2=E$1:E477))))))</f>
        <v> </v>
      </c>
      <c r="K478" s="26" t="str">
        <f>IF(OR(E478="",E478="!!!",F478="NEW"),"",INDEX(J$1:J477,SUMPRODUCT(MAX(ROW(E$1:E477)*(E478=E$1:E477)))))</f>
        <v> </v>
      </c>
      <c r="L478" s="27"/>
    </row>
    <row r="479" spans="1:12">
      <c r="A479" s="20" t="s">
        <v>148</v>
      </c>
      <c r="E479" s="22">
        <f>IF(D479="?OLD","!!!","")</f>
        <v/>
      </c>
      <c r="F479" s="23" t="str">
        <f>IF(OR(E479="",E479="!!!"),"",IF(NOT(ISNA(VLOOKUP(E479,E$1:E478,1,FALSE()))),"OLD",IF(AND(E479&lt;&gt;"",E479&lt;&gt;"!!!"),"NEW","")))</f>
        <v> </v>
      </c>
      <c r="G479" s="24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5" t="str">
        <f>IF(J479&lt;&gt;1,"",IF(I479="SBJ","CB","?"))</f>
        <v> </v>
      </c>
      <c r="I479" s="26" t="str">
        <f>IF(OR(E479="",E479="!!!",F479="NEW"),"",INDEX(B478:B$2,-1+SUMPRODUCT(MAX(ROW(E478:E$2)*(E479=E478:E$2)))))</f>
        <v> </v>
      </c>
      <c r="J479" s="26" t="str">
        <f>IF(OR(E479="",E479="!!!",F479="NEW"),"",COUNTBLANK(OFFSET(A$1,,,SUMPRODUCT(MAX(ROW(E$2:E479)*(E479=E$2:E479)))))-COUNTBLANK(OFFSET(A$1,,,SUMPRODUCT(MAX(ROW(E$1:E478)*(E2=E$1:E478))))))</f>
        <v> </v>
      </c>
      <c r="K479" s="26" t="str">
        <f>IF(OR(E479="",E479="!!!",F479="NEW"),"",INDEX(J$1:J478,SUMPRODUCT(MAX(ROW(E$1:E478)*(E479=E$1:E478)))))</f>
        <v> </v>
      </c>
      <c r="L479" s="27"/>
    </row>
    <row r="480" spans="1:12">
      <c r="A480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2025-07-10T18:01:46Z</dcterms:created>
  <dcterms:modified xsi:type="dcterms:W3CDTF">2025-07-10T18:01:46Z</dcterms:modified>
</cp:coreProperties>
</file>