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<sst xmlns="http://schemas.openxmlformats.org/spreadsheetml/2006/main" count="1963" uniqueCount="507">
  <si>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</si>
  <si>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</si>
  <si>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</si>
  <si>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</si>
  <si>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</si>
  <si>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</si>
  <si>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</si>
  <si>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</si>
  <si>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</si>
  <si>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</si>
  <si>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</si>
  <si>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7</t>
  </si>
  <si>
    <t>_</t>
  </si>
  <si>
    <t>Überschneidung</t>
  </si>
  <si>
    <t>Dave Troy : Soziale Kartografie – Überschneidung und Trennung in Städten</t>
  </si>
  <si>
    <t>file://conllu/de/ted-mdb.2150.conllu#s1_0</t>
  </si>
  <si>
    <t>2</t>
  </si>
  <si>
    <t>31</t>
  </si>
  <si>
    <t>denken (denken denken)</t>
  </si>
  <si>
    <t>Wenn wir über die Kartierung von Städten nachdenken , denken wir an Wege , Straßen und Gebäude und an die Stadtentwicklung , die zu diesem Ergebnis führte , oder Sie denken an die großen Visionen eines Städteplaners . Es gibt aber andere Arten , über die Kartierung von Städten nachzudenken und wie diese entstanden sind . Heute möchte ich Ihnen eine neue Art Karte zeigen . Es ist keine geografische Karte , es ist eine Karte der Beziehungen zwischen den Menschen meiner Heimatstadt , Baltimore , Maryland .</t>
  </si>
  <si>
    <t>file://conllu/de/ted-mdb.2150.conllu#s2_0</t>
  </si>
  <si>
    <t>3</t>
  </si>
  <si>
    <t>243</t>
  </si>
  <si>
    <t>sehen (sehen sehen)</t>
  </si>
  <si>
    <t>Sie können sehen , dass jeder Punkt eine Person darstellt , jede Linie eine Beziehung zwischen diesen Menschen und jede Farbe eine Gruppierung innerhalb dieses Netzwerkes . Ich bin hier auf der grünen Seite , unten , weit am an dem rechten Rand , wo die Geeks sind . Auch TEDx ist unten , weit rechts . ( Lachen ) Auf der anderen Seite des Netzwerkes gibt es eher Afroamerikaner und Latinos , die um ganz andere Dinge besorgt sind als die Geeks . Um Ihnen ein Gefühl zu geben , den grünen Teil des Netzwerkes nennen wir Klein- timore , da diese Leute , wie es scheint , in einer sehr kleinen Stadt wohnen . Wir sehen immer wieder die gleichen Leute , weil wir nicht die ganze Breite und Tiefe der Stadt erforschen . Auf der anderen Seite des Netzwerkes haben sie Menschen , die an Dingen wie Hip Hop interessiert sind und sich eher mit dem Wohngebiet DC / Maryland / Virigina identifizieren , als mit der korrekten Stadtbezeichnung für Baltimore . In der Mitte sehen Sie etwas , das die beiden Gruppierungen verbindet , und das ist Sport . Wir haben die Baltimore Orioles , die Baltimore Ravens [ Football ] den Olympioniken Michael Phelps , die Baltimore Firma Under Armour , die sie vielleicht kennen . Diese Sportverbundenheit fungiert als einzige Brücke zwischen den beiden Enden des Netzwerkes . Schauen wir uns San Francisco an . Sie sehen , dass dort etwas anderes passiert . Auf der einen Seite gibt es den Medien , Politik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 Mitarbeiter bezeichnen , nahe bei den Geeks , zwischen Gamern und Geeks , am an dem entgegengesetzten Ende des Hip Hop Spektrums . Sie sehen also , dass die Spannungen , die wir aus San Francisco vernehmen , dass sich die Leute um Gentrifizierung sorgen , wegen diesen neuen Tech Firmen , die neuen Wohlstand bringen und sich in der Stadt ansiedeln , real sind . Sie sehen das hier dokumentiert . Sie sehen die LGBT Community , die nicht zu den Geeks passt , die Künstler ,</t>
  </si>
  <si>
    <t>file://conllu/de/ted-mdb.2150.conllu#s3_0</t>
  </si>
  <si>
    <t>4</t>
  </si>
  <si>
    <t>40</t>
  </si>
  <si>
    <t>Was?</t>
  </si>
  <si>
    <t>glauben (glauben zeigen)</t>
  </si>
  <si>
    <t>die Musiker . Und dies führt zu Dingen wie diesen : [ &amp;quot; Twitter raus &amp;quot; ] Das Bild bekam ich vor einigen Wochen . Es zeigt auf , was auf dem Boden von San Francisco passiert . Ich glaube , sie können versuchen , das verstehen , indem sie solche Karten anschauen . Betrachten wir Rio de Janeiro . Ich sammelte die letzten Wochen Daten in Rio . Eine Sache viel mir in dieser Stadt auf : Alles ist wirklich sehr gemischt . Es ist eine sehr heterogene Stadt , nicht wie Baltimore oder San Francisco . Es gibt immer noch die Gruppen an Menschen aus Verwaltung , Zeitungen , Politk und Kolummnisten . TEDxRio is unten rechts , rechts neben Bloggern und Autoren . Es gibt aber auch diese enorme Vielfalt an Menschen , interessiert an verschiedenen Musikarten . Sogar Justin Bieber Fans sind vertreten . Andere Boy Groups , Countrysänger , Gospelmusiker , Funk , Rap und Stand- Up Komödianten . Und sogar eine ganze Gruppe rund um Drogen und Witze . Wie cool ist das denn ? Auch die Fußballmannschaft &amp;quot; Flamengo &amp;quot; ist vertreten . Sie haben diese Bandbreite von Sport , Verwaltung , Kunst und Musik , aber in einer ganz anderen Art dargestellt . Ich denke , dass könnte zu der Art , wie wir Rio verstehen , passen , als eine sehr multikulturelle , musikalisch vielfältige Stadt . Wir haben all diese Daten , ein unglaublich reichhaltiger Bestand an Daten über Städte . Vielleicht reichhaltiger als alles , was wir je zuvor hatten . Was können wir damit anfangen ? Ich denke , als Erstes sollten wir versuchen zu verstehen : Ist diese Trennung ein soziales Konzept ? Ist es etwas , dass wir wählen , obwohl wir es auch nicht tun könnten ? Wenn Sie darüber nachdenken , mit diesem Daten haben wir einen Blick darauf und betrachten die Stadt wie einen riesigen Schulspeiseraum , beobachten , wie sich jeder in dieser Stadt seinen Stuhl sucht . Vielleicht ist es Zeit , an dieser Bestuhlung etwas zu rütteln . Uns wird auch bewusst , dass Rasse ein miserabler Vertreter für Vielfältigkeit ist . Wir haben Verteter aus allen Arten von Rassen über die ganze Karte verteilt . Nur die Rasse zu betrachten , erklärt aber die Vielfältigkeit der Stadtentwicklung nicht . Wenn wir versuchen diese Vielfalt zu nutzen ,</t>
  </si>
  <si>
    <t>file://conllu/de/ted-mdb.2150.conllu#s4_0</t>
  </si>
  <si>
    <t>5</t>
  </si>
  <si>
    <t>119</t>
  </si>
  <si>
    <t>Dank</t>
  </si>
  <si>
    <t>um heikle Probleme anzugehen , brauchen wir eine neue Art des Denkens bezüglich Vielfältigkeit . Schlussendlich haben wir die Fähigkeit , Interventionen zu starten , die unsere Städte in einer neuen Art umformen . Ich glaube , dass wir dieses Potential haben . Wir haben sogar die Verpflichtung es zu tun . Was ist also eine Stadt ? Jemand könnte sagen , ein geografisches Gebiet , eine Reihe von Straßen und Gebäuden . Ich glaube aber , eine Stadt ist die Summe der Beziehungen der Leute , die dort leben . Wenn wir anfangen können , die Beziehungen wirklich zu dokumentieren , hätten wir eine echte Chance , die Städte zu erhalten , die wir gerne hätten . Danke</t>
  </si>
  <si>
    <t>file://conllu/de/ted-mdb.2150.conllu#s5_0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</si>
  <si>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</si>
  <si>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</si>
  <si>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</si>
  <si>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</si>
  <si>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</si>
  <si>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</si>
  <si>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</si>
  <si>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</si>
  <si>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</si>
  <si>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</si>
  <si>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</si>
  <si>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Dave Troy : Soziale Kartografie – Überschneidung und Trennung in Städten</t>
  </si>
  <si>
    <t>Dave</t>
  </si>
  <si>
    <t>other</t>
  </si>
  <si>
    <t>ne</t>
  </si>
  <si>
    <t>?OLD</t>
  </si>
  <si>
    <t>Troy</t>
  </si>
  <si>
    <t>:</t>
  </si>
  <si>
    <t>Soziale</t>
  </si>
  <si>
    <t>Kartografie</t>
  </si>
  <si>
    <t>–</t>
  </si>
  <si>
    <t>indef-np.bare</t>
  </si>
  <si>
    <t>und</t>
  </si>
  <si>
    <t>Trennung</t>
  </si>
  <si>
    <t>in</t>
  </si>
  <si>
    <t>Städten</t>
  </si>
  <si>
    <t>other_2</t>
  </si>
  <si>
    <t># text = Wenn wir über die Kartierung von Städten nachdenken , denken wir an Wege , Straßen und Gebäude und an die Stadtentwicklung , die zu diesem Ergebnis führte , oder Sie denken an die großen Visionen eines Städteplaners . Es gibt aber andere Arten , über die Kartierung von Städten nachzudenken und wie diese entstanden sind . Heute möchte ich Ihnen eine neue Art Karte zeigen . Es ist keine geografische Karte , es ist eine Karte der Beziehungen zwischen den Menschen meiner Heimatstadt , Baltimore , Maryland .</t>
  </si>
  <si>
    <t>Wenn</t>
  </si>
  <si>
    <t>wir</t>
  </si>
  <si>
    <t>SBJ_2</t>
  </si>
  <si>
    <t>pron</t>
  </si>
  <si>
    <t>über</t>
  </si>
  <si>
    <t>die</t>
  </si>
  <si>
    <t>Kartierung</t>
  </si>
  <si>
    <t>def-np.the</t>
  </si>
  <si>
    <t>von</t>
  </si>
  <si>
    <t>other_3</t>
  </si>
  <si>
    <t>nachdenken</t>
  </si>
  <si>
    <t>,</t>
  </si>
  <si>
    <t>denken</t>
  </si>
  <si>
    <t>SBJ</t>
  </si>
  <si>
    <t>an</t>
  </si>
  <si>
    <t>Wege</t>
  </si>
  <si>
    <t>Straßen</t>
  </si>
  <si>
    <t>OBJ</t>
  </si>
  <si>
    <t>Gebäude</t>
  </si>
  <si>
    <t>Stadtentwicklung</t>
  </si>
  <si>
    <t>SBJ_4</t>
  </si>
  <si>
    <t>zu</t>
  </si>
  <si>
    <t>other_5</t>
  </si>
  <si>
    <t>pron.pind</t>
  </si>
  <si>
    <t>diesem</t>
  </si>
  <si>
    <t>pron.pds</t>
  </si>
  <si>
    <t>Ergebnis</t>
  </si>
  <si>
    <t>other_4</t>
  </si>
  <si>
    <t>def-np.dem</t>
  </si>
  <si>
    <t>führte</t>
  </si>
  <si>
    <t>oder</t>
  </si>
  <si>
    <t>Sie</t>
  </si>
  <si>
    <t>pron.pper</t>
  </si>
  <si>
    <t>großen</t>
  </si>
  <si>
    <t>Visionen</t>
  </si>
  <si>
    <t>eines</t>
  </si>
  <si>
    <t>Städteplaners</t>
  </si>
  <si>
    <t>indef-np.a</t>
  </si>
  <si>
    <t>.</t>
  </si>
  <si>
    <t>Es</t>
  </si>
  <si>
    <t>gibt</t>
  </si>
  <si>
    <t>aber</t>
  </si>
  <si>
    <t>andere</t>
  </si>
  <si>
    <t>other_6</t>
  </si>
  <si>
    <t>Arten</t>
  </si>
  <si>
    <t>SBJ_5</t>
  </si>
  <si>
    <t>nachzudenken</t>
  </si>
  <si>
    <t>wie</t>
  </si>
  <si>
    <t>diese</t>
  </si>
  <si>
    <t>entstanden</t>
  </si>
  <si>
    <t>sind</t>
  </si>
  <si>
    <t>Heute</t>
  </si>
  <si>
    <t>möchte</t>
  </si>
  <si>
    <t>ich</t>
  </si>
  <si>
    <t>Ihnen</t>
  </si>
  <si>
    <t>OBJ_2</t>
  </si>
  <si>
    <t>eine</t>
  </si>
  <si>
    <t>neue</t>
  </si>
  <si>
    <t>Art</t>
  </si>
  <si>
    <t>Karte</t>
  </si>
  <si>
    <t>zeigen</t>
  </si>
  <si>
    <t>ist</t>
  </si>
  <si>
    <t>keine</t>
  </si>
  <si>
    <t>geografische</t>
  </si>
  <si>
    <t>indef-np.quant</t>
  </si>
  <si>
    <t>es</t>
  </si>
  <si>
    <t>der</t>
  </si>
  <si>
    <t>Beziehungen</t>
  </si>
  <si>
    <t>zwischen</t>
  </si>
  <si>
    <t>den</t>
  </si>
  <si>
    <t>Menschen</t>
  </si>
  <si>
    <t>meiner</t>
  </si>
  <si>
    <t>pron.ppos</t>
  </si>
  <si>
    <t>Heimatstadt</t>
  </si>
  <si>
    <t>Baltimore</t>
  </si>
  <si>
    <t>Maryland</t>
  </si>
  <si>
    <t># text = Sie können sehen , dass jeder Punkt eine Person darstellt , jede Linie eine Beziehung zwischen diesen Menschen und jede Farbe eine Gruppierung innerhalb dieses Netzwerkes . Ich bin hier auf der grünen Seite , unten , weit am rechten Rand , wo die Geeks sind . Auch TEDx ist unten , weit rechts . ( Lachen ) Auf der anderen Seite des Netzwerkes gibt es eher Afroamerikaner und Latinos , die um ganz andere Dinge besorgt sind als die Geeks . Um Ihnen ein Gefühl zu geben , den grünen Teil des Netzwerkes nennen wir Klein-timore , da diese Leute , wie es scheint , in einer sehr kleinen Stadt wohnen . Wir sehen immer wieder die gleichen Leute , weil wir nicht die ganze Breite und Tiefe der Stadt erforschen . Auf der anderen Seite des Netzwerkes haben sie Menschen , die an Dingen wie Hip-Hop interessiert sind und sich eher mit dem Wohngebiet DC / Maryland / Virigina identifizieren , als mit der korrekten Stadtbezeichnung für Baltimore . In der Mitte sehen Sie etwas , das die beiden Gruppierungen verbindet , und das ist Sport . Wir haben die Baltimore Orioles , die Baltimore Ravens [ Football ] den Olympioniken Michael Phelps , die Baltimore Firma Under Armour , die sie vielleicht kennen . Diese Sportverbundenheit fungiert als einzige Brücke zwischen den beiden Enden des Netzwerkes . Schauen wir uns San Francisco an . Sie sehen , dass dort etwas anderes passiert . Auf der einen Seite gibt es den Medien- , Politik- und Nachrichtenflügel , den es in Baltimore und anderen Städten meist gibt , es gibt aber auch diese tonangebende Gruppe der Geeks und Technikbegeisterten , die die obere Hälfte der Karte dominieren , sowie eine Gruppe , die so klar und ausgeprägt ist , dass wir sie als Twitter-Mitarbeiter bezeichnen , nahe bei den Geeks , zwischen Gamern und Geeks , am entgegengesetzten Ende des Hip-Hop-Spektrums . Sie sehen also , dass die Spannungen , die wir aus San Francisco vernehmen , dass sich die Leute um Gentrifizierung sorgen , wegen diesen neuen Tech-Firmen , die neuen Wohlstand bringen und sich in der Stadt ansiedeln , real sind . Sie sehen das hier dokumentiert . Sie sehen die LGBT-Community , die nicht zu den Geeks passt , die Künstler ,</t>
  </si>
  <si>
    <t>können</t>
  </si>
  <si>
    <t>sehen</t>
  </si>
  <si>
    <t>dass</t>
  </si>
  <si>
    <t>jeder</t>
  </si>
  <si>
    <t>Punkt</t>
  </si>
  <si>
    <t>Person</t>
  </si>
  <si>
    <t>darstellt</t>
  </si>
  <si>
    <t>jede</t>
  </si>
  <si>
    <t>Linie</t>
  </si>
  <si>
    <t>SBJ_3</t>
  </si>
  <si>
    <t>Beziehung</t>
  </si>
  <si>
    <t>diesen</t>
  </si>
  <si>
    <t>Farbe</t>
  </si>
  <si>
    <t>Gruppierung</t>
  </si>
  <si>
    <t>def-np.poss</t>
  </si>
  <si>
    <t>innerhalb</t>
  </si>
  <si>
    <t>dieses</t>
  </si>
  <si>
    <t>Netzwerkes</t>
  </si>
  <si>
    <t>Ich</t>
  </si>
  <si>
    <t>bin</t>
  </si>
  <si>
    <t>hier</t>
  </si>
  <si>
    <t>auf</t>
  </si>
  <si>
    <t>grünen</t>
  </si>
  <si>
    <t>Seite</t>
  </si>
  <si>
    <t>unten</t>
  </si>
  <si>
    <t>weit</t>
  </si>
  <si>
    <t>dem</t>
  </si>
  <si>
    <t>rechten</t>
  </si>
  <si>
    <t>Rand</t>
  </si>
  <si>
    <t>wo</t>
  </si>
  <si>
    <t>Geeks</t>
  </si>
  <si>
    <t>SBJ_6</t>
  </si>
  <si>
    <t>Auch</t>
  </si>
  <si>
    <t>TEDx</t>
  </si>
  <si>
    <t>rechts</t>
  </si>
  <si>
    <t>(</t>
  </si>
  <si>
    <t>Lachen</t>
  </si>
  <si>
    <t>)</t>
  </si>
  <si>
    <t>Auf</t>
  </si>
  <si>
    <t>anderen</t>
  </si>
  <si>
    <t>def-np.the.other</t>
  </si>
  <si>
    <t>des</t>
  </si>
  <si>
    <t>eher</t>
  </si>
  <si>
    <t>Afroamerikaner</t>
  </si>
  <si>
    <t>Latinos</t>
  </si>
  <si>
    <t>um</t>
  </si>
  <si>
    <t>ganz</t>
  </si>
  <si>
    <t>Dinge</t>
  </si>
  <si>
    <t>besorgt</t>
  </si>
  <si>
    <t>als</t>
  </si>
  <si>
    <t>Um</t>
  </si>
  <si>
    <t>OBJ_5</t>
  </si>
  <si>
    <t>ein</t>
  </si>
  <si>
    <t>Gefühl</t>
  </si>
  <si>
    <t>geben</t>
  </si>
  <si>
    <t>Teil</t>
  </si>
  <si>
    <t>OBJ_4</t>
  </si>
  <si>
    <t>nennen</t>
  </si>
  <si>
    <t>Klein-</t>
  </si>
  <si>
    <t>timore</t>
  </si>
  <si>
    <t>da</t>
  </si>
  <si>
    <t>Leute</t>
  </si>
  <si>
    <t>SBJ_7</t>
  </si>
  <si>
    <t>scheint</t>
  </si>
  <si>
    <t>einer</t>
  </si>
  <si>
    <t>sehr</t>
  </si>
  <si>
    <t>kleinen</t>
  </si>
  <si>
    <t>Stadt</t>
  </si>
  <si>
    <t>other_8</t>
  </si>
  <si>
    <t>wohnen</t>
  </si>
  <si>
    <t>Wir</t>
  </si>
  <si>
    <t>immer</t>
  </si>
  <si>
    <t>wieder</t>
  </si>
  <si>
    <t>gleichen</t>
  </si>
  <si>
    <t>weil</t>
  </si>
  <si>
    <t>nicht</t>
  </si>
  <si>
    <t>ganze</t>
  </si>
  <si>
    <t>Breite</t>
  </si>
  <si>
    <t>OBJ_6</t>
  </si>
  <si>
    <t>Tiefe</t>
  </si>
  <si>
    <t>other_7</t>
  </si>
  <si>
    <t>erforschen</t>
  </si>
  <si>
    <t>haben</t>
  </si>
  <si>
    <t>sie</t>
  </si>
  <si>
    <t>Dingen</t>
  </si>
  <si>
    <t>Hip</t>
  </si>
  <si>
    <t>Hop</t>
  </si>
  <si>
    <t>interessiert</t>
  </si>
  <si>
    <t>sich</t>
  </si>
  <si>
    <t>mit</t>
  </si>
  <si>
    <t>Wohngebiet</t>
  </si>
  <si>
    <t>DC</t>
  </si>
  <si>
    <t>/</t>
  </si>
  <si>
    <t>Virigina</t>
  </si>
  <si>
    <t>identifizieren</t>
  </si>
  <si>
    <t>korrekten</t>
  </si>
  <si>
    <t>Stadtbezeichnung</t>
  </si>
  <si>
    <t>für</t>
  </si>
  <si>
    <t>In</t>
  </si>
  <si>
    <t>Mitte</t>
  </si>
  <si>
    <t>etwas</t>
  </si>
  <si>
    <t>das</t>
  </si>
  <si>
    <t>beiden</t>
  </si>
  <si>
    <t>Gruppierungen</t>
  </si>
  <si>
    <t>OBJ_7</t>
  </si>
  <si>
    <t>def-np.quant</t>
  </si>
  <si>
    <t>verbindet</t>
  </si>
  <si>
    <t>SBJ_8</t>
  </si>
  <si>
    <t>Sport</t>
  </si>
  <si>
    <t>Orioles</t>
  </si>
  <si>
    <t>Ravens</t>
  </si>
  <si>
    <t>[</t>
  </si>
  <si>
    <t>Football</t>
  </si>
  <si>
    <t>]</t>
  </si>
  <si>
    <t>Olympioniken</t>
  </si>
  <si>
    <t>Michael</t>
  </si>
  <si>
    <t>Phelps</t>
  </si>
  <si>
    <t>Firma</t>
  </si>
  <si>
    <t>Under</t>
  </si>
  <si>
    <t>Armour</t>
  </si>
  <si>
    <t>OBJ_3</t>
  </si>
  <si>
    <t>vielleicht</t>
  </si>
  <si>
    <t>kennen</t>
  </si>
  <si>
    <t>Diese</t>
  </si>
  <si>
    <t>Sportverbundenheit</t>
  </si>
  <si>
    <t>fungiert</t>
  </si>
  <si>
    <t>einzige</t>
  </si>
  <si>
    <t>Brücke</t>
  </si>
  <si>
    <t>Enden</t>
  </si>
  <si>
    <t>Schauen</t>
  </si>
  <si>
    <t>uns</t>
  </si>
  <si>
    <t>San</t>
  </si>
  <si>
    <t>Francisco</t>
  </si>
  <si>
    <t>dort</t>
  </si>
  <si>
    <t>anderes</t>
  </si>
  <si>
    <t>passiert</t>
  </si>
  <si>
    <t>einen</t>
  </si>
  <si>
    <t>Medien</t>
  </si>
  <si>
    <t>Politik</t>
  </si>
  <si>
    <t>Nachrichtenflügel</t>
  </si>
  <si>
    <t>meist</t>
  </si>
  <si>
    <t>auch</t>
  </si>
  <si>
    <t>tonangebende</t>
  </si>
  <si>
    <t>Gruppe</t>
  </si>
  <si>
    <t>Technikbegeisterten</t>
  </si>
  <si>
    <t>obere</t>
  </si>
  <si>
    <t>Hälfte</t>
  </si>
  <si>
    <t>dominieren</t>
  </si>
  <si>
    <t>sowie</t>
  </si>
  <si>
    <t>so</t>
  </si>
  <si>
    <t>klar</t>
  </si>
  <si>
    <t>ausgeprägt</t>
  </si>
  <si>
    <t>Twitter</t>
  </si>
  <si>
    <t>Mitarbeiter</t>
  </si>
  <si>
    <t>bezeichnen</t>
  </si>
  <si>
    <t>nahe</t>
  </si>
  <si>
    <t>bei</t>
  </si>
  <si>
    <t>Gamern</t>
  </si>
  <si>
    <t>entgegengesetzten</t>
  </si>
  <si>
    <t>Ende</t>
  </si>
  <si>
    <t>Spektrums</t>
  </si>
  <si>
    <t>other_9</t>
  </si>
  <si>
    <t>also</t>
  </si>
  <si>
    <t>Spannungen</t>
  </si>
  <si>
    <t>aus</t>
  </si>
  <si>
    <t>vernehmen</t>
  </si>
  <si>
    <t>Gentrifizierung</t>
  </si>
  <si>
    <t>sorgen</t>
  </si>
  <si>
    <t>wegen</t>
  </si>
  <si>
    <t>neuen</t>
  </si>
  <si>
    <t>Tech</t>
  </si>
  <si>
    <t>Firmen</t>
  </si>
  <si>
    <t>Wohlstand</t>
  </si>
  <si>
    <t>bringen</t>
  </si>
  <si>
    <t>ansiedeln</t>
  </si>
  <si>
    <t>real</t>
  </si>
  <si>
    <t>dokumentiert</t>
  </si>
  <si>
    <t>LGBT</t>
  </si>
  <si>
    <t>Community</t>
  </si>
  <si>
    <t>passt</t>
  </si>
  <si>
    <t>Künstler</t>
  </si>
  <si>
    <t>--</t>
  </si>
  <si>
    <t># text = die Musiker . Und dies führt zu Dingen wie diesen : [ " Twitter raus " ] Das Bild bekam ich vor einigen Wochen . Es zeigt auf , was auf dem Boden von San Francisco passiert . Ich glaube , sie können versuchen , das verstehen , indem sie solche Karten anschauen . Betrachten wir Rio de Janeiro . Ich sammelte die letzten Wochen Daten in Rio . Eine Sache viel mir in dieser Stadt auf : Alles ist wirklich sehr gemischt . Es ist eine sehr heterogene Stadt , nicht wie Baltimore oder San Francisco . Es gibt immer noch die Gruppen an Menschen aus Verwaltung , Zeitungen , Politk und Kolummnisten . TEDxRio is unten rechts , rechts neben Bloggern und Autoren . Es gibt aber auch diese enorme Vielfalt an Menschen , interessiert an verschiedenen Musikarten . Sogar Justin Bieber-Fans sind vertreten . Andere Boy-Groups , Countrysänger , Gospelmusiker , Funk , Rap und Stand-Up-Komödianten . Und sogar eine ganze Gruppe rund um Drogen und Witze . Wie cool ist das denn ? Auch die Fußballmannschaft " Flamengo " ist vertreten . Sie haben diese Bandbreite von Sport , Verwaltung , Kunst und Musik , aber in einer ganz anderen Art dargestellt . Ich denke , dass könnte zu der Art , wie wir Rio verstehen , passen , als eine sehr multikulturelle , musikalisch vielfältige Stadt . Wir haben all diese Daten , ein unglaublich reichhaltiger Bestand an Daten über Städte . Vielleicht reichhaltiger als alles , was wir je zuvor hatten . Was können wir damit anfangen ? Ich denke , als Erstes sollten wir versuchen zu verstehen : Ist diese Trennung ein soziales Konzept ? Ist es etwas , dass wir wählen , obwohl wir es auch nicht tun könnten ? Wenn Sie darüber nachdenken , mit diesem Daten haben wir einen Blick darauf und betrachten die Stadt wie einen riesigen Schulspeiseraum , beobachten , wie sich jeder in dieser Stadt seinen Stuhl sucht . Vielleicht ist es Zeit , an dieser Bestuhlung etwas zu rütteln . Uns wird auch bewusst , dass Rasse ein miserabler Vertreter für Vielfältigkeit ist . Wir haben Verteter aus allen Arten von Rassen über die ganze Karte verteilt . Nur die Rasse zu betrachten , erklärt aber die Vielfältigkeit der Stadtentwicklung nicht . Wenn wir versuchen diese Vielfalt zu nutzen ,</t>
  </si>
  <si>
    <t>Musiker</t>
  </si>
  <si>
    <t>Und</t>
  </si>
  <si>
    <t>dies</t>
  </si>
  <si>
    <t>führt</t>
  </si>
  <si>
    <t>&amp;quot;</t>
  </si>
  <si>
    <t>raus</t>
  </si>
  <si>
    <t>Das</t>
  </si>
  <si>
    <t>Bild</t>
  </si>
  <si>
    <t>bekam</t>
  </si>
  <si>
    <t>vor</t>
  </si>
  <si>
    <t>einigen</t>
  </si>
  <si>
    <t>Wochen</t>
  </si>
  <si>
    <t>zeigt</t>
  </si>
  <si>
    <t>was</t>
  </si>
  <si>
    <t>Boden</t>
  </si>
  <si>
    <t>glaube</t>
  </si>
  <si>
    <t>versuchen</t>
  </si>
  <si>
    <t>verstehen</t>
  </si>
  <si>
    <t>indem</t>
  </si>
  <si>
    <t>solche</t>
  </si>
  <si>
    <t>Karten</t>
  </si>
  <si>
    <t>anschauen</t>
  </si>
  <si>
    <t>Betrachten</t>
  </si>
  <si>
    <t>Rio</t>
  </si>
  <si>
    <t>de</t>
  </si>
  <si>
    <t>Janeiro</t>
  </si>
  <si>
    <t>sammelte</t>
  </si>
  <si>
    <t>letzten</t>
  </si>
  <si>
    <t>Daten</t>
  </si>
  <si>
    <t>Eine</t>
  </si>
  <si>
    <t>Sache</t>
  </si>
  <si>
    <t>viel</t>
  </si>
  <si>
    <t>mir</t>
  </si>
  <si>
    <t>dieser</t>
  </si>
  <si>
    <t>Alles</t>
  </si>
  <si>
    <t>wirklich</t>
  </si>
  <si>
    <t>gemischt</t>
  </si>
  <si>
    <t>SBJ_9</t>
  </si>
  <si>
    <t>heterogene</t>
  </si>
  <si>
    <t>other_10</t>
  </si>
  <si>
    <t>noch</t>
  </si>
  <si>
    <t>Gruppen</t>
  </si>
  <si>
    <t>Verwaltung</t>
  </si>
  <si>
    <t>Zeitungen</t>
  </si>
  <si>
    <t>Politk</t>
  </si>
  <si>
    <t>Kolummnisten</t>
  </si>
  <si>
    <t>TEDxRio</t>
  </si>
  <si>
    <t>is</t>
  </si>
  <si>
    <t>neben</t>
  </si>
  <si>
    <t>Bloggern</t>
  </si>
  <si>
    <t>Autoren</t>
  </si>
  <si>
    <t>enorme</t>
  </si>
  <si>
    <t>Vielfalt</t>
  </si>
  <si>
    <t>OBJ_8</t>
  </si>
  <si>
    <t>verschiedenen</t>
  </si>
  <si>
    <t>Musikarten</t>
  </si>
  <si>
    <t>Sogar</t>
  </si>
  <si>
    <t>Justin</t>
  </si>
  <si>
    <t>Bieber</t>
  </si>
  <si>
    <t>Fans</t>
  </si>
  <si>
    <t>vertreten</t>
  </si>
  <si>
    <t>Andere</t>
  </si>
  <si>
    <t>Boy</t>
  </si>
  <si>
    <t>Groups</t>
  </si>
  <si>
    <t>Countrysänger</t>
  </si>
  <si>
    <t>Gospelmusiker</t>
  </si>
  <si>
    <t>Funk</t>
  </si>
  <si>
    <t>Rap</t>
  </si>
  <si>
    <t>Stand-</t>
  </si>
  <si>
    <t>Up</t>
  </si>
  <si>
    <t>Komödianten</t>
  </si>
  <si>
    <t>sogar</t>
  </si>
  <si>
    <t>rund</t>
  </si>
  <si>
    <t>Drogen</t>
  </si>
  <si>
    <t>Witze</t>
  </si>
  <si>
    <t>Wie</t>
  </si>
  <si>
    <t>cool</t>
  </si>
  <si>
    <t>denn</t>
  </si>
  <si>
    <t>?</t>
  </si>
  <si>
    <t>Fußballmannschaft</t>
  </si>
  <si>
    <t>Flamengo</t>
  </si>
  <si>
    <t>Bandbreite</t>
  </si>
  <si>
    <t>Kunst</t>
  </si>
  <si>
    <t>Musik</t>
  </si>
  <si>
    <t>dargestellt</t>
  </si>
  <si>
    <t>denke</t>
  </si>
  <si>
    <t>könnte</t>
  </si>
  <si>
    <t>OBJ_9</t>
  </si>
  <si>
    <t>passen</t>
  </si>
  <si>
    <t>multikulturelle</t>
  </si>
  <si>
    <t>musikalisch</t>
  </si>
  <si>
    <t>vielfältige</t>
  </si>
  <si>
    <t>all</t>
  </si>
  <si>
    <t>unglaublich</t>
  </si>
  <si>
    <t>reichhaltiger</t>
  </si>
  <si>
    <t>Bestand</t>
  </si>
  <si>
    <t>Städte</t>
  </si>
  <si>
    <t>Vielleicht</t>
  </si>
  <si>
    <t>alles</t>
  </si>
  <si>
    <t>je</t>
  </si>
  <si>
    <t>zuvor</t>
  </si>
  <si>
    <t>hatten</t>
  </si>
  <si>
    <t>Was</t>
  </si>
  <si>
    <t>damit</t>
  </si>
  <si>
    <t>anfangen</t>
  </si>
  <si>
    <t>Erstes</t>
  </si>
  <si>
    <t>sollten</t>
  </si>
  <si>
    <t>Ist</t>
  </si>
  <si>
    <t>soziales</t>
  </si>
  <si>
    <t>Konzept</t>
  </si>
  <si>
    <t>wählen</t>
  </si>
  <si>
    <t>obwohl</t>
  </si>
  <si>
    <t>SBJ_10</t>
  </si>
  <si>
    <t>tun</t>
  </si>
  <si>
    <t>könnten</t>
  </si>
  <si>
    <t>SBJ_11</t>
  </si>
  <si>
    <t>darüber</t>
  </si>
  <si>
    <t>other_11</t>
  </si>
  <si>
    <t>Blick</t>
  </si>
  <si>
    <t>OBJ_10</t>
  </si>
  <si>
    <t>darauf</t>
  </si>
  <si>
    <t>betrachten</t>
  </si>
  <si>
    <t>OBJ_11</t>
  </si>
  <si>
    <t>riesigen</t>
  </si>
  <si>
    <t>Schulspeiseraum</t>
  </si>
  <si>
    <t>other_13</t>
  </si>
  <si>
    <t>beobachten</t>
  </si>
  <si>
    <t>SBJ_14</t>
  </si>
  <si>
    <t>other_15</t>
  </si>
  <si>
    <t>other_14</t>
  </si>
  <si>
    <t>seinen</t>
  </si>
  <si>
    <t>Stuhl</t>
  </si>
  <si>
    <t>OBJ_14</t>
  </si>
  <si>
    <t>indef-np</t>
  </si>
  <si>
    <t>sucht</t>
  </si>
  <si>
    <t>Zeit</t>
  </si>
  <si>
    <t>Bestuhlung</t>
  </si>
  <si>
    <t>rütteln</t>
  </si>
  <si>
    <t>Uns</t>
  </si>
  <si>
    <t>wird</t>
  </si>
  <si>
    <t>bewusst</t>
  </si>
  <si>
    <t>Rasse</t>
  </si>
  <si>
    <t>miserabler</t>
  </si>
  <si>
    <t>Vertreter</t>
  </si>
  <si>
    <t>Vielfältigkeit</t>
  </si>
  <si>
    <t>Verteter</t>
  </si>
  <si>
    <t>allen</t>
  </si>
  <si>
    <t>Rassen</t>
  </si>
  <si>
    <t>verteilt</t>
  </si>
  <si>
    <t>Nur</t>
  </si>
  <si>
    <t>erklärt</t>
  </si>
  <si>
    <t>nutzen</t>
  </si>
  <si>
    <t># text = um heikle Probleme anzugehen , brauchen wir eine neue Art des Denkens bezüglich Vielfältigkeit . Schlussendlich haben wir die Fähigkeit , Interventionen zu starten , die unsere Städte in einer neuen Art umformen . Ich glaube , dass wir dieses Potential haben . Wir haben sogar die Verpflichtung es zu tun . Was ist also eine Stadt ? Jemand könnte sagen , ein geografisches Gebiet , eine Reihe von Straßen und Gebäuden . Ich glaube aber , eine Stadt ist die Summe der Beziehungen der Leute , die dort leben . Wenn wir anfangen können , die Beziehungen wirklich zu dokumentieren , hätten wir eine echte Chance , die Städte zu erhalten , die wir gerne hätten . Danke</t>
  </si>
  <si>
    <t>heikle</t>
  </si>
  <si>
    <t>Probleme</t>
  </si>
  <si>
    <t>anzugehen</t>
  </si>
  <si>
    <t>brauchen</t>
  </si>
  <si>
    <t>Denkens</t>
  </si>
  <si>
    <t>bezüglich</t>
  </si>
  <si>
    <t>Schlussendlich</t>
  </si>
  <si>
    <t>Fähigkeit</t>
  </si>
  <si>
    <t>Interventionen</t>
  </si>
  <si>
    <t>starten</t>
  </si>
  <si>
    <t>unsere</t>
  </si>
  <si>
    <t>umformen</t>
  </si>
  <si>
    <t>Potential</t>
  </si>
  <si>
    <t>Verpflichtung</t>
  </si>
  <si>
    <t>Jemand</t>
  </si>
  <si>
    <t>sagen</t>
  </si>
  <si>
    <t>geografisches</t>
  </si>
  <si>
    <t>Gebiet</t>
  </si>
  <si>
    <t>Reihe</t>
  </si>
  <si>
    <t>Gebäuden</t>
  </si>
  <si>
    <t>Summe</t>
  </si>
  <si>
    <t>leben</t>
  </si>
  <si>
    <t>dokumentieren</t>
  </si>
  <si>
    <t>hätten</t>
  </si>
  <si>
    <t>echte</t>
  </si>
  <si>
    <t>Chance</t>
  </si>
  <si>
    <t>erhalten</t>
  </si>
  <si>
    <t>gerne</t>
  </si>
  <si>
    <t>Danke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</si>
</sst>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27</v>
      </c>
      <c r="C5" s="6" t="s">
        <v>28</v>
      </c>
      <c r="D5" s="7" t="s">
        <v>29</v>
      </c>
      <c r="E5" s="8" t="s">
        <v>30</v>
      </c>
      <c r="F5" s="6" t="s">
        <v>31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32</v>
      </c>
      <c r="B6" s="6" t="s">
        <v>33</v>
      </c>
      <c r="C6" s="6" t="s">
        <v>12</v>
      </c>
      <c r="D6" s="7" t="s">
        <v>34</v>
      </c>
      <c r="E6" s="8" t="s">
        <v>35</v>
      </c>
      <c r="F6" s="6" t="s">
        <v>36</v>
      </c>
      <c r="G6" s="9">
        <f>IF(A6=1,"_",IF(C6="_","???",C6))</f>
        <v/>
      </c>
      <c r="H6" s="10" t="s">
        <v>12</v>
      </c>
      <c r="I6" s="11" t="s">
        <v>12</v>
      </c>
      <c r="J6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37</v>
      </c>
      <c r="B1" s="13" t="s">
        <v>38</v>
      </c>
      <c r="C1" s="13" t="s">
        <v>39</v>
      </c>
      <c r="D1" s="13" t="s">
        <v>40</v>
      </c>
      <c r="E1" s="14" t="s">
        <v>41</v>
      </c>
      <c r="F1" s="15" t="s">
        <v>42</v>
      </c>
      <c r="G1" s="16" t="s">
        <v>43</v>
      </c>
      <c r="H1" s="17" t="s">
        <v>44</v>
      </c>
      <c r="I1" s="18" t="s">
        <v>45</v>
      </c>
      <c r="J1" s="18" t="s">
        <v>46</v>
      </c>
      <c r="K1" s="18" t="s">
        <v>47</v>
      </c>
      <c r="L1" s="19" t="s">
        <v>9</v>
      </c>
    </row>
    <row r="2" spans="1:12">
      <c r="A2" s="20" t="s">
        <v>48</v>
      </c>
    </row>
    <row r="3" spans="1:12">
      <c r="A3" s="20" t="s">
        <v>49</v>
      </c>
      <c r="B3" s="21" t="s">
        <v>50</v>
      </c>
      <c r="C3" s="21" t="s">
        <v>51</v>
      </c>
      <c r="D3" s="21" t="s">
        <v>52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53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54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55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56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57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13</v>
      </c>
      <c r="B9" s="21" t="s">
        <v>50</v>
      </c>
      <c r="C9" s="21" t="s">
        <v>58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59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60</v>
      </c>
      <c r="B11" s="21" t="s">
        <v>50</v>
      </c>
      <c r="C11" s="21" t="s">
        <v>58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61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62</v>
      </c>
      <c r="B13" s="21" t="s">
        <v>63</v>
      </c>
      <c r="C13" s="21" t="s">
        <v>58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/>
    </row>
    <row r="15" spans="1:12">
      <c r="A15" s="20" t="s">
        <v>64</v>
      </c>
    </row>
    <row r="16" spans="1:12">
      <c r="A16" s="20" t="s">
        <v>65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66</v>
      </c>
      <c r="B17" s="21" t="s">
        <v>67</v>
      </c>
      <c r="C17" s="21" t="s">
        <v>68</v>
      </c>
      <c r="D17" s="21" t="s">
        <v>52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69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70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71</v>
      </c>
      <c r="B20" s="21" t="s">
        <v>63</v>
      </c>
      <c r="C20" s="21" t="s">
        <v>72</v>
      </c>
      <c r="D20" s="21" t="s">
        <v>52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73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62</v>
      </c>
      <c r="B22" s="21" t="s">
        <v>74</v>
      </c>
      <c r="C22" s="21" t="s">
        <v>58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75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76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77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66</v>
      </c>
      <c r="B26" s="21" t="s">
        <v>78</v>
      </c>
      <c r="C26" s="21" t="s">
        <v>68</v>
      </c>
      <c r="D26" s="21" t="s">
        <v>52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79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80</v>
      </c>
      <c r="B28" s="21" t="s">
        <v>50</v>
      </c>
      <c r="C28" s="21" t="s">
        <v>58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76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81</v>
      </c>
      <c r="B30" s="21" t="s">
        <v>82</v>
      </c>
      <c r="C30" s="21" t="s">
        <v>58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59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83</v>
      </c>
      <c r="B32" s="21" t="s">
        <v>63</v>
      </c>
      <c r="C32" s="21" t="s">
        <v>58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59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79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70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84</v>
      </c>
      <c r="B36" s="21" t="s">
        <v>63</v>
      </c>
      <c r="C36" s="21" t="s">
        <v>72</v>
      </c>
      <c r="D36" s="21" t="s">
        <v>52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76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70</v>
      </c>
      <c r="B38" s="21" t="s">
        <v>85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86</v>
      </c>
      <c r="B39" s="21" t="s">
        <v>87</v>
      </c>
      <c r="C39" s="21" t="s">
        <v>88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89</v>
      </c>
      <c r="B40" s="21" t="s">
        <v>87</v>
      </c>
      <c r="C40" s="21" t="s">
        <v>90</v>
      </c>
      <c r="D40" s="21" t="s">
        <v>52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91</v>
      </c>
      <c r="B41" s="21" t="s">
        <v>92</v>
      </c>
      <c r="C41" s="21" t="s">
        <v>93</v>
      </c>
      <c r="D41" s="21" t="s">
        <v>52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94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76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95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96</v>
      </c>
      <c r="B45" s="21" t="s">
        <v>74</v>
      </c>
      <c r="C45" s="21" t="s">
        <v>97</v>
      </c>
      <c r="D45" s="21" t="s">
        <v>52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77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79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70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98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99</v>
      </c>
      <c r="B50" s="21" t="s">
        <v>63</v>
      </c>
      <c r="C50" s="21" t="s">
        <v>72</v>
      </c>
      <c r="D50" s="21" t="s">
        <v>52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100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101</v>
      </c>
      <c r="B52" s="21" t="s">
        <v>74</v>
      </c>
      <c r="C52" s="21" t="s">
        <v>102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103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104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105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106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107</v>
      </c>
      <c r="B57" s="21" t="s">
        <v>108</v>
      </c>
      <c r="C57" s="21" t="s">
        <v>68</v>
      </c>
      <c r="D57" s="21" t="s">
        <v>52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109</v>
      </c>
      <c r="B58" s="21" t="s">
        <v>110</v>
      </c>
      <c r="C58" s="21" t="s">
        <v>58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76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69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70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71</v>
      </c>
      <c r="B62" s="21" t="s">
        <v>87</v>
      </c>
      <c r="C62" s="21" t="s">
        <v>72</v>
      </c>
      <c r="D62" s="21" t="s">
        <v>52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73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62</v>
      </c>
      <c r="B64" s="21" t="s">
        <v>108</v>
      </c>
      <c r="C64" s="21" t="s">
        <v>58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111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59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112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113</v>
      </c>
      <c r="B68" s="21" t="s">
        <v>87</v>
      </c>
      <c r="C68" s="21" t="s">
        <v>90</v>
      </c>
      <c r="D68" s="21" t="s">
        <v>52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114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115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103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116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117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118</v>
      </c>
      <c r="B74" s="21" t="s">
        <v>67</v>
      </c>
      <c r="C74" s="21" t="s">
        <v>97</v>
      </c>
      <c r="D74" s="21" t="s">
        <v>52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119</v>
      </c>
      <c r="B75" s="21" t="s">
        <v>120</v>
      </c>
      <c r="C75" s="21" t="s">
        <v>97</v>
      </c>
      <c r="D75" s="21" t="s">
        <v>52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121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122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123</v>
      </c>
      <c r="B78" s="21" t="s">
        <v>120</v>
      </c>
      <c r="C78" s="21" t="s">
        <v>102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124</v>
      </c>
      <c r="B79" s="21" t="s">
        <v>74</v>
      </c>
      <c r="C79" s="21" t="s">
        <v>51</v>
      </c>
      <c r="D79" s="21" t="s">
        <v>52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125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103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104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126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127</v>
      </c>
      <c r="B84" s="21" t="s">
        <v>63</v>
      </c>
      <c r="C84" s="21" t="s">
        <v>68</v>
      </c>
      <c r="D84" s="21" t="s">
        <v>52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128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124</v>
      </c>
      <c r="B86" s="21" t="s">
        <v>78</v>
      </c>
      <c r="C86" s="21" t="s">
        <v>129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76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130</v>
      </c>
      <c r="B88" s="21" t="s">
        <v>67</v>
      </c>
      <c r="C88" s="21" t="s">
        <v>97</v>
      </c>
      <c r="D88" s="21" t="s">
        <v>52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126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121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124</v>
      </c>
      <c r="B91" s="21" t="s">
        <v>82</v>
      </c>
      <c r="C91" s="21" t="s">
        <v>102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131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132</v>
      </c>
      <c r="B93" s="21" t="s">
        <v>63</v>
      </c>
      <c r="C93" s="21" t="s">
        <v>72</v>
      </c>
      <c r="D93" s="21" t="s">
        <v>52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133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134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135</v>
      </c>
      <c r="B96" s="21" t="s">
        <v>63</v>
      </c>
      <c r="C96" s="21" t="s">
        <v>72</v>
      </c>
      <c r="D96" s="21" t="s">
        <v>52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136</v>
      </c>
      <c r="B97" s="21" t="s">
        <v>92</v>
      </c>
      <c r="C97" s="21" t="s">
        <v>137</v>
      </c>
      <c r="D97" s="21" t="s">
        <v>52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138</v>
      </c>
      <c r="B98" s="21" t="s">
        <v>74</v>
      </c>
      <c r="C98" s="21" t="s">
        <v>58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76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139</v>
      </c>
      <c r="B100" s="21" t="s">
        <v>92</v>
      </c>
      <c r="C100" s="21" t="s">
        <v>51</v>
      </c>
      <c r="D100" s="21" t="s">
        <v>52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76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140</v>
      </c>
      <c r="B102" s="21" t="s">
        <v>87</v>
      </c>
      <c r="C102" s="21" t="s">
        <v>51</v>
      </c>
      <c r="D102" s="21" t="s">
        <v>52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103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/>
    </row>
    <row r="105" spans="1:12">
      <c r="A105" s="20" t="s">
        <v>141</v>
      </c>
    </row>
    <row r="106" spans="1:12">
      <c r="A106" s="20" t="s">
        <v>96</v>
      </c>
      <c r="B106" s="21" t="s">
        <v>78</v>
      </c>
      <c r="C106" s="21" t="s">
        <v>97</v>
      </c>
      <c r="D106" s="21" t="s">
        <v>52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142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143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76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144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145</v>
      </c>
      <c r="B111" s="21" t="s">
        <v>74</v>
      </c>
      <c r="C111" s="21" t="s">
        <v>88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146</v>
      </c>
      <c r="B112" s="21" t="s">
        <v>67</v>
      </c>
      <c r="C112" s="21" t="s">
        <v>58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121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147</v>
      </c>
      <c r="B114" s="21" t="s">
        <v>120</v>
      </c>
      <c r="C114" s="21" t="s">
        <v>102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148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76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149</v>
      </c>
      <c r="B117" s="21" t="s">
        <v>92</v>
      </c>
      <c r="C117" s="21" t="s">
        <v>88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150</v>
      </c>
      <c r="B118" s="21" t="s">
        <v>151</v>
      </c>
      <c r="C118" s="21" t="s">
        <v>58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121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152</v>
      </c>
      <c r="B120" s="21" t="s">
        <v>63</v>
      </c>
      <c r="C120" s="21" t="s">
        <v>102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133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153</v>
      </c>
      <c r="B122" s="21" t="s">
        <v>92</v>
      </c>
      <c r="C122" s="21" t="s">
        <v>90</v>
      </c>
      <c r="D122" s="21" t="s">
        <v>52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135</v>
      </c>
      <c r="B123" s="21" t="s">
        <v>74</v>
      </c>
      <c r="C123" s="21" t="s">
        <v>93</v>
      </c>
      <c r="D123" s="21" t="s">
        <v>52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59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149</v>
      </c>
      <c r="B125" s="21" t="s">
        <v>87</v>
      </c>
      <c r="C125" s="21" t="s">
        <v>88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154</v>
      </c>
      <c r="B126" s="21" t="s">
        <v>92</v>
      </c>
      <c r="C126" s="21" t="s">
        <v>58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121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155</v>
      </c>
      <c r="B128" s="21" t="s">
        <v>74</v>
      </c>
      <c r="C128" s="21" t="s">
        <v>156</v>
      </c>
      <c r="D128" s="21" t="s">
        <v>52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157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158</v>
      </c>
      <c r="B130" s="21" t="s">
        <v>87</v>
      </c>
      <c r="C130" s="21" t="s">
        <v>90</v>
      </c>
      <c r="D130" s="21" t="s">
        <v>52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159</v>
      </c>
      <c r="B131" s="21" t="s">
        <v>92</v>
      </c>
      <c r="C131" s="21" t="s">
        <v>93</v>
      </c>
      <c r="D131" s="21" t="s">
        <v>52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103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160</v>
      </c>
      <c r="B133" s="21" t="s">
        <v>151</v>
      </c>
      <c r="C133" s="21" t="s">
        <v>97</v>
      </c>
      <c r="D133" s="21" t="s">
        <v>52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161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162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163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131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164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165</v>
      </c>
      <c r="B139" s="21" t="s">
        <v>74</v>
      </c>
      <c r="C139" s="21" t="s">
        <v>72</v>
      </c>
      <c r="D139" s="21" t="s">
        <v>52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76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166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76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167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79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168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169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170</v>
      </c>
      <c r="B147" s="21" t="s">
        <v>92</v>
      </c>
      <c r="C147" s="21" t="s">
        <v>72</v>
      </c>
      <c r="D147" s="21" t="s">
        <v>52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76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171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70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172</v>
      </c>
      <c r="B151" s="21" t="s">
        <v>173</v>
      </c>
      <c r="C151" s="21" t="s">
        <v>72</v>
      </c>
      <c r="D151" s="21" t="s">
        <v>52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115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103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174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175</v>
      </c>
      <c r="B155" s="21" t="s">
        <v>67</v>
      </c>
      <c r="C155" s="21" t="s">
        <v>51</v>
      </c>
      <c r="D155" s="21" t="s">
        <v>52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126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166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76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167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176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103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177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178</v>
      </c>
      <c r="B163" s="21" t="s">
        <v>151</v>
      </c>
      <c r="C163" s="21" t="s">
        <v>58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179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180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131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181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165</v>
      </c>
      <c r="B168" s="21" t="s">
        <v>74</v>
      </c>
      <c r="C168" s="21" t="s">
        <v>182</v>
      </c>
      <c r="D168" s="21" t="s">
        <v>52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183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159</v>
      </c>
      <c r="B170" s="21" t="s">
        <v>92</v>
      </c>
      <c r="C170" s="21" t="s">
        <v>72</v>
      </c>
      <c r="D170" s="21" t="s">
        <v>52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105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130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184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185</v>
      </c>
      <c r="B174" s="21" t="s">
        <v>151</v>
      </c>
      <c r="C174" s="21" t="s">
        <v>58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59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186</v>
      </c>
      <c r="B176" s="21" t="s">
        <v>92</v>
      </c>
      <c r="C176" s="21" t="s">
        <v>58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76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70</v>
      </c>
      <c r="B178" s="21" t="s">
        <v>110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187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188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 t="s">
        <v>107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189</v>
      </c>
      <c r="B182" s="21" t="s">
        <v>110</v>
      </c>
      <c r="C182" s="21" t="s">
        <v>58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190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115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191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70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172</v>
      </c>
      <c r="B187" s="21" t="s">
        <v>74</v>
      </c>
      <c r="C187" s="21" t="s">
        <v>72</v>
      </c>
      <c r="D187" s="21" t="s">
        <v>52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103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192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119</v>
      </c>
      <c r="B190" s="21" t="s">
        <v>193</v>
      </c>
      <c r="C190" s="21" t="s">
        <v>97</v>
      </c>
      <c r="D190" s="21" t="s">
        <v>52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194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195</v>
      </c>
      <c r="B192" s="21" t="s">
        <v>193</v>
      </c>
      <c r="C192" s="21" t="s">
        <v>102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86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196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76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134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164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197</v>
      </c>
      <c r="B198" s="21" t="s">
        <v>198</v>
      </c>
      <c r="C198" s="21" t="s">
        <v>72</v>
      </c>
      <c r="D198" s="21" t="s">
        <v>52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183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159</v>
      </c>
      <c r="B200" s="21" t="s">
        <v>87</v>
      </c>
      <c r="C200" s="21" t="s">
        <v>72</v>
      </c>
      <c r="D200" s="21" t="s">
        <v>52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199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66</v>
      </c>
      <c r="B202" s="21" t="s">
        <v>85</v>
      </c>
      <c r="C202" s="21" t="s">
        <v>68</v>
      </c>
      <c r="D202" s="21" t="s">
        <v>52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200</v>
      </c>
      <c r="B203" s="21" t="s">
        <v>110</v>
      </c>
      <c r="C203" s="21" t="s">
        <v>58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201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76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202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113</v>
      </c>
      <c r="B207" s="21" t="s">
        <v>108</v>
      </c>
      <c r="C207" s="21" t="s">
        <v>90</v>
      </c>
      <c r="D207" s="21" t="s">
        <v>52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203</v>
      </c>
      <c r="B208" s="21" t="s">
        <v>110</v>
      </c>
      <c r="C208" s="21" t="s">
        <v>93</v>
      </c>
      <c r="D208" s="21" t="s">
        <v>52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76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112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130</v>
      </c>
      <c r="B211" s="21" t="s">
        <v>204</v>
      </c>
      <c r="C211" s="21" t="s">
        <v>97</v>
      </c>
      <c r="D211" s="21" t="s">
        <v>52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205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76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61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206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207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208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209</v>
      </c>
      <c r="B218" s="21" t="s">
        <v>210</v>
      </c>
      <c r="C218" s="21" t="s">
        <v>102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211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103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212</v>
      </c>
      <c r="B221" s="21" t="s">
        <v>110</v>
      </c>
      <c r="C221" s="21" t="s">
        <v>68</v>
      </c>
      <c r="D221" s="21" t="s">
        <v>52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143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213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214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70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215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203</v>
      </c>
      <c r="B227" s="21" t="s">
        <v>193</v>
      </c>
      <c r="C227" s="21" t="s">
        <v>72</v>
      </c>
      <c r="D227" s="21" t="s">
        <v>52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76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216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66</v>
      </c>
      <c r="B230" s="21" t="s">
        <v>173</v>
      </c>
      <c r="C230" s="21" t="s">
        <v>68</v>
      </c>
      <c r="D230" s="21" t="s">
        <v>52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217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70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218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219</v>
      </c>
      <c r="B234" s="21" t="s">
        <v>220</v>
      </c>
      <c r="C234" s="21" t="s">
        <v>72</v>
      </c>
      <c r="D234" s="21" t="s">
        <v>52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59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221</v>
      </c>
      <c r="B236" s="21" t="s">
        <v>222</v>
      </c>
      <c r="C236" s="21" t="s">
        <v>58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131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209</v>
      </c>
      <c r="B238" s="21" t="s">
        <v>222</v>
      </c>
      <c r="C238" s="21" t="s">
        <v>72</v>
      </c>
      <c r="D238" s="21" t="s">
        <v>52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223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103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180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131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181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165</v>
      </c>
      <c r="B244" s="21" t="s">
        <v>74</v>
      </c>
      <c r="C244" s="21" t="s">
        <v>182</v>
      </c>
      <c r="D244" s="21" t="s">
        <v>52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183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159</v>
      </c>
      <c r="B246" s="21" t="s">
        <v>92</v>
      </c>
      <c r="C246" s="21" t="s">
        <v>72</v>
      </c>
      <c r="D246" s="21" t="s">
        <v>52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224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225</v>
      </c>
      <c r="B248" s="21" t="s">
        <v>151</v>
      </c>
      <c r="C248" s="21" t="s">
        <v>68</v>
      </c>
      <c r="D248" s="21" t="s">
        <v>52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135</v>
      </c>
      <c r="B249" s="21" t="s">
        <v>151</v>
      </c>
      <c r="C249" s="21" t="s">
        <v>58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76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70</v>
      </c>
      <c r="B251" s="21" t="s">
        <v>110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79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226</v>
      </c>
      <c r="B253" s="21" t="s">
        <v>87</v>
      </c>
      <c r="C253" s="21" t="s">
        <v>58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112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227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12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228</v>
      </c>
      <c r="B257" s="21" t="s">
        <v>108</v>
      </c>
      <c r="C257" s="21" t="s">
        <v>58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229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115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59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230</v>
      </c>
      <c r="B261" s="21" t="s">
        <v>220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184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231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168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232</v>
      </c>
      <c r="B265" s="21" t="s">
        <v>108</v>
      </c>
      <c r="C265" s="21" t="s">
        <v>72</v>
      </c>
      <c r="D265" s="21" t="s">
        <v>52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233</v>
      </c>
      <c r="B266" s="21" t="s">
        <v>222</v>
      </c>
      <c r="C266" s="21" t="s">
        <v>51</v>
      </c>
      <c r="D266" s="21" t="s">
        <v>52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234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140</v>
      </c>
      <c r="B268" s="21" t="s">
        <v>210</v>
      </c>
      <c r="C268" s="21" t="s">
        <v>51</v>
      </c>
      <c r="D268" s="21" t="s">
        <v>52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234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235</v>
      </c>
      <c r="B270" s="21" t="s">
        <v>210</v>
      </c>
      <c r="C270" s="21" t="s">
        <v>51</v>
      </c>
      <c r="D270" s="21" t="s">
        <v>52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236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76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191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231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131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238</v>
      </c>
      <c r="B277" s="21" t="s">
        <v>74</v>
      </c>
      <c r="C277" s="21" t="s">
        <v>72</v>
      </c>
      <c r="D277" s="21" t="s">
        <v>52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239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139</v>
      </c>
      <c r="B279" s="21" t="s">
        <v>92</v>
      </c>
      <c r="C279" s="21" t="s">
        <v>51</v>
      </c>
      <c r="D279" s="21" t="s">
        <v>52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103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240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131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241</v>
      </c>
      <c r="B283" s="21" t="s">
        <v>92</v>
      </c>
      <c r="C283" s="21" t="s">
        <v>72</v>
      </c>
      <c r="D283" s="21" t="s">
        <v>52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143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96</v>
      </c>
      <c r="B285" s="21" t="s">
        <v>85</v>
      </c>
      <c r="C285" s="21" t="s">
        <v>97</v>
      </c>
      <c r="D285" s="21" t="s">
        <v>52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242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76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243</v>
      </c>
      <c r="B288" s="21" t="s">
        <v>204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70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244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245</v>
      </c>
      <c r="B291" s="21" t="s">
        <v>246</v>
      </c>
      <c r="C291" s="21" t="s">
        <v>247</v>
      </c>
      <c r="D291" s="21" t="s">
        <v>52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248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76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59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243</v>
      </c>
      <c r="B295" s="21" t="s">
        <v>249</v>
      </c>
      <c r="C295" s="21" t="s">
        <v>90</v>
      </c>
      <c r="D295" s="21" t="s">
        <v>52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126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250</v>
      </c>
      <c r="B297" s="21" t="s">
        <v>222</v>
      </c>
      <c r="C297" s="21" t="s">
        <v>58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103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212</v>
      </c>
      <c r="B299" s="21" t="s">
        <v>198</v>
      </c>
      <c r="C299" s="21" t="s">
        <v>68</v>
      </c>
      <c r="D299" s="21" t="s">
        <v>52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224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70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139</v>
      </c>
      <c r="B302" s="21" t="s">
        <v>67</v>
      </c>
      <c r="C302" s="21" t="s">
        <v>51</v>
      </c>
      <c r="D302" s="21" t="s">
        <v>52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251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76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70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139</v>
      </c>
      <c r="B306" s="21" t="s">
        <v>74</v>
      </c>
      <c r="C306" s="21" t="s">
        <v>51</v>
      </c>
      <c r="D306" s="21" t="s">
        <v>52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252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253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254</v>
      </c>
      <c r="B309" s="21" t="s">
        <v>92</v>
      </c>
      <c r="C309" s="21" t="s">
        <v>51</v>
      </c>
      <c r="D309" s="21" t="s">
        <v>52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255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134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256</v>
      </c>
      <c r="B312" s="21" t="s">
        <v>120</v>
      </c>
      <c r="C312" s="21" t="s">
        <v>72</v>
      </c>
      <c r="D312" s="21" t="s">
        <v>52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257</v>
      </c>
      <c r="B313" s="21" t="s">
        <v>74</v>
      </c>
      <c r="C313" s="21" t="s">
        <v>51</v>
      </c>
      <c r="D313" s="21" t="s">
        <v>52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258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76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70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139</v>
      </c>
      <c r="B317" s="21" t="s">
        <v>74</v>
      </c>
      <c r="C317" s="21" t="s">
        <v>51</v>
      </c>
      <c r="D317" s="21" t="s">
        <v>52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259</v>
      </c>
      <c r="B318" s="21" t="s">
        <v>92</v>
      </c>
      <c r="C318" s="21" t="s">
        <v>51</v>
      </c>
      <c r="D318" s="21" t="s">
        <v>52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260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261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76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70</v>
      </c>
      <c r="B322" s="21" t="s">
        <v>262</v>
      </c>
      <c r="C322" s="21" t="s">
        <v>68</v>
      </c>
      <c r="D322" s="21" t="s">
        <v>52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225</v>
      </c>
      <c r="B323" s="21" t="s">
        <v>151</v>
      </c>
      <c r="C323" s="21" t="s">
        <v>68</v>
      </c>
      <c r="D323" s="21" t="s">
        <v>52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263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264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103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265</v>
      </c>
      <c r="B327" s="21" t="s">
        <v>74</v>
      </c>
      <c r="C327" s="21" t="s">
        <v>90</v>
      </c>
      <c r="D327" s="21" t="s">
        <v>52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266</v>
      </c>
      <c r="B328" s="21" t="s">
        <v>67</v>
      </c>
      <c r="C328" s="21" t="s">
        <v>93</v>
      </c>
      <c r="D328" s="21" t="s">
        <v>52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267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191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268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269</v>
      </c>
      <c r="B332" s="21" t="s">
        <v>63</v>
      </c>
      <c r="C332" s="21" t="s">
        <v>58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133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134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244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270</v>
      </c>
      <c r="B336" s="21" t="s">
        <v>92</v>
      </c>
      <c r="C336" s="21" t="s">
        <v>247</v>
      </c>
      <c r="D336" s="21" t="s">
        <v>52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183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159</v>
      </c>
      <c r="B338" s="21" t="s">
        <v>87</v>
      </c>
      <c r="C338" s="21" t="s">
        <v>72</v>
      </c>
      <c r="D338" s="21" t="s">
        <v>52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103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271</v>
      </c>
      <c r="B340" s="21" t="s">
        <v>74</v>
      </c>
      <c r="C340" s="21" t="s">
        <v>58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66</v>
      </c>
      <c r="B341" s="21" t="s">
        <v>67</v>
      </c>
      <c r="C341" s="21" t="s">
        <v>68</v>
      </c>
      <c r="D341" s="21" t="s">
        <v>52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272</v>
      </c>
      <c r="B342" s="21" t="s">
        <v>120</v>
      </c>
      <c r="C342" s="21" t="s">
        <v>68</v>
      </c>
      <c r="D342" s="21" t="s">
        <v>52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273</v>
      </c>
      <c r="B343" s="21" t="s">
        <v>120</v>
      </c>
      <c r="C343" s="21" t="s">
        <v>51</v>
      </c>
      <c r="D343" s="21" t="s">
        <v>52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274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79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103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96</v>
      </c>
      <c r="B347" s="21" t="s">
        <v>67</v>
      </c>
      <c r="C347" s="21" t="s">
        <v>97</v>
      </c>
      <c r="D347" s="21" t="s">
        <v>52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143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76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144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275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242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276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277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103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180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 t="s">
        <v>131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278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165</v>
      </c>
      <c r="B359" s="21" t="s">
        <v>74</v>
      </c>
      <c r="C359" s="21" t="s">
        <v>72</v>
      </c>
      <c r="D359" s="21" t="s">
        <v>52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105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130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134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279</v>
      </c>
      <c r="B363" s="21" t="s">
        <v>262</v>
      </c>
      <c r="C363" s="21" t="s">
        <v>72</v>
      </c>
      <c r="D363" s="21" t="s">
        <v>52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12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76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280</v>
      </c>
      <c r="B366" s="21" t="s">
        <v>92</v>
      </c>
      <c r="C366" s="21" t="s">
        <v>58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12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59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281</v>
      </c>
      <c r="B369" s="21" t="s">
        <v>92</v>
      </c>
      <c r="C369" s="21" t="s">
        <v>58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76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134</v>
      </c>
      <c r="B371" s="21" t="s">
        <v>198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130</v>
      </c>
      <c r="B372" s="21" t="s">
        <v>85</v>
      </c>
      <c r="C372" s="21" t="s">
        <v>97</v>
      </c>
      <c r="D372" s="21" t="s">
        <v>52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61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139</v>
      </c>
      <c r="B374" s="21" t="s">
        <v>92</v>
      </c>
      <c r="C374" s="21" t="s">
        <v>58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59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181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62</v>
      </c>
      <c r="B377" s="21" t="s">
        <v>87</v>
      </c>
      <c r="C377" s="21" t="s">
        <v>58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282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105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76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130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105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106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283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113</v>
      </c>
      <c r="B385" s="21" t="s">
        <v>87</v>
      </c>
      <c r="C385" s="21" t="s">
        <v>90</v>
      </c>
      <c r="D385" s="21" t="s">
        <v>52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284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285</v>
      </c>
      <c r="B387" s="21" t="s">
        <v>85</v>
      </c>
      <c r="C387" s="21" t="s">
        <v>93</v>
      </c>
      <c r="D387" s="21" t="s">
        <v>52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131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172</v>
      </c>
      <c r="B389" s="21" t="s">
        <v>87</v>
      </c>
      <c r="C389" s="21" t="s">
        <v>72</v>
      </c>
      <c r="D389" s="21" t="s">
        <v>52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59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286</v>
      </c>
      <c r="B391" s="21" t="s">
        <v>108</v>
      </c>
      <c r="C391" s="21" t="s">
        <v>58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76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70</v>
      </c>
      <c r="B393" s="21" t="s">
        <v>173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70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287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288</v>
      </c>
      <c r="B396" s="21" t="s">
        <v>220</v>
      </c>
      <c r="C396" s="21" t="s">
        <v>72</v>
      </c>
      <c r="D396" s="21" t="s">
        <v>52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131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124</v>
      </c>
      <c r="B398" s="21" t="s">
        <v>222</v>
      </c>
      <c r="C398" s="21" t="s">
        <v>72</v>
      </c>
      <c r="D398" s="21" t="s">
        <v>52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289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76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290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121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285</v>
      </c>
      <c r="B403" s="21" t="s">
        <v>74</v>
      </c>
      <c r="C403" s="21" t="s">
        <v>102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76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70</v>
      </c>
      <c r="B405" s="21" t="s">
        <v>110</v>
      </c>
      <c r="C405" s="21" t="s">
        <v>68</v>
      </c>
      <c r="D405" s="21" t="s">
        <v>52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291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292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59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293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126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76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144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66</v>
      </c>
      <c r="B413" s="21" t="s">
        <v>173</v>
      </c>
      <c r="C413" s="21" t="s">
        <v>68</v>
      </c>
      <c r="D413" s="21" t="s">
        <v>52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225</v>
      </c>
      <c r="B414" s="21" t="s">
        <v>173</v>
      </c>
      <c r="C414" s="21" t="s">
        <v>68</v>
      </c>
      <c r="D414" s="21" t="s">
        <v>52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191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294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12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295</v>
      </c>
      <c r="B418" s="21" t="s">
        <v>108</v>
      </c>
      <c r="C418" s="21" t="s">
        <v>58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296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76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297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298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134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172</v>
      </c>
      <c r="B424" s="21" t="s">
        <v>108</v>
      </c>
      <c r="C424" s="21" t="s">
        <v>72</v>
      </c>
      <c r="D424" s="21" t="s">
        <v>52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76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133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299</v>
      </c>
      <c r="B427" s="21" t="s">
        <v>222</v>
      </c>
      <c r="C427" s="21" t="s">
        <v>58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59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172</v>
      </c>
      <c r="B429" s="21" t="s">
        <v>210</v>
      </c>
      <c r="C429" s="21" t="s">
        <v>58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76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79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168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300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301</v>
      </c>
      <c r="B434" s="21" t="s">
        <v>210</v>
      </c>
      <c r="C434" s="21" t="s">
        <v>72</v>
      </c>
      <c r="D434" s="21" t="s">
        <v>52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183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227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12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228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12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302</v>
      </c>
      <c r="B440" s="21" t="s">
        <v>303</v>
      </c>
      <c r="C440" s="21" t="s">
        <v>72</v>
      </c>
      <c r="D440" s="21" t="s">
        <v>52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103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96</v>
      </c>
      <c r="B442" s="21" t="s">
        <v>67</v>
      </c>
      <c r="C442" s="21" t="s">
        <v>97</v>
      </c>
      <c r="D442" s="21" t="s">
        <v>52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143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304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76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144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70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305</v>
      </c>
      <c r="B448" s="21" t="s">
        <v>151</v>
      </c>
      <c r="C448" s="21" t="s">
        <v>72</v>
      </c>
      <c r="D448" s="21" t="s">
        <v>52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76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70</v>
      </c>
      <c r="B450" s="21" t="s">
        <v>193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66</v>
      </c>
      <c r="B451" s="21" t="s">
        <v>110</v>
      </c>
      <c r="C451" s="21" t="s">
        <v>68</v>
      </c>
      <c r="D451" s="21" t="s">
        <v>52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306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273</v>
      </c>
      <c r="B453" s="21" t="s">
        <v>87</v>
      </c>
      <c r="C453" s="21" t="s">
        <v>51</v>
      </c>
      <c r="D453" s="21" t="s">
        <v>52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274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307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76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144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230</v>
      </c>
      <c r="B458" s="21" t="s">
        <v>262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70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203</v>
      </c>
      <c r="B460" s="21" t="s">
        <v>151</v>
      </c>
      <c r="C460" s="21" t="s">
        <v>72</v>
      </c>
      <c r="D460" s="21" t="s">
        <v>52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187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308</v>
      </c>
      <c r="B462" s="21" t="s">
        <v>74</v>
      </c>
      <c r="C462" s="21" t="s">
        <v>58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309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76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310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153</v>
      </c>
      <c r="B466" s="21" t="s">
        <v>74</v>
      </c>
      <c r="C466" s="21" t="s">
        <v>90</v>
      </c>
      <c r="D466" s="21" t="s">
        <v>52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311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312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12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313</v>
      </c>
      <c r="B470" s="21" t="s">
        <v>63</v>
      </c>
      <c r="C470" s="21" t="s">
        <v>93</v>
      </c>
      <c r="D470" s="21" t="s">
        <v>52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76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70</v>
      </c>
      <c r="B472" s="21" t="s">
        <v>85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311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314</v>
      </c>
      <c r="B474" s="21" t="s">
        <v>198</v>
      </c>
      <c r="C474" s="21" t="s">
        <v>58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315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59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230</v>
      </c>
      <c r="B477" s="21" t="s">
        <v>193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61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131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209</v>
      </c>
      <c r="B480" s="21" t="s">
        <v>87</v>
      </c>
      <c r="C480" s="21" t="s">
        <v>72</v>
      </c>
      <c r="D480" s="21" t="s">
        <v>52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316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76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317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115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103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96</v>
      </c>
      <c r="B486" s="21" t="s">
        <v>151</v>
      </c>
      <c r="C486" s="21" t="s">
        <v>97</v>
      </c>
      <c r="D486" s="21" t="s">
        <v>52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143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243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162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318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103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96</v>
      </c>
      <c r="B492" s="21" t="s">
        <v>262</v>
      </c>
      <c r="C492" s="21" t="s">
        <v>97</v>
      </c>
      <c r="D492" s="21" t="s">
        <v>52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143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70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319</v>
      </c>
      <c r="B495" s="21" t="s">
        <v>198</v>
      </c>
      <c r="C495" s="21" t="s">
        <v>51</v>
      </c>
      <c r="D495" s="21" t="s">
        <v>52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12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320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76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70</v>
      </c>
      <c r="B499" s="21" t="s">
        <v>204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217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86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134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172</v>
      </c>
      <c r="B503" s="21" t="s">
        <v>222</v>
      </c>
      <c r="C503" s="21" t="s">
        <v>72</v>
      </c>
      <c r="D503" s="21" t="s">
        <v>52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321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76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70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322</v>
      </c>
      <c r="B507" s="21" t="s">
        <v>87</v>
      </c>
      <c r="C507" s="21" t="s">
        <v>72</v>
      </c>
      <c r="D507" s="21" t="s">
        <v>52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76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/>
    </row>
    <row r="510" spans="1:12">
      <c r="A510" s="20" t="s">
        <v>323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324</v>
      </c>
    </row>
    <row r="512" spans="1:12">
      <c r="A512" s="20" t="s">
        <v>70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325</v>
      </c>
      <c r="B513" s="21" t="s">
        <v>151</v>
      </c>
      <c r="C513" s="21" t="s">
        <v>72</v>
      </c>
      <c r="D513" s="21" t="s">
        <v>52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103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326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327</v>
      </c>
      <c r="B516" s="21" t="s">
        <v>67</v>
      </c>
      <c r="C516" s="21" t="s">
        <v>90</v>
      </c>
      <c r="D516" s="21" t="s">
        <v>52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328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86</v>
      </c>
      <c r="B518" s="21" t="s">
        <v>74</v>
      </c>
      <c r="C518" s="21" t="s">
        <v>88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226</v>
      </c>
      <c r="B519" s="21" t="s">
        <v>63</v>
      </c>
      <c r="C519" s="21" t="s">
        <v>58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112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153</v>
      </c>
      <c r="B521" s="21" t="s">
        <v>63</v>
      </c>
      <c r="C521" s="21" t="s">
        <v>90</v>
      </c>
      <c r="D521" s="21" t="s">
        <v>52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54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253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329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294</v>
      </c>
      <c r="B525" s="21" t="s">
        <v>151</v>
      </c>
      <c r="C525" s="21" t="s">
        <v>51</v>
      </c>
      <c r="D525" s="21" t="s">
        <v>52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330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 t="s">
        <v>329</v>
      </c>
      <c r="E527" s="22">
        <f>IF(D527="?OLD","!!!","")</f>
        <v/>
      </c>
      <c r="F527" s="23" t="str">
        <f>IF(OR(E527="",E527="!!!"),"",IF(NOT(ISNA(VLOOKUP(E527,E$1:E526,1,FALSE()))),"OLD",IF(AND(E527&lt;&gt;"",E527&lt;&gt;"!!!"),"NEW","")))</f>
        <v> </v>
      </c>
      <c r="G527" s="24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5" t="str">
        <f>IF(J527&lt;&gt;1,"",IF(I527="SBJ","CB","?"))</f>
        <v> </v>
      </c>
      <c r="I527" s="26" t="str">
        <f>IF(OR(E527="",E527="!!!",F527="NEW"),"",INDEX(B526:B$2,-1+SUMPRODUCT(MAX(ROW(E526:E$2)*(E527=E526:E$2)))))</f>
        <v> </v>
      </c>
      <c r="J527" s="26" t="str">
        <f>IF(OR(E527="",E527="!!!",F527="NEW"),"",COUNTBLANK(OFFSET(A$1,,,SUMPRODUCT(MAX(ROW(E$2:E527)*(E527=E$2:E527)))))-COUNTBLANK(OFFSET(A$1,,,SUMPRODUCT(MAX(ROW(E$1:E526)*(E2=E$1:E526))))))</f>
        <v> </v>
      </c>
      <c r="K527" s="26" t="str">
        <f>IF(OR(E527="",E527="!!!",F527="NEW"),"",INDEX(J$1:J526,SUMPRODUCT(MAX(ROW(E$1:E526)*(E527=E$1:E526)))))</f>
        <v> </v>
      </c>
      <c r="L527" s="27"/>
    </row>
    <row r="528" spans="1:12">
      <c r="A528" s="20" t="s">
        <v>255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331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332</v>
      </c>
      <c r="B530" s="21" t="s">
        <v>262</v>
      </c>
      <c r="C530" s="21" t="s">
        <v>72</v>
      </c>
      <c r="D530" s="21" t="s">
        <v>52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333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118</v>
      </c>
      <c r="B532" s="21" t="s">
        <v>151</v>
      </c>
      <c r="C532" s="21" t="s">
        <v>97</v>
      </c>
      <c r="D532" s="21" t="s">
        <v>52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334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335</v>
      </c>
      <c r="B534" s="21" t="s">
        <v>92</v>
      </c>
      <c r="C534" s="21" t="s">
        <v>88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336</v>
      </c>
      <c r="B535" s="21" t="s">
        <v>74</v>
      </c>
      <c r="C535" s="21" t="s">
        <v>129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103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104</v>
      </c>
      <c r="B537" s="21" t="s">
        <v>67</v>
      </c>
      <c r="C537" s="21" t="s">
        <v>97</v>
      </c>
      <c r="D537" s="21" t="s">
        <v>52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337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163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76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338</v>
      </c>
      <c r="B541" s="21" t="s">
        <v>67</v>
      </c>
      <c r="C541" s="21" t="s">
        <v>68</v>
      </c>
      <c r="D541" s="21" t="s">
        <v>52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163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168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339</v>
      </c>
      <c r="B544" s="21" t="s">
        <v>63</v>
      </c>
      <c r="C544" s="21" t="s">
        <v>72</v>
      </c>
      <c r="D544" s="21" t="s">
        <v>52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73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273</v>
      </c>
      <c r="B546" s="21" t="s">
        <v>74</v>
      </c>
      <c r="C546" s="21" t="s">
        <v>51</v>
      </c>
      <c r="D546" s="21" t="s">
        <v>52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274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277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103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160</v>
      </c>
      <c r="B550" s="21" t="s">
        <v>78</v>
      </c>
      <c r="C550" s="21" t="s">
        <v>97</v>
      </c>
      <c r="D550" s="21" t="s">
        <v>52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340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76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225</v>
      </c>
      <c r="B553" s="21" t="s">
        <v>151</v>
      </c>
      <c r="C553" s="21" t="s">
        <v>68</v>
      </c>
      <c r="D553" s="21" t="s">
        <v>52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142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341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76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243</v>
      </c>
      <c r="B557" s="21" t="s">
        <v>151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342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76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343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225</v>
      </c>
      <c r="B561" s="21" t="s">
        <v>151</v>
      </c>
      <c r="C561" s="21" t="s">
        <v>68</v>
      </c>
      <c r="D561" s="21" t="s">
        <v>52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344</v>
      </c>
      <c r="B562" s="21" t="s">
        <v>92</v>
      </c>
      <c r="C562" s="21" t="s">
        <v>68</v>
      </c>
      <c r="D562" s="21" t="s">
        <v>52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345</v>
      </c>
      <c r="B563" s="21" t="s">
        <v>262</v>
      </c>
      <c r="C563" s="21" t="s">
        <v>90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346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103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347</v>
      </c>
      <c r="B566" s="21" t="s">
        <v>78</v>
      </c>
      <c r="C566" s="21" t="s">
        <v>58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66</v>
      </c>
      <c r="B567" s="21" t="s">
        <v>151</v>
      </c>
      <c r="C567" s="21" t="s">
        <v>68</v>
      </c>
      <c r="D567" s="21" t="s">
        <v>52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348</v>
      </c>
      <c r="B568" s="21" t="s">
        <v>63</v>
      </c>
      <c r="C568" s="21" t="s">
        <v>51</v>
      </c>
      <c r="D568" s="21" t="s">
        <v>52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349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350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103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160</v>
      </c>
      <c r="B572" s="21" t="s">
        <v>67</v>
      </c>
      <c r="C572" s="21" t="s">
        <v>97</v>
      </c>
      <c r="D572" s="21" t="s">
        <v>52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351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70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352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336</v>
      </c>
      <c r="B576" s="21" t="s">
        <v>63</v>
      </c>
      <c r="C576" s="21" t="s">
        <v>72</v>
      </c>
      <c r="D576" s="21" t="s">
        <v>52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353</v>
      </c>
      <c r="B577" s="21" t="s">
        <v>120</v>
      </c>
      <c r="C577" s="21" t="s">
        <v>58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61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348</v>
      </c>
      <c r="B579" s="21" t="s">
        <v>63</v>
      </c>
      <c r="C579" s="21" t="s">
        <v>51</v>
      </c>
      <c r="D579" s="21" t="s">
        <v>52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103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354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355</v>
      </c>
      <c r="B582" s="21" t="s">
        <v>262</v>
      </c>
      <c r="C582" s="21" t="s">
        <v>102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356</v>
      </c>
      <c r="B583" s="21" t="s">
        <v>87</v>
      </c>
      <c r="C583" s="21" t="s">
        <v>88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357</v>
      </c>
      <c r="B584" s="21" t="s">
        <v>193</v>
      </c>
      <c r="C584" s="21" t="s">
        <v>97</v>
      </c>
      <c r="D584" s="21" t="s">
        <v>52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61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358</v>
      </c>
      <c r="B586" s="21" t="s">
        <v>108</v>
      </c>
      <c r="C586" s="21" t="s">
        <v>90</v>
      </c>
      <c r="D586" s="21" t="s">
        <v>52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209</v>
      </c>
      <c r="B587" s="21" t="s">
        <v>87</v>
      </c>
      <c r="C587" s="21" t="s">
        <v>93</v>
      </c>
      <c r="D587" s="21" t="s">
        <v>52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163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54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359</v>
      </c>
      <c r="B590" s="21" t="s">
        <v>204</v>
      </c>
      <c r="C590" s="21" t="s">
        <v>88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126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360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207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361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103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104</v>
      </c>
      <c r="B596" s="21" t="s">
        <v>362</v>
      </c>
      <c r="C596" s="21" t="s">
        <v>97</v>
      </c>
      <c r="D596" s="21" t="s">
        <v>52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126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121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207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363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209</v>
      </c>
      <c r="B601" s="21" t="s">
        <v>249</v>
      </c>
      <c r="C601" s="21" t="s">
        <v>102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76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217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112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139</v>
      </c>
      <c r="B605" s="21" t="s">
        <v>303</v>
      </c>
      <c r="C605" s="21" t="s">
        <v>51</v>
      </c>
      <c r="D605" s="21" t="s">
        <v>52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95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273</v>
      </c>
      <c r="B607" s="21" t="s">
        <v>364</v>
      </c>
      <c r="C607" s="21" t="s">
        <v>51</v>
      </c>
      <c r="D607" s="21" t="s">
        <v>52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274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103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104</v>
      </c>
      <c r="B610" s="21" t="s">
        <v>303</v>
      </c>
      <c r="C610" s="21" t="s">
        <v>97</v>
      </c>
      <c r="D610" s="21" t="s">
        <v>52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105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213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365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70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366</v>
      </c>
      <c r="B615" s="21" t="s">
        <v>362</v>
      </c>
      <c r="C615" s="21" t="s">
        <v>72</v>
      </c>
      <c r="D615" s="21" t="s">
        <v>52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79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135</v>
      </c>
      <c r="B617" s="21" t="s">
        <v>210</v>
      </c>
      <c r="C617" s="21" t="s">
        <v>58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306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367</v>
      </c>
      <c r="B619" s="21" t="s">
        <v>210</v>
      </c>
      <c r="C619" s="21" t="s">
        <v>58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76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368</v>
      </c>
      <c r="B621" s="21" t="s">
        <v>303</v>
      </c>
      <c r="C621" s="21" t="s">
        <v>58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76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369</v>
      </c>
      <c r="B623" s="21" t="s">
        <v>303</v>
      </c>
      <c r="C623" s="21" t="s">
        <v>58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59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370</v>
      </c>
      <c r="B625" s="21" t="s">
        <v>303</v>
      </c>
      <c r="C625" s="21" t="s">
        <v>58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103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371</v>
      </c>
      <c r="B627" s="21" t="s">
        <v>249</v>
      </c>
      <c r="C627" s="21" t="s">
        <v>51</v>
      </c>
      <c r="D627" s="21" t="s">
        <v>52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372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166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176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76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176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373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374</v>
      </c>
      <c r="B634" s="21" t="s">
        <v>222</v>
      </c>
      <c r="C634" s="21" t="s">
        <v>58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59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375</v>
      </c>
      <c r="B636" s="21" t="s">
        <v>210</v>
      </c>
      <c r="C636" s="21" t="s">
        <v>58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103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104</v>
      </c>
      <c r="B638" s="21" t="s">
        <v>249</v>
      </c>
      <c r="C638" s="21" t="s">
        <v>97</v>
      </c>
      <c r="D638" s="21" t="s">
        <v>52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105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106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283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113</v>
      </c>
      <c r="B642" s="21" t="s">
        <v>303</v>
      </c>
      <c r="C642" s="21" t="s">
        <v>90</v>
      </c>
      <c r="D642" s="21" t="s">
        <v>52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376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377</v>
      </c>
      <c r="B644" s="21" t="s">
        <v>378</v>
      </c>
      <c r="C644" s="21" t="s">
        <v>93</v>
      </c>
      <c r="D644" s="21" t="s">
        <v>52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79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135</v>
      </c>
      <c r="B646" s="21" t="s">
        <v>303</v>
      </c>
      <c r="C646" s="21" t="s">
        <v>58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76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229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79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379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380</v>
      </c>
      <c r="B651" s="21" t="s">
        <v>210</v>
      </c>
      <c r="C651" s="21" t="s">
        <v>58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103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381</v>
      </c>
      <c r="B653" s="21" t="s">
        <v>249</v>
      </c>
      <c r="C653" s="21" t="s">
        <v>51</v>
      </c>
      <c r="D653" s="21" t="s">
        <v>52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382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383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12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384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 t="s">
        <v>115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385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103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386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387</v>
      </c>
      <c r="B662" s="21" t="s">
        <v>87</v>
      </c>
      <c r="C662" s="21" t="s">
        <v>51</v>
      </c>
      <c r="D662" s="21" t="s">
        <v>52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12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388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76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389</v>
      </c>
      <c r="B666" s="21" t="s">
        <v>108</v>
      </c>
      <c r="C666" s="21" t="s">
        <v>58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76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390</v>
      </c>
      <c r="B668" s="21" t="s">
        <v>108</v>
      </c>
      <c r="C668" s="21" t="s">
        <v>58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76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391</v>
      </c>
      <c r="B670" s="21" t="s">
        <v>108</v>
      </c>
      <c r="C670" s="21" t="s">
        <v>58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76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392</v>
      </c>
      <c r="B672" s="21" t="s">
        <v>108</v>
      </c>
      <c r="C672" s="21" t="s">
        <v>58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59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393</v>
      </c>
      <c r="B674" s="21" t="s">
        <v>108</v>
      </c>
      <c r="C674" s="21" t="s">
        <v>58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394</v>
      </c>
      <c r="B675" s="21" t="s">
        <v>222</v>
      </c>
      <c r="C675" s="21" t="s">
        <v>51</v>
      </c>
      <c r="D675" s="21" t="s">
        <v>52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12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395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103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326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396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121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218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285</v>
      </c>
      <c r="B683" s="21" t="s">
        <v>108</v>
      </c>
      <c r="C683" s="21" t="s">
        <v>102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397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187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398</v>
      </c>
      <c r="B686" s="21" t="s">
        <v>222</v>
      </c>
      <c r="C686" s="21" t="s">
        <v>58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59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399</v>
      </c>
      <c r="B688" s="21" t="s">
        <v>210</v>
      </c>
      <c r="C688" s="21" t="s">
        <v>58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103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400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401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126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243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402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403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174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70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404</v>
      </c>
      <c r="B698" s="21" t="s">
        <v>173</v>
      </c>
      <c r="C698" s="21" t="s">
        <v>72</v>
      </c>
      <c r="D698" s="21" t="s">
        <v>52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329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405</v>
      </c>
      <c r="B700" s="21" t="s">
        <v>222</v>
      </c>
      <c r="C700" s="21" t="s">
        <v>51</v>
      </c>
      <c r="D700" s="21" t="s">
        <v>52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329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126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385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103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96</v>
      </c>
      <c r="B705" s="21" t="s">
        <v>85</v>
      </c>
      <c r="C705" s="21" t="s">
        <v>97</v>
      </c>
      <c r="D705" s="21" t="s">
        <v>52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224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113</v>
      </c>
      <c r="B707" s="21" t="s">
        <v>92</v>
      </c>
      <c r="C707" s="21" t="s">
        <v>90</v>
      </c>
      <c r="D707" s="21" t="s">
        <v>52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406</v>
      </c>
      <c r="B708" s="21" t="s">
        <v>262</v>
      </c>
      <c r="C708" s="21" t="s">
        <v>93</v>
      </c>
      <c r="D708" s="21" t="s">
        <v>52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73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250</v>
      </c>
      <c r="B710" s="21" t="s">
        <v>92</v>
      </c>
      <c r="C710" s="21" t="s">
        <v>58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76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367</v>
      </c>
      <c r="B712" s="21" t="s">
        <v>87</v>
      </c>
      <c r="C712" s="21" t="s">
        <v>58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76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407</v>
      </c>
      <c r="B714" s="21" t="s">
        <v>87</v>
      </c>
      <c r="C714" s="21" t="s">
        <v>58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59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408</v>
      </c>
      <c r="B716" s="21" t="s">
        <v>87</v>
      </c>
      <c r="C716" s="21" t="s">
        <v>58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76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 t="s">
        <v>106</v>
      </c>
      <c r="E718" s="22">
        <f>IF(D718="?OLD","!!!","")</f>
        <v/>
      </c>
      <c r="F718" s="23" t="str">
        <f>IF(OR(E718="",E718="!!!"),"",IF(NOT(ISNA(VLOOKUP(E718,E$1:E717,1,FALSE()))),"OLD",IF(AND(E718&lt;&gt;"",E718&lt;&gt;"!!!"),"NEW","")))</f>
        <v> </v>
      </c>
      <c r="G718" s="24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5" t="str">
        <f>IF(J718&lt;&gt;1,"",IF(I718="SBJ","CB","?"))</f>
        <v> </v>
      </c>
      <c r="I718" s="26" t="str">
        <f>IF(OR(E718="",E718="!!!",F718="NEW"),"",INDEX(B717:B$2,-1+SUMPRODUCT(MAX(ROW(E717:E$2)*(E718=E717:E$2)))))</f>
        <v> </v>
      </c>
      <c r="J718" s="26" t="str">
        <f>IF(OR(E718="",E718="!!!",F718="NEW"),"",COUNTBLANK(OFFSET(A$1,,,SUMPRODUCT(MAX(ROW(E$2:E718)*(E718=E$2:E718)))))-COUNTBLANK(OFFSET(A$1,,,SUMPRODUCT(MAX(ROW(E$1:E717)*(E2=E$1:E717))))))</f>
        <v> </v>
      </c>
      <c r="K718" s="26" t="str">
        <f>IF(OR(E718="",E718="!!!",F718="NEW"),"",INDEX(J$1:J717,SUMPRODUCT(MAX(ROW(E$1:E717)*(E718=E$1:E717)))))</f>
        <v> </v>
      </c>
      <c r="L718" s="27"/>
    </row>
    <row r="719" spans="1:12">
      <c r="A719" s="20" t="s">
        <v>61</v>
      </c>
      <c r="E719" s="22">
        <f>IF(D719="?OLD","!!!","")</f>
        <v/>
      </c>
      <c r="F719" s="23" t="str">
        <f>IF(OR(E719="",E719="!!!"),"",IF(NOT(ISNA(VLOOKUP(E719,E$1:E718,1,FALSE()))),"OLD",IF(AND(E719&lt;&gt;"",E719&lt;&gt;"!!!"),"NEW","")))</f>
        <v> </v>
      </c>
      <c r="G719" s="24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5" t="str">
        <f>IF(J719&lt;&gt;1,"",IF(I719="SBJ","CB","?"))</f>
        <v> </v>
      </c>
      <c r="I719" s="26" t="str">
        <f>IF(OR(E719="",E719="!!!",F719="NEW"),"",INDEX(B718:B$2,-1+SUMPRODUCT(MAX(ROW(E718:E$2)*(E719=E718:E$2)))))</f>
        <v> </v>
      </c>
      <c r="J719" s="26" t="str">
        <f>IF(OR(E719="",E719="!!!",F719="NEW"),"",COUNTBLANK(OFFSET(A$1,,,SUMPRODUCT(MAX(ROW(E$2:E719)*(E719=E$2:E719)))))-COUNTBLANK(OFFSET(A$1,,,SUMPRODUCT(MAX(ROW(E$1:E718)*(E2=E$1:E718))))))</f>
        <v> </v>
      </c>
      <c r="K719" s="26" t="str">
        <f>IF(OR(E719="",E719="!!!",F719="NEW"),"",INDEX(J$1:J718,SUMPRODUCT(MAX(ROW(E$1:E718)*(E719=E$1:E718)))))</f>
        <v> </v>
      </c>
      <c r="L719" s="27"/>
    </row>
    <row r="720" spans="1:12">
      <c r="A720" s="20" t="s">
        <v>206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188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181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123</v>
      </c>
      <c r="B723" s="21" t="s">
        <v>92</v>
      </c>
      <c r="C723" s="21" t="s">
        <v>102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409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103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160</v>
      </c>
      <c r="B726" s="21" t="s">
        <v>85</v>
      </c>
      <c r="C726" s="21" t="s">
        <v>97</v>
      </c>
      <c r="D726" s="21" t="s">
        <v>52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410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76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144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411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86</v>
      </c>
      <c r="B731" s="21" t="s">
        <v>108</v>
      </c>
      <c r="C731" s="21" t="s">
        <v>88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131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123</v>
      </c>
      <c r="B733" s="21" t="s">
        <v>87</v>
      </c>
      <c r="C733" s="21" t="s">
        <v>72</v>
      </c>
      <c r="D733" s="21" t="s">
        <v>52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76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112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66</v>
      </c>
      <c r="B736" s="21" t="s">
        <v>362</v>
      </c>
      <c r="C736" s="21" t="s">
        <v>68</v>
      </c>
      <c r="D736" s="21" t="s">
        <v>52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348</v>
      </c>
      <c r="B737" s="21" t="s">
        <v>412</v>
      </c>
      <c r="C737" s="21" t="s">
        <v>51</v>
      </c>
      <c r="D737" s="21" t="s">
        <v>52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342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76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413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76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191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121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207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414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76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415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416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209</v>
      </c>
      <c r="B749" s="21" t="s">
        <v>378</v>
      </c>
      <c r="C749" s="21" t="s">
        <v>102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 t="s">
        <v>103</v>
      </c>
      <c r="E750" s="22">
        <f>IF(D750="?OLD","!!!","")</f>
        <v/>
      </c>
      <c r="F750" s="23" t="str">
        <f>IF(OR(E750="",E750="!!!"),"",IF(NOT(ISNA(VLOOKUP(E750,E$1:E749,1,FALSE()))),"OLD",IF(AND(E750&lt;&gt;"",E750&lt;&gt;"!!!"),"NEW","")))</f>
        <v> </v>
      </c>
      <c r="G750" s="24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5" t="str">
        <f>IF(J750&lt;&gt;1,"",IF(I750="SBJ","CB","?"))</f>
        <v> </v>
      </c>
      <c r="I750" s="26" t="str">
        <f>IF(OR(E750="",E750="!!!",F750="NEW"),"",INDEX(B749:B$2,-1+SUMPRODUCT(MAX(ROW(E749:E$2)*(E750=E749:E$2)))))</f>
        <v> </v>
      </c>
      <c r="J750" s="26" t="str">
        <f>IF(OR(E750="",E750="!!!",F750="NEW"),"",COUNTBLANK(OFFSET(A$1,,,SUMPRODUCT(MAX(ROW(E$2:E750)*(E750=E$2:E750)))))-COUNTBLANK(OFFSET(A$1,,,SUMPRODUCT(MAX(ROW(E$1:E749)*(E2=E$1:E749))))))</f>
        <v> </v>
      </c>
      <c r="K750" s="26" t="str">
        <f>IF(OR(E750="",E750="!!!",F750="NEW"),"",INDEX(J$1:J749,SUMPRODUCT(MAX(ROW(E$1:E749)*(E750=E$1:E749)))))</f>
        <v> </v>
      </c>
      <c r="L750" s="27"/>
    </row>
    <row r="751" spans="1:12">
      <c r="A751" s="20" t="s">
        <v>212</v>
      </c>
      <c r="B751" s="21" t="s">
        <v>108</v>
      </c>
      <c r="C751" s="21" t="s">
        <v>68</v>
      </c>
      <c r="D751" s="21" t="s">
        <v>52</v>
      </c>
      <c r="E751" s="22">
        <f>IF(D751="?OLD","!!!","")</f>
        <v/>
      </c>
      <c r="F751" s="23" t="str">
        <f>IF(OR(E751="",E751="!!!"),"",IF(NOT(ISNA(VLOOKUP(E751,E$1:E750,1,FALSE()))),"OLD",IF(AND(E751&lt;&gt;"",E751&lt;&gt;"!!!"),"NEW","")))</f>
        <v> </v>
      </c>
      <c r="G751" s="24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5" t="str">
        <f>IF(J751&lt;&gt;1,"",IF(I751="SBJ","CB","?"))</f>
        <v> </v>
      </c>
      <c r="I751" s="26" t="str">
        <f>IF(OR(E751="",E751="!!!",F751="NEW"),"",INDEX(B750:B$2,-1+SUMPRODUCT(MAX(ROW(E750:E$2)*(E751=E750:E$2)))))</f>
        <v> </v>
      </c>
      <c r="J751" s="26" t="str">
        <f>IF(OR(E751="",E751="!!!",F751="NEW"),"",COUNTBLANK(OFFSET(A$1,,,SUMPRODUCT(MAX(ROW(E$2:E751)*(E751=E$2:E751)))))-COUNTBLANK(OFFSET(A$1,,,SUMPRODUCT(MAX(ROW(E$1:E750)*(E2=E$1:E750))))))</f>
        <v> </v>
      </c>
      <c r="K751" s="26" t="str">
        <f>IF(OR(E751="",E751="!!!",F751="NEW"),"",INDEX(J$1:J750,SUMPRODUCT(MAX(ROW(E$1:E750)*(E751=E$1:E750)))))</f>
        <v> </v>
      </c>
      <c r="L751" s="27"/>
    </row>
    <row r="752" spans="1:12">
      <c r="A752" s="20" t="s">
        <v>224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417</v>
      </c>
      <c r="B753" s="21" t="s">
        <v>222</v>
      </c>
      <c r="C753" s="21" t="s">
        <v>88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113</v>
      </c>
      <c r="B754" s="21" t="s">
        <v>222</v>
      </c>
      <c r="C754" s="21" t="s">
        <v>90</v>
      </c>
      <c r="D754" s="21" t="s">
        <v>52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353</v>
      </c>
      <c r="B755" s="21" t="s">
        <v>173</v>
      </c>
      <c r="C755" s="21" t="s">
        <v>93</v>
      </c>
      <c r="D755" s="21" t="s">
        <v>52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76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194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418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419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420</v>
      </c>
      <c r="B760" s="21" t="s">
        <v>173</v>
      </c>
      <c r="C760" s="21" t="s">
        <v>102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79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 t="s">
        <v>353</v>
      </c>
      <c r="B762" s="21" t="s">
        <v>222</v>
      </c>
      <c r="C762" s="21" t="s">
        <v>58</v>
      </c>
      <c r="E762" s="22">
        <f>IF(D762="?OLD","!!!","")</f>
        <v/>
      </c>
      <c r="F762" s="23" t="str">
        <f>IF(OR(E762="",E762="!!!"),"",IF(NOT(ISNA(VLOOKUP(E762,E$1:E761,1,FALSE()))),"OLD",IF(AND(E762&lt;&gt;"",E762&lt;&gt;"!!!"),"NEW","")))</f>
        <v> </v>
      </c>
      <c r="G762" s="24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5" t="str">
        <f>IF(J762&lt;&gt;1,"",IF(I762="SBJ","CB","?"))</f>
        <v> </v>
      </c>
      <c r="I762" s="26" t="str">
        <f>IF(OR(E762="",E762="!!!",F762="NEW"),"",INDEX(B761:B$2,-1+SUMPRODUCT(MAX(ROW(E761:E$2)*(E762=E761:E$2)))))</f>
        <v> </v>
      </c>
      <c r="J762" s="26" t="str">
        <f>IF(OR(E762="",E762="!!!",F762="NEW"),"",COUNTBLANK(OFFSET(A$1,,,SUMPRODUCT(MAX(ROW(E$2:E762)*(E762=E$2:E762)))))-COUNTBLANK(OFFSET(A$1,,,SUMPRODUCT(MAX(ROW(E$1:E761)*(E2=E$1:E761))))))</f>
        <v> </v>
      </c>
      <c r="K762" s="26" t="str">
        <f>IF(OR(E762="",E762="!!!",F762="NEW"),"",INDEX(J$1:J761,SUMPRODUCT(MAX(ROW(E$1:E761)*(E762=E$1:E761)))))</f>
        <v> </v>
      </c>
      <c r="L762" s="27"/>
    </row>
    <row r="763" spans="1:12">
      <c r="A763" s="20" t="s">
        <v>69</v>
      </c>
      <c r="E763" s="22">
        <f>IF(D763="?OLD","!!!","")</f>
        <v/>
      </c>
      <c r="F763" s="23" t="str">
        <f>IF(OR(E763="",E763="!!!"),"",IF(NOT(ISNA(VLOOKUP(E763,E$1:E762,1,FALSE()))),"OLD",IF(AND(E763&lt;&gt;"",E763&lt;&gt;"!!!"),"NEW","")))</f>
        <v> </v>
      </c>
      <c r="G763" s="24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5" t="str">
        <f>IF(J763&lt;&gt;1,"",IF(I763="SBJ","CB","?"))</f>
        <v> </v>
      </c>
      <c r="I763" s="26" t="str">
        <f>IF(OR(E763="",E763="!!!",F763="NEW"),"",INDEX(B762:B$2,-1+SUMPRODUCT(MAX(ROW(E762:E$2)*(E763=E762:E$2)))))</f>
        <v> </v>
      </c>
      <c r="J763" s="26" t="str">
        <f>IF(OR(E763="",E763="!!!",F763="NEW"),"",COUNTBLANK(OFFSET(A$1,,,SUMPRODUCT(MAX(ROW(E$2:E763)*(E763=E$2:E763)))))-COUNTBLANK(OFFSET(A$1,,,SUMPRODUCT(MAX(ROW(E$1:E762)*(E2=E$1:E762))))))</f>
        <v> </v>
      </c>
      <c r="K763" s="26" t="str">
        <f>IF(OR(E763="",E763="!!!",F763="NEW"),"",INDEX(J$1:J762,SUMPRODUCT(MAX(ROW(E$1:E762)*(E763=E$1:E762)))))</f>
        <v> </v>
      </c>
      <c r="L763" s="27"/>
    </row>
    <row r="764" spans="1:12">
      <c r="A764" s="20" t="s">
        <v>421</v>
      </c>
      <c r="B764" s="21" t="s">
        <v>210</v>
      </c>
      <c r="C764" s="21" t="s">
        <v>58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103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422</v>
      </c>
      <c r="B766" s="21" t="s">
        <v>362</v>
      </c>
      <c r="C766" s="21" t="s">
        <v>58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419</v>
      </c>
      <c r="B767" s="21" t="s">
        <v>364</v>
      </c>
      <c r="C767" s="21" t="s">
        <v>68</v>
      </c>
      <c r="D767" s="21" t="s">
        <v>52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191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423</v>
      </c>
      <c r="B769" s="21" t="s">
        <v>193</v>
      </c>
      <c r="C769" s="21" t="s">
        <v>88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76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338</v>
      </c>
      <c r="B771" s="21" t="s">
        <v>220</v>
      </c>
      <c r="C771" s="21" t="s">
        <v>68</v>
      </c>
      <c r="D771" s="21" t="s">
        <v>52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66</v>
      </c>
      <c r="B772" s="21" t="s">
        <v>173</v>
      </c>
      <c r="C772" s="21" t="s">
        <v>68</v>
      </c>
      <c r="D772" s="21" t="s">
        <v>52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424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425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426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103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427</v>
      </c>
      <c r="B777" s="21" t="s">
        <v>120</v>
      </c>
      <c r="C777" s="21" t="s">
        <v>68</v>
      </c>
      <c r="D777" s="21" t="s">
        <v>52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142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66</v>
      </c>
      <c r="B779" s="21" t="s">
        <v>67</v>
      </c>
      <c r="C779" s="21" t="s">
        <v>68</v>
      </c>
      <c r="D779" s="21" t="s">
        <v>52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428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429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403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160</v>
      </c>
      <c r="B783" s="21" t="s">
        <v>151</v>
      </c>
      <c r="C783" s="21" t="s">
        <v>97</v>
      </c>
      <c r="D783" s="21" t="s">
        <v>52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410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76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191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 t="s">
        <v>430</v>
      </c>
      <c r="B787" s="21" t="s">
        <v>92</v>
      </c>
      <c r="C787" s="21" t="s">
        <v>58</v>
      </c>
      <c r="E787" s="22">
        <f>IF(D787="?OLD","!!!","")</f>
        <v/>
      </c>
      <c r="F787" s="23" t="str">
        <f>IF(OR(E787="",E787="!!!"),"",IF(NOT(ISNA(VLOOKUP(E787,E$1:E786,1,FALSE()))),"OLD",IF(AND(E787&lt;&gt;"",E787&lt;&gt;"!!!"),"NEW","")))</f>
        <v> </v>
      </c>
      <c r="G787" s="24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5" t="str">
        <f>IF(J787&lt;&gt;1,"",IF(I787="SBJ","CB","?"))</f>
        <v> </v>
      </c>
      <c r="I787" s="26" t="str">
        <f>IF(OR(E787="",E787="!!!",F787="NEW"),"",INDEX(B786:B$2,-1+SUMPRODUCT(MAX(ROW(E786:E$2)*(E787=E786:E$2)))))</f>
        <v> </v>
      </c>
      <c r="J787" s="26" t="str">
        <f>IF(OR(E787="",E787="!!!",F787="NEW"),"",COUNTBLANK(OFFSET(A$1,,,SUMPRODUCT(MAX(ROW(E$2:E787)*(E787=E$2:E787)))))-COUNTBLANK(OFFSET(A$1,,,SUMPRODUCT(MAX(ROW(E$1:E786)*(E2=E$1:E786))))))</f>
        <v> </v>
      </c>
      <c r="K787" s="26" t="str">
        <f>IF(OR(E787="",E787="!!!",F787="NEW"),"",INDEX(J$1:J786,SUMPRODUCT(MAX(ROW(E$1:E786)*(E787=E$1:E786)))))</f>
        <v> </v>
      </c>
      <c r="L787" s="27"/>
    </row>
    <row r="788" spans="1:12">
      <c r="A788" s="20" t="s">
        <v>431</v>
      </c>
      <c r="E788" s="22">
        <f>IF(D788="?OLD","!!!","")</f>
        <v/>
      </c>
      <c r="F788" s="23" t="str">
        <f>IF(OR(E788="",E788="!!!"),"",IF(NOT(ISNA(VLOOKUP(E788,E$1:E787,1,FALSE()))),"OLD",IF(AND(E788&lt;&gt;"",E788&lt;&gt;"!!!"),"NEW","")))</f>
        <v> </v>
      </c>
      <c r="G788" s="24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5" t="str">
        <f>IF(J788&lt;&gt;1,"",IF(I788="SBJ","CB","?"))</f>
        <v> </v>
      </c>
      <c r="I788" s="26" t="str">
        <f>IF(OR(E788="",E788="!!!",F788="NEW"),"",INDEX(B787:B$2,-1+SUMPRODUCT(MAX(ROW(E787:E$2)*(E788=E787:E$2)))))</f>
        <v> </v>
      </c>
      <c r="J788" s="26" t="str">
        <f>IF(OR(E788="",E788="!!!",F788="NEW"),"",COUNTBLANK(OFFSET(A$1,,,SUMPRODUCT(MAX(ROW(E$2:E788)*(E788=E$2:E788)))))-COUNTBLANK(OFFSET(A$1,,,SUMPRODUCT(MAX(ROW(E$1:E787)*(E2=E$1:E787))))))</f>
        <v> </v>
      </c>
      <c r="K788" s="26" t="str">
        <f>IF(OR(E788="",E788="!!!",F788="NEW"),"",INDEX(J$1:J787,SUMPRODUCT(MAX(ROW(E$1:E787)*(E788=E$1:E787)))))</f>
        <v> </v>
      </c>
      <c r="L788" s="27"/>
    </row>
    <row r="789" spans="1:12">
      <c r="A789" s="20" t="s">
        <v>66</v>
      </c>
      <c r="B789" s="21" t="s">
        <v>85</v>
      </c>
      <c r="C789" s="21" t="s">
        <v>68</v>
      </c>
      <c r="D789" s="21" t="s">
        <v>52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341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86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342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54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432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113</v>
      </c>
      <c r="B795" s="21" t="s">
        <v>87</v>
      </c>
      <c r="C795" s="21" t="s">
        <v>90</v>
      </c>
      <c r="D795" s="21" t="s">
        <v>52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 t="s">
        <v>60</v>
      </c>
      <c r="B796" s="21" t="s">
        <v>85</v>
      </c>
      <c r="C796" s="21" t="s">
        <v>93</v>
      </c>
      <c r="D796" s="21" t="s">
        <v>52</v>
      </c>
      <c r="E796" s="22">
        <f>IF(D796="?OLD","!!!","")</f>
        <v/>
      </c>
      <c r="F796" s="23" t="str">
        <f>IF(OR(E796="",E796="!!!"),"",IF(NOT(ISNA(VLOOKUP(E796,E$1:E795,1,FALSE()))),"OLD",IF(AND(E796&lt;&gt;"",E796&lt;&gt;"!!!"),"NEW","")))</f>
        <v> </v>
      </c>
      <c r="G796" s="24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5" t="str">
        <f>IF(J796&lt;&gt;1,"",IF(I796="SBJ","CB","?"))</f>
        <v> </v>
      </c>
      <c r="I796" s="26" t="str">
        <f>IF(OR(E796="",E796="!!!",F796="NEW"),"",INDEX(B795:B$2,-1+SUMPRODUCT(MAX(ROW(E795:E$2)*(E796=E795:E$2)))))</f>
        <v> </v>
      </c>
      <c r="J796" s="26" t="str">
        <f>IF(OR(E796="",E796="!!!",F796="NEW"),"",COUNTBLANK(OFFSET(A$1,,,SUMPRODUCT(MAX(ROW(E$2:E796)*(E796=E$2:E796)))))-COUNTBLANK(OFFSET(A$1,,,SUMPRODUCT(MAX(ROW(E$1:E795)*(E2=E$1:E795))))))</f>
        <v> </v>
      </c>
      <c r="K796" s="26" t="str">
        <f>IF(OR(E796="",E796="!!!",F796="NEW"),"",INDEX(J$1:J795,SUMPRODUCT(MAX(ROW(E$1:E795)*(E796=E$1:E795)))))</f>
        <v> </v>
      </c>
      <c r="L796" s="27"/>
    </row>
    <row r="797" spans="1:12">
      <c r="A797" s="20" t="s">
        <v>194</v>
      </c>
      <c r="E797" s="22">
        <f>IF(D797="?OLD","!!!","")</f>
        <v/>
      </c>
      <c r="F797" s="23" t="str">
        <f>IF(OR(E797="",E797="!!!"),"",IF(NOT(ISNA(VLOOKUP(E797,E$1:E796,1,FALSE()))),"OLD",IF(AND(E797&lt;&gt;"",E797&lt;&gt;"!!!"),"NEW","")))</f>
        <v> </v>
      </c>
      <c r="G797" s="24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5" t="str">
        <f>IF(J797&lt;&gt;1,"",IF(I797="SBJ","CB","?"))</f>
        <v> </v>
      </c>
      <c r="I797" s="26" t="str">
        <f>IF(OR(E797="",E797="!!!",F797="NEW"),"",INDEX(B796:B$2,-1+SUMPRODUCT(MAX(ROW(E796:E$2)*(E797=E796:E$2)))))</f>
        <v> </v>
      </c>
      <c r="J797" s="26" t="str">
        <f>IF(OR(E797="",E797="!!!",F797="NEW"),"",COUNTBLANK(OFFSET(A$1,,,SUMPRODUCT(MAX(ROW(E$2:E797)*(E797=E$2:E797)))))-COUNTBLANK(OFFSET(A$1,,,SUMPRODUCT(MAX(ROW(E$1:E796)*(E2=E$1:E796))))))</f>
        <v> </v>
      </c>
      <c r="K797" s="26" t="str">
        <f>IF(OR(E797="",E797="!!!",F797="NEW"),"",INDEX(J$1:J796,SUMPRODUCT(MAX(ROW(E$1:E796)*(E797=E$1:E796)))))</f>
        <v> </v>
      </c>
      <c r="L797" s="27"/>
    </row>
    <row r="798" spans="1:12">
      <c r="A798" s="20" t="s">
        <v>433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434</v>
      </c>
      <c r="B799" s="21" t="s">
        <v>74</v>
      </c>
      <c r="C799" s="21" t="s">
        <v>102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403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432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130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242</v>
      </c>
      <c r="B803" s="21" t="s">
        <v>204</v>
      </c>
      <c r="C803" s="21" t="s">
        <v>68</v>
      </c>
      <c r="D803" s="21" t="s">
        <v>52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76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144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66</v>
      </c>
      <c r="B806" s="21" t="s">
        <v>362</v>
      </c>
      <c r="C806" s="21" t="s">
        <v>68</v>
      </c>
      <c r="D806" s="21" t="s">
        <v>52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435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76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436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66</v>
      </c>
      <c r="B810" s="21" t="s">
        <v>437</v>
      </c>
      <c r="C810" s="21" t="s">
        <v>68</v>
      </c>
      <c r="D810" s="21" t="s">
        <v>52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130</v>
      </c>
      <c r="B811" s="21" t="s">
        <v>437</v>
      </c>
      <c r="C811" s="21" t="s">
        <v>97</v>
      </c>
      <c r="D811" s="21" t="s">
        <v>52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283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217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438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439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403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65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96</v>
      </c>
      <c r="B818" s="21" t="s">
        <v>440</v>
      </c>
      <c r="C818" s="21" t="s">
        <v>97</v>
      </c>
      <c r="D818" s="21" t="s">
        <v>52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441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75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76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231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89</v>
      </c>
      <c r="B823" s="21" t="s">
        <v>442</v>
      </c>
      <c r="C823" s="21" t="s">
        <v>90</v>
      </c>
      <c r="D823" s="21" t="s">
        <v>52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353</v>
      </c>
      <c r="B824" s="21" t="s">
        <v>364</v>
      </c>
      <c r="C824" s="21" t="s">
        <v>93</v>
      </c>
      <c r="D824" s="21" t="s">
        <v>52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224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66</v>
      </c>
      <c r="B826" s="21" t="s">
        <v>437</v>
      </c>
      <c r="C826" s="21" t="s">
        <v>68</v>
      </c>
      <c r="D826" s="21" t="s">
        <v>52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278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443</v>
      </c>
      <c r="B828" s="21" t="s">
        <v>444</v>
      </c>
      <c r="C828" s="21" t="s">
        <v>102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 t="s">
        <v>445</v>
      </c>
      <c r="E829" s="22">
        <f>IF(D829="?OLD","!!!","")</f>
        <v/>
      </c>
      <c r="F829" s="23" t="str">
        <f>IF(OR(E829="",E829="!!!"),"",IF(NOT(ISNA(VLOOKUP(E829,E$1:E828,1,FALSE()))),"OLD",IF(AND(E829&lt;&gt;"",E829&lt;&gt;"!!!"),"NEW","")))</f>
        <v> </v>
      </c>
      <c r="G829" s="24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5" t="str">
        <f>IF(J829&lt;&gt;1,"",IF(I829="SBJ","CB","?"))</f>
        <v> </v>
      </c>
      <c r="I829" s="26" t="str">
        <f>IF(OR(E829="",E829="!!!",F829="NEW"),"",INDEX(B828:B$2,-1+SUMPRODUCT(MAX(ROW(E828:E$2)*(E829=E828:E$2)))))</f>
        <v> </v>
      </c>
      <c r="J829" s="26" t="str">
        <f>IF(OR(E829="",E829="!!!",F829="NEW"),"",COUNTBLANK(OFFSET(A$1,,,SUMPRODUCT(MAX(ROW(E$2:E829)*(E829=E$2:E829)))))-COUNTBLANK(OFFSET(A$1,,,SUMPRODUCT(MAX(ROW(E$1:E828)*(E2=E$1:E828))))))</f>
        <v> </v>
      </c>
      <c r="K829" s="26" t="str">
        <f>IF(OR(E829="",E829="!!!",F829="NEW"),"",INDEX(J$1:J828,SUMPRODUCT(MAX(ROW(E$1:E828)*(E829=E$1:E828)))))</f>
        <v> </v>
      </c>
      <c r="L829" s="27"/>
    </row>
    <row r="830" spans="1:12">
      <c r="A830" s="20" t="s">
        <v>59</v>
      </c>
      <c r="E830" s="22">
        <f>IF(D830="?OLD","!!!","")</f>
        <v/>
      </c>
      <c r="F830" s="23" t="str">
        <f>IF(OR(E830="",E830="!!!"),"",IF(NOT(ISNA(VLOOKUP(E830,E$1:E829,1,FALSE()))),"OLD",IF(AND(E830&lt;&gt;"",E830&lt;&gt;"!!!"),"NEW","")))</f>
        <v> </v>
      </c>
      <c r="G830" s="24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5" t="str">
        <f>IF(J830&lt;&gt;1,"",IF(I830="SBJ","CB","?"))</f>
        <v> </v>
      </c>
      <c r="I830" s="26" t="str">
        <f>IF(OR(E830="",E830="!!!",F830="NEW"),"",INDEX(B829:B$2,-1+SUMPRODUCT(MAX(ROW(E829:E$2)*(E830=E829:E$2)))))</f>
        <v> </v>
      </c>
      <c r="J830" s="26" t="str">
        <f>IF(OR(E830="",E830="!!!",F830="NEW"),"",COUNTBLANK(OFFSET(A$1,,,SUMPRODUCT(MAX(ROW(E$2:E830)*(E830=E$2:E830)))))-COUNTBLANK(OFFSET(A$1,,,SUMPRODUCT(MAX(ROW(E$1:E829)*(E2=E$1:E829))))))</f>
        <v> </v>
      </c>
      <c r="K830" s="26" t="str">
        <f>IF(OR(E830="",E830="!!!",F830="NEW"),"",INDEX(J$1:J829,SUMPRODUCT(MAX(ROW(E$1:E829)*(E830=E$1:E829)))))</f>
        <v> </v>
      </c>
      <c r="L830" s="27"/>
    </row>
    <row r="831" spans="1:12">
      <c r="A831" s="20" t="s">
        <v>446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70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209</v>
      </c>
      <c r="B833" s="21" t="s">
        <v>447</v>
      </c>
      <c r="C833" s="21" t="s">
        <v>72</v>
      </c>
      <c r="D833" s="21" t="s">
        <v>52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112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278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448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449</v>
      </c>
      <c r="B837" s="21" t="s">
        <v>450</v>
      </c>
      <c r="C837" s="21" t="s">
        <v>102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76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451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76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112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230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145</v>
      </c>
      <c r="B843" s="21" t="s">
        <v>452</v>
      </c>
      <c r="C843" s="21" t="s">
        <v>88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61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358</v>
      </c>
      <c r="B845" s="21" t="s">
        <v>453</v>
      </c>
      <c r="C845" s="21" t="s">
        <v>90</v>
      </c>
      <c r="D845" s="21" t="s">
        <v>52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 t="s">
        <v>209</v>
      </c>
      <c r="B846" s="21" t="s">
        <v>454</v>
      </c>
      <c r="C846" s="21" t="s">
        <v>93</v>
      </c>
      <c r="D846" s="21" t="s">
        <v>52</v>
      </c>
      <c r="E846" s="22">
        <f>IF(D846="?OLD","!!!","")</f>
        <v/>
      </c>
      <c r="F846" s="23" t="str">
        <f>IF(OR(E846="",E846="!!!"),"",IF(NOT(ISNA(VLOOKUP(E846,E$1:E845,1,FALSE()))),"OLD",IF(AND(E846&lt;&gt;"",E846&lt;&gt;"!!!"),"NEW","")))</f>
        <v> </v>
      </c>
      <c r="G846" s="24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5" t="str">
        <f>IF(J846&lt;&gt;1,"",IF(I846="SBJ","CB","?"))</f>
        <v> </v>
      </c>
      <c r="I846" s="26" t="str">
        <f>IF(OR(E846="",E846="!!!",F846="NEW"),"",INDEX(B845:B$2,-1+SUMPRODUCT(MAX(ROW(E845:E$2)*(E846=E845:E$2)))))</f>
        <v> </v>
      </c>
      <c r="J846" s="26" t="str">
        <f>IF(OR(E846="",E846="!!!",F846="NEW"),"",COUNTBLANK(OFFSET(A$1,,,SUMPRODUCT(MAX(ROW(E$2:E846)*(E846=E$2:E846)))))-COUNTBLANK(OFFSET(A$1,,,SUMPRODUCT(MAX(ROW(E$1:E845)*(E2=E$1:E845))))))</f>
        <v> </v>
      </c>
      <c r="K846" s="26" t="str">
        <f>IF(OR(E846="",E846="!!!",F846="NEW"),"",INDEX(J$1:J845,SUMPRODUCT(MAX(ROW(E$1:E845)*(E846=E$1:E845)))))</f>
        <v> </v>
      </c>
      <c r="L846" s="27"/>
    </row>
    <row r="847" spans="1:12">
      <c r="A847" s="20" t="s">
        <v>455</v>
      </c>
      <c r="E847" s="22">
        <f>IF(D847="?OLD","!!!","")</f>
        <v/>
      </c>
      <c r="F847" s="23" t="str">
        <f>IF(OR(E847="",E847="!!!"),"",IF(NOT(ISNA(VLOOKUP(E847,E$1:E846,1,FALSE()))),"OLD",IF(AND(E847&lt;&gt;"",E847&lt;&gt;"!!!"),"NEW","")))</f>
        <v> </v>
      </c>
      <c r="G847" s="24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5" t="str">
        <f>IF(J847&lt;&gt;1,"",IF(I847="SBJ","CB","?"))</f>
        <v> </v>
      </c>
      <c r="I847" s="26" t="str">
        <f>IF(OR(E847="",E847="!!!",F847="NEW"),"",INDEX(B846:B$2,-1+SUMPRODUCT(MAX(ROW(E846:E$2)*(E847=E846:E$2)))))</f>
        <v> </v>
      </c>
      <c r="J847" s="26" t="str">
        <f>IF(OR(E847="",E847="!!!",F847="NEW"),"",COUNTBLANK(OFFSET(A$1,,,SUMPRODUCT(MAX(ROW(E$2:E847)*(E847=E$2:E847)))))-COUNTBLANK(OFFSET(A$1,,,SUMPRODUCT(MAX(ROW(E$1:E846)*(E2=E$1:E846))))))</f>
        <v> </v>
      </c>
      <c r="K847" s="26" t="str">
        <f>IF(OR(E847="",E847="!!!",F847="NEW"),"",INDEX(J$1:J846,SUMPRODUCT(MAX(ROW(E$1:E846)*(E847=E$1:E846)))))</f>
        <v> </v>
      </c>
      <c r="L847" s="27"/>
    </row>
    <row r="848" spans="1:12">
      <c r="A848" s="20" t="s">
        <v>456</v>
      </c>
      <c r="B848" s="21" t="s">
        <v>457</v>
      </c>
      <c r="C848" s="21" t="s">
        <v>458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459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103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422</v>
      </c>
      <c r="B851" s="21" t="s">
        <v>108</v>
      </c>
      <c r="C851" s="21" t="s">
        <v>129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126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130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460</v>
      </c>
      <c r="B854" s="21" t="s">
        <v>222</v>
      </c>
      <c r="C854" s="21" t="s">
        <v>58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76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79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358</v>
      </c>
      <c r="B857" s="21" t="s">
        <v>364</v>
      </c>
      <c r="C857" s="21" t="s">
        <v>90</v>
      </c>
      <c r="D857" s="21" t="s">
        <v>52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461</v>
      </c>
      <c r="B858" s="21" t="s">
        <v>303</v>
      </c>
      <c r="C858" s="21" t="s">
        <v>93</v>
      </c>
      <c r="D858" s="21" t="s">
        <v>52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242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86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462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103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463</v>
      </c>
      <c r="B863" s="21" t="s">
        <v>193</v>
      </c>
      <c r="C863" s="21" t="s">
        <v>68</v>
      </c>
      <c r="D863" s="21" t="s">
        <v>52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464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283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465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76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144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466</v>
      </c>
      <c r="B869" s="21" t="s">
        <v>173</v>
      </c>
      <c r="C869" s="21" t="s">
        <v>51</v>
      </c>
      <c r="D869" s="21" t="s">
        <v>52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194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 t="s">
        <v>467</v>
      </c>
      <c r="E871" s="22">
        <f>IF(D871="?OLD","!!!","")</f>
        <v/>
      </c>
      <c r="F871" s="23" t="str">
        <f>IF(OR(E871="",E871="!!!"),"",IF(NOT(ISNA(VLOOKUP(E871,E$1:E870,1,FALSE()))),"OLD",IF(AND(E871&lt;&gt;"",E871&lt;&gt;"!!!"),"NEW","")))</f>
        <v> </v>
      </c>
      <c r="G871" s="24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5" t="str">
        <f>IF(J871&lt;&gt;1,"",IF(I871="SBJ","CB","?"))</f>
        <v> </v>
      </c>
      <c r="I871" s="26" t="str">
        <f>IF(OR(E871="",E871="!!!",F871="NEW"),"",INDEX(B870:B$2,-1+SUMPRODUCT(MAX(ROW(E870:E$2)*(E871=E870:E$2)))))</f>
        <v> </v>
      </c>
      <c r="J871" s="26" t="str">
        <f>IF(OR(E871="",E871="!!!",F871="NEW"),"",COUNTBLANK(OFFSET(A$1,,,SUMPRODUCT(MAX(ROW(E$2:E871)*(E871=E$2:E871)))))-COUNTBLANK(OFFSET(A$1,,,SUMPRODUCT(MAX(ROW(E$1:E870)*(E2=E$1:E870))))))</f>
        <v> </v>
      </c>
      <c r="K871" s="26" t="str">
        <f>IF(OR(E871="",E871="!!!",F871="NEW"),"",INDEX(J$1:J870,SUMPRODUCT(MAX(ROW(E$1:E870)*(E871=E$1:E870)))))</f>
        <v> </v>
      </c>
      <c r="L871" s="27"/>
    </row>
    <row r="872" spans="1:12">
      <c r="A872" s="20" t="s">
        <v>468</v>
      </c>
      <c r="B872" s="21" t="s">
        <v>110</v>
      </c>
      <c r="C872" s="21" t="s">
        <v>102</v>
      </c>
      <c r="E872" s="22">
        <f>IF(D872="?OLD","!!!","")</f>
        <v/>
      </c>
      <c r="F872" s="23" t="str">
        <f>IF(OR(E872="",E872="!!!"),"",IF(NOT(ISNA(VLOOKUP(E872,E$1:E871,1,FALSE()))),"OLD",IF(AND(E872&lt;&gt;"",E872&lt;&gt;"!!!"),"NEW","")))</f>
        <v> </v>
      </c>
      <c r="G872" s="24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5" t="str">
        <f>IF(J872&lt;&gt;1,"",IF(I872="SBJ","CB","?"))</f>
        <v> </v>
      </c>
      <c r="I872" s="26" t="str">
        <f>IF(OR(E872="",E872="!!!",F872="NEW"),"",INDEX(B871:B$2,-1+SUMPRODUCT(MAX(ROW(E871:E$2)*(E872=E871:E$2)))))</f>
        <v> </v>
      </c>
      <c r="J872" s="26" t="str">
        <f>IF(OR(E872="",E872="!!!",F872="NEW"),"",COUNTBLANK(OFFSET(A$1,,,SUMPRODUCT(MAX(ROW(E$2:E872)*(E872=E$2:E872)))))-COUNTBLANK(OFFSET(A$1,,,SUMPRODUCT(MAX(ROW(E$1:E871)*(E2=E$1:E871))))))</f>
        <v> </v>
      </c>
      <c r="K872" s="26" t="str">
        <f>IF(OR(E872="",E872="!!!",F872="NEW"),"",INDEX(J$1:J871,SUMPRODUCT(MAX(ROW(E$1:E871)*(E872=E$1:E871)))))</f>
        <v> </v>
      </c>
      <c r="L872" s="27"/>
    </row>
    <row r="873" spans="1:12">
      <c r="A873" s="20" t="s">
        <v>239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469</v>
      </c>
      <c r="B874" s="21" t="s">
        <v>108</v>
      </c>
      <c r="C874" s="21" t="s">
        <v>58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126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103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212</v>
      </c>
      <c r="B877" s="21" t="s">
        <v>173</v>
      </c>
      <c r="C877" s="21" t="s">
        <v>68</v>
      </c>
      <c r="D877" s="21" t="s">
        <v>52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224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470</v>
      </c>
      <c r="B879" s="21" t="s">
        <v>437</v>
      </c>
      <c r="C879" s="21" t="s">
        <v>58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306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471</v>
      </c>
      <c r="B881" s="21" t="s">
        <v>442</v>
      </c>
      <c r="C881" s="21" t="s">
        <v>88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109</v>
      </c>
      <c r="B882" s="21" t="s">
        <v>364</v>
      </c>
      <c r="C882" s="21" t="s">
        <v>129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73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472</v>
      </c>
      <c r="B884" s="21" t="s">
        <v>364</v>
      </c>
      <c r="C884" s="21" t="s">
        <v>58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69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70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218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124</v>
      </c>
      <c r="B888" s="21" t="s">
        <v>442</v>
      </c>
      <c r="C888" s="21" t="s">
        <v>72</v>
      </c>
      <c r="D888" s="21" t="s">
        <v>52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473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103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474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70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466</v>
      </c>
      <c r="B893" s="21" t="s">
        <v>412</v>
      </c>
      <c r="C893" s="21" t="s">
        <v>72</v>
      </c>
      <c r="D893" s="21" t="s">
        <v>52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86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446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76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475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106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70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469</v>
      </c>
      <c r="B900" s="21" t="s">
        <v>249</v>
      </c>
      <c r="C900" s="21" t="s">
        <v>72</v>
      </c>
      <c r="D900" s="21" t="s">
        <v>52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131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84</v>
      </c>
      <c r="B902" s="21" t="s">
        <v>303</v>
      </c>
      <c r="C902" s="21" t="s">
        <v>72</v>
      </c>
      <c r="D902" s="21" t="s">
        <v>52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217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103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65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66</v>
      </c>
      <c r="B906" s="21" t="s">
        <v>110</v>
      </c>
      <c r="C906" s="21" t="s">
        <v>68</v>
      </c>
      <c r="D906" s="21" t="s">
        <v>52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341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113</v>
      </c>
      <c r="B908" s="21" t="s">
        <v>222</v>
      </c>
      <c r="C908" s="21" t="s">
        <v>90</v>
      </c>
      <c r="D908" s="21" t="s">
        <v>52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377</v>
      </c>
      <c r="B909" s="21" t="s">
        <v>220</v>
      </c>
      <c r="C909" s="21" t="s">
        <v>93</v>
      </c>
      <c r="D909" s="21" t="s">
        <v>52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 t="s">
        <v>86</v>
      </c>
      <c r="E910" s="22">
        <f>IF(D910="?OLD","!!!","")</f>
        <v/>
      </c>
      <c r="F910" s="23" t="str">
        <f>IF(OR(E910="",E910="!!!"),"",IF(NOT(ISNA(VLOOKUP(E910,E$1:E909,1,FALSE()))),"OLD",IF(AND(E910&lt;&gt;"",E910&lt;&gt;"!!!"),"NEW","")))</f>
        <v> </v>
      </c>
      <c r="G910" s="24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5" t="str">
        <f>IF(J910&lt;&gt;1,"",IF(I910="SBJ","CB","?"))</f>
        <v> </v>
      </c>
      <c r="I910" s="26" t="str">
        <f>IF(OR(E910="",E910="!!!",F910="NEW"),"",INDEX(B909:B$2,-1+SUMPRODUCT(MAX(ROW(E909:E$2)*(E910=E909:E$2)))))</f>
        <v> </v>
      </c>
      <c r="J910" s="26" t="str">
        <f>IF(OR(E910="",E910="!!!",F910="NEW"),"",COUNTBLANK(OFFSET(A$1,,,SUMPRODUCT(MAX(ROW(E$2:E910)*(E910=E$2:E910)))))-COUNTBLANK(OFFSET(A$1,,,SUMPRODUCT(MAX(ROW(E$1:E909)*(E2=E$1:E909))))))</f>
        <v> </v>
      </c>
      <c r="K910" s="26" t="str">
        <f>IF(OR(E910="",E910="!!!",F910="NEW"),"",INDEX(J$1:J909,SUMPRODUCT(MAX(ROW(E$1:E909)*(E910=E$1:E909)))))</f>
        <v> </v>
      </c>
      <c r="L910" s="27"/>
    </row>
    <row r="911" spans="1:12">
      <c r="A911" s="20" t="s">
        <v>476</v>
      </c>
      <c r="E911" s="22">
        <f>IF(D911="?OLD","!!!","")</f>
        <v/>
      </c>
      <c r="F911" s="23" t="str">
        <f>IF(OR(E911="",E911="!!!"),"",IF(NOT(ISNA(VLOOKUP(E911,E$1:E910,1,FALSE()))),"OLD",IF(AND(E911&lt;&gt;"",E911&lt;&gt;"!!!"),"NEW","")))</f>
        <v> </v>
      </c>
      <c r="G911" s="24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5" t="str">
        <f>IF(J911&lt;&gt;1,"",IF(I911="SBJ","CB","?"))</f>
        <v> </v>
      </c>
      <c r="I911" s="26" t="str">
        <f>IF(OR(E911="",E911="!!!",F911="NEW"),"",INDEX(B910:B$2,-1+SUMPRODUCT(MAX(ROW(E910:E$2)*(E911=E910:E$2)))))</f>
        <v> </v>
      </c>
      <c r="J911" s="26" t="str">
        <f>IF(OR(E911="",E911="!!!",F911="NEW"),"",COUNTBLANK(OFFSET(A$1,,,SUMPRODUCT(MAX(ROW(E$2:E911)*(E911=E$2:E911)))))-COUNTBLANK(OFFSET(A$1,,,SUMPRODUCT(MAX(ROW(E$1:E910)*(E2=E$1:E910))))))</f>
        <v> </v>
      </c>
      <c r="K911" s="26" t="str">
        <f>IF(OR(E911="",E911="!!!",F911="NEW"),"",INDEX(J$1:J910,SUMPRODUCT(MAX(ROW(E$1:E910)*(E911=E$1:E910)))))</f>
        <v> </v>
      </c>
      <c r="L911" s="27"/>
    </row>
    <row r="912" spans="1:12">
      <c r="A912" s="20" t="s">
        <v>76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/>
    </row>
    <row r="914" spans="1:12">
      <c r="A914" s="20" t="s">
        <v>477</v>
      </c>
    </row>
    <row r="915" spans="1:12">
      <c r="A915" s="20" t="s">
        <v>187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478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479</v>
      </c>
      <c r="B917" s="21" t="s">
        <v>262</v>
      </c>
      <c r="C917" s="21" t="s">
        <v>58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480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76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481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66</v>
      </c>
      <c r="B921" s="21" t="s">
        <v>67</v>
      </c>
      <c r="C921" s="21" t="s">
        <v>68</v>
      </c>
      <c r="D921" s="21" t="s">
        <v>52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121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122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123</v>
      </c>
      <c r="B924" s="21" t="s">
        <v>120</v>
      </c>
      <c r="C924" s="21" t="s">
        <v>102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 t="s">
        <v>183</v>
      </c>
      <c r="E925" s="22">
        <f>IF(D925="?OLD","!!!","")</f>
        <v/>
      </c>
      <c r="F925" s="23" t="str">
        <f>IF(OR(E925="",E925="!!!"),"",IF(NOT(ISNA(VLOOKUP(E925,E$1:E924,1,FALSE()))),"OLD",IF(AND(E925&lt;&gt;"",E925&lt;&gt;"!!!"),"NEW","")))</f>
        <v> </v>
      </c>
      <c r="G925" s="24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5" t="str">
        <f>IF(J925&lt;&gt;1,"",IF(I925="SBJ","CB","?"))</f>
        <v> </v>
      </c>
      <c r="I925" s="26" t="str">
        <f>IF(OR(E925="",E925="!!!",F925="NEW"),"",INDEX(B924:B$2,-1+SUMPRODUCT(MAX(ROW(E924:E$2)*(E925=E924:E$2)))))</f>
        <v> </v>
      </c>
      <c r="J925" s="26" t="str">
        <f>IF(OR(E925="",E925="!!!",F925="NEW"),"",COUNTBLANK(OFFSET(A$1,,,SUMPRODUCT(MAX(ROW(E$2:E925)*(E925=E$2:E925)))))-COUNTBLANK(OFFSET(A$1,,,SUMPRODUCT(MAX(ROW(E$1:E924)*(E2=E$1:E924))))))</f>
        <v> </v>
      </c>
      <c r="K925" s="26" t="str">
        <f>IF(OR(E925="",E925="!!!",F925="NEW"),"",INDEX(J$1:J924,SUMPRODUCT(MAX(ROW(E$1:E924)*(E925=E$1:E924)))))</f>
        <v> </v>
      </c>
      <c r="L925" s="27"/>
    </row>
    <row r="926" spans="1:12">
      <c r="A926" s="20" t="s">
        <v>482</v>
      </c>
      <c r="B926" s="21" t="s">
        <v>87</v>
      </c>
      <c r="C926" s="21" t="s">
        <v>72</v>
      </c>
      <c r="D926" s="21" t="s">
        <v>52</v>
      </c>
      <c r="E926" s="22">
        <f>IF(D926="?OLD","!!!","")</f>
        <v/>
      </c>
      <c r="F926" s="23" t="str">
        <f>IF(OR(E926="",E926="!!!"),"",IF(NOT(ISNA(VLOOKUP(E926,E$1:E925,1,FALSE()))),"OLD",IF(AND(E926&lt;&gt;"",E926&lt;&gt;"!!!"),"NEW","")))</f>
        <v> </v>
      </c>
      <c r="G926" s="24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5" t="str">
        <f>IF(J926&lt;&gt;1,"",IF(I926="SBJ","CB","?"))</f>
        <v> </v>
      </c>
      <c r="I926" s="26" t="str">
        <f>IF(OR(E926="",E926="!!!",F926="NEW"),"",INDEX(B925:B$2,-1+SUMPRODUCT(MAX(ROW(E925:E$2)*(E926=E925:E$2)))))</f>
        <v> </v>
      </c>
      <c r="J926" s="26" t="str">
        <f>IF(OR(E926="",E926="!!!",F926="NEW"),"",COUNTBLANK(OFFSET(A$1,,,SUMPRODUCT(MAX(ROW(E$2:E926)*(E926=E$2:E926)))))-COUNTBLANK(OFFSET(A$1,,,SUMPRODUCT(MAX(ROW(E$1:E925)*(E2=E$1:E925))))))</f>
        <v> </v>
      </c>
      <c r="K926" s="26" t="str">
        <f>IF(OR(E926="",E926="!!!",F926="NEW"),"",INDEX(J$1:J925,SUMPRODUCT(MAX(ROW(E$1:E925)*(E926=E$1:E925)))))</f>
        <v> </v>
      </c>
      <c r="L926" s="27"/>
    </row>
    <row r="927" spans="1:12">
      <c r="A927" s="20" t="s">
        <v>483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469</v>
      </c>
      <c r="B928" s="21" t="s">
        <v>74</v>
      </c>
      <c r="C928" s="21" t="s">
        <v>58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103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484</v>
      </c>
      <c r="B930" s="21" t="s">
        <v>262</v>
      </c>
      <c r="C930" s="21" t="s">
        <v>51</v>
      </c>
      <c r="D930" s="21" t="s">
        <v>52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224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66</v>
      </c>
      <c r="B932" s="21" t="s">
        <v>151</v>
      </c>
      <c r="C932" s="21" t="s">
        <v>68</v>
      </c>
      <c r="D932" s="21" t="s">
        <v>52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70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485</v>
      </c>
      <c r="B934" s="21" t="s">
        <v>262</v>
      </c>
      <c r="C934" s="21" t="s">
        <v>72</v>
      </c>
      <c r="D934" s="21" t="s">
        <v>52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76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486</v>
      </c>
      <c r="B936" s="21" t="s">
        <v>193</v>
      </c>
      <c r="C936" s="21" t="s">
        <v>58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86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487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76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70</v>
      </c>
      <c r="B940" s="21" t="s">
        <v>110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488</v>
      </c>
      <c r="B941" s="21" t="s">
        <v>108</v>
      </c>
      <c r="C941" s="21" t="s">
        <v>137</v>
      </c>
      <c r="D941" s="21" t="s">
        <v>52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421</v>
      </c>
      <c r="B942" s="21" t="s">
        <v>193</v>
      </c>
      <c r="C942" s="21" t="s">
        <v>58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61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206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311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123</v>
      </c>
      <c r="B946" s="21" t="s">
        <v>87</v>
      </c>
      <c r="C946" s="21" t="s">
        <v>102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489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103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160</v>
      </c>
      <c r="B949" s="21" t="s">
        <v>110</v>
      </c>
      <c r="C949" s="21" t="s">
        <v>97</v>
      </c>
      <c r="D949" s="21" t="s">
        <v>52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340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76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144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66</v>
      </c>
      <c r="B953" s="21" t="s">
        <v>173</v>
      </c>
      <c r="C953" s="21" t="s">
        <v>68</v>
      </c>
      <c r="D953" s="21" t="s">
        <v>52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158</v>
      </c>
      <c r="B954" s="21" t="s">
        <v>222</v>
      </c>
      <c r="C954" s="21" t="s">
        <v>90</v>
      </c>
      <c r="D954" s="21" t="s">
        <v>52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490</v>
      </c>
      <c r="B955" s="21" t="s">
        <v>220</v>
      </c>
      <c r="C955" s="21" t="s">
        <v>93</v>
      </c>
      <c r="D955" s="21" t="s">
        <v>52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224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103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212</v>
      </c>
      <c r="B958" s="21" t="s">
        <v>173</v>
      </c>
      <c r="C958" s="21" t="s">
        <v>68</v>
      </c>
      <c r="D958" s="21" t="s">
        <v>52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224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396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70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491</v>
      </c>
      <c r="B962" s="21" t="s">
        <v>220</v>
      </c>
      <c r="C962" s="21" t="s">
        <v>72</v>
      </c>
      <c r="D962" s="21" t="s">
        <v>52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130</v>
      </c>
      <c r="B963" s="21" t="s">
        <v>173</v>
      </c>
      <c r="C963" s="21" t="s">
        <v>97</v>
      </c>
      <c r="D963" s="21" t="s">
        <v>52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86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438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103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427</v>
      </c>
      <c r="B967" s="21" t="s">
        <v>204</v>
      </c>
      <c r="C967" s="21" t="s">
        <v>68</v>
      </c>
      <c r="D967" s="21" t="s">
        <v>52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126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304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121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209</v>
      </c>
      <c r="B971" s="21" t="s">
        <v>220</v>
      </c>
      <c r="C971" s="21" t="s">
        <v>102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403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492</v>
      </c>
      <c r="B973" s="21" t="s">
        <v>173</v>
      </c>
      <c r="C973" s="21" t="s">
        <v>88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411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 t="s">
        <v>493</v>
      </c>
      <c r="E975" s="22">
        <f>IF(D975="?OLD","!!!","")</f>
        <v/>
      </c>
      <c r="F975" s="23" t="str">
        <f>IF(OR(E975="",E975="!!!"),"",IF(NOT(ISNA(VLOOKUP(E975,E$1:E974,1,FALSE()))),"OLD",IF(AND(E975&lt;&gt;"",E975&lt;&gt;"!!!"),"NEW","")))</f>
        <v> </v>
      </c>
      <c r="G975" s="24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5" t="str">
        <f>IF(J975&lt;&gt;1,"",IF(I975="SBJ","CB","?"))</f>
        <v> </v>
      </c>
      <c r="I975" s="26" t="str">
        <f>IF(OR(E975="",E975="!!!",F975="NEW"),"",INDEX(B974:B$2,-1+SUMPRODUCT(MAX(ROW(E974:E$2)*(E975=E974:E$2)))))</f>
        <v> </v>
      </c>
      <c r="J975" s="26" t="str">
        <f>IF(OR(E975="",E975="!!!",F975="NEW"),"",COUNTBLANK(OFFSET(A$1,,,SUMPRODUCT(MAX(ROW(E$2:E975)*(E975=E$2:E975)))))-COUNTBLANK(OFFSET(A$1,,,SUMPRODUCT(MAX(ROW(E$1:E974)*(E2=E$1:E974))))))</f>
        <v> </v>
      </c>
      <c r="K975" s="26" t="str">
        <f>IF(OR(E975="",E975="!!!",F975="NEW"),"",INDEX(J$1:J974,SUMPRODUCT(MAX(ROW(E$1:E974)*(E975=E$1:E974)))))</f>
        <v> </v>
      </c>
      <c r="L975" s="27"/>
    </row>
    <row r="976" spans="1:12">
      <c r="A976" s="20" t="s">
        <v>76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194</v>
      </c>
      <c r="E977" s="22">
        <f>IF(D977="?OLD","!!!","")</f>
        <v/>
      </c>
      <c r="F977" s="23" t="str">
        <f>IF(OR(E977="",E977="!!!"),"",IF(NOT(ISNA(VLOOKUP(E977,E$1:E976,1,FALSE()))),"OLD",IF(AND(E977&lt;&gt;"",E977&lt;&gt;"!!!"),"NEW","")))</f>
        <v> </v>
      </c>
      <c r="G977" s="24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5" t="str">
        <f>IF(J977&lt;&gt;1,"",IF(I977="SBJ","CB","?"))</f>
        <v> </v>
      </c>
      <c r="I977" s="26" t="str">
        <f>IF(OR(E977="",E977="!!!",F977="NEW"),"",INDEX(B976:B$2,-1+SUMPRODUCT(MAX(ROW(E976:E$2)*(E977=E976:E$2)))))</f>
        <v> </v>
      </c>
      <c r="J977" s="26" t="str">
        <f>IF(OR(E977="",E977="!!!",F977="NEW"),"",COUNTBLANK(OFFSET(A$1,,,SUMPRODUCT(MAX(ROW(E$2:E977)*(E977=E$2:E977)))))-COUNTBLANK(OFFSET(A$1,,,SUMPRODUCT(MAX(ROW(E$1:E976)*(E2=E$1:E976))))))</f>
        <v> </v>
      </c>
      <c r="K977" s="26" t="str">
        <f>IF(OR(E977="",E977="!!!",F977="NEW"),"",INDEX(J$1:J976,SUMPRODUCT(MAX(ROW(E$1:E976)*(E977=E$1:E976)))))</f>
        <v> </v>
      </c>
      <c r="L977" s="27"/>
    </row>
    <row r="978" spans="1:12">
      <c r="A978" s="20" t="s">
        <v>494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495</v>
      </c>
      <c r="B979" s="21" t="s">
        <v>246</v>
      </c>
      <c r="C979" s="21" t="s">
        <v>102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76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121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496</v>
      </c>
      <c r="B982" s="21" t="s">
        <v>210</v>
      </c>
      <c r="C982" s="21" t="s">
        <v>102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73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81</v>
      </c>
      <c r="B984" s="21" t="s">
        <v>303</v>
      </c>
      <c r="C984" s="21" t="s">
        <v>58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59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497</v>
      </c>
      <c r="B986" s="21" t="s">
        <v>364</v>
      </c>
      <c r="C986" s="21" t="s">
        <v>58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103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160</v>
      </c>
      <c r="B988" s="21" t="s">
        <v>204</v>
      </c>
      <c r="C988" s="21" t="s">
        <v>97</v>
      </c>
      <c r="D988" s="21" t="s">
        <v>52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340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106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76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121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209</v>
      </c>
      <c r="B993" s="21" t="s">
        <v>249</v>
      </c>
      <c r="C993" s="21" t="s">
        <v>102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126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70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498</v>
      </c>
      <c r="B996" s="21" t="s">
        <v>246</v>
      </c>
      <c r="C996" s="21" t="s">
        <v>72</v>
      </c>
      <c r="D996" s="21" t="s">
        <v>52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131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 t="s">
        <v>132</v>
      </c>
      <c r="B998" s="21" t="s">
        <v>210</v>
      </c>
      <c r="C998" s="21" t="s">
        <v>72</v>
      </c>
      <c r="D998" s="21" t="s">
        <v>52</v>
      </c>
      <c r="E998" s="22">
        <f>IF(D998="?OLD","!!!","")</f>
        <v/>
      </c>
      <c r="F998" s="23" t="str">
        <f>IF(OR(E998="",E998="!!!"),"",IF(NOT(ISNA(VLOOKUP(E998,E$1:E997,1,FALSE()))),"OLD",IF(AND(E998&lt;&gt;"",E998&lt;&gt;"!!!"),"NEW","")))</f>
        <v> </v>
      </c>
      <c r="G998" s="24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5" t="str">
        <f>IF(J998&lt;&gt;1,"",IF(I998="SBJ","CB","?"))</f>
        <v> </v>
      </c>
      <c r="I998" s="26" t="str">
        <f>IF(OR(E998="",E998="!!!",F998="NEW"),"",INDEX(B997:B$2,-1+SUMPRODUCT(MAX(ROW(E997:E$2)*(E998=E997:E$2)))))</f>
        <v> </v>
      </c>
      <c r="J998" s="26" t="str">
        <f>IF(OR(E998="",E998="!!!",F998="NEW"),"",COUNTBLANK(OFFSET(A$1,,,SUMPRODUCT(MAX(ROW(E$2:E998)*(E998=E$2:E998)))))-COUNTBLANK(OFFSET(A$1,,,SUMPRODUCT(MAX(ROW(E$1:E997)*(E2=E$1:E997))))))</f>
        <v> </v>
      </c>
      <c r="K998" s="26" t="str">
        <f>IF(OR(E998="",E998="!!!",F998="NEW"),"",INDEX(J$1:J997,SUMPRODUCT(MAX(ROW(E$1:E997)*(E998=E$1:E997)))))</f>
        <v> </v>
      </c>
      <c r="L998" s="27"/>
    </row>
    <row r="999" spans="1:12">
      <c r="A999" s="20" t="s">
        <v>131</v>
      </c>
      <c r="E999" s="22">
        <f>IF(D999="?OLD","!!!","")</f>
        <v/>
      </c>
      <c r="F999" s="23" t="str">
        <f>IF(OR(E999="",E999="!!!"),"",IF(NOT(ISNA(VLOOKUP(E999,E$1:E998,1,FALSE()))),"OLD",IF(AND(E999&lt;&gt;"",E999&lt;&gt;"!!!"),"NEW","")))</f>
        <v> </v>
      </c>
      <c r="G999" s="24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5" t="str">
        <f>IF(J999&lt;&gt;1,"",IF(I999="SBJ","CB","?"))</f>
        <v> </v>
      </c>
      <c r="I999" s="26" t="str">
        <f>IF(OR(E999="",E999="!!!",F999="NEW"),"",INDEX(B998:B$2,-1+SUMPRODUCT(MAX(ROW(E998:E$2)*(E999=E998:E$2)))))</f>
        <v> </v>
      </c>
      <c r="J999" s="26" t="str">
        <f>IF(OR(E999="",E999="!!!",F999="NEW"),"",COUNTBLANK(OFFSET(A$1,,,SUMPRODUCT(MAX(ROW(E$2:E999)*(E999=E$2:E999)))))-COUNTBLANK(OFFSET(A$1,,,SUMPRODUCT(MAX(ROW(E$1:E998)*(E2=E$1:E998))))))</f>
        <v> </v>
      </c>
      <c r="K999" s="26" t="str">
        <f>IF(OR(E999="",E999="!!!",F999="NEW"),"",INDEX(J$1:J998,SUMPRODUCT(MAX(ROW(E$1:E998)*(E999=E$1:E998)))))</f>
        <v> </v>
      </c>
      <c r="L999" s="27"/>
    </row>
    <row r="1000" spans="1:12">
      <c r="A1000" s="20" t="s">
        <v>203</v>
      </c>
      <c r="B1000" s="21" t="s">
        <v>303</v>
      </c>
      <c r="C1000" s="21" t="s">
        <v>72</v>
      </c>
      <c r="D1000" s="21" t="s">
        <v>52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76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70</v>
      </c>
      <c r="B1002" s="21" t="s">
        <v>440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275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499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103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65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66</v>
      </c>
      <c r="B1007" s="21" t="s">
        <v>173</v>
      </c>
      <c r="C1007" s="21" t="s">
        <v>68</v>
      </c>
      <c r="D1007" s="21" t="s">
        <v>52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429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142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76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70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132</v>
      </c>
      <c r="B1012" s="21" t="s">
        <v>246</v>
      </c>
      <c r="C1012" s="21" t="s">
        <v>72</v>
      </c>
      <c r="D1012" s="21" t="s">
        <v>52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360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86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500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76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501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66</v>
      </c>
      <c r="B1018" s="21" t="s">
        <v>173</v>
      </c>
      <c r="C1018" s="21" t="s">
        <v>68</v>
      </c>
      <c r="D1018" s="21" t="s">
        <v>52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121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502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503</v>
      </c>
      <c r="B1021" s="21" t="s">
        <v>220</v>
      </c>
      <c r="C1021" s="21" t="s">
        <v>102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76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70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421</v>
      </c>
      <c r="B1024" s="21" t="s">
        <v>220</v>
      </c>
      <c r="C1024" s="21" t="s">
        <v>72</v>
      </c>
      <c r="D1024" s="21" t="s">
        <v>52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86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504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76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70</v>
      </c>
      <c r="B1028" s="21" t="s">
        <v>204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66</v>
      </c>
      <c r="B1029" s="21" t="s">
        <v>204</v>
      </c>
      <c r="C1029" s="21" t="s">
        <v>68</v>
      </c>
      <c r="D1029" s="21" t="s">
        <v>52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505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501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103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506</v>
      </c>
      <c r="B1033" s="21" t="s">
        <v>50</v>
      </c>
      <c r="C1033" s="21" t="s">
        <v>58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2024-05-19T12:50:49Z</dcterms:created>
  <dcterms:modified xsi:type="dcterms:W3CDTF">2024-05-19T12:50:49Z</dcterms:modified>
</cp:coreProperties>
</file>