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<sst xmlns="http://schemas.openxmlformats.org/spreadsheetml/2006/main" count="7390" uniqueCount="1953">
  <si>
    <t>ID</t>
  </si>
  <si>
    <t>PRED_ID</t>
  </si>
  <si>
    <t>MARKER_AUTO</t>
  </si>
  <si>
    <t>PREDICATE</t>
  </si>
  <si>
    <t>TEXT</t>
  </si>
  <si>
    <t>SENTENCE</t>
  </si>
  <si>
    <t>MARKER</t>
  </si>
  <si>
    <t>TARGET</t>
  </si>
  <si>
    <t>RELATION</t>
  </si>
  <si>
    <t>COMMENT</t>
  </si>
  <si>
    <t>1</t>
  </si>
  <si>
    <t>2</t>
  </si>
  <si>
    <t>_</t>
  </si>
  <si>
    <t>wachsen</t>
  </si>
  <si>
    <t>Ich wuchs mit einer gehörigen Portion Science Fiction auf .</t>
  </si>
  <si>
    <t>file://conllu/de/teddy-807.conllu#s1_0</t>
  </si>
  <si>
    <t>4</t>
  </si>
  <si>
    <t>fahren</t>
  </si>
  <si>
    <t>In meiner Schulzeit fuhr ich mit dem Bus zur zu der Schule , jeden Tag eine Stunde pro Strecke .</t>
  </si>
  <si>
    <t>file://conllu/de/teddy-807.conllu#s2_0</t>
  </si>
  <si>
    <t>3</t>
  </si>
  <si>
    <t>stecken</t>
  </si>
  <si>
    <t>Und meine Nase steckte immer in einem Buch , einem Science Fiction Buch , das meine Gedanken in andere Welten entführte und auf erzählerische Weise meine tief in mir sitzende , unersättliche Neugier befriedigte .</t>
  </si>
  <si>
    <t>file://conllu/de/teddy-807.conllu#s3_0</t>
  </si>
  <si>
    <t>zeigen</t>
  </si>
  <si>
    <t>Diese Neugier zeigte sich auch darin , dass ich immer , wenn ich nicht in der Schule war , durch die Wälder streunte , wanderte und &amp;quot; Proben &amp;quot; sammelte , Frösche und Schlangen und Käfer und Teichwasser , alles nach Hause brachte und unter dem Mikroskop betrachtete .</t>
  </si>
  <si>
    <t>file://conllu/de/teddy-807.conllu#s4_0</t>
  </si>
  <si>
    <t>5</t>
  </si>
  <si>
    <t>sein (sein wissenschaftsbegeistern)</t>
  </si>
  <si>
    <t>Ich war total wissenschaftsbegeistert , wissen Sie .</t>
  </si>
  <si>
    <t>file://conllu/de/teddy-807.conllu#s5_0</t>
  </si>
  <si>
    <t>6</t>
  </si>
  <si>
    <t>gehen</t>
  </si>
  <si>
    <t>Es ging dabei immer um den Versuch , die Welt zu verstehen und die Grenzen des Möglichen auszuloten .</t>
  </si>
  <si>
    <t>file://conllu/de/teddy-807.conllu#s6_0</t>
  </si>
  <si>
    <t>7</t>
  </si>
  <si>
    <t>scheinen</t>
  </si>
  <si>
    <t>Und meine Liebe zu Science Fiction schien sich in meiner Umgebung widerzuspiegeln , denn damals , in den späten 60ern , flogen wir zum zu dem Mond und erforschten die Tiefsee .</t>
  </si>
  <si>
    <t>file://conllu/de/teddy-807.conllu#s7_0</t>
  </si>
  <si>
    <t>8</t>
  </si>
  <si>
    <t>kommen</t>
  </si>
  <si>
    <t>Jacques Cousteau kam in unsere Wohnzimmer mit seinen faszinierenden Sendungen , die uns Tiere und Orte und eine Welt voller Wunder zeigten , die wir uns vorher nie hätten vorstellen können .</t>
  </si>
  <si>
    <t>file://conllu/de/teddy-807.conllu#s8_0</t>
  </si>
  <si>
    <t>9</t>
  </si>
  <si>
    <t>14</t>
  </si>
  <si>
    <t>passen</t>
  </si>
  <si>
    <t>Das hat dann wohl ganz gut zu jener Science Fiction Rolle gepasst .</t>
  </si>
  <si>
    <t>file://conllu/de/teddy-807.conllu#s9_0</t>
  </si>
  <si>
    <t>10</t>
  </si>
  <si>
    <t>sein (sein Künstler)</t>
  </si>
  <si>
    <t>Und ich war Künstler .</t>
  </si>
  <si>
    <t>file://conllu/de/teddy-807.conllu#s10_0</t>
  </si>
  <si>
    <t>11</t>
  </si>
  <si>
    <t>zeichnen</t>
  </si>
  <si>
    <t>Ich konnte zeichnen .</t>
  </si>
  <si>
    <t>file://conllu/de/teddy-807.conllu#s11_0</t>
  </si>
  <si>
    <t>12</t>
  </si>
  <si>
    <t>malen</t>
  </si>
  <si>
    <t>Ich konnte malen .</t>
  </si>
  <si>
    <t>file://conllu/de/teddy-807.conllu#s12_0</t>
  </si>
  <si>
    <t>13</t>
  </si>
  <si>
    <t>28</t>
  </si>
  <si>
    <t>erschaffen</t>
  </si>
  <si>
    <t>Und da es weder Videospiele noch diese Übersättigung mit computergenerierten Filmen noch die ganze Bildsprache in der Medienlandschaft gab , musste ich die Bilder in meinem Kopf erschaffen .</t>
  </si>
  <si>
    <t>file://conllu/de/teddy-807.conllu#s13_0</t>
  </si>
  <si>
    <t>müssen</t>
  </si>
  <si>
    <t>Das mussten wir damals alle .</t>
  </si>
  <si>
    <t>file://conllu/de/teddy-807.conllu#s14_0</t>
  </si>
  <si>
    <t>15</t>
  </si>
  <si>
    <t>nehmen</t>
  </si>
  <si>
    <t>Wenn wir als Kinder ein Buch lasen , nahmen wir die Beschreibung des Autors und projizierten sie auf die Leinwand in unseren Köpfen .</t>
  </si>
  <si>
    <t>file://conllu/de/teddy-807.conllu#s15_0</t>
  </si>
  <si>
    <t>16</t>
  </si>
  <si>
    <t>Was?</t>
  </si>
  <si>
    <t>sein (sein Zeichnen)</t>
  </si>
  <si>
    <t>Meine Reaktion darauf war das Zeichnen und Malen von Außerirdischen , außerirdischen Welten , Robotern , Raumschiffen und all so was .</t>
  </si>
  <si>
    <t>file://conllu/de/teddy-807.conllu#s16_0</t>
  </si>
  <si>
    <t>18</t>
  </si>
  <si>
    <t>halen</t>
  </si>
  <si>
    <t>Die Kreativität musste halt irgendwie raus .</t>
  </si>
  <si>
    <t>file://conllu/de/teddy-807.conllu#s18_0</t>
  </si>
  <si>
    <t>19</t>
  </si>
  <si>
    <t>geschehen</t>
  </si>
  <si>
    <t>Und dabei geschah etwas Interessantes .</t>
  </si>
  <si>
    <t>file://conllu/de/teddy-807.conllu#s19_0</t>
  </si>
  <si>
    <t>20</t>
  </si>
  <si>
    <t>17</t>
  </si>
  <si>
    <t>unbekannt</t>
  </si>
  <si>
    <t>Was mich nämlich an Jacques Cousteaus Sendungen faszinierte , war der Gedanke an eine uns völlig unbekannte Welt hier auf unserer Erde selbst .</t>
  </si>
  <si>
    <t>file://conllu/de/teddy-807.conllu#s20_0</t>
  </si>
  <si>
    <t>21</t>
  </si>
  <si>
    <t>erreichen</t>
  </si>
  <si>
    <t>Sicherlich würde ich ja niemals eine außerirdische Welt mit einem Raumschiff erreichen .</t>
  </si>
  <si>
    <t>file://conllu/de/teddy-807.conllu#s21_0</t>
  </si>
  <si>
    <t>22</t>
  </si>
  <si>
    <t>Das schien mir ziemlich unwahrscheinlich .</t>
  </si>
  <si>
    <t>file://conllu/de/teddy-807.conllu#s22_0</t>
  </si>
  <si>
    <t>23</t>
  </si>
  <si>
    <t>sein (sein Welt)</t>
  </si>
  <si>
    <t>Aber hier war eine Welt , die ich tatsächlich betreten konnte , hier auf der Erde , und sie war genauso faszinierend und exotisch wie all das , was ich mir immer vorgestellt hatte , als ich diese Bücher gelesen hatte .</t>
  </si>
  <si>
    <t>file://conllu/de/teddy-807.conllu#s23_0</t>
  </si>
  <si>
    <t>24</t>
  </si>
  <si>
    <t>beschließen</t>
  </si>
  <si>
    <t>Also beschloss ich , als ich 15 war , Taucher zu werden .</t>
  </si>
  <si>
    <t>file://conllu/de/teddy-807.conllu#s24_0</t>
  </si>
  <si>
    <t>25</t>
  </si>
  <si>
    <t>sein</t>
  </si>
  <si>
    <t>Das einzige Problem dabei war , dass ich in einem kleinen Dorf in Kanada lebte , 1 000 km vom von dem nächsten Ozean entfernt .</t>
  </si>
  <si>
    <t>file://conllu/de/teddy-807.conllu#s25_0</t>
  </si>
  <si>
    <t>26</t>
  </si>
  <si>
    <t>lassen</t>
  </si>
  <si>
    <t>Davon ließ ich mich aber nicht entmutigen .</t>
  </si>
  <si>
    <t>file://conllu/de/teddy-807.conllu#s26_0</t>
  </si>
  <si>
    <t>27</t>
  </si>
  <si>
    <t>nerven</t>
  </si>
  <si>
    <t>Ich nervte meinen Vater , bis er endlich eine Tauchschule in Buffalo , New York , ausfindig gemacht hatte , genau auf der anderen Seite der Grenze , wo wir lebten .</t>
  </si>
  <si>
    <t>file://conllu/de/teddy-807.conllu#s27_0</t>
  </si>
  <si>
    <t>machen</t>
  </si>
  <si>
    <t>Ich machte meinen Tauchschein in einem Pool der YMCA mitten im in dem Winter in Buffalo , New York .</t>
  </si>
  <si>
    <t>file://conllu/de/teddy-807.conllu#s28_0</t>
  </si>
  <si>
    <t>29</t>
  </si>
  <si>
    <t>bekommen</t>
  </si>
  <si>
    <t>Den Ozean aber , einen echten Ozean , bekam ich erst zwei Jahre später zu Gesicht , als wir nach Kalifornien zogen .</t>
  </si>
  <si>
    <t>file://conllu/de/teddy-807.conllu#s29_0</t>
  </si>
  <si>
    <t>30</t>
  </si>
  <si>
    <t>verbringen</t>
  </si>
  <si>
    <t>Seitdem , in den 40 Jahren , die inzwischen verstrichen sind , habe ich ungefähr 3 000 Stunden unter Wasser verbracht .</t>
  </si>
  <si>
    <t>file://conllu/de/teddy-807.conllu#s30_0</t>
  </si>
  <si>
    <t>31</t>
  </si>
  <si>
    <t>Stunde|Stunden</t>
  </si>
  <si>
    <t>500 Stunden davon in Tauchbooten .</t>
  </si>
  <si>
    <t>file://conllu/de/teddy-807.conllu#s31_0</t>
  </si>
  <si>
    <t>32</t>
  </si>
  <si>
    <t>lernen</t>
  </si>
  <si>
    <t>Und ich habe gelernt , dass die Welt der Tiefsee , selbst in den flacheren Ozeanen , so reich an faszinierendem Leben ist , wie wir es uns wirklich kaum vorstellen können .</t>
  </si>
  <si>
    <t>file://conllu/de/teddy-807.conllu#s32_0</t>
  </si>
  <si>
    <t>33</t>
  </si>
  <si>
    <t>kennen</t>
  </si>
  <si>
    <t>Die Phantasie der Natur kennt keine Grenzen , ganz im in dem Gegensatz zu unserer eigenen , kläglichen menschlichen Vorstellungskraft .</t>
  </si>
  <si>
    <t>file://conllu/de/teddy-807.conllu#s33_0</t>
  </si>
  <si>
    <t>34</t>
  </si>
  <si>
    <t>empfinden</t>
  </si>
  <si>
    <t>Bis zum zu dem heutigen Tage empfinde ich tiefste Ehrfurcht für das , was ich auf meinen Tauchgängen sehe .</t>
  </si>
  <si>
    <t>file://conllu/de/teddy-807.conllu#s34_0</t>
  </si>
  <si>
    <t>35</t>
  </si>
  <si>
    <t>halten</t>
  </si>
  <si>
    <t>Und meine Liebe zum zu dem Ozean hält an , mit derselben Intensität wie eh und je .</t>
  </si>
  <si>
    <t>file://conllu/de/teddy-807.conllu#s35_0</t>
  </si>
  <si>
    <t>36</t>
  </si>
  <si>
    <t>sein (sein Filmemachen)</t>
  </si>
  <si>
    <t>Als ich mir dann als Erwachsener einen Beruf aussuchte , war es das Filmemachen .</t>
  </si>
  <si>
    <t>file://conllu/de/teddy-807.conllu#s36_0</t>
  </si>
  <si>
    <t>37</t>
  </si>
  <si>
    <t>Das schien die beste Möglichkeit , meinen inneren Drang , Geschichten zu erzählen , mit meinem Bedürfnis , Bilder zu erschaffen , zu vereinen .</t>
  </si>
  <si>
    <t>file://conllu/de/teddy-807.conllu#s37_0</t>
  </si>
  <si>
    <t>38</t>
  </si>
  <si>
    <t>Als Kind zeichnete ich ständig Comicbücher und so .</t>
  </si>
  <si>
    <t>file://conllu/de/teddy-807.conllu#s38_0</t>
  </si>
  <si>
    <t>39</t>
  </si>
  <si>
    <t>zusammenzuführen</t>
  </si>
  <si>
    <t>Also waren Filme der Weg , Bilder und Geschichten zusammenzuführen .</t>
  </si>
  <si>
    <t>file://conllu/de/teddy-807.conllu#s39_0</t>
  </si>
  <si>
    <t>40</t>
  </si>
  <si>
    <t>Das passte zusammen .</t>
  </si>
  <si>
    <t>file://conllu/de/teddy-807.conllu#s40_0</t>
  </si>
  <si>
    <t>41</t>
  </si>
  <si>
    <t>sein (sein natürlich)</t>
  </si>
  <si>
    <t>Natürlich waren die Geschichten , die ich mir aussuchte , aus dem Science Fiction Bereich : &amp;quot; Terminator &amp;quot; , &amp;quot; Aliens &amp;quot; , und &amp;quot; Abyss &amp;quot; .</t>
  </si>
  <si>
    <t>file://conllu/de/teddy-807.conllu#s41_0</t>
  </si>
  <si>
    <t>42</t>
  </si>
  <si>
    <t>Ich meine?</t>
  </si>
  <si>
    <t>verbinden</t>
  </si>
  <si>
    <t>Bei &amp;quot; Abyss &amp;quot; konnte ich meine Vorliebe für die Unterwasserwelt und das Tauchen mit dem Filmemachen verbinden .</t>
  </si>
  <si>
    <t>file://conllu/de/teddy-807.conllu#s42_0</t>
  </si>
  <si>
    <t>43</t>
  </si>
  <si>
    <t>verflochen</t>
  </si>
  <si>
    <t>Also verflochten sich quasi meine beiden Leidenschaften .</t>
  </si>
  <si>
    <t>file://conllu/de/teddy-807.conllu#s43_0</t>
  </si>
  <si>
    <t>44</t>
  </si>
  <si>
    <t>passieren</t>
  </si>
  <si>
    <t>Etwas Interessantes passierte bei &amp;quot; Abyss &amp;quot; : Um ein erzählerisches Problem in diesem Film zu lösen und zwar mussten wir so eine Art flüssiges Wasserwesen erschaffen , griffen wir auf computergenerierte Animation , CG , zurück .</t>
  </si>
  <si>
    <t>file://conllu/de/teddy-807.conllu#s44_0</t>
  </si>
  <si>
    <t>45</t>
  </si>
  <si>
    <t>herauskommen</t>
  </si>
  <si>
    <t>Was dabei herauskam , war die erste computergenerierte Soft Surface Figur , die je in einem Film zu sehen war .</t>
  </si>
  <si>
    <t>file://conllu/de/teddy-807.conllu#s45_0</t>
  </si>
  <si>
    <t>46</t>
  </si>
  <si>
    <t>bringen</t>
  </si>
  <si>
    <t>Der Film brachte zwar kein Geld ein , genau gesagt spielte er gerade mal seine Produktionskosten ein , doch bemerkte ich etwas Faszinierendes : Das Publikum auf der ganzen Welt war wie hypnotisiert vom von dem Zauber , der davon ausging .</t>
  </si>
  <si>
    <t>file://conllu/de/teddy-807.conllu#s46_0</t>
  </si>
  <si>
    <t>47</t>
  </si>
  <si>
    <t>unterscheiden</t>
  </si>
  <si>
    <t>Laut Arthur Clarke's Gesetz sind bekanntlich fortgeschrittliche Technologie und Zauberei nicht mehr voneinander zu unterscheiden .</t>
  </si>
  <si>
    <t>file://conllu/de/teddy-807.conllu#s47_0</t>
  </si>
  <si>
    <t>48</t>
  </si>
  <si>
    <t>sehen</t>
  </si>
  <si>
    <t>Sie sahen also etwas Magisches .</t>
  </si>
  <si>
    <t>file://conllu/de/teddy-807.conllu#s48_0</t>
  </si>
  <si>
    <t>49</t>
  </si>
  <si>
    <t>finden</t>
  </si>
  <si>
    <t>Und das fand ich ungeheuer spannend .</t>
  </si>
  <si>
    <t>file://conllu/de/teddy-807.conllu#s49_0</t>
  </si>
  <si>
    <t>50</t>
  </si>
  <si>
    <t>denken</t>
  </si>
  <si>
    <t>Und ich dachte mir : &amp;quot; Wow , das muss unbedingt in die Filmkunst einbezogen werden . &amp;quot;</t>
  </si>
  <si>
    <t>file://conllu/de/teddy-807.conllu#s50_0</t>
  </si>
  <si>
    <t>51</t>
  </si>
  <si>
    <t>Also gingen wir in &amp;quot; Terminator 2 &amp;quot; , meinem nächsten Film , noch viel weiter .</t>
  </si>
  <si>
    <t>file://conllu/de/teddy-807.conllu#s51_0</t>
  </si>
  <si>
    <t>52</t>
  </si>
  <si>
    <t>erschufen</t>
  </si>
  <si>
    <t>Zusammen mit ILM erschufen wir dort den Typen aus flüssigem Metall .</t>
  </si>
  <si>
    <t>file://conllu/de/teddy-807.conllu#s52_0</t>
  </si>
  <si>
    <t>53</t>
  </si>
  <si>
    <t>hängen</t>
  </si>
  <si>
    <t>Der Erfolg hing ganz davon ab , wie dieser Effekt ankommen würde .</t>
  </si>
  <si>
    <t>file://conllu/de/teddy-807.conllu#s53_0</t>
  </si>
  <si>
    <t>54</t>
  </si>
  <si>
    <t>funktionieren</t>
  </si>
  <si>
    <t>Und es funktionierte .</t>
  </si>
  <si>
    <t>file://conllu/de/teddy-807.conllu#s54_0</t>
  </si>
  <si>
    <t>55</t>
  </si>
  <si>
    <t>schaffen</t>
  </si>
  <si>
    <t>Wieder hatten wir etwas Magisches geschaffen .</t>
  </si>
  <si>
    <t>file://conllu/de/teddy-807.conllu#s55_0</t>
  </si>
  <si>
    <t>56</t>
  </si>
  <si>
    <t>sein (sein dieselbe)</t>
  </si>
  <si>
    <t>Und die Wirkung im in dem Publikum war dieselbe .</t>
  </si>
  <si>
    <t>file://conllu/de/teddy-807.conllu#s56_0</t>
  </si>
  <si>
    <t>57</t>
  </si>
  <si>
    <t>eingespielen</t>
  </si>
  <si>
    <t>Allerdings haben wir mit dem Film schon ein bisschen mehr Geld eingespielt .</t>
  </si>
  <si>
    <t>file://conllu/de/teddy-807.conllu#s57_0</t>
  </si>
  <si>
    <t>58</t>
  </si>
  <si>
    <t>sein (sein erreichen)</t>
  </si>
  <si>
    <t>Von diesen beiden Erfahrungen ausgehend , war eine ganz neue Welt erreicht , eine ganz neue Welt der Kreativität für Filmschaffende .</t>
  </si>
  <si>
    <t>file://conllu/de/teddy-807.conllu#s58_0</t>
  </si>
  <si>
    <t>59</t>
  </si>
  <si>
    <t>gründen</t>
  </si>
  <si>
    <t>Also gründete ich eine Firma , zusammen mit meinem guten Freund Stan Winston , der zu jener Zeit der beste Make- Up und Creature Designer war .</t>
  </si>
  <si>
    <t>file://conllu/de/teddy-807.conllu#s59_0</t>
  </si>
  <si>
    <t>60</t>
  </si>
  <si>
    <t>heißen</t>
  </si>
  <si>
    <t>Sie hieß &amp;quot; Digital Domain &amp;quot; .</t>
  </si>
  <si>
    <t>file://conllu/de/teddy-807.conllu#s60_0</t>
  </si>
  <si>
    <t>61</t>
  </si>
  <si>
    <t>.</t>
  </si>
  <si>
    <t>Die Grundidee dieser Firma war es , die Phase analoger Prozesse mit optischen Druckern etc. zu überspringen und gleich mit digitalen Produktionen zu beginnen .</t>
  </si>
  <si>
    <t>file://conllu/de/teddy-807.conllu#s61_0</t>
  </si>
  <si>
    <t>62</t>
  </si>
  <si>
    <t>taten</t>
  </si>
  <si>
    <t>Das taten wir dann auch und verschafften uns so eine Zeitlang einen Wettbewerbsvorteil .</t>
  </si>
  <si>
    <t>file://conllu/de/teddy-807.conllu#s62_0</t>
  </si>
  <si>
    <t>63</t>
  </si>
  <si>
    <t>merken</t>
  </si>
  <si>
    <t>Aber Mitte der 90er Jahre merkten wir doch , dass wir im in dem Creature und Character Design wofür wir die Firma ja eigentlich gegründet hatten zu langsam vorankamen .</t>
  </si>
  <si>
    <t>file://conllu/de/teddy-807.conllu#s63_0</t>
  </si>
  <si>
    <t>64</t>
  </si>
  <si>
    <t>schreiben</t>
  </si>
  <si>
    <t>Ich hatte dieses Stück &amp;quot; Avatar &amp;quot; geschrieben , das die Messlatte in Sachen visueller Effekte und computergenerierter Effekte in ganz neue Höhen schieben sollte , mit realistischen menschlichen , ausdrucksvollen Charakteren , die mittels CG hergestellt worden waren .</t>
  </si>
  <si>
    <t>file://conllu/de/teddy-807.conllu#s64_0</t>
  </si>
  <si>
    <t>65</t>
  </si>
  <si>
    <t>sein (sein CG)</t>
  </si>
  <si>
    <t>Und die Hauptfiguren sollten alle CG sein .</t>
  </si>
  <si>
    <t>file://conllu/de/teddy-807.conllu#s65_0</t>
  </si>
  <si>
    <t>66</t>
  </si>
  <si>
    <t>Und die Welt sollte CG sein .</t>
  </si>
  <si>
    <t>file://conllu/de/teddy-807.conllu#s66_0</t>
  </si>
  <si>
    <t>67</t>
  </si>
  <si>
    <t>drücken</t>
  </si>
  <si>
    <t>Aber die Messlatte drückte ganz schön zurück .</t>
  </si>
  <si>
    <t>file://conllu/de/teddy-807.conllu#s67_0</t>
  </si>
  <si>
    <t>68</t>
  </si>
  <si>
    <t>sagen</t>
  </si>
  <si>
    <t>Und die Leute in meiner Firma sagten mir , dass wir vorläufig noch nicht in der Lage seien , das zu schaffen .</t>
  </si>
  <si>
    <t>file://conllu/de/teddy-807.conllu#s68_0</t>
  </si>
  <si>
    <t>69</t>
  </si>
  <si>
    <t>verschieben</t>
  </si>
  <si>
    <t>Also verschob ich das und machte diesen anderen Film über das große Schiff , das untergeht .</t>
  </si>
  <si>
    <t>file://conllu/de/teddy-807.conllu#s69_0</t>
  </si>
  <si>
    <t>70</t>
  </si>
  <si>
    <t>verkaufen</t>
  </si>
  <si>
    <t>( Lachen ) Dem Filmstudio habe ich das als &amp;quot; Romeo und Julia auf einem Schiff &amp;quot; verkauft .</t>
  </si>
  <si>
    <t>file://conllu/de/teddy-807.conllu#s70_0</t>
  </si>
  <si>
    <t>71</t>
  </si>
  <si>
    <t>werden</t>
  </si>
  <si>
    <t>Es wurde ein Liebesfilm epischen Ausmaßes , ein leidenschaftlicher Film .</t>
  </si>
  <si>
    <t>file://conllu/de/teddy-807.conllu#s71_0</t>
  </si>
  <si>
    <t>72</t>
  </si>
  <si>
    <t>hinabtauchen</t>
  </si>
  <si>
    <t>Insgeheim aber wollte ich eigentlich zum zu dem echten Wrack der Titanic hinabtauchen .</t>
  </si>
  <si>
    <t>file://conllu/de/teddy-807.conllu#s72_0</t>
  </si>
  <si>
    <t>73</t>
  </si>
  <si>
    <t>Darum habe ich den Film gemacht .</t>
  </si>
  <si>
    <t>file://conllu/de/teddy-807.conllu#s73_0</t>
  </si>
  <si>
    <t>74</t>
  </si>
  <si>
    <t>sein (sein Wahrheit)</t>
  </si>
  <si>
    <t>( Beifall ) Das ist die Wahrheit .</t>
  </si>
  <si>
    <t>file://conllu/de/teddy-807.conllu#s74_0</t>
  </si>
  <si>
    <t>75</t>
  </si>
  <si>
    <t>wissen</t>
  </si>
  <si>
    <t>Das Studio wusste das aber nicht .</t>
  </si>
  <si>
    <t>file://conllu/de/teddy-807.conllu#s75_0</t>
  </si>
  <si>
    <t>76</t>
  </si>
  <si>
    <t>überzeugt</t>
  </si>
  <si>
    <t>Ich habe sie aber überzeugt , indem ich sagte : &amp;quot; Wir tauchen zu dem Wrack .</t>
  </si>
  <si>
    <t>file://conllu/de/teddy-807.conllu#s76_0</t>
  </si>
  <si>
    <t>77</t>
  </si>
  <si>
    <t>filmen</t>
  </si>
  <si>
    <t>Wir filmen das echte Wrack .</t>
  </si>
  <si>
    <t>file://conllu/de/teddy-807.conllu#s77_0</t>
  </si>
  <si>
    <t>78</t>
  </si>
  <si>
    <t>Wir werden es in der Eröffnungssequenz des Films zeigen .</t>
  </si>
  <si>
    <t>file://conllu/de/teddy-807.conllu#s78_0</t>
  </si>
  <si>
    <t>79</t>
  </si>
  <si>
    <t>sein (sein wichtig)</t>
  </si>
  <si>
    <t>Das ist ungeheuer wichtig .</t>
  </si>
  <si>
    <t>file://conllu/de/teddy-807.conllu#s79_0</t>
  </si>
  <si>
    <t>80</t>
  </si>
  <si>
    <t>sein (sein Aufhänger)</t>
  </si>
  <si>
    <t>Es ist ein guter Aufhänger fürs Marketing . &amp;quot;</t>
  </si>
  <si>
    <t>file://conllu/de/teddy-807.conllu#s80_0</t>
  </si>
  <si>
    <t>81</t>
  </si>
  <si>
    <t>überreden</t>
  </si>
  <si>
    <t>Und ich überredete sie , eine Expedition zu finanzieren .</t>
  </si>
  <si>
    <t>file://conllu/de/teddy-807.conllu#s81_0</t>
  </si>
  <si>
    <t>82</t>
  </si>
  <si>
    <t>verrückt</t>
  </si>
  <si>
    <t>Klingt verrückt .</t>
  </si>
  <si>
    <t>file://conllu/de/teddy-807.conllu#s82_0</t>
  </si>
  <si>
    <t>83</t>
  </si>
  <si>
    <t>Aber das geht wieder darauf zurück , dass die eigene Vorstellungskraft eine Realität schaffen kann .</t>
  </si>
  <si>
    <t>file://conllu/de/teddy-807.conllu#s83_0</t>
  </si>
  <si>
    <t>84</t>
  </si>
  <si>
    <t>Wir schufen dann tatsächlich sechs Monate später eine Realität , in der ich mich in einem russischen Tauchboot wiederfand , vier Kilometer unter der Oberfläche des Nordatlantik , und mir die echte Titanic durch ein Bullauge anschaute .</t>
  </si>
  <si>
    <t>file://conllu/de/teddy-807.conllu#s84_0</t>
  </si>
  <si>
    <t>85</t>
  </si>
  <si>
    <t>sein (sein Film)</t>
  </si>
  <si>
    <t>Das war kein Film , kein HD , das war echt .</t>
  </si>
  <si>
    <t>file://conllu/de/teddy-807.conllu#s85_0</t>
  </si>
  <si>
    <t>86</t>
  </si>
  <si>
    <t>umhauen</t>
  </si>
  <si>
    <t>Also , das hat mich wirklich umgehauen .</t>
  </si>
  <si>
    <t>file://conllu/de/teddy-807.conllu#s86_0</t>
  </si>
  <si>
    <t>87</t>
  </si>
  <si>
    <t>sein (sein enorm)</t>
  </si>
  <si>
    <t>Und die Vorbereitungen dazu waren enorm .</t>
  </si>
  <si>
    <t>file://conllu/de/teddy-807.conllu#s87_0</t>
  </si>
  <si>
    <t>88</t>
  </si>
  <si>
    <t>bauen</t>
  </si>
  <si>
    <t>Wir mussten Kameras und Scheinwerfer und alles Mögliche bauen .</t>
  </si>
  <si>
    <t>file://conllu/de/teddy-807.conllu#s88_0</t>
  </si>
  <si>
    <t>89</t>
  </si>
  <si>
    <t>fallen</t>
  </si>
  <si>
    <t>Und mir fiel auf , wie sehr diese Tiefseetauchgänge , einer Weltraummission ähnelten .</t>
  </si>
  <si>
    <t>file://conllu/de/teddy-807.conllu#s89_0</t>
  </si>
  <si>
    <t>90</t>
  </si>
  <si>
    <t>sein (sein planung)</t>
  </si>
  <si>
    <t>Na ja , sie waren auch hochtechnisch und bedurften umfangreicher Planung .</t>
  </si>
  <si>
    <t>file://conllu/de/teddy-807.conllu#s90_0</t>
  </si>
  <si>
    <t>91</t>
  </si>
  <si>
    <t>steigen</t>
  </si>
  <si>
    <t>Man steigt in diese Kapsel , dann schwebt man in diese dunkle , feindselige Umgebung hinunter , wo keine Hoffnung auf Rettung besteht , wenn man es nicht selbst zurück schafft .</t>
  </si>
  <si>
    <t>file://conllu/de/teddy-807.conllu#s91_0</t>
  </si>
  <si>
    <t>92</t>
  </si>
  <si>
    <t>sein (sein denken)</t>
  </si>
  <si>
    <t>Und ich dachte mir , &amp;quot; Wow , das ist genauso , als wäre ich in einem Science Fiction Film .</t>
  </si>
  <si>
    <t>file://conllu/de/teddy-807.conllu#s92_0</t>
  </si>
  <si>
    <t>93</t>
  </si>
  <si>
    <t>sein (sein cool)</t>
  </si>
  <si>
    <t>Das ist echt cool . &amp;quot;</t>
  </si>
  <si>
    <t>file://conllu/de/teddy-807.conllu#s93_0</t>
  </si>
  <si>
    <t>94</t>
  </si>
  <si>
    <t>sein (sein besitzen)</t>
  </si>
  <si>
    <t>Ich war regelrecht besessen vom von dem Erforschen der Tiefsee .</t>
  </si>
  <si>
    <t>file://conllu/de/teddy-807.conllu#s94_0</t>
  </si>
  <si>
    <t>95</t>
  </si>
  <si>
    <t>Teil</t>
  </si>
  <si>
    <t>Jedenfalls von dem Teil , der mit Neugier und Wissenschaft zu tun hat .</t>
  </si>
  <si>
    <t>file://conllu/de/teddy-807.conllu#s95_0</t>
  </si>
  <si>
    <t>96</t>
  </si>
  <si>
    <t>Es war alles .</t>
  </si>
  <si>
    <t>file://conllu/de/teddy-807.conllu#s96_0</t>
  </si>
  <si>
    <t>97</t>
  </si>
  <si>
    <t>sein (sein Abenteuer)</t>
  </si>
  <si>
    <t>Es war Abenteuer , es war Neugier .</t>
  </si>
  <si>
    <t>file://conllu/de/teddy-807.conllu#s97_0</t>
  </si>
  <si>
    <t>98</t>
  </si>
  <si>
    <t>sein (sein Vorstellungskraft)</t>
  </si>
  <si>
    <t>Es war Vorstellungskraft .</t>
  </si>
  <si>
    <t>file://conllu/de/teddy-807.conllu#s98_0</t>
  </si>
  <si>
    <t>99</t>
  </si>
  <si>
    <t>sein (sein Erfahrung)</t>
  </si>
  <si>
    <t>Und es war eine Erfahrung , die mir Hollywood nicht geben konnte .</t>
  </si>
  <si>
    <t>file://conllu/de/teddy-807.conllu#s99_0</t>
  </si>
  <si>
    <t>100</t>
  </si>
  <si>
    <t>Denn , wissen Sie , ich konnte mir ein Wesen vorstellen , für das wir dann einen visuellen Effekt gestalten konnten .</t>
  </si>
  <si>
    <t>file://conllu/de/teddy-807.conllu#s100_0</t>
  </si>
  <si>
    <t>101</t>
  </si>
  <si>
    <t>sehen (sehen vorstellen)</t>
  </si>
  <si>
    <t>Aber ich konnte mir nicht das vorstellen , was ich außerhalb des Fensters sehen würde .</t>
  </si>
  <si>
    <t>file://conllu/de/teddy-807.conllu#s101_0</t>
  </si>
  <si>
    <t>102</t>
  </si>
  <si>
    <t>Bei einigen der folgenden Expeditionen habe ich Wesen in Thermalquellen gesehen , und manchmal Dinge , die ich noch nie vorher gesehen hatte , manchmal auch Dinge , die überhaupt noch niemand zuvor gesehen hatte und für die die Wissenschaft zum zu dem Zeitpunkt , als wir sie sahen , noch gar keine Worte gefunden hatte .</t>
  </si>
  <si>
    <t>file://conllu/de/teddy-807.conllu#s102_0</t>
  </si>
  <si>
    <t>103</t>
  </si>
  <si>
    <t>umgeworfen</t>
  </si>
  <si>
    <t>Das hat mich also richtig umgeworfen , und ich wollte mehr .</t>
  </si>
  <si>
    <t>file://conllu/de/teddy-807.conllu#s103_0</t>
  </si>
  <si>
    <t>104</t>
  </si>
  <si>
    <t>treffen</t>
  </si>
  <si>
    <t>Und so traf ich dann eine etwas ungewöhnliche Entscheidung .</t>
  </si>
  <si>
    <t>file://conllu/de/teddy-807.conllu#s104_0</t>
  </si>
  <si>
    <t>105</t>
  </si>
  <si>
    <t>Nach dem Erfolg von &amp;quot; Titanic &amp;quot; sagte ich mir , &amp;quot; Okay , ich will meinen Hauptberuf als Filmemacher in Hollywood auf Eis legen und werde für eine Weile Vollzeit Forscher . &amp;quot;</t>
  </si>
  <si>
    <t>file://conllu/de/teddy-807.conllu#s105_0</t>
  </si>
  <si>
    <t>106</t>
  </si>
  <si>
    <t>beginnen</t>
  </si>
  <si>
    <t>Und dann begannen wir , diese Expeditionen zu planen .</t>
  </si>
  <si>
    <t>file://conllu/de/teddy-807.conllu#s106_0</t>
  </si>
  <si>
    <t>107</t>
  </si>
  <si>
    <t>tauchen</t>
  </si>
  <si>
    <t>Wir tauchten zur zu der &amp;quot; Bismarck &amp;quot; , und erforschten sie mit Roboterfahrzeugen .</t>
  </si>
  <si>
    <t>file://conllu/de/teddy-807.conllu#s107_0</t>
  </si>
  <si>
    <t>108</t>
  </si>
  <si>
    <t>kehren</t>
  </si>
  <si>
    <t>Wir kehrten zum zu dem Wrack der Titanic zurück .</t>
  </si>
  <si>
    <t>file://conllu/de/teddy-807.conllu#s108_0</t>
  </si>
  <si>
    <t>109</t>
  </si>
  <si>
    <t>Wir nahmen kleine Roboter , die wir gebaut hatten , die ein Fiberglaskabel abwickelten .</t>
  </si>
  <si>
    <t>file://conllu/de/teddy-807.conllu#s109_0</t>
  </si>
  <si>
    <t>110</t>
  </si>
  <si>
    <t>sein (sein hineinzutauchen)</t>
  </si>
  <si>
    <t>Unsere Absicht war , hineinzutauchen und sich das Innere des Schiffs anzusehen , was nie zuvor getan worden war .</t>
  </si>
  <si>
    <t>file://conllu/de/teddy-807.conllu#s110_0</t>
  </si>
  <si>
    <t>111</t>
  </si>
  <si>
    <t>erkunden</t>
  </si>
  <si>
    <t>Niemand hatte je das Innere des Wracks erkundet .</t>
  </si>
  <si>
    <t>file://conllu/de/teddy-807.conllu#s111_0</t>
  </si>
  <si>
    <t>112</t>
  </si>
  <si>
    <t>haben</t>
  </si>
  <si>
    <t>Man hatte noch keine Mittel dafür .</t>
  </si>
  <si>
    <t>file://conllu/de/teddy-807.conllu#s112_0</t>
  </si>
  <si>
    <t>113</t>
  </si>
  <si>
    <t>entwickeln</t>
  </si>
  <si>
    <t>Also entwickelten wir die nötige Technologie .</t>
  </si>
  <si>
    <t>file://conllu/de/teddy-807.conllu#s113_0</t>
  </si>
  <si>
    <t>114</t>
  </si>
  <si>
    <t>sitzen</t>
  </si>
  <si>
    <t>Na und da sitze ich nun , auf dem Deck der Titanic , in einem Tauchboot , und sehe Planken , die diesen Brettern hier ziemlich ähneln und von denen ich weiß , dass einst die Band dort gespielt hat .</t>
  </si>
  <si>
    <t>file://conllu/de/teddy-807.conllu#s114_0</t>
  </si>
  <si>
    <t>115</t>
  </si>
  <si>
    <t>Durch?</t>
  </si>
  <si>
    <t>fliegen</t>
  </si>
  <si>
    <t>Und ich fliege mit einem kleinen Roboterfahrzeug durch die Gänge des Schiffs .</t>
  </si>
  <si>
    <t>file://conllu/de/teddy-807.conllu#s115_0</t>
  </si>
  <si>
    <t>116</t>
  </si>
  <si>
    <t>bedienen</t>
  </si>
  <si>
    <t>Ich bediene es zwar eigentlich nur , aber mein Bewusstsein ist innerhalb des Fahrzeugs .</t>
  </si>
  <si>
    <t>file://conllu/de/teddy-807.conllu#s116_0</t>
  </si>
  <si>
    <t>117</t>
  </si>
  <si>
    <t>fühlen</t>
  </si>
  <si>
    <t>Es fühlte sich an , als wäre ich körperlich innerhalb des Schiffswracks der Titanic anwesend .</t>
  </si>
  <si>
    <t>file://conllu/de/teddy-807.conllu#s117_0</t>
  </si>
  <si>
    <t>118</t>
  </si>
  <si>
    <t>sein (sein Form)</t>
  </si>
  <si>
    <t>Das war die surrealste Form eines Déjà- vu , die ich je erlebt habe .</t>
  </si>
  <si>
    <t>file://conllu/de/teddy-807.conllu#s118_0</t>
  </si>
  <si>
    <t>119</t>
  </si>
  <si>
    <t>Denn bevor ich jeweils um eine Ecke bog , wusste ich immer schon , was gleich im in dem Lichtkegel des Fahrzeugs auftauchen würde , da ich monatelang übers über das Filmset gelaufen war , als wir den Film drehten .</t>
  </si>
  <si>
    <t>file://conllu/de/teddy-807.conllu#s119_0</t>
  </si>
  <si>
    <t>120</t>
  </si>
  <si>
    <t>sein (sein Kopie)</t>
  </si>
  <si>
    <t>Das Set war nämlich eine genaue Kopie der Baupläne des Schiffs .</t>
  </si>
  <si>
    <t>file://conllu/de/teddy-807.conllu#s120_0</t>
  </si>
  <si>
    <t>121</t>
  </si>
  <si>
    <t>Das war also eine höchst merkwürdige Erfahrung .</t>
  </si>
  <si>
    <t>file://conllu/de/teddy-807.conllu#s121_0</t>
  </si>
  <si>
    <t>122</t>
  </si>
  <si>
    <t>Sie machte mir dieses Telepräsenz Erlebnis bewusst , dass man solch roboterhafte Avatare verwenden und so das eigene Bewusstsein in das Fahrzeug , in diese andere Form der Existenz verlegen kann .</t>
  </si>
  <si>
    <t>file://conllu/de/teddy-807.conllu#s122_0</t>
  </si>
  <si>
    <t>123</t>
  </si>
  <si>
    <t>sein (sein ungeheuer)</t>
  </si>
  <si>
    <t>Es war wirklich ungeheuer tiefgreifend und vielleicht auch ein kleiner Ausblick auf das , was vielleicht in einigen Jahrzehnten passieren könnte , wenn man Cyborg Körper hat , um etwas zu erforschen oder andere Dinge zu tun , in allen möglichen post- humanen Zukunftszenarios , die ich mir als Science Fiction Fan vorstellen kann .</t>
  </si>
  <si>
    <t>file://conllu/de/teddy-807.conllu#s123_0</t>
  </si>
  <si>
    <t>124</t>
  </si>
  <si>
    <t>Nach diesen Expeditionen begannen wir das , was wir da unten gesehen hatten , wirklich schätzen zu lernen , zum zu dem Beispiel diese Tiefseequellen , wo wir diese unglaublich verblüffenden Tiere sahen .</t>
  </si>
  <si>
    <t>file://conllu/de/teddy-807.conllu#s124_0</t>
  </si>
  <si>
    <t>125</t>
  </si>
  <si>
    <t>sein (sein Außerirdische)</t>
  </si>
  <si>
    <t>Das sind quasi Außerirdische , aber hier auf Erden .</t>
  </si>
  <si>
    <t>file://conllu/de/teddy-807.conllu#s125_0</t>
  </si>
  <si>
    <t>126</t>
  </si>
  <si>
    <t>leben</t>
  </si>
  <si>
    <t>Sie leben mit Hilfe von Chemosynthese .</t>
  </si>
  <si>
    <t>file://conllu/de/teddy-807.conllu#s126_0</t>
  </si>
  <si>
    <t>127</t>
  </si>
  <si>
    <t>existieren</t>
  </si>
  <si>
    <t>Sie existieren nicht in einem auf Sonnenlicht basierten System , wie wir das tun .</t>
  </si>
  <si>
    <t>file://conllu/de/teddy-807.conllu#s127_0</t>
  </si>
  <si>
    <t>128</t>
  </si>
  <si>
    <t>Und so sieht man Tiere , die direkt neben einer 500 Grad Celsius heißen Wasserwolke leben .</t>
  </si>
  <si>
    <t>file://conllu/de/teddy-807.conllu#s128_0</t>
  </si>
  <si>
    <t>129</t>
  </si>
  <si>
    <t>vorstellen</t>
  </si>
  <si>
    <t>Und man kann sich nicht vorstellen , dass sie dort überleben können .</t>
  </si>
  <si>
    <t>file://conllu/de/teddy-807.conllu#s129_0</t>
  </si>
  <si>
    <t>131</t>
  </si>
  <si>
    <t>landen</t>
  </si>
  <si>
    <t>Und so landete ich bei den Leuten , die sich für den Weltraum interessieren und die mit der NASA zu tun haben und im in dem NASA Sachverständigenrat sitzen und richtige Weltraummissionen planen .</t>
  </si>
  <si>
    <t>file://conllu/de/teddy-807.conllu#s131_0</t>
  </si>
  <si>
    <t>132</t>
  </si>
  <si>
    <t>Sie fahren nach Russland , durchlaufen vor der Mission das biomedizinische Protokoll samt allem Drum und Dran , fliegen dann zur zu der internationalen Weltraumstation und nehmen unsere 3D Kamerasysteme mit .</t>
  </si>
  <si>
    <t>file://conllu/de/teddy-807.conllu#s132_0</t>
  </si>
  <si>
    <t>133</t>
  </si>
  <si>
    <t>sein (sein faszinierend)</t>
  </si>
  <si>
    <t>Das war faszinierend .</t>
  </si>
  <si>
    <t>file://conllu/de/teddy-807.conllu#s133_0</t>
  </si>
  <si>
    <t>134</t>
  </si>
  <si>
    <t>laufen</t>
  </si>
  <si>
    <t>Aber am an dem Ende lief es darauf hinaus , dass ich Weltraumwissenschaftler mit uns in die Tiefsee nahm .</t>
  </si>
  <si>
    <t>file://conllu/de/teddy-807.conllu#s134_0</t>
  </si>
  <si>
    <t>135</t>
  </si>
  <si>
    <t>Ich nahm sie mit und verschaftte ihnen Zugang zu der Welt da unten : Astrobiologen , Planetenwissenschaftler , Leute , die sich für solche extremen Situationen interessierten .</t>
  </si>
  <si>
    <t>file://conllu/de/teddy-807.conllu#s135_0</t>
  </si>
  <si>
    <t>136</t>
  </si>
  <si>
    <t>Ich nahm sie zu den Quellen mit , damit sie sich umschauen , Proben nehmen und Instrumente testen konnten und so weiter .</t>
  </si>
  <si>
    <t>file://conllu/de/teddy-807.conllu#s136_0</t>
  </si>
  <si>
    <t>137</t>
  </si>
  <si>
    <t>drehen</t>
  </si>
  <si>
    <t>Wir drehten zwar Dokumentarfilme , betrieben aber eigentlich Wissenschaft , genauer gesagt : Weltraumwissenschaft .</t>
  </si>
  <si>
    <t>file://conllu/de/teddy-807.conllu#s137_0</t>
  </si>
  <si>
    <t>138</t>
  </si>
  <si>
    <t>schließen</t>
  </si>
  <si>
    <t>So schloss sich der Kreis zwischen meiner Existenz als Science Fiction Fan , damals als Kind , und der Umsetzung in die Realität .</t>
  </si>
  <si>
    <t>file://conllu/de/teddy-807.conllu#s138_0</t>
  </si>
  <si>
    <t>140</t>
  </si>
  <si>
    <t>Ich habe eine Menge über Wissenschaft gelernt .</t>
  </si>
  <si>
    <t>file://conllu/de/teddy-807.conllu#s140_0</t>
  </si>
  <si>
    <t>141</t>
  </si>
  <si>
    <t>Aber ich habe auch viel über Führungsstil gelernt .</t>
  </si>
  <si>
    <t>file://conllu/de/teddy-807.conllu#s141_0</t>
  </si>
  <si>
    <t>142</t>
  </si>
  <si>
    <t>Jetzt denken Sie sicherlich , ein Regisseur muss auch führen können , ein Führer sein wie ein Schiffskapitän oder so .</t>
  </si>
  <si>
    <t>file://conllu/de/teddy-807.conllu#s142_0</t>
  </si>
  <si>
    <t>143</t>
  </si>
  <si>
    <t>verstehen</t>
  </si>
  <si>
    <t>Ich verstand aber nicht viel von Führung , bevor ich diese Expeditionen antrat .</t>
  </si>
  <si>
    <t>file://conllu/de/teddy-807.conllu#s143_0</t>
  </si>
  <si>
    <t>144</t>
  </si>
  <si>
    <t>Denn an einem bestimmten Punkt musste ich mir sagen : &amp;quot; Was mache ich eigentlich hier ?</t>
  </si>
  <si>
    <t>file://conllu/de/teddy-807.conllu#s144_0</t>
  </si>
  <si>
    <t>145</t>
  </si>
  <si>
    <t>mach</t>
  </si>
  <si>
    <t>Wieso mache ich das ?</t>
  </si>
  <si>
    <t>file://conllu/de/teddy-807.conllu#s145_0</t>
  </si>
  <si>
    <t>146</t>
  </si>
  <si>
    <t>Was kommt dabei heraus ? &amp;quot;</t>
  </si>
  <si>
    <t>file://conllu/de/teddy-807.conllu#s146_0</t>
  </si>
  <si>
    <t>147</t>
  </si>
  <si>
    <t>Diese blöden Filme bringen uns kein Geld ein .</t>
  </si>
  <si>
    <t>file://conllu/de/teddy-807.conllu#s147_0</t>
  </si>
  <si>
    <t>148</t>
  </si>
  <si>
    <t>spielen</t>
  </si>
  <si>
    <t>Wir spielen mal gerade die Produktionskosten ein .</t>
  </si>
  <si>
    <t>file://conllu/de/teddy-807.conllu#s148_0</t>
  </si>
  <si>
    <t>149</t>
  </si>
  <si>
    <t>Spur</t>
  </si>
  <si>
    <t>Von Ruhm keine Spur .</t>
  </si>
  <si>
    <t>file://conllu/de/teddy-807.conllu#s149_0</t>
  </si>
  <si>
    <t>150</t>
  </si>
  <si>
    <t>Alle denken , ich sei zwischen &amp;quot; Titanic &amp;quot; und &amp;quot; Avatar &amp;quot; davongelaufen und hätte mir irgendwo die Nägel auf einem Handtuch am an dem Strand gefeilt .</t>
  </si>
  <si>
    <t>file://conllu/de/teddy-807.conllu#s150_0</t>
  </si>
  <si>
    <t>151</t>
  </si>
  <si>
    <t>Ich habe alle diese Filme , diese Dokumentarfilme , für ein sehr kleines Publikum gemacht .</t>
  </si>
  <si>
    <t>file://conllu/de/teddy-807.conllu#s151_0</t>
  </si>
  <si>
    <t>152</t>
  </si>
  <si>
    <t>Kein</t>
  </si>
  <si>
    <t>Kein Ruhm , keine Ehre , kein Geld .</t>
  </si>
  <si>
    <t>file://conllu/de/teddy-807.conllu#s152_0</t>
  </si>
  <si>
    <t>153</t>
  </si>
  <si>
    <t>Was machst du nur ?</t>
  </si>
  <si>
    <t>file://conllu/de/teddy-807.conllu#s153_0</t>
  </si>
  <si>
    <t>154</t>
  </si>
  <si>
    <t>Du machst es um der Aufgabe willen , um der Herausforderung willen und der Ozean ist die herausforderndste Umgebung , die es gibt .</t>
  </si>
  <si>
    <t>file://conllu/de/teddy-807.conllu#s154_0</t>
  </si>
  <si>
    <t>155</t>
  </si>
  <si>
    <t>Du machst es des Entdeckerrausches wegen , und wegen der seltsamen Verbindung , die entsteht , wenn eine kleine Gruppe von Leuten ein Team bildet .</t>
  </si>
  <si>
    <t>file://conllu/de/teddy-807.conllu#s155_0</t>
  </si>
  <si>
    <t>156</t>
  </si>
  <si>
    <t>Denn wir haben all dies mit nur 10 bis 12 Leuten gemacht , die jahrelang ununterbrochen zusammengearbeitet haben .</t>
  </si>
  <si>
    <t>file://conllu/de/teddy-807.conllu#s156_0</t>
  </si>
  <si>
    <t>157</t>
  </si>
  <si>
    <t>sein (sein See)</t>
  </si>
  <si>
    <t>Manchmal waren wir 2 bis 3 Monate hintereinander auf See .</t>
  </si>
  <si>
    <t>file://conllu/de/teddy-807.conllu#s157_0</t>
  </si>
  <si>
    <t>158</t>
  </si>
  <si>
    <t>erklären (erklären erkennen)</t>
  </si>
  <si>
    <t>Und in dieser Gemeinschaft erkennt man , dass die wichtigste Sache die Achtung ist , die man vor einander hat , weil man eine Aufgabe bewältigt hat , die man keinem anderem erklären kann .</t>
  </si>
  <si>
    <t>file://conllu/de/teddy-807.conllu#s158_0</t>
  </si>
  <si>
    <t>159</t>
  </si>
  <si>
    <t>erklären (erklären sagen)</t>
  </si>
  <si>
    <t>Wenn man an Land zurückkehrt und sich sagt , &amp;quot; Wir mussten es tun , das Fiberglas , die Schallschwächung , und das ganz Drumherum , die ganze Technik , und die Schwierigkeiten , das menschliche Leistungsvermögen , wenn man auf See arbeitet &amp;quot; , dann kann man das anderen einfach nicht erklären .</t>
  </si>
  <si>
    <t>file://conllu/de/teddy-807.conllu#s159_0</t>
  </si>
  <si>
    <t>160</t>
  </si>
  <si>
    <t>sein (sein wissen)</t>
  </si>
  <si>
    <t>Das ist wie bei Polizisten oder bei Soldaten , die etwas gemeinsam durchgemacht haben und wissen , dass sie es nie jemanden erklären können .</t>
  </si>
  <si>
    <t>file://conllu/de/teddy-807.conllu#s160_0</t>
  </si>
  <si>
    <t>161</t>
  </si>
  <si>
    <t>entstehen</t>
  </si>
  <si>
    <t>Da entsteht eine Verbindung , ein gegenseitiger Respekt .</t>
  </si>
  <si>
    <t>file://conllu/de/teddy-807.conllu#s161_0</t>
  </si>
  <si>
    <t>162</t>
  </si>
  <si>
    <t>versuchen</t>
  </si>
  <si>
    <t>Als ich also zurückkam , um meinen nächsten Film &amp;quot; Avatar &amp;quot; zu drehen , versuchte ich denselben Führungsstil anzuwenden , nämlich dass man sein Team respektiert und sich im in dem Gegenzug dessen Respekt verdient .</t>
  </si>
  <si>
    <t>file://conllu/de/teddy-807.conllu#s162_0</t>
  </si>
  <si>
    <t>163</t>
  </si>
  <si>
    <t>Dadurch?</t>
  </si>
  <si>
    <t>verändern</t>
  </si>
  <si>
    <t>Dadurch wurde die Dynamik wirklich verändert .</t>
  </si>
  <si>
    <t>file://conllu/de/teddy-807.conllu#s163_0</t>
  </si>
  <si>
    <t>164</t>
  </si>
  <si>
    <t>stehen</t>
  </si>
  <si>
    <t>Da stand ich also wieder mit einem kleinen Team auf unbekanntem Terrain .</t>
  </si>
  <si>
    <t>file://conllu/de/teddy-807.conllu#s164_0</t>
  </si>
  <si>
    <t>165</t>
  </si>
  <si>
    <t>Wir drehten &amp;quot; Avatar &amp;quot; mit einer neuen Technik , die es vorher noch nicht gab .</t>
  </si>
  <si>
    <t>file://conllu/de/teddy-807.conllu#s165_0</t>
  </si>
  <si>
    <t>166</t>
  </si>
  <si>
    <t>aufregend</t>
  </si>
  <si>
    <t>Ungeheuer aufregend .</t>
  </si>
  <si>
    <t>file://conllu/de/teddy-807.conllu#s166_0</t>
  </si>
  <si>
    <t>167</t>
  </si>
  <si>
    <t>Herausforderung</t>
  </si>
  <si>
    <t>Eine ungeheure Herausforderung .</t>
  </si>
  <si>
    <t>file://conllu/de/teddy-807.conllu#s167_0</t>
  </si>
  <si>
    <t>168</t>
  </si>
  <si>
    <t>Und wir wurden für einen Zeitraum von viereinhalb Jahren zu einer richtigen Familie .</t>
  </si>
  <si>
    <t>file://conllu/de/teddy-807.conllu#s168_0</t>
  </si>
  <si>
    <t>169</t>
  </si>
  <si>
    <t>Dadurch veränderte sich meine Art , Filme zu machen , komplett .</t>
  </si>
  <si>
    <t>file://conllu/de/teddy-807.conllu#s169_0</t>
  </si>
  <si>
    <t>170</t>
  </si>
  <si>
    <t>geben</t>
  </si>
  <si>
    <t>Es gab Leute , die meinten , wir hätten diese Ozeanwesen ja wirklich gut nachgemacht und auf den Planeten Pandora transportiert .</t>
  </si>
  <si>
    <t>file://conllu/de/teddy-807.conllu#s170_0</t>
  </si>
  <si>
    <t>171</t>
  </si>
  <si>
    <t>sein (sein Art)</t>
  </si>
  <si>
    <t>Für mich war es mehr eine prinzipielle Art , meinen Job zu tun , der eigentliche Prozess , der sich im in dem Ergebnis geändert hat .</t>
  </si>
  <si>
    <t>file://conllu/de/teddy-807.conllu#s171_0</t>
  </si>
  <si>
    <t>172</t>
  </si>
  <si>
    <t>Was können wir also aus all dem schließen ?</t>
  </si>
  <si>
    <t>file://conllu/de/teddy-807.conllu#s172_0</t>
  </si>
  <si>
    <t>173</t>
  </si>
  <si>
    <t>Welche Lektionen haben wir gelernt ?</t>
  </si>
  <si>
    <t>file://conllu/de/teddy-807.conllu#s173_0</t>
  </si>
  <si>
    <t>174</t>
  </si>
  <si>
    <t>glauben</t>
  </si>
  <si>
    <t>Ich glaube , an erster Stelle steht die Neugier .</t>
  </si>
  <si>
    <t>file://conllu/de/teddy-807.conllu#s174_0</t>
  </si>
  <si>
    <t>175</t>
  </si>
  <si>
    <t>sein (sein Eigenschaft)</t>
  </si>
  <si>
    <t>Es ist die mächtigste menschliche Eigenschaft .</t>
  </si>
  <si>
    <t>file://conllu/de/teddy-807.conllu#s175_0</t>
  </si>
  <si>
    <t>176</t>
  </si>
  <si>
    <t>sein (sein Kraft)</t>
  </si>
  <si>
    <t>Unsere Vorstellungskraft ist eine Kraft , die sogar eine Realität schaffen kann .</t>
  </si>
  <si>
    <t>file://conllu/de/teddy-807.conllu#s176_0</t>
  </si>
  <si>
    <t>177</t>
  </si>
  <si>
    <t>Und die Achtung deines Teams ist wichtiger als aller Lorbeer dieser Welt .</t>
  </si>
  <si>
    <t>file://conllu/de/teddy-807.conllu#s177_0</t>
  </si>
  <si>
    <t>178</t>
  </si>
  <si>
    <t>Zu mir kommen junge Filmemacher , die sagen : &amp;quot; Geben Sie mir einen Rat , wie ich so etwas machen kann . &amp;quot;</t>
  </si>
  <si>
    <t>file://conllu/de/teddy-807.conllu#s178_0</t>
  </si>
  <si>
    <t>179</t>
  </si>
  <si>
    <t>Und ich sage : &amp;quot; Schränke dich nicht selbst ein .</t>
  </si>
  <si>
    <t>file://conllu/de/teddy-807.conllu#s179_0</t>
  </si>
  <si>
    <t>180</t>
  </si>
  <si>
    <t>besorgen</t>
  </si>
  <si>
    <t>Das besorgen schon andere für dich .</t>
  </si>
  <si>
    <t>file://conllu/de/teddy-807.conllu#s180_0</t>
  </si>
  <si>
    <t>181</t>
  </si>
  <si>
    <t>dir</t>
  </si>
  <si>
    <t>Tu es nicht dir selbst an , wette nicht gegen sich selbst .</t>
  </si>
  <si>
    <t>file://conllu/de/teddy-807.conllu#s181_0</t>
  </si>
  <si>
    <t>182</t>
  </si>
  <si>
    <t>Risiko</t>
  </si>
  <si>
    <t>Sondern nimm Risiken auf dich . &amp;quot;</t>
  </si>
  <si>
    <t>file://conllu/de/teddy-807.conllu#s182_0</t>
  </si>
  <si>
    <t>183</t>
  </si>
  <si>
    <t>Die NASA hat so einen Lieblingssatz : &amp;quot; Scheitern ist keine Alternative . &amp;quot;</t>
  </si>
  <si>
    <t>file://conllu/de/teddy-807.conllu#s183_0</t>
  </si>
  <si>
    <t>184</t>
  </si>
  <si>
    <t>sein (sein Alternative)</t>
  </si>
  <si>
    <t>Aber in der Kunst und beim bei dem Erforschen muss Scheitern eine Alternative sein , denn dort garantiert es einen Vertrauensvorschuss .</t>
  </si>
  <si>
    <t>file://conllu/de/teddy-807.conllu#s184_0</t>
  </si>
  <si>
    <t>185</t>
  </si>
  <si>
    <t>angegangen</t>
  </si>
  <si>
    <t>Kein wichtiges Unterfangen , das Innovation verlangte , wurde je ohne Risiko angegangen .</t>
  </si>
  <si>
    <t>file://conllu/de/teddy-807.conllu#s185_0</t>
  </si>
  <si>
    <t>186</t>
  </si>
  <si>
    <t>sein (sein bereit)</t>
  </si>
  <si>
    <t>Man muss bereit sein , solche Risiken auf sich zu nehmen .</t>
  </si>
  <si>
    <t>file://conllu/de/teddy-807.conllu#s186_0</t>
  </si>
  <si>
    <t>187</t>
  </si>
  <si>
    <t>sein (sein Gedanke)</t>
  </si>
  <si>
    <t>Das ist der Gedanke , den ich Ihnen gern mit auf den Weg geben möchte .</t>
  </si>
  <si>
    <t>file://conllu/de/teddy-807.conllu#s187_0</t>
  </si>
  <si>
    <t>188</t>
  </si>
  <si>
    <t>Scheitern ist durchaus eine Alternative , Angst aber ist keine .</t>
  </si>
  <si>
    <t>file://conllu/de/teddy-807.conllu#s188_0</t>
  </si>
  <si>
    <t>189</t>
  </si>
  <si>
    <t>Dank</t>
  </si>
  <si>
    <t>Danke .</t>
  </si>
  <si>
    <t>file://conllu/de/teddy-807.conllu#s189_0</t>
  </si>
  <si>
    <t>WORD</t>
  </si>
  <si>
    <t>GR</t>
  </si>
  <si>
    <t>NP_TYPE</t>
  </si>
  <si>
    <t>REF_AUTO</t>
  </si>
  <si>
    <t>COREF</t>
  </si>
  <si>
    <t>REF</t>
  </si>
  <si>
    <t>IS</t>
  </si>
  <si>
    <t>CB</t>
  </si>
  <si>
    <t>GR_ANTE</t>
  </si>
  <si>
    <t>REF_DIST</t>
  </si>
  <si>
    <t>REF_DIST_ANTE</t>
  </si>
  <si>
    <t># text = Ich wuchs mit einer gehörigen Portion Science Fiction auf.</t>
  </si>
  <si>
    <t>Ich</t>
  </si>
  <si>
    <t>SBJ</t>
  </si>
  <si>
    <t>pron.pper</t>
  </si>
  <si>
    <t>?OLD</t>
  </si>
  <si>
    <t>wuchs</t>
  </si>
  <si>
    <t>mit</t>
  </si>
  <si>
    <t>einer</t>
  </si>
  <si>
    <t>gehörigen</t>
  </si>
  <si>
    <t>Portion</t>
  </si>
  <si>
    <t>other</t>
  </si>
  <si>
    <t>indef-np.a</t>
  </si>
  <si>
    <t>Science</t>
  </si>
  <si>
    <t>other_2</t>
  </si>
  <si>
    <t>ne</t>
  </si>
  <si>
    <t>Fiction</t>
  </si>
  <si>
    <t>auf</t>
  </si>
  <si>
    <t># text = In meiner Schulzeit fuhr ich mit dem Bus zur Schule, jeden Tag eine Stunde pro Strecke.</t>
  </si>
  <si>
    <t>In</t>
  </si>
  <si>
    <t>meiner</t>
  </si>
  <si>
    <t>pron.ppos</t>
  </si>
  <si>
    <t>Schulzeit</t>
  </si>
  <si>
    <t>indef-np.bare</t>
  </si>
  <si>
    <t>fuhr</t>
  </si>
  <si>
    <t>ich</t>
  </si>
  <si>
    <t>dem</t>
  </si>
  <si>
    <t>Bus</t>
  </si>
  <si>
    <t>def-np.the</t>
  </si>
  <si>
    <t>zu</t>
  </si>
  <si>
    <t>other_3</t>
  </si>
  <si>
    <t>pron.pind</t>
  </si>
  <si>
    <t>der</t>
  </si>
  <si>
    <t>Schule</t>
  </si>
  <si>
    <t>,</t>
  </si>
  <si>
    <t>jeden</t>
  </si>
  <si>
    <t>Tag</t>
  </si>
  <si>
    <t>eine</t>
  </si>
  <si>
    <t>Stunde</t>
  </si>
  <si>
    <t>OBJ</t>
  </si>
  <si>
    <t>pro</t>
  </si>
  <si>
    <t>Strecke</t>
  </si>
  <si>
    <t># text = Und meine Nase steckte immer in einem Buch, einem Science-Fiction-Buch, das meine Gedanken in andere Welten entführte und auf erzählerische Weise meine tief in mir sitzende, unersättliche Neugier befriedigte.</t>
  </si>
  <si>
    <t>Und</t>
  </si>
  <si>
    <t>meine</t>
  </si>
  <si>
    <t>Nase</t>
  </si>
  <si>
    <t>steckte</t>
  </si>
  <si>
    <t>immer</t>
  </si>
  <si>
    <t>in</t>
  </si>
  <si>
    <t>einem</t>
  </si>
  <si>
    <t>Buch</t>
  </si>
  <si>
    <t>das</t>
  </si>
  <si>
    <t>SBJ_4</t>
  </si>
  <si>
    <t>other_5</t>
  </si>
  <si>
    <t>Gedanken</t>
  </si>
  <si>
    <t>OBJ_4</t>
  </si>
  <si>
    <t>andere</t>
  </si>
  <si>
    <t>Welten</t>
  </si>
  <si>
    <t>other_4</t>
  </si>
  <si>
    <t>entführte</t>
  </si>
  <si>
    <t>und</t>
  </si>
  <si>
    <t>erzählerische</t>
  </si>
  <si>
    <t>Weise</t>
  </si>
  <si>
    <t>SBJ_3</t>
  </si>
  <si>
    <t>pron</t>
  </si>
  <si>
    <t>tief</t>
  </si>
  <si>
    <t>OBJ_2</t>
  </si>
  <si>
    <t>mir</t>
  </si>
  <si>
    <t>sitzende</t>
  </si>
  <si>
    <t>unersättliche</t>
  </si>
  <si>
    <t>Neugier</t>
  </si>
  <si>
    <t>SBJ_2</t>
  </si>
  <si>
    <t>befriedigte</t>
  </si>
  <si>
    <t>--</t>
  </si>
  <si>
    <t># text = Diese Neugier zeigte sich auch darin, dass ich immer, wenn ich nicht in der Schule war, durch die Wälder streunte, wanderte und "Proben" sammelte, Frösche und Schlangen und Käfer und Teichwasser, alles nach Hause brachte und unter dem Mikroskop betrachtete.</t>
  </si>
  <si>
    <t>Diese</t>
  </si>
  <si>
    <t>pron.pds</t>
  </si>
  <si>
    <t>def-np.dem</t>
  </si>
  <si>
    <t>zeigte</t>
  </si>
  <si>
    <t>sich</t>
  </si>
  <si>
    <t>auch</t>
  </si>
  <si>
    <t>darin</t>
  </si>
  <si>
    <t>pron.padv</t>
  </si>
  <si>
    <t>dass</t>
  </si>
  <si>
    <t>wenn</t>
  </si>
  <si>
    <t>nicht</t>
  </si>
  <si>
    <t>war</t>
  </si>
  <si>
    <t>durch</t>
  </si>
  <si>
    <t>die</t>
  </si>
  <si>
    <t>Wälder</t>
  </si>
  <si>
    <t>streunte</t>
  </si>
  <si>
    <t>wanderte</t>
  </si>
  <si>
    <t>&amp;quot;</t>
  </si>
  <si>
    <t>Proben</t>
  </si>
  <si>
    <t>sammelte</t>
  </si>
  <si>
    <t>Frösche</t>
  </si>
  <si>
    <t>Schlangen</t>
  </si>
  <si>
    <t>Käfer</t>
  </si>
  <si>
    <t>Teichwasser</t>
  </si>
  <si>
    <t>alles</t>
  </si>
  <si>
    <t>nach</t>
  </si>
  <si>
    <t>Hause</t>
  </si>
  <si>
    <t>brachte</t>
  </si>
  <si>
    <t>unter</t>
  </si>
  <si>
    <t>Mikroskop</t>
  </si>
  <si>
    <t>betrachtete</t>
  </si>
  <si>
    <t># text = Ich war total wissenschaftsbegeistert, wissen Sie.</t>
  </si>
  <si>
    <t>total</t>
  </si>
  <si>
    <t>wissenschaftsbegeistert</t>
  </si>
  <si>
    <t>Sie</t>
  </si>
  <si>
    <t># text = Es ging dabei immer um den Versuch, die Welt zu verstehen und die Grenzen des Möglichen auszuloten.</t>
  </si>
  <si>
    <t>Es</t>
  </si>
  <si>
    <t>ging</t>
  </si>
  <si>
    <t>dabei</t>
  </si>
  <si>
    <t>um</t>
  </si>
  <si>
    <t>den</t>
  </si>
  <si>
    <t>Versuch</t>
  </si>
  <si>
    <t>Welt</t>
  </si>
  <si>
    <t>OBJ_3</t>
  </si>
  <si>
    <t>Grenzen</t>
  </si>
  <si>
    <t>des</t>
  </si>
  <si>
    <t>Möglichen</t>
  </si>
  <si>
    <t>auszuloten</t>
  </si>
  <si>
    <t># text = Und meine Liebe zu Science Fiction schien sich in meiner Umgebung widerzuspiegeln, denn damals, in den späten 60ern, flogen wir zum Mond und erforschten die Tiefsee.</t>
  </si>
  <si>
    <t>Liebe</t>
  </si>
  <si>
    <t>schien</t>
  </si>
  <si>
    <t>Umgebung</t>
  </si>
  <si>
    <t>indef-np</t>
  </si>
  <si>
    <t>widerzuspiegeln</t>
  </si>
  <si>
    <t>denn</t>
  </si>
  <si>
    <t>damals</t>
  </si>
  <si>
    <t>späten</t>
  </si>
  <si>
    <t>60ern</t>
  </si>
  <si>
    <t>flogen</t>
  </si>
  <si>
    <t>wir</t>
  </si>
  <si>
    <t>Mond</t>
  </si>
  <si>
    <t>erforschten</t>
  </si>
  <si>
    <t>Tiefsee</t>
  </si>
  <si>
    <t># text = Jacques Cousteau kam in unsere Wohnzimmer mit seinen faszinierenden Sendungen, die uns Tiere und Orte und eine Welt voller Wunder zeigten, die wir uns vorher nie hätten vorstellen können.</t>
  </si>
  <si>
    <t>Jacques</t>
  </si>
  <si>
    <t>Cousteau</t>
  </si>
  <si>
    <t>kam</t>
  </si>
  <si>
    <t>unsere</t>
  </si>
  <si>
    <t>Wohnzimmer</t>
  </si>
  <si>
    <t>seinen</t>
  </si>
  <si>
    <t>faszinierenden</t>
  </si>
  <si>
    <t>Sendungen</t>
  </si>
  <si>
    <t>uns</t>
  </si>
  <si>
    <t>Tiere</t>
  </si>
  <si>
    <t>Orte</t>
  </si>
  <si>
    <t>voller</t>
  </si>
  <si>
    <t>Wunder</t>
  </si>
  <si>
    <t>zeigten</t>
  </si>
  <si>
    <t>vorher</t>
  </si>
  <si>
    <t>nie</t>
  </si>
  <si>
    <t>hätten</t>
  </si>
  <si>
    <t>können</t>
  </si>
  <si>
    <t># text = Das hat dann wohl ganz gut zu jener Science-Fiction-Rolle gepasst.</t>
  </si>
  <si>
    <t>Das</t>
  </si>
  <si>
    <t>hat</t>
  </si>
  <si>
    <t>dann</t>
  </si>
  <si>
    <t>wohl</t>
  </si>
  <si>
    <t>ganz</t>
  </si>
  <si>
    <t>gut</t>
  </si>
  <si>
    <t>jener</t>
  </si>
  <si>
    <t>Rolle</t>
  </si>
  <si>
    <t>gepasst</t>
  </si>
  <si>
    <t># text = Und ich war Künstler.</t>
  </si>
  <si>
    <t>Künstler</t>
  </si>
  <si>
    <t># text = Ich konnte zeichnen.</t>
  </si>
  <si>
    <t>konnte</t>
  </si>
  <si>
    <t># text = Ich konnte malen.</t>
  </si>
  <si>
    <t># text = Und da es weder Videospiele noch diese Übersättigung mit computergenerierten Filmen noch die ganze Bildsprache in der Medienlandschaft gab, musste ich die Bilder in meinem Kopf erschaffen.</t>
  </si>
  <si>
    <t>da</t>
  </si>
  <si>
    <t>es</t>
  </si>
  <si>
    <t>weder</t>
  </si>
  <si>
    <t>Videospiele</t>
  </si>
  <si>
    <t>noch</t>
  </si>
  <si>
    <t>diese</t>
  </si>
  <si>
    <t>Übersättigung</t>
  </si>
  <si>
    <t>computergenerierten</t>
  </si>
  <si>
    <t>Filmen</t>
  </si>
  <si>
    <t>ganze</t>
  </si>
  <si>
    <t>Bildsprache</t>
  </si>
  <si>
    <t>Medienlandschaft</t>
  </si>
  <si>
    <t>gab</t>
  </si>
  <si>
    <t>musste</t>
  </si>
  <si>
    <t>Bilder</t>
  </si>
  <si>
    <t>meinem</t>
  </si>
  <si>
    <t>Kopf</t>
  </si>
  <si>
    <t># text = Das mussten wir damals alle.</t>
  </si>
  <si>
    <t>mussten</t>
  </si>
  <si>
    <t>alle</t>
  </si>
  <si>
    <t># text = Wenn wir als Kinder ein Buch lasen, nahmen wir die Beschreibung des Autors und projizierten sie auf die Leinwand in unseren Köpfen.</t>
  </si>
  <si>
    <t>Wenn</t>
  </si>
  <si>
    <t>als</t>
  </si>
  <si>
    <t>Kinder</t>
  </si>
  <si>
    <t>ein</t>
  </si>
  <si>
    <t>lasen</t>
  </si>
  <si>
    <t>nahmen</t>
  </si>
  <si>
    <t>Beschreibung</t>
  </si>
  <si>
    <t>Autors</t>
  </si>
  <si>
    <t>projizierten</t>
  </si>
  <si>
    <t>sie</t>
  </si>
  <si>
    <t>Leinwand</t>
  </si>
  <si>
    <t>unseren</t>
  </si>
  <si>
    <t>Köpfen</t>
  </si>
  <si>
    <t># text = Meine Reaktion darauf war das Zeichnen und Malen von Außerirdischen, außerirdischen Welten, Robotern, Raumschiffen und all so was.</t>
  </si>
  <si>
    <t>Meine</t>
  </si>
  <si>
    <t>Reaktion</t>
  </si>
  <si>
    <t>darauf</t>
  </si>
  <si>
    <t>Zeichnen</t>
  </si>
  <si>
    <t>Malen</t>
  </si>
  <si>
    <t>von</t>
  </si>
  <si>
    <t>Außerirdischen</t>
  </si>
  <si>
    <t>außerirdischen</t>
  </si>
  <si>
    <t>Robotern</t>
  </si>
  <si>
    <t>Raumschiffen</t>
  </si>
  <si>
    <t>all</t>
  </si>
  <si>
    <t>so</t>
  </si>
  <si>
    <t>was</t>
  </si>
  <si>
    <t># text = Im Matheunterricht wurde ich ständig vom Lehrer erwischt, wie ich, hinterm Lehrbuch versteckt, herummalte.</t>
  </si>
  <si>
    <t>Matheunterricht</t>
  </si>
  <si>
    <t>wurde</t>
  </si>
  <si>
    <t>ständig</t>
  </si>
  <si>
    <t>Lehrer</t>
  </si>
  <si>
    <t>erwischt</t>
  </si>
  <si>
    <t>wie</t>
  </si>
  <si>
    <t>hinterm</t>
  </si>
  <si>
    <t>Lehrbuch</t>
  </si>
  <si>
    <t>versteckt</t>
  </si>
  <si>
    <t>herummalte</t>
  </si>
  <si>
    <t># text = Die Kreativität musste halt irgendwie raus.</t>
  </si>
  <si>
    <t>Die</t>
  </si>
  <si>
    <t>Kreativität</t>
  </si>
  <si>
    <t>halt</t>
  </si>
  <si>
    <t>irgendwie</t>
  </si>
  <si>
    <t>raus</t>
  </si>
  <si>
    <t># text = Und dabei geschah etwas Interessantes.</t>
  </si>
  <si>
    <t>geschah</t>
  </si>
  <si>
    <t>etwas</t>
  </si>
  <si>
    <t>Interessantes</t>
  </si>
  <si>
    <t>indef-np.quant</t>
  </si>
  <si>
    <t># text = Was mich nämlich an Jacques Cousteaus Sendungen faszinierte, war der Gedanke an eine uns völlig unbekannte Welt hier auf unserer Erde selbst.</t>
  </si>
  <si>
    <t>Was</t>
  </si>
  <si>
    <t>mich</t>
  </si>
  <si>
    <t>nämlich</t>
  </si>
  <si>
    <t>an</t>
  </si>
  <si>
    <t>Cousteaus</t>
  </si>
  <si>
    <t>faszinierte</t>
  </si>
  <si>
    <t>Gedanke</t>
  </si>
  <si>
    <t>völlig</t>
  </si>
  <si>
    <t>unbekannte</t>
  </si>
  <si>
    <t>def-np.poss</t>
  </si>
  <si>
    <t>hier</t>
  </si>
  <si>
    <t>unserer</t>
  </si>
  <si>
    <t>Erde</t>
  </si>
  <si>
    <t>selbst</t>
  </si>
  <si>
    <t># text = Sicherlich würde ich ja niemals eine außerirdische Welt mit einem Raumschiff erreichen.</t>
  </si>
  <si>
    <t>Sicherlich</t>
  </si>
  <si>
    <t>würde</t>
  </si>
  <si>
    <t>ja</t>
  </si>
  <si>
    <t>niemals</t>
  </si>
  <si>
    <t>außerirdische</t>
  </si>
  <si>
    <t>Raumschiff</t>
  </si>
  <si>
    <t># text = Das schien mir ziemlich unwahrscheinlich.</t>
  </si>
  <si>
    <t>ziemlich</t>
  </si>
  <si>
    <t>unwahrscheinlich</t>
  </si>
  <si>
    <t># text = Aber hier war eine Welt, die ich tatsächlich betreten konnte, hier auf der Erde, und sie war genauso faszinierend und exotisch wie all das, was ich mir immer vorgestellt hatte, als ich diese Bücher gelesen hatte.</t>
  </si>
  <si>
    <t>Aber</t>
  </si>
  <si>
    <t>tatsächlich</t>
  </si>
  <si>
    <t>betreten</t>
  </si>
  <si>
    <t>genauso</t>
  </si>
  <si>
    <t>faszinierend</t>
  </si>
  <si>
    <t>exotisch</t>
  </si>
  <si>
    <t>vorgestellt</t>
  </si>
  <si>
    <t>hatte</t>
  </si>
  <si>
    <t>Bücher</t>
  </si>
  <si>
    <t>gelesen</t>
  </si>
  <si>
    <t># text = Also beschloss ich, als ich 15 war, Taucher zu werden.</t>
  </si>
  <si>
    <t>Also</t>
  </si>
  <si>
    <t>beschloss</t>
  </si>
  <si>
    <t>Taucher</t>
  </si>
  <si>
    <t># text = Das einzige Problem dabei war, dass ich in einem kleinen Dorf in Kanada lebte, 1 000 km vom nächsten Ozean entfernt.</t>
  </si>
  <si>
    <t>einzige</t>
  </si>
  <si>
    <t>Problem</t>
  </si>
  <si>
    <t>kleinen</t>
  </si>
  <si>
    <t>Dorf</t>
  </si>
  <si>
    <t>Kanada</t>
  </si>
  <si>
    <t>lebte</t>
  </si>
  <si>
    <t>000</t>
  </si>
  <si>
    <t>km</t>
  </si>
  <si>
    <t>nächsten</t>
  </si>
  <si>
    <t>Ozean</t>
  </si>
  <si>
    <t>entfernt</t>
  </si>
  <si>
    <t># text = Davon ließ ich mich aber nicht entmutigen.</t>
  </si>
  <si>
    <t>Davon</t>
  </si>
  <si>
    <t>ließ</t>
  </si>
  <si>
    <t>aber</t>
  </si>
  <si>
    <t>entmutigen</t>
  </si>
  <si>
    <t># text = Ich nervte meinen Vater, bis er endlich eine Tauchschule in Buffalo, New York, ausfindig gemacht hatte, genau auf der anderen Seite der Grenze, wo wir lebten.</t>
  </si>
  <si>
    <t>nervte</t>
  </si>
  <si>
    <t>meinen</t>
  </si>
  <si>
    <t>Vater</t>
  </si>
  <si>
    <t>bis</t>
  </si>
  <si>
    <t>er</t>
  </si>
  <si>
    <t>endlich</t>
  </si>
  <si>
    <t>Tauchschule</t>
  </si>
  <si>
    <t>Buffalo</t>
  </si>
  <si>
    <t>New</t>
  </si>
  <si>
    <t>York</t>
  </si>
  <si>
    <t>ausfindig</t>
  </si>
  <si>
    <t>gemacht</t>
  </si>
  <si>
    <t>genau</t>
  </si>
  <si>
    <t>anderen</t>
  </si>
  <si>
    <t>Seite</t>
  </si>
  <si>
    <t>def-np.the.other</t>
  </si>
  <si>
    <t>Grenze</t>
  </si>
  <si>
    <t>wo</t>
  </si>
  <si>
    <t>lebten</t>
  </si>
  <si>
    <t># text = Ich machte meinen Tauchschein in einem Pool der YMCA mitten im Winter in Buffalo, New York.</t>
  </si>
  <si>
    <t>machte</t>
  </si>
  <si>
    <t>Tauchschein</t>
  </si>
  <si>
    <t>Pool</t>
  </si>
  <si>
    <t>YMCA</t>
  </si>
  <si>
    <t>mitten</t>
  </si>
  <si>
    <t>Winter</t>
  </si>
  <si>
    <t># text = Den Ozean aber, einen echten Ozean, bekam ich erst zwei Jahre später zu Gesicht, als wir nach Kalifornien zogen.</t>
  </si>
  <si>
    <t>Den</t>
  </si>
  <si>
    <t>einen</t>
  </si>
  <si>
    <t>echten</t>
  </si>
  <si>
    <t>bekam</t>
  </si>
  <si>
    <t>erst</t>
  </si>
  <si>
    <t>zwei</t>
  </si>
  <si>
    <t>Jahre</t>
  </si>
  <si>
    <t>später</t>
  </si>
  <si>
    <t>Gesicht</t>
  </si>
  <si>
    <t>Kalifornien</t>
  </si>
  <si>
    <t>zogen</t>
  </si>
  <si>
    <t># text = Seitdem, in den 40 Jahren, die inzwischen verstrichen sind, habe ich ungefähr 3 000 Stunden unter Wasser verbracht.</t>
  </si>
  <si>
    <t>Seitdem</t>
  </si>
  <si>
    <t>Jahren</t>
  </si>
  <si>
    <t>def-np.quant</t>
  </si>
  <si>
    <t>inzwischen</t>
  </si>
  <si>
    <t>verstrichen</t>
  </si>
  <si>
    <t>sind</t>
  </si>
  <si>
    <t>habe</t>
  </si>
  <si>
    <t>ungefähr</t>
  </si>
  <si>
    <t>Stunden</t>
  </si>
  <si>
    <t>Wasser</t>
  </si>
  <si>
    <t>verbracht</t>
  </si>
  <si>
    <t># text = 500 Stunden davon in Tauchbooten.</t>
  </si>
  <si>
    <t>500</t>
  </si>
  <si>
    <t>davon</t>
  </si>
  <si>
    <t>Tauchbooten</t>
  </si>
  <si>
    <t># text = Und ich habe gelernt, dass die Welt der Tiefsee, selbst in den flacheren Ozeanen, so reich an faszinierendem Leben ist, wie wir es uns wirklich kaum vorstellen können.</t>
  </si>
  <si>
    <t>gelernt</t>
  </si>
  <si>
    <t>flacheren</t>
  </si>
  <si>
    <t>Ozeanen</t>
  </si>
  <si>
    <t>reich</t>
  </si>
  <si>
    <t>faszinierendem</t>
  </si>
  <si>
    <t>Leben</t>
  </si>
  <si>
    <t>ist</t>
  </si>
  <si>
    <t>wirklich</t>
  </si>
  <si>
    <t>kaum</t>
  </si>
  <si>
    <t># text = Die Phantasie der Natur kennt keine Grenzen, ganz im Gegensatz zu unserer eigenen, kläglichen menschlichen Vorstellungskraft.</t>
  </si>
  <si>
    <t>Phantasie</t>
  </si>
  <si>
    <t>Natur</t>
  </si>
  <si>
    <t>kennt</t>
  </si>
  <si>
    <t>keine</t>
  </si>
  <si>
    <t>Gegensatz</t>
  </si>
  <si>
    <t>eigenen</t>
  </si>
  <si>
    <t>kläglichen</t>
  </si>
  <si>
    <t>menschlichen</t>
  </si>
  <si>
    <t>Vorstellungskraft</t>
  </si>
  <si>
    <t># text = Bis zum heutigen Tage empfinde ich tiefste Ehrfurcht für das, was ich auf meinen Tauchgängen sehe.</t>
  </si>
  <si>
    <t>Bis</t>
  </si>
  <si>
    <t>heutigen</t>
  </si>
  <si>
    <t>Tage</t>
  </si>
  <si>
    <t>empfinde</t>
  </si>
  <si>
    <t>tiefste</t>
  </si>
  <si>
    <t>Ehrfurcht</t>
  </si>
  <si>
    <t>für</t>
  </si>
  <si>
    <t>Tauchgängen</t>
  </si>
  <si>
    <t>sehe</t>
  </si>
  <si>
    <t># text = Und meine Liebe zum Ozean hält an, mit derselben Intensität wie eh und je.</t>
  </si>
  <si>
    <t>hält</t>
  </si>
  <si>
    <t>derselben</t>
  </si>
  <si>
    <t>Intensität</t>
  </si>
  <si>
    <t>eh</t>
  </si>
  <si>
    <t>je</t>
  </si>
  <si>
    <t># text = Als ich mir dann als Erwachsener einen Beruf aussuchte, war es das Filmemachen.</t>
  </si>
  <si>
    <t>Als</t>
  </si>
  <si>
    <t>Erwachsener</t>
  </si>
  <si>
    <t>Beruf</t>
  </si>
  <si>
    <t>aussuchte</t>
  </si>
  <si>
    <t>Filmemachen</t>
  </si>
  <si>
    <t># text = Das schien die beste Möglichkeit, meinen inneren Drang, Geschichten zu erzählen, mit meinem Bedürfnis, Bilder zu erschaffen, zu vereinen.</t>
  </si>
  <si>
    <t>beste</t>
  </si>
  <si>
    <t>Möglichkeit</t>
  </si>
  <si>
    <t>inneren</t>
  </si>
  <si>
    <t>Drang</t>
  </si>
  <si>
    <t>Geschichten</t>
  </si>
  <si>
    <t>erzählen</t>
  </si>
  <si>
    <t>Bedürfnis</t>
  </si>
  <si>
    <t>OBJ_5</t>
  </si>
  <si>
    <t>vereinen</t>
  </si>
  <si>
    <t># text = Als Kind zeichnete ich ständig Comicbücher und so.</t>
  </si>
  <si>
    <t>Kind</t>
  </si>
  <si>
    <t>zeichnete</t>
  </si>
  <si>
    <t>Comicbücher</t>
  </si>
  <si>
    <t># text = Also waren Filme der Weg, Bilder und Geschichten zusammenzuführen.</t>
  </si>
  <si>
    <t>waren</t>
  </si>
  <si>
    <t>Filme</t>
  </si>
  <si>
    <t>Weg</t>
  </si>
  <si>
    <t># text = Das passte zusammen.</t>
  </si>
  <si>
    <t>passte</t>
  </si>
  <si>
    <t>zusammen</t>
  </si>
  <si>
    <t># text = Natürlich waren die Geschichten, die ich mir aussuchte, aus dem Science-Fiction-Bereich: "Terminator", "Aliens", und "Abyss".</t>
  </si>
  <si>
    <t>Natürlich</t>
  </si>
  <si>
    <t>aus</t>
  </si>
  <si>
    <t>Bereich</t>
  </si>
  <si>
    <t>:</t>
  </si>
  <si>
    <t>Terminator</t>
  </si>
  <si>
    <t>Aliens</t>
  </si>
  <si>
    <t>Abyss</t>
  </si>
  <si>
    <t># text = Bei "Abyss" konnte ich meine Vorliebe für die Unterwasserwelt und das Tauchen mit dem Filmemachen verbinden.</t>
  </si>
  <si>
    <t>Bei</t>
  </si>
  <si>
    <t>Vorliebe</t>
  </si>
  <si>
    <t>Unterwasserwelt</t>
  </si>
  <si>
    <t>Tauchen</t>
  </si>
  <si>
    <t># text = Also verflochten sich quasi meine beiden Leidenschaften.</t>
  </si>
  <si>
    <t>verflochten</t>
  </si>
  <si>
    <t>quasi</t>
  </si>
  <si>
    <t>beiden</t>
  </si>
  <si>
    <t>Leidenschaften</t>
  </si>
  <si>
    <t># text = Etwas Interessantes passierte bei "Abyss": Um ein erzählerisches Problem in diesem Film zu lösen - und zwar mussten wir so eine Art flüssiges Wasserwesen erschaffen -, griffen wir auf computergenerierte Animation, CG, zurück.</t>
  </si>
  <si>
    <t>Etwas</t>
  </si>
  <si>
    <t>passierte</t>
  </si>
  <si>
    <t>bei</t>
  </si>
  <si>
    <t>Um</t>
  </si>
  <si>
    <t>erzählerisches</t>
  </si>
  <si>
    <t>diesem</t>
  </si>
  <si>
    <t>Film</t>
  </si>
  <si>
    <t>lösen</t>
  </si>
  <si>
    <t>zwar</t>
  </si>
  <si>
    <t>Art</t>
  </si>
  <si>
    <t>flüssiges</t>
  </si>
  <si>
    <t>Wasserwesen</t>
  </si>
  <si>
    <t>griffen</t>
  </si>
  <si>
    <t>computergenerierte</t>
  </si>
  <si>
    <t>Animation</t>
  </si>
  <si>
    <t>CG</t>
  </si>
  <si>
    <t>zurück</t>
  </si>
  <si>
    <t># text = Was dabei herauskam, war die erste computergenerierte Soft-Surface-Figur, die je in einem Film zu sehen war.</t>
  </si>
  <si>
    <t>herauskam</t>
  </si>
  <si>
    <t>erste</t>
  </si>
  <si>
    <t>Soft</t>
  </si>
  <si>
    <t>Surface</t>
  </si>
  <si>
    <t>Figur</t>
  </si>
  <si>
    <t># text = Der Film brachte zwar kein Geld ein, genau gesagt spielte er gerade mal seine Produktionskosten ein, doch bemerkte ich etwas Faszinierendes: Das Publikum auf der ganzen Welt war wie hypnotisiert vom Zauber, der davon ausging.</t>
  </si>
  <si>
    <t>Der</t>
  </si>
  <si>
    <t>kein</t>
  </si>
  <si>
    <t>Geld</t>
  </si>
  <si>
    <t>gesagt</t>
  </si>
  <si>
    <t>spielte</t>
  </si>
  <si>
    <t>gerade</t>
  </si>
  <si>
    <t>mal</t>
  </si>
  <si>
    <t>seine</t>
  </si>
  <si>
    <t>Produktionskosten</t>
  </si>
  <si>
    <t>doch</t>
  </si>
  <si>
    <t>bemerkte</t>
  </si>
  <si>
    <t>Faszinierendes</t>
  </si>
  <si>
    <t>Publikum</t>
  </si>
  <si>
    <t>ganzen</t>
  </si>
  <si>
    <t>hypnotisiert</t>
  </si>
  <si>
    <t>Zauber</t>
  </si>
  <si>
    <t>SBJ_5</t>
  </si>
  <si>
    <t>ausging</t>
  </si>
  <si>
    <t># text = Laut Arthur Clarke's Gesetz sind bekanntlich fortgeschrittliche Technologie und Zauberei nicht mehr voneinander zu unterscheiden.</t>
  </si>
  <si>
    <t>Laut</t>
  </si>
  <si>
    <t>Arthur</t>
  </si>
  <si>
    <t>Clarke's</t>
  </si>
  <si>
    <t>Gesetz</t>
  </si>
  <si>
    <t>bekanntlich</t>
  </si>
  <si>
    <t>fortgeschrittliche</t>
  </si>
  <si>
    <t>Technologie</t>
  </si>
  <si>
    <t>Zauberei</t>
  </si>
  <si>
    <t>mehr</t>
  </si>
  <si>
    <t>voneinander</t>
  </si>
  <si>
    <t># text = Sie sahen also etwas Magisches.</t>
  </si>
  <si>
    <t>sahen</t>
  </si>
  <si>
    <t>also</t>
  </si>
  <si>
    <t>Magisches</t>
  </si>
  <si>
    <t># text = Und das fand ich ungeheuer spannend.</t>
  </si>
  <si>
    <t>fand</t>
  </si>
  <si>
    <t>ungeheuer</t>
  </si>
  <si>
    <t>spannend</t>
  </si>
  <si>
    <t># text = Und ich dachte mir: "Wow, das muss unbedingt in die Filmkunst einbezogen werden."</t>
  </si>
  <si>
    <t>dachte</t>
  </si>
  <si>
    <t>Wow</t>
  </si>
  <si>
    <t>muss</t>
  </si>
  <si>
    <t>unbedingt</t>
  </si>
  <si>
    <t>Filmkunst</t>
  </si>
  <si>
    <t>einbezogen</t>
  </si>
  <si>
    <t># text = Also gingen wir in \"Terminator 2\", meinem nächsten Film, noch viel weiter.</t>
  </si>
  <si>
    <t>gingen</t>
  </si>
  <si>
    <t>viel</t>
  </si>
  <si>
    <t>weiter</t>
  </si>
  <si>
    <t># text = Zusammen mit ILM erschufen wir dort den Typen aus flüssigem Metall.</t>
  </si>
  <si>
    <t>Zusammen</t>
  </si>
  <si>
    <t>ILM</t>
  </si>
  <si>
    <t>dort</t>
  </si>
  <si>
    <t>Typen</t>
  </si>
  <si>
    <t>flüssigem</t>
  </si>
  <si>
    <t>Metall</t>
  </si>
  <si>
    <t># text = Der Erfolg hing ganz davon ab, wie dieser Effekt ankommen würde.</t>
  </si>
  <si>
    <t>Erfolg</t>
  </si>
  <si>
    <t>hing</t>
  </si>
  <si>
    <t>ab</t>
  </si>
  <si>
    <t>dieser</t>
  </si>
  <si>
    <t>Effekt</t>
  </si>
  <si>
    <t>ankommen</t>
  </si>
  <si>
    <t># text = Und es funktionierte.</t>
  </si>
  <si>
    <t>funktionierte</t>
  </si>
  <si>
    <t># text = Wieder hatten wir etwas Magisches geschaffen.</t>
  </si>
  <si>
    <t>Wieder</t>
  </si>
  <si>
    <t>hatten</t>
  </si>
  <si>
    <t>geschaffen</t>
  </si>
  <si>
    <t># text = Und die Wirkung im Publikum war dieselbe.</t>
  </si>
  <si>
    <t>Wirkung</t>
  </si>
  <si>
    <t>dieselbe</t>
  </si>
  <si>
    <t># text = Allerdings haben wir mit dem Film schon ein bisschen mehr Geld eingespielt.</t>
  </si>
  <si>
    <t>Allerdings</t>
  </si>
  <si>
    <t>schon</t>
  </si>
  <si>
    <t>bisschen</t>
  </si>
  <si>
    <t>eingespielt</t>
  </si>
  <si>
    <t># text = Von diesen beiden Erfahrungen ausgehend, war eine ganz neue Welt erreicht, eine ganz neue Welt der Kreativität für Filmschaffende.</t>
  </si>
  <si>
    <t>Von</t>
  </si>
  <si>
    <t>diesen</t>
  </si>
  <si>
    <t>Erfahrungen</t>
  </si>
  <si>
    <t>ausgehend</t>
  </si>
  <si>
    <t>neue</t>
  </si>
  <si>
    <t>erreicht</t>
  </si>
  <si>
    <t>Filmschaffende</t>
  </si>
  <si>
    <t># text = Also gründete ich eine Firma, zusammen mit meinem guten Freund Stan Winston, der zu jener Zeit der beste Make-Up- und Creature-Designer war.</t>
  </si>
  <si>
    <t>gründete</t>
  </si>
  <si>
    <t>Firma</t>
  </si>
  <si>
    <t>guten</t>
  </si>
  <si>
    <t>Freund</t>
  </si>
  <si>
    <t>Stan</t>
  </si>
  <si>
    <t>Winston</t>
  </si>
  <si>
    <t>Zeit</t>
  </si>
  <si>
    <t>Make-</t>
  </si>
  <si>
    <t>Up</t>
  </si>
  <si>
    <t>Creature</t>
  </si>
  <si>
    <t>Designer</t>
  </si>
  <si>
    <t># text = Sie hieß "Digital Domain".</t>
  </si>
  <si>
    <t>hieß</t>
  </si>
  <si>
    <t>Digital</t>
  </si>
  <si>
    <t>Domain</t>
  </si>
  <si>
    <t># text = Die Grundidee dieser Firma war es, die Phase analoger Prozesse mit optischen Druckern etc. zu überspringen und gleich mit digitalen Produktionen zu beginnen.</t>
  </si>
  <si>
    <t>Grundidee</t>
  </si>
  <si>
    <t>Phase</t>
  </si>
  <si>
    <t>analoger</t>
  </si>
  <si>
    <t>Prozesse</t>
  </si>
  <si>
    <t>optischen</t>
  </si>
  <si>
    <t>Druckern</t>
  </si>
  <si>
    <t>etc.</t>
  </si>
  <si>
    <t>überspringen</t>
  </si>
  <si>
    <t>gleich</t>
  </si>
  <si>
    <t>digitalen</t>
  </si>
  <si>
    <t>Produktionen</t>
  </si>
  <si>
    <t># text = Das taten wir dann auch und verschafften uns so eine Zeitlang einen Wettbewerbsvorteil.</t>
  </si>
  <si>
    <t>verschafften</t>
  </si>
  <si>
    <t>Zeitlang</t>
  </si>
  <si>
    <t>Wettbewerbsvorteil</t>
  </si>
  <si>
    <t># text = Aber Mitte der 90er Jahre merkten wir doch, dass wir im Creature- und Character-Design - wofür wir die Firma ja eigentlich gegründet hatten - zu langsam vorankamen.</t>
  </si>
  <si>
    <t>Mitte</t>
  </si>
  <si>
    <t>90er</t>
  </si>
  <si>
    <t>merkten</t>
  </si>
  <si>
    <t>Character</t>
  </si>
  <si>
    <t>Design</t>
  </si>
  <si>
    <t>wofür</t>
  </si>
  <si>
    <t>eigentlich</t>
  </si>
  <si>
    <t>gegründet</t>
  </si>
  <si>
    <t>langsam</t>
  </si>
  <si>
    <t>vorankamen</t>
  </si>
  <si>
    <t># text = Ich hatte dieses Stück \"Avatar\" geschrieben, das die Messlatte in Sachen visueller Effekte und computergenerierter Effekte in ganz neue Höhen schieben sollte, mit realistischen menschlichen, ausdrucksvollen Charakteren, die mittels CG hergestellt worden waren.</t>
  </si>
  <si>
    <t>dieses</t>
  </si>
  <si>
    <t>Stück</t>
  </si>
  <si>
    <t>Avatar</t>
  </si>
  <si>
    <t>geschrieben</t>
  </si>
  <si>
    <t>Messlatte</t>
  </si>
  <si>
    <t>Sachen</t>
  </si>
  <si>
    <t>visueller</t>
  </si>
  <si>
    <t>Effekte</t>
  </si>
  <si>
    <t>computergenerierter</t>
  </si>
  <si>
    <t>Höhen</t>
  </si>
  <si>
    <t>schieben</t>
  </si>
  <si>
    <t>sollte</t>
  </si>
  <si>
    <t>realistischen</t>
  </si>
  <si>
    <t>ausdrucksvollen</t>
  </si>
  <si>
    <t>Charakteren</t>
  </si>
  <si>
    <t>mittels</t>
  </si>
  <si>
    <t>hergestellt</t>
  </si>
  <si>
    <t>worden</t>
  </si>
  <si>
    <t># text = Und die Hauptfiguren sollten alle CG sein.</t>
  </si>
  <si>
    <t>Hauptfiguren</t>
  </si>
  <si>
    <t>sollten</t>
  </si>
  <si>
    <t># text = Und die Welt sollte CG sein.</t>
  </si>
  <si>
    <t># text = Aber die Messlatte drückte ganz schön zurück.</t>
  </si>
  <si>
    <t>drückte</t>
  </si>
  <si>
    <t>schön</t>
  </si>
  <si>
    <t># text = Und die Leute in meiner Firma sagten mir, dass wir vorläufig noch nicht in der Lage seien, das zu schaffen.</t>
  </si>
  <si>
    <t>Leute</t>
  </si>
  <si>
    <t>sagten</t>
  </si>
  <si>
    <t>vorläufig</t>
  </si>
  <si>
    <t>Lage</t>
  </si>
  <si>
    <t>seien</t>
  </si>
  <si>
    <t># text = Also verschob ich das und machte diesen anderen Film über das große Schiff, das untergeht.</t>
  </si>
  <si>
    <t>verschob</t>
  </si>
  <si>
    <t>def-np.dem.other</t>
  </si>
  <si>
    <t>über</t>
  </si>
  <si>
    <t>große</t>
  </si>
  <si>
    <t>Schiff</t>
  </si>
  <si>
    <t>untergeht</t>
  </si>
  <si>
    <t># text = (Lachen) Dem Filmstudio habe ich das als \"Romeo und Julia auf einem Schiff\" verkauft.</t>
  </si>
  <si>
    <t>(</t>
  </si>
  <si>
    <t>Lachen</t>
  </si>
  <si>
    <t>)</t>
  </si>
  <si>
    <t>Dem</t>
  </si>
  <si>
    <t>Filmstudio</t>
  </si>
  <si>
    <t>Romeo</t>
  </si>
  <si>
    <t>Julia</t>
  </si>
  <si>
    <t>verkauft</t>
  </si>
  <si>
    <t># text = Es wurde ein Liebesfilm epischen Ausmaßes, ein leidenschaftlicher Film.</t>
  </si>
  <si>
    <t>Liebesfilm</t>
  </si>
  <si>
    <t>epischen</t>
  </si>
  <si>
    <t>Ausmaßes</t>
  </si>
  <si>
    <t>leidenschaftlicher</t>
  </si>
  <si>
    <t># text = Insgeheim aber wollte ich eigentlich zum echten Wrack der Titanic hinabtauchen.</t>
  </si>
  <si>
    <t>Insgeheim</t>
  </si>
  <si>
    <t>wollte</t>
  </si>
  <si>
    <t>Wrack</t>
  </si>
  <si>
    <t>Titanic</t>
  </si>
  <si>
    <t># text = Darum habe ich den Film gemacht.</t>
  </si>
  <si>
    <t>Darum</t>
  </si>
  <si>
    <t># text = (Beifall) Das ist die Wahrheit.</t>
  </si>
  <si>
    <t>Beifall</t>
  </si>
  <si>
    <t>Wahrheit</t>
  </si>
  <si>
    <t># text = Das Studio wusste das aber nicht.</t>
  </si>
  <si>
    <t>Studio</t>
  </si>
  <si>
    <t>wusste</t>
  </si>
  <si>
    <t># text = Ich habe sie aber überzeugt, indem ich sagte: \"Wir tauchen zu dem Wrack.</t>
  </si>
  <si>
    <t>indem</t>
  </si>
  <si>
    <t>sagte</t>
  </si>
  <si>
    <t>Wir</t>
  </si>
  <si>
    <t># text = Wir filmen das echte Wrack.</t>
  </si>
  <si>
    <t>echte</t>
  </si>
  <si>
    <t># text = Wir werden es in der Eröffnungssequenz des Films zeigen.</t>
  </si>
  <si>
    <t>Eröffnungssequenz</t>
  </si>
  <si>
    <t>Films</t>
  </si>
  <si>
    <t># text = Das ist ungeheuer wichtig.</t>
  </si>
  <si>
    <t>wichtig</t>
  </si>
  <si>
    <t># text = Es ist ein guter Aufhänger fürs Marketing.\"</t>
  </si>
  <si>
    <t>guter</t>
  </si>
  <si>
    <t>Aufhänger</t>
  </si>
  <si>
    <t>fürs</t>
  </si>
  <si>
    <t>Marketing</t>
  </si>
  <si>
    <t># text = Und ich überredete sie, eine Expedition zu finanzieren.</t>
  </si>
  <si>
    <t>überredete</t>
  </si>
  <si>
    <t>Expedition</t>
  </si>
  <si>
    <t>finanzieren</t>
  </si>
  <si>
    <t># text = Klingt verrückt.</t>
  </si>
  <si>
    <t>Klingt</t>
  </si>
  <si>
    <t># text = Aber das geht wieder darauf zurück, dass die eigene Vorstellungskraft eine Realität schaffen kann.</t>
  </si>
  <si>
    <t>geht</t>
  </si>
  <si>
    <t>wieder</t>
  </si>
  <si>
    <t>eigene</t>
  </si>
  <si>
    <t>Realität</t>
  </si>
  <si>
    <t>kann</t>
  </si>
  <si>
    <t># text = Wir schufen dann tatsächlich sechs Monate später eine Realität, in der ich mich in einem russischen Tauchboot wiederfand, vier Kilometer unter der Oberfläche des Nordatlantik, und mir die echte Titanic durch ein Bullauge anschaute.</t>
  </si>
  <si>
    <t>schufen</t>
  </si>
  <si>
    <t>sechs</t>
  </si>
  <si>
    <t>Monate</t>
  </si>
  <si>
    <t>russischen</t>
  </si>
  <si>
    <t>Tauchboot</t>
  </si>
  <si>
    <t>wiederfand</t>
  </si>
  <si>
    <t>vier</t>
  </si>
  <si>
    <t>Kilometer</t>
  </si>
  <si>
    <t>Oberfläche</t>
  </si>
  <si>
    <t>Nordatlantik</t>
  </si>
  <si>
    <t>Bullauge</t>
  </si>
  <si>
    <t>anschaute</t>
  </si>
  <si>
    <t># text = Das war kein Film, kein HD, das war echt.</t>
  </si>
  <si>
    <t>HD</t>
  </si>
  <si>
    <t>echt</t>
  </si>
  <si>
    <t># text = Also, das hat mich wirklich umgehauen.</t>
  </si>
  <si>
    <t>umgehauen</t>
  </si>
  <si>
    <t># text = Und die Vorbereitungen dazu waren enorm.</t>
  </si>
  <si>
    <t>Vorbereitungen</t>
  </si>
  <si>
    <t>dazu</t>
  </si>
  <si>
    <t>enorm</t>
  </si>
  <si>
    <t># text = Wir mussten Kameras und Scheinwerfer und alles Mögliche bauen.</t>
  </si>
  <si>
    <t>Kameras</t>
  </si>
  <si>
    <t>Scheinwerfer</t>
  </si>
  <si>
    <t>Mögliche</t>
  </si>
  <si>
    <t># text = Und mir fiel auf, wie sehr diese Tiefseetauchgänge, einer Weltraummission ähnelten.</t>
  </si>
  <si>
    <t>fiel</t>
  </si>
  <si>
    <t>sehr</t>
  </si>
  <si>
    <t>Tiefseetauchgänge</t>
  </si>
  <si>
    <t>Weltraummission</t>
  </si>
  <si>
    <t>ähnelten</t>
  </si>
  <si>
    <t># text = Na ja, sie waren auch hochtechnisch und bedurften umfangreicher Planung.</t>
  </si>
  <si>
    <t>Na</t>
  </si>
  <si>
    <t>hochtechnisch</t>
  </si>
  <si>
    <t>bedurften</t>
  </si>
  <si>
    <t>umfangreicher</t>
  </si>
  <si>
    <t>Planung</t>
  </si>
  <si>
    <t># text = Man steigt in diese Kapsel, dann schwebt man in diese dunkle, feindselige Umgebung hinunter, wo keine Hoffnung auf Rettung besteht, wenn man es nicht selbst zurück schafft.</t>
  </si>
  <si>
    <t>Man</t>
  </si>
  <si>
    <t>steigt</t>
  </si>
  <si>
    <t>Kapsel</t>
  </si>
  <si>
    <t>schwebt</t>
  </si>
  <si>
    <t>man</t>
  </si>
  <si>
    <t>dunkle</t>
  </si>
  <si>
    <t>feindselige</t>
  </si>
  <si>
    <t>hinunter</t>
  </si>
  <si>
    <t>Hoffnung</t>
  </si>
  <si>
    <t>Rettung</t>
  </si>
  <si>
    <t>besteht</t>
  </si>
  <si>
    <t>schafft</t>
  </si>
  <si>
    <t># text = Und ich dachte mir, \"Wow, das ist genauso, als wäre ich in einem Science-Fiction-Film.</t>
  </si>
  <si>
    <t>wäre</t>
  </si>
  <si>
    <t># text = Das ist echt cool.\"</t>
  </si>
  <si>
    <t>cool</t>
  </si>
  <si>
    <t># text = Ich war regelrecht besessen vom Erforschen der Tiefsee.</t>
  </si>
  <si>
    <t>regelrecht</t>
  </si>
  <si>
    <t>besessen</t>
  </si>
  <si>
    <t>Erforschen</t>
  </si>
  <si>
    <t># text = Jedenfalls von dem Teil, der mit Neugier und Wissenschaft zu tun hat.</t>
  </si>
  <si>
    <t>Jedenfalls</t>
  </si>
  <si>
    <t>Wissenschaft</t>
  </si>
  <si>
    <t>tun</t>
  </si>
  <si>
    <t># text = Es war alles.</t>
  </si>
  <si>
    <t># text = Es war Abenteuer, es war Neugier.</t>
  </si>
  <si>
    <t>Abenteuer</t>
  </si>
  <si>
    <t># text = Es war Vorstellungskraft.</t>
  </si>
  <si>
    <t># text = Und es war eine Erfahrung, die mir Hollywood nicht geben konnte.</t>
  </si>
  <si>
    <t>Erfahrung</t>
  </si>
  <si>
    <t>Hollywood</t>
  </si>
  <si>
    <t># text = Denn, wissen Sie, ich konnte mir ein Wesen vorstellen, für das wir dann einen visuellen Effekt gestalten konnten.</t>
  </si>
  <si>
    <t>Denn</t>
  </si>
  <si>
    <t>Wesen</t>
  </si>
  <si>
    <t>visuellen</t>
  </si>
  <si>
    <t>gestalten</t>
  </si>
  <si>
    <t>konnten</t>
  </si>
  <si>
    <t># text = Aber ich konnte mir nicht das vorstellen, was ich außerhalb des Fensters sehen würde.</t>
  </si>
  <si>
    <t>außerhalb</t>
  </si>
  <si>
    <t>Fensters</t>
  </si>
  <si>
    <t># text = Bei einigen der folgenden Expeditionen habe ich Wesen in Thermalquellen gesehen, und manchmal Dinge, die ich noch nie vorher gesehen hatte, manchmal auch Dinge, die überhaupt noch niemand zuvor gesehen hatte und für die die Wissenschaft zum Zeitpunkt, als wir sie sahen, noch gar keine Worte gefunden hatte.</t>
  </si>
  <si>
    <t>einigen</t>
  </si>
  <si>
    <t>folgenden</t>
  </si>
  <si>
    <t>Expeditionen</t>
  </si>
  <si>
    <t>Thermalquellen</t>
  </si>
  <si>
    <t>gesehen</t>
  </si>
  <si>
    <t>manchmal</t>
  </si>
  <si>
    <t>Dinge</t>
  </si>
  <si>
    <t>überhaupt</t>
  </si>
  <si>
    <t>niemand</t>
  </si>
  <si>
    <t>zuvor</t>
  </si>
  <si>
    <t>other_6</t>
  </si>
  <si>
    <t>other_7</t>
  </si>
  <si>
    <t>Zeitpunkt</t>
  </si>
  <si>
    <t>SBJ_7</t>
  </si>
  <si>
    <t>OBJ_7</t>
  </si>
  <si>
    <t>gar</t>
  </si>
  <si>
    <t>other_9</t>
  </si>
  <si>
    <t>Worte</t>
  </si>
  <si>
    <t>OBJ_8</t>
  </si>
  <si>
    <t>gefunden</t>
  </si>
  <si>
    <t># text = Das hat mich also richtig umgeworfen, und ich wollte mehr.</t>
  </si>
  <si>
    <t>richtig</t>
  </si>
  <si>
    <t># text = Und so traf ich dann eine etwas ungewöhnliche Entscheidung.</t>
  </si>
  <si>
    <t>traf</t>
  </si>
  <si>
    <t>ungewöhnliche</t>
  </si>
  <si>
    <t>Entscheidung</t>
  </si>
  <si>
    <t># text = Nach dem Erfolg von \"Titanic\" sagte ich mir, \"Okay, ich will meinen Hauptberuf als Filmemacher in Hollywood auf Eis legen und werde für eine Weile Vollzeit-Forscher.\"</t>
  </si>
  <si>
    <t>Nach</t>
  </si>
  <si>
    <t>Okay</t>
  </si>
  <si>
    <t>will</t>
  </si>
  <si>
    <t>Hauptberuf</t>
  </si>
  <si>
    <t>Filmemacher</t>
  </si>
  <si>
    <t>Eis</t>
  </si>
  <si>
    <t>legen</t>
  </si>
  <si>
    <t>werde</t>
  </si>
  <si>
    <t>Weile</t>
  </si>
  <si>
    <t>Vollzeit</t>
  </si>
  <si>
    <t>Forscher</t>
  </si>
  <si>
    <t># text = Und dann begannen wir, diese Expeditionen zu planen.</t>
  </si>
  <si>
    <t>begannen</t>
  </si>
  <si>
    <t>planen</t>
  </si>
  <si>
    <t># text = Wir tauchten zur "Bismarck", und erforschten sie mit Roboterfahrzeugen.</t>
  </si>
  <si>
    <t>tauchten</t>
  </si>
  <si>
    <t>Bismarck</t>
  </si>
  <si>
    <t>Roboterfahrzeugen</t>
  </si>
  <si>
    <t># text = Wir kehrten zum Wrack der Titanic zurück.</t>
  </si>
  <si>
    <t>kehrten</t>
  </si>
  <si>
    <t># text = Wir nahmen kleine Roboter, die wir gebaut hatten, die ein Fiberglaskabel abwickelten.</t>
  </si>
  <si>
    <t>kleine</t>
  </si>
  <si>
    <t>Roboter</t>
  </si>
  <si>
    <t>gebaut</t>
  </si>
  <si>
    <t>Fiberglaskabel</t>
  </si>
  <si>
    <t>abwickelten</t>
  </si>
  <si>
    <t># text = Unsere Absicht war, hineinzutauchen und sich das Innere des Schiffs anzusehen, was nie zuvor getan worden war.</t>
  </si>
  <si>
    <t>Unsere</t>
  </si>
  <si>
    <t>Absicht</t>
  </si>
  <si>
    <t>hineinzutauchen</t>
  </si>
  <si>
    <t>Innere</t>
  </si>
  <si>
    <t>Schiffs</t>
  </si>
  <si>
    <t>anzusehen</t>
  </si>
  <si>
    <t>getan</t>
  </si>
  <si>
    <t># text = Niemand hatte je das Innere des Wracks erkundet.</t>
  </si>
  <si>
    <t>Niemand</t>
  </si>
  <si>
    <t>Wracks</t>
  </si>
  <si>
    <t>erkundet</t>
  </si>
  <si>
    <t># text = Man hatte noch keine Mittel dafür.</t>
  </si>
  <si>
    <t>Mittel</t>
  </si>
  <si>
    <t>dafür</t>
  </si>
  <si>
    <t># text = Also entwickelten wir die nötige Technologie.</t>
  </si>
  <si>
    <t>entwickelten</t>
  </si>
  <si>
    <t>nötige</t>
  </si>
  <si>
    <t># text = Na und da sitze ich nun, auf dem Deck der Titanic, in einem Tauchboot, und sehe Planken, die diesen Brettern hier ziemlich ähneln und von denen ich weiß, dass einst die Band dort gespielt hat.</t>
  </si>
  <si>
    <t>sitze</t>
  </si>
  <si>
    <t>nun</t>
  </si>
  <si>
    <t>Deck</t>
  </si>
  <si>
    <t>Planken</t>
  </si>
  <si>
    <t>Brettern</t>
  </si>
  <si>
    <t>ähneln</t>
  </si>
  <si>
    <t>denen</t>
  </si>
  <si>
    <t>weiß</t>
  </si>
  <si>
    <t>einst</t>
  </si>
  <si>
    <t>Band</t>
  </si>
  <si>
    <t>gespielt</t>
  </si>
  <si>
    <t># text = Und ich fliege mit einem kleinen Roboterfahrzeug durch die Gänge des Schiffs.</t>
  </si>
  <si>
    <t>fliege</t>
  </si>
  <si>
    <t>Roboterfahrzeug</t>
  </si>
  <si>
    <t>Gänge</t>
  </si>
  <si>
    <t># text = Ich bediene es zwar eigentlich nur, aber mein Bewusstsein ist innerhalb des Fahrzeugs.</t>
  </si>
  <si>
    <t>bediene</t>
  </si>
  <si>
    <t>nur</t>
  </si>
  <si>
    <t>mein</t>
  </si>
  <si>
    <t>Bewusstsein</t>
  </si>
  <si>
    <t>innerhalb</t>
  </si>
  <si>
    <t>Fahrzeugs</t>
  </si>
  <si>
    <t># text = Es fühlte sich an, als wäre ich körperlich innerhalb des Schiffswracks der Titanic anwesend.</t>
  </si>
  <si>
    <t>fühlte</t>
  </si>
  <si>
    <t>körperlich</t>
  </si>
  <si>
    <t>Schiffswracks</t>
  </si>
  <si>
    <t>anwesend</t>
  </si>
  <si>
    <t># text = Das war die surrealste Form eines Déjà-vu, die ich je erlebt habe.</t>
  </si>
  <si>
    <t>surrealste</t>
  </si>
  <si>
    <t>Form</t>
  </si>
  <si>
    <t>eines</t>
  </si>
  <si>
    <t>Déjà-</t>
  </si>
  <si>
    <t>vu</t>
  </si>
  <si>
    <t>erlebt</t>
  </si>
  <si>
    <t># text = Denn bevor ich jeweils um eine Ecke bog, wusste ich immer schon, was gleich im Lichtkegel des Fahrzeugs auftauchen würde, da ich monatelang übers Filmset gelaufen war, als wir den Film drehten.</t>
  </si>
  <si>
    <t>bevor</t>
  </si>
  <si>
    <t>jeweils</t>
  </si>
  <si>
    <t>Ecke</t>
  </si>
  <si>
    <t>bog</t>
  </si>
  <si>
    <t>Lichtkegel</t>
  </si>
  <si>
    <t>auftauchen</t>
  </si>
  <si>
    <t>monatelang</t>
  </si>
  <si>
    <t>Filmset</t>
  </si>
  <si>
    <t>gelaufen</t>
  </si>
  <si>
    <t>drehten</t>
  </si>
  <si>
    <t># text = Das Set war nämlich eine genaue Kopie der Baupläne des Schiffs.</t>
  </si>
  <si>
    <t>Set</t>
  </si>
  <si>
    <t>genaue</t>
  </si>
  <si>
    <t>Kopie</t>
  </si>
  <si>
    <t>Baupläne</t>
  </si>
  <si>
    <t># text = Das war also eine höchst merkwürdige Erfahrung.</t>
  </si>
  <si>
    <t>höchst</t>
  </si>
  <si>
    <t>merkwürdige</t>
  </si>
  <si>
    <t># text = Sie machte mir dieses Telepräsenz-Erlebnis bewusst, dass man solch roboterhafte Avatare verwenden und so das eigene Bewusstsein in das Fahrzeug, in diese andere Form der Existenz verlegen kann.</t>
  </si>
  <si>
    <t>Telepräsenz</t>
  </si>
  <si>
    <t>Erlebnis</t>
  </si>
  <si>
    <t>bewusst</t>
  </si>
  <si>
    <t>solch</t>
  </si>
  <si>
    <t>roboterhafte</t>
  </si>
  <si>
    <t>Avatare</t>
  </si>
  <si>
    <t>verwenden</t>
  </si>
  <si>
    <t>Fahrzeug</t>
  </si>
  <si>
    <t>Existenz</t>
  </si>
  <si>
    <t>verlegen</t>
  </si>
  <si>
    <t># text = Es war wirklich ungeheuer tiefgreifend und vielleicht auch ein kleiner Ausblick auf das, was vielleicht in einigen Jahrzehnten passieren könnte, wenn man Cyborg-Körper hat, um etwas zu erforschen oder andere Dinge zu tun, in allen möglichen post-humanen Zukunftszenarios, die ich mir als Science-Fiction-Fan vorstellen kann.</t>
  </si>
  <si>
    <t>tiefgreifend</t>
  </si>
  <si>
    <t>vielleicht</t>
  </si>
  <si>
    <t>kleiner</t>
  </si>
  <si>
    <t>Ausblick</t>
  </si>
  <si>
    <t>Jahrzehnten</t>
  </si>
  <si>
    <t>könnte</t>
  </si>
  <si>
    <t>SBJ_6</t>
  </si>
  <si>
    <t>Cyborg</t>
  </si>
  <si>
    <t>OBJ_6</t>
  </si>
  <si>
    <t>Körper</t>
  </si>
  <si>
    <t>erforschen</t>
  </si>
  <si>
    <t>oder</t>
  </si>
  <si>
    <t>allen</t>
  </si>
  <si>
    <t>möglichen</t>
  </si>
  <si>
    <t>post-</t>
  </si>
  <si>
    <t>humanen</t>
  </si>
  <si>
    <t>Zukunftszenarios</t>
  </si>
  <si>
    <t>Fan</t>
  </si>
  <si>
    <t># text = Nach diesen Expeditionen begannen wir das, was wir da unten gesehen hatten, wirklich schätzen zu lernen, zum Beispiel diese Tiefseequellen, wo wir diese unglaublich verblüffenden Tiere sahen.</t>
  </si>
  <si>
    <t>unten</t>
  </si>
  <si>
    <t>schätzen</t>
  </si>
  <si>
    <t>Beispiel</t>
  </si>
  <si>
    <t>Tiefseequellen</t>
  </si>
  <si>
    <t>unglaublich</t>
  </si>
  <si>
    <t>verblüffenden</t>
  </si>
  <si>
    <t># text = Das sind quasi Außerirdische, aber hier auf Erden.</t>
  </si>
  <si>
    <t>Außerirdische</t>
  </si>
  <si>
    <t>Erden</t>
  </si>
  <si>
    <t># text = Sie leben mit Hilfe von Chemosynthese.</t>
  </si>
  <si>
    <t>Hilfe</t>
  </si>
  <si>
    <t>Chemosynthese</t>
  </si>
  <si>
    <t># text = Sie existieren nicht in einem auf Sonnenlicht basierten System, wie wir das tun.</t>
  </si>
  <si>
    <t>Sonnenlicht</t>
  </si>
  <si>
    <t>basierten</t>
  </si>
  <si>
    <t>System</t>
  </si>
  <si>
    <t># text = Und so sieht man Tiere, die direkt neben einer 500 Grad Celsius heißen Wasserwolke leben.</t>
  </si>
  <si>
    <t>sieht</t>
  </si>
  <si>
    <t>direkt</t>
  </si>
  <si>
    <t>neben</t>
  </si>
  <si>
    <t>Grad</t>
  </si>
  <si>
    <t>Celsius</t>
  </si>
  <si>
    <t>Wasserwolke</t>
  </si>
  <si>
    <t># text = Und man kann sich nicht vorstellen, dass sie dort überleben können.</t>
  </si>
  <si>
    <t>überleben</t>
  </si>
  <si>
    <t># text = Zur selben Zeit interessierte ich mich außerdem sehr für Weltraumwissenschaft, das war wieder der Science-Fiction-Einfluss aus meiner Kindheit.</t>
  </si>
  <si>
    <t>Zu</t>
  </si>
  <si>
    <t>selben</t>
  </si>
  <si>
    <t>interessierte</t>
  </si>
  <si>
    <t>außerdem</t>
  </si>
  <si>
    <t>Weltraumwissenschaft</t>
  </si>
  <si>
    <t>Einfluss</t>
  </si>
  <si>
    <t>Kindheit</t>
  </si>
  <si>
    <t># text = Und so landete ich bei den Leuten, die sich für den Weltraum interessieren und die mit der NASA zu tun haben und im NASA-Sachverständigenrat sitzen und richtige Weltraummissionen planen.</t>
  </si>
  <si>
    <t>landete</t>
  </si>
  <si>
    <t>Leuten</t>
  </si>
  <si>
    <t>Weltraum</t>
  </si>
  <si>
    <t>interessieren</t>
  </si>
  <si>
    <t>NASA</t>
  </si>
  <si>
    <t>Sachverständigenrat</t>
  </si>
  <si>
    <t>richtige</t>
  </si>
  <si>
    <t>Weltraummissionen</t>
  </si>
  <si>
    <t># text = Sie fahren nach Russland, durchlaufen vor der Mission das biomedizinische Protokoll samt allem Drum und Dran, fliegen dann zur internationalen Weltraumstation und nehmen unsere 3D-Kamerasysteme mit.</t>
  </si>
  <si>
    <t>Russland</t>
  </si>
  <si>
    <t>durchlaufen</t>
  </si>
  <si>
    <t>vor</t>
  </si>
  <si>
    <t>Mission</t>
  </si>
  <si>
    <t>biomedizinische</t>
  </si>
  <si>
    <t>Protokoll</t>
  </si>
  <si>
    <t>samt</t>
  </si>
  <si>
    <t>allem</t>
  </si>
  <si>
    <t>Drum</t>
  </si>
  <si>
    <t>Dran</t>
  </si>
  <si>
    <t>internationalen</t>
  </si>
  <si>
    <t>Weltraumstation</t>
  </si>
  <si>
    <t>3D</t>
  </si>
  <si>
    <t>Kamerasysteme</t>
  </si>
  <si>
    <t># text = Das war faszinierend.</t>
  </si>
  <si>
    <t># text = Aber am Ende lief es darauf hinaus, dass ich Weltraumwissenschaftler mit uns in die Tiefsee nahm.</t>
  </si>
  <si>
    <t>Ende</t>
  </si>
  <si>
    <t>lief</t>
  </si>
  <si>
    <t>hinaus</t>
  </si>
  <si>
    <t>Weltraumwissenschaftler</t>
  </si>
  <si>
    <t>nahm</t>
  </si>
  <si>
    <t># text = Ich nahm sie mit und verschaftte ihnen Zugang zu der Welt da unten: Astrobiologen, Planetenwissenschaftler, Leute, die sich für solche extremen Situationen interessierten.</t>
  </si>
  <si>
    <t>verschaftte</t>
  </si>
  <si>
    <t>ihnen</t>
  </si>
  <si>
    <t>Zugang</t>
  </si>
  <si>
    <t>Astrobiologen</t>
  </si>
  <si>
    <t>Planetenwissenschaftler</t>
  </si>
  <si>
    <t>solche</t>
  </si>
  <si>
    <t>extremen</t>
  </si>
  <si>
    <t>Situationen</t>
  </si>
  <si>
    <t>interessierten</t>
  </si>
  <si>
    <t># text = Ich nahm sie zu den Quellen mit, damit sie sich umschauen, Proben nehmen und Instrumente testen konnten und so weiter.</t>
  </si>
  <si>
    <t>Quellen</t>
  </si>
  <si>
    <t>damit</t>
  </si>
  <si>
    <t>umschauen</t>
  </si>
  <si>
    <t>Instrumente</t>
  </si>
  <si>
    <t>testen</t>
  </si>
  <si>
    <t># text = Wir drehten zwar Dokumentarfilme, betrieben aber eigentlich Wissenschaft, genauer gesagt: Weltraumwissenschaft.</t>
  </si>
  <si>
    <t>Dokumentarfilme</t>
  </si>
  <si>
    <t>betrieben</t>
  </si>
  <si>
    <t>genauer</t>
  </si>
  <si>
    <t># text = So schloss sich der Kreis zwischen meiner Existenz als Science-Fiction-Fan, damals als Kind, und der Umsetzung in die Realität.</t>
  </si>
  <si>
    <t>So</t>
  </si>
  <si>
    <t>schloss</t>
  </si>
  <si>
    <t>Kreis</t>
  </si>
  <si>
    <t>zwischen</t>
  </si>
  <si>
    <t>Umsetzung</t>
  </si>
  <si>
    <t># text = Im Laufe dieser Entdeckungsreise habe ich eine Menge gelernt.</t>
  </si>
  <si>
    <t>Laufe</t>
  </si>
  <si>
    <t>Entdeckungsreise</t>
  </si>
  <si>
    <t>Menge</t>
  </si>
  <si>
    <t># text = Ich habe eine Menge über Wissenschaft gelernt.</t>
  </si>
  <si>
    <t># text = Aber ich habe auch viel über Führungsstil gelernt.</t>
  </si>
  <si>
    <t>Führungsstil</t>
  </si>
  <si>
    <t># text = Jetzt denken Sie sicherlich, ein Regisseur muss auch führen können, ein Führer sein wie ein Schiffskapitän oder so.</t>
  </si>
  <si>
    <t>Jetzt</t>
  </si>
  <si>
    <t>sicherlich</t>
  </si>
  <si>
    <t>Regisseur</t>
  </si>
  <si>
    <t>führen</t>
  </si>
  <si>
    <t>Führer</t>
  </si>
  <si>
    <t>Schiffskapitän</t>
  </si>
  <si>
    <t># text = Ich verstand aber nicht viel von Führung, bevor ich diese Expeditionen antrat.</t>
  </si>
  <si>
    <t>verstand</t>
  </si>
  <si>
    <t>Führung</t>
  </si>
  <si>
    <t>antrat</t>
  </si>
  <si>
    <t># text = Denn an einem bestimmten Punkt musste ich mir sagen: \"Was mache ich eigentlich hier?</t>
  </si>
  <si>
    <t>bestimmten</t>
  </si>
  <si>
    <t>Punkt</t>
  </si>
  <si>
    <t>mache</t>
  </si>
  <si>
    <t>?</t>
  </si>
  <si>
    <t># text = Wieso mache ich das?</t>
  </si>
  <si>
    <t>Wieso</t>
  </si>
  <si>
    <t># text = Was kommt dabei heraus?"</t>
  </si>
  <si>
    <t>kommt</t>
  </si>
  <si>
    <t>heraus</t>
  </si>
  <si>
    <t># text = Diese blöden Filme bringen uns kein Geld ein.</t>
  </si>
  <si>
    <t>blöden</t>
  </si>
  <si>
    <t># text = Wir spielen mal gerade die Produktionskosten ein.</t>
  </si>
  <si>
    <t># text = Von Ruhm keine Spur.</t>
  </si>
  <si>
    <t>Ruhm</t>
  </si>
  <si>
    <t># text = Alle denken, ich sei zwischen "Titanic" und "Avatar" davongelaufen und hätte mir irgendwo die Nägel auf einem Handtuch am Strand gefeilt.</t>
  </si>
  <si>
    <t>Alle</t>
  </si>
  <si>
    <t>sei</t>
  </si>
  <si>
    <t>davongelaufen</t>
  </si>
  <si>
    <t>hätte</t>
  </si>
  <si>
    <t>irgendwo</t>
  </si>
  <si>
    <t>Nägel</t>
  </si>
  <si>
    <t>Handtuch</t>
  </si>
  <si>
    <t>Strand</t>
  </si>
  <si>
    <t>gefeilt</t>
  </si>
  <si>
    <t># text = Ich habe alle diese Filme, diese Dokumentarfilme, für ein sehr kleines Publikum gemacht.</t>
  </si>
  <si>
    <t>kleines</t>
  </si>
  <si>
    <t># text = Kein Ruhm, keine Ehre, kein Geld.</t>
  </si>
  <si>
    <t>Ehre</t>
  </si>
  <si>
    <t># text = Was machst du nur?</t>
  </si>
  <si>
    <t>machst</t>
  </si>
  <si>
    <t>du</t>
  </si>
  <si>
    <t># text = Du machst es um der Aufgabe willen, um der Herausforderung willen - und der Ozean ist die herausforderndste Umgebung, die es gibt.</t>
  </si>
  <si>
    <t>Du</t>
  </si>
  <si>
    <t>Aufgabe</t>
  </si>
  <si>
    <t>willen</t>
  </si>
  <si>
    <t>herausforderndste</t>
  </si>
  <si>
    <t>gibt</t>
  </si>
  <si>
    <t># text = Du machst es des Entdeckerrausches wegen, und wegen der seltsamen Verbindung, die entsteht, wenn eine kleine Gruppe von Leuten ein Team bildet.</t>
  </si>
  <si>
    <t>Entdeckerrausches</t>
  </si>
  <si>
    <t>wegen</t>
  </si>
  <si>
    <t>seltsamen</t>
  </si>
  <si>
    <t>Verbindung</t>
  </si>
  <si>
    <t>entsteht</t>
  </si>
  <si>
    <t>Gruppe</t>
  </si>
  <si>
    <t>Team</t>
  </si>
  <si>
    <t>bildet</t>
  </si>
  <si>
    <t># text = Denn wir haben all dies mit nur 10 bis 12 Leuten gemacht, die jahrelang ununterbrochen zusammengearbeitet haben.</t>
  </si>
  <si>
    <t>dies</t>
  </si>
  <si>
    <t>jahrelang</t>
  </si>
  <si>
    <t>ununterbrochen</t>
  </si>
  <si>
    <t>zusammengearbeitet</t>
  </si>
  <si>
    <t># text = Manchmal waren wir 2 bis 3 Monate hintereinander auf See.</t>
  </si>
  <si>
    <t>Manchmal</t>
  </si>
  <si>
    <t>hintereinander</t>
  </si>
  <si>
    <t>See</t>
  </si>
  <si>
    <t># text = Und in dieser Gemeinschaft erkennt man, dass die wichtigste Sache die Achtung ist, die man vor einander hat, weil man eine Aufgabe bewältigt hat, die man keinem anderem erklären kann.</t>
  </si>
  <si>
    <t>Gemeinschaft</t>
  </si>
  <si>
    <t>erkennt</t>
  </si>
  <si>
    <t>wichtigste</t>
  </si>
  <si>
    <t>Sache</t>
  </si>
  <si>
    <t>Achtung</t>
  </si>
  <si>
    <t>einander</t>
  </si>
  <si>
    <t>weil</t>
  </si>
  <si>
    <t>bewältigt</t>
  </si>
  <si>
    <t>keinem</t>
  </si>
  <si>
    <t>anderem</t>
  </si>
  <si>
    <t>erklären</t>
  </si>
  <si>
    <t># text = Wenn man an Land zurückkehrt und sich sagt, \"Wir mussten es tun, das Fiberglas, die Schallschwächung, und das ganz Drumherum, die ganze Technik, und die Schwierigkeiten, das menschliche Leistungsvermögen, wenn man auf See arbeitet\", dann kann man das anderen einfach nicht erklären.</t>
  </si>
  <si>
    <t>Land</t>
  </si>
  <si>
    <t>zurückkehrt</t>
  </si>
  <si>
    <t>sagt</t>
  </si>
  <si>
    <t>Fiberglas</t>
  </si>
  <si>
    <t>Schallschwächung</t>
  </si>
  <si>
    <t>Drumherum</t>
  </si>
  <si>
    <t>Technik</t>
  </si>
  <si>
    <t>Schwierigkeiten</t>
  </si>
  <si>
    <t>menschliche</t>
  </si>
  <si>
    <t>Leistungsvermögen</t>
  </si>
  <si>
    <t>arbeitet</t>
  </si>
  <si>
    <t>einfach</t>
  </si>
  <si>
    <t># text = Das ist wie bei Polizisten oder bei Soldaten, die etwas gemeinsam durchgemacht haben und wissen, dass sie es nie jemanden erklären können.</t>
  </si>
  <si>
    <t>Polizisten</t>
  </si>
  <si>
    <t>Soldaten</t>
  </si>
  <si>
    <t>gemeinsam</t>
  </si>
  <si>
    <t>durchgemacht</t>
  </si>
  <si>
    <t>jemanden</t>
  </si>
  <si>
    <t># text = Da entsteht eine Verbindung, ein gegenseitiger Respekt.</t>
  </si>
  <si>
    <t>Da</t>
  </si>
  <si>
    <t>gegenseitiger</t>
  </si>
  <si>
    <t>Respekt</t>
  </si>
  <si>
    <t># text = Als ich also zurückkam, um meinen nächsten Film \"Avatar\" zu drehen, versuchte ich denselben Führungsstil anzuwenden, nämlich dass man sein Team respektiert und sich im Gegenzug dessen Respekt verdient.</t>
  </si>
  <si>
    <t>zurückkam</t>
  </si>
  <si>
    <t>versuchte</t>
  </si>
  <si>
    <t>denselben</t>
  </si>
  <si>
    <t>anzuwenden</t>
  </si>
  <si>
    <t>respektiert</t>
  </si>
  <si>
    <t>Gegenzug</t>
  </si>
  <si>
    <t>dessen</t>
  </si>
  <si>
    <t>verdient</t>
  </si>
  <si>
    <t># text = Dadurch wurde die Dynamik wirklich verändert.</t>
  </si>
  <si>
    <t>Dadurch</t>
  </si>
  <si>
    <t>Dynamik</t>
  </si>
  <si>
    <t>verändert</t>
  </si>
  <si>
    <t># text = Da stand ich also wieder mit einem kleinen Team auf unbekanntem Terrain.</t>
  </si>
  <si>
    <t>stand</t>
  </si>
  <si>
    <t>unbekanntem</t>
  </si>
  <si>
    <t>Terrain</t>
  </si>
  <si>
    <t># text = Wir drehten "Avatar" mit einer neuen Technik, die es vorher noch nicht gab.</t>
  </si>
  <si>
    <t>neuen</t>
  </si>
  <si>
    <t># text = Ungeheuer aufregend.</t>
  </si>
  <si>
    <t>Ungeheuer</t>
  </si>
  <si>
    <t># text = Eine ungeheure Herausforderung.</t>
  </si>
  <si>
    <t>Eine</t>
  </si>
  <si>
    <t>ungeheure</t>
  </si>
  <si>
    <t># text = Und wir wurden für einen Zeitraum von viereinhalb Jahren zu einer richtigen Familie.</t>
  </si>
  <si>
    <t>wurden</t>
  </si>
  <si>
    <t>Zeitraum</t>
  </si>
  <si>
    <t>viereinhalb</t>
  </si>
  <si>
    <t>richtigen</t>
  </si>
  <si>
    <t>Familie</t>
  </si>
  <si>
    <t># text = Dadurch veränderte sich meine Art, Filme zu machen, komplett.</t>
  </si>
  <si>
    <t>veränderte</t>
  </si>
  <si>
    <t>komplett</t>
  </si>
  <si>
    <t># text = Es gab Leute, die meinten, wir hätten diese Ozeanwesen ja wirklich gut nachgemacht und auf den Planeten Pandora transportiert.</t>
  </si>
  <si>
    <t>meinten</t>
  </si>
  <si>
    <t>Ozeanwesen</t>
  </si>
  <si>
    <t>nachgemacht</t>
  </si>
  <si>
    <t>Planeten</t>
  </si>
  <si>
    <t>Pandora</t>
  </si>
  <si>
    <t>transportiert</t>
  </si>
  <si>
    <t># text = Für mich war es mehr eine prinzipielle Art, meinen Job zu tun, der eigentliche Prozess, der sich im Ergebnis geändert hat.</t>
  </si>
  <si>
    <t>Für</t>
  </si>
  <si>
    <t>prinzipielle</t>
  </si>
  <si>
    <t>Job</t>
  </si>
  <si>
    <t>eigentliche</t>
  </si>
  <si>
    <t>Prozess</t>
  </si>
  <si>
    <t>Ergebnis</t>
  </si>
  <si>
    <t>geändert</t>
  </si>
  <si>
    <t># text = Was können wir also aus all dem schließen?</t>
  </si>
  <si>
    <t># text = Welche Lektionen haben wir gelernt?</t>
  </si>
  <si>
    <t>Welche</t>
  </si>
  <si>
    <t>Lektionen</t>
  </si>
  <si>
    <t># text = Ich glaube, an erster Stelle steht die Neugier.</t>
  </si>
  <si>
    <t>glaube</t>
  </si>
  <si>
    <t>erster</t>
  </si>
  <si>
    <t>Stelle</t>
  </si>
  <si>
    <t>steht</t>
  </si>
  <si>
    <t># text = Es ist die mächtigste menschliche Eigenschaft.</t>
  </si>
  <si>
    <t>mächtigste</t>
  </si>
  <si>
    <t>Eigenschaft</t>
  </si>
  <si>
    <t># text = Unsere Vorstellungskraft ist eine Kraft, die sogar eine Realität schaffen kann.</t>
  </si>
  <si>
    <t>Kraft</t>
  </si>
  <si>
    <t>sogar</t>
  </si>
  <si>
    <t># text = Und die Achtung deines Teams ist wichtiger als aller Lorbeer dieser Welt.</t>
  </si>
  <si>
    <t>deines</t>
  </si>
  <si>
    <t>Teams</t>
  </si>
  <si>
    <t>wichtiger</t>
  </si>
  <si>
    <t>aller</t>
  </si>
  <si>
    <t>Lorbeer</t>
  </si>
  <si>
    <t># text = Zu mir kommen junge Filmemacher, die sagen: "Geben Sie mir einen Rat, wie ich so etwas machen kann."</t>
  </si>
  <si>
    <t>junge</t>
  </si>
  <si>
    <t>Geben</t>
  </si>
  <si>
    <t>Rat</t>
  </si>
  <si>
    <t># text = Und ich sage: \"Schränke dich nicht selbst ein.</t>
  </si>
  <si>
    <t>sage</t>
  </si>
  <si>
    <t>Schränke</t>
  </si>
  <si>
    <t>dich</t>
  </si>
  <si>
    <t># text = Das besorgen schon andere für dich.</t>
  </si>
  <si>
    <t># text = Tu es nicht dir selbst an, wette nicht gegen sich selbst.</t>
  </si>
  <si>
    <t>Tu</t>
  </si>
  <si>
    <t>wette</t>
  </si>
  <si>
    <t>gegen</t>
  </si>
  <si>
    <t># text = Sondern nimm Risiken auf dich."</t>
  </si>
  <si>
    <t>Sondern</t>
  </si>
  <si>
    <t>nimm</t>
  </si>
  <si>
    <t>Risiken</t>
  </si>
  <si>
    <t># text = Die NASA hat so einen Lieblingssatz: "Scheitern ist keine Alternative."</t>
  </si>
  <si>
    <t>Lieblingssatz</t>
  </si>
  <si>
    <t>Scheitern</t>
  </si>
  <si>
    <t>Alternative</t>
  </si>
  <si>
    <t># text = Aber in der Kunst und beim Erforschen muss Scheitern eine Alternative sein, denn dort garantiert es einen Vertrauensvorschuss.</t>
  </si>
  <si>
    <t>Kunst</t>
  </si>
  <si>
    <t>garantiert</t>
  </si>
  <si>
    <t>Vertrauensvorschuss</t>
  </si>
  <si>
    <t># text = Kein wichtiges Unterfangen, das Innovation verlangte, wurde je ohne Risiko angegangen.</t>
  </si>
  <si>
    <t>wichtiges</t>
  </si>
  <si>
    <t>Unterfangen</t>
  </si>
  <si>
    <t>Innovation</t>
  </si>
  <si>
    <t>verlangte</t>
  </si>
  <si>
    <t>ohne</t>
  </si>
  <si>
    <t># text = Man muss bereit sein, solche Risiken auf sich zu nehmen.</t>
  </si>
  <si>
    <t>bereit</t>
  </si>
  <si>
    <t># text = Das ist der Gedanke, den ich Ihnen gern mit auf den Weg geben möchte.</t>
  </si>
  <si>
    <t>Ihnen</t>
  </si>
  <si>
    <t>gern</t>
  </si>
  <si>
    <t>möchte</t>
  </si>
  <si>
    <t># text = Scheitern ist durchaus eine Alternative, Angst aber ist keine.</t>
  </si>
  <si>
    <t>durchaus</t>
  </si>
  <si>
    <t>Angst</t>
  </si>
  <si>
    <t># text = Danke.</t>
  </si>
  <si>
    <t>Danke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</si>
</sst>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87"/>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11</v>
      </c>
      <c r="B3" s="6" t="s">
        <v>16</v>
      </c>
      <c r="C3" s="6" t="s">
        <v>12</v>
      </c>
      <c r="D3" s="7" t="s">
        <v>17</v>
      </c>
      <c r="E3" s="8" t="s">
        <v>18</v>
      </c>
      <c r="F3" s="6" t="s">
        <v>19</v>
      </c>
      <c r="G3" s="9">
        <f>IF(A3=1,"_",IF(C3="_","???",C3))</f>
        <v/>
      </c>
      <c r="H3" s="10" t="s">
        <v>12</v>
      </c>
      <c r="I3" s="11" t="s">
        <v>12</v>
      </c>
      <c r="J3" s="12"/>
    </row>
    <row r="4" spans="1:10" ht="60" customHeight="1">
      <c r="A4" s="6" t="s">
        <v>20</v>
      </c>
      <c r="B4" s="6" t="s">
        <v>16</v>
      </c>
      <c r="C4" s="6" t="s">
        <v>12</v>
      </c>
      <c r="D4" s="7" t="s">
        <v>21</v>
      </c>
      <c r="E4" s="8" t="s">
        <v>22</v>
      </c>
      <c r="F4" s="6" t="s">
        <v>23</v>
      </c>
      <c r="G4" s="9">
        <f>IF(A4=1,"_",IF(C4="_","???",C4))</f>
        <v/>
      </c>
      <c r="H4" s="10" t="s">
        <v>12</v>
      </c>
      <c r="I4" s="11" t="s">
        <v>12</v>
      </c>
      <c r="J4" s="12"/>
    </row>
    <row r="5" spans="1:10" ht="60" customHeight="1">
      <c r="A5" s="6" t="s">
        <v>16</v>
      </c>
      <c r="B5" s="6" t="s">
        <v>20</v>
      </c>
      <c r="C5" s="6" t="s">
        <v>12</v>
      </c>
      <c r="D5" s="7" t="s">
        <v>24</v>
      </c>
      <c r="E5" s="8" t="s">
        <v>25</v>
      </c>
      <c r="F5" s="6" t="s">
        <v>26</v>
      </c>
      <c r="G5" s="9">
        <f>IF(A5=1,"_",IF(C5="_","???",C5))</f>
        <v/>
      </c>
      <c r="H5" s="10" t="s">
        <v>12</v>
      </c>
      <c r="I5" s="11" t="s">
        <v>12</v>
      </c>
      <c r="J5" s="12"/>
    </row>
    <row r="6" spans="1:10" ht="60" customHeight="1">
      <c r="A6" s="6" t="s">
        <v>27</v>
      </c>
      <c r="B6" s="6" t="s">
        <v>11</v>
      </c>
      <c r="C6" s="6" t="s">
        <v>12</v>
      </c>
      <c r="D6" s="7" t="s">
        <v>28</v>
      </c>
      <c r="E6" s="8" t="s">
        <v>29</v>
      </c>
      <c r="F6" s="6" t="s">
        <v>30</v>
      </c>
      <c r="G6" s="9">
        <f>IF(A6=1,"_",IF(C6="_","???",C6))</f>
        <v/>
      </c>
      <c r="H6" s="10" t="s">
        <v>12</v>
      </c>
      <c r="I6" s="11" t="s">
        <v>12</v>
      </c>
      <c r="J6" s="12"/>
    </row>
    <row r="7" spans="1:10" ht="60" customHeight="1">
      <c r="A7" s="6" t="s">
        <v>31</v>
      </c>
      <c r="B7" s="6" t="s">
        <v>11</v>
      </c>
      <c r="C7" s="6" t="s">
        <v>12</v>
      </c>
      <c r="D7" s="7" t="s">
        <v>32</v>
      </c>
      <c r="E7" s="8" t="s">
        <v>33</v>
      </c>
      <c r="F7" s="6" t="s">
        <v>34</v>
      </c>
      <c r="G7" s="9">
        <f>IF(A7=1,"_",IF(C7="_","???",C7))</f>
        <v/>
      </c>
      <c r="H7" s="10" t="s">
        <v>12</v>
      </c>
      <c r="I7" s="11" t="s">
        <v>12</v>
      </c>
      <c r="J7" s="12"/>
    </row>
    <row r="8" spans="1:10" ht="60" customHeight="1">
      <c r="A8" s="6" t="s">
        <v>35</v>
      </c>
      <c r="B8" s="6" t="s">
        <v>35</v>
      </c>
      <c r="C8" s="6" t="s">
        <v>12</v>
      </c>
      <c r="D8" s="7" t="s">
        <v>36</v>
      </c>
      <c r="E8" s="8" t="s">
        <v>37</v>
      </c>
      <c r="F8" s="6" t="s">
        <v>38</v>
      </c>
      <c r="G8" s="9">
        <f>IF(A8=1,"_",IF(C8="_","???",C8))</f>
        <v/>
      </c>
      <c r="H8" s="10" t="s">
        <v>12</v>
      </c>
      <c r="I8" s="11" t="s">
        <v>12</v>
      </c>
      <c r="J8" s="12"/>
    </row>
    <row r="9" spans="1:10" ht="60" customHeight="1">
      <c r="A9" s="6" t="s">
        <v>39</v>
      </c>
      <c r="B9" s="6" t="s">
        <v>20</v>
      </c>
      <c r="C9" s="6" t="s">
        <v>12</v>
      </c>
      <c r="D9" s="7" t="s">
        <v>40</v>
      </c>
      <c r="E9" s="8" t="s">
        <v>41</v>
      </c>
      <c r="F9" s="6" t="s">
        <v>42</v>
      </c>
      <c r="G9" s="9">
        <f>IF(A9=1,"_",IF(C9="_","???",C9))</f>
        <v/>
      </c>
      <c r="H9" s="10" t="s">
        <v>12</v>
      </c>
      <c r="I9" s="11" t="s">
        <v>12</v>
      </c>
      <c r="J9" s="12"/>
    </row>
    <row r="10" spans="1:10" ht="60" customHeight="1">
      <c r="A10" s="6" t="s">
        <v>43</v>
      </c>
      <c r="B10" s="6" t="s">
        <v>44</v>
      </c>
      <c r="C10" s="6" t="s">
        <v>12</v>
      </c>
      <c r="D10" s="7" t="s">
        <v>45</v>
      </c>
      <c r="E10" s="8" t="s">
        <v>46</v>
      </c>
      <c r="F10" s="6" t="s">
        <v>47</v>
      </c>
      <c r="G10" s="9">
        <f>IF(A10=1,"_",IF(C10="_","???",C10))</f>
        <v/>
      </c>
      <c r="H10" s="10" t="s">
        <v>12</v>
      </c>
      <c r="I10" s="11" t="s">
        <v>12</v>
      </c>
      <c r="J10" s="12"/>
    </row>
    <row r="11" spans="1:10" ht="60" customHeight="1">
      <c r="A11" s="6" t="s">
        <v>48</v>
      </c>
      <c r="B11" s="6" t="s">
        <v>20</v>
      </c>
      <c r="C11" s="6" t="s">
        <v>12</v>
      </c>
      <c r="D11" s="7" t="s">
        <v>49</v>
      </c>
      <c r="E11" s="8" t="s">
        <v>50</v>
      </c>
      <c r="F11" s="6" t="s">
        <v>51</v>
      </c>
      <c r="G11" s="9">
        <f>IF(A11=1,"_",IF(C11="_","???",C11))</f>
        <v/>
      </c>
      <c r="H11" s="10" t="s">
        <v>12</v>
      </c>
      <c r="I11" s="11" t="s">
        <v>12</v>
      </c>
      <c r="J11" s="12"/>
    </row>
    <row r="12" spans="1:10" ht="60" customHeight="1">
      <c r="A12" s="6" t="s">
        <v>52</v>
      </c>
      <c r="B12" s="6" t="s">
        <v>20</v>
      </c>
      <c r="C12" s="6" t="s">
        <v>12</v>
      </c>
      <c r="D12" s="7" t="s">
        <v>53</v>
      </c>
      <c r="E12" s="8" t="s">
        <v>54</v>
      </c>
      <c r="F12" s="6" t="s">
        <v>55</v>
      </c>
      <c r="G12" s="9">
        <f>IF(A12=1,"_",IF(C12="_","???",C12))</f>
        <v/>
      </c>
      <c r="H12" s="10" t="s">
        <v>12</v>
      </c>
      <c r="I12" s="11" t="s">
        <v>12</v>
      </c>
      <c r="J12" s="12"/>
    </row>
    <row r="13" spans="1:10" ht="60" customHeight="1">
      <c r="A13" s="6" t="s">
        <v>56</v>
      </c>
      <c r="B13" s="6" t="s">
        <v>20</v>
      </c>
      <c r="C13" s="6" t="s">
        <v>12</v>
      </c>
      <c r="D13" s="7" t="s">
        <v>57</v>
      </c>
      <c r="E13" s="8" t="s">
        <v>58</v>
      </c>
      <c r="F13" s="6" t="s">
        <v>59</v>
      </c>
      <c r="G13" s="9">
        <f>IF(A13=1,"_",IF(C13="_","???",C13))</f>
        <v/>
      </c>
      <c r="H13" s="10" t="s">
        <v>12</v>
      </c>
      <c r="I13" s="11" t="s">
        <v>12</v>
      </c>
      <c r="J13" s="12"/>
    </row>
    <row r="14" spans="1:10" ht="60" customHeight="1">
      <c r="A14" s="6" t="s">
        <v>60</v>
      </c>
      <c r="B14" s="6" t="s">
        <v>61</v>
      </c>
      <c r="C14" s="6" t="s">
        <v>12</v>
      </c>
      <c r="D14" s="7" t="s">
        <v>62</v>
      </c>
      <c r="E14" s="8" t="s">
        <v>63</v>
      </c>
      <c r="F14" s="6" t="s">
        <v>64</v>
      </c>
      <c r="G14" s="9">
        <f>IF(A14=1,"_",IF(C14="_","???",C14))</f>
        <v/>
      </c>
      <c r="H14" s="10" t="s">
        <v>12</v>
      </c>
      <c r="I14" s="11" t="s">
        <v>12</v>
      </c>
      <c r="J14" s="12"/>
    </row>
    <row r="15" spans="1:10" ht="60" customHeight="1">
      <c r="A15" s="6" t="s">
        <v>44</v>
      </c>
      <c r="B15" s="6" t="s">
        <v>11</v>
      </c>
      <c r="C15" s="6" t="s">
        <v>12</v>
      </c>
      <c r="D15" s="7" t="s">
        <v>65</v>
      </c>
      <c r="E15" s="8" t="s">
        <v>66</v>
      </c>
      <c r="F15" s="6" t="s">
        <v>67</v>
      </c>
      <c r="G15" s="9">
        <f>IF(A15=1,"_",IF(C15="_","???",C15))</f>
        <v/>
      </c>
      <c r="H15" s="10" t="s">
        <v>12</v>
      </c>
      <c r="I15" s="11" t="s">
        <v>12</v>
      </c>
      <c r="J15" s="12"/>
    </row>
    <row r="16" spans="1:10" ht="60" customHeight="1">
      <c r="A16" s="6" t="s">
        <v>68</v>
      </c>
      <c r="B16" s="6" t="s">
        <v>43</v>
      </c>
      <c r="C16" s="6" t="s">
        <v>12</v>
      </c>
      <c r="D16" s="7" t="s">
        <v>69</v>
      </c>
      <c r="E16" s="8" t="s">
        <v>70</v>
      </c>
      <c r="F16" s="6" t="s">
        <v>71</v>
      </c>
      <c r="G16" s="9">
        <f>IF(A16=1,"_",IF(C16="_","???",C16))</f>
        <v/>
      </c>
      <c r="H16" s="10" t="s">
        <v>12</v>
      </c>
      <c r="I16" s="11" t="s">
        <v>12</v>
      </c>
      <c r="J16" s="12"/>
    </row>
    <row r="17" spans="1:10" ht="60" customHeight="1">
      <c r="A17" s="6" t="s">
        <v>72</v>
      </c>
      <c r="B17" s="6" t="s">
        <v>16</v>
      </c>
      <c r="C17" s="6" t="s">
        <v>73</v>
      </c>
      <c r="D17" s="7" t="s">
        <v>74</v>
      </c>
      <c r="E17" s="8" t="s">
        <v>75</v>
      </c>
      <c r="F17" s="6" t="s">
        <v>76</v>
      </c>
      <c r="G17" s="9">
        <f>IF(A17=1,"_",IF(C17="_","???",C17))</f>
        <v/>
      </c>
      <c r="H17" s="10" t="s">
        <v>12</v>
      </c>
      <c r="I17" s="11" t="s">
        <v>12</v>
      </c>
      <c r="J17" s="12"/>
    </row>
    <row r="18" spans="1:10" ht="60" customHeight="1">
      <c r="A18" s="6" t="s">
        <v>77</v>
      </c>
      <c r="B18" s="6" t="s">
        <v>16</v>
      </c>
      <c r="C18" s="6" t="s">
        <v>12</v>
      </c>
      <c r="D18" s="7" t="s">
        <v>78</v>
      </c>
      <c r="E18" s="8" t="s">
        <v>79</v>
      </c>
      <c r="F18" s="6" t="s">
        <v>80</v>
      </c>
      <c r="G18" s="9">
        <f>IF(A18=1,"_",IF(C18="_","???",C18))</f>
        <v/>
      </c>
      <c r="H18" s="10" t="s">
        <v>12</v>
      </c>
      <c r="I18" s="11" t="s">
        <v>12</v>
      </c>
      <c r="J18" s="12"/>
    </row>
    <row r="19" spans="1:10" ht="60" customHeight="1">
      <c r="A19" s="6" t="s">
        <v>81</v>
      </c>
      <c r="B19" s="6" t="s">
        <v>20</v>
      </c>
      <c r="C19" s="6" t="s">
        <v>12</v>
      </c>
      <c r="D19" s="7" t="s">
        <v>82</v>
      </c>
      <c r="E19" s="8" t="s">
        <v>83</v>
      </c>
      <c r="F19" s="6" t="s">
        <v>84</v>
      </c>
      <c r="G19" s="9">
        <f>IF(A19=1,"_",IF(C19="_","???",C19))</f>
        <v/>
      </c>
      <c r="H19" s="10" t="s">
        <v>12</v>
      </c>
      <c r="I19" s="11" t="s">
        <v>12</v>
      </c>
      <c r="J19" s="12"/>
    </row>
    <row r="20" spans="1:10" ht="60" customHeight="1">
      <c r="A20" s="6" t="s">
        <v>85</v>
      </c>
      <c r="B20" s="6" t="s">
        <v>86</v>
      </c>
      <c r="C20" s="6" t="s">
        <v>12</v>
      </c>
      <c r="D20" s="7" t="s">
        <v>87</v>
      </c>
      <c r="E20" s="8" t="s">
        <v>88</v>
      </c>
      <c r="F20" s="6" t="s">
        <v>89</v>
      </c>
      <c r="G20" s="9">
        <f>IF(A20=1,"_",IF(C20="_","???",C20))</f>
        <v/>
      </c>
      <c r="H20" s="10" t="s">
        <v>12</v>
      </c>
      <c r="I20" s="11" t="s">
        <v>12</v>
      </c>
      <c r="J20" s="12"/>
    </row>
    <row r="21" spans="1:10" ht="60" customHeight="1">
      <c r="A21" s="6" t="s">
        <v>90</v>
      </c>
      <c r="B21" s="6" t="s">
        <v>56</v>
      </c>
      <c r="C21" s="6" t="s">
        <v>12</v>
      </c>
      <c r="D21" s="7" t="s">
        <v>91</v>
      </c>
      <c r="E21" s="8" t="s">
        <v>92</v>
      </c>
      <c r="F21" s="6" t="s">
        <v>93</v>
      </c>
      <c r="G21" s="9">
        <f>IF(A21=1,"_",IF(C21="_","???",C21))</f>
        <v/>
      </c>
      <c r="H21" s="10" t="s">
        <v>12</v>
      </c>
      <c r="I21" s="11" t="s">
        <v>12</v>
      </c>
      <c r="J21" s="12"/>
    </row>
    <row r="22" spans="1:10" ht="60" customHeight="1">
      <c r="A22" s="6" t="s">
        <v>94</v>
      </c>
      <c r="B22" s="6" t="s">
        <v>11</v>
      </c>
      <c r="C22" s="6" t="s">
        <v>12</v>
      </c>
      <c r="D22" s="7" t="s">
        <v>36</v>
      </c>
      <c r="E22" s="8" t="s">
        <v>95</v>
      </c>
      <c r="F22" s="6" t="s">
        <v>96</v>
      </c>
      <c r="G22" s="9">
        <f>IF(A22=1,"_",IF(C22="_","???",C22))</f>
        <v/>
      </c>
      <c r="H22" s="10" t="s">
        <v>12</v>
      </c>
      <c r="I22" s="11" t="s">
        <v>12</v>
      </c>
      <c r="J22" s="12"/>
    </row>
    <row r="23" spans="1:10" ht="60" customHeight="1">
      <c r="A23" s="6" t="s">
        <v>97</v>
      </c>
      <c r="B23" s="6" t="s">
        <v>20</v>
      </c>
      <c r="C23" s="6" t="s">
        <v>12</v>
      </c>
      <c r="D23" s="7" t="s">
        <v>98</v>
      </c>
      <c r="E23" s="8" t="s">
        <v>99</v>
      </c>
      <c r="F23" s="6" t="s">
        <v>100</v>
      </c>
      <c r="G23" s="9">
        <f>IF(A23=1,"_",IF(C23="_","???",C23))</f>
        <v/>
      </c>
      <c r="H23" s="10" t="s">
        <v>12</v>
      </c>
      <c r="I23" s="11" t="s">
        <v>12</v>
      </c>
      <c r="J23" s="12"/>
    </row>
    <row r="24" spans="1:10" ht="60" customHeight="1">
      <c r="A24" s="6" t="s">
        <v>101</v>
      </c>
      <c r="B24" s="6" t="s">
        <v>11</v>
      </c>
      <c r="C24" s="6" t="s">
        <v>12</v>
      </c>
      <c r="D24" s="7" t="s">
        <v>102</v>
      </c>
      <c r="E24" s="8" t="s">
        <v>103</v>
      </c>
      <c r="F24" s="6" t="s">
        <v>104</v>
      </c>
      <c r="G24" s="9">
        <f>IF(A24=1,"_",IF(C24="_","???",C24))</f>
        <v/>
      </c>
      <c r="H24" s="10" t="s">
        <v>12</v>
      </c>
      <c r="I24" s="11" t="s">
        <v>12</v>
      </c>
      <c r="J24" s="12"/>
    </row>
    <row r="25" spans="1:10" ht="60" customHeight="1">
      <c r="A25" s="6" t="s">
        <v>105</v>
      </c>
      <c r="B25" s="6" t="s">
        <v>27</v>
      </c>
      <c r="C25" s="6" t="s">
        <v>12</v>
      </c>
      <c r="D25" s="7" t="s">
        <v>106</v>
      </c>
      <c r="E25" s="8" t="s">
        <v>107</v>
      </c>
      <c r="F25" s="6" t="s">
        <v>108</v>
      </c>
      <c r="G25" s="9">
        <f>IF(A25=1,"_",IF(C25="_","???",C25))</f>
        <v/>
      </c>
      <c r="H25" s="10" t="s">
        <v>12</v>
      </c>
      <c r="I25" s="11" t="s">
        <v>12</v>
      </c>
      <c r="J25" s="12"/>
    </row>
    <row r="26" spans="1:10" ht="60" customHeight="1">
      <c r="A26" s="6" t="s">
        <v>109</v>
      </c>
      <c r="B26" s="6" t="s">
        <v>11</v>
      </c>
      <c r="C26" s="6" t="s">
        <v>12</v>
      </c>
      <c r="D26" s="7" t="s">
        <v>110</v>
      </c>
      <c r="E26" s="8" t="s">
        <v>111</v>
      </c>
      <c r="F26" s="6" t="s">
        <v>112</v>
      </c>
      <c r="G26" s="9">
        <f>IF(A26=1,"_",IF(C26="_","???",C26))</f>
        <v/>
      </c>
      <c r="H26" s="10" t="s">
        <v>12</v>
      </c>
      <c r="I26" s="11" t="s">
        <v>12</v>
      </c>
      <c r="J26" s="12"/>
    </row>
    <row r="27" spans="1:10" ht="60" customHeight="1">
      <c r="A27" s="6" t="s">
        <v>113</v>
      </c>
      <c r="B27" s="6" t="s">
        <v>11</v>
      </c>
      <c r="C27" s="6" t="s">
        <v>12</v>
      </c>
      <c r="D27" s="7" t="s">
        <v>114</v>
      </c>
      <c r="E27" s="8" t="s">
        <v>115</v>
      </c>
      <c r="F27" s="6" t="s">
        <v>116</v>
      </c>
      <c r="G27" s="9">
        <f>IF(A27=1,"_",IF(C27="_","???",C27))</f>
        <v/>
      </c>
      <c r="H27" s="10" t="s">
        <v>12</v>
      </c>
      <c r="I27" s="11" t="s">
        <v>12</v>
      </c>
      <c r="J27" s="12"/>
    </row>
    <row r="28" spans="1:10" ht="60" customHeight="1">
      <c r="A28" s="6" t="s">
        <v>61</v>
      </c>
      <c r="B28" s="6" t="s">
        <v>11</v>
      </c>
      <c r="C28" s="6" t="s">
        <v>12</v>
      </c>
      <c r="D28" s="7" t="s">
        <v>117</v>
      </c>
      <c r="E28" s="8" t="s">
        <v>118</v>
      </c>
      <c r="F28" s="6" t="s">
        <v>119</v>
      </c>
      <c r="G28" s="9">
        <f>IF(A28=1,"_",IF(C28="_","???",C28))</f>
        <v/>
      </c>
      <c r="H28" s="10" t="s">
        <v>12</v>
      </c>
      <c r="I28" s="11" t="s">
        <v>12</v>
      </c>
      <c r="J28" s="12"/>
    </row>
    <row r="29" spans="1:10" ht="60" customHeight="1">
      <c r="A29" s="6" t="s">
        <v>120</v>
      </c>
      <c r="B29" s="6" t="s">
        <v>43</v>
      </c>
      <c r="C29" s="6" t="s">
        <v>12</v>
      </c>
      <c r="D29" s="7" t="s">
        <v>121</v>
      </c>
      <c r="E29" s="8" t="s">
        <v>122</v>
      </c>
      <c r="F29" s="6" t="s">
        <v>123</v>
      </c>
      <c r="G29" s="9">
        <f>IF(A29=1,"_",IF(C29="_","???",C29))</f>
        <v/>
      </c>
      <c r="H29" s="10" t="s">
        <v>12</v>
      </c>
      <c r="I29" s="11" t="s">
        <v>12</v>
      </c>
      <c r="J29" s="12"/>
    </row>
    <row r="30" spans="1:10" ht="60" customHeight="1">
      <c r="A30" s="6" t="s">
        <v>124</v>
      </c>
      <c r="B30" s="6" t="s">
        <v>90</v>
      </c>
      <c r="C30" s="6" t="s">
        <v>12</v>
      </c>
      <c r="D30" s="7" t="s">
        <v>125</v>
      </c>
      <c r="E30" s="8" t="s">
        <v>126</v>
      </c>
      <c r="F30" s="6" t="s">
        <v>127</v>
      </c>
      <c r="G30" s="9">
        <f>IF(A30=1,"_",IF(C30="_","???",C30))</f>
        <v/>
      </c>
      <c r="H30" s="10" t="s">
        <v>12</v>
      </c>
      <c r="I30" s="11" t="s">
        <v>12</v>
      </c>
      <c r="J30" s="12"/>
    </row>
    <row r="31" spans="1:10" ht="60" customHeight="1">
      <c r="A31" s="6" t="s">
        <v>128</v>
      </c>
      <c r="B31" s="6" t="s">
        <v>11</v>
      </c>
      <c r="C31" s="6" t="s">
        <v>12</v>
      </c>
      <c r="D31" s="7" t="s">
        <v>129</v>
      </c>
      <c r="E31" s="8" t="s">
        <v>130</v>
      </c>
      <c r="F31" s="6" t="s">
        <v>131</v>
      </c>
      <c r="G31" s="9">
        <f>IF(A31=1,"_",IF(C31="_","???",C31))</f>
        <v/>
      </c>
      <c r="H31" s="10" t="s">
        <v>12</v>
      </c>
      <c r="I31" s="11" t="s">
        <v>12</v>
      </c>
      <c r="J31" s="12"/>
    </row>
    <row r="32" spans="1:10" ht="60" customHeight="1">
      <c r="A32" s="6" t="s">
        <v>132</v>
      </c>
      <c r="B32" s="6" t="s">
        <v>16</v>
      </c>
      <c r="C32" s="6" t="s">
        <v>12</v>
      </c>
      <c r="D32" s="7" t="s">
        <v>133</v>
      </c>
      <c r="E32" s="8" t="s">
        <v>134</v>
      </c>
      <c r="F32" s="6" t="s">
        <v>135</v>
      </c>
      <c r="G32" s="9">
        <f>IF(A32=1,"_",IF(C32="_","???",C32))</f>
        <v/>
      </c>
      <c r="H32" s="10" t="s">
        <v>12</v>
      </c>
      <c r="I32" s="11" t="s">
        <v>12</v>
      </c>
      <c r="J32" s="12"/>
    </row>
    <row r="33" spans="1:10" ht="60" customHeight="1">
      <c r="A33" s="6" t="s">
        <v>136</v>
      </c>
      <c r="B33" s="6" t="s">
        <v>27</v>
      </c>
      <c r="C33" s="6" t="s">
        <v>12</v>
      </c>
      <c r="D33" s="7" t="s">
        <v>137</v>
      </c>
      <c r="E33" s="8" t="s">
        <v>138</v>
      </c>
      <c r="F33" s="6" t="s">
        <v>139</v>
      </c>
      <c r="G33" s="9">
        <f>IF(A33=1,"_",IF(C33="_","???",C33))</f>
        <v/>
      </c>
      <c r="H33" s="10" t="s">
        <v>12</v>
      </c>
      <c r="I33" s="11" t="s">
        <v>12</v>
      </c>
      <c r="J33" s="12"/>
    </row>
    <row r="34" spans="1:10" ht="60" customHeight="1">
      <c r="A34" s="6" t="s">
        <v>140</v>
      </c>
      <c r="B34" s="6" t="s">
        <v>31</v>
      </c>
      <c r="C34" s="6" t="s">
        <v>73</v>
      </c>
      <c r="D34" s="7" t="s">
        <v>141</v>
      </c>
      <c r="E34" s="8" t="s">
        <v>142</v>
      </c>
      <c r="F34" s="6" t="s">
        <v>143</v>
      </c>
      <c r="G34" s="9">
        <f>IF(A34=1,"_",IF(C34="_","???",C34))</f>
        <v/>
      </c>
      <c r="H34" s="10" t="s">
        <v>12</v>
      </c>
      <c r="I34" s="11" t="s">
        <v>12</v>
      </c>
      <c r="J34" s="12"/>
    </row>
    <row r="35" spans="1:10" ht="60" customHeight="1">
      <c r="A35" s="6" t="s">
        <v>144</v>
      </c>
      <c r="B35" s="6" t="s">
        <v>35</v>
      </c>
      <c r="C35" s="6" t="s">
        <v>12</v>
      </c>
      <c r="D35" s="7" t="s">
        <v>145</v>
      </c>
      <c r="E35" s="8" t="s">
        <v>146</v>
      </c>
      <c r="F35" s="6" t="s">
        <v>147</v>
      </c>
      <c r="G35" s="9">
        <f>IF(A35=1,"_",IF(C35="_","???",C35))</f>
        <v/>
      </c>
      <c r="H35" s="10" t="s">
        <v>12</v>
      </c>
      <c r="I35" s="11" t="s">
        <v>12</v>
      </c>
      <c r="J35" s="12"/>
    </row>
    <row r="36" spans="1:10" ht="60" customHeight="1">
      <c r="A36" s="6" t="s">
        <v>148</v>
      </c>
      <c r="B36" s="6" t="s">
        <v>52</v>
      </c>
      <c r="C36" s="6" t="s">
        <v>12</v>
      </c>
      <c r="D36" s="7" t="s">
        <v>149</v>
      </c>
      <c r="E36" s="8" t="s">
        <v>150</v>
      </c>
      <c r="F36" s="6" t="s">
        <v>151</v>
      </c>
      <c r="G36" s="9">
        <f>IF(A36=1,"_",IF(C36="_","???",C36))</f>
        <v/>
      </c>
      <c r="H36" s="10" t="s">
        <v>12</v>
      </c>
      <c r="I36" s="11" t="s">
        <v>12</v>
      </c>
      <c r="J36" s="12"/>
    </row>
    <row r="37" spans="1:10" ht="60" customHeight="1">
      <c r="A37" s="6" t="s">
        <v>152</v>
      </c>
      <c r="B37" s="6" t="s">
        <v>11</v>
      </c>
      <c r="C37" s="6" t="s">
        <v>12</v>
      </c>
      <c r="D37" s="7" t="s">
        <v>36</v>
      </c>
      <c r="E37" s="8" t="s">
        <v>153</v>
      </c>
      <c r="F37" s="6" t="s">
        <v>154</v>
      </c>
      <c r="G37" s="9">
        <f>IF(A37=1,"_",IF(C37="_","???",C37))</f>
        <v/>
      </c>
      <c r="H37" s="10" t="s">
        <v>12</v>
      </c>
      <c r="I37" s="11" t="s">
        <v>12</v>
      </c>
      <c r="J37" s="12"/>
    </row>
    <row r="38" spans="1:10" ht="60" customHeight="1">
      <c r="A38" s="6" t="s">
        <v>155</v>
      </c>
      <c r="B38" s="6" t="s">
        <v>20</v>
      </c>
      <c r="C38" s="6" t="s">
        <v>12</v>
      </c>
      <c r="D38" s="7" t="s">
        <v>53</v>
      </c>
      <c r="E38" s="8" t="s">
        <v>156</v>
      </c>
      <c r="F38" s="6" t="s">
        <v>157</v>
      </c>
      <c r="G38" s="9">
        <f>IF(A38=1,"_",IF(C38="_","???",C38))</f>
        <v/>
      </c>
      <c r="H38" s="10" t="s">
        <v>12</v>
      </c>
      <c r="I38" s="11" t="s">
        <v>12</v>
      </c>
      <c r="J38" s="12"/>
    </row>
    <row r="39" spans="1:10" ht="60" customHeight="1">
      <c r="A39" s="6" t="s">
        <v>158</v>
      </c>
      <c r="B39" s="6" t="s">
        <v>48</v>
      </c>
      <c r="C39" s="6" t="s">
        <v>12</v>
      </c>
      <c r="D39" s="7" t="s">
        <v>159</v>
      </c>
      <c r="E39" s="8" t="s">
        <v>160</v>
      </c>
      <c r="F39" s="6" t="s">
        <v>161</v>
      </c>
      <c r="G39" s="9">
        <f>IF(A39=1,"_",IF(C39="_","???",C39))</f>
        <v/>
      </c>
      <c r="H39" s="10" t="s">
        <v>12</v>
      </c>
      <c r="I39" s="11" t="s">
        <v>12</v>
      </c>
      <c r="J39" s="12"/>
    </row>
    <row r="40" spans="1:10" ht="60" customHeight="1">
      <c r="A40" s="6" t="s">
        <v>162</v>
      </c>
      <c r="B40" s="6" t="s">
        <v>11</v>
      </c>
      <c r="C40" s="6" t="s">
        <v>12</v>
      </c>
      <c r="D40" s="7" t="s">
        <v>45</v>
      </c>
      <c r="E40" s="8" t="s">
        <v>163</v>
      </c>
      <c r="F40" s="6" t="s">
        <v>164</v>
      </c>
      <c r="G40" s="9">
        <f>IF(A40=1,"_",IF(C40="_","???",C40))</f>
        <v/>
      </c>
      <c r="H40" s="10" t="s">
        <v>12</v>
      </c>
      <c r="I40" s="11" t="s">
        <v>12</v>
      </c>
      <c r="J40" s="12"/>
    </row>
    <row r="41" spans="1:10" ht="60" customHeight="1">
      <c r="A41" s="6" t="s">
        <v>165</v>
      </c>
      <c r="B41" s="6" t="s">
        <v>11</v>
      </c>
      <c r="C41" s="6" t="s">
        <v>12</v>
      </c>
      <c r="D41" s="7" t="s">
        <v>166</v>
      </c>
      <c r="E41" s="8" t="s">
        <v>167</v>
      </c>
      <c r="F41" s="6" t="s">
        <v>168</v>
      </c>
      <c r="G41" s="9">
        <f>IF(A41=1,"_",IF(C41="_","???",C41))</f>
        <v/>
      </c>
      <c r="H41" s="10" t="s">
        <v>12</v>
      </c>
      <c r="I41" s="11" t="s">
        <v>12</v>
      </c>
      <c r="J41" s="12"/>
    </row>
    <row r="42" spans="1:10" ht="60" customHeight="1">
      <c r="A42" s="6" t="s">
        <v>169</v>
      </c>
      <c r="B42" s="6" t="s">
        <v>77</v>
      </c>
      <c r="C42" s="6" t="s">
        <v>170</v>
      </c>
      <c r="D42" s="7" t="s">
        <v>171</v>
      </c>
      <c r="E42" s="8" t="s">
        <v>172</v>
      </c>
      <c r="F42" s="6" t="s">
        <v>173</v>
      </c>
      <c r="G42" s="9">
        <f>IF(A42=1,"_",IF(C42="_","???",C42))</f>
        <v/>
      </c>
      <c r="H42" s="10" t="s">
        <v>12</v>
      </c>
      <c r="I42" s="11" t="s">
        <v>12</v>
      </c>
      <c r="J42" s="12"/>
    </row>
    <row r="43" spans="1:10" ht="60" customHeight="1">
      <c r="A43" s="6" t="s">
        <v>174</v>
      </c>
      <c r="B43" s="6" t="s">
        <v>11</v>
      </c>
      <c r="C43" s="6" t="s">
        <v>12</v>
      </c>
      <c r="D43" s="7" t="s">
        <v>175</v>
      </c>
      <c r="E43" s="8" t="s">
        <v>176</v>
      </c>
      <c r="F43" s="6" t="s">
        <v>177</v>
      </c>
      <c r="G43" s="9">
        <f>IF(A43=1,"_",IF(C43="_","???",C43))</f>
        <v/>
      </c>
      <c r="H43" s="10" t="s">
        <v>12</v>
      </c>
      <c r="I43" s="11" t="s">
        <v>12</v>
      </c>
      <c r="J43" s="12"/>
    </row>
    <row r="44" spans="1:10" ht="60" customHeight="1">
      <c r="A44" s="6" t="s">
        <v>178</v>
      </c>
      <c r="B44" s="6" t="s">
        <v>20</v>
      </c>
      <c r="C44" s="6" t="s">
        <v>12</v>
      </c>
      <c r="D44" s="7" t="s">
        <v>179</v>
      </c>
      <c r="E44" s="8" t="s">
        <v>180</v>
      </c>
      <c r="F44" s="6" t="s">
        <v>181</v>
      </c>
      <c r="G44" s="9">
        <f>IF(A44=1,"_",IF(C44="_","???",C44))</f>
        <v/>
      </c>
      <c r="H44" s="10" t="s">
        <v>12</v>
      </c>
      <c r="I44" s="11" t="s">
        <v>12</v>
      </c>
      <c r="J44" s="12"/>
    </row>
    <row r="45" spans="1:10" ht="60" customHeight="1">
      <c r="A45" s="6" t="s">
        <v>182</v>
      </c>
      <c r="B45" s="6" t="s">
        <v>20</v>
      </c>
      <c r="C45" s="6" t="s">
        <v>73</v>
      </c>
      <c r="D45" s="7" t="s">
        <v>183</v>
      </c>
      <c r="E45" s="8" t="s">
        <v>184</v>
      </c>
      <c r="F45" s="6" t="s">
        <v>185</v>
      </c>
      <c r="G45" s="9">
        <f>IF(A45=1,"_",IF(C45="_","???",C45))</f>
        <v/>
      </c>
      <c r="H45" s="10" t="s">
        <v>12</v>
      </c>
      <c r="I45" s="11" t="s">
        <v>12</v>
      </c>
      <c r="J45" s="12"/>
    </row>
    <row r="46" spans="1:10" ht="60" customHeight="1">
      <c r="A46" s="6" t="s">
        <v>186</v>
      </c>
      <c r="B46" s="6" t="s">
        <v>20</v>
      </c>
      <c r="C46" s="6" t="s">
        <v>12</v>
      </c>
      <c r="D46" s="7" t="s">
        <v>187</v>
      </c>
      <c r="E46" s="8" t="s">
        <v>188</v>
      </c>
      <c r="F46" s="6" t="s">
        <v>189</v>
      </c>
      <c r="G46" s="9">
        <f>IF(A46=1,"_",IF(C46="_","???",C46))</f>
        <v/>
      </c>
      <c r="H46" s="10" t="s">
        <v>12</v>
      </c>
      <c r="I46" s="11" t="s">
        <v>12</v>
      </c>
      <c r="J46" s="12"/>
    </row>
    <row r="47" spans="1:10" ht="60" customHeight="1">
      <c r="A47" s="6" t="s">
        <v>190</v>
      </c>
      <c r="B47" s="6" t="s">
        <v>68</v>
      </c>
      <c r="C47" s="6" t="s">
        <v>12</v>
      </c>
      <c r="D47" s="7" t="s">
        <v>191</v>
      </c>
      <c r="E47" s="8" t="s">
        <v>192</v>
      </c>
      <c r="F47" s="6" t="s">
        <v>193</v>
      </c>
      <c r="G47" s="9">
        <f>IF(A47=1,"_",IF(C47="_","???",C47))</f>
        <v/>
      </c>
      <c r="H47" s="10" t="s">
        <v>12</v>
      </c>
      <c r="I47" s="11" t="s">
        <v>12</v>
      </c>
      <c r="J47" s="12"/>
    </row>
    <row r="48" spans="1:10" ht="60" customHeight="1">
      <c r="A48" s="6" t="s">
        <v>194</v>
      </c>
      <c r="B48" s="6" t="s">
        <v>11</v>
      </c>
      <c r="C48" s="6" t="s">
        <v>12</v>
      </c>
      <c r="D48" s="7" t="s">
        <v>195</v>
      </c>
      <c r="E48" s="8" t="s">
        <v>196</v>
      </c>
      <c r="F48" s="6" t="s">
        <v>197</v>
      </c>
      <c r="G48" s="9">
        <f>IF(A48=1,"_",IF(C48="_","???",C48))</f>
        <v/>
      </c>
      <c r="H48" s="10" t="s">
        <v>12</v>
      </c>
      <c r="I48" s="11" t="s">
        <v>12</v>
      </c>
      <c r="J48" s="12"/>
    </row>
    <row r="49" spans="1:10" ht="60" customHeight="1">
      <c r="A49" s="6" t="s">
        <v>198</v>
      </c>
      <c r="B49" s="6" t="s">
        <v>20</v>
      </c>
      <c r="C49" s="6" t="s">
        <v>12</v>
      </c>
      <c r="D49" s="7" t="s">
        <v>199</v>
      </c>
      <c r="E49" s="8" t="s">
        <v>200</v>
      </c>
      <c r="F49" s="6" t="s">
        <v>201</v>
      </c>
      <c r="G49" s="9">
        <f>IF(A49=1,"_",IF(C49="_","???",C49))</f>
        <v/>
      </c>
      <c r="H49" s="10" t="s">
        <v>12</v>
      </c>
      <c r="I49" s="11" t="s">
        <v>12</v>
      </c>
      <c r="J49" s="12"/>
    </row>
    <row r="50" spans="1:10" ht="60" customHeight="1">
      <c r="A50" s="6" t="s">
        <v>202</v>
      </c>
      <c r="B50" s="6" t="s">
        <v>20</v>
      </c>
      <c r="C50" s="6" t="s">
        <v>12</v>
      </c>
      <c r="D50" s="7" t="s">
        <v>203</v>
      </c>
      <c r="E50" s="8" t="s">
        <v>204</v>
      </c>
      <c r="F50" s="6" t="s">
        <v>205</v>
      </c>
      <c r="G50" s="9">
        <f>IF(A50=1,"_",IF(C50="_","???",C50))</f>
        <v/>
      </c>
      <c r="H50" s="10" t="s">
        <v>12</v>
      </c>
      <c r="I50" s="11" t="s">
        <v>12</v>
      </c>
      <c r="J50" s="12"/>
    </row>
    <row r="51" spans="1:10" ht="60" customHeight="1">
      <c r="A51" s="6" t="s">
        <v>206</v>
      </c>
      <c r="B51" s="6" t="s">
        <v>11</v>
      </c>
      <c r="C51" s="6" t="s">
        <v>12</v>
      </c>
      <c r="D51" s="7" t="s">
        <v>32</v>
      </c>
      <c r="E51" s="8" t="s">
        <v>207</v>
      </c>
      <c r="F51" s="6" t="s">
        <v>208</v>
      </c>
      <c r="G51" s="9">
        <f>IF(A51=1,"_",IF(C51="_","???",C51))</f>
        <v/>
      </c>
      <c r="H51" s="10" t="s">
        <v>12</v>
      </c>
      <c r="I51" s="11" t="s">
        <v>12</v>
      </c>
      <c r="J51" s="12"/>
    </row>
    <row r="52" spans="1:10" ht="60" customHeight="1">
      <c r="A52" s="6" t="s">
        <v>209</v>
      </c>
      <c r="B52" s="6" t="s">
        <v>16</v>
      </c>
      <c r="C52" s="6" t="s">
        <v>12</v>
      </c>
      <c r="D52" s="7" t="s">
        <v>210</v>
      </c>
      <c r="E52" s="8" t="s">
        <v>211</v>
      </c>
      <c r="F52" s="6" t="s">
        <v>212</v>
      </c>
      <c r="G52" s="9">
        <f>IF(A52=1,"_",IF(C52="_","???",C52))</f>
        <v/>
      </c>
      <c r="H52" s="10" t="s">
        <v>12</v>
      </c>
      <c r="I52" s="11" t="s">
        <v>12</v>
      </c>
      <c r="J52" s="12"/>
    </row>
    <row r="53" spans="1:10" ht="60" customHeight="1">
      <c r="A53" s="6" t="s">
        <v>213</v>
      </c>
      <c r="B53" s="6" t="s">
        <v>20</v>
      </c>
      <c r="C53" s="6" t="s">
        <v>12</v>
      </c>
      <c r="D53" s="7" t="s">
        <v>214</v>
      </c>
      <c r="E53" s="8" t="s">
        <v>215</v>
      </c>
      <c r="F53" s="6" t="s">
        <v>216</v>
      </c>
      <c r="G53" s="9">
        <f>IF(A53=1,"_",IF(C53="_","???",C53))</f>
        <v/>
      </c>
      <c r="H53" s="10" t="s">
        <v>12</v>
      </c>
      <c r="I53" s="11" t="s">
        <v>12</v>
      </c>
      <c r="J53" s="12"/>
    </row>
    <row r="54" spans="1:10" ht="60" customHeight="1">
      <c r="A54" s="6" t="s">
        <v>217</v>
      </c>
      <c r="B54" s="6" t="s">
        <v>20</v>
      </c>
      <c r="C54" s="6" t="s">
        <v>12</v>
      </c>
      <c r="D54" s="7" t="s">
        <v>218</v>
      </c>
      <c r="E54" s="8" t="s">
        <v>219</v>
      </c>
      <c r="F54" s="6" t="s">
        <v>220</v>
      </c>
      <c r="G54" s="9">
        <f>IF(A54=1,"_",IF(C54="_","???",C54))</f>
        <v/>
      </c>
      <c r="H54" s="10" t="s">
        <v>12</v>
      </c>
      <c r="I54" s="11" t="s">
        <v>12</v>
      </c>
      <c r="J54" s="12"/>
    </row>
    <row r="55" spans="1:10" ht="60" customHeight="1">
      <c r="A55" s="6" t="s">
        <v>221</v>
      </c>
      <c r="B55" s="6" t="s">
        <v>31</v>
      </c>
      <c r="C55" s="6" t="s">
        <v>12</v>
      </c>
      <c r="D55" s="7" t="s">
        <v>222</v>
      </c>
      <c r="E55" s="8" t="s">
        <v>223</v>
      </c>
      <c r="F55" s="6" t="s">
        <v>224</v>
      </c>
      <c r="G55" s="9">
        <f>IF(A55=1,"_",IF(C55="_","???",C55))</f>
        <v/>
      </c>
      <c r="H55" s="10" t="s">
        <v>12</v>
      </c>
      <c r="I55" s="11" t="s">
        <v>12</v>
      </c>
      <c r="J55" s="12"/>
    </row>
    <row r="56" spans="1:10" ht="60" customHeight="1">
      <c r="A56" s="6" t="s">
        <v>225</v>
      </c>
      <c r="B56" s="6" t="s">
        <v>35</v>
      </c>
      <c r="C56" s="6" t="s">
        <v>12</v>
      </c>
      <c r="D56" s="7" t="s">
        <v>226</v>
      </c>
      <c r="E56" s="8" t="s">
        <v>227</v>
      </c>
      <c r="F56" s="6" t="s">
        <v>228</v>
      </c>
      <c r="G56" s="9">
        <f>IF(A56=1,"_",IF(C56="_","???",C56))</f>
        <v/>
      </c>
      <c r="H56" s="10" t="s">
        <v>12</v>
      </c>
      <c r="I56" s="11" t="s">
        <v>12</v>
      </c>
      <c r="J56" s="12"/>
    </row>
    <row r="57" spans="1:10" ht="60" customHeight="1">
      <c r="A57" s="6" t="s">
        <v>229</v>
      </c>
      <c r="B57" s="6" t="s">
        <v>56</v>
      </c>
      <c r="C57" s="6" t="s">
        <v>12</v>
      </c>
      <c r="D57" s="7" t="s">
        <v>230</v>
      </c>
      <c r="E57" s="8" t="s">
        <v>231</v>
      </c>
      <c r="F57" s="6" t="s">
        <v>232</v>
      </c>
      <c r="G57" s="9">
        <f>IF(A57=1,"_",IF(C57="_","???",C57))</f>
        <v/>
      </c>
      <c r="H57" s="10" t="s">
        <v>12</v>
      </c>
      <c r="I57" s="11" t="s">
        <v>12</v>
      </c>
      <c r="J57" s="12"/>
    </row>
    <row r="58" spans="1:10" ht="60" customHeight="1">
      <c r="A58" s="6" t="s">
        <v>233</v>
      </c>
      <c r="B58" s="6" t="s">
        <v>35</v>
      </c>
      <c r="C58" s="6" t="s">
        <v>12</v>
      </c>
      <c r="D58" s="7" t="s">
        <v>234</v>
      </c>
      <c r="E58" s="8" t="s">
        <v>235</v>
      </c>
      <c r="F58" s="6" t="s">
        <v>236</v>
      </c>
      <c r="G58" s="9">
        <f>IF(A58=1,"_",IF(C58="_","???",C58))</f>
        <v/>
      </c>
      <c r="H58" s="10" t="s">
        <v>12</v>
      </c>
      <c r="I58" s="11" t="s">
        <v>12</v>
      </c>
      <c r="J58" s="12"/>
    </row>
    <row r="59" spans="1:10" ht="60" customHeight="1">
      <c r="A59" s="6" t="s">
        <v>237</v>
      </c>
      <c r="B59" s="6" t="s">
        <v>11</v>
      </c>
      <c r="C59" s="6" t="s">
        <v>12</v>
      </c>
      <c r="D59" s="7" t="s">
        <v>238</v>
      </c>
      <c r="E59" s="8" t="s">
        <v>239</v>
      </c>
      <c r="F59" s="6" t="s">
        <v>240</v>
      </c>
      <c r="G59" s="9">
        <f>IF(A59=1,"_",IF(C59="_","???",C59))</f>
        <v/>
      </c>
      <c r="H59" s="10" t="s">
        <v>12</v>
      </c>
      <c r="I59" s="11" t="s">
        <v>12</v>
      </c>
      <c r="J59" s="12"/>
    </row>
    <row r="60" spans="1:10" ht="60" customHeight="1">
      <c r="A60" s="6" t="s">
        <v>241</v>
      </c>
      <c r="B60" s="6" t="s">
        <v>11</v>
      </c>
      <c r="C60" s="6" t="s">
        <v>12</v>
      </c>
      <c r="D60" s="7" t="s">
        <v>242</v>
      </c>
      <c r="E60" s="8" t="s">
        <v>243</v>
      </c>
      <c r="F60" s="6" t="s">
        <v>244</v>
      </c>
      <c r="G60" s="9">
        <f>IF(A60=1,"_",IF(C60="_","???",C60))</f>
        <v/>
      </c>
      <c r="H60" s="10" t="s">
        <v>12</v>
      </c>
      <c r="I60" s="11" t="s">
        <v>12</v>
      </c>
      <c r="J60" s="12"/>
    </row>
    <row r="61" spans="1:10" ht="60" customHeight="1">
      <c r="A61" s="6" t="s">
        <v>245</v>
      </c>
      <c r="B61" s="6" t="s">
        <v>105</v>
      </c>
      <c r="C61" s="6" t="s">
        <v>12</v>
      </c>
      <c r="D61" s="7" t="s">
        <v>246</v>
      </c>
      <c r="E61" s="8" t="s">
        <v>247</v>
      </c>
      <c r="F61" s="6" t="s">
        <v>248</v>
      </c>
      <c r="G61" s="9">
        <f>IF(A61=1,"_",IF(C61="_","???",C61))</f>
        <v/>
      </c>
      <c r="H61" s="10" t="s">
        <v>12</v>
      </c>
      <c r="I61" s="11" t="s">
        <v>12</v>
      </c>
      <c r="J61" s="12"/>
    </row>
    <row r="62" spans="1:10" ht="60" customHeight="1">
      <c r="A62" s="6" t="s">
        <v>249</v>
      </c>
      <c r="B62" s="6" t="s">
        <v>11</v>
      </c>
      <c r="C62" s="6" t="s">
        <v>12</v>
      </c>
      <c r="D62" s="7" t="s">
        <v>250</v>
      </c>
      <c r="E62" s="8" t="s">
        <v>251</v>
      </c>
      <c r="F62" s="6" t="s">
        <v>252</v>
      </c>
      <c r="G62" s="9">
        <f>IF(A62=1,"_",IF(C62="_","???",C62))</f>
        <v/>
      </c>
      <c r="H62" s="10" t="s">
        <v>12</v>
      </c>
      <c r="I62" s="11" t="s">
        <v>12</v>
      </c>
      <c r="J62" s="12"/>
    </row>
    <row r="63" spans="1:10" ht="60" customHeight="1">
      <c r="A63" s="6" t="s">
        <v>253</v>
      </c>
      <c r="B63" s="6" t="s">
        <v>31</v>
      </c>
      <c r="C63" s="6" t="s">
        <v>12</v>
      </c>
      <c r="D63" s="7" t="s">
        <v>254</v>
      </c>
      <c r="E63" s="8" t="s">
        <v>255</v>
      </c>
      <c r="F63" s="6" t="s">
        <v>256</v>
      </c>
      <c r="G63" s="9">
        <f>IF(A63=1,"_",IF(C63="_","???",C63))</f>
        <v/>
      </c>
      <c r="H63" s="10" t="s">
        <v>12</v>
      </c>
      <c r="I63" s="11" t="s">
        <v>12</v>
      </c>
      <c r="J63" s="12"/>
    </row>
    <row r="64" spans="1:10" ht="60" customHeight="1">
      <c r="A64" s="6" t="s">
        <v>257</v>
      </c>
      <c r="B64" s="6" t="s">
        <v>39</v>
      </c>
      <c r="C64" s="6" t="s">
        <v>12</v>
      </c>
      <c r="D64" s="7" t="s">
        <v>258</v>
      </c>
      <c r="E64" s="8" t="s">
        <v>259</v>
      </c>
      <c r="F64" s="6" t="s">
        <v>260</v>
      </c>
      <c r="G64" s="9">
        <f>IF(A64=1,"_",IF(C64="_","???",C64))</f>
        <v/>
      </c>
      <c r="H64" s="10" t="s">
        <v>12</v>
      </c>
      <c r="I64" s="11" t="s">
        <v>12</v>
      </c>
      <c r="J64" s="12"/>
    </row>
    <row r="65" spans="1:10" ht="60" customHeight="1">
      <c r="A65" s="6" t="s">
        <v>261</v>
      </c>
      <c r="B65" s="6" t="s">
        <v>35</v>
      </c>
      <c r="C65" s="6" t="s">
        <v>12</v>
      </c>
      <c r="D65" s="7" t="s">
        <v>262</v>
      </c>
      <c r="E65" s="8" t="s">
        <v>263</v>
      </c>
      <c r="F65" s="6" t="s">
        <v>264</v>
      </c>
      <c r="G65" s="9">
        <f>IF(A65=1,"_",IF(C65="_","???",C65))</f>
        <v/>
      </c>
      <c r="H65" s="10" t="s">
        <v>12</v>
      </c>
      <c r="I65" s="11" t="s">
        <v>12</v>
      </c>
      <c r="J65" s="12"/>
    </row>
    <row r="66" spans="1:10" ht="60" customHeight="1">
      <c r="A66" s="6" t="s">
        <v>265</v>
      </c>
      <c r="B66" s="6" t="s">
        <v>31</v>
      </c>
      <c r="C66" s="6" t="s">
        <v>12</v>
      </c>
      <c r="D66" s="7" t="s">
        <v>262</v>
      </c>
      <c r="E66" s="8" t="s">
        <v>266</v>
      </c>
      <c r="F66" s="6" t="s">
        <v>267</v>
      </c>
      <c r="G66" s="9">
        <f>IF(A66=1,"_",IF(C66="_","???",C66))</f>
        <v/>
      </c>
      <c r="H66" s="10" t="s">
        <v>12</v>
      </c>
      <c r="I66" s="11" t="s">
        <v>12</v>
      </c>
      <c r="J66" s="12"/>
    </row>
    <row r="67" spans="1:10" ht="60" customHeight="1">
      <c r="A67" s="6" t="s">
        <v>268</v>
      </c>
      <c r="B67" s="6" t="s">
        <v>16</v>
      </c>
      <c r="C67" s="6" t="s">
        <v>12</v>
      </c>
      <c r="D67" s="7" t="s">
        <v>269</v>
      </c>
      <c r="E67" s="8" t="s">
        <v>270</v>
      </c>
      <c r="F67" s="6" t="s">
        <v>271</v>
      </c>
      <c r="G67" s="9">
        <f>IF(A67=1,"_",IF(C67="_","???",C67))</f>
        <v/>
      </c>
      <c r="H67" s="10" t="s">
        <v>12</v>
      </c>
      <c r="I67" s="11" t="s">
        <v>12</v>
      </c>
      <c r="J67" s="12"/>
    </row>
    <row r="68" spans="1:10" ht="60" customHeight="1">
      <c r="A68" s="6" t="s">
        <v>272</v>
      </c>
      <c r="B68" s="6" t="s">
        <v>35</v>
      </c>
      <c r="C68" s="6" t="s">
        <v>12</v>
      </c>
      <c r="D68" s="7" t="s">
        <v>273</v>
      </c>
      <c r="E68" s="8" t="s">
        <v>274</v>
      </c>
      <c r="F68" s="6" t="s">
        <v>275</v>
      </c>
      <c r="G68" s="9">
        <f>IF(A68=1,"_",IF(C68="_","???",C68))</f>
        <v/>
      </c>
      <c r="H68" s="10" t="s">
        <v>12</v>
      </c>
      <c r="I68" s="11" t="s">
        <v>12</v>
      </c>
      <c r="J68" s="12"/>
    </row>
    <row r="69" spans="1:10" ht="60" customHeight="1">
      <c r="A69" s="6" t="s">
        <v>276</v>
      </c>
      <c r="B69" s="6" t="s">
        <v>11</v>
      </c>
      <c r="C69" s="6" t="s">
        <v>12</v>
      </c>
      <c r="D69" s="7" t="s">
        <v>277</v>
      </c>
      <c r="E69" s="8" t="s">
        <v>278</v>
      </c>
      <c r="F69" s="6" t="s">
        <v>279</v>
      </c>
      <c r="G69" s="9">
        <f>IF(A69=1,"_",IF(C69="_","???",C69))</f>
        <v/>
      </c>
      <c r="H69" s="10" t="s">
        <v>12</v>
      </c>
      <c r="I69" s="11" t="s">
        <v>12</v>
      </c>
      <c r="J69" s="12"/>
    </row>
    <row r="70" spans="1:10" ht="60" customHeight="1">
      <c r="A70" s="6" t="s">
        <v>280</v>
      </c>
      <c r="B70" s="6" t="s">
        <v>77</v>
      </c>
      <c r="C70" s="6" t="s">
        <v>12</v>
      </c>
      <c r="D70" s="7" t="s">
        <v>281</v>
      </c>
      <c r="E70" s="8" t="s">
        <v>282</v>
      </c>
      <c r="F70" s="6" t="s">
        <v>283</v>
      </c>
      <c r="G70" s="9">
        <f>IF(A70=1,"_",IF(C70="_","???",C70))</f>
        <v/>
      </c>
      <c r="H70" s="10" t="s">
        <v>12</v>
      </c>
      <c r="I70" s="11" t="s">
        <v>12</v>
      </c>
      <c r="J70" s="12"/>
    </row>
    <row r="71" spans="1:10" ht="60" customHeight="1">
      <c r="A71" s="6" t="s">
        <v>284</v>
      </c>
      <c r="B71" s="6" t="s">
        <v>11</v>
      </c>
      <c r="C71" s="6" t="s">
        <v>12</v>
      </c>
      <c r="D71" s="7" t="s">
        <v>285</v>
      </c>
      <c r="E71" s="8" t="s">
        <v>286</v>
      </c>
      <c r="F71" s="6" t="s">
        <v>287</v>
      </c>
      <c r="G71" s="9">
        <f>IF(A71=1,"_",IF(C71="_","???",C71))</f>
        <v/>
      </c>
      <c r="H71" s="10" t="s">
        <v>12</v>
      </c>
      <c r="I71" s="11" t="s">
        <v>12</v>
      </c>
      <c r="J71" s="12"/>
    </row>
    <row r="72" spans="1:10" ht="60" customHeight="1">
      <c r="A72" s="6" t="s">
        <v>288</v>
      </c>
      <c r="B72" s="6" t="s">
        <v>56</v>
      </c>
      <c r="C72" s="6" t="s">
        <v>12</v>
      </c>
      <c r="D72" s="7" t="s">
        <v>289</v>
      </c>
      <c r="E72" s="8" t="s">
        <v>290</v>
      </c>
      <c r="F72" s="6" t="s">
        <v>291</v>
      </c>
      <c r="G72" s="9">
        <f>IF(A72=1,"_",IF(C72="_","???",C72))</f>
        <v/>
      </c>
      <c r="H72" s="10" t="s">
        <v>12</v>
      </c>
      <c r="I72" s="11" t="s">
        <v>12</v>
      </c>
      <c r="J72" s="12"/>
    </row>
    <row r="73" spans="1:10" ht="60" customHeight="1">
      <c r="A73" s="6" t="s">
        <v>292</v>
      </c>
      <c r="B73" s="6" t="s">
        <v>31</v>
      </c>
      <c r="C73" s="6" t="s">
        <v>12</v>
      </c>
      <c r="D73" s="7" t="s">
        <v>117</v>
      </c>
      <c r="E73" s="8" t="s">
        <v>293</v>
      </c>
      <c r="F73" s="6" t="s">
        <v>294</v>
      </c>
      <c r="G73" s="9">
        <f>IF(A73=1,"_",IF(C73="_","???",C73))</f>
        <v/>
      </c>
      <c r="H73" s="10" t="s">
        <v>12</v>
      </c>
      <c r="I73" s="11" t="s">
        <v>12</v>
      </c>
      <c r="J73" s="12"/>
    </row>
    <row r="74" spans="1:10" ht="60" customHeight="1">
      <c r="A74" s="6" t="s">
        <v>295</v>
      </c>
      <c r="B74" s="6" t="s">
        <v>27</v>
      </c>
      <c r="C74" s="6" t="s">
        <v>12</v>
      </c>
      <c r="D74" s="7" t="s">
        <v>296</v>
      </c>
      <c r="E74" s="8" t="s">
        <v>297</v>
      </c>
      <c r="F74" s="6" t="s">
        <v>298</v>
      </c>
      <c r="G74" s="9">
        <f>IF(A74=1,"_",IF(C74="_","???",C74))</f>
        <v/>
      </c>
      <c r="H74" s="10" t="s">
        <v>12</v>
      </c>
      <c r="I74" s="11" t="s">
        <v>12</v>
      </c>
      <c r="J74" s="12"/>
    </row>
    <row r="75" spans="1:10" ht="60" customHeight="1">
      <c r="A75" s="6" t="s">
        <v>299</v>
      </c>
      <c r="B75" s="6" t="s">
        <v>20</v>
      </c>
      <c r="C75" s="6" t="s">
        <v>12</v>
      </c>
      <c r="D75" s="7" t="s">
        <v>300</v>
      </c>
      <c r="E75" s="8" t="s">
        <v>301</v>
      </c>
      <c r="F75" s="6" t="s">
        <v>302</v>
      </c>
      <c r="G75" s="9">
        <f>IF(A75=1,"_",IF(C75="_","???",C75))</f>
        <v/>
      </c>
      <c r="H75" s="10" t="s">
        <v>12</v>
      </c>
      <c r="I75" s="11" t="s">
        <v>12</v>
      </c>
      <c r="J75" s="12"/>
    </row>
    <row r="76" spans="1:10" ht="60" customHeight="1">
      <c r="A76" s="6" t="s">
        <v>303</v>
      </c>
      <c r="B76" s="6" t="s">
        <v>27</v>
      </c>
      <c r="C76" s="6" t="s">
        <v>12</v>
      </c>
      <c r="D76" s="7" t="s">
        <v>304</v>
      </c>
      <c r="E76" s="8" t="s">
        <v>305</v>
      </c>
      <c r="F76" s="6" t="s">
        <v>306</v>
      </c>
      <c r="G76" s="9">
        <f>IF(A76=1,"_",IF(C76="_","???",C76))</f>
        <v/>
      </c>
      <c r="H76" s="10" t="s">
        <v>12</v>
      </c>
      <c r="I76" s="11" t="s">
        <v>12</v>
      </c>
      <c r="J76" s="12"/>
    </row>
    <row r="77" spans="1:10" ht="60" customHeight="1">
      <c r="A77" s="6" t="s">
        <v>307</v>
      </c>
      <c r="B77" s="6" t="s">
        <v>11</v>
      </c>
      <c r="C77" s="6" t="s">
        <v>12</v>
      </c>
      <c r="D77" s="7" t="s">
        <v>308</v>
      </c>
      <c r="E77" s="8" t="s">
        <v>309</v>
      </c>
      <c r="F77" s="6" t="s">
        <v>310</v>
      </c>
      <c r="G77" s="9">
        <f>IF(A77=1,"_",IF(C77="_","???",C77))</f>
        <v/>
      </c>
      <c r="H77" s="10" t="s">
        <v>12</v>
      </c>
      <c r="I77" s="11" t="s">
        <v>12</v>
      </c>
      <c r="J77" s="12"/>
    </row>
    <row r="78" spans="1:10" ht="60" customHeight="1">
      <c r="A78" s="6" t="s">
        <v>311</v>
      </c>
      <c r="B78" s="6" t="s">
        <v>43</v>
      </c>
      <c r="C78" s="6" t="s">
        <v>12</v>
      </c>
      <c r="D78" s="7" t="s">
        <v>24</v>
      </c>
      <c r="E78" s="8" t="s">
        <v>312</v>
      </c>
      <c r="F78" s="6" t="s">
        <v>313</v>
      </c>
      <c r="G78" s="9">
        <f>IF(A78=1,"_",IF(C78="_","???",C78))</f>
        <v/>
      </c>
      <c r="H78" s="10" t="s">
        <v>12</v>
      </c>
      <c r="I78" s="11" t="s">
        <v>12</v>
      </c>
      <c r="J78" s="12"/>
    </row>
    <row r="79" spans="1:10" ht="60" customHeight="1">
      <c r="A79" s="6" t="s">
        <v>314</v>
      </c>
      <c r="B79" s="6" t="s">
        <v>11</v>
      </c>
      <c r="C79" s="6" t="s">
        <v>12</v>
      </c>
      <c r="D79" s="7" t="s">
        <v>315</v>
      </c>
      <c r="E79" s="8" t="s">
        <v>316</v>
      </c>
      <c r="F79" s="6" t="s">
        <v>317</v>
      </c>
      <c r="G79" s="9">
        <f>IF(A79=1,"_",IF(C79="_","???",C79))</f>
        <v/>
      </c>
      <c r="H79" s="10" t="s">
        <v>12</v>
      </c>
      <c r="I79" s="11" t="s">
        <v>12</v>
      </c>
      <c r="J79" s="12"/>
    </row>
    <row r="80" spans="1:10" ht="60" customHeight="1">
      <c r="A80" s="6" t="s">
        <v>318</v>
      </c>
      <c r="B80" s="6" t="s">
        <v>11</v>
      </c>
      <c r="C80" s="6" t="s">
        <v>12</v>
      </c>
      <c r="D80" s="7" t="s">
        <v>319</v>
      </c>
      <c r="E80" s="8" t="s">
        <v>320</v>
      </c>
      <c r="F80" s="6" t="s">
        <v>321</v>
      </c>
      <c r="G80" s="9">
        <f>IF(A80=1,"_",IF(C80="_","???",C80))</f>
        <v/>
      </c>
      <c r="H80" s="10" t="s">
        <v>12</v>
      </c>
      <c r="I80" s="11" t="s">
        <v>12</v>
      </c>
      <c r="J80" s="12"/>
    </row>
    <row r="81" spans="1:10" ht="60" customHeight="1">
      <c r="A81" s="6" t="s">
        <v>322</v>
      </c>
      <c r="B81" s="6" t="s">
        <v>20</v>
      </c>
      <c r="C81" s="6" t="s">
        <v>12</v>
      </c>
      <c r="D81" s="7" t="s">
        <v>323</v>
      </c>
      <c r="E81" s="8" t="s">
        <v>324</v>
      </c>
      <c r="F81" s="6" t="s">
        <v>325</v>
      </c>
      <c r="G81" s="9">
        <f>IF(A81=1,"_",IF(C81="_","???",C81))</f>
        <v/>
      </c>
      <c r="H81" s="10" t="s">
        <v>12</v>
      </c>
      <c r="I81" s="11" t="s">
        <v>12</v>
      </c>
      <c r="J81" s="12"/>
    </row>
    <row r="82" spans="1:10" ht="60" customHeight="1">
      <c r="A82" s="6" t="s">
        <v>326</v>
      </c>
      <c r="B82" s="6" t="s">
        <v>11</v>
      </c>
      <c r="C82" s="6" t="s">
        <v>12</v>
      </c>
      <c r="D82" s="7" t="s">
        <v>327</v>
      </c>
      <c r="E82" s="8" t="s">
        <v>328</v>
      </c>
      <c r="F82" s="6" t="s">
        <v>329</v>
      </c>
      <c r="G82" s="9">
        <f>IF(A82=1,"_",IF(C82="_","???",C82))</f>
        <v/>
      </c>
      <c r="H82" s="10" t="s">
        <v>12</v>
      </c>
      <c r="I82" s="11" t="s">
        <v>12</v>
      </c>
      <c r="J82" s="12"/>
    </row>
    <row r="83" spans="1:10" ht="60" customHeight="1">
      <c r="A83" s="6" t="s">
        <v>330</v>
      </c>
      <c r="B83" s="6" t="s">
        <v>20</v>
      </c>
      <c r="C83" s="6" t="s">
        <v>12</v>
      </c>
      <c r="D83" s="7" t="s">
        <v>32</v>
      </c>
      <c r="E83" s="8" t="s">
        <v>331</v>
      </c>
      <c r="F83" s="6" t="s">
        <v>332</v>
      </c>
      <c r="G83" s="9">
        <f>IF(A83=1,"_",IF(C83="_","???",C83))</f>
        <v/>
      </c>
      <c r="H83" s="10" t="s">
        <v>12</v>
      </c>
      <c r="I83" s="11" t="s">
        <v>12</v>
      </c>
      <c r="J83" s="12"/>
    </row>
    <row r="84" spans="1:10" ht="60" customHeight="1">
      <c r="A84" s="6" t="s">
        <v>333</v>
      </c>
      <c r="B84" s="6" t="s">
        <v>11</v>
      </c>
      <c r="C84" s="6" t="s">
        <v>12</v>
      </c>
      <c r="D84" s="7" t="s">
        <v>222</v>
      </c>
      <c r="E84" s="8" t="s">
        <v>334</v>
      </c>
      <c r="F84" s="6" t="s">
        <v>335</v>
      </c>
      <c r="G84" s="9">
        <f>IF(A84=1,"_",IF(C84="_","???",C84))</f>
        <v/>
      </c>
      <c r="H84" s="10" t="s">
        <v>12</v>
      </c>
      <c r="I84" s="11" t="s">
        <v>12</v>
      </c>
      <c r="J84" s="12"/>
    </row>
    <row r="85" spans="1:10" ht="60" customHeight="1">
      <c r="A85" s="6" t="s">
        <v>336</v>
      </c>
      <c r="B85" s="6" t="s">
        <v>11</v>
      </c>
      <c r="C85" s="6" t="s">
        <v>12</v>
      </c>
      <c r="D85" s="7" t="s">
        <v>337</v>
      </c>
      <c r="E85" s="8" t="s">
        <v>338</v>
      </c>
      <c r="F85" s="6" t="s">
        <v>339</v>
      </c>
      <c r="G85" s="9">
        <f>IF(A85=1,"_",IF(C85="_","???",C85))</f>
        <v/>
      </c>
      <c r="H85" s="10" t="s">
        <v>12</v>
      </c>
      <c r="I85" s="11" t="s">
        <v>12</v>
      </c>
      <c r="J85" s="12"/>
    </row>
    <row r="86" spans="1:10" ht="60" customHeight="1">
      <c r="A86" s="6" t="s">
        <v>340</v>
      </c>
      <c r="B86" s="6" t="s">
        <v>35</v>
      </c>
      <c r="C86" s="6" t="s">
        <v>12</v>
      </c>
      <c r="D86" s="7" t="s">
        <v>341</v>
      </c>
      <c r="E86" s="8" t="s">
        <v>342</v>
      </c>
      <c r="F86" s="6" t="s">
        <v>343</v>
      </c>
      <c r="G86" s="9">
        <f>IF(A86=1,"_",IF(C86="_","???",C86))</f>
        <v/>
      </c>
      <c r="H86" s="10" t="s">
        <v>12</v>
      </c>
      <c r="I86" s="11" t="s">
        <v>12</v>
      </c>
      <c r="J86" s="12"/>
    </row>
    <row r="87" spans="1:10" ht="60" customHeight="1">
      <c r="A87" s="6" t="s">
        <v>344</v>
      </c>
      <c r="B87" s="6" t="s">
        <v>27</v>
      </c>
      <c r="C87" s="6" t="s">
        <v>12</v>
      </c>
      <c r="D87" s="7" t="s">
        <v>345</v>
      </c>
      <c r="E87" s="8" t="s">
        <v>346</v>
      </c>
      <c r="F87" s="6" t="s">
        <v>347</v>
      </c>
      <c r="G87" s="9">
        <f>IF(A87=1,"_",IF(C87="_","???",C87))</f>
        <v/>
      </c>
      <c r="H87" s="10" t="s">
        <v>12</v>
      </c>
      <c r="I87" s="11" t="s">
        <v>12</v>
      </c>
      <c r="J87" s="12"/>
    </row>
    <row r="88" spans="1:10" ht="60" customHeight="1">
      <c r="A88" s="6" t="s">
        <v>348</v>
      </c>
      <c r="B88" s="6" t="s">
        <v>43</v>
      </c>
      <c r="C88" s="6" t="s">
        <v>12</v>
      </c>
      <c r="D88" s="7" t="s">
        <v>349</v>
      </c>
      <c r="E88" s="8" t="s">
        <v>350</v>
      </c>
      <c r="F88" s="6" t="s">
        <v>351</v>
      </c>
      <c r="G88" s="9">
        <f>IF(A88=1,"_",IF(C88="_","???",C88))</f>
        <v/>
      </c>
      <c r="H88" s="10" t="s">
        <v>12</v>
      </c>
      <c r="I88" s="11" t="s">
        <v>12</v>
      </c>
      <c r="J88" s="12"/>
    </row>
    <row r="89" spans="1:10" ht="60" customHeight="1">
      <c r="A89" s="6" t="s">
        <v>352</v>
      </c>
      <c r="B89" s="6" t="s">
        <v>20</v>
      </c>
      <c r="C89" s="6" t="s">
        <v>12</v>
      </c>
      <c r="D89" s="7" t="s">
        <v>353</v>
      </c>
      <c r="E89" s="8" t="s">
        <v>354</v>
      </c>
      <c r="F89" s="6" t="s">
        <v>355</v>
      </c>
      <c r="G89" s="9">
        <f>IF(A89=1,"_",IF(C89="_","???",C89))</f>
        <v/>
      </c>
      <c r="H89" s="10" t="s">
        <v>12</v>
      </c>
      <c r="I89" s="11" t="s">
        <v>12</v>
      </c>
      <c r="J89" s="12"/>
    </row>
    <row r="90" spans="1:10" ht="60" customHeight="1">
      <c r="A90" s="6" t="s">
        <v>356</v>
      </c>
      <c r="B90" s="6" t="s">
        <v>27</v>
      </c>
      <c r="C90" s="6" t="s">
        <v>12</v>
      </c>
      <c r="D90" s="7" t="s">
        <v>357</v>
      </c>
      <c r="E90" s="8" t="s">
        <v>358</v>
      </c>
      <c r="F90" s="6" t="s">
        <v>359</v>
      </c>
      <c r="G90" s="9">
        <f>IF(A90=1,"_",IF(C90="_","???",C90))</f>
        <v/>
      </c>
      <c r="H90" s="10" t="s">
        <v>12</v>
      </c>
      <c r="I90" s="11" t="s">
        <v>12</v>
      </c>
      <c r="J90" s="12"/>
    </row>
    <row r="91" spans="1:10" ht="60" customHeight="1">
      <c r="A91" s="6" t="s">
        <v>360</v>
      </c>
      <c r="B91" s="6" t="s">
        <v>11</v>
      </c>
      <c r="C91" s="6" t="s">
        <v>12</v>
      </c>
      <c r="D91" s="7" t="s">
        <v>361</v>
      </c>
      <c r="E91" s="8" t="s">
        <v>362</v>
      </c>
      <c r="F91" s="6" t="s">
        <v>363</v>
      </c>
      <c r="G91" s="9">
        <f>IF(A91=1,"_",IF(C91="_","???",C91))</f>
        <v/>
      </c>
      <c r="H91" s="10" t="s">
        <v>12</v>
      </c>
      <c r="I91" s="11" t="s">
        <v>12</v>
      </c>
      <c r="J91" s="12"/>
    </row>
    <row r="92" spans="1:10" ht="60" customHeight="1">
      <c r="A92" s="6" t="s">
        <v>364</v>
      </c>
      <c r="B92" s="6" t="s">
        <v>48</v>
      </c>
      <c r="C92" s="6" t="s">
        <v>12</v>
      </c>
      <c r="D92" s="7" t="s">
        <v>365</v>
      </c>
      <c r="E92" s="8" t="s">
        <v>366</v>
      </c>
      <c r="F92" s="6" t="s">
        <v>367</v>
      </c>
      <c r="G92" s="9">
        <f>IF(A92=1,"_",IF(C92="_","???",C92))</f>
        <v/>
      </c>
      <c r="H92" s="10" t="s">
        <v>12</v>
      </c>
      <c r="I92" s="11" t="s">
        <v>12</v>
      </c>
      <c r="J92" s="12"/>
    </row>
    <row r="93" spans="1:10" ht="60" customHeight="1">
      <c r="A93" s="6" t="s">
        <v>368</v>
      </c>
      <c r="B93" s="6" t="s">
        <v>11</v>
      </c>
      <c r="C93" s="6" t="s">
        <v>12</v>
      </c>
      <c r="D93" s="7" t="s">
        <v>369</v>
      </c>
      <c r="E93" s="8" t="s">
        <v>370</v>
      </c>
      <c r="F93" s="6" t="s">
        <v>371</v>
      </c>
      <c r="G93" s="9">
        <f>IF(A93=1,"_",IF(C93="_","???",C93))</f>
        <v/>
      </c>
      <c r="H93" s="10" t="s">
        <v>12</v>
      </c>
      <c r="I93" s="11" t="s">
        <v>12</v>
      </c>
      <c r="J93" s="12"/>
    </row>
    <row r="94" spans="1:10" ht="60" customHeight="1">
      <c r="A94" s="6" t="s">
        <v>372</v>
      </c>
      <c r="B94" s="6" t="s">
        <v>11</v>
      </c>
      <c r="C94" s="6" t="s">
        <v>12</v>
      </c>
      <c r="D94" s="7" t="s">
        <v>373</v>
      </c>
      <c r="E94" s="8" t="s">
        <v>374</v>
      </c>
      <c r="F94" s="6" t="s">
        <v>375</v>
      </c>
      <c r="G94" s="9">
        <f>IF(A94=1,"_",IF(C94="_","???",C94))</f>
        <v/>
      </c>
      <c r="H94" s="10" t="s">
        <v>12</v>
      </c>
      <c r="I94" s="11" t="s">
        <v>12</v>
      </c>
      <c r="J94" s="12"/>
    </row>
    <row r="95" spans="1:10" ht="60" customHeight="1">
      <c r="A95" s="6" t="s">
        <v>376</v>
      </c>
      <c r="B95" s="6" t="s">
        <v>16</v>
      </c>
      <c r="C95" s="6" t="s">
        <v>12</v>
      </c>
      <c r="D95" s="7" t="s">
        <v>377</v>
      </c>
      <c r="E95" s="8" t="s">
        <v>378</v>
      </c>
      <c r="F95" s="6" t="s">
        <v>379</v>
      </c>
      <c r="G95" s="9">
        <f>IF(A95=1,"_",IF(C95="_","???",C95))</f>
        <v/>
      </c>
      <c r="H95" s="10" t="s">
        <v>12</v>
      </c>
      <c r="I95" s="11" t="s">
        <v>12</v>
      </c>
      <c r="J95" s="12"/>
    </row>
    <row r="96" spans="1:10" ht="60" customHeight="1">
      <c r="A96" s="6" t="s">
        <v>380</v>
      </c>
      <c r="B96" s="6" t="s">
        <v>16</v>
      </c>
      <c r="C96" s="6" t="s">
        <v>12</v>
      </c>
      <c r="D96" s="7" t="s">
        <v>246</v>
      </c>
      <c r="E96" s="8" t="s">
        <v>381</v>
      </c>
      <c r="F96" s="6" t="s">
        <v>382</v>
      </c>
      <c r="G96" s="9">
        <f>IF(A96=1,"_",IF(C96="_","???",C96))</f>
        <v/>
      </c>
      <c r="H96" s="10" t="s">
        <v>12</v>
      </c>
      <c r="I96" s="11" t="s">
        <v>12</v>
      </c>
      <c r="J96" s="12"/>
    </row>
    <row r="97" spans="1:10" ht="60" customHeight="1">
      <c r="A97" s="6" t="s">
        <v>383</v>
      </c>
      <c r="B97" s="6" t="s">
        <v>11</v>
      </c>
      <c r="C97" s="6" t="s">
        <v>12</v>
      </c>
      <c r="D97" s="7" t="s">
        <v>384</v>
      </c>
      <c r="E97" s="8" t="s">
        <v>385</v>
      </c>
      <c r="F97" s="6" t="s">
        <v>386</v>
      </c>
      <c r="G97" s="9">
        <f>IF(A97=1,"_",IF(C97="_","???",C97))</f>
        <v/>
      </c>
      <c r="H97" s="10" t="s">
        <v>12</v>
      </c>
      <c r="I97" s="11" t="s">
        <v>12</v>
      </c>
      <c r="J97" s="12"/>
    </row>
    <row r="98" spans="1:10" ht="60" customHeight="1">
      <c r="A98" s="6" t="s">
        <v>387</v>
      </c>
      <c r="B98" s="6" t="s">
        <v>11</v>
      </c>
      <c r="C98" s="6" t="s">
        <v>12</v>
      </c>
      <c r="D98" s="7" t="s">
        <v>388</v>
      </c>
      <c r="E98" s="8" t="s">
        <v>389</v>
      </c>
      <c r="F98" s="6" t="s">
        <v>390</v>
      </c>
      <c r="G98" s="9">
        <f>IF(A98=1,"_",IF(C98="_","???",C98))</f>
        <v/>
      </c>
      <c r="H98" s="10" t="s">
        <v>12</v>
      </c>
      <c r="I98" s="11" t="s">
        <v>12</v>
      </c>
      <c r="J98" s="12"/>
    </row>
    <row r="99" spans="1:10" ht="60" customHeight="1">
      <c r="A99" s="6" t="s">
        <v>391</v>
      </c>
      <c r="B99" s="6" t="s">
        <v>20</v>
      </c>
      <c r="C99" s="6" t="s">
        <v>12</v>
      </c>
      <c r="D99" s="7" t="s">
        <v>392</v>
      </c>
      <c r="E99" s="8" t="s">
        <v>393</v>
      </c>
      <c r="F99" s="6" t="s">
        <v>394</v>
      </c>
      <c r="G99" s="9">
        <f>IF(A99=1,"_",IF(C99="_","???",C99))</f>
        <v/>
      </c>
      <c r="H99" s="10" t="s">
        <v>12</v>
      </c>
      <c r="I99" s="11" t="s">
        <v>12</v>
      </c>
      <c r="J99" s="12"/>
    </row>
    <row r="100" spans="1:10" ht="60" customHeight="1">
      <c r="A100" s="6" t="s">
        <v>395</v>
      </c>
      <c r="B100" s="6" t="s">
        <v>20</v>
      </c>
      <c r="C100" s="6" t="s">
        <v>12</v>
      </c>
      <c r="D100" s="7" t="s">
        <v>300</v>
      </c>
      <c r="E100" s="8" t="s">
        <v>396</v>
      </c>
      <c r="F100" s="6" t="s">
        <v>397</v>
      </c>
      <c r="G100" s="9">
        <f>IF(A100=1,"_",IF(C100="_","???",C100))</f>
        <v/>
      </c>
      <c r="H100" s="10" t="s">
        <v>12</v>
      </c>
      <c r="I100" s="11" t="s">
        <v>12</v>
      </c>
      <c r="J100" s="12"/>
    </row>
    <row r="101" spans="1:10" ht="60" customHeight="1">
      <c r="A101" s="6" t="s">
        <v>398</v>
      </c>
      <c r="B101" s="6" t="s">
        <v>44</v>
      </c>
      <c r="C101" s="6" t="s">
        <v>73</v>
      </c>
      <c r="D101" s="7" t="s">
        <v>399</v>
      </c>
      <c r="E101" s="8" t="s">
        <v>400</v>
      </c>
      <c r="F101" s="6" t="s">
        <v>401</v>
      </c>
      <c r="G101" s="9">
        <f>IF(A101=1,"_",IF(C101="_","???",C101))</f>
        <v/>
      </c>
      <c r="H101" s="10" t="s">
        <v>12</v>
      </c>
      <c r="I101" s="11" t="s">
        <v>12</v>
      </c>
      <c r="J101" s="12"/>
    </row>
    <row r="102" spans="1:10" ht="60" customHeight="1">
      <c r="A102" s="6" t="s">
        <v>402</v>
      </c>
      <c r="B102" s="6" t="s">
        <v>52</v>
      </c>
      <c r="C102" s="6" t="s">
        <v>12</v>
      </c>
      <c r="D102" s="7" t="s">
        <v>195</v>
      </c>
      <c r="E102" s="8" t="s">
        <v>403</v>
      </c>
      <c r="F102" s="6" t="s">
        <v>404</v>
      </c>
      <c r="G102" s="9">
        <f>IF(A102=1,"_",IF(C102="_","???",C102))</f>
        <v/>
      </c>
      <c r="H102" s="10" t="s">
        <v>12</v>
      </c>
      <c r="I102" s="11" t="s">
        <v>12</v>
      </c>
      <c r="J102" s="12"/>
    </row>
    <row r="103" spans="1:10" ht="60" customHeight="1">
      <c r="A103" s="6" t="s">
        <v>405</v>
      </c>
      <c r="B103" s="6" t="s">
        <v>31</v>
      </c>
      <c r="C103" s="6" t="s">
        <v>12</v>
      </c>
      <c r="D103" s="7" t="s">
        <v>406</v>
      </c>
      <c r="E103" s="8" t="s">
        <v>407</v>
      </c>
      <c r="F103" s="6" t="s">
        <v>408</v>
      </c>
      <c r="G103" s="9">
        <f>IF(A103=1,"_",IF(C103="_","???",C103))</f>
        <v/>
      </c>
      <c r="H103" s="10" t="s">
        <v>12</v>
      </c>
      <c r="I103" s="11" t="s">
        <v>12</v>
      </c>
      <c r="J103" s="12"/>
    </row>
    <row r="104" spans="1:10" ht="60" customHeight="1">
      <c r="A104" s="6" t="s">
        <v>409</v>
      </c>
      <c r="B104" s="6" t="s">
        <v>20</v>
      </c>
      <c r="C104" s="6" t="s">
        <v>12</v>
      </c>
      <c r="D104" s="7" t="s">
        <v>410</v>
      </c>
      <c r="E104" s="8" t="s">
        <v>411</v>
      </c>
      <c r="F104" s="6" t="s">
        <v>412</v>
      </c>
      <c r="G104" s="9">
        <f>IF(A104=1,"_",IF(C104="_","???",C104))</f>
        <v/>
      </c>
      <c r="H104" s="10" t="s">
        <v>12</v>
      </c>
      <c r="I104" s="11" t="s">
        <v>12</v>
      </c>
      <c r="J104" s="12"/>
    </row>
    <row r="105" spans="1:10" ht="60" customHeight="1">
      <c r="A105" s="6" t="s">
        <v>413</v>
      </c>
      <c r="B105" s="6" t="s">
        <v>39</v>
      </c>
      <c r="C105" s="6" t="s">
        <v>12</v>
      </c>
      <c r="D105" s="7" t="s">
        <v>273</v>
      </c>
      <c r="E105" s="8" t="s">
        <v>414</v>
      </c>
      <c r="F105" s="6" t="s">
        <v>415</v>
      </c>
      <c r="G105" s="9">
        <f>IF(A105=1,"_",IF(C105="_","???",C105))</f>
        <v/>
      </c>
      <c r="H105" s="10" t="s">
        <v>12</v>
      </c>
      <c r="I105" s="11" t="s">
        <v>12</v>
      </c>
      <c r="J105" s="12"/>
    </row>
    <row r="106" spans="1:10" ht="60" customHeight="1">
      <c r="A106" s="6" t="s">
        <v>416</v>
      </c>
      <c r="B106" s="6" t="s">
        <v>20</v>
      </c>
      <c r="C106" s="6" t="s">
        <v>12</v>
      </c>
      <c r="D106" s="7" t="s">
        <v>417</v>
      </c>
      <c r="E106" s="8" t="s">
        <v>418</v>
      </c>
      <c r="F106" s="6" t="s">
        <v>419</v>
      </c>
      <c r="G106" s="9">
        <f>IF(A106=1,"_",IF(C106="_","???",C106))</f>
        <v/>
      </c>
      <c r="H106" s="10" t="s">
        <v>12</v>
      </c>
      <c r="I106" s="11" t="s">
        <v>12</v>
      </c>
      <c r="J106" s="12"/>
    </row>
    <row r="107" spans="1:10" ht="60" customHeight="1">
      <c r="A107" s="6" t="s">
        <v>420</v>
      </c>
      <c r="B107" s="6" t="s">
        <v>11</v>
      </c>
      <c r="C107" s="6" t="s">
        <v>12</v>
      </c>
      <c r="D107" s="7" t="s">
        <v>421</v>
      </c>
      <c r="E107" s="8" t="s">
        <v>422</v>
      </c>
      <c r="F107" s="6" t="s">
        <v>423</v>
      </c>
      <c r="G107" s="9">
        <f>IF(A107=1,"_",IF(C107="_","???",C107))</f>
        <v/>
      </c>
      <c r="H107" s="10" t="s">
        <v>12</v>
      </c>
      <c r="I107" s="11" t="s">
        <v>12</v>
      </c>
      <c r="J107" s="12"/>
    </row>
    <row r="108" spans="1:10" ht="60" customHeight="1">
      <c r="A108" s="6" t="s">
        <v>424</v>
      </c>
      <c r="B108" s="6" t="s">
        <v>11</v>
      </c>
      <c r="C108" s="6" t="s">
        <v>12</v>
      </c>
      <c r="D108" s="7" t="s">
        <v>425</v>
      </c>
      <c r="E108" s="8" t="s">
        <v>426</v>
      </c>
      <c r="F108" s="6" t="s">
        <v>427</v>
      </c>
      <c r="G108" s="9">
        <f>IF(A108=1,"_",IF(C108="_","???",C108))</f>
        <v/>
      </c>
      <c r="H108" s="10" t="s">
        <v>12</v>
      </c>
      <c r="I108" s="11" t="s">
        <v>12</v>
      </c>
      <c r="J108" s="12"/>
    </row>
    <row r="109" spans="1:10" ht="60" customHeight="1">
      <c r="A109" s="6" t="s">
        <v>428</v>
      </c>
      <c r="B109" s="6" t="s">
        <v>11</v>
      </c>
      <c r="C109" s="6" t="s">
        <v>12</v>
      </c>
      <c r="D109" s="7" t="s">
        <v>69</v>
      </c>
      <c r="E109" s="8" t="s">
        <v>429</v>
      </c>
      <c r="F109" s="6" t="s">
        <v>430</v>
      </c>
      <c r="G109" s="9">
        <f>IF(A109=1,"_",IF(C109="_","???",C109))</f>
        <v/>
      </c>
      <c r="H109" s="10" t="s">
        <v>12</v>
      </c>
      <c r="I109" s="11" t="s">
        <v>12</v>
      </c>
      <c r="J109" s="12"/>
    </row>
    <row r="110" spans="1:10" ht="60" customHeight="1">
      <c r="A110" s="6" t="s">
        <v>431</v>
      </c>
      <c r="B110" s="6" t="s">
        <v>20</v>
      </c>
      <c r="C110" s="6" t="s">
        <v>73</v>
      </c>
      <c r="D110" s="7" t="s">
        <v>432</v>
      </c>
      <c r="E110" s="8" t="s">
        <v>433</v>
      </c>
      <c r="F110" s="6" t="s">
        <v>434</v>
      </c>
      <c r="G110" s="9">
        <f>IF(A110=1,"_",IF(C110="_","???",C110))</f>
        <v/>
      </c>
      <c r="H110" s="10" t="s">
        <v>12</v>
      </c>
      <c r="I110" s="11" t="s">
        <v>12</v>
      </c>
      <c r="J110" s="12"/>
    </row>
    <row r="111" spans="1:10" ht="60" customHeight="1">
      <c r="A111" s="6" t="s">
        <v>435</v>
      </c>
      <c r="B111" s="6" t="s">
        <v>39</v>
      </c>
      <c r="C111" s="6" t="s">
        <v>12</v>
      </c>
      <c r="D111" s="7" t="s">
        <v>436</v>
      </c>
      <c r="E111" s="8" t="s">
        <v>437</v>
      </c>
      <c r="F111" s="6" t="s">
        <v>438</v>
      </c>
      <c r="G111" s="9">
        <f>IF(A111=1,"_",IF(C111="_","???",C111))</f>
        <v/>
      </c>
      <c r="H111" s="10" t="s">
        <v>12</v>
      </c>
      <c r="I111" s="11" t="s">
        <v>12</v>
      </c>
      <c r="J111" s="12"/>
    </row>
    <row r="112" spans="1:10" ht="60" customHeight="1">
      <c r="A112" s="6" t="s">
        <v>439</v>
      </c>
      <c r="B112" s="6" t="s">
        <v>11</v>
      </c>
      <c r="C112" s="6" t="s">
        <v>12</v>
      </c>
      <c r="D112" s="7" t="s">
        <v>440</v>
      </c>
      <c r="E112" s="8" t="s">
        <v>441</v>
      </c>
      <c r="F112" s="6" t="s">
        <v>442</v>
      </c>
      <c r="G112" s="9">
        <f>IF(A112=1,"_",IF(C112="_","???",C112))</f>
        <v/>
      </c>
      <c r="H112" s="10" t="s">
        <v>12</v>
      </c>
      <c r="I112" s="11" t="s">
        <v>12</v>
      </c>
      <c r="J112" s="12"/>
    </row>
    <row r="113" spans="1:10" ht="60" customHeight="1">
      <c r="A113" s="6" t="s">
        <v>443</v>
      </c>
      <c r="B113" s="6" t="s">
        <v>11</v>
      </c>
      <c r="C113" s="6" t="s">
        <v>12</v>
      </c>
      <c r="D113" s="7" t="s">
        <v>444</v>
      </c>
      <c r="E113" s="8" t="s">
        <v>445</v>
      </c>
      <c r="F113" s="6" t="s">
        <v>446</v>
      </c>
      <c r="G113" s="9">
        <f>IF(A113=1,"_",IF(C113="_","???",C113))</f>
        <v/>
      </c>
      <c r="H113" s="10" t="s">
        <v>12</v>
      </c>
      <c r="I113" s="11" t="s">
        <v>12</v>
      </c>
      <c r="J113" s="12"/>
    </row>
    <row r="114" spans="1:10" ht="60" customHeight="1">
      <c r="A114" s="6" t="s">
        <v>447</v>
      </c>
      <c r="B114" s="6" t="s">
        <v>16</v>
      </c>
      <c r="C114" s="6" t="s">
        <v>12</v>
      </c>
      <c r="D114" s="7" t="s">
        <v>448</v>
      </c>
      <c r="E114" s="8" t="s">
        <v>449</v>
      </c>
      <c r="F114" s="6" t="s">
        <v>450</v>
      </c>
      <c r="G114" s="9">
        <f>IF(A114=1,"_",IF(C114="_","???",C114))</f>
        <v/>
      </c>
      <c r="H114" s="10" t="s">
        <v>12</v>
      </c>
      <c r="I114" s="11" t="s">
        <v>12</v>
      </c>
      <c r="J114" s="12"/>
    </row>
    <row r="115" spans="1:10" ht="60" customHeight="1">
      <c r="A115" s="6" t="s">
        <v>451</v>
      </c>
      <c r="B115" s="6" t="s">
        <v>20</v>
      </c>
      <c r="C115" s="6" t="s">
        <v>452</v>
      </c>
      <c r="D115" s="7" t="s">
        <v>453</v>
      </c>
      <c r="E115" s="8" t="s">
        <v>454</v>
      </c>
      <c r="F115" s="6" t="s">
        <v>455</v>
      </c>
      <c r="G115" s="9">
        <f>IF(A115=1,"_",IF(C115="_","???",C115))</f>
        <v/>
      </c>
      <c r="H115" s="10" t="s">
        <v>12</v>
      </c>
      <c r="I115" s="11" t="s">
        <v>12</v>
      </c>
      <c r="J115" s="12"/>
    </row>
    <row r="116" spans="1:10" ht="60" customHeight="1">
      <c r="A116" s="6" t="s">
        <v>456</v>
      </c>
      <c r="B116" s="6" t="s">
        <v>11</v>
      </c>
      <c r="C116" s="6" t="s">
        <v>12</v>
      </c>
      <c r="D116" s="7" t="s">
        <v>457</v>
      </c>
      <c r="E116" s="8" t="s">
        <v>458</v>
      </c>
      <c r="F116" s="6" t="s">
        <v>459</v>
      </c>
      <c r="G116" s="9">
        <f>IF(A116=1,"_",IF(C116="_","???",C116))</f>
        <v/>
      </c>
      <c r="H116" s="10" t="s">
        <v>12</v>
      </c>
      <c r="I116" s="11" t="s">
        <v>12</v>
      </c>
      <c r="J116" s="12"/>
    </row>
    <row r="117" spans="1:10" ht="60" customHeight="1">
      <c r="A117" s="6" t="s">
        <v>460</v>
      </c>
      <c r="B117" s="6" t="s">
        <v>11</v>
      </c>
      <c r="C117" s="6" t="s">
        <v>12</v>
      </c>
      <c r="D117" s="7" t="s">
        <v>461</v>
      </c>
      <c r="E117" s="8" t="s">
        <v>462</v>
      </c>
      <c r="F117" s="6" t="s">
        <v>463</v>
      </c>
      <c r="G117" s="9">
        <f>IF(A117=1,"_",IF(C117="_","???",C117))</f>
        <v/>
      </c>
      <c r="H117" s="10" t="s">
        <v>12</v>
      </c>
      <c r="I117" s="11" t="s">
        <v>12</v>
      </c>
      <c r="J117" s="12"/>
    </row>
    <row r="118" spans="1:10" ht="60" customHeight="1">
      <c r="A118" s="6" t="s">
        <v>464</v>
      </c>
      <c r="B118" s="6" t="s">
        <v>11</v>
      </c>
      <c r="C118" s="6" t="s">
        <v>12</v>
      </c>
      <c r="D118" s="7" t="s">
        <v>465</v>
      </c>
      <c r="E118" s="8" t="s">
        <v>466</v>
      </c>
      <c r="F118" s="6" t="s">
        <v>467</v>
      </c>
      <c r="G118" s="9">
        <f>IF(A118=1,"_",IF(C118="_","???",C118))</f>
        <v/>
      </c>
      <c r="H118" s="10" t="s">
        <v>12</v>
      </c>
      <c r="I118" s="11" t="s">
        <v>12</v>
      </c>
      <c r="J118" s="12"/>
    </row>
    <row r="119" spans="1:10" ht="60" customHeight="1">
      <c r="A119" s="6" t="s">
        <v>468</v>
      </c>
      <c r="B119" s="6" t="s">
        <v>48</v>
      </c>
      <c r="C119" s="6" t="s">
        <v>73</v>
      </c>
      <c r="D119" s="7" t="s">
        <v>300</v>
      </c>
      <c r="E119" s="8" t="s">
        <v>469</v>
      </c>
      <c r="F119" s="6" t="s">
        <v>470</v>
      </c>
      <c r="G119" s="9">
        <f>IF(A119=1,"_",IF(C119="_","???",C119))</f>
        <v/>
      </c>
      <c r="H119" s="10" t="s">
        <v>12</v>
      </c>
      <c r="I119" s="11" t="s">
        <v>12</v>
      </c>
      <c r="J119" s="12"/>
    </row>
    <row r="120" spans="1:10" ht="60" customHeight="1">
      <c r="A120" s="6" t="s">
        <v>471</v>
      </c>
      <c r="B120" s="6" t="s">
        <v>20</v>
      </c>
      <c r="C120" s="6" t="s">
        <v>12</v>
      </c>
      <c r="D120" s="7" t="s">
        <v>472</v>
      </c>
      <c r="E120" s="8" t="s">
        <v>473</v>
      </c>
      <c r="F120" s="6" t="s">
        <v>474</v>
      </c>
      <c r="G120" s="9">
        <f>IF(A120=1,"_",IF(C120="_","???",C120))</f>
        <v/>
      </c>
      <c r="H120" s="10" t="s">
        <v>12</v>
      </c>
      <c r="I120" s="11" t="s">
        <v>12</v>
      </c>
      <c r="J120" s="12"/>
    </row>
    <row r="121" spans="1:10" ht="60" customHeight="1">
      <c r="A121" s="6" t="s">
        <v>475</v>
      </c>
      <c r="B121" s="6" t="s">
        <v>11</v>
      </c>
      <c r="C121" s="6" t="s">
        <v>12</v>
      </c>
      <c r="D121" s="7" t="s">
        <v>392</v>
      </c>
      <c r="E121" s="8" t="s">
        <v>476</v>
      </c>
      <c r="F121" s="6" t="s">
        <v>477</v>
      </c>
      <c r="G121" s="9">
        <f>IF(A121=1,"_",IF(C121="_","???",C121))</f>
        <v/>
      </c>
      <c r="H121" s="10" t="s">
        <v>12</v>
      </c>
      <c r="I121" s="11" t="s">
        <v>12</v>
      </c>
      <c r="J121" s="12"/>
    </row>
    <row r="122" spans="1:10" ht="60" customHeight="1">
      <c r="A122" s="6" t="s">
        <v>478</v>
      </c>
      <c r="B122" s="6" t="s">
        <v>11</v>
      </c>
      <c r="C122" s="6" t="s">
        <v>12</v>
      </c>
      <c r="D122" s="7" t="s">
        <v>117</v>
      </c>
      <c r="E122" s="8" t="s">
        <v>479</v>
      </c>
      <c r="F122" s="6" t="s">
        <v>480</v>
      </c>
      <c r="G122" s="9">
        <f>IF(A122=1,"_",IF(C122="_","???",C122))</f>
        <v/>
      </c>
      <c r="H122" s="10" t="s">
        <v>12</v>
      </c>
      <c r="I122" s="11" t="s">
        <v>12</v>
      </c>
      <c r="J122" s="12"/>
    </row>
    <row r="123" spans="1:10" ht="60" customHeight="1">
      <c r="A123" s="6" t="s">
        <v>481</v>
      </c>
      <c r="B123" s="6" t="s">
        <v>11</v>
      </c>
      <c r="C123" s="6" t="s">
        <v>12</v>
      </c>
      <c r="D123" s="7" t="s">
        <v>482</v>
      </c>
      <c r="E123" s="8" t="s">
        <v>483</v>
      </c>
      <c r="F123" s="6" t="s">
        <v>484</v>
      </c>
      <c r="G123" s="9">
        <f>IF(A123=1,"_",IF(C123="_","???",C123))</f>
        <v/>
      </c>
      <c r="H123" s="10" t="s">
        <v>12</v>
      </c>
      <c r="I123" s="11" t="s">
        <v>12</v>
      </c>
      <c r="J123" s="12"/>
    </row>
    <row r="124" spans="1:10" ht="60" customHeight="1">
      <c r="A124" s="6" t="s">
        <v>485</v>
      </c>
      <c r="B124" s="6" t="s">
        <v>16</v>
      </c>
      <c r="C124" s="6" t="s">
        <v>12</v>
      </c>
      <c r="D124" s="7" t="s">
        <v>417</v>
      </c>
      <c r="E124" s="8" t="s">
        <v>486</v>
      </c>
      <c r="F124" s="6" t="s">
        <v>487</v>
      </c>
      <c r="G124" s="9">
        <f>IF(A124=1,"_",IF(C124="_","???",C124))</f>
        <v/>
      </c>
      <c r="H124" s="10" t="s">
        <v>12</v>
      </c>
      <c r="I124" s="11" t="s">
        <v>12</v>
      </c>
      <c r="J124" s="12"/>
    </row>
    <row r="125" spans="1:10" ht="60" customHeight="1">
      <c r="A125" s="6" t="s">
        <v>488</v>
      </c>
      <c r="B125" s="6" t="s">
        <v>11</v>
      </c>
      <c r="C125" s="6" t="s">
        <v>12</v>
      </c>
      <c r="D125" s="7" t="s">
        <v>489</v>
      </c>
      <c r="E125" s="8" t="s">
        <v>490</v>
      </c>
      <c r="F125" s="6" t="s">
        <v>491</v>
      </c>
      <c r="G125" s="9">
        <f>IF(A125=1,"_",IF(C125="_","???",C125))</f>
        <v/>
      </c>
      <c r="H125" s="10" t="s">
        <v>12</v>
      </c>
      <c r="I125" s="11" t="s">
        <v>12</v>
      </c>
      <c r="J125" s="12"/>
    </row>
    <row r="126" spans="1:10" ht="60" customHeight="1">
      <c r="A126" s="6" t="s">
        <v>492</v>
      </c>
      <c r="B126" s="6" t="s">
        <v>11</v>
      </c>
      <c r="C126" s="6" t="s">
        <v>12</v>
      </c>
      <c r="D126" s="7" t="s">
        <v>493</v>
      </c>
      <c r="E126" s="8" t="s">
        <v>494</v>
      </c>
      <c r="F126" s="6" t="s">
        <v>495</v>
      </c>
      <c r="G126" s="9">
        <f>IF(A126=1,"_",IF(C126="_","???",C126))</f>
        <v/>
      </c>
      <c r="H126" s="10" t="s">
        <v>12</v>
      </c>
      <c r="I126" s="11" t="s">
        <v>12</v>
      </c>
      <c r="J126" s="12"/>
    </row>
    <row r="127" spans="1:10" ht="60" customHeight="1">
      <c r="A127" s="6" t="s">
        <v>496</v>
      </c>
      <c r="B127" s="6" t="s">
        <v>11</v>
      </c>
      <c r="C127" s="6" t="s">
        <v>12</v>
      </c>
      <c r="D127" s="7" t="s">
        <v>497</v>
      </c>
      <c r="E127" s="8" t="s">
        <v>498</v>
      </c>
      <c r="F127" s="6" t="s">
        <v>499</v>
      </c>
      <c r="G127" s="9">
        <f>IF(A127=1,"_",IF(C127="_","???",C127))</f>
        <v/>
      </c>
      <c r="H127" s="10" t="s">
        <v>12</v>
      </c>
      <c r="I127" s="11" t="s">
        <v>12</v>
      </c>
      <c r="J127" s="12"/>
    </row>
    <row r="128" spans="1:10" ht="60" customHeight="1">
      <c r="A128" s="6" t="s">
        <v>500</v>
      </c>
      <c r="B128" s="6" t="s">
        <v>20</v>
      </c>
      <c r="C128" s="6" t="s">
        <v>12</v>
      </c>
      <c r="D128" s="7" t="s">
        <v>195</v>
      </c>
      <c r="E128" s="8" t="s">
        <v>501</v>
      </c>
      <c r="F128" s="6" t="s">
        <v>502</v>
      </c>
      <c r="G128" s="9">
        <f>IF(A128=1,"_",IF(C128="_","???",C128))</f>
        <v/>
      </c>
      <c r="H128" s="10" t="s">
        <v>12</v>
      </c>
      <c r="I128" s="11" t="s">
        <v>12</v>
      </c>
      <c r="J128" s="12"/>
    </row>
    <row r="129" spans="1:10" ht="60" customHeight="1">
      <c r="A129" s="6" t="s">
        <v>503</v>
      </c>
      <c r="B129" s="6" t="s">
        <v>31</v>
      </c>
      <c r="C129" s="6" t="s">
        <v>12</v>
      </c>
      <c r="D129" s="7" t="s">
        <v>504</v>
      </c>
      <c r="E129" s="8" t="s">
        <v>505</v>
      </c>
      <c r="F129" s="6" t="s">
        <v>506</v>
      </c>
      <c r="G129" s="9">
        <f>IF(A129=1,"_",IF(C129="_","???",C129))</f>
        <v/>
      </c>
      <c r="H129" s="10" t="s">
        <v>12</v>
      </c>
      <c r="I129" s="11" t="s">
        <v>12</v>
      </c>
      <c r="J129" s="12"/>
    </row>
    <row r="130" spans="1:10" ht="60" customHeight="1">
      <c r="A130" s="6" t="s">
        <v>507</v>
      </c>
      <c r="B130" s="6" t="s">
        <v>20</v>
      </c>
      <c r="C130" s="6" t="s">
        <v>12</v>
      </c>
      <c r="D130" s="7" t="s">
        <v>508</v>
      </c>
      <c r="E130" s="8" t="s">
        <v>509</v>
      </c>
      <c r="F130" s="6" t="s">
        <v>510</v>
      </c>
      <c r="G130" s="9">
        <f>IF(A130=1,"_",IF(C130="_","???",C130))</f>
        <v/>
      </c>
      <c r="H130" s="10" t="s">
        <v>12</v>
      </c>
      <c r="I130" s="11" t="s">
        <v>12</v>
      </c>
      <c r="J130" s="12"/>
    </row>
    <row r="131" spans="1:10" ht="60" customHeight="1">
      <c r="A131" s="6" t="s">
        <v>511</v>
      </c>
      <c r="B131" s="6" t="s">
        <v>11</v>
      </c>
      <c r="C131" s="6" t="s">
        <v>12</v>
      </c>
      <c r="D131" s="7" t="s">
        <v>17</v>
      </c>
      <c r="E131" s="8" t="s">
        <v>512</v>
      </c>
      <c r="F131" s="6" t="s">
        <v>513</v>
      </c>
      <c r="G131" s="9">
        <f>IF(A131=1,"_",IF(C131="_","???",C131))</f>
        <v/>
      </c>
      <c r="H131" s="10" t="s">
        <v>12</v>
      </c>
      <c r="I131" s="11" t="s">
        <v>12</v>
      </c>
      <c r="J131" s="12"/>
    </row>
    <row r="132" spans="1:10" ht="60" customHeight="1">
      <c r="A132" s="6" t="s">
        <v>514</v>
      </c>
      <c r="B132" s="6" t="s">
        <v>11</v>
      </c>
      <c r="C132" s="6" t="s">
        <v>12</v>
      </c>
      <c r="D132" s="7" t="s">
        <v>515</v>
      </c>
      <c r="E132" s="8" t="s">
        <v>516</v>
      </c>
      <c r="F132" s="6" t="s">
        <v>517</v>
      </c>
      <c r="G132" s="9">
        <f>IF(A132=1,"_",IF(C132="_","???",C132))</f>
        <v/>
      </c>
      <c r="H132" s="10" t="s">
        <v>12</v>
      </c>
      <c r="I132" s="11" t="s">
        <v>12</v>
      </c>
      <c r="J132" s="12"/>
    </row>
    <row r="133" spans="1:10" ht="60" customHeight="1">
      <c r="A133" s="6" t="s">
        <v>518</v>
      </c>
      <c r="B133" s="6" t="s">
        <v>27</v>
      </c>
      <c r="C133" s="6" t="s">
        <v>12</v>
      </c>
      <c r="D133" s="7" t="s">
        <v>519</v>
      </c>
      <c r="E133" s="8" t="s">
        <v>520</v>
      </c>
      <c r="F133" s="6" t="s">
        <v>521</v>
      </c>
      <c r="G133" s="9">
        <f>IF(A133=1,"_",IF(C133="_","???",C133))</f>
        <v/>
      </c>
      <c r="H133" s="10" t="s">
        <v>12</v>
      </c>
      <c r="I133" s="11" t="s">
        <v>12</v>
      </c>
      <c r="J133" s="12"/>
    </row>
    <row r="134" spans="1:10" ht="60" customHeight="1">
      <c r="A134" s="6" t="s">
        <v>522</v>
      </c>
      <c r="B134" s="6" t="s">
        <v>11</v>
      </c>
      <c r="C134" s="6" t="s">
        <v>12</v>
      </c>
      <c r="D134" s="7" t="s">
        <v>69</v>
      </c>
      <c r="E134" s="8" t="s">
        <v>523</v>
      </c>
      <c r="F134" s="6" t="s">
        <v>524</v>
      </c>
      <c r="G134" s="9">
        <f>IF(A134=1,"_",IF(C134="_","???",C134))</f>
        <v/>
      </c>
      <c r="H134" s="10" t="s">
        <v>12</v>
      </c>
      <c r="I134" s="11" t="s">
        <v>12</v>
      </c>
      <c r="J134" s="12"/>
    </row>
    <row r="135" spans="1:10" ht="60" customHeight="1">
      <c r="A135" s="6" t="s">
        <v>525</v>
      </c>
      <c r="B135" s="6" t="s">
        <v>11</v>
      </c>
      <c r="C135" s="6" t="s">
        <v>12</v>
      </c>
      <c r="D135" s="7" t="s">
        <v>69</v>
      </c>
      <c r="E135" s="8" t="s">
        <v>526</v>
      </c>
      <c r="F135" s="6" t="s">
        <v>527</v>
      </c>
      <c r="G135" s="9">
        <f>IF(A135=1,"_",IF(C135="_","???",C135))</f>
        <v/>
      </c>
      <c r="H135" s="10" t="s">
        <v>12</v>
      </c>
      <c r="I135" s="11" t="s">
        <v>12</v>
      </c>
      <c r="J135" s="12"/>
    </row>
    <row r="136" spans="1:10" ht="60" customHeight="1">
      <c r="A136" s="6" t="s">
        <v>528</v>
      </c>
      <c r="B136" s="6" t="s">
        <v>11</v>
      </c>
      <c r="C136" s="6" t="s">
        <v>12</v>
      </c>
      <c r="D136" s="7" t="s">
        <v>529</v>
      </c>
      <c r="E136" s="8" t="s">
        <v>530</v>
      </c>
      <c r="F136" s="6" t="s">
        <v>531</v>
      </c>
      <c r="G136" s="9">
        <f>IF(A136=1,"_",IF(C136="_","???",C136))</f>
        <v/>
      </c>
      <c r="H136" s="10" t="s">
        <v>12</v>
      </c>
      <c r="I136" s="11" t="s">
        <v>12</v>
      </c>
      <c r="J136" s="12"/>
    </row>
    <row r="137" spans="1:10" ht="60" customHeight="1">
      <c r="A137" s="6" t="s">
        <v>532</v>
      </c>
      <c r="B137" s="6" t="s">
        <v>11</v>
      </c>
      <c r="C137" s="6" t="s">
        <v>12</v>
      </c>
      <c r="D137" s="7" t="s">
        <v>533</v>
      </c>
      <c r="E137" s="8" t="s">
        <v>534</v>
      </c>
      <c r="F137" s="6" t="s">
        <v>535</v>
      </c>
      <c r="G137" s="9">
        <f>IF(A137=1,"_",IF(C137="_","???",C137))</f>
        <v/>
      </c>
      <c r="H137" s="10" t="s">
        <v>12</v>
      </c>
      <c r="I137" s="11" t="s">
        <v>12</v>
      </c>
      <c r="J137" s="12"/>
    </row>
    <row r="138" spans="1:10" ht="60" customHeight="1">
      <c r="A138" s="6" t="s">
        <v>536</v>
      </c>
      <c r="B138" s="6" t="s">
        <v>35</v>
      </c>
      <c r="C138" s="6" t="s">
        <v>12</v>
      </c>
      <c r="D138" s="7" t="s">
        <v>133</v>
      </c>
      <c r="E138" s="8" t="s">
        <v>537</v>
      </c>
      <c r="F138" s="6" t="s">
        <v>538</v>
      </c>
      <c r="G138" s="9">
        <f>IF(A138=1,"_",IF(C138="_","???",C138))</f>
        <v/>
      </c>
      <c r="H138" s="10" t="s">
        <v>12</v>
      </c>
      <c r="I138" s="11" t="s">
        <v>12</v>
      </c>
      <c r="J138" s="12"/>
    </row>
    <row r="139" spans="1:10" ht="60" customHeight="1">
      <c r="A139" s="6" t="s">
        <v>539</v>
      </c>
      <c r="B139" s="6" t="s">
        <v>39</v>
      </c>
      <c r="C139" s="6" t="s">
        <v>12</v>
      </c>
      <c r="D139" s="7" t="s">
        <v>133</v>
      </c>
      <c r="E139" s="8" t="s">
        <v>540</v>
      </c>
      <c r="F139" s="6" t="s">
        <v>541</v>
      </c>
      <c r="G139" s="9">
        <f>IF(A139=1,"_",IF(C139="_","???",C139))</f>
        <v/>
      </c>
      <c r="H139" s="10" t="s">
        <v>12</v>
      </c>
      <c r="I139" s="11" t="s">
        <v>12</v>
      </c>
      <c r="J139" s="12"/>
    </row>
    <row r="140" spans="1:10" ht="60" customHeight="1">
      <c r="A140" s="6" t="s">
        <v>542</v>
      </c>
      <c r="B140" s="6" t="s">
        <v>11</v>
      </c>
      <c r="C140" s="6" t="s">
        <v>12</v>
      </c>
      <c r="D140" s="7" t="s">
        <v>203</v>
      </c>
      <c r="E140" s="8" t="s">
        <v>543</v>
      </c>
      <c r="F140" s="6" t="s">
        <v>544</v>
      </c>
      <c r="G140" s="9">
        <f>IF(A140=1,"_",IF(C140="_","???",C140))</f>
        <v/>
      </c>
      <c r="H140" s="10" t="s">
        <v>12</v>
      </c>
      <c r="I140" s="11" t="s">
        <v>12</v>
      </c>
      <c r="J140" s="12"/>
    </row>
    <row r="141" spans="1:10" ht="60" customHeight="1">
      <c r="A141" s="6" t="s">
        <v>545</v>
      </c>
      <c r="B141" s="6" t="s">
        <v>11</v>
      </c>
      <c r="C141" s="6" t="s">
        <v>12</v>
      </c>
      <c r="D141" s="7" t="s">
        <v>546</v>
      </c>
      <c r="E141" s="8" t="s">
        <v>547</v>
      </c>
      <c r="F141" s="6" t="s">
        <v>548</v>
      </c>
      <c r="G141" s="9">
        <f>IF(A141=1,"_",IF(C141="_","???",C141))</f>
        <v/>
      </c>
      <c r="H141" s="10" t="s">
        <v>12</v>
      </c>
      <c r="I141" s="11" t="s">
        <v>12</v>
      </c>
      <c r="J141" s="12"/>
    </row>
    <row r="142" spans="1:10" ht="60" customHeight="1">
      <c r="A142" s="6" t="s">
        <v>549</v>
      </c>
      <c r="B142" s="6" t="s">
        <v>43</v>
      </c>
      <c r="C142" s="6" t="s">
        <v>73</v>
      </c>
      <c r="D142" s="7" t="s">
        <v>273</v>
      </c>
      <c r="E142" s="8" t="s">
        <v>550</v>
      </c>
      <c r="F142" s="6" t="s">
        <v>551</v>
      </c>
      <c r="G142" s="9">
        <f>IF(A142=1,"_",IF(C142="_","???",C142))</f>
        <v/>
      </c>
      <c r="H142" s="10" t="s">
        <v>12</v>
      </c>
      <c r="I142" s="11" t="s">
        <v>12</v>
      </c>
      <c r="J142" s="12"/>
    </row>
    <row r="143" spans="1:10" ht="60" customHeight="1">
      <c r="A143" s="6" t="s">
        <v>552</v>
      </c>
      <c r="B143" s="6" t="s">
        <v>11</v>
      </c>
      <c r="C143" s="6" t="s">
        <v>12</v>
      </c>
      <c r="D143" s="7" t="s">
        <v>553</v>
      </c>
      <c r="E143" s="8" t="s">
        <v>554</v>
      </c>
      <c r="F143" s="6" t="s">
        <v>555</v>
      </c>
      <c r="G143" s="9">
        <f>IF(A143=1,"_",IF(C143="_","???",C143))</f>
        <v/>
      </c>
      <c r="H143" s="10" t="s">
        <v>12</v>
      </c>
      <c r="I143" s="11" t="s">
        <v>12</v>
      </c>
      <c r="J143" s="12"/>
    </row>
    <row r="144" spans="1:10" ht="60" customHeight="1">
      <c r="A144" s="6" t="s">
        <v>556</v>
      </c>
      <c r="B144" s="6" t="s">
        <v>11</v>
      </c>
      <c r="C144" s="6" t="s">
        <v>73</v>
      </c>
      <c r="D144" s="7" t="s">
        <v>40</v>
      </c>
      <c r="E144" s="8" t="s">
        <v>557</v>
      </c>
      <c r="F144" s="6" t="s">
        <v>558</v>
      </c>
      <c r="G144" s="9">
        <f>IF(A144=1,"_",IF(C144="_","???",C144))</f>
        <v/>
      </c>
      <c r="H144" s="10" t="s">
        <v>12</v>
      </c>
      <c r="I144" s="11" t="s">
        <v>12</v>
      </c>
      <c r="J144" s="12"/>
    </row>
    <row r="145" spans="1:10" ht="60" customHeight="1">
      <c r="A145" s="6" t="s">
        <v>559</v>
      </c>
      <c r="B145" s="6" t="s">
        <v>16</v>
      </c>
      <c r="C145" s="6" t="s">
        <v>12</v>
      </c>
      <c r="D145" s="7" t="s">
        <v>187</v>
      </c>
      <c r="E145" s="8" t="s">
        <v>560</v>
      </c>
      <c r="F145" s="6" t="s">
        <v>561</v>
      </c>
      <c r="G145" s="9">
        <f>IF(A145=1,"_",IF(C145="_","???",C145))</f>
        <v/>
      </c>
      <c r="H145" s="10" t="s">
        <v>12</v>
      </c>
      <c r="I145" s="11" t="s">
        <v>12</v>
      </c>
      <c r="J145" s="12"/>
    </row>
    <row r="146" spans="1:10" ht="60" customHeight="1">
      <c r="A146" s="6" t="s">
        <v>562</v>
      </c>
      <c r="B146" s="6" t="s">
        <v>11</v>
      </c>
      <c r="C146" s="6" t="s">
        <v>12</v>
      </c>
      <c r="D146" s="7" t="s">
        <v>563</v>
      </c>
      <c r="E146" s="8" t="s">
        <v>564</v>
      </c>
      <c r="F146" s="6" t="s">
        <v>565</v>
      </c>
      <c r="G146" s="9">
        <f>IF(A146=1,"_",IF(C146="_","???",C146))</f>
        <v/>
      </c>
      <c r="H146" s="10" t="s">
        <v>12</v>
      </c>
      <c r="I146" s="11" t="s">
        <v>12</v>
      </c>
      <c r="J146" s="12"/>
    </row>
    <row r="147" spans="1:10" ht="60" customHeight="1">
      <c r="A147" s="6" t="s">
        <v>566</v>
      </c>
      <c r="B147" s="6" t="s">
        <v>16</v>
      </c>
      <c r="C147" s="6" t="s">
        <v>12</v>
      </c>
      <c r="D147" s="7" t="s">
        <v>567</v>
      </c>
      <c r="E147" s="8" t="s">
        <v>568</v>
      </c>
      <c r="F147" s="6" t="s">
        <v>569</v>
      </c>
      <c r="G147" s="9">
        <f>IF(A147=1,"_",IF(C147="_","???",C147))</f>
        <v/>
      </c>
      <c r="H147" s="10" t="s">
        <v>12</v>
      </c>
      <c r="I147" s="11" t="s">
        <v>12</v>
      </c>
      <c r="J147" s="12"/>
    </row>
    <row r="148" spans="1:10" ht="60" customHeight="1">
      <c r="A148" s="6" t="s">
        <v>570</v>
      </c>
      <c r="B148" s="6" t="s">
        <v>11</v>
      </c>
      <c r="C148" s="6" t="s">
        <v>12</v>
      </c>
      <c r="D148" s="7" t="s">
        <v>203</v>
      </c>
      <c r="E148" s="8" t="s">
        <v>571</v>
      </c>
      <c r="F148" s="6" t="s">
        <v>572</v>
      </c>
      <c r="G148" s="9">
        <f>IF(A148=1,"_",IF(C148="_","???",C148))</f>
        <v/>
      </c>
      <c r="H148" s="10" t="s">
        <v>12</v>
      </c>
      <c r="I148" s="11" t="s">
        <v>12</v>
      </c>
      <c r="J148" s="12"/>
    </row>
    <row r="149" spans="1:10" ht="60" customHeight="1">
      <c r="A149" s="6" t="s">
        <v>573</v>
      </c>
      <c r="B149" s="6" t="s">
        <v>68</v>
      </c>
      <c r="C149" s="6" t="s">
        <v>12</v>
      </c>
      <c r="D149" s="7" t="s">
        <v>117</v>
      </c>
      <c r="E149" s="8" t="s">
        <v>574</v>
      </c>
      <c r="F149" s="6" t="s">
        <v>575</v>
      </c>
      <c r="G149" s="9">
        <f>IF(A149=1,"_",IF(C149="_","???",C149))</f>
        <v/>
      </c>
      <c r="H149" s="10" t="s">
        <v>12</v>
      </c>
      <c r="I149" s="11" t="s">
        <v>12</v>
      </c>
      <c r="J149" s="12"/>
    </row>
    <row r="150" spans="1:10" ht="60" customHeight="1">
      <c r="A150" s="6" t="s">
        <v>576</v>
      </c>
      <c r="B150" s="6" t="s">
        <v>10</v>
      </c>
      <c r="C150" s="6" t="s">
        <v>12</v>
      </c>
      <c r="D150" s="7" t="s">
        <v>577</v>
      </c>
      <c r="E150" s="8" t="s">
        <v>578</v>
      </c>
      <c r="F150" s="6" t="s">
        <v>579</v>
      </c>
      <c r="G150" s="9">
        <f>IF(A150=1,"_",IF(C150="_","???",C150))</f>
        <v/>
      </c>
      <c r="H150" s="10" t="s">
        <v>12</v>
      </c>
      <c r="I150" s="11" t="s">
        <v>12</v>
      </c>
      <c r="J150" s="12"/>
    </row>
    <row r="151" spans="1:10" ht="60" customHeight="1">
      <c r="A151" s="6" t="s">
        <v>580</v>
      </c>
      <c r="B151" s="6" t="s">
        <v>11</v>
      </c>
      <c r="C151" s="6" t="s">
        <v>73</v>
      </c>
      <c r="D151" s="7" t="s">
        <v>117</v>
      </c>
      <c r="E151" s="8" t="s">
        <v>581</v>
      </c>
      <c r="F151" s="6" t="s">
        <v>582</v>
      </c>
      <c r="G151" s="9">
        <f>IF(A151=1,"_",IF(C151="_","???",C151))</f>
        <v/>
      </c>
      <c r="H151" s="10" t="s">
        <v>12</v>
      </c>
      <c r="I151" s="11" t="s">
        <v>12</v>
      </c>
      <c r="J151" s="12"/>
    </row>
    <row r="152" spans="1:10" ht="60" customHeight="1">
      <c r="A152" s="6" t="s">
        <v>583</v>
      </c>
      <c r="B152" s="6" t="s">
        <v>11</v>
      </c>
      <c r="C152" s="6" t="s">
        <v>12</v>
      </c>
      <c r="D152" s="7" t="s">
        <v>117</v>
      </c>
      <c r="E152" s="8" t="s">
        <v>584</v>
      </c>
      <c r="F152" s="6" t="s">
        <v>585</v>
      </c>
      <c r="G152" s="9">
        <f>IF(A152=1,"_",IF(C152="_","???",C152))</f>
        <v/>
      </c>
      <c r="H152" s="10" t="s">
        <v>12</v>
      </c>
      <c r="I152" s="11" t="s">
        <v>12</v>
      </c>
      <c r="J152" s="12"/>
    </row>
    <row r="153" spans="1:10" ht="60" customHeight="1">
      <c r="A153" s="6" t="s">
        <v>586</v>
      </c>
      <c r="B153" s="6" t="s">
        <v>11</v>
      </c>
      <c r="C153" s="6" t="s">
        <v>12</v>
      </c>
      <c r="D153" s="7" t="s">
        <v>117</v>
      </c>
      <c r="E153" s="8" t="s">
        <v>587</v>
      </c>
      <c r="F153" s="6" t="s">
        <v>588</v>
      </c>
      <c r="G153" s="9">
        <f>IF(A153=1,"_",IF(C153="_","???",C153))</f>
        <v/>
      </c>
      <c r="H153" s="10" t="s">
        <v>12</v>
      </c>
      <c r="I153" s="11" t="s">
        <v>12</v>
      </c>
      <c r="J153" s="12"/>
    </row>
    <row r="154" spans="1:10" ht="60" customHeight="1">
      <c r="A154" s="6" t="s">
        <v>589</v>
      </c>
      <c r="B154" s="6" t="s">
        <v>56</v>
      </c>
      <c r="C154" s="6" t="s">
        <v>12</v>
      </c>
      <c r="D154" s="7" t="s">
        <v>117</v>
      </c>
      <c r="E154" s="8" t="s">
        <v>590</v>
      </c>
      <c r="F154" s="6" t="s">
        <v>591</v>
      </c>
      <c r="G154" s="9">
        <f>IF(A154=1,"_",IF(C154="_","???",C154))</f>
        <v/>
      </c>
      <c r="H154" s="10" t="s">
        <v>12</v>
      </c>
      <c r="I154" s="11" t="s">
        <v>12</v>
      </c>
      <c r="J154" s="12"/>
    </row>
    <row r="155" spans="1:10" ht="60" customHeight="1">
      <c r="A155" s="6" t="s">
        <v>592</v>
      </c>
      <c r="B155" s="6" t="s">
        <v>11</v>
      </c>
      <c r="C155" s="6" t="s">
        <v>12</v>
      </c>
      <c r="D155" s="7" t="s">
        <v>593</v>
      </c>
      <c r="E155" s="8" t="s">
        <v>594</v>
      </c>
      <c r="F155" s="6" t="s">
        <v>595</v>
      </c>
      <c r="G155" s="9">
        <f>IF(A155=1,"_",IF(C155="_","???",C155))</f>
        <v/>
      </c>
      <c r="H155" s="10" t="s">
        <v>12</v>
      </c>
      <c r="I155" s="11" t="s">
        <v>12</v>
      </c>
      <c r="J155" s="12"/>
    </row>
    <row r="156" spans="1:10" ht="60" customHeight="1">
      <c r="A156" s="6" t="s">
        <v>596</v>
      </c>
      <c r="B156" s="6" t="s">
        <v>136</v>
      </c>
      <c r="C156" s="6" t="s">
        <v>12</v>
      </c>
      <c r="D156" s="7" t="s">
        <v>597</v>
      </c>
      <c r="E156" s="8" t="s">
        <v>598</v>
      </c>
      <c r="F156" s="6" t="s">
        <v>599</v>
      </c>
      <c r="G156" s="9">
        <f>IF(A156=1,"_",IF(C156="_","???",C156))</f>
        <v/>
      </c>
      <c r="H156" s="10" t="s">
        <v>12</v>
      </c>
      <c r="I156" s="11" t="s">
        <v>12</v>
      </c>
      <c r="J156" s="12"/>
    </row>
    <row r="157" spans="1:10" ht="60" customHeight="1">
      <c r="A157" s="6" t="s">
        <v>600</v>
      </c>
      <c r="B157" s="6" t="s">
        <v>213</v>
      </c>
      <c r="C157" s="6" t="s">
        <v>12</v>
      </c>
      <c r="D157" s="7" t="s">
        <v>601</v>
      </c>
      <c r="E157" s="8" t="s">
        <v>602</v>
      </c>
      <c r="F157" s="6" t="s">
        <v>603</v>
      </c>
      <c r="G157" s="9">
        <f>IF(A157=1,"_",IF(C157="_","???",C157))</f>
        <v/>
      </c>
      <c r="H157" s="10" t="s">
        <v>12</v>
      </c>
      <c r="I157" s="11" t="s">
        <v>12</v>
      </c>
      <c r="J157" s="12"/>
    </row>
    <row r="158" spans="1:10" ht="60" customHeight="1">
      <c r="A158" s="6" t="s">
        <v>604</v>
      </c>
      <c r="B158" s="6" t="s">
        <v>11</v>
      </c>
      <c r="C158" s="6" t="s">
        <v>12</v>
      </c>
      <c r="D158" s="7" t="s">
        <v>605</v>
      </c>
      <c r="E158" s="8" t="s">
        <v>606</v>
      </c>
      <c r="F158" s="6" t="s">
        <v>607</v>
      </c>
      <c r="G158" s="9">
        <f>IF(A158=1,"_",IF(C158="_","???",C158))</f>
        <v/>
      </c>
      <c r="H158" s="10" t="s">
        <v>12</v>
      </c>
      <c r="I158" s="11" t="s">
        <v>12</v>
      </c>
      <c r="J158" s="12"/>
    </row>
    <row r="159" spans="1:10" ht="60" customHeight="1">
      <c r="A159" s="6" t="s">
        <v>608</v>
      </c>
      <c r="B159" s="6" t="s">
        <v>11</v>
      </c>
      <c r="C159" s="6" t="s">
        <v>12</v>
      </c>
      <c r="D159" s="7" t="s">
        <v>609</v>
      </c>
      <c r="E159" s="8" t="s">
        <v>610</v>
      </c>
      <c r="F159" s="6" t="s">
        <v>611</v>
      </c>
      <c r="G159" s="9">
        <f>IF(A159=1,"_",IF(C159="_","???",C159))</f>
        <v/>
      </c>
      <c r="H159" s="10" t="s">
        <v>12</v>
      </c>
      <c r="I159" s="11" t="s">
        <v>12</v>
      </c>
      <c r="J159" s="12"/>
    </row>
    <row r="160" spans="1:10" ht="60" customHeight="1">
      <c r="A160" s="6" t="s">
        <v>612</v>
      </c>
      <c r="B160" s="6" t="s">
        <v>72</v>
      </c>
      <c r="C160" s="6" t="s">
        <v>12</v>
      </c>
      <c r="D160" s="7" t="s">
        <v>613</v>
      </c>
      <c r="E160" s="8" t="s">
        <v>614</v>
      </c>
      <c r="F160" s="6" t="s">
        <v>615</v>
      </c>
      <c r="G160" s="9">
        <f>IF(A160=1,"_",IF(C160="_","???",C160))</f>
        <v/>
      </c>
      <c r="H160" s="10" t="s">
        <v>12</v>
      </c>
      <c r="I160" s="11" t="s">
        <v>12</v>
      </c>
      <c r="J160" s="12"/>
    </row>
    <row r="161" spans="1:10" ht="60" customHeight="1">
      <c r="A161" s="6" t="s">
        <v>616</v>
      </c>
      <c r="B161" s="6" t="s">
        <v>31</v>
      </c>
      <c r="C161" s="6" t="s">
        <v>617</v>
      </c>
      <c r="D161" s="7" t="s">
        <v>618</v>
      </c>
      <c r="E161" s="8" t="s">
        <v>619</v>
      </c>
      <c r="F161" s="6" t="s">
        <v>620</v>
      </c>
      <c r="G161" s="9">
        <f>IF(A161=1,"_",IF(C161="_","???",C161))</f>
        <v/>
      </c>
      <c r="H161" s="10" t="s">
        <v>12</v>
      </c>
      <c r="I161" s="11" t="s">
        <v>12</v>
      </c>
      <c r="J161" s="12"/>
    </row>
    <row r="162" spans="1:10" ht="60" customHeight="1">
      <c r="A162" s="6" t="s">
        <v>621</v>
      </c>
      <c r="B162" s="6" t="s">
        <v>11</v>
      </c>
      <c r="C162" s="6" t="s">
        <v>12</v>
      </c>
      <c r="D162" s="7" t="s">
        <v>622</v>
      </c>
      <c r="E162" s="8" t="s">
        <v>623</v>
      </c>
      <c r="F162" s="6" t="s">
        <v>624</v>
      </c>
      <c r="G162" s="9">
        <f>IF(A162=1,"_",IF(C162="_","???",C162))</f>
        <v/>
      </c>
      <c r="H162" s="10" t="s">
        <v>12</v>
      </c>
      <c r="I162" s="11" t="s">
        <v>12</v>
      </c>
      <c r="J162" s="12"/>
    </row>
    <row r="163" spans="1:10" ht="60" customHeight="1">
      <c r="A163" s="6" t="s">
        <v>625</v>
      </c>
      <c r="B163" s="6" t="s">
        <v>11</v>
      </c>
      <c r="C163" s="6" t="s">
        <v>12</v>
      </c>
      <c r="D163" s="7" t="s">
        <v>529</v>
      </c>
      <c r="E163" s="8" t="s">
        <v>626</v>
      </c>
      <c r="F163" s="6" t="s">
        <v>627</v>
      </c>
      <c r="G163" s="9">
        <f>IF(A163=1,"_",IF(C163="_","???",C163))</f>
        <v/>
      </c>
      <c r="H163" s="10" t="s">
        <v>12</v>
      </c>
      <c r="I163" s="11" t="s">
        <v>12</v>
      </c>
      <c r="J163" s="12"/>
    </row>
    <row r="164" spans="1:10" ht="60" customHeight="1">
      <c r="A164" s="6" t="s">
        <v>628</v>
      </c>
      <c r="B164" s="6" t="s">
        <v>11</v>
      </c>
      <c r="C164" s="6" t="s">
        <v>12</v>
      </c>
      <c r="D164" s="7" t="s">
        <v>629</v>
      </c>
      <c r="E164" s="8" t="s">
        <v>630</v>
      </c>
      <c r="F164" s="6" t="s">
        <v>631</v>
      </c>
      <c r="G164" s="9">
        <f>IF(A164=1,"_",IF(C164="_","???",C164))</f>
        <v/>
      </c>
      <c r="H164" s="10" t="s">
        <v>12</v>
      </c>
      <c r="I164" s="11" t="s">
        <v>12</v>
      </c>
      <c r="J164" s="12"/>
    </row>
    <row r="165" spans="1:10" ht="60" customHeight="1">
      <c r="A165" s="6" t="s">
        <v>632</v>
      </c>
      <c r="B165" s="6" t="s">
        <v>20</v>
      </c>
      <c r="C165" s="6" t="s">
        <v>12</v>
      </c>
      <c r="D165" s="7" t="s">
        <v>633</v>
      </c>
      <c r="E165" s="8" t="s">
        <v>634</v>
      </c>
      <c r="F165" s="6" t="s">
        <v>635</v>
      </c>
      <c r="G165" s="9">
        <f>IF(A165=1,"_",IF(C165="_","???",C165))</f>
        <v/>
      </c>
      <c r="H165" s="10" t="s">
        <v>12</v>
      </c>
      <c r="I165" s="11" t="s">
        <v>12</v>
      </c>
      <c r="J165" s="12"/>
    </row>
    <row r="166" spans="1:10" ht="60" customHeight="1">
      <c r="A166" s="6" t="s">
        <v>636</v>
      </c>
      <c r="B166" s="6" t="s">
        <v>20</v>
      </c>
      <c r="C166" s="6" t="s">
        <v>12</v>
      </c>
      <c r="D166" s="7" t="s">
        <v>285</v>
      </c>
      <c r="E166" s="8" t="s">
        <v>637</v>
      </c>
      <c r="F166" s="6" t="s">
        <v>638</v>
      </c>
      <c r="G166" s="9">
        <f>IF(A166=1,"_",IF(C166="_","???",C166))</f>
        <v/>
      </c>
      <c r="H166" s="10" t="s">
        <v>12</v>
      </c>
      <c r="I166" s="11" t="s">
        <v>12</v>
      </c>
      <c r="J166" s="12"/>
    </row>
    <row r="167" spans="1:10" ht="60" customHeight="1">
      <c r="A167" s="6" t="s">
        <v>639</v>
      </c>
      <c r="B167" s="6" t="s">
        <v>11</v>
      </c>
      <c r="C167" s="6" t="s">
        <v>617</v>
      </c>
      <c r="D167" s="7" t="s">
        <v>618</v>
      </c>
      <c r="E167" s="8" t="s">
        <v>640</v>
      </c>
      <c r="F167" s="6" t="s">
        <v>641</v>
      </c>
      <c r="G167" s="9">
        <f>IF(A167=1,"_",IF(C167="_","???",C167))</f>
        <v/>
      </c>
      <c r="H167" s="10" t="s">
        <v>12</v>
      </c>
      <c r="I167" s="11" t="s">
        <v>12</v>
      </c>
      <c r="J167" s="12"/>
    </row>
    <row r="168" spans="1:10" ht="60" customHeight="1">
      <c r="A168" s="6" t="s">
        <v>642</v>
      </c>
      <c r="B168" s="6" t="s">
        <v>11</v>
      </c>
      <c r="C168" s="6" t="s">
        <v>12</v>
      </c>
      <c r="D168" s="7" t="s">
        <v>643</v>
      </c>
      <c r="E168" s="8" t="s">
        <v>644</v>
      </c>
      <c r="F168" s="6" t="s">
        <v>645</v>
      </c>
      <c r="G168" s="9">
        <f>IF(A168=1,"_",IF(C168="_","???",C168))</f>
        <v/>
      </c>
      <c r="H168" s="10" t="s">
        <v>12</v>
      </c>
      <c r="I168" s="11" t="s">
        <v>12</v>
      </c>
      <c r="J168" s="12"/>
    </row>
    <row r="169" spans="1:10" ht="60" customHeight="1">
      <c r="A169" s="6" t="s">
        <v>646</v>
      </c>
      <c r="B169" s="6" t="s">
        <v>20</v>
      </c>
      <c r="C169" s="6" t="s">
        <v>12</v>
      </c>
      <c r="D169" s="7" t="s">
        <v>647</v>
      </c>
      <c r="E169" s="8" t="s">
        <v>648</v>
      </c>
      <c r="F169" s="6" t="s">
        <v>649</v>
      </c>
      <c r="G169" s="9">
        <f>IF(A169=1,"_",IF(C169="_","???",C169))</f>
        <v/>
      </c>
      <c r="H169" s="10" t="s">
        <v>12</v>
      </c>
      <c r="I169" s="11" t="s">
        <v>12</v>
      </c>
      <c r="J169" s="12"/>
    </row>
    <row r="170" spans="1:10" ht="60" customHeight="1">
      <c r="A170" s="6" t="s">
        <v>650</v>
      </c>
      <c r="B170" s="6" t="s">
        <v>39</v>
      </c>
      <c r="C170" s="6" t="s">
        <v>73</v>
      </c>
      <c r="D170" s="7" t="s">
        <v>533</v>
      </c>
      <c r="E170" s="8" t="s">
        <v>651</v>
      </c>
      <c r="F170" s="6" t="s">
        <v>652</v>
      </c>
      <c r="G170" s="9">
        <f>IF(A170=1,"_",IF(C170="_","???",C170))</f>
        <v/>
      </c>
      <c r="H170" s="10" t="s">
        <v>12</v>
      </c>
      <c r="I170" s="11" t="s">
        <v>12</v>
      </c>
      <c r="J170" s="12"/>
    </row>
    <row r="171" spans="1:10" ht="60" customHeight="1">
      <c r="A171" s="6" t="s">
        <v>653</v>
      </c>
      <c r="B171" s="6" t="s">
        <v>27</v>
      </c>
      <c r="C171" s="6" t="s">
        <v>12</v>
      </c>
      <c r="D171" s="7" t="s">
        <v>133</v>
      </c>
      <c r="E171" s="8" t="s">
        <v>654</v>
      </c>
      <c r="F171" s="6" t="s">
        <v>655</v>
      </c>
      <c r="G171" s="9">
        <f>IF(A171=1,"_",IF(C171="_","???",C171))</f>
        <v/>
      </c>
      <c r="H171" s="10" t="s">
        <v>12</v>
      </c>
      <c r="I171" s="11" t="s">
        <v>12</v>
      </c>
      <c r="J171" s="12"/>
    </row>
    <row r="172" spans="1:10" ht="60" customHeight="1">
      <c r="A172" s="6" t="s">
        <v>656</v>
      </c>
      <c r="B172" s="6" t="s">
        <v>11</v>
      </c>
      <c r="C172" s="6" t="s">
        <v>12</v>
      </c>
      <c r="D172" s="7" t="s">
        <v>657</v>
      </c>
      <c r="E172" s="8" t="s">
        <v>658</v>
      </c>
      <c r="F172" s="6" t="s">
        <v>659</v>
      </c>
      <c r="G172" s="9">
        <f>IF(A172=1,"_",IF(C172="_","???",C172))</f>
        <v/>
      </c>
      <c r="H172" s="10" t="s">
        <v>12</v>
      </c>
      <c r="I172" s="11" t="s">
        <v>12</v>
      </c>
      <c r="J172" s="12"/>
    </row>
    <row r="173" spans="1:10" ht="60" customHeight="1">
      <c r="A173" s="6" t="s">
        <v>660</v>
      </c>
      <c r="B173" s="6" t="s">
        <v>11</v>
      </c>
      <c r="C173" s="6" t="s">
        <v>12</v>
      </c>
      <c r="D173" s="7" t="s">
        <v>661</v>
      </c>
      <c r="E173" s="8" t="s">
        <v>662</v>
      </c>
      <c r="F173" s="6" t="s">
        <v>663</v>
      </c>
      <c r="G173" s="9">
        <f>IF(A173=1,"_",IF(C173="_","???",C173))</f>
        <v/>
      </c>
      <c r="H173" s="10" t="s">
        <v>12</v>
      </c>
      <c r="I173" s="11" t="s">
        <v>12</v>
      </c>
      <c r="J173" s="12"/>
    </row>
    <row r="174" spans="1:10" ht="60" customHeight="1">
      <c r="A174" s="6" t="s">
        <v>664</v>
      </c>
      <c r="B174" s="6" t="s">
        <v>20</v>
      </c>
      <c r="C174" s="6" t="s">
        <v>12</v>
      </c>
      <c r="D174" s="7" t="s">
        <v>665</v>
      </c>
      <c r="E174" s="8" t="s">
        <v>666</v>
      </c>
      <c r="F174" s="6" t="s">
        <v>667</v>
      </c>
      <c r="G174" s="9">
        <f>IF(A174=1,"_",IF(C174="_","???",C174))</f>
        <v/>
      </c>
      <c r="H174" s="10" t="s">
        <v>12</v>
      </c>
      <c r="I174" s="11" t="s">
        <v>12</v>
      </c>
      <c r="J174" s="12"/>
    </row>
    <row r="175" spans="1:10" ht="60" customHeight="1">
      <c r="A175" s="6" t="s">
        <v>668</v>
      </c>
      <c r="B175" s="6" t="s">
        <v>31</v>
      </c>
      <c r="C175" s="6" t="s">
        <v>12</v>
      </c>
      <c r="D175" s="7" t="s">
        <v>315</v>
      </c>
      <c r="E175" s="8" t="s">
        <v>669</v>
      </c>
      <c r="F175" s="6" t="s">
        <v>670</v>
      </c>
      <c r="G175" s="9">
        <f>IF(A175=1,"_",IF(C175="_","???",C175))</f>
        <v/>
      </c>
      <c r="H175" s="10" t="s">
        <v>12</v>
      </c>
      <c r="I175" s="11" t="s">
        <v>12</v>
      </c>
      <c r="J175" s="12"/>
    </row>
    <row r="176" spans="1:10" ht="60" customHeight="1">
      <c r="A176" s="6" t="s">
        <v>671</v>
      </c>
      <c r="B176" s="6" t="s">
        <v>20</v>
      </c>
      <c r="C176" s="6" t="s">
        <v>12</v>
      </c>
      <c r="D176" s="7" t="s">
        <v>40</v>
      </c>
      <c r="E176" s="8" t="s">
        <v>672</v>
      </c>
      <c r="F176" s="6" t="s">
        <v>673</v>
      </c>
      <c r="G176" s="9">
        <f>IF(A176=1,"_",IF(C176="_","???",C176))</f>
        <v/>
      </c>
      <c r="H176" s="10" t="s">
        <v>12</v>
      </c>
      <c r="I176" s="11" t="s">
        <v>12</v>
      </c>
      <c r="J176" s="12"/>
    </row>
    <row r="177" spans="1:10" ht="60" customHeight="1">
      <c r="A177" s="6" t="s">
        <v>674</v>
      </c>
      <c r="B177" s="6" t="s">
        <v>20</v>
      </c>
      <c r="C177" s="6" t="s">
        <v>12</v>
      </c>
      <c r="D177" s="7" t="s">
        <v>273</v>
      </c>
      <c r="E177" s="8" t="s">
        <v>675</v>
      </c>
      <c r="F177" s="6" t="s">
        <v>676</v>
      </c>
      <c r="G177" s="9">
        <f>IF(A177=1,"_",IF(C177="_","???",C177))</f>
        <v/>
      </c>
      <c r="H177" s="10" t="s">
        <v>12</v>
      </c>
      <c r="I177" s="11" t="s">
        <v>12</v>
      </c>
      <c r="J177" s="12"/>
    </row>
    <row r="178" spans="1:10" ht="60" customHeight="1">
      <c r="A178" s="6" t="s">
        <v>677</v>
      </c>
      <c r="B178" s="6" t="s">
        <v>11</v>
      </c>
      <c r="C178" s="6" t="s">
        <v>12</v>
      </c>
      <c r="D178" s="7" t="s">
        <v>678</v>
      </c>
      <c r="E178" s="8" t="s">
        <v>679</v>
      </c>
      <c r="F178" s="6" t="s">
        <v>680</v>
      </c>
      <c r="G178" s="9">
        <f>IF(A178=1,"_",IF(C178="_","???",C178))</f>
        <v/>
      </c>
      <c r="H178" s="10" t="s">
        <v>12</v>
      </c>
      <c r="I178" s="11" t="s">
        <v>12</v>
      </c>
      <c r="J178" s="12"/>
    </row>
    <row r="179" spans="1:10" ht="60" customHeight="1">
      <c r="A179" s="6" t="s">
        <v>681</v>
      </c>
      <c r="B179" s="6" t="s">
        <v>16</v>
      </c>
      <c r="C179" s="6" t="s">
        <v>12</v>
      </c>
      <c r="D179" s="7" t="s">
        <v>682</v>
      </c>
      <c r="E179" s="8" t="s">
        <v>683</v>
      </c>
      <c r="F179" s="6" t="s">
        <v>684</v>
      </c>
      <c r="G179" s="9">
        <f>IF(A179=1,"_",IF(C179="_","???",C179))</f>
        <v/>
      </c>
      <c r="H179" s="10" t="s">
        <v>12</v>
      </c>
      <c r="I179" s="11" t="s">
        <v>12</v>
      </c>
      <c r="J179" s="12"/>
    </row>
    <row r="180" spans="1:10" ht="60" customHeight="1">
      <c r="A180" s="6" t="s">
        <v>685</v>
      </c>
      <c r="B180" s="6" t="s">
        <v>20</v>
      </c>
      <c r="C180" s="6" t="s">
        <v>12</v>
      </c>
      <c r="D180" s="7" t="s">
        <v>686</v>
      </c>
      <c r="E180" s="8" t="s">
        <v>687</v>
      </c>
      <c r="F180" s="6" t="s">
        <v>688</v>
      </c>
      <c r="G180" s="9">
        <f>IF(A180=1,"_",IF(C180="_","???",C180))</f>
        <v/>
      </c>
      <c r="H180" s="10" t="s">
        <v>12</v>
      </c>
      <c r="I180" s="11" t="s">
        <v>12</v>
      </c>
      <c r="J180" s="12"/>
    </row>
    <row r="181" spans="1:10" ht="60" customHeight="1">
      <c r="A181" s="6" t="s">
        <v>689</v>
      </c>
      <c r="B181" s="6" t="s">
        <v>20</v>
      </c>
      <c r="C181" s="6" t="s">
        <v>12</v>
      </c>
      <c r="D181" s="7" t="s">
        <v>440</v>
      </c>
      <c r="E181" s="8" t="s">
        <v>690</v>
      </c>
      <c r="F181" s="6" t="s">
        <v>691</v>
      </c>
      <c r="G181" s="9">
        <f>IF(A181=1,"_",IF(C181="_","???",C181))</f>
        <v/>
      </c>
      <c r="H181" s="10" t="s">
        <v>12</v>
      </c>
      <c r="I181" s="11" t="s">
        <v>12</v>
      </c>
      <c r="J181" s="12"/>
    </row>
    <row r="182" spans="1:10" ht="60" customHeight="1">
      <c r="A182" s="6" t="s">
        <v>692</v>
      </c>
      <c r="B182" s="6" t="s">
        <v>60</v>
      </c>
      <c r="C182" s="6" t="s">
        <v>12</v>
      </c>
      <c r="D182" s="7" t="s">
        <v>693</v>
      </c>
      <c r="E182" s="8" t="s">
        <v>694</v>
      </c>
      <c r="F182" s="6" t="s">
        <v>695</v>
      </c>
      <c r="G182" s="9">
        <f>IF(A182=1,"_",IF(C182="_","???",C182))</f>
        <v/>
      </c>
      <c r="H182" s="10" t="s">
        <v>12</v>
      </c>
      <c r="I182" s="11" t="s">
        <v>12</v>
      </c>
      <c r="J182" s="12"/>
    </row>
    <row r="183" spans="1:10" ht="60" customHeight="1">
      <c r="A183" s="6" t="s">
        <v>696</v>
      </c>
      <c r="B183" s="6" t="s">
        <v>60</v>
      </c>
      <c r="C183" s="6" t="s">
        <v>12</v>
      </c>
      <c r="D183" s="7" t="s">
        <v>697</v>
      </c>
      <c r="E183" s="8" t="s">
        <v>698</v>
      </c>
      <c r="F183" s="6" t="s">
        <v>699</v>
      </c>
      <c r="G183" s="9">
        <f>IF(A183=1,"_",IF(C183="_","???",C183))</f>
        <v/>
      </c>
      <c r="H183" s="10" t="s">
        <v>12</v>
      </c>
      <c r="I183" s="11" t="s">
        <v>12</v>
      </c>
      <c r="J183" s="12"/>
    </row>
    <row r="184" spans="1:10" ht="60" customHeight="1">
      <c r="A184" s="6" t="s">
        <v>700</v>
      </c>
      <c r="B184" s="6" t="s">
        <v>16</v>
      </c>
      <c r="C184" s="6" t="s">
        <v>12</v>
      </c>
      <c r="D184" s="7" t="s">
        <v>701</v>
      </c>
      <c r="E184" s="8" t="s">
        <v>702</v>
      </c>
      <c r="F184" s="6" t="s">
        <v>703</v>
      </c>
      <c r="G184" s="9">
        <f>IF(A184=1,"_",IF(C184="_","???",C184))</f>
        <v/>
      </c>
      <c r="H184" s="10" t="s">
        <v>12</v>
      </c>
      <c r="I184" s="11" t="s">
        <v>12</v>
      </c>
      <c r="J184" s="12"/>
    </row>
    <row r="185" spans="1:10" ht="60" customHeight="1">
      <c r="A185" s="6" t="s">
        <v>704</v>
      </c>
      <c r="B185" s="6" t="s">
        <v>11</v>
      </c>
      <c r="C185" s="6" t="s">
        <v>12</v>
      </c>
      <c r="D185" s="7" t="s">
        <v>705</v>
      </c>
      <c r="E185" s="8" t="s">
        <v>706</v>
      </c>
      <c r="F185" s="6" t="s">
        <v>707</v>
      </c>
      <c r="G185" s="9">
        <f>IF(A185=1,"_",IF(C185="_","???",C185))</f>
        <v/>
      </c>
      <c r="H185" s="10" t="s">
        <v>12</v>
      </c>
      <c r="I185" s="11" t="s">
        <v>12</v>
      </c>
      <c r="J185" s="12"/>
    </row>
    <row r="186" spans="1:10" ht="60" customHeight="1">
      <c r="A186" s="6" t="s">
        <v>708</v>
      </c>
      <c r="B186" s="6" t="s">
        <v>11</v>
      </c>
      <c r="C186" s="6" t="s">
        <v>12</v>
      </c>
      <c r="D186" s="7" t="s">
        <v>693</v>
      </c>
      <c r="E186" s="8" t="s">
        <v>709</v>
      </c>
      <c r="F186" s="6" t="s">
        <v>710</v>
      </c>
      <c r="G186" s="9">
        <f>IF(A186=1,"_",IF(C186="_","???",C186))</f>
        <v/>
      </c>
      <c r="H186" s="10" t="s">
        <v>12</v>
      </c>
      <c r="I186" s="11" t="s">
        <v>12</v>
      </c>
      <c r="J186" s="12"/>
    </row>
    <row r="187" spans="1:10" ht="60" customHeight="1">
      <c r="A187" s="6" t="s">
        <v>711</v>
      </c>
      <c r="B187" s="6" t="s">
        <v>10</v>
      </c>
      <c r="C187" s="6" t="s">
        <v>12</v>
      </c>
      <c r="D187" s="7" t="s">
        <v>712</v>
      </c>
      <c r="E187" s="8" t="s">
        <v>713</v>
      </c>
      <c r="F187" s="6" t="s">
        <v>714</v>
      </c>
      <c r="G187" s="9">
        <f>IF(A187=1,"_",IF(C187="_","???",C187))</f>
        <v/>
      </c>
      <c r="H187" s="10" t="s">
        <v>12</v>
      </c>
      <c r="I187" s="11" t="s">
        <v>12</v>
      </c>
      <c r="J187"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3542"/>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715</v>
      </c>
      <c r="B1" s="13" t="s">
        <v>716</v>
      </c>
      <c r="C1" s="13" t="s">
        <v>717</v>
      </c>
      <c r="D1" s="13" t="s">
        <v>718</v>
      </c>
      <c r="E1" s="14" t="s">
        <v>719</v>
      </c>
      <c r="F1" s="15" t="s">
        <v>720</v>
      </c>
      <c r="G1" s="16" t="s">
        <v>721</v>
      </c>
      <c r="H1" s="17" t="s">
        <v>722</v>
      </c>
      <c r="I1" s="18" t="s">
        <v>723</v>
      </c>
      <c r="J1" s="18" t="s">
        <v>724</v>
      </c>
      <c r="K1" s="18" t="s">
        <v>725</v>
      </c>
      <c r="L1" s="19" t="s">
        <v>9</v>
      </c>
    </row>
    <row r="2" spans="1:12">
      <c r="A2" s="20" t="s">
        <v>726</v>
      </c>
    </row>
    <row r="3" spans="1:12">
      <c r="A3" s="20" t="s">
        <v>727</v>
      </c>
      <c r="B3" s="21" t="s">
        <v>728</v>
      </c>
      <c r="C3" s="21" t="s">
        <v>729</v>
      </c>
      <c r="D3" s="21" t="s">
        <v>730</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731</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732</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733</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734</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735</v>
      </c>
      <c r="B8" s="21" t="s">
        <v>736</v>
      </c>
      <c r="C8" s="21" t="s">
        <v>737</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738</v>
      </c>
      <c r="B9" s="21" t="s">
        <v>739</v>
      </c>
      <c r="C9" s="21" t="s">
        <v>740</v>
      </c>
      <c r="D9" s="21" t="s">
        <v>730</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741</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742</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246</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row>
    <row r="14" spans="1:12">
      <c r="A14" s="20" t="s">
        <v>743</v>
      </c>
    </row>
    <row r="15" spans="1:12">
      <c r="A15" s="20" t="s">
        <v>744</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745</v>
      </c>
      <c r="B16" s="21" t="s">
        <v>739</v>
      </c>
      <c r="C16" s="21" t="s">
        <v>746</v>
      </c>
      <c r="D16" s="21" t="s">
        <v>730</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747</v>
      </c>
      <c r="B17" s="21" t="s">
        <v>736</v>
      </c>
      <c r="C17" s="21" t="s">
        <v>748</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749</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750</v>
      </c>
      <c r="B19" s="21" t="s">
        <v>728</v>
      </c>
      <c r="C19" s="21" t="s">
        <v>729</v>
      </c>
      <c r="D19" s="21" t="s">
        <v>730</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732</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751</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752</v>
      </c>
      <c r="B22" s="21" t="s">
        <v>736</v>
      </c>
      <c r="C22" s="21" t="s">
        <v>753</v>
      </c>
      <c r="D22" s="21" t="s">
        <v>730</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754</v>
      </c>
      <c r="B23" s="21" t="s">
        <v>755</v>
      </c>
      <c r="C23" s="21" t="s">
        <v>756</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757</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758</v>
      </c>
      <c r="B25" s="21" t="s">
        <v>739</v>
      </c>
      <c r="C25" s="21" t="s">
        <v>753</v>
      </c>
      <c r="D25" s="21" t="s">
        <v>730</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759</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760</v>
      </c>
      <c r="B27" s="21" t="s">
        <v>755</v>
      </c>
      <c r="C27" s="21" t="s">
        <v>756</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761</v>
      </c>
      <c r="B28" s="21" t="s">
        <v>739</v>
      </c>
      <c r="C28" s="21" t="s">
        <v>748</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762</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763</v>
      </c>
      <c r="B30" s="21" t="s">
        <v>764</v>
      </c>
      <c r="C30" s="21" t="s">
        <v>737</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765</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766</v>
      </c>
      <c r="B32" s="21" t="s">
        <v>739</v>
      </c>
      <c r="C32" s="21" t="s">
        <v>748</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246</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row>
    <row r="35" spans="1:12">
      <c r="A35" s="20" t="s">
        <v>767</v>
      </c>
    </row>
    <row r="36" spans="1:12">
      <c r="A36" s="20" t="s">
        <v>768</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769</v>
      </c>
      <c r="B37" s="21" t="s">
        <v>739</v>
      </c>
      <c r="C37" s="21" t="s">
        <v>746</v>
      </c>
      <c r="D37" s="21" t="s">
        <v>730</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770</v>
      </c>
      <c r="B38" s="21" t="s">
        <v>728</v>
      </c>
      <c r="C38" s="21" t="s">
        <v>748</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771</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772</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773</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774</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775</v>
      </c>
      <c r="B43" s="21" t="s">
        <v>736</v>
      </c>
      <c r="C43" s="21" t="s">
        <v>737</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759</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774</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738</v>
      </c>
      <c r="B46" s="21" t="s">
        <v>739</v>
      </c>
      <c r="C46" s="21" t="s">
        <v>740</v>
      </c>
      <c r="D46" s="21" t="s">
        <v>730</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12</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741</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12</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775</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759</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776</v>
      </c>
      <c r="B52" s="21" t="s">
        <v>777</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769</v>
      </c>
      <c r="B53" s="21" t="s">
        <v>778</v>
      </c>
      <c r="C53" s="21" t="s">
        <v>746</v>
      </c>
      <c r="D53" s="21" t="s">
        <v>730</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779</v>
      </c>
      <c r="B54" s="21" t="s">
        <v>780</v>
      </c>
      <c r="C54" s="21" t="s">
        <v>748</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773</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781</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782</v>
      </c>
      <c r="B57" s="21" t="s">
        <v>783</v>
      </c>
      <c r="C57" s="21" t="s">
        <v>748</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784</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785</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742</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786</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787</v>
      </c>
      <c r="B62" s="21" t="s">
        <v>783</v>
      </c>
      <c r="C62" s="21" t="s">
        <v>748</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769</v>
      </c>
      <c r="B63" s="21" t="s">
        <v>788</v>
      </c>
      <c r="C63" s="21" t="s">
        <v>789</v>
      </c>
      <c r="D63" s="21" t="s">
        <v>730</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790</v>
      </c>
      <c r="B64" s="21" t="s">
        <v>791</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773</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792</v>
      </c>
      <c r="B66" s="21" t="s">
        <v>791</v>
      </c>
      <c r="C66" s="21" t="s">
        <v>729</v>
      </c>
      <c r="D66" s="21" t="s">
        <v>730</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793</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759</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794</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795</v>
      </c>
      <c r="B70" s="21" t="s">
        <v>796</v>
      </c>
      <c r="C70" s="21" t="s">
        <v>748</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797</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246</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row>
    <row r="74" spans="1:12">
      <c r="A74" s="20" t="s">
        <v>798</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799</v>
      </c>
    </row>
    <row r="76" spans="1:12">
      <c r="A76" s="20" t="s">
        <v>800</v>
      </c>
      <c r="B76" s="21" t="s">
        <v>739</v>
      </c>
      <c r="C76" s="21" t="s">
        <v>801</v>
      </c>
      <c r="D76" s="21" t="s">
        <v>730</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795</v>
      </c>
      <c r="B77" s="21" t="s">
        <v>728</v>
      </c>
      <c r="C77" s="21" t="s">
        <v>802</v>
      </c>
      <c r="D77" s="21" t="s">
        <v>730</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803</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804</v>
      </c>
      <c r="B79" s="21" t="s">
        <v>764</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805</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806</v>
      </c>
      <c r="B81" s="21" t="s">
        <v>736</v>
      </c>
      <c r="C81" s="21" t="s">
        <v>807</v>
      </c>
      <c r="D81" s="21" t="s">
        <v>730</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759</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808</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750</v>
      </c>
      <c r="B84" s="21" t="s">
        <v>777</v>
      </c>
      <c r="C84" s="21" t="s">
        <v>729</v>
      </c>
      <c r="D84" s="21" t="s">
        <v>730</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772</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759</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809</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750</v>
      </c>
      <c r="B88" s="21" t="s">
        <v>796</v>
      </c>
      <c r="C88" s="21" t="s">
        <v>729</v>
      </c>
      <c r="D88" s="21" t="s">
        <v>730</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810</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773</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757</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758</v>
      </c>
      <c r="B92" s="21" t="s">
        <v>739</v>
      </c>
      <c r="C92" s="21" t="s">
        <v>753</v>
      </c>
      <c r="D92" s="21" t="s">
        <v>730</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811</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759</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812</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813</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814</v>
      </c>
      <c r="B97" s="21" t="s">
        <v>739</v>
      </c>
      <c r="C97" s="21" t="s">
        <v>753</v>
      </c>
      <c r="D97" s="21" t="s">
        <v>730</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815</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759</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816</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785</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817</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818</v>
      </c>
      <c r="B103" s="21" t="s">
        <v>791</v>
      </c>
      <c r="C103" s="21" t="s">
        <v>748</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817</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819</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759</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820</v>
      </c>
      <c r="B107" s="21" t="s">
        <v>736</v>
      </c>
      <c r="C107" s="21" t="s">
        <v>740</v>
      </c>
      <c r="D107" s="21" t="s">
        <v>730</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785</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821</v>
      </c>
      <c r="B109" s="21" t="s">
        <v>736</v>
      </c>
      <c r="C109" s="21" t="s">
        <v>748</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785</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822</v>
      </c>
      <c r="B111" s="21" t="s">
        <v>736</v>
      </c>
      <c r="C111" s="21" t="s">
        <v>748</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785</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823</v>
      </c>
      <c r="B113" s="21" t="s">
        <v>739</v>
      </c>
      <c r="C113" s="21" t="s">
        <v>748</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759</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824</v>
      </c>
      <c r="B115" s="21" t="s">
        <v>791</v>
      </c>
      <c r="C115" s="21" t="s">
        <v>756</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825</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826</v>
      </c>
      <c r="B117" s="21" t="s">
        <v>739</v>
      </c>
      <c r="C117" s="21" t="s">
        <v>748</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827</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785</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828</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751</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829</v>
      </c>
      <c r="B122" s="21" t="s">
        <v>755</v>
      </c>
      <c r="C122" s="21" t="s">
        <v>753</v>
      </c>
      <c r="D122" s="21" t="s">
        <v>730</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830</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246</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row>
    <row r="126" spans="1:12">
      <c r="A126" s="20" t="s">
        <v>831</v>
      </c>
    </row>
    <row r="127" spans="1:12">
      <c r="A127" s="20" t="s">
        <v>727</v>
      </c>
      <c r="B127" s="21" t="s">
        <v>728</v>
      </c>
      <c r="C127" s="21" t="s">
        <v>729</v>
      </c>
      <c r="D127" s="21" t="s">
        <v>730</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811</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832</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833</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759</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300</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834</v>
      </c>
      <c r="B133" s="21" t="s">
        <v>796</v>
      </c>
      <c r="C133" s="21" t="s">
        <v>729</v>
      </c>
      <c r="D133" s="21" t="s">
        <v>730</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246</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row>
    <row r="136" spans="1:12">
      <c r="A136" s="20" t="s">
        <v>835</v>
      </c>
    </row>
    <row r="137" spans="1:12">
      <c r="A137" s="20" t="s">
        <v>836</v>
      </c>
      <c r="B137" s="21" t="s">
        <v>728</v>
      </c>
      <c r="C137" s="21" t="s">
        <v>729</v>
      </c>
      <c r="D137" s="21" t="s">
        <v>730</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837</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838</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772</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839</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840</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841</v>
      </c>
      <c r="B143" s="21" t="s">
        <v>736</v>
      </c>
      <c r="C143" s="21" t="s">
        <v>753</v>
      </c>
      <c r="D143" s="21" t="s">
        <v>730</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759</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813</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842</v>
      </c>
      <c r="B146" s="21" t="s">
        <v>843</v>
      </c>
      <c r="C146" s="21" t="s">
        <v>753</v>
      </c>
      <c r="D146" s="21" t="s">
        <v>730</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754</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546</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785</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813</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844</v>
      </c>
      <c r="B151" s="21" t="s">
        <v>777</v>
      </c>
      <c r="C151" s="21" t="s">
        <v>753</v>
      </c>
      <c r="D151" s="21" t="s">
        <v>730</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845</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846</v>
      </c>
      <c r="B153" s="21" t="s">
        <v>778</v>
      </c>
      <c r="C153" s="21" t="s">
        <v>753</v>
      </c>
      <c r="D153" s="21" t="s">
        <v>730</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847</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246</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row>
    <row r="157" spans="1:12">
      <c r="A157" s="20" t="s">
        <v>848</v>
      </c>
    </row>
    <row r="158" spans="1:12">
      <c r="A158" s="20" t="s">
        <v>768</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769</v>
      </c>
      <c r="B159" s="21" t="s">
        <v>739</v>
      </c>
      <c r="C159" s="21" t="s">
        <v>746</v>
      </c>
      <c r="D159" s="21" t="s">
        <v>730</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849</v>
      </c>
      <c r="B160" s="21" t="s">
        <v>728</v>
      </c>
      <c r="C160" s="21" t="s">
        <v>748</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754</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738</v>
      </c>
      <c r="B162" s="21" t="s">
        <v>739</v>
      </c>
      <c r="C162" s="21" t="s">
        <v>740</v>
      </c>
      <c r="D162" s="21" t="s">
        <v>730</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741</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850</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804</v>
      </c>
      <c r="B165" s="21" t="s">
        <v>764</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773</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745</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851</v>
      </c>
      <c r="B168" s="21" t="s">
        <v>736</v>
      </c>
      <c r="C168" s="21" t="s">
        <v>852</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853</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759</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854</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855</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759</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773</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840</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856</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857</v>
      </c>
      <c r="B177" s="21" t="s">
        <v>755</v>
      </c>
      <c r="C177" s="21" t="s">
        <v>753</v>
      </c>
      <c r="D177" s="21" t="s">
        <v>730</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759</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858</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859</v>
      </c>
      <c r="B180" s="21" t="s">
        <v>788</v>
      </c>
      <c r="C180" s="21" t="s">
        <v>789</v>
      </c>
      <c r="D180" s="21" t="s">
        <v>730</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754</v>
      </c>
      <c r="B181" s="21" t="s">
        <v>783</v>
      </c>
      <c r="C181" s="21" t="s">
        <v>756</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751</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860</v>
      </c>
      <c r="B183" s="21" t="s">
        <v>755</v>
      </c>
      <c r="C183" s="21" t="s">
        <v>753</v>
      </c>
      <c r="D183" s="21" t="s">
        <v>730</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785</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861</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813</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862</v>
      </c>
      <c r="B187" s="21" t="s">
        <v>780</v>
      </c>
      <c r="C187" s="21" t="s">
        <v>753</v>
      </c>
      <c r="D187" s="21" t="s">
        <v>730</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246</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row>
    <row r="190" spans="1:12">
      <c r="A190" s="20" t="s">
        <v>863</v>
      </c>
    </row>
    <row r="191" spans="1:12">
      <c r="A191" s="20" t="s">
        <v>864</v>
      </c>
      <c r="B191" s="21" t="s">
        <v>728</v>
      </c>
      <c r="C191" s="21" t="s">
        <v>740</v>
      </c>
      <c r="D191" s="21" t="s">
        <v>730</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865</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866</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773</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867</v>
      </c>
      <c r="B195" s="21" t="s">
        <v>739</v>
      </c>
      <c r="C195" s="21" t="s">
        <v>746</v>
      </c>
      <c r="D195" s="21" t="s">
        <v>730</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868</v>
      </c>
      <c r="B196" s="21" t="s">
        <v>736</v>
      </c>
      <c r="C196" s="21" t="s">
        <v>748</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732</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869</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870</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871</v>
      </c>
      <c r="B200" s="21" t="s">
        <v>736</v>
      </c>
      <c r="C200" s="21" t="s">
        <v>852</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759</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813</v>
      </c>
      <c r="B202" s="21" t="s">
        <v>788</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872</v>
      </c>
      <c r="B203" s="21" t="s">
        <v>780</v>
      </c>
      <c r="C203" s="21" t="s">
        <v>789</v>
      </c>
      <c r="D203" s="21" t="s">
        <v>730</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873</v>
      </c>
      <c r="B204" s="21" t="s">
        <v>843</v>
      </c>
      <c r="C204" s="21" t="s">
        <v>748</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785</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874</v>
      </c>
      <c r="B206" s="21" t="s">
        <v>783</v>
      </c>
      <c r="C206" s="21" t="s">
        <v>748</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785</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762</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842</v>
      </c>
      <c r="B209" s="21" t="s">
        <v>783</v>
      </c>
      <c r="C209" s="21" t="s">
        <v>737</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875</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876</v>
      </c>
      <c r="B211" s="21" t="s">
        <v>778</v>
      </c>
      <c r="C211" s="21" t="s">
        <v>748</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877</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759</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813</v>
      </c>
      <c r="B214" s="21" t="s">
        <v>843</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859</v>
      </c>
      <c r="B215" s="21" t="s">
        <v>788</v>
      </c>
      <c r="C215" s="21" t="s">
        <v>789</v>
      </c>
      <c r="D215" s="21" t="s">
        <v>730</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872</v>
      </c>
      <c r="B216" s="21" t="s">
        <v>843</v>
      </c>
      <c r="C216" s="21" t="s">
        <v>789</v>
      </c>
      <c r="D216" s="21" t="s">
        <v>730</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878</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879</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880</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504</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881</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246</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row>
    <row r="224" spans="1:12">
      <c r="A224" s="20" t="s">
        <v>882</v>
      </c>
    </row>
    <row r="225" spans="1:12">
      <c r="A225" s="20" t="s">
        <v>883</v>
      </c>
      <c r="B225" s="21" t="s">
        <v>728</v>
      </c>
      <c r="C225" s="21" t="s">
        <v>801</v>
      </c>
      <c r="D225" s="21" t="s">
        <v>730</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884</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885</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886</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887</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888</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754</v>
      </c>
      <c r="B231" s="21" t="s">
        <v>739</v>
      </c>
      <c r="C231" s="21" t="s">
        <v>756</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889</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738</v>
      </c>
      <c r="B233" s="21" t="s">
        <v>736</v>
      </c>
      <c r="C233" s="21" t="s">
        <v>740</v>
      </c>
      <c r="D233" s="21" t="s">
        <v>730</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12</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741</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12</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890</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891</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246</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row>
    <row r="241" spans="1:12">
      <c r="A241" s="20" t="s">
        <v>892</v>
      </c>
    </row>
    <row r="242" spans="1:12">
      <c r="A242" s="20" t="s">
        <v>768</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750</v>
      </c>
      <c r="B243" s="21" t="s">
        <v>728</v>
      </c>
      <c r="C243" s="21" t="s">
        <v>729</v>
      </c>
      <c r="D243" s="21" t="s">
        <v>730</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811</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893</v>
      </c>
      <c r="B245" s="21" t="s">
        <v>736</v>
      </c>
      <c r="C245" s="21" t="s">
        <v>748</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246</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row>
    <row r="248" spans="1:12">
      <c r="A248" s="20" t="s">
        <v>894</v>
      </c>
    </row>
    <row r="249" spans="1:12">
      <c r="A249" s="20" t="s">
        <v>727</v>
      </c>
      <c r="B249" s="21" t="s">
        <v>728</v>
      </c>
      <c r="C249" s="21" t="s">
        <v>729</v>
      </c>
      <c r="D249" s="21" t="s">
        <v>730</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895</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53</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246</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row>
    <row r="254" spans="1:12">
      <c r="A254" s="20" t="s">
        <v>896</v>
      </c>
    </row>
    <row r="255" spans="1:12">
      <c r="A255" s="20" t="s">
        <v>727</v>
      </c>
      <c r="B255" s="21" t="s">
        <v>728</v>
      </c>
      <c r="C255" s="21" t="s">
        <v>729</v>
      </c>
      <c r="D255" s="21" t="s">
        <v>730</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895</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57</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246</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row>
    <row r="260" spans="1:12">
      <c r="A260" s="20" t="s">
        <v>897</v>
      </c>
    </row>
    <row r="261" spans="1:12">
      <c r="A261" s="20" t="s">
        <v>768</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898</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899</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900</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901</v>
      </c>
      <c r="B265" s="21" t="s">
        <v>796</v>
      </c>
      <c r="C265" s="21" t="s">
        <v>748</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902</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903</v>
      </c>
      <c r="B267" s="21" t="s">
        <v>755</v>
      </c>
      <c r="C267" s="21" t="s">
        <v>801</v>
      </c>
      <c r="D267" s="21" t="s">
        <v>730</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904</v>
      </c>
      <c r="B268" s="21" t="s">
        <v>791</v>
      </c>
      <c r="C268" s="21" t="s">
        <v>802</v>
      </c>
      <c r="D268" s="21" t="s">
        <v>730</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732</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905</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906</v>
      </c>
      <c r="B271" s="21" t="s">
        <v>739</v>
      </c>
      <c r="C271" s="21" t="s">
        <v>748</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902</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813</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907</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908</v>
      </c>
      <c r="B275" s="21" t="s">
        <v>791</v>
      </c>
      <c r="C275" s="21" t="s">
        <v>753</v>
      </c>
      <c r="D275" s="21" t="s">
        <v>730</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773</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757</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909</v>
      </c>
      <c r="B278" s="21" t="s">
        <v>739</v>
      </c>
      <c r="C278" s="21" t="s">
        <v>753</v>
      </c>
      <c r="D278" s="21" t="s">
        <v>730</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910</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759</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911</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750</v>
      </c>
      <c r="B282" s="21" t="s">
        <v>728</v>
      </c>
      <c r="C282" s="21" t="s">
        <v>729</v>
      </c>
      <c r="D282" s="21" t="s">
        <v>730</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813</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912</v>
      </c>
      <c r="B284" s="21" t="s">
        <v>764</v>
      </c>
      <c r="C284" s="21" t="s">
        <v>753</v>
      </c>
      <c r="D284" s="21" t="s">
        <v>730</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773</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913</v>
      </c>
      <c r="B286" s="21" t="s">
        <v>755</v>
      </c>
      <c r="C286" s="21" t="s">
        <v>746</v>
      </c>
      <c r="D286" s="21" t="s">
        <v>730</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914</v>
      </c>
      <c r="B287" s="21" t="s">
        <v>739</v>
      </c>
      <c r="C287" s="21" t="s">
        <v>748</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62</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246</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row>
    <row r="291" spans="1:12">
      <c r="A291" s="20" t="s">
        <v>915</v>
      </c>
    </row>
    <row r="292" spans="1:12">
      <c r="A292" s="20" t="s">
        <v>883</v>
      </c>
      <c r="B292" s="21" t="s">
        <v>728</v>
      </c>
      <c r="C292" s="21" t="s">
        <v>801</v>
      </c>
      <c r="D292" s="21" t="s">
        <v>730</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916</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859</v>
      </c>
      <c r="B294" s="21" t="s">
        <v>796</v>
      </c>
      <c r="C294" s="21" t="s">
        <v>789</v>
      </c>
      <c r="D294" s="21" t="s">
        <v>730</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855</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917</v>
      </c>
      <c r="B296" s="21" t="s">
        <v>736</v>
      </c>
      <c r="C296" s="21" t="s">
        <v>756</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246</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row>
    <row r="299" spans="1:12">
      <c r="A299" s="20" t="s">
        <v>918</v>
      </c>
    </row>
    <row r="300" spans="1:12">
      <c r="A300" s="20" t="s">
        <v>919</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859</v>
      </c>
      <c r="B301" s="21" t="s">
        <v>796</v>
      </c>
      <c r="C301" s="21" t="s">
        <v>789</v>
      </c>
      <c r="D301" s="21" t="s">
        <v>730</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920</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921</v>
      </c>
      <c r="B303" s="21" t="s">
        <v>739</v>
      </c>
      <c r="C303" s="21" t="s">
        <v>748</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922</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775</v>
      </c>
      <c r="B305" s="21" t="s">
        <v>791</v>
      </c>
      <c r="C305" s="21" t="s">
        <v>737</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923</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759</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924</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859</v>
      </c>
      <c r="B309" s="21" t="s">
        <v>728</v>
      </c>
      <c r="C309" s="21" t="s">
        <v>789</v>
      </c>
      <c r="D309" s="21" t="s">
        <v>730</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813</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925</v>
      </c>
      <c r="B311" s="21" t="s">
        <v>764</v>
      </c>
      <c r="C311" s="21" t="s">
        <v>753</v>
      </c>
      <c r="D311" s="21" t="s">
        <v>730</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845</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926</v>
      </c>
      <c r="B313" s="21" t="s">
        <v>739</v>
      </c>
      <c r="C313" s="21" t="s">
        <v>753</v>
      </c>
      <c r="D313" s="21" t="s">
        <v>730</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785</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927</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928</v>
      </c>
      <c r="B316" s="21" t="s">
        <v>791</v>
      </c>
      <c r="C316" s="21" t="s">
        <v>789</v>
      </c>
      <c r="D316" s="21" t="s">
        <v>730</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742</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813</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929</v>
      </c>
      <c r="B319" s="21" t="s">
        <v>739</v>
      </c>
      <c r="C319" s="21" t="s">
        <v>753</v>
      </c>
      <c r="D319" s="21" t="s">
        <v>730</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773</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930</v>
      </c>
      <c r="B321" s="21" t="s">
        <v>783</v>
      </c>
      <c r="C321" s="21" t="s">
        <v>746</v>
      </c>
      <c r="D321" s="21" t="s">
        <v>730</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931</v>
      </c>
      <c r="B322" s="21" t="s">
        <v>755</v>
      </c>
      <c r="C322" s="21" t="s">
        <v>748</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246</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row>
    <row r="325" spans="1:12">
      <c r="A325" s="20" t="s">
        <v>932</v>
      </c>
    </row>
    <row r="326" spans="1:12">
      <c r="A326" s="20" t="s">
        <v>933</v>
      </c>
      <c r="B326" s="21" t="s">
        <v>739</v>
      </c>
      <c r="C326" s="21" t="s">
        <v>746</v>
      </c>
      <c r="D326" s="21" t="s">
        <v>730</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934</v>
      </c>
      <c r="B327" s="21" t="s">
        <v>728</v>
      </c>
      <c r="C327" s="21" t="s">
        <v>748</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935</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811</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776</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936</v>
      </c>
      <c r="B331" s="21" t="s">
        <v>736</v>
      </c>
      <c r="C331" s="21" t="s">
        <v>753</v>
      </c>
      <c r="D331" s="21" t="s">
        <v>730</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785</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937</v>
      </c>
      <c r="B333" s="21" t="s">
        <v>736</v>
      </c>
      <c r="C333" s="21" t="s">
        <v>748</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938</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939</v>
      </c>
      <c r="B335" s="21" t="s">
        <v>739</v>
      </c>
      <c r="C335" s="21" t="s">
        <v>740</v>
      </c>
      <c r="D335" s="21" t="s">
        <v>730</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759</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940</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782</v>
      </c>
      <c r="B338" s="21" t="s">
        <v>791</v>
      </c>
      <c r="C338" s="21" t="s">
        <v>748</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759</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941</v>
      </c>
      <c r="B340" s="21" t="s">
        <v>736</v>
      </c>
      <c r="C340" s="21" t="s">
        <v>748</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759</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942</v>
      </c>
      <c r="B342" s="21" t="s">
        <v>736</v>
      </c>
      <c r="C342" s="21" t="s">
        <v>748</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785</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943</v>
      </c>
      <c r="B344" s="21" t="s">
        <v>736</v>
      </c>
      <c r="C344" s="21" t="s">
        <v>756</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944</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945</v>
      </c>
      <c r="B346" s="21" t="s">
        <v>791</v>
      </c>
      <c r="C346" s="21" t="s">
        <v>789</v>
      </c>
      <c r="D346" s="21" t="s">
        <v>730</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246</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row>
    <row r="349" spans="1:12">
      <c r="A349" s="20" t="s">
        <v>946</v>
      </c>
    </row>
    <row r="350" spans="1:12">
      <c r="A350" s="20" t="s">
        <v>744</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751</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947</v>
      </c>
      <c r="B352" s="21" t="s">
        <v>736</v>
      </c>
      <c r="C352" s="21" t="s">
        <v>753</v>
      </c>
      <c r="D352" s="21" t="s">
        <v>730</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948</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750</v>
      </c>
      <c r="B354" s="21" t="s">
        <v>728</v>
      </c>
      <c r="C354" s="21" t="s">
        <v>729</v>
      </c>
      <c r="D354" s="21" t="s">
        <v>730</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949</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938</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751</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950</v>
      </c>
      <c r="B358" s="21" t="s">
        <v>736</v>
      </c>
      <c r="C358" s="21" t="s">
        <v>753</v>
      </c>
      <c r="D358" s="21" t="s">
        <v>730</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951</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759</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952</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750</v>
      </c>
      <c r="B362" s="21" t="s">
        <v>788</v>
      </c>
      <c r="C362" s="21" t="s">
        <v>729</v>
      </c>
      <c r="D362" s="21" t="s">
        <v>730</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759</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953</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954</v>
      </c>
      <c r="B365" s="21" t="s">
        <v>843</v>
      </c>
      <c r="C365" s="21" t="s">
        <v>748</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955</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759</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956</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246</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row>
    <row r="371" spans="1:12">
      <c r="A371" s="20" t="s">
        <v>957</v>
      </c>
    </row>
    <row r="372" spans="1:12">
      <c r="A372" s="20" t="s">
        <v>958</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959</v>
      </c>
      <c r="B373" s="21" t="s">
        <v>728</v>
      </c>
      <c r="C373" s="21" t="s">
        <v>753</v>
      </c>
      <c r="D373" s="21" t="s">
        <v>730</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911</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960</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961</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962</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246</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row>
    <row r="380" spans="1:12">
      <c r="A380" s="20" t="s">
        <v>963</v>
      </c>
    </row>
    <row r="381" spans="1:12">
      <c r="A381" s="20" t="s">
        <v>768</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838</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964</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965</v>
      </c>
      <c r="B384" s="21" t="s">
        <v>796</v>
      </c>
      <c r="C384" s="21" t="s">
        <v>756</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966</v>
      </c>
      <c r="B385" s="21" t="s">
        <v>764</v>
      </c>
      <c r="C385" s="21" t="s">
        <v>967</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246</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row>
    <row r="388" spans="1:12">
      <c r="A388" s="20" t="s">
        <v>968</v>
      </c>
    </row>
    <row r="389" spans="1:12">
      <c r="A389" s="20" t="s">
        <v>969</v>
      </c>
      <c r="B389" s="21" t="s">
        <v>788</v>
      </c>
      <c r="C389" s="21" t="s">
        <v>789</v>
      </c>
      <c r="D389" s="21" t="s">
        <v>730</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970</v>
      </c>
      <c r="B390" s="21" t="s">
        <v>780</v>
      </c>
      <c r="C390" s="21" t="s">
        <v>729</v>
      </c>
      <c r="D390" s="21" t="s">
        <v>730</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971</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972</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864</v>
      </c>
      <c r="B393" s="21" t="s">
        <v>755</v>
      </c>
      <c r="C393" s="21" t="s">
        <v>740</v>
      </c>
      <c r="D393" s="21" t="s">
        <v>730</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973</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871</v>
      </c>
      <c r="B395" s="21" t="s">
        <v>843</v>
      </c>
      <c r="C395" s="21" t="s">
        <v>748</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974</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759</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811</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757</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975</v>
      </c>
      <c r="B400" s="21" t="s">
        <v>728</v>
      </c>
      <c r="C400" s="21" t="s">
        <v>753</v>
      </c>
      <c r="D400" s="21" t="s">
        <v>730</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972</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762</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872</v>
      </c>
      <c r="B403" s="21" t="s">
        <v>736</v>
      </c>
      <c r="C403" s="21" t="s">
        <v>789</v>
      </c>
      <c r="D403" s="21" t="s">
        <v>730</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976</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977</v>
      </c>
      <c r="B405" s="21" t="s">
        <v>736</v>
      </c>
      <c r="C405" s="21" t="s">
        <v>978</v>
      </c>
      <c r="D405" s="21" t="s">
        <v>730</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842</v>
      </c>
      <c r="B406" s="21" t="s">
        <v>728</v>
      </c>
      <c r="C406" s="21" t="s">
        <v>748</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979</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742</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980</v>
      </c>
      <c r="B409" s="21" t="s">
        <v>755</v>
      </c>
      <c r="C409" s="21" t="s">
        <v>746</v>
      </c>
      <c r="D409" s="21" t="s">
        <v>730</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981</v>
      </c>
      <c r="B410" s="21" t="s">
        <v>739</v>
      </c>
      <c r="C410" s="21" t="s">
        <v>748</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982</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246</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row>
    <row r="414" spans="1:12">
      <c r="A414" s="20" t="s">
        <v>983</v>
      </c>
    </row>
    <row r="415" spans="1:12">
      <c r="A415" s="20" t="s">
        <v>984</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985</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750</v>
      </c>
      <c r="B417" s="21" t="s">
        <v>728</v>
      </c>
      <c r="C417" s="21" t="s">
        <v>729</v>
      </c>
      <c r="D417" s="21" t="s">
        <v>730</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986</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987</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762</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988</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842</v>
      </c>
      <c r="B422" s="21" t="s">
        <v>764</v>
      </c>
      <c r="C422" s="21" t="s">
        <v>737</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732</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774</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989</v>
      </c>
      <c r="B425" s="21" t="s">
        <v>736</v>
      </c>
      <c r="C425" s="21" t="s">
        <v>737</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91</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246</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row>
    <row r="429" spans="1:12">
      <c r="A429" s="20" t="s">
        <v>990</v>
      </c>
    </row>
    <row r="430" spans="1:12">
      <c r="A430" s="20" t="s">
        <v>883</v>
      </c>
      <c r="B430" s="21" t="s">
        <v>728</v>
      </c>
      <c r="C430" s="21" t="s">
        <v>801</v>
      </c>
      <c r="D430" s="21" t="s">
        <v>730</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850</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792</v>
      </c>
      <c r="B432" s="21" t="s">
        <v>764</v>
      </c>
      <c r="C432" s="21" t="s">
        <v>729</v>
      </c>
      <c r="D432" s="21" t="s">
        <v>730</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991</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992</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246</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row>
    <row r="437" spans="1:12">
      <c r="A437" s="20" t="s">
        <v>993</v>
      </c>
    </row>
    <row r="438" spans="1:12">
      <c r="A438" s="20" t="s">
        <v>994</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979</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811</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762</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842</v>
      </c>
      <c r="B442" s="21" t="s">
        <v>736</v>
      </c>
      <c r="C442" s="21" t="s">
        <v>737</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759</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813</v>
      </c>
      <c r="B444" s="21" t="s">
        <v>791</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750</v>
      </c>
      <c r="B445" s="21" t="s">
        <v>796</v>
      </c>
      <c r="C445" s="21" t="s">
        <v>729</v>
      </c>
      <c r="D445" s="21" t="s">
        <v>730</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995</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996</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895</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759</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979</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742</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757</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981</v>
      </c>
      <c r="B453" s="21" t="s">
        <v>764</v>
      </c>
      <c r="C453" s="21" t="s">
        <v>753</v>
      </c>
      <c r="D453" s="21" t="s">
        <v>730</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759</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785</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928</v>
      </c>
      <c r="B456" s="21" t="s">
        <v>788</v>
      </c>
      <c r="C456" s="21" t="s">
        <v>789</v>
      </c>
      <c r="D456" s="21" t="s">
        <v>730</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811</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997</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998</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785</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999</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952</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943</v>
      </c>
      <c r="B463" s="21" t="s">
        <v>755</v>
      </c>
      <c r="C463" s="21" t="s">
        <v>756</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776</v>
      </c>
      <c r="B464" s="21" t="s">
        <v>739</v>
      </c>
      <c r="C464" s="21" t="s">
        <v>789</v>
      </c>
      <c r="D464" s="21" t="s">
        <v>730</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759</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945</v>
      </c>
      <c r="B466" s="21" t="s">
        <v>843</v>
      </c>
      <c r="C466" s="21" t="s">
        <v>789</v>
      </c>
      <c r="D466" s="21" t="s">
        <v>730</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750</v>
      </c>
      <c r="B467" s="21" t="s">
        <v>788</v>
      </c>
      <c r="C467" s="21" t="s">
        <v>729</v>
      </c>
      <c r="D467" s="21" t="s">
        <v>730</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792</v>
      </c>
      <c r="B468" s="21" t="s">
        <v>843</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772</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1000</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1001</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759</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920</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750</v>
      </c>
      <c r="B474" s="21" t="s">
        <v>796</v>
      </c>
      <c r="C474" s="21" t="s">
        <v>729</v>
      </c>
      <c r="D474" s="21" t="s">
        <v>730</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903</v>
      </c>
      <c r="B475" s="21" t="s">
        <v>755</v>
      </c>
      <c r="C475" s="21" t="s">
        <v>801</v>
      </c>
      <c r="D475" s="21" t="s">
        <v>730</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1002</v>
      </c>
      <c r="B476" s="21" t="s">
        <v>791</v>
      </c>
      <c r="C476" s="21" t="s">
        <v>802</v>
      </c>
      <c r="D476" s="21" t="s">
        <v>730</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1003</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1001</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246</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row>
    <row r="481" spans="1:12">
      <c r="A481" s="20" t="s">
        <v>1004</v>
      </c>
    </row>
    <row r="482" spans="1:12">
      <c r="A482" s="20" t="s">
        <v>1005</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1006</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750</v>
      </c>
      <c r="B484" s="21" t="s">
        <v>728</v>
      </c>
      <c r="C484" s="21" t="s">
        <v>729</v>
      </c>
      <c r="D484" s="21" t="s">
        <v>730</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759</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920</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750</v>
      </c>
      <c r="B487" s="21" t="s">
        <v>796</v>
      </c>
      <c r="C487" s="21" t="s">
        <v>729</v>
      </c>
      <c r="D487" s="21" t="s">
        <v>730</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68</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811</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759</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1007</v>
      </c>
      <c r="B491" s="21" t="s">
        <v>755</v>
      </c>
      <c r="C491" s="21" t="s">
        <v>748</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754</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285</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246</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row>
    <row r="496" spans="1:12">
      <c r="A496" s="20" t="s">
        <v>1008</v>
      </c>
    </row>
    <row r="497" spans="1:12">
      <c r="A497" s="20" t="s">
        <v>883</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1009</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1010</v>
      </c>
      <c r="B499" s="21" t="s">
        <v>728</v>
      </c>
      <c r="C499" s="21" t="s">
        <v>753</v>
      </c>
      <c r="D499" s="21" t="s">
        <v>730</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838</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811</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759</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808</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750</v>
      </c>
      <c r="B504" s="21" t="s">
        <v>796</v>
      </c>
      <c r="C504" s="21" t="s">
        <v>729</v>
      </c>
      <c r="D504" s="21" t="s">
        <v>730</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773</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774</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1011</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1012</v>
      </c>
      <c r="B508" s="21" t="s">
        <v>739</v>
      </c>
      <c r="C508" s="21" t="s">
        <v>737</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773</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1013</v>
      </c>
      <c r="B510" s="21" t="s">
        <v>755</v>
      </c>
      <c r="C510" s="21" t="s">
        <v>740</v>
      </c>
      <c r="D510" s="21" t="s">
        <v>730</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1014</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759</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10</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1015</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1016</v>
      </c>
      <c r="B515" s="21" t="s">
        <v>755</v>
      </c>
      <c r="C515" s="21" t="s">
        <v>967</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938</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751</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1017</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1018</v>
      </c>
      <c r="B519" s="21" t="s">
        <v>755</v>
      </c>
      <c r="C519" s="21" t="s">
        <v>753</v>
      </c>
      <c r="D519" s="21" t="s">
        <v>730</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1019</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246</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row>
    <row r="523" spans="1:12">
      <c r="A523" s="20" t="s">
        <v>1020</v>
      </c>
    </row>
    <row r="524" spans="1:12">
      <c r="A524" s="20" t="s">
        <v>1021</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1022</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750</v>
      </c>
      <c r="B526" s="21" t="s">
        <v>728</v>
      </c>
      <c r="C526" s="21" t="s">
        <v>729</v>
      </c>
      <c r="D526" s="21" t="s">
        <v>730</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970</v>
      </c>
      <c r="B527" s="21" t="s">
        <v>764</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1023</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810</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1024</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246</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row>
    <row r="533" spans="1:12">
      <c r="A533" s="20" t="s">
        <v>1025</v>
      </c>
    </row>
    <row r="534" spans="1:12">
      <c r="A534" s="20" t="s">
        <v>727</v>
      </c>
      <c r="B534" s="21" t="s">
        <v>728</v>
      </c>
      <c r="C534" s="21" t="s">
        <v>729</v>
      </c>
      <c r="D534" s="21" t="s">
        <v>730</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1026</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1027</v>
      </c>
      <c r="B536" s="21" t="s">
        <v>739</v>
      </c>
      <c r="C536" s="21" t="s">
        <v>746</v>
      </c>
      <c r="D536" s="21" t="s">
        <v>730</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1028</v>
      </c>
      <c r="B537" s="21" t="s">
        <v>764</v>
      </c>
      <c r="C537" s="21" t="s">
        <v>748</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759</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1029</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1030</v>
      </c>
      <c r="B540" s="21" t="s">
        <v>796</v>
      </c>
      <c r="C540" s="21" t="s">
        <v>729</v>
      </c>
      <c r="D540" s="21" t="s">
        <v>730</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1031</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762</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1032</v>
      </c>
      <c r="B543" s="21" t="s">
        <v>791</v>
      </c>
      <c r="C543" s="21" t="s">
        <v>737</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773</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1033</v>
      </c>
      <c r="B545" s="21" t="s">
        <v>755</v>
      </c>
      <c r="C545" s="21" t="s">
        <v>740</v>
      </c>
      <c r="D545" s="21" t="s">
        <v>730</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759</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1034</v>
      </c>
      <c r="B547" s="21" t="s">
        <v>783</v>
      </c>
      <c r="C547" s="21" t="s">
        <v>740</v>
      </c>
      <c r="D547" s="21" t="s">
        <v>730</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1035</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759</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1036</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1037</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1001</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759</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1038</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742</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757</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1039</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1040</v>
      </c>
      <c r="B558" s="21" t="s">
        <v>736</v>
      </c>
      <c r="C558" s="21" t="s">
        <v>1041</v>
      </c>
      <c r="D558" s="21" t="s">
        <v>730</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757</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1042</v>
      </c>
      <c r="B560" s="21" t="s">
        <v>739</v>
      </c>
      <c r="C560" s="21" t="s">
        <v>753</v>
      </c>
      <c r="D560" s="21" t="s">
        <v>730</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759</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1043</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859</v>
      </c>
      <c r="B563" s="21" t="s">
        <v>777</v>
      </c>
      <c r="C563" s="21" t="s">
        <v>789</v>
      </c>
      <c r="D563" s="21" t="s">
        <v>730</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1044</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246</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row>
    <row r="567" spans="1:12">
      <c r="A567" s="20" t="s">
        <v>1045</v>
      </c>
    </row>
    <row r="568" spans="1:12">
      <c r="A568" s="20" t="s">
        <v>727</v>
      </c>
      <c r="B568" s="21" t="s">
        <v>728</v>
      </c>
      <c r="C568" s="21" t="s">
        <v>729</v>
      </c>
      <c r="D568" s="21" t="s">
        <v>730</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1046</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1027</v>
      </c>
      <c r="B570" s="21" t="s">
        <v>739</v>
      </c>
      <c r="C570" s="21" t="s">
        <v>746</v>
      </c>
      <c r="D570" s="21" t="s">
        <v>730</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1047</v>
      </c>
      <c r="B571" s="21" t="s">
        <v>764</v>
      </c>
      <c r="C571" s="21" t="s">
        <v>748</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773</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774</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1048</v>
      </c>
      <c r="B574" s="21" t="s">
        <v>736</v>
      </c>
      <c r="C574" s="21" t="s">
        <v>978</v>
      </c>
      <c r="D574" s="21" t="s">
        <v>730</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757</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1049</v>
      </c>
      <c r="B576" s="21" t="s">
        <v>739</v>
      </c>
      <c r="C576" s="21" t="s">
        <v>740</v>
      </c>
      <c r="D576" s="21" t="s">
        <v>730</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1050</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773</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751</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1051</v>
      </c>
      <c r="B580" s="21" t="s">
        <v>736</v>
      </c>
      <c r="C580" s="21" t="s">
        <v>753</v>
      </c>
      <c r="D580" s="21" t="s">
        <v>730</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773</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1033</v>
      </c>
      <c r="B582" s="21" t="s">
        <v>736</v>
      </c>
      <c r="C582" s="21" t="s">
        <v>740</v>
      </c>
      <c r="D582" s="21" t="s">
        <v>730</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759</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1034</v>
      </c>
      <c r="B584" s="21" t="s">
        <v>739</v>
      </c>
      <c r="C584" s="21" t="s">
        <v>740</v>
      </c>
      <c r="D584" s="21" t="s">
        <v>730</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1035</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246</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row>
    <row r="588" spans="1:12">
      <c r="A588" s="20" t="s">
        <v>1052</v>
      </c>
    </row>
    <row r="589" spans="1:12">
      <c r="A589" s="20" t="s">
        <v>1053</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1018</v>
      </c>
      <c r="B590" s="21" t="s">
        <v>764</v>
      </c>
      <c r="C590" s="21" t="s">
        <v>753</v>
      </c>
      <c r="D590" s="21" t="s">
        <v>730</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1023</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759</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1054</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1055</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1018</v>
      </c>
      <c r="B595" s="21" t="s">
        <v>739</v>
      </c>
      <c r="C595" s="21" t="s">
        <v>737</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759</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1056</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750</v>
      </c>
      <c r="B598" s="21" t="s">
        <v>728</v>
      </c>
      <c r="C598" s="21" t="s">
        <v>729</v>
      </c>
      <c r="D598" s="21" t="s">
        <v>730</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1057</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1058</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1059</v>
      </c>
      <c r="B601" s="21" t="s">
        <v>739</v>
      </c>
      <c r="C601" s="21" t="s">
        <v>967</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1060</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754</v>
      </c>
      <c r="B603" s="21" t="s">
        <v>739</v>
      </c>
      <c r="C603" s="21" t="s">
        <v>756</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1061</v>
      </c>
      <c r="B604" s="21" t="s">
        <v>736</v>
      </c>
      <c r="C604" s="21" t="s">
        <v>748</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759</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920</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859</v>
      </c>
      <c r="B607" s="21" t="s">
        <v>796</v>
      </c>
      <c r="C607" s="21" t="s">
        <v>789</v>
      </c>
      <c r="D607" s="21" t="s">
        <v>730</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825</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1062</v>
      </c>
      <c r="B609" s="21" t="s">
        <v>739</v>
      </c>
      <c r="C609" s="21" t="s">
        <v>740</v>
      </c>
      <c r="D609" s="21" t="s">
        <v>730</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1063</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246</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row>
    <row r="613" spans="1:12">
      <c r="A613" s="20" t="s">
        <v>1064</v>
      </c>
    </row>
    <row r="614" spans="1:12">
      <c r="A614" s="20" t="s">
        <v>1065</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759</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773</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840</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162</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1066</v>
      </c>
      <c r="B619" s="21" t="s">
        <v>736</v>
      </c>
      <c r="C619" s="21" t="s">
        <v>1067</v>
      </c>
      <c r="D619" s="21" t="s">
        <v>730</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759</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813</v>
      </c>
      <c r="B621" s="21" t="s">
        <v>788</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1068</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1069</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1070</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759</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1071</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750</v>
      </c>
      <c r="B627" s="21" t="s">
        <v>728</v>
      </c>
      <c r="C627" s="21" t="s">
        <v>729</v>
      </c>
      <c r="D627" s="21" t="s">
        <v>730</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1072</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20</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1015</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1073</v>
      </c>
      <c r="B631" s="21" t="s">
        <v>764</v>
      </c>
      <c r="C631" s="21" t="s">
        <v>967</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828</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1074</v>
      </c>
      <c r="B633" s="21" t="s">
        <v>736</v>
      </c>
      <c r="C633" s="21" t="s">
        <v>748</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1075</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246</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row>
    <row r="637" spans="1:12">
      <c r="A637" s="20" t="s">
        <v>1076</v>
      </c>
    </row>
    <row r="638" spans="1:12">
      <c r="A638" s="20" t="s">
        <v>1077</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1073</v>
      </c>
      <c r="B639" s="21" t="s">
        <v>736</v>
      </c>
      <c r="C639" s="21" t="s">
        <v>967</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1078</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773</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1079</v>
      </c>
      <c r="B642" s="21" t="s">
        <v>736</v>
      </c>
      <c r="C642" s="21" t="s">
        <v>740</v>
      </c>
      <c r="D642" s="21" t="s">
        <v>730</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246</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row>
    <row r="645" spans="1:12">
      <c r="A645" s="20" t="s">
        <v>1080</v>
      </c>
    </row>
    <row r="646" spans="1:12">
      <c r="A646" s="20" t="s">
        <v>768</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750</v>
      </c>
      <c r="B647" s="21" t="s">
        <v>728</v>
      </c>
      <c r="C647" s="21" t="s">
        <v>729</v>
      </c>
      <c r="D647" s="21" t="s">
        <v>730</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1071</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1081</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759</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808</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813</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842</v>
      </c>
      <c r="B653" s="21" t="s">
        <v>796</v>
      </c>
      <c r="C653" s="21" t="s">
        <v>753</v>
      </c>
      <c r="D653" s="21" t="s">
        <v>730</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757</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862</v>
      </c>
      <c r="B655" s="21" t="s">
        <v>755</v>
      </c>
      <c r="C655" s="21" t="s">
        <v>753</v>
      </c>
      <c r="D655" s="21" t="s">
        <v>730</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759</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982</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773</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840</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1082</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1083</v>
      </c>
      <c r="B661" s="21" t="s">
        <v>739</v>
      </c>
      <c r="C661" s="21" t="s">
        <v>753</v>
      </c>
      <c r="D661" s="21" t="s">
        <v>730</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759</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944</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1084</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972</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1085</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1086</v>
      </c>
      <c r="B667" s="21" t="s">
        <v>739</v>
      </c>
      <c r="C667" s="21" t="s">
        <v>748</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1087</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759</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952</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859</v>
      </c>
      <c r="B671" s="21" t="s">
        <v>788</v>
      </c>
      <c r="C671" s="21" t="s">
        <v>789</v>
      </c>
      <c r="D671" s="21" t="s">
        <v>730</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899</v>
      </c>
      <c r="B672" s="21" t="s">
        <v>843</v>
      </c>
      <c r="C672" s="21" t="s">
        <v>729</v>
      </c>
      <c r="D672" s="21" t="s">
        <v>730</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872</v>
      </c>
      <c r="B673" s="21" t="s">
        <v>843</v>
      </c>
      <c r="C673" s="21" t="s">
        <v>789</v>
      </c>
      <c r="D673" s="21" t="s">
        <v>730</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1088</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1089</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504</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881</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246</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row>
    <row r="680" spans="1:12">
      <c r="A680" s="20" t="s">
        <v>1090</v>
      </c>
    </row>
    <row r="681" spans="1:12">
      <c r="A681" s="20" t="s">
        <v>958</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1091</v>
      </c>
      <c r="B682" s="21" t="s">
        <v>728</v>
      </c>
      <c r="C682" s="21" t="s">
        <v>753</v>
      </c>
      <c r="D682" s="21" t="s">
        <v>730</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757</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1092</v>
      </c>
      <c r="B684" s="21" t="s">
        <v>739</v>
      </c>
      <c r="C684" s="21" t="s">
        <v>753</v>
      </c>
      <c r="D684" s="21" t="s">
        <v>730</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1093</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1094</v>
      </c>
      <c r="B686" s="21" t="s">
        <v>739</v>
      </c>
      <c r="C686" s="21" t="s">
        <v>789</v>
      </c>
      <c r="D686" s="21" t="s">
        <v>730</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844</v>
      </c>
      <c r="B687" s="21" t="s">
        <v>764</v>
      </c>
      <c r="C687" s="21" t="s">
        <v>967</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759</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887</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773</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751</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1095</v>
      </c>
      <c r="B692" s="21" t="s">
        <v>739</v>
      </c>
      <c r="C692" s="21" t="s">
        <v>753</v>
      </c>
      <c r="D692" s="21" t="s">
        <v>730</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754</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980</v>
      </c>
      <c r="B694" s="21" t="s">
        <v>783</v>
      </c>
      <c r="C694" s="21" t="s">
        <v>746</v>
      </c>
      <c r="D694" s="21" t="s">
        <v>730</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1096</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759</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1097</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1098</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1099</v>
      </c>
      <c r="B699" s="21" t="s">
        <v>755</v>
      </c>
      <c r="C699" s="21" t="s">
        <v>748</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246</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row>
    <row r="702" spans="1:12">
      <c r="A702" s="20" t="s">
        <v>1100</v>
      </c>
    </row>
    <row r="703" spans="1:12">
      <c r="A703" s="20" t="s">
        <v>1101</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754</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751</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1102</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1103</v>
      </c>
      <c r="B707" s="21" t="s">
        <v>736</v>
      </c>
      <c r="C707" s="21" t="s">
        <v>753</v>
      </c>
      <c r="D707" s="21" t="s">
        <v>730</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1104</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750</v>
      </c>
      <c r="B709" s="21" t="s">
        <v>728</v>
      </c>
      <c r="C709" s="21" t="s">
        <v>729</v>
      </c>
      <c r="D709" s="21" t="s">
        <v>730</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1105</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1106</v>
      </c>
      <c r="B711" s="21" t="s">
        <v>764</v>
      </c>
      <c r="C711" s="21" t="s">
        <v>748</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1107</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776</v>
      </c>
      <c r="B713" s="21" t="s">
        <v>739</v>
      </c>
      <c r="C713" s="21" t="s">
        <v>789</v>
      </c>
      <c r="D713" s="21" t="s">
        <v>730</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759</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945</v>
      </c>
      <c r="B715" s="21" t="s">
        <v>791</v>
      </c>
      <c r="C715" s="21" t="s">
        <v>789</v>
      </c>
      <c r="D715" s="21" t="s">
        <v>730</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750</v>
      </c>
      <c r="B716" s="21" t="s">
        <v>796</v>
      </c>
      <c r="C716" s="21" t="s">
        <v>729</v>
      </c>
      <c r="D716" s="21" t="s">
        <v>730</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742</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1027</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1108</v>
      </c>
      <c r="B719" s="21" t="s">
        <v>739</v>
      </c>
      <c r="C719" s="21" t="s">
        <v>852</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1109</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246</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row>
    <row r="723" spans="1:12">
      <c r="A723" s="20" t="s">
        <v>1110</v>
      </c>
    </row>
    <row r="724" spans="1:12">
      <c r="A724" s="20" t="s">
        <v>768</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769</v>
      </c>
      <c r="B725" s="21" t="s">
        <v>739</v>
      </c>
      <c r="C725" s="21" t="s">
        <v>746</v>
      </c>
      <c r="D725" s="21" t="s">
        <v>730</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849</v>
      </c>
      <c r="B726" s="21" t="s">
        <v>728</v>
      </c>
      <c r="C726" s="21" t="s">
        <v>748</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754</v>
      </c>
      <c r="B727" s="21" t="s">
        <v>755</v>
      </c>
      <c r="C727" s="21" t="s">
        <v>756</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751</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1018</v>
      </c>
      <c r="B729" s="21" t="s">
        <v>739</v>
      </c>
      <c r="C729" s="21" t="s">
        <v>740</v>
      </c>
      <c r="D729" s="21" t="s">
        <v>730</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1111</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972</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759</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732</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1112</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1113</v>
      </c>
      <c r="B735" s="21" t="s">
        <v>739</v>
      </c>
      <c r="C735" s="21" t="s">
        <v>748</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952</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1114</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785</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1115</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246</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row>
    <row r="742" spans="1:12">
      <c r="A742" s="20" t="s">
        <v>1116</v>
      </c>
    </row>
    <row r="743" spans="1:12">
      <c r="A743" s="20" t="s">
        <v>1117</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750</v>
      </c>
      <c r="B744" s="21" t="s">
        <v>796</v>
      </c>
      <c r="C744" s="21" t="s">
        <v>729</v>
      </c>
      <c r="D744" s="21" t="s">
        <v>730</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792</v>
      </c>
      <c r="B745" s="21" t="s">
        <v>791</v>
      </c>
      <c r="C745" s="21" t="s">
        <v>729</v>
      </c>
      <c r="D745" s="21" t="s">
        <v>730</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885</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920</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1118</v>
      </c>
      <c r="B748" s="21" t="s">
        <v>739</v>
      </c>
      <c r="C748" s="21" t="s">
        <v>748</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1054</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1119</v>
      </c>
      <c r="B750" s="21" t="s">
        <v>791</v>
      </c>
      <c r="C750" s="21" t="s">
        <v>737</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1120</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759</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811</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899</v>
      </c>
      <c r="B754" s="21" t="s">
        <v>728</v>
      </c>
      <c r="C754" s="21" t="s">
        <v>729</v>
      </c>
      <c r="D754" s="21" t="s">
        <v>730</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776</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1121</v>
      </c>
      <c r="B756" s="21" t="s">
        <v>736</v>
      </c>
      <c r="C756" s="21" t="s">
        <v>753</v>
      </c>
      <c r="D756" s="21" t="s">
        <v>730</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246</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row>
    <row r="759" spans="1:12">
      <c r="A759" s="20" t="s">
        <v>1122</v>
      </c>
    </row>
    <row r="760" spans="1:12">
      <c r="A760" s="20" t="s">
        <v>883</v>
      </c>
      <c r="B760" s="21" t="s">
        <v>728</v>
      </c>
      <c r="C760" s="21" t="s">
        <v>801</v>
      </c>
      <c r="D760" s="21" t="s">
        <v>730</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850</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813</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1123</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1124</v>
      </c>
      <c r="B764" s="21" t="s">
        <v>764</v>
      </c>
      <c r="C764" s="21" t="s">
        <v>753</v>
      </c>
      <c r="D764" s="21" t="s">
        <v>730</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759</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1027</v>
      </c>
      <c r="B766" s="21" t="s">
        <v>783</v>
      </c>
      <c r="C766" s="21" t="s">
        <v>746</v>
      </c>
      <c r="D766" s="21" t="s">
        <v>730</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1125</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1126</v>
      </c>
      <c r="B768" s="21" t="s">
        <v>843</v>
      </c>
      <c r="C768" s="21" t="s">
        <v>748</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759</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1127</v>
      </c>
      <c r="B770" s="21" t="s">
        <v>843</v>
      </c>
      <c r="C770" s="21" t="s">
        <v>748</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754</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1128</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759</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732</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913</v>
      </c>
      <c r="B775" s="21" t="s">
        <v>783</v>
      </c>
      <c r="C775" s="21" t="s">
        <v>746</v>
      </c>
      <c r="D775" s="21" t="s">
        <v>730</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1129</v>
      </c>
      <c r="B776" s="21" t="s">
        <v>755</v>
      </c>
      <c r="C776" s="21" t="s">
        <v>748</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759</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912</v>
      </c>
      <c r="B778" s="21" t="s">
        <v>1130</v>
      </c>
      <c r="C778" s="21" t="s">
        <v>748</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754</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62</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759</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754</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1131</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246</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row>
    <row r="786" spans="1:12">
      <c r="A786" s="20" t="s">
        <v>1132</v>
      </c>
    </row>
    <row r="787" spans="1:12">
      <c r="A787" s="20" t="s">
        <v>1117</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1133</v>
      </c>
      <c r="B788" s="21" t="s">
        <v>736</v>
      </c>
      <c r="C788" s="21" t="s">
        <v>748</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1134</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750</v>
      </c>
      <c r="B790" s="21" t="s">
        <v>728</v>
      </c>
      <c r="C790" s="21" t="s">
        <v>729</v>
      </c>
      <c r="D790" s="21" t="s">
        <v>730</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949</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1135</v>
      </c>
      <c r="B792" s="21" t="s">
        <v>764</v>
      </c>
      <c r="C792" s="21" t="s">
        <v>748</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785</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944</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246</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row>
    <row r="797" spans="1:12">
      <c r="A797" s="20" t="s">
        <v>1136</v>
      </c>
    </row>
    <row r="798" spans="1:12">
      <c r="A798" s="20" t="s">
        <v>1005</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1137</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1138</v>
      </c>
      <c r="B800" s="21" t="s">
        <v>796</v>
      </c>
      <c r="C800" s="21" t="s">
        <v>748</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757</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1139</v>
      </c>
      <c r="B802" s="21" t="s">
        <v>728</v>
      </c>
      <c r="C802" s="21" t="s">
        <v>753</v>
      </c>
      <c r="D802" s="21" t="s">
        <v>730</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759</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912</v>
      </c>
      <c r="B804" s="21" t="s">
        <v>739</v>
      </c>
      <c r="C804" s="21" t="s">
        <v>748</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785</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1127</v>
      </c>
      <c r="B806" s="21" t="s">
        <v>739</v>
      </c>
      <c r="C806" s="21" t="s">
        <v>748</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159</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246</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row>
    <row r="810" spans="1:12">
      <c r="A810" s="20" t="s">
        <v>1140</v>
      </c>
    </row>
    <row r="811" spans="1:12">
      <c r="A811" s="20" t="s">
        <v>883</v>
      </c>
      <c r="B811" s="21" t="s">
        <v>728</v>
      </c>
      <c r="C811" s="21" t="s">
        <v>801</v>
      </c>
      <c r="D811" s="21" t="s">
        <v>730</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1141</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1142</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246</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row>
    <row r="816" spans="1:12">
      <c r="A816" s="20" t="s">
        <v>798</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1143</v>
      </c>
    </row>
    <row r="818" spans="1:12">
      <c r="A818" s="20" t="s">
        <v>1144</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1137</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813</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1127</v>
      </c>
      <c r="B821" s="21" t="s">
        <v>728</v>
      </c>
      <c r="C821" s="21" t="s">
        <v>753</v>
      </c>
      <c r="D821" s="21" t="s">
        <v>730</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759</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813</v>
      </c>
      <c r="B823" s="21" t="s">
        <v>843</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750</v>
      </c>
      <c r="B824" s="21" t="s">
        <v>788</v>
      </c>
      <c r="C824" s="21" t="s">
        <v>729</v>
      </c>
      <c r="D824" s="21" t="s">
        <v>730</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792</v>
      </c>
      <c r="B825" s="21" t="s">
        <v>843</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1120</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759</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1145</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751</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738</v>
      </c>
      <c r="B830" s="21" t="s">
        <v>755</v>
      </c>
      <c r="C830" s="21" t="s">
        <v>740</v>
      </c>
      <c r="D830" s="21" t="s">
        <v>730</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12</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741</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12</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1146</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1147</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817</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1148</v>
      </c>
      <c r="B837" s="21" t="s">
        <v>739</v>
      </c>
      <c r="C837" s="21" t="s">
        <v>748</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817</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759</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817</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1149</v>
      </c>
      <c r="B841" s="21" t="s">
        <v>755</v>
      </c>
      <c r="C841" s="21" t="s">
        <v>740</v>
      </c>
      <c r="D841" s="21" t="s">
        <v>730</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817</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759</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785</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817</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1150</v>
      </c>
      <c r="B846" s="21" t="s">
        <v>755</v>
      </c>
      <c r="C846" s="21" t="s">
        <v>748</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817</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246</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row>
    <row r="850" spans="1:12">
      <c r="A850" s="20" t="s">
        <v>798</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1151</v>
      </c>
    </row>
    <row r="852" spans="1:12">
      <c r="A852" s="20" t="s">
        <v>1152</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817</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1150</v>
      </c>
      <c r="B854" s="21" t="s">
        <v>736</v>
      </c>
      <c r="C854" s="21" t="s">
        <v>748</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817</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895</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750</v>
      </c>
      <c r="B857" s="21" t="s">
        <v>728</v>
      </c>
      <c r="C857" s="21" t="s">
        <v>729</v>
      </c>
      <c r="D857" s="21" t="s">
        <v>730</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769</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1153</v>
      </c>
      <c r="B859" s="21" t="s">
        <v>764</v>
      </c>
      <c r="C859" s="21" t="s">
        <v>852</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1107</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813</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1154</v>
      </c>
      <c r="B862" s="21" t="s">
        <v>736</v>
      </c>
      <c r="C862" s="21" t="s">
        <v>753</v>
      </c>
      <c r="D862" s="21" t="s">
        <v>730</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785</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776</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1155</v>
      </c>
      <c r="B865" s="21" t="s">
        <v>764</v>
      </c>
      <c r="C865" s="21" t="s">
        <v>802</v>
      </c>
      <c r="D865" s="21" t="s">
        <v>730</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732</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751</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1121</v>
      </c>
      <c r="B868" s="21" t="s">
        <v>736</v>
      </c>
      <c r="C868" s="21" t="s">
        <v>753</v>
      </c>
      <c r="D868" s="21" t="s">
        <v>730</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171</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246</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row>
    <row r="872" spans="1:12">
      <c r="A872" s="20" t="s">
        <v>1156</v>
      </c>
    </row>
    <row r="873" spans="1:12">
      <c r="A873" s="20" t="s">
        <v>1005</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1157</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804</v>
      </c>
      <c r="B875" s="21" t="s">
        <v>764</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1158</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769</v>
      </c>
      <c r="B877" s="21" t="s">
        <v>739</v>
      </c>
      <c r="C877" s="21" t="s">
        <v>746</v>
      </c>
      <c r="D877" s="21" t="s">
        <v>730</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1159</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1160</v>
      </c>
      <c r="B879" s="21" t="s">
        <v>728</v>
      </c>
      <c r="C879" s="21" t="s">
        <v>1067</v>
      </c>
      <c r="D879" s="21" t="s">
        <v>730</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246</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row>
    <row r="882" spans="1:12">
      <c r="A882" s="20" t="s">
        <v>798</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1161</v>
      </c>
    </row>
    <row r="884" spans="1:12">
      <c r="A884" s="20" t="s">
        <v>1162</v>
      </c>
      <c r="B884" s="21" t="s">
        <v>728</v>
      </c>
      <c r="C884" s="21" t="s">
        <v>740</v>
      </c>
      <c r="D884" s="21" t="s">
        <v>730</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966</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1163</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1164</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817</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1150</v>
      </c>
      <c r="B889" s="21" t="s">
        <v>736</v>
      </c>
      <c r="C889" s="21" t="s">
        <v>740</v>
      </c>
      <c r="D889" s="21" t="s">
        <v>730</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817</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1147</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1165</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922</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1166</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1010</v>
      </c>
      <c r="B895" s="21" t="s">
        <v>791</v>
      </c>
      <c r="C895" s="21" t="s">
        <v>737</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773</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1167</v>
      </c>
      <c r="B897" s="21" t="s">
        <v>783</v>
      </c>
      <c r="C897" s="21" t="s">
        <v>801</v>
      </c>
      <c r="D897" s="21" t="s">
        <v>730</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1168</v>
      </c>
      <c r="B898" s="21" t="s">
        <v>755</v>
      </c>
      <c r="C898" s="21" t="s">
        <v>802</v>
      </c>
      <c r="D898" s="21" t="s">
        <v>730</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754</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1169</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12</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785</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1170</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916</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859</v>
      </c>
      <c r="B905" s="21" t="s">
        <v>796</v>
      </c>
      <c r="C905" s="21" t="s">
        <v>789</v>
      </c>
      <c r="D905" s="21" t="s">
        <v>730</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944</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762</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1171</v>
      </c>
      <c r="B908" s="21" t="s">
        <v>791</v>
      </c>
      <c r="C908" s="21" t="s">
        <v>737</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1172</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1173</v>
      </c>
      <c r="B910" s="21" t="s">
        <v>796</v>
      </c>
      <c r="C910" s="21" t="s">
        <v>748</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62</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12</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759</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1174</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859</v>
      </c>
      <c r="B915" s="21" t="s">
        <v>788</v>
      </c>
      <c r="C915" s="21" t="s">
        <v>789</v>
      </c>
      <c r="D915" s="21" t="s">
        <v>730</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742</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1175</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1176</v>
      </c>
      <c r="B918" s="21" t="s">
        <v>755</v>
      </c>
      <c r="C918" s="21" t="s">
        <v>748</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759</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1177</v>
      </c>
      <c r="B920" s="21" t="s">
        <v>783</v>
      </c>
      <c r="C920" s="21" t="s">
        <v>740</v>
      </c>
      <c r="D920" s="21" t="s">
        <v>730</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759</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1178</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246</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row>
    <row r="925" spans="1:12">
      <c r="A925" s="20" t="s">
        <v>1179</v>
      </c>
    </row>
    <row r="926" spans="1:12">
      <c r="A926" s="20" t="s">
        <v>969</v>
      </c>
      <c r="B926" s="21" t="s">
        <v>728</v>
      </c>
      <c r="C926" s="21" t="s">
        <v>789</v>
      </c>
      <c r="D926" s="21" t="s">
        <v>730</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838</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1180</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759</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811</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813</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1181</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1175</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1182</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12</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1183</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12</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1184</v>
      </c>
      <c r="B938" s="21" t="s">
        <v>764</v>
      </c>
      <c r="C938" s="21" t="s">
        <v>753</v>
      </c>
      <c r="D938" s="21" t="s">
        <v>730</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759</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813</v>
      </c>
      <c r="B940" s="21" t="s">
        <v>788</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1115</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773</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774</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1168</v>
      </c>
      <c r="B944" s="21" t="s">
        <v>755</v>
      </c>
      <c r="C944" s="21" t="s">
        <v>737</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754</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195</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811</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246</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row>
    <row r="950" spans="1:12">
      <c r="A950" s="20" t="s">
        <v>1185</v>
      </c>
    </row>
    <row r="951" spans="1:12">
      <c r="A951" s="20" t="s">
        <v>1186</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1168</v>
      </c>
      <c r="B952" s="21" t="s">
        <v>728</v>
      </c>
      <c r="C952" s="21" t="s">
        <v>753</v>
      </c>
      <c r="D952" s="21" t="s">
        <v>730</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827</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1170</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1187</v>
      </c>
      <c r="B955" s="21" t="s">
        <v>739</v>
      </c>
      <c r="C955" s="21" t="s">
        <v>789</v>
      </c>
      <c r="D955" s="21" t="s">
        <v>730</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1188</v>
      </c>
      <c r="B956" s="21" t="s">
        <v>764</v>
      </c>
      <c r="C956" s="21" t="s">
        <v>967</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922</v>
      </c>
      <c r="B957" s="21" t="s">
        <v>791</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759</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1038</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1189</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1190</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1030</v>
      </c>
      <c r="B962" s="21" t="s">
        <v>796</v>
      </c>
      <c r="C962" s="21" t="s">
        <v>729</v>
      </c>
      <c r="D962" s="21" t="s">
        <v>730</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1191</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1192</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1193</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1194</v>
      </c>
      <c r="B966" s="21" t="s">
        <v>791</v>
      </c>
      <c r="C966" s="21" t="s">
        <v>852</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922</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759</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1195</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1196</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750</v>
      </c>
      <c r="B971" s="21" t="s">
        <v>788</v>
      </c>
      <c r="C971" s="21" t="s">
        <v>729</v>
      </c>
      <c r="D971" s="21" t="s">
        <v>730</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965</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1197</v>
      </c>
      <c r="B973" s="21" t="s">
        <v>843</v>
      </c>
      <c r="C973" s="21" t="s">
        <v>748</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1147</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883</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1198</v>
      </c>
      <c r="B976" s="21" t="s">
        <v>788</v>
      </c>
      <c r="C976" s="21" t="s">
        <v>753</v>
      </c>
      <c r="D976" s="21" t="s">
        <v>730</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742</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757</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1199</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842</v>
      </c>
      <c r="B980" s="21" t="s">
        <v>783</v>
      </c>
      <c r="C980" s="21" t="s">
        <v>753</v>
      </c>
      <c r="D980" s="21" t="s">
        <v>730</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811</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952</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1200</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938</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751</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1201</v>
      </c>
      <c r="B986" s="21" t="s">
        <v>755</v>
      </c>
      <c r="C986" s="21" t="s">
        <v>753</v>
      </c>
      <c r="D986" s="21" t="s">
        <v>730</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759</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757</v>
      </c>
      <c r="B988" s="21" t="s">
        <v>1202</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1078</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1203</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246</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row>
    <row r="993" spans="1:12">
      <c r="A993" s="20" t="s">
        <v>1204</v>
      </c>
    </row>
    <row r="994" spans="1:12">
      <c r="A994" s="20" t="s">
        <v>1205</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1206</v>
      </c>
      <c r="B995" s="21" t="s">
        <v>736</v>
      </c>
      <c r="C995" s="21" t="s">
        <v>740</v>
      </c>
      <c r="D995" s="21" t="s">
        <v>730</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1207</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1208</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1070</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1209</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1210</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1211</v>
      </c>
      <c r="B1001" s="21" t="s">
        <v>764</v>
      </c>
      <c r="C1001" s="21" t="s">
        <v>748</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785</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1212</v>
      </c>
      <c r="B1003" s="21" t="s">
        <v>739</v>
      </c>
      <c r="C1003" s="21" t="s">
        <v>748</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810</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1213</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1214</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754</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191</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246</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row>
    <row r="1011" spans="1:12">
      <c r="A1011" s="20" t="s">
        <v>1215</v>
      </c>
    </row>
    <row r="1012" spans="1:12">
      <c r="A1012" s="20" t="s">
        <v>834</v>
      </c>
      <c r="B1012" s="21" t="s">
        <v>728</v>
      </c>
      <c r="C1012" s="21" t="s">
        <v>729</v>
      </c>
      <c r="D1012" s="21" t="s">
        <v>730</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1216</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1217</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965</v>
      </c>
      <c r="B1015" s="21" t="s">
        <v>796</v>
      </c>
      <c r="C1015" s="21" t="s">
        <v>756</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1218</v>
      </c>
      <c r="B1016" s="21" t="s">
        <v>764</v>
      </c>
      <c r="C1016" s="21" t="s">
        <v>967</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246</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row>
    <row r="1019" spans="1:12">
      <c r="A1019" s="20" t="s">
        <v>1219</v>
      </c>
    </row>
    <row r="1020" spans="1:12">
      <c r="A1020" s="20" t="s">
        <v>768</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776</v>
      </c>
      <c r="B1021" s="21" t="s">
        <v>764</v>
      </c>
      <c r="C1021" s="21" t="s">
        <v>801</v>
      </c>
      <c r="D1021" s="21" t="s">
        <v>730</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1220</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750</v>
      </c>
      <c r="B1023" s="21" t="s">
        <v>728</v>
      </c>
      <c r="C1023" s="21" t="s">
        <v>729</v>
      </c>
      <c r="D1023" s="21" t="s">
        <v>730</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1221</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1222</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246</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row>
    <row r="1028" spans="1:12">
      <c r="A1028" s="20" t="s">
        <v>798</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1223</v>
      </c>
    </row>
    <row r="1030" spans="1:12">
      <c r="A1030" s="20" t="s">
        <v>768</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750</v>
      </c>
      <c r="B1031" s="21" t="s">
        <v>728</v>
      </c>
      <c r="C1031" s="21" t="s">
        <v>729</v>
      </c>
      <c r="D1031" s="21" t="s">
        <v>730</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1224</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792</v>
      </c>
      <c r="B1033" s="21" t="s">
        <v>764</v>
      </c>
      <c r="C1033" s="21" t="s">
        <v>729</v>
      </c>
      <c r="D1033" s="21" t="s">
        <v>730</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1147</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817</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1225</v>
      </c>
      <c r="B1036" s="21" t="s">
        <v>736</v>
      </c>
      <c r="C1036" s="21" t="s">
        <v>740</v>
      </c>
      <c r="D1036" s="21" t="s">
        <v>730</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759</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776</v>
      </c>
      <c r="B1038" s="21" t="s">
        <v>788</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1226</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1227</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773</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813</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1228</v>
      </c>
      <c r="B1043" s="21" t="s">
        <v>755</v>
      </c>
      <c r="C1043" s="21" t="s">
        <v>753</v>
      </c>
      <c r="D1043" s="21" t="s">
        <v>730</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1229</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285</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246</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817</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row>
    <row r="1049" spans="1:12">
      <c r="A1049" s="20" t="s">
        <v>798</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1230</v>
      </c>
    </row>
    <row r="1051" spans="1:12">
      <c r="A1051" s="20" t="s">
        <v>1005</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1231</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859</v>
      </c>
      <c r="B1053" s="21" t="s">
        <v>728</v>
      </c>
      <c r="C1053" s="21" t="s">
        <v>789</v>
      </c>
      <c r="D1053" s="21" t="s">
        <v>730</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773</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817</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1148</v>
      </c>
      <c r="B1056" s="21" t="s">
        <v>736</v>
      </c>
      <c r="C1056" s="21" t="s">
        <v>740</v>
      </c>
      <c r="D1056" s="21" t="s">
        <v>730</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11</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817</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759</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913</v>
      </c>
      <c r="B1060" s="21" t="s">
        <v>739</v>
      </c>
      <c r="C1060" s="21" t="s">
        <v>746</v>
      </c>
      <c r="D1060" s="21" t="s">
        <v>730</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1017</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1168</v>
      </c>
      <c r="B1062" s="21" t="s">
        <v>736</v>
      </c>
      <c r="C1062" s="21" t="s">
        <v>967</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759</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902</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1232</v>
      </c>
      <c r="B1065" s="21" t="s">
        <v>739</v>
      </c>
      <c r="C1065" s="21" t="s">
        <v>789</v>
      </c>
      <c r="D1065" s="21" t="s">
        <v>730</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1233</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246</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row>
    <row r="1069" spans="1:12">
      <c r="A1069" s="20" t="s">
        <v>1234</v>
      </c>
    </row>
    <row r="1070" spans="1:12">
      <c r="A1070" s="20" t="s">
        <v>1235</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732</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1236</v>
      </c>
      <c r="B1072" s="21" t="s">
        <v>736</v>
      </c>
      <c r="C1072" s="21" t="s">
        <v>740</v>
      </c>
      <c r="D1072" s="21" t="s">
        <v>730</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210</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859</v>
      </c>
      <c r="B1074" s="21" t="s">
        <v>728</v>
      </c>
      <c r="C1074" s="21" t="s">
        <v>789</v>
      </c>
      <c r="D1074" s="21" t="s">
        <v>730</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1237</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840</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1238</v>
      </c>
      <c r="B1077" s="21" t="s">
        <v>764</v>
      </c>
      <c r="C1077" s="21" t="s">
        <v>753</v>
      </c>
      <c r="D1077" s="21" t="s">
        <v>730</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1145</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1239</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1240</v>
      </c>
      <c r="B1080" s="21" t="s">
        <v>739</v>
      </c>
      <c r="C1080" s="21" t="s">
        <v>748</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246</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row>
    <row r="1083" spans="1:12">
      <c r="A1083" s="20" t="s">
        <v>1241</v>
      </c>
    </row>
    <row r="1084" spans="1:12">
      <c r="A1084" s="20" t="s">
        <v>1186</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1242</v>
      </c>
      <c r="B1085" s="21" t="s">
        <v>728</v>
      </c>
      <c r="C1085" s="21" t="s">
        <v>753</v>
      </c>
      <c r="D1085" s="21" t="s">
        <v>730</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1243</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887</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1078</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1244</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759</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952</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1245</v>
      </c>
      <c r="B1092" s="21" t="s">
        <v>755</v>
      </c>
      <c r="C1092" s="21" t="s">
        <v>801</v>
      </c>
      <c r="D1092" s="21" t="s">
        <v>730</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1246</v>
      </c>
      <c r="B1093" s="21" t="s">
        <v>796</v>
      </c>
      <c r="C1093" s="21" t="s">
        <v>802</v>
      </c>
      <c r="D1093" s="21" t="s">
        <v>730</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1247</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985</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246</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row>
    <row r="1098" spans="1:12">
      <c r="A1098" s="20" t="s">
        <v>1248</v>
      </c>
    </row>
    <row r="1099" spans="1:12">
      <c r="A1099" s="20" t="s">
        <v>768</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899</v>
      </c>
      <c r="B1100" s="21" t="s">
        <v>728</v>
      </c>
      <c r="C1100" s="21" t="s">
        <v>729</v>
      </c>
      <c r="D1100" s="21" t="s">
        <v>730</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1249</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246</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row>
    <row r="1104" spans="1:12">
      <c r="A1104" s="20" t="s">
        <v>1250</v>
      </c>
    </row>
    <row r="1105" spans="1:12">
      <c r="A1105" s="20" t="s">
        <v>1251</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1252</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859</v>
      </c>
      <c r="B1107" s="21" t="s">
        <v>728</v>
      </c>
      <c r="C1107" s="21" t="s">
        <v>789</v>
      </c>
      <c r="D1107" s="21" t="s">
        <v>730</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965</v>
      </c>
      <c r="B1108" s="21" t="s">
        <v>764</v>
      </c>
      <c r="C1108" s="21" t="s">
        <v>756</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1218</v>
      </c>
      <c r="B1109" s="21" t="s">
        <v>728</v>
      </c>
      <c r="C1109" s="21" t="s">
        <v>748</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1253</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246</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row>
    <row r="1113" spans="1:12">
      <c r="A1113" s="20" t="s">
        <v>1254</v>
      </c>
    </row>
    <row r="1114" spans="1:12">
      <c r="A1114" s="20" t="s">
        <v>768</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813</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1255</v>
      </c>
      <c r="B1116" s="21" t="s">
        <v>728</v>
      </c>
      <c r="C1116" s="21" t="s">
        <v>753</v>
      </c>
      <c r="D1116" s="21" t="s">
        <v>730</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773</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751</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1198</v>
      </c>
      <c r="B1119" s="21" t="s">
        <v>739</v>
      </c>
      <c r="C1119" s="21" t="s">
        <v>753</v>
      </c>
      <c r="D1119" s="21" t="s">
        <v>730</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811</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1256</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246</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row>
    <row r="1124" spans="1:12">
      <c r="A1124" s="20" t="s">
        <v>1257</v>
      </c>
    </row>
    <row r="1125" spans="1:12">
      <c r="A1125" s="20" t="s">
        <v>1258</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440</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859</v>
      </c>
      <c r="B1127" s="21" t="s">
        <v>728</v>
      </c>
      <c r="C1127" s="21" t="s">
        <v>789</v>
      </c>
      <c r="D1127" s="21" t="s">
        <v>730</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732</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751</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1168</v>
      </c>
      <c r="B1130" s="21" t="s">
        <v>736</v>
      </c>
      <c r="C1130" s="21" t="s">
        <v>753</v>
      </c>
      <c r="D1130" s="21" t="s">
        <v>730</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1259</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922</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1260</v>
      </c>
      <c r="B1133" s="21" t="s">
        <v>739</v>
      </c>
      <c r="C1133" s="21" t="s">
        <v>756</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1213</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1188</v>
      </c>
      <c r="B1135" s="21" t="s">
        <v>764</v>
      </c>
      <c r="C1135" s="21" t="s">
        <v>737</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1261</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246</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row>
    <row r="1139" spans="1:12">
      <c r="A1139" s="20" t="s">
        <v>1262</v>
      </c>
    </row>
    <row r="1140" spans="1:12">
      <c r="A1140" s="20" t="s">
        <v>1263</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1264</v>
      </c>
      <c r="B1141" s="21" t="s">
        <v>755</v>
      </c>
      <c r="C1141" s="21" t="s">
        <v>801</v>
      </c>
      <c r="D1141" s="21" t="s">
        <v>730</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1159</v>
      </c>
      <c r="B1142" s="21" t="s">
        <v>755</v>
      </c>
      <c r="C1142" s="21" t="s">
        <v>756</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1265</v>
      </c>
      <c r="B1143" s="21" t="s">
        <v>739</v>
      </c>
      <c r="C1143" s="21" t="s">
        <v>802</v>
      </c>
      <c r="D1143" s="21" t="s">
        <v>730</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1266</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759</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811</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762</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887</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1267</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842</v>
      </c>
      <c r="B1150" s="21" t="s">
        <v>728</v>
      </c>
      <c r="C1150" s="21" t="s">
        <v>737</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1268</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759</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762</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887</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1267</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842</v>
      </c>
      <c r="B1156" s="21" t="s">
        <v>736</v>
      </c>
      <c r="C1156" s="21" t="s">
        <v>737</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757</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959</v>
      </c>
      <c r="B1158" s="21" t="s">
        <v>739</v>
      </c>
      <c r="C1158" s="21" t="s">
        <v>753</v>
      </c>
      <c r="D1158" s="21" t="s">
        <v>730</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1107</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1269</v>
      </c>
      <c r="B1160" s="21" t="s">
        <v>755</v>
      </c>
      <c r="C1160" s="21" t="s">
        <v>748</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246</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row>
    <row r="1163" spans="1:12">
      <c r="A1163" s="20" t="s">
        <v>1270</v>
      </c>
    </row>
    <row r="1164" spans="1:12">
      <c r="A1164" s="20" t="s">
        <v>1005</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1271</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750</v>
      </c>
      <c r="B1166" s="21" t="s">
        <v>728</v>
      </c>
      <c r="C1166" s="21" t="s">
        <v>729</v>
      </c>
      <c r="D1166" s="21" t="s">
        <v>730</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762</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1272</v>
      </c>
      <c r="B1168" s="21" t="s">
        <v>764</v>
      </c>
      <c r="C1168" s="21" t="s">
        <v>737</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759</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1142</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732</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913</v>
      </c>
      <c r="B1172" s="21" t="s">
        <v>739</v>
      </c>
      <c r="C1172" s="21" t="s">
        <v>746</v>
      </c>
      <c r="D1172" s="21" t="s">
        <v>730</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1273</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1274</v>
      </c>
      <c r="B1174" s="21" t="s">
        <v>764</v>
      </c>
      <c r="C1174" s="21" t="s">
        <v>748</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1275</v>
      </c>
      <c r="B1175" s="21" t="s">
        <v>739</v>
      </c>
      <c r="C1175" s="21" t="s">
        <v>740</v>
      </c>
      <c r="D1175" s="21" t="s">
        <v>730</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1276</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759</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757</v>
      </c>
      <c r="B1178" s="21" t="s">
        <v>788</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754</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889</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1277</v>
      </c>
      <c r="B1181" s="21" t="s">
        <v>755</v>
      </c>
      <c r="C1181" s="21" t="s">
        <v>802</v>
      </c>
      <c r="D1181" s="21" t="s">
        <v>730</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757</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1123</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1278</v>
      </c>
      <c r="B1184" s="21" t="s">
        <v>739</v>
      </c>
      <c r="C1184" s="21" t="s">
        <v>978</v>
      </c>
      <c r="D1184" s="21" t="s">
        <v>730</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1279</v>
      </c>
      <c r="B1185" s="21" t="s">
        <v>755</v>
      </c>
      <c r="C1185" s="21" t="s">
        <v>740</v>
      </c>
      <c r="D1185" s="21" t="s">
        <v>730</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12</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785</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1280</v>
      </c>
      <c r="B1188" s="21" t="s">
        <v>783</v>
      </c>
      <c r="C1188" s="21" t="s">
        <v>748</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12</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1281</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811</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246</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row>
    <row r="1194" spans="1:12">
      <c r="A1194" s="20" t="s">
        <v>798</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1282</v>
      </c>
    </row>
    <row r="1196" spans="1:12">
      <c r="A1196" s="20" t="s">
        <v>834</v>
      </c>
      <c r="B1196" s="21" t="s">
        <v>728</v>
      </c>
      <c r="C1196" s="21" t="s">
        <v>729</v>
      </c>
      <c r="D1196" s="21" t="s">
        <v>730</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1283</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817</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1284</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1285</v>
      </c>
      <c r="B1200" s="21" t="s">
        <v>736</v>
      </c>
      <c r="C1200" s="21" t="s">
        <v>740</v>
      </c>
      <c r="D1200" s="21" t="s">
        <v>730</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817</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246</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row>
    <row r="1204" spans="1:12">
      <c r="A1204" s="20" t="s">
        <v>1286</v>
      </c>
    </row>
    <row r="1205" spans="1:12">
      <c r="A1205" s="20" t="s">
        <v>958</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1287</v>
      </c>
      <c r="B1206" s="21" t="s">
        <v>796</v>
      </c>
      <c r="C1206" s="21" t="s">
        <v>978</v>
      </c>
      <c r="D1206" s="21" t="s">
        <v>730</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1245</v>
      </c>
      <c r="B1207" s="21" t="s">
        <v>783</v>
      </c>
      <c r="C1207" s="21" t="s">
        <v>801</v>
      </c>
      <c r="D1207" s="21" t="s">
        <v>730</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1272</v>
      </c>
      <c r="B1208" s="21" t="s">
        <v>755</v>
      </c>
      <c r="C1208" s="21" t="s">
        <v>802</v>
      </c>
      <c r="D1208" s="21" t="s">
        <v>730</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811</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899</v>
      </c>
      <c r="B1210" s="21" t="s">
        <v>728</v>
      </c>
      <c r="C1210" s="21" t="s">
        <v>729</v>
      </c>
      <c r="D1210" s="21" t="s">
        <v>730</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759</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813</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1288</v>
      </c>
      <c r="B1213" s="21" t="s">
        <v>788</v>
      </c>
      <c r="C1213" s="21" t="s">
        <v>753</v>
      </c>
      <c r="D1213" s="21" t="s">
        <v>730</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1289</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1290</v>
      </c>
      <c r="B1215" s="21" t="s">
        <v>843</v>
      </c>
      <c r="C1215" s="21" t="s">
        <v>748</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732</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1291</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1292</v>
      </c>
      <c r="B1218" s="21" t="s">
        <v>755</v>
      </c>
      <c r="C1218" s="21" t="s">
        <v>748</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1293</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754</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1294</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785</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1295</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732</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1296</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1297</v>
      </c>
      <c r="B1226" s="21" t="s">
        <v>783</v>
      </c>
      <c r="C1226" s="21" t="s">
        <v>748</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754</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417</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246</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row>
    <row r="1231" spans="1:12">
      <c r="A1231" s="20" t="s">
        <v>1298</v>
      </c>
    </row>
    <row r="1232" spans="1:12">
      <c r="A1232" s="20" t="s">
        <v>883</v>
      </c>
      <c r="B1232" s="21" t="s">
        <v>728</v>
      </c>
      <c r="C1232" s="21" t="s">
        <v>789</v>
      </c>
      <c r="D1232" s="21" t="s">
        <v>730</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250</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859</v>
      </c>
      <c r="B1234" s="21" t="s">
        <v>728</v>
      </c>
      <c r="C1234" s="21" t="s">
        <v>789</v>
      </c>
      <c r="D1234" s="21" t="s">
        <v>730</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885</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805</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785</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1299</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872</v>
      </c>
      <c r="B1239" s="21" t="s">
        <v>791</v>
      </c>
      <c r="C1239" s="21" t="s">
        <v>789</v>
      </c>
      <c r="D1239" s="21" t="s">
        <v>730</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944</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762</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1300</v>
      </c>
      <c r="B1242" s="21" t="s">
        <v>796</v>
      </c>
      <c r="C1242" s="21" t="s">
        <v>737</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1054</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1301</v>
      </c>
      <c r="B1244" s="21" t="s">
        <v>791</v>
      </c>
      <c r="C1244" s="21" t="s">
        <v>737</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246</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row>
    <row r="1247" spans="1:12">
      <c r="A1247" s="20" t="s">
        <v>1302</v>
      </c>
    </row>
    <row r="1248" spans="1:12">
      <c r="A1248" s="20" t="s">
        <v>994</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1303</v>
      </c>
      <c r="B1249" s="21" t="s">
        <v>736</v>
      </c>
      <c r="C1249" s="21" t="s">
        <v>748</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757</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1304</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1059</v>
      </c>
      <c r="B1252" s="21" t="s">
        <v>739</v>
      </c>
      <c r="C1252" s="21" t="s">
        <v>753</v>
      </c>
      <c r="D1252" s="21" t="s">
        <v>730</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1305</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859</v>
      </c>
      <c r="B1254" s="21" t="s">
        <v>728</v>
      </c>
      <c r="C1254" s="21" t="s">
        <v>789</v>
      </c>
      <c r="D1254" s="21" t="s">
        <v>730</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1195</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759</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808</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859</v>
      </c>
      <c r="B1258" s="21" t="s">
        <v>796</v>
      </c>
      <c r="C1258" s="21" t="s">
        <v>789</v>
      </c>
      <c r="D1258" s="21" t="s">
        <v>730</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773</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751</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1280</v>
      </c>
      <c r="B1261" s="21" t="s">
        <v>739</v>
      </c>
      <c r="C1261" s="21" t="s">
        <v>753</v>
      </c>
      <c r="D1261" s="21" t="s">
        <v>730</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12</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785</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1306</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12</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1307</v>
      </c>
      <c r="B1266" s="21" t="s">
        <v>755</v>
      </c>
      <c r="C1266" s="21" t="s">
        <v>748</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12</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1308</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859</v>
      </c>
      <c r="B1269" s="21" t="s">
        <v>796</v>
      </c>
      <c r="C1269" s="21" t="s">
        <v>789</v>
      </c>
      <c r="D1269" s="21" t="s">
        <v>730</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813</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1272</v>
      </c>
      <c r="B1271" s="21" t="s">
        <v>791</v>
      </c>
      <c r="C1271" s="21" t="s">
        <v>753</v>
      </c>
      <c r="D1271" s="21" t="s">
        <v>730</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986</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1309</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1310</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1252</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12</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754</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1311</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1312</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246</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row>
    <row r="1282" spans="1:12">
      <c r="A1282" s="20" t="s">
        <v>798</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1313</v>
      </c>
    </row>
    <row r="1284" spans="1:12">
      <c r="A1284" s="20" t="s">
        <v>727</v>
      </c>
      <c r="B1284" s="21" t="s">
        <v>728</v>
      </c>
      <c r="C1284" s="21" t="s">
        <v>729</v>
      </c>
      <c r="D1284" s="21" t="s">
        <v>730</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1001</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1314</v>
      </c>
      <c r="B1286" s="21" t="s">
        <v>739</v>
      </c>
      <c r="C1286" s="21" t="s">
        <v>801</v>
      </c>
      <c r="D1286" s="21" t="s">
        <v>730</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1315</v>
      </c>
      <c r="B1287" s="21" t="s">
        <v>764</v>
      </c>
      <c r="C1287" s="21" t="s">
        <v>802</v>
      </c>
      <c r="D1287" s="21" t="s">
        <v>730</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817</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1316</v>
      </c>
      <c r="B1289" s="21" t="s">
        <v>739</v>
      </c>
      <c r="C1289" s="21" t="s">
        <v>740</v>
      </c>
      <c r="D1289" s="21" t="s">
        <v>730</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817</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1317</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759</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776</v>
      </c>
      <c r="B1293" s="21" t="s">
        <v>788</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813</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1318</v>
      </c>
      <c r="B1295" s="21" t="s">
        <v>843</v>
      </c>
      <c r="C1295" s="21" t="s">
        <v>753</v>
      </c>
      <c r="D1295" s="21" t="s">
        <v>730</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773</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1319</v>
      </c>
      <c r="B1297" s="21" t="s">
        <v>778</v>
      </c>
      <c r="C1297" s="21" t="s">
        <v>748</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1320</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1321</v>
      </c>
      <c r="B1299" s="21" t="s">
        <v>843</v>
      </c>
      <c r="C1299" s="21" t="s">
        <v>748</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785</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1322</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1321</v>
      </c>
      <c r="B1302" s="21" t="s">
        <v>788</v>
      </c>
      <c r="C1302" s="21" t="s">
        <v>748</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773</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887</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1267</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1323</v>
      </c>
      <c r="B1306" s="21" t="s">
        <v>755</v>
      </c>
      <c r="C1306" s="21" t="s">
        <v>748</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1324</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1325</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759</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732</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1326</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1098</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759</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1327</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1328</v>
      </c>
      <c r="B1315" s="21" t="s">
        <v>796</v>
      </c>
      <c r="C1315" s="21" t="s">
        <v>748</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759</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813</v>
      </c>
      <c r="B1317" s="21" t="s">
        <v>777</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1329</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1177</v>
      </c>
      <c r="B1319" s="21" t="s">
        <v>783</v>
      </c>
      <c r="C1319" s="21" t="s">
        <v>740</v>
      </c>
      <c r="D1319" s="21" t="s">
        <v>730</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1330</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1331</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1137</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t="s">
        <v>246</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row>
    <row r="1325" spans="1:12">
      <c r="A1325" s="20" t="s">
        <v>1332</v>
      </c>
    </row>
    <row r="1326" spans="1:12">
      <c r="A1326" s="20" t="s">
        <v>768</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813</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1333</v>
      </c>
      <c r="B1328" s="21" t="s">
        <v>728</v>
      </c>
      <c r="C1328" s="21" t="s">
        <v>753</v>
      </c>
      <c r="D1328" s="21" t="s">
        <v>730</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1334</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917</v>
      </c>
      <c r="B1330" s="21" t="s">
        <v>736</v>
      </c>
      <c r="C1330" s="21" t="s">
        <v>756</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1177</v>
      </c>
      <c r="B1331" s="21" t="s">
        <v>736</v>
      </c>
      <c r="C1331" s="21" t="s">
        <v>740</v>
      </c>
      <c r="D1331" s="21" t="s">
        <v>730</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106</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246</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row>
    <row r="1335" spans="1:12">
      <c r="A1335" s="20" t="s">
        <v>1335</v>
      </c>
    </row>
    <row r="1336" spans="1:12">
      <c r="A1336" s="20" t="s">
        <v>768</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813</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842</v>
      </c>
      <c r="B1338" s="21" t="s">
        <v>728</v>
      </c>
      <c r="C1338" s="21" t="s">
        <v>753</v>
      </c>
      <c r="D1338" s="21" t="s">
        <v>730</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1325</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1177</v>
      </c>
      <c r="B1340" s="21" t="s">
        <v>736</v>
      </c>
      <c r="C1340" s="21" t="s">
        <v>740</v>
      </c>
      <c r="D1340" s="21" t="s">
        <v>730</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106</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246</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row>
    <row r="1344" spans="1:12">
      <c r="A1344" s="20" t="s">
        <v>1336</v>
      </c>
    </row>
    <row r="1345" spans="1:12">
      <c r="A1345" s="20" t="s">
        <v>994</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813</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1318</v>
      </c>
      <c r="B1347" s="21" t="s">
        <v>728</v>
      </c>
      <c r="C1347" s="21" t="s">
        <v>753</v>
      </c>
      <c r="D1347" s="21" t="s">
        <v>730</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1337</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887</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1338</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1178</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246</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row>
    <row r="1354" spans="1:12">
      <c r="A1354" s="20" t="s">
        <v>1339</v>
      </c>
    </row>
    <row r="1355" spans="1:12">
      <c r="A1355" s="20" t="s">
        <v>768</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813</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1340</v>
      </c>
      <c r="B1357" s="21" t="s">
        <v>728</v>
      </c>
      <c r="C1357" s="21" t="s">
        <v>753</v>
      </c>
      <c r="D1357" s="21" t="s">
        <v>730</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773</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745</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1272</v>
      </c>
      <c r="B1360" s="21" t="s">
        <v>739</v>
      </c>
      <c r="C1360" s="21" t="s">
        <v>852</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1341</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792</v>
      </c>
      <c r="B1362" s="21" t="s">
        <v>764</v>
      </c>
      <c r="C1362" s="21" t="s">
        <v>729</v>
      </c>
      <c r="D1362" s="21" t="s">
        <v>730</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759</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808</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859</v>
      </c>
      <c r="B1365" s="21" t="s">
        <v>796</v>
      </c>
      <c r="C1365" s="21" t="s">
        <v>789</v>
      </c>
      <c r="D1365" s="21" t="s">
        <v>730</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1342</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902</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810</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773</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757</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1343</v>
      </c>
      <c r="B1371" s="21" t="s">
        <v>736</v>
      </c>
      <c r="C1371" s="21" t="s">
        <v>753</v>
      </c>
      <c r="D1371" s="21" t="s">
        <v>730</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1344</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759</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776</v>
      </c>
      <c r="B1374" s="21" t="s">
        <v>843</v>
      </c>
      <c r="C1374" s="21" t="s">
        <v>801</v>
      </c>
      <c r="D1374" s="21" t="s">
        <v>730</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754</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222</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246</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row>
    <row r="1379" spans="1:12">
      <c r="A1379" s="20" t="s">
        <v>1345</v>
      </c>
    </row>
    <row r="1380" spans="1:12">
      <c r="A1380" s="20" t="s">
        <v>1005</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1346</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750</v>
      </c>
      <c r="B1382" s="21" t="s">
        <v>728</v>
      </c>
      <c r="C1382" s="21" t="s">
        <v>729</v>
      </c>
      <c r="D1382" s="21" t="s">
        <v>730</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776</v>
      </c>
      <c r="B1383" s="21" t="s">
        <v>764</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785</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1046</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1264</v>
      </c>
      <c r="B1386" s="21" t="s">
        <v>755</v>
      </c>
      <c r="C1386" s="21" t="s">
        <v>801</v>
      </c>
      <c r="D1386" s="21" t="s">
        <v>730</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1039</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1168</v>
      </c>
      <c r="B1388" s="21" t="s">
        <v>791</v>
      </c>
      <c r="C1388" s="21" t="s">
        <v>1347</v>
      </c>
      <c r="D1388" s="21" t="s">
        <v>730</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1348</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776</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1349</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1350</v>
      </c>
      <c r="B1392" s="21" t="s">
        <v>739</v>
      </c>
      <c r="C1392" s="21" t="s">
        <v>753</v>
      </c>
      <c r="D1392" s="21" t="s">
        <v>730</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759</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776</v>
      </c>
      <c r="B1394" s="21" t="s">
        <v>777</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1351</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246</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row>
    <row r="1398" spans="1:12">
      <c r="A1398" s="20" t="s">
        <v>798</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1352</v>
      </c>
    </row>
    <row r="1400" spans="1:12">
      <c r="A1400" s="20" t="s">
        <v>1353</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1354</v>
      </c>
      <c r="B1401" s="21" t="s">
        <v>755</v>
      </c>
      <c r="C1401" s="21" t="s">
        <v>748</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1355</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1356</v>
      </c>
      <c r="B1403" s="21" t="s">
        <v>739</v>
      </c>
      <c r="C1403" s="21" t="s">
        <v>801</v>
      </c>
      <c r="D1403" s="21" t="s">
        <v>730</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1357</v>
      </c>
      <c r="B1404" s="21" t="s">
        <v>764</v>
      </c>
      <c r="C1404" s="21" t="s">
        <v>802</v>
      </c>
      <c r="D1404" s="21" t="s">
        <v>730</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1071</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750</v>
      </c>
      <c r="B1406" s="21" t="s">
        <v>728</v>
      </c>
      <c r="C1406" s="21" t="s">
        <v>729</v>
      </c>
      <c r="D1406" s="21" t="s">
        <v>730</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776</v>
      </c>
      <c r="B1407" s="21" t="s">
        <v>764</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920</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817</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1358</v>
      </c>
      <c r="B1410" s="21" t="s">
        <v>736</v>
      </c>
      <c r="C1410" s="21" t="s">
        <v>740</v>
      </c>
      <c r="D1410" s="21" t="s">
        <v>730</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785</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1359</v>
      </c>
      <c r="B1412" s="21" t="s">
        <v>739</v>
      </c>
      <c r="C1412" s="21" t="s">
        <v>740</v>
      </c>
      <c r="D1412" s="21" t="s">
        <v>730</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742</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774</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1350</v>
      </c>
      <c r="B1415" s="21" t="s">
        <v>736</v>
      </c>
      <c r="C1415" s="21" t="s">
        <v>737</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817</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1360</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246</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row>
    <row r="1420" spans="1:12">
      <c r="A1420" s="20" t="s">
        <v>1361</v>
      </c>
    </row>
    <row r="1421" spans="1:12">
      <c r="A1421" s="20" t="s">
        <v>836</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948</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922</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1362</v>
      </c>
      <c r="B1424" s="21" t="s">
        <v>736</v>
      </c>
      <c r="C1424" s="21" t="s">
        <v>737</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1363</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1364</v>
      </c>
      <c r="B1426" s="21" t="s">
        <v>739</v>
      </c>
      <c r="C1426" s="21" t="s">
        <v>748</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759</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922</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1365</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1168</v>
      </c>
      <c r="B1430" s="21" t="s">
        <v>739</v>
      </c>
      <c r="C1430" s="21" t="s">
        <v>737</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246</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row>
    <row r="1433" spans="1:12">
      <c r="A1433" s="20" t="s">
        <v>1366</v>
      </c>
    </row>
    <row r="1434" spans="1:12">
      <c r="A1434" s="20" t="s">
        <v>1367</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1023</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1368</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750</v>
      </c>
      <c r="B1437" s="21" t="s">
        <v>728</v>
      </c>
      <c r="C1437" s="21" t="s">
        <v>729</v>
      </c>
      <c r="D1437" s="21" t="s">
        <v>730</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1309</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754</v>
      </c>
      <c r="B1439" s="21" t="s">
        <v>739</v>
      </c>
      <c r="C1439" s="21" t="s">
        <v>756</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751</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t="s">
        <v>1055</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1369</v>
      </c>
      <c r="B1442" s="21" t="s">
        <v>736</v>
      </c>
      <c r="C1442" s="21" t="s">
        <v>753</v>
      </c>
      <c r="D1442" s="21" t="s">
        <v>730</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757</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1370</v>
      </c>
      <c r="B1444" s="21" t="s">
        <v>739</v>
      </c>
      <c r="C1444" s="21" t="s">
        <v>740</v>
      </c>
      <c r="D1444" s="21" t="s">
        <v>730</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289</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246</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row>
    <row r="1448" spans="1:12">
      <c r="A1448" s="20" t="s">
        <v>1371</v>
      </c>
    </row>
    <row r="1449" spans="1:12">
      <c r="A1449" s="20" t="s">
        <v>1372</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1071</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750</v>
      </c>
      <c r="B1451" s="21" t="s">
        <v>728</v>
      </c>
      <c r="C1451" s="21" t="s">
        <v>729</v>
      </c>
      <c r="D1451" s="21" t="s">
        <v>730</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840</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1168</v>
      </c>
      <c r="B1453" s="21" t="s">
        <v>764</v>
      </c>
      <c r="C1453" s="21" t="s">
        <v>753</v>
      </c>
      <c r="D1453" s="21" t="s">
        <v>730</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1037</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246</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row>
    <row r="1457" spans="1:12">
      <c r="A1457" s="20" t="s">
        <v>1373</v>
      </c>
    </row>
    <row r="1458" spans="1:12">
      <c r="A1458" s="20" t="s">
        <v>1353</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1374</v>
      </c>
      <c r="B1459" s="21" t="s">
        <v>739</v>
      </c>
      <c r="C1459" s="21" t="s">
        <v>748</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1355</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883</v>
      </c>
      <c r="B1461" s="21" t="s">
        <v>728</v>
      </c>
      <c r="C1461" s="21" t="s">
        <v>801</v>
      </c>
      <c r="D1461" s="21" t="s">
        <v>730</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1087</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813</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1375</v>
      </c>
      <c r="B1464" s="21" t="s">
        <v>736</v>
      </c>
      <c r="C1464" s="21" t="s">
        <v>753</v>
      </c>
      <c r="D1464" s="21" t="s">
        <v>730</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246</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row>
    <row r="1467" spans="1:12">
      <c r="A1467" s="20" t="s">
        <v>1376</v>
      </c>
    </row>
    <row r="1468" spans="1:12">
      <c r="A1468" s="20" t="s">
        <v>883</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1377</v>
      </c>
      <c r="B1469" s="21" t="s">
        <v>728</v>
      </c>
      <c r="C1469" s="21" t="s">
        <v>753</v>
      </c>
      <c r="D1469" s="21" t="s">
        <v>730</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1378</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776</v>
      </c>
      <c r="B1471" s="21" t="s">
        <v>764</v>
      </c>
      <c r="C1471" s="21" t="s">
        <v>801</v>
      </c>
      <c r="D1471" s="21" t="s">
        <v>730</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1023</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810</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246</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row>
    <row r="1476" spans="1:12">
      <c r="A1476" s="20" t="s">
        <v>798</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1379</v>
      </c>
    </row>
    <row r="1478" spans="1:12">
      <c r="A1478" s="20" t="s">
        <v>727</v>
      </c>
      <c r="B1478" s="21" t="s">
        <v>728</v>
      </c>
      <c r="C1478" s="21" t="s">
        <v>729</v>
      </c>
      <c r="D1478" s="21" t="s">
        <v>730</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1071</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928</v>
      </c>
      <c r="B1480" s="21" t="s">
        <v>764</v>
      </c>
      <c r="C1480" s="21" t="s">
        <v>789</v>
      </c>
      <c r="D1480" s="21" t="s">
        <v>730</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1023</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304</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759</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1380</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750</v>
      </c>
      <c r="B1485" s="21" t="s">
        <v>796</v>
      </c>
      <c r="C1485" s="21" t="s">
        <v>729</v>
      </c>
      <c r="D1485" s="21" t="s">
        <v>730</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1381</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1147</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817</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1382</v>
      </c>
      <c r="B1489" s="21" t="s">
        <v>788</v>
      </c>
      <c r="C1489" s="21" t="s">
        <v>789</v>
      </c>
      <c r="D1489" s="21" t="s">
        <v>730</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421</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754</v>
      </c>
      <c r="B1491" s="21" t="s">
        <v>783</v>
      </c>
      <c r="C1491" s="21" t="s">
        <v>756</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751</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1369</v>
      </c>
      <c r="B1493" s="21" t="s">
        <v>755</v>
      </c>
      <c r="C1493" s="21" t="s">
        <v>753</v>
      </c>
      <c r="D1493" s="21" t="s">
        <v>730</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246</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row>
    <row r="1496" spans="1:12">
      <c r="A1496" s="20" t="s">
        <v>1383</v>
      </c>
    </row>
    <row r="1497" spans="1:12">
      <c r="A1497" s="20" t="s">
        <v>1382</v>
      </c>
      <c r="B1497" s="21" t="s">
        <v>728</v>
      </c>
      <c r="C1497" s="21" t="s">
        <v>789</v>
      </c>
      <c r="D1497" s="21" t="s">
        <v>730</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308</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776</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1384</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1369</v>
      </c>
      <c r="B1501" s="21" t="s">
        <v>764</v>
      </c>
      <c r="C1501" s="21" t="s">
        <v>753</v>
      </c>
      <c r="D1501" s="21" t="s">
        <v>730</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246</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row>
    <row r="1504" spans="1:12">
      <c r="A1504" s="20" t="s">
        <v>1385</v>
      </c>
    </row>
    <row r="1505" spans="1:12">
      <c r="A1505" s="20" t="s">
        <v>1382</v>
      </c>
      <c r="B1505" s="21" t="s">
        <v>728</v>
      </c>
      <c r="C1505" s="21" t="s">
        <v>789</v>
      </c>
      <c r="D1505" s="21" t="s">
        <v>730</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285</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899</v>
      </c>
      <c r="B1507" s="21" t="s">
        <v>764</v>
      </c>
      <c r="C1507" s="21" t="s">
        <v>729</v>
      </c>
      <c r="D1507" s="21" t="s">
        <v>730</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773</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757</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1386</v>
      </c>
      <c r="B1510" s="21" t="s">
        <v>736</v>
      </c>
      <c r="C1510" s="21" t="s">
        <v>753</v>
      </c>
      <c r="D1510" s="21" t="s">
        <v>730</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845</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1387</v>
      </c>
      <c r="B1512" s="21" t="s">
        <v>739</v>
      </c>
      <c r="C1512" s="21" t="s">
        <v>753</v>
      </c>
      <c r="D1512" s="21" t="s">
        <v>730</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24</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246</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row>
    <row r="1516" spans="1:12">
      <c r="A1516" s="20" t="s">
        <v>1388</v>
      </c>
    </row>
    <row r="1517" spans="1:12">
      <c r="A1517" s="20" t="s">
        <v>883</v>
      </c>
      <c r="B1517" s="21" t="s">
        <v>728</v>
      </c>
      <c r="C1517" s="21" t="s">
        <v>801</v>
      </c>
      <c r="D1517" s="21" t="s">
        <v>730</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1087</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1221</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1389</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246</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row>
    <row r="1523" spans="1:12">
      <c r="A1523" s="20" t="s">
        <v>798</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1390</v>
      </c>
    </row>
    <row r="1525" spans="1:12">
      <c r="A1525" s="20" t="s">
        <v>836</v>
      </c>
      <c r="B1525" s="21" t="s">
        <v>728</v>
      </c>
      <c r="C1525" s="21" t="s">
        <v>729</v>
      </c>
      <c r="D1525" s="21" t="s">
        <v>730</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1087</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922</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1391</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1392</v>
      </c>
      <c r="B1529" s="21" t="s">
        <v>736</v>
      </c>
      <c r="C1529" s="21" t="s">
        <v>737</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1393</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1394</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246</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817</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row>
    <row r="1535" spans="1:12">
      <c r="A1535" s="20" t="s">
        <v>1395</v>
      </c>
    </row>
    <row r="1536" spans="1:12">
      <c r="A1536" s="20" t="s">
        <v>768</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750</v>
      </c>
      <c r="B1537" s="21" t="s">
        <v>728</v>
      </c>
      <c r="C1537" s="21" t="s">
        <v>729</v>
      </c>
      <c r="D1537" s="21" t="s">
        <v>730</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1396</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928</v>
      </c>
      <c r="B1539" s="21" t="s">
        <v>764</v>
      </c>
      <c r="C1539" s="21" t="s">
        <v>789</v>
      </c>
      <c r="D1539" s="21" t="s">
        <v>730</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759</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762</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1397</v>
      </c>
      <c r="B1542" s="21" t="s">
        <v>791</v>
      </c>
      <c r="C1542" s="21" t="s">
        <v>737</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754</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1398</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246</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row>
    <row r="1547" spans="1:12">
      <c r="A1547" s="20" t="s">
        <v>1399</v>
      </c>
    </row>
    <row r="1548" spans="1:12">
      <c r="A1548" s="20" t="s">
        <v>1400</v>
      </c>
      <c r="B1548" s="21" t="s">
        <v>736</v>
      </c>
      <c r="C1548" s="21" t="s">
        <v>748</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327</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246</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row>
    <row r="1552" spans="1:12">
      <c r="A1552" s="20" t="s">
        <v>1401</v>
      </c>
    </row>
    <row r="1553" spans="1:12">
      <c r="A1553" s="20" t="s">
        <v>994</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776</v>
      </c>
      <c r="B1554" s="21" t="s">
        <v>728</v>
      </c>
      <c r="C1554" s="21" t="s">
        <v>801</v>
      </c>
      <c r="D1554" s="21" t="s">
        <v>730</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1402</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1403</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935</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1178</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759</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808</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813</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1404</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1099</v>
      </c>
      <c r="B1563" s="21" t="s">
        <v>796</v>
      </c>
      <c r="C1563" s="21" t="s">
        <v>753</v>
      </c>
      <c r="D1563" s="21" t="s">
        <v>730</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762</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1405</v>
      </c>
      <c r="B1565" s="21" t="s">
        <v>791</v>
      </c>
      <c r="C1565" s="21" t="s">
        <v>737</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222</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1406</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246</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row>
    <row r="1570" spans="1:12">
      <c r="A1570" s="20" t="s">
        <v>1407</v>
      </c>
    </row>
    <row r="1571" spans="1:12">
      <c r="A1571" s="20" t="s">
        <v>1382</v>
      </c>
      <c r="B1571" s="21" t="s">
        <v>728</v>
      </c>
      <c r="C1571" s="21" t="s">
        <v>789</v>
      </c>
      <c r="D1571" s="21" t="s">
        <v>730</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1408</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885</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995</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1409</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1410</v>
      </c>
      <c r="B1576" s="21" t="s">
        <v>739</v>
      </c>
      <c r="C1576" s="21" t="s">
        <v>967</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1060</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762</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1405</v>
      </c>
      <c r="B1579" s="21" t="s">
        <v>764</v>
      </c>
      <c r="C1579" s="21" t="s">
        <v>737</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759</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773</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757</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750</v>
      </c>
      <c r="B1583" s="21" t="s">
        <v>788</v>
      </c>
      <c r="C1583" s="21" t="s">
        <v>729</v>
      </c>
      <c r="D1583" s="21" t="s">
        <v>730</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970</v>
      </c>
      <c r="B1584" s="21" t="s">
        <v>843</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773</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774</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1411</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1412</v>
      </c>
      <c r="B1588" s="21" t="s">
        <v>755</v>
      </c>
      <c r="C1588" s="21" t="s">
        <v>737</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1413</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759</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1414</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1415</v>
      </c>
      <c r="B1592" s="21" t="s">
        <v>736</v>
      </c>
      <c r="C1592" s="21" t="s">
        <v>967</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828</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757</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1416</v>
      </c>
      <c r="B1595" s="21" t="s">
        <v>739</v>
      </c>
      <c r="C1595" s="21" t="s">
        <v>753</v>
      </c>
      <c r="D1595" s="21" t="s">
        <v>730</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845</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1417</v>
      </c>
      <c r="B1597" s="21" t="s">
        <v>755</v>
      </c>
      <c r="C1597" s="21" t="s">
        <v>753</v>
      </c>
      <c r="D1597" s="21" t="s">
        <v>730</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759</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785</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792</v>
      </c>
      <c r="B1600" s="21" t="s">
        <v>791</v>
      </c>
      <c r="C1600" s="21" t="s">
        <v>729</v>
      </c>
      <c r="D1600" s="21" t="s">
        <v>730</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813</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1384</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1370</v>
      </c>
      <c r="B1603" s="21" t="s">
        <v>796</v>
      </c>
      <c r="C1603" s="21" t="s">
        <v>740</v>
      </c>
      <c r="D1603" s="21" t="s">
        <v>730</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812</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922</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1418</v>
      </c>
      <c r="B1606" s="21" t="s">
        <v>739</v>
      </c>
      <c r="C1606" s="21" t="s">
        <v>737</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1419</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246</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row>
    <row r="1610" spans="1:12">
      <c r="A1610" s="20" t="s">
        <v>1420</v>
      </c>
    </row>
    <row r="1611" spans="1:12">
      <c r="A1611" s="20" t="s">
        <v>883</v>
      </c>
      <c r="B1611" s="21" t="s">
        <v>728</v>
      </c>
      <c r="C1611" s="21" t="s">
        <v>789</v>
      </c>
      <c r="D1611" s="21" t="s">
        <v>730</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811</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1187</v>
      </c>
      <c r="B1613" s="21" t="s">
        <v>736</v>
      </c>
      <c r="C1613" s="21" t="s">
        <v>789</v>
      </c>
      <c r="D1613" s="21" t="s">
        <v>730</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1168</v>
      </c>
      <c r="B1614" s="21" t="s">
        <v>736</v>
      </c>
      <c r="C1614" s="21" t="s">
        <v>967</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t="s">
        <v>759</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t="s">
        <v>1187</v>
      </c>
      <c r="B1616" s="21" t="s">
        <v>739</v>
      </c>
      <c r="C1616" s="21" t="s">
        <v>789</v>
      </c>
      <c r="D1616" s="21" t="s">
        <v>730</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1421</v>
      </c>
      <c r="B1617" s="21" t="s">
        <v>736</v>
      </c>
      <c r="C1617" s="21" t="s">
        <v>740</v>
      </c>
      <c r="D1617" s="21" t="s">
        <v>730</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759</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776</v>
      </c>
      <c r="B1619" s="21" t="s">
        <v>796</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811</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1422</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246</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row>
    <row r="1624" spans="1:12">
      <c r="A1624" s="20" t="s">
        <v>1423</v>
      </c>
    </row>
    <row r="1625" spans="1:12">
      <c r="A1625" s="20" t="s">
        <v>1005</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759</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776</v>
      </c>
      <c r="B1627" s="21" t="s">
        <v>728</v>
      </c>
      <c r="C1627" s="21" t="s">
        <v>801</v>
      </c>
      <c r="D1627" s="21" t="s">
        <v>730</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884</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970</v>
      </c>
      <c r="B1629" s="21" t="s">
        <v>764</v>
      </c>
      <c r="C1629" s="21" t="s">
        <v>729</v>
      </c>
      <c r="D1629" s="21" t="s">
        <v>730</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1088</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1424</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246</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row>
    <row r="1634" spans="1:12">
      <c r="A1634" s="20" t="s">
        <v>1425</v>
      </c>
    </row>
    <row r="1635" spans="1:12">
      <c r="A1635" s="20" t="s">
        <v>768</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813</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1426</v>
      </c>
      <c r="B1637" s="21" t="s">
        <v>796</v>
      </c>
      <c r="C1637" s="21" t="s">
        <v>753</v>
      </c>
      <c r="D1637" s="21" t="s">
        <v>730</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1427</v>
      </c>
      <c r="B1638" s="21" t="s">
        <v>728</v>
      </c>
      <c r="C1638" s="21" t="s">
        <v>807</v>
      </c>
      <c r="D1638" s="21" t="s">
        <v>730</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1137</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1428</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246</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row>
    <row r="1643" spans="1:12">
      <c r="A1643" s="20" t="s">
        <v>1429</v>
      </c>
    </row>
    <row r="1644" spans="1:12">
      <c r="A1644" s="20" t="s">
        <v>1382</v>
      </c>
      <c r="B1644" s="21" t="s">
        <v>728</v>
      </c>
      <c r="C1644" s="21" t="s">
        <v>789</v>
      </c>
      <c r="D1644" s="21" t="s">
        <v>730</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916</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1430</v>
      </c>
      <c r="B1646" s="21" t="s">
        <v>764</v>
      </c>
      <c r="C1646" s="21" t="s">
        <v>748</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785</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1431</v>
      </c>
      <c r="B1648" s="21" t="s">
        <v>739</v>
      </c>
      <c r="C1648" s="21" t="s">
        <v>748</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785</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824</v>
      </c>
      <c r="B1650" s="21" t="s">
        <v>755</v>
      </c>
      <c r="C1650" s="21" t="s">
        <v>756</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1432</v>
      </c>
      <c r="B1651" s="21" t="s">
        <v>739</v>
      </c>
      <c r="C1651" s="21" t="s">
        <v>967</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349</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246</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row>
    <row r="1655" spans="1:12">
      <c r="A1655" s="20" t="s">
        <v>1433</v>
      </c>
    </row>
    <row r="1656" spans="1:12">
      <c r="A1656" s="20" t="s">
        <v>768</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792</v>
      </c>
      <c r="B1657" s="21" t="s">
        <v>764</v>
      </c>
      <c r="C1657" s="21" t="s">
        <v>729</v>
      </c>
      <c r="D1657" s="21" t="s">
        <v>730</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1434</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742</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759</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952</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1435</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903</v>
      </c>
      <c r="B1663" s="21" t="s">
        <v>739</v>
      </c>
      <c r="C1663" s="21" t="s">
        <v>801</v>
      </c>
      <c r="D1663" s="21" t="s">
        <v>730</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1436</v>
      </c>
      <c r="B1664" s="21" t="s">
        <v>736</v>
      </c>
      <c r="C1664" s="21" t="s">
        <v>802</v>
      </c>
      <c r="D1664" s="21" t="s">
        <v>730</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759</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733</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1437</v>
      </c>
      <c r="B1667" s="21" t="s">
        <v>791</v>
      </c>
      <c r="C1667" s="21" t="s">
        <v>737</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1438</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246</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row>
    <row r="1671" spans="1:12">
      <c r="A1671" s="20" t="s">
        <v>1439</v>
      </c>
    </row>
    <row r="1672" spans="1:12">
      <c r="A1672" s="20" t="s">
        <v>1440</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986</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759</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928</v>
      </c>
      <c r="B1675" s="21" t="s">
        <v>728</v>
      </c>
      <c r="C1675" s="21" t="s">
        <v>789</v>
      </c>
      <c r="D1675" s="21" t="s">
        <v>730</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1137</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805</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1441</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785</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1442</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1443</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1444</v>
      </c>
      <c r="B1682" s="21" t="s">
        <v>736</v>
      </c>
      <c r="C1682" s="21" t="s">
        <v>748</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246</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row>
    <row r="1685" spans="1:12">
      <c r="A1685" s="20" t="s">
        <v>1445</v>
      </c>
    </row>
    <row r="1686" spans="1:12">
      <c r="A1686" s="20" t="s">
        <v>1446</v>
      </c>
      <c r="B1686" s="21" t="s">
        <v>728</v>
      </c>
      <c r="C1686" s="21" t="s">
        <v>756</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1447</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773</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903</v>
      </c>
      <c r="B1689" s="21" t="s">
        <v>739</v>
      </c>
      <c r="C1689" s="21" t="s">
        <v>801</v>
      </c>
      <c r="D1689" s="21" t="s">
        <v>730</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1448</v>
      </c>
      <c r="B1690" s="21" t="s">
        <v>736</v>
      </c>
      <c r="C1690" s="21" t="s">
        <v>802</v>
      </c>
      <c r="D1690" s="21" t="s">
        <v>730</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759</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885</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1449</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1450</v>
      </c>
      <c r="B1694" s="21" t="s">
        <v>796</v>
      </c>
      <c r="C1694" s="21" t="s">
        <v>756</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773</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903</v>
      </c>
      <c r="B1696" s="21" t="s">
        <v>755</v>
      </c>
      <c r="C1696" s="21" t="s">
        <v>801</v>
      </c>
      <c r="D1696" s="21" t="s">
        <v>730</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1451</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759</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1452</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851</v>
      </c>
      <c r="B1700" s="21" t="s">
        <v>739</v>
      </c>
      <c r="C1700" s="21" t="s">
        <v>802</v>
      </c>
      <c r="D1700" s="21" t="s">
        <v>730</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1453</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759</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1043</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1094</v>
      </c>
      <c r="B1704" s="21" t="s">
        <v>755</v>
      </c>
      <c r="C1704" s="21" t="s">
        <v>789</v>
      </c>
      <c r="D1704" s="21" t="s">
        <v>730</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1454</v>
      </c>
      <c r="B1705" s="21" t="s">
        <v>796</v>
      </c>
      <c r="C1705" s="21" t="s">
        <v>967</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742</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1455</v>
      </c>
      <c r="B1707" s="21" t="s">
        <v>755</v>
      </c>
      <c r="C1707" s="21" t="s">
        <v>748</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1456</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759</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809</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1450</v>
      </c>
      <c r="B1711" s="21" t="s">
        <v>796</v>
      </c>
      <c r="C1711" s="21" t="s">
        <v>756</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899</v>
      </c>
      <c r="B1712" s="21" t="s">
        <v>791</v>
      </c>
      <c r="C1712" s="21" t="s">
        <v>729</v>
      </c>
      <c r="D1712" s="21" t="s">
        <v>730</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810</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982</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1178</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1457</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246</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row>
    <row r="1719" spans="1:12">
      <c r="A1719" s="20" t="s">
        <v>798</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1458</v>
      </c>
    </row>
    <row r="1721" spans="1:12">
      <c r="A1721" s="20" t="s">
        <v>768</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750</v>
      </c>
      <c r="B1722" s="21" t="s">
        <v>728</v>
      </c>
      <c r="C1722" s="21" t="s">
        <v>729</v>
      </c>
      <c r="D1722" s="21" t="s">
        <v>730</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1224</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792</v>
      </c>
      <c r="B1724" s="21" t="s">
        <v>764</v>
      </c>
      <c r="C1724" s="21" t="s">
        <v>729</v>
      </c>
      <c r="D1724" s="21" t="s">
        <v>730</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759</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817</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1225</v>
      </c>
      <c r="B1727" s="21" t="s">
        <v>736</v>
      </c>
      <c r="C1727" s="21" t="s">
        <v>740</v>
      </c>
      <c r="D1727" s="21" t="s">
        <v>730</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759</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776</v>
      </c>
      <c r="B1729" s="21" t="s">
        <v>796</v>
      </c>
      <c r="C1729" s="21" t="s">
        <v>801</v>
      </c>
      <c r="D1729" s="21" t="s">
        <v>730</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1087</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997</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759</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920</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1459</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750</v>
      </c>
      <c r="B1735" s="21" t="s">
        <v>788</v>
      </c>
      <c r="C1735" s="21" t="s">
        <v>729</v>
      </c>
      <c r="D1735" s="21" t="s">
        <v>730</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773</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774</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738</v>
      </c>
      <c r="B1738" s="21" t="s">
        <v>739</v>
      </c>
      <c r="C1738" s="21" t="s">
        <v>740</v>
      </c>
      <c r="D1738" s="21" t="s">
        <v>730</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12</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741</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12</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1168</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246</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row>
    <row r="1745" spans="1:12">
      <c r="A1745" s="20" t="s">
        <v>798</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1460</v>
      </c>
    </row>
    <row r="1747" spans="1:12">
      <c r="A1747" s="20" t="s">
        <v>883</v>
      </c>
      <c r="B1747" s="21" t="s">
        <v>728</v>
      </c>
      <c r="C1747" s="21" t="s">
        <v>801</v>
      </c>
      <c r="D1747" s="21" t="s">
        <v>730</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1087</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1422</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1461</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246</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817</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row>
    <row r="1754" spans="1:12">
      <c r="A1754" s="20" t="s">
        <v>1462</v>
      </c>
    </row>
    <row r="1755" spans="1:12">
      <c r="A1755" s="20" t="s">
        <v>727</v>
      </c>
      <c r="B1755" s="21" t="s">
        <v>728</v>
      </c>
      <c r="C1755" s="21" t="s">
        <v>729</v>
      </c>
      <c r="D1755" s="21" t="s">
        <v>730</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811</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1463</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1464</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938</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751</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1465</v>
      </c>
      <c r="B1761" s="21" t="s">
        <v>736</v>
      </c>
      <c r="C1761" s="21" t="s">
        <v>753</v>
      </c>
      <c r="D1761" s="21" t="s">
        <v>730</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757</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862</v>
      </c>
      <c r="B1763" s="21" t="s">
        <v>739</v>
      </c>
      <c r="C1763" s="21" t="s">
        <v>753</v>
      </c>
      <c r="D1763" s="21" t="s">
        <v>730</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246</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row>
    <row r="1766" spans="1:12">
      <c r="A1766" s="20" t="s">
        <v>1466</v>
      </c>
    </row>
    <row r="1767" spans="1:12">
      <c r="A1767" s="20" t="s">
        <v>1467</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938</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751</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377</v>
      </c>
      <c r="B1770" s="21" t="s">
        <v>736</v>
      </c>
      <c r="C1770" s="21" t="s">
        <v>753</v>
      </c>
      <c r="D1770" s="21" t="s">
        <v>730</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759</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757</v>
      </c>
      <c r="B1772" s="21" t="s">
        <v>796</v>
      </c>
      <c r="C1772" s="21" t="s">
        <v>789</v>
      </c>
      <c r="D1772" s="21" t="s">
        <v>730</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732</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795</v>
      </c>
      <c r="B1774" s="21" t="s">
        <v>755</v>
      </c>
      <c r="C1774" s="21" t="s">
        <v>748</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785</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1468</v>
      </c>
      <c r="B1776" s="21" t="s">
        <v>783</v>
      </c>
      <c r="C1776" s="21" t="s">
        <v>748</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754</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1469</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884</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246</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row>
    <row r="1782" spans="1:12">
      <c r="A1782" s="20" t="s">
        <v>1470</v>
      </c>
    </row>
    <row r="1783" spans="1:12">
      <c r="A1783" s="20" t="s">
        <v>836</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811</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824</v>
      </c>
      <c r="B1785" s="21" t="s">
        <v>728</v>
      </c>
      <c r="C1785" s="21" t="s">
        <v>756</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246</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row>
    <row r="1788" spans="1:12">
      <c r="A1788" s="20" t="s">
        <v>1471</v>
      </c>
    </row>
    <row r="1789" spans="1:12">
      <c r="A1789" s="20" t="s">
        <v>836</v>
      </c>
      <c r="B1789" s="21" t="s">
        <v>728</v>
      </c>
      <c r="C1789" s="21" t="s">
        <v>729</v>
      </c>
      <c r="D1789" s="21" t="s">
        <v>730</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811</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1472</v>
      </c>
      <c r="B1791" s="21" t="s">
        <v>736</v>
      </c>
      <c r="C1791" s="21" t="s">
        <v>748</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759</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899</v>
      </c>
      <c r="B1793" s="21" t="s">
        <v>796</v>
      </c>
      <c r="C1793" s="21" t="s">
        <v>729</v>
      </c>
      <c r="D1793" s="21" t="s">
        <v>730</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811</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795</v>
      </c>
      <c r="B1795" s="21" t="s">
        <v>736</v>
      </c>
      <c r="C1795" s="21" t="s">
        <v>748</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246</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row>
    <row r="1798" spans="1:12">
      <c r="A1798" s="20" t="s">
        <v>1473</v>
      </c>
    </row>
    <row r="1799" spans="1:12">
      <c r="A1799" s="20" t="s">
        <v>836</v>
      </c>
      <c r="B1799" s="21" t="s">
        <v>728</v>
      </c>
      <c r="C1799" s="21" t="s">
        <v>729</v>
      </c>
      <c r="D1799" s="21" t="s">
        <v>730</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811</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1099</v>
      </c>
      <c r="B1801" s="21" t="s">
        <v>736</v>
      </c>
      <c r="C1801" s="21" t="s">
        <v>748</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246</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row>
    <row r="1804" spans="1:12">
      <c r="A1804" s="20" t="s">
        <v>1474</v>
      </c>
    </row>
    <row r="1805" spans="1:12">
      <c r="A1805" s="20" t="s">
        <v>768</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899</v>
      </c>
      <c r="B1806" s="21" t="s">
        <v>728</v>
      </c>
      <c r="C1806" s="21" t="s">
        <v>729</v>
      </c>
      <c r="D1806" s="21" t="s">
        <v>730</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811</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762</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1475</v>
      </c>
      <c r="B1809" s="21" t="s">
        <v>736</v>
      </c>
      <c r="C1809" s="21" t="s">
        <v>737</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759</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813</v>
      </c>
      <c r="B1811" s="21" t="s">
        <v>791</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792</v>
      </c>
      <c r="B1812" s="21" t="s">
        <v>791</v>
      </c>
      <c r="C1812" s="21" t="s">
        <v>729</v>
      </c>
      <c r="D1812" s="21" t="s">
        <v>730</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1476</v>
      </c>
      <c r="B1813" s="21" t="s">
        <v>796</v>
      </c>
      <c r="C1813" s="21" t="s">
        <v>740</v>
      </c>
      <c r="D1813" s="21" t="s">
        <v>730</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810</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643</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895</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246</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row>
    <row r="1819" spans="1:12">
      <c r="A1819" s="20" t="s">
        <v>1477</v>
      </c>
    </row>
    <row r="1820" spans="1:12">
      <c r="A1820" s="20" t="s">
        <v>1478</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759</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300</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834</v>
      </c>
      <c r="B1823" s="21" t="s">
        <v>728</v>
      </c>
      <c r="C1823" s="21" t="s">
        <v>729</v>
      </c>
      <c r="D1823" s="21" t="s">
        <v>730</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759</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750</v>
      </c>
      <c r="B1825" s="21" t="s">
        <v>796</v>
      </c>
      <c r="C1825" s="21" t="s">
        <v>729</v>
      </c>
      <c r="D1825" s="21" t="s">
        <v>730</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895</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792</v>
      </c>
      <c r="B1827" s="21" t="s">
        <v>791</v>
      </c>
      <c r="C1827" s="21" t="s">
        <v>729</v>
      </c>
      <c r="D1827" s="21" t="s">
        <v>730</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922</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1479</v>
      </c>
      <c r="B1829" s="21" t="s">
        <v>791</v>
      </c>
      <c r="C1829" s="21" t="s">
        <v>737</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504</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759</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1107</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776</v>
      </c>
      <c r="B1833" s="21" t="s">
        <v>739</v>
      </c>
      <c r="C1833" s="21" t="s">
        <v>789</v>
      </c>
      <c r="D1833" s="21" t="s">
        <v>730</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859</v>
      </c>
      <c r="B1834" s="21" t="s">
        <v>796</v>
      </c>
      <c r="C1834" s="21" t="s">
        <v>789</v>
      </c>
      <c r="D1834" s="21" t="s">
        <v>730</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885</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1054</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1480</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1246</v>
      </c>
      <c r="B1838" s="21" t="s">
        <v>791</v>
      </c>
      <c r="C1838" s="21" t="s">
        <v>737</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1481</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1482</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246</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row>
    <row r="1843" spans="1:12">
      <c r="A1843" s="20" t="s">
        <v>1483</v>
      </c>
    </row>
    <row r="1844" spans="1:12">
      <c r="A1844" s="20" t="s">
        <v>994</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750</v>
      </c>
      <c r="B1845" s="21" t="s">
        <v>728</v>
      </c>
      <c r="C1845" s="21" t="s">
        <v>729</v>
      </c>
      <c r="D1845" s="21" t="s">
        <v>730</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895</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792</v>
      </c>
      <c r="B1847" s="21" t="s">
        <v>764</v>
      </c>
      <c r="C1847" s="21" t="s">
        <v>729</v>
      </c>
      <c r="D1847" s="21" t="s">
        <v>730</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810</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776</v>
      </c>
      <c r="B1849" s="21" t="s">
        <v>764</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504</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759</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945</v>
      </c>
      <c r="B1852" s="21" t="s">
        <v>791</v>
      </c>
      <c r="C1852" s="21" t="s">
        <v>789</v>
      </c>
      <c r="D1852" s="21" t="s">
        <v>730</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750</v>
      </c>
      <c r="B1853" s="21" t="s">
        <v>796</v>
      </c>
      <c r="C1853" s="21" t="s">
        <v>729</v>
      </c>
      <c r="D1853" s="21" t="s">
        <v>730</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1484</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845</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1485</v>
      </c>
      <c r="B1856" s="21" t="s">
        <v>739</v>
      </c>
      <c r="C1856" s="21" t="s">
        <v>753</v>
      </c>
      <c r="D1856" s="21" t="s">
        <v>730</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195</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985</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246</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row>
    <row r="1861" spans="1:12">
      <c r="A1861" s="20" t="s">
        <v>1486</v>
      </c>
    </row>
    <row r="1862" spans="1:12">
      <c r="A1862" s="20" t="s">
        <v>1152</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1487</v>
      </c>
      <c r="B1863" s="21" t="s">
        <v>736</v>
      </c>
      <c r="C1863" s="21" t="s">
        <v>756</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757</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1488</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1489</v>
      </c>
      <c r="B1866" s="21" t="s">
        <v>739</v>
      </c>
      <c r="C1866" s="21" t="s">
        <v>753</v>
      </c>
      <c r="D1866" s="21" t="s">
        <v>730</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1071</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750</v>
      </c>
      <c r="B1868" s="21" t="s">
        <v>728</v>
      </c>
      <c r="C1868" s="21" t="s">
        <v>729</v>
      </c>
      <c r="D1868" s="21" t="s">
        <v>730</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1479</v>
      </c>
      <c r="B1869" s="21" t="s">
        <v>764</v>
      </c>
      <c r="C1869" s="21" t="s">
        <v>748</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773</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1490</v>
      </c>
      <c r="B1871" s="21" t="s">
        <v>739</v>
      </c>
      <c r="C1871" s="21" t="s">
        <v>740</v>
      </c>
      <c r="D1871" s="21" t="s">
        <v>730</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1491</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759</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785</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1492</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1493</v>
      </c>
      <c r="B1876" s="21" t="s">
        <v>736</v>
      </c>
      <c r="C1876" s="21" t="s">
        <v>748</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759</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t="s">
        <v>813</v>
      </c>
      <c r="B1878" s="21" t="s">
        <v>843</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750</v>
      </c>
      <c r="B1879" s="21" t="s">
        <v>788</v>
      </c>
      <c r="C1879" s="21" t="s">
        <v>729</v>
      </c>
      <c r="D1879" s="21" t="s">
        <v>730</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902</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879</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878</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1491</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1001</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759</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1492</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805</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1493</v>
      </c>
      <c r="B1888" s="21" t="s">
        <v>739</v>
      </c>
      <c r="C1888" s="21" t="s">
        <v>748</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759</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813</v>
      </c>
      <c r="B1890" s="21" t="s">
        <v>777</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1494</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902</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1495</v>
      </c>
      <c r="B1893" s="21" t="s">
        <v>777</v>
      </c>
      <c r="C1893" s="21" t="s">
        <v>756</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1496</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1491</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1001</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785</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1107</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813</v>
      </c>
      <c r="B1899" s="21" t="s">
        <v>1497</v>
      </c>
      <c r="C1899" s="21" t="s">
        <v>789</v>
      </c>
      <c r="D1899" s="21" t="s">
        <v>730</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813</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1468</v>
      </c>
      <c r="B1901" s="21" t="s">
        <v>1130</v>
      </c>
      <c r="C1901" s="21" t="s">
        <v>753</v>
      </c>
      <c r="D1901" s="21" t="s">
        <v>730</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754</v>
      </c>
      <c r="B1902" s="21" t="s">
        <v>1498</v>
      </c>
      <c r="C1902" s="21" t="s">
        <v>756</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751</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1499</v>
      </c>
      <c r="B1904" s="21" t="s">
        <v>1497</v>
      </c>
      <c r="C1904" s="21" t="s">
        <v>753</v>
      </c>
      <c r="D1904" s="21" t="s">
        <v>730</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759</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920</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859</v>
      </c>
      <c r="B1907" s="21" t="s">
        <v>1500</v>
      </c>
      <c r="C1907" s="21" t="s">
        <v>789</v>
      </c>
      <c r="D1907" s="21" t="s">
        <v>730</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928</v>
      </c>
      <c r="B1908" s="21" t="s">
        <v>1501</v>
      </c>
      <c r="C1908" s="21" t="s">
        <v>789</v>
      </c>
      <c r="D1908" s="21" t="s">
        <v>730</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1216</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759</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902</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1502</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1094</v>
      </c>
      <c r="B1913" s="21" t="s">
        <v>1503</v>
      </c>
      <c r="C1913" s="21" t="s">
        <v>789</v>
      </c>
      <c r="D1913" s="21" t="s">
        <v>730</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1504</v>
      </c>
      <c r="B1914" s="21" t="s">
        <v>1505</v>
      </c>
      <c r="C1914" s="21" t="s">
        <v>967</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1506</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1001</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246</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row>
    <row r="1919" spans="1:12">
      <c r="A1919" s="20" t="s">
        <v>1507</v>
      </c>
    </row>
    <row r="1920" spans="1:12">
      <c r="A1920" s="20" t="s">
        <v>883</v>
      </c>
      <c r="B1920" s="21" t="s">
        <v>728</v>
      </c>
      <c r="C1920" s="21" t="s">
        <v>801</v>
      </c>
      <c r="D1920" s="21" t="s">
        <v>730</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884</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970</v>
      </c>
      <c r="B1922" s="21" t="s">
        <v>764</v>
      </c>
      <c r="C1922" s="21" t="s">
        <v>729</v>
      </c>
      <c r="D1922" s="21" t="s">
        <v>730</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1217</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1508</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406</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759</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785</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750</v>
      </c>
      <c r="B1928" s="21" t="s">
        <v>796</v>
      </c>
      <c r="C1928" s="21" t="s">
        <v>729</v>
      </c>
      <c r="D1928" s="21" t="s">
        <v>730</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1368</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1213</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246</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row>
    <row r="1933" spans="1:12">
      <c r="A1933" s="20" t="s">
        <v>1509</v>
      </c>
    </row>
    <row r="1934" spans="1:12">
      <c r="A1934" s="20" t="s">
        <v>768</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944</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1510</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750</v>
      </c>
      <c r="B1937" s="21" t="s">
        <v>728</v>
      </c>
      <c r="C1937" s="21" t="s">
        <v>729</v>
      </c>
      <c r="D1937" s="21" t="s">
        <v>730</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885</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762</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965</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1511</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1512</v>
      </c>
      <c r="B1942" s="21" t="s">
        <v>764</v>
      </c>
      <c r="C1942" s="21" t="s">
        <v>737</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246</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row>
    <row r="1945" spans="1:12">
      <c r="A1945" s="20" t="s">
        <v>798</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1513</v>
      </c>
    </row>
    <row r="1947" spans="1:12">
      <c r="A1947" s="20" t="s">
        <v>1514</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751</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1242</v>
      </c>
      <c r="B1949" s="21" t="s">
        <v>736</v>
      </c>
      <c r="C1949" s="21" t="s">
        <v>753</v>
      </c>
      <c r="D1949" s="21" t="s">
        <v>730</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938</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817</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1370</v>
      </c>
      <c r="B1952" s="21" t="s">
        <v>739</v>
      </c>
      <c r="C1952" s="21" t="s">
        <v>740</v>
      </c>
      <c r="D1952" s="21" t="s">
        <v>730</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817</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1381</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750</v>
      </c>
      <c r="B1955" s="21" t="s">
        <v>728</v>
      </c>
      <c r="C1955" s="21" t="s">
        <v>729</v>
      </c>
      <c r="D1955" s="21" t="s">
        <v>730</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792</v>
      </c>
      <c r="B1956" s="21" t="s">
        <v>764</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759</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817</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1515</v>
      </c>
      <c r="B1959" s="21" t="s">
        <v>791</v>
      </c>
      <c r="C1959" s="21" t="s">
        <v>740</v>
      </c>
      <c r="D1959" s="21" t="s">
        <v>730</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759</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750</v>
      </c>
      <c r="B1961" s="21" t="s">
        <v>796</v>
      </c>
      <c r="C1961" s="21" t="s">
        <v>729</v>
      </c>
      <c r="D1961" s="21" t="s">
        <v>730</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1516</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1027</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1517</v>
      </c>
      <c r="B1964" s="21" t="s">
        <v>791</v>
      </c>
      <c r="C1964" s="21" t="s">
        <v>852</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920</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1518</v>
      </c>
      <c r="B1966" s="21" t="s">
        <v>739</v>
      </c>
      <c r="C1966" s="21" t="s">
        <v>748</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773</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1476</v>
      </c>
      <c r="B1968" s="21" t="s">
        <v>755</v>
      </c>
      <c r="C1968" s="21" t="s">
        <v>740</v>
      </c>
      <c r="D1968" s="21" t="s">
        <v>730</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742</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1519</v>
      </c>
      <c r="B1970" s="21" t="s">
        <v>755</v>
      </c>
      <c r="C1970" s="21" t="s">
        <v>748</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1520</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785</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1521</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1107</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762</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1522</v>
      </c>
      <c r="B1976" s="21" t="s">
        <v>739</v>
      </c>
      <c r="C1976" s="21" t="s">
        <v>737</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1523</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12</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1524</v>
      </c>
      <c r="B1979" s="21" t="s">
        <v>755</v>
      </c>
      <c r="C1979" s="21" t="s">
        <v>748</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246</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817</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row>
    <row r="1983" spans="1:12">
      <c r="A1983" s="20" t="s">
        <v>1525</v>
      </c>
    </row>
    <row r="1984" spans="1:12">
      <c r="A1984" s="20" t="s">
        <v>768</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885</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1526</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859</v>
      </c>
      <c r="B1987" s="21" t="s">
        <v>728</v>
      </c>
      <c r="C1987" s="21" t="s">
        <v>789</v>
      </c>
      <c r="D1987" s="21" t="s">
        <v>730</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759</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903</v>
      </c>
      <c r="B1989" s="21" t="s">
        <v>755</v>
      </c>
      <c r="C1989" s="21" t="s">
        <v>801</v>
      </c>
      <c r="D1989" s="21" t="s">
        <v>730</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1489</v>
      </c>
      <c r="B1990" s="21" t="s">
        <v>796</v>
      </c>
      <c r="C1990" s="21" t="s">
        <v>802</v>
      </c>
      <c r="D1990" s="21" t="s">
        <v>730</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754</v>
      </c>
      <c r="B1991" s="21" t="s">
        <v>739</v>
      </c>
      <c r="C1991" s="21" t="s">
        <v>756</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1527</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246</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row>
    <row r="1995" spans="1:12">
      <c r="A1995" s="20" t="s">
        <v>798</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1528</v>
      </c>
    </row>
    <row r="1997" spans="1:12">
      <c r="A1997" s="20" t="s">
        <v>1382</v>
      </c>
      <c r="B1997" s="21" t="s">
        <v>728</v>
      </c>
      <c r="C1997" s="21" t="s">
        <v>789</v>
      </c>
      <c r="D1997" s="21" t="s">
        <v>730</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t="s">
        <v>1529</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754</v>
      </c>
      <c r="B1999" s="21" t="s">
        <v>739</v>
      </c>
      <c r="C1999" s="21" t="s">
        <v>756</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757</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817</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1530</v>
      </c>
      <c r="B2002" s="21" t="s">
        <v>736</v>
      </c>
      <c r="C2002" s="21" t="s">
        <v>740</v>
      </c>
      <c r="D2002" s="21" t="s">
        <v>730</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817</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759</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785</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861</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928</v>
      </c>
      <c r="B2007" s="21" t="s">
        <v>796</v>
      </c>
      <c r="C2007" s="21" t="s">
        <v>789</v>
      </c>
      <c r="D2007" s="21" t="s">
        <v>730</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732</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1531</v>
      </c>
      <c r="B2009" s="21" t="s">
        <v>739</v>
      </c>
      <c r="C2009" s="21" t="s">
        <v>748</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246</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row>
    <row r="2012" spans="1:12">
      <c r="A2012" s="20" t="s">
        <v>1532</v>
      </c>
    </row>
    <row r="2013" spans="1:12">
      <c r="A2013" s="20" t="s">
        <v>1382</v>
      </c>
      <c r="B2013" s="21" t="s">
        <v>728</v>
      </c>
      <c r="C2013" s="21" t="s">
        <v>789</v>
      </c>
      <c r="D2013" s="21" t="s">
        <v>730</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1533</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754</v>
      </c>
      <c r="B2015" s="21" t="s">
        <v>739</v>
      </c>
      <c r="C2015" s="21" t="s">
        <v>756</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751</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1369</v>
      </c>
      <c r="B2017" s="21" t="s">
        <v>736</v>
      </c>
      <c r="C2017" s="21" t="s">
        <v>753</v>
      </c>
      <c r="D2017" s="21" t="s">
        <v>730</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757</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1370</v>
      </c>
      <c r="B2019" s="21" t="s">
        <v>739</v>
      </c>
      <c r="C2019" s="21" t="s">
        <v>740</v>
      </c>
      <c r="D2019" s="21" t="s">
        <v>730</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1178</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246</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row>
    <row r="2023" spans="1:12">
      <c r="A2023" s="20" t="s">
        <v>1534</v>
      </c>
    </row>
    <row r="2024" spans="1:12">
      <c r="A2024" s="20" t="s">
        <v>1382</v>
      </c>
      <c r="B2024" s="21" t="s">
        <v>728</v>
      </c>
      <c r="C2024" s="21" t="s">
        <v>789</v>
      </c>
      <c r="D2024" s="21" t="s">
        <v>730</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924</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1535</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1536</v>
      </c>
      <c r="B2027" s="21" t="s">
        <v>764</v>
      </c>
      <c r="C2027" s="21" t="s">
        <v>748</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759</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t="s">
        <v>813</v>
      </c>
      <c r="B2029" s="21" t="s">
        <v>791</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t="s">
        <v>859</v>
      </c>
      <c r="B2030" s="21" t="s">
        <v>796</v>
      </c>
      <c r="C2030" s="21" t="s">
        <v>789</v>
      </c>
      <c r="D2030" s="21" t="s">
        <v>730</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t="s">
        <v>1537</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1252</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759</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813</v>
      </c>
      <c r="B2034" s="21" t="s">
        <v>796</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922</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1538</v>
      </c>
      <c r="B2036" s="21" t="s">
        <v>791</v>
      </c>
      <c r="C2036" s="21" t="s">
        <v>737</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1539</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246</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row>
    <row r="2040" spans="1:12">
      <c r="A2040" s="20" t="s">
        <v>1540</v>
      </c>
    </row>
    <row r="2041" spans="1:12">
      <c r="A2041" s="20" t="s">
        <v>1541</v>
      </c>
      <c r="B2041" s="21" t="s">
        <v>739</v>
      </c>
      <c r="C2041" s="21" t="s">
        <v>746</v>
      </c>
      <c r="D2041" s="21" t="s">
        <v>730</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1542</v>
      </c>
      <c r="B2042" s="21" t="s">
        <v>728</v>
      </c>
      <c r="C2042" s="21" t="s">
        <v>748</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811</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759</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1543</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785</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804</v>
      </c>
      <c r="B2047" s="21" t="s">
        <v>791</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776</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1544</v>
      </c>
      <c r="B2049" s="21" t="s">
        <v>796</v>
      </c>
      <c r="C2049" s="21" t="s">
        <v>753</v>
      </c>
      <c r="D2049" s="21" t="s">
        <v>730</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845</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1545</v>
      </c>
      <c r="B2051" s="21" t="s">
        <v>755</v>
      </c>
      <c r="C2051" s="21" t="s">
        <v>753</v>
      </c>
      <c r="D2051" s="21" t="s">
        <v>730</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1546</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759</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945</v>
      </c>
      <c r="B2054" s="21" t="s">
        <v>796</v>
      </c>
      <c r="C2054" s="21" t="s">
        <v>789</v>
      </c>
      <c r="D2054" s="21" t="s">
        <v>730</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879</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1496</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1547</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1331</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811</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246</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row>
    <row r="2062" spans="1:12">
      <c r="A2062" s="20" t="s">
        <v>1548</v>
      </c>
    </row>
    <row r="2063" spans="1:12">
      <c r="A2063" s="20" t="s">
        <v>1549</v>
      </c>
      <c r="B2063" s="21" t="s">
        <v>796</v>
      </c>
      <c r="C2063" s="21" t="s">
        <v>756</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t="s">
        <v>1001</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1115</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776</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1544</v>
      </c>
      <c r="B2067" s="21" t="s">
        <v>728</v>
      </c>
      <c r="C2067" s="21" t="s">
        <v>753</v>
      </c>
      <c r="D2067" s="21" t="s">
        <v>730</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845</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1550</v>
      </c>
      <c r="B2069" s="21" t="s">
        <v>739</v>
      </c>
      <c r="C2069" s="21" t="s">
        <v>753</v>
      </c>
      <c r="D2069" s="21" t="s">
        <v>730</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1551</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246</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row>
    <row r="2073" spans="1:12">
      <c r="A2073" s="20" t="s">
        <v>1552</v>
      </c>
    </row>
    <row r="2074" spans="1:12">
      <c r="A2074" s="20" t="s">
        <v>1446</v>
      </c>
      <c r="B2074" s="21" t="s">
        <v>728</v>
      </c>
      <c r="C2074" s="21" t="s">
        <v>756</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1001</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t="s">
        <v>902</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1094</v>
      </c>
      <c r="B2077" s="21" t="s">
        <v>739</v>
      </c>
      <c r="C2077" s="21" t="s">
        <v>789</v>
      </c>
      <c r="D2077" s="21" t="s">
        <v>730</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1553</v>
      </c>
      <c r="B2078" s="21" t="s">
        <v>764</v>
      </c>
      <c r="C2078" s="21" t="s">
        <v>967</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1554</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246</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row>
    <row r="2082" spans="1:12">
      <c r="A2082" s="20" t="s">
        <v>1555</v>
      </c>
    </row>
    <row r="2083" spans="1:12">
      <c r="A2083" s="20" t="s">
        <v>1005</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1556</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859</v>
      </c>
      <c r="B2085" s="21" t="s">
        <v>728</v>
      </c>
      <c r="C2085" s="21" t="s">
        <v>789</v>
      </c>
      <c r="D2085" s="21" t="s">
        <v>730</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813</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1557</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1211</v>
      </c>
      <c r="B2088" s="21" t="s">
        <v>764</v>
      </c>
      <c r="C2088" s="21" t="s">
        <v>753</v>
      </c>
      <c r="D2088" s="21" t="s">
        <v>730</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246</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row>
    <row r="2091" spans="1:12">
      <c r="A2091" s="20" t="s">
        <v>1558</v>
      </c>
    </row>
    <row r="2092" spans="1:12">
      <c r="A2092" s="20" t="s">
        <v>1440</v>
      </c>
      <c r="B2092" s="21" t="s">
        <v>736</v>
      </c>
      <c r="C2092" s="21" t="s">
        <v>740</v>
      </c>
      <c r="D2092" s="21" t="s">
        <v>730</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785</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898</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1559</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750</v>
      </c>
      <c r="B2096" s="21" t="s">
        <v>728</v>
      </c>
      <c r="C2096" s="21" t="s">
        <v>729</v>
      </c>
      <c r="D2096" s="21" t="s">
        <v>730</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1560</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759</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742</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751</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1561</v>
      </c>
      <c r="B2101" s="21" t="s">
        <v>736</v>
      </c>
      <c r="C2101" s="21" t="s">
        <v>753</v>
      </c>
      <c r="D2101" s="21" t="s">
        <v>730</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757</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1370</v>
      </c>
      <c r="B2103" s="21" t="s">
        <v>739</v>
      </c>
      <c r="C2103" s="21" t="s">
        <v>740</v>
      </c>
      <c r="D2103" s="21" t="s">
        <v>730</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759</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773</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774</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1412</v>
      </c>
      <c r="B2107" s="21" t="s">
        <v>736</v>
      </c>
      <c r="C2107" s="21" t="s">
        <v>737</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759</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785</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1109</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1562</v>
      </c>
      <c r="B2111" s="21" t="s">
        <v>739</v>
      </c>
      <c r="C2111" s="21" t="s">
        <v>748</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759</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813</v>
      </c>
      <c r="B2113" s="21" t="s">
        <v>788</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t="s">
        <v>1264</v>
      </c>
      <c r="B2114" s="21" t="s">
        <v>783</v>
      </c>
      <c r="C2114" s="21" t="s">
        <v>801</v>
      </c>
      <c r="D2114" s="21" t="s">
        <v>730</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t="s">
        <v>1563</v>
      </c>
      <c r="B2115" s="21" t="s">
        <v>843</v>
      </c>
      <c r="C2115" s="21" t="s">
        <v>802</v>
      </c>
      <c r="D2115" s="21" t="s">
        <v>730</v>
      </c>
      <c r="E2115" s="22">
        <f>IF(D2115="?OLD","!!!","")</f>
        <v/>
      </c>
      <c r="F2115" s="23" t="str">
        <f>IF(OR(E2115="",E2115="!!!"),"",IF(NOT(ISNA(VLOOKUP(E2115,E$1:E2114,1,FALSE()))),"OLD",IF(AND(E2115&lt;&gt;"",E2115&lt;&gt;"!!!"),"NEW","")))</f>
        <v> </v>
      </c>
      <c r="G2115" s="24" t="str">
        <f>IF(OR(E2115="",E2115="!!!"),"",IF(OR(J2115=0,AND(J2115=1,K2115=1),AND(J2115=1,I2115="SBJ"),AND(J2115=1,I2115=0)),"?IN_FOCUS",IF(J2115&lt;=2,"?ACTIVATED",IF(J2115&lt;&gt;"","?FAMILIAR",IF(F2115="NEW",IF(ISNA(VLOOKUP(E2115,#REF!,1,FALSE())),"?TYPE_IDENTIFIABLE","?REFERENTIAL"),"_")))))</f>
        <v> </v>
      </c>
      <c r="H2115" s="25" t="str">
        <f>IF(J2115&lt;&gt;1,"",IF(I2115="SBJ","CB","?"))</f>
        <v> </v>
      </c>
      <c r="I2115" s="26" t="str">
        <f>IF(OR(E2115="",E2115="!!!",F2115="NEW"),"",INDEX(B2114:B$2,-1+SUMPRODUCT(MAX(ROW(E2114:E$2)*(E2115=E2114:E$2)))))</f>
        <v> </v>
      </c>
      <c r="J2115" s="26" t="str">
        <f>IF(OR(E2115="",E2115="!!!",F2115="NEW"),"",COUNTBLANK(OFFSET(A$1,,,SUMPRODUCT(MAX(ROW(E$2:E2115)*(E2115=E$2:E2115)))))-COUNTBLANK(OFFSET(A$1,,,SUMPRODUCT(MAX(ROW(E$1:E2114)*(E2=E$1:E2114))))))</f>
        <v> </v>
      </c>
      <c r="K2115" s="26" t="str">
        <f>IF(OR(E2115="",E2115="!!!",F2115="NEW"),"",INDEX(J$1:J2114,SUMPRODUCT(MAX(ROW(E$1:E2114)*(E2115=E$1:E2114)))))</f>
        <v> </v>
      </c>
      <c r="L2115" s="27"/>
    </row>
    <row r="2116" spans="1:12">
      <c r="A2116" s="20" t="s">
        <v>979</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991</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1564</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785</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938</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1565</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750</v>
      </c>
      <c r="B2122" s="21" t="s">
        <v>777</v>
      </c>
      <c r="C2122" s="21" t="s">
        <v>729</v>
      </c>
      <c r="D2122" s="21" t="s">
        <v>730</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1566</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759</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808</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1567</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813</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1568</v>
      </c>
      <c r="B2128" s="21" t="s">
        <v>1130</v>
      </c>
      <c r="C2128" s="21" t="s">
        <v>753</v>
      </c>
      <c r="D2128" s="21" t="s">
        <v>730</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1237</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1569</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884</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246</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row>
    <row r="2134" spans="1:12">
      <c r="A2134" s="20" t="s">
        <v>1570</v>
      </c>
    </row>
    <row r="2135" spans="1:12">
      <c r="A2135" s="20" t="s">
        <v>768</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750</v>
      </c>
      <c r="B2136" s="21" t="s">
        <v>728</v>
      </c>
      <c r="C2136" s="21" t="s">
        <v>729</v>
      </c>
      <c r="D2136" s="21" t="s">
        <v>730</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1571</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732</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774</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1011</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1572</v>
      </c>
      <c r="B2141" s="21" t="s">
        <v>736</v>
      </c>
      <c r="C2141" s="21" t="s">
        <v>737</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812</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t="s">
        <v>813</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1573</v>
      </c>
      <c r="B2144" s="21" t="s">
        <v>736</v>
      </c>
      <c r="C2144" s="21" t="s">
        <v>753</v>
      </c>
      <c r="D2144" s="21" t="s">
        <v>730</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845</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1545</v>
      </c>
      <c r="B2146" s="21" t="s">
        <v>739</v>
      </c>
      <c r="C2146" s="21" t="s">
        <v>753</v>
      </c>
      <c r="D2146" s="21" t="s">
        <v>730</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246</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row>
    <row r="2149" spans="1:12">
      <c r="A2149" s="20" t="s">
        <v>1574</v>
      </c>
    </row>
    <row r="2150" spans="1:12">
      <c r="A2150" s="20" t="s">
        <v>727</v>
      </c>
      <c r="B2150" s="21" t="s">
        <v>728</v>
      </c>
      <c r="C2150" s="21" t="s">
        <v>729</v>
      </c>
      <c r="D2150" s="21" t="s">
        <v>730</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1575</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899</v>
      </c>
      <c r="B2152" s="21" t="s">
        <v>764</v>
      </c>
      <c r="C2152" s="21" t="s">
        <v>729</v>
      </c>
      <c r="D2152" s="21" t="s">
        <v>730</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1170</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1309</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1576</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759</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1023</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1577</v>
      </c>
      <c r="B2158" s="21" t="s">
        <v>755</v>
      </c>
      <c r="C2158" s="21" t="s">
        <v>746</v>
      </c>
      <c r="D2158" s="21" t="s">
        <v>730</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1578</v>
      </c>
      <c r="B2159" s="21" t="s">
        <v>796</v>
      </c>
      <c r="C2159" s="21" t="s">
        <v>748</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1087</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1579</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845</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1580</v>
      </c>
      <c r="B2163" s="21" t="s">
        <v>739</v>
      </c>
      <c r="C2163" s="21" t="s">
        <v>753</v>
      </c>
      <c r="D2163" s="21" t="s">
        <v>730</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246</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row>
    <row r="2166" spans="1:12">
      <c r="A2166" s="20" t="s">
        <v>1581</v>
      </c>
    </row>
    <row r="2167" spans="1:12">
      <c r="A2167" s="20" t="s">
        <v>836</v>
      </c>
      <c r="B2167" s="21" t="s">
        <v>728</v>
      </c>
      <c r="C2167" s="21" t="s">
        <v>729</v>
      </c>
      <c r="D2167" s="21" t="s">
        <v>730</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1582</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804</v>
      </c>
      <c r="B2169" s="21" t="s">
        <v>764</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972</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759</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920</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1459</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750</v>
      </c>
      <c r="B2174" s="21" t="s">
        <v>788</v>
      </c>
      <c r="C2174" s="21" t="s">
        <v>729</v>
      </c>
      <c r="D2174" s="21" t="s">
        <v>730</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1583</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1579</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845</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1584</v>
      </c>
      <c r="B2178" s="21" t="s">
        <v>755</v>
      </c>
      <c r="C2178" s="21" t="s">
        <v>753</v>
      </c>
      <c r="D2178" s="21" t="s">
        <v>730</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757</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1370</v>
      </c>
      <c r="B2180" s="21" t="s">
        <v>783</v>
      </c>
      <c r="C2180" s="21" t="s">
        <v>740</v>
      </c>
      <c r="D2180" s="21" t="s">
        <v>730</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1585</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246</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row>
    <row r="2184" spans="1:12">
      <c r="A2184" s="20" t="s">
        <v>1586</v>
      </c>
    </row>
    <row r="2185" spans="1:12">
      <c r="A2185" s="20" t="s">
        <v>883</v>
      </c>
      <c r="B2185" s="21" t="s">
        <v>728</v>
      </c>
      <c r="C2185" s="21" t="s">
        <v>789</v>
      </c>
      <c r="D2185" s="21" t="s">
        <v>730</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811</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813</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1587</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1588</v>
      </c>
      <c r="B2189" s="21" t="s">
        <v>736</v>
      </c>
      <c r="C2189" s="21" t="s">
        <v>753</v>
      </c>
      <c r="D2189" s="21" t="s">
        <v>730</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1589</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1590</v>
      </c>
      <c r="B2191" s="21" t="s">
        <v>736</v>
      </c>
      <c r="C2191" s="21" t="s">
        <v>737</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1591</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759</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813</v>
      </c>
      <c r="B2194" s="21" t="s">
        <v>843</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750</v>
      </c>
      <c r="B2195" s="21" t="s">
        <v>788</v>
      </c>
      <c r="C2195" s="21" t="s">
        <v>729</v>
      </c>
      <c r="D2195" s="21" t="s">
        <v>730</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1115</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1592</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1071</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246</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row>
    <row r="2201" spans="1:12">
      <c r="A2201" s="20" t="s">
        <v>1593</v>
      </c>
    </row>
    <row r="2202" spans="1:12">
      <c r="A2202" s="20" t="s">
        <v>1478</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1594</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750</v>
      </c>
      <c r="B2204" s="21" t="s">
        <v>796</v>
      </c>
      <c r="C2204" s="21" t="s">
        <v>729</v>
      </c>
      <c r="D2204" s="21" t="s">
        <v>730</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1595</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839</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762</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1596</v>
      </c>
      <c r="B2208" s="21" t="s">
        <v>739</v>
      </c>
      <c r="C2208" s="21" t="s">
        <v>737</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1597</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759</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1378</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750</v>
      </c>
      <c r="B2212" s="21" t="s">
        <v>728</v>
      </c>
      <c r="C2212" s="21" t="s">
        <v>729</v>
      </c>
      <c r="D2212" s="21" t="s">
        <v>730</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t="s">
        <v>772</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t="s">
        <v>1259</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t="s">
        <v>759</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945</v>
      </c>
      <c r="B2216" s="21" t="s">
        <v>796</v>
      </c>
      <c r="C2216" s="21" t="s">
        <v>789</v>
      </c>
      <c r="D2216" s="21" t="s">
        <v>730</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1295</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773</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751</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1598</v>
      </c>
      <c r="B2220" s="21" t="s">
        <v>739</v>
      </c>
      <c r="C2220" s="21" t="s">
        <v>753</v>
      </c>
      <c r="D2220" s="21" t="s">
        <v>730</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845</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1580</v>
      </c>
      <c r="B2222" s="21" t="s">
        <v>755</v>
      </c>
      <c r="C2222" s="21" t="s">
        <v>753</v>
      </c>
      <c r="D2222" s="21" t="s">
        <v>730</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1599</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985</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759</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t="s">
        <v>898</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t="s">
        <v>750</v>
      </c>
      <c r="B2227" s="21" t="s">
        <v>796</v>
      </c>
      <c r="C2227" s="21" t="s">
        <v>729</v>
      </c>
      <c r="D2227" s="21" t="s">
        <v>730</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1600</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t="s">
        <v>1348</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776</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1601</v>
      </c>
      <c r="B2231" s="21" t="s">
        <v>739</v>
      </c>
      <c r="C2231" s="21" t="s">
        <v>753</v>
      </c>
      <c r="D2231" s="21" t="s">
        <v>730</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1602</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811</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759</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920</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859</v>
      </c>
      <c r="B2236" s="21" t="s">
        <v>788</v>
      </c>
      <c r="C2236" s="21" t="s">
        <v>789</v>
      </c>
      <c r="D2236" s="21" t="s">
        <v>730</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840</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t="s">
        <v>1168</v>
      </c>
      <c r="B2238" s="21" t="s">
        <v>843</v>
      </c>
      <c r="C2238" s="21" t="s">
        <v>753</v>
      </c>
      <c r="D2238" s="21" t="s">
        <v>730</v>
      </c>
      <c r="E2238" s="22">
        <f>IF(D2238="?OLD","!!!","")</f>
        <v/>
      </c>
      <c r="F2238" s="23" t="str">
        <f>IF(OR(E2238="",E2238="!!!"),"",IF(NOT(ISNA(VLOOKUP(E2238,E$1:E2237,1,FALSE()))),"OLD",IF(AND(E2238&lt;&gt;"",E2238&lt;&gt;"!!!"),"NEW","")))</f>
        <v> </v>
      </c>
      <c r="G2238" s="24" t="str">
        <f>IF(OR(E2238="",E2238="!!!"),"",IF(OR(J2238=0,AND(J2238=1,K2238=1),AND(J2238=1,I2238="SBJ"),AND(J2238=1,I2238=0)),"?IN_FOCUS",IF(J2238&lt;=2,"?ACTIVATED",IF(J2238&lt;&gt;"","?FAMILIAR",IF(F2238="NEW",IF(ISNA(VLOOKUP(E2238,#REF!,1,FALSE())),"?TYPE_IDENTIFIABLE","?REFERENTIAL"),"_")))))</f>
        <v> </v>
      </c>
      <c r="H2238" s="25" t="str">
        <f>IF(J2238&lt;&gt;1,"",IF(I2238="SBJ","CB","?"))</f>
        <v> </v>
      </c>
      <c r="I2238" s="26" t="str">
        <f>IF(OR(E2238="",E2238="!!!",F2238="NEW"),"",INDEX(B2237:B$2,-1+SUMPRODUCT(MAX(ROW(E2237:E$2)*(E2238=E2237:E$2)))))</f>
        <v> </v>
      </c>
      <c r="J2238" s="26" t="str">
        <f>IF(OR(E2238="",E2238="!!!",F2238="NEW"),"",COUNTBLANK(OFFSET(A$1,,,SUMPRODUCT(MAX(ROW(E$2:E2238)*(E2238=E$2:E2238)))))-COUNTBLANK(OFFSET(A$1,,,SUMPRODUCT(MAX(ROW(E$1:E2237)*(E2=E$1:E2237))))))</f>
        <v> </v>
      </c>
      <c r="K2238" s="26" t="str">
        <f>IF(OR(E2238="",E2238="!!!",F2238="NEW"),"",INDEX(J$1:J2237,SUMPRODUCT(MAX(ROW(E$1:E2237)*(E2238=E$1:E2237)))))</f>
        <v> </v>
      </c>
      <c r="L2238" s="27"/>
    </row>
    <row r="2239" spans="1:12">
      <c r="A2239" s="20" t="s">
        <v>1603</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246</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row>
    <row r="2242" spans="1:12">
      <c r="A2242" s="20" t="s">
        <v>1604</v>
      </c>
    </row>
    <row r="2243" spans="1:12">
      <c r="A2243" s="20" t="s">
        <v>883</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1605</v>
      </c>
      <c r="B2244" s="21" t="s">
        <v>728</v>
      </c>
      <c r="C2244" s="21" t="s">
        <v>753</v>
      </c>
      <c r="D2244" s="21" t="s">
        <v>730</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811</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971</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762</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1606</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1607</v>
      </c>
      <c r="B2249" s="21" t="s">
        <v>736</v>
      </c>
      <c r="C2249" s="21" t="s">
        <v>737</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757</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1608</v>
      </c>
      <c r="B2251" s="21" t="s">
        <v>736</v>
      </c>
      <c r="C2251" s="21" t="s">
        <v>753</v>
      </c>
      <c r="D2251" s="21" t="s">
        <v>730</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845</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1545</v>
      </c>
      <c r="B2253" s="21" t="s">
        <v>739</v>
      </c>
      <c r="C2253" s="21" t="s">
        <v>753</v>
      </c>
      <c r="D2253" s="21" t="s">
        <v>730</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246</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row>
    <row r="2256" spans="1:12">
      <c r="A2256" s="20" t="s">
        <v>1609</v>
      </c>
    </row>
    <row r="2257" spans="1:12">
      <c r="A2257" s="20" t="s">
        <v>883</v>
      </c>
      <c r="B2257" s="21" t="s">
        <v>728</v>
      </c>
      <c r="C2257" s="21" t="s">
        <v>789</v>
      </c>
      <c r="D2257" s="21" t="s">
        <v>730</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811</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1217</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762</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1610</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1611</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1475</v>
      </c>
      <c r="B2263" s="21" t="s">
        <v>736</v>
      </c>
      <c r="C2263" s="21" t="s">
        <v>737</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246</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row>
    <row r="2266" spans="1:12">
      <c r="A2266" s="20" t="s">
        <v>1612</v>
      </c>
    </row>
    <row r="2267" spans="1:12">
      <c r="A2267" s="20" t="s">
        <v>834</v>
      </c>
      <c r="B2267" s="21" t="s">
        <v>728</v>
      </c>
      <c r="C2267" s="21" t="s">
        <v>729</v>
      </c>
      <c r="D2267" s="21" t="s">
        <v>730</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t="s">
        <v>1046</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792</v>
      </c>
      <c r="B2269" s="21" t="s">
        <v>764</v>
      </c>
      <c r="C2269" s="21" t="s">
        <v>729</v>
      </c>
      <c r="D2269" s="21" t="s">
        <v>730</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1314</v>
      </c>
      <c r="B2270" s="21" t="s">
        <v>739</v>
      </c>
      <c r="C2270" s="21" t="s">
        <v>801</v>
      </c>
      <c r="D2270" s="21" t="s">
        <v>730</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1613</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12</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1614</v>
      </c>
      <c r="B2273" s="21" t="s">
        <v>764</v>
      </c>
      <c r="C2273" s="21" t="s">
        <v>802</v>
      </c>
      <c r="D2273" s="21" t="s">
        <v>730</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1615</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759</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808</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1450</v>
      </c>
      <c r="B2277" s="21" t="s">
        <v>796</v>
      </c>
      <c r="C2277" s="21" t="s">
        <v>756</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1616</v>
      </c>
      <c r="B2278" s="21" t="s">
        <v>755</v>
      </c>
      <c r="C2278" s="21" t="s">
        <v>789</v>
      </c>
      <c r="D2278" s="21" t="s">
        <v>730</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1617</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1618</v>
      </c>
      <c r="B2280" s="21" t="s">
        <v>791</v>
      </c>
      <c r="C2280" s="21" t="s">
        <v>801</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1619</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785</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944</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776</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1404</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1578</v>
      </c>
      <c r="B2286" s="21" t="s">
        <v>788</v>
      </c>
      <c r="C2286" s="21" t="s">
        <v>753</v>
      </c>
      <c r="D2286" s="21" t="s">
        <v>730</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773</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776</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t="s">
        <v>1620</v>
      </c>
      <c r="B2289" s="21" t="s">
        <v>783</v>
      </c>
      <c r="C2289" s="21" t="s">
        <v>753</v>
      </c>
      <c r="D2289" s="21" t="s">
        <v>730</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t="s">
        <v>759</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t="s">
        <v>773</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903</v>
      </c>
      <c r="B2292" s="21" t="s">
        <v>783</v>
      </c>
      <c r="C2292" s="21" t="s">
        <v>801</v>
      </c>
      <c r="D2292" s="21" t="s">
        <v>730</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781</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1588</v>
      </c>
      <c r="B2294" s="21" t="s">
        <v>843</v>
      </c>
      <c r="C2294" s="21" t="s">
        <v>1347</v>
      </c>
      <c r="D2294" s="21" t="s">
        <v>730</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757</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1621</v>
      </c>
      <c r="B2296" s="21" t="s">
        <v>783</v>
      </c>
      <c r="C2296" s="21" t="s">
        <v>753</v>
      </c>
      <c r="D2296" s="21" t="s">
        <v>730</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1622</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1406</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246</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row>
    <row r="2301" spans="1:12">
      <c r="A2301" s="20" t="s">
        <v>1623</v>
      </c>
    </row>
    <row r="2302" spans="1:12">
      <c r="A2302" s="20" t="s">
        <v>836</v>
      </c>
      <c r="B2302" s="21" t="s">
        <v>728</v>
      </c>
      <c r="C2302" s="21" t="s">
        <v>729</v>
      </c>
      <c r="D2302" s="21" t="s">
        <v>730</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811</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1088</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1221</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1624</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785</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1625</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805</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922</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1626</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t="s">
        <v>1627</v>
      </c>
      <c r="B2312" s="21" t="s">
        <v>739</v>
      </c>
      <c r="C2312" s="21" t="s">
        <v>737</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742</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776</v>
      </c>
      <c r="B2314" s="21" t="s">
        <v>755</v>
      </c>
      <c r="C2314" s="21" t="s">
        <v>789</v>
      </c>
      <c r="D2314" s="21" t="s">
        <v>730</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759</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945</v>
      </c>
      <c r="B2316" s="21" t="s">
        <v>1202</v>
      </c>
      <c r="C2316" s="21" t="s">
        <v>789</v>
      </c>
      <c r="D2316" s="21" t="s">
        <v>730</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1625</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773</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1487</v>
      </c>
      <c r="B2319" s="21" t="s">
        <v>1497</v>
      </c>
      <c r="C2319" s="21" t="s">
        <v>756</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1628</v>
      </c>
      <c r="B2320" s="21" t="s">
        <v>778</v>
      </c>
      <c r="C2320" s="21" t="s">
        <v>967</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179</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1629</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759</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t="s">
        <v>809</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t="s">
        <v>1450</v>
      </c>
      <c r="B2325" s="21" t="s">
        <v>1630</v>
      </c>
      <c r="C2325" s="21" t="s">
        <v>756</v>
      </c>
      <c r="E2325" s="22">
        <f>IF(D2325="?OLD","!!!","")</f>
        <v/>
      </c>
      <c r="F2325" s="23" t="str">
        <f>IF(OR(E2325="",E2325="!!!"),"",IF(NOT(ISNA(VLOOKUP(E2325,E$1:E2324,1,FALSE()))),"OLD",IF(AND(E2325&lt;&gt;"",E2325&lt;&gt;"!!!"),"NEW","")))</f>
        <v> </v>
      </c>
      <c r="G2325" s="24" t="str">
        <f>IF(OR(E2325="",E2325="!!!"),"",IF(OR(J2325=0,AND(J2325=1,K2325=1),AND(J2325=1,I2325="SBJ"),AND(J2325=1,I2325=0)),"?IN_FOCUS",IF(J2325&lt;=2,"?ACTIVATED",IF(J2325&lt;&gt;"","?FAMILIAR",IF(F2325="NEW",IF(ISNA(VLOOKUP(E2325,#REF!,1,FALSE())),"?TYPE_IDENTIFIABLE","?REFERENTIAL"),"_")))))</f>
        <v> </v>
      </c>
      <c r="H2325" s="25" t="str">
        <f>IF(J2325&lt;&gt;1,"",IF(I2325="SBJ","CB","?"))</f>
        <v> </v>
      </c>
      <c r="I2325" s="26" t="str">
        <f>IF(OR(E2325="",E2325="!!!",F2325="NEW"),"",INDEX(B2324:B$2,-1+SUMPRODUCT(MAX(ROW(E2324:E$2)*(E2325=E2324:E$2)))))</f>
        <v> </v>
      </c>
      <c r="J2325" s="26" t="str">
        <f>IF(OR(E2325="",E2325="!!!",F2325="NEW"),"",COUNTBLANK(OFFSET(A$1,,,SUMPRODUCT(MAX(ROW(E$2:E2325)*(E2325=E$2:E2325)))))-COUNTBLANK(OFFSET(A$1,,,SUMPRODUCT(MAX(ROW(E$1:E2324)*(E2=E$1:E2324))))))</f>
        <v> </v>
      </c>
      <c r="K2325" s="26" t="str">
        <f>IF(OR(E2325="",E2325="!!!",F2325="NEW"),"",INDEX(J$1:J2324,SUMPRODUCT(MAX(ROW(E$1:E2324)*(E2325=E$1:E2324)))))</f>
        <v> </v>
      </c>
      <c r="L2325" s="27"/>
    </row>
    <row r="2326" spans="1:12">
      <c r="A2326" s="20" t="s">
        <v>1631</v>
      </c>
      <c r="B2326" s="21" t="s">
        <v>1632</v>
      </c>
      <c r="C2326" s="21" t="s">
        <v>740</v>
      </c>
      <c r="D2326" s="21" t="s">
        <v>730</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12</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1633</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884</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759</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839</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965</v>
      </c>
      <c r="B2332" s="21" t="s">
        <v>1501</v>
      </c>
      <c r="C2332" s="21" t="s">
        <v>756</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754</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1634</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1635</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781</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1493</v>
      </c>
      <c r="B2337" s="21" t="s">
        <v>1505</v>
      </c>
      <c r="C2337" s="21" t="s">
        <v>748</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754</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1469</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759</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773</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t="s">
        <v>1636</v>
      </c>
      <c r="B2342" s="21" t="s">
        <v>783</v>
      </c>
      <c r="C2342" s="21" t="s">
        <v>756</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1637</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1638</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1639</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1640</v>
      </c>
      <c r="B2346" s="21" t="s">
        <v>755</v>
      </c>
      <c r="C2346" s="21" t="s">
        <v>967</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759</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813</v>
      </c>
      <c r="B2348" s="21" t="s">
        <v>1130</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750</v>
      </c>
      <c r="B2349" s="21" t="s">
        <v>1202</v>
      </c>
      <c r="C2349" s="21" t="s">
        <v>729</v>
      </c>
      <c r="D2349" s="21" t="s">
        <v>730</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t="s">
        <v>792</v>
      </c>
      <c r="B2350" s="21" t="s">
        <v>1130</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920</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738</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12</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741</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12</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1641</v>
      </c>
      <c r="B2356" s="21" t="s">
        <v>778</v>
      </c>
      <c r="C2356" s="21" t="s">
        <v>748</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504</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1406</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246</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row>
    <row r="2361" spans="1:12">
      <c r="A2361" s="20" t="s">
        <v>1642</v>
      </c>
    </row>
    <row r="2362" spans="1:12">
      <c r="A2362" s="20" t="s">
        <v>1514</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1264</v>
      </c>
      <c r="B2363" s="21" t="s">
        <v>739</v>
      </c>
      <c r="C2363" s="21" t="s">
        <v>801</v>
      </c>
      <c r="D2363" s="21" t="s">
        <v>730</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1489</v>
      </c>
      <c r="B2364" s="21" t="s">
        <v>736</v>
      </c>
      <c r="C2364" s="21" t="s">
        <v>802</v>
      </c>
      <c r="D2364" s="21" t="s">
        <v>730</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1526</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859</v>
      </c>
      <c r="B2366" s="21" t="s">
        <v>728</v>
      </c>
      <c r="C2366" s="21" t="s">
        <v>789</v>
      </c>
      <c r="D2366" s="21" t="s">
        <v>730</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776</v>
      </c>
      <c r="B2367" s="21" t="s">
        <v>764</v>
      </c>
      <c r="C2367" s="21" t="s">
        <v>789</v>
      </c>
      <c r="D2367" s="21" t="s">
        <v>730</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t="s">
        <v>759</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t="s">
        <v>945</v>
      </c>
      <c r="B2369" s="21" t="s">
        <v>843</v>
      </c>
      <c r="C2369" s="21" t="s">
        <v>789</v>
      </c>
      <c r="D2369" s="21" t="s">
        <v>730</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859</v>
      </c>
      <c r="B2370" s="21" t="s">
        <v>788</v>
      </c>
      <c r="C2370" s="21" t="s">
        <v>789</v>
      </c>
      <c r="D2370" s="21" t="s">
        <v>730</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898</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1643</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1491</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1252</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759</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1088</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1644</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754</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133</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759</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754</v>
      </c>
      <c r="B2381" s="21" t="s">
        <v>755</v>
      </c>
      <c r="C2381" s="21" t="s">
        <v>756</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751</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1645</v>
      </c>
      <c r="B2383" s="21" t="s">
        <v>739</v>
      </c>
      <c r="C2383" s="21" t="s">
        <v>753</v>
      </c>
      <c r="D2383" s="21" t="s">
        <v>730</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t="s">
        <v>903</v>
      </c>
      <c r="B2384" s="21" t="s">
        <v>739</v>
      </c>
      <c r="C2384" s="21" t="s">
        <v>801</v>
      </c>
      <c r="D2384" s="21" t="s">
        <v>730</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1646</v>
      </c>
      <c r="B2385" s="21" t="s">
        <v>728</v>
      </c>
      <c r="C2385" s="21" t="s">
        <v>802</v>
      </c>
      <c r="D2385" s="21" t="s">
        <v>730</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759</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1043</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859</v>
      </c>
      <c r="B2388" s="21" t="s">
        <v>788</v>
      </c>
      <c r="C2388" s="21" t="s">
        <v>789</v>
      </c>
      <c r="D2388" s="21" t="s">
        <v>730</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903</v>
      </c>
      <c r="B2389" s="21" t="s">
        <v>783</v>
      </c>
      <c r="C2389" s="21" t="s">
        <v>801</v>
      </c>
      <c r="D2389" s="21" t="s">
        <v>730</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1647</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t="s">
        <v>1648</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873</v>
      </c>
      <c r="B2392" s="21" t="s">
        <v>843</v>
      </c>
      <c r="C2392" s="21" t="s">
        <v>802</v>
      </c>
      <c r="D2392" s="21" t="s">
        <v>730</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1216</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246</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row>
    <row r="2396" spans="1:12">
      <c r="A2396" s="20" t="s">
        <v>1649</v>
      </c>
    </row>
    <row r="2397" spans="1:12">
      <c r="A2397" s="20" t="s">
        <v>883</v>
      </c>
      <c r="B2397" s="21" t="s">
        <v>728</v>
      </c>
      <c r="C2397" s="21" t="s">
        <v>801</v>
      </c>
      <c r="D2397" s="21" t="s">
        <v>730</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1070</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1158</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1650</v>
      </c>
      <c r="B2400" s="21" t="s">
        <v>736</v>
      </c>
      <c r="C2400" s="21" t="s">
        <v>748</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759</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1023</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979</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742</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1651</v>
      </c>
      <c r="B2405" s="21" t="s">
        <v>736</v>
      </c>
      <c r="C2405" s="21" t="s">
        <v>748</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246</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row>
    <row r="2408" spans="1:12">
      <c r="A2408" s="20" t="s">
        <v>1652</v>
      </c>
    </row>
    <row r="2409" spans="1:12">
      <c r="A2409" s="20" t="s">
        <v>834</v>
      </c>
      <c r="B2409" s="21" t="s">
        <v>728</v>
      </c>
      <c r="C2409" s="21" t="s">
        <v>729</v>
      </c>
      <c r="D2409" s="21" t="s">
        <v>730</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493</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732</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1653</v>
      </c>
      <c r="B2412" s="21" t="s">
        <v>736</v>
      </c>
      <c r="C2412" s="21" t="s">
        <v>748</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938</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1654</v>
      </c>
      <c r="B2414" s="21" t="s">
        <v>739</v>
      </c>
      <c r="C2414" s="21" t="s">
        <v>748</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246</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row>
    <row r="2417" spans="1:12">
      <c r="A2417" s="20" t="s">
        <v>1655</v>
      </c>
    </row>
    <row r="2418" spans="1:12">
      <c r="A2418" s="20" t="s">
        <v>834</v>
      </c>
      <c r="B2418" s="21" t="s">
        <v>728</v>
      </c>
      <c r="C2418" s="21" t="s">
        <v>729</v>
      </c>
      <c r="D2418" s="21" t="s">
        <v>730</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497</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810</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773</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774</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742</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1656</v>
      </c>
      <c r="B2424" s="21" t="s">
        <v>755</v>
      </c>
      <c r="C2424" s="21" t="s">
        <v>748</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1657</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1658</v>
      </c>
      <c r="B2426" s="21" t="s">
        <v>736</v>
      </c>
      <c r="C2426" s="21" t="s">
        <v>737</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759</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952</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859</v>
      </c>
      <c r="B2429" s="21" t="s">
        <v>796</v>
      </c>
      <c r="C2429" s="21" t="s">
        <v>789</v>
      </c>
      <c r="D2429" s="21" t="s">
        <v>730</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776</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1469</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246</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row>
    <row r="2434" spans="1:12">
      <c r="A2434" s="20" t="s">
        <v>1659</v>
      </c>
    </row>
    <row r="2435" spans="1:12">
      <c r="A2435" s="20" t="s">
        <v>768</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944</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1660</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1450</v>
      </c>
      <c r="B2438" s="21" t="s">
        <v>728</v>
      </c>
      <c r="C2438" s="21" t="s">
        <v>756</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873</v>
      </c>
      <c r="B2439" s="21" t="s">
        <v>796</v>
      </c>
      <c r="C2439" s="21" t="s">
        <v>748</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759</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813</v>
      </c>
      <c r="B2441" s="21" t="s">
        <v>777</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1661</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1662</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733</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1077</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1663</v>
      </c>
      <c r="B2446" s="21" t="s">
        <v>783</v>
      </c>
      <c r="C2446" s="21" t="s">
        <v>737</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1664</v>
      </c>
      <c r="B2447" s="21" t="s">
        <v>778</v>
      </c>
      <c r="C2447" s="21" t="s">
        <v>740</v>
      </c>
      <c r="D2447" s="21" t="s">
        <v>730</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242</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1665</v>
      </c>
      <c r="B2449" s="21" t="s">
        <v>764</v>
      </c>
      <c r="C2449" s="21" t="s">
        <v>748</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493</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246</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row>
    <row r="2453" spans="1:12">
      <c r="A2453" s="20" t="s">
        <v>1666</v>
      </c>
    </row>
    <row r="2454" spans="1:12">
      <c r="A2454" s="20" t="s">
        <v>768</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1450</v>
      </c>
      <c r="B2455" s="21" t="s">
        <v>728</v>
      </c>
      <c r="C2455" s="21" t="s">
        <v>756</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1406</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804</v>
      </c>
      <c r="B2457" s="21" t="s">
        <v>764</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810</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504</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759</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808</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928</v>
      </c>
      <c r="B2462" s="21" t="s">
        <v>796</v>
      </c>
      <c r="C2462" s="21" t="s">
        <v>789</v>
      </c>
      <c r="D2462" s="21" t="s">
        <v>730</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1237</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1667</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881</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246</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row>
    <row r="2468" spans="1:12">
      <c r="A2468" s="20" t="s">
        <v>1668</v>
      </c>
    </row>
    <row r="2469" spans="1:12">
      <c r="A2469" s="20" t="s">
        <v>1669</v>
      </c>
      <c r="B2469" s="21" t="s">
        <v>739</v>
      </c>
      <c r="C2469" s="21" t="s">
        <v>756</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757</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1670</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1277</v>
      </c>
      <c r="B2472" s="21" t="s">
        <v>736</v>
      </c>
      <c r="C2472" s="21" t="s">
        <v>753</v>
      </c>
      <c r="D2472" s="21" t="s">
        <v>730</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1671</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750</v>
      </c>
      <c r="B2474" s="21" t="s">
        <v>728</v>
      </c>
      <c r="C2474" s="21" t="s">
        <v>729</v>
      </c>
      <c r="D2474" s="21" t="s">
        <v>730</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970</v>
      </c>
      <c r="B2475" s="21" t="s">
        <v>764</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1672</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1435</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1107</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1673</v>
      </c>
      <c r="B2479" s="21" t="s">
        <v>736</v>
      </c>
      <c r="C2479" s="21" t="s">
        <v>748</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759</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776</v>
      </c>
      <c r="B2481" s="21" t="s">
        <v>788</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811</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1403</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757</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738</v>
      </c>
      <c r="B2485" s="21" t="s">
        <v>739</v>
      </c>
      <c r="C2485" s="21" t="s">
        <v>740</v>
      </c>
      <c r="D2485" s="21" t="s">
        <v>730</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12</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741</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12</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1674</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1145</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745</v>
      </c>
      <c r="B2491" s="21" t="s">
        <v>783</v>
      </c>
      <c r="C2491" s="21" t="s">
        <v>746</v>
      </c>
      <c r="D2491" s="21" t="s">
        <v>730</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1675</v>
      </c>
      <c r="B2492" s="21" t="s">
        <v>755</v>
      </c>
      <c r="C2492" s="21" t="s">
        <v>748</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246</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row>
    <row r="2495" spans="1:12">
      <c r="A2495" s="20" t="s">
        <v>1676</v>
      </c>
    </row>
    <row r="2496" spans="1:12">
      <c r="A2496" s="20" t="s">
        <v>768</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944</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1677</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750</v>
      </c>
      <c r="B2499" s="21" t="s">
        <v>728</v>
      </c>
      <c r="C2499" s="21" t="s">
        <v>729</v>
      </c>
      <c r="D2499" s="21" t="s">
        <v>730</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1164</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840</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1678</v>
      </c>
      <c r="B2502" s="21" t="s">
        <v>736</v>
      </c>
      <c r="C2502" s="21" t="s">
        <v>753</v>
      </c>
      <c r="D2502" s="21" t="s">
        <v>730</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759</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813</v>
      </c>
      <c r="B2504" s="21" t="s">
        <v>788</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804</v>
      </c>
      <c r="B2505" s="21" t="s">
        <v>843</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1107</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840</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1679</v>
      </c>
      <c r="B2508" s="21" t="s">
        <v>755</v>
      </c>
      <c r="C2508" s="21" t="s">
        <v>753</v>
      </c>
      <c r="D2508" s="21" t="s">
        <v>730</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1680</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785</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813</v>
      </c>
      <c r="B2511" s="21" t="s">
        <v>780</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732</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757</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1681</v>
      </c>
      <c r="B2514" s="21" t="s">
        <v>783</v>
      </c>
      <c r="C2514" s="21" t="s">
        <v>740</v>
      </c>
      <c r="D2514" s="21" t="s">
        <v>730</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754</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1469</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440</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785</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773</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751</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1681</v>
      </c>
      <c r="B2521" s="21" t="s">
        <v>783</v>
      </c>
      <c r="C2521" s="21" t="s">
        <v>740</v>
      </c>
      <c r="D2521" s="21" t="s">
        <v>730</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12</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1682</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448</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785</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1683</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1684</v>
      </c>
      <c r="B2527" s="21" t="s">
        <v>739</v>
      </c>
      <c r="C2527" s="21" t="s">
        <v>748</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1527</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246</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row>
    <row r="2531" spans="1:12">
      <c r="A2531" s="20" t="s">
        <v>1685</v>
      </c>
    </row>
    <row r="2532" spans="1:12">
      <c r="A2532" s="20" t="s">
        <v>834</v>
      </c>
      <c r="B2532" s="21" t="s">
        <v>728</v>
      </c>
      <c r="C2532" s="21" t="s">
        <v>729</v>
      </c>
      <c r="D2532" s="21" t="s">
        <v>730</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17</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825</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1686</v>
      </c>
      <c r="B2535" s="21" t="s">
        <v>736</v>
      </c>
      <c r="C2535" s="21" t="s">
        <v>740</v>
      </c>
      <c r="D2535" s="21" t="s">
        <v>730</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759</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1687</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1688</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757</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1689</v>
      </c>
      <c r="B2540" s="21" t="s">
        <v>739</v>
      </c>
      <c r="C2540" s="21" t="s">
        <v>753</v>
      </c>
      <c r="D2540" s="21" t="s">
        <v>730</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776</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1690</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1691</v>
      </c>
      <c r="B2543" s="21" t="s">
        <v>796</v>
      </c>
      <c r="C2543" s="21" t="s">
        <v>753</v>
      </c>
      <c r="D2543" s="21" t="s">
        <v>730</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1692</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t="s">
        <v>1693</v>
      </c>
      <c r="B2545" s="21" t="s">
        <v>739</v>
      </c>
      <c r="C2545" s="21" t="s">
        <v>756</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t="s">
        <v>1694</v>
      </c>
      <c r="B2546" s="21" t="s">
        <v>791</v>
      </c>
      <c r="C2546" s="21" t="s">
        <v>748</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785</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1695</v>
      </c>
      <c r="B2548" s="21" t="s">
        <v>755</v>
      </c>
      <c r="C2548" s="21" t="s">
        <v>748</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759</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453</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885</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754</v>
      </c>
      <c r="B2552" s="21" t="s">
        <v>755</v>
      </c>
      <c r="C2552" s="21" t="s">
        <v>756</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757</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1696</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1697</v>
      </c>
      <c r="B2555" s="21" t="s">
        <v>739</v>
      </c>
      <c r="C2555" s="21" t="s">
        <v>753</v>
      </c>
      <c r="D2555" s="21" t="s">
        <v>730</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t="s">
        <v>785</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69</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t="s">
        <v>867</v>
      </c>
      <c r="B2558" s="21" t="s">
        <v>755</v>
      </c>
      <c r="C2558" s="21" t="s">
        <v>746</v>
      </c>
      <c r="D2558" s="21" t="s">
        <v>730</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1698</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12</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1699</v>
      </c>
      <c r="B2561" s="21" t="s">
        <v>791</v>
      </c>
      <c r="C2561" s="21" t="s">
        <v>748</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732</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246</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row>
    <row r="2565" spans="1:12">
      <c r="A2565" s="20" t="s">
        <v>1700</v>
      </c>
    </row>
    <row r="2566" spans="1:12">
      <c r="A2566" s="20" t="s">
        <v>883</v>
      </c>
      <c r="B2566" s="21" t="s">
        <v>728</v>
      </c>
      <c r="C2566" s="21" t="s">
        <v>789</v>
      </c>
      <c r="D2566" s="21" t="s">
        <v>730</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811</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998</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246</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row>
    <row r="2571" spans="1:12">
      <c r="A2571" s="20" t="s">
        <v>1701</v>
      </c>
    </row>
    <row r="2572" spans="1:12">
      <c r="A2572" s="20" t="s">
        <v>994</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t="s">
        <v>972</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t="s">
        <v>751</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t="s">
        <v>1702</v>
      </c>
      <c r="B2575" s="21" t="s">
        <v>736</v>
      </c>
      <c r="C2575" s="21" t="s">
        <v>753</v>
      </c>
      <c r="D2575" s="21" t="s">
        <v>730</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1703</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899</v>
      </c>
      <c r="B2577" s="21" t="s">
        <v>728</v>
      </c>
      <c r="C2577" s="21" t="s">
        <v>729</v>
      </c>
      <c r="D2577" s="21" t="s">
        <v>730</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935</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1704</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759</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808</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750</v>
      </c>
      <c r="B2582" s="21" t="s">
        <v>796</v>
      </c>
      <c r="C2582" s="21" t="s">
        <v>729</v>
      </c>
      <c r="D2582" s="21" t="s">
        <v>730</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t="s">
        <v>1705</v>
      </c>
      <c r="B2583" s="21" t="s">
        <v>791</v>
      </c>
      <c r="C2583" s="21" t="s">
        <v>748</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732</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t="s">
        <v>872</v>
      </c>
      <c r="B2585" s="21" t="s">
        <v>739</v>
      </c>
      <c r="C2585" s="21" t="s">
        <v>789</v>
      </c>
      <c r="D2585" s="21" t="s">
        <v>730</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773</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813</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862</v>
      </c>
      <c r="B2588" s="21" t="s">
        <v>739</v>
      </c>
      <c r="C2588" s="21" t="s">
        <v>753</v>
      </c>
      <c r="D2588" s="21" t="s">
        <v>730</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1706</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246</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row>
    <row r="2592" spans="1:12">
      <c r="A2592" s="20" t="s">
        <v>1707</v>
      </c>
    </row>
    <row r="2593" spans="1:12">
      <c r="A2593" s="20" t="s">
        <v>727</v>
      </c>
      <c r="B2593" s="21" t="s">
        <v>728</v>
      </c>
      <c r="C2593" s="21" t="s">
        <v>729</v>
      </c>
      <c r="D2593" s="21" t="s">
        <v>730</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1706</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928</v>
      </c>
      <c r="B2595" s="21" t="s">
        <v>764</v>
      </c>
      <c r="C2595" s="21" t="s">
        <v>789</v>
      </c>
      <c r="D2595" s="21" t="s">
        <v>730</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732</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785</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1708</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1709</v>
      </c>
      <c r="B2599" s="21" t="s">
        <v>780</v>
      </c>
      <c r="C2599" s="21" t="s">
        <v>729</v>
      </c>
      <c r="D2599" s="21" t="s">
        <v>730</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1710</v>
      </c>
      <c r="B2600" s="21" t="s">
        <v>736</v>
      </c>
      <c r="C2600" s="21" t="s">
        <v>748</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754</v>
      </c>
      <c r="B2601" s="21" t="s">
        <v>755</v>
      </c>
      <c r="C2601" s="21" t="s">
        <v>756</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757</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842</v>
      </c>
      <c r="B2603" s="21" t="s">
        <v>739</v>
      </c>
      <c r="C2603" s="21" t="s">
        <v>753</v>
      </c>
      <c r="D2603" s="21" t="s">
        <v>730</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898</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1643</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1147</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t="s">
        <v>1711</v>
      </c>
      <c r="B2607" s="21" t="s">
        <v>736</v>
      </c>
      <c r="C2607" s="21" t="s">
        <v>740</v>
      </c>
      <c r="D2607" s="21" t="s">
        <v>730</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759</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1712</v>
      </c>
      <c r="B2609" s="21" t="s">
        <v>739</v>
      </c>
      <c r="C2609" s="21" t="s">
        <v>748</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759</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1340</v>
      </c>
      <c r="B2611" s="21" t="s">
        <v>739</v>
      </c>
      <c r="C2611" s="21" t="s">
        <v>748</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t="s">
        <v>759</v>
      </c>
      <c r="E2612" s="22">
        <f>IF(D2612="?OLD","!!!","")</f>
        <v/>
      </c>
      <c r="F2612" s="23" t="str">
        <f>IF(OR(E2612="",E2612="!!!"),"",IF(NOT(ISNA(VLOOKUP(E2612,E$1:E2611,1,FALSE()))),"OLD",IF(AND(E2612&lt;&gt;"",E2612&lt;&gt;"!!!"),"NEW","")))</f>
        <v> </v>
      </c>
      <c r="G2612" s="24" t="str">
        <f>IF(OR(E2612="",E2612="!!!"),"",IF(OR(J2612=0,AND(J2612=1,K2612=1),AND(J2612=1,I2612="SBJ"),AND(J2612=1,I2612=0)),"?IN_FOCUS",IF(J2612&lt;=2,"?ACTIVATED",IF(J2612&lt;&gt;"","?FAMILIAR",IF(F2612="NEW",IF(ISNA(VLOOKUP(E2612,#REF!,1,FALSE())),"?TYPE_IDENTIFIABLE","?REFERENTIAL"),"_")))))</f>
        <v> </v>
      </c>
      <c r="H2612" s="25" t="str">
        <f>IF(J2612&lt;&gt;1,"",IF(I2612="SBJ","CB","?"))</f>
        <v> </v>
      </c>
      <c r="I2612" s="26" t="str">
        <f>IF(OR(E2612="",E2612="!!!",F2612="NEW"),"",INDEX(B2611:B$2,-1+SUMPRODUCT(MAX(ROW(E2611:E$2)*(E2612=E2611:E$2)))))</f>
        <v> </v>
      </c>
      <c r="J2612" s="26" t="str">
        <f>IF(OR(E2612="",E2612="!!!",F2612="NEW"),"",COUNTBLANK(OFFSET(A$1,,,SUMPRODUCT(MAX(ROW(E$2:E2612)*(E2612=E$2:E2612)))))-COUNTBLANK(OFFSET(A$1,,,SUMPRODUCT(MAX(ROW(E$1:E2611)*(E2=E$1:E2611))))))</f>
        <v> </v>
      </c>
      <c r="K2612" s="26" t="str">
        <f>IF(OR(E2612="",E2612="!!!",F2612="NEW"),"",INDEX(J$1:J2611,SUMPRODUCT(MAX(ROW(E$1:E2611)*(E2612=E$1:E2611)))))</f>
        <v> </v>
      </c>
      <c r="L2612" s="27"/>
    </row>
    <row r="2613" spans="1:12">
      <c r="A2613" s="20" t="s">
        <v>813</v>
      </c>
      <c r="B2613" s="21" t="s">
        <v>788</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804</v>
      </c>
      <c r="B2614" s="21" t="s">
        <v>843</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1107</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1713</v>
      </c>
      <c r="B2616" s="21" t="s">
        <v>783</v>
      </c>
      <c r="C2616" s="21" t="s">
        <v>789</v>
      </c>
      <c r="D2616" s="21" t="s">
        <v>730</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t="s">
        <v>1714</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t="s">
        <v>1715</v>
      </c>
      <c r="B2618" s="21" t="s">
        <v>755</v>
      </c>
      <c r="C2618" s="21" t="s">
        <v>801</v>
      </c>
      <c r="E2618" s="22">
        <f>IF(D2618="?OLD","!!!","")</f>
        <v/>
      </c>
      <c r="F2618" s="23" t="str">
        <f>IF(OR(E2618="",E2618="!!!"),"",IF(NOT(ISNA(VLOOKUP(E2618,E$1:E2617,1,FALSE()))),"OLD",IF(AND(E2618&lt;&gt;"",E2618&lt;&gt;"!!!"),"NEW","")))</f>
        <v> </v>
      </c>
      <c r="G2618" s="24" t="str">
        <f>IF(OR(E2618="",E2618="!!!"),"",IF(OR(J2618=0,AND(J2618=1,K2618=1),AND(J2618=1,I2618="SBJ"),AND(J2618=1,I2618=0)),"?IN_FOCUS",IF(J2618&lt;=2,"?ACTIVATED",IF(J2618&lt;&gt;"","?FAMILIAR",IF(F2618="NEW",IF(ISNA(VLOOKUP(E2618,#REF!,1,FALSE())),"?TYPE_IDENTIFIABLE","?REFERENTIAL"),"_")))))</f>
        <v> </v>
      </c>
      <c r="H2618" s="25" t="str">
        <f>IF(J2618&lt;&gt;1,"",IF(I2618="SBJ","CB","?"))</f>
        <v> </v>
      </c>
      <c r="I2618" s="26" t="str">
        <f>IF(OR(E2618="",E2618="!!!",F2618="NEW"),"",INDEX(B2617:B$2,-1+SUMPRODUCT(MAX(ROW(E2617:E$2)*(E2618=E2617:E$2)))))</f>
        <v> </v>
      </c>
      <c r="J2618" s="26" t="str">
        <f>IF(OR(E2618="",E2618="!!!",F2618="NEW"),"",COUNTBLANK(OFFSET(A$1,,,SUMPRODUCT(MAX(ROW(E$2:E2618)*(E2618=E$2:E2618)))))-COUNTBLANK(OFFSET(A$1,,,SUMPRODUCT(MAX(ROW(E$1:E2617)*(E2=E$1:E2617))))))</f>
        <v> </v>
      </c>
      <c r="K2618" s="26" t="str">
        <f>IF(OR(E2618="",E2618="!!!",F2618="NEW"),"",INDEX(J$1:J2617,SUMPRODUCT(MAX(ROW(E$1:E2617)*(E2618=E$1:E2617)))))</f>
        <v> </v>
      </c>
      <c r="L2618" s="27"/>
    </row>
    <row r="2619" spans="1:12">
      <c r="A2619" s="20" t="s">
        <v>1716</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t="s">
        <v>246</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row>
    <row r="2622" spans="1:12">
      <c r="A2622" s="20" t="s">
        <v>1717</v>
      </c>
    </row>
    <row r="2623" spans="1:12">
      <c r="A2623" s="20" t="s">
        <v>727</v>
      </c>
      <c r="B2623" s="21" t="s">
        <v>728</v>
      </c>
      <c r="C2623" s="21" t="s">
        <v>729</v>
      </c>
      <c r="D2623" s="21" t="s">
        <v>730</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1706</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928</v>
      </c>
      <c r="B2625" s="21" t="s">
        <v>728</v>
      </c>
      <c r="C2625" s="21" t="s">
        <v>789</v>
      </c>
      <c r="D2625" s="21" t="s">
        <v>730</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754</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840</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1718</v>
      </c>
      <c r="B2628" s="21" t="s">
        <v>736</v>
      </c>
      <c r="C2628" s="21" t="s">
        <v>753</v>
      </c>
      <c r="D2628" s="21" t="s">
        <v>730</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732</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759</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1719</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t="s">
        <v>928</v>
      </c>
      <c r="B2632" s="21" t="s">
        <v>796</v>
      </c>
      <c r="C2632" s="21" t="s">
        <v>789</v>
      </c>
      <c r="D2632" s="21" t="s">
        <v>730</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804</v>
      </c>
      <c r="B2633" s="21" t="s">
        <v>791</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t="s">
        <v>1720</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759</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818</v>
      </c>
      <c r="B2636" s="21" t="s">
        <v>791</v>
      </c>
      <c r="C2636" s="21" t="s">
        <v>748</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69</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785</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1721</v>
      </c>
      <c r="B2639" s="21" t="s">
        <v>791</v>
      </c>
      <c r="C2639" s="21" t="s">
        <v>748</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1722</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t="s">
        <v>1482</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t="s">
        <v>785</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t="s">
        <v>944</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t="s">
        <v>1233</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246</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row>
    <row r="2647" spans="1:12">
      <c r="A2647" s="20" t="s">
        <v>1723</v>
      </c>
    </row>
    <row r="2648" spans="1:12">
      <c r="A2648" s="20" t="s">
        <v>1382</v>
      </c>
      <c r="B2648" s="21" t="s">
        <v>728</v>
      </c>
      <c r="C2648" s="21" t="s">
        <v>789</v>
      </c>
      <c r="D2648" s="21" t="s">
        <v>730</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t="s">
        <v>1603</v>
      </c>
      <c r="E2649" s="22">
        <f>IF(D2649="?OLD","!!!","")</f>
        <v/>
      </c>
      <c r="F2649" s="23" t="str">
        <f>IF(OR(E2649="",E2649="!!!"),"",IF(NOT(ISNA(VLOOKUP(E2649,E$1:E2648,1,FALSE()))),"OLD",IF(AND(E2649&lt;&gt;"",E2649&lt;&gt;"!!!"),"NEW","")))</f>
        <v> </v>
      </c>
      <c r="G2649" s="24" t="str">
        <f>IF(OR(E2649="",E2649="!!!"),"",IF(OR(J2649=0,AND(J2649=1,K2649=1),AND(J2649=1,I2649="SBJ"),AND(J2649=1,I2649=0)),"?IN_FOCUS",IF(J2649&lt;=2,"?ACTIVATED",IF(J2649&lt;&gt;"","?FAMILIAR",IF(F2649="NEW",IF(ISNA(VLOOKUP(E2649,#REF!,1,FALSE())),"?TYPE_IDENTIFIABLE","?REFERENTIAL"),"_")))))</f>
        <v> </v>
      </c>
      <c r="H2649" s="25" t="str">
        <f>IF(J2649&lt;&gt;1,"",IF(I2649="SBJ","CB","?"))</f>
        <v> </v>
      </c>
      <c r="I2649" s="26" t="str">
        <f>IF(OR(E2649="",E2649="!!!",F2649="NEW"),"",INDEX(B2648:B$2,-1+SUMPRODUCT(MAX(ROW(E2648:E$2)*(E2649=E2648:E$2)))))</f>
        <v> </v>
      </c>
      <c r="J2649" s="26" t="str">
        <f>IF(OR(E2649="",E2649="!!!",F2649="NEW"),"",COUNTBLANK(OFFSET(A$1,,,SUMPRODUCT(MAX(ROW(E$2:E2649)*(E2649=E$2:E2649)))))-COUNTBLANK(OFFSET(A$1,,,SUMPRODUCT(MAX(ROW(E$1:E2648)*(E2=E$1:E2648))))))</f>
        <v> </v>
      </c>
      <c r="K2649" s="26" t="str">
        <f>IF(OR(E2649="",E2649="!!!",F2649="NEW"),"",INDEX(J$1:J2648,SUMPRODUCT(MAX(ROW(E$1:E2648)*(E2649=E$1:E2648)))))</f>
        <v> </v>
      </c>
      <c r="L2649" s="27"/>
    </row>
    <row r="2650" spans="1:12">
      <c r="A2650" s="20" t="s">
        <v>1170</v>
      </c>
      <c r="E2650" s="22">
        <f>IF(D2650="?OLD","!!!","")</f>
        <v/>
      </c>
      <c r="F2650" s="23" t="str">
        <f>IF(OR(E2650="",E2650="!!!"),"",IF(NOT(ISNA(VLOOKUP(E2650,E$1:E2649,1,FALSE()))),"OLD",IF(AND(E2650&lt;&gt;"",E2650&lt;&gt;"!!!"),"NEW","")))</f>
        <v> </v>
      </c>
      <c r="G2650" s="24" t="str">
        <f>IF(OR(E2650="",E2650="!!!"),"",IF(OR(J2650=0,AND(J2650=1,K2650=1),AND(J2650=1,I2650="SBJ"),AND(J2650=1,I2650=0)),"?IN_FOCUS",IF(J2650&lt;=2,"?ACTIVATED",IF(J2650&lt;&gt;"","?FAMILIAR",IF(F2650="NEW",IF(ISNA(VLOOKUP(E2650,#REF!,1,FALSE())),"?TYPE_IDENTIFIABLE","?REFERENTIAL"),"_")))))</f>
        <v> </v>
      </c>
      <c r="H2650" s="25" t="str">
        <f>IF(J2650&lt;&gt;1,"",IF(I2650="SBJ","CB","?"))</f>
        <v> </v>
      </c>
      <c r="I2650" s="26" t="str">
        <f>IF(OR(E2650="",E2650="!!!",F2650="NEW"),"",INDEX(B2649:B$2,-1+SUMPRODUCT(MAX(ROW(E2649:E$2)*(E2650=E2649:E$2)))))</f>
        <v> </v>
      </c>
      <c r="J2650" s="26" t="str">
        <f>IF(OR(E2650="",E2650="!!!",F2650="NEW"),"",COUNTBLANK(OFFSET(A$1,,,SUMPRODUCT(MAX(ROW(E$2:E2650)*(E2650=E$2:E2650)))))-COUNTBLANK(OFFSET(A$1,,,SUMPRODUCT(MAX(ROW(E$1:E2649)*(E2=E$1:E2649))))))</f>
        <v> </v>
      </c>
      <c r="K2650" s="26" t="str">
        <f>IF(OR(E2650="",E2650="!!!",F2650="NEW"),"",INDEX(J$1:J2649,SUMPRODUCT(MAX(ROW(E$1:E2649)*(E2650=E$1:E2649)))))</f>
        <v> </v>
      </c>
      <c r="L2650" s="27"/>
    </row>
    <row r="2651" spans="1:12">
      <c r="A2651" s="20" t="s">
        <v>1724</v>
      </c>
      <c r="B2651" s="21" t="s">
        <v>764</v>
      </c>
      <c r="C2651" s="21" t="s">
        <v>748</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759</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1725</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t="s">
        <v>1023</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1309</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t="s">
        <v>1468</v>
      </c>
      <c r="B2656" s="21" t="s">
        <v>791</v>
      </c>
      <c r="C2656" s="21" t="s">
        <v>748</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759</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1726</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1189</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1147</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1673</v>
      </c>
      <c r="B2661" s="21" t="s">
        <v>739</v>
      </c>
      <c r="C2661" s="21" t="s">
        <v>748</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246</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row>
    <row r="2664" spans="1:12">
      <c r="A2664" s="20" t="s">
        <v>1727</v>
      </c>
    </row>
    <row r="2665" spans="1:12">
      <c r="A2665" s="20" t="s">
        <v>1728</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1729</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804</v>
      </c>
      <c r="B2667" s="21" t="s">
        <v>764</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757</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1730</v>
      </c>
      <c r="B2669" s="21" t="s">
        <v>728</v>
      </c>
      <c r="C2669" s="21" t="s">
        <v>753</v>
      </c>
      <c r="D2669" s="21" t="s">
        <v>730</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1731</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745</v>
      </c>
      <c r="B2671" s="21" t="s">
        <v>755</v>
      </c>
      <c r="C2671" s="21" t="s">
        <v>746</v>
      </c>
      <c r="D2671" s="21" t="s">
        <v>730</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1621</v>
      </c>
      <c r="B2672" s="21" t="s">
        <v>739</v>
      </c>
      <c r="C2672" s="21" t="s">
        <v>748</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920</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738</v>
      </c>
      <c r="B2674" s="21" t="s">
        <v>755</v>
      </c>
      <c r="C2674" s="21" t="s">
        <v>740</v>
      </c>
      <c r="D2674" s="21" t="s">
        <v>730</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t="s">
        <v>12</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741</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12</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1641</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759</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855</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920</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1133</v>
      </c>
      <c r="B2682" s="21" t="s">
        <v>736</v>
      </c>
      <c r="C2682" s="21" t="s">
        <v>748</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759</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785</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757</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1732</v>
      </c>
      <c r="B2686" s="21" t="s">
        <v>736</v>
      </c>
      <c r="C2686" s="21" t="s">
        <v>753</v>
      </c>
      <c r="D2686" s="21" t="s">
        <v>730</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773</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813</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1405</v>
      </c>
      <c r="B2689" s="21" t="s">
        <v>739</v>
      </c>
      <c r="C2689" s="21" t="s">
        <v>753</v>
      </c>
      <c r="D2689" s="21" t="s">
        <v>730</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t="s">
        <v>246</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row>
    <row r="2692" spans="1:12">
      <c r="A2692" s="20" t="s">
        <v>1733</v>
      </c>
    </row>
    <row r="2693" spans="1:12">
      <c r="A2693" s="20" t="s">
        <v>744</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751</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1734</v>
      </c>
      <c r="B2695" s="21" t="s">
        <v>736</v>
      </c>
      <c r="C2695" s="21" t="s">
        <v>978</v>
      </c>
      <c r="D2695" s="21" t="s">
        <v>730</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1245</v>
      </c>
      <c r="B2696" s="21" t="s">
        <v>755</v>
      </c>
      <c r="C2696" s="21" t="s">
        <v>801</v>
      </c>
      <c r="D2696" s="21" t="s">
        <v>730</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1735</v>
      </c>
      <c r="B2697" s="21" t="s">
        <v>739</v>
      </c>
      <c r="C2697" s="21" t="s">
        <v>802</v>
      </c>
      <c r="D2697" s="21" t="s">
        <v>730</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1071</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750</v>
      </c>
      <c r="B2699" s="21" t="s">
        <v>728</v>
      </c>
      <c r="C2699" s="21" t="s">
        <v>729</v>
      </c>
      <c r="D2699" s="21" t="s">
        <v>730</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762</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1736</v>
      </c>
      <c r="B2701" s="21" t="s">
        <v>764</v>
      </c>
      <c r="C2701" s="21" t="s">
        <v>737</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1081</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246</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row>
    <row r="2705" spans="1:12">
      <c r="A2705" s="20" t="s">
        <v>1737</v>
      </c>
    </row>
    <row r="2706" spans="1:12">
      <c r="A2706" s="20" t="s">
        <v>727</v>
      </c>
      <c r="B2706" s="21" t="s">
        <v>728</v>
      </c>
      <c r="C2706" s="21" t="s">
        <v>729</v>
      </c>
      <c r="D2706" s="21" t="s">
        <v>730</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1071</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762</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1736</v>
      </c>
      <c r="B2709" s="21" t="s">
        <v>764</v>
      </c>
      <c r="C2709" s="21" t="s">
        <v>737</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1348</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1468</v>
      </c>
      <c r="B2711" s="21" t="s">
        <v>739</v>
      </c>
      <c r="C2711" s="21" t="s">
        <v>748</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t="s">
        <v>1081</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246</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row>
    <row r="2715" spans="1:12">
      <c r="A2715" s="20" t="s">
        <v>1738</v>
      </c>
    </row>
    <row r="2716" spans="1:12">
      <c r="A2716" s="20" t="s">
        <v>994</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750</v>
      </c>
      <c r="B2717" s="21" t="s">
        <v>728</v>
      </c>
      <c r="C2717" s="21" t="s">
        <v>729</v>
      </c>
      <c r="D2717" s="21" t="s">
        <v>730</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1071</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805</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1232</v>
      </c>
      <c r="B2720" s="21" t="s">
        <v>739</v>
      </c>
      <c r="C2720" s="21" t="s">
        <v>789</v>
      </c>
      <c r="D2720" s="21" t="s">
        <v>730</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1348</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t="s">
        <v>1739</v>
      </c>
      <c r="B2722" s="21" t="s">
        <v>736</v>
      </c>
      <c r="C2722" s="21" t="s">
        <v>967</v>
      </c>
      <c r="E2722" s="22">
        <f>IF(D2722="?OLD","!!!","")</f>
        <v/>
      </c>
      <c r="F2722" s="23" t="str">
        <f>IF(OR(E2722="",E2722="!!!"),"",IF(NOT(ISNA(VLOOKUP(E2722,E$1:E2721,1,FALSE()))),"OLD",IF(AND(E2722&lt;&gt;"",E2722&lt;&gt;"!!!"),"NEW","")))</f>
        <v> </v>
      </c>
      <c r="G2722" s="24" t="str">
        <f>IF(OR(E2722="",E2722="!!!"),"",IF(OR(J2722=0,AND(J2722=1,K2722=1),AND(J2722=1,I2722="SBJ"),AND(J2722=1,I2722=0)),"?IN_FOCUS",IF(J2722&lt;=2,"?ACTIVATED",IF(J2722&lt;&gt;"","?FAMILIAR",IF(F2722="NEW",IF(ISNA(VLOOKUP(E2722,#REF!,1,FALSE())),"?TYPE_IDENTIFIABLE","?REFERENTIAL"),"_")))))</f>
        <v> </v>
      </c>
      <c r="H2722" s="25" t="str">
        <f>IF(J2722&lt;&gt;1,"",IF(I2722="SBJ","CB","?"))</f>
        <v> </v>
      </c>
      <c r="I2722" s="26" t="str">
        <f>IF(OR(E2722="",E2722="!!!",F2722="NEW"),"",INDEX(B2721:B$2,-1+SUMPRODUCT(MAX(ROW(E2721:E$2)*(E2722=E2721:E$2)))))</f>
        <v> </v>
      </c>
      <c r="J2722" s="26" t="str">
        <f>IF(OR(E2722="",E2722="!!!",F2722="NEW"),"",COUNTBLANK(OFFSET(A$1,,,SUMPRODUCT(MAX(ROW(E$2:E2722)*(E2722=E$2:E2722)))))-COUNTBLANK(OFFSET(A$1,,,SUMPRODUCT(MAX(ROW(E$1:E2721)*(E2=E$1:E2721))))))</f>
        <v> </v>
      </c>
      <c r="K2722" s="26" t="str">
        <f>IF(OR(E2722="",E2722="!!!",F2722="NEW"),"",INDEX(J$1:J2721,SUMPRODUCT(MAX(ROW(E$1:E2721)*(E2722=E$1:E2721)))))</f>
        <v> </v>
      </c>
      <c r="L2722" s="27"/>
    </row>
    <row r="2723" spans="1:12">
      <c r="A2723" s="20" t="s">
        <v>1081</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t="s">
        <v>246</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row>
    <row r="2726" spans="1:12">
      <c r="A2726" s="20" t="s">
        <v>1740</v>
      </c>
    </row>
    <row r="2727" spans="1:12">
      <c r="A2727" s="20" t="s">
        <v>1741</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203</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834</v>
      </c>
      <c r="B2729" s="21" t="s">
        <v>728</v>
      </c>
      <c r="C2729" s="21" t="s">
        <v>729</v>
      </c>
      <c r="D2729" s="21" t="s">
        <v>730</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1742</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759</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922</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1743</v>
      </c>
      <c r="B2733" s="21" t="s">
        <v>796</v>
      </c>
      <c r="C2733" s="21" t="s">
        <v>737</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1226</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805</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1744</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t="s">
        <v>881</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t="s">
        <v>759</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922</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1745</v>
      </c>
      <c r="B2740" s="21" t="s">
        <v>796</v>
      </c>
      <c r="C2740" s="21" t="s">
        <v>737</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106</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952</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922</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1746</v>
      </c>
      <c r="B2744" s="21" t="s">
        <v>736</v>
      </c>
      <c r="C2744" s="21" t="s">
        <v>737</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t="s">
        <v>1635</v>
      </c>
      <c r="E2745" s="22">
        <f>IF(D2745="?OLD","!!!","")</f>
        <v/>
      </c>
      <c r="F2745" s="23" t="str">
        <f>IF(OR(E2745="",E2745="!!!"),"",IF(NOT(ISNA(VLOOKUP(E2745,E$1:E2744,1,FALSE()))),"OLD",IF(AND(E2745&lt;&gt;"",E2745&lt;&gt;"!!!"),"NEW","")))</f>
        <v> </v>
      </c>
      <c r="G2745" s="24" t="str">
        <f>IF(OR(E2745="",E2745="!!!"),"",IF(OR(J2745=0,AND(J2745=1,K2745=1),AND(J2745=1,I2745="SBJ"),AND(J2745=1,I2745=0)),"?IN_FOCUS",IF(J2745&lt;=2,"?ACTIVATED",IF(J2745&lt;&gt;"","?FAMILIAR",IF(F2745="NEW",IF(ISNA(VLOOKUP(E2745,#REF!,1,FALSE())),"?TYPE_IDENTIFIABLE","?REFERENTIAL"),"_")))))</f>
        <v> </v>
      </c>
      <c r="H2745" s="25" t="str">
        <f>IF(J2745&lt;&gt;1,"",IF(I2745="SBJ","CB","?"))</f>
        <v> </v>
      </c>
      <c r="I2745" s="26" t="str">
        <f>IF(OR(E2745="",E2745="!!!",F2745="NEW"),"",INDEX(B2744:B$2,-1+SUMPRODUCT(MAX(ROW(E2744:E$2)*(E2745=E2744:E$2)))))</f>
        <v> </v>
      </c>
      <c r="J2745" s="26" t="str">
        <f>IF(OR(E2745="",E2745="!!!",F2745="NEW"),"",COUNTBLANK(OFFSET(A$1,,,SUMPRODUCT(MAX(ROW(E$2:E2745)*(E2745=E$2:E2745)))))-COUNTBLANK(OFFSET(A$1,,,SUMPRODUCT(MAX(ROW(E$1:E2744)*(E2=E$1:E2744))))))</f>
        <v> </v>
      </c>
      <c r="K2745" s="26" t="str">
        <f>IF(OR(E2745="",E2745="!!!",F2745="NEW"),"",INDEX(J$1:J2744,SUMPRODUCT(MAX(ROW(E$1:E2744)*(E2745=E$1:E2744)))))</f>
        <v> </v>
      </c>
      <c r="L2745" s="27"/>
    </row>
    <row r="2746" spans="1:12">
      <c r="A2746" s="20" t="s">
        <v>944</v>
      </c>
      <c r="E2746" s="22">
        <f>IF(D2746="?OLD","!!!","")</f>
        <v/>
      </c>
      <c r="F2746" s="23" t="str">
        <f>IF(OR(E2746="",E2746="!!!"),"",IF(NOT(ISNA(VLOOKUP(E2746,E$1:E2745,1,FALSE()))),"OLD",IF(AND(E2746&lt;&gt;"",E2746&lt;&gt;"!!!"),"NEW","")))</f>
        <v> </v>
      </c>
      <c r="G2746" s="24" t="str">
        <f>IF(OR(E2746="",E2746="!!!"),"",IF(OR(J2746=0,AND(J2746=1,K2746=1),AND(J2746=1,I2746="SBJ"),AND(J2746=1,I2746=0)),"?IN_FOCUS",IF(J2746&lt;=2,"?ACTIVATED",IF(J2746&lt;&gt;"","?FAMILIAR",IF(F2746="NEW",IF(ISNA(VLOOKUP(E2746,#REF!,1,FALSE())),"?TYPE_IDENTIFIABLE","?REFERENTIAL"),"_")))))</f>
        <v> </v>
      </c>
      <c r="H2746" s="25" t="str">
        <f>IF(J2746&lt;&gt;1,"",IF(I2746="SBJ","CB","?"))</f>
        <v> </v>
      </c>
      <c r="I2746" s="26" t="str">
        <f>IF(OR(E2746="",E2746="!!!",F2746="NEW"),"",INDEX(B2745:B$2,-1+SUMPRODUCT(MAX(ROW(E2745:E$2)*(E2746=E2745:E$2)))))</f>
        <v> </v>
      </c>
      <c r="J2746" s="26" t="str">
        <f>IF(OR(E2746="",E2746="!!!",F2746="NEW"),"",COUNTBLANK(OFFSET(A$1,,,SUMPRODUCT(MAX(ROW(E$2:E2746)*(E2746=E$2:E2746)))))-COUNTBLANK(OFFSET(A$1,,,SUMPRODUCT(MAX(ROW(E$1:E2745)*(E2=E$1:E2745))))))</f>
        <v> </v>
      </c>
      <c r="K2746" s="26" t="str">
        <f>IF(OR(E2746="",E2746="!!!",F2746="NEW"),"",INDEX(J$1:J2745,SUMPRODUCT(MAX(ROW(E$1:E2745)*(E2746=E$1:E2745)))))</f>
        <v> </v>
      </c>
      <c r="L2746" s="27"/>
    </row>
    <row r="2747" spans="1:12">
      <c r="A2747" s="20" t="s">
        <v>246</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row>
    <row r="2749" spans="1:12">
      <c r="A2749" s="20" t="s">
        <v>1747</v>
      </c>
    </row>
    <row r="2750" spans="1:12">
      <c r="A2750" s="20" t="s">
        <v>727</v>
      </c>
      <c r="B2750" s="21" t="s">
        <v>728</v>
      </c>
      <c r="C2750" s="21" t="s">
        <v>729</v>
      </c>
      <c r="D2750" s="21" t="s">
        <v>730</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1748</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1023</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810</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1232</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938</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1749</v>
      </c>
      <c r="B2756" s="21" t="s">
        <v>736</v>
      </c>
      <c r="C2756" s="21" t="s">
        <v>748</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759</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1594</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750</v>
      </c>
      <c r="B2759" s="21" t="s">
        <v>796</v>
      </c>
      <c r="C2759" s="21" t="s">
        <v>729</v>
      </c>
      <c r="D2759" s="21" t="s">
        <v>730</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903</v>
      </c>
      <c r="B2760" s="21" t="s">
        <v>755</v>
      </c>
      <c r="C2760" s="21" t="s">
        <v>801</v>
      </c>
      <c r="D2760" s="21" t="s">
        <v>730</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1489</v>
      </c>
      <c r="B2761" s="21" t="s">
        <v>791</v>
      </c>
      <c r="C2761" s="21" t="s">
        <v>802</v>
      </c>
      <c r="D2761" s="21" t="s">
        <v>730</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1750</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246</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row>
    <row r="2765" spans="1:12">
      <c r="A2765" s="20" t="s">
        <v>798</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1751</v>
      </c>
    </row>
    <row r="2767" spans="1:12">
      <c r="A2767" s="20" t="s">
        <v>1478</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972</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774</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1752</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1753</v>
      </c>
      <c r="B2771" s="21" t="s">
        <v>736</v>
      </c>
      <c r="C2771" s="21" t="s">
        <v>737</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911</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t="s">
        <v>750</v>
      </c>
      <c r="B2773" s="21" t="s">
        <v>728</v>
      </c>
      <c r="C2773" s="21" t="s">
        <v>729</v>
      </c>
      <c r="D2773" s="21" t="s">
        <v>730</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t="s">
        <v>792</v>
      </c>
      <c r="B2774" s="21" t="s">
        <v>764</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t="s">
        <v>273</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t="s">
        <v>1147</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t="s">
        <v>817</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969</v>
      </c>
      <c r="B2778" s="21" t="s">
        <v>739</v>
      </c>
      <c r="C2778" s="21" t="s">
        <v>789</v>
      </c>
      <c r="D2778" s="21" t="s">
        <v>730</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1754</v>
      </c>
      <c r="B2779" s="21" t="s">
        <v>736</v>
      </c>
      <c r="C2779" s="21" t="s">
        <v>789</v>
      </c>
      <c r="D2779" s="21" t="s">
        <v>730</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750</v>
      </c>
      <c r="B2780" s="21" t="s">
        <v>796</v>
      </c>
      <c r="C2780" s="21" t="s">
        <v>729</v>
      </c>
      <c r="D2780" s="21" t="s">
        <v>730</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1309</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979</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1755</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row>
    <row r="2785" spans="1:12">
      <c r="A2785" s="20" t="s">
        <v>1756</v>
      </c>
    </row>
    <row r="2786" spans="1:12">
      <c r="A2786" s="20" t="s">
        <v>1757</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1754</v>
      </c>
      <c r="B2787" s="21" t="s">
        <v>736</v>
      </c>
      <c r="C2787" s="21" t="s">
        <v>789</v>
      </c>
      <c r="D2787" s="21" t="s">
        <v>730</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750</v>
      </c>
      <c r="B2788" s="21" t="s">
        <v>728</v>
      </c>
      <c r="C2788" s="21" t="s">
        <v>729</v>
      </c>
      <c r="D2788" s="21" t="s">
        <v>730</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776</v>
      </c>
      <c r="B2789" s="21" t="s">
        <v>764</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t="s">
        <v>1755</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row>
    <row r="2792" spans="1:12">
      <c r="A2792" s="20" t="s">
        <v>798</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1758</v>
      </c>
    </row>
    <row r="2794" spans="1:12">
      <c r="A2794" s="20" t="s">
        <v>969</v>
      </c>
      <c r="B2794" s="21" t="s">
        <v>728</v>
      </c>
      <c r="C2794" s="21" t="s">
        <v>789</v>
      </c>
      <c r="D2794" s="21" t="s">
        <v>730</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t="s">
        <v>1759</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t="s">
        <v>838</v>
      </c>
      <c r="E2796" s="22">
        <f>IF(D2796="?OLD","!!!","")</f>
        <v/>
      </c>
      <c r="F2796" s="23" t="str">
        <f>IF(OR(E2796="",E2796="!!!"),"",IF(NOT(ISNA(VLOOKUP(E2796,E$1:E2795,1,FALSE()))),"OLD",IF(AND(E2796&lt;&gt;"",E2796&lt;&gt;"!!!"),"NEW","")))</f>
        <v> </v>
      </c>
      <c r="G2796" s="24" t="str">
        <f>IF(OR(E2796="",E2796="!!!"),"",IF(OR(J2796=0,AND(J2796=1,K2796=1),AND(J2796=1,I2796="SBJ"),AND(J2796=1,I2796=0)),"?IN_FOCUS",IF(J2796&lt;=2,"?ACTIVATED",IF(J2796&lt;&gt;"","?FAMILIAR",IF(F2796="NEW",IF(ISNA(VLOOKUP(E2796,#REF!,1,FALSE())),"?TYPE_IDENTIFIABLE","?REFERENTIAL"),"_")))))</f>
        <v> </v>
      </c>
      <c r="H2796" s="25" t="str">
        <f>IF(J2796&lt;&gt;1,"",IF(I2796="SBJ","CB","?"))</f>
        <v> </v>
      </c>
      <c r="I2796" s="26" t="str">
        <f>IF(OR(E2796="",E2796="!!!",F2796="NEW"),"",INDEX(B2795:B$2,-1+SUMPRODUCT(MAX(ROW(E2795:E$2)*(E2796=E2795:E$2)))))</f>
        <v> </v>
      </c>
      <c r="J2796" s="26" t="str">
        <f>IF(OR(E2796="",E2796="!!!",F2796="NEW"),"",COUNTBLANK(OFFSET(A$1,,,SUMPRODUCT(MAX(ROW(E$2:E2796)*(E2796=E$2:E2796)))))-COUNTBLANK(OFFSET(A$1,,,SUMPRODUCT(MAX(ROW(E$1:E2795)*(E2=E$1:E2795))))))</f>
        <v> </v>
      </c>
      <c r="K2796" s="26" t="str">
        <f>IF(OR(E2796="",E2796="!!!",F2796="NEW"),"",INDEX(J$1:J2795,SUMPRODUCT(MAX(ROW(E$1:E2795)*(E2796=E$1:E2795)))))</f>
        <v> </v>
      </c>
      <c r="L2796" s="27"/>
    </row>
    <row r="2797" spans="1:12">
      <c r="A2797" s="20" t="s">
        <v>1760</v>
      </c>
      <c r="E2797" s="22">
        <f>IF(D2797="?OLD","!!!","")</f>
        <v/>
      </c>
      <c r="F2797" s="23" t="str">
        <f>IF(OR(E2797="",E2797="!!!"),"",IF(NOT(ISNA(VLOOKUP(E2797,E$1:E2796,1,FALSE()))),"OLD",IF(AND(E2797&lt;&gt;"",E2797&lt;&gt;"!!!"),"NEW","")))</f>
        <v> </v>
      </c>
      <c r="G2797" s="24" t="str">
        <f>IF(OR(E2797="",E2797="!!!"),"",IF(OR(J2797=0,AND(J2797=1,K2797=1),AND(J2797=1,I2797="SBJ"),AND(J2797=1,I2797=0)),"?IN_FOCUS",IF(J2797&lt;=2,"?ACTIVATED",IF(J2797&lt;&gt;"","?FAMILIAR",IF(F2797="NEW",IF(ISNA(VLOOKUP(E2797,#REF!,1,FALSE())),"?TYPE_IDENTIFIABLE","?REFERENTIAL"),"_")))))</f>
        <v> </v>
      </c>
      <c r="H2797" s="25" t="str">
        <f>IF(J2797&lt;&gt;1,"",IF(I2797="SBJ","CB","?"))</f>
        <v> </v>
      </c>
      <c r="I2797" s="26" t="str">
        <f>IF(OR(E2797="",E2797="!!!",F2797="NEW"),"",INDEX(B2796:B$2,-1+SUMPRODUCT(MAX(ROW(E2796:E$2)*(E2797=E2796:E$2)))))</f>
        <v> </v>
      </c>
      <c r="J2797" s="26" t="str">
        <f>IF(OR(E2797="",E2797="!!!",F2797="NEW"),"",COUNTBLANK(OFFSET(A$1,,,SUMPRODUCT(MAX(ROW(E$2:E2797)*(E2797=E$2:E2797)))))-COUNTBLANK(OFFSET(A$1,,,SUMPRODUCT(MAX(ROW(E$1:E2796)*(E2=E$1:E2796))))))</f>
        <v> </v>
      </c>
      <c r="K2797" s="26" t="str">
        <f>IF(OR(E2797="",E2797="!!!",F2797="NEW"),"",INDEX(J$1:J2796,SUMPRODUCT(MAX(ROW(E$1:E2796)*(E2797=E$1:E2796)))))</f>
        <v> </v>
      </c>
      <c r="L2797" s="27"/>
    </row>
    <row r="2798" spans="1:12">
      <c r="A2798" s="20" t="s">
        <v>1755</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817</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row>
    <row r="2801" spans="1:12">
      <c r="A2801" s="20" t="s">
        <v>1761</v>
      </c>
    </row>
    <row r="2802" spans="1:12">
      <c r="A2802" s="20" t="s">
        <v>800</v>
      </c>
      <c r="B2802" s="21" t="s">
        <v>739</v>
      </c>
      <c r="C2802" s="21" t="s">
        <v>801</v>
      </c>
      <c r="D2802" s="21" t="s">
        <v>730</v>
      </c>
      <c r="E2802" s="22">
        <f>IF(D2802="?OLD","!!!","")</f>
        <v/>
      </c>
      <c r="F2802" s="23" t="str">
        <f>IF(OR(E2802="",E2802="!!!"),"",IF(NOT(ISNA(VLOOKUP(E2802,E$1:E2801,1,FALSE()))),"OLD",IF(AND(E2802&lt;&gt;"",E2802&lt;&gt;"!!!"),"NEW","")))</f>
        <v> </v>
      </c>
      <c r="G2802" s="24" t="str">
        <f>IF(OR(E2802="",E2802="!!!"),"",IF(OR(J2802=0,AND(J2802=1,K2802=1),AND(J2802=1,I2802="SBJ"),AND(J2802=1,I2802=0)),"?IN_FOCUS",IF(J2802&lt;=2,"?ACTIVATED",IF(J2802&lt;&gt;"","?FAMILIAR",IF(F2802="NEW",IF(ISNA(VLOOKUP(E2802,#REF!,1,FALSE())),"?TYPE_IDENTIFIABLE","?REFERENTIAL"),"_")))))</f>
        <v> </v>
      </c>
      <c r="H2802" s="25" t="str">
        <f>IF(J2802&lt;&gt;1,"",IF(I2802="SBJ","CB","?"))</f>
        <v> </v>
      </c>
      <c r="I2802" s="26" t="str">
        <f>IF(OR(E2802="",E2802="!!!",F2802="NEW"),"",INDEX(B2801:B$2,-1+SUMPRODUCT(MAX(ROW(E2801:E$2)*(E2802=E2801:E$2)))))</f>
        <v> </v>
      </c>
      <c r="J2802" s="26" t="str">
        <f>IF(OR(E2802="",E2802="!!!",F2802="NEW"),"",COUNTBLANK(OFFSET(A$1,,,SUMPRODUCT(MAX(ROW(E$2:E2802)*(E2802=E$2:E2802)))))-COUNTBLANK(OFFSET(A$1,,,SUMPRODUCT(MAX(ROW(E$1:E2801)*(E2=E$1:E2801))))))</f>
        <v> </v>
      </c>
      <c r="K2802" s="26" t="str">
        <f>IF(OR(E2802="",E2802="!!!",F2802="NEW"),"",INDEX(J$1:J2801,SUMPRODUCT(MAX(ROW(E$1:E2801)*(E2802=E$1:E2801)))))</f>
        <v> </v>
      </c>
      <c r="L2802" s="27"/>
    </row>
    <row r="2803" spans="1:12">
      <c r="A2803" s="20" t="s">
        <v>1762</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1138</v>
      </c>
      <c r="B2804" s="21" t="s">
        <v>764</v>
      </c>
      <c r="C2804" s="21" t="s">
        <v>802</v>
      </c>
      <c r="D2804" s="21" t="s">
        <v>730</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t="s">
        <v>187</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t="s">
        <v>872</v>
      </c>
      <c r="B2806" s="21" t="s">
        <v>764</v>
      </c>
      <c r="C2806" s="21" t="s">
        <v>789</v>
      </c>
      <c r="D2806" s="21" t="s">
        <v>730</v>
      </c>
      <c r="E2806" s="22">
        <f>IF(D2806="?OLD","!!!","")</f>
        <v/>
      </c>
      <c r="F2806" s="23" t="str">
        <f>IF(OR(E2806="",E2806="!!!"),"",IF(NOT(ISNA(VLOOKUP(E2806,E$1:E2805,1,FALSE()))),"OLD",IF(AND(E2806&lt;&gt;"",E2806&lt;&gt;"!!!"),"NEW","")))</f>
        <v> </v>
      </c>
      <c r="G2806" s="24" t="str">
        <f>IF(OR(E2806="",E2806="!!!"),"",IF(OR(J2806=0,AND(J2806=1,K2806=1),AND(J2806=1,I2806="SBJ"),AND(J2806=1,I2806=0)),"?IN_FOCUS",IF(J2806&lt;=2,"?ACTIVATED",IF(J2806&lt;&gt;"","?FAMILIAR",IF(F2806="NEW",IF(ISNA(VLOOKUP(E2806,#REF!,1,FALSE())),"?TYPE_IDENTIFIABLE","?REFERENTIAL"),"_")))))</f>
        <v> </v>
      </c>
      <c r="H2806" s="25" t="str">
        <f>IF(J2806&lt;&gt;1,"",IF(I2806="SBJ","CB","?"))</f>
        <v> </v>
      </c>
      <c r="I2806" s="26" t="str">
        <f>IF(OR(E2806="",E2806="!!!",F2806="NEW"),"",INDEX(B2805:B$2,-1+SUMPRODUCT(MAX(ROW(E2805:E$2)*(E2806=E2805:E$2)))))</f>
        <v> </v>
      </c>
      <c r="J2806" s="26" t="str">
        <f>IF(OR(E2806="",E2806="!!!",F2806="NEW"),"",COUNTBLANK(OFFSET(A$1,,,SUMPRODUCT(MAX(ROW(E$2:E2806)*(E2806=E$2:E2806)))))-COUNTBLANK(OFFSET(A$1,,,SUMPRODUCT(MAX(ROW(E$1:E2805)*(E2=E$1:E2805))))))</f>
        <v> </v>
      </c>
      <c r="K2806" s="26" t="str">
        <f>IF(OR(E2806="",E2806="!!!",F2806="NEW"),"",INDEX(J$1:J2805,SUMPRODUCT(MAX(ROW(E$1:E2805)*(E2806=E$1:E2805)))))</f>
        <v> </v>
      </c>
      <c r="L2806" s="27"/>
    </row>
    <row r="2807" spans="1:12">
      <c r="A2807" s="20" t="s">
        <v>1187</v>
      </c>
      <c r="B2807" s="21" t="s">
        <v>739</v>
      </c>
      <c r="C2807" s="21" t="s">
        <v>789</v>
      </c>
      <c r="D2807" s="21" t="s">
        <v>730</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1188</v>
      </c>
      <c r="B2808" s="21" t="s">
        <v>764</v>
      </c>
      <c r="C2808" s="21" t="s">
        <v>967</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922</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246</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row>
    <row r="2812" spans="1:12">
      <c r="A2812" s="20" t="s">
        <v>1763</v>
      </c>
    </row>
    <row r="2813" spans="1:12">
      <c r="A2813" s="20" t="s">
        <v>1382</v>
      </c>
      <c r="B2813" s="21" t="s">
        <v>728</v>
      </c>
      <c r="C2813" s="21" t="s">
        <v>789</v>
      </c>
      <c r="D2813" s="21" t="s">
        <v>730</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t="s">
        <v>563</v>
      </c>
      <c r="E2814" s="22">
        <f>IF(D2814="?OLD","!!!","")</f>
        <v/>
      </c>
      <c r="F2814" s="23" t="str">
        <f>IF(OR(E2814="",E2814="!!!"),"",IF(NOT(ISNA(VLOOKUP(E2814,E$1:E2813,1,FALSE()))),"OLD",IF(AND(E2814&lt;&gt;"",E2814&lt;&gt;"!!!"),"NEW","")))</f>
        <v> </v>
      </c>
      <c r="G2814" s="24" t="str">
        <f>IF(OR(E2814="",E2814="!!!"),"",IF(OR(J2814=0,AND(J2814=1,K2814=1),AND(J2814=1,I2814="SBJ"),AND(J2814=1,I2814=0)),"?IN_FOCUS",IF(J2814&lt;=2,"?ACTIVATED",IF(J2814&lt;&gt;"","?FAMILIAR",IF(F2814="NEW",IF(ISNA(VLOOKUP(E2814,#REF!,1,FALSE())),"?TYPE_IDENTIFIABLE","?REFERENTIAL"),"_")))))</f>
        <v> </v>
      </c>
      <c r="H2814" s="25" t="str">
        <f>IF(J2814&lt;&gt;1,"",IF(I2814="SBJ","CB","?"))</f>
        <v> </v>
      </c>
      <c r="I2814" s="26" t="str">
        <f>IF(OR(E2814="",E2814="!!!",F2814="NEW"),"",INDEX(B2813:B$2,-1+SUMPRODUCT(MAX(ROW(E2813:E$2)*(E2814=E2813:E$2)))))</f>
        <v> </v>
      </c>
      <c r="J2814" s="26" t="str">
        <f>IF(OR(E2814="",E2814="!!!",F2814="NEW"),"",COUNTBLANK(OFFSET(A$1,,,SUMPRODUCT(MAX(ROW(E$2:E2814)*(E2814=E$2:E2814)))))-COUNTBLANK(OFFSET(A$1,,,SUMPRODUCT(MAX(ROW(E$1:E2813)*(E2=E$1:E2813))))))</f>
        <v> </v>
      </c>
      <c r="K2814" s="26" t="str">
        <f>IF(OR(E2814="",E2814="!!!",F2814="NEW"),"",INDEX(J$1:J2813,SUMPRODUCT(MAX(ROW(E$1:E2813)*(E2814=E$1:E2813)))))</f>
        <v> </v>
      </c>
      <c r="L2814" s="27"/>
    </row>
    <row r="2815" spans="1:12">
      <c r="A2815" s="20" t="s">
        <v>1192</v>
      </c>
      <c r="E2815" s="22">
        <f>IF(D2815="?OLD","!!!","")</f>
        <v/>
      </c>
      <c r="F2815" s="23" t="str">
        <f>IF(OR(E2815="",E2815="!!!"),"",IF(NOT(ISNA(VLOOKUP(E2815,E$1:E2814,1,FALSE()))),"OLD",IF(AND(E2815&lt;&gt;"",E2815&lt;&gt;"!!!"),"NEW","")))</f>
        <v> </v>
      </c>
      <c r="G2815" s="24" t="str">
        <f>IF(OR(E2815="",E2815="!!!"),"",IF(OR(J2815=0,AND(J2815=1,K2815=1),AND(J2815=1,I2815="SBJ"),AND(J2815=1,I2815=0)),"?IN_FOCUS",IF(J2815&lt;=2,"?ACTIVATED",IF(J2815&lt;&gt;"","?FAMILIAR",IF(F2815="NEW",IF(ISNA(VLOOKUP(E2815,#REF!,1,FALSE())),"?TYPE_IDENTIFIABLE","?REFERENTIAL"),"_")))))</f>
        <v> </v>
      </c>
      <c r="H2815" s="25" t="str">
        <f>IF(J2815&lt;&gt;1,"",IF(I2815="SBJ","CB","?"))</f>
        <v> </v>
      </c>
      <c r="I2815" s="26" t="str">
        <f>IF(OR(E2815="",E2815="!!!",F2815="NEW"),"",INDEX(B2814:B$2,-1+SUMPRODUCT(MAX(ROW(E2814:E$2)*(E2815=E2814:E$2)))))</f>
        <v> </v>
      </c>
      <c r="J2815" s="26" t="str">
        <f>IF(OR(E2815="",E2815="!!!",F2815="NEW"),"",COUNTBLANK(OFFSET(A$1,,,SUMPRODUCT(MAX(ROW(E$2:E2815)*(E2815=E$2:E2815)))))-COUNTBLANK(OFFSET(A$1,,,SUMPRODUCT(MAX(ROW(E$1:E2814)*(E2=E$1:E2814))))))</f>
        <v> </v>
      </c>
      <c r="K2815" s="26" t="str">
        <f>IF(OR(E2815="",E2815="!!!",F2815="NEW"),"",INDEX(J$1:J2814,SUMPRODUCT(MAX(ROW(E$1:E2814)*(E2815=E$1:E2814)))))</f>
        <v> </v>
      </c>
      <c r="L2815" s="27"/>
    </row>
    <row r="2816" spans="1:12">
      <c r="A2816" s="20" t="s">
        <v>1191</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t="s">
        <v>813</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t="s">
        <v>1194</v>
      </c>
      <c r="B2818" s="21" t="s">
        <v>764</v>
      </c>
      <c r="C2818" s="21" t="s">
        <v>753</v>
      </c>
      <c r="D2818" s="21" t="s">
        <v>730</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922</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246</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row>
    <row r="2822" spans="1:12">
      <c r="A2822" s="20" t="s">
        <v>1764</v>
      </c>
    </row>
    <row r="2823" spans="1:12">
      <c r="A2823" s="20" t="s">
        <v>1263</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1765</v>
      </c>
      <c r="B2824" s="21" t="s">
        <v>736</v>
      </c>
      <c r="C2824" s="21" t="s">
        <v>740</v>
      </c>
      <c r="D2824" s="21" t="s">
        <v>730</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1094</v>
      </c>
      <c r="B2825" s="21" t="s">
        <v>736</v>
      </c>
      <c r="C2825" s="21" t="s">
        <v>789</v>
      </c>
      <c r="D2825" s="21" t="s">
        <v>730</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t="s">
        <v>567</v>
      </c>
      <c r="B2826" s="21" t="s">
        <v>736</v>
      </c>
      <c r="C2826" s="21" t="s">
        <v>967</v>
      </c>
      <c r="E2826" s="22">
        <f>IF(D2826="?OLD","!!!","")</f>
        <v/>
      </c>
      <c r="F2826" s="23" t="str">
        <f>IF(OR(E2826="",E2826="!!!"),"",IF(NOT(ISNA(VLOOKUP(E2826,E$1:E2825,1,FALSE()))),"OLD",IF(AND(E2826&lt;&gt;"",E2826&lt;&gt;"!!!"),"NEW","")))</f>
        <v> </v>
      </c>
      <c r="G2826" s="24" t="str">
        <f>IF(OR(E2826="",E2826="!!!"),"",IF(OR(J2826=0,AND(J2826=1,K2826=1),AND(J2826=1,I2826="SBJ"),AND(J2826=1,I2826=0)),"?IN_FOCUS",IF(J2826&lt;=2,"?ACTIVATED",IF(J2826&lt;&gt;"","?FAMILIAR",IF(F2826="NEW",IF(ISNA(VLOOKUP(E2826,#REF!,1,FALSE())),"?TYPE_IDENTIFIABLE","?REFERENTIAL"),"_")))))</f>
        <v> </v>
      </c>
      <c r="H2826" s="25" t="str">
        <f>IF(J2826&lt;&gt;1,"",IF(I2826="SBJ","CB","?"))</f>
        <v> </v>
      </c>
      <c r="I2826" s="26" t="str">
        <f>IF(OR(E2826="",E2826="!!!",F2826="NEW"),"",INDEX(B2825:B$2,-1+SUMPRODUCT(MAX(ROW(E2825:E$2)*(E2826=E2825:E$2)))))</f>
        <v> </v>
      </c>
      <c r="J2826" s="26" t="str">
        <f>IF(OR(E2826="",E2826="!!!",F2826="NEW"),"",COUNTBLANK(OFFSET(A$1,,,SUMPRODUCT(MAX(ROW(E$2:E2826)*(E2826=E$2:E2826)))))-COUNTBLANK(OFFSET(A$1,,,SUMPRODUCT(MAX(ROW(E$1:E2825)*(E2=E$1:E2825))))))</f>
        <v> </v>
      </c>
      <c r="K2826" s="26" t="str">
        <f>IF(OR(E2826="",E2826="!!!",F2826="NEW"),"",INDEX(J$1:J2825,SUMPRODUCT(MAX(ROW(E$1:E2825)*(E2826=E$1:E2825)))))</f>
        <v> </v>
      </c>
      <c r="L2826" s="27"/>
    </row>
    <row r="2827" spans="1:12">
      <c r="A2827" s="20" t="s">
        <v>246</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row>
    <row r="2829" spans="1:12">
      <c r="A2829" s="20" t="s">
        <v>798</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t="s">
        <v>1766</v>
      </c>
    </row>
    <row r="2831" spans="1:12">
      <c r="A2831" s="20" t="s">
        <v>1767</v>
      </c>
      <c r="B2831" s="21" t="s">
        <v>728</v>
      </c>
      <c r="C2831" s="21" t="s">
        <v>756</v>
      </c>
      <c r="E2831" s="22">
        <f>IF(D2831="?OLD","!!!","")</f>
        <v/>
      </c>
      <c r="F2831" s="23" t="str">
        <f>IF(OR(E2831="",E2831="!!!"),"",IF(NOT(ISNA(VLOOKUP(E2831,E$1:E2830,1,FALSE()))),"OLD",IF(AND(E2831&lt;&gt;"",E2831&lt;&gt;"!!!"),"NEW","")))</f>
        <v> </v>
      </c>
      <c r="G2831" s="24" t="str">
        <f>IF(OR(E2831="",E2831="!!!"),"",IF(OR(J2831=0,AND(J2831=1,K2831=1),AND(J2831=1,I2831="SBJ"),AND(J2831=1,I2831=0)),"?IN_FOCUS",IF(J2831&lt;=2,"?ACTIVATED",IF(J2831&lt;&gt;"","?FAMILIAR",IF(F2831="NEW",IF(ISNA(VLOOKUP(E2831,#REF!,1,FALSE())),"?TYPE_IDENTIFIABLE","?REFERENTIAL"),"_")))))</f>
        <v> </v>
      </c>
      <c r="H2831" s="25" t="str">
        <f>IF(J2831&lt;&gt;1,"",IF(I2831="SBJ","CB","?"))</f>
        <v> </v>
      </c>
      <c r="I2831" s="26" t="str">
        <f>IF(OR(E2831="",E2831="!!!",F2831="NEW"),"",INDEX(B2830:B$2,-1+SUMPRODUCT(MAX(ROW(E2830:E$2)*(E2831=E2830:E$2)))))</f>
        <v> </v>
      </c>
      <c r="J2831" s="26" t="str">
        <f>IF(OR(E2831="",E2831="!!!",F2831="NEW"),"",COUNTBLANK(OFFSET(A$1,,,SUMPRODUCT(MAX(ROW(E$2:E2831)*(E2831=E$2:E2831)))))-COUNTBLANK(OFFSET(A$1,,,SUMPRODUCT(MAX(ROW(E$1:E2830)*(E2=E$1:E2830))))))</f>
        <v> </v>
      </c>
      <c r="K2831" s="26" t="str">
        <f>IF(OR(E2831="",E2831="!!!",F2831="NEW"),"",INDEX(J$1:J2830,SUMPRODUCT(MAX(ROW(E$1:E2830)*(E2831=E$1:E2830)))))</f>
        <v> </v>
      </c>
      <c r="L2831" s="27"/>
    </row>
    <row r="2832" spans="1:12">
      <c r="A2832" s="20" t="s">
        <v>203</v>
      </c>
      <c r="E2832" s="22">
        <f>IF(D2832="?OLD","!!!","")</f>
        <v/>
      </c>
      <c r="F2832" s="23" t="str">
        <f>IF(OR(E2832="",E2832="!!!"),"",IF(NOT(ISNA(VLOOKUP(E2832,E$1:E2831,1,FALSE()))),"OLD",IF(AND(E2832&lt;&gt;"",E2832&lt;&gt;"!!!"),"NEW","")))</f>
        <v> </v>
      </c>
      <c r="G2832" s="24" t="str">
        <f>IF(OR(E2832="",E2832="!!!"),"",IF(OR(J2832=0,AND(J2832=1,K2832=1),AND(J2832=1,I2832="SBJ"),AND(J2832=1,I2832=0)),"?IN_FOCUS",IF(J2832&lt;=2,"?ACTIVATED",IF(J2832&lt;&gt;"","?FAMILIAR",IF(F2832="NEW",IF(ISNA(VLOOKUP(E2832,#REF!,1,FALSE())),"?TYPE_IDENTIFIABLE","?REFERENTIAL"),"_")))))</f>
        <v> </v>
      </c>
      <c r="H2832" s="25" t="str">
        <f>IF(J2832&lt;&gt;1,"",IF(I2832="SBJ","CB","?"))</f>
        <v> </v>
      </c>
      <c r="I2832" s="26" t="str">
        <f>IF(OR(E2832="",E2832="!!!",F2832="NEW"),"",INDEX(B2831:B$2,-1+SUMPRODUCT(MAX(ROW(E2831:E$2)*(E2832=E2831:E$2)))))</f>
        <v> </v>
      </c>
      <c r="J2832" s="26" t="str">
        <f>IF(OR(E2832="",E2832="!!!",F2832="NEW"),"",COUNTBLANK(OFFSET(A$1,,,SUMPRODUCT(MAX(ROW(E$2:E2832)*(E2832=E$2:E2832)))))-COUNTBLANK(OFFSET(A$1,,,SUMPRODUCT(MAX(ROW(E$1:E2831)*(E2=E$1:E2831))))))</f>
        <v> </v>
      </c>
      <c r="K2832" s="26" t="str">
        <f>IF(OR(E2832="",E2832="!!!",F2832="NEW"),"",INDEX(J$1:J2831,SUMPRODUCT(MAX(ROW(E$1:E2831)*(E2832=E$1:E2831)))))</f>
        <v> </v>
      </c>
      <c r="L2832" s="27"/>
    </row>
    <row r="2833" spans="1:12">
      <c r="A2833" s="20" t="s">
        <v>759</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t="s">
        <v>750</v>
      </c>
      <c r="B2834" s="21" t="s">
        <v>788</v>
      </c>
      <c r="C2834" s="21" t="s">
        <v>729</v>
      </c>
      <c r="D2834" s="21" t="s">
        <v>730</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t="s">
        <v>1768</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1731</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817</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1370</v>
      </c>
      <c r="B2838" s="21" t="s">
        <v>739</v>
      </c>
      <c r="C2838" s="21" t="s">
        <v>740</v>
      </c>
      <c r="D2838" s="21" t="s">
        <v>730</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817</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785</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817</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1316</v>
      </c>
      <c r="B2842" s="21" t="s">
        <v>755</v>
      </c>
      <c r="C2842" s="21" t="s">
        <v>740</v>
      </c>
      <c r="D2842" s="21" t="s">
        <v>730</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817</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1769</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t="s">
        <v>785</v>
      </c>
      <c r="E2845" s="22">
        <f>IF(D2845="?OLD","!!!","")</f>
        <v/>
      </c>
      <c r="F2845" s="23" t="str">
        <f>IF(OR(E2845="",E2845="!!!"),"",IF(NOT(ISNA(VLOOKUP(E2845,E$1:E2844,1,FALSE()))),"OLD",IF(AND(E2845&lt;&gt;"",E2845&lt;&gt;"!!!"),"NEW","")))</f>
        <v> </v>
      </c>
      <c r="G2845" s="24" t="str">
        <f>IF(OR(E2845="",E2845="!!!"),"",IF(OR(J2845=0,AND(J2845=1,K2845=1),AND(J2845=1,I2845="SBJ"),AND(J2845=1,I2845=0)),"?IN_FOCUS",IF(J2845&lt;=2,"?ACTIVATED",IF(J2845&lt;&gt;"","?FAMILIAR",IF(F2845="NEW",IF(ISNA(VLOOKUP(E2845,#REF!,1,FALSE())),"?TYPE_IDENTIFIABLE","?REFERENTIAL"),"_")))))</f>
        <v> </v>
      </c>
      <c r="H2845" s="25" t="str">
        <f>IF(J2845&lt;&gt;1,"",IF(I2845="SBJ","CB","?"))</f>
        <v> </v>
      </c>
      <c r="I2845" s="26" t="str">
        <f>IF(OR(E2845="",E2845="!!!",F2845="NEW"),"",INDEX(B2844:B$2,-1+SUMPRODUCT(MAX(ROW(E2844:E$2)*(E2845=E2844:E$2)))))</f>
        <v> </v>
      </c>
      <c r="J2845" s="26" t="str">
        <f>IF(OR(E2845="",E2845="!!!",F2845="NEW"),"",COUNTBLANK(OFFSET(A$1,,,SUMPRODUCT(MAX(ROW(E$2:E2845)*(E2845=E$2:E2845)))))-COUNTBLANK(OFFSET(A$1,,,SUMPRODUCT(MAX(ROW(E$1:E2844)*(E2=E$1:E2844))))))</f>
        <v> </v>
      </c>
      <c r="K2845" s="26" t="str">
        <f>IF(OR(E2845="",E2845="!!!",F2845="NEW"),"",INDEX(J$1:J2844,SUMPRODUCT(MAX(ROW(E$1:E2844)*(E2845=E$1:E2844)))))</f>
        <v> </v>
      </c>
      <c r="L2845" s="27"/>
    </row>
    <row r="2846" spans="1:12">
      <c r="A2846" s="20" t="s">
        <v>1770</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792</v>
      </c>
      <c r="B2847" s="21" t="s">
        <v>843</v>
      </c>
      <c r="C2847" s="21" t="s">
        <v>729</v>
      </c>
      <c r="D2847" s="21" t="s">
        <v>730</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1771</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813</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1772</v>
      </c>
      <c r="B2850" s="21" t="s">
        <v>788</v>
      </c>
      <c r="C2850" s="21" t="s">
        <v>753</v>
      </c>
      <c r="D2850" s="21" t="s">
        <v>730</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t="s">
        <v>742</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774</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t="s">
        <v>1773</v>
      </c>
      <c r="B2853" s="21" t="s">
        <v>755</v>
      </c>
      <c r="C2853" s="21" t="s">
        <v>737</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972</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751</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1774</v>
      </c>
      <c r="B2856" s="21" t="s">
        <v>783</v>
      </c>
      <c r="C2856" s="21" t="s">
        <v>753</v>
      </c>
      <c r="D2856" s="21" t="s">
        <v>730</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1775</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t="s">
        <v>246</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row>
    <row r="2860" spans="1:12">
      <c r="A2860" s="20" t="s">
        <v>1776</v>
      </c>
    </row>
    <row r="2861" spans="1:12">
      <c r="A2861" s="20" t="s">
        <v>727</v>
      </c>
      <c r="B2861" s="21" t="s">
        <v>796</v>
      </c>
      <c r="C2861" s="21" t="s">
        <v>729</v>
      </c>
      <c r="D2861" s="21" t="s">
        <v>730</v>
      </c>
      <c r="E2861" s="22">
        <f>IF(D2861="?OLD","!!!","")</f>
        <v/>
      </c>
      <c r="F2861" s="23" t="str">
        <f>IF(OR(E2861="",E2861="!!!"),"",IF(NOT(ISNA(VLOOKUP(E2861,E$1:E2860,1,FALSE()))),"OLD",IF(AND(E2861&lt;&gt;"",E2861&lt;&gt;"!!!"),"NEW","")))</f>
        <v> </v>
      </c>
      <c r="G2861" s="24" t="str">
        <f>IF(OR(E2861="",E2861="!!!"),"",IF(OR(J2861=0,AND(J2861=1,K2861=1),AND(J2861=1,I2861="SBJ"),AND(J2861=1,I2861=0)),"?IN_FOCUS",IF(J2861&lt;=2,"?ACTIVATED",IF(J2861&lt;&gt;"","?FAMILIAR",IF(F2861="NEW",IF(ISNA(VLOOKUP(E2861,#REF!,1,FALSE())),"?TYPE_IDENTIFIABLE","?REFERENTIAL"),"_")))))</f>
        <v> </v>
      </c>
      <c r="H2861" s="25" t="str">
        <f>IF(J2861&lt;&gt;1,"",IF(I2861="SBJ","CB","?"))</f>
        <v> </v>
      </c>
      <c r="I2861" s="26" t="str">
        <f>IF(OR(E2861="",E2861="!!!",F2861="NEW"),"",INDEX(B2860:B$2,-1+SUMPRODUCT(MAX(ROW(E2860:E$2)*(E2861=E2860:E$2)))))</f>
        <v> </v>
      </c>
      <c r="J2861" s="26" t="str">
        <f>IF(OR(E2861="",E2861="!!!",F2861="NEW"),"",COUNTBLANK(OFFSET(A$1,,,SUMPRODUCT(MAX(ROW(E$2:E2861)*(E2861=E$2:E2861)))))-COUNTBLANK(OFFSET(A$1,,,SUMPRODUCT(MAX(ROW(E$1:E2860)*(E2=E$1:E2860))))))</f>
        <v> </v>
      </c>
      <c r="K2861" s="26" t="str">
        <f>IF(OR(E2861="",E2861="!!!",F2861="NEW"),"",INDEX(J$1:J2860,SUMPRODUCT(MAX(ROW(E$1:E2860)*(E2861=E$1:E2860)))))</f>
        <v> </v>
      </c>
      <c r="L2861" s="27"/>
    </row>
    <row r="2862" spans="1:12">
      <c r="A2862" s="20" t="s">
        <v>1071</v>
      </c>
      <c r="E2862" s="22">
        <f>IF(D2862="?OLD","!!!","")</f>
        <v/>
      </c>
      <c r="F2862" s="23" t="str">
        <f>IF(OR(E2862="",E2862="!!!"),"",IF(NOT(ISNA(VLOOKUP(E2862,E$1:E2861,1,FALSE()))),"OLD",IF(AND(E2862&lt;&gt;"",E2862&lt;&gt;"!!!"),"NEW","")))</f>
        <v> </v>
      </c>
      <c r="G2862" s="24" t="str">
        <f>IF(OR(E2862="",E2862="!!!"),"",IF(OR(J2862=0,AND(J2862=1,K2862=1),AND(J2862=1,I2862="SBJ"),AND(J2862=1,I2862=0)),"?IN_FOCUS",IF(J2862&lt;=2,"?ACTIVATED",IF(J2862&lt;&gt;"","?FAMILIAR",IF(F2862="NEW",IF(ISNA(VLOOKUP(E2862,#REF!,1,FALSE())),"?TYPE_IDENTIFIABLE","?REFERENTIAL"),"_")))))</f>
        <v> </v>
      </c>
      <c r="H2862" s="25" t="str">
        <f>IF(J2862&lt;&gt;1,"",IF(I2862="SBJ","CB","?"))</f>
        <v> </v>
      </c>
      <c r="I2862" s="26" t="str">
        <f>IF(OR(E2862="",E2862="!!!",F2862="NEW"),"",INDEX(B2861:B$2,-1+SUMPRODUCT(MAX(ROW(E2861:E$2)*(E2862=E2861:E$2)))))</f>
        <v> </v>
      </c>
      <c r="J2862" s="26" t="str">
        <f>IF(OR(E2862="",E2862="!!!",F2862="NEW"),"",COUNTBLANK(OFFSET(A$1,,,SUMPRODUCT(MAX(ROW(E$2:E2862)*(E2862=E$2:E2862)))))-COUNTBLANK(OFFSET(A$1,,,SUMPRODUCT(MAX(ROW(E$1:E2861)*(E2=E$1:E2861))))))</f>
        <v> </v>
      </c>
      <c r="K2862" s="26" t="str">
        <f>IF(OR(E2862="",E2862="!!!",F2862="NEW"),"",INDEX(J$1:J2861,SUMPRODUCT(MAX(ROW(E$1:E2861)*(E2862=E$1:E2861)))))</f>
        <v> </v>
      </c>
      <c r="L2862" s="27"/>
    </row>
    <row r="2863" spans="1:12">
      <c r="A2863" s="20" t="s">
        <v>917</v>
      </c>
      <c r="B2863" s="21" t="s">
        <v>755</v>
      </c>
      <c r="C2863" s="21" t="s">
        <v>756</v>
      </c>
      <c r="E2863" s="22">
        <f>IF(D2863="?OLD","!!!","")</f>
        <v/>
      </c>
      <c r="F2863" s="23" t="str">
        <f>IF(OR(E2863="",E2863="!!!"),"",IF(NOT(ISNA(VLOOKUP(E2863,E$1:E2862,1,FALSE()))),"OLD",IF(AND(E2863&lt;&gt;"",E2863&lt;&gt;"!!!"),"NEW","")))</f>
        <v> </v>
      </c>
      <c r="G2863" s="24" t="str">
        <f>IF(OR(E2863="",E2863="!!!"),"",IF(OR(J2863=0,AND(J2863=1,K2863=1),AND(J2863=1,I2863="SBJ"),AND(J2863=1,I2863=0)),"?IN_FOCUS",IF(J2863&lt;=2,"?ACTIVATED",IF(J2863&lt;&gt;"","?FAMILIAR",IF(F2863="NEW",IF(ISNA(VLOOKUP(E2863,#REF!,1,FALSE())),"?TYPE_IDENTIFIABLE","?REFERENTIAL"),"_")))))</f>
        <v> </v>
      </c>
      <c r="H2863" s="25" t="str">
        <f>IF(J2863&lt;&gt;1,"",IF(I2863="SBJ","CB","?"))</f>
        <v> </v>
      </c>
      <c r="I2863" s="26" t="str">
        <f>IF(OR(E2863="",E2863="!!!",F2863="NEW"),"",INDEX(B2862:B$2,-1+SUMPRODUCT(MAX(ROW(E2862:E$2)*(E2863=E2862:E$2)))))</f>
        <v> </v>
      </c>
      <c r="J2863" s="26" t="str">
        <f>IF(OR(E2863="",E2863="!!!",F2863="NEW"),"",COUNTBLANK(OFFSET(A$1,,,SUMPRODUCT(MAX(ROW(E$2:E2863)*(E2863=E$2:E2863)))))-COUNTBLANK(OFFSET(A$1,,,SUMPRODUCT(MAX(ROW(E$1:E2862)*(E2=E$1:E2862))))))</f>
        <v> </v>
      </c>
      <c r="K2863" s="26" t="str">
        <f>IF(OR(E2863="",E2863="!!!",F2863="NEW"),"",INDEX(J$1:J2862,SUMPRODUCT(MAX(ROW(E$1:E2862)*(E2863=E$1:E2862)))))</f>
        <v> </v>
      </c>
      <c r="L2863" s="27"/>
    </row>
    <row r="2864" spans="1:12">
      <c r="A2864" s="20" t="s">
        <v>903</v>
      </c>
      <c r="B2864" s="21" t="s">
        <v>755</v>
      </c>
      <c r="C2864" s="21" t="s">
        <v>801</v>
      </c>
      <c r="D2864" s="21" t="s">
        <v>730</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t="s">
        <v>1138</v>
      </c>
      <c r="B2865" s="21" t="s">
        <v>791</v>
      </c>
      <c r="C2865" s="21" t="s">
        <v>802</v>
      </c>
      <c r="D2865" s="21" t="s">
        <v>730</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759</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903</v>
      </c>
      <c r="B2867" s="21" t="s">
        <v>739</v>
      </c>
      <c r="C2867" s="21" t="s">
        <v>801</v>
      </c>
      <c r="D2867" s="21" t="s">
        <v>730</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1724</v>
      </c>
      <c r="B2868" s="21" t="s">
        <v>764</v>
      </c>
      <c r="C2868" s="21" t="s">
        <v>802</v>
      </c>
      <c r="D2868" s="21" t="s">
        <v>730</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t="s">
        <v>759</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t="s">
        <v>1107</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t="s">
        <v>922</v>
      </c>
      <c r="E2871" s="22">
        <f>IF(D2871="?OLD","!!!","")</f>
        <v/>
      </c>
      <c r="F2871" s="23" t="str">
        <f>IF(OR(E2871="",E2871="!!!"),"",IF(NOT(ISNA(VLOOKUP(E2871,E$1:E2870,1,FALSE()))),"OLD",IF(AND(E2871&lt;&gt;"",E2871&lt;&gt;"!!!"),"NEW","")))</f>
        <v> </v>
      </c>
      <c r="G2871" s="24" t="str">
        <f>IF(OR(E2871="",E2871="!!!"),"",IF(OR(J2871=0,AND(J2871=1,K2871=1),AND(J2871=1,I2871="SBJ"),AND(J2871=1,I2871=0)),"?IN_FOCUS",IF(J2871&lt;=2,"?ACTIVATED",IF(J2871&lt;&gt;"","?FAMILIAR",IF(F2871="NEW",IF(ISNA(VLOOKUP(E2871,#REF!,1,FALSE())),"?TYPE_IDENTIFIABLE","?REFERENTIAL"),"_")))))</f>
        <v> </v>
      </c>
      <c r="H2871" s="25" t="str">
        <f>IF(J2871&lt;&gt;1,"",IF(I2871="SBJ","CB","?"))</f>
        <v> </v>
      </c>
      <c r="I2871" s="26" t="str">
        <f>IF(OR(E2871="",E2871="!!!",F2871="NEW"),"",INDEX(B2870:B$2,-1+SUMPRODUCT(MAX(ROW(E2870:E$2)*(E2871=E2870:E$2)))))</f>
        <v> </v>
      </c>
      <c r="J2871" s="26" t="str">
        <f>IF(OR(E2871="",E2871="!!!",F2871="NEW"),"",COUNTBLANK(OFFSET(A$1,,,SUMPRODUCT(MAX(ROW(E$2:E2871)*(E2871=E$2:E2871)))))-COUNTBLANK(OFFSET(A$1,,,SUMPRODUCT(MAX(ROW(E$1:E2870)*(E2=E$1:E2870))))))</f>
        <v> </v>
      </c>
      <c r="K2871" s="26" t="str">
        <f>IF(OR(E2871="",E2871="!!!",F2871="NEW"),"",INDEX(J$1:J2870,SUMPRODUCT(MAX(ROW(E$1:E2870)*(E2871=E$1:E2870)))))</f>
        <v> </v>
      </c>
      <c r="L2871" s="27"/>
    </row>
    <row r="2872" spans="1:12">
      <c r="A2872" s="20" t="s">
        <v>1435</v>
      </c>
      <c r="E2872" s="22">
        <f>IF(D2872="?OLD","!!!","")</f>
        <v/>
      </c>
      <c r="F2872" s="23" t="str">
        <f>IF(OR(E2872="",E2872="!!!"),"",IF(NOT(ISNA(VLOOKUP(E2872,E$1:E2871,1,FALSE()))),"OLD",IF(AND(E2872&lt;&gt;"",E2872&lt;&gt;"!!!"),"NEW","")))</f>
        <v> </v>
      </c>
      <c r="G2872" s="24" t="str">
        <f>IF(OR(E2872="",E2872="!!!"),"",IF(OR(J2872=0,AND(J2872=1,K2872=1),AND(J2872=1,I2872="SBJ"),AND(J2872=1,I2872=0)),"?IN_FOCUS",IF(J2872&lt;=2,"?ACTIVATED",IF(J2872&lt;&gt;"","?FAMILIAR",IF(F2872="NEW",IF(ISNA(VLOOKUP(E2872,#REF!,1,FALSE())),"?TYPE_IDENTIFIABLE","?REFERENTIAL"),"_")))))</f>
        <v> </v>
      </c>
      <c r="H2872" s="25" t="str">
        <f>IF(J2872&lt;&gt;1,"",IF(I2872="SBJ","CB","?"))</f>
        <v> </v>
      </c>
      <c r="I2872" s="26" t="str">
        <f>IF(OR(E2872="",E2872="!!!",F2872="NEW"),"",INDEX(B2871:B$2,-1+SUMPRODUCT(MAX(ROW(E2871:E$2)*(E2872=E2871:E$2)))))</f>
        <v> </v>
      </c>
      <c r="J2872" s="26" t="str">
        <f>IF(OR(E2872="",E2872="!!!",F2872="NEW"),"",COUNTBLANK(OFFSET(A$1,,,SUMPRODUCT(MAX(ROW(E$2:E2872)*(E2872=E$2:E2872)))))-COUNTBLANK(OFFSET(A$1,,,SUMPRODUCT(MAX(ROW(E$1:E2871)*(E2=E$1:E2871))))))</f>
        <v> </v>
      </c>
      <c r="K2872" s="26" t="str">
        <f>IF(OR(E2872="",E2872="!!!",F2872="NEW"),"",INDEX(J$1:J2871,SUMPRODUCT(MAX(ROW(E$1:E2871)*(E2872=E$1:E2871)))))</f>
        <v> </v>
      </c>
      <c r="L2872" s="27"/>
    </row>
    <row r="2873" spans="1:12">
      <c r="A2873" s="20" t="s">
        <v>1777</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t="s">
        <v>1198</v>
      </c>
      <c r="B2874" s="21" t="s">
        <v>736</v>
      </c>
      <c r="C2874" s="21" t="s">
        <v>737</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1037</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246</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row>
    <row r="2878" spans="1:12">
      <c r="A2878" s="20" t="s">
        <v>1778</v>
      </c>
    </row>
    <row r="2879" spans="1:12">
      <c r="A2879" s="20" t="s">
        <v>577</v>
      </c>
      <c r="B2879" s="21" t="s">
        <v>736</v>
      </c>
      <c r="C2879" s="21" t="s">
        <v>740</v>
      </c>
      <c r="D2879" s="21" t="s">
        <v>730</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t="s">
        <v>1765</v>
      </c>
      <c r="E2880" s="22">
        <f>IF(D2880="?OLD","!!!","")</f>
        <v/>
      </c>
      <c r="F2880" s="23" t="str">
        <f>IF(OR(E2880="",E2880="!!!"),"",IF(NOT(ISNA(VLOOKUP(E2880,E$1:E2879,1,FALSE()))),"OLD",IF(AND(E2880&lt;&gt;"",E2880&lt;&gt;"!!!"),"NEW","")))</f>
        <v> </v>
      </c>
      <c r="G2880" s="24" t="str">
        <f>IF(OR(E2880="",E2880="!!!"),"",IF(OR(J2880=0,AND(J2880=1,K2880=1),AND(J2880=1,I2880="SBJ"),AND(J2880=1,I2880=0)),"?IN_FOCUS",IF(J2880&lt;=2,"?ACTIVATED",IF(J2880&lt;&gt;"","?FAMILIAR",IF(F2880="NEW",IF(ISNA(VLOOKUP(E2880,#REF!,1,FALSE())),"?TYPE_IDENTIFIABLE","?REFERENTIAL"),"_")))))</f>
        <v> </v>
      </c>
      <c r="H2880" s="25" t="str">
        <f>IF(J2880&lt;&gt;1,"",IF(I2880="SBJ","CB","?"))</f>
        <v> </v>
      </c>
      <c r="I2880" s="26" t="str">
        <f>IF(OR(E2880="",E2880="!!!",F2880="NEW"),"",INDEX(B2879:B$2,-1+SUMPRODUCT(MAX(ROW(E2879:E$2)*(E2880=E2879:E$2)))))</f>
        <v> </v>
      </c>
      <c r="J2880" s="26" t="str">
        <f>IF(OR(E2880="",E2880="!!!",F2880="NEW"),"",COUNTBLANK(OFFSET(A$1,,,SUMPRODUCT(MAX(ROW(E$2:E2880)*(E2880=E$2:E2880)))))-COUNTBLANK(OFFSET(A$1,,,SUMPRODUCT(MAX(ROW(E$1:E2879)*(E2=E$1:E2879))))))</f>
        <v> </v>
      </c>
      <c r="K2880" s="26" t="str">
        <f>IF(OR(E2880="",E2880="!!!",F2880="NEW"),"",INDEX(J$1:J2879,SUMPRODUCT(MAX(ROW(E$1:E2879)*(E2880=E$1:E2879)))))</f>
        <v> </v>
      </c>
      <c r="L2880" s="27"/>
    </row>
    <row r="2881" spans="1:12">
      <c r="A2881" s="20" t="s">
        <v>759</v>
      </c>
      <c r="E2881" s="22">
        <f>IF(D2881="?OLD","!!!","")</f>
        <v/>
      </c>
      <c r="F2881" s="23" t="str">
        <f>IF(OR(E2881="",E2881="!!!"),"",IF(NOT(ISNA(VLOOKUP(E2881,E$1:E2880,1,FALSE()))),"OLD",IF(AND(E2881&lt;&gt;"",E2881&lt;&gt;"!!!"),"NEW","")))</f>
        <v> </v>
      </c>
      <c r="G2881" s="24" t="str">
        <f>IF(OR(E2881="",E2881="!!!"),"",IF(OR(J2881=0,AND(J2881=1,K2881=1),AND(J2881=1,I2881="SBJ"),AND(J2881=1,I2881=0)),"?IN_FOCUS",IF(J2881&lt;=2,"?ACTIVATED",IF(J2881&lt;&gt;"","?FAMILIAR",IF(F2881="NEW",IF(ISNA(VLOOKUP(E2881,#REF!,1,FALSE())),"?TYPE_IDENTIFIABLE","?REFERENTIAL"),"_")))))</f>
        <v> </v>
      </c>
      <c r="H2881" s="25" t="str">
        <f>IF(J2881&lt;&gt;1,"",IF(I2881="SBJ","CB","?"))</f>
        <v> </v>
      </c>
      <c r="I2881" s="26" t="str">
        <f>IF(OR(E2881="",E2881="!!!",F2881="NEW"),"",INDEX(B2880:B$2,-1+SUMPRODUCT(MAX(ROW(E2880:E$2)*(E2881=E2880:E$2)))))</f>
        <v> </v>
      </c>
      <c r="J2881" s="26" t="str">
        <f>IF(OR(E2881="",E2881="!!!",F2881="NEW"),"",COUNTBLANK(OFFSET(A$1,,,SUMPRODUCT(MAX(ROW(E$2:E2881)*(E2881=E$2:E2881)))))-COUNTBLANK(OFFSET(A$1,,,SUMPRODUCT(MAX(ROW(E$1:E2880)*(E2=E$1:E2880))))))</f>
        <v> </v>
      </c>
      <c r="K2881" s="26" t="str">
        <f>IF(OR(E2881="",E2881="!!!",F2881="NEW"),"",INDEX(J$1:J2880,SUMPRODUCT(MAX(ROW(E$1:E2880)*(E2881=E$1:E2880)))))</f>
        <v> </v>
      </c>
      <c r="L2881" s="27"/>
    </row>
    <row r="2882" spans="1:12">
      <c r="A2882" s="20" t="s">
        <v>1094</v>
      </c>
      <c r="B2882" s="21" t="s">
        <v>739</v>
      </c>
      <c r="C2882" s="21" t="s">
        <v>789</v>
      </c>
      <c r="D2882" s="21" t="s">
        <v>730</v>
      </c>
      <c r="E2882" s="22">
        <f>IF(D2882="?OLD","!!!","")</f>
        <v/>
      </c>
      <c r="F2882" s="23" t="str">
        <f>IF(OR(E2882="",E2882="!!!"),"",IF(NOT(ISNA(VLOOKUP(E2882,E$1:E2881,1,FALSE()))),"OLD",IF(AND(E2882&lt;&gt;"",E2882&lt;&gt;"!!!"),"NEW","")))</f>
        <v> </v>
      </c>
      <c r="G2882" s="24" t="str">
        <f>IF(OR(E2882="",E2882="!!!"),"",IF(OR(J2882=0,AND(J2882=1,K2882=1),AND(J2882=1,I2882="SBJ"),AND(J2882=1,I2882=0)),"?IN_FOCUS",IF(J2882&lt;=2,"?ACTIVATED",IF(J2882&lt;&gt;"","?FAMILIAR",IF(F2882="NEW",IF(ISNA(VLOOKUP(E2882,#REF!,1,FALSE())),"?TYPE_IDENTIFIABLE","?REFERENTIAL"),"_")))))</f>
        <v> </v>
      </c>
      <c r="H2882" s="25" t="str">
        <f>IF(J2882&lt;&gt;1,"",IF(I2882="SBJ","CB","?"))</f>
        <v> </v>
      </c>
      <c r="I2882" s="26" t="str">
        <f>IF(OR(E2882="",E2882="!!!",F2882="NEW"),"",INDEX(B2881:B$2,-1+SUMPRODUCT(MAX(ROW(E2881:E$2)*(E2882=E2881:E$2)))))</f>
        <v> </v>
      </c>
      <c r="J2882" s="26" t="str">
        <f>IF(OR(E2882="",E2882="!!!",F2882="NEW"),"",COUNTBLANK(OFFSET(A$1,,,SUMPRODUCT(MAX(ROW(E$2:E2882)*(E2882=E$2:E2882)))))-COUNTBLANK(OFFSET(A$1,,,SUMPRODUCT(MAX(ROW(E$1:E2881)*(E2=E$1:E2881))))))</f>
        <v> </v>
      </c>
      <c r="K2882" s="26" t="str">
        <f>IF(OR(E2882="",E2882="!!!",F2882="NEW"),"",INDEX(J$1:J2881,SUMPRODUCT(MAX(ROW(E$1:E2881)*(E2882=E$1:E2881)))))</f>
        <v> </v>
      </c>
      <c r="L2882" s="27"/>
    </row>
    <row r="2883" spans="1:12">
      <c r="A2883" s="20" t="s">
        <v>1779</v>
      </c>
      <c r="B2883" s="21" t="s">
        <v>736</v>
      </c>
      <c r="C2883" s="21" t="s">
        <v>967</v>
      </c>
      <c r="E2883" s="22">
        <f>IF(D2883="?OLD","!!!","")</f>
        <v/>
      </c>
      <c r="F2883" s="23" t="str">
        <f>IF(OR(E2883="",E2883="!!!"),"",IF(NOT(ISNA(VLOOKUP(E2883,E$1:E2882,1,FALSE()))),"OLD",IF(AND(E2883&lt;&gt;"",E2883&lt;&gt;"!!!"),"NEW","")))</f>
        <v> </v>
      </c>
      <c r="G2883" s="24" t="str">
        <f>IF(OR(E2883="",E2883="!!!"),"",IF(OR(J2883=0,AND(J2883=1,K2883=1),AND(J2883=1,I2883="SBJ"),AND(J2883=1,I2883=0)),"?IN_FOCUS",IF(J2883&lt;=2,"?ACTIVATED",IF(J2883&lt;&gt;"","?FAMILIAR",IF(F2883="NEW",IF(ISNA(VLOOKUP(E2883,#REF!,1,FALSE())),"?TYPE_IDENTIFIABLE","?REFERENTIAL"),"_")))))</f>
        <v> </v>
      </c>
      <c r="H2883" s="25" t="str">
        <f>IF(J2883&lt;&gt;1,"",IF(I2883="SBJ","CB","?"))</f>
        <v> </v>
      </c>
      <c r="I2883" s="26" t="str">
        <f>IF(OR(E2883="",E2883="!!!",F2883="NEW"),"",INDEX(B2882:B$2,-1+SUMPRODUCT(MAX(ROW(E2882:E$2)*(E2883=E2882:E$2)))))</f>
        <v> </v>
      </c>
      <c r="J2883" s="26" t="str">
        <f>IF(OR(E2883="",E2883="!!!",F2883="NEW"),"",COUNTBLANK(OFFSET(A$1,,,SUMPRODUCT(MAX(ROW(E$2:E2883)*(E2883=E$2:E2883)))))-COUNTBLANK(OFFSET(A$1,,,SUMPRODUCT(MAX(ROW(E$1:E2882)*(E2=E$1:E2882))))))</f>
        <v> </v>
      </c>
      <c r="K2883" s="26" t="str">
        <f>IF(OR(E2883="",E2883="!!!",F2883="NEW"),"",INDEX(J$1:J2882,SUMPRODUCT(MAX(ROW(E$1:E2882)*(E2883=E$1:E2882)))))</f>
        <v> </v>
      </c>
      <c r="L2883" s="27"/>
    </row>
    <row r="2884" spans="1:12">
      <c r="A2884" s="20" t="s">
        <v>759</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1187</v>
      </c>
      <c r="B2885" s="21" t="s">
        <v>739</v>
      </c>
      <c r="C2885" s="21" t="s">
        <v>789</v>
      </c>
      <c r="D2885" s="21" t="s">
        <v>730</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t="s">
        <v>1188</v>
      </c>
      <c r="B2886" s="21" t="s">
        <v>764</v>
      </c>
      <c r="C2886" s="21" t="s">
        <v>967</v>
      </c>
      <c r="E2886" s="22">
        <f>IF(D2886="?OLD","!!!","")</f>
        <v/>
      </c>
      <c r="F2886" s="23" t="str">
        <f>IF(OR(E2886="",E2886="!!!"),"",IF(NOT(ISNA(VLOOKUP(E2886,E$1:E2885,1,FALSE()))),"OLD",IF(AND(E2886&lt;&gt;"",E2886&lt;&gt;"!!!"),"NEW","")))</f>
        <v> </v>
      </c>
      <c r="G2886" s="24" t="str">
        <f>IF(OR(E2886="",E2886="!!!"),"",IF(OR(J2886=0,AND(J2886=1,K2886=1),AND(J2886=1,I2886="SBJ"),AND(J2886=1,I2886=0)),"?IN_FOCUS",IF(J2886&lt;=2,"?ACTIVATED",IF(J2886&lt;&gt;"","?FAMILIAR",IF(F2886="NEW",IF(ISNA(VLOOKUP(E2886,#REF!,1,FALSE())),"?TYPE_IDENTIFIABLE","?REFERENTIAL"),"_")))))</f>
        <v> </v>
      </c>
      <c r="H2886" s="25" t="str">
        <f>IF(J2886&lt;&gt;1,"",IF(I2886="SBJ","CB","?"))</f>
        <v> </v>
      </c>
      <c r="I2886" s="26" t="str">
        <f>IF(OR(E2886="",E2886="!!!",F2886="NEW"),"",INDEX(B2885:B$2,-1+SUMPRODUCT(MAX(ROW(E2885:E$2)*(E2886=E2885:E$2)))))</f>
        <v> </v>
      </c>
      <c r="J2886" s="26" t="str">
        <f>IF(OR(E2886="",E2886="!!!",F2886="NEW"),"",COUNTBLANK(OFFSET(A$1,,,SUMPRODUCT(MAX(ROW(E$2:E2886)*(E2886=E$2:E2886)))))-COUNTBLANK(OFFSET(A$1,,,SUMPRODUCT(MAX(ROW(E$1:E2885)*(E2=E$1:E2885))))))</f>
        <v> </v>
      </c>
      <c r="K2886" s="26" t="str">
        <f>IF(OR(E2886="",E2886="!!!",F2886="NEW"),"",INDEX(J$1:J2885,SUMPRODUCT(MAX(ROW(E$1:E2885)*(E2886=E$1:E2885)))))</f>
        <v> </v>
      </c>
      <c r="L2886" s="27"/>
    </row>
    <row r="2887" spans="1:12">
      <c r="A2887" s="20" t="s">
        <v>246</v>
      </c>
      <c r="E2887" s="22">
        <f>IF(D2887="?OLD","!!!","")</f>
        <v/>
      </c>
      <c r="F2887" s="23" t="str">
        <f>IF(OR(E2887="",E2887="!!!"),"",IF(NOT(ISNA(VLOOKUP(E2887,E$1:E2886,1,FALSE()))),"OLD",IF(AND(E2887&lt;&gt;"",E2887&lt;&gt;"!!!"),"NEW","")))</f>
        <v> </v>
      </c>
      <c r="G2887" s="24" t="str">
        <f>IF(OR(E2887="",E2887="!!!"),"",IF(OR(J2887=0,AND(J2887=1,K2887=1),AND(J2887=1,I2887="SBJ"),AND(J2887=1,I2887=0)),"?IN_FOCUS",IF(J2887&lt;=2,"?ACTIVATED",IF(J2887&lt;&gt;"","?FAMILIAR",IF(F2887="NEW",IF(ISNA(VLOOKUP(E2887,#REF!,1,FALSE())),"?TYPE_IDENTIFIABLE","?REFERENTIAL"),"_")))))</f>
        <v> </v>
      </c>
      <c r="H2887" s="25" t="str">
        <f>IF(J2887&lt;&gt;1,"",IF(I2887="SBJ","CB","?"))</f>
        <v> </v>
      </c>
      <c r="I2887" s="26" t="str">
        <f>IF(OR(E2887="",E2887="!!!",F2887="NEW"),"",INDEX(B2886:B$2,-1+SUMPRODUCT(MAX(ROW(E2886:E$2)*(E2887=E2886:E$2)))))</f>
        <v> </v>
      </c>
      <c r="J2887" s="26" t="str">
        <f>IF(OR(E2887="",E2887="!!!",F2887="NEW"),"",COUNTBLANK(OFFSET(A$1,,,SUMPRODUCT(MAX(ROW(E$2:E2887)*(E2887=E$2:E2887)))))-COUNTBLANK(OFFSET(A$1,,,SUMPRODUCT(MAX(ROW(E$1:E2886)*(E2=E$1:E2886))))))</f>
        <v> </v>
      </c>
      <c r="K2887" s="26" t="str">
        <f>IF(OR(E2887="",E2887="!!!",F2887="NEW"),"",INDEX(J$1:J2886,SUMPRODUCT(MAX(ROW(E$1:E2886)*(E2887=E$1:E2886)))))</f>
        <v> </v>
      </c>
      <c r="L2887" s="27"/>
    </row>
    <row r="2888" spans="1:12">
      <c r="A2888" s="20"/>
    </row>
    <row r="2889" spans="1:12">
      <c r="A2889" s="20" t="s">
        <v>1780</v>
      </c>
    </row>
    <row r="2890" spans="1:12">
      <c r="A2890" s="20" t="s">
        <v>969</v>
      </c>
      <c r="B2890" s="21" t="s">
        <v>728</v>
      </c>
      <c r="C2890" s="21" t="s">
        <v>789</v>
      </c>
      <c r="D2890" s="21" t="s">
        <v>730</v>
      </c>
      <c r="E2890" s="22">
        <f>IF(D2890="?OLD","!!!","")</f>
        <v/>
      </c>
      <c r="F2890" s="23" t="str">
        <f>IF(OR(E2890="",E2890="!!!"),"",IF(NOT(ISNA(VLOOKUP(E2890,E$1:E2889,1,FALSE()))),"OLD",IF(AND(E2890&lt;&gt;"",E2890&lt;&gt;"!!!"),"NEW","")))</f>
        <v> </v>
      </c>
      <c r="G2890" s="24" t="str">
        <f>IF(OR(E2890="",E2890="!!!"),"",IF(OR(J2890=0,AND(J2890=1,K2890=1),AND(J2890=1,I2890="SBJ"),AND(J2890=1,I2890=0)),"?IN_FOCUS",IF(J2890&lt;=2,"?ACTIVATED",IF(J2890&lt;&gt;"","?FAMILIAR",IF(F2890="NEW",IF(ISNA(VLOOKUP(E2890,#REF!,1,FALSE())),"?TYPE_IDENTIFIABLE","?REFERENTIAL"),"_")))))</f>
        <v> </v>
      </c>
      <c r="H2890" s="25" t="str">
        <f>IF(J2890&lt;&gt;1,"",IF(I2890="SBJ","CB","?"))</f>
        <v> </v>
      </c>
      <c r="I2890" s="26" t="str">
        <f>IF(OR(E2890="",E2890="!!!",F2890="NEW"),"",INDEX(B2889:B$2,-1+SUMPRODUCT(MAX(ROW(E2889:E$2)*(E2890=E2889:E$2)))))</f>
        <v> </v>
      </c>
      <c r="J2890" s="26" t="str">
        <f>IF(OR(E2890="",E2890="!!!",F2890="NEW"),"",COUNTBLANK(OFFSET(A$1,,,SUMPRODUCT(MAX(ROW(E$2:E2890)*(E2890=E$2:E2890)))))-COUNTBLANK(OFFSET(A$1,,,SUMPRODUCT(MAX(ROW(E$1:E2889)*(E2=E$1:E2889))))))</f>
        <v> </v>
      </c>
      <c r="K2890" s="26" t="str">
        <f>IF(OR(E2890="",E2890="!!!",F2890="NEW"),"",INDEX(J$1:J2889,SUMPRODUCT(MAX(ROW(E$1:E2889)*(E2890=E$1:E2889)))))</f>
        <v> </v>
      </c>
      <c r="L2890" s="27"/>
    </row>
    <row r="2891" spans="1:12">
      <c r="A2891" s="20" t="s">
        <v>1781</v>
      </c>
      <c r="E2891" s="22">
        <f>IF(D2891="?OLD","!!!","")</f>
        <v/>
      </c>
      <c r="F2891" s="23" t="str">
        <f>IF(OR(E2891="",E2891="!!!"),"",IF(NOT(ISNA(VLOOKUP(E2891,E$1:E2890,1,FALSE()))),"OLD",IF(AND(E2891&lt;&gt;"",E2891&lt;&gt;"!!!"),"NEW","")))</f>
        <v> </v>
      </c>
      <c r="G2891" s="24" t="str">
        <f>IF(OR(E2891="",E2891="!!!"),"",IF(OR(J2891=0,AND(J2891=1,K2891=1),AND(J2891=1,I2891="SBJ"),AND(J2891=1,I2891=0)),"?IN_FOCUS",IF(J2891&lt;=2,"?ACTIVATED",IF(J2891&lt;&gt;"","?FAMILIAR",IF(F2891="NEW",IF(ISNA(VLOOKUP(E2891,#REF!,1,FALSE())),"?TYPE_IDENTIFIABLE","?REFERENTIAL"),"_")))))</f>
        <v> </v>
      </c>
      <c r="H2891" s="25" t="str">
        <f>IF(J2891&lt;&gt;1,"",IF(I2891="SBJ","CB","?"))</f>
        <v> </v>
      </c>
      <c r="I2891" s="26" t="str">
        <f>IF(OR(E2891="",E2891="!!!",F2891="NEW"),"",INDEX(B2890:B$2,-1+SUMPRODUCT(MAX(ROW(E2890:E$2)*(E2891=E2890:E$2)))))</f>
        <v> </v>
      </c>
      <c r="J2891" s="26" t="str">
        <f>IF(OR(E2891="",E2891="!!!",F2891="NEW"),"",COUNTBLANK(OFFSET(A$1,,,SUMPRODUCT(MAX(ROW(E$2:E2891)*(E2891=E$2:E2891)))))-COUNTBLANK(OFFSET(A$1,,,SUMPRODUCT(MAX(ROW(E$1:E2890)*(E2=E$1:E2890))))))</f>
        <v> </v>
      </c>
      <c r="K2891" s="26" t="str">
        <f>IF(OR(E2891="",E2891="!!!",F2891="NEW"),"",INDEX(J$1:J2890,SUMPRODUCT(MAX(ROW(E$1:E2890)*(E2891=E$1:E2890)))))</f>
        <v> </v>
      </c>
      <c r="L2891" s="27"/>
    </row>
    <row r="2892" spans="1:12">
      <c r="A2892" s="20" t="s">
        <v>1782</v>
      </c>
      <c r="B2892" s="21" t="s">
        <v>728</v>
      </c>
      <c r="C2892" s="21" t="s">
        <v>729</v>
      </c>
      <c r="D2892" s="21" t="s">
        <v>730</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t="s">
        <v>1576</v>
      </c>
      <c r="E2893" s="22">
        <f>IF(D2893="?OLD","!!!","")</f>
        <v/>
      </c>
      <c r="F2893" s="23" t="str">
        <f>IF(OR(E2893="",E2893="!!!"),"",IF(NOT(ISNA(VLOOKUP(E2893,E$1:E2892,1,FALSE()))),"OLD",IF(AND(E2893&lt;&gt;"",E2893&lt;&gt;"!!!"),"NEW","")))</f>
        <v> </v>
      </c>
      <c r="G2893" s="24" t="str">
        <f>IF(OR(E2893="",E2893="!!!"),"",IF(OR(J2893=0,AND(J2893=1,K2893=1),AND(J2893=1,I2893="SBJ"),AND(J2893=1,I2893=0)),"?IN_FOCUS",IF(J2893&lt;=2,"?ACTIVATED",IF(J2893&lt;&gt;"","?FAMILIAR",IF(F2893="NEW",IF(ISNA(VLOOKUP(E2893,#REF!,1,FALSE())),"?TYPE_IDENTIFIABLE","?REFERENTIAL"),"_")))))</f>
        <v> </v>
      </c>
      <c r="H2893" s="25" t="str">
        <f>IF(J2893&lt;&gt;1,"",IF(I2893="SBJ","CB","?"))</f>
        <v> </v>
      </c>
      <c r="I2893" s="26" t="str">
        <f>IF(OR(E2893="",E2893="!!!",F2893="NEW"),"",INDEX(B2892:B$2,-1+SUMPRODUCT(MAX(ROW(E2892:E$2)*(E2893=E2892:E$2)))))</f>
        <v> </v>
      </c>
      <c r="J2893" s="26" t="str">
        <f>IF(OR(E2893="",E2893="!!!",F2893="NEW"),"",COUNTBLANK(OFFSET(A$1,,,SUMPRODUCT(MAX(ROW(E$2:E2893)*(E2893=E$2:E2893)))))-COUNTBLANK(OFFSET(A$1,,,SUMPRODUCT(MAX(ROW(E$1:E2892)*(E2=E$1:E2892))))))</f>
        <v> </v>
      </c>
      <c r="K2893" s="26" t="str">
        <f>IF(OR(E2893="",E2893="!!!",F2893="NEW"),"",INDEX(J$1:J2892,SUMPRODUCT(MAX(ROW(E$1:E2892)*(E2893=E$1:E2892)))))</f>
        <v> </v>
      </c>
      <c r="L2893" s="27"/>
    </row>
    <row r="2894" spans="1:12">
      <c r="A2894" s="20" t="s">
        <v>1755</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row>
    <row r="2896" spans="1:12">
      <c r="A2896" s="20" t="s">
        <v>1783</v>
      </c>
    </row>
    <row r="2897" spans="1:12">
      <c r="A2897" s="20" t="s">
        <v>1784</v>
      </c>
      <c r="B2897" s="21" t="s">
        <v>728</v>
      </c>
      <c r="C2897" s="21" t="s">
        <v>729</v>
      </c>
      <c r="D2897" s="21" t="s">
        <v>730</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1781</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899</v>
      </c>
      <c r="B2899" s="21" t="s">
        <v>764</v>
      </c>
      <c r="C2899" s="21" t="s">
        <v>729</v>
      </c>
      <c r="D2899" s="21" t="s">
        <v>730</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839</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t="s">
        <v>757</v>
      </c>
      <c r="E2901" s="22">
        <f>IF(D2901="?OLD","!!!","")</f>
        <v/>
      </c>
      <c r="F2901" s="23" t="str">
        <f>IF(OR(E2901="",E2901="!!!"),"",IF(NOT(ISNA(VLOOKUP(E2901,E$1:E2900,1,FALSE()))),"OLD",IF(AND(E2901&lt;&gt;"",E2901&lt;&gt;"!!!"),"NEW","")))</f>
        <v> </v>
      </c>
      <c r="G2901" s="24" t="str">
        <f>IF(OR(E2901="",E2901="!!!"),"",IF(OR(J2901=0,AND(J2901=1,K2901=1),AND(J2901=1,I2901="SBJ"),AND(J2901=1,I2901=0)),"?IN_FOCUS",IF(J2901&lt;=2,"?ACTIVATED",IF(J2901&lt;&gt;"","?FAMILIAR",IF(F2901="NEW",IF(ISNA(VLOOKUP(E2901,#REF!,1,FALSE())),"?TYPE_IDENTIFIABLE","?REFERENTIAL"),"_")))))</f>
        <v> </v>
      </c>
      <c r="H2901" s="25" t="str">
        <f>IF(J2901&lt;&gt;1,"",IF(I2901="SBJ","CB","?"))</f>
        <v> </v>
      </c>
      <c r="I2901" s="26" t="str">
        <f>IF(OR(E2901="",E2901="!!!",F2901="NEW"),"",INDEX(B2900:B$2,-1+SUMPRODUCT(MAX(ROW(E2900:E$2)*(E2901=E2900:E$2)))))</f>
        <v> </v>
      </c>
      <c r="J2901" s="26" t="str">
        <f>IF(OR(E2901="",E2901="!!!",F2901="NEW"),"",COUNTBLANK(OFFSET(A$1,,,SUMPRODUCT(MAX(ROW(E$2:E2901)*(E2901=E$2:E2901)))))-COUNTBLANK(OFFSET(A$1,,,SUMPRODUCT(MAX(ROW(E$1:E2900)*(E2=E$1:E2900))))))</f>
        <v> </v>
      </c>
      <c r="K2901" s="26" t="str">
        <f>IF(OR(E2901="",E2901="!!!",F2901="NEW"),"",INDEX(J$1:J2900,SUMPRODUCT(MAX(ROW(E$1:E2900)*(E2901=E$1:E2900)))))</f>
        <v> </v>
      </c>
      <c r="L2901" s="27"/>
    </row>
    <row r="2902" spans="1:12">
      <c r="A2902" s="20" t="s">
        <v>1785</v>
      </c>
      <c r="B2902" s="21" t="s">
        <v>736</v>
      </c>
      <c r="C2902" s="21" t="s">
        <v>753</v>
      </c>
      <c r="D2902" s="21" t="s">
        <v>730</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1786</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759</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839</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757</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t="s">
        <v>633</v>
      </c>
      <c r="B2907" s="21" t="s">
        <v>843</v>
      </c>
      <c r="C2907" s="21" t="s">
        <v>753</v>
      </c>
      <c r="D2907" s="21" t="s">
        <v>730</v>
      </c>
      <c r="E2907" s="22">
        <f>IF(D2907="?OLD","!!!","")</f>
        <v/>
      </c>
      <c r="F2907" s="23" t="str">
        <f>IF(OR(E2907="",E2907="!!!"),"",IF(NOT(ISNA(VLOOKUP(E2907,E$1:E2906,1,FALSE()))),"OLD",IF(AND(E2907&lt;&gt;"",E2907&lt;&gt;"!!!"),"NEW","")))</f>
        <v> </v>
      </c>
      <c r="G2907" s="24" t="str">
        <f>IF(OR(E2907="",E2907="!!!"),"",IF(OR(J2907=0,AND(J2907=1,K2907=1),AND(J2907=1,I2907="SBJ"),AND(J2907=1,I2907=0)),"?IN_FOCUS",IF(J2907&lt;=2,"?ACTIVATED",IF(J2907&lt;&gt;"","?FAMILIAR",IF(F2907="NEW",IF(ISNA(VLOOKUP(E2907,#REF!,1,FALSE())),"?TYPE_IDENTIFIABLE","?REFERENTIAL"),"_")))))</f>
        <v> </v>
      </c>
      <c r="H2907" s="25" t="str">
        <f>IF(J2907&lt;&gt;1,"",IF(I2907="SBJ","CB","?"))</f>
        <v> </v>
      </c>
      <c r="I2907" s="26" t="str">
        <f>IF(OR(E2907="",E2907="!!!",F2907="NEW"),"",INDEX(B2906:B$2,-1+SUMPRODUCT(MAX(ROW(E2906:E$2)*(E2907=E2906:E$2)))))</f>
        <v> </v>
      </c>
      <c r="J2907" s="26" t="str">
        <f>IF(OR(E2907="",E2907="!!!",F2907="NEW"),"",COUNTBLANK(OFFSET(A$1,,,SUMPRODUCT(MAX(ROW(E$2:E2907)*(E2907=E$2:E2907)))))-COUNTBLANK(OFFSET(A$1,,,SUMPRODUCT(MAX(ROW(E$1:E2906)*(E2=E$1:E2906))))))</f>
        <v> </v>
      </c>
      <c r="K2907" s="26" t="str">
        <f>IF(OR(E2907="",E2907="!!!",F2907="NEW"),"",INDEX(J$1:J2906,SUMPRODUCT(MAX(ROW(E$1:E2906)*(E2907=E$1:E2906)))))</f>
        <v> </v>
      </c>
      <c r="L2907" s="27"/>
    </row>
    <row r="2908" spans="1:12">
      <c r="A2908" s="20" t="s">
        <v>1786</v>
      </c>
      <c r="E2908" s="22">
        <f>IF(D2908="?OLD","!!!","")</f>
        <v/>
      </c>
      <c r="F2908" s="23" t="str">
        <f>IF(OR(E2908="",E2908="!!!"),"",IF(NOT(ISNA(VLOOKUP(E2908,E$1:E2907,1,FALSE()))),"OLD",IF(AND(E2908&lt;&gt;"",E2908&lt;&gt;"!!!"),"NEW","")))</f>
        <v> </v>
      </c>
      <c r="G2908" s="24" t="str">
        <f>IF(OR(E2908="",E2908="!!!"),"",IF(OR(J2908=0,AND(J2908=1,K2908=1),AND(J2908=1,I2908="SBJ"),AND(J2908=1,I2908=0)),"?IN_FOCUS",IF(J2908&lt;=2,"?ACTIVATED",IF(J2908&lt;&gt;"","?FAMILIAR",IF(F2908="NEW",IF(ISNA(VLOOKUP(E2908,#REF!,1,FALSE())),"?TYPE_IDENTIFIABLE","?REFERENTIAL"),"_")))))</f>
        <v> </v>
      </c>
      <c r="H2908" s="25" t="str">
        <f>IF(J2908&lt;&gt;1,"",IF(I2908="SBJ","CB","?"))</f>
        <v> </v>
      </c>
      <c r="I2908" s="26" t="str">
        <f>IF(OR(E2908="",E2908="!!!",F2908="NEW"),"",INDEX(B2907:B$2,-1+SUMPRODUCT(MAX(ROW(E2907:E$2)*(E2908=E2907:E$2)))))</f>
        <v> </v>
      </c>
      <c r="J2908" s="26" t="str">
        <f>IF(OR(E2908="",E2908="!!!",F2908="NEW"),"",COUNTBLANK(OFFSET(A$1,,,SUMPRODUCT(MAX(ROW(E$2:E2908)*(E2908=E$2:E2908)))))-COUNTBLANK(OFFSET(A$1,,,SUMPRODUCT(MAX(ROW(E$1:E2907)*(E2=E$1:E2907))))))</f>
        <v> </v>
      </c>
      <c r="K2908" s="26" t="str">
        <f>IF(OR(E2908="",E2908="!!!",F2908="NEW"),"",INDEX(J$1:J2907,SUMPRODUCT(MAX(ROW(E$1:E2907)*(E2908=E$1:E2907)))))</f>
        <v> </v>
      </c>
      <c r="L2908" s="27"/>
    </row>
    <row r="2909" spans="1:12">
      <c r="A2909" s="20" t="s">
        <v>12</v>
      </c>
      <c r="E2909" s="22">
        <f>IF(D2909="?OLD","!!!","")</f>
        <v/>
      </c>
      <c r="F2909" s="23" t="str">
        <f>IF(OR(E2909="",E2909="!!!"),"",IF(NOT(ISNA(VLOOKUP(E2909,E$1:E2908,1,FALSE()))),"OLD",IF(AND(E2909&lt;&gt;"",E2909&lt;&gt;"!!!"),"NEW","")))</f>
        <v> </v>
      </c>
      <c r="G2909" s="24" t="str">
        <f>IF(OR(E2909="",E2909="!!!"),"",IF(OR(J2909=0,AND(J2909=1,K2909=1),AND(J2909=1,I2909="SBJ"),AND(J2909=1,I2909=0)),"?IN_FOCUS",IF(J2909&lt;=2,"?ACTIVATED",IF(J2909&lt;&gt;"","?FAMILIAR",IF(F2909="NEW",IF(ISNA(VLOOKUP(E2909,#REF!,1,FALSE())),"?TYPE_IDENTIFIABLE","?REFERENTIAL"),"_")))))</f>
        <v> </v>
      </c>
      <c r="H2909" s="25" t="str">
        <f>IF(J2909&lt;&gt;1,"",IF(I2909="SBJ","CB","?"))</f>
        <v> </v>
      </c>
      <c r="I2909" s="26" t="str">
        <f>IF(OR(E2909="",E2909="!!!",F2909="NEW"),"",INDEX(B2908:B$2,-1+SUMPRODUCT(MAX(ROW(E2908:E$2)*(E2909=E2908:E$2)))))</f>
        <v> </v>
      </c>
      <c r="J2909" s="26" t="str">
        <f>IF(OR(E2909="",E2909="!!!",F2909="NEW"),"",COUNTBLANK(OFFSET(A$1,,,SUMPRODUCT(MAX(ROW(E$2:E2909)*(E2909=E$2:E2909)))))-COUNTBLANK(OFFSET(A$1,,,SUMPRODUCT(MAX(ROW(E$1:E2908)*(E2=E$1:E2908))))))</f>
        <v> </v>
      </c>
      <c r="K2909" s="26" t="str">
        <f>IF(OR(E2909="",E2909="!!!",F2909="NEW"),"",INDEX(J$1:J2908,SUMPRODUCT(MAX(ROW(E$1:E2908)*(E2909=E$1:E2908)))))</f>
        <v> </v>
      </c>
      <c r="L2909" s="27"/>
    </row>
    <row r="2910" spans="1:12">
      <c r="A2910" s="20" t="s">
        <v>785</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t="s">
        <v>757</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1018</v>
      </c>
      <c r="B2912" s="21" t="s">
        <v>755</v>
      </c>
      <c r="C2912" s="21" t="s">
        <v>740</v>
      </c>
      <c r="D2912" s="21" t="s">
        <v>730</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t="s">
        <v>1087</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t="s">
        <v>813</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t="s">
        <v>1787</v>
      </c>
      <c r="E2915" s="22">
        <f>IF(D2915="?OLD","!!!","")</f>
        <v/>
      </c>
      <c r="F2915" s="23" t="str">
        <f>IF(OR(E2915="",E2915="!!!"),"",IF(NOT(ISNA(VLOOKUP(E2915,E$1:E2914,1,FALSE()))),"OLD",IF(AND(E2915&lt;&gt;"",E2915&lt;&gt;"!!!"),"NEW","")))</f>
        <v> </v>
      </c>
      <c r="G2915" s="24" t="str">
        <f>IF(OR(E2915="",E2915="!!!"),"",IF(OR(J2915=0,AND(J2915=1,K2915=1),AND(J2915=1,I2915="SBJ"),AND(J2915=1,I2915=0)),"?IN_FOCUS",IF(J2915&lt;=2,"?ACTIVATED",IF(J2915&lt;&gt;"","?FAMILIAR",IF(F2915="NEW",IF(ISNA(VLOOKUP(E2915,#REF!,1,FALSE())),"?TYPE_IDENTIFIABLE","?REFERENTIAL"),"_")))))</f>
        <v> </v>
      </c>
      <c r="H2915" s="25" t="str">
        <f>IF(J2915&lt;&gt;1,"",IF(I2915="SBJ","CB","?"))</f>
        <v> </v>
      </c>
      <c r="I2915" s="26" t="str">
        <f>IF(OR(E2915="",E2915="!!!",F2915="NEW"),"",INDEX(B2914:B$2,-1+SUMPRODUCT(MAX(ROW(E2914:E$2)*(E2915=E2914:E$2)))))</f>
        <v> </v>
      </c>
      <c r="J2915" s="26" t="str">
        <f>IF(OR(E2915="",E2915="!!!",F2915="NEW"),"",COUNTBLANK(OFFSET(A$1,,,SUMPRODUCT(MAX(ROW(E$2:E2915)*(E2915=E$2:E2915)))))-COUNTBLANK(OFFSET(A$1,,,SUMPRODUCT(MAX(ROW(E$1:E2914)*(E2=E$1:E2914))))))</f>
        <v> </v>
      </c>
      <c r="K2915" s="26" t="str">
        <f>IF(OR(E2915="",E2915="!!!",F2915="NEW"),"",INDEX(J$1:J2914,SUMPRODUCT(MAX(ROW(E$1:E2914)*(E2915=E$1:E2914)))))</f>
        <v> </v>
      </c>
      <c r="L2915" s="27"/>
    </row>
    <row r="2916" spans="1:12">
      <c r="A2916" s="20" t="s">
        <v>851</v>
      </c>
      <c r="B2916" s="21" t="s">
        <v>728</v>
      </c>
      <c r="C2916" s="21" t="s">
        <v>753</v>
      </c>
      <c r="D2916" s="21" t="s">
        <v>730</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759</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t="s">
        <v>813</v>
      </c>
      <c r="B2918" s="21" t="s">
        <v>788</v>
      </c>
      <c r="E2918" s="22">
        <f>IF(D2918="?OLD","!!!","")</f>
        <v/>
      </c>
      <c r="F2918" s="23" t="str">
        <f>IF(OR(E2918="",E2918="!!!"),"",IF(NOT(ISNA(VLOOKUP(E2918,E$1:E2917,1,FALSE()))),"OLD",IF(AND(E2918&lt;&gt;"",E2918&lt;&gt;"!!!"),"NEW","")))</f>
        <v> </v>
      </c>
      <c r="G2918" s="24" t="str">
        <f>IF(OR(E2918="",E2918="!!!"),"",IF(OR(J2918=0,AND(J2918=1,K2918=1),AND(J2918=1,I2918="SBJ"),AND(J2918=1,I2918=0)),"?IN_FOCUS",IF(J2918&lt;=2,"?ACTIVATED",IF(J2918&lt;&gt;"","?FAMILIAR",IF(F2918="NEW",IF(ISNA(VLOOKUP(E2918,#REF!,1,FALSE())),"?TYPE_IDENTIFIABLE","?REFERENTIAL"),"_")))))</f>
        <v> </v>
      </c>
      <c r="H2918" s="25" t="str">
        <f>IF(J2918&lt;&gt;1,"",IF(I2918="SBJ","CB","?"))</f>
        <v> </v>
      </c>
      <c r="I2918" s="26" t="str">
        <f>IF(OR(E2918="",E2918="!!!",F2918="NEW"),"",INDEX(B2917:B$2,-1+SUMPRODUCT(MAX(ROW(E2917:E$2)*(E2918=E2917:E$2)))))</f>
        <v> </v>
      </c>
      <c r="J2918" s="26" t="str">
        <f>IF(OR(E2918="",E2918="!!!",F2918="NEW"),"",COUNTBLANK(OFFSET(A$1,,,SUMPRODUCT(MAX(ROW(E$2:E2918)*(E2918=E$2:E2918)))))-COUNTBLANK(OFFSET(A$1,,,SUMPRODUCT(MAX(ROW(E$1:E2917)*(E2=E$1:E2917))))))</f>
        <v> </v>
      </c>
      <c r="K2918" s="26" t="str">
        <f>IF(OR(E2918="",E2918="!!!",F2918="NEW"),"",INDEX(J$1:J2917,SUMPRODUCT(MAX(ROW(E$1:E2917)*(E2918=E$1:E2917)))))</f>
        <v> </v>
      </c>
      <c r="L2918" s="27"/>
    </row>
    <row r="2919" spans="1:12">
      <c r="A2919" s="20" t="s">
        <v>899</v>
      </c>
      <c r="E2919" s="22">
        <f>IF(D2919="?OLD","!!!","")</f>
        <v/>
      </c>
      <c r="F2919" s="23" t="str">
        <f>IF(OR(E2919="",E2919="!!!"),"",IF(NOT(ISNA(VLOOKUP(E2919,E$1:E2918,1,FALSE()))),"OLD",IF(AND(E2919&lt;&gt;"",E2919&lt;&gt;"!!!"),"NEW","")))</f>
        <v> </v>
      </c>
      <c r="G2919" s="24" t="str">
        <f>IF(OR(E2919="",E2919="!!!"),"",IF(OR(J2919=0,AND(J2919=1,K2919=1),AND(J2919=1,I2919="SBJ"),AND(J2919=1,I2919=0)),"?IN_FOCUS",IF(J2919&lt;=2,"?ACTIVATED",IF(J2919&lt;&gt;"","?FAMILIAR",IF(F2919="NEW",IF(ISNA(VLOOKUP(E2919,#REF!,1,FALSE())),"?TYPE_IDENTIFIABLE","?REFERENTIAL"),"_")))))</f>
        <v> </v>
      </c>
      <c r="H2919" s="25" t="str">
        <f>IF(J2919&lt;&gt;1,"",IF(I2919="SBJ","CB","?"))</f>
        <v> </v>
      </c>
      <c r="I2919" s="26" t="str">
        <f>IF(OR(E2919="",E2919="!!!",F2919="NEW"),"",INDEX(B2918:B$2,-1+SUMPRODUCT(MAX(ROW(E2918:E$2)*(E2919=E2918:E$2)))))</f>
        <v> </v>
      </c>
      <c r="J2919" s="26" t="str">
        <f>IF(OR(E2919="",E2919="!!!",F2919="NEW"),"",COUNTBLANK(OFFSET(A$1,,,SUMPRODUCT(MAX(ROW(E$2:E2919)*(E2919=E$2:E2919)))))-COUNTBLANK(OFFSET(A$1,,,SUMPRODUCT(MAX(ROW(E$1:E2918)*(E2=E$1:E2918))))))</f>
        <v> </v>
      </c>
      <c r="K2919" s="26" t="str">
        <f>IF(OR(E2919="",E2919="!!!",F2919="NEW"),"",INDEX(J$1:J2918,SUMPRODUCT(MAX(ROW(E$1:E2918)*(E2919=E$1:E2918)))))</f>
        <v> </v>
      </c>
      <c r="L2919" s="27"/>
    </row>
    <row r="2920" spans="1:12">
      <c r="A2920" s="20" t="s">
        <v>1788</v>
      </c>
      <c r="E2920" s="22">
        <f>IF(D2920="?OLD","!!!","")</f>
        <v/>
      </c>
      <c r="F2920" s="23" t="str">
        <f>IF(OR(E2920="",E2920="!!!"),"",IF(NOT(ISNA(VLOOKUP(E2920,E$1:E2919,1,FALSE()))),"OLD",IF(AND(E2920&lt;&gt;"",E2920&lt;&gt;"!!!"),"NEW","")))</f>
        <v> </v>
      </c>
      <c r="G2920" s="24" t="str">
        <f>IF(OR(E2920="",E2920="!!!"),"",IF(OR(J2920=0,AND(J2920=1,K2920=1),AND(J2920=1,I2920="SBJ"),AND(J2920=1,I2920=0)),"?IN_FOCUS",IF(J2920&lt;=2,"?ACTIVATED",IF(J2920&lt;&gt;"","?FAMILIAR",IF(F2920="NEW",IF(ISNA(VLOOKUP(E2920,#REF!,1,FALSE())),"?TYPE_IDENTIFIABLE","?REFERENTIAL"),"_")))))</f>
        <v> </v>
      </c>
      <c r="H2920" s="25" t="str">
        <f>IF(J2920&lt;&gt;1,"",IF(I2920="SBJ","CB","?"))</f>
        <v> </v>
      </c>
      <c r="I2920" s="26" t="str">
        <f>IF(OR(E2920="",E2920="!!!",F2920="NEW"),"",INDEX(B2919:B$2,-1+SUMPRODUCT(MAX(ROW(E2919:E$2)*(E2920=E2919:E$2)))))</f>
        <v> </v>
      </c>
      <c r="J2920" s="26" t="str">
        <f>IF(OR(E2920="",E2920="!!!",F2920="NEW"),"",COUNTBLANK(OFFSET(A$1,,,SUMPRODUCT(MAX(ROW(E$2:E2920)*(E2920=E$2:E2920)))))-COUNTBLANK(OFFSET(A$1,,,SUMPRODUCT(MAX(ROW(E$1:E2919)*(E2=E$1:E2919))))))</f>
        <v> </v>
      </c>
      <c r="K2920" s="26" t="str">
        <f>IF(OR(E2920="",E2920="!!!",F2920="NEW"),"",INDEX(J$1:J2919,SUMPRODUCT(MAX(ROW(E$1:E2919)*(E2920=E$1:E2919)))))</f>
        <v> </v>
      </c>
      <c r="L2920" s="27"/>
    </row>
    <row r="2921" spans="1:12">
      <c r="A2921" s="20" t="s">
        <v>246</v>
      </c>
      <c r="E2921" s="22">
        <f>IF(D2921="?OLD","!!!","")</f>
        <v/>
      </c>
      <c r="F2921" s="23" t="str">
        <f>IF(OR(E2921="",E2921="!!!"),"",IF(NOT(ISNA(VLOOKUP(E2921,E$1:E2920,1,FALSE()))),"OLD",IF(AND(E2921&lt;&gt;"",E2921&lt;&gt;"!!!"),"NEW","")))</f>
        <v> </v>
      </c>
      <c r="G2921" s="24" t="str">
        <f>IF(OR(E2921="",E2921="!!!"),"",IF(OR(J2921=0,AND(J2921=1,K2921=1),AND(J2921=1,I2921="SBJ"),AND(J2921=1,I2921=0)),"?IN_FOCUS",IF(J2921&lt;=2,"?ACTIVATED",IF(J2921&lt;&gt;"","?FAMILIAR",IF(F2921="NEW",IF(ISNA(VLOOKUP(E2921,#REF!,1,FALSE())),"?TYPE_IDENTIFIABLE","?REFERENTIAL"),"_")))))</f>
        <v> </v>
      </c>
      <c r="H2921" s="25" t="str">
        <f>IF(J2921&lt;&gt;1,"",IF(I2921="SBJ","CB","?"))</f>
        <v> </v>
      </c>
      <c r="I2921" s="26" t="str">
        <f>IF(OR(E2921="",E2921="!!!",F2921="NEW"),"",INDEX(B2920:B$2,-1+SUMPRODUCT(MAX(ROW(E2920:E$2)*(E2921=E2920:E$2)))))</f>
        <v> </v>
      </c>
      <c r="J2921" s="26" t="str">
        <f>IF(OR(E2921="",E2921="!!!",F2921="NEW"),"",COUNTBLANK(OFFSET(A$1,,,SUMPRODUCT(MAX(ROW(E$2:E2921)*(E2921=E$2:E2921)))))-COUNTBLANK(OFFSET(A$1,,,SUMPRODUCT(MAX(ROW(E$1:E2920)*(E2=E$1:E2920))))))</f>
        <v> </v>
      </c>
      <c r="K2921" s="26" t="str">
        <f>IF(OR(E2921="",E2921="!!!",F2921="NEW"),"",INDEX(J$1:J2920,SUMPRODUCT(MAX(ROW(E$1:E2920)*(E2921=E$1:E2920)))))</f>
        <v> </v>
      </c>
      <c r="L2921" s="27"/>
    </row>
    <row r="2922" spans="1:12">
      <c r="A2922" s="20"/>
    </row>
    <row r="2923" spans="1:12">
      <c r="A2923" s="20" t="s">
        <v>1789</v>
      </c>
    </row>
    <row r="2924" spans="1:12">
      <c r="A2924" s="20" t="s">
        <v>1784</v>
      </c>
      <c r="B2924" s="21" t="s">
        <v>728</v>
      </c>
      <c r="C2924" s="21" t="s">
        <v>729</v>
      </c>
      <c r="D2924" s="21" t="s">
        <v>730</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1781</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899</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t="s">
        <v>845</v>
      </c>
      <c r="E2927" s="22">
        <f>IF(D2927="?OLD","!!!","")</f>
        <v/>
      </c>
      <c r="F2927" s="23" t="str">
        <f>IF(OR(E2927="",E2927="!!!"),"",IF(NOT(ISNA(VLOOKUP(E2927,E$1:E2926,1,FALSE()))),"OLD",IF(AND(E2927&lt;&gt;"",E2927&lt;&gt;"!!!"),"NEW","")))</f>
        <v> </v>
      </c>
      <c r="G2927" s="24" t="str">
        <f>IF(OR(E2927="",E2927="!!!"),"",IF(OR(J2927=0,AND(J2927=1,K2927=1),AND(J2927=1,I2927="SBJ"),AND(J2927=1,I2927=0)),"?IN_FOCUS",IF(J2927&lt;=2,"?ACTIVATED",IF(J2927&lt;&gt;"","?FAMILIAR",IF(F2927="NEW",IF(ISNA(VLOOKUP(E2927,#REF!,1,FALSE())),"?TYPE_IDENTIFIABLE","?REFERENTIAL"),"_")))))</f>
        <v> </v>
      </c>
      <c r="H2927" s="25" t="str">
        <f>IF(J2927&lt;&gt;1,"",IF(I2927="SBJ","CB","?"))</f>
        <v> </v>
      </c>
      <c r="I2927" s="26" t="str">
        <f>IF(OR(E2927="",E2927="!!!",F2927="NEW"),"",INDEX(B2926:B$2,-1+SUMPRODUCT(MAX(ROW(E2926:E$2)*(E2927=E2926:E$2)))))</f>
        <v> </v>
      </c>
      <c r="J2927" s="26" t="str">
        <f>IF(OR(E2927="",E2927="!!!",F2927="NEW"),"",COUNTBLANK(OFFSET(A$1,,,SUMPRODUCT(MAX(ROW(E$2:E2927)*(E2927=E$2:E2927)))))-COUNTBLANK(OFFSET(A$1,,,SUMPRODUCT(MAX(ROW(E$1:E2926)*(E2=E$1:E2926))))))</f>
        <v> </v>
      </c>
      <c r="K2927" s="26" t="str">
        <f>IF(OR(E2927="",E2927="!!!",F2927="NEW"),"",INDEX(J$1:J2926,SUMPRODUCT(MAX(ROW(E$1:E2926)*(E2927=E$1:E2926)))))</f>
        <v> </v>
      </c>
      <c r="L2927" s="27"/>
    </row>
    <row r="2928" spans="1:12">
      <c r="A2928" s="20" t="s">
        <v>1790</v>
      </c>
      <c r="B2928" s="21" t="s">
        <v>764</v>
      </c>
      <c r="C2928" s="21" t="s">
        <v>753</v>
      </c>
      <c r="D2928" s="21" t="s">
        <v>730</v>
      </c>
      <c r="E2928" s="22">
        <f>IF(D2928="?OLD","!!!","")</f>
        <v/>
      </c>
      <c r="F2928" s="23" t="str">
        <f>IF(OR(E2928="",E2928="!!!"),"",IF(NOT(ISNA(VLOOKUP(E2928,E$1:E2927,1,FALSE()))),"OLD",IF(AND(E2928&lt;&gt;"",E2928&lt;&gt;"!!!"),"NEW","")))</f>
        <v> </v>
      </c>
      <c r="G2928" s="24" t="str">
        <f>IF(OR(E2928="",E2928="!!!"),"",IF(OR(J2928=0,AND(J2928=1,K2928=1),AND(J2928=1,I2928="SBJ"),AND(J2928=1,I2928=0)),"?IN_FOCUS",IF(J2928&lt;=2,"?ACTIVATED",IF(J2928&lt;&gt;"","?FAMILIAR",IF(F2928="NEW",IF(ISNA(VLOOKUP(E2928,#REF!,1,FALSE())),"?TYPE_IDENTIFIABLE","?REFERENTIAL"),"_")))))</f>
        <v> </v>
      </c>
      <c r="H2928" s="25" t="str">
        <f>IF(J2928&lt;&gt;1,"",IF(I2928="SBJ","CB","?"))</f>
        <v> </v>
      </c>
      <c r="I2928" s="26" t="str">
        <f>IF(OR(E2928="",E2928="!!!",F2928="NEW"),"",INDEX(B2927:B$2,-1+SUMPRODUCT(MAX(ROW(E2927:E$2)*(E2928=E2927:E$2)))))</f>
        <v> </v>
      </c>
      <c r="J2928" s="26" t="str">
        <f>IF(OR(E2928="",E2928="!!!",F2928="NEW"),"",COUNTBLANK(OFFSET(A$1,,,SUMPRODUCT(MAX(ROW(E$2:E2928)*(E2928=E$2:E2928)))))-COUNTBLANK(OFFSET(A$1,,,SUMPRODUCT(MAX(ROW(E$1:E2927)*(E2=E$1:E2927))))))</f>
        <v> </v>
      </c>
      <c r="K2928" s="26" t="str">
        <f>IF(OR(E2928="",E2928="!!!",F2928="NEW"),"",INDEX(J$1:J2927,SUMPRODUCT(MAX(ROW(E$1:E2927)*(E2928=E$1:E2927)))))</f>
        <v> </v>
      </c>
      <c r="L2928" s="27"/>
    </row>
    <row r="2929" spans="1:12">
      <c r="A2929" s="20" t="s">
        <v>1791</v>
      </c>
      <c r="E2929" s="22">
        <f>IF(D2929="?OLD","!!!","")</f>
        <v/>
      </c>
      <c r="F2929" s="23" t="str">
        <f>IF(OR(E2929="",E2929="!!!"),"",IF(NOT(ISNA(VLOOKUP(E2929,E$1:E2928,1,FALSE()))),"OLD",IF(AND(E2929&lt;&gt;"",E2929&lt;&gt;"!!!"),"NEW","")))</f>
        <v> </v>
      </c>
      <c r="G2929" s="24" t="str">
        <f>IF(OR(E2929="",E2929="!!!"),"",IF(OR(J2929=0,AND(J2929=1,K2929=1),AND(J2929=1,I2929="SBJ"),AND(J2929=1,I2929=0)),"?IN_FOCUS",IF(J2929&lt;=2,"?ACTIVATED",IF(J2929&lt;&gt;"","?FAMILIAR",IF(F2929="NEW",IF(ISNA(VLOOKUP(E2929,#REF!,1,FALSE())),"?TYPE_IDENTIFIABLE","?REFERENTIAL"),"_")))))</f>
        <v> </v>
      </c>
      <c r="H2929" s="25" t="str">
        <f>IF(J2929&lt;&gt;1,"",IF(I2929="SBJ","CB","?"))</f>
        <v> </v>
      </c>
      <c r="I2929" s="26" t="str">
        <f>IF(OR(E2929="",E2929="!!!",F2929="NEW"),"",INDEX(B2928:B$2,-1+SUMPRODUCT(MAX(ROW(E2928:E$2)*(E2929=E2928:E$2)))))</f>
        <v> </v>
      </c>
      <c r="J2929" s="26" t="str">
        <f>IF(OR(E2929="",E2929="!!!",F2929="NEW"),"",COUNTBLANK(OFFSET(A$1,,,SUMPRODUCT(MAX(ROW(E$2:E2929)*(E2929=E$2:E2929)))))-COUNTBLANK(OFFSET(A$1,,,SUMPRODUCT(MAX(ROW(E$1:E2928)*(E2=E$1:E2928))))))</f>
        <v> </v>
      </c>
      <c r="K2929" s="26" t="str">
        <f>IF(OR(E2929="",E2929="!!!",F2929="NEW"),"",INDEX(J$1:J2928,SUMPRODUCT(MAX(ROW(E$1:E2928)*(E2929=E$1:E2928)))))</f>
        <v> </v>
      </c>
      <c r="L2929" s="27"/>
    </row>
    <row r="2930" spans="1:12">
      <c r="A2930" s="20" t="s">
        <v>759</v>
      </c>
      <c r="E2930" s="22">
        <f>IF(D2930="?OLD","!!!","")</f>
        <v/>
      </c>
      <c r="F2930" s="23" t="str">
        <f>IF(OR(E2930="",E2930="!!!"),"",IF(NOT(ISNA(VLOOKUP(E2930,E$1:E2929,1,FALSE()))),"OLD",IF(AND(E2930&lt;&gt;"",E2930&lt;&gt;"!!!"),"NEW","")))</f>
        <v> </v>
      </c>
      <c r="G2930" s="24" t="str">
        <f>IF(OR(E2930="",E2930="!!!"),"",IF(OR(J2930=0,AND(J2930=1,K2930=1),AND(J2930=1,I2930="SBJ"),AND(J2930=1,I2930=0)),"?IN_FOCUS",IF(J2930&lt;=2,"?ACTIVATED",IF(J2930&lt;&gt;"","?FAMILIAR",IF(F2930="NEW",IF(ISNA(VLOOKUP(E2930,#REF!,1,FALSE())),"?TYPE_IDENTIFIABLE","?REFERENTIAL"),"_")))))</f>
        <v> </v>
      </c>
      <c r="H2930" s="25" t="str">
        <f>IF(J2930&lt;&gt;1,"",IF(I2930="SBJ","CB","?"))</f>
        <v> </v>
      </c>
      <c r="I2930" s="26" t="str">
        <f>IF(OR(E2930="",E2930="!!!",F2930="NEW"),"",INDEX(B2929:B$2,-1+SUMPRODUCT(MAX(ROW(E2929:E$2)*(E2930=E2929:E$2)))))</f>
        <v> </v>
      </c>
      <c r="J2930" s="26" t="str">
        <f>IF(OR(E2930="",E2930="!!!",F2930="NEW"),"",COUNTBLANK(OFFSET(A$1,,,SUMPRODUCT(MAX(ROW(E$2:E2930)*(E2930=E$2:E2930)))))-COUNTBLANK(OFFSET(A$1,,,SUMPRODUCT(MAX(ROW(E$1:E2929)*(E2=E$1:E2929))))))</f>
        <v> </v>
      </c>
      <c r="K2930" s="26" t="str">
        <f>IF(OR(E2930="",E2930="!!!",F2930="NEW"),"",INDEX(J$1:J2929,SUMPRODUCT(MAX(ROW(E$1:E2929)*(E2930=E$1:E2929)))))</f>
        <v> </v>
      </c>
      <c r="L2930" s="27"/>
    </row>
    <row r="2931" spans="1:12">
      <c r="A2931" s="20" t="s">
        <v>785</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1791</v>
      </c>
      <c r="E2932" s="22">
        <f>IF(D2932="?OLD","!!!","")</f>
        <v/>
      </c>
      <c r="F2932" s="23" t="str">
        <f>IF(OR(E2932="",E2932="!!!"),"",IF(NOT(ISNA(VLOOKUP(E2932,E$1:E2931,1,FALSE()))),"OLD",IF(AND(E2932&lt;&gt;"",E2932&lt;&gt;"!!!"),"NEW","")))</f>
        <v> </v>
      </c>
      <c r="G2932" s="24" t="str">
        <f>IF(OR(E2932="",E2932="!!!"),"",IF(OR(J2932=0,AND(J2932=1,K2932=1),AND(J2932=1,I2932="SBJ"),AND(J2932=1,I2932=0)),"?IN_FOCUS",IF(J2932&lt;=2,"?ACTIVATED",IF(J2932&lt;&gt;"","?FAMILIAR",IF(F2932="NEW",IF(ISNA(VLOOKUP(E2932,#REF!,1,FALSE())),"?TYPE_IDENTIFIABLE","?REFERENTIAL"),"_")))))</f>
        <v> </v>
      </c>
      <c r="H2932" s="25" t="str">
        <f>IF(J2932&lt;&gt;1,"",IF(I2932="SBJ","CB","?"))</f>
        <v> </v>
      </c>
      <c r="I2932" s="26" t="str">
        <f>IF(OR(E2932="",E2932="!!!",F2932="NEW"),"",INDEX(B2931:B$2,-1+SUMPRODUCT(MAX(ROW(E2931:E$2)*(E2932=E2931:E$2)))))</f>
        <v> </v>
      </c>
      <c r="J2932" s="26" t="str">
        <f>IF(OR(E2932="",E2932="!!!",F2932="NEW"),"",COUNTBLANK(OFFSET(A$1,,,SUMPRODUCT(MAX(ROW(E$2:E2932)*(E2932=E$2:E2932)))))-COUNTBLANK(OFFSET(A$1,,,SUMPRODUCT(MAX(ROW(E$1:E2931)*(E2=E$1:E2931))))))</f>
        <v> </v>
      </c>
      <c r="K2932" s="26" t="str">
        <f>IF(OR(E2932="",E2932="!!!",F2932="NEW"),"",INDEX(J$1:J2931,SUMPRODUCT(MAX(ROW(E$1:E2931)*(E2932=E$1:E2931)))))</f>
        <v> </v>
      </c>
      <c r="L2932" s="27"/>
    </row>
    <row r="2933" spans="1:12">
      <c r="A2933" s="20" t="s">
        <v>757</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t="s">
        <v>1792</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t="s">
        <v>1793</v>
      </c>
      <c r="B2935" s="21" t="s">
        <v>736</v>
      </c>
      <c r="C2935" s="21" t="s">
        <v>753</v>
      </c>
      <c r="D2935" s="21" t="s">
        <v>730</v>
      </c>
      <c r="E2935" s="22">
        <f>IF(D2935="?OLD","!!!","")</f>
        <v/>
      </c>
      <c r="F2935" s="23" t="str">
        <f>IF(OR(E2935="",E2935="!!!"),"",IF(NOT(ISNA(VLOOKUP(E2935,E$1:E2934,1,FALSE()))),"OLD",IF(AND(E2935&lt;&gt;"",E2935&lt;&gt;"!!!"),"NEW","")))</f>
        <v> </v>
      </c>
      <c r="G2935" s="24" t="str">
        <f>IF(OR(E2935="",E2935="!!!"),"",IF(OR(J2935=0,AND(J2935=1,K2935=1),AND(J2935=1,I2935="SBJ"),AND(J2935=1,I2935=0)),"?IN_FOCUS",IF(J2935&lt;=2,"?ACTIVATED",IF(J2935&lt;&gt;"","?FAMILIAR",IF(F2935="NEW",IF(ISNA(VLOOKUP(E2935,#REF!,1,FALSE())),"?TYPE_IDENTIFIABLE","?REFERENTIAL"),"_")))))</f>
        <v> </v>
      </c>
      <c r="H2935" s="25" t="str">
        <f>IF(J2935&lt;&gt;1,"",IF(I2935="SBJ","CB","?"))</f>
        <v> </v>
      </c>
      <c r="I2935" s="26" t="str">
        <f>IF(OR(E2935="",E2935="!!!",F2935="NEW"),"",INDEX(B2934:B$2,-1+SUMPRODUCT(MAX(ROW(E2934:E$2)*(E2935=E2934:E$2)))))</f>
        <v> </v>
      </c>
      <c r="J2935" s="26" t="str">
        <f>IF(OR(E2935="",E2935="!!!",F2935="NEW"),"",COUNTBLANK(OFFSET(A$1,,,SUMPRODUCT(MAX(ROW(E$2:E2935)*(E2935=E$2:E2935)))))-COUNTBLANK(OFFSET(A$1,,,SUMPRODUCT(MAX(ROW(E$1:E2934)*(E2=E$1:E2934))))))</f>
        <v> </v>
      </c>
      <c r="K2935" s="26" t="str">
        <f>IF(OR(E2935="",E2935="!!!",F2935="NEW"),"",INDEX(J$1:J2934,SUMPRODUCT(MAX(ROW(E$1:E2934)*(E2935=E$1:E2934)))))</f>
        <v> </v>
      </c>
      <c r="L2935" s="27"/>
    </row>
    <row r="2936" spans="1:12">
      <c r="A2936" s="20" t="s">
        <v>759</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813</v>
      </c>
      <c r="B2937" s="21" t="s">
        <v>788</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1794</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t="s">
        <v>759</v>
      </c>
      <c r="E2939" s="22">
        <f>IF(D2939="?OLD","!!!","")</f>
        <v/>
      </c>
      <c r="F2939" s="23" t="str">
        <f>IF(OR(E2939="",E2939="!!!"),"",IF(NOT(ISNA(VLOOKUP(E2939,E$1:E2938,1,FALSE()))),"OLD",IF(AND(E2939&lt;&gt;"",E2939&lt;&gt;"!!!"),"NEW","")))</f>
        <v> </v>
      </c>
      <c r="G2939" s="24" t="str">
        <f>IF(OR(E2939="",E2939="!!!"),"",IF(OR(J2939=0,AND(J2939=1,K2939=1),AND(J2939=1,I2939="SBJ"),AND(J2939=1,I2939=0)),"?IN_FOCUS",IF(J2939&lt;=2,"?ACTIVATED",IF(J2939&lt;&gt;"","?FAMILIAR",IF(F2939="NEW",IF(ISNA(VLOOKUP(E2939,#REF!,1,FALSE())),"?TYPE_IDENTIFIABLE","?REFERENTIAL"),"_")))))</f>
        <v> </v>
      </c>
      <c r="H2939" s="25" t="str">
        <f>IF(J2939&lt;&gt;1,"",IF(I2939="SBJ","CB","?"))</f>
        <v> </v>
      </c>
      <c r="I2939" s="26" t="str">
        <f>IF(OR(E2939="",E2939="!!!",F2939="NEW"),"",INDEX(B2938:B$2,-1+SUMPRODUCT(MAX(ROW(E2938:E$2)*(E2939=E2938:E$2)))))</f>
        <v> </v>
      </c>
      <c r="J2939" s="26" t="str">
        <f>IF(OR(E2939="",E2939="!!!",F2939="NEW"),"",COUNTBLANK(OFFSET(A$1,,,SUMPRODUCT(MAX(ROW(E$2:E2939)*(E2939=E$2:E2939)))))-COUNTBLANK(OFFSET(A$1,,,SUMPRODUCT(MAX(ROW(E$1:E2938)*(E2=E$1:E2938))))))</f>
        <v> </v>
      </c>
      <c r="K2939" s="26" t="str">
        <f>IF(OR(E2939="",E2939="!!!",F2939="NEW"),"",INDEX(J$1:J2938,SUMPRODUCT(MAX(ROW(E$1:E2938)*(E2939=E$1:E2938)))))</f>
        <v> </v>
      </c>
      <c r="L2939" s="27"/>
    </row>
    <row r="2940" spans="1:12">
      <c r="A2940" s="20" t="s">
        <v>809</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t="s">
        <v>762</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1535</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1795</v>
      </c>
      <c r="B2943" s="21" t="s">
        <v>796</v>
      </c>
      <c r="C2943" s="21" t="s">
        <v>737</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938</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t="s">
        <v>1678</v>
      </c>
      <c r="B2945" s="21" t="s">
        <v>755</v>
      </c>
      <c r="C2945" s="21" t="s">
        <v>748</v>
      </c>
      <c r="E2945" s="22">
        <f>IF(D2945="?OLD","!!!","")</f>
        <v/>
      </c>
      <c r="F2945" s="23" t="str">
        <f>IF(OR(E2945="",E2945="!!!"),"",IF(NOT(ISNA(VLOOKUP(E2945,E$1:E2944,1,FALSE()))),"OLD",IF(AND(E2945&lt;&gt;"",E2945&lt;&gt;"!!!"),"NEW","")))</f>
        <v> </v>
      </c>
      <c r="G2945" s="24" t="str">
        <f>IF(OR(E2945="",E2945="!!!"),"",IF(OR(J2945=0,AND(J2945=1,K2945=1),AND(J2945=1,I2945="SBJ"),AND(J2945=1,I2945=0)),"?IN_FOCUS",IF(J2945&lt;=2,"?ACTIVATED",IF(J2945&lt;&gt;"","?FAMILIAR",IF(F2945="NEW",IF(ISNA(VLOOKUP(E2945,#REF!,1,FALSE())),"?TYPE_IDENTIFIABLE","?REFERENTIAL"),"_")))))</f>
        <v> </v>
      </c>
      <c r="H2945" s="25" t="str">
        <f>IF(J2945&lt;&gt;1,"",IF(I2945="SBJ","CB","?"))</f>
        <v> </v>
      </c>
      <c r="I2945" s="26" t="str">
        <f>IF(OR(E2945="",E2945="!!!",F2945="NEW"),"",INDEX(B2944:B$2,-1+SUMPRODUCT(MAX(ROW(E2944:E$2)*(E2945=E2944:E$2)))))</f>
        <v> </v>
      </c>
      <c r="J2945" s="26" t="str">
        <f>IF(OR(E2945="",E2945="!!!",F2945="NEW"),"",COUNTBLANK(OFFSET(A$1,,,SUMPRODUCT(MAX(ROW(E$2:E2945)*(E2945=E$2:E2945)))))-COUNTBLANK(OFFSET(A$1,,,SUMPRODUCT(MAX(ROW(E$1:E2944)*(E2=E$1:E2944))))))</f>
        <v> </v>
      </c>
      <c r="K2945" s="26" t="str">
        <f>IF(OR(E2945="",E2945="!!!",F2945="NEW"),"",INDEX(J$1:J2944,SUMPRODUCT(MAX(ROW(E$1:E2944)*(E2945=E$1:E2944)))))</f>
        <v> </v>
      </c>
      <c r="L2945" s="27"/>
    </row>
    <row r="2946" spans="1:12">
      <c r="A2946" s="20" t="s">
        <v>922</v>
      </c>
      <c r="E2946" s="22">
        <f>IF(D2946="?OLD","!!!","")</f>
        <v/>
      </c>
      <c r="F2946" s="23" t="str">
        <f>IF(OR(E2946="",E2946="!!!"),"",IF(NOT(ISNA(VLOOKUP(E2946,E$1:E2945,1,FALSE()))),"OLD",IF(AND(E2946&lt;&gt;"",E2946&lt;&gt;"!!!"),"NEW","")))</f>
        <v> </v>
      </c>
      <c r="G2946" s="24" t="str">
        <f>IF(OR(E2946="",E2946="!!!"),"",IF(OR(J2946=0,AND(J2946=1,K2946=1),AND(J2946=1,I2946="SBJ"),AND(J2946=1,I2946=0)),"?IN_FOCUS",IF(J2946&lt;=2,"?ACTIVATED",IF(J2946&lt;&gt;"","?FAMILIAR",IF(F2946="NEW",IF(ISNA(VLOOKUP(E2946,#REF!,1,FALSE())),"?TYPE_IDENTIFIABLE","?REFERENTIAL"),"_")))))</f>
        <v> </v>
      </c>
      <c r="H2946" s="25" t="str">
        <f>IF(J2946&lt;&gt;1,"",IF(I2946="SBJ","CB","?"))</f>
        <v> </v>
      </c>
      <c r="I2946" s="26" t="str">
        <f>IF(OR(E2946="",E2946="!!!",F2946="NEW"),"",INDEX(B2945:B$2,-1+SUMPRODUCT(MAX(ROW(E2945:E$2)*(E2946=E2945:E$2)))))</f>
        <v> </v>
      </c>
      <c r="J2946" s="26" t="str">
        <f>IF(OR(E2946="",E2946="!!!",F2946="NEW"),"",COUNTBLANK(OFFSET(A$1,,,SUMPRODUCT(MAX(ROW(E$2:E2946)*(E2946=E$2:E2946)))))-COUNTBLANK(OFFSET(A$1,,,SUMPRODUCT(MAX(ROW(E$1:E2945)*(E2=E$1:E2945))))))</f>
        <v> </v>
      </c>
      <c r="K2946" s="26" t="str">
        <f>IF(OR(E2946="",E2946="!!!",F2946="NEW"),"",INDEX(J$1:J2945,SUMPRODUCT(MAX(ROW(E$1:E2945)*(E2946=E$1:E2945)))))</f>
        <v> </v>
      </c>
      <c r="L2946" s="27"/>
    </row>
    <row r="2947" spans="1:12">
      <c r="A2947" s="20" t="s">
        <v>1796</v>
      </c>
      <c r="B2947" s="21" t="s">
        <v>791</v>
      </c>
      <c r="C2947" s="21" t="s">
        <v>737</v>
      </c>
      <c r="E2947" s="22">
        <f>IF(D2947="?OLD","!!!","")</f>
        <v/>
      </c>
      <c r="F2947" s="23" t="str">
        <f>IF(OR(E2947="",E2947="!!!"),"",IF(NOT(ISNA(VLOOKUP(E2947,E$1:E2946,1,FALSE()))),"OLD",IF(AND(E2947&lt;&gt;"",E2947&lt;&gt;"!!!"),"NEW","")))</f>
        <v> </v>
      </c>
      <c r="G2947" s="24" t="str">
        <f>IF(OR(E2947="",E2947="!!!"),"",IF(OR(J2947=0,AND(J2947=1,K2947=1),AND(J2947=1,I2947="SBJ"),AND(J2947=1,I2947=0)),"?IN_FOCUS",IF(J2947&lt;=2,"?ACTIVATED",IF(J2947&lt;&gt;"","?FAMILIAR",IF(F2947="NEW",IF(ISNA(VLOOKUP(E2947,#REF!,1,FALSE())),"?TYPE_IDENTIFIABLE","?REFERENTIAL"),"_")))))</f>
        <v> </v>
      </c>
      <c r="H2947" s="25" t="str">
        <f>IF(J2947&lt;&gt;1,"",IF(I2947="SBJ","CB","?"))</f>
        <v> </v>
      </c>
      <c r="I2947" s="26" t="str">
        <f>IF(OR(E2947="",E2947="!!!",F2947="NEW"),"",INDEX(B2946:B$2,-1+SUMPRODUCT(MAX(ROW(E2946:E$2)*(E2947=E2946:E$2)))))</f>
        <v> </v>
      </c>
      <c r="J2947" s="26" t="str">
        <f>IF(OR(E2947="",E2947="!!!",F2947="NEW"),"",COUNTBLANK(OFFSET(A$1,,,SUMPRODUCT(MAX(ROW(E$2:E2947)*(E2947=E$2:E2947)))))-COUNTBLANK(OFFSET(A$1,,,SUMPRODUCT(MAX(ROW(E$1:E2946)*(E2=E$1:E2946))))))</f>
        <v> </v>
      </c>
      <c r="K2947" s="26" t="str">
        <f>IF(OR(E2947="",E2947="!!!",F2947="NEW"),"",INDEX(J$1:J2946,SUMPRODUCT(MAX(ROW(E$1:E2946)*(E2947=E$1:E2946)))))</f>
        <v> </v>
      </c>
      <c r="L2947" s="27"/>
    </row>
    <row r="2948" spans="1:12">
      <c r="A2948" s="20" t="s">
        <v>1797</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246</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row>
    <row r="2951" spans="1:12">
      <c r="A2951" s="20" t="s">
        <v>1798</v>
      </c>
    </row>
    <row r="2952" spans="1:12">
      <c r="A2952" s="20" t="s">
        <v>1478</v>
      </c>
      <c r="E2952" s="22">
        <f>IF(D2952="?OLD","!!!","")</f>
        <v/>
      </c>
      <c r="F2952" s="23" t="str">
        <f>IF(OR(E2952="",E2952="!!!"),"",IF(NOT(ISNA(VLOOKUP(E2952,E$1:E2951,1,FALSE()))),"OLD",IF(AND(E2952&lt;&gt;"",E2952&lt;&gt;"!!!"),"NEW","")))</f>
        <v> </v>
      </c>
      <c r="G2952" s="24" t="str">
        <f>IF(OR(E2952="",E2952="!!!"),"",IF(OR(J2952=0,AND(J2952=1,K2952=1),AND(J2952=1,I2952="SBJ"),AND(J2952=1,I2952=0)),"?IN_FOCUS",IF(J2952&lt;=2,"?ACTIVATED",IF(J2952&lt;&gt;"","?FAMILIAR",IF(F2952="NEW",IF(ISNA(VLOOKUP(E2952,#REF!,1,FALSE())),"?TYPE_IDENTIFIABLE","?REFERENTIAL"),"_")))))</f>
        <v> </v>
      </c>
      <c r="H2952" s="25" t="str">
        <f>IF(J2952&lt;&gt;1,"",IF(I2952="SBJ","CB","?"))</f>
        <v> </v>
      </c>
      <c r="I2952" s="26" t="str">
        <f>IF(OR(E2952="",E2952="!!!",F2952="NEW"),"",INDEX(B2951:B$2,-1+SUMPRODUCT(MAX(ROW(E2951:E$2)*(E2952=E2951:E$2)))))</f>
        <v> </v>
      </c>
      <c r="J2952" s="26" t="str">
        <f>IF(OR(E2952="",E2952="!!!",F2952="NEW"),"",COUNTBLANK(OFFSET(A$1,,,SUMPRODUCT(MAX(ROW(E$2:E2952)*(E2952=E$2:E2952)))))-COUNTBLANK(OFFSET(A$1,,,SUMPRODUCT(MAX(ROW(E$1:E2951)*(E2=E$1:E2951))))))</f>
        <v> </v>
      </c>
      <c r="K2952" s="26" t="str">
        <f>IF(OR(E2952="",E2952="!!!",F2952="NEW"),"",INDEX(J$1:J2951,SUMPRODUCT(MAX(ROW(E$1:E2951)*(E2952=E$1:E2951)))))</f>
        <v> </v>
      </c>
      <c r="L2952" s="27"/>
    </row>
    <row r="2953" spans="1:12">
      <c r="A2953" s="20" t="s">
        <v>859</v>
      </c>
      <c r="B2953" s="21" t="s">
        <v>728</v>
      </c>
      <c r="C2953" s="21" t="s">
        <v>789</v>
      </c>
      <c r="D2953" s="21" t="s">
        <v>730</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440</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943</v>
      </c>
      <c r="B2955" s="21" t="s">
        <v>728</v>
      </c>
      <c r="C2955" s="21" t="s">
        <v>756</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1799</v>
      </c>
      <c r="B2956" s="21" t="s">
        <v>764</v>
      </c>
      <c r="C2956" s="21" t="s">
        <v>801</v>
      </c>
      <c r="D2956" s="21" t="s">
        <v>730</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732</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t="s">
        <v>1576</v>
      </c>
      <c r="E2958" s="22">
        <f>IF(D2958="?OLD","!!!","")</f>
        <v/>
      </c>
      <c r="F2958" s="23" t="str">
        <f>IF(OR(E2958="",E2958="!!!"),"",IF(NOT(ISNA(VLOOKUP(E2958,E$1:E2957,1,FALSE()))),"OLD",IF(AND(E2958&lt;&gt;"",E2958&lt;&gt;"!!!"),"NEW","")))</f>
        <v> </v>
      </c>
      <c r="G2958" s="24" t="str">
        <f>IF(OR(E2958="",E2958="!!!"),"",IF(OR(J2958=0,AND(J2958=1,K2958=1),AND(J2958=1,I2958="SBJ"),AND(J2958=1,I2958=0)),"?IN_FOCUS",IF(J2958&lt;=2,"?ACTIVATED",IF(J2958&lt;&gt;"","?FAMILIAR",IF(F2958="NEW",IF(ISNA(VLOOKUP(E2958,#REF!,1,FALSE())),"?TYPE_IDENTIFIABLE","?REFERENTIAL"),"_")))))</f>
        <v> </v>
      </c>
      <c r="H2958" s="25" t="str">
        <f>IF(J2958&lt;&gt;1,"",IF(I2958="SBJ","CB","?"))</f>
        <v> </v>
      </c>
      <c r="I2958" s="26" t="str">
        <f>IF(OR(E2958="",E2958="!!!",F2958="NEW"),"",INDEX(B2957:B$2,-1+SUMPRODUCT(MAX(ROW(E2957:E$2)*(E2958=E2957:E$2)))))</f>
        <v> </v>
      </c>
      <c r="J2958" s="26" t="str">
        <f>IF(OR(E2958="",E2958="!!!",F2958="NEW"),"",COUNTBLANK(OFFSET(A$1,,,SUMPRODUCT(MAX(ROW(E$2:E2958)*(E2958=E$2:E2958)))))-COUNTBLANK(OFFSET(A$1,,,SUMPRODUCT(MAX(ROW(E$1:E2957)*(E2=E$1:E2957))))))</f>
        <v> </v>
      </c>
      <c r="K2958" s="26" t="str">
        <f>IF(OR(E2958="",E2958="!!!",F2958="NEW"),"",INDEX(J$1:J2957,SUMPRODUCT(MAX(ROW(E$1:E2957)*(E2958=E$1:E2957)))))</f>
        <v> </v>
      </c>
      <c r="L2958" s="27"/>
    </row>
    <row r="2959" spans="1:12">
      <c r="A2959" s="20" t="s">
        <v>48</v>
      </c>
      <c r="E2959" s="22">
        <f>IF(D2959="?OLD","!!!","")</f>
        <v/>
      </c>
      <c r="F2959" s="23" t="str">
        <f>IF(OR(E2959="",E2959="!!!"),"",IF(NOT(ISNA(VLOOKUP(E2959,E$1:E2958,1,FALSE()))),"OLD",IF(AND(E2959&lt;&gt;"",E2959&lt;&gt;"!!!"),"NEW","")))</f>
        <v> </v>
      </c>
      <c r="G2959" s="24" t="str">
        <f>IF(OR(E2959="",E2959="!!!"),"",IF(OR(J2959=0,AND(J2959=1,K2959=1),AND(J2959=1,I2959="SBJ"),AND(J2959=1,I2959=0)),"?IN_FOCUS",IF(J2959&lt;=2,"?ACTIVATED",IF(J2959&lt;&gt;"","?FAMILIAR",IF(F2959="NEW",IF(ISNA(VLOOKUP(E2959,#REF!,1,FALSE())),"?TYPE_IDENTIFIABLE","?REFERENTIAL"),"_")))))</f>
        <v> </v>
      </c>
      <c r="H2959" s="25" t="str">
        <f>IF(J2959&lt;&gt;1,"",IF(I2959="SBJ","CB","?"))</f>
        <v> </v>
      </c>
      <c r="I2959" s="26" t="str">
        <f>IF(OR(E2959="",E2959="!!!",F2959="NEW"),"",INDEX(B2958:B$2,-1+SUMPRODUCT(MAX(ROW(E2958:E$2)*(E2959=E2958:E$2)))))</f>
        <v> </v>
      </c>
      <c r="J2959" s="26" t="str">
        <f>IF(OR(E2959="",E2959="!!!",F2959="NEW"),"",COUNTBLANK(OFFSET(A$1,,,SUMPRODUCT(MAX(ROW(E$2:E2959)*(E2959=E$2:E2959)))))-COUNTBLANK(OFFSET(A$1,,,SUMPRODUCT(MAX(ROW(E$1:E2958)*(E2=E$1:E2958))))))</f>
        <v> </v>
      </c>
      <c r="K2959" s="26" t="str">
        <f>IF(OR(E2959="",E2959="!!!",F2959="NEW"),"",INDEX(J$1:J2958,SUMPRODUCT(MAX(ROW(E$1:E2958)*(E2959=E$1:E2958)))))</f>
        <v> </v>
      </c>
      <c r="L2959" s="27"/>
    </row>
    <row r="2960" spans="1:12">
      <c r="A2960" s="20" t="s">
        <v>1029</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56</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t="s">
        <v>1678</v>
      </c>
      <c r="B2962" s="21" t="s">
        <v>736</v>
      </c>
      <c r="C2962" s="21" t="s">
        <v>967</v>
      </c>
      <c r="E2962" s="22">
        <f>IF(D2962="?OLD","!!!","")</f>
        <v/>
      </c>
      <c r="F2962" s="23" t="str">
        <f>IF(OR(E2962="",E2962="!!!"),"",IF(NOT(ISNA(VLOOKUP(E2962,E$1:E2961,1,FALSE()))),"OLD",IF(AND(E2962&lt;&gt;"",E2962&lt;&gt;"!!!"),"NEW","")))</f>
        <v> </v>
      </c>
      <c r="G2962" s="24" t="str">
        <f>IF(OR(E2962="",E2962="!!!"),"",IF(OR(J2962=0,AND(J2962=1,K2962=1),AND(J2962=1,I2962="SBJ"),AND(J2962=1,I2962=0)),"?IN_FOCUS",IF(J2962&lt;=2,"?ACTIVATED",IF(J2962&lt;&gt;"","?FAMILIAR",IF(F2962="NEW",IF(ISNA(VLOOKUP(E2962,#REF!,1,FALSE())),"?TYPE_IDENTIFIABLE","?REFERENTIAL"),"_")))))</f>
        <v> </v>
      </c>
      <c r="H2962" s="25" t="str">
        <f>IF(J2962&lt;&gt;1,"",IF(I2962="SBJ","CB","?"))</f>
        <v> </v>
      </c>
      <c r="I2962" s="26" t="str">
        <f>IF(OR(E2962="",E2962="!!!",F2962="NEW"),"",INDEX(B2961:B$2,-1+SUMPRODUCT(MAX(ROW(E2961:E$2)*(E2962=E2961:E$2)))))</f>
        <v> </v>
      </c>
      <c r="J2962" s="26" t="str">
        <f>IF(OR(E2962="",E2962="!!!",F2962="NEW"),"",COUNTBLANK(OFFSET(A$1,,,SUMPRODUCT(MAX(ROW(E$2:E2962)*(E2962=E$2:E2962)))))-COUNTBLANK(OFFSET(A$1,,,SUMPRODUCT(MAX(ROW(E$1:E2961)*(E2=E$1:E2961))))))</f>
        <v> </v>
      </c>
      <c r="K2962" s="26" t="str">
        <f>IF(OR(E2962="",E2962="!!!",F2962="NEW"),"",INDEX(J$1:J2961,SUMPRODUCT(MAX(ROW(E$1:E2961)*(E2962=E$1:E2961)))))</f>
        <v> </v>
      </c>
      <c r="L2962" s="27"/>
    </row>
    <row r="2963" spans="1:12">
      <c r="A2963" s="20" t="s">
        <v>1037</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759</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813</v>
      </c>
      <c r="B2965" s="21" t="s">
        <v>796</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t="s">
        <v>1800</v>
      </c>
      <c r="B2966" s="21" t="s">
        <v>791</v>
      </c>
      <c r="C2966" s="21" t="s">
        <v>748</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1801</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t="s">
        <v>1802</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440</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246</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row>
    <row r="2972" spans="1:12">
      <c r="A2972" s="20" t="s">
        <v>1803</v>
      </c>
    </row>
    <row r="2973" spans="1:12">
      <c r="A2973" s="20" t="s">
        <v>1804</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1137</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859</v>
      </c>
      <c r="B2975" s="21" t="s">
        <v>728</v>
      </c>
      <c r="C2975" s="21" t="s">
        <v>789</v>
      </c>
      <c r="D2975" s="21" t="s">
        <v>730</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t="s">
        <v>11</v>
      </c>
      <c r="E2976" s="22">
        <f>IF(D2976="?OLD","!!!","")</f>
        <v/>
      </c>
      <c r="F2976" s="23" t="str">
        <f>IF(OR(E2976="",E2976="!!!"),"",IF(NOT(ISNA(VLOOKUP(E2976,E$1:E2975,1,FALSE()))),"OLD",IF(AND(E2976&lt;&gt;"",E2976&lt;&gt;"!!!"),"NEW","")))</f>
        <v> </v>
      </c>
      <c r="G2976" s="24" t="str">
        <f>IF(OR(E2976="",E2976="!!!"),"",IF(OR(J2976=0,AND(J2976=1,K2976=1),AND(J2976=1,I2976="SBJ"),AND(J2976=1,I2976=0)),"?IN_FOCUS",IF(J2976&lt;=2,"?ACTIVATED",IF(J2976&lt;&gt;"","?FAMILIAR",IF(F2976="NEW",IF(ISNA(VLOOKUP(E2976,#REF!,1,FALSE())),"?TYPE_IDENTIFIABLE","?REFERENTIAL"),"_")))))</f>
        <v> </v>
      </c>
      <c r="H2976" s="25" t="str">
        <f>IF(J2976&lt;&gt;1,"",IF(I2976="SBJ","CB","?"))</f>
        <v> </v>
      </c>
      <c r="I2976" s="26" t="str">
        <f>IF(OR(E2976="",E2976="!!!",F2976="NEW"),"",INDEX(B2975:B$2,-1+SUMPRODUCT(MAX(ROW(E2975:E$2)*(E2976=E2975:E$2)))))</f>
        <v> </v>
      </c>
      <c r="J2976" s="26" t="str">
        <f>IF(OR(E2976="",E2976="!!!",F2976="NEW"),"",COUNTBLANK(OFFSET(A$1,,,SUMPRODUCT(MAX(ROW(E$2:E2976)*(E2976=E$2:E2976)))))-COUNTBLANK(OFFSET(A$1,,,SUMPRODUCT(MAX(ROW(E$1:E2975)*(E2=E$1:E2975))))))</f>
        <v> </v>
      </c>
      <c r="K2976" s="26" t="str">
        <f>IF(OR(E2976="",E2976="!!!",F2976="NEW"),"",INDEX(J$1:J2975,SUMPRODUCT(MAX(ROW(E$1:E2975)*(E2976=E$1:E2975)))))</f>
        <v> </v>
      </c>
      <c r="L2976" s="27"/>
    </row>
    <row r="2977" spans="1:12">
      <c r="A2977" s="20" t="s">
        <v>1029</v>
      </c>
      <c r="E2977" s="22">
        <f>IF(D2977="?OLD","!!!","")</f>
        <v/>
      </c>
      <c r="F2977" s="23" t="str">
        <f>IF(OR(E2977="",E2977="!!!"),"",IF(NOT(ISNA(VLOOKUP(E2977,E$1:E2976,1,FALSE()))),"OLD",IF(AND(E2977&lt;&gt;"",E2977&lt;&gt;"!!!"),"NEW","")))</f>
        <v> </v>
      </c>
      <c r="G2977" s="24" t="str">
        <f>IF(OR(E2977="",E2977="!!!"),"",IF(OR(J2977=0,AND(J2977=1,K2977=1),AND(J2977=1,I2977="SBJ"),AND(J2977=1,I2977=0)),"?IN_FOCUS",IF(J2977&lt;=2,"?ACTIVATED",IF(J2977&lt;&gt;"","?FAMILIAR",IF(F2977="NEW",IF(ISNA(VLOOKUP(E2977,#REF!,1,FALSE())),"?TYPE_IDENTIFIABLE","?REFERENTIAL"),"_")))))</f>
        <v> </v>
      </c>
      <c r="H2977" s="25" t="str">
        <f>IF(J2977&lt;&gt;1,"",IF(I2977="SBJ","CB","?"))</f>
        <v> </v>
      </c>
      <c r="I2977" s="26" t="str">
        <f>IF(OR(E2977="",E2977="!!!",F2977="NEW"),"",INDEX(B2976:B$2,-1+SUMPRODUCT(MAX(ROW(E2976:E$2)*(E2977=E2976:E$2)))))</f>
        <v> </v>
      </c>
      <c r="J2977" s="26" t="str">
        <f>IF(OR(E2977="",E2977="!!!",F2977="NEW"),"",COUNTBLANK(OFFSET(A$1,,,SUMPRODUCT(MAX(ROW(E$2:E2977)*(E2977=E$2:E2977)))))-COUNTBLANK(OFFSET(A$1,,,SUMPRODUCT(MAX(ROW(E$1:E2976)*(E2=E$1:E2976))))))</f>
        <v> </v>
      </c>
      <c r="K2977" s="26" t="str">
        <f>IF(OR(E2977="",E2977="!!!",F2977="NEW"),"",INDEX(J$1:J2976,SUMPRODUCT(MAX(ROW(E$1:E2976)*(E2977=E$1:E2976)))))</f>
        <v> </v>
      </c>
      <c r="L2977" s="27"/>
    </row>
    <row r="2978" spans="1:12">
      <c r="A2978" s="20" t="s">
        <v>20</v>
      </c>
      <c r="E2978" s="22">
        <f>IF(D2978="?OLD","!!!","")</f>
        <v/>
      </c>
      <c r="F2978" s="23" t="str">
        <f>IF(OR(E2978="",E2978="!!!"),"",IF(NOT(ISNA(VLOOKUP(E2978,E$1:E2977,1,FALSE()))),"OLD",IF(AND(E2978&lt;&gt;"",E2978&lt;&gt;"!!!"),"NEW","")))</f>
        <v> </v>
      </c>
      <c r="G2978" s="24" t="str">
        <f>IF(OR(E2978="",E2978="!!!"),"",IF(OR(J2978=0,AND(J2978=1,K2978=1),AND(J2978=1,I2978="SBJ"),AND(J2978=1,I2978=0)),"?IN_FOCUS",IF(J2978&lt;=2,"?ACTIVATED",IF(J2978&lt;&gt;"","?FAMILIAR",IF(F2978="NEW",IF(ISNA(VLOOKUP(E2978,#REF!,1,FALSE())),"?TYPE_IDENTIFIABLE","?REFERENTIAL"),"_")))))</f>
        <v> </v>
      </c>
      <c r="H2978" s="25" t="str">
        <f>IF(J2978&lt;&gt;1,"",IF(I2978="SBJ","CB","?"))</f>
        <v> </v>
      </c>
      <c r="I2978" s="26" t="str">
        <f>IF(OR(E2978="",E2978="!!!",F2978="NEW"),"",INDEX(B2977:B$2,-1+SUMPRODUCT(MAX(ROW(E2977:E$2)*(E2978=E2977:E$2)))))</f>
        <v> </v>
      </c>
      <c r="J2978" s="26" t="str">
        <f>IF(OR(E2978="",E2978="!!!",F2978="NEW"),"",COUNTBLANK(OFFSET(A$1,,,SUMPRODUCT(MAX(ROW(E$2:E2978)*(E2978=E$2:E2978)))))-COUNTBLANK(OFFSET(A$1,,,SUMPRODUCT(MAX(ROW(E$1:E2977)*(E2=E$1:E2977))))))</f>
        <v> </v>
      </c>
      <c r="K2978" s="26" t="str">
        <f>IF(OR(E2978="",E2978="!!!",F2978="NEW"),"",INDEX(J$1:J2977,SUMPRODUCT(MAX(ROW(E$1:E2977)*(E2978=E$1:E2977)))))</f>
        <v> </v>
      </c>
      <c r="L2978" s="27"/>
    </row>
    <row r="2979" spans="1:12">
      <c r="A2979" s="20" t="s">
        <v>1410</v>
      </c>
      <c r="B2979" s="21" t="s">
        <v>736</v>
      </c>
      <c r="C2979" s="21" t="s">
        <v>967</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t="s">
        <v>1805</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742</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t="s">
        <v>1806</v>
      </c>
      <c r="B2982" s="21" t="s">
        <v>736</v>
      </c>
      <c r="C2982" s="21" t="s">
        <v>748</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246</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row>
    <row r="2985" spans="1:12">
      <c r="A2985" s="20" t="s">
        <v>1807</v>
      </c>
    </row>
    <row r="2986" spans="1:12">
      <c r="A2986" s="20" t="s">
        <v>768</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t="s">
        <v>773</v>
      </c>
      <c r="E2987" s="22">
        <f>IF(D2987="?OLD","!!!","")</f>
        <v/>
      </c>
      <c r="F2987" s="23" t="str">
        <f>IF(OR(E2987="",E2987="!!!"),"",IF(NOT(ISNA(VLOOKUP(E2987,E$1:E2986,1,FALSE()))),"OLD",IF(AND(E2987&lt;&gt;"",E2987&lt;&gt;"!!!"),"NEW","")))</f>
        <v> </v>
      </c>
      <c r="G2987" s="24" t="str">
        <f>IF(OR(E2987="",E2987="!!!"),"",IF(OR(J2987=0,AND(J2987=1,K2987=1),AND(J2987=1,I2987="SBJ"),AND(J2987=1,I2987=0)),"?IN_FOCUS",IF(J2987&lt;=2,"?ACTIVATED",IF(J2987&lt;&gt;"","?FAMILIAR",IF(F2987="NEW",IF(ISNA(VLOOKUP(E2987,#REF!,1,FALSE())),"?TYPE_IDENTIFIABLE","?REFERENTIAL"),"_")))))</f>
        <v> </v>
      </c>
      <c r="H2987" s="25" t="str">
        <f>IF(J2987&lt;&gt;1,"",IF(I2987="SBJ","CB","?"))</f>
        <v> </v>
      </c>
      <c r="I2987" s="26" t="str">
        <f>IF(OR(E2987="",E2987="!!!",F2987="NEW"),"",INDEX(B2986:B$2,-1+SUMPRODUCT(MAX(ROW(E2986:E$2)*(E2987=E2986:E$2)))))</f>
        <v> </v>
      </c>
      <c r="J2987" s="26" t="str">
        <f>IF(OR(E2987="",E2987="!!!",F2987="NEW"),"",COUNTBLANK(OFFSET(A$1,,,SUMPRODUCT(MAX(ROW(E$2:E2987)*(E2987=E$2:E2987)))))-COUNTBLANK(OFFSET(A$1,,,SUMPRODUCT(MAX(ROW(E$1:E2986)*(E2=E$1:E2986))))))</f>
        <v> </v>
      </c>
      <c r="K2987" s="26" t="str">
        <f>IF(OR(E2987="",E2987="!!!",F2987="NEW"),"",INDEX(J$1:J2986,SUMPRODUCT(MAX(ROW(E$1:E2986)*(E2987=E$1:E2986)))))</f>
        <v> </v>
      </c>
      <c r="L2987" s="27"/>
    </row>
    <row r="2988" spans="1:12">
      <c r="A2988" s="20" t="s">
        <v>1245</v>
      </c>
      <c r="B2988" s="21" t="s">
        <v>739</v>
      </c>
      <c r="C2988" s="21" t="s">
        <v>801</v>
      </c>
      <c r="D2988" s="21" t="s">
        <v>730</v>
      </c>
      <c r="E2988" s="22">
        <f>IF(D2988="?OLD","!!!","")</f>
        <v/>
      </c>
      <c r="F2988" s="23" t="str">
        <f>IF(OR(E2988="",E2988="!!!"),"",IF(NOT(ISNA(VLOOKUP(E2988,E$1:E2987,1,FALSE()))),"OLD",IF(AND(E2988&lt;&gt;"",E2988&lt;&gt;"!!!"),"NEW","")))</f>
        <v> </v>
      </c>
      <c r="G2988" s="24" t="str">
        <f>IF(OR(E2988="",E2988="!!!"),"",IF(OR(J2988=0,AND(J2988=1,K2988=1),AND(J2988=1,I2988="SBJ"),AND(J2988=1,I2988=0)),"?IN_FOCUS",IF(J2988&lt;=2,"?ACTIVATED",IF(J2988&lt;&gt;"","?FAMILIAR",IF(F2988="NEW",IF(ISNA(VLOOKUP(E2988,#REF!,1,FALSE())),"?TYPE_IDENTIFIABLE","?REFERENTIAL"),"_")))))</f>
        <v> </v>
      </c>
      <c r="H2988" s="25" t="str">
        <f>IF(J2988&lt;&gt;1,"",IF(I2988="SBJ","CB","?"))</f>
        <v> </v>
      </c>
      <c r="I2988" s="26" t="str">
        <f>IF(OR(E2988="",E2988="!!!",F2988="NEW"),"",INDEX(B2987:B$2,-1+SUMPRODUCT(MAX(ROW(E2987:E$2)*(E2988=E2987:E$2)))))</f>
        <v> </v>
      </c>
      <c r="J2988" s="26" t="str">
        <f>IF(OR(E2988="",E2988="!!!",F2988="NEW"),"",COUNTBLANK(OFFSET(A$1,,,SUMPRODUCT(MAX(ROW(E$2:E2988)*(E2988=E$2:E2988)))))-COUNTBLANK(OFFSET(A$1,,,SUMPRODUCT(MAX(ROW(E$1:E2987)*(E2=E$1:E2987))))))</f>
        <v> </v>
      </c>
      <c r="K2988" s="26" t="str">
        <f>IF(OR(E2988="",E2988="!!!",F2988="NEW"),"",INDEX(J$1:J2987,SUMPRODUCT(MAX(ROW(E$1:E2987)*(E2988=E$1:E2987)))))</f>
        <v> </v>
      </c>
      <c r="L2988" s="27"/>
    </row>
    <row r="2989" spans="1:12">
      <c r="A2989" s="20" t="s">
        <v>1808</v>
      </c>
      <c r="B2989" s="21" t="s">
        <v>736</v>
      </c>
      <c r="C2989" s="21" t="s">
        <v>802</v>
      </c>
      <c r="D2989" s="21" t="s">
        <v>730</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1809</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1450</v>
      </c>
      <c r="B2991" s="21" t="s">
        <v>728</v>
      </c>
      <c r="C2991" s="21" t="s">
        <v>756</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759</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808</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t="s">
        <v>813</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1810</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1811</v>
      </c>
      <c r="B2996" s="21" t="s">
        <v>796</v>
      </c>
      <c r="C2996" s="21" t="s">
        <v>753</v>
      </c>
      <c r="D2996" s="21" t="s">
        <v>730</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813</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1812</v>
      </c>
      <c r="B2998" s="21" t="s">
        <v>736</v>
      </c>
      <c r="C2998" s="21" t="s">
        <v>753</v>
      </c>
      <c r="D2998" s="21" t="s">
        <v>730</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1087</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t="s">
        <v>759</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813</v>
      </c>
      <c r="B3001" s="21" t="s">
        <v>843</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t="s">
        <v>1450</v>
      </c>
      <c r="B3002" s="21" t="s">
        <v>788</v>
      </c>
      <c r="C3002" s="21" t="s">
        <v>756</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1688</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1813</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884</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759</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t="s">
        <v>1814</v>
      </c>
      <c r="E3007" s="22">
        <f>IF(D3007="?OLD","!!!","")</f>
        <v/>
      </c>
      <c r="F3007" s="23" t="str">
        <f>IF(OR(E3007="",E3007="!!!"),"",IF(NOT(ISNA(VLOOKUP(E3007,E$1:E3006,1,FALSE()))),"OLD",IF(AND(E3007&lt;&gt;"",E3007&lt;&gt;"!!!"),"NEW","")))</f>
        <v> </v>
      </c>
      <c r="G3007" s="24" t="str">
        <f>IF(OR(E3007="",E3007="!!!"),"",IF(OR(J3007=0,AND(J3007=1,K3007=1),AND(J3007=1,I3007="SBJ"),AND(J3007=1,I3007=0)),"?IN_FOCUS",IF(J3007&lt;=2,"?ACTIVATED",IF(J3007&lt;&gt;"","?FAMILIAR",IF(F3007="NEW",IF(ISNA(VLOOKUP(E3007,#REF!,1,FALSE())),"?TYPE_IDENTIFIABLE","?REFERENTIAL"),"_")))))</f>
        <v> </v>
      </c>
      <c r="H3007" s="25" t="str">
        <f>IF(J3007&lt;&gt;1,"",IF(I3007="SBJ","CB","?"))</f>
        <v> </v>
      </c>
      <c r="I3007" s="26" t="str">
        <f>IF(OR(E3007="",E3007="!!!",F3007="NEW"),"",INDEX(B3006:B$2,-1+SUMPRODUCT(MAX(ROW(E3006:E$2)*(E3007=E3006:E$2)))))</f>
        <v> </v>
      </c>
      <c r="J3007" s="26" t="str">
        <f>IF(OR(E3007="",E3007="!!!",F3007="NEW"),"",COUNTBLANK(OFFSET(A$1,,,SUMPRODUCT(MAX(ROW(E$2:E3007)*(E3007=E$2:E3007)))))-COUNTBLANK(OFFSET(A$1,,,SUMPRODUCT(MAX(ROW(E$1:E3006)*(E2=E$1:E3006))))))</f>
        <v> </v>
      </c>
      <c r="K3007" s="26" t="str">
        <f>IF(OR(E3007="",E3007="!!!",F3007="NEW"),"",INDEX(J$1:J3006,SUMPRODUCT(MAX(ROW(E$1:E3006)*(E3007=E$1:E3006)))))</f>
        <v> </v>
      </c>
      <c r="L3007" s="27"/>
    </row>
    <row r="3008" spans="1:12">
      <c r="A3008" s="20" t="s">
        <v>1450</v>
      </c>
      <c r="B3008" s="21" t="s">
        <v>777</v>
      </c>
      <c r="C3008" s="21" t="s">
        <v>756</v>
      </c>
      <c r="E3008" s="22">
        <f>IF(D3008="?OLD","!!!","")</f>
        <v/>
      </c>
      <c r="F3008" s="23" t="str">
        <f>IF(OR(E3008="",E3008="!!!"),"",IF(NOT(ISNA(VLOOKUP(E3008,E$1:E3007,1,FALSE()))),"OLD",IF(AND(E3008&lt;&gt;"",E3008&lt;&gt;"!!!"),"NEW","")))</f>
        <v> </v>
      </c>
      <c r="G3008" s="24" t="str">
        <f>IF(OR(E3008="",E3008="!!!"),"",IF(OR(J3008=0,AND(J3008=1,K3008=1),AND(J3008=1,I3008="SBJ"),AND(J3008=1,I3008=0)),"?IN_FOCUS",IF(J3008&lt;=2,"?ACTIVATED",IF(J3008&lt;&gt;"","?FAMILIAR",IF(F3008="NEW",IF(ISNA(VLOOKUP(E3008,#REF!,1,FALSE())),"?TYPE_IDENTIFIABLE","?REFERENTIAL"),"_")))))</f>
        <v> </v>
      </c>
      <c r="H3008" s="25" t="str">
        <f>IF(J3008&lt;&gt;1,"",IF(I3008="SBJ","CB","?"))</f>
        <v> </v>
      </c>
      <c r="I3008" s="26" t="str">
        <f>IF(OR(E3008="",E3008="!!!",F3008="NEW"),"",INDEX(B3007:B$2,-1+SUMPRODUCT(MAX(ROW(E3007:E$2)*(E3008=E3007:E$2)))))</f>
        <v> </v>
      </c>
      <c r="J3008" s="26" t="str">
        <f>IF(OR(E3008="",E3008="!!!",F3008="NEW"),"",COUNTBLANK(OFFSET(A$1,,,SUMPRODUCT(MAX(ROW(E$2:E3008)*(E3008=E$2:E3008)))))-COUNTBLANK(OFFSET(A$1,,,SUMPRODUCT(MAX(ROW(E$1:E3007)*(E2=E$1:E3007))))))</f>
        <v> </v>
      </c>
      <c r="K3008" s="26" t="str">
        <f>IF(OR(E3008="",E3008="!!!",F3008="NEW"),"",INDEX(J$1:J3007,SUMPRODUCT(MAX(ROW(E$1:E3007)*(E3008=E$1:E3007)))))</f>
        <v> </v>
      </c>
      <c r="L3008" s="27"/>
    </row>
    <row r="3009" spans="1:12">
      <c r="A3009" s="20" t="s">
        <v>762</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1785</v>
      </c>
      <c r="B3010" s="21" t="s">
        <v>780</v>
      </c>
      <c r="C3010" s="21" t="s">
        <v>737</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1815</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884</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759</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t="s">
        <v>813</v>
      </c>
      <c r="B3014" s="21" t="s">
        <v>791</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1450</v>
      </c>
      <c r="B3015" s="21" t="s">
        <v>796</v>
      </c>
      <c r="C3015" s="21" t="s">
        <v>756</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t="s">
        <v>1816</v>
      </c>
      <c r="B3016" s="21" t="s">
        <v>791</v>
      </c>
      <c r="C3016" s="21" t="s">
        <v>789</v>
      </c>
      <c r="D3016" s="21" t="s">
        <v>730</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t="s">
        <v>1817</v>
      </c>
      <c r="B3017" s="21" t="s">
        <v>755</v>
      </c>
      <c r="C3017" s="21" t="s">
        <v>756</v>
      </c>
      <c r="E3017" s="22">
        <f>IF(D3017="?OLD","!!!","")</f>
        <v/>
      </c>
      <c r="F3017" s="23" t="str">
        <f>IF(OR(E3017="",E3017="!!!"),"",IF(NOT(ISNA(VLOOKUP(E3017,E$1:E3016,1,FALSE()))),"OLD",IF(AND(E3017&lt;&gt;"",E3017&lt;&gt;"!!!"),"NEW","")))</f>
        <v> </v>
      </c>
      <c r="G3017" s="24" t="str">
        <f>IF(OR(E3017="",E3017="!!!"),"",IF(OR(J3017=0,AND(J3017=1,K3017=1),AND(J3017=1,I3017="SBJ"),AND(J3017=1,I3017=0)),"?IN_FOCUS",IF(J3017&lt;=2,"?ACTIVATED",IF(J3017&lt;&gt;"","?FAMILIAR",IF(F3017="NEW",IF(ISNA(VLOOKUP(E3017,#REF!,1,FALSE())),"?TYPE_IDENTIFIABLE","?REFERENTIAL"),"_")))))</f>
        <v> </v>
      </c>
      <c r="H3017" s="25" t="str">
        <f>IF(J3017&lt;&gt;1,"",IF(I3017="SBJ","CB","?"))</f>
        <v> </v>
      </c>
      <c r="I3017" s="26" t="str">
        <f>IF(OR(E3017="",E3017="!!!",F3017="NEW"),"",INDEX(B3016:B$2,-1+SUMPRODUCT(MAX(ROW(E3016:E$2)*(E3017=E3016:E$2)))))</f>
        <v> </v>
      </c>
      <c r="J3017" s="26" t="str">
        <f>IF(OR(E3017="",E3017="!!!",F3017="NEW"),"",COUNTBLANK(OFFSET(A$1,,,SUMPRODUCT(MAX(ROW(E$2:E3017)*(E3017=E$2:E3017)))))-COUNTBLANK(OFFSET(A$1,,,SUMPRODUCT(MAX(ROW(E$1:E3016)*(E2=E$1:E3016))))))</f>
        <v> </v>
      </c>
      <c r="K3017" s="26" t="str">
        <f>IF(OR(E3017="",E3017="!!!",F3017="NEW"),"",INDEX(J$1:J3016,SUMPRODUCT(MAX(ROW(E$1:E3016)*(E3017=E$1:E3016)))))</f>
        <v> </v>
      </c>
      <c r="L3017" s="27"/>
    </row>
    <row r="3018" spans="1:12">
      <c r="A3018" s="20" t="s">
        <v>1818</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1406</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246</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row>
    <row r="3022" spans="1:12">
      <c r="A3022" s="20" t="s">
        <v>798</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1819</v>
      </c>
    </row>
    <row r="3024" spans="1:12">
      <c r="A3024" s="20" t="s">
        <v>919</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1450</v>
      </c>
      <c r="B3025" s="21" t="s">
        <v>796</v>
      </c>
      <c r="C3025" s="21" t="s">
        <v>756</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972</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t="s">
        <v>1820</v>
      </c>
      <c r="B3027" s="21" t="s">
        <v>739</v>
      </c>
      <c r="C3027" s="21" t="s">
        <v>748</v>
      </c>
      <c r="E3027" s="22">
        <f>IF(D3027="?OLD","!!!","")</f>
        <v/>
      </c>
      <c r="F3027" s="23" t="str">
        <f>IF(OR(E3027="",E3027="!!!"),"",IF(NOT(ISNA(VLOOKUP(E3027,E$1:E3026,1,FALSE()))),"OLD",IF(AND(E3027&lt;&gt;"",E3027&lt;&gt;"!!!"),"NEW","")))</f>
        <v> </v>
      </c>
      <c r="G3027" s="24" t="str">
        <f>IF(OR(E3027="",E3027="!!!"),"",IF(OR(J3027=0,AND(J3027=1,K3027=1),AND(J3027=1,I3027="SBJ"),AND(J3027=1,I3027=0)),"?IN_FOCUS",IF(J3027&lt;=2,"?ACTIVATED",IF(J3027&lt;&gt;"","?FAMILIAR",IF(F3027="NEW",IF(ISNA(VLOOKUP(E3027,#REF!,1,FALSE())),"?TYPE_IDENTIFIABLE","?REFERENTIAL"),"_")))))</f>
        <v> </v>
      </c>
      <c r="H3027" s="25" t="str">
        <f>IF(J3027&lt;&gt;1,"",IF(I3027="SBJ","CB","?"))</f>
        <v> </v>
      </c>
      <c r="I3027" s="26" t="str">
        <f>IF(OR(E3027="",E3027="!!!",F3027="NEW"),"",INDEX(B3026:B$2,-1+SUMPRODUCT(MAX(ROW(E3026:E$2)*(E3027=E3026:E$2)))))</f>
        <v> </v>
      </c>
      <c r="J3027" s="26" t="str">
        <f>IF(OR(E3027="",E3027="!!!",F3027="NEW"),"",COUNTBLANK(OFFSET(A$1,,,SUMPRODUCT(MAX(ROW(E$2:E3027)*(E3027=E$2:E3027)))))-COUNTBLANK(OFFSET(A$1,,,SUMPRODUCT(MAX(ROW(E$1:E3026)*(E2=E$1:E3026))))))</f>
        <v> </v>
      </c>
      <c r="K3027" s="26" t="str">
        <f>IF(OR(E3027="",E3027="!!!",F3027="NEW"),"",INDEX(J$1:J3026,SUMPRODUCT(MAX(ROW(E$1:E3026)*(E3027=E$1:E3026)))))</f>
        <v> </v>
      </c>
      <c r="L3027" s="27"/>
    </row>
    <row r="3028" spans="1:12">
      <c r="A3028" s="20" t="s">
        <v>1821</v>
      </c>
      <c r="E3028" s="22">
        <f>IF(D3028="?OLD","!!!","")</f>
        <v/>
      </c>
      <c r="F3028" s="23" t="str">
        <f>IF(OR(E3028="",E3028="!!!"),"",IF(NOT(ISNA(VLOOKUP(E3028,E$1:E3027,1,FALSE()))),"OLD",IF(AND(E3028&lt;&gt;"",E3028&lt;&gt;"!!!"),"NEW","")))</f>
        <v> </v>
      </c>
      <c r="G3028" s="24" t="str">
        <f>IF(OR(E3028="",E3028="!!!"),"",IF(OR(J3028=0,AND(J3028=1,K3028=1),AND(J3028=1,I3028="SBJ"),AND(J3028=1,I3028=0)),"?IN_FOCUS",IF(J3028&lt;=2,"?ACTIVATED",IF(J3028&lt;&gt;"","?FAMILIAR",IF(F3028="NEW",IF(ISNA(VLOOKUP(E3028,#REF!,1,FALSE())),"?TYPE_IDENTIFIABLE","?REFERENTIAL"),"_")))))</f>
        <v> </v>
      </c>
      <c r="H3028" s="25" t="str">
        <f>IF(J3028&lt;&gt;1,"",IF(I3028="SBJ","CB","?"))</f>
        <v> </v>
      </c>
      <c r="I3028" s="26" t="str">
        <f>IF(OR(E3028="",E3028="!!!",F3028="NEW"),"",INDEX(B3027:B$2,-1+SUMPRODUCT(MAX(ROW(E3027:E$2)*(E3028=E3027:E$2)))))</f>
        <v> </v>
      </c>
      <c r="J3028" s="26" t="str">
        <f>IF(OR(E3028="",E3028="!!!",F3028="NEW"),"",COUNTBLANK(OFFSET(A$1,,,SUMPRODUCT(MAX(ROW(E$2:E3028)*(E3028=E$2:E3028)))))-COUNTBLANK(OFFSET(A$1,,,SUMPRODUCT(MAX(ROW(E$1:E3027)*(E2=E$1:E3027))))))</f>
        <v> </v>
      </c>
      <c r="K3028" s="26" t="str">
        <f>IF(OR(E3028="",E3028="!!!",F3028="NEW"),"",INDEX(J$1:J3027,SUMPRODUCT(MAX(ROW(E$1:E3027)*(E3028=E$1:E3027)))))</f>
        <v> </v>
      </c>
      <c r="L3028" s="27"/>
    </row>
    <row r="3029" spans="1:12">
      <c r="A3029" s="20" t="s">
        <v>785</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t="s">
        <v>804</v>
      </c>
      <c r="B3030" s="21" t="s">
        <v>764</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1822</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t="s">
        <v>759</v>
      </c>
      <c r="E3032" s="22">
        <f>IF(D3032="?OLD","!!!","")</f>
        <v/>
      </c>
      <c r="F3032" s="23" t="str">
        <f>IF(OR(E3032="",E3032="!!!"),"",IF(NOT(ISNA(VLOOKUP(E3032,E$1:E3031,1,FALSE()))),"OLD",IF(AND(E3032&lt;&gt;"",E3032&lt;&gt;"!!!"),"NEW","")))</f>
        <v> </v>
      </c>
      <c r="G3032" s="24" t="str">
        <f>IF(OR(E3032="",E3032="!!!"),"",IF(OR(J3032=0,AND(J3032=1,K3032=1),AND(J3032=1,I3032="SBJ"),AND(J3032=1,I3032=0)),"?IN_FOCUS",IF(J3032&lt;=2,"?ACTIVATED",IF(J3032&lt;&gt;"","?FAMILIAR",IF(F3032="NEW",IF(ISNA(VLOOKUP(E3032,#REF!,1,FALSE())),"?TYPE_IDENTIFIABLE","?REFERENTIAL"),"_")))))</f>
        <v> </v>
      </c>
      <c r="H3032" s="25" t="str">
        <f>IF(J3032&lt;&gt;1,"",IF(I3032="SBJ","CB","?"))</f>
        <v> </v>
      </c>
      <c r="I3032" s="26" t="str">
        <f>IF(OR(E3032="",E3032="!!!",F3032="NEW"),"",INDEX(B3031:B$2,-1+SUMPRODUCT(MAX(ROW(E3031:E$2)*(E3032=E3031:E$2)))))</f>
        <v> </v>
      </c>
      <c r="J3032" s="26" t="str">
        <f>IF(OR(E3032="",E3032="!!!",F3032="NEW"),"",COUNTBLANK(OFFSET(A$1,,,SUMPRODUCT(MAX(ROW(E$2:E3032)*(E3032=E$2:E3032)))))-COUNTBLANK(OFFSET(A$1,,,SUMPRODUCT(MAX(ROW(E$1:E3031)*(E2=E$1:E3031))))))</f>
        <v> </v>
      </c>
      <c r="K3032" s="26" t="str">
        <f>IF(OR(E3032="",E3032="!!!",F3032="NEW"),"",INDEX(J$1:J3031,SUMPRODUCT(MAX(ROW(E$1:E3031)*(E3032=E$1:E3031)))))</f>
        <v> </v>
      </c>
      <c r="L3032" s="27"/>
    </row>
    <row r="3033" spans="1:12">
      <c r="A3033" s="20" t="s">
        <v>817</v>
      </c>
      <c r="E3033" s="22">
        <f>IF(D3033="?OLD","!!!","")</f>
        <v/>
      </c>
      <c r="F3033" s="23" t="str">
        <f>IF(OR(E3033="",E3033="!!!"),"",IF(NOT(ISNA(VLOOKUP(E3033,E$1:E3032,1,FALSE()))),"OLD",IF(AND(E3033&lt;&gt;"",E3033&lt;&gt;"!!!"),"NEW","")))</f>
        <v> </v>
      </c>
      <c r="G3033" s="24" t="str">
        <f>IF(OR(E3033="",E3033="!!!"),"",IF(OR(J3033=0,AND(J3033=1,K3033=1),AND(J3033=1,I3033="SBJ"),AND(J3033=1,I3033=0)),"?IN_FOCUS",IF(J3033&lt;=2,"?ACTIVATED",IF(J3033&lt;&gt;"","?FAMILIAR",IF(F3033="NEW",IF(ISNA(VLOOKUP(E3033,#REF!,1,FALSE())),"?TYPE_IDENTIFIABLE","?REFERENTIAL"),"_")))))</f>
        <v> </v>
      </c>
      <c r="H3033" s="25" t="str">
        <f>IF(J3033&lt;&gt;1,"",IF(I3033="SBJ","CB","?"))</f>
        <v> </v>
      </c>
      <c r="I3033" s="26" t="str">
        <f>IF(OR(E3033="",E3033="!!!",F3033="NEW"),"",INDEX(B3032:B$2,-1+SUMPRODUCT(MAX(ROW(E3032:E$2)*(E3033=E3032:E$2)))))</f>
        <v> </v>
      </c>
      <c r="J3033" s="26" t="str">
        <f>IF(OR(E3033="",E3033="!!!",F3033="NEW"),"",COUNTBLANK(OFFSET(A$1,,,SUMPRODUCT(MAX(ROW(E$2:E3033)*(E3033=E$2:E3033)))))-COUNTBLANK(OFFSET(A$1,,,SUMPRODUCT(MAX(ROW(E$1:E3032)*(E2=E$1:E3032))))))</f>
        <v> </v>
      </c>
      <c r="K3033" s="26" t="str">
        <f>IF(OR(E3033="",E3033="!!!",F3033="NEW"),"",INDEX(J$1:J3032,SUMPRODUCT(MAX(ROW(E$1:E3032)*(E3033=E$1:E3032)))))</f>
        <v> </v>
      </c>
      <c r="L3033" s="27"/>
    </row>
    <row r="3034" spans="1:12">
      <c r="A3034" s="20" t="s">
        <v>1382</v>
      </c>
      <c r="B3034" s="21" t="s">
        <v>728</v>
      </c>
      <c r="C3034" s="21" t="s">
        <v>789</v>
      </c>
      <c r="D3034" s="21" t="s">
        <v>730</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t="s">
        <v>916</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899</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t="s">
        <v>1469</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t="s">
        <v>759</v>
      </c>
      <c r="E3038" s="22">
        <f>IF(D3038="?OLD","!!!","")</f>
        <v/>
      </c>
      <c r="F3038" s="23" t="str">
        <f>IF(OR(E3038="",E3038="!!!"),"",IF(NOT(ISNA(VLOOKUP(E3038,E$1:E3037,1,FALSE()))),"OLD",IF(AND(E3038&lt;&gt;"",E3038&lt;&gt;"!!!"),"NEW","")))</f>
        <v> </v>
      </c>
      <c r="G3038" s="24" t="str">
        <f>IF(OR(E3038="",E3038="!!!"),"",IF(OR(J3038=0,AND(J3038=1,K3038=1),AND(J3038=1,I3038="SBJ"),AND(J3038=1,I3038=0)),"?IN_FOCUS",IF(J3038&lt;=2,"?ACTIVATED",IF(J3038&lt;&gt;"","?FAMILIAR",IF(F3038="NEW",IF(ISNA(VLOOKUP(E3038,#REF!,1,FALSE())),"?TYPE_IDENTIFIABLE","?REFERENTIAL"),"_")))))</f>
        <v> </v>
      </c>
      <c r="H3038" s="25" t="str">
        <f>IF(J3038&lt;&gt;1,"",IF(I3038="SBJ","CB","?"))</f>
        <v> </v>
      </c>
      <c r="I3038" s="26" t="str">
        <f>IF(OR(E3038="",E3038="!!!",F3038="NEW"),"",INDEX(B3037:B$2,-1+SUMPRODUCT(MAX(ROW(E3037:E$2)*(E3038=E3037:E$2)))))</f>
        <v> </v>
      </c>
      <c r="J3038" s="26" t="str">
        <f>IF(OR(E3038="",E3038="!!!",F3038="NEW"),"",COUNTBLANK(OFFSET(A$1,,,SUMPRODUCT(MAX(ROW(E$2:E3038)*(E3038=E$2:E3038)))))-COUNTBLANK(OFFSET(A$1,,,SUMPRODUCT(MAX(ROW(E$1:E3037)*(E2=E$1:E3037))))))</f>
        <v> </v>
      </c>
      <c r="K3038" s="26" t="str">
        <f>IF(OR(E3038="",E3038="!!!",F3038="NEW"),"",INDEX(J$1:J3037,SUMPRODUCT(MAX(ROW(E$1:E3037)*(E3038=E$1:E3037)))))</f>
        <v> </v>
      </c>
      <c r="L3038" s="27"/>
    </row>
    <row r="3039" spans="1:12">
      <c r="A3039" s="20" t="s">
        <v>776</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t="s">
        <v>1823</v>
      </c>
      <c r="B3040" s="21" t="s">
        <v>755</v>
      </c>
      <c r="C3040" s="21" t="s">
        <v>753</v>
      </c>
      <c r="D3040" s="21" t="s">
        <v>730</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t="s">
        <v>759</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813</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t="s">
        <v>1824</v>
      </c>
      <c r="B3043" s="21" t="s">
        <v>739</v>
      </c>
      <c r="C3043" s="21" t="s">
        <v>753</v>
      </c>
      <c r="D3043" s="21" t="s">
        <v>730</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t="s">
        <v>759</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t="s">
        <v>785</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t="s">
        <v>776</v>
      </c>
      <c r="E3046" s="22">
        <f>IF(D3046="?OLD","!!!","")</f>
        <v/>
      </c>
      <c r="F3046" s="23" t="str">
        <f>IF(OR(E3046="",E3046="!!!"),"",IF(NOT(ISNA(VLOOKUP(E3046,E$1:E3045,1,FALSE()))),"OLD",IF(AND(E3046&lt;&gt;"",E3046&lt;&gt;"!!!"),"NEW","")))</f>
        <v> </v>
      </c>
      <c r="G3046" s="24" t="str">
        <f>IF(OR(E3046="",E3046="!!!"),"",IF(OR(J3046=0,AND(J3046=1,K3046=1),AND(J3046=1,I3046="SBJ"),AND(J3046=1,I3046=0)),"?IN_FOCUS",IF(J3046&lt;=2,"?ACTIVATED",IF(J3046&lt;&gt;"","?FAMILIAR",IF(F3046="NEW",IF(ISNA(VLOOKUP(E3046,#REF!,1,FALSE())),"?TYPE_IDENTIFIABLE","?REFERENTIAL"),"_")))))</f>
        <v> </v>
      </c>
      <c r="H3046" s="25" t="str">
        <f>IF(J3046&lt;&gt;1,"",IF(I3046="SBJ","CB","?"))</f>
        <v> </v>
      </c>
      <c r="I3046" s="26" t="str">
        <f>IF(OR(E3046="",E3046="!!!",F3046="NEW"),"",INDEX(B3045:B$2,-1+SUMPRODUCT(MAX(ROW(E3045:E$2)*(E3046=E3045:E$2)))))</f>
        <v> </v>
      </c>
      <c r="J3046" s="26" t="str">
        <f>IF(OR(E3046="",E3046="!!!",F3046="NEW"),"",COUNTBLANK(OFFSET(A$1,,,SUMPRODUCT(MAX(ROW(E$2:E3046)*(E3046=E$2:E3046)))))-COUNTBLANK(OFFSET(A$1,,,SUMPRODUCT(MAX(ROW(E$1:E3045)*(E2=E$1:E3045))))))</f>
        <v> </v>
      </c>
      <c r="K3046" s="26" t="str">
        <f>IF(OR(E3046="",E3046="!!!",F3046="NEW"),"",INDEX(J$1:J3045,SUMPRODUCT(MAX(ROW(E$1:E3045)*(E3046=E$1:E3045)))))</f>
        <v> </v>
      </c>
      <c r="L3046" s="27"/>
    </row>
    <row r="3047" spans="1:12">
      <c r="A3047" s="20" t="s">
        <v>887</v>
      </c>
      <c r="E3047" s="22">
        <f>IF(D3047="?OLD","!!!","")</f>
        <v/>
      </c>
      <c r="F3047" s="23" t="str">
        <f>IF(OR(E3047="",E3047="!!!"),"",IF(NOT(ISNA(VLOOKUP(E3047,E$1:E3046,1,FALSE()))),"OLD",IF(AND(E3047&lt;&gt;"",E3047&lt;&gt;"!!!"),"NEW","")))</f>
        <v> </v>
      </c>
      <c r="G3047" s="24" t="str">
        <f>IF(OR(E3047="",E3047="!!!"),"",IF(OR(J3047=0,AND(J3047=1,K3047=1),AND(J3047=1,I3047="SBJ"),AND(J3047=1,I3047=0)),"?IN_FOCUS",IF(J3047&lt;=2,"?ACTIVATED",IF(J3047&lt;&gt;"","?FAMILIAR",IF(F3047="NEW",IF(ISNA(VLOOKUP(E3047,#REF!,1,FALSE())),"?TYPE_IDENTIFIABLE","?REFERENTIAL"),"_")))))</f>
        <v> </v>
      </c>
      <c r="H3047" s="25" t="str">
        <f>IF(J3047&lt;&gt;1,"",IF(I3047="SBJ","CB","?"))</f>
        <v> </v>
      </c>
      <c r="I3047" s="26" t="str">
        <f>IF(OR(E3047="",E3047="!!!",F3047="NEW"),"",INDEX(B3046:B$2,-1+SUMPRODUCT(MAX(ROW(E3046:E$2)*(E3047=E3046:E$2)))))</f>
        <v> </v>
      </c>
      <c r="J3047" s="26" t="str">
        <f>IF(OR(E3047="",E3047="!!!",F3047="NEW"),"",COUNTBLANK(OFFSET(A$1,,,SUMPRODUCT(MAX(ROW(E$2:E3047)*(E3047=E$2:E3047)))))-COUNTBLANK(OFFSET(A$1,,,SUMPRODUCT(MAX(ROW(E$1:E3046)*(E2=E$1:E3046))))))</f>
        <v> </v>
      </c>
      <c r="K3047" s="26" t="str">
        <f>IF(OR(E3047="",E3047="!!!",F3047="NEW"),"",INDEX(J$1:J3046,SUMPRODUCT(MAX(ROW(E$1:E3046)*(E3047=E$1:E3046)))))</f>
        <v> </v>
      </c>
      <c r="L3047" s="27"/>
    </row>
    <row r="3048" spans="1:12">
      <c r="A3048" s="20" t="s">
        <v>1825</v>
      </c>
      <c r="B3048" s="21" t="s">
        <v>755</v>
      </c>
      <c r="C3048" s="21" t="s">
        <v>753</v>
      </c>
      <c r="D3048" s="21" t="s">
        <v>730</v>
      </c>
      <c r="E3048" s="22">
        <f>IF(D3048="?OLD","!!!","")</f>
        <v/>
      </c>
      <c r="F3048" s="23" t="str">
        <f>IF(OR(E3048="",E3048="!!!"),"",IF(NOT(ISNA(VLOOKUP(E3048,E$1:E3047,1,FALSE()))),"OLD",IF(AND(E3048&lt;&gt;"",E3048&lt;&gt;"!!!"),"NEW","")))</f>
        <v> </v>
      </c>
      <c r="G3048" s="24" t="str">
        <f>IF(OR(E3048="",E3048="!!!"),"",IF(OR(J3048=0,AND(J3048=1,K3048=1),AND(J3048=1,I3048="SBJ"),AND(J3048=1,I3048=0)),"?IN_FOCUS",IF(J3048&lt;=2,"?ACTIVATED",IF(J3048&lt;&gt;"","?FAMILIAR",IF(F3048="NEW",IF(ISNA(VLOOKUP(E3048,#REF!,1,FALSE())),"?TYPE_IDENTIFIABLE","?REFERENTIAL"),"_")))))</f>
        <v> </v>
      </c>
      <c r="H3048" s="25" t="str">
        <f>IF(J3048&lt;&gt;1,"",IF(I3048="SBJ","CB","?"))</f>
        <v> </v>
      </c>
      <c r="I3048" s="26" t="str">
        <f>IF(OR(E3048="",E3048="!!!",F3048="NEW"),"",INDEX(B3047:B$2,-1+SUMPRODUCT(MAX(ROW(E3047:E$2)*(E3048=E3047:E$2)))))</f>
        <v> </v>
      </c>
      <c r="J3048" s="26" t="str">
        <f>IF(OR(E3048="",E3048="!!!",F3048="NEW"),"",COUNTBLANK(OFFSET(A$1,,,SUMPRODUCT(MAX(ROW(E$2:E3048)*(E3048=E$2:E3048)))))-COUNTBLANK(OFFSET(A$1,,,SUMPRODUCT(MAX(ROW(E$1:E3047)*(E2=E$1:E3047))))))</f>
        <v> </v>
      </c>
      <c r="K3048" s="26" t="str">
        <f>IF(OR(E3048="",E3048="!!!",F3048="NEW"),"",INDEX(J$1:J3047,SUMPRODUCT(MAX(ROW(E$1:E3047)*(E3048=E$1:E3047)))))</f>
        <v> </v>
      </c>
      <c r="L3048" s="27"/>
    </row>
    <row r="3049" spans="1:12">
      <c r="A3049" s="20" t="s">
        <v>759</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813</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907</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1826</v>
      </c>
      <c r="B3052" s="21" t="s">
        <v>783</v>
      </c>
      <c r="C3052" s="21" t="s">
        <v>753</v>
      </c>
      <c r="D3052" s="21" t="s">
        <v>730</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759</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785</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813</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1827</v>
      </c>
      <c r="B3056" s="21" t="s">
        <v>755</v>
      </c>
      <c r="C3056" s="21" t="s">
        <v>753</v>
      </c>
      <c r="D3056" s="21" t="s">
        <v>730</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759</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776</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t="s">
        <v>1828</v>
      </c>
      <c r="E3059" s="22">
        <f>IF(D3059="?OLD","!!!","")</f>
        <v/>
      </c>
      <c r="F3059" s="23" t="str">
        <f>IF(OR(E3059="",E3059="!!!"),"",IF(NOT(ISNA(VLOOKUP(E3059,E$1:E3058,1,FALSE()))),"OLD",IF(AND(E3059&lt;&gt;"",E3059&lt;&gt;"!!!"),"NEW","")))</f>
        <v> </v>
      </c>
      <c r="G3059" s="24" t="str">
        <f>IF(OR(E3059="",E3059="!!!"),"",IF(OR(J3059=0,AND(J3059=1,K3059=1),AND(J3059=1,I3059="SBJ"),AND(J3059=1,I3059=0)),"?IN_FOCUS",IF(J3059&lt;=2,"?ACTIVATED",IF(J3059&lt;&gt;"","?FAMILIAR",IF(F3059="NEW",IF(ISNA(VLOOKUP(E3059,#REF!,1,FALSE())),"?TYPE_IDENTIFIABLE","?REFERENTIAL"),"_")))))</f>
        <v> </v>
      </c>
      <c r="H3059" s="25" t="str">
        <f>IF(J3059&lt;&gt;1,"",IF(I3059="SBJ","CB","?"))</f>
        <v> </v>
      </c>
      <c r="I3059" s="26" t="str">
        <f>IF(OR(E3059="",E3059="!!!",F3059="NEW"),"",INDEX(B3058:B$2,-1+SUMPRODUCT(MAX(ROW(E3058:E$2)*(E3059=E3058:E$2)))))</f>
        <v> </v>
      </c>
      <c r="J3059" s="26" t="str">
        <f>IF(OR(E3059="",E3059="!!!",F3059="NEW"),"",COUNTBLANK(OFFSET(A$1,,,SUMPRODUCT(MAX(ROW(E$2:E3059)*(E3059=E$2:E3059)))))-COUNTBLANK(OFFSET(A$1,,,SUMPRODUCT(MAX(ROW(E$1:E3058)*(E2=E$1:E3058))))))</f>
        <v> </v>
      </c>
      <c r="K3059" s="26" t="str">
        <f>IF(OR(E3059="",E3059="!!!",F3059="NEW"),"",INDEX(J$1:J3058,SUMPRODUCT(MAX(ROW(E$1:E3058)*(E3059=E$1:E3058)))))</f>
        <v> </v>
      </c>
      <c r="L3059" s="27"/>
    </row>
    <row r="3060" spans="1:12">
      <c r="A3060" s="20" t="s">
        <v>1829</v>
      </c>
      <c r="B3060" s="21" t="s">
        <v>764</v>
      </c>
      <c r="C3060" s="21" t="s">
        <v>753</v>
      </c>
      <c r="D3060" s="21" t="s">
        <v>730</v>
      </c>
      <c r="E3060" s="22">
        <f>IF(D3060="?OLD","!!!","")</f>
        <v/>
      </c>
      <c r="F3060" s="23" t="str">
        <f>IF(OR(E3060="",E3060="!!!"),"",IF(NOT(ISNA(VLOOKUP(E3060,E$1:E3059,1,FALSE()))),"OLD",IF(AND(E3060&lt;&gt;"",E3060&lt;&gt;"!!!"),"NEW","")))</f>
        <v> </v>
      </c>
      <c r="G3060" s="24" t="str">
        <f>IF(OR(E3060="",E3060="!!!"),"",IF(OR(J3060=0,AND(J3060=1,K3060=1),AND(J3060=1,I3060="SBJ"),AND(J3060=1,I3060=0)),"?IN_FOCUS",IF(J3060&lt;=2,"?ACTIVATED",IF(J3060&lt;&gt;"","?FAMILIAR",IF(F3060="NEW",IF(ISNA(VLOOKUP(E3060,#REF!,1,FALSE())),"?TYPE_IDENTIFIABLE","?REFERENTIAL"),"_")))))</f>
        <v> </v>
      </c>
      <c r="H3060" s="25" t="str">
        <f>IF(J3060&lt;&gt;1,"",IF(I3060="SBJ","CB","?"))</f>
        <v> </v>
      </c>
      <c r="I3060" s="26" t="str">
        <f>IF(OR(E3060="",E3060="!!!",F3060="NEW"),"",INDEX(B3059:B$2,-1+SUMPRODUCT(MAX(ROW(E3059:E$2)*(E3060=E3059:E$2)))))</f>
        <v> </v>
      </c>
      <c r="J3060" s="26" t="str">
        <f>IF(OR(E3060="",E3060="!!!",F3060="NEW"),"",COUNTBLANK(OFFSET(A$1,,,SUMPRODUCT(MAX(ROW(E$2:E3060)*(E3060=E$2:E3060)))))-COUNTBLANK(OFFSET(A$1,,,SUMPRODUCT(MAX(ROW(E$1:E3059)*(E2=E$1:E3059))))))</f>
        <v> </v>
      </c>
      <c r="K3060" s="26" t="str">
        <f>IF(OR(E3060="",E3060="!!!",F3060="NEW"),"",INDEX(J$1:J3059,SUMPRODUCT(MAX(ROW(E$1:E3059)*(E3060=E$1:E3059)))))</f>
        <v> </v>
      </c>
      <c r="L3060" s="27"/>
    </row>
    <row r="3061" spans="1:12">
      <c r="A3061" s="20" t="s">
        <v>759</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809</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1450</v>
      </c>
      <c r="B3063" s="21" t="s">
        <v>788</v>
      </c>
      <c r="C3063" s="21" t="s">
        <v>756</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t="s">
        <v>742</v>
      </c>
      <c r="E3064" s="22">
        <f>IF(D3064="?OLD","!!!","")</f>
        <v/>
      </c>
      <c r="F3064" s="23" t="str">
        <f>IF(OR(E3064="",E3064="!!!"),"",IF(NOT(ISNA(VLOOKUP(E3064,E$1:E3063,1,FALSE()))),"OLD",IF(AND(E3064&lt;&gt;"",E3064&lt;&gt;"!!!"),"NEW","")))</f>
        <v> </v>
      </c>
      <c r="G3064" s="24" t="str">
        <f>IF(OR(E3064="",E3064="!!!"),"",IF(OR(J3064=0,AND(J3064=1,K3064=1),AND(J3064=1,I3064="SBJ"),AND(J3064=1,I3064=0)),"?IN_FOCUS",IF(J3064&lt;=2,"?ACTIVATED",IF(J3064&lt;&gt;"","?FAMILIAR",IF(F3064="NEW",IF(ISNA(VLOOKUP(E3064,#REF!,1,FALSE())),"?TYPE_IDENTIFIABLE","?REFERENTIAL"),"_")))))</f>
        <v> </v>
      </c>
      <c r="H3064" s="25" t="str">
        <f>IF(J3064&lt;&gt;1,"",IF(I3064="SBJ","CB","?"))</f>
        <v> </v>
      </c>
      <c r="I3064" s="26" t="str">
        <f>IF(OR(E3064="",E3064="!!!",F3064="NEW"),"",INDEX(B3063:B$2,-1+SUMPRODUCT(MAX(ROW(E3063:E$2)*(E3064=E3063:E$2)))))</f>
        <v> </v>
      </c>
      <c r="J3064" s="26" t="str">
        <f>IF(OR(E3064="",E3064="!!!",F3064="NEW"),"",COUNTBLANK(OFFSET(A$1,,,SUMPRODUCT(MAX(ROW(E$2:E3064)*(E3064=E$2:E3064)))))-COUNTBLANK(OFFSET(A$1,,,SUMPRODUCT(MAX(ROW(E$1:E3063)*(E2=E$1:E3063))))))</f>
        <v> </v>
      </c>
      <c r="K3064" s="26" t="str">
        <f>IF(OR(E3064="",E3064="!!!",F3064="NEW"),"",INDEX(J$1:J3063,SUMPRODUCT(MAX(ROW(E$1:E3063)*(E3064=E$1:E3063)))))</f>
        <v> </v>
      </c>
      <c r="L3064" s="27"/>
    </row>
    <row r="3065" spans="1:12">
      <c r="A3065" s="20" t="s">
        <v>1806</v>
      </c>
      <c r="B3065" s="21" t="s">
        <v>755</v>
      </c>
      <c r="C3065" s="21" t="s">
        <v>748</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t="s">
        <v>1830</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817</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t="s">
        <v>759</v>
      </c>
      <c r="E3068" s="22">
        <f>IF(D3068="?OLD","!!!","")</f>
        <v/>
      </c>
      <c r="F3068" s="23" t="str">
        <f>IF(OR(E3068="",E3068="!!!"),"",IF(NOT(ISNA(VLOOKUP(E3068,E$1:E3067,1,FALSE()))),"OLD",IF(AND(E3068&lt;&gt;"",E3068&lt;&gt;"!!!"),"NEW","")))</f>
        <v> </v>
      </c>
      <c r="G3068" s="24" t="str">
        <f>IF(OR(E3068="",E3068="!!!"),"",IF(OR(J3068=0,AND(J3068=1,K3068=1),AND(J3068=1,I3068="SBJ"),AND(J3068=1,I3068=0)),"?IN_FOCUS",IF(J3068&lt;=2,"?ACTIVATED",IF(J3068&lt;&gt;"","?FAMILIAR",IF(F3068="NEW",IF(ISNA(VLOOKUP(E3068,#REF!,1,FALSE())),"?TYPE_IDENTIFIABLE","?REFERENTIAL"),"_")))))</f>
        <v> </v>
      </c>
      <c r="H3068" s="25" t="str">
        <f>IF(J3068&lt;&gt;1,"",IF(I3068="SBJ","CB","?"))</f>
        <v> </v>
      </c>
      <c r="I3068" s="26" t="str">
        <f>IF(OR(E3068="",E3068="!!!",F3068="NEW"),"",INDEX(B3067:B$2,-1+SUMPRODUCT(MAX(ROW(E3067:E$2)*(E3068=E3067:E$2)))))</f>
        <v> </v>
      </c>
      <c r="J3068" s="26" t="str">
        <f>IF(OR(E3068="",E3068="!!!",F3068="NEW"),"",COUNTBLANK(OFFSET(A$1,,,SUMPRODUCT(MAX(ROW(E$2:E3068)*(E3068=E$2:E3068)))))-COUNTBLANK(OFFSET(A$1,,,SUMPRODUCT(MAX(ROW(E$1:E3067)*(E2=E$1:E3067))))))</f>
        <v> </v>
      </c>
      <c r="K3068" s="26" t="str">
        <f>IF(OR(E3068="",E3068="!!!",F3068="NEW"),"",INDEX(J$1:J3067,SUMPRODUCT(MAX(ROW(E$1:E3067)*(E3068=E$1:E3067)))))</f>
        <v> </v>
      </c>
      <c r="L3068" s="27"/>
    </row>
    <row r="3069" spans="1:12">
      <c r="A3069" s="20" t="s">
        <v>885</v>
      </c>
      <c r="E3069" s="22">
        <f>IF(D3069="?OLD","!!!","")</f>
        <v/>
      </c>
      <c r="F3069" s="23" t="str">
        <f>IF(OR(E3069="",E3069="!!!"),"",IF(NOT(ISNA(VLOOKUP(E3069,E$1:E3068,1,FALSE()))),"OLD",IF(AND(E3069&lt;&gt;"",E3069&lt;&gt;"!!!"),"NEW","")))</f>
        <v> </v>
      </c>
      <c r="G3069" s="24" t="str">
        <f>IF(OR(E3069="",E3069="!!!"),"",IF(OR(J3069=0,AND(J3069=1,K3069=1),AND(J3069=1,I3069="SBJ"),AND(J3069=1,I3069=0)),"?IN_FOCUS",IF(J3069&lt;=2,"?ACTIVATED",IF(J3069&lt;&gt;"","?FAMILIAR",IF(F3069="NEW",IF(ISNA(VLOOKUP(E3069,#REF!,1,FALSE())),"?TYPE_IDENTIFIABLE","?REFERENTIAL"),"_")))))</f>
        <v> </v>
      </c>
      <c r="H3069" s="25" t="str">
        <f>IF(J3069&lt;&gt;1,"",IF(I3069="SBJ","CB","?"))</f>
        <v> </v>
      </c>
      <c r="I3069" s="26" t="str">
        <f>IF(OR(E3069="",E3069="!!!",F3069="NEW"),"",INDEX(B3068:B$2,-1+SUMPRODUCT(MAX(ROW(E3068:E$2)*(E3069=E3068:E$2)))))</f>
        <v> </v>
      </c>
      <c r="J3069" s="26" t="str">
        <f>IF(OR(E3069="",E3069="!!!",F3069="NEW"),"",COUNTBLANK(OFFSET(A$1,,,SUMPRODUCT(MAX(ROW(E$2:E3069)*(E3069=E$2:E3069)))))-COUNTBLANK(OFFSET(A$1,,,SUMPRODUCT(MAX(ROW(E$1:E3068)*(E2=E$1:E3068))))))</f>
        <v> </v>
      </c>
      <c r="K3069" s="26" t="str">
        <f>IF(OR(E3069="",E3069="!!!",F3069="NEW"),"",INDEX(J$1:J3068,SUMPRODUCT(MAX(ROW(E$1:E3068)*(E3069=E$1:E3068)))))</f>
        <v> </v>
      </c>
      <c r="L3069" s="27"/>
    </row>
    <row r="3070" spans="1:12">
      <c r="A3070" s="20" t="s">
        <v>1406</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1450</v>
      </c>
      <c r="B3071" s="21" t="s">
        <v>796</v>
      </c>
      <c r="C3071" s="21" t="s">
        <v>756</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776</v>
      </c>
      <c r="B3072" s="21" t="s">
        <v>791</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1039</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1831</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t="s">
        <v>810</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1818</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t="s">
        <v>246</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row>
    <row r="3079" spans="1:12">
      <c r="A3079" s="20" t="s">
        <v>1832</v>
      </c>
    </row>
    <row r="3080" spans="1:12">
      <c r="A3080" s="20" t="s">
        <v>883</v>
      </c>
      <c r="B3080" s="21" t="s">
        <v>728</v>
      </c>
      <c r="C3080" s="21" t="s">
        <v>789</v>
      </c>
      <c r="D3080" s="21" t="s">
        <v>730</v>
      </c>
      <c r="E3080" s="22">
        <f>IF(D3080="?OLD","!!!","")</f>
        <v/>
      </c>
      <c r="F3080" s="23" t="str">
        <f>IF(OR(E3080="",E3080="!!!"),"",IF(NOT(ISNA(VLOOKUP(E3080,E$1:E3079,1,FALSE()))),"OLD",IF(AND(E3080&lt;&gt;"",E3080&lt;&gt;"!!!"),"NEW","")))</f>
        <v> </v>
      </c>
      <c r="G3080" s="24" t="str">
        <f>IF(OR(E3080="",E3080="!!!"),"",IF(OR(J3080=0,AND(J3080=1,K3080=1),AND(J3080=1,I3080="SBJ"),AND(J3080=1,I3080=0)),"?IN_FOCUS",IF(J3080&lt;=2,"?ACTIVATED",IF(J3080&lt;&gt;"","?FAMILIAR",IF(F3080="NEW",IF(ISNA(VLOOKUP(E3080,#REF!,1,FALSE())),"?TYPE_IDENTIFIABLE","?REFERENTIAL"),"_")))))</f>
        <v> </v>
      </c>
      <c r="H3080" s="25" t="str">
        <f>IF(J3080&lt;&gt;1,"",IF(I3080="SBJ","CB","?"))</f>
        <v> </v>
      </c>
      <c r="I3080" s="26" t="str">
        <f>IF(OR(E3080="",E3080="!!!",F3080="NEW"),"",INDEX(B3079:B$2,-1+SUMPRODUCT(MAX(ROW(E3079:E$2)*(E3080=E3079:E$2)))))</f>
        <v> </v>
      </c>
      <c r="J3080" s="26" t="str">
        <f>IF(OR(E3080="",E3080="!!!",F3080="NEW"),"",COUNTBLANK(OFFSET(A$1,,,SUMPRODUCT(MAX(ROW(E$2:E3080)*(E3080=E$2:E3080)))))-COUNTBLANK(OFFSET(A$1,,,SUMPRODUCT(MAX(ROW(E$1:E3079)*(E2=E$1:E3079))))))</f>
        <v> </v>
      </c>
      <c r="K3080" s="26" t="str">
        <f>IF(OR(E3080="",E3080="!!!",F3080="NEW"),"",INDEX(J$1:J3079,SUMPRODUCT(MAX(ROW(E$1:E3079)*(E3080=E$1:E3079)))))</f>
        <v> </v>
      </c>
      <c r="L3080" s="27"/>
    </row>
    <row r="3081" spans="1:12">
      <c r="A3081" s="20" t="s">
        <v>1087</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t="s">
        <v>952</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t="s">
        <v>1164</v>
      </c>
      <c r="E3083" s="22">
        <f>IF(D3083="?OLD","!!!","")</f>
        <v/>
      </c>
      <c r="F3083" s="23" t="str">
        <f>IF(OR(E3083="",E3083="!!!"),"",IF(NOT(ISNA(VLOOKUP(E3083,E$1:E3082,1,FALSE()))),"OLD",IF(AND(E3083&lt;&gt;"",E3083&lt;&gt;"!!!"),"NEW","")))</f>
        <v> </v>
      </c>
      <c r="G3083" s="24" t="str">
        <f>IF(OR(E3083="",E3083="!!!"),"",IF(OR(J3083=0,AND(J3083=1,K3083=1),AND(J3083=1,I3083="SBJ"),AND(J3083=1,I3083=0)),"?IN_FOCUS",IF(J3083&lt;=2,"?ACTIVATED",IF(J3083&lt;&gt;"","?FAMILIAR",IF(F3083="NEW",IF(ISNA(VLOOKUP(E3083,#REF!,1,FALSE())),"?TYPE_IDENTIFIABLE","?REFERENTIAL"),"_")))))</f>
        <v> </v>
      </c>
      <c r="H3083" s="25" t="str">
        <f>IF(J3083&lt;&gt;1,"",IF(I3083="SBJ","CB","?"))</f>
        <v> </v>
      </c>
      <c r="I3083" s="26" t="str">
        <f>IF(OR(E3083="",E3083="!!!",F3083="NEW"),"",INDEX(B3082:B$2,-1+SUMPRODUCT(MAX(ROW(E3082:E$2)*(E3083=E3082:E$2)))))</f>
        <v> </v>
      </c>
      <c r="J3083" s="26" t="str">
        <f>IF(OR(E3083="",E3083="!!!",F3083="NEW"),"",COUNTBLANK(OFFSET(A$1,,,SUMPRODUCT(MAX(ROW(E$2:E3083)*(E3083=E$2:E3083)))))-COUNTBLANK(OFFSET(A$1,,,SUMPRODUCT(MAX(ROW(E$1:E3082)*(E2=E$1:E3082))))))</f>
        <v> </v>
      </c>
      <c r="K3083" s="26" t="str">
        <f>IF(OR(E3083="",E3083="!!!",F3083="NEW"),"",INDEX(J$1:J3082,SUMPRODUCT(MAX(ROW(E$1:E3082)*(E3083=E$1:E3082)))))</f>
        <v> </v>
      </c>
      <c r="L3083" s="27"/>
    </row>
    <row r="3084" spans="1:12">
      <c r="A3084" s="20" t="s">
        <v>1833</v>
      </c>
      <c r="B3084" s="21" t="s">
        <v>736</v>
      </c>
      <c r="C3084" s="21" t="s">
        <v>748</v>
      </c>
      <c r="E3084" s="22">
        <f>IF(D3084="?OLD","!!!","")</f>
        <v/>
      </c>
      <c r="F3084" s="23" t="str">
        <f>IF(OR(E3084="",E3084="!!!"),"",IF(NOT(ISNA(VLOOKUP(E3084,E$1:E3083,1,FALSE()))),"OLD",IF(AND(E3084&lt;&gt;"",E3084&lt;&gt;"!!!"),"NEW","")))</f>
        <v> </v>
      </c>
      <c r="G3084" s="24" t="str">
        <f>IF(OR(E3084="",E3084="!!!"),"",IF(OR(J3084=0,AND(J3084=1,K3084=1),AND(J3084=1,I3084="SBJ"),AND(J3084=1,I3084=0)),"?IN_FOCUS",IF(J3084&lt;=2,"?ACTIVATED",IF(J3084&lt;&gt;"","?FAMILIAR",IF(F3084="NEW",IF(ISNA(VLOOKUP(E3084,#REF!,1,FALSE())),"?TYPE_IDENTIFIABLE","?REFERENTIAL"),"_")))))</f>
        <v> </v>
      </c>
      <c r="H3084" s="25" t="str">
        <f>IF(J3084&lt;&gt;1,"",IF(I3084="SBJ","CB","?"))</f>
        <v> </v>
      </c>
      <c r="I3084" s="26" t="str">
        <f>IF(OR(E3084="",E3084="!!!",F3084="NEW"),"",INDEX(B3083:B$2,-1+SUMPRODUCT(MAX(ROW(E3083:E$2)*(E3084=E3083:E$2)))))</f>
        <v> </v>
      </c>
      <c r="J3084" s="26" t="str">
        <f>IF(OR(E3084="",E3084="!!!",F3084="NEW"),"",COUNTBLANK(OFFSET(A$1,,,SUMPRODUCT(MAX(ROW(E$2:E3084)*(E3084=E$2:E3084)))))-COUNTBLANK(OFFSET(A$1,,,SUMPRODUCT(MAX(ROW(E$1:E3083)*(E2=E$1:E3083))))))</f>
        <v> </v>
      </c>
      <c r="K3084" s="26" t="str">
        <f>IF(OR(E3084="",E3084="!!!",F3084="NEW"),"",INDEX(J$1:J3083,SUMPRODUCT(MAX(ROW(E$1:E3083)*(E3084=E$1:E3083)))))</f>
        <v> </v>
      </c>
      <c r="L3084" s="27"/>
    </row>
    <row r="3085" spans="1:12">
      <c r="A3085" s="20" t="s">
        <v>1635</v>
      </c>
      <c r="E3085" s="22">
        <f>IF(D3085="?OLD","!!!","")</f>
        <v/>
      </c>
      <c r="F3085" s="23" t="str">
        <f>IF(OR(E3085="",E3085="!!!"),"",IF(NOT(ISNA(VLOOKUP(E3085,E$1:E3084,1,FALSE()))),"OLD",IF(AND(E3085&lt;&gt;"",E3085&lt;&gt;"!!!"),"NEW","")))</f>
        <v> </v>
      </c>
      <c r="G3085" s="24" t="str">
        <f>IF(OR(E3085="",E3085="!!!"),"",IF(OR(J3085=0,AND(J3085=1,K3085=1),AND(J3085=1,I3085="SBJ"),AND(J3085=1,I3085=0)),"?IN_FOCUS",IF(J3085&lt;=2,"?ACTIVATED",IF(J3085&lt;&gt;"","?FAMILIAR",IF(F3085="NEW",IF(ISNA(VLOOKUP(E3085,#REF!,1,FALSE())),"?TYPE_IDENTIFIABLE","?REFERENTIAL"),"_")))))</f>
        <v> </v>
      </c>
      <c r="H3085" s="25" t="str">
        <f>IF(J3085&lt;&gt;1,"",IF(I3085="SBJ","CB","?"))</f>
        <v> </v>
      </c>
      <c r="I3085" s="26" t="str">
        <f>IF(OR(E3085="",E3085="!!!",F3085="NEW"),"",INDEX(B3084:B$2,-1+SUMPRODUCT(MAX(ROW(E3084:E$2)*(E3085=E3084:E$2)))))</f>
        <v> </v>
      </c>
      <c r="J3085" s="26" t="str">
        <f>IF(OR(E3085="",E3085="!!!",F3085="NEW"),"",COUNTBLANK(OFFSET(A$1,,,SUMPRODUCT(MAX(ROW(E$2:E3085)*(E3085=E$2:E3085)))))-COUNTBLANK(OFFSET(A$1,,,SUMPRODUCT(MAX(ROW(E$1:E3084)*(E2=E$1:E3084))))))</f>
        <v> </v>
      </c>
      <c r="K3085" s="26" t="str">
        <f>IF(OR(E3085="",E3085="!!!",F3085="NEW"),"",INDEX(J$1:J3084,SUMPRODUCT(MAX(ROW(E$1:E3084)*(E3085=E$1:E3084)))))</f>
        <v> </v>
      </c>
      <c r="L3085" s="27"/>
    </row>
    <row r="3086" spans="1:12">
      <c r="A3086" s="20" t="s">
        <v>1164</v>
      </c>
      <c r="E3086" s="22">
        <f>IF(D3086="?OLD","!!!","")</f>
        <v/>
      </c>
      <c r="F3086" s="23" t="str">
        <f>IF(OR(E3086="",E3086="!!!"),"",IF(NOT(ISNA(VLOOKUP(E3086,E$1:E3085,1,FALSE()))),"OLD",IF(AND(E3086&lt;&gt;"",E3086&lt;&gt;"!!!"),"NEW","")))</f>
        <v> </v>
      </c>
      <c r="G3086" s="24" t="str">
        <f>IF(OR(E3086="",E3086="!!!"),"",IF(OR(J3086=0,AND(J3086=1,K3086=1),AND(J3086=1,I3086="SBJ"),AND(J3086=1,I3086=0)),"?IN_FOCUS",IF(J3086&lt;=2,"?ACTIVATED",IF(J3086&lt;&gt;"","?FAMILIAR",IF(F3086="NEW",IF(ISNA(VLOOKUP(E3086,#REF!,1,FALSE())),"?TYPE_IDENTIFIABLE","?REFERENTIAL"),"_")))))</f>
        <v> </v>
      </c>
      <c r="H3086" s="25" t="str">
        <f>IF(J3086&lt;&gt;1,"",IF(I3086="SBJ","CB","?"))</f>
        <v> </v>
      </c>
      <c r="I3086" s="26" t="str">
        <f>IF(OR(E3086="",E3086="!!!",F3086="NEW"),"",INDEX(B3085:B$2,-1+SUMPRODUCT(MAX(ROW(E3085:E$2)*(E3086=E3085:E$2)))))</f>
        <v> </v>
      </c>
      <c r="J3086" s="26" t="str">
        <f>IF(OR(E3086="",E3086="!!!",F3086="NEW"),"",COUNTBLANK(OFFSET(A$1,,,SUMPRODUCT(MAX(ROW(E$2:E3086)*(E3086=E$2:E3086)))))-COUNTBLANK(OFFSET(A$1,,,SUMPRODUCT(MAX(ROW(E$1:E3085)*(E2=E$1:E3085))))))</f>
        <v> </v>
      </c>
      <c r="K3086" s="26" t="str">
        <f>IF(OR(E3086="",E3086="!!!",F3086="NEW"),"",INDEX(J$1:J3085,SUMPRODUCT(MAX(ROW(E$1:E3085)*(E3086=E$1:E3085)))))</f>
        <v> </v>
      </c>
      <c r="L3086" s="27"/>
    </row>
    <row r="3087" spans="1:12">
      <c r="A3087" s="20" t="s">
        <v>1834</v>
      </c>
      <c r="B3087" s="21" t="s">
        <v>739</v>
      </c>
      <c r="C3087" s="21" t="s">
        <v>748</v>
      </c>
      <c r="E3087" s="22">
        <f>IF(D3087="?OLD","!!!","")</f>
        <v/>
      </c>
      <c r="F3087" s="23" t="str">
        <f>IF(OR(E3087="",E3087="!!!"),"",IF(NOT(ISNA(VLOOKUP(E3087,E$1:E3086,1,FALSE()))),"OLD",IF(AND(E3087&lt;&gt;"",E3087&lt;&gt;"!!!"),"NEW","")))</f>
        <v> </v>
      </c>
      <c r="G3087" s="24" t="str">
        <f>IF(OR(E3087="",E3087="!!!"),"",IF(OR(J3087=0,AND(J3087=1,K3087=1),AND(J3087=1,I3087="SBJ"),AND(J3087=1,I3087=0)),"?IN_FOCUS",IF(J3087&lt;=2,"?ACTIVATED",IF(J3087&lt;&gt;"","?FAMILIAR",IF(F3087="NEW",IF(ISNA(VLOOKUP(E3087,#REF!,1,FALSE())),"?TYPE_IDENTIFIABLE","?REFERENTIAL"),"_")))))</f>
        <v> </v>
      </c>
      <c r="H3087" s="25" t="str">
        <f>IF(J3087&lt;&gt;1,"",IF(I3087="SBJ","CB","?"))</f>
        <v> </v>
      </c>
      <c r="I3087" s="26" t="str">
        <f>IF(OR(E3087="",E3087="!!!",F3087="NEW"),"",INDEX(B3086:B$2,-1+SUMPRODUCT(MAX(ROW(E3086:E$2)*(E3087=E3086:E$2)))))</f>
        <v> </v>
      </c>
      <c r="J3087" s="26" t="str">
        <f>IF(OR(E3087="",E3087="!!!",F3087="NEW"),"",COUNTBLANK(OFFSET(A$1,,,SUMPRODUCT(MAX(ROW(E$2:E3087)*(E3087=E$2:E3087)))))-COUNTBLANK(OFFSET(A$1,,,SUMPRODUCT(MAX(ROW(E$1:E3086)*(E2=E$1:E3086))))))</f>
        <v> </v>
      </c>
      <c r="K3087" s="26" t="str">
        <f>IF(OR(E3087="",E3087="!!!",F3087="NEW"),"",INDEX(J$1:J3086,SUMPRODUCT(MAX(ROW(E$1:E3086)*(E3087=E$1:E3086)))))</f>
        <v> </v>
      </c>
      <c r="L3087" s="27"/>
    </row>
    <row r="3088" spans="1:12">
      <c r="A3088" s="20" t="s">
        <v>759</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813</v>
      </c>
      <c r="B3089" s="21" t="s">
        <v>788</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965</v>
      </c>
      <c r="B3090" s="21" t="s">
        <v>843</v>
      </c>
      <c r="C3090" s="21" t="s">
        <v>789</v>
      </c>
      <c r="D3090" s="21" t="s">
        <v>730</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t="s">
        <v>1835</v>
      </c>
      <c r="E3091" s="22">
        <f>IF(D3091="?OLD","!!!","")</f>
        <v/>
      </c>
      <c r="F3091" s="23" t="str">
        <f>IF(OR(E3091="",E3091="!!!"),"",IF(NOT(ISNA(VLOOKUP(E3091,E$1:E3090,1,FALSE()))),"OLD",IF(AND(E3091&lt;&gt;"",E3091&lt;&gt;"!!!"),"NEW","")))</f>
        <v> </v>
      </c>
      <c r="G3091" s="24" t="str">
        <f>IF(OR(E3091="",E3091="!!!"),"",IF(OR(J3091=0,AND(J3091=1,K3091=1),AND(J3091=1,I3091="SBJ"),AND(J3091=1,I3091=0)),"?IN_FOCUS",IF(J3091&lt;=2,"?ACTIVATED",IF(J3091&lt;&gt;"","?FAMILIAR",IF(F3091="NEW",IF(ISNA(VLOOKUP(E3091,#REF!,1,FALSE())),"?TYPE_IDENTIFIABLE","?REFERENTIAL"),"_")))))</f>
        <v> </v>
      </c>
      <c r="H3091" s="25" t="str">
        <f>IF(J3091&lt;&gt;1,"",IF(I3091="SBJ","CB","?"))</f>
        <v> </v>
      </c>
      <c r="I3091" s="26" t="str">
        <f>IF(OR(E3091="",E3091="!!!",F3091="NEW"),"",INDEX(B3090:B$2,-1+SUMPRODUCT(MAX(ROW(E3090:E$2)*(E3091=E3090:E$2)))))</f>
        <v> </v>
      </c>
      <c r="J3091" s="26" t="str">
        <f>IF(OR(E3091="",E3091="!!!",F3091="NEW"),"",COUNTBLANK(OFFSET(A$1,,,SUMPRODUCT(MAX(ROW(E$2:E3091)*(E3091=E$2:E3091)))))-COUNTBLANK(OFFSET(A$1,,,SUMPRODUCT(MAX(ROW(E$1:E3090)*(E2=E$1:E3090))))))</f>
        <v> </v>
      </c>
      <c r="K3091" s="26" t="str">
        <f>IF(OR(E3091="",E3091="!!!",F3091="NEW"),"",INDEX(J$1:J3090,SUMPRODUCT(MAX(ROW(E$1:E3090)*(E3091=E$1:E3090)))))</f>
        <v> </v>
      </c>
      <c r="L3091" s="27"/>
    </row>
    <row r="3092" spans="1:12">
      <c r="A3092" s="20" t="s">
        <v>1836</v>
      </c>
      <c r="E3092" s="22">
        <f>IF(D3092="?OLD","!!!","")</f>
        <v/>
      </c>
      <c r="F3092" s="23" t="str">
        <f>IF(OR(E3092="",E3092="!!!"),"",IF(NOT(ISNA(VLOOKUP(E3092,E$1:E3091,1,FALSE()))),"OLD",IF(AND(E3092&lt;&gt;"",E3092&lt;&gt;"!!!"),"NEW","")))</f>
        <v> </v>
      </c>
      <c r="G3092" s="24" t="str">
        <f>IF(OR(E3092="",E3092="!!!"),"",IF(OR(J3092=0,AND(J3092=1,K3092=1),AND(J3092=1,I3092="SBJ"),AND(J3092=1,I3092=0)),"?IN_FOCUS",IF(J3092&lt;=2,"?ACTIVATED",IF(J3092&lt;&gt;"","?FAMILIAR",IF(F3092="NEW",IF(ISNA(VLOOKUP(E3092,#REF!,1,FALSE())),"?TYPE_IDENTIFIABLE","?REFERENTIAL"),"_")))))</f>
        <v> </v>
      </c>
      <c r="H3092" s="25" t="str">
        <f>IF(J3092&lt;&gt;1,"",IF(I3092="SBJ","CB","?"))</f>
        <v> </v>
      </c>
      <c r="I3092" s="26" t="str">
        <f>IF(OR(E3092="",E3092="!!!",F3092="NEW"),"",INDEX(B3091:B$2,-1+SUMPRODUCT(MAX(ROW(E3091:E$2)*(E3092=E3091:E$2)))))</f>
        <v> </v>
      </c>
      <c r="J3092" s="26" t="str">
        <f>IF(OR(E3092="",E3092="!!!",F3092="NEW"),"",COUNTBLANK(OFFSET(A$1,,,SUMPRODUCT(MAX(ROW(E$2:E3092)*(E3092=E$2:E3092)))))-COUNTBLANK(OFFSET(A$1,,,SUMPRODUCT(MAX(ROW(E$1:E3091)*(E2=E$1:E3091))))))</f>
        <v> </v>
      </c>
      <c r="K3092" s="26" t="str">
        <f>IF(OR(E3092="",E3092="!!!",F3092="NEW"),"",INDEX(J$1:J3091,SUMPRODUCT(MAX(ROW(E$1:E3091)*(E3092=E$1:E3091)))))</f>
        <v> </v>
      </c>
      <c r="L3092" s="27"/>
    </row>
    <row r="3093" spans="1:12">
      <c r="A3093" s="20" t="s">
        <v>440</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t="s">
        <v>785</v>
      </c>
      <c r="E3094" s="22">
        <f>IF(D3094="?OLD","!!!","")</f>
        <v/>
      </c>
      <c r="F3094" s="23" t="str">
        <f>IF(OR(E3094="",E3094="!!!"),"",IF(NOT(ISNA(VLOOKUP(E3094,E$1:E3093,1,FALSE()))),"OLD",IF(AND(E3094&lt;&gt;"",E3094&lt;&gt;"!!!"),"NEW","")))</f>
        <v> </v>
      </c>
      <c r="G3094" s="24" t="str">
        <f>IF(OR(E3094="",E3094="!!!"),"",IF(OR(J3094=0,AND(J3094=1,K3094=1),AND(J3094=1,I3094="SBJ"),AND(J3094=1,I3094=0)),"?IN_FOCUS",IF(J3094&lt;=2,"?ACTIVATED",IF(J3094&lt;&gt;"","?FAMILIAR",IF(F3094="NEW",IF(ISNA(VLOOKUP(E3094,#REF!,1,FALSE())),"?TYPE_IDENTIFIABLE","?REFERENTIAL"),"_")))))</f>
        <v> </v>
      </c>
      <c r="H3094" s="25" t="str">
        <f>IF(J3094&lt;&gt;1,"",IF(I3094="SBJ","CB","?"))</f>
        <v> </v>
      </c>
      <c r="I3094" s="26" t="str">
        <f>IF(OR(E3094="",E3094="!!!",F3094="NEW"),"",INDEX(B3093:B$2,-1+SUMPRODUCT(MAX(ROW(E3093:E$2)*(E3094=E3093:E$2)))))</f>
        <v> </v>
      </c>
      <c r="J3094" s="26" t="str">
        <f>IF(OR(E3094="",E3094="!!!",F3094="NEW"),"",COUNTBLANK(OFFSET(A$1,,,SUMPRODUCT(MAX(ROW(E$2:E3094)*(E3094=E$2:E3094)))))-COUNTBLANK(OFFSET(A$1,,,SUMPRODUCT(MAX(ROW(E$1:E3093)*(E2=E$1:E3093))))))</f>
        <v> </v>
      </c>
      <c r="K3094" s="26" t="str">
        <f>IF(OR(E3094="",E3094="!!!",F3094="NEW"),"",INDEX(J$1:J3093,SUMPRODUCT(MAX(ROW(E$1:E3093)*(E3094=E$1:E3093)))))</f>
        <v> </v>
      </c>
      <c r="L3094" s="27"/>
    </row>
    <row r="3095" spans="1:12">
      <c r="A3095" s="20" t="s">
        <v>300</v>
      </c>
      <c r="E3095" s="22">
        <f>IF(D3095="?OLD","!!!","")</f>
        <v/>
      </c>
      <c r="F3095" s="23" t="str">
        <f>IF(OR(E3095="",E3095="!!!"),"",IF(NOT(ISNA(VLOOKUP(E3095,E$1:E3094,1,FALSE()))),"OLD",IF(AND(E3095&lt;&gt;"",E3095&lt;&gt;"!!!"),"NEW","")))</f>
        <v> </v>
      </c>
      <c r="G3095" s="24" t="str">
        <f>IF(OR(E3095="",E3095="!!!"),"",IF(OR(J3095=0,AND(J3095=1,K3095=1),AND(J3095=1,I3095="SBJ"),AND(J3095=1,I3095=0)),"?IN_FOCUS",IF(J3095&lt;=2,"?ACTIVATED",IF(J3095&lt;&gt;"","?FAMILIAR",IF(F3095="NEW",IF(ISNA(VLOOKUP(E3095,#REF!,1,FALSE())),"?TYPE_IDENTIFIABLE","?REFERENTIAL"),"_")))))</f>
        <v> </v>
      </c>
      <c r="H3095" s="25" t="str">
        <f>IF(J3095&lt;&gt;1,"",IF(I3095="SBJ","CB","?"))</f>
        <v> </v>
      </c>
      <c r="I3095" s="26" t="str">
        <f>IF(OR(E3095="",E3095="!!!",F3095="NEW"),"",INDEX(B3094:B$2,-1+SUMPRODUCT(MAX(ROW(E3094:E$2)*(E3095=E3094:E$2)))))</f>
        <v> </v>
      </c>
      <c r="J3095" s="26" t="str">
        <f>IF(OR(E3095="",E3095="!!!",F3095="NEW"),"",COUNTBLANK(OFFSET(A$1,,,SUMPRODUCT(MAX(ROW(E$2:E3095)*(E3095=E$2:E3095)))))-COUNTBLANK(OFFSET(A$1,,,SUMPRODUCT(MAX(ROW(E$1:E3094)*(E2=E$1:E3094))))))</f>
        <v> </v>
      </c>
      <c r="K3095" s="26" t="str">
        <f>IF(OR(E3095="",E3095="!!!",F3095="NEW"),"",INDEX(J$1:J3094,SUMPRODUCT(MAX(ROW(E$1:E3094)*(E3095=E$1:E3094)))))</f>
        <v> </v>
      </c>
      <c r="L3095" s="27"/>
    </row>
    <row r="3096" spans="1:12">
      <c r="A3096" s="20" t="s">
        <v>759</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808</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928</v>
      </c>
      <c r="B3098" s="21" t="s">
        <v>796</v>
      </c>
      <c r="C3098" s="21" t="s">
        <v>789</v>
      </c>
      <c r="D3098" s="21" t="s">
        <v>730</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899</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t="s">
        <v>879</v>
      </c>
      <c r="E3100" s="22">
        <f>IF(D3100="?OLD","!!!","")</f>
        <v/>
      </c>
      <c r="F3100" s="23" t="str">
        <f>IF(OR(E3100="",E3100="!!!"),"",IF(NOT(ISNA(VLOOKUP(E3100,E$1:E3099,1,FALSE()))),"OLD",IF(AND(E3100&lt;&gt;"",E3100&lt;&gt;"!!!"),"NEW","")))</f>
        <v> </v>
      </c>
      <c r="G3100" s="24" t="str">
        <f>IF(OR(E3100="",E3100="!!!"),"",IF(OR(J3100=0,AND(J3100=1,K3100=1),AND(J3100=1,I3100="SBJ"),AND(J3100=1,I3100=0)),"?IN_FOCUS",IF(J3100&lt;=2,"?ACTIVATED",IF(J3100&lt;&gt;"","?FAMILIAR",IF(F3100="NEW",IF(ISNA(VLOOKUP(E3100,#REF!,1,FALSE())),"?TYPE_IDENTIFIABLE","?REFERENTIAL"),"_")))))</f>
        <v> </v>
      </c>
      <c r="H3100" s="25" t="str">
        <f>IF(J3100&lt;&gt;1,"",IF(I3100="SBJ","CB","?"))</f>
        <v> </v>
      </c>
      <c r="I3100" s="26" t="str">
        <f>IF(OR(E3100="",E3100="!!!",F3100="NEW"),"",INDEX(B3099:B$2,-1+SUMPRODUCT(MAX(ROW(E3099:E$2)*(E3100=E3099:E$2)))))</f>
        <v> </v>
      </c>
      <c r="J3100" s="26" t="str">
        <f>IF(OR(E3100="",E3100="!!!",F3100="NEW"),"",COUNTBLANK(OFFSET(A$1,,,SUMPRODUCT(MAX(ROW(E$2:E3100)*(E3100=E$2:E3100)))))-COUNTBLANK(OFFSET(A$1,,,SUMPRODUCT(MAX(ROW(E$1:E3099)*(E2=E$1:E3099))))))</f>
        <v> </v>
      </c>
      <c r="K3100" s="26" t="str">
        <f>IF(OR(E3100="",E3100="!!!",F3100="NEW"),"",INDEX(J$1:J3099,SUMPRODUCT(MAX(ROW(E$1:E3099)*(E3100=E$1:E3099)))))</f>
        <v> </v>
      </c>
      <c r="L3100" s="27"/>
    </row>
    <row r="3101" spans="1:12">
      <c r="A3101" s="20" t="s">
        <v>1837</v>
      </c>
      <c r="B3101" s="21" t="s">
        <v>791</v>
      </c>
      <c r="C3101" s="21" t="s">
        <v>756</v>
      </c>
      <c r="E3101" s="22">
        <f>IF(D3101="?OLD","!!!","")</f>
        <v/>
      </c>
      <c r="F3101" s="23" t="str">
        <f>IF(OR(E3101="",E3101="!!!"),"",IF(NOT(ISNA(VLOOKUP(E3101,E$1:E3100,1,FALSE()))),"OLD",IF(AND(E3101&lt;&gt;"",E3101&lt;&gt;"!!!"),"NEW","")))</f>
        <v> </v>
      </c>
      <c r="G3101" s="24" t="str">
        <f>IF(OR(E3101="",E3101="!!!"),"",IF(OR(J3101=0,AND(J3101=1,K3101=1),AND(J3101=1,I3101="SBJ"),AND(J3101=1,I3101=0)),"?IN_FOCUS",IF(J3101&lt;=2,"?ACTIVATED",IF(J3101&lt;&gt;"","?FAMILIAR",IF(F3101="NEW",IF(ISNA(VLOOKUP(E3101,#REF!,1,FALSE())),"?TYPE_IDENTIFIABLE","?REFERENTIAL"),"_")))))</f>
        <v> </v>
      </c>
      <c r="H3101" s="25" t="str">
        <f>IF(J3101&lt;&gt;1,"",IF(I3101="SBJ","CB","?"))</f>
        <v> </v>
      </c>
      <c r="I3101" s="26" t="str">
        <f>IF(OR(E3101="",E3101="!!!",F3101="NEW"),"",INDEX(B3100:B$2,-1+SUMPRODUCT(MAX(ROW(E3100:E$2)*(E3101=E3100:E$2)))))</f>
        <v> </v>
      </c>
      <c r="J3101" s="26" t="str">
        <f>IF(OR(E3101="",E3101="!!!",F3101="NEW"),"",COUNTBLANK(OFFSET(A$1,,,SUMPRODUCT(MAX(ROW(E$2:E3101)*(E3101=E$2:E3101)))))-COUNTBLANK(OFFSET(A$1,,,SUMPRODUCT(MAX(ROW(E$1:E3100)*(E2=E$1:E3100))))))</f>
        <v> </v>
      </c>
      <c r="K3101" s="26" t="str">
        <f>IF(OR(E3101="",E3101="!!!",F3101="NEW"),"",INDEX(J$1:J3100,SUMPRODUCT(MAX(ROW(E$1:E3100)*(E3101=E$1:E3100)))))</f>
        <v> </v>
      </c>
      <c r="L3101" s="27"/>
    </row>
    <row r="3102" spans="1:12">
      <c r="A3102" s="20" t="s">
        <v>1818</v>
      </c>
      <c r="E3102" s="22">
        <f>IF(D3102="?OLD","!!!","")</f>
        <v/>
      </c>
      <c r="F3102" s="23" t="str">
        <f>IF(OR(E3102="",E3102="!!!"),"",IF(NOT(ISNA(VLOOKUP(E3102,E$1:E3101,1,FALSE()))),"OLD",IF(AND(E3102&lt;&gt;"",E3102&lt;&gt;"!!!"),"NEW","")))</f>
        <v> </v>
      </c>
      <c r="G3102" s="24" t="str">
        <f>IF(OR(E3102="",E3102="!!!"),"",IF(OR(J3102=0,AND(J3102=1,K3102=1),AND(J3102=1,I3102="SBJ"),AND(J3102=1,I3102=0)),"?IN_FOCUS",IF(J3102&lt;=2,"?ACTIVATED",IF(J3102&lt;&gt;"","?FAMILIAR",IF(F3102="NEW",IF(ISNA(VLOOKUP(E3102,#REF!,1,FALSE())),"?TYPE_IDENTIFIABLE","?REFERENTIAL"),"_")))))</f>
        <v> </v>
      </c>
      <c r="H3102" s="25" t="str">
        <f>IF(J3102&lt;&gt;1,"",IF(I3102="SBJ","CB","?"))</f>
        <v> </v>
      </c>
      <c r="I3102" s="26" t="str">
        <f>IF(OR(E3102="",E3102="!!!",F3102="NEW"),"",INDEX(B3101:B$2,-1+SUMPRODUCT(MAX(ROW(E3101:E$2)*(E3102=E3101:E$2)))))</f>
        <v> </v>
      </c>
      <c r="J3102" s="26" t="str">
        <f>IF(OR(E3102="",E3102="!!!",F3102="NEW"),"",COUNTBLANK(OFFSET(A$1,,,SUMPRODUCT(MAX(ROW(E$2:E3102)*(E3102=E$2:E3102)))))-COUNTBLANK(OFFSET(A$1,,,SUMPRODUCT(MAX(ROW(E$1:E3101)*(E2=E$1:E3101))))))</f>
        <v> </v>
      </c>
      <c r="K3102" s="26" t="str">
        <f>IF(OR(E3102="",E3102="!!!",F3102="NEW"),"",INDEX(J$1:J3101,SUMPRODUCT(MAX(ROW(E$1:E3101)*(E3102=E$1:E3101)))))</f>
        <v> </v>
      </c>
      <c r="L3102" s="27"/>
    </row>
    <row r="3103" spans="1:12">
      <c r="A3103" s="20" t="s">
        <v>881</v>
      </c>
      <c r="E3103" s="22">
        <f>IF(D3103="?OLD","!!!","")</f>
        <v/>
      </c>
      <c r="F3103" s="23" t="str">
        <f>IF(OR(E3103="",E3103="!!!"),"",IF(NOT(ISNA(VLOOKUP(E3103,E$1:E3102,1,FALSE()))),"OLD",IF(AND(E3103&lt;&gt;"",E3103&lt;&gt;"!!!"),"NEW","")))</f>
        <v> </v>
      </c>
      <c r="G3103" s="24" t="str">
        <f>IF(OR(E3103="",E3103="!!!"),"",IF(OR(J3103=0,AND(J3103=1,K3103=1),AND(J3103=1,I3103="SBJ"),AND(J3103=1,I3103=0)),"?IN_FOCUS",IF(J3103&lt;=2,"?ACTIVATED",IF(J3103&lt;&gt;"","?FAMILIAR",IF(F3103="NEW",IF(ISNA(VLOOKUP(E3103,#REF!,1,FALSE())),"?TYPE_IDENTIFIABLE","?REFERENTIAL"),"_")))))</f>
        <v> </v>
      </c>
      <c r="H3103" s="25" t="str">
        <f>IF(J3103&lt;&gt;1,"",IF(I3103="SBJ","CB","?"))</f>
        <v> </v>
      </c>
      <c r="I3103" s="26" t="str">
        <f>IF(OR(E3103="",E3103="!!!",F3103="NEW"),"",INDEX(B3102:B$2,-1+SUMPRODUCT(MAX(ROW(E3102:E$2)*(E3103=E3102:E$2)))))</f>
        <v> </v>
      </c>
      <c r="J3103" s="26" t="str">
        <f>IF(OR(E3103="",E3103="!!!",F3103="NEW"),"",COUNTBLANK(OFFSET(A$1,,,SUMPRODUCT(MAX(ROW(E$2:E3103)*(E3103=E$2:E3103)))))-COUNTBLANK(OFFSET(A$1,,,SUMPRODUCT(MAX(ROW(E$1:E3102)*(E2=E$1:E3102))))))</f>
        <v> </v>
      </c>
      <c r="K3103" s="26" t="str">
        <f>IF(OR(E3103="",E3103="!!!",F3103="NEW"),"",INDEX(J$1:J3102,SUMPRODUCT(MAX(ROW(E$1:E3102)*(E3103=E$1:E3102)))))</f>
        <v> </v>
      </c>
      <c r="L3103" s="27"/>
    </row>
    <row r="3104" spans="1:12">
      <c r="A3104" s="20" t="s">
        <v>246</v>
      </c>
      <c r="E3104" s="22">
        <f>IF(D3104="?OLD","!!!","")</f>
        <v/>
      </c>
      <c r="F3104" s="23" t="str">
        <f>IF(OR(E3104="",E3104="!!!"),"",IF(NOT(ISNA(VLOOKUP(E3104,E$1:E3103,1,FALSE()))),"OLD",IF(AND(E3104&lt;&gt;"",E3104&lt;&gt;"!!!"),"NEW","")))</f>
        <v> </v>
      </c>
      <c r="G3104" s="24" t="str">
        <f>IF(OR(E3104="",E3104="!!!"),"",IF(OR(J3104=0,AND(J3104=1,K3104=1),AND(J3104=1,I3104="SBJ"),AND(J3104=1,I3104=0)),"?IN_FOCUS",IF(J3104&lt;=2,"?ACTIVATED",IF(J3104&lt;&gt;"","?FAMILIAR",IF(F3104="NEW",IF(ISNA(VLOOKUP(E3104,#REF!,1,FALSE())),"?TYPE_IDENTIFIABLE","?REFERENTIAL"),"_")))))</f>
        <v> </v>
      </c>
      <c r="H3104" s="25" t="str">
        <f>IF(J3104&lt;&gt;1,"",IF(I3104="SBJ","CB","?"))</f>
        <v> </v>
      </c>
      <c r="I3104" s="26" t="str">
        <f>IF(OR(E3104="",E3104="!!!",F3104="NEW"),"",INDEX(B3103:B$2,-1+SUMPRODUCT(MAX(ROW(E3103:E$2)*(E3104=E3103:E$2)))))</f>
        <v> </v>
      </c>
      <c r="J3104" s="26" t="str">
        <f>IF(OR(E3104="",E3104="!!!",F3104="NEW"),"",COUNTBLANK(OFFSET(A$1,,,SUMPRODUCT(MAX(ROW(E$2:E3104)*(E3104=E$2:E3104)))))-COUNTBLANK(OFFSET(A$1,,,SUMPRODUCT(MAX(ROW(E$1:E3103)*(E2=E$1:E3103))))))</f>
        <v> </v>
      </c>
      <c r="K3104" s="26" t="str">
        <f>IF(OR(E3104="",E3104="!!!",F3104="NEW"),"",INDEX(J$1:J3103,SUMPRODUCT(MAX(ROW(E$1:E3103)*(E3104=E$1:E3103)))))</f>
        <v> </v>
      </c>
      <c r="L3104" s="27"/>
    </row>
    <row r="3105" spans="1:12">
      <c r="A3105" s="20"/>
    </row>
    <row r="3106" spans="1:12">
      <c r="A3106" s="20" t="s">
        <v>1838</v>
      </c>
    </row>
    <row r="3107" spans="1:12">
      <c r="A3107" s="20" t="s">
        <v>1839</v>
      </c>
      <c r="E3107" s="22">
        <f>IF(D3107="?OLD","!!!","")</f>
        <v/>
      </c>
      <c r="F3107" s="23" t="str">
        <f>IF(OR(E3107="",E3107="!!!"),"",IF(NOT(ISNA(VLOOKUP(E3107,E$1:E3106,1,FALSE()))),"OLD",IF(AND(E3107&lt;&gt;"",E3107&lt;&gt;"!!!"),"NEW","")))</f>
        <v> </v>
      </c>
      <c r="G3107" s="24" t="str">
        <f>IF(OR(E3107="",E3107="!!!"),"",IF(OR(J3107=0,AND(J3107=1,K3107=1),AND(J3107=1,I3107="SBJ"),AND(J3107=1,I3107=0)),"?IN_FOCUS",IF(J3107&lt;=2,"?ACTIVATED",IF(J3107&lt;&gt;"","?FAMILIAR",IF(F3107="NEW",IF(ISNA(VLOOKUP(E3107,#REF!,1,FALSE())),"?TYPE_IDENTIFIABLE","?REFERENTIAL"),"_")))))</f>
        <v> </v>
      </c>
      <c r="H3107" s="25" t="str">
        <f>IF(J3107&lt;&gt;1,"",IF(I3107="SBJ","CB","?"))</f>
        <v> </v>
      </c>
      <c r="I3107" s="26" t="str">
        <f>IF(OR(E3107="",E3107="!!!",F3107="NEW"),"",INDEX(B3106:B$2,-1+SUMPRODUCT(MAX(ROW(E3106:E$2)*(E3107=E3106:E$2)))))</f>
        <v> </v>
      </c>
      <c r="J3107" s="26" t="str">
        <f>IF(OR(E3107="",E3107="!!!",F3107="NEW"),"",COUNTBLANK(OFFSET(A$1,,,SUMPRODUCT(MAX(ROW(E$2:E3107)*(E3107=E$2:E3107)))))-COUNTBLANK(OFFSET(A$1,,,SUMPRODUCT(MAX(ROW(E$1:E3106)*(E2=E$1:E3106))))))</f>
        <v> </v>
      </c>
      <c r="K3107" s="26" t="str">
        <f>IF(OR(E3107="",E3107="!!!",F3107="NEW"),"",INDEX(J$1:J3106,SUMPRODUCT(MAX(ROW(E$1:E3106)*(E3107=E$1:E3106)))))</f>
        <v> </v>
      </c>
      <c r="L3107" s="27"/>
    </row>
    <row r="3108" spans="1:12">
      <c r="A3108" s="20" t="s">
        <v>1794</v>
      </c>
      <c r="E3108" s="22">
        <f>IF(D3108="?OLD","!!!","")</f>
        <v/>
      </c>
      <c r="F3108" s="23" t="str">
        <f>IF(OR(E3108="",E3108="!!!"),"",IF(NOT(ISNA(VLOOKUP(E3108,E$1:E3107,1,FALSE()))),"OLD",IF(AND(E3108&lt;&gt;"",E3108&lt;&gt;"!!!"),"NEW","")))</f>
        <v> </v>
      </c>
      <c r="G3108" s="24" t="str">
        <f>IF(OR(E3108="",E3108="!!!"),"",IF(OR(J3108=0,AND(J3108=1,K3108=1),AND(J3108=1,I3108="SBJ"),AND(J3108=1,I3108=0)),"?IN_FOCUS",IF(J3108&lt;=2,"?ACTIVATED",IF(J3108&lt;&gt;"","?FAMILIAR",IF(F3108="NEW",IF(ISNA(VLOOKUP(E3108,#REF!,1,FALSE())),"?TYPE_IDENTIFIABLE","?REFERENTIAL"),"_")))))</f>
        <v> </v>
      </c>
      <c r="H3108" s="25" t="str">
        <f>IF(J3108&lt;&gt;1,"",IF(I3108="SBJ","CB","?"))</f>
        <v> </v>
      </c>
      <c r="I3108" s="26" t="str">
        <f>IF(OR(E3108="",E3108="!!!",F3108="NEW"),"",INDEX(B3107:B$2,-1+SUMPRODUCT(MAX(ROW(E3107:E$2)*(E3108=E3107:E$2)))))</f>
        <v> </v>
      </c>
      <c r="J3108" s="26" t="str">
        <f>IF(OR(E3108="",E3108="!!!",F3108="NEW"),"",COUNTBLANK(OFFSET(A$1,,,SUMPRODUCT(MAX(ROW(E$2:E3108)*(E3108=E$2:E3108)))))-COUNTBLANK(OFFSET(A$1,,,SUMPRODUCT(MAX(ROW(E$1:E3107)*(E2=E$1:E3107))))))</f>
        <v> </v>
      </c>
      <c r="K3108" s="26" t="str">
        <f>IF(OR(E3108="",E3108="!!!",F3108="NEW"),"",INDEX(J$1:J3107,SUMPRODUCT(MAX(ROW(E$1:E3107)*(E3108=E$1:E3107)))))</f>
        <v> </v>
      </c>
      <c r="L3108" s="27"/>
    </row>
    <row r="3109" spans="1:12">
      <c r="A3109" s="20" t="s">
        <v>762</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1793</v>
      </c>
      <c r="B3110" s="21" t="s">
        <v>728</v>
      </c>
      <c r="C3110" s="21" t="s">
        <v>737</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759</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922</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1840</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t="s">
        <v>1841</v>
      </c>
      <c r="B3114" s="21" t="s">
        <v>739</v>
      </c>
      <c r="C3114" s="21" t="s">
        <v>737</v>
      </c>
      <c r="E3114" s="22">
        <f>IF(D3114="?OLD","!!!","")</f>
        <v/>
      </c>
      <c r="F3114" s="23" t="str">
        <f>IF(OR(E3114="",E3114="!!!"),"",IF(NOT(ISNA(VLOOKUP(E3114,E$1:E3113,1,FALSE()))),"OLD",IF(AND(E3114&lt;&gt;"",E3114&lt;&gt;"!!!"),"NEW","")))</f>
        <v> </v>
      </c>
      <c r="G3114" s="24" t="str">
        <f>IF(OR(E3114="",E3114="!!!"),"",IF(OR(J3114=0,AND(J3114=1,K3114=1),AND(J3114=1,I3114="SBJ"),AND(J3114=1,I3114=0)),"?IN_FOCUS",IF(J3114&lt;=2,"?ACTIVATED",IF(J3114&lt;&gt;"","?FAMILIAR",IF(F3114="NEW",IF(ISNA(VLOOKUP(E3114,#REF!,1,FALSE())),"?TYPE_IDENTIFIABLE","?REFERENTIAL"),"_")))))</f>
        <v> </v>
      </c>
      <c r="H3114" s="25" t="str">
        <f>IF(J3114&lt;&gt;1,"",IF(I3114="SBJ","CB","?"))</f>
        <v> </v>
      </c>
      <c r="I3114" s="26" t="str">
        <f>IF(OR(E3114="",E3114="!!!",F3114="NEW"),"",INDEX(B3113:B$2,-1+SUMPRODUCT(MAX(ROW(E3113:E$2)*(E3114=E3113:E$2)))))</f>
        <v> </v>
      </c>
      <c r="J3114" s="26" t="str">
        <f>IF(OR(E3114="",E3114="!!!",F3114="NEW"),"",COUNTBLANK(OFFSET(A$1,,,SUMPRODUCT(MAX(ROW(E$2:E3114)*(E3114=E$2:E3114)))))-COUNTBLANK(OFFSET(A$1,,,SUMPRODUCT(MAX(ROW(E$1:E3113)*(E2=E$1:E3113))))))</f>
        <v> </v>
      </c>
      <c r="K3114" s="26" t="str">
        <f>IF(OR(E3114="",E3114="!!!",F3114="NEW"),"",INDEX(J$1:J3113,SUMPRODUCT(MAX(ROW(E$1:E3113)*(E3114=E$1:E3113)))))</f>
        <v> </v>
      </c>
      <c r="L3114" s="27"/>
    </row>
    <row r="3115" spans="1:12">
      <c r="A3115" s="20" t="s">
        <v>246</v>
      </c>
      <c r="E3115" s="22">
        <f>IF(D3115="?OLD","!!!","")</f>
        <v/>
      </c>
      <c r="F3115" s="23" t="str">
        <f>IF(OR(E3115="",E3115="!!!"),"",IF(NOT(ISNA(VLOOKUP(E3115,E$1:E3114,1,FALSE()))),"OLD",IF(AND(E3115&lt;&gt;"",E3115&lt;&gt;"!!!"),"NEW","")))</f>
        <v> </v>
      </c>
      <c r="G3115" s="24" t="str">
        <f>IF(OR(E3115="",E3115="!!!"),"",IF(OR(J3115=0,AND(J3115=1,K3115=1),AND(J3115=1,I3115="SBJ"),AND(J3115=1,I3115=0)),"?IN_FOCUS",IF(J3115&lt;=2,"?ACTIVATED",IF(J3115&lt;&gt;"","?FAMILIAR",IF(F3115="NEW",IF(ISNA(VLOOKUP(E3115,#REF!,1,FALSE())),"?TYPE_IDENTIFIABLE","?REFERENTIAL"),"_")))))</f>
        <v> </v>
      </c>
      <c r="H3115" s="25" t="str">
        <f>IF(J3115&lt;&gt;1,"",IF(I3115="SBJ","CB","?"))</f>
        <v> </v>
      </c>
      <c r="I3115" s="26" t="str">
        <f>IF(OR(E3115="",E3115="!!!",F3115="NEW"),"",INDEX(B3114:B$2,-1+SUMPRODUCT(MAX(ROW(E3114:E$2)*(E3115=E3114:E$2)))))</f>
        <v> </v>
      </c>
      <c r="J3115" s="26" t="str">
        <f>IF(OR(E3115="",E3115="!!!",F3115="NEW"),"",COUNTBLANK(OFFSET(A$1,,,SUMPRODUCT(MAX(ROW(E$2:E3115)*(E3115=E$2:E3115)))))-COUNTBLANK(OFFSET(A$1,,,SUMPRODUCT(MAX(ROW(E$1:E3114)*(E2=E$1:E3114))))))</f>
        <v> </v>
      </c>
      <c r="K3115" s="26" t="str">
        <f>IF(OR(E3115="",E3115="!!!",F3115="NEW"),"",INDEX(J$1:J3114,SUMPRODUCT(MAX(ROW(E$1:E3114)*(E3115=E$1:E3114)))))</f>
        <v> </v>
      </c>
      <c r="L3115" s="27"/>
    </row>
    <row r="3116" spans="1:12">
      <c r="A3116" s="20"/>
    </row>
    <row r="3117" spans="1:12">
      <c r="A3117" s="20" t="s">
        <v>798</v>
      </c>
      <c r="E3117" s="22">
        <f>IF(D3117="?OLD","!!!","")</f>
        <v/>
      </c>
      <c r="F3117" s="23" t="str">
        <f>IF(OR(E3117="",E3117="!!!"),"",IF(NOT(ISNA(VLOOKUP(E3117,E$1:E3116,1,FALSE()))),"OLD",IF(AND(E3117&lt;&gt;"",E3117&lt;&gt;"!!!"),"NEW","")))</f>
        <v> </v>
      </c>
      <c r="G3117" s="24" t="str">
        <f>IF(OR(E3117="",E3117="!!!"),"",IF(OR(J3117=0,AND(J3117=1,K3117=1),AND(J3117=1,I3117="SBJ"),AND(J3117=1,I3117=0)),"?IN_FOCUS",IF(J3117&lt;=2,"?ACTIVATED",IF(J3117&lt;&gt;"","?FAMILIAR",IF(F3117="NEW",IF(ISNA(VLOOKUP(E3117,#REF!,1,FALSE())),"?TYPE_IDENTIFIABLE","?REFERENTIAL"),"_")))))</f>
        <v> </v>
      </c>
      <c r="H3117" s="25" t="str">
        <f>IF(J3117&lt;&gt;1,"",IF(I3117="SBJ","CB","?"))</f>
        <v> </v>
      </c>
      <c r="I3117" s="26" t="str">
        <f>IF(OR(E3117="",E3117="!!!",F3117="NEW"),"",INDEX(B3116:B$2,-1+SUMPRODUCT(MAX(ROW(E3116:E$2)*(E3117=E3116:E$2)))))</f>
        <v> </v>
      </c>
      <c r="J3117" s="26" t="str">
        <f>IF(OR(E3117="",E3117="!!!",F3117="NEW"),"",COUNTBLANK(OFFSET(A$1,,,SUMPRODUCT(MAX(ROW(E$2:E3117)*(E3117=E$2:E3117)))))-COUNTBLANK(OFFSET(A$1,,,SUMPRODUCT(MAX(ROW(E$1:E3116)*(E2=E$1:E3116))))))</f>
        <v> </v>
      </c>
      <c r="K3117" s="26" t="str">
        <f>IF(OR(E3117="",E3117="!!!",F3117="NEW"),"",INDEX(J$1:J3116,SUMPRODUCT(MAX(ROW(E$1:E3116)*(E3117=E$1:E3116)))))</f>
        <v> </v>
      </c>
      <c r="L3117" s="27"/>
    </row>
    <row r="3118" spans="1:12">
      <c r="A3118" s="20" t="s">
        <v>1842</v>
      </c>
    </row>
    <row r="3119" spans="1:12">
      <c r="A3119" s="20" t="s">
        <v>1117</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750</v>
      </c>
      <c r="B3120" s="21" t="s">
        <v>796</v>
      </c>
      <c r="C3120" s="21" t="s">
        <v>729</v>
      </c>
      <c r="D3120" s="21" t="s">
        <v>730</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t="s">
        <v>1217</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t="s">
        <v>1843</v>
      </c>
      <c r="E3122" s="22">
        <f>IF(D3122="?OLD","!!!","")</f>
        <v/>
      </c>
      <c r="F3122" s="23" t="str">
        <f>IF(OR(E3122="",E3122="!!!"),"",IF(NOT(ISNA(VLOOKUP(E3122,E$1:E3121,1,FALSE()))),"OLD",IF(AND(E3122&lt;&gt;"",E3122&lt;&gt;"!!!"),"NEW","")))</f>
        <v> </v>
      </c>
      <c r="G3122" s="24" t="str">
        <f>IF(OR(E3122="",E3122="!!!"),"",IF(OR(J3122=0,AND(J3122=1,K3122=1),AND(J3122=1,I3122="SBJ"),AND(J3122=1,I3122=0)),"?IN_FOCUS",IF(J3122&lt;=2,"?ACTIVATED",IF(J3122&lt;&gt;"","?FAMILIAR",IF(F3122="NEW",IF(ISNA(VLOOKUP(E3122,#REF!,1,FALSE())),"?TYPE_IDENTIFIABLE","?REFERENTIAL"),"_")))))</f>
        <v> </v>
      </c>
      <c r="H3122" s="25" t="str">
        <f>IF(J3122&lt;&gt;1,"",IF(I3122="SBJ","CB","?"))</f>
        <v> </v>
      </c>
      <c r="I3122" s="26" t="str">
        <f>IF(OR(E3122="",E3122="!!!",F3122="NEW"),"",INDEX(B3121:B$2,-1+SUMPRODUCT(MAX(ROW(E3121:E$2)*(E3122=E3121:E$2)))))</f>
        <v> </v>
      </c>
      <c r="J3122" s="26" t="str">
        <f>IF(OR(E3122="",E3122="!!!",F3122="NEW"),"",COUNTBLANK(OFFSET(A$1,,,SUMPRODUCT(MAX(ROW(E$2:E3122)*(E3122=E$2:E3122)))))-COUNTBLANK(OFFSET(A$1,,,SUMPRODUCT(MAX(ROW(E$1:E3121)*(E2=E$1:E3121))))))</f>
        <v> </v>
      </c>
      <c r="K3122" s="26" t="str">
        <f>IF(OR(E3122="",E3122="!!!",F3122="NEW"),"",INDEX(J$1:J3121,SUMPRODUCT(MAX(ROW(E$1:E3121)*(E3122=E$1:E3121)))))</f>
        <v> </v>
      </c>
      <c r="L3122" s="27"/>
    </row>
    <row r="3123" spans="1:12">
      <c r="A3123" s="20" t="s">
        <v>759</v>
      </c>
      <c r="E3123" s="22">
        <f>IF(D3123="?OLD","!!!","")</f>
        <v/>
      </c>
      <c r="F3123" s="23" t="str">
        <f>IF(OR(E3123="",E3123="!!!"),"",IF(NOT(ISNA(VLOOKUP(E3123,E$1:E3122,1,FALSE()))),"OLD",IF(AND(E3123&lt;&gt;"",E3123&lt;&gt;"!!!"),"NEW","")))</f>
        <v> </v>
      </c>
      <c r="G3123" s="24" t="str">
        <f>IF(OR(E3123="",E3123="!!!"),"",IF(OR(J3123=0,AND(J3123=1,K3123=1),AND(J3123=1,I3123="SBJ"),AND(J3123=1,I3123=0)),"?IN_FOCUS",IF(J3123&lt;=2,"?ACTIVATED",IF(J3123&lt;&gt;"","?FAMILIAR",IF(F3123="NEW",IF(ISNA(VLOOKUP(E3123,#REF!,1,FALSE())),"?TYPE_IDENTIFIABLE","?REFERENTIAL"),"_")))))</f>
        <v> </v>
      </c>
      <c r="H3123" s="25" t="str">
        <f>IF(J3123&lt;&gt;1,"",IF(I3123="SBJ","CB","?"))</f>
        <v> </v>
      </c>
      <c r="I3123" s="26" t="str">
        <f>IF(OR(E3123="",E3123="!!!",F3123="NEW"),"",INDEX(B3122:B$2,-1+SUMPRODUCT(MAX(ROW(E3122:E$2)*(E3123=E3122:E$2)))))</f>
        <v> </v>
      </c>
      <c r="J3123" s="26" t="str">
        <f>IF(OR(E3123="",E3123="!!!",F3123="NEW"),"",COUNTBLANK(OFFSET(A$1,,,SUMPRODUCT(MAX(ROW(E$2:E3123)*(E3123=E$2:E3123)))))-COUNTBLANK(OFFSET(A$1,,,SUMPRODUCT(MAX(ROW(E$1:E3122)*(E2=E$1:E3122))))))</f>
        <v> </v>
      </c>
      <c r="K3123" s="26" t="str">
        <f>IF(OR(E3123="",E3123="!!!",F3123="NEW"),"",INDEX(J$1:J3122,SUMPRODUCT(MAX(ROW(E$1:E3122)*(E3123=E$1:E3122)))))</f>
        <v> </v>
      </c>
      <c r="L3123" s="27"/>
    </row>
    <row r="3124" spans="1:12">
      <c r="A3124" s="20" t="s">
        <v>839</v>
      </c>
      <c r="E3124" s="22">
        <f>IF(D3124="?OLD","!!!","")</f>
        <v/>
      </c>
      <c r="F3124" s="23" t="str">
        <f>IF(OR(E3124="",E3124="!!!"),"",IF(NOT(ISNA(VLOOKUP(E3124,E$1:E3123,1,FALSE()))),"OLD",IF(AND(E3124&lt;&gt;"",E3124&lt;&gt;"!!!"),"NEW","")))</f>
        <v> </v>
      </c>
      <c r="G3124" s="24" t="str">
        <f>IF(OR(E3124="",E3124="!!!"),"",IF(OR(J3124=0,AND(J3124=1,K3124=1),AND(J3124=1,I3124="SBJ"),AND(J3124=1,I3124=0)),"?IN_FOCUS",IF(J3124&lt;=2,"?ACTIVATED",IF(J3124&lt;&gt;"","?FAMILIAR",IF(F3124="NEW",IF(ISNA(VLOOKUP(E3124,#REF!,1,FALSE())),"?TYPE_IDENTIFIABLE","?REFERENTIAL"),"_")))))</f>
        <v> </v>
      </c>
      <c r="H3124" s="25" t="str">
        <f>IF(J3124&lt;&gt;1,"",IF(I3124="SBJ","CB","?"))</f>
        <v> </v>
      </c>
      <c r="I3124" s="26" t="str">
        <f>IF(OR(E3124="",E3124="!!!",F3124="NEW"),"",INDEX(B3123:B$2,-1+SUMPRODUCT(MAX(ROW(E3123:E$2)*(E3124=E3123:E$2)))))</f>
        <v> </v>
      </c>
      <c r="J3124" s="26" t="str">
        <f>IF(OR(E3124="",E3124="!!!",F3124="NEW"),"",COUNTBLANK(OFFSET(A$1,,,SUMPRODUCT(MAX(ROW(E$2:E3124)*(E3124=E$2:E3124)))))-COUNTBLANK(OFFSET(A$1,,,SUMPRODUCT(MAX(ROW(E$1:E3123)*(E2=E$1:E3123))))))</f>
        <v> </v>
      </c>
      <c r="K3124" s="26" t="str">
        <f>IF(OR(E3124="",E3124="!!!",F3124="NEW"),"",INDEX(J$1:J3123,SUMPRODUCT(MAX(ROW(E$1:E3123)*(E3124=E$1:E3123)))))</f>
        <v> </v>
      </c>
      <c r="L3124" s="27"/>
    </row>
    <row r="3125" spans="1:12">
      <c r="A3125" s="20" t="s">
        <v>1027</v>
      </c>
      <c r="B3125" s="21" t="s">
        <v>783</v>
      </c>
      <c r="C3125" s="21" t="s">
        <v>746</v>
      </c>
      <c r="D3125" s="21" t="s">
        <v>730</v>
      </c>
      <c r="E3125" s="22">
        <f>IF(D3125="?OLD","!!!","")</f>
        <v/>
      </c>
      <c r="F3125" s="23" t="str">
        <f>IF(OR(E3125="",E3125="!!!"),"",IF(NOT(ISNA(VLOOKUP(E3125,E$1:E3124,1,FALSE()))),"OLD",IF(AND(E3125&lt;&gt;"",E3125&lt;&gt;"!!!"),"NEW","")))</f>
        <v> </v>
      </c>
      <c r="G3125" s="24" t="str">
        <f>IF(OR(E3125="",E3125="!!!"),"",IF(OR(J3125=0,AND(J3125=1,K3125=1),AND(J3125=1,I3125="SBJ"),AND(J3125=1,I3125=0)),"?IN_FOCUS",IF(J3125&lt;=2,"?ACTIVATED",IF(J3125&lt;&gt;"","?FAMILIAR",IF(F3125="NEW",IF(ISNA(VLOOKUP(E3125,#REF!,1,FALSE())),"?TYPE_IDENTIFIABLE","?REFERENTIAL"),"_")))))</f>
        <v> </v>
      </c>
      <c r="H3125" s="25" t="str">
        <f>IF(J3125&lt;&gt;1,"",IF(I3125="SBJ","CB","?"))</f>
        <v> </v>
      </c>
      <c r="I3125" s="26" t="str">
        <f>IF(OR(E3125="",E3125="!!!",F3125="NEW"),"",INDEX(B3124:B$2,-1+SUMPRODUCT(MAX(ROW(E3124:E$2)*(E3125=E3124:E$2)))))</f>
        <v> </v>
      </c>
      <c r="J3125" s="26" t="str">
        <f>IF(OR(E3125="",E3125="!!!",F3125="NEW"),"",COUNTBLANK(OFFSET(A$1,,,SUMPRODUCT(MAX(ROW(E$2:E3125)*(E3125=E$2:E3125)))))-COUNTBLANK(OFFSET(A$1,,,SUMPRODUCT(MAX(ROW(E$1:E3124)*(E2=E$1:E3124))))))</f>
        <v> </v>
      </c>
      <c r="K3125" s="26" t="str">
        <f>IF(OR(E3125="",E3125="!!!",F3125="NEW"),"",INDEX(J$1:J3124,SUMPRODUCT(MAX(ROW(E$1:E3124)*(E3125=E$1:E3124)))))</f>
        <v> </v>
      </c>
      <c r="L3125" s="27"/>
    </row>
    <row r="3126" spans="1:12">
      <c r="A3126" s="20" t="s">
        <v>1017</v>
      </c>
      <c r="E3126" s="22">
        <f>IF(D3126="?OLD","!!!","")</f>
        <v/>
      </c>
      <c r="F3126" s="23" t="str">
        <f>IF(OR(E3126="",E3126="!!!"),"",IF(NOT(ISNA(VLOOKUP(E3126,E$1:E3125,1,FALSE()))),"OLD",IF(AND(E3126&lt;&gt;"",E3126&lt;&gt;"!!!"),"NEW","")))</f>
        <v> </v>
      </c>
      <c r="G3126" s="24" t="str">
        <f>IF(OR(E3126="",E3126="!!!"),"",IF(OR(J3126=0,AND(J3126=1,K3126=1),AND(J3126=1,I3126="SBJ"),AND(J3126=1,I3126=0)),"?IN_FOCUS",IF(J3126&lt;=2,"?ACTIVATED",IF(J3126&lt;&gt;"","?FAMILIAR",IF(F3126="NEW",IF(ISNA(VLOOKUP(E3126,#REF!,1,FALSE())),"?TYPE_IDENTIFIABLE","?REFERENTIAL"),"_")))))</f>
        <v> </v>
      </c>
      <c r="H3126" s="25" t="str">
        <f>IF(J3126&lt;&gt;1,"",IF(I3126="SBJ","CB","?"))</f>
        <v> </v>
      </c>
      <c r="I3126" s="26" t="str">
        <f>IF(OR(E3126="",E3126="!!!",F3126="NEW"),"",INDEX(B3125:B$2,-1+SUMPRODUCT(MAX(ROW(E3125:E$2)*(E3126=E3125:E$2)))))</f>
        <v> </v>
      </c>
      <c r="J3126" s="26" t="str">
        <f>IF(OR(E3126="",E3126="!!!",F3126="NEW"),"",COUNTBLANK(OFFSET(A$1,,,SUMPRODUCT(MAX(ROW(E$2:E3126)*(E3126=E$2:E3126)))))-COUNTBLANK(OFFSET(A$1,,,SUMPRODUCT(MAX(ROW(E$1:E3125)*(E2=E$1:E3125))))))</f>
        <v> </v>
      </c>
      <c r="K3126" s="26" t="str">
        <f>IF(OR(E3126="",E3126="!!!",F3126="NEW"),"",INDEX(J$1:J3125,SUMPRODUCT(MAX(ROW(E$1:E3125)*(E3126=E$1:E3125)))))</f>
        <v> </v>
      </c>
      <c r="L3126" s="27"/>
    </row>
    <row r="3127" spans="1:12">
      <c r="A3127" s="20" t="s">
        <v>1168</v>
      </c>
      <c r="B3127" s="21" t="s">
        <v>755</v>
      </c>
      <c r="C3127" s="21" t="s">
        <v>748</v>
      </c>
      <c r="E3127" s="22">
        <f>IF(D3127="?OLD","!!!","")</f>
        <v/>
      </c>
      <c r="F3127" s="23" t="str">
        <f>IF(OR(E3127="",E3127="!!!"),"",IF(NOT(ISNA(VLOOKUP(E3127,E$1:E3126,1,FALSE()))),"OLD",IF(AND(E3127&lt;&gt;"",E3127&lt;&gt;"!!!"),"NEW","")))</f>
        <v> </v>
      </c>
      <c r="G3127" s="24" t="str">
        <f>IF(OR(E3127="",E3127="!!!"),"",IF(OR(J3127=0,AND(J3127=1,K3127=1),AND(J3127=1,I3127="SBJ"),AND(J3127=1,I3127=0)),"?IN_FOCUS",IF(J3127&lt;=2,"?ACTIVATED",IF(J3127&lt;&gt;"","?FAMILIAR",IF(F3127="NEW",IF(ISNA(VLOOKUP(E3127,#REF!,1,FALSE())),"?TYPE_IDENTIFIABLE","?REFERENTIAL"),"_")))))</f>
        <v> </v>
      </c>
      <c r="H3127" s="25" t="str">
        <f>IF(J3127&lt;&gt;1,"",IF(I3127="SBJ","CB","?"))</f>
        <v> </v>
      </c>
      <c r="I3127" s="26" t="str">
        <f>IF(OR(E3127="",E3127="!!!",F3127="NEW"),"",INDEX(B3126:B$2,-1+SUMPRODUCT(MAX(ROW(E3126:E$2)*(E3127=E3126:E$2)))))</f>
        <v> </v>
      </c>
      <c r="J3127" s="26" t="str">
        <f>IF(OR(E3127="",E3127="!!!",F3127="NEW"),"",COUNTBLANK(OFFSET(A$1,,,SUMPRODUCT(MAX(ROW(E$2:E3127)*(E3127=E$2:E3127)))))-COUNTBLANK(OFFSET(A$1,,,SUMPRODUCT(MAX(ROW(E$1:E3126)*(E2=E$1:E3126))))))</f>
        <v> </v>
      </c>
      <c r="K3127" s="26" t="str">
        <f>IF(OR(E3127="",E3127="!!!",F3127="NEW"),"",INDEX(J$1:J3126,SUMPRODUCT(MAX(ROW(E$1:E3126)*(E3127=E$1:E3126)))))</f>
        <v> </v>
      </c>
      <c r="L3127" s="27"/>
    </row>
    <row r="3128" spans="1:12">
      <c r="A3128" s="20" t="s">
        <v>817</v>
      </c>
      <c r="E3128" s="22">
        <f>IF(D3128="?OLD","!!!","")</f>
        <v/>
      </c>
      <c r="F3128" s="23" t="str">
        <f>IF(OR(E3128="",E3128="!!!"),"",IF(NOT(ISNA(VLOOKUP(E3128,E$1:E3127,1,FALSE()))),"OLD",IF(AND(E3128&lt;&gt;"",E3128&lt;&gt;"!!!"),"NEW","")))</f>
        <v> </v>
      </c>
      <c r="G3128" s="24" t="str">
        <f>IF(OR(E3128="",E3128="!!!"),"",IF(OR(J3128=0,AND(J3128=1,K3128=1),AND(J3128=1,I3128="SBJ"),AND(J3128=1,I3128=0)),"?IN_FOCUS",IF(J3128&lt;=2,"?ACTIVATED",IF(J3128&lt;&gt;"","?FAMILIAR",IF(F3128="NEW",IF(ISNA(VLOOKUP(E3128,#REF!,1,FALSE())),"?TYPE_IDENTIFIABLE","?REFERENTIAL"),"_")))))</f>
        <v> </v>
      </c>
      <c r="H3128" s="25" t="str">
        <f>IF(J3128&lt;&gt;1,"",IF(I3128="SBJ","CB","?"))</f>
        <v> </v>
      </c>
      <c r="I3128" s="26" t="str">
        <f>IF(OR(E3128="",E3128="!!!",F3128="NEW"),"",INDEX(B3127:B$2,-1+SUMPRODUCT(MAX(ROW(E3127:E$2)*(E3128=E3127:E$2)))))</f>
        <v> </v>
      </c>
      <c r="J3128" s="26" t="str">
        <f>IF(OR(E3128="",E3128="!!!",F3128="NEW"),"",COUNTBLANK(OFFSET(A$1,,,SUMPRODUCT(MAX(ROW(E$2:E3128)*(E3128=E$2:E3128)))))-COUNTBLANK(OFFSET(A$1,,,SUMPRODUCT(MAX(ROW(E$1:E3127)*(E2=E$1:E3127))))))</f>
        <v> </v>
      </c>
      <c r="K3128" s="26" t="str">
        <f>IF(OR(E3128="",E3128="!!!",F3128="NEW"),"",INDEX(J$1:J3127,SUMPRODUCT(MAX(ROW(E$1:E3127)*(E3128=E$1:E3127)))))</f>
        <v> </v>
      </c>
      <c r="L3128" s="27"/>
    </row>
    <row r="3129" spans="1:12">
      <c r="A3129" s="20" t="s">
        <v>1316</v>
      </c>
      <c r="B3129" s="21" t="s">
        <v>783</v>
      </c>
      <c r="C3129" s="21" t="s">
        <v>740</v>
      </c>
      <c r="D3129" s="21" t="s">
        <v>730</v>
      </c>
      <c r="E3129" s="22">
        <f>IF(D3129="?OLD","!!!","")</f>
        <v/>
      </c>
      <c r="F3129" s="23" t="str">
        <f>IF(OR(E3129="",E3129="!!!"),"",IF(NOT(ISNA(VLOOKUP(E3129,E$1:E3128,1,FALSE()))),"OLD",IF(AND(E3129&lt;&gt;"",E3129&lt;&gt;"!!!"),"NEW","")))</f>
        <v> </v>
      </c>
      <c r="G3129" s="24" t="str">
        <f>IF(OR(E3129="",E3129="!!!"),"",IF(OR(J3129=0,AND(J3129=1,K3129=1),AND(J3129=1,I3129="SBJ"),AND(J3129=1,I3129=0)),"?IN_FOCUS",IF(J3129&lt;=2,"?ACTIVATED",IF(J3129&lt;&gt;"","?FAMILIAR",IF(F3129="NEW",IF(ISNA(VLOOKUP(E3129,#REF!,1,FALSE())),"?TYPE_IDENTIFIABLE","?REFERENTIAL"),"_")))))</f>
        <v> </v>
      </c>
      <c r="H3129" s="25" t="str">
        <f>IF(J3129&lt;&gt;1,"",IF(I3129="SBJ","CB","?"))</f>
        <v> </v>
      </c>
      <c r="I3129" s="26" t="str">
        <f>IF(OR(E3129="",E3129="!!!",F3129="NEW"),"",INDEX(B3128:B$2,-1+SUMPRODUCT(MAX(ROW(E3128:E$2)*(E3129=E3128:E$2)))))</f>
        <v> </v>
      </c>
      <c r="J3129" s="26" t="str">
        <f>IF(OR(E3129="",E3129="!!!",F3129="NEW"),"",COUNTBLANK(OFFSET(A$1,,,SUMPRODUCT(MAX(ROW(E$2:E3129)*(E3129=E$2:E3129)))))-COUNTBLANK(OFFSET(A$1,,,SUMPRODUCT(MAX(ROW(E$1:E3128)*(E2=E$1:E3128))))))</f>
        <v> </v>
      </c>
      <c r="K3129" s="26" t="str">
        <f>IF(OR(E3129="",E3129="!!!",F3129="NEW"),"",INDEX(J$1:J3128,SUMPRODUCT(MAX(ROW(E$1:E3128)*(E3129=E$1:E3128)))))</f>
        <v> </v>
      </c>
      <c r="L3129" s="27"/>
    </row>
    <row r="3130" spans="1:12">
      <c r="A3130" s="20" t="s">
        <v>817</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t="s">
        <v>754</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t="s">
        <v>529</v>
      </c>
      <c r="E3132" s="22">
        <f>IF(D3132="?OLD","!!!","")</f>
        <v/>
      </c>
      <c r="F3132" s="23" t="str">
        <f>IF(OR(E3132="",E3132="!!!"),"",IF(NOT(ISNA(VLOOKUP(E3132,E$1:E3131,1,FALSE()))),"OLD",IF(AND(E3132&lt;&gt;"",E3132&lt;&gt;"!!!"),"NEW","")))</f>
        <v> </v>
      </c>
      <c r="G3132" s="24" t="str">
        <f>IF(OR(E3132="",E3132="!!!"),"",IF(OR(J3132=0,AND(J3132=1,K3132=1),AND(J3132=1,I3132="SBJ"),AND(J3132=1,I3132=0)),"?IN_FOCUS",IF(J3132&lt;=2,"?ACTIVATED",IF(J3132&lt;&gt;"","?FAMILIAR",IF(F3132="NEW",IF(ISNA(VLOOKUP(E3132,#REF!,1,FALSE())),"?TYPE_IDENTIFIABLE","?REFERENTIAL"),"_")))))</f>
        <v> </v>
      </c>
      <c r="H3132" s="25" t="str">
        <f>IF(J3132&lt;&gt;1,"",IF(I3132="SBJ","CB","?"))</f>
        <v> </v>
      </c>
      <c r="I3132" s="26" t="str">
        <f>IF(OR(E3132="",E3132="!!!",F3132="NEW"),"",INDEX(B3131:B$2,-1+SUMPRODUCT(MAX(ROW(E3131:E$2)*(E3132=E3131:E$2)))))</f>
        <v> </v>
      </c>
      <c r="J3132" s="26" t="str">
        <f>IF(OR(E3132="",E3132="!!!",F3132="NEW"),"",COUNTBLANK(OFFSET(A$1,,,SUMPRODUCT(MAX(ROW(E$2:E3132)*(E3132=E$2:E3132)))))-COUNTBLANK(OFFSET(A$1,,,SUMPRODUCT(MAX(ROW(E$1:E3131)*(E2=E$1:E3131))))))</f>
        <v> </v>
      </c>
      <c r="K3132" s="26" t="str">
        <f>IF(OR(E3132="",E3132="!!!",F3132="NEW"),"",INDEX(J$1:J3131,SUMPRODUCT(MAX(ROW(E$1:E3131)*(E3132=E$1:E3131)))))</f>
        <v> </v>
      </c>
      <c r="L3132" s="27"/>
    </row>
    <row r="3133" spans="1:12">
      <c r="A3133" s="20" t="s">
        <v>759</v>
      </c>
      <c r="E3133" s="22">
        <f>IF(D3133="?OLD","!!!","")</f>
        <v/>
      </c>
      <c r="F3133" s="23" t="str">
        <f>IF(OR(E3133="",E3133="!!!"),"",IF(NOT(ISNA(VLOOKUP(E3133,E$1:E3132,1,FALSE()))),"OLD",IF(AND(E3133&lt;&gt;"",E3133&lt;&gt;"!!!"),"NEW","")))</f>
        <v> </v>
      </c>
      <c r="G3133" s="24" t="str">
        <f>IF(OR(E3133="",E3133="!!!"),"",IF(OR(J3133=0,AND(J3133=1,K3133=1),AND(J3133=1,I3133="SBJ"),AND(J3133=1,I3133=0)),"?IN_FOCUS",IF(J3133&lt;=2,"?ACTIVATED",IF(J3133&lt;&gt;"","?FAMILIAR",IF(F3133="NEW",IF(ISNA(VLOOKUP(E3133,#REF!,1,FALSE())),"?TYPE_IDENTIFIABLE","?REFERENTIAL"),"_")))))</f>
        <v> </v>
      </c>
      <c r="H3133" s="25" t="str">
        <f>IF(J3133&lt;&gt;1,"",IF(I3133="SBJ","CB","?"))</f>
        <v> </v>
      </c>
      <c r="I3133" s="26" t="str">
        <f>IF(OR(E3133="",E3133="!!!",F3133="NEW"),"",INDEX(B3132:B$2,-1+SUMPRODUCT(MAX(ROW(E3132:E$2)*(E3133=E3132:E$2)))))</f>
        <v> </v>
      </c>
      <c r="J3133" s="26" t="str">
        <f>IF(OR(E3133="",E3133="!!!",F3133="NEW"),"",COUNTBLANK(OFFSET(A$1,,,SUMPRODUCT(MAX(ROW(E$2:E3133)*(E3133=E$2:E3133)))))-COUNTBLANK(OFFSET(A$1,,,SUMPRODUCT(MAX(ROW(E$1:E3132)*(E2=E$1:E3132))))))</f>
        <v> </v>
      </c>
      <c r="K3133" s="26" t="str">
        <f>IF(OR(E3133="",E3133="!!!",F3133="NEW"),"",INDEX(J$1:J3132,SUMPRODUCT(MAX(ROW(E$1:E3132)*(E3133=E$1:E3132)))))</f>
        <v> </v>
      </c>
      <c r="L3133" s="27"/>
    </row>
    <row r="3134" spans="1:12">
      <c r="A3134" s="20" t="s">
        <v>1844</v>
      </c>
      <c r="E3134" s="22">
        <f>IF(D3134="?OLD","!!!","")</f>
        <v/>
      </c>
      <c r="F3134" s="23" t="str">
        <f>IF(OR(E3134="",E3134="!!!"),"",IF(NOT(ISNA(VLOOKUP(E3134,E$1:E3133,1,FALSE()))),"OLD",IF(AND(E3134&lt;&gt;"",E3134&lt;&gt;"!!!"),"NEW","")))</f>
        <v> </v>
      </c>
      <c r="G3134" s="24" t="str">
        <f>IF(OR(E3134="",E3134="!!!"),"",IF(OR(J3134=0,AND(J3134=1,K3134=1),AND(J3134=1,I3134="SBJ"),AND(J3134=1,I3134=0)),"?IN_FOCUS",IF(J3134&lt;=2,"?ACTIVATED",IF(J3134&lt;&gt;"","?FAMILIAR",IF(F3134="NEW",IF(ISNA(VLOOKUP(E3134,#REF!,1,FALSE())),"?TYPE_IDENTIFIABLE","?REFERENTIAL"),"_")))))</f>
        <v> </v>
      </c>
      <c r="H3134" s="25" t="str">
        <f>IF(J3134&lt;&gt;1,"",IF(I3134="SBJ","CB","?"))</f>
        <v> </v>
      </c>
      <c r="I3134" s="26" t="str">
        <f>IF(OR(E3134="",E3134="!!!",F3134="NEW"),"",INDEX(B3133:B$2,-1+SUMPRODUCT(MAX(ROW(E3133:E$2)*(E3134=E3133:E$2)))))</f>
        <v> </v>
      </c>
      <c r="J3134" s="26" t="str">
        <f>IF(OR(E3134="",E3134="!!!",F3134="NEW"),"",COUNTBLANK(OFFSET(A$1,,,SUMPRODUCT(MAX(ROW(E$2:E3134)*(E3134=E$2:E3134)))))-COUNTBLANK(OFFSET(A$1,,,SUMPRODUCT(MAX(ROW(E$1:E3133)*(E2=E$1:E3133))))))</f>
        <v> </v>
      </c>
      <c r="K3134" s="26" t="str">
        <f>IF(OR(E3134="",E3134="!!!",F3134="NEW"),"",INDEX(J$1:J3133,SUMPRODUCT(MAX(ROW(E$1:E3133)*(E3134=E$1:E3133)))))</f>
        <v> </v>
      </c>
      <c r="L3134" s="27"/>
    </row>
    <row r="3135" spans="1:12">
      <c r="A3135" s="20" t="s">
        <v>750</v>
      </c>
      <c r="B3135" s="21" t="s">
        <v>728</v>
      </c>
      <c r="C3135" s="21" t="s">
        <v>729</v>
      </c>
      <c r="D3135" s="21" t="s">
        <v>730</v>
      </c>
      <c r="E3135" s="22">
        <f>IF(D3135="?OLD","!!!","")</f>
        <v/>
      </c>
      <c r="F3135" s="23" t="str">
        <f>IF(OR(E3135="",E3135="!!!"),"",IF(NOT(ISNA(VLOOKUP(E3135,E$1:E3134,1,FALSE()))),"OLD",IF(AND(E3135&lt;&gt;"",E3135&lt;&gt;"!!!"),"NEW","")))</f>
        <v> </v>
      </c>
      <c r="G3135" s="24" t="str">
        <f>IF(OR(E3135="",E3135="!!!"),"",IF(OR(J3135=0,AND(J3135=1,K3135=1),AND(J3135=1,I3135="SBJ"),AND(J3135=1,I3135=0)),"?IN_FOCUS",IF(J3135&lt;=2,"?ACTIVATED",IF(J3135&lt;&gt;"","?FAMILIAR",IF(F3135="NEW",IF(ISNA(VLOOKUP(E3135,#REF!,1,FALSE())),"?TYPE_IDENTIFIABLE","?REFERENTIAL"),"_")))))</f>
        <v> </v>
      </c>
      <c r="H3135" s="25" t="str">
        <f>IF(J3135&lt;&gt;1,"",IF(I3135="SBJ","CB","?"))</f>
        <v> </v>
      </c>
      <c r="I3135" s="26" t="str">
        <f>IF(OR(E3135="",E3135="!!!",F3135="NEW"),"",INDEX(B3134:B$2,-1+SUMPRODUCT(MAX(ROW(E3134:E$2)*(E3135=E3134:E$2)))))</f>
        <v> </v>
      </c>
      <c r="J3135" s="26" t="str">
        <f>IF(OR(E3135="",E3135="!!!",F3135="NEW"),"",COUNTBLANK(OFFSET(A$1,,,SUMPRODUCT(MAX(ROW(E$2:E3135)*(E3135=E$2:E3135)))))-COUNTBLANK(OFFSET(A$1,,,SUMPRODUCT(MAX(ROW(E$1:E3134)*(E2=E$1:E3134))))))</f>
        <v> </v>
      </c>
      <c r="K3135" s="26" t="str">
        <f>IF(OR(E3135="",E3135="!!!",F3135="NEW"),"",INDEX(J$1:J3134,SUMPRODUCT(MAX(ROW(E$1:E3134)*(E3135=E$1:E3134)))))</f>
        <v> </v>
      </c>
      <c r="L3135" s="27"/>
    </row>
    <row r="3136" spans="1:12">
      <c r="A3136" s="20" t="s">
        <v>1845</v>
      </c>
      <c r="B3136" s="21" t="s">
        <v>791</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1739</v>
      </c>
      <c r="B3137" s="21" t="s">
        <v>791</v>
      </c>
      <c r="C3137" s="21" t="s">
        <v>748</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t="s">
        <v>1846</v>
      </c>
      <c r="E3138" s="22">
        <f>IF(D3138="?OLD","!!!","")</f>
        <v/>
      </c>
      <c r="F3138" s="23" t="str">
        <f>IF(OR(E3138="",E3138="!!!"),"",IF(NOT(ISNA(VLOOKUP(E3138,E$1:E3137,1,FALSE()))),"OLD",IF(AND(E3138&lt;&gt;"",E3138&lt;&gt;"!!!"),"NEW","")))</f>
        <v> </v>
      </c>
      <c r="G3138" s="24" t="str">
        <f>IF(OR(E3138="",E3138="!!!"),"",IF(OR(J3138=0,AND(J3138=1,K3138=1),AND(J3138=1,I3138="SBJ"),AND(J3138=1,I3138=0)),"?IN_FOCUS",IF(J3138&lt;=2,"?ACTIVATED",IF(J3138&lt;&gt;"","?FAMILIAR",IF(F3138="NEW",IF(ISNA(VLOOKUP(E3138,#REF!,1,FALSE())),"?TYPE_IDENTIFIABLE","?REFERENTIAL"),"_")))))</f>
        <v> </v>
      </c>
      <c r="H3138" s="25" t="str">
        <f>IF(J3138&lt;&gt;1,"",IF(I3138="SBJ","CB","?"))</f>
        <v> </v>
      </c>
      <c r="I3138" s="26" t="str">
        <f>IF(OR(E3138="",E3138="!!!",F3138="NEW"),"",INDEX(B3137:B$2,-1+SUMPRODUCT(MAX(ROW(E3137:E$2)*(E3138=E3137:E$2)))))</f>
        <v> </v>
      </c>
      <c r="J3138" s="26" t="str">
        <f>IF(OR(E3138="",E3138="!!!",F3138="NEW"),"",COUNTBLANK(OFFSET(A$1,,,SUMPRODUCT(MAX(ROW(E$2:E3138)*(E3138=E$2:E3138)))))-COUNTBLANK(OFFSET(A$1,,,SUMPRODUCT(MAX(ROW(E$1:E3137)*(E2=E$1:E3137))))))</f>
        <v> </v>
      </c>
      <c r="K3138" s="26" t="str">
        <f>IF(OR(E3138="",E3138="!!!",F3138="NEW"),"",INDEX(J$1:J3137,SUMPRODUCT(MAX(ROW(E$1:E3137)*(E3138=E$1:E3137)))))</f>
        <v> </v>
      </c>
      <c r="L3138" s="27"/>
    </row>
    <row r="3139" spans="1:12">
      <c r="A3139" s="20" t="s">
        <v>759</v>
      </c>
      <c r="E3139" s="22">
        <f>IF(D3139="?OLD","!!!","")</f>
        <v/>
      </c>
      <c r="F3139" s="23" t="str">
        <f>IF(OR(E3139="",E3139="!!!"),"",IF(NOT(ISNA(VLOOKUP(E3139,E$1:E3138,1,FALSE()))),"OLD",IF(AND(E3139&lt;&gt;"",E3139&lt;&gt;"!!!"),"NEW","")))</f>
        <v> </v>
      </c>
      <c r="G3139" s="24" t="str">
        <f>IF(OR(E3139="",E3139="!!!"),"",IF(OR(J3139=0,AND(J3139=1,K3139=1),AND(J3139=1,I3139="SBJ"),AND(J3139=1,I3139=0)),"?IN_FOCUS",IF(J3139&lt;=2,"?ACTIVATED",IF(J3139&lt;&gt;"","?FAMILIAR",IF(F3139="NEW",IF(ISNA(VLOOKUP(E3139,#REF!,1,FALSE())),"?TYPE_IDENTIFIABLE","?REFERENTIAL"),"_")))))</f>
        <v> </v>
      </c>
      <c r="H3139" s="25" t="str">
        <f>IF(J3139&lt;&gt;1,"",IF(I3139="SBJ","CB","?"))</f>
        <v> </v>
      </c>
      <c r="I3139" s="26" t="str">
        <f>IF(OR(E3139="",E3139="!!!",F3139="NEW"),"",INDEX(B3138:B$2,-1+SUMPRODUCT(MAX(ROW(E3138:E$2)*(E3139=E3138:E$2)))))</f>
        <v> </v>
      </c>
      <c r="J3139" s="26" t="str">
        <f>IF(OR(E3139="",E3139="!!!",F3139="NEW"),"",COUNTBLANK(OFFSET(A$1,,,SUMPRODUCT(MAX(ROW(E$2:E3139)*(E3139=E$2:E3139)))))-COUNTBLANK(OFFSET(A$1,,,SUMPRODUCT(MAX(ROW(E$1:E3138)*(E2=E$1:E3138))))))</f>
        <v> </v>
      </c>
      <c r="K3139" s="26" t="str">
        <f>IF(OR(E3139="",E3139="!!!",F3139="NEW"),"",INDEX(J$1:J3138,SUMPRODUCT(MAX(ROW(E$1:E3138)*(E3139=E$1:E3138)))))</f>
        <v> </v>
      </c>
      <c r="L3139" s="27"/>
    </row>
    <row r="3140" spans="1:12">
      <c r="A3140" s="20" t="s">
        <v>971</v>
      </c>
      <c r="E3140" s="22">
        <f>IF(D3140="?OLD","!!!","")</f>
        <v/>
      </c>
      <c r="F3140" s="23" t="str">
        <f>IF(OR(E3140="",E3140="!!!"),"",IF(NOT(ISNA(VLOOKUP(E3140,E$1:E3139,1,FALSE()))),"OLD",IF(AND(E3140&lt;&gt;"",E3140&lt;&gt;"!!!"),"NEW","")))</f>
        <v> </v>
      </c>
      <c r="G3140" s="24" t="str">
        <f>IF(OR(E3140="",E3140="!!!"),"",IF(OR(J3140=0,AND(J3140=1,K3140=1),AND(J3140=1,I3140="SBJ"),AND(J3140=1,I3140=0)),"?IN_FOCUS",IF(J3140&lt;=2,"?ACTIVATED",IF(J3140&lt;&gt;"","?FAMILIAR",IF(F3140="NEW",IF(ISNA(VLOOKUP(E3140,#REF!,1,FALSE())),"?TYPE_IDENTIFIABLE","?REFERENTIAL"),"_")))))</f>
        <v> </v>
      </c>
      <c r="H3140" s="25" t="str">
        <f>IF(J3140&lt;&gt;1,"",IF(I3140="SBJ","CB","?"))</f>
        <v> </v>
      </c>
      <c r="I3140" s="26" t="str">
        <f>IF(OR(E3140="",E3140="!!!",F3140="NEW"),"",INDEX(B3139:B$2,-1+SUMPRODUCT(MAX(ROW(E3139:E$2)*(E3140=E3139:E$2)))))</f>
        <v> </v>
      </c>
      <c r="J3140" s="26" t="str">
        <f>IF(OR(E3140="",E3140="!!!",F3140="NEW"),"",COUNTBLANK(OFFSET(A$1,,,SUMPRODUCT(MAX(ROW(E$2:E3140)*(E3140=E$2:E3140)))))-COUNTBLANK(OFFSET(A$1,,,SUMPRODUCT(MAX(ROW(E$1:E3139)*(E2=E$1:E3139))))))</f>
        <v> </v>
      </c>
      <c r="K3140" s="26" t="str">
        <f>IF(OR(E3140="",E3140="!!!",F3140="NEW"),"",INDEX(J$1:J3139,SUMPRODUCT(MAX(ROW(E$1:E3139)*(E3140=E$1:E3139)))))</f>
        <v> </v>
      </c>
      <c r="L3140" s="27"/>
    </row>
    <row r="3141" spans="1:12">
      <c r="A3141" s="20" t="s">
        <v>808</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t="s">
        <v>1450</v>
      </c>
      <c r="B3142" s="21" t="s">
        <v>796</v>
      </c>
      <c r="C3142" s="21" t="s">
        <v>756</v>
      </c>
      <c r="E3142" s="22">
        <f>IF(D3142="?OLD","!!!","")</f>
        <v/>
      </c>
      <c r="F3142" s="23" t="str">
        <f>IF(OR(E3142="",E3142="!!!"),"",IF(NOT(ISNA(VLOOKUP(E3142,E$1:E3141,1,FALSE()))),"OLD",IF(AND(E3142&lt;&gt;"",E3142&lt;&gt;"!!!"),"NEW","")))</f>
        <v> </v>
      </c>
      <c r="G3142" s="24" t="str">
        <f>IF(OR(E3142="",E3142="!!!"),"",IF(OR(J3142=0,AND(J3142=1,K3142=1),AND(J3142=1,I3142="SBJ"),AND(J3142=1,I3142=0)),"?IN_FOCUS",IF(J3142&lt;=2,"?ACTIVATED",IF(J3142&lt;&gt;"","?FAMILIAR",IF(F3142="NEW",IF(ISNA(VLOOKUP(E3142,#REF!,1,FALSE())),"?TYPE_IDENTIFIABLE","?REFERENTIAL"),"_")))))</f>
        <v> </v>
      </c>
      <c r="H3142" s="25" t="str">
        <f>IF(J3142&lt;&gt;1,"",IF(I3142="SBJ","CB","?"))</f>
        <v> </v>
      </c>
      <c r="I3142" s="26" t="str">
        <f>IF(OR(E3142="",E3142="!!!",F3142="NEW"),"",INDEX(B3141:B$2,-1+SUMPRODUCT(MAX(ROW(E3141:E$2)*(E3142=E3141:E$2)))))</f>
        <v> </v>
      </c>
      <c r="J3142" s="26" t="str">
        <f>IF(OR(E3142="",E3142="!!!",F3142="NEW"),"",COUNTBLANK(OFFSET(A$1,,,SUMPRODUCT(MAX(ROW(E$2:E3142)*(E3142=E$2:E3142)))))-COUNTBLANK(OFFSET(A$1,,,SUMPRODUCT(MAX(ROW(E$1:E3141)*(E2=E$1:E3141))))))</f>
        <v> </v>
      </c>
      <c r="K3142" s="26" t="str">
        <f>IF(OR(E3142="",E3142="!!!",F3142="NEW"),"",INDEX(J$1:J3141,SUMPRODUCT(MAX(ROW(E$1:E3141)*(E3142=E$1:E3141)))))</f>
        <v> </v>
      </c>
      <c r="L3142" s="27"/>
    </row>
    <row r="3143" spans="1:12">
      <c r="A3143" s="20" t="s">
        <v>106</v>
      </c>
      <c r="E3143" s="22">
        <f>IF(D3143="?OLD","!!!","")</f>
        <v/>
      </c>
      <c r="F3143" s="23" t="str">
        <f>IF(OR(E3143="",E3143="!!!"),"",IF(NOT(ISNA(VLOOKUP(E3143,E$1:E3142,1,FALSE()))),"OLD",IF(AND(E3143&lt;&gt;"",E3143&lt;&gt;"!!!"),"NEW","")))</f>
        <v> </v>
      </c>
      <c r="G3143" s="24" t="str">
        <f>IF(OR(E3143="",E3143="!!!"),"",IF(OR(J3143=0,AND(J3143=1,K3143=1),AND(J3143=1,I3143="SBJ"),AND(J3143=1,I3143=0)),"?IN_FOCUS",IF(J3143&lt;=2,"?ACTIVATED",IF(J3143&lt;&gt;"","?FAMILIAR",IF(F3143="NEW",IF(ISNA(VLOOKUP(E3143,#REF!,1,FALSE())),"?TYPE_IDENTIFIABLE","?REFERENTIAL"),"_")))))</f>
        <v> </v>
      </c>
      <c r="H3143" s="25" t="str">
        <f>IF(J3143&lt;&gt;1,"",IF(I3143="SBJ","CB","?"))</f>
        <v> </v>
      </c>
      <c r="I3143" s="26" t="str">
        <f>IF(OR(E3143="",E3143="!!!",F3143="NEW"),"",INDEX(B3142:B$2,-1+SUMPRODUCT(MAX(ROW(E3142:E$2)*(E3143=E3142:E$2)))))</f>
        <v> </v>
      </c>
      <c r="J3143" s="26" t="str">
        <f>IF(OR(E3143="",E3143="!!!",F3143="NEW"),"",COUNTBLANK(OFFSET(A$1,,,SUMPRODUCT(MAX(ROW(E$2:E3143)*(E3143=E$2:E3143)))))-COUNTBLANK(OFFSET(A$1,,,SUMPRODUCT(MAX(ROW(E$1:E3142)*(E2=E$1:E3142))))))</f>
        <v> </v>
      </c>
      <c r="K3143" s="26" t="str">
        <f>IF(OR(E3143="",E3143="!!!",F3143="NEW"),"",INDEX(J$1:J3142,SUMPRODUCT(MAX(ROW(E$1:E3142)*(E3143=E$1:E3142)))))</f>
        <v> </v>
      </c>
      <c r="L3143" s="27"/>
    </row>
    <row r="3144" spans="1:12">
      <c r="A3144" s="20" t="s">
        <v>1796</v>
      </c>
      <c r="B3144" s="21" t="s">
        <v>791</v>
      </c>
      <c r="C3144" s="21" t="s">
        <v>852</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1847</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t="s">
        <v>785</v>
      </c>
      <c r="E3146" s="22">
        <f>IF(D3146="?OLD","!!!","")</f>
        <v/>
      </c>
      <c r="F3146" s="23" t="str">
        <f>IF(OR(E3146="",E3146="!!!"),"",IF(NOT(ISNA(VLOOKUP(E3146,E$1:E3145,1,FALSE()))),"OLD",IF(AND(E3146&lt;&gt;"",E3146&lt;&gt;"!!!"),"NEW","")))</f>
        <v> </v>
      </c>
      <c r="G3146" s="24" t="str">
        <f>IF(OR(E3146="",E3146="!!!"),"",IF(OR(J3146=0,AND(J3146=1,K3146=1),AND(J3146=1,I3146="SBJ"),AND(J3146=1,I3146=0)),"?IN_FOCUS",IF(J3146&lt;=2,"?ACTIVATED",IF(J3146&lt;&gt;"","?FAMILIAR",IF(F3146="NEW",IF(ISNA(VLOOKUP(E3146,#REF!,1,FALSE())),"?TYPE_IDENTIFIABLE","?REFERENTIAL"),"_")))))</f>
        <v> </v>
      </c>
      <c r="H3146" s="25" t="str">
        <f>IF(J3146&lt;&gt;1,"",IF(I3146="SBJ","CB","?"))</f>
        <v> </v>
      </c>
      <c r="I3146" s="26" t="str">
        <f>IF(OR(E3146="",E3146="!!!",F3146="NEW"),"",INDEX(B3145:B$2,-1+SUMPRODUCT(MAX(ROW(E3145:E$2)*(E3146=E3145:E$2)))))</f>
        <v> </v>
      </c>
      <c r="J3146" s="26" t="str">
        <f>IF(OR(E3146="",E3146="!!!",F3146="NEW"),"",COUNTBLANK(OFFSET(A$1,,,SUMPRODUCT(MAX(ROW(E$2:E3146)*(E3146=E$2:E3146)))))-COUNTBLANK(OFFSET(A$1,,,SUMPRODUCT(MAX(ROW(E$1:E3145)*(E2=E$1:E3145))))))</f>
        <v> </v>
      </c>
      <c r="K3146" s="26" t="str">
        <f>IF(OR(E3146="",E3146="!!!",F3146="NEW"),"",INDEX(J$1:J3145,SUMPRODUCT(MAX(ROW(E$1:E3145)*(E3146=E$1:E3145)))))</f>
        <v> </v>
      </c>
      <c r="L3146" s="27"/>
    </row>
    <row r="3147" spans="1:12">
      <c r="A3147" s="20" t="s">
        <v>804</v>
      </c>
      <c r="B3147" s="21" t="s">
        <v>843</v>
      </c>
      <c r="E3147" s="22">
        <f>IF(D3147="?OLD","!!!","")</f>
        <v/>
      </c>
      <c r="F3147" s="23" t="str">
        <f>IF(OR(E3147="",E3147="!!!"),"",IF(NOT(ISNA(VLOOKUP(E3147,E$1:E3146,1,FALSE()))),"OLD",IF(AND(E3147&lt;&gt;"",E3147&lt;&gt;"!!!"),"NEW","")))</f>
        <v> </v>
      </c>
      <c r="G3147" s="24" t="str">
        <f>IF(OR(E3147="",E3147="!!!"),"",IF(OR(J3147=0,AND(J3147=1,K3147=1),AND(J3147=1,I3147="SBJ"),AND(J3147=1,I3147=0)),"?IN_FOCUS",IF(J3147&lt;=2,"?ACTIVATED",IF(J3147&lt;&gt;"","?FAMILIAR",IF(F3147="NEW",IF(ISNA(VLOOKUP(E3147,#REF!,1,FALSE())),"?TYPE_IDENTIFIABLE","?REFERENTIAL"),"_")))))</f>
        <v> </v>
      </c>
      <c r="H3147" s="25" t="str">
        <f>IF(J3147&lt;&gt;1,"",IF(I3147="SBJ","CB","?"))</f>
        <v> </v>
      </c>
      <c r="I3147" s="26" t="str">
        <f>IF(OR(E3147="",E3147="!!!",F3147="NEW"),"",INDEX(B3146:B$2,-1+SUMPRODUCT(MAX(ROW(E3146:E$2)*(E3147=E3146:E$2)))))</f>
        <v> </v>
      </c>
      <c r="J3147" s="26" t="str">
        <f>IF(OR(E3147="",E3147="!!!",F3147="NEW"),"",COUNTBLANK(OFFSET(A$1,,,SUMPRODUCT(MAX(ROW(E$2:E3147)*(E3147=E$2:E3147)))))-COUNTBLANK(OFFSET(A$1,,,SUMPRODUCT(MAX(ROW(E$1:E3146)*(E2=E$1:E3146))))))</f>
        <v> </v>
      </c>
      <c r="K3147" s="26" t="str">
        <f>IF(OR(E3147="",E3147="!!!",F3147="NEW"),"",INDEX(J$1:J3146,SUMPRODUCT(MAX(ROW(E$1:E3146)*(E3147=E$1:E3146)))))</f>
        <v> </v>
      </c>
      <c r="L3147" s="27"/>
    </row>
    <row r="3148" spans="1:12">
      <c r="A3148" s="20" t="s">
        <v>773</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751</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1848</v>
      </c>
      <c r="B3150" s="21" t="s">
        <v>755</v>
      </c>
      <c r="C3150" s="21" t="s">
        <v>753</v>
      </c>
      <c r="D3150" s="21" t="s">
        <v>730</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1849</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t="s">
        <v>1841</v>
      </c>
      <c r="B3152" s="21" t="s">
        <v>843</v>
      </c>
      <c r="C3152" s="21" t="s">
        <v>802</v>
      </c>
      <c r="D3152" s="21" t="s">
        <v>730</v>
      </c>
      <c r="E3152" s="22">
        <f>IF(D3152="?OLD","!!!","")</f>
        <v/>
      </c>
      <c r="F3152" s="23" t="str">
        <f>IF(OR(E3152="",E3152="!!!"),"",IF(NOT(ISNA(VLOOKUP(E3152,E$1:E3151,1,FALSE()))),"OLD",IF(AND(E3152&lt;&gt;"",E3152&lt;&gt;"!!!"),"NEW","")))</f>
        <v> </v>
      </c>
      <c r="G3152" s="24" t="str">
        <f>IF(OR(E3152="",E3152="!!!"),"",IF(OR(J3152=0,AND(J3152=1,K3152=1),AND(J3152=1,I3152="SBJ"),AND(J3152=1,I3152=0)),"?IN_FOCUS",IF(J3152&lt;=2,"?ACTIVATED",IF(J3152&lt;&gt;"","?FAMILIAR",IF(F3152="NEW",IF(ISNA(VLOOKUP(E3152,#REF!,1,FALSE())),"?TYPE_IDENTIFIABLE","?REFERENTIAL"),"_")))))</f>
        <v> </v>
      </c>
      <c r="H3152" s="25" t="str">
        <f>IF(J3152&lt;&gt;1,"",IF(I3152="SBJ","CB","?"))</f>
        <v> </v>
      </c>
      <c r="I3152" s="26" t="str">
        <f>IF(OR(E3152="",E3152="!!!",F3152="NEW"),"",INDEX(B3151:B$2,-1+SUMPRODUCT(MAX(ROW(E3151:E$2)*(E3152=E3151:E$2)))))</f>
        <v> </v>
      </c>
      <c r="J3152" s="26" t="str">
        <f>IF(OR(E3152="",E3152="!!!",F3152="NEW"),"",COUNTBLANK(OFFSET(A$1,,,SUMPRODUCT(MAX(ROW(E$2:E3152)*(E3152=E$2:E3152)))))-COUNTBLANK(OFFSET(A$1,,,SUMPRODUCT(MAX(ROW(E$1:E3151)*(E2=E$1:E3151))))))</f>
        <v> </v>
      </c>
      <c r="K3152" s="26" t="str">
        <f>IF(OR(E3152="",E3152="!!!",F3152="NEW"),"",INDEX(J$1:J3151,SUMPRODUCT(MAX(ROW(E$1:E3151)*(E3152=E$1:E3151)))))</f>
        <v> </v>
      </c>
      <c r="L3152" s="27"/>
    </row>
    <row r="3153" spans="1:12">
      <c r="A3153" s="20" t="s">
        <v>1850</v>
      </c>
      <c r="E3153" s="22">
        <f>IF(D3153="?OLD","!!!","")</f>
        <v/>
      </c>
      <c r="F3153" s="23" t="str">
        <f>IF(OR(E3153="",E3153="!!!"),"",IF(NOT(ISNA(VLOOKUP(E3153,E$1:E3152,1,FALSE()))),"OLD",IF(AND(E3153&lt;&gt;"",E3153&lt;&gt;"!!!"),"NEW","")))</f>
        <v> </v>
      </c>
      <c r="G3153" s="24" t="str">
        <f>IF(OR(E3153="",E3153="!!!"),"",IF(OR(J3153=0,AND(J3153=1,K3153=1),AND(J3153=1,I3153="SBJ"),AND(J3153=1,I3153=0)),"?IN_FOCUS",IF(J3153&lt;=2,"?ACTIVATED",IF(J3153&lt;&gt;"","?FAMILIAR",IF(F3153="NEW",IF(ISNA(VLOOKUP(E3153,#REF!,1,FALSE())),"?TYPE_IDENTIFIABLE","?REFERENTIAL"),"_")))))</f>
        <v> </v>
      </c>
      <c r="H3153" s="25" t="str">
        <f>IF(J3153&lt;&gt;1,"",IF(I3153="SBJ","CB","?"))</f>
        <v> </v>
      </c>
      <c r="I3153" s="26" t="str">
        <f>IF(OR(E3153="",E3153="!!!",F3153="NEW"),"",INDEX(B3152:B$2,-1+SUMPRODUCT(MAX(ROW(E3152:E$2)*(E3153=E3152:E$2)))))</f>
        <v> </v>
      </c>
      <c r="J3153" s="26" t="str">
        <f>IF(OR(E3153="",E3153="!!!",F3153="NEW"),"",COUNTBLANK(OFFSET(A$1,,,SUMPRODUCT(MAX(ROW(E$2:E3153)*(E3153=E$2:E3153)))))-COUNTBLANK(OFFSET(A$1,,,SUMPRODUCT(MAX(ROW(E$1:E3152)*(E2=E$1:E3152))))))</f>
        <v> </v>
      </c>
      <c r="K3153" s="26" t="str">
        <f>IF(OR(E3153="",E3153="!!!",F3153="NEW"),"",INDEX(J$1:J3152,SUMPRODUCT(MAX(ROW(E$1:E3152)*(E3153=E$1:E3152)))))</f>
        <v> </v>
      </c>
      <c r="L3153" s="27"/>
    </row>
    <row r="3154" spans="1:12">
      <c r="A3154" s="20" t="s">
        <v>246</v>
      </c>
      <c r="E3154" s="22">
        <f>IF(D3154="?OLD","!!!","")</f>
        <v/>
      </c>
      <c r="F3154" s="23" t="str">
        <f>IF(OR(E3154="",E3154="!!!"),"",IF(NOT(ISNA(VLOOKUP(E3154,E$1:E3153,1,FALSE()))),"OLD",IF(AND(E3154&lt;&gt;"",E3154&lt;&gt;"!!!"),"NEW","")))</f>
        <v> </v>
      </c>
      <c r="G3154" s="24" t="str">
        <f>IF(OR(E3154="",E3154="!!!"),"",IF(OR(J3154=0,AND(J3154=1,K3154=1),AND(J3154=1,I3154="SBJ"),AND(J3154=1,I3154=0)),"?IN_FOCUS",IF(J3154&lt;=2,"?ACTIVATED",IF(J3154&lt;&gt;"","?FAMILIAR",IF(F3154="NEW",IF(ISNA(VLOOKUP(E3154,#REF!,1,FALSE())),"?TYPE_IDENTIFIABLE","?REFERENTIAL"),"_")))))</f>
        <v> </v>
      </c>
      <c r="H3154" s="25" t="str">
        <f>IF(J3154&lt;&gt;1,"",IF(I3154="SBJ","CB","?"))</f>
        <v> </v>
      </c>
      <c r="I3154" s="26" t="str">
        <f>IF(OR(E3154="",E3154="!!!",F3154="NEW"),"",INDEX(B3153:B$2,-1+SUMPRODUCT(MAX(ROW(E3153:E$2)*(E3154=E3153:E$2)))))</f>
        <v> </v>
      </c>
      <c r="J3154" s="26" t="str">
        <f>IF(OR(E3154="",E3154="!!!",F3154="NEW"),"",COUNTBLANK(OFFSET(A$1,,,SUMPRODUCT(MAX(ROW(E$2:E3154)*(E3154=E$2:E3154)))))-COUNTBLANK(OFFSET(A$1,,,SUMPRODUCT(MAX(ROW(E$1:E3153)*(E2=E$1:E3153))))))</f>
        <v> </v>
      </c>
      <c r="K3154" s="26" t="str">
        <f>IF(OR(E3154="",E3154="!!!",F3154="NEW"),"",INDEX(J$1:J3153,SUMPRODUCT(MAX(ROW(E$1:E3153)*(E3154=E$1:E3153)))))</f>
        <v> </v>
      </c>
      <c r="L3154" s="27"/>
    </row>
    <row r="3155" spans="1:12">
      <c r="A3155" s="20"/>
    </row>
    <row r="3156" spans="1:12">
      <c r="A3156" s="20" t="s">
        <v>1851</v>
      </c>
    </row>
    <row r="3157" spans="1:12">
      <c r="A3157" s="20" t="s">
        <v>1852</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t="s">
        <v>948</v>
      </c>
      <c r="E3158" s="22">
        <f>IF(D3158="?OLD","!!!","")</f>
        <v/>
      </c>
      <c r="F3158" s="23" t="str">
        <f>IF(OR(E3158="",E3158="!!!"),"",IF(NOT(ISNA(VLOOKUP(E3158,E$1:E3157,1,FALSE()))),"OLD",IF(AND(E3158&lt;&gt;"",E3158&lt;&gt;"!!!"),"NEW","")))</f>
        <v> </v>
      </c>
      <c r="G3158" s="24" t="str">
        <f>IF(OR(E3158="",E3158="!!!"),"",IF(OR(J3158=0,AND(J3158=1,K3158=1),AND(J3158=1,I3158="SBJ"),AND(J3158=1,I3158=0)),"?IN_FOCUS",IF(J3158&lt;=2,"?ACTIVATED",IF(J3158&lt;&gt;"","?FAMILIAR",IF(F3158="NEW",IF(ISNA(VLOOKUP(E3158,#REF!,1,FALSE())),"?TYPE_IDENTIFIABLE","?REFERENTIAL"),"_")))))</f>
        <v> </v>
      </c>
      <c r="H3158" s="25" t="str">
        <f>IF(J3158&lt;&gt;1,"",IF(I3158="SBJ","CB","?"))</f>
        <v> </v>
      </c>
      <c r="I3158" s="26" t="str">
        <f>IF(OR(E3158="",E3158="!!!",F3158="NEW"),"",INDEX(B3157:B$2,-1+SUMPRODUCT(MAX(ROW(E3157:E$2)*(E3158=E3157:E$2)))))</f>
        <v> </v>
      </c>
      <c r="J3158" s="26" t="str">
        <f>IF(OR(E3158="",E3158="!!!",F3158="NEW"),"",COUNTBLANK(OFFSET(A$1,,,SUMPRODUCT(MAX(ROW(E$2:E3158)*(E3158=E$2:E3158)))))-COUNTBLANK(OFFSET(A$1,,,SUMPRODUCT(MAX(ROW(E$1:E3157)*(E2=E$1:E3157))))))</f>
        <v> </v>
      </c>
      <c r="K3158" s="26" t="str">
        <f>IF(OR(E3158="",E3158="!!!",F3158="NEW"),"",INDEX(J$1:J3157,SUMPRODUCT(MAX(ROW(E$1:E3157)*(E3158=E$1:E3157)))))</f>
        <v> </v>
      </c>
      <c r="L3158" s="27"/>
    </row>
    <row r="3159" spans="1:12">
      <c r="A3159" s="20" t="s">
        <v>813</v>
      </c>
      <c r="E3159" s="22">
        <f>IF(D3159="?OLD","!!!","")</f>
        <v/>
      </c>
      <c r="F3159" s="23" t="str">
        <f>IF(OR(E3159="",E3159="!!!"),"",IF(NOT(ISNA(VLOOKUP(E3159,E$1:E3158,1,FALSE()))),"OLD",IF(AND(E3159&lt;&gt;"",E3159&lt;&gt;"!!!"),"NEW","")))</f>
        <v> </v>
      </c>
      <c r="G3159" s="24" t="str">
        <f>IF(OR(E3159="",E3159="!!!"),"",IF(OR(J3159=0,AND(J3159=1,K3159=1),AND(J3159=1,I3159="SBJ"),AND(J3159=1,I3159=0)),"?IN_FOCUS",IF(J3159&lt;=2,"?ACTIVATED",IF(J3159&lt;&gt;"","?FAMILIAR",IF(F3159="NEW",IF(ISNA(VLOOKUP(E3159,#REF!,1,FALSE())),"?TYPE_IDENTIFIABLE","?REFERENTIAL"),"_")))))</f>
        <v> </v>
      </c>
      <c r="H3159" s="25" t="str">
        <f>IF(J3159&lt;&gt;1,"",IF(I3159="SBJ","CB","?"))</f>
        <v> </v>
      </c>
      <c r="I3159" s="26" t="str">
        <f>IF(OR(E3159="",E3159="!!!",F3159="NEW"),"",INDEX(B3158:B$2,-1+SUMPRODUCT(MAX(ROW(E3158:E$2)*(E3159=E3158:E$2)))))</f>
        <v> </v>
      </c>
      <c r="J3159" s="26" t="str">
        <f>IF(OR(E3159="",E3159="!!!",F3159="NEW"),"",COUNTBLANK(OFFSET(A$1,,,SUMPRODUCT(MAX(ROW(E$2:E3159)*(E3159=E$2:E3159)))))-COUNTBLANK(OFFSET(A$1,,,SUMPRODUCT(MAX(ROW(E$1:E3158)*(E2=E$1:E3158))))))</f>
        <v> </v>
      </c>
      <c r="K3159" s="26" t="str">
        <f>IF(OR(E3159="",E3159="!!!",F3159="NEW"),"",INDEX(J$1:J3158,SUMPRODUCT(MAX(ROW(E$1:E3158)*(E3159=E$1:E3158)))))</f>
        <v> </v>
      </c>
      <c r="L3159" s="27"/>
    </row>
    <row r="3160" spans="1:12">
      <c r="A3160" s="20" t="s">
        <v>1853</v>
      </c>
      <c r="B3160" s="21" t="s">
        <v>728</v>
      </c>
      <c r="C3160" s="21" t="s">
        <v>753</v>
      </c>
      <c r="D3160" s="21" t="s">
        <v>730</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t="s">
        <v>1088</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t="s">
        <v>1854</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t="s">
        <v>246</v>
      </c>
      <c r="E3163" s="22">
        <f>IF(D3163="?OLD","!!!","")</f>
        <v/>
      </c>
      <c r="F3163" s="23" t="str">
        <f>IF(OR(E3163="",E3163="!!!"),"",IF(NOT(ISNA(VLOOKUP(E3163,E$1:E3162,1,FALSE()))),"OLD",IF(AND(E3163&lt;&gt;"",E3163&lt;&gt;"!!!"),"NEW","")))</f>
        <v> </v>
      </c>
      <c r="G3163" s="24" t="str">
        <f>IF(OR(E3163="",E3163="!!!"),"",IF(OR(J3163=0,AND(J3163=1,K3163=1),AND(J3163=1,I3163="SBJ"),AND(J3163=1,I3163=0)),"?IN_FOCUS",IF(J3163&lt;=2,"?ACTIVATED",IF(J3163&lt;&gt;"","?FAMILIAR",IF(F3163="NEW",IF(ISNA(VLOOKUP(E3163,#REF!,1,FALSE())),"?TYPE_IDENTIFIABLE","?REFERENTIAL"),"_")))))</f>
        <v> </v>
      </c>
      <c r="H3163" s="25" t="str">
        <f>IF(J3163&lt;&gt;1,"",IF(I3163="SBJ","CB","?"))</f>
        <v> </v>
      </c>
      <c r="I3163" s="26" t="str">
        <f>IF(OR(E3163="",E3163="!!!",F3163="NEW"),"",INDEX(B3162:B$2,-1+SUMPRODUCT(MAX(ROW(E3162:E$2)*(E3163=E3162:E$2)))))</f>
        <v> </v>
      </c>
      <c r="J3163" s="26" t="str">
        <f>IF(OR(E3163="",E3163="!!!",F3163="NEW"),"",COUNTBLANK(OFFSET(A$1,,,SUMPRODUCT(MAX(ROW(E$2:E3163)*(E3163=E$2:E3163)))))-COUNTBLANK(OFFSET(A$1,,,SUMPRODUCT(MAX(ROW(E$1:E3162)*(E2=E$1:E3162))))))</f>
        <v> </v>
      </c>
      <c r="K3163" s="26" t="str">
        <f>IF(OR(E3163="",E3163="!!!",F3163="NEW"),"",INDEX(J$1:J3162,SUMPRODUCT(MAX(ROW(E$1:E3162)*(E3163=E$1:E3162)))))</f>
        <v> </v>
      </c>
      <c r="L3163" s="27"/>
    </row>
    <row r="3164" spans="1:12">
      <c r="A3164" s="20"/>
    </row>
    <row r="3165" spans="1:12">
      <c r="A3165" s="20" t="s">
        <v>1855</v>
      </c>
    </row>
    <row r="3166" spans="1:12">
      <c r="A3166" s="20" t="s">
        <v>1839</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t="s">
        <v>1856</v>
      </c>
      <c r="E3167" s="22">
        <f>IF(D3167="?OLD","!!!","")</f>
        <v/>
      </c>
      <c r="F3167" s="23" t="str">
        <f>IF(OR(E3167="",E3167="!!!"),"",IF(NOT(ISNA(VLOOKUP(E3167,E$1:E3166,1,FALSE()))),"OLD",IF(AND(E3167&lt;&gt;"",E3167&lt;&gt;"!!!"),"NEW","")))</f>
        <v> </v>
      </c>
      <c r="G3167" s="24" t="str">
        <f>IF(OR(E3167="",E3167="!!!"),"",IF(OR(J3167=0,AND(J3167=1,K3167=1),AND(J3167=1,I3167="SBJ"),AND(J3167=1,I3167=0)),"?IN_FOCUS",IF(J3167&lt;=2,"?ACTIVATED",IF(J3167&lt;&gt;"","?FAMILIAR",IF(F3167="NEW",IF(ISNA(VLOOKUP(E3167,#REF!,1,FALSE())),"?TYPE_IDENTIFIABLE","?REFERENTIAL"),"_")))))</f>
        <v> </v>
      </c>
      <c r="H3167" s="25" t="str">
        <f>IF(J3167&lt;&gt;1,"",IF(I3167="SBJ","CB","?"))</f>
        <v> </v>
      </c>
      <c r="I3167" s="26" t="str">
        <f>IF(OR(E3167="",E3167="!!!",F3167="NEW"),"",INDEX(B3166:B$2,-1+SUMPRODUCT(MAX(ROW(E3166:E$2)*(E3167=E3166:E$2)))))</f>
        <v> </v>
      </c>
      <c r="J3167" s="26" t="str">
        <f>IF(OR(E3167="",E3167="!!!",F3167="NEW"),"",COUNTBLANK(OFFSET(A$1,,,SUMPRODUCT(MAX(ROW(E$2:E3167)*(E3167=E$2:E3167)))))-COUNTBLANK(OFFSET(A$1,,,SUMPRODUCT(MAX(ROW(E$1:E3166)*(E2=E$1:E3166))))))</f>
        <v> </v>
      </c>
      <c r="K3167" s="26" t="str">
        <f>IF(OR(E3167="",E3167="!!!",F3167="NEW"),"",INDEX(J$1:J3166,SUMPRODUCT(MAX(ROW(E$1:E3166)*(E3167=E$1:E3166)))))</f>
        <v> </v>
      </c>
      <c r="L3167" s="27"/>
    </row>
    <row r="3168" spans="1:12">
      <c r="A3168" s="20" t="s">
        <v>750</v>
      </c>
      <c r="B3168" s="21" t="s">
        <v>728</v>
      </c>
      <c r="C3168" s="21" t="s">
        <v>729</v>
      </c>
      <c r="D3168" s="21" t="s">
        <v>730</v>
      </c>
      <c r="E3168" s="22">
        <f>IF(D3168="?OLD","!!!","")</f>
        <v/>
      </c>
      <c r="F3168" s="23" t="str">
        <f>IF(OR(E3168="",E3168="!!!"),"",IF(NOT(ISNA(VLOOKUP(E3168,E$1:E3167,1,FALSE()))),"OLD",IF(AND(E3168&lt;&gt;"",E3168&lt;&gt;"!!!"),"NEW","")))</f>
        <v> </v>
      </c>
      <c r="G3168" s="24" t="str">
        <f>IF(OR(E3168="",E3168="!!!"),"",IF(OR(J3168=0,AND(J3168=1,K3168=1),AND(J3168=1,I3168="SBJ"),AND(J3168=1,I3168=0)),"?IN_FOCUS",IF(J3168&lt;=2,"?ACTIVATED",IF(J3168&lt;&gt;"","?FAMILIAR",IF(F3168="NEW",IF(ISNA(VLOOKUP(E3168,#REF!,1,FALSE())),"?TYPE_IDENTIFIABLE","?REFERENTIAL"),"_")))))</f>
        <v> </v>
      </c>
      <c r="H3168" s="25" t="str">
        <f>IF(J3168&lt;&gt;1,"",IF(I3168="SBJ","CB","?"))</f>
        <v> </v>
      </c>
      <c r="I3168" s="26" t="str">
        <f>IF(OR(E3168="",E3168="!!!",F3168="NEW"),"",INDEX(B3167:B$2,-1+SUMPRODUCT(MAX(ROW(E3167:E$2)*(E3168=E3167:E$2)))))</f>
        <v> </v>
      </c>
      <c r="J3168" s="26" t="str">
        <f>IF(OR(E3168="",E3168="!!!",F3168="NEW"),"",COUNTBLANK(OFFSET(A$1,,,SUMPRODUCT(MAX(ROW(E$2:E3168)*(E3168=E$2:E3168)))))-COUNTBLANK(OFFSET(A$1,,,SUMPRODUCT(MAX(ROW(E$1:E3167)*(E2=E$1:E3167))))))</f>
        <v> </v>
      </c>
      <c r="K3168" s="26" t="str">
        <f>IF(OR(E3168="",E3168="!!!",F3168="NEW"),"",INDEX(J$1:J3167,SUMPRODUCT(MAX(ROW(E$1:E3167)*(E3168=E$1:E3167)))))</f>
        <v> </v>
      </c>
      <c r="L3168" s="27"/>
    </row>
    <row r="3169" spans="1:12">
      <c r="A3169" s="20" t="s">
        <v>1217</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1403</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732</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t="s">
        <v>774</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t="s">
        <v>1011</v>
      </c>
      <c r="E3173" s="22">
        <f>IF(D3173="?OLD","!!!","")</f>
        <v/>
      </c>
      <c r="F3173" s="23" t="str">
        <f>IF(OR(E3173="",E3173="!!!"),"",IF(NOT(ISNA(VLOOKUP(E3173,E$1:E3172,1,FALSE()))),"OLD",IF(AND(E3173&lt;&gt;"",E3173&lt;&gt;"!!!"),"NEW","")))</f>
        <v> </v>
      </c>
      <c r="G3173" s="24" t="str">
        <f>IF(OR(E3173="",E3173="!!!"),"",IF(OR(J3173=0,AND(J3173=1,K3173=1),AND(J3173=1,I3173="SBJ"),AND(J3173=1,I3173=0)),"?IN_FOCUS",IF(J3173&lt;=2,"?ACTIVATED",IF(J3173&lt;&gt;"","?FAMILIAR",IF(F3173="NEW",IF(ISNA(VLOOKUP(E3173,#REF!,1,FALSE())),"?TYPE_IDENTIFIABLE","?REFERENTIAL"),"_")))))</f>
        <v> </v>
      </c>
      <c r="H3173" s="25" t="str">
        <f>IF(J3173&lt;&gt;1,"",IF(I3173="SBJ","CB","?"))</f>
        <v> </v>
      </c>
      <c r="I3173" s="26" t="str">
        <f>IF(OR(E3173="",E3173="!!!",F3173="NEW"),"",INDEX(B3172:B$2,-1+SUMPRODUCT(MAX(ROW(E3172:E$2)*(E3173=E3172:E$2)))))</f>
        <v> </v>
      </c>
      <c r="J3173" s="26" t="str">
        <f>IF(OR(E3173="",E3173="!!!",F3173="NEW"),"",COUNTBLANK(OFFSET(A$1,,,SUMPRODUCT(MAX(ROW(E$2:E3173)*(E3173=E$2:E3173)))))-COUNTBLANK(OFFSET(A$1,,,SUMPRODUCT(MAX(ROW(E$1:E3172)*(E2=E$1:E3172))))))</f>
        <v> </v>
      </c>
      <c r="K3173" s="26" t="str">
        <f>IF(OR(E3173="",E3173="!!!",F3173="NEW"),"",INDEX(J$1:J3172,SUMPRODUCT(MAX(ROW(E$1:E3172)*(E3173=E$1:E3172)))))</f>
        <v> </v>
      </c>
      <c r="L3173" s="27"/>
    </row>
    <row r="3174" spans="1:12">
      <c r="A3174" s="20" t="s">
        <v>1796</v>
      </c>
      <c r="B3174" s="21" t="s">
        <v>736</v>
      </c>
      <c r="C3174" s="21" t="s">
        <v>737</v>
      </c>
      <c r="E3174" s="22">
        <f>IF(D3174="?OLD","!!!","")</f>
        <v/>
      </c>
      <c r="F3174" s="23" t="str">
        <f>IF(OR(E3174="",E3174="!!!"),"",IF(NOT(ISNA(VLOOKUP(E3174,E$1:E3173,1,FALSE()))),"OLD",IF(AND(E3174&lt;&gt;"",E3174&lt;&gt;"!!!"),"NEW","")))</f>
        <v> </v>
      </c>
      <c r="G3174" s="24" t="str">
        <f>IF(OR(E3174="",E3174="!!!"),"",IF(OR(J3174=0,AND(J3174=1,K3174=1),AND(J3174=1,I3174="SBJ"),AND(J3174=1,I3174=0)),"?IN_FOCUS",IF(J3174&lt;=2,"?ACTIVATED",IF(J3174&lt;&gt;"","?FAMILIAR",IF(F3174="NEW",IF(ISNA(VLOOKUP(E3174,#REF!,1,FALSE())),"?TYPE_IDENTIFIABLE","?REFERENTIAL"),"_")))))</f>
        <v> </v>
      </c>
      <c r="H3174" s="25" t="str">
        <f>IF(J3174&lt;&gt;1,"",IF(I3174="SBJ","CB","?"))</f>
        <v> </v>
      </c>
      <c r="I3174" s="26" t="str">
        <f>IF(OR(E3174="",E3174="!!!",F3174="NEW"),"",INDEX(B3173:B$2,-1+SUMPRODUCT(MAX(ROW(E3173:E$2)*(E3174=E3173:E$2)))))</f>
        <v> </v>
      </c>
      <c r="J3174" s="26" t="str">
        <f>IF(OR(E3174="",E3174="!!!",F3174="NEW"),"",COUNTBLANK(OFFSET(A$1,,,SUMPRODUCT(MAX(ROW(E$2:E3174)*(E3174=E$2:E3174)))))-COUNTBLANK(OFFSET(A$1,,,SUMPRODUCT(MAX(ROW(E$1:E3173)*(E2=E$1:E3173))))))</f>
        <v> </v>
      </c>
      <c r="K3174" s="26" t="str">
        <f>IF(OR(E3174="",E3174="!!!",F3174="NEW"),"",INDEX(J$1:J3173,SUMPRODUCT(MAX(ROW(E$1:E3173)*(E3174=E$1:E3173)))))</f>
        <v> </v>
      </c>
      <c r="L3174" s="27"/>
    </row>
    <row r="3175" spans="1:12">
      <c r="A3175" s="20" t="s">
        <v>742</v>
      </c>
      <c r="E3175" s="22">
        <f>IF(D3175="?OLD","!!!","")</f>
        <v/>
      </c>
      <c r="F3175" s="23" t="str">
        <f>IF(OR(E3175="",E3175="!!!"),"",IF(NOT(ISNA(VLOOKUP(E3175,E$1:E3174,1,FALSE()))),"OLD",IF(AND(E3175&lt;&gt;"",E3175&lt;&gt;"!!!"),"NEW","")))</f>
        <v> </v>
      </c>
      <c r="G3175" s="24" t="str">
        <f>IF(OR(E3175="",E3175="!!!"),"",IF(OR(J3175=0,AND(J3175=1,K3175=1),AND(J3175=1,I3175="SBJ"),AND(J3175=1,I3175=0)),"?IN_FOCUS",IF(J3175&lt;=2,"?ACTIVATED",IF(J3175&lt;&gt;"","?FAMILIAR",IF(F3175="NEW",IF(ISNA(VLOOKUP(E3175,#REF!,1,FALSE())),"?TYPE_IDENTIFIABLE","?REFERENTIAL"),"_")))))</f>
        <v> </v>
      </c>
      <c r="H3175" s="25" t="str">
        <f>IF(J3175&lt;&gt;1,"",IF(I3175="SBJ","CB","?"))</f>
        <v> </v>
      </c>
      <c r="I3175" s="26" t="str">
        <f>IF(OR(E3175="",E3175="!!!",F3175="NEW"),"",INDEX(B3174:B$2,-1+SUMPRODUCT(MAX(ROW(E3174:E$2)*(E3175=E3174:E$2)))))</f>
        <v> </v>
      </c>
      <c r="J3175" s="26" t="str">
        <f>IF(OR(E3175="",E3175="!!!",F3175="NEW"),"",COUNTBLANK(OFFSET(A$1,,,SUMPRODUCT(MAX(ROW(E$2:E3175)*(E3175=E$2:E3175)))))-COUNTBLANK(OFFSET(A$1,,,SUMPRODUCT(MAX(ROW(E$1:E3174)*(E2=E$1:E3174))))))</f>
        <v> </v>
      </c>
      <c r="K3175" s="26" t="str">
        <f>IF(OR(E3175="",E3175="!!!",F3175="NEW"),"",INDEX(J$1:J3174,SUMPRODUCT(MAX(ROW(E$1:E3174)*(E3175=E$1:E3174)))))</f>
        <v> </v>
      </c>
      <c r="L3175" s="27"/>
    </row>
    <row r="3176" spans="1:12">
      <c r="A3176" s="20" t="s">
        <v>1857</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t="s">
        <v>1858</v>
      </c>
      <c r="B3177" s="21" t="s">
        <v>736</v>
      </c>
      <c r="C3177" s="21" t="s">
        <v>748</v>
      </c>
      <c r="E3177" s="22">
        <f>IF(D3177="?OLD","!!!","")</f>
        <v/>
      </c>
      <c r="F3177" s="23" t="str">
        <f>IF(OR(E3177="",E3177="!!!"),"",IF(NOT(ISNA(VLOOKUP(E3177,E$1:E3176,1,FALSE()))),"OLD",IF(AND(E3177&lt;&gt;"",E3177&lt;&gt;"!!!"),"NEW","")))</f>
        <v> </v>
      </c>
      <c r="G3177" s="24" t="str">
        <f>IF(OR(E3177="",E3177="!!!"),"",IF(OR(J3177=0,AND(J3177=1,K3177=1),AND(J3177=1,I3177="SBJ"),AND(J3177=1,I3177=0)),"?IN_FOCUS",IF(J3177&lt;=2,"?ACTIVATED",IF(J3177&lt;&gt;"","?FAMILIAR",IF(F3177="NEW",IF(ISNA(VLOOKUP(E3177,#REF!,1,FALSE())),"?TYPE_IDENTIFIABLE","?REFERENTIAL"),"_")))))</f>
        <v> </v>
      </c>
      <c r="H3177" s="25" t="str">
        <f>IF(J3177&lt;&gt;1,"",IF(I3177="SBJ","CB","?"))</f>
        <v> </v>
      </c>
      <c r="I3177" s="26" t="str">
        <f>IF(OR(E3177="",E3177="!!!",F3177="NEW"),"",INDEX(B3176:B$2,-1+SUMPRODUCT(MAX(ROW(E3176:E$2)*(E3177=E3176:E$2)))))</f>
        <v> </v>
      </c>
      <c r="J3177" s="26" t="str">
        <f>IF(OR(E3177="",E3177="!!!",F3177="NEW"),"",COUNTBLANK(OFFSET(A$1,,,SUMPRODUCT(MAX(ROW(E$2:E3177)*(E3177=E$2:E3177)))))-COUNTBLANK(OFFSET(A$1,,,SUMPRODUCT(MAX(ROW(E$1:E3176)*(E2=E$1:E3176))))))</f>
        <v> </v>
      </c>
      <c r="K3177" s="26" t="str">
        <f>IF(OR(E3177="",E3177="!!!",F3177="NEW"),"",INDEX(J$1:J3176,SUMPRODUCT(MAX(ROW(E$1:E3176)*(E3177=E$1:E3176)))))</f>
        <v> </v>
      </c>
      <c r="L3177" s="27"/>
    </row>
    <row r="3178" spans="1:12">
      <c r="A3178" s="20" t="s">
        <v>246</v>
      </c>
      <c r="E3178" s="22">
        <f>IF(D3178="?OLD","!!!","")</f>
        <v/>
      </c>
      <c r="F3178" s="23" t="str">
        <f>IF(OR(E3178="",E3178="!!!"),"",IF(NOT(ISNA(VLOOKUP(E3178,E$1:E3177,1,FALSE()))),"OLD",IF(AND(E3178&lt;&gt;"",E3178&lt;&gt;"!!!"),"NEW","")))</f>
        <v> </v>
      </c>
      <c r="G3178" s="24" t="str">
        <f>IF(OR(E3178="",E3178="!!!"),"",IF(OR(J3178=0,AND(J3178=1,K3178=1),AND(J3178=1,I3178="SBJ"),AND(J3178=1,I3178=0)),"?IN_FOCUS",IF(J3178&lt;=2,"?ACTIVATED",IF(J3178&lt;&gt;"","?FAMILIAR",IF(F3178="NEW",IF(ISNA(VLOOKUP(E3178,#REF!,1,FALSE())),"?TYPE_IDENTIFIABLE","?REFERENTIAL"),"_")))))</f>
        <v> </v>
      </c>
      <c r="H3178" s="25" t="str">
        <f>IF(J3178&lt;&gt;1,"",IF(I3178="SBJ","CB","?"))</f>
        <v> </v>
      </c>
      <c r="I3178" s="26" t="str">
        <f>IF(OR(E3178="",E3178="!!!",F3178="NEW"),"",INDEX(B3177:B$2,-1+SUMPRODUCT(MAX(ROW(E3177:E$2)*(E3178=E3177:E$2)))))</f>
        <v> </v>
      </c>
      <c r="J3178" s="26" t="str">
        <f>IF(OR(E3178="",E3178="!!!",F3178="NEW"),"",COUNTBLANK(OFFSET(A$1,,,SUMPRODUCT(MAX(ROW(E$2:E3178)*(E3178=E$2:E3178)))))-COUNTBLANK(OFFSET(A$1,,,SUMPRODUCT(MAX(ROW(E$1:E3177)*(E2=E$1:E3177))))))</f>
        <v> </v>
      </c>
      <c r="K3178" s="26" t="str">
        <f>IF(OR(E3178="",E3178="!!!",F3178="NEW"),"",INDEX(J$1:J3177,SUMPRODUCT(MAX(ROW(E$1:E3177)*(E3178=E$1:E3177)))))</f>
        <v> </v>
      </c>
      <c r="L3178" s="27"/>
    </row>
    <row r="3179" spans="1:12">
      <c r="A3179" s="20"/>
    </row>
    <row r="3180" spans="1:12">
      <c r="A3180" s="20" t="s">
        <v>798</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t="s">
        <v>1859</v>
      </c>
    </row>
    <row r="3182" spans="1:12">
      <c r="A3182" s="20" t="s">
        <v>1382</v>
      </c>
      <c r="B3182" s="21" t="s">
        <v>728</v>
      </c>
      <c r="C3182" s="21" t="s">
        <v>789</v>
      </c>
      <c r="D3182" s="21" t="s">
        <v>730</v>
      </c>
      <c r="E3182" s="22">
        <f>IF(D3182="?OLD","!!!","")</f>
        <v/>
      </c>
      <c r="F3182" s="23" t="str">
        <f>IF(OR(E3182="",E3182="!!!"),"",IF(NOT(ISNA(VLOOKUP(E3182,E$1:E3181,1,FALSE()))),"OLD",IF(AND(E3182&lt;&gt;"",E3182&lt;&gt;"!!!"),"NEW","")))</f>
        <v> </v>
      </c>
      <c r="G3182" s="24" t="str">
        <f>IF(OR(E3182="",E3182="!!!"),"",IF(OR(J3182=0,AND(J3182=1,K3182=1),AND(J3182=1,I3182="SBJ"),AND(J3182=1,I3182=0)),"?IN_FOCUS",IF(J3182&lt;=2,"?ACTIVATED",IF(J3182&lt;&gt;"","?FAMILIAR",IF(F3182="NEW",IF(ISNA(VLOOKUP(E3182,#REF!,1,FALSE())),"?TYPE_IDENTIFIABLE","?REFERENTIAL"),"_")))))</f>
        <v> </v>
      </c>
      <c r="H3182" s="25" t="str">
        <f>IF(J3182&lt;&gt;1,"",IF(I3182="SBJ","CB","?"))</f>
        <v> </v>
      </c>
      <c r="I3182" s="26" t="str">
        <f>IF(OR(E3182="",E3182="!!!",F3182="NEW"),"",INDEX(B3181:B$2,-1+SUMPRODUCT(MAX(ROW(E3181:E$2)*(E3182=E3181:E$2)))))</f>
        <v> </v>
      </c>
      <c r="J3182" s="26" t="str">
        <f>IF(OR(E3182="",E3182="!!!",F3182="NEW"),"",COUNTBLANK(OFFSET(A$1,,,SUMPRODUCT(MAX(ROW(E$2:E3182)*(E3182=E$2:E3182)))))-COUNTBLANK(OFFSET(A$1,,,SUMPRODUCT(MAX(ROW(E$1:E3181)*(E2=E$1:E3181))))))</f>
        <v> </v>
      </c>
      <c r="K3182" s="26" t="str">
        <f>IF(OR(E3182="",E3182="!!!",F3182="NEW"),"",INDEX(J$1:J3181,SUMPRODUCT(MAX(ROW(E$1:E3181)*(E3182=E$1:E3181)))))</f>
        <v> </v>
      </c>
      <c r="L3182" s="27"/>
    </row>
    <row r="3183" spans="1:12">
      <c r="A3183" s="20" t="s">
        <v>1603</v>
      </c>
      <c r="E3183" s="22">
        <f>IF(D3183="?OLD","!!!","")</f>
        <v/>
      </c>
      <c r="F3183" s="23" t="str">
        <f>IF(OR(E3183="",E3183="!!!"),"",IF(NOT(ISNA(VLOOKUP(E3183,E$1:E3182,1,FALSE()))),"OLD",IF(AND(E3183&lt;&gt;"",E3183&lt;&gt;"!!!"),"NEW","")))</f>
        <v> </v>
      </c>
      <c r="G3183" s="24" t="str">
        <f>IF(OR(E3183="",E3183="!!!"),"",IF(OR(J3183=0,AND(J3183=1,K3183=1),AND(J3183=1,I3183="SBJ"),AND(J3183=1,I3183=0)),"?IN_FOCUS",IF(J3183&lt;=2,"?ACTIVATED",IF(J3183&lt;&gt;"","?FAMILIAR",IF(F3183="NEW",IF(ISNA(VLOOKUP(E3183,#REF!,1,FALSE())),"?TYPE_IDENTIFIABLE","?REFERENTIAL"),"_")))))</f>
        <v> </v>
      </c>
      <c r="H3183" s="25" t="str">
        <f>IF(J3183&lt;&gt;1,"",IF(I3183="SBJ","CB","?"))</f>
        <v> </v>
      </c>
      <c r="I3183" s="26" t="str">
        <f>IF(OR(E3183="",E3183="!!!",F3183="NEW"),"",INDEX(B3182:B$2,-1+SUMPRODUCT(MAX(ROW(E3182:E$2)*(E3183=E3182:E$2)))))</f>
        <v> </v>
      </c>
      <c r="J3183" s="26" t="str">
        <f>IF(OR(E3183="",E3183="!!!",F3183="NEW"),"",COUNTBLANK(OFFSET(A$1,,,SUMPRODUCT(MAX(ROW(E$2:E3183)*(E3183=E$2:E3183)))))-COUNTBLANK(OFFSET(A$1,,,SUMPRODUCT(MAX(ROW(E$1:E3182)*(E2=E$1:E3182))))))</f>
        <v> </v>
      </c>
      <c r="K3183" s="26" t="str">
        <f>IF(OR(E3183="",E3183="!!!",F3183="NEW"),"",INDEX(J$1:J3182,SUMPRODUCT(MAX(ROW(E$1:E3182)*(E3183=E$1:E3182)))))</f>
        <v> </v>
      </c>
      <c r="L3183" s="27"/>
    </row>
    <row r="3184" spans="1:12">
      <c r="A3184" s="20" t="s">
        <v>817</v>
      </c>
      <c r="E3184" s="22">
        <f>IF(D3184="?OLD","!!!","")</f>
        <v/>
      </c>
      <c r="F3184" s="23" t="str">
        <f>IF(OR(E3184="",E3184="!!!"),"",IF(NOT(ISNA(VLOOKUP(E3184,E$1:E3183,1,FALSE()))),"OLD",IF(AND(E3184&lt;&gt;"",E3184&lt;&gt;"!!!"),"NEW","")))</f>
        <v> </v>
      </c>
      <c r="G3184" s="24" t="str">
        <f>IF(OR(E3184="",E3184="!!!"),"",IF(OR(J3184=0,AND(J3184=1,K3184=1),AND(J3184=1,I3184="SBJ"),AND(J3184=1,I3184=0)),"?IN_FOCUS",IF(J3184&lt;=2,"?ACTIVATED",IF(J3184&lt;&gt;"","?FAMILIAR",IF(F3184="NEW",IF(ISNA(VLOOKUP(E3184,#REF!,1,FALSE())),"?TYPE_IDENTIFIABLE","?REFERENTIAL"),"_")))))</f>
        <v> </v>
      </c>
      <c r="H3184" s="25" t="str">
        <f>IF(J3184&lt;&gt;1,"",IF(I3184="SBJ","CB","?"))</f>
        <v> </v>
      </c>
      <c r="I3184" s="26" t="str">
        <f>IF(OR(E3184="",E3184="!!!",F3184="NEW"),"",INDEX(B3183:B$2,-1+SUMPRODUCT(MAX(ROW(E3183:E$2)*(E3184=E3183:E$2)))))</f>
        <v> </v>
      </c>
      <c r="J3184" s="26" t="str">
        <f>IF(OR(E3184="",E3184="!!!",F3184="NEW"),"",COUNTBLANK(OFFSET(A$1,,,SUMPRODUCT(MAX(ROW(E$2:E3184)*(E3184=E$2:E3184)))))-COUNTBLANK(OFFSET(A$1,,,SUMPRODUCT(MAX(ROW(E$1:E3183)*(E2=E$1:E3183))))))</f>
        <v> </v>
      </c>
      <c r="K3184" s="26" t="str">
        <f>IF(OR(E3184="",E3184="!!!",F3184="NEW"),"",INDEX(J$1:J3183,SUMPRODUCT(MAX(ROW(E$1:E3183)*(E3184=E$1:E3183)))))</f>
        <v> </v>
      </c>
      <c r="L3184" s="27"/>
    </row>
    <row r="3185" spans="1:12">
      <c r="A3185" s="20" t="s">
        <v>1316</v>
      </c>
      <c r="B3185" s="21" t="s">
        <v>764</v>
      </c>
      <c r="C3185" s="21" t="s">
        <v>740</v>
      </c>
      <c r="D3185" s="21" t="s">
        <v>730</v>
      </c>
      <c r="E3185" s="22">
        <f>IF(D3185="?OLD","!!!","")</f>
        <v/>
      </c>
      <c r="F3185" s="23" t="str">
        <f>IF(OR(E3185="",E3185="!!!"),"",IF(NOT(ISNA(VLOOKUP(E3185,E$1:E3184,1,FALSE()))),"OLD",IF(AND(E3185&lt;&gt;"",E3185&lt;&gt;"!!!"),"NEW","")))</f>
        <v> </v>
      </c>
      <c r="G3185" s="24" t="str">
        <f>IF(OR(E3185="",E3185="!!!"),"",IF(OR(J3185=0,AND(J3185=1,K3185=1),AND(J3185=1,I3185="SBJ"),AND(J3185=1,I3185=0)),"?IN_FOCUS",IF(J3185&lt;=2,"?ACTIVATED",IF(J3185&lt;&gt;"","?FAMILIAR",IF(F3185="NEW",IF(ISNA(VLOOKUP(E3185,#REF!,1,FALSE())),"?TYPE_IDENTIFIABLE","?REFERENTIAL"),"_")))))</f>
        <v> </v>
      </c>
      <c r="H3185" s="25" t="str">
        <f>IF(J3185&lt;&gt;1,"",IF(I3185="SBJ","CB","?"))</f>
        <v> </v>
      </c>
      <c r="I3185" s="26" t="str">
        <f>IF(OR(E3185="",E3185="!!!",F3185="NEW"),"",INDEX(B3184:B$2,-1+SUMPRODUCT(MAX(ROW(E3184:E$2)*(E3185=E3184:E$2)))))</f>
        <v> </v>
      </c>
      <c r="J3185" s="26" t="str">
        <f>IF(OR(E3185="",E3185="!!!",F3185="NEW"),"",COUNTBLANK(OFFSET(A$1,,,SUMPRODUCT(MAX(ROW(E$2:E3185)*(E3185=E$2:E3185)))))-COUNTBLANK(OFFSET(A$1,,,SUMPRODUCT(MAX(ROW(E$1:E3184)*(E2=E$1:E3184))))))</f>
        <v> </v>
      </c>
      <c r="K3185" s="26" t="str">
        <f>IF(OR(E3185="",E3185="!!!",F3185="NEW"),"",INDEX(J$1:J3184,SUMPRODUCT(MAX(ROW(E$1:E3184)*(E3185=E$1:E3184)))))</f>
        <v> </v>
      </c>
      <c r="L3185" s="27"/>
    </row>
    <row r="3186" spans="1:12">
      <c r="A3186" s="20" t="s">
        <v>817</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732</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t="s">
        <v>733</v>
      </c>
      <c r="E3188" s="22">
        <f>IF(D3188="?OLD","!!!","")</f>
        <v/>
      </c>
      <c r="F3188" s="23" t="str">
        <f>IF(OR(E3188="",E3188="!!!"),"",IF(NOT(ISNA(VLOOKUP(E3188,E$1:E3187,1,FALSE()))),"OLD",IF(AND(E3188&lt;&gt;"",E3188&lt;&gt;"!!!"),"NEW","")))</f>
        <v> </v>
      </c>
      <c r="G3188" s="24" t="str">
        <f>IF(OR(E3188="",E3188="!!!"),"",IF(OR(J3188=0,AND(J3188=1,K3188=1),AND(J3188=1,I3188="SBJ"),AND(J3188=1,I3188=0)),"?IN_FOCUS",IF(J3188&lt;=2,"?ACTIVATED",IF(J3188&lt;&gt;"","?FAMILIAR",IF(F3188="NEW",IF(ISNA(VLOOKUP(E3188,#REF!,1,FALSE())),"?TYPE_IDENTIFIABLE","?REFERENTIAL"),"_")))))</f>
        <v> </v>
      </c>
      <c r="H3188" s="25" t="str">
        <f>IF(J3188&lt;&gt;1,"",IF(I3188="SBJ","CB","?"))</f>
        <v> </v>
      </c>
      <c r="I3188" s="26" t="str">
        <f>IF(OR(E3188="",E3188="!!!",F3188="NEW"),"",INDEX(B3187:B$2,-1+SUMPRODUCT(MAX(ROW(E3187:E$2)*(E3188=E3187:E$2)))))</f>
        <v> </v>
      </c>
      <c r="J3188" s="26" t="str">
        <f>IF(OR(E3188="",E3188="!!!",F3188="NEW"),"",COUNTBLANK(OFFSET(A$1,,,SUMPRODUCT(MAX(ROW(E$2:E3188)*(E3188=E$2:E3188)))))-COUNTBLANK(OFFSET(A$1,,,SUMPRODUCT(MAX(ROW(E$1:E3187)*(E2=E$1:E3187))))))</f>
        <v> </v>
      </c>
      <c r="K3188" s="26" t="str">
        <f>IF(OR(E3188="",E3188="!!!",F3188="NEW"),"",INDEX(J$1:J3187,SUMPRODUCT(MAX(ROW(E$1:E3187)*(E3188=E$1:E3187)))))</f>
        <v> </v>
      </c>
      <c r="L3188" s="27"/>
    </row>
    <row r="3189" spans="1:12">
      <c r="A3189" s="20" t="s">
        <v>1860</v>
      </c>
      <c r="E3189" s="22">
        <f>IF(D3189="?OLD","!!!","")</f>
        <v/>
      </c>
      <c r="F3189" s="23" t="str">
        <f>IF(OR(E3189="",E3189="!!!"),"",IF(NOT(ISNA(VLOOKUP(E3189,E$1:E3188,1,FALSE()))),"OLD",IF(AND(E3189&lt;&gt;"",E3189&lt;&gt;"!!!"),"NEW","")))</f>
        <v> </v>
      </c>
      <c r="G3189" s="24" t="str">
        <f>IF(OR(E3189="",E3189="!!!"),"",IF(OR(J3189=0,AND(J3189=1,K3189=1),AND(J3189=1,I3189="SBJ"),AND(J3189=1,I3189=0)),"?IN_FOCUS",IF(J3189&lt;=2,"?ACTIVATED",IF(J3189&lt;&gt;"","?FAMILIAR",IF(F3189="NEW",IF(ISNA(VLOOKUP(E3189,#REF!,1,FALSE())),"?TYPE_IDENTIFIABLE","?REFERENTIAL"),"_")))))</f>
        <v> </v>
      </c>
      <c r="H3189" s="25" t="str">
        <f>IF(J3189&lt;&gt;1,"",IF(I3189="SBJ","CB","?"))</f>
        <v> </v>
      </c>
      <c r="I3189" s="26" t="str">
        <f>IF(OR(E3189="",E3189="!!!",F3189="NEW"),"",INDEX(B3188:B$2,-1+SUMPRODUCT(MAX(ROW(E3188:E$2)*(E3189=E3188:E$2)))))</f>
        <v> </v>
      </c>
      <c r="J3189" s="26" t="str">
        <f>IF(OR(E3189="",E3189="!!!",F3189="NEW"),"",COUNTBLANK(OFFSET(A$1,,,SUMPRODUCT(MAX(ROW(E$2:E3189)*(E3189=E$2:E3189)))))-COUNTBLANK(OFFSET(A$1,,,SUMPRODUCT(MAX(ROW(E$1:E3188)*(E2=E$1:E3188))))))</f>
        <v> </v>
      </c>
      <c r="K3189" s="26" t="str">
        <f>IF(OR(E3189="",E3189="!!!",F3189="NEW"),"",INDEX(J$1:J3188,SUMPRODUCT(MAX(ROW(E$1:E3188)*(E3189=E$1:E3188)))))</f>
        <v> </v>
      </c>
      <c r="L3189" s="27"/>
    </row>
    <row r="3190" spans="1:12">
      <c r="A3190" s="20" t="s">
        <v>1826</v>
      </c>
      <c r="B3190" s="21" t="s">
        <v>736</v>
      </c>
      <c r="C3190" s="21" t="s">
        <v>737</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t="s">
        <v>759</v>
      </c>
      <c r="E3191" s="22">
        <f>IF(D3191="?OLD","!!!","")</f>
        <v/>
      </c>
      <c r="F3191" s="23" t="str">
        <f>IF(OR(E3191="",E3191="!!!"),"",IF(NOT(ISNA(VLOOKUP(E3191,E$1:E3190,1,FALSE()))),"OLD",IF(AND(E3191&lt;&gt;"",E3191&lt;&gt;"!!!"),"NEW","")))</f>
        <v> </v>
      </c>
      <c r="G3191" s="24" t="str">
        <f>IF(OR(E3191="",E3191="!!!"),"",IF(OR(J3191=0,AND(J3191=1,K3191=1),AND(J3191=1,I3191="SBJ"),AND(J3191=1,I3191=0)),"?IN_FOCUS",IF(J3191&lt;=2,"?ACTIVATED",IF(J3191&lt;&gt;"","?FAMILIAR",IF(F3191="NEW",IF(ISNA(VLOOKUP(E3191,#REF!,1,FALSE())),"?TYPE_IDENTIFIABLE","?REFERENTIAL"),"_")))))</f>
        <v> </v>
      </c>
      <c r="H3191" s="25" t="str">
        <f>IF(J3191&lt;&gt;1,"",IF(I3191="SBJ","CB","?"))</f>
        <v> </v>
      </c>
      <c r="I3191" s="26" t="str">
        <f>IF(OR(E3191="",E3191="!!!",F3191="NEW"),"",INDEX(B3190:B$2,-1+SUMPRODUCT(MAX(ROW(E3190:E$2)*(E3191=E3190:E$2)))))</f>
        <v> </v>
      </c>
      <c r="J3191" s="26" t="str">
        <f>IF(OR(E3191="",E3191="!!!",F3191="NEW"),"",COUNTBLANK(OFFSET(A$1,,,SUMPRODUCT(MAX(ROW(E$2:E3191)*(E3191=E$2:E3191)))))-COUNTBLANK(OFFSET(A$1,,,SUMPRODUCT(MAX(ROW(E$1:E3190)*(E2=E$1:E3190))))))</f>
        <v> </v>
      </c>
      <c r="K3191" s="26" t="str">
        <f>IF(OR(E3191="",E3191="!!!",F3191="NEW"),"",INDEX(J$1:J3190,SUMPRODUCT(MAX(ROW(E$1:E3190)*(E3191=E$1:E3190)))))</f>
        <v> </v>
      </c>
      <c r="L3191" s="27"/>
    </row>
    <row r="3192" spans="1:12">
      <c r="A3192" s="20" t="s">
        <v>813</v>
      </c>
      <c r="B3192" s="21" t="s">
        <v>788</v>
      </c>
      <c r="E3192" s="22">
        <f>IF(D3192="?OLD","!!!","")</f>
        <v/>
      </c>
      <c r="F3192" s="23" t="str">
        <f>IF(OR(E3192="",E3192="!!!"),"",IF(NOT(ISNA(VLOOKUP(E3192,E$1:E3191,1,FALSE()))),"OLD",IF(AND(E3192&lt;&gt;"",E3192&lt;&gt;"!!!"),"NEW","")))</f>
        <v> </v>
      </c>
      <c r="G3192" s="24" t="str">
        <f>IF(OR(E3192="",E3192="!!!"),"",IF(OR(J3192=0,AND(J3192=1,K3192=1),AND(J3192=1,I3192="SBJ"),AND(J3192=1,I3192=0)),"?IN_FOCUS",IF(J3192&lt;=2,"?ACTIVATED",IF(J3192&lt;&gt;"","?FAMILIAR",IF(F3192="NEW",IF(ISNA(VLOOKUP(E3192,#REF!,1,FALSE())),"?TYPE_IDENTIFIABLE","?REFERENTIAL"),"_")))))</f>
        <v> </v>
      </c>
      <c r="H3192" s="25" t="str">
        <f>IF(J3192&lt;&gt;1,"",IF(I3192="SBJ","CB","?"))</f>
        <v> </v>
      </c>
      <c r="I3192" s="26" t="str">
        <f>IF(OR(E3192="",E3192="!!!",F3192="NEW"),"",INDEX(B3191:B$2,-1+SUMPRODUCT(MAX(ROW(E3191:E$2)*(E3192=E3191:E$2)))))</f>
        <v> </v>
      </c>
      <c r="J3192" s="26" t="str">
        <f>IF(OR(E3192="",E3192="!!!",F3192="NEW"),"",COUNTBLANK(OFFSET(A$1,,,SUMPRODUCT(MAX(ROW(E$2:E3192)*(E3192=E$2:E3192)))))-COUNTBLANK(OFFSET(A$1,,,SUMPRODUCT(MAX(ROW(E$1:E3191)*(E2=E$1:E3191))))))</f>
        <v> </v>
      </c>
      <c r="K3192" s="26" t="str">
        <f>IF(OR(E3192="",E3192="!!!",F3192="NEW"),"",INDEX(J$1:J3191,SUMPRODUCT(MAX(ROW(E$1:E3191)*(E3192=E$1:E3191)))))</f>
        <v> </v>
      </c>
      <c r="L3192" s="27"/>
    </row>
    <row r="3193" spans="1:12">
      <c r="A3193" s="20" t="s">
        <v>899</v>
      </c>
      <c r="B3193" s="21" t="s">
        <v>788</v>
      </c>
      <c r="C3193" s="21" t="s">
        <v>729</v>
      </c>
      <c r="D3193" s="21" t="s">
        <v>730</v>
      </c>
      <c r="E3193" s="22">
        <f>IF(D3193="?OLD","!!!","")</f>
        <v/>
      </c>
      <c r="F3193" s="23" t="str">
        <f>IF(OR(E3193="",E3193="!!!"),"",IF(NOT(ISNA(VLOOKUP(E3193,E$1:E3192,1,FALSE()))),"OLD",IF(AND(E3193&lt;&gt;"",E3193&lt;&gt;"!!!"),"NEW","")))</f>
        <v> </v>
      </c>
      <c r="G3193" s="24" t="str">
        <f>IF(OR(E3193="",E3193="!!!"),"",IF(OR(J3193=0,AND(J3193=1,K3193=1),AND(J3193=1,I3193="SBJ"),AND(J3193=1,I3193=0)),"?IN_FOCUS",IF(J3193&lt;=2,"?ACTIVATED",IF(J3193&lt;&gt;"","?FAMILIAR",IF(F3193="NEW",IF(ISNA(VLOOKUP(E3193,#REF!,1,FALSE())),"?TYPE_IDENTIFIABLE","?REFERENTIAL"),"_")))))</f>
        <v> </v>
      </c>
      <c r="H3193" s="25" t="str">
        <f>IF(J3193&lt;&gt;1,"",IF(I3193="SBJ","CB","?"))</f>
        <v> </v>
      </c>
      <c r="I3193" s="26" t="str">
        <f>IF(OR(E3193="",E3193="!!!",F3193="NEW"),"",INDEX(B3192:B$2,-1+SUMPRODUCT(MAX(ROW(E3192:E$2)*(E3193=E3192:E$2)))))</f>
        <v> </v>
      </c>
      <c r="J3193" s="26" t="str">
        <f>IF(OR(E3193="",E3193="!!!",F3193="NEW"),"",COUNTBLANK(OFFSET(A$1,,,SUMPRODUCT(MAX(ROW(E$2:E3193)*(E3193=E$2:E3193)))))-COUNTBLANK(OFFSET(A$1,,,SUMPRODUCT(MAX(ROW(E$1:E3192)*(E2=E$1:E3192))))))</f>
        <v> </v>
      </c>
      <c r="K3193" s="26" t="str">
        <f>IF(OR(E3193="",E3193="!!!",F3193="NEW"),"",INDEX(J$1:J3192,SUMPRODUCT(MAX(ROW(E$1:E3192)*(E3193=E$1:E3192)))))</f>
        <v> </v>
      </c>
      <c r="L3193" s="27"/>
    </row>
    <row r="3194" spans="1:12">
      <c r="A3194" s="20" t="s">
        <v>878</v>
      </c>
      <c r="E3194" s="22">
        <f>IF(D3194="?OLD","!!!","")</f>
        <v/>
      </c>
      <c r="F3194" s="23" t="str">
        <f>IF(OR(E3194="",E3194="!!!"),"",IF(NOT(ISNA(VLOOKUP(E3194,E$1:E3193,1,FALSE()))),"OLD",IF(AND(E3194&lt;&gt;"",E3194&lt;&gt;"!!!"),"NEW","")))</f>
        <v> </v>
      </c>
      <c r="G3194" s="24" t="str">
        <f>IF(OR(E3194="",E3194="!!!"),"",IF(OR(J3194=0,AND(J3194=1,K3194=1),AND(J3194=1,I3194="SBJ"),AND(J3194=1,I3194=0)),"?IN_FOCUS",IF(J3194&lt;=2,"?ACTIVATED",IF(J3194&lt;&gt;"","?FAMILIAR",IF(F3194="NEW",IF(ISNA(VLOOKUP(E3194,#REF!,1,FALSE())),"?TYPE_IDENTIFIABLE","?REFERENTIAL"),"_")))))</f>
        <v> </v>
      </c>
      <c r="H3194" s="25" t="str">
        <f>IF(J3194&lt;&gt;1,"",IF(I3194="SBJ","CB","?"))</f>
        <v> </v>
      </c>
      <c r="I3194" s="26" t="str">
        <f>IF(OR(E3194="",E3194="!!!",F3194="NEW"),"",INDEX(B3193:B$2,-1+SUMPRODUCT(MAX(ROW(E3193:E$2)*(E3194=E3193:E$2)))))</f>
        <v> </v>
      </c>
      <c r="J3194" s="26" t="str">
        <f>IF(OR(E3194="",E3194="!!!",F3194="NEW"),"",COUNTBLANK(OFFSET(A$1,,,SUMPRODUCT(MAX(ROW(E$2:E3194)*(E3194=E$2:E3194)))))-COUNTBLANK(OFFSET(A$1,,,SUMPRODUCT(MAX(ROW(E$1:E3193)*(E2=E$1:E3193))))))</f>
        <v> </v>
      </c>
      <c r="K3194" s="26" t="str">
        <f>IF(OR(E3194="",E3194="!!!",F3194="NEW"),"",INDEX(J$1:J3193,SUMPRODUCT(MAX(ROW(E$1:E3193)*(E3194=E$1:E3193)))))</f>
        <v> </v>
      </c>
      <c r="L3194" s="27"/>
    </row>
    <row r="3195" spans="1:12">
      <c r="A3195" s="20" t="s">
        <v>902</v>
      </c>
      <c r="E3195" s="22">
        <f>IF(D3195="?OLD","!!!","")</f>
        <v/>
      </c>
      <c r="F3195" s="23" t="str">
        <f>IF(OR(E3195="",E3195="!!!"),"",IF(NOT(ISNA(VLOOKUP(E3195,E$1:E3194,1,FALSE()))),"OLD",IF(AND(E3195&lt;&gt;"",E3195&lt;&gt;"!!!"),"NEW","")))</f>
        <v> </v>
      </c>
      <c r="G3195" s="24" t="str">
        <f>IF(OR(E3195="",E3195="!!!"),"",IF(OR(J3195=0,AND(J3195=1,K3195=1),AND(J3195=1,I3195="SBJ"),AND(J3195=1,I3195=0)),"?IN_FOCUS",IF(J3195&lt;=2,"?ACTIVATED",IF(J3195&lt;&gt;"","?FAMILIAR",IF(F3195="NEW",IF(ISNA(VLOOKUP(E3195,#REF!,1,FALSE())),"?TYPE_IDENTIFIABLE","?REFERENTIAL"),"_")))))</f>
        <v> </v>
      </c>
      <c r="H3195" s="25" t="str">
        <f>IF(J3195&lt;&gt;1,"",IF(I3195="SBJ","CB","?"))</f>
        <v> </v>
      </c>
      <c r="I3195" s="26" t="str">
        <f>IF(OR(E3195="",E3195="!!!",F3195="NEW"),"",INDEX(B3194:B$2,-1+SUMPRODUCT(MAX(ROW(E3194:E$2)*(E3195=E3194:E$2)))))</f>
        <v> </v>
      </c>
      <c r="J3195" s="26" t="str">
        <f>IF(OR(E3195="",E3195="!!!",F3195="NEW"),"",COUNTBLANK(OFFSET(A$1,,,SUMPRODUCT(MAX(ROW(E$2:E3195)*(E3195=E$2:E3195)))))-COUNTBLANK(OFFSET(A$1,,,SUMPRODUCT(MAX(ROW(E$1:E3194)*(E2=E$1:E3194))))))</f>
        <v> </v>
      </c>
      <c r="K3195" s="26" t="str">
        <f>IF(OR(E3195="",E3195="!!!",F3195="NEW"),"",INDEX(J$1:J3194,SUMPRODUCT(MAX(ROW(E$1:E3194)*(E3195=E$1:E3194)))))</f>
        <v> </v>
      </c>
      <c r="L3195" s="27"/>
    </row>
    <row r="3196" spans="1:12">
      <c r="A3196" s="20" t="s">
        <v>810</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t="s">
        <v>910</v>
      </c>
      <c r="E3197" s="22">
        <f>IF(D3197="?OLD","!!!","")</f>
        <v/>
      </c>
      <c r="F3197" s="23" t="str">
        <f>IF(OR(E3197="",E3197="!!!"),"",IF(NOT(ISNA(VLOOKUP(E3197,E$1:E3196,1,FALSE()))),"OLD",IF(AND(E3197&lt;&gt;"",E3197&lt;&gt;"!!!"),"NEW","")))</f>
        <v> </v>
      </c>
      <c r="G3197" s="24" t="str">
        <f>IF(OR(E3197="",E3197="!!!"),"",IF(OR(J3197=0,AND(J3197=1,K3197=1),AND(J3197=1,I3197="SBJ"),AND(J3197=1,I3197=0)),"?IN_FOCUS",IF(J3197&lt;=2,"?ACTIVATED",IF(J3197&lt;&gt;"","?FAMILIAR",IF(F3197="NEW",IF(ISNA(VLOOKUP(E3197,#REF!,1,FALSE())),"?TYPE_IDENTIFIABLE","?REFERENTIAL"),"_")))))</f>
        <v> </v>
      </c>
      <c r="H3197" s="25" t="str">
        <f>IF(J3197&lt;&gt;1,"",IF(I3197="SBJ","CB","?"))</f>
        <v> </v>
      </c>
      <c r="I3197" s="26" t="str">
        <f>IF(OR(E3197="",E3197="!!!",F3197="NEW"),"",INDEX(B3196:B$2,-1+SUMPRODUCT(MAX(ROW(E3196:E$2)*(E3197=E3196:E$2)))))</f>
        <v> </v>
      </c>
      <c r="J3197" s="26" t="str">
        <f>IF(OR(E3197="",E3197="!!!",F3197="NEW"),"",COUNTBLANK(OFFSET(A$1,,,SUMPRODUCT(MAX(ROW(E$2:E3197)*(E3197=E$2:E3197)))))-COUNTBLANK(OFFSET(A$1,,,SUMPRODUCT(MAX(ROW(E$1:E3196)*(E2=E$1:E3196))))))</f>
        <v> </v>
      </c>
      <c r="K3197" s="26" t="str">
        <f>IF(OR(E3197="",E3197="!!!",F3197="NEW"),"",INDEX(J$1:J3196,SUMPRODUCT(MAX(ROW(E$1:E3196)*(E3197=E$1:E3196)))))</f>
        <v> </v>
      </c>
      <c r="L3197" s="27"/>
    </row>
    <row r="3198" spans="1:12">
      <c r="A3198" s="20" t="s">
        <v>246</v>
      </c>
      <c r="E3198" s="22">
        <f>IF(D3198="?OLD","!!!","")</f>
        <v/>
      </c>
      <c r="F3198" s="23" t="str">
        <f>IF(OR(E3198="",E3198="!!!"),"",IF(NOT(ISNA(VLOOKUP(E3198,E$1:E3197,1,FALSE()))),"OLD",IF(AND(E3198&lt;&gt;"",E3198&lt;&gt;"!!!"),"NEW","")))</f>
        <v> </v>
      </c>
      <c r="G3198" s="24" t="str">
        <f>IF(OR(E3198="",E3198="!!!"),"",IF(OR(J3198=0,AND(J3198=1,K3198=1),AND(J3198=1,I3198="SBJ"),AND(J3198=1,I3198=0)),"?IN_FOCUS",IF(J3198&lt;=2,"?ACTIVATED",IF(J3198&lt;&gt;"","?FAMILIAR",IF(F3198="NEW",IF(ISNA(VLOOKUP(E3198,#REF!,1,FALSE())),"?TYPE_IDENTIFIABLE","?REFERENTIAL"),"_")))))</f>
        <v> </v>
      </c>
      <c r="H3198" s="25" t="str">
        <f>IF(J3198&lt;&gt;1,"",IF(I3198="SBJ","CB","?"))</f>
        <v> </v>
      </c>
      <c r="I3198" s="26" t="str">
        <f>IF(OR(E3198="",E3198="!!!",F3198="NEW"),"",INDEX(B3197:B$2,-1+SUMPRODUCT(MAX(ROW(E3197:E$2)*(E3198=E3197:E$2)))))</f>
        <v> </v>
      </c>
      <c r="J3198" s="26" t="str">
        <f>IF(OR(E3198="",E3198="!!!",F3198="NEW"),"",COUNTBLANK(OFFSET(A$1,,,SUMPRODUCT(MAX(ROW(E$2:E3198)*(E3198=E$2:E3198)))))-COUNTBLANK(OFFSET(A$1,,,SUMPRODUCT(MAX(ROW(E$1:E3197)*(E2=E$1:E3197))))))</f>
        <v> </v>
      </c>
      <c r="K3198" s="26" t="str">
        <f>IF(OR(E3198="",E3198="!!!",F3198="NEW"),"",INDEX(J$1:J3197,SUMPRODUCT(MAX(ROW(E$1:E3197)*(E3198=E$1:E3197)))))</f>
        <v> </v>
      </c>
      <c r="L3198" s="27"/>
    </row>
    <row r="3199" spans="1:12">
      <c r="A3199" s="20"/>
    </row>
    <row r="3200" spans="1:12">
      <c r="A3200" s="20" t="s">
        <v>1861</v>
      </c>
    </row>
    <row r="3201" spans="1:12">
      <c r="A3201" s="20" t="s">
        <v>1862</v>
      </c>
      <c r="B3201" s="21" t="s">
        <v>728</v>
      </c>
      <c r="C3201" s="21" t="s">
        <v>740</v>
      </c>
      <c r="D3201" s="21" t="s">
        <v>730</v>
      </c>
      <c r="E3201" s="22">
        <f>IF(D3201="?OLD","!!!","")</f>
        <v/>
      </c>
      <c r="F3201" s="23" t="str">
        <f>IF(OR(E3201="",E3201="!!!"),"",IF(NOT(ISNA(VLOOKUP(E3201,E$1:E3200,1,FALSE()))),"OLD",IF(AND(E3201&lt;&gt;"",E3201&lt;&gt;"!!!"),"NEW","")))</f>
        <v> </v>
      </c>
      <c r="G3201" s="24" t="str">
        <f>IF(OR(E3201="",E3201="!!!"),"",IF(OR(J3201=0,AND(J3201=1,K3201=1),AND(J3201=1,I3201="SBJ"),AND(J3201=1,I3201=0)),"?IN_FOCUS",IF(J3201&lt;=2,"?ACTIVATED",IF(J3201&lt;&gt;"","?FAMILIAR",IF(F3201="NEW",IF(ISNA(VLOOKUP(E3201,#REF!,1,FALSE())),"?TYPE_IDENTIFIABLE","?REFERENTIAL"),"_")))))</f>
        <v> </v>
      </c>
      <c r="H3201" s="25" t="str">
        <f>IF(J3201&lt;&gt;1,"",IF(I3201="SBJ","CB","?"))</f>
        <v> </v>
      </c>
      <c r="I3201" s="26" t="str">
        <f>IF(OR(E3201="",E3201="!!!",F3201="NEW"),"",INDEX(B3200:B$2,-1+SUMPRODUCT(MAX(ROW(E3200:E$2)*(E3201=E3200:E$2)))))</f>
        <v> </v>
      </c>
      <c r="J3201" s="26" t="str">
        <f>IF(OR(E3201="",E3201="!!!",F3201="NEW"),"",COUNTBLANK(OFFSET(A$1,,,SUMPRODUCT(MAX(ROW(E$2:E3201)*(E3201=E$2:E3201)))))-COUNTBLANK(OFFSET(A$1,,,SUMPRODUCT(MAX(ROW(E$1:E3200)*(E2=E$1:E3200))))))</f>
        <v> </v>
      </c>
      <c r="K3201" s="26" t="str">
        <f>IF(OR(E3201="",E3201="!!!",F3201="NEW"),"",INDEX(J$1:J3200,SUMPRODUCT(MAX(ROW(E$1:E3200)*(E3201=E$1:E3200)))))</f>
        <v> </v>
      </c>
      <c r="L3201" s="27"/>
    </row>
    <row r="3202" spans="1:12">
      <c r="A3202" s="20" t="s">
        <v>629</v>
      </c>
      <c r="E3202" s="22">
        <f>IF(D3202="?OLD","!!!","")</f>
        <v/>
      </c>
      <c r="F3202" s="23" t="str">
        <f>IF(OR(E3202="",E3202="!!!"),"",IF(NOT(ISNA(VLOOKUP(E3202,E$1:E3201,1,FALSE()))),"OLD",IF(AND(E3202&lt;&gt;"",E3202&lt;&gt;"!!!"),"NEW","")))</f>
        <v> </v>
      </c>
      <c r="G3202" s="24" t="str">
        <f>IF(OR(E3202="",E3202="!!!"),"",IF(OR(J3202=0,AND(J3202=1,K3202=1),AND(J3202=1,I3202="SBJ"),AND(J3202=1,I3202=0)),"?IN_FOCUS",IF(J3202&lt;=2,"?ACTIVATED",IF(J3202&lt;&gt;"","?FAMILIAR",IF(F3202="NEW",IF(ISNA(VLOOKUP(E3202,#REF!,1,FALSE())),"?TYPE_IDENTIFIABLE","?REFERENTIAL"),"_")))))</f>
        <v> </v>
      </c>
      <c r="H3202" s="25" t="str">
        <f>IF(J3202&lt;&gt;1,"",IF(I3202="SBJ","CB","?"))</f>
        <v> </v>
      </c>
      <c r="I3202" s="26" t="str">
        <f>IF(OR(E3202="",E3202="!!!",F3202="NEW"),"",INDEX(B3201:B$2,-1+SUMPRODUCT(MAX(ROW(E3201:E$2)*(E3202=E3201:E$2)))))</f>
        <v> </v>
      </c>
      <c r="J3202" s="26" t="str">
        <f>IF(OR(E3202="",E3202="!!!",F3202="NEW"),"",COUNTBLANK(OFFSET(A$1,,,SUMPRODUCT(MAX(ROW(E$2:E3202)*(E3202=E$2:E3202)))))-COUNTBLANK(OFFSET(A$1,,,SUMPRODUCT(MAX(ROW(E$1:E3201)*(E2=E$1:E3201))))))</f>
        <v> </v>
      </c>
      <c r="K3202" s="26" t="str">
        <f>IF(OR(E3202="",E3202="!!!",F3202="NEW"),"",INDEX(J$1:J3201,SUMPRODUCT(MAX(ROW(E$1:E3201)*(E3202=E$1:E3201)))))</f>
        <v> </v>
      </c>
      <c r="L3202" s="27"/>
    </row>
    <row r="3203" spans="1:12">
      <c r="A3203" s="20" t="s">
        <v>246</v>
      </c>
      <c r="E3203" s="22">
        <f>IF(D3203="?OLD","!!!","")</f>
        <v/>
      </c>
      <c r="F3203" s="23" t="str">
        <f>IF(OR(E3203="",E3203="!!!"),"",IF(NOT(ISNA(VLOOKUP(E3203,E$1:E3202,1,FALSE()))),"OLD",IF(AND(E3203&lt;&gt;"",E3203&lt;&gt;"!!!"),"NEW","")))</f>
        <v> </v>
      </c>
      <c r="G3203" s="24" t="str">
        <f>IF(OR(E3203="",E3203="!!!"),"",IF(OR(J3203=0,AND(J3203=1,K3203=1),AND(J3203=1,I3203="SBJ"),AND(J3203=1,I3203=0)),"?IN_FOCUS",IF(J3203&lt;=2,"?ACTIVATED",IF(J3203&lt;&gt;"","?FAMILIAR",IF(F3203="NEW",IF(ISNA(VLOOKUP(E3203,#REF!,1,FALSE())),"?TYPE_IDENTIFIABLE","?REFERENTIAL"),"_")))))</f>
        <v> </v>
      </c>
      <c r="H3203" s="25" t="str">
        <f>IF(J3203&lt;&gt;1,"",IF(I3203="SBJ","CB","?"))</f>
        <v> </v>
      </c>
      <c r="I3203" s="26" t="str">
        <f>IF(OR(E3203="",E3203="!!!",F3203="NEW"),"",INDEX(B3202:B$2,-1+SUMPRODUCT(MAX(ROW(E3202:E$2)*(E3203=E3202:E$2)))))</f>
        <v> </v>
      </c>
      <c r="J3203" s="26" t="str">
        <f>IF(OR(E3203="",E3203="!!!",F3203="NEW"),"",COUNTBLANK(OFFSET(A$1,,,SUMPRODUCT(MAX(ROW(E$2:E3203)*(E3203=E$2:E3203)))))-COUNTBLANK(OFFSET(A$1,,,SUMPRODUCT(MAX(ROW(E$1:E3202)*(E2=E$1:E3202))))))</f>
        <v> </v>
      </c>
      <c r="K3203" s="26" t="str">
        <f>IF(OR(E3203="",E3203="!!!",F3203="NEW"),"",INDEX(J$1:J3202,SUMPRODUCT(MAX(ROW(E$1:E3202)*(E3203=E$1:E3202)))))</f>
        <v> </v>
      </c>
      <c r="L3203" s="27"/>
    </row>
    <row r="3204" spans="1:12">
      <c r="A3204" s="20"/>
    </row>
    <row r="3205" spans="1:12">
      <c r="A3205" s="20" t="s">
        <v>1863</v>
      </c>
    </row>
    <row r="3206" spans="1:12">
      <c r="A3206" s="20" t="s">
        <v>1864</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1865</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t="s">
        <v>633</v>
      </c>
      <c r="B3208" s="21" t="s">
        <v>736</v>
      </c>
      <c r="C3208" s="21" t="s">
        <v>737</v>
      </c>
      <c r="E3208" s="22">
        <f>IF(D3208="?OLD","!!!","")</f>
        <v/>
      </c>
      <c r="F3208" s="23" t="str">
        <f>IF(OR(E3208="",E3208="!!!"),"",IF(NOT(ISNA(VLOOKUP(E3208,E$1:E3207,1,FALSE()))),"OLD",IF(AND(E3208&lt;&gt;"",E3208&lt;&gt;"!!!"),"NEW","")))</f>
        <v> </v>
      </c>
      <c r="G3208" s="24" t="str">
        <f>IF(OR(E3208="",E3208="!!!"),"",IF(OR(J3208=0,AND(J3208=1,K3208=1),AND(J3208=1,I3208="SBJ"),AND(J3208=1,I3208=0)),"?IN_FOCUS",IF(J3208&lt;=2,"?ACTIVATED",IF(J3208&lt;&gt;"","?FAMILIAR",IF(F3208="NEW",IF(ISNA(VLOOKUP(E3208,#REF!,1,FALSE())),"?TYPE_IDENTIFIABLE","?REFERENTIAL"),"_")))))</f>
        <v> </v>
      </c>
      <c r="H3208" s="25" t="str">
        <f>IF(J3208&lt;&gt;1,"",IF(I3208="SBJ","CB","?"))</f>
        <v> </v>
      </c>
      <c r="I3208" s="26" t="str">
        <f>IF(OR(E3208="",E3208="!!!",F3208="NEW"),"",INDEX(B3207:B$2,-1+SUMPRODUCT(MAX(ROW(E3207:E$2)*(E3208=E3207:E$2)))))</f>
        <v> </v>
      </c>
      <c r="J3208" s="26" t="str">
        <f>IF(OR(E3208="",E3208="!!!",F3208="NEW"),"",COUNTBLANK(OFFSET(A$1,,,SUMPRODUCT(MAX(ROW(E$2:E3208)*(E3208=E$2:E3208)))))-COUNTBLANK(OFFSET(A$1,,,SUMPRODUCT(MAX(ROW(E$1:E3207)*(E2=E$1:E3207))))))</f>
        <v> </v>
      </c>
      <c r="K3208" s="26" t="str">
        <f>IF(OR(E3208="",E3208="!!!",F3208="NEW"),"",INDEX(J$1:J3207,SUMPRODUCT(MAX(ROW(E$1:E3207)*(E3208=E$1:E3207)))))</f>
        <v> </v>
      </c>
      <c r="L3208" s="27"/>
    </row>
    <row r="3209" spans="1:12">
      <c r="A3209" s="20" t="s">
        <v>246</v>
      </c>
      <c r="E3209" s="22">
        <f>IF(D3209="?OLD","!!!","")</f>
        <v/>
      </c>
      <c r="F3209" s="23" t="str">
        <f>IF(OR(E3209="",E3209="!!!"),"",IF(NOT(ISNA(VLOOKUP(E3209,E$1:E3208,1,FALSE()))),"OLD",IF(AND(E3209&lt;&gt;"",E3209&lt;&gt;"!!!"),"NEW","")))</f>
        <v> </v>
      </c>
      <c r="G3209" s="24" t="str">
        <f>IF(OR(E3209="",E3209="!!!"),"",IF(OR(J3209=0,AND(J3209=1,K3209=1),AND(J3209=1,I3209="SBJ"),AND(J3209=1,I3209=0)),"?IN_FOCUS",IF(J3209&lt;=2,"?ACTIVATED",IF(J3209&lt;&gt;"","?FAMILIAR",IF(F3209="NEW",IF(ISNA(VLOOKUP(E3209,#REF!,1,FALSE())),"?TYPE_IDENTIFIABLE","?REFERENTIAL"),"_")))))</f>
        <v> </v>
      </c>
      <c r="H3209" s="25" t="str">
        <f>IF(J3209&lt;&gt;1,"",IF(I3209="SBJ","CB","?"))</f>
        <v> </v>
      </c>
      <c r="I3209" s="26" t="str">
        <f>IF(OR(E3209="",E3209="!!!",F3209="NEW"),"",INDEX(B3208:B$2,-1+SUMPRODUCT(MAX(ROW(E3208:E$2)*(E3209=E3208:E$2)))))</f>
        <v> </v>
      </c>
      <c r="J3209" s="26" t="str">
        <f>IF(OR(E3209="",E3209="!!!",F3209="NEW"),"",COUNTBLANK(OFFSET(A$1,,,SUMPRODUCT(MAX(ROW(E$2:E3209)*(E3209=E$2:E3209)))))-COUNTBLANK(OFFSET(A$1,,,SUMPRODUCT(MAX(ROW(E$1:E3208)*(E2=E$1:E3208))))))</f>
        <v> </v>
      </c>
      <c r="K3209" s="26" t="str">
        <f>IF(OR(E3209="",E3209="!!!",F3209="NEW"),"",INDEX(J$1:J3208,SUMPRODUCT(MAX(ROW(E$1:E3208)*(E3209=E$1:E3208)))))</f>
        <v> </v>
      </c>
      <c r="L3209" s="27"/>
    </row>
    <row r="3210" spans="1:12">
      <c r="A3210" s="20"/>
    </row>
    <row r="3211" spans="1:12">
      <c r="A3211" s="20" t="s">
        <v>1866</v>
      </c>
    </row>
    <row r="3212" spans="1:12">
      <c r="A3212" s="20" t="s">
        <v>768</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t="s">
        <v>859</v>
      </c>
      <c r="B3213" s="21" t="s">
        <v>728</v>
      </c>
      <c r="C3213" s="21" t="s">
        <v>789</v>
      </c>
      <c r="D3213" s="21" t="s">
        <v>730</v>
      </c>
      <c r="E3213" s="22">
        <f>IF(D3213="?OLD","!!!","")</f>
        <v/>
      </c>
      <c r="F3213" s="23" t="str">
        <f>IF(OR(E3213="",E3213="!!!"),"",IF(NOT(ISNA(VLOOKUP(E3213,E$1:E3212,1,FALSE()))),"OLD",IF(AND(E3213&lt;&gt;"",E3213&lt;&gt;"!!!"),"NEW","")))</f>
        <v> </v>
      </c>
      <c r="G3213" s="24" t="str">
        <f>IF(OR(E3213="",E3213="!!!"),"",IF(OR(J3213=0,AND(J3213=1,K3213=1),AND(J3213=1,I3213="SBJ"),AND(J3213=1,I3213=0)),"?IN_FOCUS",IF(J3213&lt;=2,"?ACTIVATED",IF(J3213&lt;&gt;"","?FAMILIAR",IF(F3213="NEW",IF(ISNA(VLOOKUP(E3213,#REF!,1,FALSE())),"?TYPE_IDENTIFIABLE","?REFERENTIAL"),"_")))))</f>
        <v> </v>
      </c>
      <c r="H3213" s="25" t="str">
        <f>IF(J3213&lt;&gt;1,"",IF(I3213="SBJ","CB","?"))</f>
        <v> </v>
      </c>
      <c r="I3213" s="26" t="str">
        <f>IF(OR(E3213="",E3213="!!!",F3213="NEW"),"",INDEX(B3212:B$2,-1+SUMPRODUCT(MAX(ROW(E3212:E$2)*(E3213=E3212:E$2)))))</f>
        <v> </v>
      </c>
      <c r="J3213" s="26" t="str">
        <f>IF(OR(E3213="",E3213="!!!",F3213="NEW"),"",COUNTBLANK(OFFSET(A$1,,,SUMPRODUCT(MAX(ROW(E$2:E3213)*(E3213=E$2:E3213)))))-COUNTBLANK(OFFSET(A$1,,,SUMPRODUCT(MAX(ROW(E$1:E3212)*(E2=E$1:E3212))))))</f>
        <v> </v>
      </c>
      <c r="K3213" s="26" t="str">
        <f>IF(OR(E3213="",E3213="!!!",F3213="NEW"),"",INDEX(J$1:J3212,SUMPRODUCT(MAX(ROW(E$1:E3212)*(E3213=E$1:E3212)))))</f>
        <v> </v>
      </c>
      <c r="L3213" s="27"/>
    </row>
    <row r="3214" spans="1:12">
      <c r="A3214" s="20" t="s">
        <v>1867</v>
      </c>
      <c r="E3214" s="22">
        <f>IF(D3214="?OLD","!!!","")</f>
        <v/>
      </c>
      <c r="F3214" s="23" t="str">
        <f>IF(OR(E3214="",E3214="!!!"),"",IF(NOT(ISNA(VLOOKUP(E3214,E$1:E3213,1,FALSE()))),"OLD",IF(AND(E3214&lt;&gt;"",E3214&lt;&gt;"!!!"),"NEW","")))</f>
        <v> </v>
      </c>
      <c r="G3214" s="24" t="str">
        <f>IF(OR(E3214="",E3214="!!!"),"",IF(OR(J3214=0,AND(J3214=1,K3214=1),AND(J3214=1,I3214="SBJ"),AND(J3214=1,I3214=0)),"?IN_FOCUS",IF(J3214&lt;=2,"?ACTIVATED",IF(J3214&lt;&gt;"","?FAMILIAR",IF(F3214="NEW",IF(ISNA(VLOOKUP(E3214,#REF!,1,FALSE())),"?TYPE_IDENTIFIABLE","?REFERENTIAL"),"_")))))</f>
        <v> </v>
      </c>
      <c r="H3214" s="25" t="str">
        <f>IF(J3214&lt;&gt;1,"",IF(I3214="SBJ","CB","?"))</f>
        <v> </v>
      </c>
      <c r="I3214" s="26" t="str">
        <f>IF(OR(E3214="",E3214="!!!",F3214="NEW"),"",INDEX(B3213:B$2,-1+SUMPRODUCT(MAX(ROW(E3213:E$2)*(E3214=E3213:E$2)))))</f>
        <v> </v>
      </c>
      <c r="J3214" s="26" t="str">
        <f>IF(OR(E3214="",E3214="!!!",F3214="NEW"),"",COUNTBLANK(OFFSET(A$1,,,SUMPRODUCT(MAX(ROW(E$2:E3214)*(E3214=E$2:E3214)))))-COUNTBLANK(OFFSET(A$1,,,SUMPRODUCT(MAX(ROW(E$1:E3213)*(E2=E$1:E3213))))))</f>
        <v> </v>
      </c>
      <c r="K3214" s="26" t="str">
        <f>IF(OR(E3214="",E3214="!!!",F3214="NEW"),"",INDEX(J$1:J3213,SUMPRODUCT(MAX(ROW(E$1:E3213)*(E3214=E$1:E3213)))))</f>
        <v> </v>
      </c>
      <c r="L3214" s="27"/>
    </row>
    <row r="3215" spans="1:12">
      <c r="A3215" s="20" t="s">
        <v>1107</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1054</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1868</v>
      </c>
      <c r="B3217" s="21" t="s">
        <v>739</v>
      </c>
      <c r="C3217" s="21" t="s">
        <v>737</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t="s">
        <v>938</v>
      </c>
      <c r="E3218" s="22">
        <f>IF(D3218="?OLD","!!!","")</f>
        <v/>
      </c>
      <c r="F3218" s="23" t="str">
        <f>IF(OR(E3218="",E3218="!!!"),"",IF(NOT(ISNA(VLOOKUP(E3218,E$1:E3217,1,FALSE()))),"OLD",IF(AND(E3218&lt;&gt;"",E3218&lt;&gt;"!!!"),"NEW","")))</f>
        <v> </v>
      </c>
      <c r="G3218" s="24" t="str">
        <f>IF(OR(E3218="",E3218="!!!"),"",IF(OR(J3218=0,AND(J3218=1,K3218=1),AND(J3218=1,I3218="SBJ"),AND(J3218=1,I3218=0)),"?IN_FOCUS",IF(J3218&lt;=2,"?ACTIVATED",IF(J3218&lt;&gt;"","?FAMILIAR",IF(F3218="NEW",IF(ISNA(VLOOKUP(E3218,#REF!,1,FALSE())),"?TYPE_IDENTIFIABLE","?REFERENTIAL"),"_")))))</f>
        <v> </v>
      </c>
      <c r="H3218" s="25" t="str">
        <f>IF(J3218&lt;&gt;1,"",IF(I3218="SBJ","CB","?"))</f>
        <v> </v>
      </c>
      <c r="I3218" s="26" t="str">
        <f>IF(OR(E3218="",E3218="!!!",F3218="NEW"),"",INDEX(B3217:B$2,-1+SUMPRODUCT(MAX(ROW(E3217:E$2)*(E3218=E3217:E$2)))))</f>
        <v> </v>
      </c>
      <c r="J3218" s="26" t="str">
        <f>IF(OR(E3218="",E3218="!!!",F3218="NEW"),"",COUNTBLANK(OFFSET(A$1,,,SUMPRODUCT(MAX(ROW(E$2:E3218)*(E3218=E$2:E3218)))))-COUNTBLANK(OFFSET(A$1,,,SUMPRODUCT(MAX(ROW(E$1:E3217)*(E2=E$1:E3217))))))</f>
        <v> </v>
      </c>
      <c r="K3218" s="26" t="str">
        <f>IF(OR(E3218="",E3218="!!!",F3218="NEW"),"",INDEX(J$1:J3217,SUMPRODUCT(MAX(ROW(E$1:E3217)*(E3218=E$1:E3217)))))</f>
        <v> </v>
      </c>
      <c r="L3218" s="27"/>
    </row>
    <row r="3219" spans="1:12">
      <c r="A3219" s="20" t="s">
        <v>1869</v>
      </c>
      <c r="E3219" s="22">
        <f>IF(D3219="?OLD","!!!","")</f>
        <v/>
      </c>
      <c r="F3219" s="23" t="str">
        <f>IF(OR(E3219="",E3219="!!!"),"",IF(NOT(ISNA(VLOOKUP(E3219,E$1:E3218,1,FALSE()))),"OLD",IF(AND(E3219&lt;&gt;"",E3219&lt;&gt;"!!!"),"NEW","")))</f>
        <v> </v>
      </c>
      <c r="G3219" s="24" t="str">
        <f>IF(OR(E3219="",E3219="!!!"),"",IF(OR(J3219=0,AND(J3219=1,K3219=1),AND(J3219=1,I3219="SBJ"),AND(J3219=1,I3219=0)),"?IN_FOCUS",IF(J3219&lt;=2,"?ACTIVATED",IF(J3219&lt;&gt;"","?FAMILIAR",IF(F3219="NEW",IF(ISNA(VLOOKUP(E3219,#REF!,1,FALSE())),"?TYPE_IDENTIFIABLE","?REFERENTIAL"),"_")))))</f>
        <v> </v>
      </c>
      <c r="H3219" s="25" t="str">
        <f>IF(J3219&lt;&gt;1,"",IF(I3219="SBJ","CB","?"))</f>
        <v> </v>
      </c>
      <c r="I3219" s="26" t="str">
        <f>IF(OR(E3219="",E3219="!!!",F3219="NEW"),"",INDEX(B3218:B$2,-1+SUMPRODUCT(MAX(ROW(E3218:E$2)*(E3219=E3218:E$2)))))</f>
        <v> </v>
      </c>
      <c r="J3219" s="26" t="str">
        <f>IF(OR(E3219="",E3219="!!!",F3219="NEW"),"",COUNTBLANK(OFFSET(A$1,,,SUMPRODUCT(MAX(ROW(E$2:E3219)*(E3219=E$2:E3219)))))-COUNTBLANK(OFFSET(A$1,,,SUMPRODUCT(MAX(ROW(E$1:E3218)*(E2=E$1:E3218))))))</f>
        <v> </v>
      </c>
      <c r="K3219" s="26" t="str">
        <f>IF(OR(E3219="",E3219="!!!",F3219="NEW"),"",INDEX(J$1:J3218,SUMPRODUCT(MAX(ROW(E$1:E3218)*(E3219=E$1:E3218)))))</f>
        <v> </v>
      </c>
      <c r="L3219" s="27"/>
    </row>
    <row r="3220" spans="1:12">
      <c r="A3220" s="20" t="s">
        <v>1066</v>
      </c>
      <c r="B3220" s="21" t="s">
        <v>755</v>
      </c>
      <c r="C3220" s="21" t="s">
        <v>967</v>
      </c>
      <c r="E3220" s="22">
        <f>IF(D3220="?OLD","!!!","")</f>
        <v/>
      </c>
      <c r="F3220" s="23" t="str">
        <f>IF(OR(E3220="",E3220="!!!"),"",IF(NOT(ISNA(VLOOKUP(E3220,E$1:E3219,1,FALSE()))),"OLD",IF(AND(E3220&lt;&gt;"",E3220&lt;&gt;"!!!"),"NEW","")))</f>
        <v> </v>
      </c>
      <c r="G3220" s="24" t="str">
        <f>IF(OR(E3220="",E3220="!!!"),"",IF(OR(J3220=0,AND(J3220=1,K3220=1),AND(J3220=1,I3220="SBJ"),AND(J3220=1,I3220=0)),"?IN_FOCUS",IF(J3220&lt;=2,"?ACTIVATED",IF(J3220&lt;&gt;"","?FAMILIAR",IF(F3220="NEW",IF(ISNA(VLOOKUP(E3220,#REF!,1,FALSE())),"?TYPE_IDENTIFIABLE","?REFERENTIAL"),"_")))))</f>
        <v> </v>
      </c>
      <c r="H3220" s="25" t="str">
        <f>IF(J3220&lt;&gt;1,"",IF(I3220="SBJ","CB","?"))</f>
        <v> </v>
      </c>
      <c r="I3220" s="26" t="str">
        <f>IF(OR(E3220="",E3220="!!!",F3220="NEW"),"",INDEX(B3219:B$2,-1+SUMPRODUCT(MAX(ROW(E3219:E$2)*(E3220=E3219:E$2)))))</f>
        <v> </v>
      </c>
      <c r="J3220" s="26" t="str">
        <f>IF(OR(E3220="",E3220="!!!",F3220="NEW"),"",COUNTBLANK(OFFSET(A$1,,,SUMPRODUCT(MAX(ROW(E$2:E3220)*(E3220=E$2:E3220)))))-COUNTBLANK(OFFSET(A$1,,,SUMPRODUCT(MAX(ROW(E$1:E3219)*(E2=E$1:E3219))))))</f>
        <v> </v>
      </c>
      <c r="K3220" s="26" t="str">
        <f>IF(OR(E3220="",E3220="!!!",F3220="NEW"),"",INDEX(J$1:J3219,SUMPRODUCT(MAX(ROW(E$1:E3219)*(E3220=E$1:E3219)))))</f>
        <v> </v>
      </c>
      <c r="L3220" s="27"/>
    </row>
    <row r="3221" spans="1:12">
      <c r="A3221" s="20" t="s">
        <v>754</v>
      </c>
      <c r="B3221" s="21" t="s">
        <v>739</v>
      </c>
      <c r="C3221" s="21" t="s">
        <v>756</v>
      </c>
      <c r="E3221" s="22">
        <f>IF(D3221="?OLD","!!!","")</f>
        <v/>
      </c>
      <c r="F3221" s="23" t="str">
        <f>IF(OR(E3221="",E3221="!!!"),"",IF(NOT(ISNA(VLOOKUP(E3221,E$1:E3220,1,FALSE()))),"OLD",IF(AND(E3221&lt;&gt;"",E3221&lt;&gt;"!!!"),"NEW","")))</f>
        <v> </v>
      </c>
      <c r="G3221" s="24" t="str">
        <f>IF(OR(E3221="",E3221="!!!"),"",IF(OR(J3221=0,AND(J3221=1,K3221=1),AND(J3221=1,I3221="SBJ"),AND(J3221=1,I3221=0)),"?IN_FOCUS",IF(J3221&lt;=2,"?ACTIVATED",IF(J3221&lt;&gt;"","?FAMILIAR",IF(F3221="NEW",IF(ISNA(VLOOKUP(E3221,#REF!,1,FALSE())),"?TYPE_IDENTIFIABLE","?REFERENTIAL"),"_")))))</f>
        <v> </v>
      </c>
      <c r="H3221" s="25" t="str">
        <f>IF(J3221&lt;&gt;1,"",IF(I3221="SBJ","CB","?"))</f>
        <v> </v>
      </c>
      <c r="I3221" s="26" t="str">
        <f>IF(OR(E3221="",E3221="!!!",F3221="NEW"),"",INDEX(B3220:B$2,-1+SUMPRODUCT(MAX(ROW(E3220:E$2)*(E3221=E3220:E$2)))))</f>
        <v> </v>
      </c>
      <c r="J3221" s="26" t="str">
        <f>IF(OR(E3221="",E3221="!!!",F3221="NEW"),"",COUNTBLANK(OFFSET(A$1,,,SUMPRODUCT(MAX(ROW(E$2:E3221)*(E3221=E$2:E3221)))))-COUNTBLANK(OFFSET(A$1,,,SUMPRODUCT(MAX(ROW(E$1:E3220)*(E2=E$1:E3220))))))</f>
        <v> </v>
      </c>
      <c r="K3221" s="26" t="str">
        <f>IF(OR(E3221="",E3221="!!!",F3221="NEW"),"",INDEX(J$1:J3220,SUMPRODUCT(MAX(ROW(E$1:E3220)*(E3221=E$1:E3220)))))</f>
        <v> </v>
      </c>
      <c r="L3221" s="27"/>
    </row>
    <row r="3222" spans="1:12">
      <c r="A3222" s="20" t="s">
        <v>733</v>
      </c>
      <c r="E3222" s="22">
        <f>IF(D3222="?OLD","!!!","")</f>
        <v/>
      </c>
      <c r="F3222" s="23" t="str">
        <f>IF(OR(E3222="",E3222="!!!"),"",IF(NOT(ISNA(VLOOKUP(E3222,E$1:E3221,1,FALSE()))),"OLD",IF(AND(E3222&lt;&gt;"",E3222&lt;&gt;"!!!"),"NEW","")))</f>
        <v> </v>
      </c>
      <c r="G3222" s="24" t="str">
        <f>IF(OR(E3222="",E3222="!!!"),"",IF(OR(J3222=0,AND(J3222=1,K3222=1),AND(J3222=1,I3222="SBJ"),AND(J3222=1,I3222=0)),"?IN_FOCUS",IF(J3222&lt;=2,"?ACTIVATED",IF(J3222&lt;&gt;"","?FAMILIAR",IF(F3222="NEW",IF(ISNA(VLOOKUP(E3222,#REF!,1,FALSE())),"?TYPE_IDENTIFIABLE","?REFERENTIAL"),"_")))))</f>
        <v> </v>
      </c>
      <c r="H3222" s="25" t="str">
        <f>IF(J3222&lt;&gt;1,"",IF(I3222="SBJ","CB","?"))</f>
        <v> </v>
      </c>
      <c r="I3222" s="26" t="str">
        <f>IF(OR(E3222="",E3222="!!!",F3222="NEW"),"",INDEX(B3221:B$2,-1+SUMPRODUCT(MAX(ROW(E3221:E$2)*(E3222=E3221:E$2)))))</f>
        <v> </v>
      </c>
      <c r="J3222" s="26" t="str">
        <f>IF(OR(E3222="",E3222="!!!",F3222="NEW"),"",COUNTBLANK(OFFSET(A$1,,,SUMPRODUCT(MAX(ROW(E$2:E3222)*(E3222=E$2:E3222)))))-COUNTBLANK(OFFSET(A$1,,,SUMPRODUCT(MAX(ROW(E$1:E3221)*(E2=E$1:E3221))))))</f>
        <v> </v>
      </c>
      <c r="K3222" s="26" t="str">
        <f>IF(OR(E3222="",E3222="!!!",F3222="NEW"),"",INDEX(J$1:J3221,SUMPRODUCT(MAX(ROW(E$1:E3221)*(E3222=E$1:E3221)))))</f>
        <v> </v>
      </c>
      <c r="L3222" s="27"/>
    </row>
    <row r="3223" spans="1:12">
      <c r="A3223" s="20" t="s">
        <v>1870</v>
      </c>
      <c r="E3223" s="22">
        <f>IF(D3223="?OLD","!!!","")</f>
        <v/>
      </c>
      <c r="F3223" s="23" t="str">
        <f>IF(OR(E3223="",E3223="!!!"),"",IF(NOT(ISNA(VLOOKUP(E3223,E$1:E3222,1,FALSE()))),"OLD",IF(AND(E3223&lt;&gt;"",E3223&lt;&gt;"!!!"),"NEW","")))</f>
        <v> </v>
      </c>
      <c r="G3223" s="24" t="str">
        <f>IF(OR(E3223="",E3223="!!!"),"",IF(OR(J3223=0,AND(J3223=1,K3223=1),AND(J3223=1,I3223="SBJ"),AND(J3223=1,I3223=0)),"?IN_FOCUS",IF(J3223&lt;=2,"?ACTIVATED",IF(J3223&lt;&gt;"","?FAMILIAR",IF(F3223="NEW",IF(ISNA(VLOOKUP(E3223,#REF!,1,FALSE())),"?TYPE_IDENTIFIABLE","?REFERENTIAL"),"_")))))</f>
        <v> </v>
      </c>
      <c r="H3223" s="25" t="str">
        <f>IF(J3223&lt;&gt;1,"",IF(I3223="SBJ","CB","?"))</f>
        <v> </v>
      </c>
      <c r="I3223" s="26" t="str">
        <f>IF(OR(E3223="",E3223="!!!",F3223="NEW"),"",INDEX(B3222:B$2,-1+SUMPRODUCT(MAX(ROW(E3222:E$2)*(E3223=E3222:E$2)))))</f>
        <v> </v>
      </c>
      <c r="J3223" s="26" t="str">
        <f>IF(OR(E3223="",E3223="!!!",F3223="NEW"),"",COUNTBLANK(OFFSET(A$1,,,SUMPRODUCT(MAX(ROW(E$2:E3223)*(E3223=E$2:E3223)))))-COUNTBLANK(OFFSET(A$1,,,SUMPRODUCT(MAX(ROW(E$1:E3222)*(E2=E$1:E3222))))))</f>
        <v> </v>
      </c>
      <c r="K3223" s="26" t="str">
        <f>IF(OR(E3223="",E3223="!!!",F3223="NEW"),"",INDEX(J$1:J3222,SUMPRODUCT(MAX(ROW(E$1:E3222)*(E3223=E$1:E3222)))))</f>
        <v> </v>
      </c>
      <c r="L3223" s="27"/>
    </row>
    <row r="3224" spans="1:12">
      <c r="A3224" s="20" t="s">
        <v>1871</v>
      </c>
      <c r="B3224" s="21" t="s">
        <v>736</v>
      </c>
      <c r="C3224" s="21" t="s">
        <v>737</v>
      </c>
      <c r="E3224" s="22">
        <f>IF(D3224="?OLD","!!!","")</f>
        <v/>
      </c>
      <c r="F3224" s="23" t="str">
        <f>IF(OR(E3224="",E3224="!!!"),"",IF(NOT(ISNA(VLOOKUP(E3224,E$1:E3223,1,FALSE()))),"OLD",IF(AND(E3224&lt;&gt;"",E3224&lt;&gt;"!!!"),"NEW","")))</f>
        <v> </v>
      </c>
      <c r="G3224" s="24" t="str">
        <f>IF(OR(E3224="",E3224="!!!"),"",IF(OR(J3224=0,AND(J3224=1,K3224=1),AND(J3224=1,I3224="SBJ"),AND(J3224=1,I3224=0)),"?IN_FOCUS",IF(J3224&lt;=2,"?ACTIVATED",IF(J3224&lt;&gt;"","?FAMILIAR",IF(F3224="NEW",IF(ISNA(VLOOKUP(E3224,#REF!,1,FALSE())),"?TYPE_IDENTIFIABLE","?REFERENTIAL"),"_")))))</f>
        <v> </v>
      </c>
      <c r="H3224" s="25" t="str">
        <f>IF(J3224&lt;&gt;1,"",IF(I3224="SBJ","CB","?"))</f>
        <v> </v>
      </c>
      <c r="I3224" s="26" t="str">
        <f>IF(OR(E3224="",E3224="!!!",F3224="NEW"),"",INDEX(B3223:B$2,-1+SUMPRODUCT(MAX(ROW(E3223:E$2)*(E3224=E3223:E$2)))))</f>
        <v> </v>
      </c>
      <c r="J3224" s="26" t="str">
        <f>IF(OR(E3224="",E3224="!!!",F3224="NEW"),"",COUNTBLANK(OFFSET(A$1,,,SUMPRODUCT(MAX(ROW(E$2:E3224)*(E3224=E$2:E3224)))))-COUNTBLANK(OFFSET(A$1,,,SUMPRODUCT(MAX(ROW(E$1:E3223)*(E2=E$1:E3223))))))</f>
        <v> </v>
      </c>
      <c r="K3224" s="26" t="str">
        <f>IF(OR(E3224="",E3224="!!!",F3224="NEW"),"",INDEX(J$1:J3223,SUMPRODUCT(MAX(ROW(E$1:E3223)*(E3224=E$1:E3223)))))</f>
        <v> </v>
      </c>
      <c r="L3224" s="27"/>
    </row>
    <row r="3225" spans="1:12">
      <c r="A3225" s="20" t="s">
        <v>246</v>
      </c>
      <c r="E3225" s="22">
        <f>IF(D3225="?OLD","!!!","")</f>
        <v/>
      </c>
      <c r="F3225" s="23" t="str">
        <f>IF(OR(E3225="",E3225="!!!"),"",IF(NOT(ISNA(VLOOKUP(E3225,E$1:E3224,1,FALSE()))),"OLD",IF(AND(E3225&lt;&gt;"",E3225&lt;&gt;"!!!"),"NEW","")))</f>
        <v> </v>
      </c>
      <c r="G3225" s="24" t="str">
        <f>IF(OR(E3225="",E3225="!!!"),"",IF(OR(J3225=0,AND(J3225=1,K3225=1),AND(J3225=1,I3225="SBJ"),AND(J3225=1,I3225=0)),"?IN_FOCUS",IF(J3225&lt;=2,"?ACTIVATED",IF(J3225&lt;&gt;"","?FAMILIAR",IF(F3225="NEW",IF(ISNA(VLOOKUP(E3225,#REF!,1,FALSE())),"?TYPE_IDENTIFIABLE","?REFERENTIAL"),"_")))))</f>
        <v> </v>
      </c>
      <c r="H3225" s="25" t="str">
        <f>IF(J3225&lt;&gt;1,"",IF(I3225="SBJ","CB","?"))</f>
        <v> </v>
      </c>
      <c r="I3225" s="26" t="str">
        <f>IF(OR(E3225="",E3225="!!!",F3225="NEW"),"",INDEX(B3224:B$2,-1+SUMPRODUCT(MAX(ROW(E3224:E$2)*(E3225=E3224:E$2)))))</f>
        <v> </v>
      </c>
      <c r="J3225" s="26" t="str">
        <f>IF(OR(E3225="",E3225="!!!",F3225="NEW"),"",COUNTBLANK(OFFSET(A$1,,,SUMPRODUCT(MAX(ROW(E$2:E3225)*(E3225=E$2:E3225)))))-COUNTBLANK(OFFSET(A$1,,,SUMPRODUCT(MAX(ROW(E$1:E3224)*(E2=E$1:E3224))))))</f>
        <v> </v>
      </c>
      <c r="K3225" s="26" t="str">
        <f>IF(OR(E3225="",E3225="!!!",F3225="NEW"),"",INDEX(J$1:J3224,SUMPRODUCT(MAX(ROW(E$1:E3224)*(E3225=E$1:E3224)))))</f>
        <v> </v>
      </c>
      <c r="L3225" s="27"/>
    </row>
    <row r="3226" spans="1:12">
      <c r="A3226" s="20"/>
    </row>
    <row r="3227" spans="1:12">
      <c r="A3227" s="20" t="s">
        <v>1872</v>
      </c>
    </row>
    <row r="3228" spans="1:12">
      <c r="A3228" s="20" t="s">
        <v>1852</v>
      </c>
      <c r="E3228" s="22">
        <f>IF(D3228="?OLD","!!!","")</f>
        <v/>
      </c>
      <c r="F3228" s="23" t="str">
        <f>IF(OR(E3228="",E3228="!!!"),"",IF(NOT(ISNA(VLOOKUP(E3228,E$1:E3227,1,FALSE()))),"OLD",IF(AND(E3228&lt;&gt;"",E3228&lt;&gt;"!!!"),"NEW","")))</f>
        <v> </v>
      </c>
      <c r="G3228" s="24" t="str">
        <f>IF(OR(E3228="",E3228="!!!"),"",IF(OR(J3228=0,AND(J3228=1,K3228=1),AND(J3228=1,I3228="SBJ"),AND(J3228=1,I3228=0)),"?IN_FOCUS",IF(J3228&lt;=2,"?ACTIVATED",IF(J3228&lt;&gt;"","?FAMILIAR",IF(F3228="NEW",IF(ISNA(VLOOKUP(E3228,#REF!,1,FALSE())),"?TYPE_IDENTIFIABLE","?REFERENTIAL"),"_")))))</f>
        <v> </v>
      </c>
      <c r="H3228" s="25" t="str">
        <f>IF(J3228&lt;&gt;1,"",IF(I3228="SBJ","CB","?"))</f>
        <v> </v>
      </c>
      <c r="I3228" s="26" t="str">
        <f>IF(OR(E3228="",E3228="!!!",F3228="NEW"),"",INDEX(B3227:B$2,-1+SUMPRODUCT(MAX(ROW(E3227:E$2)*(E3228=E3227:E$2)))))</f>
        <v> </v>
      </c>
      <c r="J3228" s="26" t="str">
        <f>IF(OR(E3228="",E3228="!!!",F3228="NEW"),"",COUNTBLANK(OFFSET(A$1,,,SUMPRODUCT(MAX(ROW(E$2:E3228)*(E3228=E$2:E3228)))))-COUNTBLANK(OFFSET(A$1,,,SUMPRODUCT(MAX(ROW(E$1:E3227)*(E2=E$1:E3227))))))</f>
        <v> </v>
      </c>
      <c r="K3228" s="26" t="str">
        <f>IF(OR(E3228="",E3228="!!!",F3228="NEW"),"",INDEX(J$1:J3227,SUMPRODUCT(MAX(ROW(E$1:E3227)*(E3228=E$1:E3227)))))</f>
        <v> </v>
      </c>
      <c r="L3228" s="27"/>
    </row>
    <row r="3229" spans="1:12">
      <c r="A3229" s="20" t="s">
        <v>1873</v>
      </c>
      <c r="E3229" s="22">
        <f>IF(D3229="?OLD","!!!","")</f>
        <v/>
      </c>
      <c r="F3229" s="23" t="str">
        <f>IF(OR(E3229="",E3229="!!!"),"",IF(NOT(ISNA(VLOOKUP(E3229,E$1:E3228,1,FALSE()))),"OLD",IF(AND(E3229&lt;&gt;"",E3229&lt;&gt;"!!!"),"NEW","")))</f>
        <v> </v>
      </c>
      <c r="G3229" s="24" t="str">
        <f>IF(OR(E3229="",E3229="!!!"),"",IF(OR(J3229=0,AND(J3229=1,K3229=1),AND(J3229=1,I3229="SBJ"),AND(J3229=1,I3229=0)),"?IN_FOCUS",IF(J3229&lt;=2,"?ACTIVATED",IF(J3229&lt;&gt;"","?FAMILIAR",IF(F3229="NEW",IF(ISNA(VLOOKUP(E3229,#REF!,1,FALSE())),"?TYPE_IDENTIFIABLE","?REFERENTIAL"),"_")))))</f>
        <v> </v>
      </c>
      <c r="H3229" s="25" t="str">
        <f>IF(J3229&lt;&gt;1,"",IF(I3229="SBJ","CB","?"))</f>
        <v> </v>
      </c>
      <c r="I3229" s="26" t="str">
        <f>IF(OR(E3229="",E3229="!!!",F3229="NEW"),"",INDEX(B3228:B$2,-1+SUMPRODUCT(MAX(ROW(E3228:E$2)*(E3229=E3228:E$2)))))</f>
        <v> </v>
      </c>
      <c r="J3229" s="26" t="str">
        <f>IF(OR(E3229="",E3229="!!!",F3229="NEW"),"",COUNTBLANK(OFFSET(A$1,,,SUMPRODUCT(MAX(ROW(E$2:E3229)*(E3229=E$2:E3229)))))-COUNTBLANK(OFFSET(A$1,,,SUMPRODUCT(MAX(ROW(E$1:E3228)*(E2=E$1:E3228))))))</f>
        <v> </v>
      </c>
      <c r="K3229" s="26" t="str">
        <f>IF(OR(E3229="",E3229="!!!",F3229="NEW"),"",INDEX(J$1:J3228,SUMPRODUCT(MAX(ROW(E$1:E3228)*(E3229=E$1:E3228)))))</f>
        <v> </v>
      </c>
      <c r="L3229" s="27"/>
    </row>
    <row r="3230" spans="1:12">
      <c r="A3230" s="20" t="s">
        <v>804</v>
      </c>
      <c r="B3230" s="21" t="s">
        <v>764</v>
      </c>
      <c r="E3230" s="22">
        <f>IF(D3230="?OLD","!!!","")</f>
        <v/>
      </c>
      <c r="F3230" s="23" t="str">
        <f>IF(OR(E3230="",E3230="!!!"),"",IF(NOT(ISNA(VLOOKUP(E3230,E$1:E3229,1,FALSE()))),"OLD",IF(AND(E3230&lt;&gt;"",E3230&lt;&gt;"!!!"),"NEW","")))</f>
        <v> </v>
      </c>
      <c r="G3230" s="24" t="str">
        <f>IF(OR(E3230="",E3230="!!!"),"",IF(OR(J3230=0,AND(J3230=1,K3230=1),AND(J3230=1,I3230="SBJ"),AND(J3230=1,I3230=0)),"?IN_FOCUS",IF(J3230&lt;=2,"?ACTIVATED",IF(J3230&lt;&gt;"","?FAMILIAR",IF(F3230="NEW",IF(ISNA(VLOOKUP(E3230,#REF!,1,FALSE())),"?TYPE_IDENTIFIABLE","?REFERENTIAL"),"_")))))</f>
        <v> </v>
      </c>
      <c r="H3230" s="25" t="str">
        <f>IF(J3230&lt;&gt;1,"",IF(I3230="SBJ","CB","?"))</f>
        <v> </v>
      </c>
      <c r="I3230" s="26" t="str">
        <f>IF(OR(E3230="",E3230="!!!",F3230="NEW"),"",INDEX(B3229:B$2,-1+SUMPRODUCT(MAX(ROW(E3229:E$2)*(E3230=E3229:E$2)))))</f>
        <v> </v>
      </c>
      <c r="J3230" s="26" t="str">
        <f>IF(OR(E3230="",E3230="!!!",F3230="NEW"),"",COUNTBLANK(OFFSET(A$1,,,SUMPRODUCT(MAX(ROW(E$2:E3230)*(E3230=E$2:E3230)))))-COUNTBLANK(OFFSET(A$1,,,SUMPRODUCT(MAX(ROW(E$1:E3229)*(E2=E$1:E3229))))))</f>
        <v> </v>
      </c>
      <c r="K3230" s="26" t="str">
        <f>IF(OR(E3230="",E3230="!!!",F3230="NEW"),"",INDEX(J$1:J3229,SUMPRODUCT(MAX(ROW(E$1:E3229)*(E3230=E$1:E3229)))))</f>
        <v> </v>
      </c>
      <c r="L3230" s="27"/>
    </row>
    <row r="3231" spans="1:12">
      <c r="A3231" s="20" t="s">
        <v>769</v>
      </c>
      <c r="B3231" s="21" t="s">
        <v>739</v>
      </c>
      <c r="C3231" s="21" t="s">
        <v>746</v>
      </c>
      <c r="D3231" s="21" t="s">
        <v>730</v>
      </c>
      <c r="E3231" s="22">
        <f>IF(D3231="?OLD","!!!","")</f>
        <v/>
      </c>
      <c r="F3231" s="23" t="str">
        <f>IF(OR(E3231="",E3231="!!!"),"",IF(NOT(ISNA(VLOOKUP(E3231,E$1:E3230,1,FALSE()))),"OLD",IF(AND(E3231&lt;&gt;"",E3231&lt;&gt;"!!!"),"NEW","")))</f>
        <v> </v>
      </c>
      <c r="G3231" s="24" t="str">
        <f>IF(OR(E3231="",E3231="!!!"),"",IF(OR(J3231=0,AND(J3231=1,K3231=1),AND(J3231=1,I3231="SBJ"),AND(J3231=1,I3231=0)),"?IN_FOCUS",IF(J3231&lt;=2,"?ACTIVATED",IF(J3231&lt;&gt;"","?FAMILIAR",IF(F3231="NEW",IF(ISNA(VLOOKUP(E3231,#REF!,1,FALSE())),"?TYPE_IDENTIFIABLE","?REFERENTIAL"),"_")))))</f>
        <v> </v>
      </c>
      <c r="H3231" s="25" t="str">
        <f>IF(J3231&lt;&gt;1,"",IF(I3231="SBJ","CB","?"))</f>
        <v> </v>
      </c>
      <c r="I3231" s="26" t="str">
        <f>IF(OR(E3231="",E3231="!!!",F3231="NEW"),"",INDEX(B3230:B$2,-1+SUMPRODUCT(MAX(ROW(E3230:E$2)*(E3231=E3230:E$2)))))</f>
        <v> </v>
      </c>
      <c r="J3231" s="26" t="str">
        <f>IF(OR(E3231="",E3231="!!!",F3231="NEW"),"",COUNTBLANK(OFFSET(A$1,,,SUMPRODUCT(MAX(ROW(E$2:E3231)*(E3231=E$2:E3231)))))-COUNTBLANK(OFFSET(A$1,,,SUMPRODUCT(MAX(ROW(E$1:E3230)*(E2=E$1:E3230))))))</f>
        <v> </v>
      </c>
      <c r="K3231" s="26" t="str">
        <f>IF(OR(E3231="",E3231="!!!",F3231="NEW"),"",INDEX(J$1:J3230,SUMPRODUCT(MAX(ROW(E$1:E3230)*(E3231=E$1:E3230)))))</f>
        <v> </v>
      </c>
      <c r="L3231" s="27"/>
    </row>
    <row r="3232" spans="1:12">
      <c r="A3232" s="20" t="s">
        <v>1171</v>
      </c>
      <c r="B3232" s="21" t="s">
        <v>728</v>
      </c>
      <c r="C3232" s="21" t="s">
        <v>748</v>
      </c>
      <c r="E3232" s="22">
        <f>IF(D3232="?OLD","!!!","")</f>
        <v/>
      </c>
      <c r="F3232" s="23" t="str">
        <f>IF(OR(E3232="",E3232="!!!"),"",IF(NOT(ISNA(VLOOKUP(E3232,E$1:E3231,1,FALSE()))),"OLD",IF(AND(E3232&lt;&gt;"",E3232&lt;&gt;"!!!"),"NEW","")))</f>
        <v> </v>
      </c>
      <c r="G3232" s="24" t="str">
        <f>IF(OR(E3232="",E3232="!!!"),"",IF(OR(J3232=0,AND(J3232=1,K3232=1),AND(J3232=1,I3232="SBJ"),AND(J3232=1,I3232=0)),"?IN_FOCUS",IF(J3232&lt;=2,"?ACTIVATED",IF(J3232&lt;&gt;"","?FAMILIAR",IF(F3232="NEW",IF(ISNA(VLOOKUP(E3232,#REF!,1,FALSE())),"?TYPE_IDENTIFIABLE","?REFERENTIAL"),"_")))))</f>
        <v> </v>
      </c>
      <c r="H3232" s="25" t="str">
        <f>IF(J3232&lt;&gt;1,"",IF(I3232="SBJ","CB","?"))</f>
        <v> </v>
      </c>
      <c r="I3232" s="26" t="str">
        <f>IF(OR(E3232="",E3232="!!!",F3232="NEW"),"",INDEX(B3231:B$2,-1+SUMPRODUCT(MAX(ROW(E3231:E$2)*(E3232=E3231:E$2)))))</f>
        <v> </v>
      </c>
      <c r="J3232" s="26" t="str">
        <f>IF(OR(E3232="",E3232="!!!",F3232="NEW"),"",COUNTBLANK(OFFSET(A$1,,,SUMPRODUCT(MAX(ROW(E$2:E3232)*(E3232=E$2:E3232)))))-COUNTBLANK(OFFSET(A$1,,,SUMPRODUCT(MAX(ROW(E$1:E3231)*(E2=E$1:E3231))))))</f>
        <v> </v>
      </c>
      <c r="K3232" s="26" t="str">
        <f>IF(OR(E3232="",E3232="!!!",F3232="NEW"),"",INDEX(J$1:J3231,SUMPRODUCT(MAX(ROW(E$1:E3231)*(E3232=E$1:E3231)))))</f>
        <v> </v>
      </c>
      <c r="L3232" s="27"/>
    </row>
    <row r="3233" spans="1:12">
      <c r="A3233" s="20" t="s">
        <v>759</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t="s">
        <v>1138</v>
      </c>
      <c r="B3234" s="21" t="s">
        <v>791</v>
      </c>
      <c r="C3234" s="21" t="s">
        <v>748</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t="s">
        <v>754</v>
      </c>
      <c r="E3235" s="22">
        <f>IF(D3235="?OLD","!!!","")</f>
        <v/>
      </c>
      <c r="F3235" s="23" t="str">
        <f>IF(OR(E3235="",E3235="!!!"),"",IF(NOT(ISNA(VLOOKUP(E3235,E$1:E3234,1,FALSE()))),"OLD",IF(AND(E3235&lt;&gt;"",E3235&lt;&gt;"!!!"),"NEW","")))</f>
        <v> </v>
      </c>
      <c r="G3235" s="24" t="str">
        <f>IF(OR(E3235="",E3235="!!!"),"",IF(OR(J3235=0,AND(J3235=1,K3235=1),AND(J3235=1,I3235="SBJ"),AND(J3235=1,I3235=0)),"?IN_FOCUS",IF(J3235&lt;=2,"?ACTIVATED",IF(J3235&lt;&gt;"","?FAMILIAR",IF(F3235="NEW",IF(ISNA(VLOOKUP(E3235,#REF!,1,FALSE())),"?TYPE_IDENTIFIABLE","?REFERENTIAL"),"_")))))</f>
        <v> </v>
      </c>
      <c r="H3235" s="25" t="str">
        <f>IF(J3235&lt;&gt;1,"",IF(I3235="SBJ","CB","?"))</f>
        <v> </v>
      </c>
      <c r="I3235" s="26" t="str">
        <f>IF(OR(E3235="",E3235="!!!",F3235="NEW"),"",INDEX(B3234:B$2,-1+SUMPRODUCT(MAX(ROW(E3234:E$2)*(E3235=E3234:E$2)))))</f>
        <v> </v>
      </c>
      <c r="J3235" s="26" t="str">
        <f>IF(OR(E3235="",E3235="!!!",F3235="NEW"),"",COUNTBLANK(OFFSET(A$1,,,SUMPRODUCT(MAX(ROW(E$2:E3235)*(E3235=E$2:E3235)))))-COUNTBLANK(OFFSET(A$1,,,SUMPRODUCT(MAX(ROW(E$1:E3234)*(E2=E$1:E3234))))))</f>
        <v> </v>
      </c>
      <c r="K3235" s="26" t="str">
        <f>IF(OR(E3235="",E3235="!!!",F3235="NEW"),"",INDEX(J$1:J3234,SUMPRODUCT(MAX(ROW(E$1:E3234)*(E3235=E$1:E3234)))))</f>
        <v> </v>
      </c>
      <c r="L3235" s="27"/>
    </row>
    <row r="3236" spans="1:12">
      <c r="A3236" s="20" t="s">
        <v>117</v>
      </c>
      <c r="E3236" s="22">
        <f>IF(D3236="?OLD","!!!","")</f>
        <v/>
      </c>
      <c r="F3236" s="23" t="str">
        <f>IF(OR(E3236="",E3236="!!!"),"",IF(NOT(ISNA(VLOOKUP(E3236,E$1:E3235,1,FALSE()))),"OLD",IF(AND(E3236&lt;&gt;"",E3236&lt;&gt;"!!!"),"NEW","")))</f>
        <v> </v>
      </c>
      <c r="G3236" s="24" t="str">
        <f>IF(OR(E3236="",E3236="!!!"),"",IF(OR(J3236=0,AND(J3236=1,K3236=1),AND(J3236=1,I3236="SBJ"),AND(J3236=1,I3236=0)),"?IN_FOCUS",IF(J3236&lt;=2,"?ACTIVATED",IF(J3236&lt;&gt;"","?FAMILIAR",IF(F3236="NEW",IF(ISNA(VLOOKUP(E3236,#REF!,1,FALSE())),"?TYPE_IDENTIFIABLE","?REFERENTIAL"),"_")))))</f>
        <v> </v>
      </c>
      <c r="H3236" s="25" t="str">
        <f>IF(J3236&lt;&gt;1,"",IF(I3236="SBJ","CB","?"))</f>
        <v> </v>
      </c>
      <c r="I3236" s="26" t="str">
        <f>IF(OR(E3236="",E3236="!!!",F3236="NEW"),"",INDEX(B3235:B$2,-1+SUMPRODUCT(MAX(ROW(E3235:E$2)*(E3236=E3235:E$2)))))</f>
        <v> </v>
      </c>
      <c r="J3236" s="26" t="str">
        <f>IF(OR(E3236="",E3236="!!!",F3236="NEW"),"",COUNTBLANK(OFFSET(A$1,,,SUMPRODUCT(MAX(ROW(E$2:E3236)*(E3236=E$2:E3236)))))-COUNTBLANK(OFFSET(A$1,,,SUMPRODUCT(MAX(ROW(E$1:E3235)*(E2=E$1:E3235))))))</f>
        <v> </v>
      </c>
      <c r="K3236" s="26" t="str">
        <f>IF(OR(E3236="",E3236="!!!",F3236="NEW"),"",INDEX(J$1:J3235,SUMPRODUCT(MAX(ROW(E$1:E3235)*(E3236=E$1:E3235)))))</f>
        <v> </v>
      </c>
      <c r="L3236" s="27"/>
    </row>
    <row r="3237" spans="1:12">
      <c r="A3237" s="20" t="s">
        <v>759</v>
      </c>
      <c r="E3237" s="22">
        <f>IF(D3237="?OLD","!!!","")</f>
        <v/>
      </c>
      <c r="F3237" s="23" t="str">
        <f>IF(OR(E3237="",E3237="!!!"),"",IF(NOT(ISNA(VLOOKUP(E3237,E$1:E3236,1,FALSE()))),"OLD",IF(AND(E3237&lt;&gt;"",E3237&lt;&gt;"!!!"),"NEW","")))</f>
        <v> </v>
      </c>
      <c r="G3237" s="24" t="str">
        <f>IF(OR(E3237="",E3237="!!!"),"",IF(OR(J3237=0,AND(J3237=1,K3237=1),AND(J3237=1,I3237="SBJ"),AND(J3237=1,I3237=0)),"?IN_FOCUS",IF(J3237&lt;=2,"?ACTIVATED",IF(J3237&lt;&gt;"","?FAMILIAR",IF(F3237="NEW",IF(ISNA(VLOOKUP(E3237,#REF!,1,FALSE())),"?TYPE_IDENTIFIABLE","?REFERENTIAL"),"_")))))</f>
        <v> </v>
      </c>
      <c r="H3237" s="25" t="str">
        <f>IF(J3237&lt;&gt;1,"",IF(I3237="SBJ","CB","?"))</f>
        <v> </v>
      </c>
      <c r="I3237" s="26" t="str">
        <f>IF(OR(E3237="",E3237="!!!",F3237="NEW"),"",INDEX(B3236:B$2,-1+SUMPRODUCT(MAX(ROW(E3236:E$2)*(E3237=E3236:E$2)))))</f>
        <v> </v>
      </c>
      <c r="J3237" s="26" t="str">
        <f>IF(OR(E3237="",E3237="!!!",F3237="NEW"),"",COUNTBLANK(OFFSET(A$1,,,SUMPRODUCT(MAX(ROW(E$2:E3237)*(E3237=E$2:E3237)))))-COUNTBLANK(OFFSET(A$1,,,SUMPRODUCT(MAX(ROW(E$1:E3236)*(E2=E$1:E3236))))))</f>
        <v> </v>
      </c>
      <c r="K3237" s="26" t="str">
        <f>IF(OR(E3237="",E3237="!!!",F3237="NEW"),"",INDEX(J$1:J3236,SUMPRODUCT(MAX(ROW(E$1:E3236)*(E3237=E$1:E3236)))))</f>
        <v> </v>
      </c>
      <c r="L3237" s="27"/>
    </row>
    <row r="3238" spans="1:12">
      <c r="A3238" s="20" t="s">
        <v>1874</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246</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row>
    <row r="3241" spans="1:12">
      <c r="A3241" s="20" t="s">
        <v>1875</v>
      </c>
    </row>
    <row r="3242" spans="1:12">
      <c r="A3242" s="20" t="s">
        <v>836</v>
      </c>
      <c r="E3242" s="22">
        <f>IF(D3242="?OLD","!!!","")</f>
        <v/>
      </c>
      <c r="F3242" s="23" t="str">
        <f>IF(OR(E3242="",E3242="!!!"),"",IF(NOT(ISNA(VLOOKUP(E3242,E$1:E3241,1,FALSE()))),"OLD",IF(AND(E3242&lt;&gt;"",E3242&lt;&gt;"!!!"),"NEW","")))</f>
        <v> </v>
      </c>
      <c r="G3242" s="24" t="str">
        <f>IF(OR(E3242="",E3242="!!!"),"",IF(OR(J3242=0,AND(J3242=1,K3242=1),AND(J3242=1,I3242="SBJ"),AND(J3242=1,I3242=0)),"?IN_FOCUS",IF(J3242&lt;=2,"?ACTIVATED",IF(J3242&lt;&gt;"","?FAMILIAR",IF(F3242="NEW",IF(ISNA(VLOOKUP(E3242,#REF!,1,FALSE())),"?TYPE_IDENTIFIABLE","?REFERENTIAL"),"_")))))</f>
        <v> </v>
      </c>
      <c r="H3242" s="25" t="str">
        <f>IF(J3242&lt;&gt;1,"",IF(I3242="SBJ","CB","?"))</f>
        <v> </v>
      </c>
      <c r="I3242" s="26" t="str">
        <f>IF(OR(E3242="",E3242="!!!",F3242="NEW"),"",INDEX(B3241:B$2,-1+SUMPRODUCT(MAX(ROW(E3241:E$2)*(E3242=E3241:E$2)))))</f>
        <v> </v>
      </c>
      <c r="J3242" s="26" t="str">
        <f>IF(OR(E3242="",E3242="!!!",F3242="NEW"),"",COUNTBLANK(OFFSET(A$1,,,SUMPRODUCT(MAX(ROW(E$2:E3242)*(E3242=E$2:E3242)))))-COUNTBLANK(OFFSET(A$1,,,SUMPRODUCT(MAX(ROW(E$1:E3241)*(E2=E$1:E3241))))))</f>
        <v> </v>
      </c>
      <c r="K3242" s="26" t="str">
        <f>IF(OR(E3242="",E3242="!!!",F3242="NEW"),"",INDEX(J$1:J3241,SUMPRODUCT(MAX(ROW(E$1:E3241)*(E3242=E$1:E3241)))))</f>
        <v> </v>
      </c>
      <c r="L3242" s="27"/>
    </row>
    <row r="3243" spans="1:12">
      <c r="A3243" s="20" t="s">
        <v>910</v>
      </c>
      <c r="E3243" s="22">
        <f>IF(D3243="?OLD","!!!","")</f>
        <v/>
      </c>
      <c r="F3243" s="23" t="str">
        <f>IF(OR(E3243="",E3243="!!!"),"",IF(NOT(ISNA(VLOOKUP(E3243,E$1:E3242,1,FALSE()))),"OLD",IF(AND(E3243&lt;&gt;"",E3243&lt;&gt;"!!!"),"NEW","")))</f>
        <v> </v>
      </c>
      <c r="G3243" s="24" t="str">
        <f>IF(OR(E3243="",E3243="!!!"),"",IF(OR(J3243=0,AND(J3243=1,K3243=1),AND(J3243=1,I3243="SBJ"),AND(J3243=1,I3243=0)),"?IN_FOCUS",IF(J3243&lt;=2,"?ACTIVATED",IF(J3243&lt;&gt;"","?FAMILIAR",IF(F3243="NEW",IF(ISNA(VLOOKUP(E3243,#REF!,1,FALSE())),"?TYPE_IDENTIFIABLE","?REFERENTIAL"),"_")))))</f>
        <v> </v>
      </c>
      <c r="H3243" s="25" t="str">
        <f>IF(J3243&lt;&gt;1,"",IF(I3243="SBJ","CB","?"))</f>
        <v> </v>
      </c>
      <c r="I3243" s="26" t="str">
        <f>IF(OR(E3243="",E3243="!!!",F3243="NEW"),"",INDEX(B3242:B$2,-1+SUMPRODUCT(MAX(ROW(E3242:E$2)*(E3243=E3242:E$2)))))</f>
        <v> </v>
      </c>
      <c r="J3243" s="26" t="str">
        <f>IF(OR(E3243="",E3243="!!!",F3243="NEW"),"",COUNTBLANK(OFFSET(A$1,,,SUMPRODUCT(MAX(ROW(E$2:E3243)*(E3243=E$2:E3243)))))-COUNTBLANK(OFFSET(A$1,,,SUMPRODUCT(MAX(ROW(E$1:E3242)*(E2=E$1:E3242))))))</f>
        <v> </v>
      </c>
      <c r="K3243" s="26" t="str">
        <f>IF(OR(E3243="",E3243="!!!",F3243="NEW"),"",INDEX(J$1:J3242,SUMPRODUCT(MAX(ROW(E$1:E3242)*(E3243=E$1:E3242)))))</f>
        <v> </v>
      </c>
      <c r="L3243" s="27"/>
    </row>
    <row r="3244" spans="1:12">
      <c r="A3244" s="20" t="s">
        <v>1340</v>
      </c>
      <c r="B3244" s="21" t="s">
        <v>728</v>
      </c>
      <c r="C3244" s="21" t="s">
        <v>748</v>
      </c>
      <c r="E3244" s="22">
        <f>IF(D3244="?OLD","!!!","")</f>
        <v/>
      </c>
      <c r="F3244" s="23" t="str">
        <f>IF(OR(E3244="",E3244="!!!"),"",IF(NOT(ISNA(VLOOKUP(E3244,E$1:E3243,1,FALSE()))),"OLD",IF(AND(E3244&lt;&gt;"",E3244&lt;&gt;"!!!"),"NEW","")))</f>
        <v> </v>
      </c>
      <c r="G3244" s="24" t="str">
        <f>IF(OR(E3244="",E3244="!!!"),"",IF(OR(J3244=0,AND(J3244=1,K3244=1),AND(J3244=1,I3244="SBJ"),AND(J3244=1,I3244=0)),"?IN_FOCUS",IF(J3244&lt;=2,"?ACTIVATED",IF(J3244&lt;&gt;"","?FAMILIAR",IF(F3244="NEW",IF(ISNA(VLOOKUP(E3244,#REF!,1,FALSE())),"?TYPE_IDENTIFIABLE","?REFERENTIAL"),"_")))))</f>
        <v> </v>
      </c>
      <c r="H3244" s="25" t="str">
        <f>IF(J3244&lt;&gt;1,"",IF(I3244="SBJ","CB","?"))</f>
        <v> </v>
      </c>
      <c r="I3244" s="26" t="str">
        <f>IF(OR(E3244="",E3244="!!!",F3244="NEW"),"",INDEX(B3243:B$2,-1+SUMPRODUCT(MAX(ROW(E3243:E$2)*(E3244=E3243:E$2)))))</f>
        <v> </v>
      </c>
      <c r="J3244" s="26" t="str">
        <f>IF(OR(E3244="",E3244="!!!",F3244="NEW"),"",COUNTBLANK(OFFSET(A$1,,,SUMPRODUCT(MAX(ROW(E$2:E3244)*(E3244=E$2:E3244)))))-COUNTBLANK(OFFSET(A$1,,,SUMPRODUCT(MAX(ROW(E$1:E3243)*(E2=E$1:E3243))))))</f>
        <v> </v>
      </c>
      <c r="K3244" s="26" t="str">
        <f>IF(OR(E3244="",E3244="!!!",F3244="NEW"),"",INDEX(J$1:J3243,SUMPRODUCT(MAX(ROW(E$1:E3243)*(E3244=E$1:E3243)))))</f>
        <v> </v>
      </c>
      <c r="L3244" s="27"/>
    </row>
    <row r="3245" spans="1:12">
      <c r="A3245" s="20" t="s">
        <v>759</v>
      </c>
      <c r="E3245" s="22">
        <f>IF(D3245="?OLD","!!!","")</f>
        <v/>
      </c>
      <c r="F3245" s="23" t="str">
        <f>IF(OR(E3245="",E3245="!!!"),"",IF(NOT(ISNA(VLOOKUP(E3245,E$1:E3244,1,FALSE()))),"OLD",IF(AND(E3245&lt;&gt;"",E3245&lt;&gt;"!!!"),"NEW","")))</f>
        <v> </v>
      </c>
      <c r="G3245" s="24" t="str">
        <f>IF(OR(E3245="",E3245="!!!"),"",IF(OR(J3245=0,AND(J3245=1,K3245=1),AND(J3245=1,I3245="SBJ"),AND(J3245=1,I3245=0)),"?IN_FOCUS",IF(J3245&lt;=2,"?ACTIVATED",IF(J3245&lt;&gt;"","?FAMILIAR",IF(F3245="NEW",IF(ISNA(VLOOKUP(E3245,#REF!,1,FALSE())),"?TYPE_IDENTIFIABLE","?REFERENTIAL"),"_")))))</f>
        <v> </v>
      </c>
      <c r="H3245" s="25" t="str">
        <f>IF(J3245&lt;&gt;1,"",IF(I3245="SBJ","CB","?"))</f>
        <v> </v>
      </c>
      <c r="I3245" s="26" t="str">
        <f>IF(OR(E3245="",E3245="!!!",F3245="NEW"),"",INDEX(B3244:B$2,-1+SUMPRODUCT(MAX(ROW(E3244:E$2)*(E3245=E3244:E$2)))))</f>
        <v> </v>
      </c>
      <c r="J3245" s="26" t="str">
        <f>IF(OR(E3245="",E3245="!!!",F3245="NEW"),"",COUNTBLANK(OFFSET(A$1,,,SUMPRODUCT(MAX(ROW(E$2:E3245)*(E3245=E$2:E3245)))))-COUNTBLANK(OFFSET(A$1,,,SUMPRODUCT(MAX(ROW(E$1:E3244)*(E2=E$1:E3244))))))</f>
        <v> </v>
      </c>
      <c r="K3245" s="26" t="str">
        <f>IF(OR(E3245="",E3245="!!!",F3245="NEW"),"",INDEX(J$1:J3244,SUMPRODUCT(MAX(ROW(E$1:E3244)*(E3245=E$1:E3244)))))</f>
        <v> </v>
      </c>
      <c r="L3245" s="27"/>
    </row>
    <row r="3246" spans="1:12">
      <c r="A3246" s="20" t="s">
        <v>813</v>
      </c>
      <c r="B3246" s="21" t="s">
        <v>788</v>
      </c>
      <c r="E3246" s="22">
        <f>IF(D3246="?OLD","!!!","")</f>
        <v/>
      </c>
      <c r="F3246" s="23" t="str">
        <f>IF(OR(E3246="",E3246="!!!"),"",IF(NOT(ISNA(VLOOKUP(E3246,E$1:E3245,1,FALSE()))),"OLD",IF(AND(E3246&lt;&gt;"",E3246&lt;&gt;"!!!"),"NEW","")))</f>
        <v> </v>
      </c>
      <c r="G3246" s="24" t="str">
        <f>IF(OR(E3246="",E3246="!!!"),"",IF(OR(J3246=0,AND(J3246=1,K3246=1),AND(J3246=1,I3246="SBJ"),AND(J3246=1,I3246=0)),"?IN_FOCUS",IF(J3246&lt;=2,"?ACTIVATED",IF(J3246&lt;&gt;"","?FAMILIAR",IF(F3246="NEW",IF(ISNA(VLOOKUP(E3246,#REF!,1,FALSE())),"?TYPE_IDENTIFIABLE","?REFERENTIAL"),"_")))))</f>
        <v> </v>
      </c>
      <c r="H3246" s="25" t="str">
        <f>IF(J3246&lt;&gt;1,"",IF(I3246="SBJ","CB","?"))</f>
        <v> </v>
      </c>
      <c r="I3246" s="26" t="str">
        <f>IF(OR(E3246="",E3246="!!!",F3246="NEW"),"",INDEX(B3245:B$2,-1+SUMPRODUCT(MAX(ROW(E3245:E$2)*(E3246=E3245:E$2)))))</f>
        <v> </v>
      </c>
      <c r="J3246" s="26" t="str">
        <f>IF(OR(E3246="",E3246="!!!",F3246="NEW"),"",COUNTBLANK(OFFSET(A$1,,,SUMPRODUCT(MAX(ROW(E$2:E3246)*(E3246=E$2:E3246)))))-COUNTBLANK(OFFSET(A$1,,,SUMPRODUCT(MAX(ROW(E$1:E3245)*(E2=E$1:E3245))))))</f>
        <v> </v>
      </c>
      <c r="K3246" s="26" t="str">
        <f>IF(OR(E3246="",E3246="!!!",F3246="NEW"),"",INDEX(J$1:J3245,SUMPRODUCT(MAX(ROW(E$1:E3245)*(E3246=E$1:E3245)))))</f>
        <v> </v>
      </c>
      <c r="L3246" s="27"/>
    </row>
    <row r="3247" spans="1:12">
      <c r="A3247" s="20" t="s">
        <v>1876</v>
      </c>
      <c r="E3247" s="22">
        <f>IF(D3247="?OLD","!!!","")</f>
        <v/>
      </c>
      <c r="F3247" s="23" t="str">
        <f>IF(OR(E3247="",E3247="!!!"),"",IF(NOT(ISNA(VLOOKUP(E3247,E$1:E3246,1,FALSE()))),"OLD",IF(AND(E3247&lt;&gt;"",E3247&lt;&gt;"!!!"),"NEW","")))</f>
        <v> </v>
      </c>
      <c r="G3247" s="24" t="str">
        <f>IF(OR(E3247="",E3247="!!!"),"",IF(OR(J3247=0,AND(J3247=1,K3247=1),AND(J3247=1,I3247="SBJ"),AND(J3247=1,I3247=0)),"?IN_FOCUS",IF(J3247&lt;=2,"?ACTIVATED",IF(J3247&lt;&gt;"","?FAMILIAR",IF(F3247="NEW",IF(ISNA(VLOOKUP(E3247,#REF!,1,FALSE())),"?TYPE_IDENTIFIABLE","?REFERENTIAL"),"_")))))</f>
        <v> </v>
      </c>
      <c r="H3247" s="25" t="str">
        <f>IF(J3247&lt;&gt;1,"",IF(I3247="SBJ","CB","?"))</f>
        <v> </v>
      </c>
      <c r="I3247" s="26" t="str">
        <f>IF(OR(E3247="",E3247="!!!",F3247="NEW"),"",INDEX(B3246:B$2,-1+SUMPRODUCT(MAX(ROW(E3246:E$2)*(E3247=E3246:E$2)))))</f>
        <v> </v>
      </c>
      <c r="J3247" s="26" t="str">
        <f>IF(OR(E3247="",E3247="!!!",F3247="NEW"),"",COUNTBLANK(OFFSET(A$1,,,SUMPRODUCT(MAX(ROW(E$2:E3247)*(E3247=E$2:E3247)))))-COUNTBLANK(OFFSET(A$1,,,SUMPRODUCT(MAX(ROW(E$1:E3246)*(E2=E$1:E3246))))))</f>
        <v> </v>
      </c>
      <c r="K3247" s="26" t="str">
        <f>IF(OR(E3247="",E3247="!!!",F3247="NEW"),"",INDEX(J$1:J3246,SUMPRODUCT(MAX(ROW(E$1:E3246)*(E3247=E$1:E3246)))))</f>
        <v> </v>
      </c>
      <c r="L3247" s="27"/>
    </row>
    <row r="3248" spans="1:12">
      <c r="A3248" s="20" t="s">
        <v>759</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859</v>
      </c>
      <c r="B3249" s="21" t="s">
        <v>796</v>
      </c>
      <c r="C3249" s="21" t="s">
        <v>789</v>
      </c>
      <c r="D3249" s="21" t="s">
        <v>730</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880</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903</v>
      </c>
      <c r="B3251" s="21" t="s">
        <v>755</v>
      </c>
      <c r="C3251" s="21" t="s">
        <v>801</v>
      </c>
      <c r="D3251" s="21" t="s">
        <v>730</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t="s">
        <v>1877</v>
      </c>
      <c r="B3252" s="21" t="s">
        <v>796</v>
      </c>
      <c r="C3252" s="21" t="s">
        <v>802</v>
      </c>
      <c r="D3252" s="21" t="s">
        <v>730</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986</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t="s">
        <v>1088</v>
      </c>
      <c r="E3254" s="22">
        <f>IF(D3254="?OLD","!!!","")</f>
        <v/>
      </c>
      <c r="F3254" s="23" t="str">
        <f>IF(OR(E3254="",E3254="!!!"),"",IF(NOT(ISNA(VLOOKUP(E3254,E$1:E3253,1,FALSE()))),"OLD",IF(AND(E3254&lt;&gt;"",E3254&lt;&gt;"!!!"),"NEW","")))</f>
        <v> </v>
      </c>
      <c r="G3254" s="24" t="str">
        <f>IF(OR(E3254="",E3254="!!!"),"",IF(OR(J3254=0,AND(J3254=1,K3254=1),AND(J3254=1,I3254="SBJ"),AND(J3254=1,I3254=0)),"?IN_FOCUS",IF(J3254&lt;=2,"?ACTIVATED",IF(J3254&lt;&gt;"","?FAMILIAR",IF(F3254="NEW",IF(ISNA(VLOOKUP(E3254,#REF!,1,FALSE())),"?TYPE_IDENTIFIABLE","?REFERENTIAL"),"_")))))</f>
        <v> </v>
      </c>
      <c r="H3254" s="25" t="str">
        <f>IF(J3254&lt;&gt;1,"",IF(I3254="SBJ","CB","?"))</f>
        <v> </v>
      </c>
      <c r="I3254" s="26" t="str">
        <f>IF(OR(E3254="",E3254="!!!",F3254="NEW"),"",INDEX(B3253:B$2,-1+SUMPRODUCT(MAX(ROW(E3253:E$2)*(E3254=E3253:E$2)))))</f>
        <v> </v>
      </c>
      <c r="J3254" s="26" t="str">
        <f>IF(OR(E3254="",E3254="!!!",F3254="NEW"),"",COUNTBLANK(OFFSET(A$1,,,SUMPRODUCT(MAX(ROW(E$2:E3254)*(E3254=E$2:E3254)))))-COUNTBLANK(OFFSET(A$1,,,SUMPRODUCT(MAX(ROW(E$1:E3253)*(E2=E$1:E3253))))))</f>
        <v> </v>
      </c>
      <c r="K3254" s="26" t="str">
        <f>IF(OR(E3254="",E3254="!!!",F3254="NEW"),"",INDEX(J$1:J3253,SUMPRODUCT(MAX(ROW(E$1:E3253)*(E3254=E$1:E3253)))))</f>
        <v> </v>
      </c>
      <c r="L3254" s="27"/>
    </row>
    <row r="3255" spans="1:12">
      <c r="A3255" s="20" t="s">
        <v>888</v>
      </c>
      <c r="E3255" s="22">
        <f>IF(D3255="?OLD","!!!","")</f>
        <v/>
      </c>
      <c r="F3255" s="23" t="str">
        <f>IF(OR(E3255="",E3255="!!!"),"",IF(NOT(ISNA(VLOOKUP(E3255,E$1:E3254,1,FALSE()))),"OLD",IF(AND(E3255&lt;&gt;"",E3255&lt;&gt;"!!!"),"NEW","")))</f>
        <v> </v>
      </c>
      <c r="G3255" s="24" t="str">
        <f>IF(OR(E3255="",E3255="!!!"),"",IF(OR(J3255=0,AND(J3255=1,K3255=1),AND(J3255=1,I3255="SBJ"),AND(J3255=1,I3255=0)),"?IN_FOCUS",IF(J3255&lt;=2,"?ACTIVATED",IF(J3255&lt;&gt;"","?FAMILIAR",IF(F3255="NEW",IF(ISNA(VLOOKUP(E3255,#REF!,1,FALSE())),"?TYPE_IDENTIFIABLE","?REFERENTIAL"),"_")))))</f>
        <v> </v>
      </c>
      <c r="H3255" s="25" t="str">
        <f>IF(J3255&lt;&gt;1,"",IF(I3255="SBJ","CB","?"))</f>
        <v> </v>
      </c>
      <c r="I3255" s="26" t="str">
        <f>IF(OR(E3255="",E3255="!!!",F3255="NEW"),"",INDEX(B3254:B$2,-1+SUMPRODUCT(MAX(ROW(E3254:E$2)*(E3255=E3254:E$2)))))</f>
        <v> </v>
      </c>
      <c r="J3255" s="26" t="str">
        <f>IF(OR(E3255="",E3255="!!!",F3255="NEW"),"",COUNTBLANK(OFFSET(A$1,,,SUMPRODUCT(MAX(ROW(E$2:E3255)*(E3255=E$2:E3255)))))-COUNTBLANK(OFFSET(A$1,,,SUMPRODUCT(MAX(ROW(E$1:E3254)*(E2=E$1:E3254))))))</f>
        <v> </v>
      </c>
      <c r="K3255" s="26" t="str">
        <f>IF(OR(E3255="",E3255="!!!",F3255="NEW"),"",INDEX(J$1:J3254,SUMPRODUCT(MAX(ROW(E$1:E3254)*(E3255=E$1:E3254)))))</f>
        <v> </v>
      </c>
      <c r="L3255" s="27"/>
    </row>
    <row r="3256" spans="1:12">
      <c r="A3256" s="20" t="s">
        <v>1878</v>
      </c>
      <c r="E3256" s="22">
        <f>IF(D3256="?OLD","!!!","")</f>
        <v/>
      </c>
      <c r="F3256" s="23" t="str">
        <f>IF(OR(E3256="",E3256="!!!"),"",IF(NOT(ISNA(VLOOKUP(E3256,E$1:E3255,1,FALSE()))),"OLD",IF(AND(E3256&lt;&gt;"",E3256&lt;&gt;"!!!"),"NEW","")))</f>
        <v> </v>
      </c>
      <c r="G3256" s="24" t="str">
        <f>IF(OR(E3256="",E3256="!!!"),"",IF(OR(J3256=0,AND(J3256=1,K3256=1),AND(J3256=1,I3256="SBJ"),AND(J3256=1,I3256=0)),"?IN_FOCUS",IF(J3256&lt;=2,"?ACTIVATED",IF(J3256&lt;&gt;"","?FAMILIAR",IF(F3256="NEW",IF(ISNA(VLOOKUP(E3256,#REF!,1,FALSE())),"?TYPE_IDENTIFIABLE","?REFERENTIAL"),"_")))))</f>
        <v> </v>
      </c>
      <c r="H3256" s="25" t="str">
        <f>IF(J3256&lt;&gt;1,"",IF(I3256="SBJ","CB","?"))</f>
        <v> </v>
      </c>
      <c r="I3256" s="26" t="str">
        <f>IF(OR(E3256="",E3256="!!!",F3256="NEW"),"",INDEX(B3255:B$2,-1+SUMPRODUCT(MAX(ROW(E3255:E$2)*(E3256=E3255:E$2)))))</f>
        <v> </v>
      </c>
      <c r="J3256" s="26" t="str">
        <f>IF(OR(E3256="",E3256="!!!",F3256="NEW"),"",COUNTBLANK(OFFSET(A$1,,,SUMPRODUCT(MAX(ROW(E$2:E3256)*(E3256=E$2:E3256)))))-COUNTBLANK(OFFSET(A$1,,,SUMPRODUCT(MAX(ROW(E$1:E3255)*(E2=E$1:E3255))))))</f>
        <v> </v>
      </c>
      <c r="K3256" s="26" t="str">
        <f>IF(OR(E3256="",E3256="!!!",F3256="NEW"),"",INDEX(J$1:J3255,SUMPRODUCT(MAX(ROW(E$1:E3255)*(E3256=E$1:E3255)))))</f>
        <v> </v>
      </c>
      <c r="L3256" s="27"/>
    </row>
    <row r="3257" spans="1:12">
      <c r="A3257" s="20" t="s">
        <v>785</v>
      </c>
      <c r="E3257" s="22">
        <f>IF(D3257="?OLD","!!!","")</f>
        <v/>
      </c>
      <c r="F3257" s="23" t="str">
        <f>IF(OR(E3257="",E3257="!!!"),"",IF(NOT(ISNA(VLOOKUP(E3257,E$1:E3256,1,FALSE()))),"OLD",IF(AND(E3257&lt;&gt;"",E3257&lt;&gt;"!!!"),"NEW","")))</f>
        <v> </v>
      </c>
      <c r="G3257" s="24" t="str">
        <f>IF(OR(E3257="",E3257="!!!"),"",IF(OR(J3257=0,AND(J3257=1,K3257=1),AND(J3257=1,I3257="SBJ"),AND(J3257=1,I3257=0)),"?IN_FOCUS",IF(J3257&lt;=2,"?ACTIVATED",IF(J3257&lt;&gt;"","?FAMILIAR",IF(F3257="NEW",IF(ISNA(VLOOKUP(E3257,#REF!,1,FALSE())),"?TYPE_IDENTIFIABLE","?REFERENTIAL"),"_")))))</f>
        <v> </v>
      </c>
      <c r="H3257" s="25" t="str">
        <f>IF(J3257&lt;&gt;1,"",IF(I3257="SBJ","CB","?"))</f>
        <v> </v>
      </c>
      <c r="I3257" s="26" t="str">
        <f>IF(OR(E3257="",E3257="!!!",F3257="NEW"),"",INDEX(B3256:B$2,-1+SUMPRODUCT(MAX(ROW(E3256:E$2)*(E3257=E3256:E$2)))))</f>
        <v> </v>
      </c>
      <c r="J3257" s="26" t="str">
        <f>IF(OR(E3257="",E3257="!!!",F3257="NEW"),"",COUNTBLANK(OFFSET(A$1,,,SUMPRODUCT(MAX(ROW(E$2:E3257)*(E3257=E$2:E3257)))))-COUNTBLANK(OFFSET(A$1,,,SUMPRODUCT(MAX(ROW(E$1:E3256)*(E2=E$1:E3256))))))</f>
        <v> </v>
      </c>
      <c r="K3257" s="26" t="str">
        <f>IF(OR(E3257="",E3257="!!!",F3257="NEW"),"",INDEX(J$1:J3256,SUMPRODUCT(MAX(ROW(E$1:E3256)*(E3257=E$1:E3256)))))</f>
        <v> </v>
      </c>
      <c r="L3257" s="27"/>
    </row>
    <row r="3258" spans="1:12">
      <c r="A3258" s="20" t="s">
        <v>742</v>
      </c>
      <c r="E3258" s="22">
        <f>IF(D3258="?OLD","!!!","")</f>
        <v/>
      </c>
      <c r="F3258" s="23" t="str">
        <f>IF(OR(E3258="",E3258="!!!"),"",IF(NOT(ISNA(VLOOKUP(E3258,E$1:E3257,1,FALSE()))),"OLD",IF(AND(E3258&lt;&gt;"",E3258&lt;&gt;"!!!"),"NEW","")))</f>
        <v> </v>
      </c>
      <c r="G3258" s="24" t="str">
        <f>IF(OR(E3258="",E3258="!!!"),"",IF(OR(J3258=0,AND(J3258=1,K3258=1),AND(J3258=1,I3258="SBJ"),AND(J3258=1,I3258=0)),"?IN_FOCUS",IF(J3258&lt;=2,"?ACTIVATED",IF(J3258&lt;&gt;"","?FAMILIAR",IF(F3258="NEW",IF(ISNA(VLOOKUP(E3258,#REF!,1,FALSE())),"?TYPE_IDENTIFIABLE","?REFERENTIAL"),"_")))))</f>
        <v> </v>
      </c>
      <c r="H3258" s="25" t="str">
        <f>IF(J3258&lt;&gt;1,"",IF(I3258="SBJ","CB","?"))</f>
        <v> </v>
      </c>
      <c r="I3258" s="26" t="str">
        <f>IF(OR(E3258="",E3258="!!!",F3258="NEW"),"",INDEX(B3257:B$2,-1+SUMPRODUCT(MAX(ROW(E3257:E$2)*(E3258=E3257:E$2)))))</f>
        <v> </v>
      </c>
      <c r="J3258" s="26" t="str">
        <f>IF(OR(E3258="",E3258="!!!",F3258="NEW"),"",COUNTBLANK(OFFSET(A$1,,,SUMPRODUCT(MAX(ROW(E$2:E3258)*(E3258=E$2:E3258)))))-COUNTBLANK(OFFSET(A$1,,,SUMPRODUCT(MAX(ROW(E$1:E3257)*(E2=E$1:E3257))))))</f>
        <v> </v>
      </c>
      <c r="K3258" s="26" t="str">
        <f>IF(OR(E3258="",E3258="!!!",F3258="NEW"),"",INDEX(J$1:J3257,SUMPRODUCT(MAX(ROW(E$1:E3257)*(E3258=E$1:E3257)))))</f>
        <v> </v>
      </c>
      <c r="L3258" s="27"/>
    </row>
    <row r="3259" spans="1:12">
      <c r="A3259" s="20" t="s">
        <v>840</v>
      </c>
      <c r="E3259" s="22">
        <f>IF(D3259="?OLD","!!!","")</f>
        <v/>
      </c>
      <c r="F3259" s="23" t="str">
        <f>IF(OR(E3259="",E3259="!!!"),"",IF(NOT(ISNA(VLOOKUP(E3259,E$1:E3258,1,FALSE()))),"OLD",IF(AND(E3259&lt;&gt;"",E3259&lt;&gt;"!!!"),"NEW","")))</f>
        <v> </v>
      </c>
      <c r="G3259" s="24" t="str">
        <f>IF(OR(E3259="",E3259="!!!"),"",IF(OR(J3259=0,AND(J3259=1,K3259=1),AND(J3259=1,I3259="SBJ"),AND(J3259=1,I3259=0)),"?IN_FOCUS",IF(J3259&lt;=2,"?ACTIVATED",IF(J3259&lt;&gt;"","?FAMILIAR",IF(F3259="NEW",IF(ISNA(VLOOKUP(E3259,#REF!,1,FALSE())),"?TYPE_IDENTIFIABLE","?REFERENTIAL"),"_")))))</f>
        <v> </v>
      </c>
      <c r="H3259" s="25" t="str">
        <f>IF(J3259&lt;&gt;1,"",IF(I3259="SBJ","CB","?"))</f>
        <v> </v>
      </c>
      <c r="I3259" s="26" t="str">
        <f>IF(OR(E3259="",E3259="!!!",F3259="NEW"),"",INDEX(B3258:B$2,-1+SUMPRODUCT(MAX(ROW(E3258:E$2)*(E3259=E3258:E$2)))))</f>
        <v> </v>
      </c>
      <c r="J3259" s="26" t="str">
        <f>IF(OR(E3259="",E3259="!!!",F3259="NEW"),"",COUNTBLANK(OFFSET(A$1,,,SUMPRODUCT(MAX(ROW(E$2:E3259)*(E3259=E$2:E3259)))))-COUNTBLANK(OFFSET(A$1,,,SUMPRODUCT(MAX(ROW(E$1:E3258)*(E2=E$1:E3258))))))</f>
        <v> </v>
      </c>
      <c r="K3259" s="26" t="str">
        <f>IF(OR(E3259="",E3259="!!!",F3259="NEW"),"",INDEX(J$1:J3258,SUMPRODUCT(MAX(ROW(E$1:E3258)*(E3259=E$1:E3258)))))</f>
        <v> </v>
      </c>
      <c r="L3259" s="27"/>
    </row>
    <row r="3260" spans="1:12">
      <c r="A3260" s="20" t="s">
        <v>1879</v>
      </c>
      <c r="B3260" s="21" t="s">
        <v>755</v>
      </c>
      <c r="C3260" s="21" t="s">
        <v>753</v>
      </c>
      <c r="D3260" s="21" t="s">
        <v>730</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t="s">
        <v>1880</v>
      </c>
      <c r="B3261" s="21" t="s">
        <v>783</v>
      </c>
      <c r="C3261" s="21" t="s">
        <v>740</v>
      </c>
      <c r="D3261" s="21" t="s">
        <v>730</v>
      </c>
      <c r="E3261" s="22">
        <f>IF(D3261="?OLD","!!!","")</f>
        <v/>
      </c>
      <c r="F3261" s="23" t="str">
        <f>IF(OR(E3261="",E3261="!!!"),"",IF(NOT(ISNA(VLOOKUP(E3261,E$1:E3260,1,FALSE()))),"OLD",IF(AND(E3261&lt;&gt;"",E3261&lt;&gt;"!!!"),"NEW","")))</f>
        <v> </v>
      </c>
      <c r="G3261" s="24" t="str">
        <f>IF(OR(E3261="",E3261="!!!"),"",IF(OR(J3261=0,AND(J3261=1,K3261=1),AND(J3261=1,I3261="SBJ"),AND(J3261=1,I3261=0)),"?IN_FOCUS",IF(J3261&lt;=2,"?ACTIVATED",IF(J3261&lt;&gt;"","?FAMILIAR",IF(F3261="NEW",IF(ISNA(VLOOKUP(E3261,#REF!,1,FALSE())),"?TYPE_IDENTIFIABLE","?REFERENTIAL"),"_")))))</f>
        <v> </v>
      </c>
      <c r="H3261" s="25" t="str">
        <f>IF(J3261&lt;&gt;1,"",IF(I3261="SBJ","CB","?"))</f>
        <v> </v>
      </c>
      <c r="I3261" s="26" t="str">
        <f>IF(OR(E3261="",E3261="!!!",F3261="NEW"),"",INDEX(B3260:B$2,-1+SUMPRODUCT(MAX(ROW(E3260:E$2)*(E3261=E3260:E$2)))))</f>
        <v> </v>
      </c>
      <c r="J3261" s="26" t="str">
        <f>IF(OR(E3261="",E3261="!!!",F3261="NEW"),"",COUNTBLANK(OFFSET(A$1,,,SUMPRODUCT(MAX(ROW(E$2:E3261)*(E3261=E$2:E3261)))))-COUNTBLANK(OFFSET(A$1,,,SUMPRODUCT(MAX(ROW(E$1:E3260)*(E2=E$1:E3260))))))</f>
        <v> </v>
      </c>
      <c r="K3261" s="26" t="str">
        <f>IF(OR(E3261="",E3261="!!!",F3261="NEW"),"",INDEX(J$1:J3260,SUMPRODUCT(MAX(ROW(E$1:E3260)*(E3261=E$1:E3260)))))</f>
        <v> </v>
      </c>
      <c r="L3261" s="27"/>
    </row>
    <row r="3262" spans="1:12">
      <c r="A3262" s="20" t="s">
        <v>1881</v>
      </c>
      <c r="E3262" s="22">
        <f>IF(D3262="?OLD","!!!","")</f>
        <v/>
      </c>
      <c r="F3262" s="23" t="str">
        <f>IF(OR(E3262="",E3262="!!!"),"",IF(NOT(ISNA(VLOOKUP(E3262,E$1:E3261,1,FALSE()))),"OLD",IF(AND(E3262&lt;&gt;"",E3262&lt;&gt;"!!!"),"NEW","")))</f>
        <v> </v>
      </c>
      <c r="G3262" s="24" t="str">
        <f>IF(OR(E3262="",E3262="!!!"),"",IF(OR(J3262=0,AND(J3262=1,K3262=1),AND(J3262=1,I3262="SBJ"),AND(J3262=1,I3262=0)),"?IN_FOCUS",IF(J3262&lt;=2,"?ACTIVATED",IF(J3262&lt;&gt;"","?FAMILIAR",IF(F3262="NEW",IF(ISNA(VLOOKUP(E3262,#REF!,1,FALSE())),"?TYPE_IDENTIFIABLE","?REFERENTIAL"),"_")))))</f>
        <v> </v>
      </c>
      <c r="H3262" s="25" t="str">
        <f>IF(J3262&lt;&gt;1,"",IF(I3262="SBJ","CB","?"))</f>
        <v> </v>
      </c>
      <c r="I3262" s="26" t="str">
        <f>IF(OR(E3262="",E3262="!!!",F3262="NEW"),"",INDEX(B3261:B$2,-1+SUMPRODUCT(MAX(ROW(E3261:E$2)*(E3262=E3261:E$2)))))</f>
        <v> </v>
      </c>
      <c r="J3262" s="26" t="str">
        <f>IF(OR(E3262="",E3262="!!!",F3262="NEW"),"",COUNTBLANK(OFFSET(A$1,,,SUMPRODUCT(MAX(ROW(E$2:E3262)*(E3262=E$2:E3262)))))-COUNTBLANK(OFFSET(A$1,,,SUMPRODUCT(MAX(ROW(E$1:E3261)*(E2=E$1:E3261))))))</f>
        <v> </v>
      </c>
      <c r="K3262" s="26" t="str">
        <f>IF(OR(E3262="",E3262="!!!",F3262="NEW"),"",INDEX(J$1:J3261,SUMPRODUCT(MAX(ROW(E$1:E3261)*(E3262=E$1:E3261)))))</f>
        <v> </v>
      </c>
      <c r="L3262" s="27"/>
    </row>
    <row r="3263" spans="1:12">
      <c r="A3263" s="20" t="s">
        <v>246</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row>
    <row r="3265" spans="1:12">
      <c r="A3265" s="20" t="s">
        <v>1882</v>
      </c>
    </row>
    <row r="3266" spans="1:12">
      <c r="A3266" s="20" t="s">
        <v>1883</v>
      </c>
      <c r="E3266" s="22">
        <f>IF(D3266="?OLD","!!!","")</f>
        <v/>
      </c>
      <c r="F3266" s="23" t="str">
        <f>IF(OR(E3266="",E3266="!!!"),"",IF(NOT(ISNA(VLOOKUP(E3266,E$1:E3265,1,FALSE()))),"OLD",IF(AND(E3266&lt;&gt;"",E3266&lt;&gt;"!!!"),"NEW","")))</f>
        <v> </v>
      </c>
      <c r="G3266" s="24" t="str">
        <f>IF(OR(E3266="",E3266="!!!"),"",IF(OR(J3266=0,AND(J3266=1,K3266=1),AND(J3266=1,I3266="SBJ"),AND(J3266=1,I3266=0)),"?IN_FOCUS",IF(J3266&lt;=2,"?ACTIVATED",IF(J3266&lt;&gt;"","?FAMILIAR",IF(F3266="NEW",IF(ISNA(VLOOKUP(E3266,#REF!,1,FALSE())),"?TYPE_IDENTIFIABLE","?REFERENTIAL"),"_")))))</f>
        <v> </v>
      </c>
      <c r="H3266" s="25" t="str">
        <f>IF(J3266&lt;&gt;1,"",IF(I3266="SBJ","CB","?"))</f>
        <v> </v>
      </c>
      <c r="I3266" s="26" t="str">
        <f>IF(OR(E3266="",E3266="!!!",F3266="NEW"),"",INDEX(B3265:B$2,-1+SUMPRODUCT(MAX(ROW(E3265:E$2)*(E3266=E3265:E$2)))))</f>
        <v> </v>
      </c>
      <c r="J3266" s="26" t="str">
        <f>IF(OR(E3266="",E3266="!!!",F3266="NEW"),"",COUNTBLANK(OFFSET(A$1,,,SUMPRODUCT(MAX(ROW(E$2:E3266)*(E3266=E$2:E3266)))))-COUNTBLANK(OFFSET(A$1,,,SUMPRODUCT(MAX(ROW(E$1:E3265)*(E2=E$1:E3265))))))</f>
        <v> </v>
      </c>
      <c r="K3266" s="26" t="str">
        <f>IF(OR(E3266="",E3266="!!!",F3266="NEW"),"",INDEX(J$1:J3265,SUMPRODUCT(MAX(ROW(E$1:E3265)*(E3266=E$1:E3265)))))</f>
        <v> </v>
      </c>
      <c r="L3266" s="27"/>
    </row>
    <row r="3267" spans="1:12">
      <c r="A3267" s="20" t="s">
        <v>970</v>
      </c>
      <c r="B3267" s="21" t="s">
        <v>736</v>
      </c>
      <c r="C3267" s="21" t="s">
        <v>729</v>
      </c>
      <c r="D3267" s="21" t="s">
        <v>730</v>
      </c>
      <c r="E3267" s="22">
        <f>IF(D3267="?OLD","!!!","")</f>
        <v/>
      </c>
      <c r="F3267" s="23" t="str">
        <f>IF(OR(E3267="",E3267="!!!"),"",IF(NOT(ISNA(VLOOKUP(E3267,E$1:E3266,1,FALSE()))),"OLD",IF(AND(E3267&lt;&gt;"",E3267&lt;&gt;"!!!"),"NEW","")))</f>
        <v> </v>
      </c>
      <c r="G3267" s="24" t="str">
        <f>IF(OR(E3267="",E3267="!!!"),"",IF(OR(J3267=0,AND(J3267=1,K3267=1),AND(J3267=1,I3267="SBJ"),AND(J3267=1,I3267=0)),"?IN_FOCUS",IF(J3267&lt;=2,"?ACTIVATED",IF(J3267&lt;&gt;"","?FAMILIAR",IF(F3267="NEW",IF(ISNA(VLOOKUP(E3267,#REF!,1,FALSE())),"?TYPE_IDENTIFIABLE","?REFERENTIAL"),"_")))))</f>
        <v> </v>
      </c>
      <c r="H3267" s="25" t="str">
        <f>IF(J3267&lt;&gt;1,"",IF(I3267="SBJ","CB","?"))</f>
        <v> </v>
      </c>
      <c r="I3267" s="26" t="str">
        <f>IF(OR(E3267="",E3267="!!!",F3267="NEW"),"",INDEX(B3266:B$2,-1+SUMPRODUCT(MAX(ROW(E3266:E$2)*(E3267=E3266:E$2)))))</f>
        <v> </v>
      </c>
      <c r="J3267" s="26" t="str">
        <f>IF(OR(E3267="",E3267="!!!",F3267="NEW"),"",COUNTBLANK(OFFSET(A$1,,,SUMPRODUCT(MAX(ROW(E$2:E3267)*(E3267=E$2:E3267)))))-COUNTBLANK(OFFSET(A$1,,,SUMPRODUCT(MAX(ROW(E$1:E3266)*(E2=E$1:E3266))))))</f>
        <v> </v>
      </c>
      <c r="K3267" s="26" t="str">
        <f>IF(OR(E3267="",E3267="!!!",F3267="NEW"),"",INDEX(J$1:J3266,SUMPRODUCT(MAX(ROW(E$1:E3266)*(E3267=E$1:E3266)))))</f>
        <v> </v>
      </c>
      <c r="L3267" s="27"/>
    </row>
    <row r="3268" spans="1:12">
      <c r="A3268" s="20" t="s">
        <v>811</v>
      </c>
      <c r="E3268" s="22">
        <f>IF(D3268="?OLD","!!!","")</f>
        <v/>
      </c>
      <c r="F3268" s="23" t="str">
        <f>IF(OR(E3268="",E3268="!!!"),"",IF(NOT(ISNA(VLOOKUP(E3268,E$1:E3267,1,FALSE()))),"OLD",IF(AND(E3268&lt;&gt;"",E3268&lt;&gt;"!!!"),"NEW","")))</f>
        <v> </v>
      </c>
      <c r="G3268" s="24" t="str">
        <f>IF(OR(E3268="",E3268="!!!"),"",IF(OR(J3268=0,AND(J3268=1,K3268=1),AND(J3268=1,I3268="SBJ"),AND(J3268=1,I3268=0)),"?IN_FOCUS",IF(J3268&lt;=2,"?ACTIVATED",IF(J3268&lt;&gt;"","?FAMILIAR",IF(F3268="NEW",IF(ISNA(VLOOKUP(E3268,#REF!,1,FALSE())),"?TYPE_IDENTIFIABLE","?REFERENTIAL"),"_")))))</f>
        <v> </v>
      </c>
      <c r="H3268" s="25" t="str">
        <f>IF(J3268&lt;&gt;1,"",IF(I3268="SBJ","CB","?"))</f>
        <v> </v>
      </c>
      <c r="I3268" s="26" t="str">
        <f>IF(OR(E3268="",E3268="!!!",F3268="NEW"),"",INDEX(B3267:B$2,-1+SUMPRODUCT(MAX(ROW(E3267:E$2)*(E3268=E3267:E$2)))))</f>
        <v> </v>
      </c>
      <c r="J3268" s="26" t="str">
        <f>IF(OR(E3268="",E3268="!!!",F3268="NEW"),"",COUNTBLANK(OFFSET(A$1,,,SUMPRODUCT(MAX(ROW(E$2:E3268)*(E3268=E$2:E3268)))))-COUNTBLANK(OFFSET(A$1,,,SUMPRODUCT(MAX(ROW(E$1:E3267)*(E2=E$1:E3267))))))</f>
        <v> </v>
      </c>
      <c r="K3268" s="26" t="str">
        <f>IF(OR(E3268="",E3268="!!!",F3268="NEW"),"",INDEX(J$1:J3267,SUMPRODUCT(MAX(ROW(E$1:E3267)*(E3268=E$1:E3267)))))</f>
        <v> </v>
      </c>
      <c r="L3268" s="27"/>
    </row>
    <row r="3269" spans="1:12">
      <c r="A3269" s="20" t="s">
        <v>899</v>
      </c>
      <c r="B3269" s="21" t="s">
        <v>728</v>
      </c>
      <c r="C3269" s="21" t="s">
        <v>729</v>
      </c>
      <c r="D3269" s="21" t="s">
        <v>730</v>
      </c>
      <c r="E3269" s="22">
        <f>IF(D3269="?OLD","!!!","")</f>
        <v/>
      </c>
      <c r="F3269" s="23" t="str">
        <f>IF(OR(E3269="",E3269="!!!"),"",IF(NOT(ISNA(VLOOKUP(E3269,E$1:E3268,1,FALSE()))),"OLD",IF(AND(E3269&lt;&gt;"",E3269&lt;&gt;"!!!"),"NEW","")))</f>
        <v> </v>
      </c>
      <c r="G3269" s="24" t="str">
        <f>IF(OR(E3269="",E3269="!!!"),"",IF(OR(J3269=0,AND(J3269=1,K3269=1),AND(J3269=1,I3269="SBJ"),AND(J3269=1,I3269=0)),"?IN_FOCUS",IF(J3269&lt;=2,"?ACTIVATED",IF(J3269&lt;&gt;"","?FAMILIAR",IF(F3269="NEW",IF(ISNA(VLOOKUP(E3269,#REF!,1,FALSE())),"?TYPE_IDENTIFIABLE","?REFERENTIAL"),"_")))))</f>
        <v> </v>
      </c>
      <c r="H3269" s="25" t="str">
        <f>IF(J3269&lt;&gt;1,"",IF(I3269="SBJ","CB","?"))</f>
        <v> </v>
      </c>
      <c r="I3269" s="26" t="str">
        <f>IF(OR(E3269="",E3269="!!!",F3269="NEW"),"",INDEX(B3268:B$2,-1+SUMPRODUCT(MAX(ROW(E3268:E$2)*(E3269=E3268:E$2)))))</f>
        <v> </v>
      </c>
      <c r="J3269" s="26" t="str">
        <f>IF(OR(E3269="",E3269="!!!",F3269="NEW"),"",COUNTBLANK(OFFSET(A$1,,,SUMPRODUCT(MAX(ROW(E$2:E3269)*(E3269=E$2:E3269)))))-COUNTBLANK(OFFSET(A$1,,,SUMPRODUCT(MAX(ROW(E$1:E3268)*(E2=E$1:E3268))))))</f>
        <v> </v>
      </c>
      <c r="K3269" s="26" t="str">
        <f>IF(OR(E3269="",E3269="!!!",F3269="NEW"),"",INDEX(J$1:J3268,SUMPRODUCT(MAX(ROW(E$1:E3268)*(E3269=E$1:E3268)))))</f>
        <v> </v>
      </c>
      <c r="L3269" s="27"/>
    </row>
    <row r="3270" spans="1:12">
      <c r="A3270" s="20" t="s">
        <v>1213</v>
      </c>
      <c r="E3270" s="22">
        <f>IF(D3270="?OLD","!!!","")</f>
        <v/>
      </c>
      <c r="F3270" s="23" t="str">
        <f>IF(OR(E3270="",E3270="!!!"),"",IF(NOT(ISNA(VLOOKUP(E3270,E$1:E3269,1,FALSE()))),"OLD",IF(AND(E3270&lt;&gt;"",E3270&lt;&gt;"!!!"),"NEW","")))</f>
        <v> </v>
      </c>
      <c r="G3270" s="24" t="str">
        <f>IF(OR(E3270="",E3270="!!!"),"",IF(OR(J3270=0,AND(J3270=1,K3270=1),AND(J3270=1,I3270="SBJ"),AND(J3270=1,I3270=0)),"?IN_FOCUS",IF(J3270&lt;=2,"?ACTIVATED",IF(J3270&lt;&gt;"","?FAMILIAR",IF(F3270="NEW",IF(ISNA(VLOOKUP(E3270,#REF!,1,FALSE())),"?TYPE_IDENTIFIABLE","?REFERENTIAL"),"_")))))</f>
        <v> </v>
      </c>
      <c r="H3270" s="25" t="str">
        <f>IF(J3270&lt;&gt;1,"",IF(I3270="SBJ","CB","?"))</f>
        <v> </v>
      </c>
      <c r="I3270" s="26" t="str">
        <f>IF(OR(E3270="",E3270="!!!",F3270="NEW"),"",INDEX(B3269:B$2,-1+SUMPRODUCT(MAX(ROW(E3269:E$2)*(E3270=E3269:E$2)))))</f>
        <v> </v>
      </c>
      <c r="J3270" s="26" t="str">
        <f>IF(OR(E3270="",E3270="!!!",F3270="NEW"),"",COUNTBLANK(OFFSET(A$1,,,SUMPRODUCT(MAX(ROW(E$2:E3270)*(E3270=E$2:E3270)))))-COUNTBLANK(OFFSET(A$1,,,SUMPRODUCT(MAX(ROW(E$1:E3269)*(E2=E$1:E3269))))))</f>
        <v> </v>
      </c>
      <c r="K3270" s="26" t="str">
        <f>IF(OR(E3270="",E3270="!!!",F3270="NEW"),"",INDEX(J$1:J3269,SUMPRODUCT(MAX(ROW(E$1:E3269)*(E3270=E$1:E3269)))))</f>
        <v> </v>
      </c>
      <c r="L3270" s="27"/>
    </row>
    <row r="3271" spans="1:12">
      <c r="A3271" s="20" t="s">
        <v>762</v>
      </c>
      <c r="E3271" s="22">
        <f>IF(D3271="?OLD","!!!","")</f>
        <v/>
      </c>
      <c r="F3271" s="23" t="str">
        <f>IF(OR(E3271="",E3271="!!!"),"",IF(NOT(ISNA(VLOOKUP(E3271,E$1:E3270,1,FALSE()))),"OLD",IF(AND(E3271&lt;&gt;"",E3271&lt;&gt;"!!!"),"NEW","")))</f>
        <v> </v>
      </c>
      <c r="G3271" s="24" t="str">
        <f>IF(OR(E3271="",E3271="!!!"),"",IF(OR(J3271=0,AND(J3271=1,K3271=1),AND(J3271=1,I3271="SBJ"),AND(J3271=1,I3271=0)),"?IN_FOCUS",IF(J3271&lt;=2,"?ACTIVATED",IF(J3271&lt;&gt;"","?FAMILIAR",IF(F3271="NEW",IF(ISNA(VLOOKUP(E3271,#REF!,1,FALSE())),"?TYPE_IDENTIFIABLE","?REFERENTIAL"),"_")))))</f>
        <v> </v>
      </c>
      <c r="H3271" s="25" t="str">
        <f>IF(J3271&lt;&gt;1,"",IF(I3271="SBJ","CB","?"))</f>
        <v> </v>
      </c>
      <c r="I3271" s="26" t="str">
        <f>IF(OR(E3271="",E3271="!!!",F3271="NEW"),"",INDEX(B3270:B$2,-1+SUMPRODUCT(MAX(ROW(E3270:E$2)*(E3271=E3270:E$2)))))</f>
        <v> </v>
      </c>
      <c r="J3271" s="26" t="str">
        <f>IF(OR(E3271="",E3271="!!!",F3271="NEW"),"",COUNTBLANK(OFFSET(A$1,,,SUMPRODUCT(MAX(ROW(E$2:E3271)*(E3271=E$2:E3271)))))-COUNTBLANK(OFFSET(A$1,,,SUMPRODUCT(MAX(ROW(E$1:E3270)*(E2=E$1:E3270))))))</f>
        <v> </v>
      </c>
      <c r="K3271" s="26" t="str">
        <f>IF(OR(E3271="",E3271="!!!",F3271="NEW"),"",INDEX(J$1:J3270,SUMPRODUCT(MAX(ROW(E$1:E3270)*(E3271=E$1:E3270)))))</f>
        <v> </v>
      </c>
      <c r="L3271" s="27"/>
    </row>
    <row r="3272" spans="1:12">
      <c r="A3272" s="20" t="s">
        <v>1884</v>
      </c>
      <c r="E3272" s="22">
        <f>IF(D3272="?OLD","!!!","")</f>
        <v/>
      </c>
      <c r="F3272" s="23" t="str">
        <f>IF(OR(E3272="",E3272="!!!"),"",IF(NOT(ISNA(VLOOKUP(E3272,E$1:E3271,1,FALSE()))),"OLD",IF(AND(E3272&lt;&gt;"",E3272&lt;&gt;"!!!"),"NEW","")))</f>
        <v> </v>
      </c>
      <c r="G3272" s="24" t="str">
        <f>IF(OR(E3272="",E3272="!!!"),"",IF(OR(J3272=0,AND(J3272=1,K3272=1),AND(J3272=1,I3272="SBJ"),AND(J3272=1,I3272=0)),"?IN_FOCUS",IF(J3272&lt;=2,"?ACTIVATED",IF(J3272&lt;&gt;"","?FAMILIAR",IF(F3272="NEW",IF(ISNA(VLOOKUP(E3272,#REF!,1,FALSE())),"?TYPE_IDENTIFIABLE","?REFERENTIAL"),"_")))))</f>
        <v> </v>
      </c>
      <c r="H3272" s="25" t="str">
        <f>IF(J3272&lt;&gt;1,"",IF(I3272="SBJ","CB","?"))</f>
        <v> </v>
      </c>
      <c r="I3272" s="26" t="str">
        <f>IF(OR(E3272="",E3272="!!!",F3272="NEW"),"",INDEX(B3271:B$2,-1+SUMPRODUCT(MAX(ROW(E3271:E$2)*(E3272=E3271:E$2)))))</f>
        <v> </v>
      </c>
      <c r="J3272" s="26" t="str">
        <f>IF(OR(E3272="",E3272="!!!",F3272="NEW"),"",COUNTBLANK(OFFSET(A$1,,,SUMPRODUCT(MAX(ROW(E$2:E3272)*(E3272=E$2:E3272)))))-COUNTBLANK(OFFSET(A$1,,,SUMPRODUCT(MAX(ROW(E$1:E3271)*(E2=E$1:E3271))))))</f>
        <v> </v>
      </c>
      <c r="K3272" s="26" t="str">
        <f>IF(OR(E3272="",E3272="!!!",F3272="NEW"),"",INDEX(J$1:J3271,SUMPRODUCT(MAX(ROW(E$1:E3271)*(E3272=E$1:E3271)))))</f>
        <v> </v>
      </c>
      <c r="L3272" s="27"/>
    </row>
    <row r="3273" spans="1:12">
      <c r="A3273" s="20" t="s">
        <v>1171</v>
      </c>
      <c r="B3273" s="21" t="s">
        <v>736</v>
      </c>
      <c r="C3273" s="21" t="s">
        <v>737</v>
      </c>
      <c r="E3273" s="22">
        <f>IF(D3273="?OLD","!!!","")</f>
        <v/>
      </c>
      <c r="F3273" s="23" t="str">
        <f>IF(OR(E3273="",E3273="!!!"),"",IF(NOT(ISNA(VLOOKUP(E3273,E$1:E3272,1,FALSE()))),"OLD",IF(AND(E3273&lt;&gt;"",E3273&lt;&gt;"!!!"),"NEW","")))</f>
        <v> </v>
      </c>
      <c r="G3273" s="24" t="str">
        <f>IF(OR(E3273="",E3273="!!!"),"",IF(OR(J3273=0,AND(J3273=1,K3273=1),AND(J3273=1,I3273="SBJ"),AND(J3273=1,I3273=0)),"?IN_FOCUS",IF(J3273&lt;=2,"?ACTIVATED",IF(J3273&lt;&gt;"","?FAMILIAR",IF(F3273="NEW",IF(ISNA(VLOOKUP(E3273,#REF!,1,FALSE())),"?TYPE_IDENTIFIABLE","?REFERENTIAL"),"_")))))</f>
        <v> </v>
      </c>
      <c r="H3273" s="25" t="str">
        <f>IF(J3273&lt;&gt;1,"",IF(I3273="SBJ","CB","?"))</f>
        <v> </v>
      </c>
      <c r="I3273" s="26" t="str">
        <f>IF(OR(E3273="",E3273="!!!",F3273="NEW"),"",INDEX(B3272:B$2,-1+SUMPRODUCT(MAX(ROW(E3272:E$2)*(E3273=E3272:E$2)))))</f>
        <v> </v>
      </c>
      <c r="J3273" s="26" t="str">
        <f>IF(OR(E3273="",E3273="!!!",F3273="NEW"),"",COUNTBLANK(OFFSET(A$1,,,SUMPRODUCT(MAX(ROW(E$2:E3273)*(E3273=E$2:E3273)))))-COUNTBLANK(OFFSET(A$1,,,SUMPRODUCT(MAX(ROW(E$1:E3272)*(E2=E$1:E3272))))))</f>
        <v> </v>
      </c>
      <c r="K3273" s="26" t="str">
        <f>IF(OR(E3273="",E3273="!!!",F3273="NEW"),"",INDEX(J$1:J3272,SUMPRODUCT(MAX(ROW(E$1:E3272)*(E3273=E$1:E3272)))))</f>
        <v> </v>
      </c>
      <c r="L3273" s="27"/>
    </row>
    <row r="3274" spans="1:12">
      <c r="A3274" s="20" t="s">
        <v>759</v>
      </c>
      <c r="E3274" s="22">
        <f>IF(D3274="?OLD","!!!","")</f>
        <v/>
      </c>
      <c r="F3274" s="23" t="str">
        <f>IF(OR(E3274="",E3274="!!!"),"",IF(NOT(ISNA(VLOOKUP(E3274,E$1:E3273,1,FALSE()))),"OLD",IF(AND(E3274&lt;&gt;"",E3274&lt;&gt;"!!!"),"NEW","")))</f>
        <v> </v>
      </c>
      <c r="G3274" s="24" t="str">
        <f>IF(OR(E3274="",E3274="!!!"),"",IF(OR(J3274=0,AND(J3274=1,K3274=1),AND(J3274=1,I3274="SBJ"),AND(J3274=1,I3274=0)),"?IN_FOCUS",IF(J3274&lt;=2,"?ACTIVATED",IF(J3274&lt;&gt;"","?FAMILIAR",IF(F3274="NEW",IF(ISNA(VLOOKUP(E3274,#REF!,1,FALSE())),"?TYPE_IDENTIFIABLE","?REFERENTIAL"),"_")))))</f>
        <v> </v>
      </c>
      <c r="H3274" s="25" t="str">
        <f>IF(J3274&lt;&gt;1,"",IF(I3274="SBJ","CB","?"))</f>
        <v> </v>
      </c>
      <c r="I3274" s="26" t="str">
        <f>IF(OR(E3274="",E3274="!!!",F3274="NEW"),"",INDEX(B3273:B$2,-1+SUMPRODUCT(MAX(ROW(E3273:E$2)*(E3274=E3273:E$2)))))</f>
        <v> </v>
      </c>
      <c r="J3274" s="26" t="str">
        <f>IF(OR(E3274="",E3274="!!!",F3274="NEW"),"",COUNTBLANK(OFFSET(A$1,,,SUMPRODUCT(MAX(ROW(E$2:E3274)*(E3274=E$2:E3274)))))-COUNTBLANK(OFFSET(A$1,,,SUMPRODUCT(MAX(ROW(E$1:E3273)*(E2=E$1:E3273))))))</f>
        <v> </v>
      </c>
      <c r="K3274" s="26" t="str">
        <f>IF(OR(E3274="",E3274="!!!",F3274="NEW"),"",INDEX(J$1:J3273,SUMPRODUCT(MAX(ROW(E$1:E3273)*(E3274=E$1:E3273)))))</f>
        <v> </v>
      </c>
      <c r="L3274" s="27"/>
    </row>
    <row r="3275" spans="1:12">
      <c r="A3275" s="20" t="s">
        <v>1027</v>
      </c>
      <c r="B3275" s="21" t="s">
        <v>755</v>
      </c>
      <c r="C3275" s="21" t="s">
        <v>746</v>
      </c>
      <c r="D3275" s="21" t="s">
        <v>730</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1885</v>
      </c>
      <c r="B3276" s="21" t="s">
        <v>791</v>
      </c>
      <c r="C3276" s="21" t="s">
        <v>748</v>
      </c>
      <c r="E3276" s="22">
        <f>IF(D3276="?OLD","!!!","")</f>
        <v/>
      </c>
      <c r="F3276" s="23" t="str">
        <f>IF(OR(E3276="",E3276="!!!"),"",IF(NOT(ISNA(VLOOKUP(E3276,E$1:E3275,1,FALSE()))),"OLD",IF(AND(E3276&lt;&gt;"",E3276&lt;&gt;"!!!"),"NEW","")))</f>
        <v> </v>
      </c>
      <c r="G3276" s="24" t="str">
        <f>IF(OR(E3276="",E3276="!!!"),"",IF(OR(J3276=0,AND(J3276=1,K3276=1),AND(J3276=1,I3276="SBJ"),AND(J3276=1,I3276=0)),"?IN_FOCUS",IF(J3276&lt;=2,"?ACTIVATED",IF(J3276&lt;&gt;"","?FAMILIAR",IF(F3276="NEW",IF(ISNA(VLOOKUP(E3276,#REF!,1,FALSE())),"?TYPE_IDENTIFIABLE","?REFERENTIAL"),"_")))))</f>
        <v> </v>
      </c>
      <c r="H3276" s="25" t="str">
        <f>IF(J3276&lt;&gt;1,"",IF(I3276="SBJ","CB","?"))</f>
        <v> </v>
      </c>
      <c r="I3276" s="26" t="str">
        <f>IF(OR(E3276="",E3276="!!!",F3276="NEW"),"",INDEX(B3275:B$2,-1+SUMPRODUCT(MAX(ROW(E3275:E$2)*(E3276=E3275:E$2)))))</f>
        <v> </v>
      </c>
      <c r="J3276" s="26" t="str">
        <f>IF(OR(E3276="",E3276="!!!",F3276="NEW"),"",COUNTBLANK(OFFSET(A$1,,,SUMPRODUCT(MAX(ROW(E$2:E3276)*(E3276=E$2:E3276)))))-COUNTBLANK(OFFSET(A$1,,,SUMPRODUCT(MAX(ROW(E$1:E3275)*(E2=E$1:E3275))))))</f>
        <v> </v>
      </c>
      <c r="K3276" s="26" t="str">
        <f>IF(OR(E3276="",E3276="!!!",F3276="NEW"),"",INDEX(J$1:J3275,SUMPRODUCT(MAX(ROW(E$1:E3275)*(E3276=E$1:E3275)))))</f>
        <v> </v>
      </c>
      <c r="L3276" s="27"/>
    </row>
    <row r="3277" spans="1:12">
      <c r="A3277" s="20" t="s">
        <v>754</v>
      </c>
      <c r="E3277" s="22">
        <f>IF(D3277="?OLD","!!!","")</f>
        <v/>
      </c>
      <c r="F3277" s="23" t="str">
        <f>IF(OR(E3277="",E3277="!!!"),"",IF(NOT(ISNA(VLOOKUP(E3277,E$1:E3276,1,FALSE()))),"OLD",IF(AND(E3277&lt;&gt;"",E3277&lt;&gt;"!!!"),"NEW","")))</f>
        <v> </v>
      </c>
      <c r="G3277" s="24" t="str">
        <f>IF(OR(E3277="",E3277="!!!"),"",IF(OR(J3277=0,AND(J3277=1,K3277=1),AND(J3277=1,I3277="SBJ"),AND(J3277=1,I3277=0)),"?IN_FOCUS",IF(J3277&lt;=2,"?ACTIVATED",IF(J3277&lt;&gt;"","?FAMILIAR",IF(F3277="NEW",IF(ISNA(VLOOKUP(E3277,#REF!,1,FALSE())),"?TYPE_IDENTIFIABLE","?REFERENTIAL"),"_")))))</f>
        <v> </v>
      </c>
      <c r="H3277" s="25" t="str">
        <f>IF(J3277&lt;&gt;1,"",IF(I3277="SBJ","CB","?"))</f>
        <v> </v>
      </c>
      <c r="I3277" s="26" t="str">
        <f>IF(OR(E3277="",E3277="!!!",F3277="NEW"),"",INDEX(B3276:B$2,-1+SUMPRODUCT(MAX(ROW(E3276:E$2)*(E3277=E3276:E$2)))))</f>
        <v> </v>
      </c>
      <c r="J3277" s="26" t="str">
        <f>IF(OR(E3277="",E3277="!!!",F3277="NEW"),"",COUNTBLANK(OFFSET(A$1,,,SUMPRODUCT(MAX(ROW(E$2:E3277)*(E3277=E$2:E3277)))))-COUNTBLANK(OFFSET(A$1,,,SUMPRODUCT(MAX(ROW(E$1:E3276)*(E2=E$1:E3276))))))</f>
        <v> </v>
      </c>
      <c r="K3277" s="26" t="str">
        <f>IF(OR(E3277="",E3277="!!!",F3277="NEW"),"",INDEX(J$1:J3276,SUMPRODUCT(MAX(ROW(E$1:E3276)*(E3277=E$1:E3276)))))</f>
        <v> </v>
      </c>
      <c r="L3277" s="27"/>
    </row>
    <row r="3278" spans="1:12">
      <c r="A3278" s="20" t="s">
        <v>1469</v>
      </c>
      <c r="E3278" s="22">
        <f>IF(D3278="?OLD","!!!","")</f>
        <v/>
      </c>
      <c r="F3278" s="23" t="str">
        <f>IF(OR(E3278="",E3278="!!!"),"",IF(NOT(ISNA(VLOOKUP(E3278,E$1:E3277,1,FALSE()))),"OLD",IF(AND(E3278&lt;&gt;"",E3278&lt;&gt;"!!!"),"NEW","")))</f>
        <v> </v>
      </c>
      <c r="G3278" s="24" t="str">
        <f>IF(OR(E3278="",E3278="!!!"),"",IF(OR(J3278=0,AND(J3278=1,K3278=1),AND(J3278=1,I3278="SBJ"),AND(J3278=1,I3278=0)),"?IN_FOCUS",IF(J3278&lt;=2,"?ACTIVATED",IF(J3278&lt;&gt;"","?FAMILIAR",IF(F3278="NEW",IF(ISNA(VLOOKUP(E3278,#REF!,1,FALSE())),"?TYPE_IDENTIFIABLE","?REFERENTIAL"),"_")))))</f>
        <v> </v>
      </c>
      <c r="H3278" s="25" t="str">
        <f>IF(J3278&lt;&gt;1,"",IF(I3278="SBJ","CB","?"))</f>
        <v> </v>
      </c>
      <c r="I3278" s="26" t="str">
        <f>IF(OR(E3278="",E3278="!!!",F3278="NEW"),"",INDEX(B3277:B$2,-1+SUMPRODUCT(MAX(ROW(E3277:E$2)*(E3278=E3277:E$2)))))</f>
        <v> </v>
      </c>
      <c r="J3278" s="26" t="str">
        <f>IF(OR(E3278="",E3278="!!!",F3278="NEW"),"",COUNTBLANK(OFFSET(A$1,,,SUMPRODUCT(MAX(ROW(E$2:E3278)*(E3278=E$2:E3278)))))-COUNTBLANK(OFFSET(A$1,,,SUMPRODUCT(MAX(ROW(E$1:E3277)*(E2=E$1:E3277))))))</f>
        <v> </v>
      </c>
      <c r="K3278" s="26" t="str">
        <f>IF(OR(E3278="",E3278="!!!",F3278="NEW"),"",INDEX(J$1:J3277,SUMPRODUCT(MAX(ROW(E$1:E3277)*(E3278=E$1:E3277)))))</f>
        <v> </v>
      </c>
      <c r="L3278" s="27"/>
    </row>
    <row r="3279" spans="1:12">
      <c r="A3279" s="20" t="s">
        <v>759</v>
      </c>
      <c r="E3279" s="22">
        <f>IF(D3279="?OLD","!!!","")</f>
        <v/>
      </c>
      <c r="F3279" s="23" t="str">
        <f>IF(OR(E3279="",E3279="!!!"),"",IF(NOT(ISNA(VLOOKUP(E3279,E$1:E3278,1,FALSE()))),"OLD",IF(AND(E3279&lt;&gt;"",E3279&lt;&gt;"!!!"),"NEW","")))</f>
        <v> </v>
      </c>
      <c r="G3279" s="24" t="str">
        <f>IF(OR(E3279="",E3279="!!!"),"",IF(OR(J3279=0,AND(J3279=1,K3279=1),AND(J3279=1,I3279="SBJ"),AND(J3279=1,I3279=0)),"?IN_FOCUS",IF(J3279&lt;=2,"?ACTIVATED",IF(J3279&lt;&gt;"","?FAMILIAR",IF(F3279="NEW",IF(ISNA(VLOOKUP(E3279,#REF!,1,FALSE())),"?TYPE_IDENTIFIABLE","?REFERENTIAL"),"_")))))</f>
        <v> </v>
      </c>
      <c r="H3279" s="25" t="str">
        <f>IF(J3279&lt;&gt;1,"",IF(I3279="SBJ","CB","?"))</f>
        <v> </v>
      </c>
      <c r="I3279" s="26" t="str">
        <f>IF(OR(E3279="",E3279="!!!",F3279="NEW"),"",INDEX(B3278:B$2,-1+SUMPRODUCT(MAX(ROW(E3278:E$2)*(E3279=E3278:E$2)))))</f>
        <v> </v>
      </c>
      <c r="J3279" s="26" t="str">
        <f>IF(OR(E3279="",E3279="!!!",F3279="NEW"),"",COUNTBLANK(OFFSET(A$1,,,SUMPRODUCT(MAX(ROW(E$2:E3279)*(E3279=E$2:E3279)))))-COUNTBLANK(OFFSET(A$1,,,SUMPRODUCT(MAX(ROW(E$1:E3278)*(E2=E$1:E3278))))))</f>
        <v> </v>
      </c>
      <c r="K3279" s="26" t="str">
        <f>IF(OR(E3279="",E3279="!!!",F3279="NEW"),"",INDEX(J$1:J3278,SUMPRODUCT(MAX(ROW(E$1:E3278)*(E3279=E$1:E3278)))))</f>
        <v> </v>
      </c>
      <c r="L3279" s="27"/>
    </row>
    <row r="3280" spans="1:12">
      <c r="A3280" s="20" t="s">
        <v>757</v>
      </c>
      <c r="E3280" s="22">
        <f>IF(D3280="?OLD","!!!","")</f>
        <v/>
      </c>
      <c r="F3280" s="23" t="str">
        <f>IF(OR(E3280="",E3280="!!!"),"",IF(NOT(ISNA(VLOOKUP(E3280,E$1:E3279,1,FALSE()))),"OLD",IF(AND(E3280&lt;&gt;"",E3280&lt;&gt;"!!!"),"NEW","")))</f>
        <v> </v>
      </c>
      <c r="G3280" s="24" t="str">
        <f>IF(OR(E3280="",E3280="!!!"),"",IF(OR(J3280=0,AND(J3280=1,K3280=1),AND(J3280=1,I3280="SBJ"),AND(J3280=1,I3280=0)),"?IN_FOCUS",IF(J3280&lt;=2,"?ACTIVATED",IF(J3280&lt;&gt;"","?FAMILIAR",IF(F3280="NEW",IF(ISNA(VLOOKUP(E3280,#REF!,1,FALSE())),"?TYPE_IDENTIFIABLE","?REFERENTIAL"),"_")))))</f>
        <v> </v>
      </c>
      <c r="H3280" s="25" t="str">
        <f>IF(J3280&lt;&gt;1,"",IF(I3280="SBJ","CB","?"))</f>
        <v> </v>
      </c>
      <c r="I3280" s="26" t="str">
        <f>IF(OR(E3280="",E3280="!!!",F3280="NEW"),"",INDEX(B3279:B$2,-1+SUMPRODUCT(MAX(ROW(E3279:E$2)*(E3280=E3279:E$2)))))</f>
        <v> </v>
      </c>
      <c r="J3280" s="26" t="str">
        <f>IF(OR(E3280="",E3280="!!!",F3280="NEW"),"",COUNTBLANK(OFFSET(A$1,,,SUMPRODUCT(MAX(ROW(E$2:E3280)*(E3280=E$2:E3280)))))-COUNTBLANK(OFFSET(A$1,,,SUMPRODUCT(MAX(ROW(E$1:E3279)*(E2=E$1:E3279))))))</f>
        <v> </v>
      </c>
      <c r="K3280" s="26" t="str">
        <f>IF(OR(E3280="",E3280="!!!",F3280="NEW"),"",INDEX(J$1:J3279,SUMPRODUCT(MAX(ROW(E$1:E3279)*(E3280=E$1:E3279)))))</f>
        <v> </v>
      </c>
      <c r="L3280" s="27"/>
    </row>
    <row r="3281" spans="1:12">
      <c r="A3281" s="20" t="s">
        <v>1886</v>
      </c>
      <c r="E3281" s="22">
        <f>IF(D3281="?OLD","!!!","")</f>
        <v/>
      </c>
      <c r="F3281" s="23" t="str">
        <f>IF(OR(E3281="",E3281="!!!"),"",IF(NOT(ISNA(VLOOKUP(E3281,E$1:E3280,1,FALSE()))),"OLD",IF(AND(E3281&lt;&gt;"",E3281&lt;&gt;"!!!"),"NEW","")))</f>
        <v> </v>
      </c>
      <c r="G3281" s="24" t="str">
        <f>IF(OR(E3281="",E3281="!!!"),"",IF(OR(J3281=0,AND(J3281=1,K3281=1),AND(J3281=1,I3281="SBJ"),AND(J3281=1,I3281=0)),"?IN_FOCUS",IF(J3281&lt;=2,"?ACTIVATED",IF(J3281&lt;&gt;"","?FAMILIAR",IF(F3281="NEW",IF(ISNA(VLOOKUP(E3281,#REF!,1,FALSE())),"?TYPE_IDENTIFIABLE","?REFERENTIAL"),"_")))))</f>
        <v> </v>
      </c>
      <c r="H3281" s="25" t="str">
        <f>IF(J3281&lt;&gt;1,"",IF(I3281="SBJ","CB","?"))</f>
        <v> </v>
      </c>
      <c r="I3281" s="26" t="str">
        <f>IF(OR(E3281="",E3281="!!!",F3281="NEW"),"",INDEX(B3280:B$2,-1+SUMPRODUCT(MAX(ROW(E3280:E$2)*(E3281=E3280:E$2)))))</f>
        <v> </v>
      </c>
      <c r="J3281" s="26" t="str">
        <f>IF(OR(E3281="",E3281="!!!",F3281="NEW"),"",COUNTBLANK(OFFSET(A$1,,,SUMPRODUCT(MAX(ROW(E$2:E3281)*(E3281=E$2:E3281)))))-COUNTBLANK(OFFSET(A$1,,,SUMPRODUCT(MAX(ROW(E$1:E3280)*(E2=E$1:E3280))))))</f>
        <v> </v>
      </c>
      <c r="K3281" s="26" t="str">
        <f>IF(OR(E3281="",E3281="!!!",F3281="NEW"),"",INDEX(J$1:J3280,SUMPRODUCT(MAX(ROW(E$1:E3280)*(E3281=E$1:E3280)))))</f>
        <v> </v>
      </c>
      <c r="L3281" s="27"/>
    </row>
    <row r="3282" spans="1:12">
      <c r="A3282" s="20" t="s">
        <v>1887</v>
      </c>
      <c r="B3282" s="21" t="s">
        <v>736</v>
      </c>
      <c r="C3282" s="21" t="s">
        <v>753</v>
      </c>
      <c r="D3282" s="21" t="s">
        <v>730</v>
      </c>
      <c r="E3282" s="22">
        <f>IF(D3282="?OLD","!!!","")</f>
        <v/>
      </c>
      <c r="F3282" s="23" t="str">
        <f>IF(OR(E3282="",E3282="!!!"),"",IF(NOT(ISNA(VLOOKUP(E3282,E$1:E3281,1,FALSE()))),"OLD",IF(AND(E3282&lt;&gt;"",E3282&lt;&gt;"!!!"),"NEW","")))</f>
        <v> </v>
      </c>
      <c r="G3282" s="24" t="str">
        <f>IF(OR(E3282="",E3282="!!!"),"",IF(OR(J3282=0,AND(J3282=1,K3282=1),AND(J3282=1,I3282="SBJ"),AND(J3282=1,I3282=0)),"?IN_FOCUS",IF(J3282&lt;=2,"?ACTIVATED",IF(J3282&lt;&gt;"","?FAMILIAR",IF(F3282="NEW",IF(ISNA(VLOOKUP(E3282,#REF!,1,FALSE())),"?TYPE_IDENTIFIABLE","?REFERENTIAL"),"_")))))</f>
        <v> </v>
      </c>
      <c r="H3282" s="25" t="str">
        <f>IF(J3282&lt;&gt;1,"",IF(I3282="SBJ","CB","?"))</f>
        <v> </v>
      </c>
      <c r="I3282" s="26" t="str">
        <f>IF(OR(E3282="",E3282="!!!",F3282="NEW"),"",INDEX(B3281:B$2,-1+SUMPRODUCT(MAX(ROW(E3281:E$2)*(E3282=E3281:E$2)))))</f>
        <v> </v>
      </c>
      <c r="J3282" s="26" t="str">
        <f>IF(OR(E3282="",E3282="!!!",F3282="NEW"),"",COUNTBLANK(OFFSET(A$1,,,SUMPRODUCT(MAX(ROW(E$2:E3282)*(E3282=E$2:E3282)))))-COUNTBLANK(OFFSET(A$1,,,SUMPRODUCT(MAX(ROW(E$1:E3281)*(E2=E$1:E3281))))))</f>
        <v> </v>
      </c>
      <c r="K3282" s="26" t="str">
        <f>IF(OR(E3282="",E3282="!!!",F3282="NEW"),"",INDEX(J$1:J3281,SUMPRODUCT(MAX(ROW(E$1:E3281)*(E3282=E$1:E3281)))))</f>
        <v> </v>
      </c>
      <c r="L3282" s="27"/>
    </row>
    <row r="3283" spans="1:12">
      <c r="A3283" s="20" t="s">
        <v>759</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t="s">
        <v>757</v>
      </c>
      <c r="B3284" s="21" t="s">
        <v>788</v>
      </c>
      <c r="E3284" s="22">
        <f>IF(D3284="?OLD","!!!","")</f>
        <v/>
      </c>
      <c r="F3284" s="23" t="str">
        <f>IF(OR(E3284="",E3284="!!!"),"",IF(NOT(ISNA(VLOOKUP(E3284,E$1:E3283,1,FALSE()))),"OLD",IF(AND(E3284&lt;&gt;"",E3284&lt;&gt;"!!!"),"NEW","")))</f>
        <v> </v>
      </c>
      <c r="G3284" s="24" t="str">
        <f>IF(OR(E3284="",E3284="!!!"),"",IF(OR(J3284=0,AND(J3284=1,K3284=1),AND(J3284=1,I3284="SBJ"),AND(J3284=1,I3284=0)),"?IN_FOCUS",IF(J3284&lt;=2,"?ACTIVATED",IF(J3284&lt;&gt;"","?FAMILIAR",IF(F3284="NEW",IF(ISNA(VLOOKUP(E3284,#REF!,1,FALSE())),"?TYPE_IDENTIFIABLE","?REFERENTIAL"),"_")))))</f>
        <v> </v>
      </c>
      <c r="H3284" s="25" t="str">
        <f>IF(J3284&lt;&gt;1,"",IF(I3284="SBJ","CB","?"))</f>
        <v> </v>
      </c>
      <c r="I3284" s="26" t="str">
        <f>IF(OR(E3284="",E3284="!!!",F3284="NEW"),"",INDEX(B3283:B$2,-1+SUMPRODUCT(MAX(ROW(E3283:E$2)*(E3284=E3283:E$2)))))</f>
        <v> </v>
      </c>
      <c r="J3284" s="26" t="str">
        <f>IF(OR(E3284="",E3284="!!!",F3284="NEW"),"",COUNTBLANK(OFFSET(A$1,,,SUMPRODUCT(MAX(ROW(E$2:E3284)*(E3284=E$2:E3284)))))-COUNTBLANK(OFFSET(A$1,,,SUMPRODUCT(MAX(ROW(E$1:E3283)*(E2=E$1:E3283))))))</f>
        <v> </v>
      </c>
      <c r="K3284" s="26" t="str">
        <f>IF(OR(E3284="",E3284="!!!",F3284="NEW"),"",INDEX(J$1:J3283,SUMPRODUCT(MAX(ROW(E$1:E3283)*(E3284=E$1:E3283)))))</f>
        <v> </v>
      </c>
      <c r="L3284" s="27"/>
    </row>
    <row r="3285" spans="1:12">
      <c r="A3285" s="20" t="s">
        <v>804</v>
      </c>
      <c r="B3285" s="21" t="s">
        <v>843</v>
      </c>
      <c r="E3285" s="22">
        <f>IF(D3285="?OLD","!!!","")</f>
        <v/>
      </c>
      <c r="F3285" s="23" t="str">
        <f>IF(OR(E3285="",E3285="!!!"),"",IF(NOT(ISNA(VLOOKUP(E3285,E$1:E3284,1,FALSE()))),"OLD",IF(AND(E3285&lt;&gt;"",E3285&lt;&gt;"!!!"),"NEW","")))</f>
        <v> </v>
      </c>
      <c r="G3285" s="24" t="str">
        <f>IF(OR(E3285="",E3285="!!!"),"",IF(OR(J3285=0,AND(J3285=1,K3285=1),AND(J3285=1,I3285="SBJ"),AND(J3285=1,I3285=0)),"?IN_FOCUS",IF(J3285&lt;=2,"?ACTIVATED",IF(J3285&lt;&gt;"","?FAMILIAR",IF(F3285="NEW",IF(ISNA(VLOOKUP(E3285,#REF!,1,FALSE())),"?TYPE_IDENTIFIABLE","?REFERENTIAL"),"_")))))</f>
        <v> </v>
      </c>
      <c r="H3285" s="25" t="str">
        <f>IF(J3285&lt;&gt;1,"",IF(I3285="SBJ","CB","?"))</f>
        <v> </v>
      </c>
      <c r="I3285" s="26" t="str">
        <f>IF(OR(E3285="",E3285="!!!",F3285="NEW"),"",INDEX(B3284:B$2,-1+SUMPRODUCT(MAX(ROW(E3284:E$2)*(E3285=E3284:E$2)))))</f>
        <v> </v>
      </c>
      <c r="J3285" s="26" t="str">
        <f>IF(OR(E3285="",E3285="!!!",F3285="NEW"),"",COUNTBLANK(OFFSET(A$1,,,SUMPRODUCT(MAX(ROW(E$2:E3285)*(E3285=E$2:E3285)))))-COUNTBLANK(OFFSET(A$1,,,SUMPRODUCT(MAX(ROW(E$1:E3284)*(E2=E$1:E3284))))))</f>
        <v> </v>
      </c>
      <c r="K3285" s="26" t="str">
        <f>IF(OR(E3285="",E3285="!!!",F3285="NEW"),"",INDEX(J$1:J3284,SUMPRODUCT(MAX(ROW(E$1:E3284)*(E3285=E$1:E3284)))))</f>
        <v> </v>
      </c>
      <c r="L3285" s="27"/>
    </row>
    <row r="3286" spans="1:12">
      <c r="A3286" s="20" t="s">
        <v>773</v>
      </c>
      <c r="E3286" s="22">
        <f>IF(D3286="?OLD","!!!","")</f>
        <v/>
      </c>
      <c r="F3286" s="23" t="str">
        <f>IF(OR(E3286="",E3286="!!!"),"",IF(NOT(ISNA(VLOOKUP(E3286,E$1:E3285,1,FALSE()))),"OLD",IF(AND(E3286&lt;&gt;"",E3286&lt;&gt;"!!!"),"NEW","")))</f>
        <v> </v>
      </c>
      <c r="G3286" s="24" t="str">
        <f>IF(OR(E3286="",E3286="!!!"),"",IF(OR(J3286=0,AND(J3286=1,K3286=1),AND(J3286=1,I3286="SBJ"),AND(J3286=1,I3286=0)),"?IN_FOCUS",IF(J3286&lt;=2,"?ACTIVATED",IF(J3286&lt;&gt;"","?FAMILIAR",IF(F3286="NEW",IF(ISNA(VLOOKUP(E3286,#REF!,1,FALSE())),"?TYPE_IDENTIFIABLE","?REFERENTIAL"),"_")))))</f>
        <v> </v>
      </c>
      <c r="H3286" s="25" t="str">
        <f>IF(J3286&lt;&gt;1,"",IF(I3286="SBJ","CB","?"))</f>
        <v> </v>
      </c>
      <c r="I3286" s="26" t="str">
        <f>IF(OR(E3286="",E3286="!!!",F3286="NEW"),"",INDEX(B3285:B$2,-1+SUMPRODUCT(MAX(ROW(E3285:E$2)*(E3286=E3285:E$2)))))</f>
        <v> </v>
      </c>
      <c r="J3286" s="26" t="str">
        <f>IF(OR(E3286="",E3286="!!!",F3286="NEW"),"",COUNTBLANK(OFFSET(A$1,,,SUMPRODUCT(MAX(ROW(E$2:E3286)*(E3286=E$2:E3286)))))-COUNTBLANK(OFFSET(A$1,,,SUMPRODUCT(MAX(ROW(E$1:E3285)*(E2=E$1:E3285))))))</f>
        <v> </v>
      </c>
      <c r="K3286" s="26" t="str">
        <f>IF(OR(E3286="",E3286="!!!",F3286="NEW"),"",INDEX(J$1:J3285,SUMPRODUCT(MAX(ROW(E$1:E3285)*(E3286=E$1:E3285)))))</f>
        <v> </v>
      </c>
      <c r="L3286" s="27"/>
    </row>
    <row r="3287" spans="1:12">
      <c r="A3287" s="20" t="s">
        <v>751</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t="s">
        <v>1888</v>
      </c>
      <c r="B3288" s="21" t="s">
        <v>755</v>
      </c>
      <c r="C3288" s="21" t="s">
        <v>753</v>
      </c>
      <c r="D3288" s="21" t="s">
        <v>730</v>
      </c>
      <c r="E3288" s="22">
        <f>IF(D3288="?OLD","!!!","")</f>
        <v/>
      </c>
      <c r="F3288" s="23" t="str">
        <f>IF(OR(E3288="",E3288="!!!"),"",IF(NOT(ISNA(VLOOKUP(E3288,E$1:E3287,1,FALSE()))),"OLD",IF(AND(E3288&lt;&gt;"",E3288&lt;&gt;"!!!"),"NEW","")))</f>
        <v> </v>
      </c>
      <c r="G3288" s="24" t="str">
        <f>IF(OR(E3288="",E3288="!!!"),"",IF(OR(J3288=0,AND(J3288=1,K3288=1),AND(J3288=1,I3288="SBJ"),AND(J3288=1,I3288=0)),"?IN_FOCUS",IF(J3288&lt;=2,"?ACTIVATED",IF(J3288&lt;&gt;"","?FAMILIAR",IF(F3288="NEW",IF(ISNA(VLOOKUP(E3288,#REF!,1,FALSE())),"?TYPE_IDENTIFIABLE","?REFERENTIAL"),"_")))))</f>
        <v> </v>
      </c>
      <c r="H3288" s="25" t="str">
        <f>IF(J3288&lt;&gt;1,"",IF(I3288="SBJ","CB","?"))</f>
        <v> </v>
      </c>
      <c r="I3288" s="26" t="str">
        <f>IF(OR(E3288="",E3288="!!!",F3288="NEW"),"",INDEX(B3287:B$2,-1+SUMPRODUCT(MAX(ROW(E3287:E$2)*(E3288=E3287:E$2)))))</f>
        <v> </v>
      </c>
      <c r="J3288" s="26" t="str">
        <f>IF(OR(E3288="",E3288="!!!",F3288="NEW"),"",COUNTBLANK(OFFSET(A$1,,,SUMPRODUCT(MAX(ROW(E$2:E3288)*(E3288=E$2:E3288)))))-COUNTBLANK(OFFSET(A$1,,,SUMPRODUCT(MAX(ROW(E$1:E3287)*(E2=E$1:E3287))))))</f>
        <v> </v>
      </c>
      <c r="K3288" s="26" t="str">
        <f>IF(OR(E3288="",E3288="!!!",F3288="NEW"),"",INDEX(J$1:J3287,SUMPRODUCT(MAX(ROW(E$1:E3287)*(E3288=E$1:E3287)))))</f>
        <v> </v>
      </c>
      <c r="L3288" s="27"/>
    </row>
    <row r="3289" spans="1:12">
      <c r="A3289" s="20" t="s">
        <v>1889</v>
      </c>
      <c r="E3289" s="22">
        <f>IF(D3289="?OLD","!!!","")</f>
        <v/>
      </c>
      <c r="F3289" s="23" t="str">
        <f>IF(OR(E3289="",E3289="!!!"),"",IF(NOT(ISNA(VLOOKUP(E3289,E$1:E3288,1,FALSE()))),"OLD",IF(AND(E3289&lt;&gt;"",E3289&lt;&gt;"!!!"),"NEW","")))</f>
        <v> </v>
      </c>
      <c r="G3289" s="24" t="str">
        <f>IF(OR(E3289="",E3289="!!!"),"",IF(OR(J3289=0,AND(J3289=1,K3289=1),AND(J3289=1,I3289="SBJ"),AND(J3289=1,I3289=0)),"?IN_FOCUS",IF(J3289&lt;=2,"?ACTIVATED",IF(J3289&lt;&gt;"","?FAMILIAR",IF(F3289="NEW",IF(ISNA(VLOOKUP(E3289,#REF!,1,FALSE())),"?TYPE_IDENTIFIABLE","?REFERENTIAL"),"_")))))</f>
        <v> </v>
      </c>
      <c r="H3289" s="25" t="str">
        <f>IF(J3289&lt;&gt;1,"",IF(I3289="SBJ","CB","?"))</f>
        <v> </v>
      </c>
      <c r="I3289" s="26" t="str">
        <f>IF(OR(E3289="",E3289="!!!",F3289="NEW"),"",INDEX(B3288:B$2,-1+SUMPRODUCT(MAX(ROW(E3288:E$2)*(E3289=E3288:E$2)))))</f>
        <v> </v>
      </c>
      <c r="J3289" s="26" t="str">
        <f>IF(OR(E3289="",E3289="!!!",F3289="NEW"),"",COUNTBLANK(OFFSET(A$1,,,SUMPRODUCT(MAX(ROW(E$2:E3289)*(E3289=E$2:E3289)))))-COUNTBLANK(OFFSET(A$1,,,SUMPRODUCT(MAX(ROW(E$1:E3288)*(E2=E$1:E3288))))))</f>
        <v> </v>
      </c>
      <c r="K3289" s="26" t="str">
        <f>IF(OR(E3289="",E3289="!!!",F3289="NEW"),"",INDEX(J$1:J3288,SUMPRODUCT(MAX(ROW(E$1:E3288)*(E3289=E$1:E3288)))))</f>
        <v> </v>
      </c>
      <c r="L3289" s="27"/>
    </row>
    <row r="3290" spans="1:12">
      <c r="A3290" s="20" t="s">
        <v>884</v>
      </c>
      <c r="E3290" s="22">
        <f>IF(D3290="?OLD","!!!","")</f>
        <v/>
      </c>
      <c r="F3290" s="23" t="str">
        <f>IF(OR(E3290="",E3290="!!!"),"",IF(NOT(ISNA(VLOOKUP(E3290,E$1:E3289,1,FALSE()))),"OLD",IF(AND(E3290&lt;&gt;"",E3290&lt;&gt;"!!!"),"NEW","")))</f>
        <v> </v>
      </c>
      <c r="G3290" s="24" t="str">
        <f>IF(OR(E3290="",E3290="!!!"),"",IF(OR(J3290=0,AND(J3290=1,K3290=1),AND(J3290=1,I3290="SBJ"),AND(J3290=1,I3290=0)),"?IN_FOCUS",IF(J3290&lt;=2,"?ACTIVATED",IF(J3290&lt;&gt;"","?FAMILIAR",IF(F3290="NEW",IF(ISNA(VLOOKUP(E3290,#REF!,1,FALSE())),"?TYPE_IDENTIFIABLE","?REFERENTIAL"),"_")))))</f>
        <v> </v>
      </c>
      <c r="H3290" s="25" t="str">
        <f>IF(J3290&lt;&gt;1,"",IF(I3290="SBJ","CB","?"))</f>
        <v> </v>
      </c>
      <c r="I3290" s="26" t="str">
        <f>IF(OR(E3290="",E3290="!!!",F3290="NEW"),"",INDEX(B3289:B$2,-1+SUMPRODUCT(MAX(ROW(E3289:E$2)*(E3290=E3289:E$2)))))</f>
        <v> </v>
      </c>
      <c r="J3290" s="26" t="str">
        <f>IF(OR(E3290="",E3290="!!!",F3290="NEW"),"",COUNTBLANK(OFFSET(A$1,,,SUMPRODUCT(MAX(ROW(E$2:E3290)*(E3290=E$2:E3290)))))-COUNTBLANK(OFFSET(A$1,,,SUMPRODUCT(MAX(ROW(E$1:E3289)*(E2=E$1:E3289))))))</f>
        <v> </v>
      </c>
      <c r="K3290" s="26" t="str">
        <f>IF(OR(E3290="",E3290="!!!",F3290="NEW"),"",INDEX(J$1:J3289,SUMPRODUCT(MAX(ROW(E$1:E3289)*(E3290=E$1:E3289)))))</f>
        <v> </v>
      </c>
      <c r="L3290" s="27"/>
    </row>
    <row r="3291" spans="1:12">
      <c r="A3291" s="20" t="s">
        <v>246</v>
      </c>
      <c r="E3291" s="22">
        <f>IF(D3291="?OLD","!!!","")</f>
        <v/>
      </c>
      <c r="F3291" s="23" t="str">
        <f>IF(OR(E3291="",E3291="!!!"),"",IF(NOT(ISNA(VLOOKUP(E3291,E$1:E3290,1,FALSE()))),"OLD",IF(AND(E3291&lt;&gt;"",E3291&lt;&gt;"!!!"),"NEW","")))</f>
        <v> </v>
      </c>
      <c r="G3291" s="24" t="str">
        <f>IF(OR(E3291="",E3291="!!!"),"",IF(OR(J3291=0,AND(J3291=1,K3291=1),AND(J3291=1,I3291="SBJ"),AND(J3291=1,I3291=0)),"?IN_FOCUS",IF(J3291&lt;=2,"?ACTIVATED",IF(J3291&lt;&gt;"","?FAMILIAR",IF(F3291="NEW",IF(ISNA(VLOOKUP(E3291,#REF!,1,FALSE())),"?TYPE_IDENTIFIABLE","?REFERENTIAL"),"_")))))</f>
        <v> </v>
      </c>
      <c r="H3291" s="25" t="str">
        <f>IF(J3291&lt;&gt;1,"",IF(I3291="SBJ","CB","?"))</f>
        <v> </v>
      </c>
      <c r="I3291" s="26" t="str">
        <f>IF(OR(E3291="",E3291="!!!",F3291="NEW"),"",INDEX(B3290:B$2,-1+SUMPRODUCT(MAX(ROW(E3290:E$2)*(E3291=E3290:E$2)))))</f>
        <v> </v>
      </c>
      <c r="J3291" s="26" t="str">
        <f>IF(OR(E3291="",E3291="!!!",F3291="NEW"),"",COUNTBLANK(OFFSET(A$1,,,SUMPRODUCT(MAX(ROW(E$2:E3291)*(E3291=E$2:E3291)))))-COUNTBLANK(OFFSET(A$1,,,SUMPRODUCT(MAX(ROW(E$1:E3290)*(E2=E$1:E3290))))))</f>
        <v> </v>
      </c>
      <c r="K3291" s="26" t="str">
        <f>IF(OR(E3291="",E3291="!!!",F3291="NEW"),"",INDEX(J$1:J3290,SUMPRODUCT(MAX(ROW(E$1:E3290)*(E3291=E$1:E3290)))))</f>
        <v> </v>
      </c>
      <c r="L3291" s="27"/>
    </row>
    <row r="3292" spans="1:12">
      <c r="A3292" s="20"/>
    </row>
    <row r="3293" spans="1:12">
      <c r="A3293" s="20" t="s">
        <v>1890</v>
      </c>
    </row>
    <row r="3294" spans="1:12">
      <c r="A3294" s="20" t="s">
        <v>969</v>
      </c>
      <c r="B3294" s="21" t="s">
        <v>728</v>
      </c>
      <c r="C3294" s="21" t="s">
        <v>789</v>
      </c>
      <c r="D3294" s="21" t="s">
        <v>730</v>
      </c>
      <c r="E3294" s="22">
        <f>IF(D3294="?OLD","!!!","")</f>
        <v/>
      </c>
      <c r="F3294" s="23" t="str">
        <f>IF(OR(E3294="",E3294="!!!"),"",IF(NOT(ISNA(VLOOKUP(E3294,E$1:E3293,1,FALSE()))),"OLD",IF(AND(E3294&lt;&gt;"",E3294&lt;&gt;"!!!"),"NEW","")))</f>
        <v> </v>
      </c>
      <c r="G3294" s="24" t="str">
        <f>IF(OR(E3294="",E3294="!!!"),"",IF(OR(J3294=0,AND(J3294=1,K3294=1),AND(J3294=1,I3294="SBJ"),AND(J3294=1,I3294=0)),"?IN_FOCUS",IF(J3294&lt;=2,"?ACTIVATED",IF(J3294&lt;&gt;"","?FAMILIAR",IF(F3294="NEW",IF(ISNA(VLOOKUP(E3294,#REF!,1,FALSE())),"?TYPE_IDENTIFIABLE","?REFERENTIAL"),"_")))))</f>
        <v> </v>
      </c>
      <c r="H3294" s="25" t="str">
        <f>IF(J3294&lt;&gt;1,"",IF(I3294="SBJ","CB","?"))</f>
        <v> </v>
      </c>
      <c r="I3294" s="26" t="str">
        <f>IF(OR(E3294="",E3294="!!!",F3294="NEW"),"",INDEX(B3293:B$2,-1+SUMPRODUCT(MAX(ROW(E3293:E$2)*(E3294=E3293:E$2)))))</f>
        <v> </v>
      </c>
      <c r="J3294" s="26" t="str">
        <f>IF(OR(E3294="",E3294="!!!",F3294="NEW"),"",COUNTBLANK(OFFSET(A$1,,,SUMPRODUCT(MAX(ROW(E$2:E3294)*(E3294=E$2:E3294)))))-COUNTBLANK(OFFSET(A$1,,,SUMPRODUCT(MAX(ROW(E$1:E3293)*(E2=E$1:E3293))))))</f>
        <v> </v>
      </c>
      <c r="K3294" s="26" t="str">
        <f>IF(OR(E3294="",E3294="!!!",F3294="NEW"),"",INDEX(J$1:J3293,SUMPRODUCT(MAX(ROW(E$1:E3293)*(E3294=E$1:E3293)))))</f>
        <v> </v>
      </c>
      <c r="L3294" s="27"/>
    </row>
    <row r="3295" spans="1:12">
      <c r="A3295" s="20" t="s">
        <v>881</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t="s">
        <v>859</v>
      </c>
      <c r="B3296" s="21" t="s">
        <v>728</v>
      </c>
      <c r="C3296" s="21" t="s">
        <v>789</v>
      </c>
      <c r="D3296" s="21" t="s">
        <v>730</v>
      </c>
      <c r="E3296" s="22">
        <f>IF(D3296="?OLD","!!!","")</f>
        <v/>
      </c>
      <c r="F3296" s="23" t="str">
        <f>IF(OR(E3296="",E3296="!!!"),"",IF(NOT(ISNA(VLOOKUP(E3296,E$1:E3295,1,FALSE()))),"OLD",IF(AND(E3296&lt;&gt;"",E3296&lt;&gt;"!!!"),"NEW","")))</f>
        <v> </v>
      </c>
      <c r="G3296" s="24" t="str">
        <f>IF(OR(E3296="",E3296="!!!"),"",IF(OR(J3296=0,AND(J3296=1,K3296=1),AND(J3296=1,I3296="SBJ"),AND(J3296=1,I3296=0)),"?IN_FOCUS",IF(J3296&lt;=2,"?ACTIVATED",IF(J3296&lt;&gt;"","?FAMILIAR",IF(F3296="NEW",IF(ISNA(VLOOKUP(E3296,#REF!,1,FALSE())),"?TYPE_IDENTIFIABLE","?REFERENTIAL"),"_")))))</f>
        <v> </v>
      </c>
      <c r="H3296" s="25" t="str">
        <f>IF(J3296&lt;&gt;1,"",IF(I3296="SBJ","CB","?"))</f>
        <v> </v>
      </c>
      <c r="I3296" s="26" t="str">
        <f>IF(OR(E3296="",E3296="!!!",F3296="NEW"),"",INDEX(B3295:B$2,-1+SUMPRODUCT(MAX(ROW(E3295:E$2)*(E3296=E3295:E$2)))))</f>
        <v> </v>
      </c>
      <c r="J3296" s="26" t="str">
        <f>IF(OR(E3296="",E3296="!!!",F3296="NEW"),"",COUNTBLANK(OFFSET(A$1,,,SUMPRODUCT(MAX(ROW(E$2:E3296)*(E3296=E$2:E3296)))))-COUNTBLANK(OFFSET(A$1,,,SUMPRODUCT(MAX(ROW(E$1:E3295)*(E2=E$1:E3295))))))</f>
        <v> </v>
      </c>
      <c r="K3296" s="26" t="str">
        <f>IF(OR(E3296="",E3296="!!!",F3296="NEW"),"",INDEX(J$1:J3295,SUMPRODUCT(MAX(ROW(E$1:E3295)*(E3296=E$1:E3295)))))</f>
        <v> </v>
      </c>
      <c r="L3296" s="27"/>
    </row>
    <row r="3297" spans="1:12">
      <c r="A3297" s="20" t="s">
        <v>1217</v>
      </c>
      <c r="E3297" s="22">
        <f>IF(D3297="?OLD","!!!","")</f>
        <v/>
      </c>
      <c r="F3297" s="23" t="str">
        <f>IF(OR(E3297="",E3297="!!!"),"",IF(NOT(ISNA(VLOOKUP(E3297,E$1:E3296,1,FALSE()))),"OLD",IF(AND(E3297&lt;&gt;"",E3297&lt;&gt;"!!!"),"NEW","")))</f>
        <v> </v>
      </c>
      <c r="G3297" s="24" t="str">
        <f>IF(OR(E3297="",E3297="!!!"),"",IF(OR(J3297=0,AND(J3297=1,K3297=1),AND(J3297=1,I3297="SBJ"),AND(J3297=1,I3297=0)),"?IN_FOCUS",IF(J3297&lt;=2,"?ACTIVATED",IF(J3297&lt;&gt;"","?FAMILIAR",IF(F3297="NEW",IF(ISNA(VLOOKUP(E3297,#REF!,1,FALSE())),"?TYPE_IDENTIFIABLE","?REFERENTIAL"),"_")))))</f>
        <v> </v>
      </c>
      <c r="H3297" s="25" t="str">
        <f>IF(J3297&lt;&gt;1,"",IF(I3297="SBJ","CB","?"))</f>
        <v> </v>
      </c>
      <c r="I3297" s="26" t="str">
        <f>IF(OR(E3297="",E3297="!!!",F3297="NEW"),"",INDEX(B3296:B$2,-1+SUMPRODUCT(MAX(ROW(E3296:E$2)*(E3297=E3296:E$2)))))</f>
        <v> </v>
      </c>
      <c r="J3297" s="26" t="str">
        <f>IF(OR(E3297="",E3297="!!!",F3297="NEW"),"",COUNTBLANK(OFFSET(A$1,,,SUMPRODUCT(MAX(ROW(E$2:E3297)*(E3297=E$2:E3297)))))-COUNTBLANK(OFFSET(A$1,,,SUMPRODUCT(MAX(ROW(E$1:E3296)*(E2=E$1:E3296))))))</f>
        <v> </v>
      </c>
      <c r="K3297" s="26" t="str">
        <f>IF(OR(E3297="",E3297="!!!",F3297="NEW"),"",INDEX(J$1:J3296,SUMPRODUCT(MAX(ROW(E$1:E3296)*(E3297=E$1:E3296)))))</f>
        <v> </v>
      </c>
      <c r="L3297" s="27"/>
    </row>
    <row r="3298" spans="1:12">
      <c r="A3298" s="20" t="s">
        <v>1145</v>
      </c>
      <c r="E3298" s="22">
        <f>IF(D3298="?OLD","!!!","")</f>
        <v/>
      </c>
      <c r="F3298" s="23" t="str">
        <f>IF(OR(E3298="",E3298="!!!"),"",IF(NOT(ISNA(VLOOKUP(E3298,E$1:E3297,1,FALSE()))),"OLD",IF(AND(E3298&lt;&gt;"",E3298&lt;&gt;"!!!"),"NEW","")))</f>
        <v> </v>
      </c>
      <c r="G3298" s="24" t="str">
        <f>IF(OR(E3298="",E3298="!!!"),"",IF(OR(J3298=0,AND(J3298=1,K3298=1),AND(J3298=1,I3298="SBJ"),AND(J3298=1,I3298=0)),"?IN_FOCUS",IF(J3298&lt;=2,"?ACTIVATED",IF(J3298&lt;&gt;"","?FAMILIAR",IF(F3298="NEW",IF(ISNA(VLOOKUP(E3298,#REF!,1,FALSE())),"?TYPE_IDENTIFIABLE","?REFERENTIAL"),"_")))))</f>
        <v> </v>
      </c>
      <c r="H3298" s="25" t="str">
        <f>IF(J3298&lt;&gt;1,"",IF(I3298="SBJ","CB","?"))</f>
        <v> </v>
      </c>
      <c r="I3298" s="26" t="str">
        <f>IF(OR(E3298="",E3298="!!!",F3298="NEW"),"",INDEX(B3297:B$2,-1+SUMPRODUCT(MAX(ROW(E3297:E$2)*(E3298=E3297:E$2)))))</f>
        <v> </v>
      </c>
      <c r="J3298" s="26" t="str">
        <f>IF(OR(E3298="",E3298="!!!",F3298="NEW"),"",COUNTBLANK(OFFSET(A$1,,,SUMPRODUCT(MAX(ROW(E$2:E3298)*(E3298=E$2:E3298)))))-COUNTBLANK(OFFSET(A$1,,,SUMPRODUCT(MAX(ROW(E$1:E3297)*(E2=E$1:E3297))))))</f>
        <v> </v>
      </c>
      <c r="K3298" s="26" t="str">
        <f>IF(OR(E3298="",E3298="!!!",F3298="NEW"),"",INDEX(J$1:J3297,SUMPRODUCT(MAX(ROW(E$1:E3297)*(E3298=E$1:E3297)))))</f>
        <v> </v>
      </c>
      <c r="L3298" s="27"/>
    </row>
    <row r="3299" spans="1:12">
      <c r="A3299" s="20" t="s">
        <v>943</v>
      </c>
      <c r="B3299" s="21" t="s">
        <v>739</v>
      </c>
      <c r="C3299" s="21" t="s">
        <v>756</v>
      </c>
      <c r="E3299" s="22">
        <f>IF(D3299="?OLD","!!!","")</f>
        <v/>
      </c>
      <c r="F3299" s="23" t="str">
        <f>IF(OR(E3299="",E3299="!!!"),"",IF(NOT(ISNA(VLOOKUP(E3299,E$1:E3298,1,FALSE()))),"OLD",IF(AND(E3299&lt;&gt;"",E3299&lt;&gt;"!!!"),"NEW","")))</f>
        <v> </v>
      </c>
      <c r="G3299" s="24" t="str">
        <f>IF(OR(E3299="",E3299="!!!"),"",IF(OR(J3299=0,AND(J3299=1,K3299=1),AND(J3299=1,I3299="SBJ"),AND(J3299=1,I3299=0)),"?IN_FOCUS",IF(J3299&lt;=2,"?ACTIVATED",IF(J3299&lt;&gt;"","?FAMILIAR",IF(F3299="NEW",IF(ISNA(VLOOKUP(E3299,#REF!,1,FALSE())),"?TYPE_IDENTIFIABLE","?REFERENTIAL"),"_")))))</f>
        <v> </v>
      </c>
      <c r="H3299" s="25" t="str">
        <f>IF(J3299&lt;&gt;1,"",IF(I3299="SBJ","CB","?"))</f>
        <v> </v>
      </c>
      <c r="I3299" s="26" t="str">
        <f>IF(OR(E3299="",E3299="!!!",F3299="NEW"),"",INDEX(B3298:B$2,-1+SUMPRODUCT(MAX(ROW(E3298:E$2)*(E3299=E3298:E$2)))))</f>
        <v> </v>
      </c>
      <c r="J3299" s="26" t="str">
        <f>IF(OR(E3299="",E3299="!!!",F3299="NEW"),"",COUNTBLANK(OFFSET(A$1,,,SUMPRODUCT(MAX(ROW(E$2:E3299)*(E3299=E$2:E3299)))))-COUNTBLANK(OFFSET(A$1,,,SUMPRODUCT(MAX(ROW(E$1:E3298)*(E2=E$1:E3298))))))</f>
        <v> </v>
      </c>
      <c r="K3299" s="26" t="str">
        <f>IF(OR(E3299="",E3299="!!!",F3299="NEW"),"",INDEX(J$1:J3298,SUMPRODUCT(MAX(ROW(E$1:E3298)*(E3299=E$1:E3298)))))</f>
        <v> </v>
      </c>
      <c r="L3299" s="27"/>
    </row>
    <row r="3300" spans="1:12">
      <c r="A3300" s="20" t="s">
        <v>751</v>
      </c>
      <c r="B3300" s="21" t="s">
        <v>736</v>
      </c>
      <c r="C3300" s="21" t="s">
        <v>801</v>
      </c>
      <c r="D3300" s="21" t="s">
        <v>730</v>
      </c>
      <c r="E3300" s="22">
        <f>IF(D3300="?OLD","!!!","")</f>
        <v/>
      </c>
      <c r="F3300" s="23" t="str">
        <f>IF(OR(E3300="",E3300="!!!"),"",IF(NOT(ISNA(VLOOKUP(E3300,E$1:E3299,1,FALSE()))),"OLD",IF(AND(E3300&lt;&gt;"",E3300&lt;&gt;"!!!"),"NEW","")))</f>
        <v> </v>
      </c>
      <c r="G3300" s="24" t="str">
        <f>IF(OR(E3300="",E3300="!!!"),"",IF(OR(J3300=0,AND(J3300=1,K3300=1),AND(J3300=1,I3300="SBJ"),AND(J3300=1,I3300=0)),"?IN_FOCUS",IF(J3300&lt;=2,"?ACTIVATED",IF(J3300&lt;&gt;"","?FAMILIAR",IF(F3300="NEW",IF(ISNA(VLOOKUP(E3300,#REF!,1,FALSE())),"?TYPE_IDENTIFIABLE","?REFERENTIAL"),"_")))))</f>
        <v> </v>
      </c>
      <c r="H3300" s="25" t="str">
        <f>IF(J3300&lt;&gt;1,"",IF(I3300="SBJ","CB","?"))</f>
        <v> </v>
      </c>
      <c r="I3300" s="26" t="str">
        <f>IF(OR(E3300="",E3300="!!!",F3300="NEW"),"",INDEX(B3299:B$2,-1+SUMPRODUCT(MAX(ROW(E3299:E$2)*(E3300=E3299:E$2)))))</f>
        <v> </v>
      </c>
      <c r="J3300" s="26" t="str">
        <f>IF(OR(E3300="",E3300="!!!",F3300="NEW"),"",COUNTBLANK(OFFSET(A$1,,,SUMPRODUCT(MAX(ROW(E$2:E3300)*(E3300=E$2:E3300)))))-COUNTBLANK(OFFSET(A$1,,,SUMPRODUCT(MAX(ROW(E$1:E3299)*(E2=E$1:E3299))))))</f>
        <v> </v>
      </c>
      <c r="K3300" s="26" t="str">
        <f>IF(OR(E3300="",E3300="!!!",F3300="NEW"),"",INDEX(J$1:J3299,SUMPRODUCT(MAX(ROW(E$1:E3299)*(E3300=E$1:E3299)))))</f>
        <v> </v>
      </c>
      <c r="L3300" s="27"/>
    </row>
    <row r="3301" spans="1:12">
      <c r="A3301" s="20" t="s">
        <v>533</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t="s">
        <v>1755</v>
      </c>
      <c r="E3302" s="22">
        <f>IF(D3302="?OLD","!!!","")</f>
        <v/>
      </c>
      <c r="F3302" s="23" t="str">
        <f>IF(OR(E3302="",E3302="!!!"),"",IF(NOT(ISNA(VLOOKUP(E3302,E$1:E3301,1,FALSE()))),"OLD",IF(AND(E3302&lt;&gt;"",E3302&lt;&gt;"!!!"),"NEW","")))</f>
        <v> </v>
      </c>
      <c r="G3302" s="24" t="str">
        <f>IF(OR(E3302="",E3302="!!!"),"",IF(OR(J3302=0,AND(J3302=1,K3302=1),AND(J3302=1,I3302="SBJ"),AND(J3302=1,I3302=0)),"?IN_FOCUS",IF(J3302&lt;=2,"?ACTIVATED",IF(J3302&lt;&gt;"","?FAMILIAR",IF(F3302="NEW",IF(ISNA(VLOOKUP(E3302,#REF!,1,FALSE())),"?TYPE_IDENTIFIABLE","?REFERENTIAL"),"_")))))</f>
        <v> </v>
      </c>
      <c r="H3302" s="25" t="str">
        <f>IF(J3302&lt;&gt;1,"",IF(I3302="SBJ","CB","?"))</f>
        <v> </v>
      </c>
      <c r="I3302" s="26" t="str">
        <f>IF(OR(E3302="",E3302="!!!",F3302="NEW"),"",INDEX(B3301:B$2,-1+SUMPRODUCT(MAX(ROW(E3301:E$2)*(E3302=E3301:E$2)))))</f>
        <v> </v>
      </c>
      <c r="J3302" s="26" t="str">
        <f>IF(OR(E3302="",E3302="!!!",F3302="NEW"),"",COUNTBLANK(OFFSET(A$1,,,SUMPRODUCT(MAX(ROW(E$2:E3302)*(E3302=E$2:E3302)))))-COUNTBLANK(OFFSET(A$1,,,SUMPRODUCT(MAX(ROW(E$1:E3301)*(E2=E$1:E3301))))))</f>
        <v> </v>
      </c>
      <c r="K3302" s="26" t="str">
        <f>IF(OR(E3302="",E3302="!!!",F3302="NEW"),"",INDEX(J$1:J3301,SUMPRODUCT(MAX(ROW(E$1:E3301)*(E3302=E$1:E3301)))))</f>
        <v> </v>
      </c>
      <c r="L3302" s="27"/>
    </row>
    <row r="3303" spans="1:12">
      <c r="A3303" s="20"/>
    </row>
    <row r="3304" spans="1:12">
      <c r="A3304" s="20" t="s">
        <v>1891</v>
      </c>
    </row>
    <row r="3305" spans="1:12">
      <c r="A3305" s="20" t="s">
        <v>1892</v>
      </c>
      <c r="B3305" s="21" t="s">
        <v>739</v>
      </c>
      <c r="C3305" s="21" t="s">
        <v>756</v>
      </c>
      <c r="E3305" s="22">
        <f>IF(D3305="?OLD","!!!","")</f>
        <v/>
      </c>
      <c r="F3305" s="23" t="str">
        <f>IF(OR(E3305="",E3305="!!!"),"",IF(NOT(ISNA(VLOOKUP(E3305,E$1:E3304,1,FALSE()))),"OLD",IF(AND(E3305&lt;&gt;"",E3305&lt;&gt;"!!!"),"NEW","")))</f>
        <v> </v>
      </c>
      <c r="G3305" s="24" t="str">
        <f>IF(OR(E3305="",E3305="!!!"),"",IF(OR(J3305=0,AND(J3305=1,K3305=1),AND(J3305=1,I3305="SBJ"),AND(J3305=1,I3305=0)),"?IN_FOCUS",IF(J3305&lt;=2,"?ACTIVATED",IF(J3305&lt;&gt;"","?FAMILIAR",IF(F3305="NEW",IF(ISNA(VLOOKUP(E3305,#REF!,1,FALSE())),"?TYPE_IDENTIFIABLE","?REFERENTIAL"),"_")))))</f>
        <v> </v>
      </c>
      <c r="H3305" s="25" t="str">
        <f>IF(J3305&lt;&gt;1,"",IF(I3305="SBJ","CB","?"))</f>
        <v> </v>
      </c>
      <c r="I3305" s="26" t="str">
        <f>IF(OR(E3305="",E3305="!!!",F3305="NEW"),"",INDEX(B3304:B$2,-1+SUMPRODUCT(MAX(ROW(E3304:E$2)*(E3305=E3304:E$2)))))</f>
        <v> </v>
      </c>
      <c r="J3305" s="26" t="str">
        <f>IF(OR(E3305="",E3305="!!!",F3305="NEW"),"",COUNTBLANK(OFFSET(A$1,,,SUMPRODUCT(MAX(ROW(E$2:E3305)*(E3305=E$2:E3305)))))-COUNTBLANK(OFFSET(A$1,,,SUMPRODUCT(MAX(ROW(E$1:E3304)*(E2=E$1:E3304))))))</f>
        <v> </v>
      </c>
      <c r="K3305" s="26" t="str">
        <f>IF(OR(E3305="",E3305="!!!",F3305="NEW"),"",INDEX(J$1:J3304,SUMPRODUCT(MAX(ROW(E$1:E3304)*(E3305=E$1:E3304)))))</f>
        <v> </v>
      </c>
      <c r="L3305" s="27"/>
    </row>
    <row r="3306" spans="1:12">
      <c r="A3306" s="20" t="s">
        <v>1893</v>
      </c>
      <c r="B3306" s="21" t="s">
        <v>728</v>
      </c>
      <c r="C3306" s="21" t="s">
        <v>748</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t="s">
        <v>440</v>
      </c>
      <c r="E3307" s="22">
        <f>IF(D3307="?OLD","!!!","")</f>
        <v/>
      </c>
      <c r="F3307" s="23" t="str">
        <f>IF(OR(E3307="",E3307="!!!"),"",IF(NOT(ISNA(VLOOKUP(E3307,E$1:E3306,1,FALSE()))),"OLD",IF(AND(E3307&lt;&gt;"",E3307&lt;&gt;"!!!"),"NEW","")))</f>
        <v> </v>
      </c>
      <c r="G3307" s="24" t="str">
        <f>IF(OR(E3307="",E3307="!!!"),"",IF(OR(J3307=0,AND(J3307=1,K3307=1),AND(J3307=1,I3307="SBJ"),AND(J3307=1,I3307=0)),"?IN_FOCUS",IF(J3307&lt;=2,"?ACTIVATED",IF(J3307&lt;&gt;"","?FAMILIAR",IF(F3307="NEW",IF(ISNA(VLOOKUP(E3307,#REF!,1,FALSE())),"?TYPE_IDENTIFIABLE","?REFERENTIAL"),"_")))))</f>
        <v> </v>
      </c>
      <c r="H3307" s="25" t="str">
        <f>IF(J3307&lt;&gt;1,"",IF(I3307="SBJ","CB","?"))</f>
        <v> </v>
      </c>
      <c r="I3307" s="26" t="str">
        <f>IF(OR(E3307="",E3307="!!!",F3307="NEW"),"",INDEX(B3306:B$2,-1+SUMPRODUCT(MAX(ROW(E3306:E$2)*(E3307=E3306:E$2)))))</f>
        <v> </v>
      </c>
      <c r="J3307" s="26" t="str">
        <f>IF(OR(E3307="",E3307="!!!",F3307="NEW"),"",COUNTBLANK(OFFSET(A$1,,,SUMPRODUCT(MAX(ROW(E$2:E3307)*(E3307=E$2:E3307)))))-COUNTBLANK(OFFSET(A$1,,,SUMPRODUCT(MAX(ROW(E$1:E3306)*(E2=E$1:E3306))))))</f>
        <v> </v>
      </c>
      <c r="K3307" s="26" t="str">
        <f>IF(OR(E3307="",E3307="!!!",F3307="NEW"),"",INDEX(J$1:J3306,SUMPRODUCT(MAX(ROW(E$1:E3306)*(E3307=E$1:E3306)))))</f>
        <v> </v>
      </c>
      <c r="L3307" s="27"/>
    </row>
    <row r="3308" spans="1:12">
      <c r="A3308" s="20" t="s">
        <v>859</v>
      </c>
      <c r="B3308" s="21" t="s">
        <v>728</v>
      </c>
      <c r="C3308" s="21" t="s">
        <v>789</v>
      </c>
      <c r="D3308" s="21" t="s">
        <v>730</v>
      </c>
      <c r="E3308" s="22">
        <f>IF(D3308="?OLD","!!!","")</f>
        <v/>
      </c>
      <c r="F3308" s="23" t="str">
        <f>IF(OR(E3308="",E3308="!!!"),"",IF(NOT(ISNA(VLOOKUP(E3308,E$1:E3307,1,FALSE()))),"OLD",IF(AND(E3308&lt;&gt;"",E3308&lt;&gt;"!!!"),"NEW","")))</f>
        <v> </v>
      </c>
      <c r="G3308" s="24" t="str">
        <f>IF(OR(E3308="",E3308="!!!"),"",IF(OR(J3308=0,AND(J3308=1,K3308=1),AND(J3308=1,I3308="SBJ"),AND(J3308=1,I3308=0)),"?IN_FOCUS",IF(J3308&lt;=2,"?ACTIVATED",IF(J3308&lt;&gt;"","?FAMILIAR",IF(F3308="NEW",IF(ISNA(VLOOKUP(E3308,#REF!,1,FALSE())),"?TYPE_IDENTIFIABLE","?REFERENTIAL"),"_")))))</f>
        <v> </v>
      </c>
      <c r="H3308" s="25" t="str">
        <f>IF(J3308&lt;&gt;1,"",IF(I3308="SBJ","CB","?"))</f>
        <v> </v>
      </c>
      <c r="I3308" s="26" t="str">
        <f>IF(OR(E3308="",E3308="!!!",F3308="NEW"),"",INDEX(B3307:B$2,-1+SUMPRODUCT(MAX(ROW(E3307:E$2)*(E3308=E3307:E$2)))))</f>
        <v> </v>
      </c>
      <c r="J3308" s="26" t="str">
        <f>IF(OR(E3308="",E3308="!!!",F3308="NEW"),"",COUNTBLANK(OFFSET(A$1,,,SUMPRODUCT(MAX(ROW(E$2:E3308)*(E3308=E$2:E3308)))))-COUNTBLANK(OFFSET(A$1,,,SUMPRODUCT(MAX(ROW(E$1:E3307)*(E2=E$1:E3307))))))</f>
        <v> </v>
      </c>
      <c r="K3308" s="26" t="str">
        <f>IF(OR(E3308="",E3308="!!!",F3308="NEW"),"",INDEX(J$1:J3307,SUMPRODUCT(MAX(ROW(E$1:E3307)*(E3308=E$1:E3307)))))</f>
        <v> </v>
      </c>
      <c r="L3308" s="27"/>
    </row>
    <row r="3309" spans="1:12">
      <c r="A3309" s="20" t="s">
        <v>1081</v>
      </c>
      <c r="E3309" s="22">
        <f>IF(D3309="?OLD","!!!","")</f>
        <v/>
      </c>
      <c r="F3309" s="23" t="str">
        <f>IF(OR(E3309="",E3309="!!!"),"",IF(NOT(ISNA(VLOOKUP(E3309,E$1:E3308,1,FALSE()))),"OLD",IF(AND(E3309&lt;&gt;"",E3309&lt;&gt;"!!!"),"NEW","")))</f>
        <v> </v>
      </c>
      <c r="G3309" s="24" t="str">
        <f>IF(OR(E3309="",E3309="!!!"),"",IF(OR(J3309=0,AND(J3309=1,K3309=1),AND(J3309=1,I3309="SBJ"),AND(J3309=1,I3309=0)),"?IN_FOCUS",IF(J3309&lt;=2,"?ACTIVATED",IF(J3309&lt;&gt;"","?FAMILIAR",IF(F3309="NEW",IF(ISNA(VLOOKUP(E3309,#REF!,1,FALSE())),"?TYPE_IDENTIFIABLE","?REFERENTIAL"),"_")))))</f>
        <v> </v>
      </c>
      <c r="H3309" s="25" t="str">
        <f>IF(J3309&lt;&gt;1,"",IF(I3309="SBJ","CB","?"))</f>
        <v> </v>
      </c>
      <c r="I3309" s="26" t="str">
        <f>IF(OR(E3309="",E3309="!!!",F3309="NEW"),"",INDEX(B3308:B$2,-1+SUMPRODUCT(MAX(ROW(E3308:E$2)*(E3309=E3308:E$2)))))</f>
        <v> </v>
      </c>
      <c r="J3309" s="26" t="str">
        <f>IF(OR(E3309="",E3309="!!!",F3309="NEW"),"",COUNTBLANK(OFFSET(A$1,,,SUMPRODUCT(MAX(ROW(E$2:E3309)*(E3309=E$2:E3309)))))-COUNTBLANK(OFFSET(A$1,,,SUMPRODUCT(MAX(ROW(E$1:E3308)*(E2=E$1:E3308))))))</f>
        <v> </v>
      </c>
      <c r="K3309" s="26" t="str">
        <f>IF(OR(E3309="",E3309="!!!",F3309="NEW"),"",INDEX(J$1:J3308,SUMPRODUCT(MAX(ROW(E$1:E3308)*(E3309=E$1:E3308)))))</f>
        <v> </v>
      </c>
      <c r="L3309" s="27"/>
    </row>
    <row r="3310" spans="1:12">
      <c r="A3310" s="20" t="s">
        <v>1755</v>
      </c>
      <c r="E3310" s="22">
        <f>IF(D3310="?OLD","!!!","")</f>
        <v/>
      </c>
      <c r="F3310" s="23" t="str">
        <f>IF(OR(E3310="",E3310="!!!"),"",IF(NOT(ISNA(VLOOKUP(E3310,E$1:E3309,1,FALSE()))),"OLD",IF(AND(E3310&lt;&gt;"",E3310&lt;&gt;"!!!"),"NEW","")))</f>
        <v> </v>
      </c>
      <c r="G3310" s="24" t="str">
        <f>IF(OR(E3310="",E3310="!!!"),"",IF(OR(J3310=0,AND(J3310=1,K3310=1),AND(J3310=1,I3310="SBJ"),AND(J3310=1,I3310=0)),"?IN_FOCUS",IF(J3310&lt;=2,"?ACTIVATED",IF(J3310&lt;&gt;"","?FAMILIAR",IF(F3310="NEW",IF(ISNA(VLOOKUP(E3310,#REF!,1,FALSE())),"?TYPE_IDENTIFIABLE","?REFERENTIAL"),"_")))))</f>
        <v> </v>
      </c>
      <c r="H3310" s="25" t="str">
        <f>IF(J3310&lt;&gt;1,"",IF(I3310="SBJ","CB","?"))</f>
        <v> </v>
      </c>
      <c r="I3310" s="26" t="str">
        <f>IF(OR(E3310="",E3310="!!!",F3310="NEW"),"",INDEX(B3309:B$2,-1+SUMPRODUCT(MAX(ROW(E3309:E$2)*(E3310=E3309:E$2)))))</f>
        <v> </v>
      </c>
      <c r="J3310" s="26" t="str">
        <f>IF(OR(E3310="",E3310="!!!",F3310="NEW"),"",COUNTBLANK(OFFSET(A$1,,,SUMPRODUCT(MAX(ROW(E$2:E3310)*(E3310=E$2:E3310)))))-COUNTBLANK(OFFSET(A$1,,,SUMPRODUCT(MAX(ROW(E$1:E3309)*(E2=E$1:E3309))))))</f>
        <v> </v>
      </c>
      <c r="K3310" s="26" t="str">
        <f>IF(OR(E3310="",E3310="!!!",F3310="NEW"),"",INDEX(J$1:J3309,SUMPRODUCT(MAX(ROW(E$1:E3309)*(E3310=E$1:E3309)))))</f>
        <v> </v>
      </c>
      <c r="L3310" s="27"/>
    </row>
    <row r="3311" spans="1:12">
      <c r="A3311" s="20"/>
    </row>
    <row r="3312" spans="1:12">
      <c r="A3312" s="20" t="s">
        <v>1894</v>
      </c>
    </row>
    <row r="3313" spans="1:12">
      <c r="A3313" s="20" t="s">
        <v>727</v>
      </c>
      <c r="B3313" s="21" t="s">
        <v>728</v>
      </c>
      <c r="C3313" s="21" t="s">
        <v>729</v>
      </c>
      <c r="D3313" s="21" t="s">
        <v>730</v>
      </c>
      <c r="E3313" s="22">
        <f>IF(D3313="?OLD","!!!","")</f>
        <v/>
      </c>
      <c r="F3313" s="23" t="str">
        <f>IF(OR(E3313="",E3313="!!!"),"",IF(NOT(ISNA(VLOOKUP(E3313,E$1:E3312,1,FALSE()))),"OLD",IF(AND(E3313&lt;&gt;"",E3313&lt;&gt;"!!!"),"NEW","")))</f>
        <v> </v>
      </c>
      <c r="G3313" s="24" t="str">
        <f>IF(OR(E3313="",E3313="!!!"),"",IF(OR(J3313=0,AND(J3313=1,K3313=1),AND(J3313=1,I3313="SBJ"),AND(J3313=1,I3313=0)),"?IN_FOCUS",IF(J3313&lt;=2,"?ACTIVATED",IF(J3313&lt;&gt;"","?FAMILIAR",IF(F3313="NEW",IF(ISNA(VLOOKUP(E3313,#REF!,1,FALSE())),"?TYPE_IDENTIFIABLE","?REFERENTIAL"),"_")))))</f>
        <v> </v>
      </c>
      <c r="H3313" s="25" t="str">
        <f>IF(J3313&lt;&gt;1,"",IF(I3313="SBJ","CB","?"))</f>
        <v> </v>
      </c>
      <c r="I3313" s="26" t="str">
        <f>IF(OR(E3313="",E3313="!!!",F3313="NEW"),"",INDEX(B3312:B$2,-1+SUMPRODUCT(MAX(ROW(E3312:E$2)*(E3313=E3312:E$2)))))</f>
        <v> </v>
      </c>
      <c r="J3313" s="26" t="str">
        <f>IF(OR(E3313="",E3313="!!!",F3313="NEW"),"",COUNTBLANK(OFFSET(A$1,,,SUMPRODUCT(MAX(ROW(E$2:E3313)*(E3313=E$2:E3313)))))-COUNTBLANK(OFFSET(A$1,,,SUMPRODUCT(MAX(ROW(E$1:E3312)*(E2=E$1:E3312))))))</f>
        <v> </v>
      </c>
      <c r="K3313" s="26" t="str">
        <f>IF(OR(E3313="",E3313="!!!",F3313="NEW"),"",INDEX(J$1:J3312,SUMPRODUCT(MAX(ROW(E$1:E3312)*(E3313=E$1:E3312)))))</f>
        <v> </v>
      </c>
      <c r="L3313" s="27"/>
    </row>
    <row r="3314" spans="1:12">
      <c r="A3314" s="20" t="s">
        <v>1895</v>
      </c>
      <c r="E3314" s="22">
        <f>IF(D3314="?OLD","!!!","")</f>
        <v/>
      </c>
      <c r="F3314" s="23" t="str">
        <f>IF(OR(E3314="",E3314="!!!"),"",IF(NOT(ISNA(VLOOKUP(E3314,E$1:E3313,1,FALSE()))),"OLD",IF(AND(E3314&lt;&gt;"",E3314&lt;&gt;"!!!"),"NEW","")))</f>
        <v> </v>
      </c>
      <c r="G3314" s="24" t="str">
        <f>IF(OR(E3314="",E3314="!!!"),"",IF(OR(J3314=0,AND(J3314=1,K3314=1),AND(J3314=1,I3314="SBJ"),AND(J3314=1,I3314=0)),"?IN_FOCUS",IF(J3314&lt;=2,"?ACTIVATED",IF(J3314&lt;&gt;"","?FAMILIAR",IF(F3314="NEW",IF(ISNA(VLOOKUP(E3314,#REF!,1,FALSE())),"?TYPE_IDENTIFIABLE","?REFERENTIAL"),"_")))))</f>
        <v> </v>
      </c>
      <c r="H3314" s="25" t="str">
        <f>IF(J3314&lt;&gt;1,"",IF(I3314="SBJ","CB","?"))</f>
        <v> </v>
      </c>
      <c r="I3314" s="26" t="str">
        <f>IF(OR(E3314="",E3314="!!!",F3314="NEW"),"",INDEX(B3313:B$2,-1+SUMPRODUCT(MAX(ROW(E3313:E$2)*(E3314=E3313:E$2)))))</f>
        <v> </v>
      </c>
      <c r="J3314" s="26" t="str">
        <f>IF(OR(E3314="",E3314="!!!",F3314="NEW"),"",COUNTBLANK(OFFSET(A$1,,,SUMPRODUCT(MAX(ROW(E$2:E3314)*(E3314=E$2:E3314)))))-COUNTBLANK(OFFSET(A$1,,,SUMPRODUCT(MAX(ROW(E$1:E3313)*(E2=E$1:E3313))))))</f>
        <v> </v>
      </c>
      <c r="K3314" s="26" t="str">
        <f>IF(OR(E3314="",E3314="!!!",F3314="NEW"),"",INDEX(J$1:J3313,SUMPRODUCT(MAX(ROW(E$1:E3313)*(E3314=E$1:E3313)))))</f>
        <v> </v>
      </c>
      <c r="L3314" s="27"/>
    </row>
    <row r="3315" spans="1:12">
      <c r="A3315" s="20" t="s">
        <v>759</v>
      </c>
      <c r="E3315" s="22">
        <f>IF(D3315="?OLD","!!!","")</f>
        <v/>
      </c>
      <c r="F3315" s="23" t="str">
        <f>IF(OR(E3315="",E3315="!!!"),"",IF(NOT(ISNA(VLOOKUP(E3315,E$1:E3314,1,FALSE()))),"OLD",IF(AND(E3315&lt;&gt;"",E3315&lt;&gt;"!!!"),"NEW","")))</f>
        <v> </v>
      </c>
      <c r="G3315" s="24" t="str">
        <f>IF(OR(E3315="",E3315="!!!"),"",IF(OR(J3315=0,AND(J3315=1,K3315=1),AND(J3315=1,I3315="SBJ"),AND(J3315=1,I3315=0)),"?IN_FOCUS",IF(J3315&lt;=2,"?ACTIVATED",IF(J3315&lt;&gt;"","?FAMILIAR",IF(F3315="NEW",IF(ISNA(VLOOKUP(E3315,#REF!,1,FALSE())),"?TYPE_IDENTIFIABLE","?REFERENTIAL"),"_")))))</f>
        <v> </v>
      </c>
      <c r="H3315" s="25" t="str">
        <f>IF(J3315&lt;&gt;1,"",IF(I3315="SBJ","CB","?"))</f>
        <v> </v>
      </c>
      <c r="I3315" s="26" t="str">
        <f>IF(OR(E3315="",E3315="!!!",F3315="NEW"),"",INDEX(B3314:B$2,-1+SUMPRODUCT(MAX(ROW(E3314:E$2)*(E3315=E3314:E$2)))))</f>
        <v> </v>
      </c>
      <c r="J3315" s="26" t="str">
        <f>IF(OR(E3315="",E3315="!!!",F3315="NEW"),"",COUNTBLANK(OFFSET(A$1,,,SUMPRODUCT(MAX(ROW(E$2:E3315)*(E3315=E$2:E3315)))))-COUNTBLANK(OFFSET(A$1,,,SUMPRODUCT(MAX(ROW(E$1:E3314)*(E2=E$1:E3314))))))</f>
        <v> </v>
      </c>
      <c r="K3315" s="26" t="str">
        <f>IF(OR(E3315="",E3315="!!!",F3315="NEW"),"",INDEX(J$1:J3314,SUMPRODUCT(MAX(ROW(E$1:E3314)*(E3315=E$1:E3314)))))</f>
        <v> </v>
      </c>
      <c r="L3315" s="27"/>
    </row>
    <row r="3316" spans="1:12">
      <c r="A3316" s="20" t="s">
        <v>972</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1896</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t="s">
        <v>1897</v>
      </c>
      <c r="B3318" s="21" t="s">
        <v>739</v>
      </c>
      <c r="C3318" s="21" t="s">
        <v>748</v>
      </c>
      <c r="E3318" s="22">
        <f>IF(D3318="?OLD","!!!","")</f>
        <v/>
      </c>
      <c r="F3318" s="23" t="str">
        <f>IF(OR(E3318="",E3318="!!!"),"",IF(NOT(ISNA(VLOOKUP(E3318,E$1:E3317,1,FALSE()))),"OLD",IF(AND(E3318&lt;&gt;"",E3318&lt;&gt;"!!!"),"NEW","")))</f>
        <v> </v>
      </c>
      <c r="G3318" s="24" t="str">
        <f>IF(OR(E3318="",E3318="!!!"),"",IF(OR(J3318=0,AND(J3318=1,K3318=1),AND(J3318=1,I3318="SBJ"),AND(J3318=1,I3318=0)),"?IN_FOCUS",IF(J3318&lt;=2,"?ACTIVATED",IF(J3318&lt;&gt;"","?FAMILIAR",IF(F3318="NEW",IF(ISNA(VLOOKUP(E3318,#REF!,1,FALSE())),"?TYPE_IDENTIFIABLE","?REFERENTIAL"),"_")))))</f>
        <v> </v>
      </c>
      <c r="H3318" s="25" t="str">
        <f>IF(J3318&lt;&gt;1,"",IF(I3318="SBJ","CB","?"))</f>
        <v> </v>
      </c>
      <c r="I3318" s="26" t="str">
        <f>IF(OR(E3318="",E3318="!!!",F3318="NEW"),"",INDEX(B3317:B$2,-1+SUMPRODUCT(MAX(ROW(E3317:E$2)*(E3318=E3317:E$2)))))</f>
        <v> </v>
      </c>
      <c r="J3318" s="26" t="str">
        <f>IF(OR(E3318="",E3318="!!!",F3318="NEW"),"",COUNTBLANK(OFFSET(A$1,,,SUMPRODUCT(MAX(ROW(E$2:E3318)*(E3318=E$2:E3318)))))-COUNTBLANK(OFFSET(A$1,,,SUMPRODUCT(MAX(ROW(E$1:E3317)*(E2=E$1:E3317))))))</f>
        <v> </v>
      </c>
      <c r="K3318" s="26" t="str">
        <f>IF(OR(E3318="",E3318="!!!",F3318="NEW"),"",INDEX(J$1:J3317,SUMPRODUCT(MAX(ROW(E$1:E3317)*(E3318=E$1:E3317)))))</f>
        <v> </v>
      </c>
      <c r="L3318" s="27"/>
    </row>
    <row r="3319" spans="1:12">
      <c r="A3319" s="20" t="s">
        <v>1898</v>
      </c>
      <c r="E3319" s="22">
        <f>IF(D3319="?OLD","!!!","")</f>
        <v/>
      </c>
      <c r="F3319" s="23" t="str">
        <f>IF(OR(E3319="",E3319="!!!"),"",IF(NOT(ISNA(VLOOKUP(E3319,E$1:E3318,1,FALSE()))),"OLD",IF(AND(E3319&lt;&gt;"",E3319&lt;&gt;"!!!"),"NEW","")))</f>
        <v> </v>
      </c>
      <c r="G3319" s="24" t="str">
        <f>IF(OR(E3319="",E3319="!!!"),"",IF(OR(J3319=0,AND(J3319=1,K3319=1),AND(J3319=1,I3319="SBJ"),AND(J3319=1,I3319=0)),"?IN_FOCUS",IF(J3319&lt;=2,"?ACTIVATED",IF(J3319&lt;&gt;"","?FAMILIAR",IF(F3319="NEW",IF(ISNA(VLOOKUP(E3319,#REF!,1,FALSE())),"?TYPE_IDENTIFIABLE","?REFERENTIAL"),"_")))))</f>
        <v> </v>
      </c>
      <c r="H3319" s="25" t="str">
        <f>IF(J3319&lt;&gt;1,"",IF(I3319="SBJ","CB","?"))</f>
        <v> </v>
      </c>
      <c r="I3319" s="26" t="str">
        <f>IF(OR(E3319="",E3319="!!!",F3319="NEW"),"",INDEX(B3318:B$2,-1+SUMPRODUCT(MAX(ROW(E3318:E$2)*(E3319=E3318:E$2)))))</f>
        <v> </v>
      </c>
      <c r="J3319" s="26" t="str">
        <f>IF(OR(E3319="",E3319="!!!",F3319="NEW"),"",COUNTBLANK(OFFSET(A$1,,,SUMPRODUCT(MAX(ROW(E$2:E3319)*(E3319=E$2:E3319)))))-COUNTBLANK(OFFSET(A$1,,,SUMPRODUCT(MAX(ROW(E$1:E3318)*(E2=E$1:E3318))))))</f>
        <v> </v>
      </c>
      <c r="K3319" s="26" t="str">
        <f>IF(OR(E3319="",E3319="!!!",F3319="NEW"),"",INDEX(J$1:J3318,SUMPRODUCT(MAX(ROW(E$1:E3318)*(E3319=E$1:E3318)))))</f>
        <v> </v>
      </c>
      <c r="L3319" s="27"/>
    </row>
    <row r="3320" spans="1:12">
      <c r="A3320" s="20" t="s">
        <v>813</v>
      </c>
      <c r="E3320" s="22">
        <f>IF(D3320="?OLD","!!!","")</f>
        <v/>
      </c>
      <c r="F3320" s="23" t="str">
        <f>IF(OR(E3320="",E3320="!!!"),"",IF(NOT(ISNA(VLOOKUP(E3320,E$1:E3319,1,FALSE()))),"OLD",IF(AND(E3320&lt;&gt;"",E3320&lt;&gt;"!!!"),"NEW","")))</f>
        <v> </v>
      </c>
      <c r="G3320" s="24" t="str">
        <f>IF(OR(E3320="",E3320="!!!"),"",IF(OR(J3320=0,AND(J3320=1,K3320=1),AND(J3320=1,I3320="SBJ"),AND(J3320=1,I3320=0)),"?IN_FOCUS",IF(J3320&lt;=2,"?ACTIVATED",IF(J3320&lt;&gt;"","?FAMILIAR",IF(F3320="NEW",IF(ISNA(VLOOKUP(E3320,#REF!,1,FALSE())),"?TYPE_IDENTIFIABLE","?REFERENTIAL"),"_")))))</f>
        <v> </v>
      </c>
      <c r="H3320" s="25" t="str">
        <f>IF(J3320&lt;&gt;1,"",IF(I3320="SBJ","CB","?"))</f>
        <v> </v>
      </c>
      <c r="I3320" s="26" t="str">
        <f>IF(OR(E3320="",E3320="!!!",F3320="NEW"),"",INDEX(B3319:B$2,-1+SUMPRODUCT(MAX(ROW(E3319:E$2)*(E3320=E3319:E$2)))))</f>
        <v> </v>
      </c>
      <c r="J3320" s="26" t="str">
        <f>IF(OR(E3320="",E3320="!!!",F3320="NEW"),"",COUNTBLANK(OFFSET(A$1,,,SUMPRODUCT(MAX(ROW(E$2:E3320)*(E3320=E$2:E3320)))))-COUNTBLANK(OFFSET(A$1,,,SUMPRODUCT(MAX(ROW(E$1:E3319)*(E2=E$1:E3319))))))</f>
        <v> </v>
      </c>
      <c r="K3320" s="26" t="str">
        <f>IF(OR(E3320="",E3320="!!!",F3320="NEW"),"",INDEX(J$1:J3319,SUMPRODUCT(MAX(ROW(E$1:E3319)*(E3320=E$1:E3319)))))</f>
        <v> </v>
      </c>
      <c r="L3320" s="27"/>
    </row>
    <row r="3321" spans="1:12">
      <c r="A3321" s="20" t="s">
        <v>795</v>
      </c>
      <c r="B3321" s="21" t="s">
        <v>796</v>
      </c>
      <c r="C3321" s="21" t="s">
        <v>753</v>
      </c>
      <c r="D3321" s="21" t="s">
        <v>730</v>
      </c>
      <c r="E3321" s="22">
        <f>IF(D3321="?OLD","!!!","")</f>
        <v/>
      </c>
      <c r="F3321" s="23" t="str">
        <f>IF(OR(E3321="",E3321="!!!"),"",IF(NOT(ISNA(VLOOKUP(E3321,E$1:E3320,1,FALSE()))),"OLD",IF(AND(E3321&lt;&gt;"",E3321&lt;&gt;"!!!"),"NEW","")))</f>
        <v> </v>
      </c>
      <c r="G3321" s="24" t="str">
        <f>IF(OR(E3321="",E3321="!!!"),"",IF(OR(J3321=0,AND(J3321=1,K3321=1),AND(J3321=1,I3321="SBJ"),AND(J3321=1,I3321=0)),"?IN_FOCUS",IF(J3321&lt;=2,"?ACTIVATED",IF(J3321&lt;&gt;"","?FAMILIAR",IF(F3321="NEW",IF(ISNA(VLOOKUP(E3321,#REF!,1,FALSE())),"?TYPE_IDENTIFIABLE","?REFERENTIAL"),"_")))))</f>
        <v> </v>
      </c>
      <c r="H3321" s="25" t="str">
        <f>IF(J3321&lt;&gt;1,"",IF(I3321="SBJ","CB","?"))</f>
        <v> </v>
      </c>
      <c r="I3321" s="26" t="str">
        <f>IF(OR(E3321="",E3321="!!!",F3321="NEW"),"",INDEX(B3320:B$2,-1+SUMPRODUCT(MAX(ROW(E3320:E$2)*(E3321=E3320:E$2)))))</f>
        <v> </v>
      </c>
      <c r="J3321" s="26" t="str">
        <f>IF(OR(E3321="",E3321="!!!",F3321="NEW"),"",COUNTBLANK(OFFSET(A$1,,,SUMPRODUCT(MAX(ROW(E$2:E3321)*(E3321=E$2:E3321)))))-COUNTBLANK(OFFSET(A$1,,,SUMPRODUCT(MAX(ROW(E$1:E3320)*(E2=E$1:E3320))))))</f>
        <v> </v>
      </c>
      <c r="K3321" s="26" t="str">
        <f>IF(OR(E3321="",E3321="!!!",F3321="NEW"),"",INDEX(J$1:J3320,SUMPRODUCT(MAX(ROW(E$1:E3320)*(E3321=E$1:E3320)))))</f>
        <v> </v>
      </c>
      <c r="L3321" s="27"/>
    </row>
    <row r="3322" spans="1:12">
      <c r="A3322" s="20" t="s">
        <v>246</v>
      </c>
      <c r="E3322" s="22">
        <f>IF(D3322="?OLD","!!!","")</f>
        <v/>
      </c>
      <c r="F3322" s="23" t="str">
        <f>IF(OR(E3322="",E3322="!!!"),"",IF(NOT(ISNA(VLOOKUP(E3322,E$1:E3321,1,FALSE()))),"OLD",IF(AND(E3322&lt;&gt;"",E3322&lt;&gt;"!!!"),"NEW","")))</f>
        <v> </v>
      </c>
      <c r="G3322" s="24" t="str">
        <f>IF(OR(E3322="",E3322="!!!"),"",IF(OR(J3322=0,AND(J3322=1,K3322=1),AND(J3322=1,I3322="SBJ"),AND(J3322=1,I3322=0)),"?IN_FOCUS",IF(J3322&lt;=2,"?ACTIVATED",IF(J3322&lt;&gt;"","?FAMILIAR",IF(F3322="NEW",IF(ISNA(VLOOKUP(E3322,#REF!,1,FALSE())),"?TYPE_IDENTIFIABLE","?REFERENTIAL"),"_")))))</f>
        <v> </v>
      </c>
      <c r="H3322" s="25" t="str">
        <f>IF(J3322&lt;&gt;1,"",IF(I3322="SBJ","CB","?"))</f>
        <v> </v>
      </c>
      <c r="I3322" s="26" t="str">
        <f>IF(OR(E3322="",E3322="!!!",F3322="NEW"),"",INDEX(B3321:B$2,-1+SUMPRODUCT(MAX(ROW(E3321:E$2)*(E3322=E3321:E$2)))))</f>
        <v> </v>
      </c>
      <c r="J3322" s="26" t="str">
        <f>IF(OR(E3322="",E3322="!!!",F3322="NEW"),"",COUNTBLANK(OFFSET(A$1,,,SUMPRODUCT(MAX(ROW(E$2:E3322)*(E3322=E$2:E3322)))))-COUNTBLANK(OFFSET(A$1,,,SUMPRODUCT(MAX(ROW(E$1:E3321)*(E2=E$1:E3321))))))</f>
        <v> </v>
      </c>
      <c r="K3322" s="26" t="str">
        <f>IF(OR(E3322="",E3322="!!!",F3322="NEW"),"",INDEX(J$1:J3321,SUMPRODUCT(MAX(ROW(E$1:E3321)*(E3322=E$1:E3321)))))</f>
        <v> </v>
      </c>
      <c r="L3322" s="27"/>
    </row>
    <row r="3323" spans="1:12">
      <c r="A3323" s="20"/>
    </row>
    <row r="3324" spans="1:12">
      <c r="A3324" s="20" t="s">
        <v>1899</v>
      </c>
    </row>
    <row r="3325" spans="1:12">
      <c r="A3325" s="20" t="s">
        <v>836</v>
      </c>
      <c r="B3325" s="21" t="s">
        <v>728</v>
      </c>
      <c r="C3325" s="21" t="s">
        <v>729</v>
      </c>
      <c r="D3325" s="21" t="s">
        <v>730</v>
      </c>
      <c r="E3325" s="22">
        <f>IF(D3325="?OLD","!!!","")</f>
        <v/>
      </c>
      <c r="F3325" s="23" t="str">
        <f>IF(OR(E3325="",E3325="!!!"),"",IF(NOT(ISNA(VLOOKUP(E3325,E$1:E3324,1,FALSE()))),"OLD",IF(AND(E3325&lt;&gt;"",E3325&lt;&gt;"!!!"),"NEW","")))</f>
        <v> </v>
      </c>
      <c r="G3325" s="24" t="str">
        <f>IF(OR(E3325="",E3325="!!!"),"",IF(OR(J3325=0,AND(J3325=1,K3325=1),AND(J3325=1,I3325="SBJ"),AND(J3325=1,I3325=0)),"?IN_FOCUS",IF(J3325&lt;=2,"?ACTIVATED",IF(J3325&lt;&gt;"","?FAMILIAR",IF(F3325="NEW",IF(ISNA(VLOOKUP(E3325,#REF!,1,FALSE())),"?TYPE_IDENTIFIABLE","?REFERENTIAL"),"_")))))</f>
        <v> </v>
      </c>
      <c r="H3325" s="25" t="str">
        <f>IF(J3325&lt;&gt;1,"",IF(I3325="SBJ","CB","?"))</f>
        <v> </v>
      </c>
      <c r="I3325" s="26" t="str">
        <f>IF(OR(E3325="",E3325="!!!",F3325="NEW"),"",INDEX(B3324:B$2,-1+SUMPRODUCT(MAX(ROW(E3324:E$2)*(E3325=E3324:E$2)))))</f>
        <v> </v>
      </c>
      <c r="J3325" s="26" t="str">
        <f>IF(OR(E3325="",E3325="!!!",F3325="NEW"),"",COUNTBLANK(OFFSET(A$1,,,SUMPRODUCT(MAX(ROW(E$2:E3325)*(E3325=E$2:E3325)))))-COUNTBLANK(OFFSET(A$1,,,SUMPRODUCT(MAX(ROW(E$1:E3324)*(E2=E$1:E3324))))))</f>
        <v> </v>
      </c>
      <c r="K3325" s="26" t="str">
        <f>IF(OR(E3325="",E3325="!!!",F3325="NEW"),"",INDEX(J$1:J3324,SUMPRODUCT(MAX(ROW(E$1:E3324)*(E3325=E$1:E3324)))))</f>
        <v> </v>
      </c>
      <c r="L3325" s="27"/>
    </row>
    <row r="3326" spans="1:12">
      <c r="A3326" s="20" t="s">
        <v>1087</v>
      </c>
      <c r="E3326" s="22">
        <f>IF(D3326="?OLD","!!!","")</f>
        <v/>
      </c>
      <c r="F3326" s="23" t="str">
        <f>IF(OR(E3326="",E3326="!!!"),"",IF(NOT(ISNA(VLOOKUP(E3326,E$1:E3325,1,FALSE()))),"OLD",IF(AND(E3326&lt;&gt;"",E3326&lt;&gt;"!!!"),"NEW","")))</f>
        <v> </v>
      </c>
      <c r="G3326" s="24" t="str">
        <f>IF(OR(E3326="",E3326="!!!"),"",IF(OR(J3326=0,AND(J3326=1,K3326=1),AND(J3326=1,I3326="SBJ"),AND(J3326=1,I3326=0)),"?IN_FOCUS",IF(J3326&lt;=2,"?ACTIVATED",IF(J3326&lt;&gt;"","?FAMILIAR",IF(F3326="NEW",IF(ISNA(VLOOKUP(E3326,#REF!,1,FALSE())),"?TYPE_IDENTIFIABLE","?REFERENTIAL"),"_")))))</f>
        <v> </v>
      </c>
      <c r="H3326" s="25" t="str">
        <f>IF(J3326&lt;&gt;1,"",IF(I3326="SBJ","CB","?"))</f>
        <v> </v>
      </c>
      <c r="I3326" s="26" t="str">
        <f>IF(OR(E3326="",E3326="!!!",F3326="NEW"),"",INDEX(B3325:B$2,-1+SUMPRODUCT(MAX(ROW(E3325:E$2)*(E3326=E3325:E$2)))))</f>
        <v> </v>
      </c>
      <c r="J3326" s="26" t="str">
        <f>IF(OR(E3326="",E3326="!!!",F3326="NEW"),"",COUNTBLANK(OFFSET(A$1,,,SUMPRODUCT(MAX(ROW(E$2:E3326)*(E3326=E$2:E3326)))))-COUNTBLANK(OFFSET(A$1,,,SUMPRODUCT(MAX(ROW(E$1:E3325)*(E2=E$1:E3325))))))</f>
        <v> </v>
      </c>
      <c r="K3326" s="26" t="str">
        <f>IF(OR(E3326="",E3326="!!!",F3326="NEW"),"",INDEX(J$1:J3325,SUMPRODUCT(MAX(ROW(E$1:E3325)*(E3326=E$1:E3325)))))</f>
        <v> </v>
      </c>
      <c r="L3326" s="27"/>
    </row>
    <row r="3327" spans="1:12">
      <c r="A3327" s="20" t="s">
        <v>813</v>
      </c>
      <c r="E3327" s="22">
        <f>IF(D3327="?OLD","!!!","")</f>
        <v/>
      </c>
      <c r="F3327" s="23" t="str">
        <f>IF(OR(E3327="",E3327="!!!"),"",IF(NOT(ISNA(VLOOKUP(E3327,E$1:E3326,1,FALSE()))),"OLD",IF(AND(E3327&lt;&gt;"",E3327&lt;&gt;"!!!"),"NEW","")))</f>
        <v> </v>
      </c>
      <c r="G3327" s="24" t="str">
        <f>IF(OR(E3327="",E3327="!!!"),"",IF(OR(J3327=0,AND(J3327=1,K3327=1),AND(J3327=1,I3327="SBJ"),AND(J3327=1,I3327=0)),"?IN_FOCUS",IF(J3327&lt;=2,"?ACTIVATED",IF(J3327&lt;&gt;"","?FAMILIAR",IF(F3327="NEW",IF(ISNA(VLOOKUP(E3327,#REF!,1,FALSE())),"?TYPE_IDENTIFIABLE","?REFERENTIAL"),"_")))))</f>
        <v> </v>
      </c>
      <c r="H3327" s="25" t="str">
        <f>IF(J3327&lt;&gt;1,"",IF(I3327="SBJ","CB","?"))</f>
        <v> </v>
      </c>
      <c r="I3327" s="26" t="str">
        <f>IF(OR(E3327="",E3327="!!!",F3327="NEW"),"",INDEX(B3326:B$2,-1+SUMPRODUCT(MAX(ROW(E3326:E$2)*(E3327=E3326:E$2)))))</f>
        <v> </v>
      </c>
      <c r="J3327" s="26" t="str">
        <f>IF(OR(E3327="",E3327="!!!",F3327="NEW"),"",COUNTBLANK(OFFSET(A$1,,,SUMPRODUCT(MAX(ROW(E$2:E3327)*(E3327=E$2:E3327)))))-COUNTBLANK(OFFSET(A$1,,,SUMPRODUCT(MAX(ROW(E$1:E3326)*(E2=E$1:E3326))))))</f>
        <v> </v>
      </c>
      <c r="K3327" s="26" t="str">
        <f>IF(OR(E3327="",E3327="!!!",F3327="NEW"),"",INDEX(J$1:J3326,SUMPRODUCT(MAX(ROW(E$1:E3326)*(E3327=E$1:E3326)))))</f>
        <v> </v>
      </c>
      <c r="L3327" s="27"/>
    </row>
    <row r="3328" spans="1:12">
      <c r="A3328" s="20" t="s">
        <v>1900</v>
      </c>
      <c r="B3328" s="21" t="s">
        <v>728</v>
      </c>
      <c r="C3328" s="21" t="s">
        <v>753</v>
      </c>
      <c r="D3328" s="21" t="s">
        <v>730</v>
      </c>
      <c r="E3328" s="22">
        <f>IF(D3328="?OLD","!!!","")</f>
        <v/>
      </c>
      <c r="F3328" s="23" t="str">
        <f>IF(OR(E3328="",E3328="!!!"),"",IF(NOT(ISNA(VLOOKUP(E3328,E$1:E3327,1,FALSE()))),"OLD",IF(AND(E3328&lt;&gt;"",E3328&lt;&gt;"!!!"),"NEW","")))</f>
        <v> </v>
      </c>
      <c r="G3328" s="24" t="str">
        <f>IF(OR(E3328="",E3328="!!!"),"",IF(OR(J3328=0,AND(J3328=1,K3328=1),AND(J3328=1,I3328="SBJ"),AND(J3328=1,I3328=0)),"?IN_FOCUS",IF(J3328&lt;=2,"?ACTIVATED",IF(J3328&lt;&gt;"","?FAMILIAR",IF(F3328="NEW",IF(ISNA(VLOOKUP(E3328,#REF!,1,FALSE())),"?TYPE_IDENTIFIABLE","?REFERENTIAL"),"_")))))</f>
        <v> </v>
      </c>
      <c r="H3328" s="25" t="str">
        <f>IF(J3328&lt;&gt;1,"",IF(I3328="SBJ","CB","?"))</f>
        <v> </v>
      </c>
      <c r="I3328" s="26" t="str">
        <f>IF(OR(E3328="",E3328="!!!",F3328="NEW"),"",INDEX(B3327:B$2,-1+SUMPRODUCT(MAX(ROW(E3327:E$2)*(E3328=E3327:E$2)))))</f>
        <v> </v>
      </c>
      <c r="J3328" s="26" t="str">
        <f>IF(OR(E3328="",E3328="!!!",F3328="NEW"),"",COUNTBLANK(OFFSET(A$1,,,SUMPRODUCT(MAX(ROW(E$2:E3328)*(E3328=E$2:E3328)))))-COUNTBLANK(OFFSET(A$1,,,SUMPRODUCT(MAX(ROW(E$1:E3327)*(E2=E$1:E3327))))))</f>
        <v> </v>
      </c>
      <c r="K3328" s="26" t="str">
        <f>IF(OR(E3328="",E3328="!!!",F3328="NEW"),"",INDEX(J$1:J3327,SUMPRODUCT(MAX(ROW(E$1:E3327)*(E3328=E$1:E3327)))))</f>
        <v> </v>
      </c>
      <c r="L3328" s="27"/>
    </row>
    <row r="3329" spans="1:12">
      <c r="A3329" s="20" t="s">
        <v>1828</v>
      </c>
      <c r="E3329" s="22">
        <f>IF(D3329="?OLD","!!!","")</f>
        <v/>
      </c>
      <c r="F3329" s="23" t="str">
        <f>IF(OR(E3329="",E3329="!!!"),"",IF(NOT(ISNA(VLOOKUP(E3329,E$1:E3328,1,FALSE()))),"OLD",IF(AND(E3329&lt;&gt;"",E3329&lt;&gt;"!!!"),"NEW","")))</f>
        <v> </v>
      </c>
      <c r="G3329" s="24" t="str">
        <f>IF(OR(E3329="",E3329="!!!"),"",IF(OR(J3329=0,AND(J3329=1,K3329=1),AND(J3329=1,I3329="SBJ"),AND(J3329=1,I3329=0)),"?IN_FOCUS",IF(J3329&lt;=2,"?ACTIVATED",IF(J3329&lt;&gt;"","?FAMILIAR",IF(F3329="NEW",IF(ISNA(VLOOKUP(E3329,#REF!,1,FALSE())),"?TYPE_IDENTIFIABLE","?REFERENTIAL"),"_")))))</f>
        <v> </v>
      </c>
      <c r="H3329" s="25" t="str">
        <f>IF(J3329&lt;&gt;1,"",IF(I3329="SBJ","CB","?"))</f>
        <v> </v>
      </c>
      <c r="I3329" s="26" t="str">
        <f>IF(OR(E3329="",E3329="!!!",F3329="NEW"),"",INDEX(B3328:B$2,-1+SUMPRODUCT(MAX(ROW(E3328:E$2)*(E3329=E3328:E$2)))))</f>
        <v> </v>
      </c>
      <c r="J3329" s="26" t="str">
        <f>IF(OR(E3329="",E3329="!!!",F3329="NEW"),"",COUNTBLANK(OFFSET(A$1,,,SUMPRODUCT(MAX(ROW(E$2:E3329)*(E3329=E$2:E3329)))))-COUNTBLANK(OFFSET(A$1,,,SUMPRODUCT(MAX(ROW(E$1:E3328)*(E2=E$1:E3328))))))</f>
        <v> </v>
      </c>
      <c r="K3329" s="26" t="str">
        <f>IF(OR(E3329="",E3329="!!!",F3329="NEW"),"",INDEX(J$1:J3328,SUMPRODUCT(MAX(ROW(E$1:E3328)*(E3329=E$1:E3328)))))</f>
        <v> </v>
      </c>
      <c r="L3329" s="27"/>
    </row>
    <row r="3330" spans="1:12">
      <c r="A3330" s="20" t="s">
        <v>1901</v>
      </c>
      <c r="B3330" s="21" t="s">
        <v>736</v>
      </c>
      <c r="C3330" s="21" t="s">
        <v>748</v>
      </c>
      <c r="E3330" s="22">
        <f>IF(D3330="?OLD","!!!","")</f>
        <v/>
      </c>
      <c r="F3330" s="23" t="str">
        <f>IF(OR(E3330="",E3330="!!!"),"",IF(NOT(ISNA(VLOOKUP(E3330,E$1:E3329,1,FALSE()))),"OLD",IF(AND(E3330&lt;&gt;"",E3330&lt;&gt;"!!!"),"NEW","")))</f>
        <v> </v>
      </c>
      <c r="G3330" s="24" t="str">
        <f>IF(OR(E3330="",E3330="!!!"),"",IF(OR(J3330=0,AND(J3330=1,K3330=1),AND(J3330=1,I3330="SBJ"),AND(J3330=1,I3330=0)),"?IN_FOCUS",IF(J3330&lt;=2,"?ACTIVATED",IF(J3330&lt;&gt;"","?FAMILIAR",IF(F3330="NEW",IF(ISNA(VLOOKUP(E3330,#REF!,1,FALSE())),"?TYPE_IDENTIFIABLE","?REFERENTIAL"),"_")))))</f>
        <v> </v>
      </c>
      <c r="H3330" s="25" t="str">
        <f>IF(J3330&lt;&gt;1,"",IF(I3330="SBJ","CB","?"))</f>
        <v> </v>
      </c>
      <c r="I3330" s="26" t="str">
        <f>IF(OR(E3330="",E3330="!!!",F3330="NEW"),"",INDEX(B3329:B$2,-1+SUMPRODUCT(MAX(ROW(E3329:E$2)*(E3330=E3329:E$2)))))</f>
        <v> </v>
      </c>
      <c r="J3330" s="26" t="str">
        <f>IF(OR(E3330="",E3330="!!!",F3330="NEW"),"",COUNTBLANK(OFFSET(A$1,,,SUMPRODUCT(MAX(ROW(E$2:E3330)*(E3330=E$2:E3330)))))-COUNTBLANK(OFFSET(A$1,,,SUMPRODUCT(MAX(ROW(E$1:E3329)*(E2=E$1:E3329))))))</f>
        <v> </v>
      </c>
      <c r="K3330" s="26" t="str">
        <f>IF(OR(E3330="",E3330="!!!",F3330="NEW"),"",INDEX(J$1:J3329,SUMPRODUCT(MAX(ROW(E$1:E3329)*(E3330=E$1:E3329)))))</f>
        <v> </v>
      </c>
      <c r="L3330" s="27"/>
    </row>
    <row r="3331" spans="1:12">
      <c r="A3331" s="20" t="s">
        <v>246</v>
      </c>
      <c r="E3331" s="22">
        <f>IF(D3331="?OLD","!!!","")</f>
        <v/>
      </c>
      <c r="F3331" s="23" t="str">
        <f>IF(OR(E3331="",E3331="!!!"),"",IF(NOT(ISNA(VLOOKUP(E3331,E$1:E3330,1,FALSE()))),"OLD",IF(AND(E3331&lt;&gt;"",E3331&lt;&gt;"!!!"),"NEW","")))</f>
        <v> </v>
      </c>
      <c r="G3331" s="24" t="str">
        <f>IF(OR(E3331="",E3331="!!!"),"",IF(OR(J3331=0,AND(J3331=1,K3331=1),AND(J3331=1,I3331="SBJ"),AND(J3331=1,I3331=0)),"?IN_FOCUS",IF(J3331&lt;=2,"?ACTIVATED",IF(J3331&lt;&gt;"","?FAMILIAR",IF(F3331="NEW",IF(ISNA(VLOOKUP(E3331,#REF!,1,FALSE())),"?TYPE_IDENTIFIABLE","?REFERENTIAL"),"_")))))</f>
        <v> </v>
      </c>
      <c r="H3331" s="25" t="str">
        <f>IF(J3331&lt;&gt;1,"",IF(I3331="SBJ","CB","?"))</f>
        <v> </v>
      </c>
      <c r="I3331" s="26" t="str">
        <f>IF(OR(E3331="",E3331="!!!",F3331="NEW"),"",INDEX(B3330:B$2,-1+SUMPRODUCT(MAX(ROW(E3330:E$2)*(E3331=E3330:E$2)))))</f>
        <v> </v>
      </c>
      <c r="J3331" s="26" t="str">
        <f>IF(OR(E3331="",E3331="!!!",F3331="NEW"),"",COUNTBLANK(OFFSET(A$1,,,SUMPRODUCT(MAX(ROW(E$2:E3331)*(E3331=E$2:E3331)))))-COUNTBLANK(OFFSET(A$1,,,SUMPRODUCT(MAX(ROW(E$1:E3330)*(E2=E$1:E3330))))))</f>
        <v> </v>
      </c>
      <c r="K3331" s="26" t="str">
        <f>IF(OR(E3331="",E3331="!!!",F3331="NEW"),"",INDEX(J$1:J3330,SUMPRODUCT(MAX(ROW(E$1:E3330)*(E3331=E$1:E3330)))))</f>
        <v> </v>
      </c>
      <c r="L3331" s="27"/>
    </row>
    <row r="3332" spans="1:12">
      <c r="A3332" s="20"/>
    </row>
    <row r="3333" spans="1:12">
      <c r="A3333" s="20" t="s">
        <v>1902</v>
      </c>
    </row>
    <row r="3334" spans="1:12">
      <c r="A3334" s="20" t="s">
        <v>1541</v>
      </c>
      <c r="B3334" s="21" t="s">
        <v>739</v>
      </c>
      <c r="C3334" s="21" t="s">
        <v>746</v>
      </c>
      <c r="D3334" s="21" t="s">
        <v>730</v>
      </c>
      <c r="E3334" s="22">
        <f>IF(D3334="?OLD","!!!","")</f>
        <v/>
      </c>
      <c r="F3334" s="23" t="str">
        <f>IF(OR(E3334="",E3334="!!!"),"",IF(NOT(ISNA(VLOOKUP(E3334,E$1:E3333,1,FALSE()))),"OLD",IF(AND(E3334&lt;&gt;"",E3334&lt;&gt;"!!!"),"NEW","")))</f>
        <v> </v>
      </c>
      <c r="G3334" s="24" t="str">
        <f>IF(OR(E3334="",E3334="!!!"),"",IF(OR(J3334=0,AND(J3334=1,K3334=1),AND(J3334=1,I3334="SBJ"),AND(J3334=1,I3334=0)),"?IN_FOCUS",IF(J3334&lt;=2,"?ACTIVATED",IF(J3334&lt;&gt;"","?FAMILIAR",IF(F3334="NEW",IF(ISNA(VLOOKUP(E3334,#REF!,1,FALSE())),"?TYPE_IDENTIFIABLE","?REFERENTIAL"),"_")))))</f>
        <v> </v>
      </c>
      <c r="H3334" s="25" t="str">
        <f>IF(J3334&lt;&gt;1,"",IF(I3334="SBJ","CB","?"))</f>
        <v> </v>
      </c>
      <c r="I3334" s="26" t="str">
        <f>IF(OR(E3334="",E3334="!!!",F3334="NEW"),"",INDEX(B3333:B$2,-1+SUMPRODUCT(MAX(ROW(E3333:E$2)*(E3334=E3333:E$2)))))</f>
        <v> </v>
      </c>
      <c r="J3334" s="26" t="str">
        <f>IF(OR(E3334="",E3334="!!!",F3334="NEW"),"",COUNTBLANK(OFFSET(A$1,,,SUMPRODUCT(MAX(ROW(E$2:E3334)*(E3334=E$2:E3334)))))-COUNTBLANK(OFFSET(A$1,,,SUMPRODUCT(MAX(ROW(E$1:E3333)*(E2=E$1:E3333))))))</f>
        <v> </v>
      </c>
      <c r="K3334" s="26" t="str">
        <f>IF(OR(E3334="",E3334="!!!",F3334="NEW"),"",INDEX(J$1:J3333,SUMPRODUCT(MAX(ROW(E$1:E3333)*(E3334=E$1:E3333)))))</f>
        <v> </v>
      </c>
      <c r="L3334" s="27"/>
    </row>
    <row r="3335" spans="1:12">
      <c r="A3335" s="20" t="s">
        <v>1099</v>
      </c>
      <c r="B3335" s="21" t="s">
        <v>728</v>
      </c>
      <c r="C3335" s="21" t="s">
        <v>748</v>
      </c>
      <c r="E3335" s="22">
        <f>IF(D3335="?OLD","!!!","")</f>
        <v/>
      </c>
      <c r="F3335" s="23" t="str">
        <f>IF(OR(E3335="",E3335="!!!"),"",IF(NOT(ISNA(VLOOKUP(E3335,E$1:E3334,1,FALSE()))),"OLD",IF(AND(E3335&lt;&gt;"",E3335&lt;&gt;"!!!"),"NEW","")))</f>
        <v> </v>
      </c>
      <c r="G3335" s="24" t="str">
        <f>IF(OR(E3335="",E3335="!!!"),"",IF(OR(J3335=0,AND(J3335=1,K3335=1),AND(J3335=1,I3335="SBJ"),AND(J3335=1,I3335=0)),"?IN_FOCUS",IF(J3335&lt;=2,"?ACTIVATED",IF(J3335&lt;&gt;"","?FAMILIAR",IF(F3335="NEW",IF(ISNA(VLOOKUP(E3335,#REF!,1,FALSE())),"?TYPE_IDENTIFIABLE","?REFERENTIAL"),"_")))))</f>
        <v> </v>
      </c>
      <c r="H3335" s="25" t="str">
        <f>IF(J3335&lt;&gt;1,"",IF(I3335="SBJ","CB","?"))</f>
        <v> </v>
      </c>
      <c r="I3335" s="26" t="str">
        <f>IF(OR(E3335="",E3335="!!!",F3335="NEW"),"",INDEX(B3334:B$2,-1+SUMPRODUCT(MAX(ROW(E3334:E$2)*(E3335=E3334:E$2)))))</f>
        <v> </v>
      </c>
      <c r="J3335" s="26" t="str">
        <f>IF(OR(E3335="",E3335="!!!",F3335="NEW"),"",COUNTBLANK(OFFSET(A$1,,,SUMPRODUCT(MAX(ROW(E$2:E3335)*(E3335=E$2:E3335)))))-COUNTBLANK(OFFSET(A$1,,,SUMPRODUCT(MAX(ROW(E$1:E3334)*(E2=E$1:E3334))))))</f>
        <v> </v>
      </c>
      <c r="K3335" s="26" t="str">
        <f>IF(OR(E3335="",E3335="!!!",F3335="NEW"),"",INDEX(J$1:J3334,SUMPRODUCT(MAX(ROW(E$1:E3334)*(E3335=E$1:E3334)))))</f>
        <v> </v>
      </c>
      <c r="L3335" s="27"/>
    </row>
    <row r="3336" spans="1:12">
      <c r="A3336" s="20" t="s">
        <v>1087</v>
      </c>
      <c r="E3336" s="22">
        <f>IF(D3336="?OLD","!!!","")</f>
        <v/>
      </c>
      <c r="F3336" s="23" t="str">
        <f>IF(OR(E3336="",E3336="!!!"),"",IF(NOT(ISNA(VLOOKUP(E3336,E$1:E3335,1,FALSE()))),"OLD",IF(AND(E3336&lt;&gt;"",E3336&lt;&gt;"!!!"),"NEW","")))</f>
        <v> </v>
      </c>
      <c r="G3336" s="24" t="str">
        <f>IF(OR(E3336="",E3336="!!!"),"",IF(OR(J3336=0,AND(J3336=1,K3336=1),AND(J3336=1,I3336="SBJ"),AND(J3336=1,I3336=0)),"?IN_FOCUS",IF(J3336&lt;=2,"?ACTIVATED",IF(J3336&lt;&gt;"","?FAMILIAR",IF(F3336="NEW",IF(ISNA(VLOOKUP(E3336,#REF!,1,FALSE())),"?TYPE_IDENTIFIABLE","?REFERENTIAL"),"_")))))</f>
        <v> </v>
      </c>
      <c r="H3336" s="25" t="str">
        <f>IF(J3336&lt;&gt;1,"",IF(I3336="SBJ","CB","?"))</f>
        <v> </v>
      </c>
      <c r="I3336" s="26" t="str">
        <f>IF(OR(E3336="",E3336="!!!",F3336="NEW"),"",INDEX(B3335:B$2,-1+SUMPRODUCT(MAX(ROW(E3335:E$2)*(E3336=E3335:E$2)))))</f>
        <v> </v>
      </c>
      <c r="J3336" s="26" t="str">
        <f>IF(OR(E3336="",E3336="!!!",F3336="NEW"),"",COUNTBLANK(OFFSET(A$1,,,SUMPRODUCT(MAX(ROW(E$2:E3336)*(E3336=E$2:E3336)))))-COUNTBLANK(OFFSET(A$1,,,SUMPRODUCT(MAX(ROW(E$1:E3335)*(E2=E$1:E3335))))))</f>
        <v> </v>
      </c>
      <c r="K3336" s="26" t="str">
        <f>IF(OR(E3336="",E3336="!!!",F3336="NEW"),"",INDEX(J$1:J3335,SUMPRODUCT(MAX(ROW(E$1:E3335)*(E3336=E$1:E3335)))))</f>
        <v> </v>
      </c>
      <c r="L3336" s="27"/>
    </row>
    <row r="3337" spans="1:12">
      <c r="A3337" s="20" t="s">
        <v>762</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t="s">
        <v>1903</v>
      </c>
      <c r="B3338" s="21" t="s">
        <v>736</v>
      </c>
      <c r="C3338" s="21" t="s">
        <v>737</v>
      </c>
      <c r="E3338" s="22">
        <f>IF(D3338="?OLD","!!!","")</f>
        <v/>
      </c>
      <c r="F3338" s="23" t="str">
        <f>IF(OR(E3338="",E3338="!!!"),"",IF(NOT(ISNA(VLOOKUP(E3338,E$1:E3337,1,FALSE()))),"OLD",IF(AND(E3338&lt;&gt;"",E3338&lt;&gt;"!!!"),"NEW","")))</f>
        <v> </v>
      </c>
      <c r="G3338" s="24" t="str">
        <f>IF(OR(E3338="",E3338="!!!"),"",IF(OR(J3338=0,AND(J3338=1,K3338=1),AND(J3338=1,I3338="SBJ"),AND(J3338=1,I3338=0)),"?IN_FOCUS",IF(J3338&lt;=2,"?ACTIVATED",IF(J3338&lt;&gt;"","?FAMILIAR",IF(F3338="NEW",IF(ISNA(VLOOKUP(E3338,#REF!,1,FALSE())),"?TYPE_IDENTIFIABLE","?REFERENTIAL"),"_")))))</f>
        <v> </v>
      </c>
      <c r="H3338" s="25" t="str">
        <f>IF(J3338&lt;&gt;1,"",IF(I3338="SBJ","CB","?"))</f>
        <v> </v>
      </c>
      <c r="I3338" s="26" t="str">
        <f>IF(OR(E3338="",E3338="!!!",F3338="NEW"),"",INDEX(B3337:B$2,-1+SUMPRODUCT(MAX(ROW(E3337:E$2)*(E3338=E3337:E$2)))))</f>
        <v> </v>
      </c>
      <c r="J3338" s="26" t="str">
        <f>IF(OR(E3338="",E3338="!!!",F3338="NEW"),"",COUNTBLANK(OFFSET(A$1,,,SUMPRODUCT(MAX(ROW(E$2:E3338)*(E3338=E$2:E3338)))))-COUNTBLANK(OFFSET(A$1,,,SUMPRODUCT(MAX(ROW(E$1:E3337)*(E2=E$1:E3337))))))</f>
        <v> </v>
      </c>
      <c r="K3338" s="26" t="str">
        <f>IF(OR(E3338="",E3338="!!!",F3338="NEW"),"",INDEX(J$1:J3337,SUMPRODUCT(MAX(ROW(E$1:E3337)*(E3338=E$1:E3337)))))</f>
        <v> </v>
      </c>
      <c r="L3338" s="27"/>
    </row>
    <row r="3339" spans="1:12">
      <c r="A3339" s="20" t="s">
        <v>759</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t="s">
        <v>813</v>
      </c>
      <c r="B3340" s="21" t="s">
        <v>796</v>
      </c>
      <c r="E3340" s="22">
        <f>IF(D3340="?OLD","!!!","")</f>
        <v/>
      </c>
      <c r="F3340" s="23" t="str">
        <f>IF(OR(E3340="",E3340="!!!"),"",IF(NOT(ISNA(VLOOKUP(E3340,E$1:E3339,1,FALSE()))),"OLD",IF(AND(E3340&lt;&gt;"",E3340&lt;&gt;"!!!"),"NEW","")))</f>
        <v> </v>
      </c>
      <c r="G3340" s="24" t="str">
        <f>IF(OR(E3340="",E3340="!!!"),"",IF(OR(J3340=0,AND(J3340=1,K3340=1),AND(J3340=1,I3340="SBJ"),AND(J3340=1,I3340=0)),"?IN_FOCUS",IF(J3340&lt;=2,"?ACTIVATED",IF(J3340&lt;&gt;"","?FAMILIAR",IF(F3340="NEW",IF(ISNA(VLOOKUP(E3340,#REF!,1,FALSE())),"?TYPE_IDENTIFIABLE","?REFERENTIAL"),"_")))))</f>
        <v> </v>
      </c>
      <c r="H3340" s="25" t="str">
        <f>IF(J3340&lt;&gt;1,"",IF(I3340="SBJ","CB","?"))</f>
        <v> </v>
      </c>
      <c r="I3340" s="26" t="str">
        <f>IF(OR(E3340="",E3340="!!!",F3340="NEW"),"",INDEX(B3339:B$2,-1+SUMPRODUCT(MAX(ROW(E3339:E$2)*(E3340=E3339:E$2)))))</f>
        <v> </v>
      </c>
      <c r="J3340" s="26" t="str">
        <f>IF(OR(E3340="",E3340="!!!",F3340="NEW"),"",COUNTBLANK(OFFSET(A$1,,,SUMPRODUCT(MAX(ROW(E$2:E3340)*(E3340=E$2:E3340)))))-COUNTBLANK(OFFSET(A$1,,,SUMPRODUCT(MAX(ROW(E$1:E3339)*(E2=E$1:E3339))))))</f>
        <v> </v>
      </c>
      <c r="K3340" s="26" t="str">
        <f>IF(OR(E3340="",E3340="!!!",F3340="NEW"),"",INDEX(J$1:J3339,SUMPRODUCT(MAX(ROW(E$1:E3339)*(E3340=E$1:E3339)))))</f>
        <v> </v>
      </c>
      <c r="L3340" s="27"/>
    </row>
    <row r="3341" spans="1:12">
      <c r="A3341" s="20" t="s">
        <v>1904</v>
      </c>
      <c r="E3341" s="22">
        <f>IF(D3341="?OLD","!!!","")</f>
        <v/>
      </c>
      <c r="F3341" s="23" t="str">
        <f>IF(OR(E3341="",E3341="!!!"),"",IF(NOT(ISNA(VLOOKUP(E3341,E$1:E3340,1,FALSE()))),"OLD",IF(AND(E3341&lt;&gt;"",E3341&lt;&gt;"!!!"),"NEW","")))</f>
        <v> </v>
      </c>
      <c r="G3341" s="24" t="str">
        <f>IF(OR(E3341="",E3341="!!!"),"",IF(OR(J3341=0,AND(J3341=1,K3341=1),AND(J3341=1,I3341="SBJ"),AND(J3341=1,I3341=0)),"?IN_FOCUS",IF(J3341&lt;=2,"?ACTIVATED",IF(J3341&lt;&gt;"","?FAMILIAR",IF(F3341="NEW",IF(ISNA(VLOOKUP(E3341,#REF!,1,FALSE())),"?TYPE_IDENTIFIABLE","?REFERENTIAL"),"_")))))</f>
        <v> </v>
      </c>
      <c r="H3341" s="25" t="str">
        <f>IF(J3341&lt;&gt;1,"",IF(I3341="SBJ","CB","?"))</f>
        <v> </v>
      </c>
      <c r="I3341" s="26" t="str">
        <f>IF(OR(E3341="",E3341="!!!",F3341="NEW"),"",INDEX(B3340:B$2,-1+SUMPRODUCT(MAX(ROW(E3340:E$2)*(E3341=E3340:E$2)))))</f>
        <v> </v>
      </c>
      <c r="J3341" s="26" t="str">
        <f>IF(OR(E3341="",E3341="!!!",F3341="NEW"),"",COUNTBLANK(OFFSET(A$1,,,SUMPRODUCT(MAX(ROW(E$2:E3341)*(E3341=E$2:E3341)))))-COUNTBLANK(OFFSET(A$1,,,SUMPRODUCT(MAX(ROW(E$1:E3340)*(E2=E$1:E3340))))))</f>
        <v> </v>
      </c>
      <c r="K3341" s="26" t="str">
        <f>IF(OR(E3341="",E3341="!!!",F3341="NEW"),"",INDEX(J$1:J3340,SUMPRODUCT(MAX(ROW(E$1:E3340)*(E3341=E$1:E3340)))))</f>
        <v> </v>
      </c>
      <c r="L3341" s="27"/>
    </row>
    <row r="3342" spans="1:12">
      <c r="A3342" s="20" t="s">
        <v>762</v>
      </c>
      <c r="E3342" s="22">
        <f>IF(D3342="?OLD","!!!","")</f>
        <v/>
      </c>
      <c r="F3342" s="23" t="str">
        <f>IF(OR(E3342="",E3342="!!!"),"",IF(NOT(ISNA(VLOOKUP(E3342,E$1:E3341,1,FALSE()))),"OLD",IF(AND(E3342&lt;&gt;"",E3342&lt;&gt;"!!!"),"NEW","")))</f>
        <v> </v>
      </c>
      <c r="G3342" s="24" t="str">
        <f>IF(OR(E3342="",E3342="!!!"),"",IF(OR(J3342=0,AND(J3342=1,K3342=1),AND(J3342=1,I3342="SBJ"),AND(J3342=1,I3342=0)),"?IN_FOCUS",IF(J3342&lt;=2,"?ACTIVATED",IF(J3342&lt;&gt;"","?FAMILIAR",IF(F3342="NEW",IF(ISNA(VLOOKUP(E3342,#REF!,1,FALSE())),"?TYPE_IDENTIFIABLE","?REFERENTIAL"),"_")))))</f>
        <v> </v>
      </c>
      <c r="H3342" s="25" t="str">
        <f>IF(J3342&lt;&gt;1,"",IF(I3342="SBJ","CB","?"))</f>
        <v> </v>
      </c>
      <c r="I3342" s="26" t="str">
        <f>IF(OR(E3342="",E3342="!!!",F3342="NEW"),"",INDEX(B3341:B$2,-1+SUMPRODUCT(MAX(ROW(E3341:E$2)*(E3342=E3341:E$2)))))</f>
        <v> </v>
      </c>
      <c r="J3342" s="26" t="str">
        <f>IF(OR(E3342="",E3342="!!!",F3342="NEW"),"",COUNTBLANK(OFFSET(A$1,,,SUMPRODUCT(MAX(ROW(E$2:E3342)*(E3342=E$2:E3342)))))-COUNTBLANK(OFFSET(A$1,,,SUMPRODUCT(MAX(ROW(E$1:E3341)*(E2=E$1:E3341))))))</f>
        <v> </v>
      </c>
      <c r="K3342" s="26" t="str">
        <f>IF(OR(E3342="",E3342="!!!",F3342="NEW"),"",INDEX(J$1:J3341,SUMPRODUCT(MAX(ROW(E$1:E3341)*(E3342=E$1:E3341)))))</f>
        <v> </v>
      </c>
      <c r="L3342" s="27"/>
    </row>
    <row r="3343" spans="1:12">
      <c r="A3343" s="20" t="s">
        <v>1405</v>
      </c>
      <c r="B3343" s="21" t="s">
        <v>791</v>
      </c>
      <c r="C3343" s="21" t="s">
        <v>737</v>
      </c>
      <c r="E3343" s="22">
        <f>IF(D3343="?OLD","!!!","")</f>
        <v/>
      </c>
      <c r="F3343" s="23" t="str">
        <f>IF(OR(E3343="",E3343="!!!"),"",IF(NOT(ISNA(VLOOKUP(E3343,E$1:E3342,1,FALSE()))),"OLD",IF(AND(E3343&lt;&gt;"",E3343&lt;&gt;"!!!"),"NEW","")))</f>
        <v> </v>
      </c>
      <c r="G3343" s="24" t="str">
        <f>IF(OR(E3343="",E3343="!!!"),"",IF(OR(J3343=0,AND(J3343=1,K3343=1),AND(J3343=1,I3343="SBJ"),AND(J3343=1,I3343=0)),"?IN_FOCUS",IF(J3343&lt;=2,"?ACTIVATED",IF(J3343&lt;&gt;"","?FAMILIAR",IF(F3343="NEW",IF(ISNA(VLOOKUP(E3343,#REF!,1,FALSE())),"?TYPE_IDENTIFIABLE","?REFERENTIAL"),"_")))))</f>
        <v> </v>
      </c>
      <c r="H3343" s="25" t="str">
        <f>IF(J3343&lt;&gt;1,"",IF(I3343="SBJ","CB","?"))</f>
        <v> </v>
      </c>
      <c r="I3343" s="26" t="str">
        <f>IF(OR(E3343="",E3343="!!!",F3343="NEW"),"",INDEX(B3342:B$2,-1+SUMPRODUCT(MAX(ROW(E3342:E$2)*(E3343=E3342:E$2)))))</f>
        <v> </v>
      </c>
      <c r="J3343" s="26" t="str">
        <f>IF(OR(E3343="",E3343="!!!",F3343="NEW"),"",COUNTBLANK(OFFSET(A$1,,,SUMPRODUCT(MAX(ROW(E$2:E3343)*(E3343=E$2:E3343)))))-COUNTBLANK(OFFSET(A$1,,,SUMPRODUCT(MAX(ROW(E$1:E3342)*(E2=E$1:E3342))))))</f>
        <v> </v>
      </c>
      <c r="K3343" s="26" t="str">
        <f>IF(OR(E3343="",E3343="!!!",F3343="NEW"),"",INDEX(J$1:J3342,SUMPRODUCT(MAX(ROW(E$1:E3342)*(E3343=E$1:E3342)))))</f>
        <v> </v>
      </c>
      <c r="L3343" s="27"/>
    </row>
    <row r="3344" spans="1:12">
      <c r="A3344" s="20" t="s">
        <v>222</v>
      </c>
      <c r="E3344" s="22">
        <f>IF(D3344="?OLD","!!!","")</f>
        <v/>
      </c>
      <c r="F3344" s="23" t="str">
        <f>IF(OR(E3344="",E3344="!!!"),"",IF(NOT(ISNA(VLOOKUP(E3344,E$1:E3343,1,FALSE()))),"OLD",IF(AND(E3344&lt;&gt;"",E3344&lt;&gt;"!!!"),"NEW","")))</f>
        <v> </v>
      </c>
      <c r="G3344" s="24" t="str">
        <f>IF(OR(E3344="",E3344="!!!"),"",IF(OR(J3344=0,AND(J3344=1,K3344=1),AND(J3344=1,I3344="SBJ"),AND(J3344=1,I3344=0)),"?IN_FOCUS",IF(J3344&lt;=2,"?ACTIVATED",IF(J3344&lt;&gt;"","?FAMILIAR",IF(F3344="NEW",IF(ISNA(VLOOKUP(E3344,#REF!,1,FALSE())),"?TYPE_IDENTIFIABLE","?REFERENTIAL"),"_")))))</f>
        <v> </v>
      </c>
      <c r="H3344" s="25" t="str">
        <f>IF(J3344&lt;&gt;1,"",IF(I3344="SBJ","CB","?"))</f>
        <v> </v>
      </c>
      <c r="I3344" s="26" t="str">
        <f>IF(OR(E3344="",E3344="!!!",F3344="NEW"),"",INDEX(B3343:B$2,-1+SUMPRODUCT(MAX(ROW(E3343:E$2)*(E3344=E3343:E$2)))))</f>
        <v> </v>
      </c>
      <c r="J3344" s="26" t="str">
        <f>IF(OR(E3344="",E3344="!!!",F3344="NEW"),"",COUNTBLANK(OFFSET(A$1,,,SUMPRODUCT(MAX(ROW(E$2:E3344)*(E3344=E$2:E3344)))))-COUNTBLANK(OFFSET(A$1,,,SUMPRODUCT(MAX(ROW(E$1:E3343)*(E2=E$1:E3343))))))</f>
        <v> </v>
      </c>
      <c r="K3344" s="26" t="str">
        <f>IF(OR(E3344="",E3344="!!!",F3344="NEW"),"",INDEX(J$1:J3343,SUMPRODUCT(MAX(ROW(E$1:E3343)*(E3344=E$1:E3343)))))</f>
        <v> </v>
      </c>
      <c r="L3344" s="27"/>
    </row>
    <row r="3345" spans="1:12">
      <c r="A3345" s="20" t="s">
        <v>1406</v>
      </c>
      <c r="E3345" s="22">
        <f>IF(D3345="?OLD","!!!","")</f>
        <v/>
      </c>
      <c r="F3345" s="23" t="str">
        <f>IF(OR(E3345="",E3345="!!!"),"",IF(NOT(ISNA(VLOOKUP(E3345,E$1:E3344,1,FALSE()))),"OLD",IF(AND(E3345&lt;&gt;"",E3345&lt;&gt;"!!!"),"NEW","")))</f>
        <v> </v>
      </c>
      <c r="G3345" s="24" t="str">
        <f>IF(OR(E3345="",E3345="!!!"),"",IF(OR(J3345=0,AND(J3345=1,K3345=1),AND(J3345=1,I3345="SBJ"),AND(J3345=1,I3345=0)),"?IN_FOCUS",IF(J3345&lt;=2,"?ACTIVATED",IF(J3345&lt;&gt;"","?FAMILIAR",IF(F3345="NEW",IF(ISNA(VLOOKUP(E3345,#REF!,1,FALSE())),"?TYPE_IDENTIFIABLE","?REFERENTIAL"),"_")))))</f>
        <v> </v>
      </c>
      <c r="H3345" s="25" t="str">
        <f>IF(J3345&lt;&gt;1,"",IF(I3345="SBJ","CB","?"))</f>
        <v> </v>
      </c>
      <c r="I3345" s="26" t="str">
        <f>IF(OR(E3345="",E3345="!!!",F3345="NEW"),"",INDEX(B3344:B$2,-1+SUMPRODUCT(MAX(ROW(E3344:E$2)*(E3345=E3344:E$2)))))</f>
        <v> </v>
      </c>
      <c r="J3345" s="26" t="str">
        <f>IF(OR(E3345="",E3345="!!!",F3345="NEW"),"",COUNTBLANK(OFFSET(A$1,,,SUMPRODUCT(MAX(ROW(E$2:E3345)*(E3345=E$2:E3345)))))-COUNTBLANK(OFFSET(A$1,,,SUMPRODUCT(MAX(ROW(E$1:E3344)*(E2=E$1:E3344))))))</f>
        <v> </v>
      </c>
      <c r="K3345" s="26" t="str">
        <f>IF(OR(E3345="",E3345="!!!",F3345="NEW"),"",INDEX(J$1:J3344,SUMPRODUCT(MAX(ROW(E$1:E3344)*(E3345=E$1:E3344)))))</f>
        <v> </v>
      </c>
      <c r="L3345" s="27"/>
    </row>
    <row r="3346" spans="1:12">
      <c r="A3346" s="20" t="s">
        <v>246</v>
      </c>
      <c r="E3346" s="22">
        <f>IF(D3346="?OLD","!!!","")</f>
        <v/>
      </c>
      <c r="F3346" s="23" t="str">
        <f>IF(OR(E3346="",E3346="!!!"),"",IF(NOT(ISNA(VLOOKUP(E3346,E$1:E3345,1,FALSE()))),"OLD",IF(AND(E3346&lt;&gt;"",E3346&lt;&gt;"!!!"),"NEW","")))</f>
        <v> </v>
      </c>
      <c r="G3346" s="24" t="str">
        <f>IF(OR(E3346="",E3346="!!!"),"",IF(OR(J3346=0,AND(J3346=1,K3346=1),AND(J3346=1,I3346="SBJ"),AND(J3346=1,I3346=0)),"?IN_FOCUS",IF(J3346&lt;=2,"?ACTIVATED",IF(J3346&lt;&gt;"","?FAMILIAR",IF(F3346="NEW",IF(ISNA(VLOOKUP(E3346,#REF!,1,FALSE())),"?TYPE_IDENTIFIABLE","?REFERENTIAL"),"_")))))</f>
        <v> </v>
      </c>
      <c r="H3346" s="25" t="str">
        <f>IF(J3346&lt;&gt;1,"",IF(I3346="SBJ","CB","?"))</f>
        <v> </v>
      </c>
      <c r="I3346" s="26" t="str">
        <f>IF(OR(E3346="",E3346="!!!",F3346="NEW"),"",INDEX(B3345:B$2,-1+SUMPRODUCT(MAX(ROW(E3345:E$2)*(E3346=E3345:E$2)))))</f>
        <v> </v>
      </c>
      <c r="J3346" s="26" t="str">
        <f>IF(OR(E3346="",E3346="!!!",F3346="NEW"),"",COUNTBLANK(OFFSET(A$1,,,SUMPRODUCT(MAX(ROW(E$2:E3346)*(E3346=E$2:E3346)))))-COUNTBLANK(OFFSET(A$1,,,SUMPRODUCT(MAX(ROW(E$1:E3345)*(E2=E$1:E3345))))))</f>
        <v> </v>
      </c>
      <c r="K3346" s="26" t="str">
        <f>IF(OR(E3346="",E3346="!!!",F3346="NEW"),"",INDEX(J$1:J3345,SUMPRODUCT(MAX(ROW(E$1:E3345)*(E3346=E$1:E3345)))))</f>
        <v> </v>
      </c>
      <c r="L3346" s="27"/>
    </row>
    <row r="3347" spans="1:12">
      <c r="A3347" s="20"/>
    </row>
    <row r="3348" spans="1:12">
      <c r="A3348" s="20" t="s">
        <v>1905</v>
      </c>
    </row>
    <row r="3349" spans="1:12">
      <c r="A3349" s="20" t="s">
        <v>768</v>
      </c>
      <c r="E3349" s="22">
        <f>IF(D3349="?OLD","!!!","")</f>
        <v/>
      </c>
      <c r="F3349" s="23" t="str">
        <f>IF(OR(E3349="",E3349="!!!"),"",IF(NOT(ISNA(VLOOKUP(E3349,E$1:E3348,1,FALSE()))),"OLD",IF(AND(E3349&lt;&gt;"",E3349&lt;&gt;"!!!"),"NEW","")))</f>
        <v> </v>
      </c>
      <c r="G3349" s="24" t="str">
        <f>IF(OR(E3349="",E3349="!!!"),"",IF(OR(J3349=0,AND(J3349=1,K3349=1),AND(J3349=1,I3349="SBJ"),AND(J3349=1,I3349=0)),"?IN_FOCUS",IF(J3349&lt;=2,"?ACTIVATED",IF(J3349&lt;&gt;"","?FAMILIAR",IF(F3349="NEW",IF(ISNA(VLOOKUP(E3349,#REF!,1,FALSE())),"?TYPE_IDENTIFIABLE","?REFERENTIAL"),"_")))))</f>
        <v> </v>
      </c>
      <c r="H3349" s="25" t="str">
        <f>IF(J3349&lt;&gt;1,"",IF(I3349="SBJ","CB","?"))</f>
        <v> </v>
      </c>
      <c r="I3349" s="26" t="str">
        <f>IF(OR(E3349="",E3349="!!!",F3349="NEW"),"",INDEX(B3348:B$2,-1+SUMPRODUCT(MAX(ROW(E3348:E$2)*(E3349=E3348:E$2)))))</f>
        <v> </v>
      </c>
      <c r="J3349" s="26" t="str">
        <f>IF(OR(E3349="",E3349="!!!",F3349="NEW"),"",COUNTBLANK(OFFSET(A$1,,,SUMPRODUCT(MAX(ROW(E$2:E3349)*(E3349=E$2:E3349)))))-COUNTBLANK(OFFSET(A$1,,,SUMPRODUCT(MAX(ROW(E$1:E3348)*(E2=E$1:E3348))))))</f>
        <v> </v>
      </c>
      <c r="K3349" s="26" t="str">
        <f>IF(OR(E3349="",E3349="!!!",F3349="NEW"),"",INDEX(J$1:J3348,SUMPRODUCT(MAX(ROW(E$1:E3348)*(E3349=E$1:E3348)))))</f>
        <v> </v>
      </c>
      <c r="L3349" s="27"/>
    </row>
    <row r="3350" spans="1:12">
      <c r="A3350" s="20" t="s">
        <v>813</v>
      </c>
      <c r="E3350" s="22">
        <f>IF(D3350="?OLD","!!!","")</f>
        <v/>
      </c>
      <c r="F3350" s="23" t="str">
        <f>IF(OR(E3350="",E3350="!!!"),"",IF(NOT(ISNA(VLOOKUP(E3350,E$1:E3349,1,FALSE()))),"OLD",IF(AND(E3350&lt;&gt;"",E3350&lt;&gt;"!!!"),"NEW","")))</f>
        <v> </v>
      </c>
      <c r="G3350" s="24" t="str">
        <f>IF(OR(E3350="",E3350="!!!"),"",IF(OR(J3350=0,AND(J3350=1,K3350=1),AND(J3350=1,I3350="SBJ"),AND(J3350=1,I3350=0)),"?IN_FOCUS",IF(J3350&lt;=2,"?ACTIVATED",IF(J3350&lt;&gt;"","?FAMILIAR",IF(F3350="NEW",IF(ISNA(VLOOKUP(E3350,#REF!,1,FALSE())),"?TYPE_IDENTIFIABLE","?REFERENTIAL"),"_")))))</f>
        <v> </v>
      </c>
      <c r="H3350" s="25" t="str">
        <f>IF(J3350&lt;&gt;1,"",IF(I3350="SBJ","CB","?"))</f>
        <v> </v>
      </c>
      <c r="I3350" s="26" t="str">
        <f>IF(OR(E3350="",E3350="!!!",F3350="NEW"),"",INDEX(B3349:B$2,-1+SUMPRODUCT(MAX(ROW(E3349:E$2)*(E3350=E3349:E$2)))))</f>
        <v> </v>
      </c>
      <c r="J3350" s="26" t="str">
        <f>IF(OR(E3350="",E3350="!!!",F3350="NEW"),"",COUNTBLANK(OFFSET(A$1,,,SUMPRODUCT(MAX(ROW(E$2:E3350)*(E3350=E$2:E3350)))))-COUNTBLANK(OFFSET(A$1,,,SUMPRODUCT(MAX(ROW(E$1:E3349)*(E2=E$1:E3349))))))</f>
        <v> </v>
      </c>
      <c r="K3350" s="26" t="str">
        <f>IF(OR(E3350="",E3350="!!!",F3350="NEW"),"",INDEX(J$1:J3349,SUMPRODUCT(MAX(ROW(E$1:E3349)*(E3350=E$1:E3349)))))</f>
        <v> </v>
      </c>
      <c r="L3350" s="27"/>
    </row>
    <row r="3351" spans="1:12">
      <c r="A3351" s="20" t="s">
        <v>1812</v>
      </c>
      <c r="B3351" s="21" t="s">
        <v>728</v>
      </c>
      <c r="C3351" s="21" t="s">
        <v>753</v>
      </c>
      <c r="D3351" s="21" t="s">
        <v>730</v>
      </c>
      <c r="E3351" s="22">
        <f>IF(D3351="?OLD","!!!","")</f>
        <v/>
      </c>
      <c r="F3351" s="23" t="str">
        <f>IF(OR(E3351="",E3351="!!!"),"",IF(NOT(ISNA(VLOOKUP(E3351,E$1:E3350,1,FALSE()))),"OLD",IF(AND(E3351&lt;&gt;"",E3351&lt;&gt;"!!!"),"NEW","")))</f>
        <v> </v>
      </c>
      <c r="G3351" s="24" t="str">
        <f>IF(OR(E3351="",E3351="!!!"),"",IF(OR(J3351=0,AND(J3351=1,K3351=1),AND(J3351=1,I3351="SBJ"),AND(J3351=1,I3351=0)),"?IN_FOCUS",IF(J3351&lt;=2,"?ACTIVATED",IF(J3351&lt;&gt;"","?FAMILIAR",IF(F3351="NEW",IF(ISNA(VLOOKUP(E3351,#REF!,1,FALSE())),"?TYPE_IDENTIFIABLE","?REFERENTIAL"),"_")))))</f>
        <v> </v>
      </c>
      <c r="H3351" s="25" t="str">
        <f>IF(J3351&lt;&gt;1,"",IF(I3351="SBJ","CB","?"))</f>
        <v> </v>
      </c>
      <c r="I3351" s="26" t="str">
        <f>IF(OR(E3351="",E3351="!!!",F3351="NEW"),"",INDEX(B3350:B$2,-1+SUMPRODUCT(MAX(ROW(E3350:E$2)*(E3351=E3350:E$2)))))</f>
        <v> </v>
      </c>
      <c r="J3351" s="26" t="str">
        <f>IF(OR(E3351="",E3351="!!!",F3351="NEW"),"",COUNTBLANK(OFFSET(A$1,,,SUMPRODUCT(MAX(ROW(E$2:E3351)*(E3351=E$2:E3351)))))-COUNTBLANK(OFFSET(A$1,,,SUMPRODUCT(MAX(ROW(E$1:E3350)*(E2=E$1:E3350))))))</f>
        <v> </v>
      </c>
      <c r="K3351" s="26" t="str">
        <f>IF(OR(E3351="",E3351="!!!",F3351="NEW"),"",INDEX(J$1:J3350,SUMPRODUCT(MAX(ROW(E$1:E3350)*(E3351=E$1:E3350)))))</f>
        <v> </v>
      </c>
      <c r="L3351" s="27"/>
    </row>
    <row r="3352" spans="1:12">
      <c r="A3352" s="20" t="s">
        <v>1906</v>
      </c>
      <c r="E3352" s="22">
        <f>IF(D3352="?OLD","!!!","")</f>
        <v/>
      </c>
      <c r="F3352" s="23" t="str">
        <f>IF(OR(E3352="",E3352="!!!"),"",IF(NOT(ISNA(VLOOKUP(E3352,E$1:E3351,1,FALSE()))),"OLD",IF(AND(E3352&lt;&gt;"",E3352&lt;&gt;"!!!"),"NEW","")))</f>
        <v> </v>
      </c>
      <c r="G3352" s="24" t="str">
        <f>IF(OR(E3352="",E3352="!!!"),"",IF(OR(J3352=0,AND(J3352=1,K3352=1),AND(J3352=1,I3352="SBJ"),AND(J3352=1,I3352=0)),"?IN_FOCUS",IF(J3352&lt;=2,"?ACTIVATED",IF(J3352&lt;&gt;"","?FAMILIAR",IF(F3352="NEW",IF(ISNA(VLOOKUP(E3352,#REF!,1,FALSE())),"?TYPE_IDENTIFIABLE","?REFERENTIAL"),"_")))))</f>
        <v> </v>
      </c>
      <c r="H3352" s="25" t="str">
        <f>IF(J3352&lt;&gt;1,"",IF(I3352="SBJ","CB","?"))</f>
        <v> </v>
      </c>
      <c r="I3352" s="26" t="str">
        <f>IF(OR(E3352="",E3352="!!!",F3352="NEW"),"",INDEX(B3351:B$2,-1+SUMPRODUCT(MAX(ROW(E3351:E$2)*(E3352=E3351:E$2)))))</f>
        <v> </v>
      </c>
      <c r="J3352" s="26" t="str">
        <f>IF(OR(E3352="",E3352="!!!",F3352="NEW"),"",COUNTBLANK(OFFSET(A$1,,,SUMPRODUCT(MAX(ROW(E$2:E3352)*(E3352=E$2:E3352)))))-COUNTBLANK(OFFSET(A$1,,,SUMPRODUCT(MAX(ROW(E$1:E3351)*(E2=E$1:E3351))))))</f>
        <v> </v>
      </c>
      <c r="K3352" s="26" t="str">
        <f>IF(OR(E3352="",E3352="!!!",F3352="NEW"),"",INDEX(J$1:J3351,SUMPRODUCT(MAX(ROW(E$1:E3351)*(E3352=E$1:E3351)))))</f>
        <v> </v>
      </c>
      <c r="L3352" s="27"/>
    </row>
    <row r="3353" spans="1:12">
      <c r="A3353" s="20" t="s">
        <v>1907</v>
      </c>
      <c r="B3353" s="21" t="s">
        <v>739</v>
      </c>
      <c r="C3353" s="21" t="s">
        <v>852</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t="s">
        <v>1087</v>
      </c>
      <c r="E3354" s="22">
        <f>IF(D3354="?OLD","!!!","")</f>
        <v/>
      </c>
      <c r="F3354" s="23" t="str">
        <f>IF(OR(E3354="",E3354="!!!"),"",IF(NOT(ISNA(VLOOKUP(E3354,E$1:E3353,1,FALSE()))),"OLD",IF(AND(E3354&lt;&gt;"",E3354&lt;&gt;"!!!"),"NEW","")))</f>
        <v> </v>
      </c>
      <c r="G3354" s="24" t="str">
        <f>IF(OR(E3354="",E3354="!!!"),"",IF(OR(J3354=0,AND(J3354=1,K3354=1),AND(J3354=1,I3354="SBJ"),AND(J3354=1,I3354=0)),"?IN_FOCUS",IF(J3354&lt;=2,"?ACTIVATED",IF(J3354&lt;&gt;"","?FAMILIAR",IF(F3354="NEW",IF(ISNA(VLOOKUP(E3354,#REF!,1,FALSE())),"?TYPE_IDENTIFIABLE","?REFERENTIAL"),"_")))))</f>
        <v> </v>
      </c>
      <c r="H3354" s="25" t="str">
        <f>IF(J3354&lt;&gt;1,"",IF(I3354="SBJ","CB","?"))</f>
        <v> </v>
      </c>
      <c r="I3354" s="26" t="str">
        <f>IF(OR(E3354="",E3354="!!!",F3354="NEW"),"",INDEX(B3353:B$2,-1+SUMPRODUCT(MAX(ROW(E3353:E$2)*(E3354=E3353:E$2)))))</f>
        <v> </v>
      </c>
      <c r="J3354" s="26" t="str">
        <f>IF(OR(E3354="",E3354="!!!",F3354="NEW"),"",COUNTBLANK(OFFSET(A$1,,,SUMPRODUCT(MAX(ROW(E$2:E3354)*(E3354=E$2:E3354)))))-COUNTBLANK(OFFSET(A$1,,,SUMPRODUCT(MAX(ROW(E$1:E3353)*(E2=E$1:E3353))))))</f>
        <v> </v>
      </c>
      <c r="K3354" s="26" t="str">
        <f>IF(OR(E3354="",E3354="!!!",F3354="NEW"),"",INDEX(J$1:J3353,SUMPRODUCT(MAX(ROW(E$1:E3353)*(E3354=E$1:E3353)))))</f>
        <v> </v>
      </c>
      <c r="L3354" s="27"/>
    </row>
    <row r="3355" spans="1:12">
      <c r="A3355" s="20" t="s">
        <v>1908</v>
      </c>
      <c r="E3355" s="22">
        <f>IF(D3355="?OLD","!!!","")</f>
        <v/>
      </c>
      <c r="F3355" s="23" t="str">
        <f>IF(OR(E3355="",E3355="!!!"),"",IF(NOT(ISNA(VLOOKUP(E3355,E$1:E3354,1,FALSE()))),"OLD",IF(AND(E3355&lt;&gt;"",E3355&lt;&gt;"!!!"),"NEW","")))</f>
        <v> </v>
      </c>
      <c r="G3355" s="24" t="str">
        <f>IF(OR(E3355="",E3355="!!!"),"",IF(OR(J3355=0,AND(J3355=1,K3355=1),AND(J3355=1,I3355="SBJ"),AND(J3355=1,I3355=0)),"?IN_FOCUS",IF(J3355&lt;=2,"?ACTIVATED",IF(J3355&lt;&gt;"","?FAMILIAR",IF(F3355="NEW",IF(ISNA(VLOOKUP(E3355,#REF!,1,FALSE())),"?TYPE_IDENTIFIABLE","?REFERENTIAL"),"_")))))</f>
        <v> </v>
      </c>
      <c r="H3355" s="25" t="str">
        <f>IF(J3355&lt;&gt;1,"",IF(I3355="SBJ","CB","?"))</f>
        <v> </v>
      </c>
      <c r="I3355" s="26" t="str">
        <f>IF(OR(E3355="",E3355="!!!",F3355="NEW"),"",INDEX(B3354:B$2,-1+SUMPRODUCT(MAX(ROW(E3354:E$2)*(E3355=E3354:E$2)))))</f>
        <v> </v>
      </c>
      <c r="J3355" s="26" t="str">
        <f>IF(OR(E3355="",E3355="!!!",F3355="NEW"),"",COUNTBLANK(OFFSET(A$1,,,SUMPRODUCT(MAX(ROW(E$2:E3355)*(E3355=E$2:E3355)))))-COUNTBLANK(OFFSET(A$1,,,SUMPRODUCT(MAX(ROW(E$1:E3354)*(E2=E$1:E3354))))))</f>
        <v> </v>
      </c>
      <c r="K3355" s="26" t="str">
        <f>IF(OR(E3355="",E3355="!!!",F3355="NEW"),"",INDEX(J$1:J3354,SUMPRODUCT(MAX(ROW(E$1:E3354)*(E3355=E$1:E3354)))))</f>
        <v> </v>
      </c>
      <c r="L3355" s="27"/>
    </row>
    <row r="3356" spans="1:12">
      <c r="A3356" s="20" t="s">
        <v>920</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t="s">
        <v>1909</v>
      </c>
      <c r="B3357" s="21" t="s">
        <v>739</v>
      </c>
      <c r="C3357" s="21" t="s">
        <v>756</v>
      </c>
      <c r="E3357" s="22">
        <f>IF(D3357="?OLD","!!!","")</f>
        <v/>
      </c>
      <c r="F3357" s="23" t="str">
        <f>IF(OR(E3357="",E3357="!!!"),"",IF(NOT(ISNA(VLOOKUP(E3357,E$1:E3356,1,FALSE()))),"OLD",IF(AND(E3357&lt;&gt;"",E3357&lt;&gt;"!!!"),"NEW","")))</f>
        <v> </v>
      </c>
      <c r="G3357" s="24" t="str">
        <f>IF(OR(E3357="",E3357="!!!"),"",IF(OR(J3357=0,AND(J3357=1,K3357=1),AND(J3357=1,I3357="SBJ"),AND(J3357=1,I3357=0)),"?IN_FOCUS",IF(J3357&lt;=2,"?ACTIVATED",IF(J3357&lt;&gt;"","?FAMILIAR",IF(F3357="NEW",IF(ISNA(VLOOKUP(E3357,#REF!,1,FALSE())),"?TYPE_IDENTIFIABLE","?REFERENTIAL"),"_")))))</f>
        <v> </v>
      </c>
      <c r="H3357" s="25" t="str">
        <f>IF(J3357&lt;&gt;1,"",IF(I3357="SBJ","CB","?"))</f>
        <v> </v>
      </c>
      <c r="I3357" s="26" t="str">
        <f>IF(OR(E3357="",E3357="!!!",F3357="NEW"),"",INDEX(B3356:B$2,-1+SUMPRODUCT(MAX(ROW(E3356:E$2)*(E3357=E3356:E$2)))))</f>
        <v> </v>
      </c>
      <c r="J3357" s="26" t="str">
        <f>IF(OR(E3357="",E3357="!!!",F3357="NEW"),"",COUNTBLANK(OFFSET(A$1,,,SUMPRODUCT(MAX(ROW(E$2:E3357)*(E3357=E$2:E3357)))))-COUNTBLANK(OFFSET(A$1,,,SUMPRODUCT(MAX(ROW(E$1:E3356)*(E2=E$1:E3356))))))</f>
        <v> </v>
      </c>
      <c r="K3357" s="26" t="str">
        <f>IF(OR(E3357="",E3357="!!!",F3357="NEW"),"",INDEX(J$1:J3356,SUMPRODUCT(MAX(ROW(E$1:E3356)*(E3357=E$1:E3356)))))</f>
        <v> </v>
      </c>
      <c r="L3357" s="27"/>
    </row>
    <row r="3358" spans="1:12">
      <c r="A3358" s="20" t="s">
        <v>1910</v>
      </c>
      <c r="B3358" s="21" t="s">
        <v>736</v>
      </c>
      <c r="C3358" s="21" t="s">
        <v>978</v>
      </c>
      <c r="D3358" s="21" t="s">
        <v>730</v>
      </c>
      <c r="E3358" s="22">
        <f>IF(D3358="?OLD","!!!","")</f>
        <v/>
      </c>
      <c r="F3358" s="23" t="str">
        <f>IF(OR(E3358="",E3358="!!!"),"",IF(NOT(ISNA(VLOOKUP(E3358,E$1:E3357,1,FALSE()))),"OLD",IF(AND(E3358&lt;&gt;"",E3358&lt;&gt;"!!!"),"NEW","")))</f>
        <v> </v>
      </c>
      <c r="G3358" s="24" t="str">
        <f>IF(OR(E3358="",E3358="!!!"),"",IF(OR(J3358=0,AND(J3358=1,K3358=1),AND(J3358=1,I3358="SBJ"),AND(J3358=1,I3358=0)),"?IN_FOCUS",IF(J3358&lt;=2,"?ACTIVATED",IF(J3358&lt;&gt;"","?FAMILIAR",IF(F3358="NEW",IF(ISNA(VLOOKUP(E3358,#REF!,1,FALSE())),"?TYPE_IDENTIFIABLE","?REFERENTIAL"),"_")))))</f>
        <v> </v>
      </c>
      <c r="H3358" s="25" t="str">
        <f>IF(J3358&lt;&gt;1,"",IF(I3358="SBJ","CB","?"))</f>
        <v> </v>
      </c>
      <c r="I3358" s="26" t="str">
        <f>IF(OR(E3358="",E3358="!!!",F3358="NEW"),"",INDEX(B3357:B$2,-1+SUMPRODUCT(MAX(ROW(E3357:E$2)*(E3358=E3357:E$2)))))</f>
        <v> </v>
      </c>
      <c r="J3358" s="26" t="str">
        <f>IF(OR(E3358="",E3358="!!!",F3358="NEW"),"",COUNTBLANK(OFFSET(A$1,,,SUMPRODUCT(MAX(ROW(E$2:E3358)*(E3358=E$2:E3358)))))-COUNTBLANK(OFFSET(A$1,,,SUMPRODUCT(MAX(ROW(E$1:E3357)*(E2=E$1:E3357))))))</f>
        <v> </v>
      </c>
      <c r="K3358" s="26" t="str">
        <f>IF(OR(E3358="",E3358="!!!",F3358="NEW"),"",INDEX(J$1:J3357,SUMPRODUCT(MAX(ROW(E$1:E3357)*(E3358=E$1:E3357)))))</f>
        <v> </v>
      </c>
      <c r="L3358" s="27"/>
    </row>
    <row r="3359" spans="1:12">
      <c r="A3359" s="20" t="s">
        <v>1245</v>
      </c>
      <c r="B3359" s="21" t="s">
        <v>755</v>
      </c>
      <c r="C3359" s="21" t="s">
        <v>801</v>
      </c>
      <c r="D3359" s="21" t="s">
        <v>730</v>
      </c>
      <c r="E3359" s="22">
        <f>IF(D3359="?OLD","!!!","")</f>
        <v/>
      </c>
      <c r="F3359" s="23" t="str">
        <f>IF(OR(E3359="",E3359="!!!"),"",IF(NOT(ISNA(VLOOKUP(E3359,E$1:E3358,1,FALSE()))),"OLD",IF(AND(E3359&lt;&gt;"",E3359&lt;&gt;"!!!"),"NEW","")))</f>
        <v> </v>
      </c>
      <c r="G3359" s="24" t="str">
        <f>IF(OR(E3359="",E3359="!!!"),"",IF(OR(J3359=0,AND(J3359=1,K3359=1),AND(J3359=1,I3359="SBJ"),AND(J3359=1,I3359=0)),"?IN_FOCUS",IF(J3359&lt;=2,"?ACTIVATED",IF(J3359&lt;&gt;"","?FAMILIAR",IF(F3359="NEW",IF(ISNA(VLOOKUP(E3359,#REF!,1,FALSE())),"?TYPE_IDENTIFIABLE","?REFERENTIAL"),"_")))))</f>
        <v> </v>
      </c>
      <c r="H3359" s="25" t="str">
        <f>IF(J3359&lt;&gt;1,"",IF(I3359="SBJ","CB","?"))</f>
        <v> </v>
      </c>
      <c r="I3359" s="26" t="str">
        <f>IF(OR(E3359="",E3359="!!!",F3359="NEW"),"",INDEX(B3358:B$2,-1+SUMPRODUCT(MAX(ROW(E3358:E$2)*(E3359=E3358:E$2)))))</f>
        <v> </v>
      </c>
      <c r="J3359" s="26" t="str">
        <f>IF(OR(E3359="",E3359="!!!",F3359="NEW"),"",COUNTBLANK(OFFSET(A$1,,,SUMPRODUCT(MAX(ROW(E$2:E3359)*(E3359=E$2:E3359)))))-COUNTBLANK(OFFSET(A$1,,,SUMPRODUCT(MAX(ROW(E$1:E3358)*(E2=E$1:E3358))))))</f>
        <v> </v>
      </c>
      <c r="K3359" s="26" t="str">
        <f>IF(OR(E3359="",E3359="!!!",F3359="NEW"),"",INDEX(J$1:J3358,SUMPRODUCT(MAX(ROW(E$1:E3358)*(E3359=E$1:E3358)))))</f>
        <v> </v>
      </c>
      <c r="L3359" s="27"/>
    </row>
    <row r="3360" spans="1:12">
      <c r="A3360" s="20" t="s">
        <v>842</v>
      </c>
      <c r="B3360" s="21" t="s">
        <v>739</v>
      </c>
      <c r="C3360" s="21" t="s">
        <v>802</v>
      </c>
      <c r="D3360" s="21" t="s">
        <v>730</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t="s">
        <v>246</v>
      </c>
      <c r="E3361" s="22">
        <f>IF(D3361="?OLD","!!!","")</f>
        <v/>
      </c>
      <c r="F3361" s="23" t="str">
        <f>IF(OR(E3361="",E3361="!!!"),"",IF(NOT(ISNA(VLOOKUP(E3361,E$1:E3360,1,FALSE()))),"OLD",IF(AND(E3361&lt;&gt;"",E3361&lt;&gt;"!!!"),"NEW","")))</f>
        <v> </v>
      </c>
      <c r="G3361" s="24" t="str">
        <f>IF(OR(E3361="",E3361="!!!"),"",IF(OR(J3361=0,AND(J3361=1,K3361=1),AND(J3361=1,I3361="SBJ"),AND(J3361=1,I3361=0)),"?IN_FOCUS",IF(J3361&lt;=2,"?ACTIVATED",IF(J3361&lt;&gt;"","?FAMILIAR",IF(F3361="NEW",IF(ISNA(VLOOKUP(E3361,#REF!,1,FALSE())),"?TYPE_IDENTIFIABLE","?REFERENTIAL"),"_")))))</f>
        <v> </v>
      </c>
      <c r="H3361" s="25" t="str">
        <f>IF(J3361&lt;&gt;1,"",IF(I3361="SBJ","CB","?"))</f>
        <v> </v>
      </c>
      <c r="I3361" s="26" t="str">
        <f>IF(OR(E3361="",E3361="!!!",F3361="NEW"),"",INDEX(B3360:B$2,-1+SUMPRODUCT(MAX(ROW(E3360:E$2)*(E3361=E3360:E$2)))))</f>
        <v> </v>
      </c>
      <c r="J3361" s="26" t="str">
        <f>IF(OR(E3361="",E3361="!!!",F3361="NEW"),"",COUNTBLANK(OFFSET(A$1,,,SUMPRODUCT(MAX(ROW(E$2:E3361)*(E3361=E$2:E3361)))))-COUNTBLANK(OFFSET(A$1,,,SUMPRODUCT(MAX(ROW(E$1:E3360)*(E2=E$1:E3360))))))</f>
        <v> </v>
      </c>
      <c r="K3361" s="26" t="str">
        <f>IF(OR(E3361="",E3361="!!!",F3361="NEW"),"",INDEX(J$1:J3360,SUMPRODUCT(MAX(ROW(E$1:E3360)*(E3361=E$1:E3360)))))</f>
        <v> </v>
      </c>
      <c r="L3361" s="27"/>
    </row>
    <row r="3362" spans="1:12">
      <c r="A3362" s="20"/>
    </row>
    <row r="3363" spans="1:12">
      <c r="A3363" s="20" t="s">
        <v>798</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t="s">
        <v>1911</v>
      </c>
    </row>
    <row r="3365" spans="1:12">
      <c r="A3365" s="20" t="s">
        <v>1669</v>
      </c>
      <c r="B3365" s="21" t="s">
        <v>739</v>
      </c>
      <c r="C3365" s="21" t="s">
        <v>756</v>
      </c>
      <c r="E3365" s="22">
        <f>IF(D3365="?OLD","!!!","")</f>
        <v/>
      </c>
      <c r="F3365" s="23" t="str">
        <f>IF(OR(E3365="",E3365="!!!"),"",IF(NOT(ISNA(VLOOKUP(E3365,E$1:E3364,1,FALSE()))),"OLD",IF(AND(E3365&lt;&gt;"",E3365&lt;&gt;"!!!"),"NEW","")))</f>
        <v> </v>
      </c>
      <c r="G3365" s="24" t="str">
        <f>IF(OR(E3365="",E3365="!!!"),"",IF(OR(J3365=0,AND(J3365=1,K3365=1),AND(J3365=1,I3365="SBJ"),AND(J3365=1,I3365=0)),"?IN_FOCUS",IF(J3365&lt;=2,"?ACTIVATED",IF(J3365&lt;&gt;"","?FAMILIAR",IF(F3365="NEW",IF(ISNA(VLOOKUP(E3365,#REF!,1,FALSE())),"?TYPE_IDENTIFIABLE","?REFERENTIAL"),"_")))))</f>
        <v> </v>
      </c>
      <c r="H3365" s="25" t="str">
        <f>IF(J3365&lt;&gt;1,"",IF(I3365="SBJ","CB","?"))</f>
        <v> </v>
      </c>
      <c r="I3365" s="26" t="str">
        <f>IF(OR(E3365="",E3365="!!!",F3365="NEW"),"",INDEX(B3364:B$2,-1+SUMPRODUCT(MAX(ROW(E3364:E$2)*(E3365=E3364:E$2)))))</f>
        <v> </v>
      </c>
      <c r="J3365" s="26" t="str">
        <f>IF(OR(E3365="",E3365="!!!",F3365="NEW"),"",COUNTBLANK(OFFSET(A$1,,,SUMPRODUCT(MAX(ROW(E$2:E3365)*(E3365=E$2:E3365)))))-COUNTBLANK(OFFSET(A$1,,,SUMPRODUCT(MAX(ROW(E$1:E3364)*(E2=E$1:E3364))))))</f>
        <v> </v>
      </c>
      <c r="K3365" s="26" t="str">
        <f>IF(OR(E3365="",E3365="!!!",F3365="NEW"),"",INDEX(J$1:J3364,SUMPRODUCT(MAX(ROW(E$1:E3364)*(E3365=E$1:E3364)))))</f>
        <v> </v>
      </c>
      <c r="L3365" s="27"/>
    </row>
    <row r="3366" spans="1:12">
      <c r="A3366" s="20" t="s">
        <v>792</v>
      </c>
      <c r="B3366" s="21" t="s">
        <v>736</v>
      </c>
      <c r="C3366" s="21" t="s">
        <v>729</v>
      </c>
      <c r="D3366" s="21" t="s">
        <v>730</v>
      </c>
      <c r="E3366" s="22">
        <f>IF(D3366="?OLD","!!!","")</f>
        <v/>
      </c>
      <c r="F3366" s="23" t="str">
        <f>IF(OR(E3366="",E3366="!!!"),"",IF(NOT(ISNA(VLOOKUP(E3366,E$1:E3365,1,FALSE()))),"OLD",IF(AND(E3366&lt;&gt;"",E3366&lt;&gt;"!!!"),"NEW","")))</f>
        <v> </v>
      </c>
      <c r="G3366" s="24" t="str">
        <f>IF(OR(E3366="",E3366="!!!"),"",IF(OR(J3366=0,AND(J3366=1,K3366=1),AND(J3366=1,I3366="SBJ"),AND(J3366=1,I3366=0)),"?IN_FOCUS",IF(J3366&lt;=2,"?ACTIVATED",IF(J3366&lt;&gt;"","?FAMILIAR",IF(F3366="NEW",IF(ISNA(VLOOKUP(E3366,#REF!,1,FALSE())),"?TYPE_IDENTIFIABLE","?REFERENTIAL"),"_")))))</f>
        <v> </v>
      </c>
      <c r="H3366" s="25" t="str">
        <f>IF(J3366&lt;&gt;1,"",IF(I3366="SBJ","CB","?"))</f>
        <v> </v>
      </c>
      <c r="I3366" s="26" t="str">
        <f>IF(OR(E3366="",E3366="!!!",F3366="NEW"),"",INDEX(B3365:B$2,-1+SUMPRODUCT(MAX(ROW(E3365:E$2)*(E3366=E3365:E$2)))))</f>
        <v> </v>
      </c>
      <c r="J3366" s="26" t="str">
        <f>IF(OR(E3366="",E3366="!!!",F3366="NEW"),"",COUNTBLANK(OFFSET(A$1,,,SUMPRODUCT(MAX(ROW(E$2:E3366)*(E3366=E$2:E3366)))))-COUNTBLANK(OFFSET(A$1,,,SUMPRODUCT(MAX(ROW(E$1:E3365)*(E2=E$1:E3365))))))</f>
        <v> </v>
      </c>
      <c r="K3366" s="26" t="str">
        <f>IF(OR(E3366="",E3366="!!!",F3366="NEW"),"",INDEX(J$1:J3365,SUMPRODUCT(MAX(ROW(E$1:E3365)*(E3366=E$1:E3365)))))</f>
        <v> </v>
      </c>
      <c r="L3366" s="27"/>
    </row>
    <row r="3367" spans="1:12">
      <c r="A3367" s="20" t="s">
        <v>40</v>
      </c>
      <c r="E3367" s="22">
        <f>IF(D3367="?OLD","!!!","")</f>
        <v/>
      </c>
      <c r="F3367" s="23" t="str">
        <f>IF(OR(E3367="",E3367="!!!"),"",IF(NOT(ISNA(VLOOKUP(E3367,E$1:E3366,1,FALSE()))),"OLD",IF(AND(E3367&lt;&gt;"",E3367&lt;&gt;"!!!"),"NEW","")))</f>
        <v> </v>
      </c>
      <c r="G3367" s="24" t="str">
        <f>IF(OR(E3367="",E3367="!!!"),"",IF(OR(J3367=0,AND(J3367=1,K3367=1),AND(J3367=1,I3367="SBJ"),AND(J3367=1,I3367=0)),"?IN_FOCUS",IF(J3367&lt;=2,"?ACTIVATED",IF(J3367&lt;&gt;"","?FAMILIAR",IF(F3367="NEW",IF(ISNA(VLOOKUP(E3367,#REF!,1,FALSE())),"?TYPE_IDENTIFIABLE","?REFERENTIAL"),"_")))))</f>
        <v> </v>
      </c>
      <c r="H3367" s="25" t="str">
        <f>IF(J3367&lt;&gt;1,"",IF(I3367="SBJ","CB","?"))</f>
        <v> </v>
      </c>
      <c r="I3367" s="26" t="str">
        <f>IF(OR(E3367="",E3367="!!!",F3367="NEW"),"",INDEX(B3366:B$2,-1+SUMPRODUCT(MAX(ROW(E3366:E$2)*(E3367=E3366:E$2)))))</f>
        <v> </v>
      </c>
      <c r="J3367" s="26" t="str">
        <f>IF(OR(E3367="",E3367="!!!",F3367="NEW"),"",COUNTBLANK(OFFSET(A$1,,,SUMPRODUCT(MAX(ROW(E$2:E3367)*(E3367=E$2:E3367)))))-COUNTBLANK(OFFSET(A$1,,,SUMPRODUCT(MAX(ROW(E$1:E3366)*(E2=E$1:E3366))))))</f>
        <v> </v>
      </c>
      <c r="K3367" s="26" t="str">
        <f>IF(OR(E3367="",E3367="!!!",F3367="NEW"),"",INDEX(J$1:J3366,SUMPRODUCT(MAX(ROW(E$1:E3366)*(E3367=E$1:E3366)))))</f>
        <v> </v>
      </c>
      <c r="L3367" s="27"/>
    </row>
    <row r="3368" spans="1:12">
      <c r="A3368" s="20" t="s">
        <v>1912</v>
      </c>
      <c r="E3368" s="22">
        <f>IF(D3368="?OLD","!!!","")</f>
        <v/>
      </c>
      <c r="F3368" s="23" t="str">
        <f>IF(OR(E3368="",E3368="!!!"),"",IF(NOT(ISNA(VLOOKUP(E3368,E$1:E3367,1,FALSE()))),"OLD",IF(AND(E3368&lt;&gt;"",E3368&lt;&gt;"!!!"),"NEW","")))</f>
        <v> </v>
      </c>
      <c r="G3368" s="24" t="str">
        <f>IF(OR(E3368="",E3368="!!!"),"",IF(OR(J3368=0,AND(J3368=1,K3368=1),AND(J3368=1,I3368="SBJ"),AND(J3368=1,I3368=0)),"?IN_FOCUS",IF(J3368&lt;=2,"?ACTIVATED",IF(J3368&lt;&gt;"","?FAMILIAR",IF(F3368="NEW",IF(ISNA(VLOOKUP(E3368,#REF!,1,FALSE())),"?TYPE_IDENTIFIABLE","?REFERENTIAL"),"_")))))</f>
        <v> </v>
      </c>
      <c r="H3368" s="25" t="str">
        <f>IF(J3368&lt;&gt;1,"",IF(I3368="SBJ","CB","?"))</f>
        <v> </v>
      </c>
      <c r="I3368" s="26" t="str">
        <f>IF(OR(E3368="",E3368="!!!",F3368="NEW"),"",INDEX(B3367:B$2,-1+SUMPRODUCT(MAX(ROW(E3367:E$2)*(E3368=E3367:E$2)))))</f>
        <v> </v>
      </c>
      <c r="J3368" s="26" t="str">
        <f>IF(OR(E3368="",E3368="!!!",F3368="NEW"),"",COUNTBLANK(OFFSET(A$1,,,SUMPRODUCT(MAX(ROW(E$2:E3368)*(E3368=E$2:E3368)))))-COUNTBLANK(OFFSET(A$1,,,SUMPRODUCT(MAX(ROW(E$1:E3367)*(E2=E$1:E3367))))))</f>
        <v> </v>
      </c>
      <c r="K3368" s="26" t="str">
        <f>IF(OR(E3368="",E3368="!!!",F3368="NEW"),"",INDEX(J$1:J3367,SUMPRODUCT(MAX(ROW(E$1:E3367)*(E3368=E$1:E3367)))))</f>
        <v> </v>
      </c>
      <c r="L3368" s="27"/>
    </row>
    <row r="3369" spans="1:12">
      <c r="A3369" s="20" t="s">
        <v>1518</v>
      </c>
      <c r="B3369" s="21" t="s">
        <v>728</v>
      </c>
      <c r="C3369" s="21" t="s">
        <v>748</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t="s">
        <v>759</v>
      </c>
      <c r="E3370" s="22">
        <f>IF(D3370="?OLD","!!!","")</f>
        <v/>
      </c>
      <c r="F3370" s="23" t="str">
        <f>IF(OR(E3370="",E3370="!!!"),"",IF(NOT(ISNA(VLOOKUP(E3370,E$1:E3369,1,FALSE()))),"OLD",IF(AND(E3370&lt;&gt;"",E3370&lt;&gt;"!!!"),"NEW","")))</f>
        <v> </v>
      </c>
      <c r="G3370" s="24" t="str">
        <f>IF(OR(E3370="",E3370="!!!"),"",IF(OR(J3370=0,AND(J3370=1,K3370=1),AND(J3370=1,I3370="SBJ"),AND(J3370=1,I3370=0)),"?IN_FOCUS",IF(J3370&lt;=2,"?ACTIVATED",IF(J3370&lt;&gt;"","?FAMILIAR",IF(F3370="NEW",IF(ISNA(VLOOKUP(E3370,#REF!,1,FALSE())),"?TYPE_IDENTIFIABLE","?REFERENTIAL"),"_")))))</f>
        <v> </v>
      </c>
      <c r="H3370" s="25" t="str">
        <f>IF(J3370&lt;&gt;1,"",IF(I3370="SBJ","CB","?"))</f>
        <v> </v>
      </c>
      <c r="I3370" s="26" t="str">
        <f>IF(OR(E3370="",E3370="!!!",F3370="NEW"),"",INDEX(B3369:B$2,-1+SUMPRODUCT(MAX(ROW(E3369:E$2)*(E3370=E3369:E$2)))))</f>
        <v> </v>
      </c>
      <c r="J3370" s="26" t="str">
        <f>IF(OR(E3370="",E3370="!!!",F3370="NEW"),"",COUNTBLANK(OFFSET(A$1,,,SUMPRODUCT(MAX(ROW(E$2:E3370)*(E3370=E$2:E3370)))))-COUNTBLANK(OFFSET(A$1,,,SUMPRODUCT(MAX(ROW(E$1:E3369)*(E2=E$1:E3369))))))</f>
        <v> </v>
      </c>
      <c r="K3370" s="26" t="str">
        <f>IF(OR(E3370="",E3370="!!!",F3370="NEW"),"",INDEX(J$1:J3369,SUMPRODUCT(MAX(ROW(E$1:E3369)*(E3370=E$1:E3369)))))</f>
        <v> </v>
      </c>
      <c r="L3370" s="27"/>
    </row>
    <row r="3371" spans="1:12">
      <c r="A3371" s="20" t="s">
        <v>813</v>
      </c>
      <c r="B3371" s="21" t="s">
        <v>788</v>
      </c>
      <c r="E3371" s="22">
        <f>IF(D3371="?OLD","!!!","")</f>
        <v/>
      </c>
      <c r="F3371" s="23" t="str">
        <f>IF(OR(E3371="",E3371="!!!"),"",IF(NOT(ISNA(VLOOKUP(E3371,E$1:E3370,1,FALSE()))),"OLD",IF(AND(E3371&lt;&gt;"",E3371&lt;&gt;"!!!"),"NEW","")))</f>
        <v> </v>
      </c>
      <c r="G3371" s="24" t="str">
        <f>IF(OR(E3371="",E3371="!!!"),"",IF(OR(J3371=0,AND(J3371=1,K3371=1),AND(J3371=1,I3371="SBJ"),AND(J3371=1,I3371=0)),"?IN_FOCUS",IF(J3371&lt;=2,"?ACTIVATED",IF(J3371&lt;&gt;"","?FAMILIAR",IF(F3371="NEW",IF(ISNA(VLOOKUP(E3371,#REF!,1,FALSE())),"?TYPE_IDENTIFIABLE","?REFERENTIAL"),"_")))))</f>
        <v> </v>
      </c>
      <c r="H3371" s="25" t="str">
        <f>IF(J3371&lt;&gt;1,"",IF(I3371="SBJ","CB","?"))</f>
        <v> </v>
      </c>
      <c r="I3371" s="26" t="str">
        <f>IF(OR(E3371="",E3371="!!!",F3371="NEW"),"",INDEX(B3370:B$2,-1+SUMPRODUCT(MAX(ROW(E3370:E$2)*(E3371=E3370:E$2)))))</f>
        <v> </v>
      </c>
      <c r="J3371" s="26" t="str">
        <f>IF(OR(E3371="",E3371="!!!",F3371="NEW"),"",COUNTBLANK(OFFSET(A$1,,,SUMPRODUCT(MAX(ROW(E$2:E3371)*(E3371=E$2:E3371)))))-COUNTBLANK(OFFSET(A$1,,,SUMPRODUCT(MAX(ROW(E$1:E3370)*(E2=E$1:E3370))))))</f>
        <v> </v>
      </c>
      <c r="K3371" s="26" t="str">
        <f>IF(OR(E3371="",E3371="!!!",F3371="NEW"),"",INDEX(J$1:J3370,SUMPRODUCT(MAX(ROW(E$1:E3370)*(E3371=E$1:E3370)))))</f>
        <v> </v>
      </c>
      <c r="L3371" s="27"/>
    </row>
    <row r="3372" spans="1:12">
      <c r="A3372" s="20" t="s">
        <v>273</v>
      </c>
      <c r="E3372" s="22">
        <f>IF(D3372="?OLD","!!!","")</f>
        <v/>
      </c>
      <c r="F3372" s="23" t="str">
        <f>IF(OR(E3372="",E3372="!!!"),"",IF(NOT(ISNA(VLOOKUP(E3372,E$1:E3371,1,FALSE()))),"OLD",IF(AND(E3372&lt;&gt;"",E3372&lt;&gt;"!!!"),"NEW","")))</f>
        <v> </v>
      </c>
      <c r="G3372" s="24" t="str">
        <f>IF(OR(E3372="",E3372="!!!"),"",IF(OR(J3372=0,AND(J3372=1,K3372=1),AND(J3372=1,I3372="SBJ"),AND(J3372=1,I3372=0)),"?IN_FOCUS",IF(J3372&lt;=2,"?ACTIVATED",IF(J3372&lt;&gt;"","?FAMILIAR",IF(F3372="NEW",IF(ISNA(VLOOKUP(E3372,#REF!,1,FALSE())),"?TYPE_IDENTIFIABLE","?REFERENTIAL"),"_")))))</f>
        <v> </v>
      </c>
      <c r="H3372" s="25" t="str">
        <f>IF(J3372&lt;&gt;1,"",IF(I3372="SBJ","CB","?"))</f>
        <v> </v>
      </c>
      <c r="I3372" s="26" t="str">
        <f>IF(OR(E3372="",E3372="!!!",F3372="NEW"),"",INDEX(B3371:B$2,-1+SUMPRODUCT(MAX(ROW(E3371:E$2)*(E3372=E3371:E$2)))))</f>
        <v> </v>
      </c>
      <c r="J3372" s="26" t="str">
        <f>IF(OR(E3372="",E3372="!!!",F3372="NEW"),"",COUNTBLANK(OFFSET(A$1,,,SUMPRODUCT(MAX(ROW(E$2:E3372)*(E3372=E$2:E3372)))))-COUNTBLANK(OFFSET(A$1,,,SUMPRODUCT(MAX(ROW(E$1:E3371)*(E2=E$1:E3371))))))</f>
        <v> </v>
      </c>
      <c r="K3372" s="26" t="str">
        <f>IF(OR(E3372="",E3372="!!!",F3372="NEW"),"",INDEX(J$1:J3371,SUMPRODUCT(MAX(ROW(E$1:E3371)*(E3372=E$1:E3371)))))</f>
        <v> </v>
      </c>
      <c r="L3372" s="27"/>
    </row>
    <row r="3373" spans="1:12">
      <c r="A3373" s="20" t="s">
        <v>1147</v>
      </c>
      <c r="E3373" s="22">
        <f>IF(D3373="?OLD","!!!","")</f>
        <v/>
      </c>
      <c r="F3373" s="23" t="str">
        <f>IF(OR(E3373="",E3373="!!!"),"",IF(NOT(ISNA(VLOOKUP(E3373,E$1:E3372,1,FALSE()))),"OLD",IF(AND(E3373&lt;&gt;"",E3373&lt;&gt;"!!!"),"NEW","")))</f>
        <v> </v>
      </c>
      <c r="G3373" s="24" t="str">
        <f>IF(OR(E3373="",E3373="!!!"),"",IF(OR(J3373=0,AND(J3373=1,K3373=1),AND(J3373=1,I3373="SBJ"),AND(J3373=1,I3373=0)),"?IN_FOCUS",IF(J3373&lt;=2,"?ACTIVATED",IF(J3373&lt;&gt;"","?FAMILIAR",IF(F3373="NEW",IF(ISNA(VLOOKUP(E3373,#REF!,1,FALSE())),"?TYPE_IDENTIFIABLE","?REFERENTIAL"),"_")))))</f>
        <v> </v>
      </c>
      <c r="H3373" s="25" t="str">
        <f>IF(J3373&lt;&gt;1,"",IF(I3373="SBJ","CB","?"))</f>
        <v> </v>
      </c>
      <c r="I3373" s="26" t="str">
        <f>IF(OR(E3373="",E3373="!!!",F3373="NEW"),"",INDEX(B3372:B$2,-1+SUMPRODUCT(MAX(ROW(E3372:E$2)*(E3373=E3372:E$2)))))</f>
        <v> </v>
      </c>
      <c r="J3373" s="26" t="str">
        <f>IF(OR(E3373="",E3373="!!!",F3373="NEW"),"",COUNTBLANK(OFFSET(A$1,,,SUMPRODUCT(MAX(ROW(E$2:E3373)*(E3373=E$2:E3373)))))-COUNTBLANK(OFFSET(A$1,,,SUMPRODUCT(MAX(ROW(E$1:E3372)*(E2=E$1:E3372))))))</f>
        <v> </v>
      </c>
      <c r="K3373" s="26" t="str">
        <f>IF(OR(E3373="",E3373="!!!",F3373="NEW"),"",INDEX(J$1:J3372,SUMPRODUCT(MAX(ROW(E$1:E3372)*(E3373=E$1:E3372)))))</f>
        <v> </v>
      </c>
      <c r="L3373" s="27"/>
    </row>
    <row r="3374" spans="1:12">
      <c r="A3374" s="20" t="s">
        <v>817</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t="s">
        <v>1913</v>
      </c>
      <c r="B3375" s="21" t="s">
        <v>778</v>
      </c>
      <c r="C3375" s="21" t="s">
        <v>748</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t="s">
        <v>834</v>
      </c>
      <c r="B3376" s="21" t="s">
        <v>777</v>
      </c>
      <c r="C3376" s="21" t="s">
        <v>729</v>
      </c>
      <c r="D3376" s="21" t="s">
        <v>730</v>
      </c>
      <c r="E3376" s="22">
        <f>IF(D3376="?OLD","!!!","")</f>
        <v/>
      </c>
      <c r="F3376" s="23" t="str">
        <f>IF(OR(E3376="",E3376="!!!"),"",IF(NOT(ISNA(VLOOKUP(E3376,E$1:E3375,1,FALSE()))),"OLD",IF(AND(E3376&lt;&gt;"",E3376&lt;&gt;"!!!"),"NEW","")))</f>
        <v> </v>
      </c>
      <c r="G3376" s="24" t="str">
        <f>IF(OR(E3376="",E3376="!!!"),"",IF(OR(J3376=0,AND(J3376=1,K3376=1),AND(J3376=1,I3376="SBJ"),AND(J3376=1,I3376=0)),"?IN_FOCUS",IF(J3376&lt;=2,"?ACTIVATED",IF(J3376&lt;&gt;"","?FAMILIAR",IF(F3376="NEW",IF(ISNA(VLOOKUP(E3376,#REF!,1,FALSE())),"?TYPE_IDENTIFIABLE","?REFERENTIAL"),"_")))))</f>
        <v> </v>
      </c>
      <c r="H3376" s="25" t="str">
        <f>IF(J3376&lt;&gt;1,"",IF(I3376="SBJ","CB","?"))</f>
        <v> </v>
      </c>
      <c r="I3376" s="26" t="str">
        <f>IF(OR(E3376="",E3376="!!!",F3376="NEW"),"",INDEX(B3375:B$2,-1+SUMPRODUCT(MAX(ROW(E3375:E$2)*(E3376=E3375:E$2)))))</f>
        <v> </v>
      </c>
      <c r="J3376" s="26" t="str">
        <f>IF(OR(E3376="",E3376="!!!",F3376="NEW"),"",COUNTBLANK(OFFSET(A$1,,,SUMPRODUCT(MAX(ROW(E$2:E3376)*(E3376=E$2:E3376)))))-COUNTBLANK(OFFSET(A$1,,,SUMPRODUCT(MAX(ROW(E$1:E3375)*(E2=E$1:E3375))))))</f>
        <v> </v>
      </c>
      <c r="K3376" s="26" t="str">
        <f>IF(OR(E3376="",E3376="!!!",F3376="NEW"),"",INDEX(J$1:J3375,SUMPRODUCT(MAX(ROW(E$1:E3375)*(E3376=E$1:E3375)))))</f>
        <v> </v>
      </c>
      <c r="L3376" s="27"/>
    </row>
    <row r="3377" spans="1:12">
      <c r="A3377" s="20" t="s">
        <v>792</v>
      </c>
      <c r="B3377" s="21" t="s">
        <v>780</v>
      </c>
      <c r="C3377" s="21" t="s">
        <v>729</v>
      </c>
      <c r="D3377" s="21" t="s">
        <v>730</v>
      </c>
      <c r="E3377" s="22">
        <f>IF(D3377="?OLD","!!!","")</f>
        <v/>
      </c>
      <c r="F3377" s="23" t="str">
        <f>IF(OR(E3377="",E3377="!!!"),"",IF(NOT(ISNA(VLOOKUP(E3377,E$1:E3376,1,FALSE()))),"OLD",IF(AND(E3377&lt;&gt;"",E3377&lt;&gt;"!!!"),"NEW","")))</f>
        <v> </v>
      </c>
      <c r="G3377" s="24" t="str">
        <f>IF(OR(E3377="",E3377="!!!"),"",IF(OR(J3377=0,AND(J3377=1,K3377=1),AND(J3377=1,I3377="SBJ"),AND(J3377=1,I3377=0)),"?IN_FOCUS",IF(J3377&lt;=2,"?ACTIVATED",IF(J3377&lt;&gt;"","?FAMILIAR",IF(F3377="NEW",IF(ISNA(VLOOKUP(E3377,#REF!,1,FALSE())),"?TYPE_IDENTIFIABLE","?REFERENTIAL"),"_")))))</f>
        <v> </v>
      </c>
      <c r="H3377" s="25" t="str">
        <f>IF(J3377&lt;&gt;1,"",IF(I3377="SBJ","CB","?"))</f>
        <v> </v>
      </c>
      <c r="I3377" s="26" t="str">
        <f>IF(OR(E3377="",E3377="!!!",F3377="NEW"),"",INDEX(B3376:B$2,-1+SUMPRODUCT(MAX(ROW(E3376:E$2)*(E3377=E3376:E$2)))))</f>
        <v> </v>
      </c>
      <c r="J3377" s="26" t="str">
        <f>IF(OR(E3377="",E3377="!!!",F3377="NEW"),"",COUNTBLANK(OFFSET(A$1,,,SUMPRODUCT(MAX(ROW(E$2:E3377)*(E3377=E$2:E3377)))))-COUNTBLANK(OFFSET(A$1,,,SUMPRODUCT(MAX(ROW(E$1:E3376)*(E2=E$1:E3376))))))</f>
        <v> </v>
      </c>
      <c r="K3377" s="26" t="str">
        <f>IF(OR(E3377="",E3377="!!!",F3377="NEW"),"",INDEX(J$1:J3376,SUMPRODUCT(MAX(ROW(E$1:E3376)*(E3377=E$1:E3376)))))</f>
        <v> </v>
      </c>
      <c r="L3377" s="27"/>
    </row>
    <row r="3378" spans="1:12">
      <c r="A3378" s="20" t="s">
        <v>1054</v>
      </c>
      <c r="E3378" s="22">
        <f>IF(D3378="?OLD","!!!","")</f>
        <v/>
      </c>
      <c r="F3378" s="23" t="str">
        <f>IF(OR(E3378="",E3378="!!!"),"",IF(NOT(ISNA(VLOOKUP(E3378,E$1:E3377,1,FALSE()))),"OLD",IF(AND(E3378&lt;&gt;"",E3378&lt;&gt;"!!!"),"NEW","")))</f>
        <v> </v>
      </c>
      <c r="G3378" s="24" t="str">
        <f>IF(OR(E3378="",E3378="!!!"),"",IF(OR(J3378=0,AND(J3378=1,K3378=1),AND(J3378=1,I3378="SBJ"),AND(J3378=1,I3378=0)),"?IN_FOCUS",IF(J3378&lt;=2,"?ACTIVATED",IF(J3378&lt;&gt;"","?FAMILIAR",IF(F3378="NEW",IF(ISNA(VLOOKUP(E3378,#REF!,1,FALSE())),"?TYPE_IDENTIFIABLE","?REFERENTIAL"),"_")))))</f>
        <v> </v>
      </c>
      <c r="H3378" s="25" t="str">
        <f>IF(J3378&lt;&gt;1,"",IF(I3378="SBJ","CB","?"))</f>
        <v> </v>
      </c>
      <c r="I3378" s="26" t="str">
        <f>IF(OR(E3378="",E3378="!!!",F3378="NEW"),"",INDEX(B3377:B$2,-1+SUMPRODUCT(MAX(ROW(E3377:E$2)*(E3378=E3377:E$2)))))</f>
        <v> </v>
      </c>
      <c r="J3378" s="26" t="str">
        <f>IF(OR(E3378="",E3378="!!!",F3378="NEW"),"",COUNTBLANK(OFFSET(A$1,,,SUMPRODUCT(MAX(ROW(E$2:E3378)*(E3378=E$2:E3378)))))-COUNTBLANK(OFFSET(A$1,,,SUMPRODUCT(MAX(ROW(E$1:E3377)*(E2=E$1:E3377))))))</f>
        <v> </v>
      </c>
      <c r="K3378" s="26" t="str">
        <f>IF(OR(E3378="",E3378="!!!",F3378="NEW"),"",INDEX(J$1:J3377,SUMPRODUCT(MAX(ROW(E$1:E3377)*(E3378=E$1:E3377)))))</f>
        <v> </v>
      </c>
      <c r="L3378" s="27"/>
    </row>
    <row r="3379" spans="1:12">
      <c r="A3379" s="20" t="s">
        <v>1914</v>
      </c>
      <c r="B3379" s="21" t="s">
        <v>780</v>
      </c>
      <c r="C3379" s="21" t="s">
        <v>737</v>
      </c>
      <c r="E3379" s="22">
        <f>IF(D3379="?OLD","!!!","")</f>
        <v/>
      </c>
      <c r="F3379" s="23" t="str">
        <f>IF(OR(E3379="",E3379="!!!"),"",IF(NOT(ISNA(VLOOKUP(E3379,E$1:E3378,1,FALSE()))),"OLD",IF(AND(E3379&lt;&gt;"",E3379&lt;&gt;"!!!"),"NEW","")))</f>
        <v> </v>
      </c>
      <c r="G3379" s="24" t="str">
        <f>IF(OR(E3379="",E3379="!!!"),"",IF(OR(J3379=0,AND(J3379=1,K3379=1),AND(J3379=1,I3379="SBJ"),AND(J3379=1,I3379=0)),"?IN_FOCUS",IF(J3379&lt;=2,"?ACTIVATED",IF(J3379&lt;&gt;"","?FAMILIAR",IF(F3379="NEW",IF(ISNA(VLOOKUP(E3379,#REF!,1,FALSE())),"?TYPE_IDENTIFIABLE","?REFERENTIAL"),"_")))))</f>
        <v> </v>
      </c>
      <c r="H3379" s="25" t="str">
        <f>IF(J3379&lt;&gt;1,"",IF(I3379="SBJ","CB","?"))</f>
        <v> </v>
      </c>
      <c r="I3379" s="26" t="str">
        <f>IF(OR(E3379="",E3379="!!!",F3379="NEW"),"",INDEX(B3378:B$2,-1+SUMPRODUCT(MAX(ROW(E3378:E$2)*(E3379=E3378:E$2)))))</f>
        <v> </v>
      </c>
      <c r="J3379" s="26" t="str">
        <f>IF(OR(E3379="",E3379="!!!",F3379="NEW"),"",COUNTBLANK(OFFSET(A$1,,,SUMPRODUCT(MAX(ROW(E$2:E3379)*(E3379=E$2:E3379)))))-COUNTBLANK(OFFSET(A$1,,,SUMPRODUCT(MAX(ROW(E$1:E3378)*(E2=E$1:E3378))))))</f>
        <v> </v>
      </c>
      <c r="K3379" s="26" t="str">
        <f>IF(OR(E3379="",E3379="!!!",F3379="NEW"),"",INDEX(J$1:J3378,SUMPRODUCT(MAX(ROW(E$1:E3378)*(E3379=E$1:E3378)))))</f>
        <v> </v>
      </c>
      <c r="L3379" s="27"/>
    </row>
    <row r="3380" spans="1:12">
      <c r="A3380" s="20" t="s">
        <v>759</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t="s">
        <v>952</v>
      </c>
      <c r="E3381" s="22">
        <f>IF(D3381="?OLD","!!!","")</f>
        <v/>
      </c>
      <c r="F3381" s="23" t="str">
        <f>IF(OR(E3381="",E3381="!!!"),"",IF(NOT(ISNA(VLOOKUP(E3381,E$1:E3380,1,FALSE()))),"OLD",IF(AND(E3381&lt;&gt;"",E3381&lt;&gt;"!!!"),"NEW","")))</f>
        <v> </v>
      </c>
      <c r="G3381" s="24" t="str">
        <f>IF(OR(E3381="",E3381="!!!"),"",IF(OR(J3381=0,AND(J3381=1,K3381=1),AND(J3381=1,I3381="SBJ"),AND(J3381=1,I3381=0)),"?IN_FOCUS",IF(J3381&lt;=2,"?ACTIVATED",IF(J3381&lt;&gt;"","?FAMILIAR",IF(F3381="NEW",IF(ISNA(VLOOKUP(E3381,#REF!,1,FALSE())),"?TYPE_IDENTIFIABLE","?REFERENTIAL"),"_")))))</f>
        <v> </v>
      </c>
      <c r="H3381" s="25" t="str">
        <f>IF(J3381&lt;&gt;1,"",IF(I3381="SBJ","CB","?"))</f>
        <v> </v>
      </c>
      <c r="I3381" s="26" t="str">
        <f>IF(OR(E3381="",E3381="!!!",F3381="NEW"),"",INDEX(B3380:B$2,-1+SUMPRODUCT(MAX(ROW(E3380:E$2)*(E3381=E3380:E$2)))))</f>
        <v> </v>
      </c>
      <c r="J3381" s="26" t="str">
        <f>IF(OR(E3381="",E3381="!!!",F3381="NEW"),"",COUNTBLANK(OFFSET(A$1,,,SUMPRODUCT(MAX(ROW(E$2:E3381)*(E3381=E$2:E3381)))))-COUNTBLANK(OFFSET(A$1,,,SUMPRODUCT(MAX(ROW(E$1:E3380)*(E2=E$1:E3380))))))</f>
        <v> </v>
      </c>
      <c r="K3381" s="26" t="str">
        <f>IF(OR(E3381="",E3381="!!!",F3381="NEW"),"",INDEX(J$1:J3380,SUMPRODUCT(MAX(ROW(E$1:E3380)*(E3381=E$1:E3380)))))</f>
        <v> </v>
      </c>
      <c r="L3381" s="27"/>
    </row>
    <row r="3382" spans="1:12">
      <c r="A3382" s="20" t="s">
        <v>750</v>
      </c>
      <c r="B3382" s="21" t="s">
        <v>777</v>
      </c>
      <c r="C3382" s="21" t="s">
        <v>729</v>
      </c>
      <c r="D3382" s="21" t="s">
        <v>730</v>
      </c>
      <c r="E3382" s="22">
        <f>IF(D3382="?OLD","!!!","")</f>
        <v/>
      </c>
      <c r="F3382" s="23" t="str">
        <f>IF(OR(E3382="",E3382="!!!"),"",IF(NOT(ISNA(VLOOKUP(E3382,E$1:E3381,1,FALSE()))),"OLD",IF(AND(E3382&lt;&gt;"",E3382&lt;&gt;"!!!"),"NEW","")))</f>
        <v> </v>
      </c>
      <c r="G3382" s="24" t="str">
        <f>IF(OR(E3382="",E3382="!!!"),"",IF(OR(J3382=0,AND(J3382=1,K3382=1),AND(J3382=1,I3382="SBJ"),AND(J3382=1,I3382=0)),"?IN_FOCUS",IF(J3382&lt;=2,"?ACTIVATED",IF(J3382&lt;&gt;"","?FAMILIAR",IF(F3382="NEW",IF(ISNA(VLOOKUP(E3382,#REF!,1,FALSE())),"?TYPE_IDENTIFIABLE","?REFERENTIAL"),"_")))))</f>
        <v> </v>
      </c>
      <c r="H3382" s="25" t="str">
        <f>IF(J3382&lt;&gt;1,"",IF(I3382="SBJ","CB","?"))</f>
        <v> </v>
      </c>
      <c r="I3382" s="26" t="str">
        <f>IF(OR(E3382="",E3382="!!!",F3382="NEW"),"",INDEX(B3381:B$2,-1+SUMPRODUCT(MAX(ROW(E3381:E$2)*(E3382=E3381:E$2)))))</f>
        <v> </v>
      </c>
      <c r="J3382" s="26" t="str">
        <f>IF(OR(E3382="",E3382="!!!",F3382="NEW"),"",COUNTBLANK(OFFSET(A$1,,,SUMPRODUCT(MAX(ROW(E$2:E3382)*(E3382=E$2:E3382)))))-COUNTBLANK(OFFSET(A$1,,,SUMPRODUCT(MAX(ROW(E$1:E3381)*(E2=E$1:E3381))))))</f>
        <v> </v>
      </c>
      <c r="K3382" s="26" t="str">
        <f>IF(OR(E3382="",E3382="!!!",F3382="NEW"),"",INDEX(J$1:J3381,SUMPRODUCT(MAX(ROW(E$1:E3381)*(E3382=E$1:E3381)))))</f>
        <v> </v>
      </c>
      <c r="L3382" s="27"/>
    </row>
    <row r="3383" spans="1:12">
      <c r="A3383" s="20" t="s">
        <v>944</v>
      </c>
      <c r="E3383" s="22">
        <f>IF(D3383="?OLD","!!!","")</f>
        <v/>
      </c>
      <c r="F3383" s="23" t="str">
        <f>IF(OR(E3383="",E3383="!!!"),"",IF(NOT(ISNA(VLOOKUP(E3383,E$1:E3382,1,FALSE()))),"OLD",IF(AND(E3383&lt;&gt;"",E3383&lt;&gt;"!!!"),"NEW","")))</f>
        <v> </v>
      </c>
      <c r="G3383" s="24" t="str">
        <f>IF(OR(E3383="",E3383="!!!"),"",IF(OR(J3383=0,AND(J3383=1,K3383=1),AND(J3383=1,I3383="SBJ"),AND(J3383=1,I3383=0)),"?IN_FOCUS",IF(J3383&lt;=2,"?ACTIVATED",IF(J3383&lt;&gt;"","?FAMILIAR",IF(F3383="NEW",IF(ISNA(VLOOKUP(E3383,#REF!,1,FALSE())),"?TYPE_IDENTIFIABLE","?REFERENTIAL"),"_")))))</f>
        <v> </v>
      </c>
      <c r="H3383" s="25" t="str">
        <f>IF(J3383&lt;&gt;1,"",IF(I3383="SBJ","CB","?"))</f>
        <v> </v>
      </c>
      <c r="I3383" s="26" t="str">
        <f>IF(OR(E3383="",E3383="!!!",F3383="NEW"),"",INDEX(B3382:B$2,-1+SUMPRODUCT(MAX(ROW(E3382:E$2)*(E3383=E3382:E$2)))))</f>
        <v> </v>
      </c>
      <c r="J3383" s="26" t="str">
        <f>IF(OR(E3383="",E3383="!!!",F3383="NEW"),"",COUNTBLANK(OFFSET(A$1,,,SUMPRODUCT(MAX(ROW(E$2:E3383)*(E3383=E$2:E3383)))))-COUNTBLANK(OFFSET(A$1,,,SUMPRODUCT(MAX(ROW(E$1:E3382)*(E2=E$1:E3382))))))</f>
        <v> </v>
      </c>
      <c r="K3383" s="26" t="str">
        <f>IF(OR(E3383="",E3383="!!!",F3383="NEW"),"",INDEX(J$1:J3382,SUMPRODUCT(MAX(ROW(E$1:E3382)*(E3383=E$1:E3382)))))</f>
        <v> </v>
      </c>
      <c r="L3383" s="27"/>
    </row>
    <row r="3384" spans="1:12">
      <c r="A3384" s="20" t="s">
        <v>965</v>
      </c>
      <c r="E3384" s="22">
        <f>IF(D3384="?OLD","!!!","")</f>
        <v/>
      </c>
      <c r="F3384" s="23" t="str">
        <f>IF(OR(E3384="",E3384="!!!"),"",IF(NOT(ISNA(VLOOKUP(E3384,E$1:E3383,1,FALSE()))),"OLD",IF(AND(E3384&lt;&gt;"",E3384&lt;&gt;"!!!"),"NEW","")))</f>
        <v> </v>
      </c>
      <c r="G3384" s="24" t="str">
        <f>IF(OR(E3384="",E3384="!!!"),"",IF(OR(J3384=0,AND(J3384=1,K3384=1),AND(J3384=1,I3384="SBJ"),AND(J3384=1,I3384=0)),"?IN_FOCUS",IF(J3384&lt;=2,"?ACTIVATED",IF(J3384&lt;&gt;"","?FAMILIAR",IF(F3384="NEW",IF(ISNA(VLOOKUP(E3384,#REF!,1,FALSE())),"?TYPE_IDENTIFIABLE","?REFERENTIAL"),"_")))))</f>
        <v> </v>
      </c>
      <c r="H3384" s="25" t="str">
        <f>IF(J3384&lt;&gt;1,"",IF(I3384="SBJ","CB","?"))</f>
        <v> </v>
      </c>
      <c r="I3384" s="26" t="str">
        <f>IF(OR(E3384="",E3384="!!!",F3384="NEW"),"",INDEX(B3383:B$2,-1+SUMPRODUCT(MAX(ROW(E3383:E$2)*(E3384=E3383:E$2)))))</f>
        <v> </v>
      </c>
      <c r="J3384" s="26" t="str">
        <f>IF(OR(E3384="",E3384="!!!",F3384="NEW"),"",COUNTBLANK(OFFSET(A$1,,,SUMPRODUCT(MAX(ROW(E$2:E3384)*(E3384=E$2:E3384)))))-COUNTBLANK(OFFSET(A$1,,,SUMPRODUCT(MAX(ROW(E$1:E3383)*(E2=E$1:E3383))))))</f>
        <v> </v>
      </c>
      <c r="K3384" s="26" t="str">
        <f>IF(OR(E3384="",E3384="!!!",F3384="NEW"),"",INDEX(J$1:J3383,SUMPRODUCT(MAX(ROW(E$1:E3383)*(E3384=E$1:E3383)))))</f>
        <v> </v>
      </c>
      <c r="L3384" s="27"/>
    </row>
    <row r="3385" spans="1:12">
      <c r="A3385" s="20" t="s">
        <v>117</v>
      </c>
      <c r="E3385" s="22">
        <f>IF(D3385="?OLD","!!!","")</f>
        <v/>
      </c>
      <c r="F3385" s="23" t="str">
        <f>IF(OR(E3385="",E3385="!!!"),"",IF(NOT(ISNA(VLOOKUP(E3385,E$1:E3384,1,FALSE()))),"OLD",IF(AND(E3385&lt;&gt;"",E3385&lt;&gt;"!!!"),"NEW","")))</f>
        <v> </v>
      </c>
      <c r="G3385" s="24" t="str">
        <f>IF(OR(E3385="",E3385="!!!"),"",IF(OR(J3385=0,AND(J3385=1,K3385=1),AND(J3385=1,I3385="SBJ"),AND(J3385=1,I3385=0)),"?IN_FOCUS",IF(J3385&lt;=2,"?ACTIVATED",IF(J3385&lt;&gt;"","?FAMILIAR",IF(F3385="NEW",IF(ISNA(VLOOKUP(E3385,#REF!,1,FALSE())),"?TYPE_IDENTIFIABLE","?REFERENTIAL"),"_")))))</f>
        <v> </v>
      </c>
      <c r="H3385" s="25" t="str">
        <f>IF(J3385&lt;&gt;1,"",IF(I3385="SBJ","CB","?"))</f>
        <v> </v>
      </c>
      <c r="I3385" s="26" t="str">
        <f>IF(OR(E3385="",E3385="!!!",F3385="NEW"),"",INDEX(B3384:B$2,-1+SUMPRODUCT(MAX(ROW(E3384:E$2)*(E3385=E3384:E$2)))))</f>
        <v> </v>
      </c>
      <c r="J3385" s="26" t="str">
        <f>IF(OR(E3385="",E3385="!!!",F3385="NEW"),"",COUNTBLANK(OFFSET(A$1,,,SUMPRODUCT(MAX(ROW(E$2:E3385)*(E3385=E$2:E3385)))))-COUNTBLANK(OFFSET(A$1,,,SUMPRODUCT(MAX(ROW(E$1:E3384)*(E2=E$1:E3384))))))</f>
        <v> </v>
      </c>
      <c r="K3385" s="26" t="str">
        <f>IF(OR(E3385="",E3385="!!!",F3385="NEW"),"",INDEX(J$1:J3384,SUMPRODUCT(MAX(ROW(E$1:E3384)*(E3385=E$1:E3384)))))</f>
        <v> </v>
      </c>
      <c r="L3385" s="27"/>
    </row>
    <row r="3386" spans="1:12">
      <c r="A3386" s="20" t="s">
        <v>1406</v>
      </c>
      <c r="E3386" s="22">
        <f>IF(D3386="?OLD","!!!","")</f>
        <v/>
      </c>
      <c r="F3386" s="23" t="str">
        <f>IF(OR(E3386="",E3386="!!!"),"",IF(NOT(ISNA(VLOOKUP(E3386,E$1:E3385,1,FALSE()))),"OLD",IF(AND(E3386&lt;&gt;"",E3386&lt;&gt;"!!!"),"NEW","")))</f>
        <v> </v>
      </c>
      <c r="G3386" s="24" t="str">
        <f>IF(OR(E3386="",E3386="!!!"),"",IF(OR(J3386=0,AND(J3386=1,K3386=1),AND(J3386=1,I3386="SBJ"),AND(J3386=1,I3386=0)),"?IN_FOCUS",IF(J3386&lt;=2,"?ACTIVATED",IF(J3386&lt;&gt;"","?FAMILIAR",IF(F3386="NEW",IF(ISNA(VLOOKUP(E3386,#REF!,1,FALSE())),"?TYPE_IDENTIFIABLE","?REFERENTIAL"),"_")))))</f>
        <v> </v>
      </c>
      <c r="H3386" s="25" t="str">
        <f>IF(J3386&lt;&gt;1,"",IF(I3386="SBJ","CB","?"))</f>
        <v> </v>
      </c>
      <c r="I3386" s="26" t="str">
        <f>IF(OR(E3386="",E3386="!!!",F3386="NEW"),"",INDEX(B3385:B$2,-1+SUMPRODUCT(MAX(ROW(E3385:E$2)*(E3386=E3385:E$2)))))</f>
        <v> </v>
      </c>
      <c r="J3386" s="26" t="str">
        <f>IF(OR(E3386="",E3386="!!!",F3386="NEW"),"",COUNTBLANK(OFFSET(A$1,,,SUMPRODUCT(MAX(ROW(E$2:E3386)*(E3386=E$2:E3386)))))-COUNTBLANK(OFFSET(A$1,,,SUMPRODUCT(MAX(ROW(E$1:E3385)*(E2=E$1:E3385))))))</f>
        <v> </v>
      </c>
      <c r="K3386" s="26" t="str">
        <f>IF(OR(E3386="",E3386="!!!",F3386="NEW"),"",INDEX(J$1:J3385,SUMPRODUCT(MAX(ROW(E$1:E3385)*(E3386=E$1:E3385)))))</f>
        <v> </v>
      </c>
      <c r="L3386" s="27"/>
    </row>
    <row r="3387" spans="1:12">
      <c r="A3387" s="20" t="s">
        <v>246</v>
      </c>
      <c r="E3387" s="22">
        <f>IF(D3387="?OLD","!!!","")</f>
        <v/>
      </c>
      <c r="F3387" s="23" t="str">
        <f>IF(OR(E3387="",E3387="!!!"),"",IF(NOT(ISNA(VLOOKUP(E3387,E$1:E3386,1,FALSE()))),"OLD",IF(AND(E3387&lt;&gt;"",E3387&lt;&gt;"!!!"),"NEW","")))</f>
        <v> </v>
      </c>
      <c r="G3387" s="24" t="str">
        <f>IF(OR(E3387="",E3387="!!!"),"",IF(OR(J3387=0,AND(J3387=1,K3387=1),AND(J3387=1,I3387="SBJ"),AND(J3387=1,I3387=0)),"?IN_FOCUS",IF(J3387&lt;=2,"?ACTIVATED",IF(J3387&lt;&gt;"","?FAMILIAR",IF(F3387="NEW",IF(ISNA(VLOOKUP(E3387,#REF!,1,FALSE())),"?TYPE_IDENTIFIABLE","?REFERENTIAL"),"_")))))</f>
        <v> </v>
      </c>
      <c r="H3387" s="25" t="str">
        <f>IF(J3387&lt;&gt;1,"",IF(I3387="SBJ","CB","?"))</f>
        <v> </v>
      </c>
      <c r="I3387" s="26" t="str">
        <f>IF(OR(E3387="",E3387="!!!",F3387="NEW"),"",INDEX(B3386:B$2,-1+SUMPRODUCT(MAX(ROW(E3386:E$2)*(E3387=E3386:E$2)))))</f>
        <v> </v>
      </c>
      <c r="J3387" s="26" t="str">
        <f>IF(OR(E3387="",E3387="!!!",F3387="NEW"),"",COUNTBLANK(OFFSET(A$1,,,SUMPRODUCT(MAX(ROW(E$2:E3387)*(E3387=E$2:E3387)))))-COUNTBLANK(OFFSET(A$1,,,SUMPRODUCT(MAX(ROW(E$1:E3386)*(E2=E$1:E3386))))))</f>
        <v> </v>
      </c>
      <c r="K3387" s="26" t="str">
        <f>IF(OR(E3387="",E3387="!!!",F3387="NEW"),"",INDEX(J$1:J3386,SUMPRODUCT(MAX(ROW(E$1:E3386)*(E3387=E$1:E3386)))))</f>
        <v> </v>
      </c>
      <c r="L3387" s="27"/>
    </row>
    <row r="3388" spans="1:12">
      <c r="A3388" s="20" t="s">
        <v>817</v>
      </c>
      <c r="E3388" s="22">
        <f>IF(D3388="?OLD","!!!","")</f>
        <v/>
      </c>
      <c r="F3388" s="23" t="str">
        <f>IF(OR(E3388="",E3388="!!!"),"",IF(NOT(ISNA(VLOOKUP(E3388,E$1:E3387,1,FALSE()))),"OLD",IF(AND(E3388&lt;&gt;"",E3388&lt;&gt;"!!!"),"NEW","")))</f>
        <v> </v>
      </c>
      <c r="G3388" s="24" t="str">
        <f>IF(OR(E3388="",E3388="!!!"),"",IF(OR(J3388=0,AND(J3388=1,K3388=1),AND(J3388=1,I3388="SBJ"),AND(J3388=1,I3388=0)),"?IN_FOCUS",IF(J3388&lt;=2,"?ACTIVATED",IF(J3388&lt;&gt;"","?FAMILIAR",IF(F3388="NEW",IF(ISNA(VLOOKUP(E3388,#REF!,1,FALSE())),"?TYPE_IDENTIFIABLE","?REFERENTIAL"),"_")))))</f>
        <v> </v>
      </c>
      <c r="H3388" s="25" t="str">
        <f>IF(J3388&lt;&gt;1,"",IF(I3388="SBJ","CB","?"))</f>
        <v> </v>
      </c>
      <c r="I3388" s="26" t="str">
        <f>IF(OR(E3388="",E3388="!!!",F3388="NEW"),"",INDEX(B3387:B$2,-1+SUMPRODUCT(MAX(ROW(E3387:E$2)*(E3388=E3387:E$2)))))</f>
        <v> </v>
      </c>
      <c r="J3388" s="26" t="str">
        <f>IF(OR(E3388="",E3388="!!!",F3388="NEW"),"",COUNTBLANK(OFFSET(A$1,,,SUMPRODUCT(MAX(ROW(E$2:E3388)*(E3388=E$2:E3388)))))-COUNTBLANK(OFFSET(A$1,,,SUMPRODUCT(MAX(ROW(E$1:E3387)*(E2=E$1:E3387))))))</f>
        <v> </v>
      </c>
      <c r="K3388" s="26" t="str">
        <f>IF(OR(E3388="",E3388="!!!",F3388="NEW"),"",INDEX(J$1:J3387,SUMPRODUCT(MAX(ROW(E$1:E3387)*(E3388=E$1:E3387)))))</f>
        <v> </v>
      </c>
      <c r="L3388" s="27"/>
    </row>
    <row r="3389" spans="1:12">
      <c r="A3389" s="20"/>
    </row>
    <row r="3390" spans="1:12">
      <c r="A3390" s="20" t="s">
        <v>798</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1915</v>
      </c>
    </row>
    <row r="3392" spans="1:12">
      <c r="A3392" s="20" t="s">
        <v>768</v>
      </c>
      <c r="E3392" s="22">
        <f>IF(D3392="?OLD","!!!","")</f>
        <v/>
      </c>
      <c r="F3392" s="23" t="str">
        <f>IF(OR(E3392="",E3392="!!!"),"",IF(NOT(ISNA(VLOOKUP(E3392,E$1:E3391,1,FALSE()))),"OLD",IF(AND(E3392&lt;&gt;"",E3392&lt;&gt;"!!!"),"NEW","")))</f>
        <v> </v>
      </c>
      <c r="G3392" s="24" t="str">
        <f>IF(OR(E3392="",E3392="!!!"),"",IF(OR(J3392=0,AND(J3392=1,K3392=1),AND(J3392=1,I3392="SBJ"),AND(J3392=1,I3392=0)),"?IN_FOCUS",IF(J3392&lt;=2,"?ACTIVATED",IF(J3392&lt;&gt;"","?FAMILIAR",IF(F3392="NEW",IF(ISNA(VLOOKUP(E3392,#REF!,1,FALSE())),"?TYPE_IDENTIFIABLE","?REFERENTIAL"),"_")))))</f>
        <v> </v>
      </c>
      <c r="H3392" s="25" t="str">
        <f>IF(J3392&lt;&gt;1,"",IF(I3392="SBJ","CB","?"))</f>
        <v> </v>
      </c>
      <c r="I3392" s="26" t="str">
        <f>IF(OR(E3392="",E3392="!!!",F3392="NEW"),"",INDEX(B3391:B$2,-1+SUMPRODUCT(MAX(ROW(E3391:E$2)*(E3392=E3391:E$2)))))</f>
        <v> </v>
      </c>
      <c r="J3392" s="26" t="str">
        <f>IF(OR(E3392="",E3392="!!!",F3392="NEW"),"",COUNTBLANK(OFFSET(A$1,,,SUMPRODUCT(MAX(ROW(E$2:E3392)*(E3392=E$2:E3392)))))-COUNTBLANK(OFFSET(A$1,,,SUMPRODUCT(MAX(ROW(E$1:E3391)*(E2=E$1:E3391))))))</f>
        <v> </v>
      </c>
      <c r="K3392" s="26" t="str">
        <f>IF(OR(E3392="",E3392="!!!",F3392="NEW"),"",INDEX(J$1:J3391,SUMPRODUCT(MAX(ROW(E$1:E3391)*(E3392=E$1:E3391)))))</f>
        <v> </v>
      </c>
      <c r="L3392" s="27"/>
    </row>
    <row r="3393" spans="1:12">
      <c r="A3393" s="20" t="s">
        <v>750</v>
      </c>
      <c r="B3393" s="21" t="s">
        <v>728</v>
      </c>
      <c r="C3393" s="21" t="s">
        <v>729</v>
      </c>
      <c r="D3393" s="21" t="s">
        <v>730</v>
      </c>
      <c r="E3393" s="22">
        <f>IF(D3393="?OLD","!!!","")</f>
        <v/>
      </c>
      <c r="F3393" s="23" t="str">
        <f>IF(OR(E3393="",E3393="!!!"),"",IF(NOT(ISNA(VLOOKUP(E3393,E$1:E3392,1,FALSE()))),"OLD",IF(AND(E3393&lt;&gt;"",E3393&lt;&gt;"!!!"),"NEW","")))</f>
        <v> </v>
      </c>
      <c r="G3393" s="24" t="str">
        <f>IF(OR(E3393="",E3393="!!!"),"",IF(OR(J3393=0,AND(J3393=1,K3393=1),AND(J3393=1,I3393="SBJ"),AND(J3393=1,I3393=0)),"?IN_FOCUS",IF(J3393&lt;=2,"?ACTIVATED",IF(J3393&lt;&gt;"","?FAMILIAR",IF(F3393="NEW",IF(ISNA(VLOOKUP(E3393,#REF!,1,FALSE())),"?TYPE_IDENTIFIABLE","?REFERENTIAL"),"_")))))</f>
        <v> </v>
      </c>
      <c r="H3393" s="25" t="str">
        <f>IF(J3393&lt;&gt;1,"",IF(I3393="SBJ","CB","?"))</f>
        <v> </v>
      </c>
      <c r="I3393" s="26" t="str">
        <f>IF(OR(E3393="",E3393="!!!",F3393="NEW"),"",INDEX(B3392:B$2,-1+SUMPRODUCT(MAX(ROW(E3392:E$2)*(E3393=E3392:E$2)))))</f>
        <v> </v>
      </c>
      <c r="J3393" s="26" t="str">
        <f>IF(OR(E3393="",E3393="!!!",F3393="NEW"),"",COUNTBLANK(OFFSET(A$1,,,SUMPRODUCT(MAX(ROW(E$2:E3393)*(E3393=E$2:E3393)))))-COUNTBLANK(OFFSET(A$1,,,SUMPRODUCT(MAX(ROW(E$1:E3392)*(E2=E$1:E3392))))))</f>
        <v> </v>
      </c>
      <c r="K3393" s="26" t="str">
        <f>IF(OR(E3393="",E3393="!!!",F3393="NEW"),"",INDEX(J$1:J3392,SUMPRODUCT(MAX(ROW(E$1:E3392)*(E3393=E$1:E3392)))))</f>
        <v> </v>
      </c>
      <c r="L3393" s="27"/>
    </row>
    <row r="3394" spans="1:12">
      <c r="A3394" s="20" t="s">
        <v>1916</v>
      </c>
      <c r="E3394" s="22">
        <f>IF(D3394="?OLD","!!!","")</f>
        <v/>
      </c>
      <c r="F3394" s="23" t="str">
        <f>IF(OR(E3394="",E3394="!!!"),"",IF(NOT(ISNA(VLOOKUP(E3394,E$1:E3393,1,FALSE()))),"OLD",IF(AND(E3394&lt;&gt;"",E3394&lt;&gt;"!!!"),"NEW","")))</f>
        <v> </v>
      </c>
      <c r="G3394" s="24" t="str">
        <f>IF(OR(E3394="",E3394="!!!"),"",IF(OR(J3394=0,AND(J3394=1,K3394=1),AND(J3394=1,I3394="SBJ"),AND(J3394=1,I3394=0)),"?IN_FOCUS",IF(J3394&lt;=2,"?ACTIVATED",IF(J3394&lt;&gt;"","?FAMILIAR",IF(F3394="NEW",IF(ISNA(VLOOKUP(E3394,#REF!,1,FALSE())),"?TYPE_IDENTIFIABLE","?REFERENTIAL"),"_")))))</f>
        <v> </v>
      </c>
      <c r="H3394" s="25" t="str">
        <f>IF(J3394&lt;&gt;1,"",IF(I3394="SBJ","CB","?"))</f>
        <v> </v>
      </c>
      <c r="I3394" s="26" t="str">
        <f>IF(OR(E3394="",E3394="!!!",F3394="NEW"),"",INDEX(B3393:B$2,-1+SUMPRODUCT(MAX(ROW(E3393:E$2)*(E3394=E3393:E$2)))))</f>
        <v> </v>
      </c>
      <c r="J3394" s="26" t="str">
        <f>IF(OR(E3394="",E3394="!!!",F3394="NEW"),"",COUNTBLANK(OFFSET(A$1,,,SUMPRODUCT(MAX(ROW(E$2:E3394)*(E3394=E$2:E3394)))))-COUNTBLANK(OFFSET(A$1,,,SUMPRODUCT(MAX(ROW(E$1:E3393)*(E2=E$1:E3393))))))</f>
        <v> </v>
      </c>
      <c r="K3394" s="26" t="str">
        <f>IF(OR(E3394="",E3394="!!!",F3394="NEW"),"",INDEX(J$1:J3393,SUMPRODUCT(MAX(ROW(E$1:E3393)*(E3394=E$1:E3393)))))</f>
        <v> </v>
      </c>
      <c r="L3394" s="27"/>
    </row>
    <row r="3395" spans="1:12">
      <c r="A3395" s="20" t="s">
        <v>1147</v>
      </c>
      <c r="E3395" s="22">
        <f>IF(D3395="?OLD","!!!","")</f>
        <v/>
      </c>
      <c r="F3395" s="23" t="str">
        <f>IF(OR(E3395="",E3395="!!!"),"",IF(NOT(ISNA(VLOOKUP(E3395,E$1:E3394,1,FALSE()))),"OLD",IF(AND(E3395&lt;&gt;"",E3395&lt;&gt;"!!!"),"NEW","")))</f>
        <v> </v>
      </c>
      <c r="G3395" s="24" t="str">
        <f>IF(OR(E3395="",E3395="!!!"),"",IF(OR(J3395=0,AND(J3395=1,K3395=1),AND(J3395=1,I3395="SBJ"),AND(J3395=1,I3395=0)),"?IN_FOCUS",IF(J3395&lt;=2,"?ACTIVATED",IF(J3395&lt;&gt;"","?FAMILIAR",IF(F3395="NEW",IF(ISNA(VLOOKUP(E3395,#REF!,1,FALSE())),"?TYPE_IDENTIFIABLE","?REFERENTIAL"),"_")))))</f>
        <v> </v>
      </c>
      <c r="H3395" s="25" t="str">
        <f>IF(J3395&lt;&gt;1,"",IF(I3395="SBJ","CB","?"))</f>
        <v> </v>
      </c>
      <c r="I3395" s="26" t="str">
        <f>IF(OR(E3395="",E3395="!!!",F3395="NEW"),"",INDEX(B3394:B$2,-1+SUMPRODUCT(MAX(ROW(E3394:E$2)*(E3395=E3394:E$2)))))</f>
        <v> </v>
      </c>
      <c r="J3395" s="26" t="str">
        <f>IF(OR(E3395="",E3395="!!!",F3395="NEW"),"",COUNTBLANK(OFFSET(A$1,,,SUMPRODUCT(MAX(ROW(E$2:E3395)*(E3395=E$2:E3395)))))-COUNTBLANK(OFFSET(A$1,,,SUMPRODUCT(MAX(ROW(E$1:E3394)*(E2=E$1:E3394))))))</f>
        <v> </v>
      </c>
      <c r="K3395" s="26" t="str">
        <f>IF(OR(E3395="",E3395="!!!",F3395="NEW"),"",INDEX(J$1:J3394,SUMPRODUCT(MAX(ROW(E$1:E3394)*(E3395=E$1:E3394)))))</f>
        <v> </v>
      </c>
      <c r="L3395" s="27"/>
    </row>
    <row r="3396" spans="1:12">
      <c r="A3396" s="20" t="s">
        <v>817</v>
      </c>
      <c r="E3396" s="22">
        <f>IF(D3396="?OLD","!!!","")</f>
        <v/>
      </c>
      <c r="F3396" s="23" t="str">
        <f>IF(OR(E3396="",E3396="!!!"),"",IF(NOT(ISNA(VLOOKUP(E3396,E$1:E3395,1,FALSE()))),"OLD",IF(AND(E3396&lt;&gt;"",E3396&lt;&gt;"!!!"),"NEW","")))</f>
        <v> </v>
      </c>
      <c r="G3396" s="24" t="str">
        <f>IF(OR(E3396="",E3396="!!!"),"",IF(OR(J3396=0,AND(J3396=1,K3396=1),AND(J3396=1,I3396="SBJ"),AND(J3396=1,I3396=0)),"?IN_FOCUS",IF(J3396&lt;=2,"?ACTIVATED",IF(J3396&lt;&gt;"","?FAMILIAR",IF(F3396="NEW",IF(ISNA(VLOOKUP(E3396,#REF!,1,FALSE())),"?TYPE_IDENTIFIABLE","?REFERENTIAL"),"_")))))</f>
        <v> </v>
      </c>
      <c r="H3396" s="25" t="str">
        <f>IF(J3396&lt;&gt;1,"",IF(I3396="SBJ","CB","?"))</f>
        <v> </v>
      </c>
      <c r="I3396" s="26" t="str">
        <f>IF(OR(E3396="",E3396="!!!",F3396="NEW"),"",INDEX(B3395:B$2,-1+SUMPRODUCT(MAX(ROW(E3395:E$2)*(E3396=E3395:E$2)))))</f>
        <v> </v>
      </c>
      <c r="J3396" s="26" t="str">
        <f>IF(OR(E3396="",E3396="!!!",F3396="NEW"),"",COUNTBLANK(OFFSET(A$1,,,SUMPRODUCT(MAX(ROW(E$2:E3396)*(E3396=E$2:E3396)))))-COUNTBLANK(OFFSET(A$1,,,SUMPRODUCT(MAX(ROW(E$1:E3395)*(E2=E$1:E3395))))))</f>
        <v> </v>
      </c>
      <c r="K3396" s="26" t="str">
        <f>IF(OR(E3396="",E3396="!!!",F3396="NEW"),"",INDEX(J$1:J3395,SUMPRODUCT(MAX(ROW(E$1:E3395)*(E3396=E$1:E3395)))))</f>
        <v> </v>
      </c>
      <c r="L3396" s="27"/>
    </row>
    <row r="3397" spans="1:12">
      <c r="A3397" s="20" t="s">
        <v>1917</v>
      </c>
      <c r="B3397" s="21" t="s">
        <v>796</v>
      </c>
      <c r="C3397" s="21" t="s">
        <v>748</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t="s">
        <v>1918</v>
      </c>
      <c r="E3398" s="22">
        <f>IF(D3398="?OLD","!!!","")</f>
        <v/>
      </c>
      <c r="F3398" s="23" t="str">
        <f>IF(OR(E3398="",E3398="!!!"),"",IF(NOT(ISNA(VLOOKUP(E3398,E$1:E3397,1,FALSE()))),"OLD",IF(AND(E3398&lt;&gt;"",E3398&lt;&gt;"!!!"),"NEW","")))</f>
        <v> </v>
      </c>
      <c r="G3398" s="24" t="str">
        <f>IF(OR(E3398="",E3398="!!!"),"",IF(OR(J3398=0,AND(J3398=1,K3398=1),AND(J3398=1,I3398="SBJ"),AND(J3398=1,I3398=0)),"?IN_FOCUS",IF(J3398&lt;=2,"?ACTIVATED",IF(J3398&lt;&gt;"","?FAMILIAR",IF(F3398="NEW",IF(ISNA(VLOOKUP(E3398,#REF!,1,FALSE())),"?TYPE_IDENTIFIABLE","?REFERENTIAL"),"_")))))</f>
        <v> </v>
      </c>
      <c r="H3398" s="25" t="str">
        <f>IF(J3398&lt;&gt;1,"",IF(I3398="SBJ","CB","?"))</f>
        <v> </v>
      </c>
      <c r="I3398" s="26" t="str">
        <f>IF(OR(E3398="",E3398="!!!",F3398="NEW"),"",INDEX(B3397:B$2,-1+SUMPRODUCT(MAX(ROW(E3397:E$2)*(E3398=E3397:E$2)))))</f>
        <v> </v>
      </c>
      <c r="J3398" s="26" t="str">
        <f>IF(OR(E3398="",E3398="!!!",F3398="NEW"),"",COUNTBLANK(OFFSET(A$1,,,SUMPRODUCT(MAX(ROW(E$2:E3398)*(E3398=E$2:E3398)))))-COUNTBLANK(OFFSET(A$1,,,SUMPRODUCT(MAX(ROW(E$1:E3397)*(E2=E$1:E3397))))))</f>
        <v> </v>
      </c>
      <c r="K3398" s="26" t="str">
        <f>IF(OR(E3398="",E3398="!!!",F3398="NEW"),"",INDEX(J$1:J3397,SUMPRODUCT(MAX(ROW(E$1:E3397)*(E3398=E$1:E3397)))))</f>
        <v> </v>
      </c>
      <c r="L3398" s="27"/>
    </row>
    <row r="3399" spans="1:12">
      <c r="A3399" s="20" t="s">
        <v>810</v>
      </c>
      <c r="E3399" s="22">
        <f>IF(D3399="?OLD","!!!","")</f>
        <v/>
      </c>
      <c r="F3399" s="23" t="str">
        <f>IF(OR(E3399="",E3399="!!!"),"",IF(NOT(ISNA(VLOOKUP(E3399,E$1:E3398,1,FALSE()))),"OLD",IF(AND(E3399&lt;&gt;"",E3399&lt;&gt;"!!!"),"NEW","")))</f>
        <v> </v>
      </c>
      <c r="G3399" s="24" t="str">
        <f>IF(OR(E3399="",E3399="!!!"),"",IF(OR(J3399=0,AND(J3399=1,K3399=1),AND(J3399=1,I3399="SBJ"),AND(J3399=1,I3399=0)),"?IN_FOCUS",IF(J3399&lt;=2,"?ACTIVATED",IF(J3399&lt;&gt;"","?FAMILIAR",IF(F3399="NEW",IF(ISNA(VLOOKUP(E3399,#REF!,1,FALSE())),"?TYPE_IDENTIFIABLE","?REFERENTIAL"),"_")))))</f>
        <v> </v>
      </c>
      <c r="H3399" s="25" t="str">
        <f>IF(J3399&lt;&gt;1,"",IF(I3399="SBJ","CB","?"))</f>
        <v> </v>
      </c>
      <c r="I3399" s="26" t="str">
        <f>IF(OR(E3399="",E3399="!!!",F3399="NEW"),"",INDEX(B3398:B$2,-1+SUMPRODUCT(MAX(ROW(E3398:E$2)*(E3399=E3398:E$2)))))</f>
        <v> </v>
      </c>
      <c r="J3399" s="26" t="str">
        <f>IF(OR(E3399="",E3399="!!!",F3399="NEW"),"",COUNTBLANK(OFFSET(A$1,,,SUMPRODUCT(MAX(ROW(E$2:E3399)*(E3399=E$2:E3399)))))-COUNTBLANK(OFFSET(A$1,,,SUMPRODUCT(MAX(ROW(E$1:E3398)*(E2=E$1:E3398))))))</f>
        <v> </v>
      </c>
      <c r="K3399" s="26" t="str">
        <f>IF(OR(E3399="",E3399="!!!",F3399="NEW"),"",INDEX(J$1:J3398,SUMPRODUCT(MAX(ROW(E$1:E3398)*(E3399=E$1:E3398)))))</f>
        <v> </v>
      </c>
      <c r="L3399" s="27"/>
    </row>
    <row r="3400" spans="1:12">
      <c r="A3400" s="20" t="s">
        <v>982</v>
      </c>
      <c r="E3400" s="22">
        <f>IF(D3400="?OLD","!!!","")</f>
        <v/>
      </c>
      <c r="F3400" s="23" t="str">
        <f>IF(OR(E3400="",E3400="!!!"),"",IF(NOT(ISNA(VLOOKUP(E3400,E$1:E3399,1,FALSE()))),"OLD",IF(AND(E3400&lt;&gt;"",E3400&lt;&gt;"!!!"),"NEW","")))</f>
        <v> </v>
      </c>
      <c r="G3400" s="24" t="str">
        <f>IF(OR(E3400="",E3400="!!!"),"",IF(OR(J3400=0,AND(J3400=1,K3400=1),AND(J3400=1,I3400="SBJ"),AND(J3400=1,I3400=0)),"?IN_FOCUS",IF(J3400&lt;=2,"?ACTIVATED",IF(J3400&lt;&gt;"","?FAMILIAR",IF(F3400="NEW",IF(ISNA(VLOOKUP(E3400,#REF!,1,FALSE())),"?TYPE_IDENTIFIABLE","?REFERENTIAL"),"_")))))</f>
        <v> </v>
      </c>
      <c r="H3400" s="25" t="str">
        <f>IF(J3400&lt;&gt;1,"",IF(I3400="SBJ","CB","?"))</f>
        <v> </v>
      </c>
      <c r="I3400" s="26" t="str">
        <f>IF(OR(E3400="",E3400="!!!",F3400="NEW"),"",INDEX(B3399:B$2,-1+SUMPRODUCT(MAX(ROW(E3399:E$2)*(E3400=E3399:E$2)))))</f>
        <v> </v>
      </c>
      <c r="J3400" s="26" t="str">
        <f>IF(OR(E3400="",E3400="!!!",F3400="NEW"),"",COUNTBLANK(OFFSET(A$1,,,SUMPRODUCT(MAX(ROW(E$2:E3400)*(E3400=E$2:E3400)))))-COUNTBLANK(OFFSET(A$1,,,SUMPRODUCT(MAX(ROW(E$1:E3399)*(E2=E$1:E3399))))))</f>
        <v> </v>
      </c>
      <c r="K3400" s="26" t="str">
        <f>IF(OR(E3400="",E3400="!!!",F3400="NEW"),"",INDEX(J$1:J3399,SUMPRODUCT(MAX(ROW(E$1:E3399)*(E3400=E$1:E3399)))))</f>
        <v> </v>
      </c>
      <c r="L3400" s="27"/>
    </row>
    <row r="3401" spans="1:12">
      <c r="A3401" s="20" t="s">
        <v>922</v>
      </c>
      <c r="E3401" s="22">
        <f>IF(D3401="?OLD","!!!","")</f>
        <v/>
      </c>
      <c r="F3401" s="23" t="str">
        <f>IF(OR(E3401="",E3401="!!!"),"",IF(NOT(ISNA(VLOOKUP(E3401,E$1:E3400,1,FALSE()))),"OLD",IF(AND(E3401&lt;&gt;"",E3401&lt;&gt;"!!!"),"NEW","")))</f>
        <v> </v>
      </c>
      <c r="G3401" s="24" t="str">
        <f>IF(OR(E3401="",E3401="!!!"),"",IF(OR(J3401=0,AND(J3401=1,K3401=1),AND(J3401=1,I3401="SBJ"),AND(J3401=1,I3401=0)),"?IN_FOCUS",IF(J3401&lt;=2,"?ACTIVATED",IF(J3401&lt;&gt;"","?FAMILIAR",IF(F3401="NEW",IF(ISNA(VLOOKUP(E3401,#REF!,1,FALSE())),"?TYPE_IDENTIFIABLE","?REFERENTIAL"),"_")))))</f>
        <v> </v>
      </c>
      <c r="H3401" s="25" t="str">
        <f>IF(J3401&lt;&gt;1,"",IF(I3401="SBJ","CB","?"))</f>
        <v> </v>
      </c>
      <c r="I3401" s="26" t="str">
        <f>IF(OR(E3401="",E3401="!!!",F3401="NEW"),"",INDEX(B3400:B$2,-1+SUMPRODUCT(MAX(ROW(E3400:E$2)*(E3401=E3400:E$2)))))</f>
        <v> </v>
      </c>
      <c r="J3401" s="26" t="str">
        <f>IF(OR(E3401="",E3401="!!!",F3401="NEW"),"",COUNTBLANK(OFFSET(A$1,,,SUMPRODUCT(MAX(ROW(E$2:E3401)*(E3401=E$2:E3401)))))-COUNTBLANK(OFFSET(A$1,,,SUMPRODUCT(MAX(ROW(E$1:E3400)*(E2=E$1:E3400))))))</f>
        <v> </v>
      </c>
      <c r="K3401" s="26" t="str">
        <f>IF(OR(E3401="",E3401="!!!",F3401="NEW"),"",INDEX(J$1:J3400,SUMPRODUCT(MAX(ROW(E$1:E3400)*(E3401=E$1:E3400)))))</f>
        <v> </v>
      </c>
      <c r="L3401" s="27"/>
    </row>
    <row r="3402" spans="1:12">
      <c r="A3402" s="20" t="s">
        <v>246</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row>
    <row r="3404" spans="1:12">
      <c r="A3404" s="20" t="s">
        <v>1919</v>
      </c>
    </row>
    <row r="3405" spans="1:12">
      <c r="A3405" s="20" t="s">
        <v>883</v>
      </c>
      <c r="B3405" s="21" t="s">
        <v>728</v>
      </c>
      <c r="C3405" s="21" t="s">
        <v>801</v>
      </c>
      <c r="D3405" s="21" t="s">
        <v>730</v>
      </c>
      <c r="E3405" s="22">
        <f>IF(D3405="?OLD","!!!","")</f>
        <v/>
      </c>
      <c r="F3405" s="23" t="str">
        <f>IF(OR(E3405="",E3405="!!!"),"",IF(NOT(ISNA(VLOOKUP(E3405,E$1:E3404,1,FALSE()))),"OLD",IF(AND(E3405&lt;&gt;"",E3405&lt;&gt;"!!!"),"NEW","")))</f>
        <v> </v>
      </c>
      <c r="G3405" s="24" t="str">
        <f>IF(OR(E3405="",E3405="!!!"),"",IF(OR(J3405=0,AND(J3405=1,K3405=1),AND(J3405=1,I3405="SBJ"),AND(J3405=1,I3405=0)),"?IN_FOCUS",IF(J3405&lt;=2,"?ACTIVATED",IF(J3405&lt;&gt;"","?FAMILIAR",IF(F3405="NEW",IF(ISNA(VLOOKUP(E3405,#REF!,1,FALSE())),"?TYPE_IDENTIFIABLE","?REFERENTIAL"),"_")))))</f>
        <v> </v>
      </c>
      <c r="H3405" s="25" t="str">
        <f>IF(J3405&lt;&gt;1,"",IF(I3405="SBJ","CB","?"))</f>
        <v> </v>
      </c>
      <c r="I3405" s="26" t="str">
        <f>IF(OR(E3405="",E3405="!!!",F3405="NEW"),"",INDEX(B3404:B$2,-1+SUMPRODUCT(MAX(ROW(E3404:E$2)*(E3405=E3404:E$2)))))</f>
        <v> </v>
      </c>
      <c r="J3405" s="26" t="str">
        <f>IF(OR(E3405="",E3405="!!!",F3405="NEW"),"",COUNTBLANK(OFFSET(A$1,,,SUMPRODUCT(MAX(ROW(E$2:E3405)*(E3405=E$2:E3405)))))-COUNTBLANK(OFFSET(A$1,,,SUMPRODUCT(MAX(ROW(E$1:E3404)*(E2=E$1:E3404))))))</f>
        <v> </v>
      </c>
      <c r="K3405" s="26" t="str">
        <f>IF(OR(E3405="",E3405="!!!",F3405="NEW"),"",INDEX(J$1:J3404,SUMPRODUCT(MAX(ROW(E$1:E3404)*(E3405=E$1:E3404)))))</f>
        <v> </v>
      </c>
      <c r="L3405" s="27"/>
    </row>
    <row r="3406" spans="1:12">
      <c r="A3406" s="20" t="s">
        <v>678</v>
      </c>
      <c r="E3406" s="22">
        <f>IF(D3406="?OLD","!!!","")</f>
        <v/>
      </c>
      <c r="F3406" s="23" t="str">
        <f>IF(OR(E3406="",E3406="!!!"),"",IF(NOT(ISNA(VLOOKUP(E3406,E$1:E3405,1,FALSE()))),"OLD",IF(AND(E3406&lt;&gt;"",E3406&lt;&gt;"!!!"),"NEW","")))</f>
        <v> </v>
      </c>
      <c r="G3406" s="24" t="str">
        <f>IF(OR(E3406="",E3406="!!!"),"",IF(OR(J3406=0,AND(J3406=1,K3406=1),AND(J3406=1,I3406="SBJ"),AND(J3406=1,I3406=0)),"?IN_FOCUS",IF(J3406&lt;=2,"?ACTIVATED",IF(J3406&lt;&gt;"","?FAMILIAR",IF(F3406="NEW",IF(ISNA(VLOOKUP(E3406,#REF!,1,FALSE())),"?TYPE_IDENTIFIABLE","?REFERENTIAL"),"_")))))</f>
        <v> </v>
      </c>
      <c r="H3406" s="25" t="str">
        <f>IF(J3406&lt;&gt;1,"",IF(I3406="SBJ","CB","?"))</f>
        <v> </v>
      </c>
      <c r="I3406" s="26" t="str">
        <f>IF(OR(E3406="",E3406="!!!",F3406="NEW"),"",INDEX(B3405:B$2,-1+SUMPRODUCT(MAX(ROW(E3405:E$2)*(E3406=E3405:E$2)))))</f>
        <v> </v>
      </c>
      <c r="J3406" s="26" t="str">
        <f>IF(OR(E3406="",E3406="!!!",F3406="NEW"),"",COUNTBLANK(OFFSET(A$1,,,SUMPRODUCT(MAX(ROW(E$2:E3406)*(E3406=E$2:E3406)))))-COUNTBLANK(OFFSET(A$1,,,SUMPRODUCT(MAX(ROW(E$1:E3405)*(E2=E$1:E3405))))))</f>
        <v> </v>
      </c>
      <c r="K3406" s="26" t="str">
        <f>IF(OR(E3406="",E3406="!!!",F3406="NEW"),"",INDEX(J$1:J3405,SUMPRODUCT(MAX(ROW(E$1:E3405)*(E3406=E$1:E3405)))))</f>
        <v> </v>
      </c>
      <c r="L3406" s="27"/>
    </row>
    <row r="3407" spans="1:12">
      <c r="A3407" s="20" t="s">
        <v>1259</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t="s">
        <v>781</v>
      </c>
      <c r="B3408" s="21" t="s">
        <v>764</v>
      </c>
      <c r="C3408" s="21" t="s">
        <v>756</v>
      </c>
      <c r="E3408" s="22">
        <f>IF(D3408="?OLD","!!!","")</f>
        <v/>
      </c>
      <c r="F3408" s="23" t="str">
        <f>IF(OR(E3408="",E3408="!!!"),"",IF(NOT(ISNA(VLOOKUP(E3408,E$1:E3407,1,FALSE()))),"OLD",IF(AND(E3408&lt;&gt;"",E3408&lt;&gt;"!!!"),"NEW","")))</f>
        <v> </v>
      </c>
      <c r="G3408" s="24" t="str">
        <f>IF(OR(E3408="",E3408="!!!"),"",IF(OR(J3408=0,AND(J3408=1,K3408=1),AND(J3408=1,I3408="SBJ"),AND(J3408=1,I3408=0)),"?IN_FOCUS",IF(J3408&lt;=2,"?ACTIVATED",IF(J3408&lt;&gt;"","?FAMILIAR",IF(F3408="NEW",IF(ISNA(VLOOKUP(E3408,#REF!,1,FALSE())),"?TYPE_IDENTIFIABLE","?REFERENTIAL"),"_")))))</f>
        <v> </v>
      </c>
      <c r="H3408" s="25" t="str">
        <f>IF(J3408&lt;&gt;1,"",IF(I3408="SBJ","CB","?"))</f>
        <v> </v>
      </c>
      <c r="I3408" s="26" t="str">
        <f>IF(OR(E3408="",E3408="!!!",F3408="NEW"),"",INDEX(B3407:B$2,-1+SUMPRODUCT(MAX(ROW(E3407:E$2)*(E3408=E3407:E$2)))))</f>
        <v> </v>
      </c>
      <c r="J3408" s="26" t="str">
        <f>IF(OR(E3408="",E3408="!!!",F3408="NEW"),"",COUNTBLANK(OFFSET(A$1,,,SUMPRODUCT(MAX(ROW(E$2:E3408)*(E3408=E$2:E3408)))))-COUNTBLANK(OFFSET(A$1,,,SUMPRODUCT(MAX(ROW(E$1:E3407)*(E2=E$1:E3407))))))</f>
        <v> </v>
      </c>
      <c r="K3408" s="26" t="str">
        <f>IF(OR(E3408="",E3408="!!!",F3408="NEW"),"",INDEX(J$1:J3407,SUMPRODUCT(MAX(ROW(E$1:E3407)*(E3408=E$1:E3407)))))</f>
        <v> </v>
      </c>
      <c r="L3408" s="27"/>
    </row>
    <row r="3409" spans="1:12">
      <c r="A3409" s="20" t="s">
        <v>1107</v>
      </c>
      <c r="E3409" s="22">
        <f>IF(D3409="?OLD","!!!","")</f>
        <v/>
      </c>
      <c r="F3409" s="23" t="str">
        <f>IF(OR(E3409="",E3409="!!!"),"",IF(NOT(ISNA(VLOOKUP(E3409,E$1:E3408,1,FALSE()))),"OLD",IF(AND(E3409&lt;&gt;"",E3409&lt;&gt;"!!!"),"NEW","")))</f>
        <v> </v>
      </c>
      <c r="G3409" s="24" t="str">
        <f>IF(OR(E3409="",E3409="!!!"),"",IF(OR(J3409=0,AND(J3409=1,K3409=1),AND(J3409=1,I3409="SBJ"),AND(J3409=1,I3409=0)),"?IN_FOCUS",IF(J3409&lt;=2,"?ACTIVATED",IF(J3409&lt;&gt;"","?FAMILIAR",IF(F3409="NEW",IF(ISNA(VLOOKUP(E3409,#REF!,1,FALSE())),"?TYPE_IDENTIFIABLE","?REFERENTIAL"),"_")))))</f>
        <v> </v>
      </c>
      <c r="H3409" s="25" t="str">
        <f>IF(J3409&lt;&gt;1,"",IF(I3409="SBJ","CB","?"))</f>
        <v> </v>
      </c>
      <c r="I3409" s="26" t="str">
        <f>IF(OR(E3409="",E3409="!!!",F3409="NEW"),"",INDEX(B3408:B$2,-1+SUMPRODUCT(MAX(ROW(E3408:E$2)*(E3409=E3408:E$2)))))</f>
        <v> </v>
      </c>
      <c r="J3409" s="26" t="str">
        <f>IF(OR(E3409="",E3409="!!!",F3409="NEW"),"",COUNTBLANK(OFFSET(A$1,,,SUMPRODUCT(MAX(ROW(E$2:E3409)*(E3409=E$2:E3409)))))-COUNTBLANK(OFFSET(A$1,,,SUMPRODUCT(MAX(ROW(E$1:E3408)*(E2=E$1:E3408))))))</f>
        <v> </v>
      </c>
      <c r="K3409" s="26" t="str">
        <f>IF(OR(E3409="",E3409="!!!",F3409="NEW"),"",INDEX(J$1:J3408,SUMPRODUCT(MAX(ROW(E$1:E3408)*(E3409=E$1:E3408)))))</f>
        <v> </v>
      </c>
      <c r="L3409" s="27"/>
    </row>
    <row r="3410" spans="1:12">
      <c r="A3410" s="20" t="s">
        <v>1918</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246</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row>
    <row r="3413" spans="1:12">
      <c r="A3413" s="20" t="s">
        <v>1920</v>
      </c>
    </row>
    <row r="3414" spans="1:12">
      <c r="A3414" s="20" t="s">
        <v>1921</v>
      </c>
      <c r="B3414" s="21" t="s">
        <v>728</v>
      </c>
      <c r="C3414" s="21" t="s">
        <v>740</v>
      </c>
      <c r="D3414" s="21" t="s">
        <v>730</v>
      </c>
      <c r="E3414" s="22">
        <f>IF(D3414="?OLD","!!!","")</f>
        <v/>
      </c>
      <c r="F3414" s="23" t="str">
        <f>IF(OR(E3414="",E3414="!!!"),"",IF(NOT(ISNA(VLOOKUP(E3414,E$1:E3413,1,FALSE()))),"OLD",IF(AND(E3414&lt;&gt;"",E3414&lt;&gt;"!!!"),"NEW","")))</f>
        <v> </v>
      </c>
      <c r="G3414" s="24" t="str">
        <f>IF(OR(E3414="",E3414="!!!"),"",IF(OR(J3414=0,AND(J3414=1,K3414=1),AND(J3414=1,I3414="SBJ"),AND(J3414=1,I3414=0)),"?IN_FOCUS",IF(J3414&lt;=2,"?ACTIVATED",IF(J3414&lt;&gt;"","?FAMILIAR",IF(F3414="NEW",IF(ISNA(VLOOKUP(E3414,#REF!,1,FALSE())),"?TYPE_IDENTIFIABLE","?REFERENTIAL"),"_")))))</f>
        <v> </v>
      </c>
      <c r="H3414" s="25" t="str">
        <f>IF(J3414&lt;&gt;1,"",IF(I3414="SBJ","CB","?"))</f>
        <v> </v>
      </c>
      <c r="I3414" s="26" t="str">
        <f>IF(OR(E3414="",E3414="!!!",F3414="NEW"),"",INDEX(B3413:B$2,-1+SUMPRODUCT(MAX(ROW(E3413:E$2)*(E3414=E3413:E$2)))))</f>
        <v> </v>
      </c>
      <c r="J3414" s="26" t="str">
        <f>IF(OR(E3414="",E3414="!!!",F3414="NEW"),"",COUNTBLANK(OFFSET(A$1,,,SUMPRODUCT(MAX(ROW(E$2:E3414)*(E3414=E$2:E3414)))))-COUNTBLANK(OFFSET(A$1,,,SUMPRODUCT(MAX(ROW(E$1:E3413)*(E2=E$1:E3413))))))</f>
        <v> </v>
      </c>
      <c r="K3414" s="26" t="str">
        <f>IF(OR(E3414="",E3414="!!!",F3414="NEW"),"",INDEX(J$1:J3413,SUMPRODUCT(MAX(ROW(E$1:E3413)*(E3414=E$1:E3413)))))</f>
        <v> </v>
      </c>
      <c r="L3414" s="27"/>
    </row>
    <row r="3415" spans="1:12">
      <c r="A3415" s="20" t="s">
        <v>899</v>
      </c>
      <c r="B3415" s="21" t="s">
        <v>764</v>
      </c>
      <c r="C3415" s="21" t="s">
        <v>729</v>
      </c>
      <c r="D3415" s="21" t="s">
        <v>730</v>
      </c>
      <c r="E3415" s="22">
        <f>IF(D3415="?OLD","!!!","")</f>
        <v/>
      </c>
      <c r="F3415" s="23" t="str">
        <f>IF(OR(E3415="",E3415="!!!"),"",IF(NOT(ISNA(VLOOKUP(E3415,E$1:E3414,1,FALSE()))),"OLD",IF(AND(E3415&lt;&gt;"",E3415&lt;&gt;"!!!"),"NEW","")))</f>
        <v> </v>
      </c>
      <c r="G3415" s="24" t="str">
        <f>IF(OR(E3415="",E3415="!!!"),"",IF(OR(J3415=0,AND(J3415=1,K3415=1),AND(J3415=1,I3415="SBJ"),AND(J3415=1,I3415=0)),"?IN_FOCUS",IF(J3415&lt;=2,"?ACTIVATED",IF(J3415&lt;&gt;"","?FAMILIAR",IF(F3415="NEW",IF(ISNA(VLOOKUP(E3415,#REF!,1,FALSE())),"?TYPE_IDENTIFIABLE","?REFERENTIAL"),"_")))))</f>
        <v> </v>
      </c>
      <c r="H3415" s="25" t="str">
        <f>IF(J3415&lt;&gt;1,"",IF(I3415="SBJ","CB","?"))</f>
        <v> </v>
      </c>
      <c r="I3415" s="26" t="str">
        <f>IF(OR(E3415="",E3415="!!!",F3415="NEW"),"",INDEX(B3414:B$2,-1+SUMPRODUCT(MAX(ROW(E3414:E$2)*(E3415=E3414:E$2)))))</f>
        <v> </v>
      </c>
      <c r="J3415" s="26" t="str">
        <f>IF(OR(E3415="",E3415="!!!",F3415="NEW"),"",COUNTBLANK(OFFSET(A$1,,,SUMPRODUCT(MAX(ROW(E$2:E3415)*(E3415=E$2:E3415)))))-COUNTBLANK(OFFSET(A$1,,,SUMPRODUCT(MAX(ROW(E$1:E3414)*(E2=E$1:E3414))))))</f>
        <v> </v>
      </c>
      <c r="K3415" s="26" t="str">
        <f>IF(OR(E3415="",E3415="!!!",F3415="NEW"),"",INDEX(J$1:J3414,SUMPRODUCT(MAX(ROW(E$1:E3414)*(E3415=E$1:E3414)))))</f>
        <v> </v>
      </c>
      <c r="L3415" s="27"/>
    </row>
    <row r="3416" spans="1:12">
      <c r="A3416" s="20" t="s">
        <v>810</v>
      </c>
      <c r="E3416" s="22">
        <f>IF(D3416="?OLD","!!!","")</f>
        <v/>
      </c>
      <c r="F3416" s="23" t="str">
        <f>IF(OR(E3416="",E3416="!!!"),"",IF(NOT(ISNA(VLOOKUP(E3416,E$1:E3415,1,FALSE()))),"OLD",IF(AND(E3416&lt;&gt;"",E3416&lt;&gt;"!!!"),"NEW","")))</f>
        <v> </v>
      </c>
      <c r="G3416" s="24" t="str">
        <f>IF(OR(E3416="",E3416="!!!"),"",IF(OR(J3416=0,AND(J3416=1,K3416=1),AND(J3416=1,I3416="SBJ"),AND(J3416=1,I3416=0)),"?IN_FOCUS",IF(J3416&lt;=2,"?ACTIVATED",IF(J3416&lt;&gt;"","?FAMILIAR",IF(F3416="NEW",IF(ISNA(VLOOKUP(E3416,#REF!,1,FALSE())),"?TYPE_IDENTIFIABLE","?REFERENTIAL"),"_")))))</f>
        <v> </v>
      </c>
      <c r="H3416" s="25" t="str">
        <f>IF(J3416&lt;&gt;1,"",IF(I3416="SBJ","CB","?"))</f>
        <v> </v>
      </c>
      <c r="I3416" s="26" t="str">
        <f>IF(OR(E3416="",E3416="!!!",F3416="NEW"),"",INDEX(B3415:B$2,-1+SUMPRODUCT(MAX(ROW(E3415:E$2)*(E3416=E3415:E$2)))))</f>
        <v> </v>
      </c>
      <c r="J3416" s="26" t="str">
        <f>IF(OR(E3416="",E3416="!!!",F3416="NEW"),"",COUNTBLANK(OFFSET(A$1,,,SUMPRODUCT(MAX(ROW(E$2:E3416)*(E3416=E$2:E3416)))))-COUNTBLANK(OFFSET(A$1,,,SUMPRODUCT(MAX(ROW(E$1:E3415)*(E2=E$1:E3415))))))</f>
        <v> </v>
      </c>
      <c r="K3416" s="26" t="str">
        <f>IF(OR(E3416="",E3416="!!!",F3416="NEW"),"",INDEX(J$1:J3415,SUMPRODUCT(MAX(ROW(E$1:E3415)*(E3416=E$1:E3415)))))</f>
        <v> </v>
      </c>
      <c r="L3416" s="27"/>
    </row>
    <row r="3417" spans="1:12">
      <c r="A3417" s="20" t="s">
        <v>682</v>
      </c>
      <c r="B3417" s="21" t="s">
        <v>736</v>
      </c>
      <c r="C3417" s="21" t="s">
        <v>729</v>
      </c>
      <c r="D3417" s="21" t="s">
        <v>730</v>
      </c>
      <c r="E3417" s="22">
        <f>IF(D3417="?OLD","!!!","")</f>
        <v/>
      </c>
      <c r="F3417" s="23" t="str">
        <f>IF(OR(E3417="",E3417="!!!"),"",IF(NOT(ISNA(VLOOKUP(E3417,E$1:E3416,1,FALSE()))),"OLD",IF(AND(E3417&lt;&gt;"",E3417&lt;&gt;"!!!"),"NEW","")))</f>
        <v> </v>
      </c>
      <c r="G3417" s="24" t="str">
        <f>IF(OR(E3417="",E3417="!!!"),"",IF(OR(J3417=0,AND(J3417=1,K3417=1),AND(J3417=1,I3417="SBJ"),AND(J3417=1,I3417=0)),"?IN_FOCUS",IF(J3417&lt;=2,"?ACTIVATED",IF(J3417&lt;&gt;"","?FAMILIAR",IF(F3417="NEW",IF(ISNA(VLOOKUP(E3417,#REF!,1,FALSE())),"?TYPE_IDENTIFIABLE","?REFERENTIAL"),"_")))))</f>
        <v> </v>
      </c>
      <c r="H3417" s="25" t="str">
        <f>IF(J3417&lt;&gt;1,"",IF(I3417="SBJ","CB","?"))</f>
        <v> </v>
      </c>
      <c r="I3417" s="26" t="str">
        <f>IF(OR(E3417="",E3417="!!!",F3417="NEW"),"",INDEX(B3416:B$2,-1+SUMPRODUCT(MAX(ROW(E3416:E$2)*(E3417=E3416:E$2)))))</f>
        <v> </v>
      </c>
      <c r="J3417" s="26" t="str">
        <f>IF(OR(E3417="",E3417="!!!",F3417="NEW"),"",COUNTBLANK(OFFSET(A$1,,,SUMPRODUCT(MAX(ROW(E$2:E3417)*(E3417=E$2:E3417)))))-COUNTBLANK(OFFSET(A$1,,,SUMPRODUCT(MAX(ROW(E$1:E3416)*(E2=E$1:E3416))))))</f>
        <v> </v>
      </c>
      <c r="K3417" s="26" t="str">
        <f>IF(OR(E3417="",E3417="!!!",F3417="NEW"),"",INDEX(J$1:J3416,SUMPRODUCT(MAX(ROW(E$1:E3416)*(E3417=E$1:E3416)))))</f>
        <v> </v>
      </c>
      <c r="L3417" s="27"/>
    </row>
    <row r="3418" spans="1:12">
      <c r="A3418" s="20" t="s">
        <v>982</v>
      </c>
      <c r="E3418" s="22">
        <f>IF(D3418="?OLD","!!!","")</f>
        <v/>
      </c>
      <c r="F3418" s="23" t="str">
        <f>IF(OR(E3418="",E3418="!!!"),"",IF(NOT(ISNA(VLOOKUP(E3418,E$1:E3417,1,FALSE()))),"OLD",IF(AND(E3418&lt;&gt;"",E3418&lt;&gt;"!!!"),"NEW","")))</f>
        <v> </v>
      </c>
      <c r="G3418" s="24" t="str">
        <f>IF(OR(E3418="",E3418="!!!"),"",IF(OR(J3418=0,AND(J3418=1,K3418=1),AND(J3418=1,I3418="SBJ"),AND(J3418=1,I3418=0)),"?IN_FOCUS",IF(J3418&lt;=2,"?ACTIVATED",IF(J3418&lt;&gt;"","?FAMILIAR",IF(F3418="NEW",IF(ISNA(VLOOKUP(E3418,#REF!,1,FALSE())),"?TYPE_IDENTIFIABLE","?REFERENTIAL"),"_")))))</f>
        <v> </v>
      </c>
      <c r="H3418" s="25" t="str">
        <f>IF(J3418&lt;&gt;1,"",IF(I3418="SBJ","CB","?"))</f>
        <v> </v>
      </c>
      <c r="I3418" s="26" t="str">
        <f>IF(OR(E3418="",E3418="!!!",F3418="NEW"),"",INDEX(B3417:B$2,-1+SUMPRODUCT(MAX(ROW(E3417:E$2)*(E3418=E3417:E$2)))))</f>
        <v> </v>
      </c>
      <c r="J3418" s="26" t="str">
        <f>IF(OR(E3418="",E3418="!!!",F3418="NEW"),"",COUNTBLANK(OFFSET(A$1,,,SUMPRODUCT(MAX(ROW(E$2:E3418)*(E3418=E$2:E3418)))))-COUNTBLANK(OFFSET(A$1,,,SUMPRODUCT(MAX(ROW(E$1:E3417)*(E2=E$1:E3417))))))</f>
        <v> </v>
      </c>
      <c r="K3418" s="26" t="str">
        <f>IF(OR(E3418="",E3418="!!!",F3418="NEW"),"",INDEX(J$1:J3417,SUMPRODUCT(MAX(ROW(E$1:E3417)*(E3418=E$1:E3417)))))</f>
        <v> </v>
      </c>
      <c r="L3418" s="27"/>
    </row>
    <row r="3419" spans="1:12">
      <c r="A3419" s="20" t="s">
        <v>972</v>
      </c>
      <c r="E3419" s="22">
        <f>IF(D3419="?OLD","!!!","")</f>
        <v/>
      </c>
      <c r="F3419" s="23" t="str">
        <f>IF(OR(E3419="",E3419="!!!"),"",IF(NOT(ISNA(VLOOKUP(E3419,E$1:E3418,1,FALSE()))),"OLD",IF(AND(E3419&lt;&gt;"",E3419&lt;&gt;"!!!"),"NEW","")))</f>
        <v> </v>
      </c>
      <c r="G3419" s="24" t="str">
        <f>IF(OR(E3419="",E3419="!!!"),"",IF(OR(J3419=0,AND(J3419=1,K3419=1),AND(J3419=1,I3419="SBJ"),AND(J3419=1,I3419=0)),"?IN_FOCUS",IF(J3419&lt;=2,"?ACTIVATED",IF(J3419&lt;&gt;"","?FAMILIAR",IF(F3419="NEW",IF(ISNA(VLOOKUP(E3419,#REF!,1,FALSE())),"?TYPE_IDENTIFIABLE","?REFERENTIAL"),"_")))))</f>
        <v> </v>
      </c>
      <c r="H3419" s="25" t="str">
        <f>IF(J3419&lt;&gt;1,"",IF(I3419="SBJ","CB","?"))</f>
        <v> </v>
      </c>
      <c r="I3419" s="26" t="str">
        <f>IF(OR(E3419="",E3419="!!!",F3419="NEW"),"",INDEX(B3418:B$2,-1+SUMPRODUCT(MAX(ROW(E3418:E$2)*(E3419=E3418:E$2)))))</f>
        <v> </v>
      </c>
      <c r="J3419" s="26" t="str">
        <f>IF(OR(E3419="",E3419="!!!",F3419="NEW"),"",COUNTBLANK(OFFSET(A$1,,,SUMPRODUCT(MAX(ROW(E$2:E3419)*(E3419=E$2:E3419)))))-COUNTBLANK(OFFSET(A$1,,,SUMPRODUCT(MAX(ROW(E$1:E3418)*(E2=E$1:E3418))))))</f>
        <v> </v>
      </c>
      <c r="K3419" s="26" t="str">
        <f>IF(OR(E3419="",E3419="!!!",F3419="NEW"),"",INDEX(J$1:J3418,SUMPRODUCT(MAX(ROW(E$1:E3418)*(E3419=E$1:E3418)))))</f>
        <v> </v>
      </c>
      <c r="L3419" s="27"/>
    </row>
    <row r="3420" spans="1:12">
      <c r="A3420" s="20" t="s">
        <v>759</v>
      </c>
      <c r="E3420" s="22">
        <f>IF(D3420="?OLD","!!!","")</f>
        <v/>
      </c>
      <c r="F3420" s="23" t="str">
        <f>IF(OR(E3420="",E3420="!!!"),"",IF(NOT(ISNA(VLOOKUP(E3420,E$1:E3419,1,FALSE()))),"OLD",IF(AND(E3420&lt;&gt;"",E3420&lt;&gt;"!!!"),"NEW","")))</f>
        <v> </v>
      </c>
      <c r="G3420" s="24" t="str">
        <f>IF(OR(E3420="",E3420="!!!"),"",IF(OR(J3420=0,AND(J3420=1,K3420=1),AND(J3420=1,I3420="SBJ"),AND(J3420=1,I3420=0)),"?IN_FOCUS",IF(J3420&lt;=2,"?ACTIVATED",IF(J3420&lt;&gt;"","?FAMILIAR",IF(F3420="NEW",IF(ISNA(VLOOKUP(E3420,#REF!,1,FALSE())),"?TYPE_IDENTIFIABLE","?REFERENTIAL"),"_")))))</f>
        <v> </v>
      </c>
      <c r="H3420" s="25" t="str">
        <f>IF(J3420&lt;&gt;1,"",IF(I3420="SBJ","CB","?"))</f>
        <v> </v>
      </c>
      <c r="I3420" s="26" t="str">
        <f>IF(OR(E3420="",E3420="!!!",F3420="NEW"),"",INDEX(B3419:B$2,-1+SUMPRODUCT(MAX(ROW(E3419:E$2)*(E3420=E3419:E$2)))))</f>
        <v> </v>
      </c>
      <c r="J3420" s="26" t="str">
        <f>IF(OR(E3420="",E3420="!!!",F3420="NEW"),"",COUNTBLANK(OFFSET(A$1,,,SUMPRODUCT(MAX(ROW(E$2:E3420)*(E3420=E$2:E3420)))))-COUNTBLANK(OFFSET(A$1,,,SUMPRODUCT(MAX(ROW(E$1:E3419)*(E2=E$1:E3419))))))</f>
        <v> </v>
      </c>
      <c r="K3420" s="26" t="str">
        <f>IF(OR(E3420="",E3420="!!!",F3420="NEW"),"",INDEX(J$1:J3419,SUMPRODUCT(MAX(ROW(E$1:E3419)*(E3420=E$1:E3419)))))</f>
        <v> </v>
      </c>
      <c r="L3420" s="27"/>
    </row>
    <row r="3421" spans="1:12">
      <c r="A3421" s="20" t="s">
        <v>1922</v>
      </c>
      <c r="E3421" s="22">
        <f>IF(D3421="?OLD","!!!","")</f>
        <v/>
      </c>
      <c r="F3421" s="23" t="str">
        <f>IF(OR(E3421="",E3421="!!!"),"",IF(NOT(ISNA(VLOOKUP(E3421,E$1:E3420,1,FALSE()))),"OLD",IF(AND(E3421&lt;&gt;"",E3421&lt;&gt;"!!!"),"NEW","")))</f>
        <v> </v>
      </c>
      <c r="G3421" s="24" t="str">
        <f>IF(OR(E3421="",E3421="!!!"),"",IF(OR(J3421=0,AND(J3421=1,K3421=1),AND(J3421=1,I3421="SBJ"),AND(J3421=1,I3421=0)),"?IN_FOCUS",IF(J3421&lt;=2,"?ACTIVATED",IF(J3421&lt;&gt;"","?FAMILIAR",IF(F3421="NEW",IF(ISNA(VLOOKUP(E3421,#REF!,1,FALSE())),"?TYPE_IDENTIFIABLE","?REFERENTIAL"),"_")))))</f>
        <v> </v>
      </c>
      <c r="H3421" s="25" t="str">
        <f>IF(J3421&lt;&gt;1,"",IF(I3421="SBJ","CB","?"))</f>
        <v> </v>
      </c>
      <c r="I3421" s="26" t="str">
        <f>IF(OR(E3421="",E3421="!!!",F3421="NEW"),"",INDEX(B3420:B$2,-1+SUMPRODUCT(MAX(ROW(E3420:E$2)*(E3421=E3420:E$2)))))</f>
        <v> </v>
      </c>
      <c r="J3421" s="26" t="str">
        <f>IF(OR(E3421="",E3421="!!!",F3421="NEW"),"",COUNTBLANK(OFFSET(A$1,,,SUMPRODUCT(MAX(ROW(E$2:E3421)*(E3421=E$2:E3421)))))-COUNTBLANK(OFFSET(A$1,,,SUMPRODUCT(MAX(ROW(E$1:E3420)*(E2=E$1:E3420))))))</f>
        <v> </v>
      </c>
      <c r="K3421" s="26" t="str">
        <f>IF(OR(E3421="",E3421="!!!",F3421="NEW"),"",INDEX(J$1:J3420,SUMPRODUCT(MAX(ROW(E$1:E3420)*(E3421=E$1:E3420)))))</f>
        <v> </v>
      </c>
      <c r="L3421" s="27"/>
    </row>
    <row r="3422" spans="1:12">
      <c r="A3422" s="20" t="s">
        <v>810</v>
      </c>
      <c r="E3422" s="22">
        <f>IF(D3422="?OLD","!!!","")</f>
        <v/>
      </c>
      <c r="F3422" s="23" t="str">
        <f>IF(OR(E3422="",E3422="!!!"),"",IF(NOT(ISNA(VLOOKUP(E3422,E$1:E3421,1,FALSE()))),"OLD",IF(AND(E3422&lt;&gt;"",E3422&lt;&gt;"!!!"),"NEW","")))</f>
        <v> </v>
      </c>
      <c r="G3422" s="24" t="str">
        <f>IF(OR(E3422="",E3422="!!!"),"",IF(OR(J3422=0,AND(J3422=1,K3422=1),AND(J3422=1,I3422="SBJ"),AND(J3422=1,I3422=0)),"?IN_FOCUS",IF(J3422&lt;=2,"?ACTIVATED",IF(J3422&lt;&gt;"","?FAMILIAR",IF(F3422="NEW",IF(ISNA(VLOOKUP(E3422,#REF!,1,FALSE())),"?TYPE_IDENTIFIABLE","?REFERENTIAL"),"_")))))</f>
        <v> </v>
      </c>
      <c r="H3422" s="25" t="str">
        <f>IF(J3422&lt;&gt;1,"",IF(I3422="SBJ","CB","?"))</f>
        <v> </v>
      </c>
      <c r="I3422" s="26" t="str">
        <f>IF(OR(E3422="",E3422="!!!",F3422="NEW"),"",INDEX(B3421:B$2,-1+SUMPRODUCT(MAX(ROW(E3421:E$2)*(E3422=E3421:E$2)))))</f>
        <v> </v>
      </c>
      <c r="J3422" s="26" t="str">
        <f>IF(OR(E3422="",E3422="!!!",F3422="NEW"),"",COUNTBLANK(OFFSET(A$1,,,SUMPRODUCT(MAX(ROW(E$2:E3422)*(E3422=E$2:E3422)))))-COUNTBLANK(OFFSET(A$1,,,SUMPRODUCT(MAX(ROW(E$1:E3421)*(E2=E$1:E3421))))))</f>
        <v> </v>
      </c>
      <c r="K3422" s="26" t="str">
        <f>IF(OR(E3422="",E3422="!!!",F3422="NEW"),"",INDEX(J$1:J3421,SUMPRODUCT(MAX(ROW(E$1:E3421)*(E3422=E$1:E3421)))))</f>
        <v> </v>
      </c>
      <c r="L3422" s="27"/>
    </row>
    <row r="3423" spans="1:12">
      <c r="A3423" s="20" t="s">
        <v>1923</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t="s">
        <v>804</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t="s">
        <v>982</v>
      </c>
      <c r="E3425" s="22">
        <f>IF(D3425="?OLD","!!!","")</f>
        <v/>
      </c>
      <c r="F3425" s="23" t="str">
        <f>IF(OR(E3425="",E3425="!!!"),"",IF(NOT(ISNA(VLOOKUP(E3425,E$1:E3424,1,FALSE()))),"OLD",IF(AND(E3425&lt;&gt;"",E3425&lt;&gt;"!!!"),"NEW","")))</f>
        <v> </v>
      </c>
      <c r="G3425" s="24" t="str">
        <f>IF(OR(E3425="",E3425="!!!"),"",IF(OR(J3425=0,AND(J3425=1,K3425=1),AND(J3425=1,I3425="SBJ"),AND(J3425=1,I3425=0)),"?IN_FOCUS",IF(J3425&lt;=2,"?ACTIVATED",IF(J3425&lt;&gt;"","?FAMILIAR",IF(F3425="NEW",IF(ISNA(VLOOKUP(E3425,#REF!,1,FALSE())),"?TYPE_IDENTIFIABLE","?REFERENTIAL"),"_")))))</f>
        <v> </v>
      </c>
      <c r="H3425" s="25" t="str">
        <f>IF(J3425&lt;&gt;1,"",IF(I3425="SBJ","CB","?"))</f>
        <v> </v>
      </c>
      <c r="I3425" s="26" t="str">
        <f>IF(OR(E3425="",E3425="!!!",F3425="NEW"),"",INDEX(B3424:B$2,-1+SUMPRODUCT(MAX(ROW(E3424:E$2)*(E3425=E3424:E$2)))))</f>
        <v> </v>
      </c>
      <c r="J3425" s="26" t="str">
        <f>IF(OR(E3425="",E3425="!!!",F3425="NEW"),"",COUNTBLANK(OFFSET(A$1,,,SUMPRODUCT(MAX(ROW(E$2:E3425)*(E3425=E$2:E3425)))))-COUNTBLANK(OFFSET(A$1,,,SUMPRODUCT(MAX(ROW(E$1:E3424)*(E2=E$1:E3424))))))</f>
        <v> </v>
      </c>
      <c r="K3425" s="26" t="str">
        <f>IF(OR(E3425="",E3425="!!!",F3425="NEW"),"",INDEX(J$1:J3424,SUMPRODUCT(MAX(ROW(E$1:E3424)*(E3425=E$1:E3424)))))</f>
        <v> </v>
      </c>
      <c r="L3425" s="27"/>
    </row>
    <row r="3426" spans="1:12">
      <c r="A3426" s="20" t="s">
        <v>246</v>
      </c>
      <c r="E3426" s="22">
        <f>IF(D3426="?OLD","!!!","")</f>
        <v/>
      </c>
      <c r="F3426" s="23" t="str">
        <f>IF(OR(E3426="",E3426="!!!"),"",IF(NOT(ISNA(VLOOKUP(E3426,E$1:E3425,1,FALSE()))),"OLD",IF(AND(E3426&lt;&gt;"",E3426&lt;&gt;"!!!"),"NEW","")))</f>
        <v> </v>
      </c>
      <c r="G3426" s="24" t="str">
        <f>IF(OR(E3426="",E3426="!!!"),"",IF(OR(J3426=0,AND(J3426=1,K3426=1),AND(J3426=1,I3426="SBJ"),AND(J3426=1,I3426=0)),"?IN_FOCUS",IF(J3426&lt;=2,"?ACTIVATED",IF(J3426&lt;&gt;"","?FAMILIAR",IF(F3426="NEW",IF(ISNA(VLOOKUP(E3426,#REF!,1,FALSE())),"?TYPE_IDENTIFIABLE","?REFERENTIAL"),"_")))))</f>
        <v> </v>
      </c>
      <c r="H3426" s="25" t="str">
        <f>IF(J3426&lt;&gt;1,"",IF(I3426="SBJ","CB","?"))</f>
        <v> </v>
      </c>
      <c r="I3426" s="26" t="str">
        <f>IF(OR(E3426="",E3426="!!!",F3426="NEW"),"",INDEX(B3425:B$2,-1+SUMPRODUCT(MAX(ROW(E3425:E$2)*(E3426=E3425:E$2)))))</f>
        <v> </v>
      </c>
      <c r="J3426" s="26" t="str">
        <f>IF(OR(E3426="",E3426="!!!",F3426="NEW"),"",COUNTBLANK(OFFSET(A$1,,,SUMPRODUCT(MAX(ROW(E$2:E3426)*(E3426=E$2:E3426)))))-COUNTBLANK(OFFSET(A$1,,,SUMPRODUCT(MAX(ROW(E$1:E3425)*(E2=E$1:E3425))))))</f>
        <v> </v>
      </c>
      <c r="K3426" s="26" t="str">
        <f>IF(OR(E3426="",E3426="!!!",F3426="NEW"),"",INDEX(J$1:J3425,SUMPRODUCT(MAX(ROW(E$1:E3425)*(E3426=E$1:E3425)))))</f>
        <v> </v>
      </c>
      <c r="L3426" s="27"/>
    </row>
    <row r="3427" spans="1:12">
      <c r="A3427" s="20"/>
    </row>
    <row r="3428" spans="1:12">
      <c r="A3428" s="20" t="s">
        <v>798</v>
      </c>
      <c r="E3428" s="22">
        <f>IF(D3428="?OLD","!!!","")</f>
        <v/>
      </c>
      <c r="F3428" s="23" t="str">
        <f>IF(OR(E3428="",E3428="!!!"),"",IF(NOT(ISNA(VLOOKUP(E3428,E$1:E3427,1,FALSE()))),"OLD",IF(AND(E3428&lt;&gt;"",E3428&lt;&gt;"!!!"),"NEW","")))</f>
        <v> </v>
      </c>
      <c r="G3428" s="24" t="str">
        <f>IF(OR(E3428="",E3428="!!!"),"",IF(OR(J3428=0,AND(J3428=1,K3428=1),AND(J3428=1,I3428="SBJ"),AND(J3428=1,I3428=0)),"?IN_FOCUS",IF(J3428&lt;=2,"?ACTIVATED",IF(J3428&lt;&gt;"","?FAMILIAR",IF(F3428="NEW",IF(ISNA(VLOOKUP(E3428,#REF!,1,FALSE())),"?TYPE_IDENTIFIABLE","?REFERENTIAL"),"_")))))</f>
        <v> </v>
      </c>
      <c r="H3428" s="25" t="str">
        <f>IF(J3428&lt;&gt;1,"",IF(I3428="SBJ","CB","?"))</f>
        <v> </v>
      </c>
      <c r="I3428" s="26" t="str">
        <f>IF(OR(E3428="",E3428="!!!",F3428="NEW"),"",INDEX(B3427:B$2,-1+SUMPRODUCT(MAX(ROW(E3427:E$2)*(E3428=E3427:E$2)))))</f>
        <v> </v>
      </c>
      <c r="J3428" s="26" t="str">
        <f>IF(OR(E3428="",E3428="!!!",F3428="NEW"),"",COUNTBLANK(OFFSET(A$1,,,SUMPRODUCT(MAX(ROW(E$2:E3428)*(E3428=E$2:E3428)))))-COUNTBLANK(OFFSET(A$1,,,SUMPRODUCT(MAX(ROW(E$1:E3427)*(E2=E$1:E3427))))))</f>
        <v> </v>
      </c>
      <c r="K3428" s="26" t="str">
        <f>IF(OR(E3428="",E3428="!!!",F3428="NEW"),"",INDEX(J$1:J3427,SUMPRODUCT(MAX(ROW(E$1:E3427)*(E3428=E$1:E3427)))))</f>
        <v> </v>
      </c>
      <c r="L3428" s="27"/>
    </row>
    <row r="3429" spans="1:12">
      <c r="A3429" s="20" t="s">
        <v>1924</v>
      </c>
    </row>
    <row r="3430" spans="1:12">
      <c r="A3430" s="20" t="s">
        <v>1925</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1926</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t="s">
        <v>1927</v>
      </c>
      <c r="B3432" s="21" t="s">
        <v>736</v>
      </c>
      <c r="C3432" s="21" t="s">
        <v>748</v>
      </c>
      <c r="E3432" s="22">
        <f>IF(D3432="?OLD","!!!","")</f>
        <v/>
      </c>
      <c r="F3432" s="23" t="str">
        <f>IF(OR(E3432="",E3432="!!!"),"",IF(NOT(ISNA(VLOOKUP(E3432,E$1:E3431,1,FALSE()))),"OLD",IF(AND(E3432&lt;&gt;"",E3432&lt;&gt;"!!!"),"NEW","")))</f>
        <v> </v>
      </c>
      <c r="G3432" s="24" t="str">
        <f>IF(OR(E3432="",E3432="!!!"),"",IF(OR(J3432=0,AND(J3432=1,K3432=1),AND(J3432=1,I3432="SBJ"),AND(J3432=1,I3432=0)),"?IN_FOCUS",IF(J3432&lt;=2,"?ACTIVATED",IF(J3432&lt;&gt;"","?FAMILIAR",IF(F3432="NEW",IF(ISNA(VLOOKUP(E3432,#REF!,1,FALSE())),"?TYPE_IDENTIFIABLE","?REFERENTIAL"),"_")))))</f>
        <v> </v>
      </c>
      <c r="H3432" s="25" t="str">
        <f>IF(J3432&lt;&gt;1,"",IF(I3432="SBJ","CB","?"))</f>
        <v> </v>
      </c>
      <c r="I3432" s="26" t="str">
        <f>IF(OR(E3432="",E3432="!!!",F3432="NEW"),"",INDEX(B3431:B$2,-1+SUMPRODUCT(MAX(ROW(E3431:E$2)*(E3432=E3431:E$2)))))</f>
        <v> </v>
      </c>
      <c r="J3432" s="26" t="str">
        <f>IF(OR(E3432="",E3432="!!!",F3432="NEW"),"",COUNTBLANK(OFFSET(A$1,,,SUMPRODUCT(MAX(ROW(E$2:E3432)*(E3432=E$2:E3432)))))-COUNTBLANK(OFFSET(A$1,,,SUMPRODUCT(MAX(ROW(E$1:E3431)*(E2=E$1:E3431))))))</f>
        <v> </v>
      </c>
      <c r="K3432" s="26" t="str">
        <f>IF(OR(E3432="",E3432="!!!",F3432="NEW"),"",INDEX(J$1:J3431,SUMPRODUCT(MAX(ROW(E$1:E3431)*(E3432=E$1:E3431)))))</f>
        <v> </v>
      </c>
      <c r="L3432" s="27"/>
    </row>
    <row r="3433" spans="1:12">
      <c r="A3433" s="20" t="s">
        <v>742</v>
      </c>
      <c r="E3433" s="22">
        <f>IF(D3433="?OLD","!!!","")</f>
        <v/>
      </c>
      <c r="F3433" s="23" t="str">
        <f>IF(OR(E3433="",E3433="!!!"),"",IF(NOT(ISNA(VLOOKUP(E3433,E$1:E3432,1,FALSE()))),"OLD",IF(AND(E3433&lt;&gt;"",E3433&lt;&gt;"!!!"),"NEW","")))</f>
        <v> </v>
      </c>
      <c r="G3433" s="24" t="str">
        <f>IF(OR(E3433="",E3433="!!!"),"",IF(OR(J3433=0,AND(J3433=1,K3433=1),AND(J3433=1,I3433="SBJ"),AND(J3433=1,I3433=0)),"?IN_FOCUS",IF(J3433&lt;=2,"?ACTIVATED",IF(J3433&lt;&gt;"","?FAMILIAR",IF(F3433="NEW",IF(ISNA(VLOOKUP(E3433,#REF!,1,FALSE())),"?TYPE_IDENTIFIABLE","?REFERENTIAL"),"_")))))</f>
        <v> </v>
      </c>
      <c r="H3433" s="25" t="str">
        <f>IF(J3433&lt;&gt;1,"",IF(I3433="SBJ","CB","?"))</f>
        <v> </v>
      </c>
      <c r="I3433" s="26" t="str">
        <f>IF(OR(E3433="",E3433="!!!",F3433="NEW"),"",INDEX(B3432:B$2,-1+SUMPRODUCT(MAX(ROW(E3432:E$2)*(E3433=E3432:E$2)))))</f>
        <v> </v>
      </c>
      <c r="J3433" s="26" t="str">
        <f>IF(OR(E3433="",E3433="!!!",F3433="NEW"),"",COUNTBLANK(OFFSET(A$1,,,SUMPRODUCT(MAX(ROW(E$2:E3433)*(E3433=E$2:E3433)))))-COUNTBLANK(OFFSET(A$1,,,SUMPRODUCT(MAX(ROW(E$1:E3432)*(E2=E$1:E3432))))))</f>
        <v> </v>
      </c>
      <c r="K3433" s="26" t="str">
        <f>IF(OR(E3433="",E3433="!!!",F3433="NEW"),"",INDEX(J$1:J3432,SUMPRODUCT(MAX(ROW(E$1:E3432)*(E3433=E$1:E3432)))))</f>
        <v> </v>
      </c>
      <c r="L3433" s="27"/>
    </row>
    <row r="3434" spans="1:12">
      <c r="A3434" s="20" t="s">
        <v>1918</v>
      </c>
      <c r="E3434" s="22">
        <f>IF(D3434="?OLD","!!!","")</f>
        <v/>
      </c>
      <c r="F3434" s="23" t="str">
        <f>IF(OR(E3434="",E3434="!!!"),"",IF(NOT(ISNA(VLOOKUP(E3434,E$1:E3433,1,FALSE()))),"OLD",IF(AND(E3434&lt;&gt;"",E3434&lt;&gt;"!!!"),"NEW","")))</f>
        <v> </v>
      </c>
      <c r="G3434" s="24" t="str">
        <f>IF(OR(E3434="",E3434="!!!"),"",IF(OR(J3434=0,AND(J3434=1,K3434=1),AND(J3434=1,I3434="SBJ"),AND(J3434=1,I3434=0)),"?IN_FOCUS",IF(J3434&lt;=2,"?ACTIVATED",IF(J3434&lt;&gt;"","?FAMILIAR",IF(F3434="NEW",IF(ISNA(VLOOKUP(E3434,#REF!,1,FALSE())),"?TYPE_IDENTIFIABLE","?REFERENTIAL"),"_")))))</f>
        <v> </v>
      </c>
      <c r="H3434" s="25" t="str">
        <f>IF(J3434&lt;&gt;1,"",IF(I3434="SBJ","CB","?"))</f>
        <v> </v>
      </c>
      <c r="I3434" s="26" t="str">
        <f>IF(OR(E3434="",E3434="!!!",F3434="NEW"),"",INDEX(B3433:B$2,-1+SUMPRODUCT(MAX(ROW(E3433:E$2)*(E3434=E3433:E$2)))))</f>
        <v> </v>
      </c>
      <c r="J3434" s="26" t="str">
        <f>IF(OR(E3434="",E3434="!!!",F3434="NEW"),"",COUNTBLANK(OFFSET(A$1,,,SUMPRODUCT(MAX(ROW(E$2:E3434)*(E3434=E$2:E3434)))))-COUNTBLANK(OFFSET(A$1,,,SUMPRODUCT(MAX(ROW(E$1:E3433)*(E2=E$1:E3433))))))</f>
        <v> </v>
      </c>
      <c r="K3434" s="26" t="str">
        <f>IF(OR(E3434="",E3434="!!!",F3434="NEW"),"",INDEX(J$1:J3433,SUMPRODUCT(MAX(ROW(E$1:E3433)*(E3434=E$1:E3433)))))</f>
        <v> </v>
      </c>
      <c r="L3434" s="27"/>
    </row>
    <row r="3435" spans="1:12">
      <c r="A3435" s="20" t="s">
        <v>246</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t="s">
        <v>817</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row>
    <row r="3438" spans="1:12">
      <c r="A3438" s="20" t="s">
        <v>798</v>
      </c>
      <c r="E3438" s="22">
        <f>IF(D3438="?OLD","!!!","")</f>
        <v/>
      </c>
      <c r="F3438" s="23" t="str">
        <f>IF(OR(E3438="",E3438="!!!"),"",IF(NOT(ISNA(VLOOKUP(E3438,E$1:E3437,1,FALSE()))),"OLD",IF(AND(E3438&lt;&gt;"",E3438&lt;&gt;"!!!"),"NEW","")))</f>
        <v> </v>
      </c>
      <c r="G3438" s="24" t="str">
        <f>IF(OR(E3438="",E3438="!!!"),"",IF(OR(J3438=0,AND(J3438=1,K3438=1),AND(J3438=1,I3438="SBJ"),AND(J3438=1,I3438=0)),"?IN_FOCUS",IF(J3438&lt;=2,"?ACTIVATED",IF(J3438&lt;&gt;"","?FAMILIAR",IF(F3438="NEW",IF(ISNA(VLOOKUP(E3438,#REF!,1,FALSE())),"?TYPE_IDENTIFIABLE","?REFERENTIAL"),"_")))))</f>
        <v> </v>
      </c>
      <c r="H3438" s="25" t="str">
        <f>IF(J3438&lt;&gt;1,"",IF(I3438="SBJ","CB","?"))</f>
        <v> </v>
      </c>
      <c r="I3438" s="26" t="str">
        <f>IF(OR(E3438="",E3438="!!!",F3438="NEW"),"",INDEX(B3437:B$2,-1+SUMPRODUCT(MAX(ROW(E3437:E$2)*(E3438=E3437:E$2)))))</f>
        <v> </v>
      </c>
      <c r="J3438" s="26" t="str">
        <f>IF(OR(E3438="",E3438="!!!",F3438="NEW"),"",COUNTBLANK(OFFSET(A$1,,,SUMPRODUCT(MAX(ROW(E$2:E3438)*(E3438=E$2:E3438)))))-COUNTBLANK(OFFSET(A$1,,,SUMPRODUCT(MAX(ROW(E$1:E3437)*(E2=E$1:E3437))))))</f>
        <v> </v>
      </c>
      <c r="K3438" s="26" t="str">
        <f>IF(OR(E3438="",E3438="!!!",F3438="NEW"),"",INDEX(J$1:J3437,SUMPRODUCT(MAX(ROW(E$1:E3437)*(E3438=E$1:E3437)))))</f>
        <v> </v>
      </c>
      <c r="L3438" s="27"/>
    </row>
    <row r="3439" spans="1:12">
      <c r="A3439" s="20" t="s">
        <v>1928</v>
      </c>
    </row>
    <row r="3440" spans="1:12">
      <c r="A3440" s="20" t="s">
        <v>958</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1681</v>
      </c>
      <c r="B3441" s="21" t="s">
        <v>728</v>
      </c>
      <c r="C3441" s="21" t="s">
        <v>740</v>
      </c>
      <c r="D3441" s="21" t="s">
        <v>730</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884</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944</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t="s">
        <v>1054</v>
      </c>
      <c r="E3444" s="22">
        <f>IF(D3444="?OLD","!!!","")</f>
        <v/>
      </c>
      <c r="F3444" s="23" t="str">
        <f>IF(OR(E3444="",E3444="!!!"),"",IF(NOT(ISNA(VLOOKUP(E3444,E$1:E3443,1,FALSE()))),"OLD",IF(AND(E3444&lt;&gt;"",E3444&lt;&gt;"!!!"),"NEW","")))</f>
        <v> </v>
      </c>
      <c r="G3444" s="24" t="str">
        <f>IF(OR(E3444="",E3444="!!!"),"",IF(OR(J3444=0,AND(J3444=1,K3444=1),AND(J3444=1,I3444="SBJ"),AND(J3444=1,I3444=0)),"?IN_FOCUS",IF(J3444&lt;=2,"?ACTIVATED",IF(J3444&lt;&gt;"","?FAMILIAR",IF(F3444="NEW",IF(ISNA(VLOOKUP(E3444,#REF!,1,FALSE())),"?TYPE_IDENTIFIABLE","?REFERENTIAL"),"_")))))</f>
        <v> </v>
      </c>
      <c r="H3444" s="25" t="str">
        <f>IF(J3444&lt;&gt;1,"",IF(I3444="SBJ","CB","?"))</f>
        <v> </v>
      </c>
      <c r="I3444" s="26" t="str">
        <f>IF(OR(E3444="",E3444="!!!",F3444="NEW"),"",INDEX(B3443:B$2,-1+SUMPRODUCT(MAX(ROW(E3443:E$2)*(E3444=E3443:E$2)))))</f>
        <v> </v>
      </c>
      <c r="J3444" s="26" t="str">
        <f>IF(OR(E3444="",E3444="!!!",F3444="NEW"),"",COUNTBLANK(OFFSET(A$1,,,SUMPRODUCT(MAX(ROW(E$2:E3444)*(E3444=E$2:E3444)))))-COUNTBLANK(OFFSET(A$1,,,SUMPRODUCT(MAX(ROW(E$1:E3443)*(E2=E$1:E3443))))))</f>
        <v> </v>
      </c>
      <c r="K3444" s="26" t="str">
        <f>IF(OR(E3444="",E3444="!!!",F3444="NEW"),"",INDEX(J$1:J3443,SUMPRODUCT(MAX(ROW(E$1:E3443)*(E3444=E$1:E3443)))))</f>
        <v> </v>
      </c>
      <c r="L3444" s="27"/>
    </row>
    <row r="3445" spans="1:12">
      <c r="A3445" s="20" t="s">
        <v>1929</v>
      </c>
      <c r="B3445" s="21" t="s">
        <v>764</v>
      </c>
      <c r="C3445" s="21" t="s">
        <v>737</v>
      </c>
      <c r="E3445" s="22">
        <f>IF(D3445="?OLD","!!!","")</f>
        <v/>
      </c>
      <c r="F3445" s="23" t="str">
        <f>IF(OR(E3445="",E3445="!!!"),"",IF(NOT(ISNA(VLOOKUP(E3445,E$1:E3444,1,FALSE()))),"OLD",IF(AND(E3445&lt;&gt;"",E3445&lt;&gt;"!!!"),"NEW","")))</f>
        <v> </v>
      </c>
      <c r="G3445" s="24" t="str">
        <f>IF(OR(E3445="",E3445="!!!"),"",IF(OR(J3445=0,AND(J3445=1,K3445=1),AND(J3445=1,I3445="SBJ"),AND(J3445=1,I3445=0)),"?IN_FOCUS",IF(J3445&lt;=2,"?ACTIVATED",IF(J3445&lt;&gt;"","?FAMILIAR",IF(F3445="NEW",IF(ISNA(VLOOKUP(E3445,#REF!,1,FALSE())),"?TYPE_IDENTIFIABLE","?REFERENTIAL"),"_")))))</f>
        <v> </v>
      </c>
      <c r="H3445" s="25" t="str">
        <f>IF(J3445&lt;&gt;1,"",IF(I3445="SBJ","CB","?"))</f>
        <v> </v>
      </c>
      <c r="I3445" s="26" t="str">
        <f>IF(OR(E3445="",E3445="!!!",F3445="NEW"),"",INDEX(B3444:B$2,-1+SUMPRODUCT(MAX(ROW(E3444:E$2)*(E3445=E3444:E$2)))))</f>
        <v> </v>
      </c>
      <c r="J3445" s="26" t="str">
        <f>IF(OR(E3445="",E3445="!!!",F3445="NEW"),"",COUNTBLANK(OFFSET(A$1,,,SUMPRODUCT(MAX(ROW(E$2:E3445)*(E3445=E$2:E3445)))))-COUNTBLANK(OFFSET(A$1,,,SUMPRODUCT(MAX(ROW(E$1:E3444)*(E2=E$1:E3444))))))</f>
        <v> </v>
      </c>
      <c r="K3445" s="26" t="str">
        <f>IF(OR(E3445="",E3445="!!!",F3445="NEW"),"",INDEX(J$1:J3444,SUMPRODUCT(MAX(ROW(E$1:E3444)*(E3445=E$1:E3444)))))</f>
        <v> </v>
      </c>
      <c r="L3445" s="27"/>
    </row>
    <row r="3446" spans="1:12">
      <c r="A3446" s="20" t="s">
        <v>1147</v>
      </c>
      <c r="E3446" s="22">
        <f>IF(D3446="?OLD","!!!","")</f>
        <v/>
      </c>
      <c r="F3446" s="23" t="str">
        <f>IF(OR(E3446="",E3446="!!!"),"",IF(NOT(ISNA(VLOOKUP(E3446,E$1:E3445,1,FALSE()))),"OLD",IF(AND(E3446&lt;&gt;"",E3446&lt;&gt;"!!!"),"NEW","")))</f>
        <v> </v>
      </c>
      <c r="G3446" s="24" t="str">
        <f>IF(OR(E3446="",E3446="!!!"),"",IF(OR(J3446=0,AND(J3446=1,K3446=1),AND(J3446=1,I3446="SBJ"),AND(J3446=1,I3446=0)),"?IN_FOCUS",IF(J3446&lt;=2,"?ACTIVATED",IF(J3446&lt;&gt;"","?FAMILIAR",IF(F3446="NEW",IF(ISNA(VLOOKUP(E3446,#REF!,1,FALSE())),"?TYPE_IDENTIFIABLE","?REFERENTIAL"),"_")))))</f>
        <v> </v>
      </c>
      <c r="H3446" s="25" t="str">
        <f>IF(J3446&lt;&gt;1,"",IF(I3446="SBJ","CB","?"))</f>
        <v> </v>
      </c>
      <c r="I3446" s="26" t="str">
        <f>IF(OR(E3446="",E3446="!!!",F3446="NEW"),"",INDEX(B3445:B$2,-1+SUMPRODUCT(MAX(ROW(E3445:E$2)*(E3446=E3445:E$2)))))</f>
        <v> </v>
      </c>
      <c r="J3446" s="26" t="str">
        <f>IF(OR(E3446="",E3446="!!!",F3446="NEW"),"",COUNTBLANK(OFFSET(A$1,,,SUMPRODUCT(MAX(ROW(E$2:E3446)*(E3446=E$2:E3446)))))-COUNTBLANK(OFFSET(A$1,,,SUMPRODUCT(MAX(ROW(E$1:E3445)*(E2=E$1:E3445))))))</f>
        <v> </v>
      </c>
      <c r="K3446" s="26" t="str">
        <f>IF(OR(E3446="",E3446="!!!",F3446="NEW"),"",INDEX(J$1:J3445,SUMPRODUCT(MAX(ROW(E$1:E3445)*(E3446=E$1:E3445)))))</f>
        <v> </v>
      </c>
      <c r="L3446" s="27"/>
    </row>
    <row r="3447" spans="1:12">
      <c r="A3447" s="20" t="s">
        <v>817</v>
      </c>
      <c r="E3447" s="22">
        <f>IF(D3447="?OLD","!!!","")</f>
        <v/>
      </c>
      <c r="F3447" s="23" t="str">
        <f>IF(OR(E3447="",E3447="!!!"),"",IF(NOT(ISNA(VLOOKUP(E3447,E$1:E3446,1,FALSE()))),"OLD",IF(AND(E3447&lt;&gt;"",E3447&lt;&gt;"!!!"),"NEW","")))</f>
        <v> </v>
      </c>
      <c r="G3447" s="24" t="str">
        <f>IF(OR(E3447="",E3447="!!!"),"",IF(OR(J3447=0,AND(J3447=1,K3447=1),AND(J3447=1,I3447="SBJ"),AND(J3447=1,I3447=0)),"?IN_FOCUS",IF(J3447&lt;=2,"?ACTIVATED",IF(J3447&lt;&gt;"","?FAMILIAR",IF(F3447="NEW",IF(ISNA(VLOOKUP(E3447,#REF!,1,FALSE())),"?TYPE_IDENTIFIABLE","?REFERENTIAL"),"_")))))</f>
        <v> </v>
      </c>
      <c r="H3447" s="25" t="str">
        <f>IF(J3447&lt;&gt;1,"",IF(I3447="SBJ","CB","?"))</f>
        <v> </v>
      </c>
      <c r="I3447" s="26" t="str">
        <f>IF(OR(E3447="",E3447="!!!",F3447="NEW"),"",INDEX(B3446:B$2,-1+SUMPRODUCT(MAX(ROW(E3446:E$2)*(E3447=E3446:E$2)))))</f>
        <v> </v>
      </c>
      <c r="J3447" s="26" t="str">
        <f>IF(OR(E3447="",E3447="!!!",F3447="NEW"),"",COUNTBLANK(OFFSET(A$1,,,SUMPRODUCT(MAX(ROW(E$2:E3447)*(E3447=E$2:E3447)))))-COUNTBLANK(OFFSET(A$1,,,SUMPRODUCT(MAX(ROW(E$1:E3446)*(E2=E$1:E3446))))))</f>
        <v> </v>
      </c>
      <c r="K3447" s="26" t="str">
        <f>IF(OR(E3447="",E3447="!!!",F3447="NEW"),"",INDEX(J$1:J3446,SUMPRODUCT(MAX(ROW(E$1:E3446)*(E3447=E$1:E3446)))))</f>
        <v> </v>
      </c>
      <c r="L3447" s="27"/>
    </row>
    <row r="3448" spans="1:12">
      <c r="A3448" s="20" t="s">
        <v>1930</v>
      </c>
      <c r="B3448" s="21" t="s">
        <v>788</v>
      </c>
      <c r="C3448" s="21" t="s">
        <v>748</v>
      </c>
      <c r="E3448" s="22">
        <f>IF(D3448="?OLD","!!!","")</f>
        <v/>
      </c>
      <c r="F3448" s="23" t="str">
        <f>IF(OR(E3448="",E3448="!!!"),"",IF(NOT(ISNA(VLOOKUP(E3448,E$1:E3447,1,FALSE()))),"OLD",IF(AND(E3448&lt;&gt;"",E3448&lt;&gt;"!!!"),"NEW","")))</f>
        <v> </v>
      </c>
      <c r="G3448" s="24" t="str">
        <f>IF(OR(E3448="",E3448="!!!"),"",IF(OR(J3448=0,AND(J3448=1,K3448=1),AND(J3448=1,I3448="SBJ"),AND(J3448=1,I3448=0)),"?IN_FOCUS",IF(J3448&lt;=2,"?ACTIVATED",IF(J3448&lt;&gt;"","?FAMILIAR",IF(F3448="NEW",IF(ISNA(VLOOKUP(E3448,#REF!,1,FALSE())),"?TYPE_IDENTIFIABLE","?REFERENTIAL"),"_")))))</f>
        <v> </v>
      </c>
      <c r="H3448" s="25" t="str">
        <f>IF(J3448&lt;&gt;1,"",IF(I3448="SBJ","CB","?"))</f>
        <v> </v>
      </c>
      <c r="I3448" s="26" t="str">
        <f>IF(OR(E3448="",E3448="!!!",F3448="NEW"),"",INDEX(B3447:B$2,-1+SUMPRODUCT(MAX(ROW(E3447:E$2)*(E3448=E3447:E$2)))))</f>
        <v> </v>
      </c>
      <c r="J3448" s="26" t="str">
        <f>IF(OR(E3448="",E3448="!!!",F3448="NEW"),"",COUNTBLANK(OFFSET(A$1,,,SUMPRODUCT(MAX(ROW(E$2:E3448)*(E3448=E$2:E3448)))))-COUNTBLANK(OFFSET(A$1,,,SUMPRODUCT(MAX(ROW(E$1:E3447)*(E2=E$1:E3447))))))</f>
        <v> </v>
      </c>
      <c r="K3448" s="26" t="str">
        <f>IF(OR(E3448="",E3448="!!!",F3448="NEW"),"",INDEX(J$1:J3447,SUMPRODUCT(MAX(ROW(E$1:E3447)*(E3448=E$1:E3447)))))</f>
        <v> </v>
      </c>
      <c r="L3448" s="27"/>
    </row>
    <row r="3449" spans="1:12">
      <c r="A3449" s="20" t="s">
        <v>1087</v>
      </c>
      <c r="E3449" s="22">
        <f>IF(D3449="?OLD","!!!","")</f>
        <v/>
      </c>
      <c r="F3449" s="23" t="str">
        <f>IF(OR(E3449="",E3449="!!!"),"",IF(NOT(ISNA(VLOOKUP(E3449,E$1:E3448,1,FALSE()))),"OLD",IF(AND(E3449&lt;&gt;"",E3449&lt;&gt;"!!!"),"NEW","")))</f>
        <v> </v>
      </c>
      <c r="G3449" s="24" t="str">
        <f>IF(OR(E3449="",E3449="!!!"),"",IF(OR(J3449=0,AND(J3449=1,K3449=1),AND(J3449=1,I3449="SBJ"),AND(J3449=1,I3449=0)),"?IN_FOCUS",IF(J3449&lt;=2,"?ACTIVATED",IF(J3449&lt;&gt;"","?FAMILIAR",IF(F3449="NEW",IF(ISNA(VLOOKUP(E3449,#REF!,1,FALSE())),"?TYPE_IDENTIFIABLE","?REFERENTIAL"),"_")))))</f>
        <v> </v>
      </c>
      <c r="H3449" s="25" t="str">
        <f>IF(J3449&lt;&gt;1,"",IF(I3449="SBJ","CB","?"))</f>
        <v> </v>
      </c>
      <c r="I3449" s="26" t="str">
        <f>IF(OR(E3449="",E3449="!!!",F3449="NEW"),"",INDEX(B3448:B$2,-1+SUMPRODUCT(MAX(ROW(E3448:E$2)*(E3449=E3448:E$2)))))</f>
        <v> </v>
      </c>
      <c r="J3449" s="26" t="str">
        <f>IF(OR(E3449="",E3449="!!!",F3449="NEW"),"",COUNTBLANK(OFFSET(A$1,,,SUMPRODUCT(MAX(ROW(E$2:E3449)*(E3449=E$2:E3449)))))-COUNTBLANK(OFFSET(A$1,,,SUMPRODUCT(MAX(ROW(E$1:E3448)*(E2=E$1:E3448))))))</f>
        <v> </v>
      </c>
      <c r="K3449" s="26" t="str">
        <f>IF(OR(E3449="",E3449="!!!",F3449="NEW"),"",INDEX(J$1:J3448,SUMPRODUCT(MAX(ROW(E$1:E3448)*(E3449=E$1:E3448)))))</f>
        <v> </v>
      </c>
      <c r="L3449" s="27"/>
    </row>
    <row r="3450" spans="1:12">
      <c r="A3450" s="20" t="s">
        <v>1094</v>
      </c>
      <c r="B3450" s="21" t="s">
        <v>755</v>
      </c>
      <c r="C3450" s="21" t="s">
        <v>789</v>
      </c>
      <c r="D3450" s="21" t="s">
        <v>730</v>
      </c>
      <c r="E3450" s="22">
        <f>IF(D3450="?OLD","!!!","")</f>
        <v/>
      </c>
      <c r="F3450" s="23" t="str">
        <f>IF(OR(E3450="",E3450="!!!"),"",IF(NOT(ISNA(VLOOKUP(E3450,E$1:E3449,1,FALSE()))),"OLD",IF(AND(E3450&lt;&gt;"",E3450&lt;&gt;"!!!"),"NEW","")))</f>
        <v> </v>
      </c>
      <c r="G3450" s="24" t="str">
        <f>IF(OR(E3450="",E3450="!!!"),"",IF(OR(J3450=0,AND(J3450=1,K3450=1),AND(J3450=1,I3450="SBJ"),AND(J3450=1,I3450=0)),"?IN_FOCUS",IF(J3450&lt;=2,"?ACTIVATED",IF(J3450&lt;&gt;"","?FAMILIAR",IF(F3450="NEW",IF(ISNA(VLOOKUP(E3450,#REF!,1,FALSE())),"?TYPE_IDENTIFIABLE","?REFERENTIAL"),"_")))))</f>
        <v> </v>
      </c>
      <c r="H3450" s="25" t="str">
        <f>IF(J3450&lt;&gt;1,"",IF(I3450="SBJ","CB","?"))</f>
        <v> </v>
      </c>
      <c r="I3450" s="26" t="str">
        <f>IF(OR(E3450="",E3450="!!!",F3450="NEW"),"",INDEX(B3449:B$2,-1+SUMPRODUCT(MAX(ROW(E3449:E$2)*(E3450=E3449:E$2)))))</f>
        <v> </v>
      </c>
      <c r="J3450" s="26" t="str">
        <f>IF(OR(E3450="",E3450="!!!",F3450="NEW"),"",COUNTBLANK(OFFSET(A$1,,,SUMPRODUCT(MAX(ROW(E$2:E3450)*(E3450=E$2:E3450)))))-COUNTBLANK(OFFSET(A$1,,,SUMPRODUCT(MAX(ROW(E$1:E3449)*(E2=E$1:E3449))))))</f>
        <v> </v>
      </c>
      <c r="K3450" s="26" t="str">
        <f>IF(OR(E3450="",E3450="!!!",F3450="NEW"),"",INDEX(J$1:J3449,SUMPRODUCT(MAX(ROW(E$1:E3449)*(E3450=E$1:E3449)))))</f>
        <v> </v>
      </c>
      <c r="L3450" s="27"/>
    </row>
    <row r="3451" spans="1:12">
      <c r="A3451" s="20" t="s">
        <v>1931</v>
      </c>
      <c r="B3451" s="21" t="s">
        <v>739</v>
      </c>
      <c r="C3451" s="21" t="s">
        <v>967</v>
      </c>
      <c r="E3451" s="22">
        <f>IF(D3451="?OLD","!!!","")</f>
        <v/>
      </c>
      <c r="F3451" s="23" t="str">
        <f>IF(OR(E3451="",E3451="!!!"),"",IF(NOT(ISNA(VLOOKUP(E3451,E$1:E3450,1,FALSE()))),"OLD",IF(AND(E3451&lt;&gt;"",E3451&lt;&gt;"!!!"),"NEW","")))</f>
        <v> </v>
      </c>
      <c r="G3451" s="24" t="str">
        <f>IF(OR(E3451="",E3451="!!!"),"",IF(OR(J3451=0,AND(J3451=1,K3451=1),AND(J3451=1,I3451="SBJ"),AND(J3451=1,I3451=0)),"?IN_FOCUS",IF(J3451&lt;=2,"?ACTIVATED",IF(J3451&lt;&gt;"","?FAMILIAR",IF(F3451="NEW",IF(ISNA(VLOOKUP(E3451,#REF!,1,FALSE())),"?TYPE_IDENTIFIABLE","?REFERENTIAL"),"_")))))</f>
        <v> </v>
      </c>
      <c r="H3451" s="25" t="str">
        <f>IF(J3451&lt;&gt;1,"",IF(I3451="SBJ","CB","?"))</f>
        <v> </v>
      </c>
      <c r="I3451" s="26" t="str">
        <f>IF(OR(E3451="",E3451="!!!",F3451="NEW"),"",INDEX(B3450:B$2,-1+SUMPRODUCT(MAX(ROW(E3450:E$2)*(E3451=E3450:E$2)))))</f>
        <v> </v>
      </c>
      <c r="J3451" s="26" t="str">
        <f>IF(OR(E3451="",E3451="!!!",F3451="NEW"),"",COUNTBLANK(OFFSET(A$1,,,SUMPRODUCT(MAX(ROW(E$2:E3451)*(E3451=E$2:E3451)))))-COUNTBLANK(OFFSET(A$1,,,SUMPRODUCT(MAX(ROW(E$1:E3450)*(E2=E$1:E3450))))))</f>
        <v> </v>
      </c>
      <c r="K3451" s="26" t="str">
        <f>IF(OR(E3451="",E3451="!!!",F3451="NEW"),"",INDEX(J$1:J3450,SUMPRODUCT(MAX(ROW(E$1:E3450)*(E3451=E$1:E3450)))))</f>
        <v> </v>
      </c>
      <c r="L3451" s="27"/>
    </row>
    <row r="3452" spans="1:12">
      <c r="A3452" s="20" t="s">
        <v>246</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t="s">
        <v>817</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row>
    <row r="3455" spans="1:12">
      <c r="A3455" s="20" t="s">
        <v>1932</v>
      </c>
    </row>
    <row r="3456" spans="1:12">
      <c r="A3456" s="20" t="s">
        <v>994</v>
      </c>
      <c r="E3456" s="22">
        <f>IF(D3456="?OLD","!!!","")</f>
        <v/>
      </c>
      <c r="F3456" s="23" t="str">
        <f>IF(OR(E3456="",E3456="!!!"),"",IF(NOT(ISNA(VLOOKUP(E3456,E$1:E3455,1,FALSE()))),"OLD",IF(AND(E3456&lt;&gt;"",E3456&lt;&gt;"!!!"),"NEW","")))</f>
        <v> </v>
      </c>
      <c r="G3456" s="24" t="str">
        <f>IF(OR(E3456="",E3456="!!!"),"",IF(OR(J3456=0,AND(J3456=1,K3456=1),AND(J3456=1,I3456="SBJ"),AND(J3456=1,I3456=0)),"?IN_FOCUS",IF(J3456&lt;=2,"?ACTIVATED",IF(J3456&lt;&gt;"","?FAMILIAR",IF(F3456="NEW",IF(ISNA(VLOOKUP(E3456,#REF!,1,FALSE())),"?TYPE_IDENTIFIABLE","?REFERENTIAL"),"_")))))</f>
        <v> </v>
      </c>
      <c r="H3456" s="25" t="str">
        <f>IF(J3456&lt;&gt;1,"",IF(I3456="SBJ","CB","?"))</f>
        <v> </v>
      </c>
      <c r="I3456" s="26" t="str">
        <f>IF(OR(E3456="",E3456="!!!",F3456="NEW"),"",INDEX(B3455:B$2,-1+SUMPRODUCT(MAX(ROW(E3455:E$2)*(E3456=E3455:E$2)))))</f>
        <v> </v>
      </c>
      <c r="J3456" s="26" t="str">
        <f>IF(OR(E3456="",E3456="!!!",F3456="NEW"),"",COUNTBLANK(OFFSET(A$1,,,SUMPRODUCT(MAX(ROW(E$2:E3456)*(E3456=E$2:E3456)))))-COUNTBLANK(OFFSET(A$1,,,SUMPRODUCT(MAX(ROW(E$1:E3455)*(E2=E$1:E3455))))))</f>
        <v> </v>
      </c>
      <c r="K3456" s="26" t="str">
        <f>IF(OR(E3456="",E3456="!!!",F3456="NEW"),"",INDEX(J$1:J3455,SUMPRODUCT(MAX(ROW(E$1:E3455)*(E3456=E$1:E3455)))))</f>
        <v> </v>
      </c>
      <c r="L3456" s="27"/>
    </row>
    <row r="3457" spans="1:12">
      <c r="A3457" s="20" t="s">
        <v>773</v>
      </c>
      <c r="E3457" s="22">
        <f>IF(D3457="?OLD","!!!","")</f>
        <v/>
      </c>
      <c r="F3457" s="23" t="str">
        <f>IF(OR(E3457="",E3457="!!!"),"",IF(NOT(ISNA(VLOOKUP(E3457,E$1:E3456,1,FALSE()))),"OLD",IF(AND(E3457&lt;&gt;"",E3457&lt;&gt;"!!!"),"NEW","")))</f>
        <v> </v>
      </c>
      <c r="G3457" s="24" t="str">
        <f>IF(OR(E3457="",E3457="!!!"),"",IF(OR(J3457=0,AND(J3457=1,K3457=1),AND(J3457=1,I3457="SBJ"),AND(J3457=1,I3457=0)),"?IN_FOCUS",IF(J3457&lt;=2,"?ACTIVATED",IF(J3457&lt;&gt;"","?FAMILIAR",IF(F3457="NEW",IF(ISNA(VLOOKUP(E3457,#REF!,1,FALSE())),"?TYPE_IDENTIFIABLE","?REFERENTIAL"),"_")))))</f>
        <v> </v>
      </c>
      <c r="H3457" s="25" t="str">
        <f>IF(J3457&lt;&gt;1,"",IF(I3457="SBJ","CB","?"))</f>
        <v> </v>
      </c>
      <c r="I3457" s="26" t="str">
        <f>IF(OR(E3457="",E3457="!!!",F3457="NEW"),"",INDEX(B3456:B$2,-1+SUMPRODUCT(MAX(ROW(E3456:E$2)*(E3457=E3456:E$2)))))</f>
        <v> </v>
      </c>
      <c r="J3457" s="26" t="str">
        <f>IF(OR(E3457="",E3457="!!!",F3457="NEW"),"",COUNTBLANK(OFFSET(A$1,,,SUMPRODUCT(MAX(ROW(E$2:E3457)*(E3457=E$2:E3457)))))-COUNTBLANK(OFFSET(A$1,,,SUMPRODUCT(MAX(ROW(E$1:E3456)*(E2=E$1:E3456))))))</f>
        <v> </v>
      </c>
      <c r="K3457" s="26" t="str">
        <f>IF(OR(E3457="",E3457="!!!",F3457="NEW"),"",INDEX(J$1:J3456,SUMPRODUCT(MAX(ROW(E$1:E3456)*(E3457=E$1:E3456)))))</f>
        <v> </v>
      </c>
      <c r="L3457" s="27"/>
    </row>
    <row r="3458" spans="1:12">
      <c r="A3458" s="20" t="s">
        <v>757</v>
      </c>
      <c r="E3458" s="22">
        <f>IF(D3458="?OLD","!!!","")</f>
        <v/>
      </c>
      <c r="F3458" s="23" t="str">
        <f>IF(OR(E3458="",E3458="!!!"),"",IF(NOT(ISNA(VLOOKUP(E3458,E$1:E3457,1,FALSE()))),"OLD",IF(AND(E3458&lt;&gt;"",E3458&lt;&gt;"!!!"),"NEW","")))</f>
        <v> </v>
      </c>
      <c r="G3458" s="24" t="str">
        <f>IF(OR(E3458="",E3458="!!!"),"",IF(OR(J3458=0,AND(J3458=1,K3458=1),AND(J3458=1,I3458="SBJ"),AND(J3458=1,I3458=0)),"?IN_FOCUS",IF(J3458&lt;=2,"?ACTIVATED",IF(J3458&lt;&gt;"","?FAMILIAR",IF(F3458="NEW",IF(ISNA(VLOOKUP(E3458,#REF!,1,FALSE())),"?TYPE_IDENTIFIABLE","?REFERENTIAL"),"_")))))</f>
        <v> </v>
      </c>
      <c r="H3458" s="25" t="str">
        <f>IF(J3458&lt;&gt;1,"",IF(I3458="SBJ","CB","?"))</f>
        <v> </v>
      </c>
      <c r="I3458" s="26" t="str">
        <f>IF(OR(E3458="",E3458="!!!",F3458="NEW"),"",INDEX(B3457:B$2,-1+SUMPRODUCT(MAX(ROW(E3457:E$2)*(E3458=E3457:E$2)))))</f>
        <v> </v>
      </c>
      <c r="J3458" s="26" t="str">
        <f>IF(OR(E3458="",E3458="!!!",F3458="NEW"),"",COUNTBLANK(OFFSET(A$1,,,SUMPRODUCT(MAX(ROW(E$2:E3458)*(E3458=E$2:E3458)))))-COUNTBLANK(OFFSET(A$1,,,SUMPRODUCT(MAX(ROW(E$1:E3457)*(E2=E$1:E3457))))))</f>
        <v> </v>
      </c>
      <c r="K3458" s="26" t="str">
        <f>IF(OR(E3458="",E3458="!!!",F3458="NEW"),"",INDEX(J$1:J3457,SUMPRODUCT(MAX(ROW(E$1:E3457)*(E3458=E$1:E3457)))))</f>
        <v> </v>
      </c>
      <c r="L3458" s="27"/>
    </row>
    <row r="3459" spans="1:12">
      <c r="A3459" s="20" t="s">
        <v>1933</v>
      </c>
      <c r="B3459" s="21" t="s">
        <v>736</v>
      </c>
      <c r="C3459" s="21" t="s">
        <v>753</v>
      </c>
      <c r="D3459" s="21" t="s">
        <v>730</v>
      </c>
      <c r="E3459" s="22">
        <f>IF(D3459="?OLD","!!!","")</f>
        <v/>
      </c>
      <c r="F3459" s="23" t="str">
        <f>IF(OR(E3459="",E3459="!!!"),"",IF(NOT(ISNA(VLOOKUP(E3459,E$1:E3458,1,FALSE()))),"OLD",IF(AND(E3459&lt;&gt;"",E3459&lt;&gt;"!!!"),"NEW","")))</f>
        <v> </v>
      </c>
      <c r="G3459" s="24" t="str">
        <f>IF(OR(E3459="",E3459="!!!"),"",IF(OR(J3459=0,AND(J3459=1,K3459=1),AND(J3459=1,I3459="SBJ"),AND(J3459=1,I3459=0)),"?IN_FOCUS",IF(J3459&lt;=2,"?ACTIVATED",IF(J3459&lt;&gt;"","?FAMILIAR",IF(F3459="NEW",IF(ISNA(VLOOKUP(E3459,#REF!,1,FALSE())),"?TYPE_IDENTIFIABLE","?REFERENTIAL"),"_")))))</f>
        <v> </v>
      </c>
      <c r="H3459" s="25" t="str">
        <f>IF(J3459&lt;&gt;1,"",IF(I3459="SBJ","CB","?"))</f>
        <v> </v>
      </c>
      <c r="I3459" s="26" t="str">
        <f>IF(OR(E3459="",E3459="!!!",F3459="NEW"),"",INDEX(B3458:B$2,-1+SUMPRODUCT(MAX(ROW(E3458:E$2)*(E3459=E3458:E$2)))))</f>
        <v> </v>
      </c>
      <c r="J3459" s="26" t="str">
        <f>IF(OR(E3459="",E3459="!!!",F3459="NEW"),"",COUNTBLANK(OFFSET(A$1,,,SUMPRODUCT(MAX(ROW(E$2:E3459)*(E3459=E$2:E3459)))))-COUNTBLANK(OFFSET(A$1,,,SUMPRODUCT(MAX(ROW(E$1:E3458)*(E2=E$1:E3458))))))</f>
        <v> </v>
      </c>
      <c r="K3459" s="26" t="str">
        <f>IF(OR(E3459="",E3459="!!!",F3459="NEW"),"",INDEX(J$1:J3458,SUMPRODUCT(MAX(ROW(E$1:E3458)*(E3459=E$1:E3458)))))</f>
        <v> </v>
      </c>
      <c r="L3459" s="27"/>
    </row>
    <row r="3460" spans="1:12">
      <c r="A3460" s="20" t="s">
        <v>785</v>
      </c>
      <c r="E3460" s="22">
        <f>IF(D3460="?OLD","!!!","")</f>
        <v/>
      </c>
      <c r="F3460" s="23" t="str">
        <f>IF(OR(E3460="",E3460="!!!"),"",IF(NOT(ISNA(VLOOKUP(E3460,E$1:E3459,1,FALSE()))),"OLD",IF(AND(E3460&lt;&gt;"",E3460&lt;&gt;"!!!"),"NEW","")))</f>
        <v> </v>
      </c>
      <c r="G3460" s="24" t="str">
        <f>IF(OR(E3460="",E3460="!!!"),"",IF(OR(J3460=0,AND(J3460=1,K3460=1),AND(J3460=1,I3460="SBJ"),AND(J3460=1,I3460=0)),"?IN_FOCUS",IF(J3460&lt;=2,"?ACTIVATED",IF(J3460&lt;&gt;"","?FAMILIAR",IF(F3460="NEW",IF(ISNA(VLOOKUP(E3460,#REF!,1,FALSE())),"?TYPE_IDENTIFIABLE","?REFERENTIAL"),"_")))))</f>
        <v> </v>
      </c>
      <c r="H3460" s="25" t="str">
        <f>IF(J3460&lt;&gt;1,"",IF(I3460="SBJ","CB","?"))</f>
        <v> </v>
      </c>
      <c r="I3460" s="26" t="str">
        <f>IF(OR(E3460="",E3460="!!!",F3460="NEW"),"",INDEX(B3459:B$2,-1+SUMPRODUCT(MAX(ROW(E3459:E$2)*(E3460=E3459:E$2)))))</f>
        <v> </v>
      </c>
      <c r="J3460" s="26" t="str">
        <f>IF(OR(E3460="",E3460="!!!",F3460="NEW"),"",COUNTBLANK(OFFSET(A$1,,,SUMPRODUCT(MAX(ROW(E$2:E3460)*(E3460=E$2:E3460)))))-COUNTBLANK(OFFSET(A$1,,,SUMPRODUCT(MAX(ROW(E$1:E3459)*(E2=E$1:E3459))))))</f>
        <v> </v>
      </c>
      <c r="K3460" s="26" t="str">
        <f>IF(OR(E3460="",E3460="!!!",F3460="NEW"),"",INDEX(J$1:J3459,SUMPRODUCT(MAX(ROW(E$1:E3459)*(E3460=E$1:E3459)))))</f>
        <v> </v>
      </c>
      <c r="L3460" s="27"/>
    </row>
    <row r="3461" spans="1:12">
      <c r="A3461" s="20" t="s">
        <v>1164</v>
      </c>
      <c r="E3461" s="22">
        <f>IF(D3461="?OLD","!!!","")</f>
        <v/>
      </c>
      <c r="F3461" s="23" t="str">
        <f>IF(OR(E3461="",E3461="!!!"),"",IF(NOT(ISNA(VLOOKUP(E3461,E$1:E3460,1,FALSE()))),"OLD",IF(AND(E3461&lt;&gt;"",E3461&lt;&gt;"!!!"),"NEW","")))</f>
        <v> </v>
      </c>
      <c r="G3461" s="24" t="str">
        <f>IF(OR(E3461="",E3461="!!!"),"",IF(OR(J3461=0,AND(J3461=1,K3461=1),AND(J3461=1,I3461="SBJ"),AND(J3461=1,I3461=0)),"?IN_FOCUS",IF(J3461&lt;=2,"?ACTIVATED",IF(J3461&lt;&gt;"","?FAMILIAR",IF(F3461="NEW",IF(ISNA(VLOOKUP(E3461,#REF!,1,FALSE())),"?TYPE_IDENTIFIABLE","?REFERENTIAL"),"_")))))</f>
        <v> </v>
      </c>
      <c r="H3461" s="25" t="str">
        <f>IF(J3461&lt;&gt;1,"",IF(I3461="SBJ","CB","?"))</f>
        <v> </v>
      </c>
      <c r="I3461" s="26" t="str">
        <f>IF(OR(E3461="",E3461="!!!",F3461="NEW"),"",INDEX(B3460:B$2,-1+SUMPRODUCT(MAX(ROW(E3460:E$2)*(E3461=E3460:E$2)))))</f>
        <v> </v>
      </c>
      <c r="J3461" s="26" t="str">
        <f>IF(OR(E3461="",E3461="!!!",F3461="NEW"),"",COUNTBLANK(OFFSET(A$1,,,SUMPRODUCT(MAX(ROW(E$2:E3461)*(E3461=E$2:E3461)))))-COUNTBLANK(OFFSET(A$1,,,SUMPRODUCT(MAX(ROW(E$1:E3460)*(E2=E$1:E3460))))))</f>
        <v> </v>
      </c>
      <c r="K3461" s="26" t="str">
        <f>IF(OR(E3461="",E3461="!!!",F3461="NEW"),"",INDEX(J$1:J3460,SUMPRODUCT(MAX(ROW(E$1:E3460)*(E3461=E$1:E3460)))))</f>
        <v> </v>
      </c>
      <c r="L3461" s="27"/>
    </row>
    <row r="3462" spans="1:12">
      <c r="A3462" s="20" t="s">
        <v>751</v>
      </c>
      <c r="E3462" s="22">
        <f>IF(D3462="?OLD","!!!","")</f>
        <v/>
      </c>
      <c r="F3462" s="23" t="str">
        <f>IF(OR(E3462="",E3462="!!!"),"",IF(NOT(ISNA(VLOOKUP(E3462,E$1:E3461,1,FALSE()))),"OLD",IF(AND(E3462&lt;&gt;"",E3462&lt;&gt;"!!!"),"NEW","")))</f>
        <v> </v>
      </c>
      <c r="G3462" s="24" t="str">
        <f>IF(OR(E3462="",E3462="!!!"),"",IF(OR(J3462=0,AND(J3462=1,K3462=1),AND(J3462=1,I3462="SBJ"),AND(J3462=1,I3462=0)),"?IN_FOCUS",IF(J3462&lt;=2,"?ACTIVATED",IF(J3462&lt;&gt;"","?FAMILIAR",IF(F3462="NEW",IF(ISNA(VLOOKUP(E3462,#REF!,1,FALSE())),"?TYPE_IDENTIFIABLE","?REFERENTIAL"),"_")))))</f>
        <v> </v>
      </c>
      <c r="H3462" s="25" t="str">
        <f>IF(J3462&lt;&gt;1,"",IF(I3462="SBJ","CB","?"))</f>
        <v> </v>
      </c>
      <c r="I3462" s="26" t="str">
        <f>IF(OR(E3462="",E3462="!!!",F3462="NEW"),"",INDEX(B3461:B$2,-1+SUMPRODUCT(MAX(ROW(E3461:E$2)*(E3462=E3461:E$2)))))</f>
        <v> </v>
      </c>
      <c r="J3462" s="26" t="str">
        <f>IF(OR(E3462="",E3462="!!!",F3462="NEW"),"",COUNTBLANK(OFFSET(A$1,,,SUMPRODUCT(MAX(ROW(E$2:E3462)*(E3462=E$2:E3462)))))-COUNTBLANK(OFFSET(A$1,,,SUMPRODUCT(MAX(ROW(E$1:E3461)*(E2=E$1:E3461))))))</f>
        <v> </v>
      </c>
      <c r="K3462" s="26" t="str">
        <f>IF(OR(E3462="",E3462="!!!",F3462="NEW"),"",INDEX(J$1:J3461,SUMPRODUCT(MAX(ROW(E$1:E3461)*(E3462=E$1:E3461)))))</f>
        <v> </v>
      </c>
      <c r="L3462" s="27"/>
    </row>
    <row r="3463" spans="1:12">
      <c r="A3463" s="20" t="s">
        <v>1465</v>
      </c>
      <c r="B3463" s="21" t="s">
        <v>739</v>
      </c>
      <c r="C3463" s="21" t="s">
        <v>753</v>
      </c>
      <c r="D3463" s="21" t="s">
        <v>730</v>
      </c>
      <c r="E3463" s="22">
        <f>IF(D3463="?OLD","!!!","")</f>
        <v/>
      </c>
      <c r="F3463" s="23" t="str">
        <f>IF(OR(E3463="",E3463="!!!"),"",IF(NOT(ISNA(VLOOKUP(E3463,E$1:E3462,1,FALSE()))),"OLD",IF(AND(E3463&lt;&gt;"",E3463&lt;&gt;"!!!"),"NEW","")))</f>
        <v> </v>
      </c>
      <c r="G3463" s="24" t="str">
        <f>IF(OR(E3463="",E3463="!!!"),"",IF(OR(J3463=0,AND(J3463=1,K3463=1),AND(J3463=1,I3463="SBJ"),AND(J3463=1,I3463=0)),"?IN_FOCUS",IF(J3463&lt;=2,"?ACTIVATED",IF(J3463&lt;&gt;"","?FAMILIAR",IF(F3463="NEW",IF(ISNA(VLOOKUP(E3463,#REF!,1,FALSE())),"?TYPE_IDENTIFIABLE","?REFERENTIAL"),"_")))))</f>
        <v> </v>
      </c>
      <c r="H3463" s="25" t="str">
        <f>IF(J3463&lt;&gt;1,"",IF(I3463="SBJ","CB","?"))</f>
        <v> </v>
      </c>
      <c r="I3463" s="26" t="str">
        <f>IF(OR(E3463="",E3463="!!!",F3463="NEW"),"",INDEX(B3462:B$2,-1+SUMPRODUCT(MAX(ROW(E3462:E$2)*(E3463=E3462:E$2)))))</f>
        <v> </v>
      </c>
      <c r="J3463" s="26" t="str">
        <f>IF(OR(E3463="",E3463="!!!",F3463="NEW"),"",COUNTBLANK(OFFSET(A$1,,,SUMPRODUCT(MAX(ROW(E$2:E3463)*(E3463=E$2:E3463)))))-COUNTBLANK(OFFSET(A$1,,,SUMPRODUCT(MAX(ROW(E$1:E3462)*(E2=E$1:E3462))))))</f>
        <v> </v>
      </c>
      <c r="K3463" s="26" t="str">
        <f>IF(OR(E3463="",E3463="!!!",F3463="NEW"),"",INDEX(J$1:J3462,SUMPRODUCT(MAX(ROW(E$1:E3462)*(E3463=E$1:E3462)))))</f>
        <v> </v>
      </c>
      <c r="L3463" s="27"/>
    </row>
    <row r="3464" spans="1:12">
      <c r="A3464" s="20" t="s">
        <v>1226</v>
      </c>
      <c r="E3464" s="22">
        <f>IF(D3464="?OLD","!!!","")</f>
        <v/>
      </c>
      <c r="F3464" s="23" t="str">
        <f>IF(OR(E3464="",E3464="!!!"),"",IF(NOT(ISNA(VLOOKUP(E3464,E$1:E3463,1,FALSE()))),"OLD",IF(AND(E3464&lt;&gt;"",E3464&lt;&gt;"!!!"),"NEW","")))</f>
        <v> </v>
      </c>
      <c r="G3464" s="24" t="str">
        <f>IF(OR(E3464="",E3464="!!!"),"",IF(OR(J3464=0,AND(J3464=1,K3464=1),AND(J3464=1,I3464="SBJ"),AND(J3464=1,I3464=0)),"?IN_FOCUS",IF(J3464&lt;=2,"?ACTIVATED",IF(J3464&lt;&gt;"","?FAMILIAR",IF(F3464="NEW",IF(ISNA(VLOOKUP(E3464,#REF!,1,FALSE())),"?TYPE_IDENTIFIABLE","?REFERENTIAL"),"_")))))</f>
        <v> </v>
      </c>
      <c r="H3464" s="25" t="str">
        <f>IF(J3464&lt;&gt;1,"",IF(I3464="SBJ","CB","?"))</f>
        <v> </v>
      </c>
      <c r="I3464" s="26" t="str">
        <f>IF(OR(E3464="",E3464="!!!",F3464="NEW"),"",INDEX(B3463:B$2,-1+SUMPRODUCT(MAX(ROW(E3463:E$2)*(E3464=E3463:E$2)))))</f>
        <v> </v>
      </c>
      <c r="J3464" s="26" t="str">
        <f>IF(OR(E3464="",E3464="!!!",F3464="NEW"),"",COUNTBLANK(OFFSET(A$1,,,SUMPRODUCT(MAX(ROW(E$2:E3464)*(E3464=E$2:E3464)))))-COUNTBLANK(OFFSET(A$1,,,SUMPRODUCT(MAX(ROW(E$1:E3463)*(E2=E$1:E3463))))))</f>
        <v> </v>
      </c>
      <c r="K3464" s="26" t="str">
        <f>IF(OR(E3464="",E3464="!!!",F3464="NEW"),"",INDEX(J$1:J3463,SUMPRODUCT(MAX(ROW(E$1:E3463)*(E3464=E$1:E3463)))))</f>
        <v> </v>
      </c>
      <c r="L3464" s="27"/>
    </row>
    <row r="3465" spans="1:12">
      <c r="A3465" s="20" t="s">
        <v>1930</v>
      </c>
      <c r="B3465" s="21" t="s">
        <v>728</v>
      </c>
      <c r="C3465" s="21" t="s">
        <v>748</v>
      </c>
      <c r="E3465" s="22">
        <f>IF(D3465="?OLD","!!!","")</f>
        <v/>
      </c>
      <c r="F3465" s="23" t="str">
        <f>IF(OR(E3465="",E3465="!!!"),"",IF(NOT(ISNA(VLOOKUP(E3465,E$1:E3464,1,FALSE()))),"OLD",IF(AND(E3465&lt;&gt;"",E3465&lt;&gt;"!!!"),"NEW","")))</f>
        <v> </v>
      </c>
      <c r="G3465" s="24" t="str">
        <f>IF(OR(E3465="",E3465="!!!"),"",IF(OR(J3465=0,AND(J3465=1,K3465=1),AND(J3465=1,I3465="SBJ"),AND(J3465=1,I3465=0)),"?IN_FOCUS",IF(J3465&lt;=2,"?ACTIVATED",IF(J3465&lt;&gt;"","?FAMILIAR",IF(F3465="NEW",IF(ISNA(VLOOKUP(E3465,#REF!,1,FALSE())),"?TYPE_IDENTIFIABLE","?REFERENTIAL"),"_")))))</f>
        <v> </v>
      </c>
      <c r="H3465" s="25" t="str">
        <f>IF(J3465&lt;&gt;1,"",IF(I3465="SBJ","CB","?"))</f>
        <v> </v>
      </c>
      <c r="I3465" s="26" t="str">
        <f>IF(OR(E3465="",E3465="!!!",F3465="NEW"),"",INDEX(B3464:B$2,-1+SUMPRODUCT(MAX(ROW(E3464:E$2)*(E3465=E3464:E$2)))))</f>
        <v> </v>
      </c>
      <c r="J3465" s="26" t="str">
        <f>IF(OR(E3465="",E3465="!!!",F3465="NEW"),"",COUNTBLANK(OFFSET(A$1,,,SUMPRODUCT(MAX(ROW(E$2:E3465)*(E3465=E$2:E3465)))))-COUNTBLANK(OFFSET(A$1,,,SUMPRODUCT(MAX(ROW(E$1:E3464)*(E2=E$1:E3464))))))</f>
        <v> </v>
      </c>
      <c r="K3465" s="26" t="str">
        <f>IF(OR(E3465="",E3465="!!!",F3465="NEW"),"",INDEX(J$1:J3464,SUMPRODUCT(MAX(ROW(E$1:E3464)*(E3465=E$1:E3464)))))</f>
        <v> </v>
      </c>
      <c r="L3465" s="27"/>
    </row>
    <row r="3466" spans="1:12">
      <c r="A3466" s="20" t="s">
        <v>762</v>
      </c>
      <c r="E3466" s="22">
        <f>IF(D3466="?OLD","!!!","")</f>
        <v/>
      </c>
      <c r="F3466" s="23" t="str">
        <f>IF(OR(E3466="",E3466="!!!"),"",IF(NOT(ISNA(VLOOKUP(E3466,E$1:E3465,1,FALSE()))),"OLD",IF(AND(E3466&lt;&gt;"",E3466&lt;&gt;"!!!"),"NEW","")))</f>
        <v> </v>
      </c>
      <c r="G3466" s="24" t="str">
        <f>IF(OR(E3466="",E3466="!!!"),"",IF(OR(J3466=0,AND(J3466=1,K3466=1),AND(J3466=1,I3466="SBJ"),AND(J3466=1,I3466=0)),"?IN_FOCUS",IF(J3466&lt;=2,"?ACTIVATED",IF(J3466&lt;&gt;"","?FAMILIAR",IF(F3466="NEW",IF(ISNA(VLOOKUP(E3466,#REF!,1,FALSE())),"?TYPE_IDENTIFIABLE","?REFERENTIAL"),"_")))))</f>
        <v> </v>
      </c>
      <c r="H3466" s="25" t="str">
        <f>IF(J3466&lt;&gt;1,"",IF(I3466="SBJ","CB","?"))</f>
        <v> </v>
      </c>
      <c r="I3466" s="26" t="str">
        <f>IF(OR(E3466="",E3466="!!!",F3466="NEW"),"",INDEX(B3465:B$2,-1+SUMPRODUCT(MAX(ROW(E3465:E$2)*(E3466=E3465:E$2)))))</f>
        <v> </v>
      </c>
      <c r="J3466" s="26" t="str">
        <f>IF(OR(E3466="",E3466="!!!",F3466="NEW"),"",COUNTBLANK(OFFSET(A$1,,,SUMPRODUCT(MAX(ROW(E$2:E3466)*(E3466=E$2:E3466)))))-COUNTBLANK(OFFSET(A$1,,,SUMPRODUCT(MAX(ROW(E$1:E3465)*(E2=E$1:E3465))))))</f>
        <v> </v>
      </c>
      <c r="K3466" s="26" t="str">
        <f>IF(OR(E3466="",E3466="!!!",F3466="NEW"),"",INDEX(J$1:J3465,SUMPRODUCT(MAX(ROW(E$1:E3465)*(E3466=E$1:E3465)))))</f>
        <v> </v>
      </c>
      <c r="L3466" s="27"/>
    </row>
    <row r="3467" spans="1:12">
      <c r="A3467" s="20" t="s">
        <v>1931</v>
      </c>
      <c r="B3467" s="21" t="s">
        <v>736</v>
      </c>
      <c r="C3467" s="21" t="s">
        <v>737</v>
      </c>
      <c r="E3467" s="22">
        <f>IF(D3467="?OLD","!!!","")</f>
        <v/>
      </c>
      <c r="F3467" s="23" t="str">
        <f>IF(OR(E3467="",E3467="!!!"),"",IF(NOT(ISNA(VLOOKUP(E3467,E$1:E3466,1,FALSE()))),"OLD",IF(AND(E3467&lt;&gt;"",E3467&lt;&gt;"!!!"),"NEW","")))</f>
        <v> </v>
      </c>
      <c r="G3467" s="24" t="str">
        <f>IF(OR(E3467="",E3467="!!!"),"",IF(OR(J3467=0,AND(J3467=1,K3467=1),AND(J3467=1,I3467="SBJ"),AND(J3467=1,I3467=0)),"?IN_FOCUS",IF(J3467&lt;=2,"?ACTIVATED",IF(J3467&lt;&gt;"","?FAMILIAR",IF(F3467="NEW",IF(ISNA(VLOOKUP(E3467,#REF!,1,FALSE())),"?TYPE_IDENTIFIABLE","?REFERENTIAL"),"_")))))</f>
        <v> </v>
      </c>
      <c r="H3467" s="25" t="str">
        <f>IF(J3467&lt;&gt;1,"",IF(I3467="SBJ","CB","?"))</f>
        <v> </v>
      </c>
      <c r="I3467" s="26" t="str">
        <f>IF(OR(E3467="",E3467="!!!",F3467="NEW"),"",INDEX(B3466:B$2,-1+SUMPRODUCT(MAX(ROW(E3466:E$2)*(E3467=E3466:E$2)))))</f>
        <v> </v>
      </c>
      <c r="J3467" s="26" t="str">
        <f>IF(OR(E3467="",E3467="!!!",F3467="NEW"),"",COUNTBLANK(OFFSET(A$1,,,SUMPRODUCT(MAX(ROW(E$2:E3467)*(E3467=E$2:E3467)))))-COUNTBLANK(OFFSET(A$1,,,SUMPRODUCT(MAX(ROW(E$1:E3466)*(E2=E$1:E3466))))))</f>
        <v> </v>
      </c>
      <c r="K3467" s="26" t="str">
        <f>IF(OR(E3467="",E3467="!!!",F3467="NEW"),"",INDEX(J$1:J3466,SUMPRODUCT(MAX(ROW(E$1:E3466)*(E3467=E$1:E3466)))))</f>
        <v> </v>
      </c>
      <c r="L3467" s="27"/>
    </row>
    <row r="3468" spans="1:12">
      <c r="A3468" s="20" t="s">
        <v>106</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t="s">
        <v>759</v>
      </c>
      <c r="E3469" s="22">
        <f>IF(D3469="?OLD","!!!","")</f>
        <v/>
      </c>
      <c r="F3469" s="23" t="str">
        <f>IF(OR(E3469="",E3469="!!!"),"",IF(NOT(ISNA(VLOOKUP(E3469,E$1:E3468,1,FALSE()))),"OLD",IF(AND(E3469&lt;&gt;"",E3469&lt;&gt;"!!!"),"NEW","")))</f>
        <v> </v>
      </c>
      <c r="G3469" s="24" t="str">
        <f>IF(OR(E3469="",E3469="!!!"),"",IF(OR(J3469=0,AND(J3469=1,K3469=1),AND(J3469=1,I3469="SBJ"),AND(J3469=1,I3469=0)),"?IN_FOCUS",IF(J3469&lt;=2,"?ACTIVATED",IF(J3469&lt;&gt;"","?FAMILIAR",IF(F3469="NEW",IF(ISNA(VLOOKUP(E3469,#REF!,1,FALSE())),"?TYPE_IDENTIFIABLE","?REFERENTIAL"),"_")))))</f>
        <v> </v>
      </c>
      <c r="H3469" s="25" t="str">
        <f>IF(J3469&lt;&gt;1,"",IF(I3469="SBJ","CB","?"))</f>
        <v> </v>
      </c>
      <c r="I3469" s="26" t="str">
        <f>IF(OR(E3469="",E3469="!!!",F3469="NEW"),"",INDEX(B3468:B$2,-1+SUMPRODUCT(MAX(ROW(E3468:E$2)*(E3469=E3468:E$2)))))</f>
        <v> </v>
      </c>
      <c r="J3469" s="26" t="str">
        <f>IF(OR(E3469="",E3469="!!!",F3469="NEW"),"",COUNTBLANK(OFFSET(A$1,,,SUMPRODUCT(MAX(ROW(E$2:E3469)*(E3469=E$2:E3469)))))-COUNTBLANK(OFFSET(A$1,,,SUMPRODUCT(MAX(ROW(E$1:E3468)*(E2=E$1:E3468))))))</f>
        <v> </v>
      </c>
      <c r="K3469" s="26" t="str">
        <f>IF(OR(E3469="",E3469="!!!",F3469="NEW"),"",INDEX(J$1:J3468,SUMPRODUCT(MAX(ROW(E$1:E3468)*(E3469=E$1:E3468)))))</f>
        <v> </v>
      </c>
      <c r="L3469" s="27"/>
    </row>
    <row r="3470" spans="1:12">
      <c r="A3470" s="20" t="s">
        <v>854</v>
      </c>
      <c r="E3470" s="22">
        <f>IF(D3470="?OLD","!!!","")</f>
        <v/>
      </c>
      <c r="F3470" s="23" t="str">
        <f>IF(OR(E3470="",E3470="!!!"),"",IF(NOT(ISNA(VLOOKUP(E3470,E$1:E3469,1,FALSE()))),"OLD",IF(AND(E3470&lt;&gt;"",E3470&lt;&gt;"!!!"),"NEW","")))</f>
        <v> </v>
      </c>
      <c r="G3470" s="24" t="str">
        <f>IF(OR(E3470="",E3470="!!!"),"",IF(OR(J3470=0,AND(J3470=1,K3470=1),AND(J3470=1,I3470="SBJ"),AND(J3470=1,I3470=0)),"?IN_FOCUS",IF(J3470&lt;=2,"?ACTIVATED",IF(J3470&lt;&gt;"","?FAMILIAR",IF(F3470="NEW",IF(ISNA(VLOOKUP(E3470,#REF!,1,FALSE())),"?TYPE_IDENTIFIABLE","?REFERENTIAL"),"_")))))</f>
        <v> </v>
      </c>
      <c r="H3470" s="25" t="str">
        <f>IF(J3470&lt;&gt;1,"",IF(I3470="SBJ","CB","?"))</f>
        <v> </v>
      </c>
      <c r="I3470" s="26" t="str">
        <f>IF(OR(E3470="",E3470="!!!",F3470="NEW"),"",INDEX(B3469:B$2,-1+SUMPRODUCT(MAX(ROW(E3469:E$2)*(E3470=E3469:E$2)))))</f>
        <v> </v>
      </c>
      <c r="J3470" s="26" t="str">
        <f>IF(OR(E3470="",E3470="!!!",F3470="NEW"),"",COUNTBLANK(OFFSET(A$1,,,SUMPRODUCT(MAX(ROW(E$2:E3470)*(E3470=E$2:E3470)))))-COUNTBLANK(OFFSET(A$1,,,SUMPRODUCT(MAX(ROW(E$1:E3469)*(E2=E$1:E3469))))))</f>
        <v> </v>
      </c>
      <c r="K3470" s="26" t="str">
        <f>IF(OR(E3470="",E3470="!!!",F3470="NEW"),"",INDEX(J$1:J3469,SUMPRODUCT(MAX(ROW(E$1:E3469)*(E3470=E$1:E3469)))))</f>
        <v> </v>
      </c>
      <c r="L3470" s="27"/>
    </row>
    <row r="3471" spans="1:12">
      <c r="A3471" s="20" t="s">
        <v>1237</v>
      </c>
      <c r="E3471" s="22">
        <f>IF(D3471="?OLD","!!!","")</f>
        <v/>
      </c>
      <c r="F3471" s="23" t="str">
        <f>IF(OR(E3471="",E3471="!!!"),"",IF(NOT(ISNA(VLOOKUP(E3471,E$1:E3470,1,FALSE()))),"OLD",IF(AND(E3471&lt;&gt;"",E3471&lt;&gt;"!!!"),"NEW","")))</f>
        <v> </v>
      </c>
      <c r="G3471" s="24" t="str">
        <f>IF(OR(E3471="",E3471="!!!"),"",IF(OR(J3471=0,AND(J3471=1,K3471=1),AND(J3471=1,I3471="SBJ"),AND(J3471=1,I3471=0)),"?IN_FOCUS",IF(J3471&lt;=2,"?ACTIVATED",IF(J3471&lt;&gt;"","?FAMILIAR",IF(F3471="NEW",IF(ISNA(VLOOKUP(E3471,#REF!,1,FALSE())),"?TYPE_IDENTIFIABLE","?REFERENTIAL"),"_")))))</f>
        <v> </v>
      </c>
      <c r="H3471" s="25" t="str">
        <f>IF(J3471&lt;&gt;1,"",IF(I3471="SBJ","CB","?"))</f>
        <v> </v>
      </c>
      <c r="I3471" s="26" t="str">
        <f>IF(OR(E3471="",E3471="!!!",F3471="NEW"),"",INDEX(B3470:B$2,-1+SUMPRODUCT(MAX(ROW(E3470:E$2)*(E3471=E3470:E$2)))))</f>
        <v> </v>
      </c>
      <c r="J3471" s="26" t="str">
        <f>IF(OR(E3471="",E3471="!!!",F3471="NEW"),"",COUNTBLANK(OFFSET(A$1,,,SUMPRODUCT(MAX(ROW(E$2:E3471)*(E3471=E$2:E3471)))))-COUNTBLANK(OFFSET(A$1,,,SUMPRODUCT(MAX(ROW(E$1:E3470)*(E2=E$1:E3470))))))</f>
        <v> </v>
      </c>
      <c r="K3471" s="26" t="str">
        <f>IF(OR(E3471="",E3471="!!!",F3471="NEW"),"",INDEX(J$1:J3470,SUMPRODUCT(MAX(ROW(E$1:E3470)*(E3471=E$1:E3470)))))</f>
        <v> </v>
      </c>
      <c r="L3471" s="27"/>
    </row>
    <row r="3472" spans="1:12">
      <c r="A3472" s="20" t="s">
        <v>1934</v>
      </c>
      <c r="E3472" s="22">
        <f>IF(D3472="?OLD","!!!","")</f>
        <v/>
      </c>
      <c r="F3472" s="23" t="str">
        <f>IF(OR(E3472="",E3472="!!!"),"",IF(NOT(ISNA(VLOOKUP(E3472,E$1:E3471,1,FALSE()))),"OLD",IF(AND(E3472&lt;&gt;"",E3472&lt;&gt;"!!!"),"NEW","")))</f>
        <v> </v>
      </c>
      <c r="G3472" s="24" t="str">
        <f>IF(OR(E3472="",E3472="!!!"),"",IF(OR(J3472=0,AND(J3472=1,K3472=1),AND(J3472=1,I3472="SBJ"),AND(J3472=1,I3472=0)),"?IN_FOCUS",IF(J3472&lt;=2,"?ACTIVATED",IF(J3472&lt;&gt;"","?FAMILIAR",IF(F3472="NEW",IF(ISNA(VLOOKUP(E3472,#REF!,1,FALSE())),"?TYPE_IDENTIFIABLE","?REFERENTIAL"),"_")))))</f>
        <v> </v>
      </c>
      <c r="H3472" s="25" t="str">
        <f>IF(J3472&lt;&gt;1,"",IF(I3472="SBJ","CB","?"))</f>
        <v> </v>
      </c>
      <c r="I3472" s="26" t="str">
        <f>IF(OR(E3472="",E3472="!!!",F3472="NEW"),"",INDEX(B3471:B$2,-1+SUMPRODUCT(MAX(ROW(E3471:E$2)*(E3472=E3471:E$2)))))</f>
        <v> </v>
      </c>
      <c r="J3472" s="26" t="str">
        <f>IF(OR(E3472="",E3472="!!!",F3472="NEW"),"",COUNTBLANK(OFFSET(A$1,,,SUMPRODUCT(MAX(ROW(E$2:E3472)*(E3472=E$2:E3472)))))-COUNTBLANK(OFFSET(A$1,,,SUMPRODUCT(MAX(ROW(E$1:E3471)*(E2=E$1:E3471))))))</f>
        <v> </v>
      </c>
      <c r="K3472" s="26" t="str">
        <f>IF(OR(E3472="",E3472="!!!",F3472="NEW"),"",INDEX(J$1:J3471,SUMPRODUCT(MAX(ROW(E$1:E3471)*(E3472=E$1:E3471)))))</f>
        <v> </v>
      </c>
      <c r="L3472" s="27"/>
    </row>
    <row r="3473" spans="1:12">
      <c r="A3473" s="20" t="s">
        <v>899</v>
      </c>
      <c r="B3473" s="21" t="s">
        <v>796</v>
      </c>
      <c r="C3473" s="21" t="s">
        <v>729</v>
      </c>
      <c r="D3473" s="21" t="s">
        <v>730</v>
      </c>
      <c r="E3473" s="22">
        <f>IF(D3473="?OLD","!!!","")</f>
        <v/>
      </c>
      <c r="F3473" s="23" t="str">
        <f>IF(OR(E3473="",E3473="!!!"),"",IF(NOT(ISNA(VLOOKUP(E3473,E$1:E3472,1,FALSE()))),"OLD",IF(AND(E3473&lt;&gt;"",E3473&lt;&gt;"!!!"),"NEW","")))</f>
        <v> </v>
      </c>
      <c r="G3473" s="24" t="str">
        <f>IF(OR(E3473="",E3473="!!!"),"",IF(OR(J3473=0,AND(J3473=1,K3473=1),AND(J3473=1,I3473="SBJ"),AND(J3473=1,I3473=0)),"?IN_FOCUS",IF(J3473&lt;=2,"?ACTIVATED",IF(J3473&lt;&gt;"","?FAMILIAR",IF(F3473="NEW",IF(ISNA(VLOOKUP(E3473,#REF!,1,FALSE())),"?TYPE_IDENTIFIABLE","?REFERENTIAL"),"_")))))</f>
        <v> </v>
      </c>
      <c r="H3473" s="25" t="str">
        <f>IF(J3473&lt;&gt;1,"",IF(I3473="SBJ","CB","?"))</f>
        <v> </v>
      </c>
      <c r="I3473" s="26" t="str">
        <f>IF(OR(E3473="",E3473="!!!",F3473="NEW"),"",INDEX(B3472:B$2,-1+SUMPRODUCT(MAX(ROW(E3472:E$2)*(E3473=E3472:E$2)))))</f>
        <v> </v>
      </c>
      <c r="J3473" s="26" t="str">
        <f>IF(OR(E3473="",E3473="!!!",F3473="NEW"),"",COUNTBLANK(OFFSET(A$1,,,SUMPRODUCT(MAX(ROW(E$2:E3473)*(E3473=E$2:E3473)))))-COUNTBLANK(OFFSET(A$1,,,SUMPRODUCT(MAX(ROW(E$1:E3472)*(E2=E$1:E3472))))))</f>
        <v> </v>
      </c>
      <c r="K3473" s="26" t="str">
        <f>IF(OR(E3473="",E3473="!!!",F3473="NEW"),"",INDEX(J$1:J3472,SUMPRODUCT(MAX(ROW(E$1:E3472)*(E3473=E$1:E3472)))))</f>
        <v> </v>
      </c>
      <c r="L3473" s="27"/>
    </row>
    <row r="3474" spans="1:12">
      <c r="A3474" s="20" t="s">
        <v>1054</v>
      </c>
      <c r="E3474" s="22">
        <f>IF(D3474="?OLD","!!!","")</f>
        <v/>
      </c>
      <c r="F3474" s="23" t="str">
        <f>IF(OR(E3474="",E3474="!!!"),"",IF(NOT(ISNA(VLOOKUP(E3474,E$1:E3473,1,FALSE()))),"OLD",IF(AND(E3474&lt;&gt;"",E3474&lt;&gt;"!!!"),"NEW","")))</f>
        <v> </v>
      </c>
      <c r="G3474" s="24" t="str">
        <f>IF(OR(E3474="",E3474="!!!"),"",IF(OR(J3474=0,AND(J3474=1,K3474=1),AND(J3474=1,I3474="SBJ"),AND(J3474=1,I3474=0)),"?IN_FOCUS",IF(J3474&lt;=2,"?ACTIVATED",IF(J3474&lt;&gt;"","?FAMILIAR",IF(F3474="NEW",IF(ISNA(VLOOKUP(E3474,#REF!,1,FALSE())),"?TYPE_IDENTIFIABLE","?REFERENTIAL"),"_")))))</f>
        <v> </v>
      </c>
      <c r="H3474" s="25" t="str">
        <f>IF(J3474&lt;&gt;1,"",IF(I3474="SBJ","CB","?"))</f>
        <v> </v>
      </c>
      <c r="I3474" s="26" t="str">
        <f>IF(OR(E3474="",E3474="!!!",F3474="NEW"),"",INDEX(B3473:B$2,-1+SUMPRODUCT(MAX(ROW(E3473:E$2)*(E3474=E3473:E$2)))))</f>
        <v> </v>
      </c>
      <c r="J3474" s="26" t="str">
        <f>IF(OR(E3474="",E3474="!!!",F3474="NEW"),"",COUNTBLANK(OFFSET(A$1,,,SUMPRODUCT(MAX(ROW(E$2:E3474)*(E3474=E$2:E3474)))))-COUNTBLANK(OFFSET(A$1,,,SUMPRODUCT(MAX(ROW(E$1:E3473)*(E2=E$1:E3473))))))</f>
        <v> </v>
      </c>
      <c r="K3474" s="26" t="str">
        <f>IF(OR(E3474="",E3474="!!!",F3474="NEW"),"",INDEX(J$1:J3473,SUMPRODUCT(MAX(ROW(E$1:E3473)*(E3474=E$1:E3473)))))</f>
        <v> </v>
      </c>
      <c r="L3474" s="27"/>
    </row>
    <row r="3475" spans="1:12">
      <c r="A3475" s="20" t="s">
        <v>1935</v>
      </c>
      <c r="B3475" s="21" t="s">
        <v>791</v>
      </c>
      <c r="C3475" s="21" t="s">
        <v>737</v>
      </c>
      <c r="E3475" s="22">
        <f>IF(D3475="?OLD","!!!","")</f>
        <v/>
      </c>
      <c r="F3475" s="23" t="str">
        <f>IF(OR(E3475="",E3475="!!!"),"",IF(NOT(ISNA(VLOOKUP(E3475,E$1:E3474,1,FALSE()))),"OLD",IF(AND(E3475&lt;&gt;"",E3475&lt;&gt;"!!!"),"NEW","")))</f>
        <v> </v>
      </c>
      <c r="G3475" s="24" t="str">
        <f>IF(OR(E3475="",E3475="!!!"),"",IF(OR(J3475=0,AND(J3475=1,K3475=1),AND(J3475=1,I3475="SBJ"),AND(J3475=1,I3475=0)),"?IN_FOCUS",IF(J3475&lt;=2,"?ACTIVATED",IF(J3475&lt;&gt;"","?FAMILIAR",IF(F3475="NEW",IF(ISNA(VLOOKUP(E3475,#REF!,1,FALSE())),"?TYPE_IDENTIFIABLE","?REFERENTIAL"),"_")))))</f>
        <v> </v>
      </c>
      <c r="H3475" s="25" t="str">
        <f>IF(J3475&lt;&gt;1,"",IF(I3475="SBJ","CB","?"))</f>
        <v> </v>
      </c>
      <c r="I3475" s="26" t="str">
        <f>IF(OR(E3475="",E3475="!!!",F3475="NEW"),"",INDEX(B3474:B$2,-1+SUMPRODUCT(MAX(ROW(E3474:E$2)*(E3475=E3474:E$2)))))</f>
        <v> </v>
      </c>
      <c r="J3475" s="26" t="str">
        <f>IF(OR(E3475="",E3475="!!!",F3475="NEW"),"",COUNTBLANK(OFFSET(A$1,,,SUMPRODUCT(MAX(ROW(E$2:E3475)*(E3475=E$2:E3475)))))-COUNTBLANK(OFFSET(A$1,,,SUMPRODUCT(MAX(ROW(E$1:E3474)*(E2=E$1:E3474))))))</f>
        <v> </v>
      </c>
      <c r="K3475" s="26" t="str">
        <f>IF(OR(E3475="",E3475="!!!",F3475="NEW"),"",INDEX(J$1:J3474,SUMPRODUCT(MAX(ROW(E$1:E3474)*(E3475=E$1:E3474)))))</f>
        <v> </v>
      </c>
      <c r="L3475" s="27"/>
    </row>
    <row r="3476" spans="1:12">
      <c r="A3476" s="20" t="s">
        <v>246</v>
      </c>
      <c r="E3476" s="22">
        <f>IF(D3476="?OLD","!!!","")</f>
        <v/>
      </c>
      <c r="F3476" s="23" t="str">
        <f>IF(OR(E3476="",E3476="!!!"),"",IF(NOT(ISNA(VLOOKUP(E3476,E$1:E3475,1,FALSE()))),"OLD",IF(AND(E3476&lt;&gt;"",E3476&lt;&gt;"!!!"),"NEW","")))</f>
        <v> </v>
      </c>
      <c r="G3476" s="24" t="str">
        <f>IF(OR(E3476="",E3476="!!!"),"",IF(OR(J3476=0,AND(J3476=1,K3476=1),AND(J3476=1,I3476="SBJ"),AND(J3476=1,I3476=0)),"?IN_FOCUS",IF(J3476&lt;=2,"?ACTIVATED",IF(J3476&lt;&gt;"","?FAMILIAR",IF(F3476="NEW",IF(ISNA(VLOOKUP(E3476,#REF!,1,FALSE())),"?TYPE_IDENTIFIABLE","?REFERENTIAL"),"_")))))</f>
        <v> </v>
      </c>
      <c r="H3476" s="25" t="str">
        <f>IF(J3476&lt;&gt;1,"",IF(I3476="SBJ","CB","?"))</f>
        <v> </v>
      </c>
      <c r="I3476" s="26" t="str">
        <f>IF(OR(E3476="",E3476="!!!",F3476="NEW"),"",INDEX(B3475:B$2,-1+SUMPRODUCT(MAX(ROW(E3475:E$2)*(E3476=E3475:E$2)))))</f>
        <v> </v>
      </c>
      <c r="J3476" s="26" t="str">
        <f>IF(OR(E3476="",E3476="!!!",F3476="NEW"),"",COUNTBLANK(OFFSET(A$1,,,SUMPRODUCT(MAX(ROW(E$2:E3476)*(E3476=E$2:E3476)))))-COUNTBLANK(OFFSET(A$1,,,SUMPRODUCT(MAX(ROW(E$1:E3475)*(E2=E$1:E3475))))))</f>
        <v> </v>
      </c>
      <c r="K3476" s="26" t="str">
        <f>IF(OR(E3476="",E3476="!!!",F3476="NEW"),"",INDEX(J$1:J3475,SUMPRODUCT(MAX(ROW(E$1:E3475)*(E3476=E$1:E3475)))))</f>
        <v> </v>
      </c>
      <c r="L3476" s="27"/>
    </row>
    <row r="3477" spans="1:12">
      <c r="A3477" s="20"/>
    </row>
    <row r="3478" spans="1:12">
      <c r="A3478" s="20" t="s">
        <v>1936</v>
      </c>
    </row>
    <row r="3479" spans="1:12">
      <c r="A3479" s="20" t="s">
        <v>577</v>
      </c>
      <c r="E3479" s="22">
        <f>IF(D3479="?OLD","!!!","")</f>
        <v/>
      </c>
      <c r="F3479" s="23" t="str">
        <f>IF(OR(E3479="",E3479="!!!"),"",IF(NOT(ISNA(VLOOKUP(E3479,E$1:E3478,1,FALSE()))),"OLD",IF(AND(E3479&lt;&gt;"",E3479&lt;&gt;"!!!"),"NEW","")))</f>
        <v> </v>
      </c>
      <c r="G3479" s="24" t="str">
        <f>IF(OR(E3479="",E3479="!!!"),"",IF(OR(J3479=0,AND(J3479=1,K3479=1),AND(J3479=1,I3479="SBJ"),AND(J3479=1,I3479=0)),"?IN_FOCUS",IF(J3479&lt;=2,"?ACTIVATED",IF(J3479&lt;&gt;"","?FAMILIAR",IF(F3479="NEW",IF(ISNA(VLOOKUP(E3479,#REF!,1,FALSE())),"?TYPE_IDENTIFIABLE","?REFERENTIAL"),"_")))))</f>
        <v> </v>
      </c>
      <c r="H3479" s="25" t="str">
        <f>IF(J3479&lt;&gt;1,"",IF(I3479="SBJ","CB","?"))</f>
        <v> </v>
      </c>
      <c r="I3479" s="26" t="str">
        <f>IF(OR(E3479="",E3479="!!!",F3479="NEW"),"",INDEX(B3478:B$2,-1+SUMPRODUCT(MAX(ROW(E3478:E$2)*(E3479=E3478:E$2)))))</f>
        <v> </v>
      </c>
      <c r="J3479" s="26" t="str">
        <f>IF(OR(E3479="",E3479="!!!",F3479="NEW"),"",COUNTBLANK(OFFSET(A$1,,,SUMPRODUCT(MAX(ROW(E$2:E3479)*(E3479=E$2:E3479)))))-COUNTBLANK(OFFSET(A$1,,,SUMPRODUCT(MAX(ROW(E$1:E3478)*(E2=E$1:E3478))))))</f>
        <v> </v>
      </c>
      <c r="K3479" s="26" t="str">
        <f>IF(OR(E3479="",E3479="!!!",F3479="NEW"),"",INDEX(J$1:J3478,SUMPRODUCT(MAX(ROW(E$1:E3478)*(E3479=E$1:E3478)))))</f>
        <v> </v>
      </c>
      <c r="L3479" s="27"/>
    </row>
    <row r="3480" spans="1:12">
      <c r="A3480" s="20" t="s">
        <v>1937</v>
      </c>
      <c r="E3480" s="22">
        <f>IF(D3480="?OLD","!!!","")</f>
        <v/>
      </c>
      <c r="F3480" s="23" t="str">
        <f>IF(OR(E3480="",E3480="!!!"),"",IF(NOT(ISNA(VLOOKUP(E3480,E$1:E3479,1,FALSE()))),"OLD",IF(AND(E3480&lt;&gt;"",E3480&lt;&gt;"!!!"),"NEW","")))</f>
        <v> </v>
      </c>
      <c r="G3480" s="24" t="str">
        <f>IF(OR(E3480="",E3480="!!!"),"",IF(OR(J3480=0,AND(J3480=1,K3480=1),AND(J3480=1,I3480="SBJ"),AND(J3480=1,I3480=0)),"?IN_FOCUS",IF(J3480&lt;=2,"?ACTIVATED",IF(J3480&lt;&gt;"","?FAMILIAR",IF(F3480="NEW",IF(ISNA(VLOOKUP(E3480,#REF!,1,FALSE())),"?TYPE_IDENTIFIABLE","?REFERENTIAL"),"_")))))</f>
        <v> </v>
      </c>
      <c r="H3480" s="25" t="str">
        <f>IF(J3480&lt;&gt;1,"",IF(I3480="SBJ","CB","?"))</f>
        <v> </v>
      </c>
      <c r="I3480" s="26" t="str">
        <f>IF(OR(E3480="",E3480="!!!",F3480="NEW"),"",INDEX(B3479:B$2,-1+SUMPRODUCT(MAX(ROW(E3479:E$2)*(E3480=E3479:E$2)))))</f>
        <v> </v>
      </c>
      <c r="J3480" s="26" t="str">
        <f>IF(OR(E3480="",E3480="!!!",F3480="NEW"),"",COUNTBLANK(OFFSET(A$1,,,SUMPRODUCT(MAX(ROW(E$2:E3480)*(E3480=E$2:E3480)))))-COUNTBLANK(OFFSET(A$1,,,SUMPRODUCT(MAX(ROW(E$1:E3479)*(E2=E$1:E3479))))))</f>
        <v> </v>
      </c>
      <c r="K3480" s="26" t="str">
        <f>IF(OR(E3480="",E3480="!!!",F3480="NEW"),"",INDEX(J$1:J3479,SUMPRODUCT(MAX(ROW(E$1:E3479)*(E3480=E$1:E3479)))))</f>
        <v> </v>
      </c>
      <c r="L3480" s="27"/>
    </row>
    <row r="3481" spans="1:12">
      <c r="A3481" s="20" t="s">
        <v>1938</v>
      </c>
      <c r="B3481" s="21" t="s">
        <v>728</v>
      </c>
      <c r="C3481" s="21" t="s">
        <v>748</v>
      </c>
      <c r="E3481" s="22">
        <f>IF(D3481="?OLD","!!!","")</f>
        <v/>
      </c>
      <c r="F3481" s="23" t="str">
        <f>IF(OR(E3481="",E3481="!!!"),"",IF(NOT(ISNA(VLOOKUP(E3481,E$1:E3480,1,FALSE()))),"OLD",IF(AND(E3481&lt;&gt;"",E3481&lt;&gt;"!!!"),"NEW","")))</f>
        <v> </v>
      </c>
      <c r="G3481" s="24" t="str">
        <f>IF(OR(E3481="",E3481="!!!"),"",IF(OR(J3481=0,AND(J3481=1,K3481=1),AND(J3481=1,I3481="SBJ"),AND(J3481=1,I3481=0)),"?IN_FOCUS",IF(J3481&lt;=2,"?ACTIVATED",IF(J3481&lt;&gt;"","?FAMILIAR",IF(F3481="NEW",IF(ISNA(VLOOKUP(E3481,#REF!,1,FALSE())),"?TYPE_IDENTIFIABLE","?REFERENTIAL"),"_")))))</f>
        <v> </v>
      </c>
      <c r="H3481" s="25" t="str">
        <f>IF(J3481&lt;&gt;1,"",IF(I3481="SBJ","CB","?"))</f>
        <v> </v>
      </c>
      <c r="I3481" s="26" t="str">
        <f>IF(OR(E3481="",E3481="!!!",F3481="NEW"),"",INDEX(B3480:B$2,-1+SUMPRODUCT(MAX(ROW(E3480:E$2)*(E3481=E3480:E$2)))))</f>
        <v> </v>
      </c>
      <c r="J3481" s="26" t="str">
        <f>IF(OR(E3481="",E3481="!!!",F3481="NEW"),"",COUNTBLANK(OFFSET(A$1,,,SUMPRODUCT(MAX(ROW(E$2:E3481)*(E3481=E$2:E3481)))))-COUNTBLANK(OFFSET(A$1,,,SUMPRODUCT(MAX(ROW(E$1:E3480)*(E2=E$1:E3480))))))</f>
        <v> </v>
      </c>
      <c r="K3481" s="26" t="str">
        <f>IF(OR(E3481="",E3481="!!!",F3481="NEW"),"",INDEX(J$1:J3480,SUMPRODUCT(MAX(ROW(E$1:E3480)*(E3481=E$1:E3480)))))</f>
        <v> </v>
      </c>
      <c r="L3481" s="27"/>
    </row>
    <row r="3482" spans="1:12">
      <c r="A3482" s="20" t="s">
        <v>759</v>
      </c>
      <c r="E3482" s="22">
        <f>IF(D3482="?OLD","!!!","")</f>
        <v/>
      </c>
      <c r="F3482" s="23" t="str">
        <f>IF(OR(E3482="",E3482="!!!"),"",IF(NOT(ISNA(VLOOKUP(E3482,E$1:E3481,1,FALSE()))),"OLD",IF(AND(E3482&lt;&gt;"",E3482&lt;&gt;"!!!"),"NEW","")))</f>
        <v> </v>
      </c>
      <c r="G3482" s="24" t="str">
        <f>IF(OR(E3482="",E3482="!!!"),"",IF(OR(J3482=0,AND(J3482=1,K3482=1),AND(J3482=1,I3482="SBJ"),AND(J3482=1,I3482=0)),"?IN_FOCUS",IF(J3482&lt;=2,"?ACTIVATED",IF(J3482&lt;&gt;"","?FAMILIAR",IF(F3482="NEW",IF(ISNA(VLOOKUP(E3482,#REF!,1,FALSE())),"?TYPE_IDENTIFIABLE","?REFERENTIAL"),"_")))))</f>
        <v> </v>
      </c>
      <c r="H3482" s="25" t="str">
        <f>IF(J3482&lt;&gt;1,"",IF(I3482="SBJ","CB","?"))</f>
        <v> </v>
      </c>
      <c r="I3482" s="26" t="str">
        <f>IF(OR(E3482="",E3482="!!!",F3482="NEW"),"",INDEX(B3481:B$2,-1+SUMPRODUCT(MAX(ROW(E3481:E$2)*(E3482=E3481:E$2)))))</f>
        <v> </v>
      </c>
      <c r="J3482" s="26" t="str">
        <f>IF(OR(E3482="",E3482="!!!",F3482="NEW"),"",COUNTBLANK(OFFSET(A$1,,,SUMPRODUCT(MAX(ROW(E$2:E3482)*(E3482=E$2:E3482)))))-COUNTBLANK(OFFSET(A$1,,,SUMPRODUCT(MAX(ROW(E$1:E3481)*(E2=E$1:E3481))))))</f>
        <v> </v>
      </c>
      <c r="K3482" s="26" t="str">
        <f>IF(OR(E3482="",E3482="!!!",F3482="NEW"),"",INDEX(J$1:J3481,SUMPRODUCT(MAX(ROW(E$1:E3481)*(E3482=E$1:E3481)))))</f>
        <v> </v>
      </c>
      <c r="L3482" s="27"/>
    </row>
    <row r="3483" spans="1:12">
      <c r="A3483" s="20" t="s">
        <v>776</v>
      </c>
      <c r="E3483" s="22">
        <f>IF(D3483="?OLD","!!!","")</f>
        <v/>
      </c>
      <c r="F3483" s="23" t="str">
        <f>IF(OR(E3483="",E3483="!!!"),"",IF(NOT(ISNA(VLOOKUP(E3483,E$1:E3482,1,FALSE()))),"OLD",IF(AND(E3483&lt;&gt;"",E3483&lt;&gt;"!!!"),"NEW","")))</f>
        <v> </v>
      </c>
      <c r="G3483" s="24" t="str">
        <f>IF(OR(E3483="",E3483="!!!"),"",IF(OR(J3483=0,AND(J3483=1,K3483=1),AND(J3483=1,I3483="SBJ"),AND(J3483=1,I3483=0)),"?IN_FOCUS",IF(J3483&lt;=2,"?ACTIVATED",IF(J3483&lt;&gt;"","?FAMILIAR",IF(F3483="NEW",IF(ISNA(VLOOKUP(E3483,#REF!,1,FALSE())),"?TYPE_IDENTIFIABLE","?REFERENTIAL"),"_")))))</f>
        <v> </v>
      </c>
      <c r="H3483" s="25" t="str">
        <f>IF(J3483&lt;&gt;1,"",IF(I3483="SBJ","CB","?"))</f>
        <v> </v>
      </c>
      <c r="I3483" s="26" t="str">
        <f>IF(OR(E3483="",E3483="!!!",F3483="NEW"),"",INDEX(B3482:B$2,-1+SUMPRODUCT(MAX(ROW(E3482:E$2)*(E3483=E3482:E$2)))))</f>
        <v> </v>
      </c>
      <c r="J3483" s="26" t="str">
        <f>IF(OR(E3483="",E3483="!!!",F3483="NEW"),"",COUNTBLANK(OFFSET(A$1,,,SUMPRODUCT(MAX(ROW(E$2:E3483)*(E3483=E$2:E3483)))))-COUNTBLANK(OFFSET(A$1,,,SUMPRODUCT(MAX(ROW(E$1:E3482)*(E2=E$1:E3482))))))</f>
        <v> </v>
      </c>
      <c r="K3483" s="26" t="str">
        <f>IF(OR(E3483="",E3483="!!!",F3483="NEW"),"",INDEX(J$1:J3482,SUMPRODUCT(MAX(ROW(E$1:E3482)*(E3483=E$1:E3482)))))</f>
        <v> </v>
      </c>
      <c r="L3483" s="27"/>
    </row>
    <row r="3484" spans="1:12">
      <c r="A3484" s="20" t="s">
        <v>1939</v>
      </c>
      <c r="B3484" s="21" t="s">
        <v>788</v>
      </c>
      <c r="C3484" s="21" t="s">
        <v>753</v>
      </c>
      <c r="D3484" s="21" t="s">
        <v>730</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1940</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759</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t="s">
        <v>948</v>
      </c>
      <c r="E3487" s="22">
        <f>IF(D3487="?OLD","!!!","")</f>
        <v/>
      </c>
      <c r="F3487" s="23" t="str">
        <f>IF(OR(E3487="",E3487="!!!"),"",IF(NOT(ISNA(VLOOKUP(E3487,E$1:E3486,1,FALSE()))),"OLD",IF(AND(E3487&lt;&gt;"",E3487&lt;&gt;"!!!"),"NEW","")))</f>
        <v> </v>
      </c>
      <c r="G3487" s="24" t="str">
        <f>IF(OR(E3487="",E3487="!!!"),"",IF(OR(J3487=0,AND(J3487=1,K3487=1),AND(J3487=1,I3487="SBJ"),AND(J3487=1,I3487=0)),"?IN_FOCUS",IF(J3487&lt;=2,"?ACTIVATED",IF(J3487&lt;&gt;"","?FAMILIAR",IF(F3487="NEW",IF(ISNA(VLOOKUP(E3487,#REF!,1,FALSE())),"?TYPE_IDENTIFIABLE","?REFERENTIAL"),"_")))))</f>
        <v> </v>
      </c>
      <c r="H3487" s="25" t="str">
        <f>IF(J3487&lt;&gt;1,"",IF(I3487="SBJ","CB","?"))</f>
        <v> </v>
      </c>
      <c r="I3487" s="26" t="str">
        <f>IF(OR(E3487="",E3487="!!!",F3487="NEW"),"",INDEX(B3486:B$2,-1+SUMPRODUCT(MAX(ROW(E3486:E$2)*(E3487=E3486:E$2)))))</f>
        <v> </v>
      </c>
      <c r="J3487" s="26" t="str">
        <f>IF(OR(E3487="",E3487="!!!",F3487="NEW"),"",COUNTBLANK(OFFSET(A$1,,,SUMPRODUCT(MAX(ROW(E$2:E3487)*(E3487=E$2:E3487)))))-COUNTBLANK(OFFSET(A$1,,,SUMPRODUCT(MAX(ROW(E$1:E3486)*(E2=E$1:E3486))))))</f>
        <v> </v>
      </c>
      <c r="K3487" s="26" t="str">
        <f>IF(OR(E3487="",E3487="!!!",F3487="NEW"),"",INDEX(J$1:J3486,SUMPRODUCT(MAX(ROW(E$1:E3486)*(E3487=E$1:E3486)))))</f>
        <v> </v>
      </c>
      <c r="L3487" s="27"/>
    </row>
    <row r="3488" spans="1:12">
      <c r="A3488" s="20" t="s">
        <v>1115</v>
      </c>
      <c r="E3488" s="22">
        <f>IF(D3488="?OLD","!!!","")</f>
        <v/>
      </c>
      <c r="F3488" s="23" t="str">
        <f>IF(OR(E3488="",E3488="!!!"),"",IF(NOT(ISNA(VLOOKUP(E3488,E$1:E3487,1,FALSE()))),"OLD",IF(AND(E3488&lt;&gt;"",E3488&lt;&gt;"!!!"),"NEW","")))</f>
        <v> </v>
      </c>
      <c r="G3488" s="24" t="str">
        <f>IF(OR(E3488="",E3488="!!!"),"",IF(OR(J3488=0,AND(J3488=1,K3488=1),AND(J3488=1,I3488="SBJ"),AND(J3488=1,I3488=0)),"?IN_FOCUS",IF(J3488&lt;=2,"?ACTIVATED",IF(J3488&lt;&gt;"","?FAMILIAR",IF(F3488="NEW",IF(ISNA(VLOOKUP(E3488,#REF!,1,FALSE())),"?TYPE_IDENTIFIABLE","?REFERENTIAL"),"_")))))</f>
        <v> </v>
      </c>
      <c r="H3488" s="25" t="str">
        <f>IF(J3488&lt;&gt;1,"",IF(I3488="SBJ","CB","?"))</f>
        <v> </v>
      </c>
      <c r="I3488" s="26" t="str">
        <f>IF(OR(E3488="",E3488="!!!",F3488="NEW"),"",INDEX(B3487:B$2,-1+SUMPRODUCT(MAX(ROW(E3487:E$2)*(E3488=E3487:E$2)))))</f>
        <v> </v>
      </c>
      <c r="J3488" s="26" t="str">
        <f>IF(OR(E3488="",E3488="!!!",F3488="NEW"),"",COUNTBLANK(OFFSET(A$1,,,SUMPRODUCT(MAX(ROW(E$2:E3488)*(E3488=E$2:E3488)))))-COUNTBLANK(OFFSET(A$1,,,SUMPRODUCT(MAX(ROW(E$1:E3487)*(E2=E$1:E3487))))))</f>
        <v> </v>
      </c>
      <c r="K3488" s="26" t="str">
        <f>IF(OR(E3488="",E3488="!!!",F3488="NEW"),"",INDEX(J$1:J3487,SUMPRODUCT(MAX(ROW(E$1:E3487)*(E3488=E$1:E3487)))))</f>
        <v> </v>
      </c>
      <c r="L3488" s="27"/>
    </row>
    <row r="3489" spans="1:12">
      <c r="A3489" s="20" t="s">
        <v>1941</v>
      </c>
      <c r="E3489" s="22">
        <f>IF(D3489="?OLD","!!!","")</f>
        <v/>
      </c>
      <c r="F3489" s="23" t="str">
        <f>IF(OR(E3489="",E3489="!!!"),"",IF(NOT(ISNA(VLOOKUP(E3489,E$1:E3488,1,FALSE()))),"OLD",IF(AND(E3489&lt;&gt;"",E3489&lt;&gt;"!!!"),"NEW","")))</f>
        <v> </v>
      </c>
      <c r="G3489" s="24" t="str">
        <f>IF(OR(E3489="",E3489="!!!"),"",IF(OR(J3489=0,AND(J3489=1,K3489=1),AND(J3489=1,I3489="SBJ"),AND(J3489=1,I3489=0)),"?IN_FOCUS",IF(J3489&lt;=2,"?ACTIVATED",IF(J3489&lt;&gt;"","?FAMILIAR",IF(F3489="NEW",IF(ISNA(VLOOKUP(E3489,#REF!,1,FALSE())),"?TYPE_IDENTIFIABLE","?REFERENTIAL"),"_")))))</f>
        <v> </v>
      </c>
      <c r="H3489" s="25" t="str">
        <f>IF(J3489&lt;&gt;1,"",IF(I3489="SBJ","CB","?"))</f>
        <v> </v>
      </c>
      <c r="I3489" s="26" t="str">
        <f>IF(OR(E3489="",E3489="!!!",F3489="NEW"),"",INDEX(B3488:B$2,-1+SUMPRODUCT(MAX(ROW(E3488:E$2)*(E3489=E3488:E$2)))))</f>
        <v> </v>
      </c>
      <c r="J3489" s="26" t="str">
        <f>IF(OR(E3489="",E3489="!!!",F3489="NEW"),"",COUNTBLANK(OFFSET(A$1,,,SUMPRODUCT(MAX(ROW(E$2:E3489)*(E3489=E$2:E3489)))))-COUNTBLANK(OFFSET(A$1,,,SUMPRODUCT(MAX(ROW(E$1:E3488)*(E2=E$1:E3488))))))</f>
        <v> </v>
      </c>
      <c r="K3489" s="26" t="str">
        <f>IF(OR(E3489="",E3489="!!!",F3489="NEW"),"",INDEX(J$1:J3488,SUMPRODUCT(MAX(ROW(E$1:E3488)*(E3489=E$1:E3488)))))</f>
        <v> </v>
      </c>
      <c r="L3489" s="27"/>
    </row>
    <row r="3490" spans="1:12">
      <c r="A3490" s="20" t="s">
        <v>686</v>
      </c>
      <c r="B3490" s="21" t="s">
        <v>736</v>
      </c>
      <c r="C3490" s="21" t="s">
        <v>748</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t="s">
        <v>697</v>
      </c>
      <c r="E3491" s="22">
        <f>IF(D3491="?OLD","!!!","")</f>
        <v/>
      </c>
      <c r="F3491" s="23" t="str">
        <f>IF(OR(E3491="",E3491="!!!"),"",IF(NOT(ISNA(VLOOKUP(E3491,E$1:E3490,1,FALSE()))),"OLD",IF(AND(E3491&lt;&gt;"",E3491&lt;&gt;"!!!"),"NEW","")))</f>
        <v> </v>
      </c>
      <c r="G3491" s="24" t="str">
        <f>IF(OR(E3491="",E3491="!!!"),"",IF(OR(J3491=0,AND(J3491=1,K3491=1),AND(J3491=1,I3491="SBJ"),AND(J3491=1,I3491=0)),"?IN_FOCUS",IF(J3491&lt;=2,"?ACTIVATED",IF(J3491&lt;&gt;"","?FAMILIAR",IF(F3491="NEW",IF(ISNA(VLOOKUP(E3491,#REF!,1,FALSE())),"?TYPE_IDENTIFIABLE","?REFERENTIAL"),"_")))))</f>
        <v> </v>
      </c>
      <c r="H3491" s="25" t="str">
        <f>IF(J3491&lt;&gt;1,"",IF(I3491="SBJ","CB","?"))</f>
        <v> </v>
      </c>
      <c r="I3491" s="26" t="str">
        <f>IF(OR(E3491="",E3491="!!!",F3491="NEW"),"",INDEX(B3490:B$2,-1+SUMPRODUCT(MAX(ROW(E3490:E$2)*(E3491=E3490:E$2)))))</f>
        <v> </v>
      </c>
      <c r="J3491" s="26" t="str">
        <f>IF(OR(E3491="",E3491="!!!",F3491="NEW"),"",COUNTBLANK(OFFSET(A$1,,,SUMPRODUCT(MAX(ROW(E$2:E3491)*(E3491=E$2:E3491)))))-COUNTBLANK(OFFSET(A$1,,,SUMPRODUCT(MAX(ROW(E$1:E3490)*(E2=E$1:E3490))))))</f>
        <v> </v>
      </c>
      <c r="K3491" s="26" t="str">
        <f>IF(OR(E3491="",E3491="!!!",F3491="NEW"),"",INDEX(J$1:J3490,SUMPRODUCT(MAX(ROW(E$1:E3490)*(E3491=E$1:E3490)))))</f>
        <v> </v>
      </c>
      <c r="L3491" s="27"/>
    </row>
    <row r="3492" spans="1:12">
      <c r="A3492" s="20" t="s">
        <v>246</v>
      </c>
      <c r="E3492" s="22">
        <f>IF(D3492="?OLD","!!!","")</f>
        <v/>
      </c>
      <c r="F3492" s="23" t="str">
        <f>IF(OR(E3492="",E3492="!!!"),"",IF(NOT(ISNA(VLOOKUP(E3492,E$1:E3491,1,FALSE()))),"OLD",IF(AND(E3492&lt;&gt;"",E3492&lt;&gt;"!!!"),"NEW","")))</f>
        <v> </v>
      </c>
      <c r="G3492" s="24" t="str">
        <f>IF(OR(E3492="",E3492="!!!"),"",IF(OR(J3492=0,AND(J3492=1,K3492=1),AND(J3492=1,I3492="SBJ"),AND(J3492=1,I3492=0)),"?IN_FOCUS",IF(J3492&lt;=2,"?ACTIVATED",IF(J3492&lt;&gt;"","?FAMILIAR",IF(F3492="NEW",IF(ISNA(VLOOKUP(E3492,#REF!,1,FALSE())),"?TYPE_IDENTIFIABLE","?REFERENTIAL"),"_")))))</f>
        <v> </v>
      </c>
      <c r="H3492" s="25" t="str">
        <f>IF(J3492&lt;&gt;1,"",IF(I3492="SBJ","CB","?"))</f>
        <v> </v>
      </c>
      <c r="I3492" s="26" t="str">
        <f>IF(OR(E3492="",E3492="!!!",F3492="NEW"),"",INDEX(B3491:B$2,-1+SUMPRODUCT(MAX(ROW(E3491:E$2)*(E3492=E3491:E$2)))))</f>
        <v> </v>
      </c>
      <c r="J3492" s="26" t="str">
        <f>IF(OR(E3492="",E3492="!!!",F3492="NEW"),"",COUNTBLANK(OFFSET(A$1,,,SUMPRODUCT(MAX(ROW(E$2:E3492)*(E3492=E$2:E3492)))))-COUNTBLANK(OFFSET(A$1,,,SUMPRODUCT(MAX(ROW(E$1:E3491)*(E2=E$1:E3491))))))</f>
        <v> </v>
      </c>
      <c r="K3492" s="26" t="str">
        <f>IF(OR(E3492="",E3492="!!!",F3492="NEW"),"",INDEX(J$1:J3491,SUMPRODUCT(MAX(ROW(E$1:E3491)*(E3492=E$1:E3491)))))</f>
        <v> </v>
      </c>
      <c r="L3492" s="27"/>
    </row>
    <row r="3493" spans="1:12">
      <c r="A3493" s="20"/>
    </row>
    <row r="3494" spans="1:12">
      <c r="A3494" s="20" t="s">
        <v>1942</v>
      </c>
    </row>
    <row r="3495" spans="1:12">
      <c r="A3495" s="20" t="s">
        <v>1446</v>
      </c>
      <c r="B3495" s="21" t="s">
        <v>728</v>
      </c>
      <c r="C3495" s="21" t="s">
        <v>756</v>
      </c>
      <c r="E3495" s="22">
        <f>IF(D3495="?OLD","!!!","")</f>
        <v/>
      </c>
      <c r="F3495" s="23" t="str">
        <f>IF(OR(E3495="",E3495="!!!"),"",IF(NOT(ISNA(VLOOKUP(E3495,E$1:E3494,1,FALSE()))),"OLD",IF(AND(E3495&lt;&gt;"",E3495&lt;&gt;"!!!"),"NEW","")))</f>
        <v> </v>
      </c>
      <c r="G3495" s="24" t="str">
        <f>IF(OR(E3495="",E3495="!!!"),"",IF(OR(J3495=0,AND(J3495=1,K3495=1),AND(J3495=1,I3495="SBJ"),AND(J3495=1,I3495=0)),"?IN_FOCUS",IF(J3495&lt;=2,"?ACTIVATED",IF(J3495&lt;&gt;"","?FAMILIAR",IF(F3495="NEW",IF(ISNA(VLOOKUP(E3495,#REF!,1,FALSE())),"?TYPE_IDENTIFIABLE","?REFERENTIAL"),"_")))))</f>
        <v> </v>
      </c>
      <c r="H3495" s="25" t="str">
        <f>IF(J3495&lt;&gt;1,"",IF(I3495="SBJ","CB","?"))</f>
        <v> </v>
      </c>
      <c r="I3495" s="26" t="str">
        <f>IF(OR(E3495="",E3495="!!!",F3495="NEW"),"",INDEX(B3494:B$2,-1+SUMPRODUCT(MAX(ROW(E3494:E$2)*(E3495=E3494:E$2)))))</f>
        <v> </v>
      </c>
      <c r="J3495" s="26" t="str">
        <f>IF(OR(E3495="",E3495="!!!",F3495="NEW"),"",COUNTBLANK(OFFSET(A$1,,,SUMPRODUCT(MAX(ROW(E$2:E3495)*(E3495=E$2:E3495)))))-COUNTBLANK(OFFSET(A$1,,,SUMPRODUCT(MAX(ROW(E$1:E3494)*(E2=E$1:E3494))))))</f>
        <v> </v>
      </c>
      <c r="K3495" s="26" t="str">
        <f>IF(OR(E3495="",E3495="!!!",F3495="NEW"),"",INDEX(J$1:J3494,SUMPRODUCT(MAX(ROW(E$1:E3494)*(E3495=E$1:E3494)))))</f>
        <v> </v>
      </c>
      <c r="L3495" s="27"/>
    </row>
    <row r="3496" spans="1:12">
      <c r="A3496" s="20" t="s">
        <v>1226</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t="s">
        <v>1943</v>
      </c>
      <c r="E3497" s="22">
        <f>IF(D3497="?OLD","!!!","")</f>
        <v/>
      </c>
      <c r="F3497" s="23" t="str">
        <f>IF(OR(E3497="",E3497="!!!"),"",IF(NOT(ISNA(VLOOKUP(E3497,E$1:E3496,1,FALSE()))),"OLD",IF(AND(E3497&lt;&gt;"",E3497&lt;&gt;"!!!"),"NEW","")))</f>
        <v> </v>
      </c>
      <c r="G3497" s="24" t="str">
        <f>IF(OR(E3497="",E3497="!!!"),"",IF(OR(J3497=0,AND(J3497=1,K3497=1),AND(J3497=1,I3497="SBJ"),AND(J3497=1,I3497=0)),"?IN_FOCUS",IF(J3497&lt;=2,"?ACTIVATED",IF(J3497&lt;&gt;"","?FAMILIAR",IF(F3497="NEW",IF(ISNA(VLOOKUP(E3497,#REF!,1,FALSE())),"?TYPE_IDENTIFIABLE","?REFERENTIAL"),"_")))))</f>
        <v> </v>
      </c>
      <c r="H3497" s="25" t="str">
        <f>IF(J3497&lt;&gt;1,"",IF(I3497="SBJ","CB","?"))</f>
        <v> </v>
      </c>
      <c r="I3497" s="26" t="str">
        <f>IF(OR(E3497="",E3497="!!!",F3497="NEW"),"",INDEX(B3496:B$2,-1+SUMPRODUCT(MAX(ROW(E3496:E$2)*(E3497=E3496:E$2)))))</f>
        <v> </v>
      </c>
      <c r="J3497" s="26" t="str">
        <f>IF(OR(E3497="",E3497="!!!",F3497="NEW"),"",COUNTBLANK(OFFSET(A$1,,,SUMPRODUCT(MAX(ROW(E$2:E3497)*(E3497=E$2:E3497)))))-COUNTBLANK(OFFSET(A$1,,,SUMPRODUCT(MAX(ROW(E$1:E3496)*(E2=E$1:E3496))))))</f>
        <v> </v>
      </c>
      <c r="K3497" s="26" t="str">
        <f>IF(OR(E3497="",E3497="!!!",F3497="NEW"),"",INDEX(J$1:J3496,SUMPRODUCT(MAX(ROW(E$1:E3496)*(E3497=E$1:E3496)))))</f>
        <v> </v>
      </c>
      <c r="L3497" s="27"/>
    </row>
    <row r="3498" spans="1:12">
      <c r="A3498" s="20" t="s">
        <v>106</v>
      </c>
      <c r="E3498" s="22">
        <f>IF(D3498="?OLD","!!!","")</f>
        <v/>
      </c>
      <c r="F3498" s="23" t="str">
        <f>IF(OR(E3498="",E3498="!!!"),"",IF(NOT(ISNA(VLOOKUP(E3498,E$1:E3497,1,FALSE()))),"OLD",IF(AND(E3498&lt;&gt;"",E3498&lt;&gt;"!!!"),"NEW","")))</f>
        <v> </v>
      </c>
      <c r="G3498" s="24" t="str">
        <f>IF(OR(E3498="",E3498="!!!"),"",IF(OR(J3498=0,AND(J3498=1,K3498=1),AND(J3498=1,I3498="SBJ"),AND(J3498=1,I3498=0)),"?IN_FOCUS",IF(J3498&lt;=2,"?ACTIVATED",IF(J3498&lt;&gt;"","?FAMILIAR",IF(F3498="NEW",IF(ISNA(VLOOKUP(E3498,#REF!,1,FALSE())),"?TYPE_IDENTIFIABLE","?REFERENTIAL"),"_")))))</f>
        <v> </v>
      </c>
      <c r="H3498" s="25" t="str">
        <f>IF(J3498&lt;&gt;1,"",IF(I3498="SBJ","CB","?"))</f>
        <v> </v>
      </c>
      <c r="I3498" s="26" t="str">
        <f>IF(OR(E3498="",E3498="!!!",F3498="NEW"),"",INDEX(B3497:B$2,-1+SUMPRODUCT(MAX(ROW(E3497:E$2)*(E3498=E3497:E$2)))))</f>
        <v> </v>
      </c>
      <c r="J3498" s="26" t="str">
        <f>IF(OR(E3498="",E3498="!!!",F3498="NEW"),"",COUNTBLANK(OFFSET(A$1,,,SUMPRODUCT(MAX(ROW(E$2:E3498)*(E3498=E$2:E3498)))))-COUNTBLANK(OFFSET(A$1,,,SUMPRODUCT(MAX(ROW(E$1:E3497)*(E2=E$1:E3497))))))</f>
        <v> </v>
      </c>
      <c r="K3498" s="26" t="str">
        <f>IF(OR(E3498="",E3498="!!!",F3498="NEW"),"",INDEX(J$1:J3497,SUMPRODUCT(MAX(ROW(E$1:E3497)*(E3498=E$1:E3497)))))</f>
        <v> </v>
      </c>
      <c r="L3498" s="27"/>
    </row>
    <row r="3499" spans="1:12">
      <c r="A3499" s="20" t="s">
        <v>759</v>
      </c>
      <c r="E3499" s="22">
        <f>IF(D3499="?OLD","!!!","")</f>
        <v/>
      </c>
      <c r="F3499" s="23" t="str">
        <f>IF(OR(E3499="",E3499="!!!"),"",IF(NOT(ISNA(VLOOKUP(E3499,E$1:E3498,1,FALSE()))),"OLD",IF(AND(E3499&lt;&gt;"",E3499&lt;&gt;"!!!"),"NEW","")))</f>
        <v> </v>
      </c>
      <c r="G3499" s="24" t="str">
        <f>IF(OR(E3499="",E3499="!!!"),"",IF(OR(J3499=0,AND(J3499=1,K3499=1),AND(J3499=1,I3499="SBJ"),AND(J3499=1,I3499=0)),"?IN_FOCUS",IF(J3499&lt;=2,"?ACTIVATED",IF(J3499&lt;&gt;"","?FAMILIAR",IF(F3499="NEW",IF(ISNA(VLOOKUP(E3499,#REF!,1,FALSE())),"?TYPE_IDENTIFIABLE","?REFERENTIAL"),"_")))))</f>
        <v> </v>
      </c>
      <c r="H3499" s="25" t="str">
        <f>IF(J3499&lt;&gt;1,"",IF(I3499="SBJ","CB","?"))</f>
        <v> </v>
      </c>
      <c r="I3499" s="26" t="str">
        <f>IF(OR(E3499="",E3499="!!!",F3499="NEW"),"",INDEX(B3498:B$2,-1+SUMPRODUCT(MAX(ROW(E3498:E$2)*(E3499=E3498:E$2)))))</f>
        <v> </v>
      </c>
      <c r="J3499" s="26" t="str">
        <f>IF(OR(E3499="",E3499="!!!",F3499="NEW"),"",COUNTBLANK(OFFSET(A$1,,,SUMPRODUCT(MAX(ROW(E$2:E3499)*(E3499=E$2:E3499)))))-COUNTBLANK(OFFSET(A$1,,,SUMPRODUCT(MAX(ROW(E$1:E3498)*(E2=E$1:E3498))))))</f>
        <v> </v>
      </c>
      <c r="K3499" s="26" t="str">
        <f>IF(OR(E3499="",E3499="!!!",F3499="NEW"),"",INDEX(J$1:J3498,SUMPRODUCT(MAX(ROW(E$1:E3498)*(E3499=E$1:E3498)))))</f>
        <v> </v>
      </c>
      <c r="L3499" s="27"/>
    </row>
    <row r="3500" spans="1:12">
      <c r="A3500" s="20" t="s">
        <v>1713</v>
      </c>
      <c r="B3500" s="21" t="s">
        <v>755</v>
      </c>
      <c r="C3500" s="21" t="s">
        <v>789</v>
      </c>
      <c r="D3500" s="21" t="s">
        <v>730</v>
      </c>
      <c r="E3500" s="22">
        <f>IF(D3500="?OLD","!!!","")</f>
        <v/>
      </c>
      <c r="F3500" s="23" t="str">
        <f>IF(OR(E3500="",E3500="!!!"),"",IF(NOT(ISNA(VLOOKUP(E3500,E$1:E3499,1,FALSE()))),"OLD",IF(AND(E3500&lt;&gt;"",E3500&lt;&gt;"!!!"),"NEW","")))</f>
        <v> </v>
      </c>
      <c r="G3500" s="24" t="str">
        <f>IF(OR(E3500="",E3500="!!!"),"",IF(OR(J3500=0,AND(J3500=1,K3500=1),AND(J3500=1,I3500="SBJ"),AND(J3500=1,I3500=0)),"?IN_FOCUS",IF(J3500&lt;=2,"?ACTIVATED",IF(J3500&lt;&gt;"","?FAMILIAR",IF(F3500="NEW",IF(ISNA(VLOOKUP(E3500,#REF!,1,FALSE())),"?TYPE_IDENTIFIABLE","?REFERENTIAL"),"_")))))</f>
        <v> </v>
      </c>
      <c r="H3500" s="25" t="str">
        <f>IF(J3500&lt;&gt;1,"",IF(I3500="SBJ","CB","?"))</f>
        <v> </v>
      </c>
      <c r="I3500" s="26" t="str">
        <f>IF(OR(E3500="",E3500="!!!",F3500="NEW"),"",INDEX(B3499:B$2,-1+SUMPRODUCT(MAX(ROW(E3499:E$2)*(E3500=E3499:E$2)))))</f>
        <v> </v>
      </c>
      <c r="J3500" s="26" t="str">
        <f>IF(OR(E3500="",E3500="!!!",F3500="NEW"),"",COUNTBLANK(OFFSET(A$1,,,SUMPRODUCT(MAX(ROW(E$2:E3500)*(E3500=E$2:E3500)))))-COUNTBLANK(OFFSET(A$1,,,SUMPRODUCT(MAX(ROW(E$1:E3499)*(E2=E$1:E3499))))))</f>
        <v> </v>
      </c>
      <c r="K3500" s="26" t="str">
        <f>IF(OR(E3500="",E3500="!!!",F3500="NEW"),"",INDEX(J$1:J3499,SUMPRODUCT(MAX(ROW(E$1:E3499)*(E3500=E$1:E3499)))))</f>
        <v> </v>
      </c>
      <c r="L3500" s="27"/>
    </row>
    <row r="3501" spans="1:12">
      <c r="A3501" s="20" t="s">
        <v>1927</v>
      </c>
      <c r="B3501" s="21" t="s">
        <v>791</v>
      </c>
      <c r="C3501" s="21" t="s">
        <v>801</v>
      </c>
      <c r="E3501" s="22">
        <f>IF(D3501="?OLD","!!!","")</f>
        <v/>
      </c>
      <c r="F3501" s="23" t="str">
        <f>IF(OR(E3501="",E3501="!!!"),"",IF(NOT(ISNA(VLOOKUP(E3501,E$1:E3500,1,FALSE()))),"OLD",IF(AND(E3501&lt;&gt;"",E3501&lt;&gt;"!!!"),"NEW","")))</f>
        <v> </v>
      </c>
      <c r="G3501" s="24" t="str">
        <f>IF(OR(E3501="",E3501="!!!"),"",IF(OR(J3501=0,AND(J3501=1,K3501=1),AND(J3501=1,I3501="SBJ"),AND(J3501=1,I3501=0)),"?IN_FOCUS",IF(J3501&lt;=2,"?ACTIVATED",IF(J3501&lt;&gt;"","?FAMILIAR",IF(F3501="NEW",IF(ISNA(VLOOKUP(E3501,#REF!,1,FALSE())),"?TYPE_IDENTIFIABLE","?REFERENTIAL"),"_")))))</f>
        <v> </v>
      </c>
      <c r="H3501" s="25" t="str">
        <f>IF(J3501&lt;&gt;1,"",IF(I3501="SBJ","CB","?"))</f>
        <v> </v>
      </c>
      <c r="I3501" s="26" t="str">
        <f>IF(OR(E3501="",E3501="!!!",F3501="NEW"),"",INDEX(B3500:B$2,-1+SUMPRODUCT(MAX(ROW(E3500:E$2)*(E3501=E3500:E$2)))))</f>
        <v> </v>
      </c>
      <c r="J3501" s="26" t="str">
        <f>IF(OR(E3501="",E3501="!!!",F3501="NEW"),"",COUNTBLANK(OFFSET(A$1,,,SUMPRODUCT(MAX(ROW(E$2:E3501)*(E3501=E$2:E3501)))))-COUNTBLANK(OFFSET(A$1,,,SUMPRODUCT(MAX(ROW(E$1:E3500)*(E2=E$1:E3500))))))</f>
        <v> </v>
      </c>
      <c r="K3501" s="26" t="str">
        <f>IF(OR(E3501="",E3501="!!!",F3501="NEW"),"",INDEX(J$1:J3500,SUMPRODUCT(MAX(ROW(E$1:E3500)*(E3501=E$1:E3500)))))</f>
        <v> </v>
      </c>
      <c r="L3501" s="27"/>
    </row>
    <row r="3502" spans="1:12">
      <c r="A3502" s="20" t="s">
        <v>742</v>
      </c>
      <c r="E3502" s="22">
        <f>IF(D3502="?OLD","!!!","")</f>
        <v/>
      </c>
      <c r="F3502" s="23" t="str">
        <f>IF(OR(E3502="",E3502="!!!"),"",IF(NOT(ISNA(VLOOKUP(E3502,E$1:E3501,1,FALSE()))),"OLD",IF(AND(E3502&lt;&gt;"",E3502&lt;&gt;"!!!"),"NEW","")))</f>
        <v> </v>
      </c>
      <c r="G3502" s="24" t="str">
        <f>IF(OR(E3502="",E3502="!!!"),"",IF(OR(J3502=0,AND(J3502=1,K3502=1),AND(J3502=1,I3502="SBJ"),AND(J3502=1,I3502=0)),"?IN_FOCUS",IF(J3502&lt;=2,"?ACTIVATED",IF(J3502&lt;&gt;"","?FAMILIAR",IF(F3502="NEW",IF(ISNA(VLOOKUP(E3502,#REF!,1,FALSE())),"?TYPE_IDENTIFIABLE","?REFERENTIAL"),"_")))))</f>
        <v> </v>
      </c>
      <c r="H3502" s="25" t="str">
        <f>IF(J3502&lt;&gt;1,"",IF(I3502="SBJ","CB","?"))</f>
        <v> </v>
      </c>
      <c r="I3502" s="26" t="str">
        <f>IF(OR(E3502="",E3502="!!!",F3502="NEW"),"",INDEX(B3501:B$2,-1+SUMPRODUCT(MAX(ROW(E3501:E$2)*(E3502=E3501:E$2)))))</f>
        <v> </v>
      </c>
      <c r="J3502" s="26" t="str">
        <f>IF(OR(E3502="",E3502="!!!",F3502="NEW"),"",COUNTBLANK(OFFSET(A$1,,,SUMPRODUCT(MAX(ROW(E$2:E3502)*(E3502=E$2:E3502)))))-COUNTBLANK(OFFSET(A$1,,,SUMPRODUCT(MAX(ROW(E$1:E3501)*(E2=E$1:E3501))))))</f>
        <v> </v>
      </c>
      <c r="K3502" s="26" t="str">
        <f>IF(OR(E3502="",E3502="!!!",F3502="NEW"),"",INDEX(J$1:J3501,SUMPRODUCT(MAX(ROW(E$1:E3501)*(E3502=E$1:E3501)))))</f>
        <v> </v>
      </c>
      <c r="L3502" s="27"/>
    </row>
    <row r="3503" spans="1:12">
      <c r="A3503" s="20" t="s">
        <v>804</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t="s">
        <v>754</v>
      </c>
      <c r="E3504" s="22">
        <f>IF(D3504="?OLD","!!!","")</f>
        <v/>
      </c>
      <c r="F3504" s="23" t="str">
        <f>IF(OR(E3504="",E3504="!!!"),"",IF(NOT(ISNA(VLOOKUP(E3504,E$1:E3503,1,FALSE()))),"OLD",IF(AND(E3504&lt;&gt;"",E3504&lt;&gt;"!!!"),"NEW","")))</f>
        <v> </v>
      </c>
      <c r="G3504" s="24" t="str">
        <f>IF(OR(E3504="",E3504="!!!"),"",IF(OR(J3504=0,AND(J3504=1,K3504=1),AND(J3504=1,I3504="SBJ"),AND(J3504=1,I3504=0)),"?IN_FOCUS",IF(J3504&lt;=2,"?ACTIVATED",IF(J3504&lt;&gt;"","?FAMILIAR",IF(F3504="NEW",IF(ISNA(VLOOKUP(E3504,#REF!,1,FALSE())),"?TYPE_IDENTIFIABLE","?REFERENTIAL"),"_")))))</f>
        <v> </v>
      </c>
      <c r="H3504" s="25" t="str">
        <f>IF(J3504&lt;&gt;1,"",IF(I3504="SBJ","CB","?"))</f>
        <v> </v>
      </c>
      <c r="I3504" s="26" t="str">
        <f>IF(OR(E3504="",E3504="!!!",F3504="NEW"),"",INDEX(B3503:B$2,-1+SUMPRODUCT(MAX(ROW(E3503:E$2)*(E3504=E3503:E$2)))))</f>
        <v> </v>
      </c>
      <c r="J3504" s="26" t="str">
        <f>IF(OR(E3504="",E3504="!!!",F3504="NEW"),"",COUNTBLANK(OFFSET(A$1,,,SUMPRODUCT(MAX(ROW(E$2:E3504)*(E3504=E$2:E3504)))))-COUNTBLANK(OFFSET(A$1,,,SUMPRODUCT(MAX(ROW(E$1:E3503)*(E2=E$1:E3503))))))</f>
        <v> </v>
      </c>
      <c r="K3504" s="26" t="str">
        <f>IF(OR(E3504="",E3504="!!!",F3504="NEW"),"",INDEX(J$1:J3503,SUMPRODUCT(MAX(ROW(E$1:E3503)*(E3504=E$1:E3503)))))</f>
        <v> </v>
      </c>
      <c r="L3504" s="27"/>
    </row>
    <row r="3505" spans="1:12">
      <c r="A3505" s="20" t="s">
        <v>69</v>
      </c>
      <c r="E3505" s="22">
        <f>IF(D3505="?OLD","!!!","")</f>
        <v/>
      </c>
      <c r="F3505" s="23" t="str">
        <f>IF(OR(E3505="",E3505="!!!"),"",IF(NOT(ISNA(VLOOKUP(E3505,E$1:E3504,1,FALSE()))),"OLD",IF(AND(E3505&lt;&gt;"",E3505&lt;&gt;"!!!"),"NEW","")))</f>
        <v> </v>
      </c>
      <c r="G3505" s="24" t="str">
        <f>IF(OR(E3505="",E3505="!!!"),"",IF(OR(J3505=0,AND(J3505=1,K3505=1),AND(J3505=1,I3505="SBJ"),AND(J3505=1,I3505=0)),"?IN_FOCUS",IF(J3505&lt;=2,"?ACTIVATED",IF(J3505&lt;&gt;"","?FAMILIAR",IF(F3505="NEW",IF(ISNA(VLOOKUP(E3505,#REF!,1,FALSE())),"?TYPE_IDENTIFIABLE","?REFERENTIAL"),"_")))))</f>
        <v> </v>
      </c>
      <c r="H3505" s="25" t="str">
        <f>IF(J3505&lt;&gt;1,"",IF(I3505="SBJ","CB","?"))</f>
        <v> </v>
      </c>
      <c r="I3505" s="26" t="str">
        <f>IF(OR(E3505="",E3505="!!!",F3505="NEW"),"",INDEX(B3504:B$2,-1+SUMPRODUCT(MAX(ROW(E3504:E$2)*(E3505=E3504:E$2)))))</f>
        <v> </v>
      </c>
      <c r="J3505" s="26" t="str">
        <f>IF(OR(E3505="",E3505="!!!",F3505="NEW"),"",COUNTBLANK(OFFSET(A$1,,,SUMPRODUCT(MAX(ROW(E$2:E3505)*(E3505=E$2:E3505)))))-COUNTBLANK(OFFSET(A$1,,,SUMPRODUCT(MAX(ROW(E$1:E3504)*(E2=E$1:E3504))))))</f>
        <v> </v>
      </c>
      <c r="K3505" s="26" t="str">
        <f>IF(OR(E3505="",E3505="!!!",F3505="NEW"),"",INDEX(J$1:J3504,SUMPRODUCT(MAX(ROW(E$1:E3504)*(E3505=E$1:E3504)))))</f>
        <v> </v>
      </c>
      <c r="L3505" s="27"/>
    </row>
    <row r="3506" spans="1:12">
      <c r="A3506" s="20" t="s">
        <v>246</v>
      </c>
      <c r="E3506" s="22">
        <f>IF(D3506="?OLD","!!!","")</f>
        <v/>
      </c>
      <c r="F3506" s="23" t="str">
        <f>IF(OR(E3506="",E3506="!!!"),"",IF(NOT(ISNA(VLOOKUP(E3506,E$1:E3505,1,FALSE()))),"OLD",IF(AND(E3506&lt;&gt;"",E3506&lt;&gt;"!!!"),"NEW","")))</f>
        <v> </v>
      </c>
      <c r="G3506" s="24" t="str">
        <f>IF(OR(E3506="",E3506="!!!"),"",IF(OR(J3506=0,AND(J3506=1,K3506=1),AND(J3506=1,I3506="SBJ"),AND(J3506=1,I3506=0)),"?IN_FOCUS",IF(J3506&lt;=2,"?ACTIVATED",IF(J3506&lt;&gt;"","?FAMILIAR",IF(F3506="NEW",IF(ISNA(VLOOKUP(E3506,#REF!,1,FALSE())),"?TYPE_IDENTIFIABLE","?REFERENTIAL"),"_")))))</f>
        <v> </v>
      </c>
      <c r="H3506" s="25" t="str">
        <f>IF(J3506&lt;&gt;1,"",IF(I3506="SBJ","CB","?"))</f>
        <v> </v>
      </c>
      <c r="I3506" s="26" t="str">
        <f>IF(OR(E3506="",E3506="!!!",F3506="NEW"),"",INDEX(B3505:B$2,-1+SUMPRODUCT(MAX(ROW(E3505:E$2)*(E3506=E3505:E$2)))))</f>
        <v> </v>
      </c>
      <c r="J3506" s="26" t="str">
        <f>IF(OR(E3506="",E3506="!!!",F3506="NEW"),"",COUNTBLANK(OFFSET(A$1,,,SUMPRODUCT(MAX(ROW(E$2:E3506)*(E3506=E$2:E3506)))))-COUNTBLANK(OFFSET(A$1,,,SUMPRODUCT(MAX(ROW(E$1:E3505)*(E2=E$1:E3505))))))</f>
        <v> </v>
      </c>
      <c r="K3506" s="26" t="str">
        <f>IF(OR(E3506="",E3506="!!!",F3506="NEW"),"",INDEX(J$1:J3505,SUMPRODUCT(MAX(ROW(E$1:E3505)*(E3506=E$1:E3505)))))</f>
        <v> </v>
      </c>
      <c r="L3506" s="27"/>
    </row>
    <row r="3507" spans="1:12">
      <c r="A3507" s="20"/>
    </row>
    <row r="3508" spans="1:12">
      <c r="A3508" s="20" t="s">
        <v>1944</v>
      </c>
    </row>
    <row r="3509" spans="1:12">
      <c r="A3509" s="20" t="s">
        <v>883</v>
      </c>
      <c r="B3509" s="21" t="s">
        <v>728</v>
      </c>
      <c r="C3509" s="21" t="s">
        <v>801</v>
      </c>
      <c r="D3509" s="21" t="s">
        <v>730</v>
      </c>
      <c r="E3509" s="22">
        <f>IF(D3509="?OLD","!!!","")</f>
        <v/>
      </c>
      <c r="F3509" s="23" t="str">
        <f>IF(OR(E3509="",E3509="!!!"),"",IF(NOT(ISNA(VLOOKUP(E3509,E$1:E3508,1,FALSE()))),"OLD",IF(AND(E3509&lt;&gt;"",E3509&lt;&gt;"!!!"),"NEW","")))</f>
        <v> </v>
      </c>
      <c r="G3509" s="24" t="str">
        <f>IF(OR(E3509="",E3509="!!!"),"",IF(OR(J3509=0,AND(J3509=1,K3509=1),AND(J3509=1,I3509="SBJ"),AND(J3509=1,I3509=0)),"?IN_FOCUS",IF(J3509&lt;=2,"?ACTIVATED",IF(J3509&lt;&gt;"","?FAMILIAR",IF(F3509="NEW",IF(ISNA(VLOOKUP(E3509,#REF!,1,FALSE())),"?TYPE_IDENTIFIABLE","?REFERENTIAL"),"_")))))</f>
        <v> </v>
      </c>
      <c r="H3509" s="25" t="str">
        <f>IF(J3509&lt;&gt;1,"",IF(I3509="SBJ","CB","?"))</f>
        <v> </v>
      </c>
      <c r="I3509" s="26" t="str">
        <f>IF(OR(E3509="",E3509="!!!",F3509="NEW"),"",INDEX(B3508:B$2,-1+SUMPRODUCT(MAX(ROW(E3508:E$2)*(E3509=E3508:E$2)))))</f>
        <v> </v>
      </c>
      <c r="J3509" s="26" t="str">
        <f>IF(OR(E3509="",E3509="!!!",F3509="NEW"),"",COUNTBLANK(OFFSET(A$1,,,SUMPRODUCT(MAX(ROW(E$2:E3509)*(E3509=E$2:E3509)))))-COUNTBLANK(OFFSET(A$1,,,SUMPRODUCT(MAX(ROW(E$1:E3508)*(E2=E$1:E3508))))))</f>
        <v> </v>
      </c>
      <c r="K3509" s="26" t="str">
        <f>IF(OR(E3509="",E3509="!!!",F3509="NEW"),"",INDEX(J$1:J3508,SUMPRODUCT(MAX(ROW(E$1:E3508)*(E3509=E$1:E3508)))))</f>
        <v> </v>
      </c>
      <c r="L3509" s="27"/>
    </row>
    <row r="3510" spans="1:12">
      <c r="A3510" s="20" t="s">
        <v>1087</v>
      </c>
      <c r="E3510" s="22">
        <f>IF(D3510="?OLD","!!!","")</f>
        <v/>
      </c>
      <c r="F3510" s="23" t="str">
        <f>IF(OR(E3510="",E3510="!!!"),"",IF(NOT(ISNA(VLOOKUP(E3510,E$1:E3509,1,FALSE()))),"OLD",IF(AND(E3510&lt;&gt;"",E3510&lt;&gt;"!!!"),"NEW","")))</f>
        <v> </v>
      </c>
      <c r="G3510" s="24" t="str">
        <f>IF(OR(E3510="",E3510="!!!"),"",IF(OR(J3510=0,AND(J3510=1,K3510=1),AND(J3510=1,I3510="SBJ"),AND(J3510=1,I3510=0)),"?IN_FOCUS",IF(J3510&lt;=2,"?ACTIVATED",IF(J3510&lt;&gt;"","?FAMILIAR",IF(F3510="NEW",IF(ISNA(VLOOKUP(E3510,#REF!,1,FALSE())),"?TYPE_IDENTIFIABLE","?REFERENTIAL"),"_")))))</f>
        <v> </v>
      </c>
      <c r="H3510" s="25" t="str">
        <f>IF(J3510&lt;&gt;1,"",IF(I3510="SBJ","CB","?"))</f>
        <v> </v>
      </c>
      <c r="I3510" s="26" t="str">
        <f>IF(OR(E3510="",E3510="!!!",F3510="NEW"),"",INDEX(B3509:B$2,-1+SUMPRODUCT(MAX(ROW(E3509:E$2)*(E3510=E3509:E$2)))))</f>
        <v> </v>
      </c>
      <c r="J3510" s="26" t="str">
        <f>IF(OR(E3510="",E3510="!!!",F3510="NEW"),"",COUNTBLANK(OFFSET(A$1,,,SUMPRODUCT(MAX(ROW(E$2:E3510)*(E3510=E$2:E3510)))))-COUNTBLANK(OFFSET(A$1,,,SUMPRODUCT(MAX(ROW(E$1:E3509)*(E2=E$1:E3509))))))</f>
        <v> </v>
      </c>
      <c r="K3510" s="26" t="str">
        <f>IF(OR(E3510="",E3510="!!!",F3510="NEW"),"",INDEX(J$1:J3509,SUMPRODUCT(MAX(ROW(E$1:E3509)*(E3510=E$1:E3509)))))</f>
        <v> </v>
      </c>
      <c r="L3510" s="27"/>
    </row>
    <row r="3511" spans="1:12">
      <c r="A3511" s="20" t="s">
        <v>757</v>
      </c>
      <c r="E3511" s="22">
        <f>IF(D3511="?OLD","!!!","")</f>
        <v/>
      </c>
      <c r="F3511" s="23" t="str">
        <f>IF(OR(E3511="",E3511="!!!"),"",IF(NOT(ISNA(VLOOKUP(E3511,E$1:E3510,1,FALSE()))),"OLD",IF(AND(E3511&lt;&gt;"",E3511&lt;&gt;"!!!"),"NEW","")))</f>
        <v> </v>
      </c>
      <c r="G3511" s="24" t="str">
        <f>IF(OR(E3511="",E3511="!!!"),"",IF(OR(J3511=0,AND(J3511=1,K3511=1),AND(J3511=1,I3511="SBJ"),AND(J3511=1,I3511=0)),"?IN_FOCUS",IF(J3511&lt;=2,"?ACTIVATED",IF(J3511&lt;&gt;"","?FAMILIAR",IF(F3511="NEW",IF(ISNA(VLOOKUP(E3511,#REF!,1,FALSE())),"?TYPE_IDENTIFIABLE","?REFERENTIAL"),"_")))))</f>
        <v> </v>
      </c>
      <c r="H3511" s="25" t="str">
        <f>IF(J3511&lt;&gt;1,"",IF(I3511="SBJ","CB","?"))</f>
        <v> </v>
      </c>
      <c r="I3511" s="26" t="str">
        <f>IF(OR(E3511="",E3511="!!!",F3511="NEW"),"",INDEX(B3510:B$2,-1+SUMPRODUCT(MAX(ROW(E3510:E$2)*(E3511=E3510:E$2)))))</f>
        <v> </v>
      </c>
      <c r="J3511" s="26" t="str">
        <f>IF(OR(E3511="",E3511="!!!",F3511="NEW"),"",COUNTBLANK(OFFSET(A$1,,,SUMPRODUCT(MAX(ROW(E$2:E3511)*(E3511=E$2:E3511)))))-COUNTBLANK(OFFSET(A$1,,,SUMPRODUCT(MAX(ROW(E$1:E3510)*(E2=E$1:E3510))))))</f>
        <v> </v>
      </c>
      <c r="K3511" s="26" t="str">
        <f>IF(OR(E3511="",E3511="!!!",F3511="NEW"),"",INDEX(J$1:J3510,SUMPRODUCT(MAX(ROW(E$1:E3510)*(E3511=E$1:E3510)))))</f>
        <v> </v>
      </c>
      <c r="L3511" s="27"/>
    </row>
    <row r="3512" spans="1:12">
      <c r="A3512" s="20" t="s">
        <v>975</v>
      </c>
      <c r="B3512" s="21" t="s">
        <v>736</v>
      </c>
      <c r="C3512" s="21" t="s">
        <v>753</v>
      </c>
      <c r="D3512" s="21" t="s">
        <v>730</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759</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t="s">
        <v>840</v>
      </c>
      <c r="B3514" s="21" t="s">
        <v>791</v>
      </c>
      <c r="E3514" s="22">
        <f>IF(D3514="?OLD","!!!","")</f>
        <v/>
      </c>
      <c r="F3514" s="23" t="str">
        <f>IF(OR(E3514="",E3514="!!!"),"",IF(NOT(ISNA(VLOOKUP(E3514,E$1:E3513,1,FALSE()))),"OLD",IF(AND(E3514&lt;&gt;"",E3514&lt;&gt;"!!!"),"NEW","")))</f>
        <v> </v>
      </c>
      <c r="G3514" s="24" t="str">
        <f>IF(OR(E3514="",E3514="!!!"),"",IF(OR(J3514=0,AND(J3514=1,K3514=1),AND(J3514=1,I3514="SBJ"),AND(J3514=1,I3514=0)),"?IN_FOCUS",IF(J3514&lt;=2,"?ACTIVATED",IF(J3514&lt;&gt;"","?FAMILIAR",IF(F3514="NEW",IF(ISNA(VLOOKUP(E3514,#REF!,1,FALSE())),"?TYPE_IDENTIFIABLE","?REFERENTIAL"),"_")))))</f>
        <v> </v>
      </c>
      <c r="H3514" s="25" t="str">
        <f>IF(J3514&lt;&gt;1,"",IF(I3514="SBJ","CB","?"))</f>
        <v> </v>
      </c>
      <c r="I3514" s="26" t="str">
        <f>IF(OR(E3514="",E3514="!!!",F3514="NEW"),"",INDEX(B3513:B$2,-1+SUMPRODUCT(MAX(ROW(E3513:E$2)*(E3514=E3513:E$2)))))</f>
        <v> </v>
      </c>
      <c r="J3514" s="26" t="str">
        <f>IF(OR(E3514="",E3514="!!!",F3514="NEW"),"",COUNTBLANK(OFFSET(A$1,,,SUMPRODUCT(MAX(ROW(E$2:E3514)*(E3514=E$2:E3514)))))-COUNTBLANK(OFFSET(A$1,,,SUMPRODUCT(MAX(ROW(E$1:E3513)*(E2=E$1:E3513))))))</f>
        <v> </v>
      </c>
      <c r="K3514" s="26" t="str">
        <f>IF(OR(E3514="",E3514="!!!",F3514="NEW"),"",INDEX(J$1:J3513,SUMPRODUCT(MAX(ROW(E$1:E3513)*(E3514=E$1:E3513)))))</f>
        <v> </v>
      </c>
      <c r="L3514" s="27"/>
    </row>
    <row r="3515" spans="1:12">
      <c r="A3515" s="20" t="s">
        <v>750</v>
      </c>
      <c r="B3515" s="21" t="s">
        <v>796</v>
      </c>
      <c r="C3515" s="21" t="s">
        <v>729</v>
      </c>
      <c r="D3515" s="21" t="s">
        <v>730</v>
      </c>
      <c r="E3515" s="22">
        <f>IF(D3515="?OLD","!!!","")</f>
        <v/>
      </c>
      <c r="F3515" s="23" t="str">
        <f>IF(OR(E3515="",E3515="!!!"),"",IF(NOT(ISNA(VLOOKUP(E3515,E$1:E3514,1,FALSE()))),"OLD",IF(AND(E3515&lt;&gt;"",E3515&lt;&gt;"!!!"),"NEW","")))</f>
        <v> </v>
      </c>
      <c r="G3515" s="24" t="str">
        <f>IF(OR(E3515="",E3515="!!!"),"",IF(OR(J3515=0,AND(J3515=1,K3515=1),AND(J3515=1,I3515="SBJ"),AND(J3515=1,I3515=0)),"?IN_FOCUS",IF(J3515&lt;=2,"?ACTIVATED",IF(J3515&lt;&gt;"","?FAMILIAR",IF(F3515="NEW",IF(ISNA(VLOOKUP(E3515,#REF!,1,FALSE())),"?TYPE_IDENTIFIABLE","?REFERENTIAL"),"_")))))</f>
        <v> </v>
      </c>
      <c r="H3515" s="25" t="str">
        <f>IF(J3515&lt;&gt;1,"",IF(I3515="SBJ","CB","?"))</f>
        <v> </v>
      </c>
      <c r="I3515" s="26" t="str">
        <f>IF(OR(E3515="",E3515="!!!",F3515="NEW"),"",INDEX(B3514:B$2,-1+SUMPRODUCT(MAX(ROW(E3514:E$2)*(E3515=E3514:E$2)))))</f>
        <v> </v>
      </c>
      <c r="J3515" s="26" t="str">
        <f>IF(OR(E3515="",E3515="!!!",F3515="NEW"),"",COUNTBLANK(OFFSET(A$1,,,SUMPRODUCT(MAX(ROW(E$2:E3515)*(E3515=E$2:E3515)))))-COUNTBLANK(OFFSET(A$1,,,SUMPRODUCT(MAX(ROW(E$1:E3514)*(E2=E$1:E3514))))))</f>
        <v> </v>
      </c>
      <c r="K3515" s="26" t="str">
        <f>IF(OR(E3515="",E3515="!!!",F3515="NEW"),"",INDEX(J$1:J3514,SUMPRODUCT(MAX(ROW(E$1:E3514)*(E3515=E$1:E3514)))))</f>
        <v> </v>
      </c>
      <c r="L3515" s="27"/>
    </row>
    <row r="3516" spans="1:12">
      <c r="A3516" s="20" t="s">
        <v>1945</v>
      </c>
      <c r="B3516" s="21" t="s">
        <v>791</v>
      </c>
      <c r="C3516" s="21" t="s">
        <v>729</v>
      </c>
      <c r="D3516" s="21" t="s">
        <v>730</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t="s">
        <v>1946</v>
      </c>
      <c r="E3517" s="22">
        <f>IF(D3517="?OLD","!!!","")</f>
        <v/>
      </c>
      <c r="F3517" s="23" t="str">
        <f>IF(OR(E3517="",E3517="!!!"),"",IF(NOT(ISNA(VLOOKUP(E3517,E$1:E3516,1,FALSE()))),"OLD",IF(AND(E3517&lt;&gt;"",E3517&lt;&gt;"!!!"),"NEW","")))</f>
        <v> </v>
      </c>
      <c r="G3517" s="24" t="str">
        <f>IF(OR(E3517="",E3517="!!!"),"",IF(OR(J3517=0,AND(J3517=1,K3517=1),AND(J3517=1,I3517="SBJ"),AND(J3517=1,I3517=0)),"?IN_FOCUS",IF(J3517&lt;=2,"?ACTIVATED",IF(J3517&lt;&gt;"","?FAMILIAR",IF(F3517="NEW",IF(ISNA(VLOOKUP(E3517,#REF!,1,FALSE())),"?TYPE_IDENTIFIABLE","?REFERENTIAL"),"_")))))</f>
        <v> </v>
      </c>
      <c r="H3517" s="25" t="str">
        <f>IF(J3517&lt;&gt;1,"",IF(I3517="SBJ","CB","?"))</f>
        <v> </v>
      </c>
      <c r="I3517" s="26" t="str">
        <f>IF(OR(E3517="",E3517="!!!",F3517="NEW"),"",INDEX(B3516:B$2,-1+SUMPRODUCT(MAX(ROW(E3516:E$2)*(E3517=E3516:E$2)))))</f>
        <v> </v>
      </c>
      <c r="J3517" s="26" t="str">
        <f>IF(OR(E3517="",E3517="!!!",F3517="NEW"),"",COUNTBLANK(OFFSET(A$1,,,SUMPRODUCT(MAX(ROW(E$2:E3517)*(E3517=E$2:E3517)))))-COUNTBLANK(OFFSET(A$1,,,SUMPRODUCT(MAX(ROW(E$1:E3516)*(E2=E$1:E3516))))))</f>
        <v> </v>
      </c>
      <c r="K3517" s="26" t="str">
        <f>IF(OR(E3517="",E3517="!!!",F3517="NEW"),"",INDEX(J$1:J3516,SUMPRODUCT(MAX(ROW(E$1:E3516)*(E3517=E$1:E3516)))))</f>
        <v> </v>
      </c>
      <c r="L3517" s="27"/>
    </row>
    <row r="3518" spans="1:12">
      <c r="A3518" s="20" t="s">
        <v>732</v>
      </c>
      <c r="E3518" s="22">
        <f>IF(D3518="?OLD","!!!","")</f>
        <v/>
      </c>
      <c r="F3518" s="23" t="str">
        <f>IF(OR(E3518="",E3518="!!!"),"",IF(NOT(ISNA(VLOOKUP(E3518,E$1:E3517,1,FALSE()))),"OLD",IF(AND(E3518&lt;&gt;"",E3518&lt;&gt;"!!!"),"NEW","")))</f>
        <v> </v>
      </c>
      <c r="G3518" s="24" t="str">
        <f>IF(OR(E3518="",E3518="!!!"),"",IF(OR(J3518=0,AND(J3518=1,K3518=1),AND(J3518=1,I3518="SBJ"),AND(J3518=1,I3518=0)),"?IN_FOCUS",IF(J3518&lt;=2,"?ACTIVATED",IF(J3518&lt;&gt;"","?FAMILIAR",IF(F3518="NEW",IF(ISNA(VLOOKUP(E3518,#REF!,1,FALSE())),"?TYPE_IDENTIFIABLE","?REFERENTIAL"),"_")))))</f>
        <v> </v>
      </c>
      <c r="H3518" s="25" t="str">
        <f>IF(J3518&lt;&gt;1,"",IF(I3518="SBJ","CB","?"))</f>
        <v> </v>
      </c>
      <c r="I3518" s="26" t="str">
        <f>IF(OR(E3518="",E3518="!!!",F3518="NEW"),"",INDEX(B3517:B$2,-1+SUMPRODUCT(MAX(ROW(E3517:E$2)*(E3518=E3517:E$2)))))</f>
        <v> </v>
      </c>
      <c r="J3518" s="26" t="str">
        <f>IF(OR(E3518="",E3518="!!!",F3518="NEW"),"",COUNTBLANK(OFFSET(A$1,,,SUMPRODUCT(MAX(ROW(E$2:E3518)*(E3518=E$2:E3518)))))-COUNTBLANK(OFFSET(A$1,,,SUMPRODUCT(MAX(ROW(E$1:E3517)*(E2=E$1:E3517))))))</f>
        <v> </v>
      </c>
      <c r="K3518" s="26" t="str">
        <f>IF(OR(E3518="",E3518="!!!",F3518="NEW"),"",INDEX(J$1:J3517,SUMPRODUCT(MAX(ROW(E$1:E3517)*(E3518=E$1:E3517)))))</f>
        <v> </v>
      </c>
      <c r="L3518" s="27"/>
    </row>
    <row r="3519" spans="1:12">
      <c r="A3519" s="20" t="s">
        <v>742</v>
      </c>
      <c r="E3519" s="22">
        <f>IF(D3519="?OLD","!!!","")</f>
        <v/>
      </c>
      <c r="F3519" s="23" t="str">
        <f>IF(OR(E3519="",E3519="!!!"),"",IF(NOT(ISNA(VLOOKUP(E3519,E$1:E3518,1,FALSE()))),"OLD",IF(AND(E3519&lt;&gt;"",E3519&lt;&gt;"!!!"),"NEW","")))</f>
        <v> </v>
      </c>
      <c r="G3519" s="24" t="str">
        <f>IF(OR(E3519="",E3519="!!!"),"",IF(OR(J3519=0,AND(J3519=1,K3519=1),AND(J3519=1,I3519="SBJ"),AND(J3519=1,I3519=0)),"?IN_FOCUS",IF(J3519&lt;=2,"?ACTIVATED",IF(J3519&lt;&gt;"","?FAMILIAR",IF(F3519="NEW",IF(ISNA(VLOOKUP(E3519,#REF!,1,FALSE())),"?TYPE_IDENTIFIABLE","?REFERENTIAL"),"_")))))</f>
        <v> </v>
      </c>
      <c r="H3519" s="25" t="str">
        <f>IF(J3519&lt;&gt;1,"",IF(I3519="SBJ","CB","?"))</f>
        <v> </v>
      </c>
      <c r="I3519" s="26" t="str">
        <f>IF(OR(E3519="",E3519="!!!",F3519="NEW"),"",INDEX(B3518:B$2,-1+SUMPRODUCT(MAX(ROW(E3518:E$2)*(E3519=E3518:E$2)))))</f>
        <v> </v>
      </c>
      <c r="J3519" s="26" t="str">
        <f>IF(OR(E3519="",E3519="!!!",F3519="NEW"),"",COUNTBLANK(OFFSET(A$1,,,SUMPRODUCT(MAX(ROW(E$2:E3519)*(E3519=E$2:E3519)))))-COUNTBLANK(OFFSET(A$1,,,SUMPRODUCT(MAX(ROW(E$1:E3518)*(E2=E$1:E3518))))))</f>
        <v> </v>
      </c>
      <c r="K3519" s="26" t="str">
        <f>IF(OR(E3519="",E3519="!!!",F3519="NEW"),"",INDEX(J$1:J3518,SUMPRODUCT(MAX(ROW(E$1:E3518)*(E3519=E$1:E3518)))))</f>
        <v> </v>
      </c>
      <c r="L3519" s="27"/>
    </row>
    <row r="3520" spans="1:12">
      <c r="A3520" s="20" t="s">
        <v>840</v>
      </c>
      <c r="E3520" s="22">
        <f>IF(D3520="?OLD","!!!","")</f>
        <v/>
      </c>
      <c r="F3520" s="23" t="str">
        <f>IF(OR(E3520="",E3520="!!!"),"",IF(NOT(ISNA(VLOOKUP(E3520,E$1:E3519,1,FALSE()))),"OLD",IF(AND(E3520&lt;&gt;"",E3520&lt;&gt;"!!!"),"NEW","")))</f>
        <v> </v>
      </c>
      <c r="G3520" s="24" t="str">
        <f>IF(OR(E3520="",E3520="!!!"),"",IF(OR(J3520=0,AND(J3520=1,K3520=1),AND(J3520=1,I3520="SBJ"),AND(J3520=1,I3520=0)),"?IN_FOCUS",IF(J3520&lt;=2,"?ACTIVATED",IF(J3520&lt;&gt;"","?FAMILIAR",IF(F3520="NEW",IF(ISNA(VLOOKUP(E3520,#REF!,1,FALSE())),"?TYPE_IDENTIFIABLE","?REFERENTIAL"),"_")))))</f>
        <v> </v>
      </c>
      <c r="H3520" s="25" t="str">
        <f>IF(J3520&lt;&gt;1,"",IF(I3520="SBJ","CB","?"))</f>
        <v> </v>
      </c>
      <c r="I3520" s="26" t="str">
        <f>IF(OR(E3520="",E3520="!!!",F3520="NEW"),"",INDEX(B3519:B$2,-1+SUMPRODUCT(MAX(ROW(E3519:E$2)*(E3520=E3519:E$2)))))</f>
        <v> </v>
      </c>
      <c r="J3520" s="26" t="str">
        <f>IF(OR(E3520="",E3520="!!!",F3520="NEW"),"",COUNTBLANK(OFFSET(A$1,,,SUMPRODUCT(MAX(ROW(E$2:E3520)*(E3520=E$2:E3520)))))-COUNTBLANK(OFFSET(A$1,,,SUMPRODUCT(MAX(ROW(E$1:E3519)*(E2=E$1:E3519))))))</f>
        <v> </v>
      </c>
      <c r="K3520" s="26" t="str">
        <f>IF(OR(E3520="",E3520="!!!",F3520="NEW"),"",INDEX(J$1:J3519,SUMPRODUCT(MAX(ROW(E$1:E3519)*(E3520=E$1:E3519)))))</f>
        <v> </v>
      </c>
      <c r="L3520" s="27"/>
    </row>
    <row r="3521" spans="1:12">
      <c r="A3521" s="20" t="s">
        <v>1139</v>
      </c>
      <c r="B3521" s="21" t="s">
        <v>739</v>
      </c>
      <c r="C3521" s="21" t="s">
        <v>753</v>
      </c>
      <c r="D3521" s="21" t="s">
        <v>730</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t="s">
        <v>643</v>
      </c>
      <c r="E3522" s="22">
        <f>IF(D3522="?OLD","!!!","")</f>
        <v/>
      </c>
      <c r="F3522" s="23" t="str">
        <f>IF(OR(E3522="",E3522="!!!"),"",IF(NOT(ISNA(VLOOKUP(E3522,E$1:E3521,1,FALSE()))),"OLD",IF(AND(E3522&lt;&gt;"",E3522&lt;&gt;"!!!"),"NEW","")))</f>
        <v> </v>
      </c>
      <c r="G3522" s="24" t="str">
        <f>IF(OR(E3522="",E3522="!!!"),"",IF(OR(J3522=0,AND(J3522=1,K3522=1),AND(J3522=1,I3522="SBJ"),AND(J3522=1,I3522=0)),"?IN_FOCUS",IF(J3522&lt;=2,"?ACTIVATED",IF(J3522&lt;&gt;"","?FAMILIAR",IF(F3522="NEW",IF(ISNA(VLOOKUP(E3522,#REF!,1,FALSE())),"?TYPE_IDENTIFIABLE","?REFERENTIAL"),"_")))))</f>
        <v> </v>
      </c>
      <c r="H3522" s="25" t="str">
        <f>IF(J3522&lt;&gt;1,"",IF(I3522="SBJ","CB","?"))</f>
        <v> </v>
      </c>
      <c r="I3522" s="26" t="str">
        <f>IF(OR(E3522="",E3522="!!!",F3522="NEW"),"",INDEX(B3521:B$2,-1+SUMPRODUCT(MAX(ROW(E3521:E$2)*(E3522=E3521:E$2)))))</f>
        <v> </v>
      </c>
      <c r="J3522" s="26" t="str">
        <f>IF(OR(E3522="",E3522="!!!",F3522="NEW"),"",COUNTBLANK(OFFSET(A$1,,,SUMPRODUCT(MAX(ROW(E$2:E3522)*(E3522=E$2:E3522)))))-COUNTBLANK(OFFSET(A$1,,,SUMPRODUCT(MAX(ROW(E$1:E3521)*(E2=E$1:E3521))))))</f>
        <v> </v>
      </c>
      <c r="K3522" s="26" t="str">
        <f>IF(OR(E3522="",E3522="!!!",F3522="NEW"),"",INDEX(J$1:J3521,SUMPRODUCT(MAX(ROW(E$1:E3521)*(E3522=E$1:E3521)))))</f>
        <v> </v>
      </c>
      <c r="L3522" s="27"/>
    </row>
    <row r="3523" spans="1:12">
      <c r="A3523" s="20" t="s">
        <v>1947</v>
      </c>
      <c r="E3523" s="22">
        <f>IF(D3523="?OLD","!!!","")</f>
        <v/>
      </c>
      <c r="F3523" s="23" t="str">
        <f>IF(OR(E3523="",E3523="!!!"),"",IF(NOT(ISNA(VLOOKUP(E3523,E$1:E3522,1,FALSE()))),"OLD",IF(AND(E3523&lt;&gt;"",E3523&lt;&gt;"!!!"),"NEW","")))</f>
        <v> </v>
      </c>
      <c r="G3523" s="24" t="str">
        <f>IF(OR(E3523="",E3523="!!!"),"",IF(OR(J3523=0,AND(J3523=1,K3523=1),AND(J3523=1,I3523="SBJ"),AND(J3523=1,I3523=0)),"?IN_FOCUS",IF(J3523&lt;=2,"?ACTIVATED",IF(J3523&lt;&gt;"","?FAMILIAR",IF(F3523="NEW",IF(ISNA(VLOOKUP(E3523,#REF!,1,FALSE())),"?TYPE_IDENTIFIABLE","?REFERENTIAL"),"_")))))</f>
        <v> </v>
      </c>
      <c r="H3523" s="25" t="str">
        <f>IF(J3523&lt;&gt;1,"",IF(I3523="SBJ","CB","?"))</f>
        <v> </v>
      </c>
      <c r="I3523" s="26" t="str">
        <f>IF(OR(E3523="",E3523="!!!",F3523="NEW"),"",INDEX(B3522:B$2,-1+SUMPRODUCT(MAX(ROW(E3522:E$2)*(E3523=E3522:E$2)))))</f>
        <v> </v>
      </c>
      <c r="J3523" s="26" t="str">
        <f>IF(OR(E3523="",E3523="!!!",F3523="NEW"),"",COUNTBLANK(OFFSET(A$1,,,SUMPRODUCT(MAX(ROW(E$2:E3523)*(E3523=E$2:E3523)))))-COUNTBLANK(OFFSET(A$1,,,SUMPRODUCT(MAX(ROW(E$1:E3522)*(E2=E$1:E3522))))))</f>
        <v> </v>
      </c>
      <c r="K3523" s="26" t="str">
        <f>IF(OR(E3523="",E3523="!!!",F3523="NEW"),"",INDEX(J$1:J3522,SUMPRODUCT(MAX(ROW(E$1:E3522)*(E3523=E$1:E3522)))))</f>
        <v> </v>
      </c>
      <c r="L3523" s="27"/>
    </row>
    <row r="3524" spans="1:12">
      <c r="A3524" s="20" t="s">
        <v>246</v>
      </c>
      <c r="E3524" s="22">
        <f>IF(D3524="?OLD","!!!","")</f>
        <v/>
      </c>
      <c r="F3524" s="23" t="str">
        <f>IF(OR(E3524="",E3524="!!!"),"",IF(NOT(ISNA(VLOOKUP(E3524,E$1:E3523,1,FALSE()))),"OLD",IF(AND(E3524&lt;&gt;"",E3524&lt;&gt;"!!!"),"NEW","")))</f>
        <v> </v>
      </c>
      <c r="G3524" s="24" t="str">
        <f>IF(OR(E3524="",E3524="!!!"),"",IF(OR(J3524=0,AND(J3524=1,K3524=1),AND(J3524=1,I3524="SBJ"),AND(J3524=1,I3524=0)),"?IN_FOCUS",IF(J3524&lt;=2,"?ACTIVATED",IF(J3524&lt;&gt;"","?FAMILIAR",IF(F3524="NEW",IF(ISNA(VLOOKUP(E3524,#REF!,1,FALSE())),"?TYPE_IDENTIFIABLE","?REFERENTIAL"),"_")))))</f>
        <v> </v>
      </c>
      <c r="H3524" s="25" t="str">
        <f>IF(J3524&lt;&gt;1,"",IF(I3524="SBJ","CB","?"))</f>
        <v> </v>
      </c>
      <c r="I3524" s="26" t="str">
        <f>IF(OR(E3524="",E3524="!!!",F3524="NEW"),"",INDEX(B3523:B$2,-1+SUMPRODUCT(MAX(ROW(E3523:E$2)*(E3524=E3523:E$2)))))</f>
        <v> </v>
      </c>
      <c r="J3524" s="26" t="str">
        <f>IF(OR(E3524="",E3524="!!!",F3524="NEW"),"",COUNTBLANK(OFFSET(A$1,,,SUMPRODUCT(MAX(ROW(E$2:E3524)*(E3524=E$2:E3524)))))-COUNTBLANK(OFFSET(A$1,,,SUMPRODUCT(MAX(ROW(E$1:E3523)*(E2=E$1:E3523))))))</f>
        <v> </v>
      </c>
      <c r="K3524" s="26" t="str">
        <f>IF(OR(E3524="",E3524="!!!",F3524="NEW"),"",INDEX(J$1:J3523,SUMPRODUCT(MAX(ROW(E$1:E3523)*(E3524=E$1:E3523)))))</f>
        <v> </v>
      </c>
      <c r="L3524" s="27"/>
    </row>
    <row r="3525" spans="1:12">
      <c r="A3525" s="20"/>
    </row>
    <row r="3526" spans="1:12">
      <c r="A3526" s="20" t="s">
        <v>1948</v>
      </c>
    </row>
    <row r="3527" spans="1:12">
      <c r="A3527" s="20" t="s">
        <v>1930</v>
      </c>
      <c r="B3527" s="21" t="s">
        <v>728</v>
      </c>
      <c r="C3527" s="21" t="s">
        <v>748</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1087</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1949</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t="s">
        <v>762</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t="s">
        <v>1931</v>
      </c>
      <c r="B3531" s="21" t="s">
        <v>736</v>
      </c>
      <c r="C3531" s="21" t="s">
        <v>737</v>
      </c>
      <c r="E3531" s="22">
        <f>IF(D3531="?OLD","!!!","")</f>
        <v/>
      </c>
      <c r="F3531" s="23" t="str">
        <f>IF(OR(E3531="",E3531="!!!"),"",IF(NOT(ISNA(VLOOKUP(E3531,E$1:E3530,1,FALSE()))),"OLD",IF(AND(E3531&lt;&gt;"",E3531&lt;&gt;"!!!"),"NEW","")))</f>
        <v> </v>
      </c>
      <c r="G3531" s="24" t="str">
        <f>IF(OR(E3531="",E3531="!!!"),"",IF(OR(J3531=0,AND(J3531=1,K3531=1),AND(J3531=1,I3531="SBJ"),AND(J3531=1,I3531=0)),"?IN_FOCUS",IF(J3531&lt;=2,"?ACTIVATED",IF(J3531&lt;&gt;"","?FAMILIAR",IF(F3531="NEW",IF(ISNA(VLOOKUP(E3531,#REF!,1,FALSE())),"?TYPE_IDENTIFIABLE","?REFERENTIAL"),"_")))))</f>
        <v> </v>
      </c>
      <c r="H3531" s="25" t="str">
        <f>IF(J3531&lt;&gt;1,"",IF(I3531="SBJ","CB","?"))</f>
        <v> </v>
      </c>
      <c r="I3531" s="26" t="str">
        <f>IF(OR(E3531="",E3531="!!!",F3531="NEW"),"",INDEX(B3530:B$2,-1+SUMPRODUCT(MAX(ROW(E3530:E$2)*(E3531=E3530:E$2)))))</f>
        <v> </v>
      </c>
      <c r="J3531" s="26" t="str">
        <f>IF(OR(E3531="",E3531="!!!",F3531="NEW"),"",COUNTBLANK(OFFSET(A$1,,,SUMPRODUCT(MAX(ROW(E$2:E3531)*(E3531=E$2:E3531)))))-COUNTBLANK(OFFSET(A$1,,,SUMPRODUCT(MAX(ROW(E$1:E3530)*(E2=E$1:E3530))))))</f>
        <v> </v>
      </c>
      <c r="K3531" s="26" t="str">
        <f>IF(OR(E3531="",E3531="!!!",F3531="NEW"),"",INDEX(J$1:J3530,SUMPRODUCT(MAX(ROW(E$1:E3530)*(E3531=E$1:E3530)))))</f>
        <v> </v>
      </c>
      <c r="L3531" s="27"/>
    </row>
    <row r="3532" spans="1:12">
      <c r="A3532" s="20" t="s">
        <v>759</v>
      </c>
      <c r="E3532" s="22">
        <f>IF(D3532="?OLD","!!!","")</f>
        <v/>
      </c>
      <c r="F3532" s="23" t="str">
        <f>IF(OR(E3532="",E3532="!!!"),"",IF(NOT(ISNA(VLOOKUP(E3532,E$1:E3531,1,FALSE()))),"OLD",IF(AND(E3532&lt;&gt;"",E3532&lt;&gt;"!!!"),"NEW","")))</f>
        <v> </v>
      </c>
      <c r="G3532" s="24" t="str">
        <f>IF(OR(E3532="",E3532="!!!"),"",IF(OR(J3532=0,AND(J3532=1,K3532=1),AND(J3532=1,I3532="SBJ"),AND(J3532=1,I3532=0)),"?IN_FOCUS",IF(J3532&lt;=2,"?ACTIVATED",IF(J3532&lt;&gt;"","?FAMILIAR",IF(F3532="NEW",IF(ISNA(VLOOKUP(E3532,#REF!,1,FALSE())),"?TYPE_IDENTIFIABLE","?REFERENTIAL"),"_")))))</f>
        <v> </v>
      </c>
      <c r="H3532" s="25" t="str">
        <f>IF(J3532&lt;&gt;1,"",IF(I3532="SBJ","CB","?"))</f>
        <v> </v>
      </c>
      <c r="I3532" s="26" t="str">
        <f>IF(OR(E3532="",E3532="!!!",F3532="NEW"),"",INDEX(B3531:B$2,-1+SUMPRODUCT(MAX(ROW(E3531:E$2)*(E3532=E3531:E$2)))))</f>
        <v> </v>
      </c>
      <c r="J3532" s="26" t="str">
        <f>IF(OR(E3532="",E3532="!!!",F3532="NEW"),"",COUNTBLANK(OFFSET(A$1,,,SUMPRODUCT(MAX(ROW(E$2:E3532)*(E3532=E$2:E3532)))))-COUNTBLANK(OFFSET(A$1,,,SUMPRODUCT(MAX(ROW(E$1:E3531)*(E2=E$1:E3531))))))</f>
        <v> </v>
      </c>
      <c r="K3532" s="26" t="str">
        <f>IF(OR(E3532="",E3532="!!!",F3532="NEW"),"",INDEX(J$1:J3531,SUMPRODUCT(MAX(ROW(E$1:E3531)*(E3532=E$1:E3531)))))</f>
        <v> </v>
      </c>
      <c r="L3532" s="27"/>
    </row>
    <row r="3533" spans="1:12">
      <c r="A3533" s="20" t="s">
        <v>1950</v>
      </c>
      <c r="B3533" s="21" t="s">
        <v>736</v>
      </c>
      <c r="C3533" s="21" t="s">
        <v>967</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1023</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1087</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1094</v>
      </c>
      <c r="B3536" s="21" t="s">
        <v>739</v>
      </c>
      <c r="C3536" s="21" t="s">
        <v>789</v>
      </c>
      <c r="D3536" s="21" t="s">
        <v>730</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t="s">
        <v>246</v>
      </c>
      <c r="E3537" s="22">
        <f>IF(D3537="?OLD","!!!","")</f>
        <v/>
      </c>
      <c r="F3537" s="23" t="str">
        <f>IF(OR(E3537="",E3537="!!!"),"",IF(NOT(ISNA(VLOOKUP(E3537,E$1:E3536,1,FALSE()))),"OLD",IF(AND(E3537&lt;&gt;"",E3537&lt;&gt;"!!!"),"NEW","")))</f>
        <v> </v>
      </c>
      <c r="G3537" s="24" t="str">
        <f>IF(OR(E3537="",E3537="!!!"),"",IF(OR(J3537=0,AND(J3537=1,K3537=1),AND(J3537=1,I3537="SBJ"),AND(J3537=1,I3537=0)),"?IN_FOCUS",IF(J3537&lt;=2,"?ACTIVATED",IF(J3537&lt;&gt;"","?FAMILIAR",IF(F3537="NEW",IF(ISNA(VLOOKUP(E3537,#REF!,1,FALSE())),"?TYPE_IDENTIFIABLE","?REFERENTIAL"),"_")))))</f>
        <v> </v>
      </c>
      <c r="H3537" s="25" t="str">
        <f>IF(J3537&lt;&gt;1,"",IF(I3537="SBJ","CB","?"))</f>
        <v> </v>
      </c>
      <c r="I3537" s="26" t="str">
        <f>IF(OR(E3537="",E3537="!!!",F3537="NEW"),"",INDEX(B3536:B$2,-1+SUMPRODUCT(MAX(ROW(E3536:E$2)*(E3537=E3536:E$2)))))</f>
        <v> </v>
      </c>
      <c r="J3537" s="26" t="str">
        <f>IF(OR(E3537="",E3537="!!!",F3537="NEW"),"",COUNTBLANK(OFFSET(A$1,,,SUMPRODUCT(MAX(ROW(E$2:E3537)*(E3537=E$2:E3537)))))-COUNTBLANK(OFFSET(A$1,,,SUMPRODUCT(MAX(ROW(E$1:E3536)*(E2=E$1:E3536))))))</f>
        <v> </v>
      </c>
      <c r="K3537" s="26" t="str">
        <f>IF(OR(E3537="",E3537="!!!",F3537="NEW"),"",INDEX(J$1:J3536,SUMPRODUCT(MAX(ROW(E$1:E3536)*(E3537=E$1:E3536)))))</f>
        <v> </v>
      </c>
      <c r="L3537" s="27"/>
    </row>
    <row r="3538" spans="1:12">
      <c r="A3538" s="20"/>
    </row>
    <row r="3539" spans="1:12">
      <c r="A3539" s="20" t="s">
        <v>1951</v>
      </c>
    </row>
    <row r="3540" spans="1:12">
      <c r="A3540" s="20" t="s">
        <v>1952</v>
      </c>
      <c r="B3540" s="21" t="s">
        <v>736</v>
      </c>
      <c r="C3540" s="21" t="s">
        <v>748</v>
      </c>
      <c r="E3540" s="22">
        <f>IF(D3540="?OLD","!!!","")</f>
        <v/>
      </c>
      <c r="F3540" s="23" t="str">
        <f>IF(OR(E3540="",E3540="!!!"),"",IF(NOT(ISNA(VLOOKUP(E3540,E$1:E3539,1,FALSE()))),"OLD",IF(AND(E3540&lt;&gt;"",E3540&lt;&gt;"!!!"),"NEW","")))</f>
        <v> </v>
      </c>
      <c r="G3540" s="24" t="str">
        <f>IF(OR(E3540="",E3540="!!!"),"",IF(OR(J3540=0,AND(J3540=1,K3540=1),AND(J3540=1,I3540="SBJ"),AND(J3540=1,I3540=0)),"?IN_FOCUS",IF(J3540&lt;=2,"?ACTIVATED",IF(J3540&lt;&gt;"","?FAMILIAR",IF(F3540="NEW",IF(ISNA(VLOOKUP(E3540,#REF!,1,FALSE())),"?TYPE_IDENTIFIABLE","?REFERENTIAL"),"_")))))</f>
        <v> </v>
      </c>
      <c r="H3540" s="25" t="str">
        <f>IF(J3540&lt;&gt;1,"",IF(I3540="SBJ","CB","?"))</f>
        <v> </v>
      </c>
      <c r="I3540" s="26" t="str">
        <f>IF(OR(E3540="",E3540="!!!",F3540="NEW"),"",INDEX(B3539:B$2,-1+SUMPRODUCT(MAX(ROW(E3539:E$2)*(E3540=E3539:E$2)))))</f>
        <v> </v>
      </c>
      <c r="J3540" s="26" t="str">
        <f>IF(OR(E3540="",E3540="!!!",F3540="NEW"),"",COUNTBLANK(OFFSET(A$1,,,SUMPRODUCT(MAX(ROW(E$2:E3540)*(E3540=E$2:E3540)))))-COUNTBLANK(OFFSET(A$1,,,SUMPRODUCT(MAX(ROW(E$1:E3539)*(E2=E$1:E3539))))))</f>
        <v> </v>
      </c>
      <c r="K3540" s="26" t="str">
        <f>IF(OR(E3540="",E3540="!!!",F3540="NEW"),"",INDEX(J$1:J3539,SUMPRODUCT(MAX(ROW(E$1:E3539)*(E3540=E$1:E3539)))))</f>
        <v> </v>
      </c>
      <c r="L3540" s="27"/>
    </row>
    <row r="3541" spans="1:12">
      <c r="A3541" s="20" t="s">
        <v>246</v>
      </c>
      <c r="E3541" s="22">
        <f>IF(D3541="?OLD","!!!","")</f>
        <v/>
      </c>
      <c r="F3541" s="23" t="str">
        <f>IF(OR(E3541="",E3541="!!!"),"",IF(NOT(ISNA(VLOOKUP(E3541,E$1:E3540,1,FALSE()))),"OLD",IF(AND(E3541&lt;&gt;"",E3541&lt;&gt;"!!!"),"NEW","")))</f>
        <v> </v>
      </c>
      <c r="G3541" s="24" t="str">
        <f>IF(OR(E3541="",E3541="!!!"),"",IF(OR(J3541=0,AND(J3541=1,K3541=1),AND(J3541=1,I3541="SBJ"),AND(J3541=1,I3541=0)),"?IN_FOCUS",IF(J3541&lt;=2,"?ACTIVATED",IF(J3541&lt;&gt;"","?FAMILIAR",IF(F3541="NEW",IF(ISNA(VLOOKUP(E3541,#REF!,1,FALSE())),"?TYPE_IDENTIFIABLE","?REFERENTIAL"),"_")))))</f>
        <v> </v>
      </c>
      <c r="H3541" s="25" t="str">
        <f>IF(J3541&lt;&gt;1,"",IF(I3541="SBJ","CB","?"))</f>
        <v> </v>
      </c>
      <c r="I3541" s="26" t="str">
        <f>IF(OR(E3541="",E3541="!!!",F3541="NEW"),"",INDEX(B3540:B$2,-1+SUMPRODUCT(MAX(ROW(E3540:E$2)*(E3541=E3540:E$2)))))</f>
        <v> </v>
      </c>
      <c r="J3541" s="26" t="str">
        <f>IF(OR(E3541="",E3541="!!!",F3541="NEW"),"",COUNTBLANK(OFFSET(A$1,,,SUMPRODUCT(MAX(ROW(E$2:E3541)*(E3541=E$2:E3541)))))-COUNTBLANK(OFFSET(A$1,,,SUMPRODUCT(MAX(ROW(E$1:E3540)*(E2=E$1:E3540))))))</f>
        <v> </v>
      </c>
      <c r="K3541" s="26" t="str">
        <f>IF(OR(E3541="",E3541="!!!",F3541="NEW"),"",INDEX(J$1:J3540,SUMPRODUCT(MAX(ROW(E$1:E3540)*(E3541=E$1:E3540)))))</f>
        <v> </v>
      </c>
      <c r="L3541" s="27"/>
    </row>
    <row r="3542" spans="1:12">
      <c r="A3542"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2024-05-20T13:14:37Z</dcterms:created>
  <dcterms:modified xsi:type="dcterms:W3CDTF">2024-05-20T13:14:37Z</dcterms:modified>
</cp:coreProperties>
</file>