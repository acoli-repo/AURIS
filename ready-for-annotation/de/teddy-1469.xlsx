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<sst xmlns="http://schemas.openxmlformats.org/spreadsheetml/2006/main" count="6273" uniqueCount="1737">
  <si>
    <t>ID</t>
  </si>
  <si>
    <t>PRED_ID</t>
  </si>
  <si>
    <t>MARKER_AUTO</t>
  </si>
  <si>
    <t>PREDICATE</t>
  </si>
  <si>
    <t>TEXT</t>
  </si>
  <si>
    <t>SENTENCE</t>
  </si>
  <si>
    <t>MARKER</t>
  </si>
  <si>
    <t>TARGET</t>
  </si>
  <si>
    <t>RELATION</t>
  </si>
  <si>
    <t>COMMENT</t>
  </si>
  <si>
    <t>1</t>
  </si>
  <si>
    <t>3</t>
  </si>
  <si>
    <t>_</t>
  </si>
  <si>
    <t>stecken</t>
  </si>
  <si>
    <t>Die Demokratie steckt in Schwierigkeiten , das steht außer Frage .</t>
  </si>
  <si>
    <t>file://conllu/de/teddy-1469.conllu#s1_0</t>
  </si>
  <si>
    <t>2</t>
  </si>
  <si>
    <t>liegen</t>
  </si>
  <si>
    <t>Das liegt zum zu dem Teil an einem tiefen Dilemma , in der sie steckt .</t>
  </si>
  <si>
    <t>file://conllu/de/teddy-1469.conllu#s2_0</t>
  </si>
  <si>
    <t>23</t>
  </si>
  <si>
    <t>Problem</t>
  </si>
  <si>
    <t>Für bestimmte Probleme ist sie zunehmend bedeutungslos geworden : bei globalen Pandemien , ein grenzüberschreitendes Problem ; bei HIV , ein transnationales Problem ; bei Wirtschaft und Immigration , welche die nationalen Grenzen übersteigen ;</t>
  </si>
  <si>
    <t>file://conllu/de/teddy-1469.conllu#s3_0</t>
  </si>
  <si>
    <t>4</t>
  </si>
  <si>
    <t>Terrorismus</t>
  </si>
  <si>
    <t>wie auch Terrorismus und Krieg , alles grenzüberschreitende Probleme .</t>
  </si>
  <si>
    <t>file://conllu/de/teddy-1469.conllu#s4_0</t>
  </si>
  <si>
    <t>5</t>
  </si>
  <si>
    <t>leben</t>
  </si>
  <si>
    <t>Wir leben im in dem 21 .</t>
  </si>
  <si>
    <t>file://conllu/de/teddy-1469.conllu#s5_0</t>
  </si>
  <si>
    <t>6</t>
  </si>
  <si>
    <t>Jahrhundert</t>
  </si>
  <si>
    <t>Jahrhundert , in einer Welt mit gegenseitigen Abhängigkeiten und brutalen wechselseitigen Problemen .</t>
  </si>
  <si>
    <t>file://conllu/de/teddy-1469.conllu#s6_0</t>
  </si>
  <si>
    <t>7</t>
  </si>
  <si>
    <t>18</t>
  </si>
  <si>
    <t>konfrontieren</t>
  </si>
  <si>
    <t>Wenn wir in der Politik und der Demokratie nach Lösungen suchen , werden wir mit politischen Institutionen konfrontiert , die vor 400 Jahren entworfen wurden : Autonome , souveräne Nationalstaaten mit Rechtssprechung und Staatsgebieten , die sie voneinander trennen .</t>
  </si>
  <si>
    <t>file://conllu/de/teddy-1469.conllu#s7_0</t>
  </si>
  <si>
    <t>8</t>
  </si>
  <si>
    <t>behaupten</t>
  </si>
  <si>
    <t>Jeder behauptet , die Probleme des eigenen Volkes lösen zu können .</t>
  </si>
  <si>
    <t>file://conllu/de/teddy-1469.conllu#s8_0</t>
  </si>
  <si>
    <t>9</t>
  </si>
  <si>
    <t>Welt</t>
  </si>
  <si>
    <t>Eine Welt des 21 .</t>
  </si>
  <si>
    <t>file://conllu/de/teddy-1469.conllu#s9_0</t>
  </si>
  <si>
    <t>10</t>
  </si>
  <si>
    <t>Jahrhunderts , mit transnationalen Problemen und Herausforderungen , und politische Institutionen des 17 .</t>
  </si>
  <si>
    <t>file://conllu/de/teddy-1469.conllu#s10_0</t>
  </si>
  <si>
    <t>11</t>
  </si>
  <si>
    <t>Jahrhunderts .</t>
  </si>
  <si>
    <t>file://conllu/de/teddy-1469.conllu#s11_0</t>
  </si>
  <si>
    <t>12</t>
  </si>
  <si>
    <t>sein (sein Problem)</t>
  </si>
  <si>
    <t>Dieses Dilemma ist das eigentliche Problem der Demokratie .</t>
  </si>
  <si>
    <t>file://conllu/de/teddy-1469.conllu#s12_0</t>
  </si>
  <si>
    <t>13</t>
  </si>
  <si>
    <t>Wie viele?</t>
  </si>
  <si>
    <t>nachdenken</t>
  </si>
  <si>
    <t>Wie viele andere habe ich darüber nachgedacht , was wir gegen dieses Ungleichgewicht tun können .</t>
  </si>
  <si>
    <t>file://conllu/de/teddy-1469.conllu#s13_0</t>
  </si>
  <si>
    <t>14</t>
  </si>
  <si>
    <t>Herausforderung</t>
  </si>
  <si>
    <t>Die Herausforderungen des 21 .</t>
  </si>
  <si>
    <t>file://conllu/de/teddy-1469.conllu#s14_0</t>
  </si>
  <si>
    <t>15</t>
  </si>
  <si>
    <t>Institution</t>
  </si>
  <si>
    <t>Jahrhunderts und die veralteten und zunehmend funktionsunfähigen politischen Institutionen wie die Nationalstaaten .</t>
  </si>
  <si>
    <t>file://conllu/de/teddy-1469.conllu#s15_0</t>
  </si>
  <si>
    <t>16</t>
  </si>
  <si>
    <t>schlagen</t>
  </si>
  <si>
    <t>Ich schlage vor , dass wir das Thema wechseln , dass wir nicht mehr über Nationen reden , über Staaten mit Grenzen , sondern über Städte .</t>
  </si>
  <si>
    <t>file://conllu/de/teddy-1469.conllu#s16_0</t>
  </si>
  <si>
    <t>17</t>
  </si>
  <si>
    <t>zustimmen</t>
  </si>
  <si>
    <t>Sie werden mir sicher zustimmen , dass wenn wir über Städte reden , wir über die politischen Institutionen reden , in denen Zivilisation und Kultur geboren wurden .</t>
  </si>
  <si>
    <t>file://conllu/de/teddy-1469.conllu#s17_0</t>
  </si>
  <si>
    <t>reden</t>
  </si>
  <si>
    <t>Wir reden über die Wiege der Demokratie .</t>
  </si>
  <si>
    <t>file://conllu/de/teddy-1469.conllu#s18_0</t>
  </si>
  <si>
    <t>19</t>
  </si>
  <si>
    <t>Wir reden über die Orte , an denen wir uns versammeln , wo Demokratie entsteht und wir gemeinsam gegen diejenigen , die uns unsere Freiheit nehmen wollen , protestieren .</t>
  </si>
  <si>
    <t>file://conllu/de/teddy-1469.conllu#s19_0</t>
  </si>
  <si>
    <t>20</t>
  </si>
  <si>
    <t>Denken</t>
  </si>
  <si>
    <t>Denken Sie an einige große Namen : Place de la Bastille , Zuccotti Park , Tahrir Platz , Taksim Platz in den heutigen Schlagzeilen in Istanbul , oder , genau , Tian’ anmen Platz in Peking .</t>
  </si>
  <si>
    <t>file://conllu/de/teddy-1469.conllu#s20_0</t>
  </si>
  <si>
    <t>21</t>
  </si>
  <si>
    <t>sein (sein Ort)</t>
  </si>
  <si>
    <t>( Beifall ) Dies sind die öffentlichen Orte , an denen wir uns als Bürger zu erkennen geben , als Teilnehmer , als Menschen mit dem Recht , die eigene Geschichte zu schreiben .</t>
  </si>
  <si>
    <t>file://conllu/de/teddy-1469.conllu#s21_0</t>
  </si>
  <si>
    <t>22</t>
  </si>
  <si>
    <t>sein (sein Institution)</t>
  </si>
  <si>
    <t>Städte sind nicht nur die ältesten Institutionen , sie sind auch die beständigsten .</t>
  </si>
  <si>
    <t>file://conllu/de/teddy-1469.conllu#s22_0</t>
  </si>
  <si>
    <t>sein (sein alt)</t>
  </si>
  <si>
    <t>Wenn Sie darüber nachdenken , Konstantinopel ( Istanbul ) , ist viel älter als die Türkei .</t>
  </si>
  <si>
    <t>file://conllu/de/teddy-1469.conllu#s23_0</t>
  </si>
  <si>
    <t>24</t>
  </si>
  <si>
    <t>Alexandria ist viel älter als Ägypten .</t>
  </si>
  <si>
    <t>file://conllu/de/teddy-1469.conllu#s24_0</t>
  </si>
  <si>
    <t>25</t>
  </si>
  <si>
    <t>Rom ist viel älter als Italien .</t>
  </si>
  <si>
    <t>file://conllu/de/teddy-1469.conllu#s25_0</t>
  </si>
  <si>
    <t>26</t>
  </si>
  <si>
    <t>überdauern</t>
  </si>
  <si>
    <t>Städte überdauern die Zeiten .</t>
  </si>
  <si>
    <t>file://conllu/de/teddy-1469.conllu#s26_0</t>
  </si>
  <si>
    <t>27</t>
  </si>
  <si>
    <t>Sie sind die Orte , an denen wir geboren werden , aufwachsen , zur zu der Schule gehen , arbeiten , heiraten , beten , spielen , alt werden und letztendlich sterben .</t>
  </si>
  <si>
    <t>file://conllu/de/teddy-1469.conllu#s27_0</t>
  </si>
  <si>
    <t>28</t>
  </si>
  <si>
    <t>sein (sein Heimat)</t>
  </si>
  <si>
    <t>Sie sind Heimat .</t>
  </si>
  <si>
    <t>file://conllu/de/teddy-1469.conllu#s28_0</t>
  </si>
  <si>
    <t>29</t>
  </si>
  <si>
    <t>anders</t>
  </si>
  <si>
    <t>Ganz anders als Nationalstaaten , welche abstrakte Gebilde sind .</t>
  </si>
  <si>
    <t>file://conllu/de/teddy-1469.conllu#s29_0</t>
  </si>
  <si>
    <t>30</t>
  </si>
  <si>
    <t>zahlen</t>
  </si>
  <si>
    <t>Wir zahlen Steuern , wir gehen manchmal zur zu der Wahl .</t>
  </si>
  <si>
    <t>file://conllu/de/teddy-1469.conllu#s30_0</t>
  </si>
  <si>
    <t>31</t>
  </si>
  <si>
    <t>schauen</t>
  </si>
  <si>
    <t>Wir schauen zu , wie die Männer und Frauen , die wir wählen , mehr oder weniger ohne uns regieren .</t>
  </si>
  <si>
    <t>file://conllu/de/teddy-1469.conllu#s31_0</t>
  </si>
  <si>
    <t>32</t>
  </si>
  <si>
    <t>Ganz anders in der Heimat , in unseren Ortschaften und den Städten , in denen wir leben .</t>
  </si>
  <si>
    <t>file://conllu/de/teddy-1469.conllu#s32_0</t>
  </si>
  <si>
    <t>33</t>
  </si>
  <si>
    <t>Heutzutage lebt mehr als die Hälfte der Weltbevölkerung in Städten .</t>
  </si>
  <si>
    <t>file://conllu/de/teddy-1469.conllu#s33_0</t>
  </si>
  <si>
    <t>34</t>
  </si>
  <si>
    <t>sein (sein Prozent)</t>
  </si>
  <si>
    <t>In der entwickelten Welt sind es ungefähr 78 Prozent .</t>
  </si>
  <si>
    <t>file://conllu/de/teddy-1469.conllu#s34_0</t>
  </si>
  <si>
    <t>35</t>
  </si>
  <si>
    <t>Heutzutage leben drei von vier Menschen in städtischen Institutionen , städtischen Orten , In Städten spielt sich das Leben ab .</t>
  </si>
  <si>
    <t>file://conllu/de/teddy-1469.conllu#s35_0</t>
  </si>
  <si>
    <t>36</t>
  </si>
  <si>
    <t>sein (sein Stadt)</t>
  </si>
  <si>
    <t>Wir sind unsere Städte .</t>
  </si>
  <si>
    <t>file://conllu/de/teddy-1469.conllu#s36_0</t>
  </si>
  <si>
    <t>37</t>
  </si>
  <si>
    <t>sagen</t>
  </si>
  <si>
    <t>Aristoteles sagte in der Antike , dass der Mensch ein politisches Tier ist .</t>
  </si>
  <si>
    <t>file://conllu/de/teddy-1469.conllu#s37_0</t>
  </si>
  <si>
    <t>38</t>
  </si>
  <si>
    <t>Ich sage , wir sind ein städtisches Tier .</t>
  </si>
  <si>
    <t>file://conllu/de/teddy-1469.conllu#s38_0</t>
  </si>
  <si>
    <t>39</t>
  </si>
  <si>
    <t>sein (sein Spezies)</t>
  </si>
  <si>
    <t>Wir sind eine städtische Spezies , unsere Städte sind unser Zuhause .</t>
  </si>
  <si>
    <t>file://conllu/de/teddy-1469.conllu#s39_0</t>
  </si>
  <si>
    <t>40</t>
  </si>
  <si>
    <t>zurückzukommen</t>
  </si>
  <si>
    <t>Um auf das Dilemma zurückzukommen , wenn das Dilemma ist , dass unsere altmodischen politischen Nationalstaaten die Welt nicht regieren können , unseren globalen Herausforderungen nicht gewachsen sind , wie der Klimawandel , dann wird es vielleicht Zeit , dass die Bürgermeister die Welt regieren .</t>
  </si>
  <si>
    <t>file://conllu/de/teddy-1469.conllu#s40_0</t>
  </si>
  <si>
    <t>41</t>
  </si>
  <si>
    <t>Zeit</t>
  </si>
  <si>
    <t>Zeit , dass Bürgermeister und die Bürger , die sie vertreten , sich mit den globalen Regierungsfragen beschäftigen .</t>
  </si>
  <si>
    <t>file://conllu/de/teddy-1469.conllu#s41_0</t>
  </si>
  <si>
    <t>42</t>
  </si>
  <si>
    <t>regieren</t>
  </si>
  <si>
    <t>&amp;quot; Wenn Bürgermeister die Welt regieren würden ? &amp;quot;</t>
  </si>
  <si>
    <t>file://conllu/de/teddy-1469.conllu#s42_0</t>
  </si>
  <si>
    <t>43</t>
  </si>
  <si>
    <t>klar</t>
  </si>
  <si>
    <t>Als mir dieser Satz zum zu dem ersten Mal in den Sinn kam , wurde mir klar , dass sie das eigentlich schon tun .</t>
  </si>
  <si>
    <t>file://conllu/de/teddy-1469.conllu#s43_0</t>
  </si>
  <si>
    <t>44</t>
  </si>
  <si>
    <t>geben</t>
  </si>
  <si>
    <t>Es gibt bereits internationale , interstädtische grenzüberschreitende Institutionen und Städtenetzwerke , in denen Städte bereits sehr unauffällig , im in dem Verborgenen , zusammenarbeiten , um den Klimawandel zu bekämpfen , um Sicherheit zu gewährleisten .</t>
  </si>
  <si>
    <t>file://conllu/de/teddy-1469.conllu#s44_0</t>
  </si>
  <si>
    <t>45</t>
  </si>
  <si>
    <t>befassen</t>
  </si>
  <si>
    <t>Sich mit Immigration befassen .</t>
  </si>
  <si>
    <t>file://conllu/de/teddy-1469.conllu#s45_0</t>
  </si>
  <si>
    <t>46</t>
  </si>
  <si>
    <t>angehen</t>
  </si>
  <si>
    <t>All diese schwierigen und voneinander abhängigen Probleme angehen .</t>
  </si>
  <si>
    <t>file://conllu/de/teddy-1469.conllu#s46_0</t>
  </si>
  <si>
    <t>47</t>
  </si>
  <si>
    <t>haben</t>
  </si>
  <si>
    <t>Diese Institutionen haben merkwürdige Namen : UCLG , Vereinte Städte und Kommunalverwaltungen .</t>
  </si>
  <si>
    <t>file://conllu/de/teddy-1469.conllu#s47_0</t>
  </si>
  <si>
    <t>48</t>
  </si>
  <si>
    <t>ICLEI</t>
  </si>
  <si>
    <t>ICLEI , Internationaler Rat für lokale Umweltfragen .</t>
  </si>
  <si>
    <t>file://conllu/de/teddy-1469.conllu#s48_0</t>
  </si>
  <si>
    <t>49</t>
  </si>
  <si>
    <t>gehen</t>
  </si>
  <si>
    <t>Und die Liste geht weiter : Citynet in Asien ;</t>
  </si>
  <si>
    <t>file://conllu/de/teddy-1469.conllu#s49_0</t>
  </si>
  <si>
    <t>50</t>
  </si>
  <si>
    <t>Protocol</t>
  </si>
  <si>
    <t>City Protocol , eine neue Organisation aus Barcelona , welche das Web nutzt , um Erfolgsrezepte mit anderen Ländern zu teilen .</t>
  </si>
  <si>
    <t>file://conllu/de/teddy-1469.conllu#s50_0</t>
  </si>
  <si>
    <t>51</t>
  </si>
  <si>
    <t>Einrichtung</t>
  </si>
  <si>
    <t>Und die bekannten Einrichtungen : die US Bürgermeisterkonferenz , die mexikanische Bürgermeisterkonferenz und die europäische Bürgermeisterkonferenz .</t>
  </si>
  <si>
    <t>file://conllu/de/teddy-1469.conllu#s51_0</t>
  </si>
  <si>
    <t>52</t>
  </si>
  <si>
    <t>sein</t>
  </si>
  <si>
    <t>Bürgermeister sind vor Ort .</t>
  </si>
  <si>
    <t>file://conllu/de/teddy-1469.conllu#s52_0</t>
  </si>
  <si>
    <t>53</t>
  </si>
  <si>
    <t>stellen</t>
  </si>
  <si>
    <t>Also stellt sich die Frage : Wie können wir eine Welt erschaffen , in der Bürgermeister und die Bürger , die sie vertreten , eine wichtigere Rolle spielen ?</t>
  </si>
  <si>
    <t>file://conllu/de/teddy-1469.conllu#s53_0</t>
  </si>
  <si>
    <t>54</t>
  </si>
  <si>
    <t>Warum?</t>
  </si>
  <si>
    <t>verstehen</t>
  </si>
  <si>
    <t>Um zu begreifen , warum das wichtig ist , muss man verstehen , warum Städte so besonders sind .</t>
  </si>
  <si>
    <t>file://conllu/de/teddy-1469.conllu#s54_0</t>
  </si>
  <si>
    <t>55</t>
  </si>
  <si>
    <t>sein (sein anders)</t>
  </si>
  <si>
    <t>Warum Bürgermeister so anders sind als Premierminister und Präsidenten .</t>
  </si>
  <si>
    <t>file://conllu/de/teddy-1469.conllu#s55_0</t>
  </si>
  <si>
    <t>56</t>
  </si>
  <si>
    <t>sein (sein befinden)</t>
  </si>
  <si>
    <t>Mein Ausgangspunkt ist , dass Bürgermeister und Premierminister sich am an dem jeweils anderen Ende eines politischen Spektrums befinden .</t>
  </si>
  <si>
    <t>file://conllu/de/teddy-1469.conllu#s56_0</t>
  </si>
  <si>
    <t>57</t>
  </si>
  <si>
    <t>brauchen</t>
  </si>
  <si>
    <t>Um Premierminister oder Präsident zu sein , braucht man eine Ideologie , braucht man eine Meta Erzählung , braucht man eine Theorie darüber , wie Dinge funktionieren und man braucht eine Partei .</t>
  </si>
  <si>
    <t>file://conllu/de/teddy-1469.conllu#s57_0</t>
  </si>
  <si>
    <t>58</t>
  </si>
  <si>
    <t>wählen</t>
  </si>
  <si>
    <t>Unabhängige Kandidaten werden nicht gewählt .</t>
  </si>
  <si>
    <t>file://conllu/de/teddy-1469.conllu#s58_0</t>
  </si>
  <si>
    <t>59</t>
  </si>
  <si>
    <t>sein (sein umkehren)</t>
  </si>
  <si>
    <t>Bei Bürgermeistern ist es genau umgekehrt .</t>
  </si>
  <si>
    <t>file://conllu/de/teddy-1469.conllu#s59_0</t>
  </si>
  <si>
    <t>60</t>
  </si>
  <si>
    <t>sein (sein Pragmatiker)</t>
  </si>
  <si>
    <t>Bürgermeister sind Pragmatiker ;</t>
  </si>
  <si>
    <t>file://conllu/de/teddy-1469.conllu#s60_0</t>
  </si>
  <si>
    <t>61</t>
  </si>
  <si>
    <t>sein (sein Problemlöser)</t>
  </si>
  <si>
    <t>sie sind Problemlöser .</t>
  </si>
  <si>
    <t>file://conllu/de/teddy-1469.conllu#s61_0</t>
  </si>
  <si>
    <t>62</t>
  </si>
  <si>
    <t>sein (sein Job)</t>
  </si>
  <si>
    <t>Ihr Job ist es , Probleme zu lösen und wenn sie das nicht tun , verlieren sie ihren Job .</t>
  </si>
  <si>
    <t>file://conllu/de/teddy-1469.conllu#s62_0</t>
  </si>
  <si>
    <t>63</t>
  </si>
  <si>
    <t>Was?</t>
  </si>
  <si>
    <t>erlauben (erlauben sagen)</t>
  </si>
  <si>
    <t>Bürgermeister Nutter aus Philadelphia sagte : In Philadelphia könnten wir uns niemals das erlauben , was man in Washington treibt .</t>
  </si>
  <si>
    <t>file://conllu/de/teddy-1469.conllu#s63_0</t>
  </si>
  <si>
    <t>64</t>
  </si>
  <si>
    <t>Paralyse</t>
  </si>
  <si>
    <t>Diese Paralyse , die Untätigkeit .</t>
  </si>
  <si>
    <t>file://conllu/de/teddy-1469.conllu#s64_0</t>
  </si>
  <si>
    <t>65</t>
  </si>
  <si>
    <t>warum</t>
  </si>
  <si>
    <t>Warum ?</t>
  </si>
  <si>
    <t>file://conllu/de/teddy-1469.conllu#s65_0</t>
  </si>
  <si>
    <t>66</t>
  </si>
  <si>
    <t>füllen</t>
  </si>
  <si>
    <t>Weil Schlaglöcher gefüllt werden müssen .</t>
  </si>
  <si>
    <t>file://conllu/de/teddy-1469.conllu#s66_0</t>
  </si>
  <si>
    <t>67</t>
  </si>
  <si>
    <t>fahren</t>
  </si>
  <si>
    <t>Weil Züge fahren müssen .</t>
  </si>
  <si>
    <t>file://conllu/de/teddy-1469.conllu#s67_0</t>
  </si>
  <si>
    <t>68</t>
  </si>
  <si>
    <t>müssen</t>
  </si>
  <si>
    <t>Weil Kinder in die Schule müssen .</t>
  </si>
  <si>
    <t>file://conllu/de/teddy-1469.conllu#s68_0</t>
  </si>
  <si>
    <t>69</t>
  </si>
  <si>
    <t>tun</t>
  </si>
  <si>
    <t>Das müssen wir tun .</t>
  </si>
  <si>
    <t>file://conllu/de/teddy-1469.conllu#s69_0</t>
  </si>
  <si>
    <t>70</t>
  </si>
  <si>
    <t>Es geht um den Pragmatismus in dem tiefgründigen , amerikanischen Sinn , der Ergebnisse erzielt .</t>
  </si>
  <si>
    <t>file://conllu/de/teddy-1469.conllu#s70_0</t>
  </si>
  <si>
    <t>71</t>
  </si>
  <si>
    <t>sein (sein ander)</t>
  </si>
  <si>
    <t>Washington , Peking , Paris , die Hauptstädte der Welt , sind alles andere als pragmatisch .</t>
  </si>
  <si>
    <t>file://conllu/de/teddy-1469.conllu#s71_0</t>
  </si>
  <si>
    <t>72</t>
  </si>
  <si>
    <t>sein (sein Pragmatik)</t>
  </si>
  <si>
    <t>Jedoch waschechte Bürgermeister müssen Pragmatiker sein .</t>
  </si>
  <si>
    <t>file://conllu/de/teddy-1469.conllu#s72_0</t>
  </si>
  <si>
    <t>73</t>
  </si>
  <si>
    <t>erledigen</t>
  </si>
  <si>
    <t>Sie müssen die Dinge erledigen .</t>
  </si>
  <si>
    <t>file://conllu/de/teddy-1469.conllu#s73_0</t>
  </si>
  <si>
    <t>74</t>
  </si>
  <si>
    <t>legen</t>
  </si>
  <si>
    <t>Sie müssen ihre Ideologie , Religion und Ethnizität beiseite legen und ihre Städte zusammenhalten .</t>
  </si>
  <si>
    <t>file://conllu/de/teddy-1469.conllu#s74_0</t>
  </si>
  <si>
    <t>75</t>
  </si>
  <si>
    <t>sehen</t>
  </si>
  <si>
    <t>Wir haben dies schon vor Jahrzehnten gesehen , als Teddy Kollek , der großartige Bürgermeister von Jerusalem in den 80ern und 90ern , an einem Tag in seinem Büro von religiösen Anführern jeglicher Art belagert wurde .</t>
  </si>
  <si>
    <t>file://conllu/de/teddy-1469.conllu#s75_0</t>
  </si>
  <si>
    <t>76</t>
  </si>
  <si>
    <t>Prälat</t>
  </si>
  <si>
    <t>Christliche Prälaten , Rabbis und Imame .</t>
  </si>
  <si>
    <t>file://conllu/de/teddy-1469.conllu#s76_0</t>
  </si>
  <si>
    <t>77</t>
  </si>
  <si>
    <t>stritten</t>
  </si>
  <si>
    <t>Sie stritten miteinander über den Zugang zu den heiligen Orten .</t>
  </si>
  <si>
    <t>file://conllu/de/teddy-1469.conllu#s77_0</t>
  </si>
  <si>
    <t>78</t>
  </si>
  <si>
    <t>Als das Geplänkel immer weiter ging und Kollek immer länger zuhörte , sagte er letztendlich : „ Meine Herrschaften , ersparen Sie mir Ihre Predigten und ich werde Ihre Kanalisation reparieren . “</t>
  </si>
  <si>
    <t>file://conllu/de/teddy-1469.conllu#s78_0</t>
  </si>
  <si>
    <t>79</t>
  </si>
  <si>
    <t>Bürgermeister</t>
  </si>
  <si>
    <t>( Gelächter ) Genau das tun Bürgermeister .</t>
  </si>
  <si>
    <t>file://conllu/de/teddy-1469.conllu#s79_0</t>
  </si>
  <si>
    <t>80</t>
  </si>
  <si>
    <t>reparieren</t>
  </si>
  <si>
    <t>Sie reparieren die Kanalisation , sie bringen Züge zum zu dem Laufen .</t>
  </si>
  <si>
    <t>file://conllu/de/teddy-1469.conllu#s80_0</t>
  </si>
  <si>
    <t>81</t>
  </si>
  <si>
    <t>Es gibt keinen linken oder rechten Weg dafür .</t>
  </si>
  <si>
    <t>file://conllu/de/teddy-1469.conllu#s81_0</t>
  </si>
  <si>
    <t>82</t>
  </si>
  <si>
    <t>beschreiben</t>
  </si>
  <si>
    <t>Boris Johnson in London beschreibt sich als ‚ Anarcho Tory ‘ .</t>
  </si>
  <si>
    <t>file://conllu/de/teddy-1469.conllu#s82_0</t>
  </si>
  <si>
    <t>83</t>
  </si>
  <si>
    <t>Begriff</t>
  </si>
  <si>
    <t>Merkwürdiger Begriff , aber irgendwie zutreffend .</t>
  </si>
  <si>
    <t>file://conllu/de/teddy-1469.conllu#s83_0</t>
  </si>
  <si>
    <t>84</t>
  </si>
  <si>
    <t>sein (sein libertär)</t>
  </si>
  <si>
    <t>Er ist libertär und ein Anarchist .</t>
  </si>
  <si>
    <t>file://conllu/de/teddy-1469.conllu#s84_0</t>
  </si>
  <si>
    <t>85</t>
  </si>
  <si>
    <t>Er fährt mit dem Fahrrad zur zu der Arbeit und ist trotzdem in mancher Hinsicht ein Konservativer .</t>
  </si>
  <si>
    <t>file://conllu/de/teddy-1469.conllu#s85_0</t>
  </si>
  <si>
    <t>86</t>
  </si>
  <si>
    <t>sein (sein Demokrat)</t>
  </si>
  <si>
    <t>Bloomberg in New York war ein Demokrat , dann Republikaner und letztendlich wurde er unabhängig .</t>
  </si>
  <si>
    <t>file://conllu/de/teddy-1469.conllu#s86_0</t>
  </si>
  <si>
    <t>87</t>
  </si>
  <si>
    <t>Er sagte : Das Partei Etikett ist hinderlich .</t>
  </si>
  <si>
    <t>file://conllu/de/teddy-1469.conllu#s87_0</t>
  </si>
  <si>
    <t>88</t>
  </si>
  <si>
    <t>sein (sein Bürgermeister)</t>
  </si>
  <si>
    <t>Luschkov war 20 Jahre Bürgermeister von Moskau .</t>
  </si>
  <si>
    <t>file://conllu/de/teddy-1469.conllu#s88_0</t>
  </si>
  <si>
    <t>89</t>
  </si>
  <si>
    <t>lassen</t>
  </si>
  <si>
    <t>Obwohl er dabei half , die Partei Putins zu gründen , ließ er sich nicht durch die Partei definieren .</t>
  </si>
  <si>
    <t>file://conllu/de/teddy-1469.conllu#s89_0</t>
  </si>
  <si>
    <t>90</t>
  </si>
  <si>
    <t>verlieren</t>
  </si>
  <si>
    <t>Letztendlich verlor er seinen Job nicht unter Breschnew , nicht unter Gorbatschow , sondern unter Putin , der einen treueren Parteianhänger wollte .</t>
  </si>
  <si>
    <t>file://conllu/de/teddy-1469.conllu#s90_0</t>
  </si>
  <si>
    <t>91</t>
  </si>
  <si>
    <t>Bürgermeister sind also Pragmatiker und Problemlöser .</t>
  </si>
  <si>
    <t>file://conllu/de/teddy-1469.conllu#s91_0</t>
  </si>
  <si>
    <t>92</t>
  </si>
  <si>
    <t>packen</t>
  </si>
  <si>
    <t>Sie packen Dinge an .</t>
  </si>
  <si>
    <t>file://conllu/de/teddy-1469.conllu#s92_0</t>
  </si>
  <si>
    <t>93</t>
  </si>
  <si>
    <t>Und deshalb?</t>
  </si>
  <si>
    <t>Zweitens : Ein Bürgermeister ist und deshalb nenne ich sie gerne &amp;quot; Homeboys &amp;quot; , oder die Bürgermeisterinnen : &amp;quot; Homies &amp;quot; .</t>
  </si>
  <si>
    <t>file://conllu/de/teddy-1469.conllu#s93_0</t>
  </si>
  <si>
    <t>94</t>
  </si>
  <si>
    <t>kommen</t>
  </si>
  <si>
    <t>Sie kommen aus der Nachbarschaft .</t>
  </si>
  <si>
    <t>file://conllu/de/teddy-1469.conllu#s94_0</t>
  </si>
  <si>
    <t>95</t>
  </si>
  <si>
    <t>sein (sein Nachbarschaft)</t>
  </si>
  <si>
    <t>Sie sind Nachbarschaft , man kennt sie .</t>
  </si>
  <si>
    <t>file://conllu/de/teddy-1469.conllu#s95_0</t>
  </si>
  <si>
    <t>96</t>
  </si>
  <si>
    <t>Durch?</t>
  </si>
  <si>
    <t>laufen</t>
  </si>
  <si>
    <t>Ed Koch lief manchmal durch New York City und fragte : „ Wie mache ich mich ? “</t>
  </si>
  <si>
    <t>file://conllu/de/teddy-1469.conllu#s96_0</t>
  </si>
  <si>
    <t>97</t>
  </si>
  <si>
    <t>fragen</t>
  </si>
  <si>
    <t>Stellen Sie sich nur David Cameron vor , wie er durch das Vereinigte Königreich spaziert und fragt : „ Wie mache ich mich ? “</t>
  </si>
  <si>
    <t>file://conllu/de/teddy-1469.conllu#s97_0</t>
  </si>
  <si>
    <t>98</t>
  </si>
  <si>
    <t>mögen</t>
  </si>
  <si>
    <t>Er würde die Antwort nicht mögen .</t>
  </si>
  <si>
    <t>file://conllu/de/teddy-1469.conllu#s98_0</t>
  </si>
  <si>
    <t>99</t>
  </si>
  <si>
    <t>Putin</t>
  </si>
  <si>
    <t>Oder Putin .</t>
  </si>
  <si>
    <t>file://conllu/de/teddy-1469.conllu#s99_0</t>
  </si>
  <si>
    <t>100</t>
  </si>
  <si>
    <t>Staatschef</t>
  </si>
  <si>
    <t>Oder irgendein anderer Staatschef .</t>
  </si>
  <si>
    <t>file://conllu/de/teddy-1469.conllu#s100_0</t>
  </si>
  <si>
    <t>101</t>
  </si>
  <si>
    <t>kennen (kennen kennen)</t>
  </si>
  <si>
    <t>Koch konnte das , weil er die New Yorker kannte , und sie kannten ihn .</t>
  </si>
  <si>
    <t>file://conllu/de/teddy-1469.conllu#s101_0</t>
  </si>
  <si>
    <t>102</t>
  </si>
  <si>
    <t>Normalerweise kommen Bürgermeister aus der Gegend , die sie regieren .</t>
  </si>
  <si>
    <t>file://conllu/de/teddy-1469.conllu#s102_0</t>
  </si>
  <si>
    <t>103</t>
  </si>
  <si>
    <t>sein (sein schwierig)</t>
  </si>
  <si>
    <t>Es ist schwierig , als dahergereister Politiker Bürgermeister zu werden .</t>
  </si>
  <si>
    <t>file://conllu/de/teddy-1469.conllu#s103_0</t>
  </si>
  <si>
    <t>104</t>
  </si>
  <si>
    <t>kandidieren</t>
  </si>
  <si>
    <t>Man kann in einem anderen Bundesstaat als Senator kandidieren , doch für Bürgermeister ist das schwierig .</t>
  </si>
  <si>
    <t>file://conllu/de/teddy-1469.conllu#s104_0</t>
  </si>
  <si>
    <t>105</t>
  </si>
  <si>
    <t>Maß</t>
  </si>
  <si>
    <t>Aus diesem Grund genießen Bürgermeister , Stadträte und Kommunalpolitiker ein höheres Maß an Vertrauen .</t>
  </si>
  <si>
    <t>file://conllu/de/teddy-1469.conllu#s105_0</t>
  </si>
  <si>
    <t>106</t>
  </si>
  <si>
    <t>Aspekt</t>
  </si>
  <si>
    <t>Ein dritter Aspekt , in dem sich Bürgermeister von nationalen Regierungs Offiziellen unterscheiden :</t>
  </si>
  <si>
    <t>file://conllu/de/teddy-1469.conllu#s106_0</t>
  </si>
  <si>
    <t>107</t>
  </si>
  <si>
    <t>kennen</t>
  </si>
  <si>
    <t>In den USA kennen wir die erbärmlichen Zahlen : 18 Prozent der Amerikaner heißen den Kongress und was er tut , gut .</t>
  </si>
  <si>
    <t>file://conllu/de/teddy-1469.conllu#s107_0</t>
  </si>
  <si>
    <t>108</t>
  </si>
  <si>
    <t>Sogar bei einem relativ beliebten Präsidenten wie Obama ist die Wahlbeteiligung 40 , 45 , höchstens 50 Prozent .</t>
  </si>
  <si>
    <t>file://conllu/de/teddy-1469.conllu#s108_0</t>
  </si>
  <si>
    <t>109</t>
  </si>
  <si>
    <t>vertraut</t>
  </si>
  <si>
    <t>Dem Obersten Gerichtshof wird nicht mehr so vertraut wie früher .</t>
  </si>
  <si>
    <t>file://conllu/de/teddy-1469.conllu#s109_0</t>
  </si>
  <si>
    <t>110</t>
  </si>
  <si>
    <t>Doch wenn man die Frage stellt : Vertrauen Sie Ihrem Stadtrat ?</t>
  </si>
  <si>
    <t>file://conllu/de/teddy-1469.conllu#s110_0</t>
  </si>
  <si>
    <t>111</t>
  </si>
  <si>
    <t>Vertrauen Sie Ihrem Bürgermeister ?</t>
  </si>
  <si>
    <t>file://conllu/de/teddy-1469.conllu#s111_0</t>
  </si>
  <si>
    <t>112</t>
  </si>
  <si>
    <t>schassen</t>
  </si>
  <si>
    <t>schießen die Zahlen in die Höhe bis zu 70 , 75 oder sogar 80 Prozent .</t>
  </si>
  <si>
    <t>file://conllu/de/teddy-1469.conllu#s112_0</t>
  </si>
  <si>
    <t>113</t>
  </si>
  <si>
    <t>Weil sie aus der Nachbarschaft sind .</t>
  </si>
  <si>
    <t>file://conllu/de/teddy-1469.conllu#s113_0</t>
  </si>
  <si>
    <t>114</t>
  </si>
  <si>
    <t>arbeiten</t>
  </si>
  <si>
    <t>Weil sie mit ihren Nachbarn arbeiten .</t>
  </si>
  <si>
    <t>file://conllu/de/teddy-1469.conllu#s114_0</t>
  </si>
  <si>
    <t>115</t>
  </si>
  <si>
    <t>steigen</t>
  </si>
  <si>
    <t>Weil sie , wie Bürgermeister Booker aus Newark , aus ihrem Auto steigen , um Menschen aus einem brennenden Gebäude zu retten das passierte Bürgermeister Booker oder bei einem Straßenraub einschreiten , weil sie es mitbekommen .</t>
  </si>
  <si>
    <t>file://conllu/de/teddy-1469.conllu#s115_0</t>
  </si>
  <si>
    <t>116</t>
  </si>
  <si>
    <t>Kein Staatschef dürfte das , wegen der Sicherheitsbestimmungen oder sie kommen gar nicht in eine solche Lage .</t>
  </si>
  <si>
    <t>file://conllu/de/teddy-1469.conllu#s116_0</t>
  </si>
  <si>
    <t>117</t>
  </si>
  <si>
    <t>entspringen</t>
  </si>
  <si>
    <t>Dieser Unterschied entspringt direkt aus dem Charakter der Städte selbst .</t>
  </si>
  <si>
    <t>file://conllu/de/teddy-1469.conllu#s117_0</t>
  </si>
  <si>
    <t>118</t>
  </si>
  <si>
    <t>sein (sein multikulturell)</t>
  </si>
  <si>
    <t>Städte sind zutiefst multikulturell , offen , teilnehmend , demokratisch , zur zu der Zusammenarbeit fähig .</t>
  </si>
  <si>
    <t>file://conllu/de/teddy-1469.conllu#s118_0</t>
  </si>
  <si>
    <t>119</t>
  </si>
  <si>
    <t>handeln</t>
  </si>
  <si>
    <t>Wenn Staaten aufeinander treffen , wie China und die USA , dann handeln sie etwa so .</t>
  </si>
  <si>
    <t>file://conllu/de/teddy-1469.conllu#s119_0</t>
  </si>
  <si>
    <t>120</t>
  </si>
  <si>
    <t>Wenn Städte aufeinander eingehen , dann tun sie das eher so .</t>
  </si>
  <si>
    <t>file://conllu/de/teddy-1469.conllu#s120_0</t>
  </si>
  <si>
    <t>121</t>
  </si>
  <si>
    <t>sein (sein gefangen)</t>
  </si>
  <si>
    <t>China und die USA sind , trotz des jüngsten Gipfeltreffens in Kalifornien , gefangen in Wut , Missgunst und Rivalität um den ersten Platz .</t>
  </si>
  <si>
    <t>file://conllu/de/teddy-1469.conllu#s121_0</t>
  </si>
  <si>
    <t>122</t>
  </si>
  <si>
    <t>sein (sein ein)</t>
  </si>
  <si>
    <t>Viele wollen die Nummer eins sein .</t>
  </si>
  <si>
    <t>file://conllu/de/teddy-1469.conllu#s122_0</t>
  </si>
  <si>
    <t>123</t>
  </si>
  <si>
    <t>machen</t>
  </si>
  <si>
    <t>Städte machen sich darüber keine Gedanken .</t>
  </si>
  <si>
    <t>file://conllu/de/teddy-1469.conllu#s123_0</t>
  </si>
  <si>
    <t>124</t>
  </si>
  <si>
    <t>zusammenarbeiten</t>
  </si>
  <si>
    <t>Sie müssen zusammenarbeiten und sie tun es auch .</t>
  </si>
  <si>
    <t>file://conllu/de/teddy-1469.conllu#s124_0</t>
  </si>
  <si>
    <t>125</t>
  </si>
  <si>
    <t>Sie arbeiten zum zu dem Beispiel gemeinsam gegen den Klimawandel .</t>
  </si>
  <si>
    <t>file://conllu/de/teddy-1469.conllu#s125_0</t>
  </si>
  <si>
    <t>126</t>
  </si>
  <si>
    <t>Organisationen wie C40 und die bereits erwähnte ICLEI , haben schon viele Jahre vor Kopenhagen miteinander gearbeitet .</t>
  </si>
  <si>
    <t>file://conllu/de/teddy-1469.conllu#s126_0</t>
  </si>
  <si>
    <t>127</t>
  </si>
  <si>
    <t>In Kopenhagen , vor etwa vier oder fünf Jahren , kamen 184 Nationen zusammen und erklärten einander , warum ihre Souveränität es ihnen nicht erlaubt , sich mit der sehr ernsten Krise des Klimawandels zu beschäftigen .</t>
  </si>
  <si>
    <t>file://conllu/de/teddy-1469.conllu#s127_0</t>
  </si>
  <si>
    <t>128</t>
  </si>
  <si>
    <t>gelingen</t>
  </si>
  <si>
    <t>Doch dem Bürgermeister Kopenhagens gelang es , 200 Bürgermeister zusammenzurufen .</t>
  </si>
  <si>
    <t>file://conllu/de/teddy-1469.conllu#s128_0</t>
  </si>
  <si>
    <t>129</t>
  </si>
  <si>
    <t>Sie kamen , sie blieben und fanden neue Wege , und finden noch immer Wege der Zusammenarbeit .</t>
  </si>
  <si>
    <t>file://conllu/de/teddy-1469.conllu#s129_0</t>
  </si>
  <si>
    <t>130</t>
  </si>
  <si>
    <t>unmittelbar</t>
  </si>
  <si>
    <t>Unmittelbar und durch Städte Organisationen .</t>
  </si>
  <si>
    <t>file://conllu/de/teddy-1469.conllu#s130_0</t>
  </si>
  <si>
    <t>131</t>
  </si>
  <si>
    <t>80 Prozent der Kohlenstoffemissionen kommen aus Städten .</t>
  </si>
  <si>
    <t>file://conllu/de/teddy-1469.conllu#s131_0</t>
  </si>
  <si>
    <t>132</t>
  </si>
  <si>
    <t>Also sind Städte in der Position , das Emissionsproblem oder einen Großteil davon , zu lösen .</t>
  </si>
  <si>
    <t>file://conllu/de/teddy-1469.conllu#s132_0</t>
  </si>
  <si>
    <t>133</t>
  </si>
  <si>
    <t>Staat</t>
  </si>
  <si>
    <t>Unabhängig davon , ob die Staaten , zu denen sie gehören , Abkommen dazu vereinbaren .</t>
  </si>
  <si>
    <t>file://conllu/de/teddy-1469.conllu#s133_0</t>
  </si>
  <si>
    <t>134</t>
  </si>
  <si>
    <t>Und sie tun es auch .</t>
  </si>
  <si>
    <t>file://conllu/de/teddy-1469.conllu#s134_0</t>
  </si>
  <si>
    <t>135</t>
  </si>
  <si>
    <t>reinigen</t>
  </si>
  <si>
    <t>Los Angeles hat seinen Hafen gereinigt , der 40 Prozent der Emissionen erzeugte .</t>
  </si>
  <si>
    <t>file://conllu/de/teddy-1469.conllu#s135_0</t>
  </si>
  <si>
    <t>136</t>
  </si>
  <si>
    <t>reduzieren</t>
  </si>
  <si>
    <t>und hat damit 20 Prozent der Kohlenstoffemissionen reduziert .</t>
  </si>
  <si>
    <t>file://conllu/de/teddy-1469.conllu#s136_0</t>
  </si>
  <si>
    <t>137</t>
  </si>
  <si>
    <t>New York hat ein Sanierungsprogramm für Altbauten , damit sie für den Winter besser isoliert sind und im in dem Sommer keine Energie verlieren und die Klimaanlage dicht ist .</t>
  </si>
  <si>
    <t>file://conllu/de/teddy-1469.conllu#s137_0</t>
  </si>
  <si>
    <t>138</t>
  </si>
  <si>
    <t>ausmachen</t>
  </si>
  <si>
    <t>Das hat viel ausgemacht .</t>
  </si>
  <si>
    <t>file://conllu/de/teddy-1469.conllu#s138_0</t>
  </si>
  <si>
    <t>139</t>
  </si>
  <si>
    <t>In Bogotá hat Bürgermeister Mockus in seiner Amtszeit ein Transportsystem bauen lassen , um Energie zu sparen .</t>
  </si>
  <si>
    <t>file://conllu/de/teddy-1469.conllu#s139_0</t>
  </si>
  <si>
    <t>140</t>
  </si>
  <si>
    <t>Normale Busse fahren praktisch wie U Bahnen .</t>
  </si>
  <si>
    <t>file://conllu/de/teddy-1469.conllu#s140_0</t>
  </si>
  <si>
    <t>141</t>
  </si>
  <si>
    <t>Schnellbusse</t>
  </si>
  <si>
    <t>Schnellbusse mit eigenen Fahrspuren .</t>
  </si>
  <si>
    <t>file://conllu/de/teddy-1469.conllu#s141_0</t>
  </si>
  <si>
    <t>142</t>
  </si>
  <si>
    <t>helfen</t>
  </si>
  <si>
    <t>Es half der Arbeitslosigkeit , da Menschen nun besser durch die Stadt kamen , und es hatte einen großen Einfluss auf das Klima und viele andere Dinge .</t>
  </si>
  <si>
    <t>file://conllu/de/teddy-1469.conllu#s142_0</t>
  </si>
  <si>
    <t>143</t>
  </si>
  <si>
    <t>bauen</t>
  </si>
  <si>
    <t>Singapur baute zusammen mit den Hochhäusern und den bemerkenswerten Sozialwohnungen eine Insel mit Parkanlagen und wenn Sie dort sind , sehen Sie , wie viele Grünflächen und Parks es dort gibt .</t>
  </si>
  <si>
    <t>file://conllu/de/teddy-1469.conllu#s143_0</t>
  </si>
  <si>
    <t>144</t>
  </si>
  <si>
    <t>Stadt</t>
  </si>
  <si>
    <t>Das machen Städte und zwar nicht alleine .</t>
  </si>
  <si>
    <t>file://conllu/de/teddy-1469.conllu#s144_0</t>
  </si>
  <si>
    <t>145</t>
  </si>
  <si>
    <t>Sie tun es gemeinsam .</t>
  </si>
  <si>
    <t>file://conllu/de/teddy-1469.conllu#s145_0</t>
  </si>
  <si>
    <t>146</t>
  </si>
  <si>
    <t>tauschen</t>
  </si>
  <si>
    <t>Sie tauschen ihre Pläne aus und sie erreichen so viel durch den Austausch ihrer Erfolgsrezepte .</t>
  </si>
  <si>
    <t>file://conllu/de/teddy-1469.conllu#s146_0</t>
  </si>
  <si>
    <t>147</t>
  </si>
  <si>
    <t>Fahrradverleihsystem</t>
  </si>
  <si>
    <t>Viele von ihnen kennen Fahrradverleihsysteme .</t>
  </si>
  <si>
    <t>file://conllu/de/teddy-1469.conllu#s147_0</t>
  </si>
  <si>
    <t>148</t>
  </si>
  <si>
    <t>einführen</t>
  </si>
  <si>
    <t>Sie wurden vor 20 oder 30 Jahren in Lateinamerika eingeführt .</t>
  </si>
  <si>
    <t>file://conllu/de/teddy-1469.conllu#s148_0</t>
  </si>
  <si>
    <t>149</t>
  </si>
  <si>
    <t>Es gibt sie nun in hunderten Städten auf der ganzen Welt .</t>
  </si>
  <si>
    <t>file://conllu/de/teddy-1469.conllu#s149_0</t>
  </si>
  <si>
    <t>150</t>
  </si>
  <si>
    <t>Fußgängerzone</t>
  </si>
  <si>
    <t>Fußgängerzonen , Mautsysteme , Emissionsgrenzen wie in den Städten Kaliforniens .</t>
  </si>
  <si>
    <t>file://conllu/de/teddy-1469.conllu#s150_0</t>
  </si>
  <si>
    <t>151</t>
  </si>
  <si>
    <t>Es gibt so vieles , was Städte tun können , selbst dann , wenn undurchsichtige , sture Nationen sich weigern zu handeln .</t>
  </si>
  <si>
    <t>file://conllu/de/teddy-1469.conllu#s151_0</t>
  </si>
  <si>
    <t>152</t>
  </si>
  <si>
    <t>lernen</t>
  </si>
  <si>
    <t>Was lernen wir daraus ?</t>
  </si>
  <si>
    <t>file://conllu/de/teddy-1469.conllu#s152_0</t>
  </si>
  <si>
    <t>153</t>
  </si>
  <si>
    <t>Politisch leben wir noch immer in einer Welt mit Grenzen , einer Welt mit Mauern , einer Welt , in der Staaten sich weigern , gemeinsam zu handeln .</t>
  </si>
  <si>
    <t>file://conllu/de/teddy-1469.conllu#s153_0</t>
  </si>
  <si>
    <t>154</t>
  </si>
  <si>
    <t>sein (sein Welt)</t>
  </si>
  <si>
    <t>Doch unsere tagtägliche Wirklichkeit ist eine Welt ohne Grenzen .</t>
  </si>
  <si>
    <t>file://conllu/de/teddy-1469.conllu#s154_0</t>
  </si>
  <si>
    <t>155</t>
  </si>
  <si>
    <t>Eine Welt der Krankheiten ohne Grenzen und Ärzte ohne Grenzen .</t>
  </si>
  <si>
    <t>file://conllu/de/teddy-1469.conllu#s155_0</t>
  </si>
  <si>
    <t>156</t>
  </si>
  <si>
    <t>frontiér</t>
  </si>
  <si>
    <t>Maladies sans frontiéres , Médecins Sans Frontiéres .</t>
  </si>
  <si>
    <t>file://conllu/de/teddy-1469.conllu#s156_0</t>
  </si>
  <si>
    <t>157</t>
  </si>
  <si>
    <t>Eine Welt der Wirtschaft und Technologie ohne Grenzen , der Bildung ohne Grenzen , des Terrorismus und Krieges ohne Grenzen .</t>
  </si>
  <si>
    <t>file://conllu/de/teddy-1469.conllu#s157_0</t>
  </si>
  <si>
    <t>158</t>
  </si>
  <si>
    <t>Das ist die reale Welt und wenn wir keinen Weg finden , um die Demokratie zu globalisieren oder die Globalisierung zu demokratisieren , dann steigt nicht nur das Risiko , dass wir bei der Bewältigung dieser transnationalen Probleme versagen , sondern auch , dass wir die Demokratie selbst verlieren .</t>
  </si>
  <si>
    <t>file://conllu/de/teddy-1469.conllu#s158_0</t>
  </si>
  <si>
    <t>159</t>
  </si>
  <si>
    <t>fangen</t>
  </si>
  <si>
    <t>Gefangen in der Schachtel der alten Nationalstaaten , nicht imstande , die globalen Probleme demokratisch zu lösen .</t>
  </si>
  <si>
    <t>file://conllu/de/teddy-1469.conllu#s159_0</t>
  </si>
  <si>
    <t>160</t>
  </si>
  <si>
    <t>verbleiben</t>
  </si>
  <si>
    <t>Wie verbleiben wir ?</t>
  </si>
  <si>
    <t>file://conllu/de/teddy-1469.conllu#s160_0</t>
  </si>
  <si>
    <t>161</t>
  </si>
  <si>
    <t>Ich sage es Ihnen .</t>
  </si>
  <si>
    <t>file://conllu/de/teddy-1469.conllu#s161_0</t>
  </si>
  <si>
    <t>162</t>
  </si>
  <si>
    <t>führen</t>
  </si>
  <si>
    <t>Der Weg zur zu der globalen Demokratie führt nicht durch die Staaten .</t>
  </si>
  <si>
    <t>file://conllu/de/teddy-1469.conllu#s162_0</t>
  </si>
  <si>
    <t>163</t>
  </si>
  <si>
    <t>Er führt durch Städte .</t>
  </si>
  <si>
    <t>file://conllu/de/teddy-1469.conllu#s163_0</t>
  </si>
  <si>
    <t>164</t>
  </si>
  <si>
    <t>gebären</t>
  </si>
  <si>
    <t>Die Demokratie wurde in der antiken Polis geboren .</t>
  </si>
  <si>
    <t>file://conllu/de/teddy-1469.conllu#s164_0</t>
  </si>
  <si>
    <t>165</t>
  </si>
  <si>
    <t>glauben</t>
  </si>
  <si>
    <t>Ich glaube , sie kann in der globalen Kosmopolis wiedergeboren werden .</t>
  </si>
  <si>
    <t>file://conllu/de/teddy-1469.conllu#s165_0</t>
  </si>
  <si>
    <t>166</t>
  </si>
  <si>
    <t>entdecken</t>
  </si>
  <si>
    <t>Auf dieser Reise von Polis zu Kosmopolis können wir die Macht der Demokratie wieder entdecken auf einer globalen Ebene .</t>
  </si>
  <si>
    <t>file://conllu/de/teddy-1469.conllu#s166_0</t>
  </si>
  <si>
    <t>167</t>
  </si>
  <si>
    <t>kreieren</t>
  </si>
  <si>
    <t>Einen Völkerbund können wir nicht kreieren .</t>
  </si>
  <si>
    <t>file://conllu/de/teddy-1469.conllu#s167_0</t>
  </si>
  <si>
    <t>168</t>
  </si>
  <si>
    <t>sein (sein scheitern)</t>
  </si>
  <si>
    <t>Das ist gescheitert .</t>
  </si>
  <si>
    <t>file://conllu/de/teddy-1469.conllu#s168_0</t>
  </si>
  <si>
    <t>169</t>
  </si>
  <si>
    <t>Städtebund</t>
  </si>
  <si>
    <t>Aber einen Städtebund .</t>
  </si>
  <si>
    <t>file://conllu/de/teddy-1469.conllu#s169_0</t>
  </si>
  <si>
    <t>170</t>
  </si>
  <si>
    <t>vereint</t>
  </si>
  <si>
    <t>Keine Vereinten oder Un Vereinten Nationen , sondern die Vereinten Städte der Welt .</t>
  </si>
  <si>
    <t>file://conllu/de/teddy-1469.conllu#s170_0</t>
  </si>
  <si>
    <t>171</t>
  </si>
  <si>
    <t>gründen</t>
  </si>
  <si>
    <t>Wir können ein globales Bürgermeisterparlament gründen .</t>
  </si>
  <si>
    <t>file://conllu/de/teddy-1469.conllu#s171_0</t>
  </si>
  <si>
    <t>172</t>
  </si>
  <si>
    <t>sein (sein Idee)</t>
  </si>
  <si>
    <t>Das wäre eine Idee .</t>
  </si>
  <si>
    <t>file://conllu/de/teddy-1469.conllu#s172_0</t>
  </si>
  <si>
    <t>173</t>
  </si>
  <si>
    <t>sein (sein Konzept)</t>
  </si>
  <si>
    <t>Es ist nicht nur mein Konzept der zukünftigen Welt , sondern wird bereits in Erwägung gezogen in Seoul , Korea , in Amsterdam , in Hamburg und in New York .</t>
  </si>
  <si>
    <t>file://conllu/de/teddy-1469.conllu#s173_0</t>
  </si>
  <si>
    <t>174</t>
  </si>
  <si>
    <t>überlegen</t>
  </si>
  <si>
    <t>Bürgermeister überlegen bereits , wie ein solches globales Bürgermeisterparlament umgesetzt werden kann .</t>
  </si>
  <si>
    <t>file://conllu/de/teddy-1469.conllu#s174_0</t>
  </si>
  <si>
    <t>175</t>
  </si>
  <si>
    <t>lieben</t>
  </si>
  <si>
    <t>Ich liebe diese Idee , denn ein Bürgermeisterparlament ist ein Parlament der Bürger und ein Parlament der Bürger ist ein Parlament von uns , von Ihnen und mir .</t>
  </si>
  <si>
    <t>file://conllu/de/teddy-1469.conllu#s175_0</t>
  </si>
  <si>
    <t>176</t>
  </si>
  <si>
    <t>sein (sein denken)</t>
  </si>
  <si>
    <t>Wenn es irgendwann Bürger ohne Grenzen gegeben hat , dann sind es , denke ich , die Bürger von TED , die sehr vielversprechende Bürger ohne Grenzen sind .</t>
  </si>
  <si>
    <t>file://conllu/de/teddy-1469.conllu#s176_0</t>
  </si>
  <si>
    <t>177</t>
  </si>
  <si>
    <t>sein (sein bereit)</t>
  </si>
  <si>
    <t>Ich bin bereit , die Hand auszustrecken , zu Gunsten einer neuen globalen Demokratie , um unsere Demokratie zurückzuerobern .</t>
  </si>
  <si>
    <t>file://conllu/de/teddy-1469.conllu#s177_0</t>
  </si>
  <si>
    <t>178</t>
  </si>
  <si>
    <t>sein (sein Frage)</t>
  </si>
  <si>
    <t>Und die einzige Frage ist : Sind Sie es auch ?</t>
  </si>
  <si>
    <t>file://conllu/de/teddy-1469.conllu#s178_0</t>
  </si>
  <si>
    <t>179</t>
  </si>
  <si>
    <t>Dank</t>
  </si>
  <si>
    <t>Vielen Dank , meine Mitbürger .</t>
  </si>
  <si>
    <t>file://conllu/de/teddy-1469.conllu#s179_0</t>
  </si>
  <si>
    <t>180</t>
  </si>
  <si>
    <t>Danke .</t>
  </si>
  <si>
    <t>file://conllu/de/teddy-1469.conllu#s180_0</t>
  </si>
  <si>
    <t>181</t>
  </si>
  <si>
    <t>Beifall</t>
  </si>
  <si>
    <t>( Beifall )</t>
  </si>
  <si>
    <t>file://conllu/de/teddy-1469.conllu#s181_0</t>
  </si>
  <si>
    <t>WORD</t>
  </si>
  <si>
    <t>GR</t>
  </si>
  <si>
    <t>NP_TYPE</t>
  </si>
  <si>
    <t>REF_AUTO</t>
  </si>
  <si>
    <t>COREF</t>
  </si>
  <si>
    <t>REF</t>
  </si>
  <si>
    <t>IS</t>
  </si>
  <si>
    <t>CB</t>
  </si>
  <si>
    <t>GR_ANTE</t>
  </si>
  <si>
    <t>REF_DIST</t>
  </si>
  <si>
    <t>REF_DIST_ANTE</t>
  </si>
  <si>
    <t># text = Die Demokratie steckt in Schwierigkeiten, das steht außer Frage.</t>
  </si>
  <si>
    <t>Die</t>
  </si>
  <si>
    <t>Demokratie</t>
  </si>
  <si>
    <t>SBJ</t>
  </si>
  <si>
    <t>def-np.the</t>
  </si>
  <si>
    <t>?OLD</t>
  </si>
  <si>
    <t>steckt</t>
  </si>
  <si>
    <t>in</t>
  </si>
  <si>
    <t>Schwierigkeiten</t>
  </si>
  <si>
    <t>other</t>
  </si>
  <si>
    <t>indef-np.bare</t>
  </si>
  <si>
    <t>,</t>
  </si>
  <si>
    <t>das</t>
  </si>
  <si>
    <t>SBJ_3</t>
  </si>
  <si>
    <t>steht</t>
  </si>
  <si>
    <t>außer</t>
  </si>
  <si>
    <t>Frage</t>
  </si>
  <si>
    <t>other_3</t>
  </si>
  <si>
    <t>.</t>
  </si>
  <si>
    <t># text = Das liegt zum Teil an einem tiefen Dilemma, in der sie steckt.</t>
  </si>
  <si>
    <t>Das</t>
  </si>
  <si>
    <t>pron.pds</t>
  </si>
  <si>
    <t>liegt</t>
  </si>
  <si>
    <t>zu</t>
  </si>
  <si>
    <t>other_2</t>
  </si>
  <si>
    <t>pron.pind</t>
  </si>
  <si>
    <t>dem</t>
  </si>
  <si>
    <t>Teil</t>
  </si>
  <si>
    <t>an</t>
  </si>
  <si>
    <t>einem</t>
  </si>
  <si>
    <t>tiefen</t>
  </si>
  <si>
    <t>Dilemma</t>
  </si>
  <si>
    <t>indef-np.a</t>
  </si>
  <si>
    <t>der</t>
  </si>
  <si>
    <t>sie</t>
  </si>
  <si>
    <t>SBJ_4</t>
  </si>
  <si>
    <t>pron</t>
  </si>
  <si>
    <t># text = Für bestimmte Probleme ist sie zunehmend bedeutungslos geworden: bei globalen Pandemien, ein grenzüberschreitendes Problem; bei HIV, ein transnationales Problem; bei Wirtschaft und Immigration, welche die nationalen Grenzen übersteigen;</t>
  </si>
  <si>
    <t>Für</t>
  </si>
  <si>
    <t>bestimmte</t>
  </si>
  <si>
    <t>Probleme</t>
  </si>
  <si>
    <t>ist</t>
  </si>
  <si>
    <t>SBJ_2</t>
  </si>
  <si>
    <t>zunehmend</t>
  </si>
  <si>
    <t>bedeutungslos</t>
  </si>
  <si>
    <t>geworden</t>
  </si>
  <si>
    <t>:</t>
  </si>
  <si>
    <t>bei</t>
  </si>
  <si>
    <t>globalen</t>
  </si>
  <si>
    <t>Pandemien</t>
  </si>
  <si>
    <t>ein</t>
  </si>
  <si>
    <t>grenzüberschreitendes</t>
  </si>
  <si>
    <t>;</t>
  </si>
  <si>
    <t>HIV</t>
  </si>
  <si>
    <t>ne</t>
  </si>
  <si>
    <t>transnationales</t>
  </si>
  <si>
    <t>Wirtschaft</t>
  </si>
  <si>
    <t>und</t>
  </si>
  <si>
    <t>Immigration</t>
  </si>
  <si>
    <t>welche</t>
  </si>
  <si>
    <t>die</t>
  </si>
  <si>
    <t>nationalen</t>
  </si>
  <si>
    <t>Grenzen</t>
  </si>
  <si>
    <t>übersteigen</t>
  </si>
  <si>
    <t># text = wie auch Terrorismus und Krieg, alles grenzüberschreitende Probleme.</t>
  </si>
  <si>
    <t>wie</t>
  </si>
  <si>
    <t>auch</t>
  </si>
  <si>
    <t>Krieg</t>
  </si>
  <si>
    <t>alles</t>
  </si>
  <si>
    <t>grenzüberschreitende</t>
  </si>
  <si>
    <t>OBJ</t>
  </si>
  <si>
    <t>indef-np.quant</t>
  </si>
  <si>
    <t># text = Wir leben im 21.</t>
  </si>
  <si>
    <t>Wir</t>
  </si>
  <si>
    <t># text = Jahrhundert, in einer Welt mit gegenseitigen Abhängigkeiten und brutalen wechselseitigen Problemen.</t>
  </si>
  <si>
    <t>einer</t>
  </si>
  <si>
    <t>mit</t>
  </si>
  <si>
    <t>gegenseitigen</t>
  </si>
  <si>
    <t>Abhängigkeiten</t>
  </si>
  <si>
    <t>brutalen</t>
  </si>
  <si>
    <t>wechselseitigen</t>
  </si>
  <si>
    <t>Problemen</t>
  </si>
  <si>
    <t># text = Wenn wir in der Politik und der Demokratie nach Lösungen suchen, werden wir mit politischen Institutionen konfrontiert, die vor 400 Jahren entworfen wurden: Autonome, souveräne Nationalstaaten mit Rechtssprechung und Staatsgebieten, die sie voneinander trennen.</t>
  </si>
  <si>
    <t>Wenn</t>
  </si>
  <si>
    <t>wir</t>
  </si>
  <si>
    <t>Politik</t>
  </si>
  <si>
    <t>nach</t>
  </si>
  <si>
    <t>Lösungen</t>
  </si>
  <si>
    <t>suchen</t>
  </si>
  <si>
    <t>werden</t>
  </si>
  <si>
    <t>politischen</t>
  </si>
  <si>
    <t>Institutionen</t>
  </si>
  <si>
    <t>konfrontiert</t>
  </si>
  <si>
    <t>vor</t>
  </si>
  <si>
    <t>400</t>
  </si>
  <si>
    <t>Jahren</t>
  </si>
  <si>
    <t>entworfen</t>
  </si>
  <si>
    <t>wurden</t>
  </si>
  <si>
    <t>Autonome</t>
  </si>
  <si>
    <t>souveräne</t>
  </si>
  <si>
    <t>Nationalstaaten</t>
  </si>
  <si>
    <t>Rechtssprechung</t>
  </si>
  <si>
    <t>other_4</t>
  </si>
  <si>
    <t>Staatsgebieten</t>
  </si>
  <si>
    <t>other_5</t>
  </si>
  <si>
    <t>OBJ_4</t>
  </si>
  <si>
    <t>voneinander</t>
  </si>
  <si>
    <t>trennen</t>
  </si>
  <si>
    <t># text = Jeder behauptet, die Probleme des eigenen Volkes lösen zu können.</t>
  </si>
  <si>
    <t>Jeder</t>
  </si>
  <si>
    <t>behauptet</t>
  </si>
  <si>
    <t>OBJ_2</t>
  </si>
  <si>
    <t>des</t>
  </si>
  <si>
    <t>eigenen</t>
  </si>
  <si>
    <t>Volkes</t>
  </si>
  <si>
    <t>lösen</t>
  </si>
  <si>
    <t>können</t>
  </si>
  <si>
    <t># text = Eine Welt des 21.</t>
  </si>
  <si>
    <t>Eine</t>
  </si>
  <si>
    <t># text = Jahrhunderts, mit transnationalen Problemen und Herausforderungen, und politische Institutionen des 17.</t>
  </si>
  <si>
    <t>Jahrhunderts</t>
  </si>
  <si>
    <t>transnationalen</t>
  </si>
  <si>
    <t>Herausforderungen</t>
  </si>
  <si>
    <t>politische</t>
  </si>
  <si>
    <t># text = Jahrhunderts.</t>
  </si>
  <si>
    <t># text = Dieses Dilemma ist das eigentliche Problem der Demokratie.</t>
  </si>
  <si>
    <t>Dieses</t>
  </si>
  <si>
    <t>def-np.dem</t>
  </si>
  <si>
    <t>eigentliche</t>
  </si>
  <si>
    <t># text = Wie viele andere habe ich darüber nachgedacht, was wir gegen dieses Ungleichgewicht tun können.</t>
  </si>
  <si>
    <t>Wie</t>
  </si>
  <si>
    <t>viele</t>
  </si>
  <si>
    <t>andere</t>
  </si>
  <si>
    <t>habe</t>
  </si>
  <si>
    <t>ich</t>
  </si>
  <si>
    <t>pron.pper</t>
  </si>
  <si>
    <t>darüber</t>
  </si>
  <si>
    <t>nachgedacht</t>
  </si>
  <si>
    <t>was</t>
  </si>
  <si>
    <t>gegen</t>
  </si>
  <si>
    <t>dieses</t>
  </si>
  <si>
    <t>Ungleichgewicht</t>
  </si>
  <si>
    <t># text = Die Herausforderungen des 21.</t>
  </si>
  <si>
    <t>def-np.quant</t>
  </si>
  <si>
    <t># text = Jahrhunderts und die veralteten und zunehmend funktionsunfähigen politischen Institutionen wie die Nationalstaaten.</t>
  </si>
  <si>
    <t>veralteten</t>
  </si>
  <si>
    <t>funktionsunfähigen</t>
  </si>
  <si>
    <t># text = Ich schlage vor, dass wir das Thema wechseln, dass wir nicht mehr über Nationen reden, über Staaten mit Grenzen, sondern über Städte.</t>
  </si>
  <si>
    <t>Ich</t>
  </si>
  <si>
    <t>schlage</t>
  </si>
  <si>
    <t>dass</t>
  </si>
  <si>
    <t>Thema</t>
  </si>
  <si>
    <t>wechseln</t>
  </si>
  <si>
    <t>nicht</t>
  </si>
  <si>
    <t>mehr</t>
  </si>
  <si>
    <t>über</t>
  </si>
  <si>
    <t>Nationen</t>
  </si>
  <si>
    <t>Staaten</t>
  </si>
  <si>
    <t>sondern</t>
  </si>
  <si>
    <t>Städte</t>
  </si>
  <si>
    <t># text = Sie werden mir sicher zustimmen, dass wenn wir über Städte reden, wir über die politischen Institutionen reden, in denen Zivilisation und Kultur geboren wurden.</t>
  </si>
  <si>
    <t>Sie</t>
  </si>
  <si>
    <t>mir</t>
  </si>
  <si>
    <t>sicher</t>
  </si>
  <si>
    <t>wenn</t>
  </si>
  <si>
    <t>denen</t>
  </si>
  <si>
    <t>Zivilisation</t>
  </si>
  <si>
    <t>Kultur</t>
  </si>
  <si>
    <t>geboren</t>
  </si>
  <si>
    <t># text = Wir reden über die Wiege der Demokratie.</t>
  </si>
  <si>
    <t>Wiege</t>
  </si>
  <si>
    <t># text = Wir reden über die Orte, an denen wir uns versammeln, wo Demokratie entsteht und wir gemeinsam gegen diejenigen, die uns unsere Freiheit nehmen wollen, protestieren.</t>
  </si>
  <si>
    <t>Orte</t>
  </si>
  <si>
    <t>uns</t>
  </si>
  <si>
    <t>OBJ_3</t>
  </si>
  <si>
    <t>versammeln</t>
  </si>
  <si>
    <t>wo</t>
  </si>
  <si>
    <t>entsteht</t>
  </si>
  <si>
    <t>SBJ_5</t>
  </si>
  <si>
    <t>gemeinsam</t>
  </si>
  <si>
    <t>diejenigen</t>
  </si>
  <si>
    <t>SBJ_7</t>
  </si>
  <si>
    <t>OBJ_7</t>
  </si>
  <si>
    <t>unsere</t>
  </si>
  <si>
    <t>other_8</t>
  </si>
  <si>
    <t>pron.ppos</t>
  </si>
  <si>
    <t>Freiheit</t>
  </si>
  <si>
    <t>nehmen</t>
  </si>
  <si>
    <t>wollen</t>
  </si>
  <si>
    <t>protestieren</t>
  </si>
  <si>
    <t># text = Denken Sie an einige große Namen: Place de la Bastille, Zuccotti-Park, Tahrir-Platz, Taksim-Platz -- in den heutigen Schlagzeilen -- in Istanbul, oder, genau, Tian’anmen-Platz in Peking.</t>
  </si>
  <si>
    <t>einige</t>
  </si>
  <si>
    <t>große</t>
  </si>
  <si>
    <t>Namen</t>
  </si>
  <si>
    <t>Place</t>
  </si>
  <si>
    <t>de</t>
  </si>
  <si>
    <t>la</t>
  </si>
  <si>
    <t>Bastille</t>
  </si>
  <si>
    <t>Zuccotti</t>
  </si>
  <si>
    <t>Park</t>
  </si>
  <si>
    <t>Tahrir</t>
  </si>
  <si>
    <t>Platz</t>
  </si>
  <si>
    <t>Taksim</t>
  </si>
  <si>
    <t>den</t>
  </si>
  <si>
    <t>heutigen</t>
  </si>
  <si>
    <t>Schlagzeilen</t>
  </si>
  <si>
    <t>Istanbul</t>
  </si>
  <si>
    <t>oder</t>
  </si>
  <si>
    <t>genau</t>
  </si>
  <si>
    <t>Tian’</t>
  </si>
  <si>
    <t>anmen</t>
  </si>
  <si>
    <t>Peking</t>
  </si>
  <si>
    <t># text = (Beifall) Dies sind die öffentlichen Orte, an denen wir uns als Bürger zu erkennen geben, als Teilnehmer, als Menschen mit dem Recht, die eigene Geschichte zu schreiben.</t>
  </si>
  <si>
    <t>(</t>
  </si>
  <si>
    <t>)</t>
  </si>
  <si>
    <t>Dies</t>
  </si>
  <si>
    <t>sind</t>
  </si>
  <si>
    <t>öffentlichen</t>
  </si>
  <si>
    <t>als</t>
  </si>
  <si>
    <t>Bürger</t>
  </si>
  <si>
    <t>erkennen</t>
  </si>
  <si>
    <t>Teilnehmer</t>
  </si>
  <si>
    <t>Menschen</t>
  </si>
  <si>
    <t>Recht</t>
  </si>
  <si>
    <t>eigene</t>
  </si>
  <si>
    <t>Geschichte</t>
  </si>
  <si>
    <t>OBJ_5</t>
  </si>
  <si>
    <t>schreiben</t>
  </si>
  <si>
    <t># text = Städte sind nicht nur die ältesten Institutionen, sie sind auch die beständigsten.</t>
  </si>
  <si>
    <t>nur</t>
  </si>
  <si>
    <t>ältesten</t>
  </si>
  <si>
    <t>beständigsten</t>
  </si>
  <si>
    <t># text = Wenn Sie darüber nachdenken, Konstantinopel (Istanbul), ist viel älter als die Türkei.</t>
  </si>
  <si>
    <t>Konstantinopel</t>
  </si>
  <si>
    <t>viel</t>
  </si>
  <si>
    <t>älter</t>
  </si>
  <si>
    <t>Türkei</t>
  </si>
  <si>
    <t># text = Alexandria ist viel älter als Ägypten.</t>
  </si>
  <si>
    <t>Alexandria</t>
  </si>
  <si>
    <t>Ägypten</t>
  </si>
  <si>
    <t># text = Rom ist viel älter als Italien.</t>
  </si>
  <si>
    <t>Rom</t>
  </si>
  <si>
    <t>Italien</t>
  </si>
  <si>
    <t># text = Städte überdauern die Zeiten.</t>
  </si>
  <si>
    <t>Zeiten</t>
  </si>
  <si>
    <t># text = Sie sind die Orte, an denen wir geboren werden, aufwachsen, zur Schule gehen, arbeiten, heiraten, beten, spielen, alt werden und letztendlich sterben.</t>
  </si>
  <si>
    <t>aufwachsen</t>
  </si>
  <si>
    <t>Schule</t>
  </si>
  <si>
    <t>heiraten</t>
  </si>
  <si>
    <t>beten</t>
  </si>
  <si>
    <t>spielen</t>
  </si>
  <si>
    <t>alt</t>
  </si>
  <si>
    <t>letztendlich</t>
  </si>
  <si>
    <t>sterben</t>
  </si>
  <si>
    <t># text = Sie sind Heimat.</t>
  </si>
  <si>
    <t>Heimat</t>
  </si>
  <si>
    <t># text = Ganz anders als Nationalstaaten, welche abstrakte Gebilde sind.</t>
  </si>
  <si>
    <t>Ganz</t>
  </si>
  <si>
    <t>abstrakte</t>
  </si>
  <si>
    <t>Gebilde</t>
  </si>
  <si>
    <t># text = Wir zahlen Steuern, wir gehen manchmal zur Wahl.</t>
  </si>
  <si>
    <t>Steuern</t>
  </si>
  <si>
    <t>manchmal</t>
  </si>
  <si>
    <t>Wahl</t>
  </si>
  <si>
    <t># text = Wir schauen zu, wie die Männer und Frauen, die wir wählen, mehr oder weniger ohne uns regieren.</t>
  </si>
  <si>
    <t>Männer</t>
  </si>
  <si>
    <t>Frauen</t>
  </si>
  <si>
    <t>weniger</t>
  </si>
  <si>
    <t>ohne</t>
  </si>
  <si>
    <t># text = Ganz anders in der Heimat, in unseren Ortschaften und den Städten, in denen wir leben.</t>
  </si>
  <si>
    <t>unseren</t>
  </si>
  <si>
    <t>Ortschaften</t>
  </si>
  <si>
    <t>Städten</t>
  </si>
  <si>
    <t># text = Heutzutage lebt mehr als die Hälfte der Weltbevölkerung in Städten.</t>
  </si>
  <si>
    <t>Heutzutage</t>
  </si>
  <si>
    <t>lebt</t>
  </si>
  <si>
    <t>Hälfte</t>
  </si>
  <si>
    <t>Weltbevölkerung</t>
  </si>
  <si>
    <t># text = In der entwickelten Welt sind es ungefähr 78 Prozent.</t>
  </si>
  <si>
    <t>In</t>
  </si>
  <si>
    <t>entwickelten</t>
  </si>
  <si>
    <t>es</t>
  </si>
  <si>
    <t>ungefähr</t>
  </si>
  <si>
    <t>Prozent</t>
  </si>
  <si>
    <t># text = Heutzutage leben drei von vier Menschen in städtischen Institutionen, städtischen Orten, In Städten spielt sich das Leben ab.</t>
  </si>
  <si>
    <t>drei</t>
  </si>
  <si>
    <t>von</t>
  </si>
  <si>
    <t>vier</t>
  </si>
  <si>
    <t>städtischen</t>
  </si>
  <si>
    <t>Orten</t>
  </si>
  <si>
    <t>spielt</t>
  </si>
  <si>
    <t>sich</t>
  </si>
  <si>
    <t>Leben</t>
  </si>
  <si>
    <t>ab</t>
  </si>
  <si>
    <t># text = Wir sind unsere Städte.</t>
  </si>
  <si>
    <t># text = Aristoteles sagte in der Antike, dass der Mensch ein politisches Tier ist.</t>
  </si>
  <si>
    <t>Aristoteles</t>
  </si>
  <si>
    <t>sagte</t>
  </si>
  <si>
    <t>Antike</t>
  </si>
  <si>
    <t>Mensch</t>
  </si>
  <si>
    <t>politisches</t>
  </si>
  <si>
    <t>Tier</t>
  </si>
  <si>
    <t># text = Ich sage, wir sind ein städtisches Tier.</t>
  </si>
  <si>
    <t>sage</t>
  </si>
  <si>
    <t>städtisches</t>
  </si>
  <si>
    <t># text = Wir sind eine städtische Spezies, unsere Städte sind unser Zuhause.</t>
  </si>
  <si>
    <t>eine</t>
  </si>
  <si>
    <t>städtische</t>
  </si>
  <si>
    <t>Spezies</t>
  </si>
  <si>
    <t>unser</t>
  </si>
  <si>
    <t>Zuhause</t>
  </si>
  <si>
    <t># text = Um auf das Dilemma zurückzukommen, wenn das Dilemma ist, dass unsere altmodischen politischen Nationalstaaten die Welt nicht regieren können, unseren globalen Herausforderungen nicht gewachsen sind, wie der Klimawandel, dann wird es vielleicht Zeit, dass die Bürgermeister die Welt regieren.</t>
  </si>
  <si>
    <t>Um</t>
  </si>
  <si>
    <t>auf</t>
  </si>
  <si>
    <t>altmodischen</t>
  </si>
  <si>
    <t>gewachsen</t>
  </si>
  <si>
    <t>Klimawandel</t>
  </si>
  <si>
    <t>dann</t>
  </si>
  <si>
    <t>wird</t>
  </si>
  <si>
    <t>vielleicht</t>
  </si>
  <si>
    <t># text = Zeit, dass Bürgermeister und die Bürger, die sie vertreten, sich mit den globalen Regierungsfragen beschäftigen.</t>
  </si>
  <si>
    <t>vertreten</t>
  </si>
  <si>
    <t>Regierungsfragen</t>
  </si>
  <si>
    <t>beschäftigen</t>
  </si>
  <si>
    <t>--</t>
  </si>
  <si>
    <t># text = "Wenn Bürgermeister die Welt regieren würden?"</t>
  </si>
  <si>
    <t>&amp;quot;</t>
  </si>
  <si>
    <t>würden</t>
  </si>
  <si>
    <t>?</t>
  </si>
  <si>
    <t># text = Als mir dieser Satz zum ersten Mal in den Sinn kam, wurde mir klar, dass sie das eigentlich schon tun.</t>
  </si>
  <si>
    <t>Als</t>
  </si>
  <si>
    <t>dieser</t>
  </si>
  <si>
    <t>Satz</t>
  </si>
  <si>
    <t>ersten</t>
  </si>
  <si>
    <t>Mal</t>
  </si>
  <si>
    <t>Sinn</t>
  </si>
  <si>
    <t>kam</t>
  </si>
  <si>
    <t>wurde</t>
  </si>
  <si>
    <t>eigentlich</t>
  </si>
  <si>
    <t>schon</t>
  </si>
  <si>
    <t># text = Es gibt bereits internationale, interstädtische grenzüberschreitende Institutionen und Städtenetzwerke, in denen Städte bereits sehr unauffällig, im Verborgenen, zusammenarbeiten, um den Klimawandel zu bekämpfen, um Sicherheit zu gewährleisten.</t>
  </si>
  <si>
    <t>Es</t>
  </si>
  <si>
    <t>gibt</t>
  </si>
  <si>
    <t>bereits</t>
  </si>
  <si>
    <t>internationale</t>
  </si>
  <si>
    <t>interstädtische</t>
  </si>
  <si>
    <t>Städtenetzwerke</t>
  </si>
  <si>
    <t>sehr</t>
  </si>
  <si>
    <t>unauffällig</t>
  </si>
  <si>
    <t>Verborgenen</t>
  </si>
  <si>
    <t>um</t>
  </si>
  <si>
    <t>bekämpfen</t>
  </si>
  <si>
    <t>Sicherheit</t>
  </si>
  <si>
    <t>OBJ_6</t>
  </si>
  <si>
    <t>gewährleisten</t>
  </si>
  <si>
    <t># text = Sich mit Immigration befassen.</t>
  </si>
  <si>
    <t>Sich</t>
  </si>
  <si>
    <t># text = All diese schwierigen und voneinander abhängigen Probleme angehen.</t>
  </si>
  <si>
    <t>All</t>
  </si>
  <si>
    <t>diese</t>
  </si>
  <si>
    <t>schwierigen</t>
  </si>
  <si>
    <t>abhängigen</t>
  </si>
  <si>
    <t># text = Diese Institutionen haben merkwürdige Namen: UCLG, Vereinte Städte und Kommunalverwaltungen.</t>
  </si>
  <si>
    <t>Diese</t>
  </si>
  <si>
    <t>merkwürdige</t>
  </si>
  <si>
    <t>UCLG</t>
  </si>
  <si>
    <t>Vereinte</t>
  </si>
  <si>
    <t>Kommunalverwaltungen</t>
  </si>
  <si>
    <t># text = ICLEI, Internationaler Rat für lokale Umweltfragen.</t>
  </si>
  <si>
    <t>Internationaler</t>
  </si>
  <si>
    <t>Rat</t>
  </si>
  <si>
    <t>für</t>
  </si>
  <si>
    <t>lokale</t>
  </si>
  <si>
    <t>Umweltfragen</t>
  </si>
  <si>
    <t># text = Und die Liste geht weiter: Citynet in Asien;</t>
  </si>
  <si>
    <t>Und</t>
  </si>
  <si>
    <t>Liste</t>
  </si>
  <si>
    <t>geht</t>
  </si>
  <si>
    <t>weiter</t>
  </si>
  <si>
    <t>Citynet</t>
  </si>
  <si>
    <t>Asien</t>
  </si>
  <si>
    <t># text = City Protocol, eine neue Organisation aus Barcelona, welche das Web nutzt, um Erfolgsrezepte mit anderen Ländern zu teilen.</t>
  </si>
  <si>
    <t>City</t>
  </si>
  <si>
    <t>neue</t>
  </si>
  <si>
    <t>Organisation</t>
  </si>
  <si>
    <t>aus</t>
  </si>
  <si>
    <t>Barcelona</t>
  </si>
  <si>
    <t>Web</t>
  </si>
  <si>
    <t>nutzt</t>
  </si>
  <si>
    <t>Erfolgsrezepte</t>
  </si>
  <si>
    <t>anderen</t>
  </si>
  <si>
    <t>Ländern</t>
  </si>
  <si>
    <t>teilen</t>
  </si>
  <si>
    <t># text = Und die bekannten Einrichtungen: die US-Bürgermeisterkonferenz, die mexikanische Bürgermeisterkonferenz und die europäische Bürgermeisterkonferenz.</t>
  </si>
  <si>
    <t>bekannten</t>
  </si>
  <si>
    <t>Einrichtungen</t>
  </si>
  <si>
    <t>US</t>
  </si>
  <si>
    <t>Bürgermeisterkonferenz</t>
  </si>
  <si>
    <t>mexikanische</t>
  </si>
  <si>
    <t>europäische</t>
  </si>
  <si>
    <t># text = Bürgermeister sind vor Ort.</t>
  </si>
  <si>
    <t>Ort</t>
  </si>
  <si>
    <t># text = Also stellt sich die Frage: Wie können wir eine Welt erschaffen, in der Bürgermeister und die Bürger, die sie vertreten, eine wichtigere Rolle spielen?</t>
  </si>
  <si>
    <t>Also</t>
  </si>
  <si>
    <t>stellt</t>
  </si>
  <si>
    <t>erschaffen</t>
  </si>
  <si>
    <t>wichtigere</t>
  </si>
  <si>
    <t>Rolle</t>
  </si>
  <si>
    <t># text = Um zu begreifen, warum das wichtig ist, muss man verstehen, warum Städte so besonders sind.</t>
  </si>
  <si>
    <t>begreifen</t>
  </si>
  <si>
    <t>wichtig</t>
  </si>
  <si>
    <t>muss</t>
  </si>
  <si>
    <t>man</t>
  </si>
  <si>
    <t>so</t>
  </si>
  <si>
    <t>besonders</t>
  </si>
  <si>
    <t># text = Warum Bürgermeister so anders sind als Premierminister und Präsidenten.</t>
  </si>
  <si>
    <t>Warum</t>
  </si>
  <si>
    <t>Premierminister</t>
  </si>
  <si>
    <t>Präsidenten</t>
  </si>
  <si>
    <t># text = Mein Ausgangspunkt ist, dass Bürgermeister und Premierminister sich am jeweils anderen Ende eines politischen Spektrums befinden.</t>
  </si>
  <si>
    <t>Mein</t>
  </si>
  <si>
    <t>Ausgangspunkt</t>
  </si>
  <si>
    <t>indef-np</t>
  </si>
  <si>
    <t>jeweils</t>
  </si>
  <si>
    <t>Ende</t>
  </si>
  <si>
    <t>def-np.the.other</t>
  </si>
  <si>
    <t>eines</t>
  </si>
  <si>
    <t>Spektrums</t>
  </si>
  <si>
    <t>befinden</t>
  </si>
  <si>
    <t># text = Um Premierminister oder Präsident zu sein, braucht man eine Ideologie, braucht man eine Meta-Erzählung, braucht man eine Theorie darüber, wie Dinge funktionieren und man braucht eine Partei.</t>
  </si>
  <si>
    <t>Präsident</t>
  </si>
  <si>
    <t>braucht</t>
  </si>
  <si>
    <t>Ideologie</t>
  </si>
  <si>
    <t>Meta</t>
  </si>
  <si>
    <t>Erzählung</t>
  </si>
  <si>
    <t>Theorie</t>
  </si>
  <si>
    <t>pron.padv</t>
  </si>
  <si>
    <t>Dinge</t>
  </si>
  <si>
    <t>funktionieren</t>
  </si>
  <si>
    <t>Partei</t>
  </si>
  <si>
    <t># text = Unabhängige Kandidaten werden nicht gewählt.</t>
  </si>
  <si>
    <t>Unabhängige</t>
  </si>
  <si>
    <t>Kandidaten</t>
  </si>
  <si>
    <t>gewählt</t>
  </si>
  <si>
    <t># text = Bei Bürgermeistern ist es genau umgekehrt.</t>
  </si>
  <si>
    <t>Bei</t>
  </si>
  <si>
    <t>Bürgermeistern</t>
  </si>
  <si>
    <t>umgekehrt</t>
  </si>
  <si>
    <t># text = Bürgermeister sind Pragmatiker;</t>
  </si>
  <si>
    <t>Pragmatiker</t>
  </si>
  <si>
    <t># text = sie sind Problemlöser.</t>
  </si>
  <si>
    <t>Problemlöser</t>
  </si>
  <si>
    <t># text = Ihr Job ist es, Probleme zu lösen und wenn sie das nicht tun, verlieren sie ihren Job.</t>
  </si>
  <si>
    <t>Ihr</t>
  </si>
  <si>
    <t>Job</t>
  </si>
  <si>
    <t>ihren</t>
  </si>
  <si>
    <t># text = Bürgermeister Nutter aus Philadelphia sagte: In Philadelphia könnten wir uns niemals das erlauben, was man in Washington treibt.</t>
  </si>
  <si>
    <t>Nutter</t>
  </si>
  <si>
    <t>Philadelphia</t>
  </si>
  <si>
    <t>könnten</t>
  </si>
  <si>
    <t>niemals</t>
  </si>
  <si>
    <t>erlauben</t>
  </si>
  <si>
    <t>Washington</t>
  </si>
  <si>
    <t>treibt</t>
  </si>
  <si>
    <t># text = Diese Paralyse, die Untätigkeit.</t>
  </si>
  <si>
    <t>Untätigkeit</t>
  </si>
  <si>
    <t># text = Warum?</t>
  </si>
  <si>
    <t>pron.pint</t>
  </si>
  <si>
    <t># text = Weil Schlaglöcher gefüllt werden müssen.</t>
  </si>
  <si>
    <t>Weil</t>
  </si>
  <si>
    <t>Schlaglöcher</t>
  </si>
  <si>
    <t>gefüllt</t>
  </si>
  <si>
    <t># text = Weil Züge fahren müssen.</t>
  </si>
  <si>
    <t>Züge</t>
  </si>
  <si>
    <t># text = Weil Kinder in die Schule müssen.</t>
  </si>
  <si>
    <t>Kinder</t>
  </si>
  <si>
    <t># text = Das müssen wir tun.</t>
  </si>
  <si>
    <t># text = Es geht um den Pragmatismus in dem tiefgründigen, amerikanischen Sinn, der Ergebnisse erzielt.</t>
  </si>
  <si>
    <t>Pragmatismus</t>
  </si>
  <si>
    <t>tiefgründigen</t>
  </si>
  <si>
    <t>amerikanischen</t>
  </si>
  <si>
    <t>Ergebnisse</t>
  </si>
  <si>
    <t>erzielt</t>
  </si>
  <si>
    <t># text = Washington, Peking, Paris, die Hauptstädte der Welt, sind alles andere als pragmatisch.</t>
  </si>
  <si>
    <t>Paris</t>
  </si>
  <si>
    <t>Hauptstädte</t>
  </si>
  <si>
    <t>pragmatisch</t>
  </si>
  <si>
    <t># text = Jedoch waschechte Bürgermeister müssen Pragmatiker sein.</t>
  </si>
  <si>
    <t>Jedoch</t>
  </si>
  <si>
    <t>waschechte</t>
  </si>
  <si>
    <t># text = Sie müssen die Dinge erledigen.</t>
  </si>
  <si>
    <t># text = Sie müssen ihre Ideologie, Religion und Ethnizität beiseite legen und ihre Städte zusammenhalten.</t>
  </si>
  <si>
    <t>ihre</t>
  </si>
  <si>
    <t>Religion</t>
  </si>
  <si>
    <t>Ethnizität</t>
  </si>
  <si>
    <t>beiseite</t>
  </si>
  <si>
    <t>zusammenhalten</t>
  </si>
  <si>
    <t># text = Wir haben dies schon vor Jahrzehnten gesehen, als Teddy Kollek, der großartige Bürgermeister von Jerusalem in den 80ern und 90ern, an einem Tag in seinem Büro von religiösen Anführern jeglicher Art belagert wurde.</t>
  </si>
  <si>
    <t>dies</t>
  </si>
  <si>
    <t>Jahrzehnten</t>
  </si>
  <si>
    <t>gesehen</t>
  </si>
  <si>
    <t>Teddy</t>
  </si>
  <si>
    <t>Kollek</t>
  </si>
  <si>
    <t>großartige</t>
  </si>
  <si>
    <t>Jerusalem</t>
  </si>
  <si>
    <t>80ern</t>
  </si>
  <si>
    <t>90ern</t>
  </si>
  <si>
    <t>Tag</t>
  </si>
  <si>
    <t>seinem</t>
  </si>
  <si>
    <t>Büro</t>
  </si>
  <si>
    <t>religiösen</t>
  </si>
  <si>
    <t>Anführern</t>
  </si>
  <si>
    <t>jeglicher</t>
  </si>
  <si>
    <t>Art</t>
  </si>
  <si>
    <t>belagert</t>
  </si>
  <si>
    <t># text = Christliche Prälaten, Rabbis und Imame.</t>
  </si>
  <si>
    <t>Christliche</t>
  </si>
  <si>
    <t>Prälaten</t>
  </si>
  <si>
    <t>Rabbis</t>
  </si>
  <si>
    <t>Imame</t>
  </si>
  <si>
    <t># text = Sie stritten miteinander über den Zugang zu den heiligen Orten.</t>
  </si>
  <si>
    <t>miteinander</t>
  </si>
  <si>
    <t>Zugang</t>
  </si>
  <si>
    <t>heiligen</t>
  </si>
  <si>
    <t># text = Als das Geplänkel immer weiter ging und Kollek immer länger zuhörte, sagte er letztendlich: „Meine Herrschaften, ersparen Sie mir Ihre Predigten und ich werde Ihre Kanalisation reparieren.“</t>
  </si>
  <si>
    <t>Geplänkel</t>
  </si>
  <si>
    <t>immer</t>
  </si>
  <si>
    <t>ging</t>
  </si>
  <si>
    <t>länger</t>
  </si>
  <si>
    <t>zuhörte</t>
  </si>
  <si>
    <t>er</t>
  </si>
  <si>
    <t>„</t>
  </si>
  <si>
    <t>Meine</t>
  </si>
  <si>
    <t>Herrschaften</t>
  </si>
  <si>
    <t>ersparen</t>
  </si>
  <si>
    <t>Ihre</t>
  </si>
  <si>
    <t>Predigten</t>
  </si>
  <si>
    <t>werde</t>
  </si>
  <si>
    <t>Kanalisation</t>
  </si>
  <si>
    <t>“</t>
  </si>
  <si>
    <t># text = (Gelächter) Genau das tun Bürgermeister.</t>
  </si>
  <si>
    <t>Gelächter</t>
  </si>
  <si>
    <t>Genau</t>
  </si>
  <si>
    <t># text = Sie reparieren die Kanalisation, sie bringen Züge zum Laufen.</t>
  </si>
  <si>
    <t>bringen</t>
  </si>
  <si>
    <t>Laufen</t>
  </si>
  <si>
    <t># text = Es gibt keinen linken oder rechten Weg dafür.</t>
  </si>
  <si>
    <t>keinen</t>
  </si>
  <si>
    <t>linken</t>
  </si>
  <si>
    <t>rechten</t>
  </si>
  <si>
    <t>Weg</t>
  </si>
  <si>
    <t>dafür</t>
  </si>
  <si>
    <t># text = Boris Johnson in London beschreibt sich als ‚Anarcho-Tory‘.</t>
  </si>
  <si>
    <t>Boris</t>
  </si>
  <si>
    <t>Johnson</t>
  </si>
  <si>
    <t>London</t>
  </si>
  <si>
    <t>beschreibt</t>
  </si>
  <si>
    <t>‚</t>
  </si>
  <si>
    <t>Anarcho</t>
  </si>
  <si>
    <t>Tory</t>
  </si>
  <si>
    <t>‘</t>
  </si>
  <si>
    <t># text = Merkwürdiger Begriff, aber irgendwie zutreffend.</t>
  </si>
  <si>
    <t>Merkwürdiger</t>
  </si>
  <si>
    <t>aber</t>
  </si>
  <si>
    <t>irgendwie</t>
  </si>
  <si>
    <t>zutreffend</t>
  </si>
  <si>
    <t># text = Er ist libertär und ein Anarchist.</t>
  </si>
  <si>
    <t>Er</t>
  </si>
  <si>
    <t>libertär</t>
  </si>
  <si>
    <t>Anarchist</t>
  </si>
  <si>
    <t># text = Er fährt mit dem Fahrrad zur Arbeit und ist trotzdem in mancher Hinsicht ein Konservativer.</t>
  </si>
  <si>
    <t>fährt</t>
  </si>
  <si>
    <t>Fahrrad</t>
  </si>
  <si>
    <t>Arbeit</t>
  </si>
  <si>
    <t>trotzdem</t>
  </si>
  <si>
    <t>mancher</t>
  </si>
  <si>
    <t>Hinsicht</t>
  </si>
  <si>
    <t>Konservativer</t>
  </si>
  <si>
    <t># text = Bloomberg in New York war ein Demokrat, dann Republikaner und letztendlich wurde er unabhängig.</t>
  </si>
  <si>
    <t>Bloomberg</t>
  </si>
  <si>
    <t>New</t>
  </si>
  <si>
    <t>York</t>
  </si>
  <si>
    <t>war</t>
  </si>
  <si>
    <t>Demokrat</t>
  </si>
  <si>
    <t>Republikaner</t>
  </si>
  <si>
    <t>unabhängig</t>
  </si>
  <si>
    <t># text = Er sagte: Das Partei-Etikett ist hinderlich.</t>
  </si>
  <si>
    <t>Etikett</t>
  </si>
  <si>
    <t>hinderlich</t>
  </si>
  <si>
    <t># text = Luschkov war 20 Jahre Bürgermeister von Moskau.</t>
  </si>
  <si>
    <t>Luschkov</t>
  </si>
  <si>
    <t>Jahre</t>
  </si>
  <si>
    <t>Moskau</t>
  </si>
  <si>
    <t># text = Obwohl er dabei half, die Partei Putins zu gründen, ließ er sich nicht durch die Partei definieren.</t>
  </si>
  <si>
    <t>Obwohl</t>
  </si>
  <si>
    <t>dabei</t>
  </si>
  <si>
    <t>half</t>
  </si>
  <si>
    <t>Putins</t>
  </si>
  <si>
    <t>ließ</t>
  </si>
  <si>
    <t>durch</t>
  </si>
  <si>
    <t>definieren</t>
  </si>
  <si>
    <t># text = Letztendlich verlor er seinen Job nicht unter Breschnew, nicht unter Gorbatschow, sondern unter Putin, der einen treueren Parteianhänger wollte.</t>
  </si>
  <si>
    <t>Letztendlich</t>
  </si>
  <si>
    <t>verlor</t>
  </si>
  <si>
    <t>seinen</t>
  </si>
  <si>
    <t>unter</t>
  </si>
  <si>
    <t>Breschnew</t>
  </si>
  <si>
    <t>Gorbatschow</t>
  </si>
  <si>
    <t>einen</t>
  </si>
  <si>
    <t>treueren</t>
  </si>
  <si>
    <t>Parteianhänger</t>
  </si>
  <si>
    <t>wollte</t>
  </si>
  <si>
    <t># text = Bürgermeister sind also Pragmatiker und Problemlöser.</t>
  </si>
  <si>
    <t>also</t>
  </si>
  <si>
    <t># text = Sie packen Dinge an.</t>
  </si>
  <si>
    <t># text = Zweitens: Ein Bürgermeister ist -- und deshalb nenne ich sie gerne "Homeboys", oder die Bürgermeisterinnen: "Homies".</t>
  </si>
  <si>
    <t>Zweitens</t>
  </si>
  <si>
    <t>Ein</t>
  </si>
  <si>
    <t>deshalb</t>
  </si>
  <si>
    <t>nenne</t>
  </si>
  <si>
    <t>gerne</t>
  </si>
  <si>
    <t>Homeboys</t>
  </si>
  <si>
    <t>Bürgermeisterinnen</t>
  </si>
  <si>
    <t>Homies</t>
  </si>
  <si>
    <t># text = Sie kommen aus der Nachbarschaft.</t>
  </si>
  <si>
    <t>Nachbarschaft</t>
  </si>
  <si>
    <t># text = Sie sind Nachbarschaft, man kennt sie.</t>
  </si>
  <si>
    <t>kennt</t>
  </si>
  <si>
    <t># text = Ed Koch lief manchmal durch New York City und fragte: „Wie mache ich mich?“</t>
  </si>
  <si>
    <t>Ed</t>
  </si>
  <si>
    <t>Koch</t>
  </si>
  <si>
    <t>lief</t>
  </si>
  <si>
    <t>fragte</t>
  </si>
  <si>
    <t>mache</t>
  </si>
  <si>
    <t>mich</t>
  </si>
  <si>
    <t># text = Stellen Sie sich nur David Cameron vor, wie er durch das Vereinigte Königreich spaziert und fragt: „Wie mache ich mich?“</t>
  </si>
  <si>
    <t>Stellen</t>
  </si>
  <si>
    <t>David</t>
  </si>
  <si>
    <t>Cameron</t>
  </si>
  <si>
    <t>Vereinigte</t>
  </si>
  <si>
    <t>Königreich</t>
  </si>
  <si>
    <t>spaziert</t>
  </si>
  <si>
    <t>fragt</t>
  </si>
  <si>
    <t># text = Er würde die Antwort nicht mögen.</t>
  </si>
  <si>
    <t>würde</t>
  </si>
  <si>
    <t>Antwort</t>
  </si>
  <si>
    <t># text = Oder Putin.</t>
  </si>
  <si>
    <t>Oder</t>
  </si>
  <si>
    <t># text = Oder irgendein anderer Staatschef.</t>
  </si>
  <si>
    <t>irgendein</t>
  </si>
  <si>
    <t>anderer</t>
  </si>
  <si>
    <t># text = Koch konnte das, weil er die New Yorker kannte, und sie kannten ihn.</t>
  </si>
  <si>
    <t>konnte</t>
  </si>
  <si>
    <t>weil</t>
  </si>
  <si>
    <t>Yorker</t>
  </si>
  <si>
    <t>kannte</t>
  </si>
  <si>
    <t>kannten</t>
  </si>
  <si>
    <t>ihn</t>
  </si>
  <si>
    <t># text = Normalerweise kommen Bürgermeister aus der Gegend, die sie regieren.</t>
  </si>
  <si>
    <t>Normalerweise</t>
  </si>
  <si>
    <t>Gegend</t>
  </si>
  <si>
    <t># text = Es ist schwierig, als dahergereister Politiker Bürgermeister zu werden.</t>
  </si>
  <si>
    <t>schwierig</t>
  </si>
  <si>
    <t>dahergereister</t>
  </si>
  <si>
    <t>Politiker</t>
  </si>
  <si>
    <t># text = Man kann in einem anderen Bundesstaat als Senator kandidieren, doch für Bürgermeister ist das schwierig.</t>
  </si>
  <si>
    <t>Man</t>
  </si>
  <si>
    <t>kann</t>
  </si>
  <si>
    <t>Bundesstaat</t>
  </si>
  <si>
    <t>Senator</t>
  </si>
  <si>
    <t>doch</t>
  </si>
  <si>
    <t># text = Aus diesem Grund genießen Bürgermeister, Stadträte und Kommunalpolitiker ein höheres Maß an Vertrauen.</t>
  </si>
  <si>
    <t>Aus</t>
  </si>
  <si>
    <t>diesem</t>
  </si>
  <si>
    <t>Grund</t>
  </si>
  <si>
    <t>genießen</t>
  </si>
  <si>
    <t>Stadträte</t>
  </si>
  <si>
    <t>Kommunalpolitiker</t>
  </si>
  <si>
    <t>höheres</t>
  </si>
  <si>
    <t>Vertrauen</t>
  </si>
  <si>
    <t># text = Ein dritter Aspekt, in dem sich Bürgermeister von nationalen Regierungs- Offiziellen unterscheiden:</t>
  </si>
  <si>
    <t>dritter</t>
  </si>
  <si>
    <t>Regierungs</t>
  </si>
  <si>
    <t>Offiziellen</t>
  </si>
  <si>
    <t>unterscheiden</t>
  </si>
  <si>
    <t># text = In den USA kennen wir die erbärmlichen Zahlen: 18 Prozent der Amerikaner heißen den Kongress und was er tut, gut.</t>
  </si>
  <si>
    <t>USA</t>
  </si>
  <si>
    <t>erbärmlichen</t>
  </si>
  <si>
    <t>Zahlen</t>
  </si>
  <si>
    <t>Amerikaner</t>
  </si>
  <si>
    <t>heißen</t>
  </si>
  <si>
    <t>Kongress</t>
  </si>
  <si>
    <t>tut</t>
  </si>
  <si>
    <t>gut</t>
  </si>
  <si>
    <t># text = Sogar bei einem relativ beliebten Präsidenten wie Obama ist die Wahlbeteiligung 40, 45, höchstens 50 Prozent.</t>
  </si>
  <si>
    <t>Sogar</t>
  </si>
  <si>
    <t>relativ</t>
  </si>
  <si>
    <t>beliebten</t>
  </si>
  <si>
    <t>Obama</t>
  </si>
  <si>
    <t>Wahlbeteiligung</t>
  </si>
  <si>
    <t>höchstens</t>
  </si>
  <si>
    <t># text = Dem Obersten Gerichtshof wird nicht mehr so vertraut wie früher.</t>
  </si>
  <si>
    <t>Dem</t>
  </si>
  <si>
    <t>Obersten</t>
  </si>
  <si>
    <t>Gerichtshof</t>
  </si>
  <si>
    <t>früher</t>
  </si>
  <si>
    <t># text = Doch wenn man die Frage stellt: Vertrauen Sie Ihrem Stadtrat?</t>
  </si>
  <si>
    <t>Doch</t>
  </si>
  <si>
    <t>Ihrem</t>
  </si>
  <si>
    <t>Stadtrat</t>
  </si>
  <si>
    <t># text = Vertrauen Sie Ihrem Bürgermeister?</t>
  </si>
  <si>
    <t># text = schießen die Zahlen in die Höhe bis zu 70, 75 oder sogar 80 Prozent.</t>
  </si>
  <si>
    <t>schießen</t>
  </si>
  <si>
    <t>Höhe</t>
  </si>
  <si>
    <t>bis</t>
  </si>
  <si>
    <t>sogar</t>
  </si>
  <si>
    <t># text = Weil sie aus der Nachbarschaft sind.</t>
  </si>
  <si>
    <t># text = Weil sie mit ihren Nachbarn arbeiten.</t>
  </si>
  <si>
    <t>Nachbarn</t>
  </si>
  <si>
    <t># text = Weil sie, wie Bürgermeister Booker aus Newark, aus ihrem Auto steigen, um Menschen aus einem brennenden Gebäude zu retten -- das passierte Bürgermeister Booker -- oder bei einem Straßenraub einschreiten, weil sie es mitbekommen.</t>
  </si>
  <si>
    <t>Booker</t>
  </si>
  <si>
    <t>Newark</t>
  </si>
  <si>
    <t>ihrem</t>
  </si>
  <si>
    <t>Auto</t>
  </si>
  <si>
    <t>brennenden</t>
  </si>
  <si>
    <t>Gebäude</t>
  </si>
  <si>
    <t>retten</t>
  </si>
  <si>
    <t>passierte</t>
  </si>
  <si>
    <t>Straßenraub</t>
  </si>
  <si>
    <t>einschreiten</t>
  </si>
  <si>
    <t>mitbekommen</t>
  </si>
  <si>
    <t># text = Kein Staatschef dürfte das, wegen der Sicherheitsbestimmungen oder sie kommen gar nicht in eine solche Lage.</t>
  </si>
  <si>
    <t>Kein</t>
  </si>
  <si>
    <t>dürfte</t>
  </si>
  <si>
    <t>wegen</t>
  </si>
  <si>
    <t>Sicherheitsbestimmungen</t>
  </si>
  <si>
    <t>gar</t>
  </si>
  <si>
    <t>solche</t>
  </si>
  <si>
    <t>Lage</t>
  </si>
  <si>
    <t># text = Dieser Unterschied entspringt direkt aus dem Charakter der Städte selbst.</t>
  </si>
  <si>
    <t>Dieser</t>
  </si>
  <si>
    <t>Unterschied</t>
  </si>
  <si>
    <t>entspringt</t>
  </si>
  <si>
    <t>direkt</t>
  </si>
  <si>
    <t>Charakter</t>
  </si>
  <si>
    <t>selbst</t>
  </si>
  <si>
    <t># text = Städte sind zutiefst multikulturell, offen, teilnehmend, demokratisch, zur Zusammenarbeit fähig.</t>
  </si>
  <si>
    <t>zutiefst</t>
  </si>
  <si>
    <t>multikulturell</t>
  </si>
  <si>
    <t>offen</t>
  </si>
  <si>
    <t>teilnehmend</t>
  </si>
  <si>
    <t>demokratisch</t>
  </si>
  <si>
    <t>Zusammenarbeit</t>
  </si>
  <si>
    <t>fähig</t>
  </si>
  <si>
    <t># text = Wenn Staaten aufeinander treffen, wie China und die USA, dann handeln sie etwa so.</t>
  </si>
  <si>
    <t>aufeinander</t>
  </si>
  <si>
    <t>treffen</t>
  </si>
  <si>
    <t>China</t>
  </si>
  <si>
    <t>etwa</t>
  </si>
  <si>
    <t># text = Wenn Städte aufeinander eingehen, dann tun sie das eher so.</t>
  </si>
  <si>
    <t>eingehen</t>
  </si>
  <si>
    <t>eher</t>
  </si>
  <si>
    <t># text = China und die USA sind, trotz des jüngsten Gipfeltreffens in Kalifornien, gefangen in Wut, Missgunst und Rivalität um den ersten Platz.</t>
  </si>
  <si>
    <t>trotz</t>
  </si>
  <si>
    <t>jüngsten</t>
  </si>
  <si>
    <t>Gipfeltreffens</t>
  </si>
  <si>
    <t>Kalifornien</t>
  </si>
  <si>
    <t>gefangen</t>
  </si>
  <si>
    <t>Wut</t>
  </si>
  <si>
    <t>Missgunst</t>
  </si>
  <si>
    <t>Rivalität</t>
  </si>
  <si>
    <t># text = Viele wollen die Nummer eins sein.</t>
  </si>
  <si>
    <t>Viele</t>
  </si>
  <si>
    <t>Nummer</t>
  </si>
  <si>
    <t>eins</t>
  </si>
  <si>
    <t># text = Städte machen sich darüber keine Gedanken.</t>
  </si>
  <si>
    <t>keine</t>
  </si>
  <si>
    <t>Gedanken</t>
  </si>
  <si>
    <t># text = Sie müssen zusammenarbeiten und sie tun es auch.</t>
  </si>
  <si>
    <t># text = Sie arbeiten zum Beispiel gemeinsam gegen den Klimawandel.</t>
  </si>
  <si>
    <t>Beispiel</t>
  </si>
  <si>
    <t># text = Organisationen wie C40 und die bereits erwähnte ICLEI, haben schon viele Jahre vor Kopenhagen miteinander gearbeitet.</t>
  </si>
  <si>
    <t>Organisationen</t>
  </si>
  <si>
    <t>C40</t>
  </si>
  <si>
    <t>erwähnte</t>
  </si>
  <si>
    <t>Kopenhagen</t>
  </si>
  <si>
    <t>gearbeitet</t>
  </si>
  <si>
    <t># text = In Kopenhagen, vor etwa vier oder fünf Jahren, kamen 184 Nationen zusammen und erklärten einander, warum ihre Souveränität es ihnen nicht erlaubt, sich mit der sehr ernsten Krise des Klimawandels zu beschäftigen.</t>
  </si>
  <si>
    <t>fünf</t>
  </si>
  <si>
    <t>kamen</t>
  </si>
  <si>
    <t>184</t>
  </si>
  <si>
    <t>zusammen</t>
  </si>
  <si>
    <t>erklärten</t>
  </si>
  <si>
    <t>einander</t>
  </si>
  <si>
    <t>Souveränität</t>
  </si>
  <si>
    <t>ihnen</t>
  </si>
  <si>
    <t>erlaubt</t>
  </si>
  <si>
    <t>ernsten</t>
  </si>
  <si>
    <t>Krise</t>
  </si>
  <si>
    <t>Klimawandels</t>
  </si>
  <si>
    <t># text = Doch dem Bürgermeister Kopenhagens gelang es, 200 Bürgermeister zusammenzurufen.</t>
  </si>
  <si>
    <t>def-np.poss</t>
  </si>
  <si>
    <t>Kopenhagens</t>
  </si>
  <si>
    <t>gelang</t>
  </si>
  <si>
    <t>200</t>
  </si>
  <si>
    <t>zusammenzurufen</t>
  </si>
  <si>
    <t># text = Sie kamen, sie blieben und fanden neue Wege, und finden noch immer Wege der Zusammenarbeit.</t>
  </si>
  <si>
    <t>blieben</t>
  </si>
  <si>
    <t>fanden</t>
  </si>
  <si>
    <t>Wege</t>
  </si>
  <si>
    <t>finden</t>
  </si>
  <si>
    <t>noch</t>
  </si>
  <si>
    <t># text = Unmittelbar und durch Städte-Organisationen.</t>
  </si>
  <si>
    <t>Unmittelbar</t>
  </si>
  <si>
    <t># text = 80 Prozent der Kohlenstoffemissionen kommen aus Städten.</t>
  </si>
  <si>
    <t>Kohlenstoffemissionen</t>
  </si>
  <si>
    <t># text = Also sind Städte in der Position, das Emissionsproblem oder einen Großteil davon, zu lösen.</t>
  </si>
  <si>
    <t>Position</t>
  </si>
  <si>
    <t>Emissionsproblem</t>
  </si>
  <si>
    <t>Großteil</t>
  </si>
  <si>
    <t>davon</t>
  </si>
  <si>
    <t># text = Unabhängig davon, ob die Staaten, zu denen sie gehören, Abkommen dazu vereinbaren.</t>
  </si>
  <si>
    <t>Unabhängig</t>
  </si>
  <si>
    <t>ob</t>
  </si>
  <si>
    <t>gehören</t>
  </si>
  <si>
    <t>Abkommen</t>
  </si>
  <si>
    <t>dazu</t>
  </si>
  <si>
    <t>vereinbaren</t>
  </si>
  <si>
    <t># text = Und sie tun es auch.</t>
  </si>
  <si>
    <t># text = Los Angeles hat seinen Hafen gereinigt, der 40 Prozent der Emissionen erzeugte.</t>
  </si>
  <si>
    <t>Los</t>
  </si>
  <si>
    <t>Angeles</t>
  </si>
  <si>
    <t>hat</t>
  </si>
  <si>
    <t>Hafen</t>
  </si>
  <si>
    <t>gereinigt</t>
  </si>
  <si>
    <t>Emissionen</t>
  </si>
  <si>
    <t>erzeugte</t>
  </si>
  <si>
    <t># text = und hat damit 20 Prozent der Kohlenstoffemissionen reduziert.</t>
  </si>
  <si>
    <t>damit</t>
  </si>
  <si>
    <t>reduziert</t>
  </si>
  <si>
    <t># text = New York hat ein Sanierungsprogramm für Altbauten, damit sie für den Winter besser isoliert sind und im Sommer keine Energie verlieren und die Klimaanlage dicht ist.</t>
  </si>
  <si>
    <t>Sanierungsprogramm</t>
  </si>
  <si>
    <t>Altbauten</t>
  </si>
  <si>
    <t>Winter</t>
  </si>
  <si>
    <t>besser</t>
  </si>
  <si>
    <t>isoliert</t>
  </si>
  <si>
    <t>Sommer</t>
  </si>
  <si>
    <t>Energie</t>
  </si>
  <si>
    <t>Klimaanlage</t>
  </si>
  <si>
    <t>dicht</t>
  </si>
  <si>
    <t># text = Das hat viel ausgemacht.</t>
  </si>
  <si>
    <t>ausgemacht</t>
  </si>
  <si>
    <t># text = In Bogotá hat Bürgermeister Mockus in seiner Amtszeit ein Transportsystem bauen lassen, um Energie zu sparen.</t>
  </si>
  <si>
    <t>Bogotá</t>
  </si>
  <si>
    <t>Mockus</t>
  </si>
  <si>
    <t>seiner</t>
  </si>
  <si>
    <t>Amtszeit</t>
  </si>
  <si>
    <t>Transportsystem</t>
  </si>
  <si>
    <t>sparen</t>
  </si>
  <si>
    <t># text = Normale Busse fahren praktisch wie U-Bahnen.</t>
  </si>
  <si>
    <t>Normale</t>
  </si>
  <si>
    <t>Busse</t>
  </si>
  <si>
    <t>praktisch</t>
  </si>
  <si>
    <t>U</t>
  </si>
  <si>
    <t>Bahnen</t>
  </si>
  <si>
    <t># text = Schnellbusse mit eigenen Fahrspuren.</t>
  </si>
  <si>
    <t>Fahrspuren</t>
  </si>
  <si>
    <t># text = Es half der Arbeitslosigkeit, da Menschen nun besser durch die Stadt kamen, und es hatte einen großen Einfluss auf das Klima und viele andere Dinge.</t>
  </si>
  <si>
    <t>Arbeitslosigkeit</t>
  </si>
  <si>
    <t>da</t>
  </si>
  <si>
    <t>nun</t>
  </si>
  <si>
    <t>hatte</t>
  </si>
  <si>
    <t>großen</t>
  </si>
  <si>
    <t>Einfluss</t>
  </si>
  <si>
    <t>Klima</t>
  </si>
  <si>
    <t># text = Singapur baute zusammen mit den Hochhäusern und den bemerkenswerten Sozialwohnungen eine Insel mit Parkanlagen und wenn Sie dort sind, sehen Sie, wie viele Grünflächen und Parks es dort gibt.</t>
  </si>
  <si>
    <t>Singapur</t>
  </si>
  <si>
    <t>baute</t>
  </si>
  <si>
    <t>Hochhäusern</t>
  </si>
  <si>
    <t>bemerkenswerten</t>
  </si>
  <si>
    <t>Sozialwohnungen</t>
  </si>
  <si>
    <t>Insel</t>
  </si>
  <si>
    <t>Parkanlagen</t>
  </si>
  <si>
    <t>dort</t>
  </si>
  <si>
    <t>Grünflächen</t>
  </si>
  <si>
    <t>Parks</t>
  </si>
  <si>
    <t># text = Das machen Städte und zwar nicht alleine.</t>
  </si>
  <si>
    <t>zwar</t>
  </si>
  <si>
    <t>alleine</t>
  </si>
  <si>
    <t># text = Sie tun es gemeinsam.</t>
  </si>
  <si>
    <t># text = Sie tauschen ihre Pläne aus und sie erreichen so viel durch den Austausch ihrer Erfolgsrezepte.</t>
  </si>
  <si>
    <t>Pläne</t>
  </si>
  <si>
    <t>erreichen</t>
  </si>
  <si>
    <t>Austausch</t>
  </si>
  <si>
    <t>ihrer</t>
  </si>
  <si>
    <t># text = Viele von ihnen kennen Fahrradverleihsysteme.</t>
  </si>
  <si>
    <t>Fahrradverleihsysteme</t>
  </si>
  <si>
    <t># text = Sie wurden vor 20 oder 30 Jahren in Lateinamerika eingeführt.</t>
  </si>
  <si>
    <t>Lateinamerika</t>
  </si>
  <si>
    <t>eingeführt</t>
  </si>
  <si>
    <t># text = Es gibt sie nun in hunderten Städten auf der ganzen Welt.</t>
  </si>
  <si>
    <t>hunderten</t>
  </si>
  <si>
    <t>ganzen</t>
  </si>
  <si>
    <t># text = Fußgängerzonen, Mautsysteme, Emissionsgrenzen wie in den Städten Kaliforniens.</t>
  </si>
  <si>
    <t>Fußgängerzonen</t>
  </si>
  <si>
    <t>Mautsysteme</t>
  </si>
  <si>
    <t>Emissionsgrenzen</t>
  </si>
  <si>
    <t>Kaliforniens</t>
  </si>
  <si>
    <t># text = Es gibt so vieles, was Städte tun können, selbst dann, wenn undurchsichtige, sture Nationen sich weigern zu handeln.</t>
  </si>
  <si>
    <t>vieles</t>
  </si>
  <si>
    <t>undurchsichtige</t>
  </si>
  <si>
    <t>sture</t>
  </si>
  <si>
    <t>weigern</t>
  </si>
  <si>
    <t># text = Was lernen wir daraus?</t>
  </si>
  <si>
    <t>Was</t>
  </si>
  <si>
    <t>daraus</t>
  </si>
  <si>
    <t># text = Politisch leben wir noch immer in einer Welt mit Grenzen, einer Welt mit Mauern, einer Welt, in der Staaten sich weigern, gemeinsam zu handeln.</t>
  </si>
  <si>
    <t>Politisch</t>
  </si>
  <si>
    <t>Mauern</t>
  </si>
  <si>
    <t>SBJ_6</t>
  </si>
  <si>
    <t># text = Doch unsere tagtägliche Wirklichkeit ist eine Welt ohne Grenzen.</t>
  </si>
  <si>
    <t>tagtägliche</t>
  </si>
  <si>
    <t>Wirklichkeit</t>
  </si>
  <si>
    <t># text = Eine Welt der Krankheiten ohne Grenzen und Ärzte ohne Grenzen.</t>
  </si>
  <si>
    <t>Krankheiten</t>
  </si>
  <si>
    <t>Ärzte</t>
  </si>
  <si>
    <t># text = Maladies sans frontiéres, Médecins Sans Frontiéres.</t>
  </si>
  <si>
    <t>Maladies</t>
  </si>
  <si>
    <t>sans</t>
  </si>
  <si>
    <t>frontiéres</t>
  </si>
  <si>
    <t>Médecins</t>
  </si>
  <si>
    <t>Sans</t>
  </si>
  <si>
    <t>Frontiéres</t>
  </si>
  <si>
    <t># text = Eine Welt der Wirtschaft und Technologie ohne Grenzen, der Bildung ohne Grenzen, des Terrorismus und Krieges ohne Grenzen.</t>
  </si>
  <si>
    <t>Technologie</t>
  </si>
  <si>
    <t>Bildung</t>
  </si>
  <si>
    <t>other_6</t>
  </si>
  <si>
    <t>Krieges</t>
  </si>
  <si>
    <t># text = Das ist die reale Welt und wenn wir keinen Weg finden, um die Demokratie zu globalisieren oder die Globalisierung zu demokratisieren, dann steigt nicht nur das Risiko, dass wir bei der Bewältigung dieser transnationalen Probleme versagen, sondern auch, dass wir die Demokratie selbst verlieren.</t>
  </si>
  <si>
    <t>reale</t>
  </si>
  <si>
    <t>globalisieren</t>
  </si>
  <si>
    <t>Globalisierung</t>
  </si>
  <si>
    <t>demokratisieren</t>
  </si>
  <si>
    <t>steigt</t>
  </si>
  <si>
    <t>Risiko</t>
  </si>
  <si>
    <t>Bewältigung</t>
  </si>
  <si>
    <t>versagen</t>
  </si>
  <si>
    <t># text = Gefangen in der Schachtel der alten Nationalstaaten, nicht imstande, die globalen Probleme demokratisch zu lösen.</t>
  </si>
  <si>
    <t>Gefangen</t>
  </si>
  <si>
    <t>Schachtel</t>
  </si>
  <si>
    <t>alten</t>
  </si>
  <si>
    <t>imstande</t>
  </si>
  <si>
    <t># text = Wie verbleiben wir?</t>
  </si>
  <si>
    <t># text = Ich sage es Ihnen.</t>
  </si>
  <si>
    <t>Ihnen</t>
  </si>
  <si>
    <t># text = Der Weg zur globalen Demokratie führt nicht durch die Staaten.</t>
  </si>
  <si>
    <t>Der</t>
  </si>
  <si>
    <t>führt</t>
  </si>
  <si>
    <t># text = Er führt durch Städte.</t>
  </si>
  <si>
    <t># text = Die Demokratie wurde in der antiken Polis geboren.</t>
  </si>
  <si>
    <t>antiken</t>
  </si>
  <si>
    <t>Polis</t>
  </si>
  <si>
    <t># text = Ich glaube, sie kann in der globalen Kosmopolis wiedergeboren werden.</t>
  </si>
  <si>
    <t>glaube</t>
  </si>
  <si>
    <t>Kosmopolis</t>
  </si>
  <si>
    <t>wiedergeboren</t>
  </si>
  <si>
    <t># text = Auf dieser Reise von Polis zu Kosmopolis können wir die Macht der Demokratie wieder entdecken auf einer globalen Ebene.</t>
  </si>
  <si>
    <t>Auf</t>
  </si>
  <si>
    <t>Reise</t>
  </si>
  <si>
    <t>Macht</t>
  </si>
  <si>
    <t>wieder</t>
  </si>
  <si>
    <t>Ebene</t>
  </si>
  <si>
    <t># text = Einen Völkerbund können wir nicht kreieren.</t>
  </si>
  <si>
    <t>Einen</t>
  </si>
  <si>
    <t>Völkerbund</t>
  </si>
  <si>
    <t># text = Das ist gescheitert.</t>
  </si>
  <si>
    <t>gescheitert</t>
  </si>
  <si>
    <t># text = Aber einen Städtebund.</t>
  </si>
  <si>
    <t>Aber</t>
  </si>
  <si>
    <t># text = Keine Vereinten oder Un-Vereinten Nationen, sondern die Vereinten Städte der Welt.</t>
  </si>
  <si>
    <t>Keine</t>
  </si>
  <si>
    <t>Vereinten</t>
  </si>
  <si>
    <t>Un</t>
  </si>
  <si>
    <t># text = Wir können ein globales Bürgermeisterparlament gründen.</t>
  </si>
  <si>
    <t>globales</t>
  </si>
  <si>
    <t>Bürgermeisterparlament</t>
  </si>
  <si>
    <t># text = Das wäre eine Idee.</t>
  </si>
  <si>
    <t>wäre</t>
  </si>
  <si>
    <t>Idee</t>
  </si>
  <si>
    <t># text = Es ist nicht nur mein Konzept der zukünftigen Welt, sondern wird bereits in Erwägung gezogen in Seoul, Korea, in Amsterdam, in Hamburg und in New York.</t>
  </si>
  <si>
    <t>mein</t>
  </si>
  <si>
    <t>Konzept</t>
  </si>
  <si>
    <t>zukünftigen</t>
  </si>
  <si>
    <t>Erwägung</t>
  </si>
  <si>
    <t>gezogen</t>
  </si>
  <si>
    <t>Seoul</t>
  </si>
  <si>
    <t>Korea</t>
  </si>
  <si>
    <t>Amsterdam</t>
  </si>
  <si>
    <t>Hamburg</t>
  </si>
  <si>
    <t># text = Bürgermeister überlegen bereits, wie ein solches globales Bürgermeisterparlament umgesetzt werden kann.</t>
  </si>
  <si>
    <t>solches</t>
  </si>
  <si>
    <t>umgesetzt</t>
  </si>
  <si>
    <t># text = Ich liebe diese Idee, denn ein Bürgermeisterparlament ist ein Parlament der Bürger und ein Parlament der Bürger ist ein Parlament von uns, von Ihnen und mir.</t>
  </si>
  <si>
    <t>liebe</t>
  </si>
  <si>
    <t>denn</t>
  </si>
  <si>
    <t>Parlament</t>
  </si>
  <si>
    <t># text = Wenn es irgendwann Bürger ohne Grenzen gegeben hat, dann sind es, denke ich, die Bürger von TED, die sehr vielversprechende Bürger ohne Grenzen sind.</t>
  </si>
  <si>
    <t>irgendwann</t>
  </si>
  <si>
    <t>gegeben</t>
  </si>
  <si>
    <t>denke</t>
  </si>
  <si>
    <t>TED</t>
  </si>
  <si>
    <t>vielversprechende</t>
  </si>
  <si>
    <t># text = Ich bin bereit, die Hand auszustrecken, zu Gunsten einer neuen globalen Demokratie, um unsere Demokratie zurückzuerobern.</t>
  </si>
  <si>
    <t>bin</t>
  </si>
  <si>
    <t>bereit</t>
  </si>
  <si>
    <t>Hand</t>
  </si>
  <si>
    <t>auszustrecken</t>
  </si>
  <si>
    <t>Gunsten</t>
  </si>
  <si>
    <t>neuen</t>
  </si>
  <si>
    <t>zurückzuerobern</t>
  </si>
  <si>
    <t># text = Und die einzige Frage ist: Sind Sie es auch?</t>
  </si>
  <si>
    <t>einzige</t>
  </si>
  <si>
    <t>Sind</t>
  </si>
  <si>
    <t># text = Vielen Dank, meine Mitbürger.</t>
  </si>
  <si>
    <t>Vielen</t>
  </si>
  <si>
    <t>meine</t>
  </si>
  <si>
    <t>Mitbürger</t>
  </si>
  <si>
    <t># text = Danke.</t>
  </si>
  <si>
    <t>Danke</t>
  </si>
  <si>
    <t># text = (Beifall)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</si>
</sst>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82"/>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16</v>
      </c>
      <c r="C3" s="6" t="s">
        <v>12</v>
      </c>
      <c r="D3" s="7" t="s">
        <v>17</v>
      </c>
      <c r="E3" s="8" t="s">
        <v>18</v>
      </c>
      <c r="F3" s="6" t="s">
        <v>19</v>
      </c>
      <c r="G3" s="9">
        <f>IF(A3=1,"_",IF(C3="_","???",C3))</f>
        <v/>
      </c>
      <c r="H3" s="10" t="s">
        <v>12</v>
      </c>
      <c r="I3" s="11" t="s">
        <v>12</v>
      </c>
      <c r="J3" s="12"/>
    </row>
    <row r="4" spans="1:10" ht="60" customHeight="1">
      <c r="A4" s="6" t="s">
        <v>11</v>
      </c>
      <c r="B4" s="6" t="s">
        <v>20</v>
      </c>
      <c r="C4" s="6" t="s">
        <v>12</v>
      </c>
      <c r="D4" s="7" t="s">
        <v>21</v>
      </c>
      <c r="E4" s="8" t="s">
        <v>22</v>
      </c>
      <c r="F4" s="6" t="s">
        <v>23</v>
      </c>
      <c r="G4" s="9">
        <f>IF(A4=1,"_",IF(C4="_","???",C4))</f>
        <v/>
      </c>
      <c r="H4" s="10" t="s">
        <v>12</v>
      </c>
      <c r="I4" s="11" t="s">
        <v>12</v>
      </c>
      <c r="J4" s="12"/>
    </row>
    <row r="5" spans="1:10" ht="60" customHeight="1">
      <c r="A5" s="6" t="s">
        <v>24</v>
      </c>
      <c r="B5" s="6" t="s">
        <v>11</v>
      </c>
      <c r="C5" s="6" t="s">
        <v>12</v>
      </c>
      <c r="D5" s="7" t="s">
        <v>25</v>
      </c>
      <c r="E5" s="8" t="s">
        <v>26</v>
      </c>
      <c r="F5" s="6" t="s">
        <v>27</v>
      </c>
      <c r="G5" s="9">
        <f>IF(A5=1,"_",IF(C5="_","???",C5))</f>
        <v/>
      </c>
      <c r="H5" s="10" t="s">
        <v>12</v>
      </c>
      <c r="I5" s="11" t="s">
        <v>12</v>
      </c>
      <c r="J5" s="12"/>
    </row>
    <row r="6" spans="1:10" ht="60" customHeight="1">
      <c r="A6" s="6" t="s">
        <v>28</v>
      </c>
      <c r="B6" s="6" t="s">
        <v>16</v>
      </c>
      <c r="C6" s="6" t="s">
        <v>12</v>
      </c>
      <c r="D6" s="7" t="s">
        <v>29</v>
      </c>
      <c r="E6" s="8" t="s">
        <v>30</v>
      </c>
      <c r="F6" s="6" t="s">
        <v>31</v>
      </c>
      <c r="G6" s="9">
        <f>IF(A6=1,"_",IF(C6="_","???",C6))</f>
        <v/>
      </c>
      <c r="H6" s="10" t="s">
        <v>12</v>
      </c>
      <c r="I6" s="11" t="s">
        <v>12</v>
      </c>
      <c r="J6" s="12"/>
    </row>
    <row r="7" spans="1:10" ht="60" customHeight="1">
      <c r="A7" s="6" t="s">
        <v>32</v>
      </c>
      <c r="B7" s="6" t="s">
        <v>10</v>
      </c>
      <c r="C7" s="6" t="s">
        <v>12</v>
      </c>
      <c r="D7" s="7" t="s">
        <v>33</v>
      </c>
      <c r="E7" s="8" t="s">
        <v>34</v>
      </c>
      <c r="F7" s="6" t="s">
        <v>35</v>
      </c>
      <c r="G7" s="9">
        <f>IF(A7=1,"_",IF(C7="_","???",C7))</f>
        <v/>
      </c>
      <c r="H7" s="10" t="s">
        <v>12</v>
      </c>
      <c r="I7" s="11" t="s">
        <v>12</v>
      </c>
      <c r="J7" s="12"/>
    </row>
    <row r="8" spans="1:10" ht="60" customHeight="1">
      <c r="A8" s="6" t="s">
        <v>36</v>
      </c>
      <c r="B8" s="6" t="s">
        <v>37</v>
      </c>
      <c r="C8" s="6" t="s">
        <v>12</v>
      </c>
      <c r="D8" s="7" t="s">
        <v>38</v>
      </c>
      <c r="E8" s="8" t="s">
        <v>39</v>
      </c>
      <c r="F8" s="6" t="s">
        <v>40</v>
      </c>
      <c r="G8" s="9">
        <f>IF(A8=1,"_",IF(C8="_","???",C8))</f>
        <v/>
      </c>
      <c r="H8" s="10" t="s">
        <v>12</v>
      </c>
      <c r="I8" s="11" t="s">
        <v>12</v>
      </c>
      <c r="J8" s="12"/>
    </row>
    <row r="9" spans="1:10" ht="60" customHeight="1">
      <c r="A9" s="6" t="s">
        <v>41</v>
      </c>
      <c r="B9" s="6" t="s">
        <v>16</v>
      </c>
      <c r="C9" s="6" t="s">
        <v>12</v>
      </c>
      <c r="D9" s="7" t="s">
        <v>42</v>
      </c>
      <c r="E9" s="8" t="s">
        <v>43</v>
      </c>
      <c r="F9" s="6" t="s">
        <v>44</v>
      </c>
      <c r="G9" s="9">
        <f>IF(A9=1,"_",IF(C9="_","???",C9))</f>
        <v/>
      </c>
      <c r="H9" s="10" t="s">
        <v>12</v>
      </c>
      <c r="I9" s="11" t="s">
        <v>12</v>
      </c>
      <c r="J9" s="12"/>
    </row>
    <row r="10" spans="1:10" ht="60" customHeight="1">
      <c r="A10" s="6" t="s">
        <v>45</v>
      </c>
      <c r="B10" s="6" t="s">
        <v>16</v>
      </c>
      <c r="C10" s="6" t="s">
        <v>12</v>
      </c>
      <c r="D10" s="7" t="s">
        <v>46</v>
      </c>
      <c r="E10" s="8" t="s">
        <v>47</v>
      </c>
      <c r="F10" s="6" t="s">
        <v>48</v>
      </c>
      <c r="G10" s="9">
        <f>IF(A10=1,"_",IF(C10="_","???",C10))</f>
        <v/>
      </c>
      <c r="H10" s="10" t="s">
        <v>12</v>
      </c>
      <c r="I10" s="11" t="s">
        <v>12</v>
      </c>
      <c r="J10" s="12"/>
    </row>
    <row r="11" spans="1:10" ht="60" customHeight="1">
      <c r="A11" s="6" t="s">
        <v>49</v>
      </c>
      <c r="B11" s="6" t="s">
        <v>28</v>
      </c>
      <c r="C11" s="6" t="s">
        <v>12</v>
      </c>
      <c r="D11" s="7" t="s">
        <v>21</v>
      </c>
      <c r="E11" s="8" t="s">
        <v>50</v>
      </c>
      <c r="F11" s="6" t="s">
        <v>51</v>
      </c>
      <c r="G11" s="9">
        <f>IF(A11=1,"_",IF(C11="_","???",C11))</f>
        <v/>
      </c>
      <c r="H11" s="10" t="s">
        <v>12</v>
      </c>
      <c r="I11" s="11" t="s">
        <v>12</v>
      </c>
      <c r="J11" s="12"/>
    </row>
    <row r="12" spans="1:10" ht="60" customHeight="1">
      <c r="A12" s="6" t="s">
        <v>52</v>
      </c>
      <c r="B12" s="6" t="s">
        <v>10</v>
      </c>
      <c r="C12" s="6" t="s">
        <v>12</v>
      </c>
      <c r="D12" s="7" t="s">
        <v>33</v>
      </c>
      <c r="E12" s="8" t="s">
        <v>53</v>
      </c>
      <c r="F12" s="6" t="s">
        <v>54</v>
      </c>
      <c r="G12" s="9">
        <f>IF(A12=1,"_",IF(C12="_","???",C12))</f>
        <v/>
      </c>
      <c r="H12" s="10" t="s">
        <v>12</v>
      </c>
      <c r="I12" s="11" t="s">
        <v>12</v>
      </c>
      <c r="J12" s="12"/>
    </row>
    <row r="13" spans="1:10" ht="60" customHeight="1">
      <c r="A13" s="6" t="s">
        <v>55</v>
      </c>
      <c r="B13" s="6" t="s">
        <v>11</v>
      </c>
      <c r="C13" s="6" t="s">
        <v>12</v>
      </c>
      <c r="D13" s="7" t="s">
        <v>56</v>
      </c>
      <c r="E13" s="8" t="s">
        <v>57</v>
      </c>
      <c r="F13" s="6" t="s">
        <v>58</v>
      </c>
      <c r="G13" s="9">
        <f>IF(A13=1,"_",IF(C13="_","???",C13))</f>
        <v/>
      </c>
      <c r="H13" s="10" t="s">
        <v>12</v>
      </c>
      <c r="I13" s="11" t="s">
        <v>12</v>
      </c>
      <c r="J13" s="12"/>
    </row>
    <row r="14" spans="1:10" ht="60" customHeight="1">
      <c r="A14" s="6" t="s">
        <v>59</v>
      </c>
      <c r="B14" s="6" t="s">
        <v>36</v>
      </c>
      <c r="C14" s="6" t="s">
        <v>60</v>
      </c>
      <c r="D14" s="7" t="s">
        <v>61</v>
      </c>
      <c r="E14" s="8" t="s">
        <v>62</v>
      </c>
      <c r="F14" s="6" t="s">
        <v>63</v>
      </c>
      <c r="G14" s="9">
        <f>IF(A14=1,"_",IF(C14="_","???",C14))</f>
        <v/>
      </c>
      <c r="H14" s="10" t="s">
        <v>12</v>
      </c>
      <c r="I14" s="11" t="s">
        <v>12</v>
      </c>
      <c r="J14" s="12"/>
    </row>
    <row r="15" spans="1:10" ht="60" customHeight="1">
      <c r="A15" s="6" t="s">
        <v>64</v>
      </c>
      <c r="B15" s="6" t="s">
        <v>16</v>
      </c>
      <c r="C15" s="6" t="s">
        <v>12</v>
      </c>
      <c r="D15" s="7" t="s">
        <v>65</v>
      </c>
      <c r="E15" s="8" t="s">
        <v>66</v>
      </c>
      <c r="F15" s="6" t="s">
        <v>67</v>
      </c>
      <c r="G15" s="9">
        <f>IF(A15=1,"_",IF(C15="_","???",C15))</f>
        <v/>
      </c>
      <c r="H15" s="10" t="s">
        <v>12</v>
      </c>
      <c r="I15" s="11" t="s">
        <v>12</v>
      </c>
      <c r="J15" s="12"/>
    </row>
    <row r="16" spans="1:10" ht="60" customHeight="1">
      <c r="A16" s="6" t="s">
        <v>68</v>
      </c>
      <c r="B16" s="6" t="s">
        <v>45</v>
      </c>
      <c r="C16" s="6" t="s">
        <v>12</v>
      </c>
      <c r="D16" s="7" t="s">
        <v>69</v>
      </c>
      <c r="E16" s="8" t="s">
        <v>70</v>
      </c>
      <c r="F16" s="6" t="s">
        <v>71</v>
      </c>
      <c r="G16" s="9">
        <f>IF(A16=1,"_",IF(C16="_","???",C16))</f>
        <v/>
      </c>
      <c r="H16" s="10" t="s">
        <v>12</v>
      </c>
      <c r="I16" s="11" t="s">
        <v>12</v>
      </c>
      <c r="J16" s="12"/>
    </row>
    <row r="17" spans="1:10" ht="60" customHeight="1">
      <c r="A17" s="6" t="s">
        <v>72</v>
      </c>
      <c r="B17" s="6" t="s">
        <v>16</v>
      </c>
      <c r="C17" s="6" t="s">
        <v>12</v>
      </c>
      <c r="D17" s="7" t="s">
        <v>73</v>
      </c>
      <c r="E17" s="8" t="s">
        <v>74</v>
      </c>
      <c r="F17" s="6" t="s">
        <v>75</v>
      </c>
      <c r="G17" s="9">
        <f>IF(A17=1,"_",IF(C17="_","???",C17))</f>
        <v/>
      </c>
      <c r="H17" s="10" t="s">
        <v>12</v>
      </c>
      <c r="I17" s="11" t="s">
        <v>12</v>
      </c>
      <c r="J17" s="12"/>
    </row>
    <row r="18" spans="1:10" ht="60" customHeight="1">
      <c r="A18" s="6" t="s">
        <v>76</v>
      </c>
      <c r="B18" s="6" t="s">
        <v>28</v>
      </c>
      <c r="C18" s="6" t="s">
        <v>12</v>
      </c>
      <c r="D18" s="7" t="s">
        <v>77</v>
      </c>
      <c r="E18" s="8" t="s">
        <v>78</v>
      </c>
      <c r="F18" s="6" t="s">
        <v>79</v>
      </c>
      <c r="G18" s="9">
        <f>IF(A18=1,"_",IF(C18="_","???",C18))</f>
        <v/>
      </c>
      <c r="H18" s="10" t="s">
        <v>12</v>
      </c>
      <c r="I18" s="11" t="s">
        <v>12</v>
      </c>
      <c r="J18" s="12"/>
    </row>
    <row r="19" spans="1:10" ht="60" customHeight="1">
      <c r="A19" s="6" t="s">
        <v>37</v>
      </c>
      <c r="B19" s="6" t="s">
        <v>16</v>
      </c>
      <c r="C19" s="6" t="s">
        <v>12</v>
      </c>
      <c r="D19" s="7" t="s">
        <v>80</v>
      </c>
      <c r="E19" s="8" t="s">
        <v>81</v>
      </c>
      <c r="F19" s="6" t="s">
        <v>82</v>
      </c>
      <c r="G19" s="9">
        <f>IF(A19=1,"_",IF(C19="_","???",C19))</f>
        <v/>
      </c>
      <c r="H19" s="10" t="s">
        <v>12</v>
      </c>
      <c r="I19" s="11" t="s">
        <v>12</v>
      </c>
      <c r="J19" s="12"/>
    </row>
    <row r="20" spans="1:10" ht="60" customHeight="1">
      <c r="A20" s="6" t="s">
        <v>83</v>
      </c>
      <c r="B20" s="6" t="s">
        <v>16</v>
      </c>
      <c r="C20" s="6" t="s">
        <v>12</v>
      </c>
      <c r="D20" s="7" t="s">
        <v>80</v>
      </c>
      <c r="E20" s="8" t="s">
        <v>84</v>
      </c>
      <c r="F20" s="6" t="s">
        <v>85</v>
      </c>
      <c r="G20" s="9">
        <f>IF(A20=1,"_",IF(C20="_","???",C20))</f>
        <v/>
      </c>
      <c r="H20" s="10" t="s">
        <v>12</v>
      </c>
      <c r="I20" s="11" t="s">
        <v>12</v>
      </c>
      <c r="J20" s="12"/>
    </row>
    <row r="21" spans="1:10" ht="60" customHeight="1">
      <c r="A21" s="6" t="s">
        <v>86</v>
      </c>
      <c r="B21" s="6" t="s">
        <v>10</v>
      </c>
      <c r="C21" s="6" t="s">
        <v>12</v>
      </c>
      <c r="D21" s="7" t="s">
        <v>87</v>
      </c>
      <c r="E21" s="8" t="s">
        <v>88</v>
      </c>
      <c r="F21" s="6" t="s">
        <v>89</v>
      </c>
      <c r="G21" s="9">
        <f>IF(A21=1,"_",IF(C21="_","???",C21))</f>
        <v/>
      </c>
      <c r="H21" s="10" t="s">
        <v>12</v>
      </c>
      <c r="I21" s="11" t="s">
        <v>12</v>
      </c>
      <c r="J21" s="12"/>
    </row>
    <row r="22" spans="1:10" ht="60" customHeight="1">
      <c r="A22" s="6" t="s">
        <v>90</v>
      </c>
      <c r="B22" s="6" t="s">
        <v>28</v>
      </c>
      <c r="C22" s="6" t="s">
        <v>12</v>
      </c>
      <c r="D22" s="7" t="s">
        <v>91</v>
      </c>
      <c r="E22" s="8" t="s">
        <v>92</v>
      </c>
      <c r="F22" s="6" t="s">
        <v>93</v>
      </c>
      <c r="G22" s="9">
        <f>IF(A22=1,"_",IF(C22="_","???",C22))</f>
        <v/>
      </c>
      <c r="H22" s="10" t="s">
        <v>12</v>
      </c>
      <c r="I22" s="11" t="s">
        <v>12</v>
      </c>
      <c r="J22" s="12"/>
    </row>
    <row r="23" spans="1:10" ht="60" customHeight="1">
      <c r="A23" s="6" t="s">
        <v>94</v>
      </c>
      <c r="B23" s="6" t="s">
        <v>16</v>
      </c>
      <c r="C23" s="6" t="s">
        <v>12</v>
      </c>
      <c r="D23" s="7" t="s">
        <v>95</v>
      </c>
      <c r="E23" s="8" t="s">
        <v>96</v>
      </c>
      <c r="F23" s="6" t="s">
        <v>97</v>
      </c>
      <c r="G23" s="9">
        <f>IF(A23=1,"_",IF(C23="_","???",C23))</f>
        <v/>
      </c>
      <c r="H23" s="10" t="s">
        <v>12</v>
      </c>
      <c r="I23" s="11" t="s">
        <v>12</v>
      </c>
      <c r="J23" s="12"/>
    </row>
    <row r="24" spans="1:10" ht="60" customHeight="1">
      <c r="A24" s="6" t="s">
        <v>20</v>
      </c>
      <c r="B24" s="6" t="s">
        <v>52</v>
      </c>
      <c r="C24" s="6" t="s">
        <v>12</v>
      </c>
      <c r="D24" s="7" t="s">
        <v>98</v>
      </c>
      <c r="E24" s="8" t="s">
        <v>99</v>
      </c>
      <c r="F24" s="6" t="s">
        <v>100</v>
      </c>
      <c r="G24" s="9">
        <f>IF(A24=1,"_",IF(C24="_","???",C24))</f>
        <v/>
      </c>
      <c r="H24" s="10" t="s">
        <v>12</v>
      </c>
      <c r="I24" s="11" t="s">
        <v>12</v>
      </c>
      <c r="J24" s="12"/>
    </row>
    <row r="25" spans="1:10" ht="60" customHeight="1">
      <c r="A25" s="6" t="s">
        <v>101</v>
      </c>
      <c r="B25" s="6" t="s">
        <v>16</v>
      </c>
      <c r="C25" s="6" t="s">
        <v>12</v>
      </c>
      <c r="D25" s="7" t="s">
        <v>98</v>
      </c>
      <c r="E25" s="8" t="s">
        <v>102</v>
      </c>
      <c r="F25" s="6" t="s">
        <v>103</v>
      </c>
      <c r="G25" s="9">
        <f>IF(A25=1,"_",IF(C25="_","???",C25))</f>
        <v/>
      </c>
      <c r="H25" s="10" t="s">
        <v>12</v>
      </c>
      <c r="I25" s="11" t="s">
        <v>12</v>
      </c>
      <c r="J25" s="12"/>
    </row>
    <row r="26" spans="1:10" ht="60" customHeight="1">
      <c r="A26" s="6" t="s">
        <v>104</v>
      </c>
      <c r="B26" s="6" t="s">
        <v>16</v>
      </c>
      <c r="C26" s="6" t="s">
        <v>12</v>
      </c>
      <c r="D26" s="7" t="s">
        <v>98</v>
      </c>
      <c r="E26" s="8" t="s">
        <v>105</v>
      </c>
      <c r="F26" s="6" t="s">
        <v>106</v>
      </c>
      <c r="G26" s="9">
        <f>IF(A26=1,"_",IF(C26="_","???",C26))</f>
        <v/>
      </c>
      <c r="H26" s="10" t="s">
        <v>12</v>
      </c>
      <c r="I26" s="11" t="s">
        <v>12</v>
      </c>
      <c r="J26" s="12"/>
    </row>
    <row r="27" spans="1:10" ht="60" customHeight="1">
      <c r="A27" s="6" t="s">
        <v>107</v>
      </c>
      <c r="B27" s="6" t="s">
        <v>16</v>
      </c>
      <c r="C27" s="6" t="s">
        <v>12</v>
      </c>
      <c r="D27" s="7" t="s">
        <v>108</v>
      </c>
      <c r="E27" s="8" t="s">
        <v>109</v>
      </c>
      <c r="F27" s="6" t="s">
        <v>110</v>
      </c>
      <c r="G27" s="9">
        <f>IF(A27=1,"_",IF(C27="_","???",C27))</f>
        <v/>
      </c>
      <c r="H27" s="10" t="s">
        <v>12</v>
      </c>
      <c r="I27" s="11" t="s">
        <v>12</v>
      </c>
      <c r="J27" s="12"/>
    </row>
    <row r="28" spans="1:10" ht="60" customHeight="1">
      <c r="A28" s="6" t="s">
        <v>111</v>
      </c>
      <c r="B28" s="6" t="s">
        <v>16</v>
      </c>
      <c r="C28" s="6" t="s">
        <v>12</v>
      </c>
      <c r="D28" s="7" t="s">
        <v>91</v>
      </c>
      <c r="E28" s="8" t="s">
        <v>112</v>
      </c>
      <c r="F28" s="6" t="s">
        <v>113</v>
      </c>
      <c r="G28" s="9">
        <f>IF(A28=1,"_",IF(C28="_","???",C28))</f>
        <v/>
      </c>
      <c r="H28" s="10" t="s">
        <v>12</v>
      </c>
      <c r="I28" s="11" t="s">
        <v>12</v>
      </c>
      <c r="J28" s="12"/>
    </row>
    <row r="29" spans="1:10" ht="60" customHeight="1">
      <c r="A29" s="6" t="s">
        <v>114</v>
      </c>
      <c r="B29" s="6" t="s">
        <v>16</v>
      </c>
      <c r="C29" s="6" t="s">
        <v>12</v>
      </c>
      <c r="D29" s="7" t="s">
        <v>115</v>
      </c>
      <c r="E29" s="8" t="s">
        <v>116</v>
      </c>
      <c r="F29" s="6" t="s">
        <v>117</v>
      </c>
      <c r="G29" s="9">
        <f>IF(A29=1,"_",IF(C29="_","???",C29))</f>
        <v/>
      </c>
      <c r="H29" s="10" t="s">
        <v>12</v>
      </c>
      <c r="I29" s="11" t="s">
        <v>12</v>
      </c>
      <c r="J29" s="12"/>
    </row>
    <row r="30" spans="1:10" ht="60" customHeight="1">
      <c r="A30" s="6" t="s">
        <v>118</v>
      </c>
      <c r="B30" s="6" t="s">
        <v>16</v>
      </c>
      <c r="C30" s="6" t="s">
        <v>12</v>
      </c>
      <c r="D30" s="7" t="s">
        <v>119</v>
      </c>
      <c r="E30" s="8" t="s">
        <v>120</v>
      </c>
      <c r="F30" s="6" t="s">
        <v>121</v>
      </c>
      <c r="G30" s="9">
        <f>IF(A30=1,"_",IF(C30="_","???",C30))</f>
        <v/>
      </c>
      <c r="H30" s="10" t="s">
        <v>12</v>
      </c>
      <c r="I30" s="11" t="s">
        <v>12</v>
      </c>
      <c r="J30" s="12"/>
    </row>
    <row r="31" spans="1:10" ht="60" customHeight="1">
      <c r="A31" s="6" t="s">
        <v>122</v>
      </c>
      <c r="B31" s="6" t="s">
        <v>16</v>
      </c>
      <c r="C31" s="6" t="s">
        <v>12</v>
      </c>
      <c r="D31" s="7" t="s">
        <v>123</v>
      </c>
      <c r="E31" s="8" t="s">
        <v>124</v>
      </c>
      <c r="F31" s="6" t="s">
        <v>125</v>
      </c>
      <c r="G31" s="9">
        <f>IF(A31=1,"_",IF(C31="_","???",C31))</f>
        <v/>
      </c>
      <c r="H31" s="10" t="s">
        <v>12</v>
      </c>
      <c r="I31" s="11" t="s">
        <v>12</v>
      </c>
      <c r="J31" s="12"/>
    </row>
    <row r="32" spans="1:10" ht="60" customHeight="1">
      <c r="A32" s="6" t="s">
        <v>126</v>
      </c>
      <c r="B32" s="6" t="s">
        <v>16</v>
      </c>
      <c r="C32" s="6" t="s">
        <v>12</v>
      </c>
      <c r="D32" s="7" t="s">
        <v>127</v>
      </c>
      <c r="E32" s="8" t="s">
        <v>128</v>
      </c>
      <c r="F32" s="6" t="s">
        <v>129</v>
      </c>
      <c r="G32" s="9">
        <f>IF(A32=1,"_",IF(C32="_","???",C32))</f>
        <v/>
      </c>
      <c r="H32" s="10" t="s">
        <v>12</v>
      </c>
      <c r="I32" s="11" t="s">
        <v>12</v>
      </c>
      <c r="J32" s="12"/>
    </row>
    <row r="33" spans="1:10" ht="60" customHeight="1">
      <c r="A33" s="6" t="s">
        <v>130</v>
      </c>
      <c r="B33" s="6" t="s">
        <v>16</v>
      </c>
      <c r="C33" s="6" t="s">
        <v>12</v>
      </c>
      <c r="D33" s="7" t="s">
        <v>119</v>
      </c>
      <c r="E33" s="8" t="s">
        <v>131</v>
      </c>
      <c r="F33" s="6" t="s">
        <v>132</v>
      </c>
      <c r="G33" s="9">
        <f>IF(A33=1,"_",IF(C33="_","???",C33))</f>
        <v/>
      </c>
      <c r="H33" s="10" t="s">
        <v>12</v>
      </c>
      <c r="I33" s="11" t="s">
        <v>12</v>
      </c>
      <c r="J33" s="12"/>
    </row>
    <row r="34" spans="1:10" ht="60" customHeight="1">
      <c r="A34" s="6" t="s">
        <v>133</v>
      </c>
      <c r="B34" s="6" t="s">
        <v>16</v>
      </c>
      <c r="C34" s="6" t="s">
        <v>12</v>
      </c>
      <c r="D34" s="7" t="s">
        <v>29</v>
      </c>
      <c r="E34" s="8" t="s">
        <v>134</v>
      </c>
      <c r="F34" s="6" t="s">
        <v>135</v>
      </c>
      <c r="G34" s="9">
        <f>IF(A34=1,"_",IF(C34="_","???",C34))</f>
        <v/>
      </c>
      <c r="H34" s="10" t="s">
        <v>12</v>
      </c>
      <c r="I34" s="11" t="s">
        <v>12</v>
      </c>
      <c r="J34" s="12"/>
    </row>
    <row r="35" spans="1:10" ht="60" customHeight="1">
      <c r="A35" s="6" t="s">
        <v>136</v>
      </c>
      <c r="B35" s="6" t="s">
        <v>28</v>
      </c>
      <c r="C35" s="6" t="s">
        <v>12</v>
      </c>
      <c r="D35" s="7" t="s">
        <v>137</v>
      </c>
      <c r="E35" s="8" t="s">
        <v>138</v>
      </c>
      <c r="F35" s="6" t="s">
        <v>139</v>
      </c>
      <c r="G35" s="9">
        <f>IF(A35=1,"_",IF(C35="_","???",C35))</f>
        <v/>
      </c>
      <c r="H35" s="10" t="s">
        <v>12</v>
      </c>
      <c r="I35" s="11" t="s">
        <v>12</v>
      </c>
      <c r="J35" s="12"/>
    </row>
    <row r="36" spans="1:10" ht="60" customHeight="1">
      <c r="A36" s="6" t="s">
        <v>140</v>
      </c>
      <c r="B36" s="6" t="s">
        <v>16</v>
      </c>
      <c r="C36" s="6" t="s">
        <v>12</v>
      </c>
      <c r="D36" s="7" t="s">
        <v>29</v>
      </c>
      <c r="E36" s="8" t="s">
        <v>141</v>
      </c>
      <c r="F36" s="6" t="s">
        <v>142</v>
      </c>
      <c r="G36" s="9">
        <f>IF(A36=1,"_",IF(C36="_","???",C36))</f>
        <v/>
      </c>
      <c r="H36" s="10" t="s">
        <v>12</v>
      </c>
      <c r="I36" s="11" t="s">
        <v>12</v>
      </c>
      <c r="J36" s="12"/>
    </row>
    <row r="37" spans="1:10" ht="60" customHeight="1">
      <c r="A37" s="6" t="s">
        <v>143</v>
      </c>
      <c r="B37" s="6" t="s">
        <v>16</v>
      </c>
      <c r="C37" s="6" t="s">
        <v>12</v>
      </c>
      <c r="D37" s="7" t="s">
        <v>144</v>
      </c>
      <c r="E37" s="8" t="s">
        <v>145</v>
      </c>
      <c r="F37" s="6" t="s">
        <v>146</v>
      </c>
      <c r="G37" s="9">
        <f>IF(A37=1,"_",IF(C37="_","???",C37))</f>
        <v/>
      </c>
      <c r="H37" s="10" t="s">
        <v>12</v>
      </c>
      <c r="I37" s="11" t="s">
        <v>12</v>
      </c>
      <c r="J37" s="12"/>
    </row>
    <row r="38" spans="1:10" ht="60" customHeight="1">
      <c r="A38" s="6" t="s">
        <v>147</v>
      </c>
      <c r="B38" s="6" t="s">
        <v>16</v>
      </c>
      <c r="C38" s="6" t="s">
        <v>12</v>
      </c>
      <c r="D38" s="7" t="s">
        <v>148</v>
      </c>
      <c r="E38" s="8" t="s">
        <v>149</v>
      </c>
      <c r="F38" s="6" t="s">
        <v>150</v>
      </c>
      <c r="G38" s="9">
        <f>IF(A38=1,"_",IF(C38="_","???",C38))</f>
        <v/>
      </c>
      <c r="H38" s="10" t="s">
        <v>12</v>
      </c>
      <c r="I38" s="11" t="s">
        <v>12</v>
      </c>
      <c r="J38" s="12"/>
    </row>
    <row r="39" spans="1:10" ht="60" customHeight="1">
      <c r="A39" s="6" t="s">
        <v>151</v>
      </c>
      <c r="B39" s="6" t="s">
        <v>16</v>
      </c>
      <c r="C39" s="6" t="s">
        <v>12</v>
      </c>
      <c r="D39" s="7" t="s">
        <v>148</v>
      </c>
      <c r="E39" s="8" t="s">
        <v>152</v>
      </c>
      <c r="F39" s="6" t="s">
        <v>153</v>
      </c>
      <c r="G39" s="9">
        <f>IF(A39=1,"_",IF(C39="_","???",C39))</f>
        <v/>
      </c>
      <c r="H39" s="10" t="s">
        <v>12</v>
      </c>
      <c r="I39" s="11" t="s">
        <v>12</v>
      </c>
      <c r="J39" s="12"/>
    </row>
    <row r="40" spans="1:10" ht="60" customHeight="1">
      <c r="A40" s="6" t="s">
        <v>154</v>
      </c>
      <c r="B40" s="6" t="s">
        <v>16</v>
      </c>
      <c r="C40" s="6" t="s">
        <v>12</v>
      </c>
      <c r="D40" s="7" t="s">
        <v>155</v>
      </c>
      <c r="E40" s="8" t="s">
        <v>156</v>
      </c>
      <c r="F40" s="6" t="s">
        <v>157</v>
      </c>
      <c r="G40" s="9">
        <f>IF(A40=1,"_",IF(C40="_","???",C40))</f>
        <v/>
      </c>
      <c r="H40" s="10" t="s">
        <v>12</v>
      </c>
      <c r="I40" s="11" t="s">
        <v>12</v>
      </c>
      <c r="J40" s="12"/>
    </row>
    <row r="41" spans="1:10" ht="60" customHeight="1">
      <c r="A41" s="6" t="s">
        <v>158</v>
      </c>
      <c r="B41" s="6" t="s">
        <v>28</v>
      </c>
      <c r="C41" s="6" t="s">
        <v>12</v>
      </c>
      <c r="D41" s="7" t="s">
        <v>159</v>
      </c>
      <c r="E41" s="8" t="s">
        <v>160</v>
      </c>
      <c r="F41" s="6" t="s">
        <v>161</v>
      </c>
      <c r="G41" s="9">
        <f>IF(A41=1,"_",IF(C41="_","???",C41))</f>
        <v/>
      </c>
      <c r="H41" s="10" t="s">
        <v>12</v>
      </c>
      <c r="I41" s="11" t="s">
        <v>12</v>
      </c>
      <c r="J41" s="12"/>
    </row>
    <row r="42" spans="1:10" ht="60" customHeight="1">
      <c r="A42" s="6" t="s">
        <v>162</v>
      </c>
      <c r="B42" s="6" t="s">
        <v>10</v>
      </c>
      <c r="C42" s="6" t="s">
        <v>12</v>
      </c>
      <c r="D42" s="7" t="s">
        <v>163</v>
      </c>
      <c r="E42" s="8" t="s">
        <v>164</v>
      </c>
      <c r="F42" s="6" t="s">
        <v>165</v>
      </c>
      <c r="G42" s="9">
        <f>IF(A42=1,"_",IF(C42="_","???",C42))</f>
        <v/>
      </c>
      <c r="H42" s="10" t="s">
        <v>12</v>
      </c>
      <c r="I42" s="11" t="s">
        <v>12</v>
      </c>
      <c r="J42" s="12"/>
    </row>
    <row r="43" spans="1:10" ht="60" customHeight="1">
      <c r="A43" s="6" t="s">
        <v>166</v>
      </c>
      <c r="B43" s="6" t="s">
        <v>32</v>
      </c>
      <c r="C43" s="6" t="s">
        <v>12</v>
      </c>
      <c r="D43" s="7" t="s">
        <v>167</v>
      </c>
      <c r="E43" s="8" t="s">
        <v>168</v>
      </c>
      <c r="F43" s="6" t="s">
        <v>169</v>
      </c>
      <c r="G43" s="9">
        <f>IF(A43=1,"_",IF(C43="_","???",C43))</f>
        <v/>
      </c>
      <c r="H43" s="10" t="s">
        <v>12</v>
      </c>
      <c r="I43" s="11" t="s">
        <v>12</v>
      </c>
      <c r="J43" s="12"/>
    </row>
    <row r="44" spans="1:10" ht="60" customHeight="1">
      <c r="A44" s="6" t="s">
        <v>170</v>
      </c>
      <c r="B44" s="6" t="s">
        <v>72</v>
      </c>
      <c r="C44" s="6" t="s">
        <v>12</v>
      </c>
      <c r="D44" s="7" t="s">
        <v>171</v>
      </c>
      <c r="E44" s="8" t="s">
        <v>172</v>
      </c>
      <c r="F44" s="6" t="s">
        <v>173</v>
      </c>
      <c r="G44" s="9">
        <f>IF(A44=1,"_",IF(C44="_","???",C44))</f>
        <v/>
      </c>
      <c r="H44" s="10" t="s">
        <v>12</v>
      </c>
      <c r="I44" s="11" t="s">
        <v>12</v>
      </c>
      <c r="J44" s="12"/>
    </row>
    <row r="45" spans="1:10" ht="60" customHeight="1">
      <c r="A45" s="6" t="s">
        <v>174</v>
      </c>
      <c r="B45" s="6" t="s">
        <v>16</v>
      </c>
      <c r="C45" s="6" t="s">
        <v>12</v>
      </c>
      <c r="D45" s="7" t="s">
        <v>175</v>
      </c>
      <c r="E45" s="8" t="s">
        <v>176</v>
      </c>
      <c r="F45" s="6" t="s">
        <v>177</v>
      </c>
      <c r="G45" s="9">
        <f>IF(A45=1,"_",IF(C45="_","???",C45))</f>
        <v/>
      </c>
      <c r="H45" s="10" t="s">
        <v>12</v>
      </c>
      <c r="I45" s="11" t="s">
        <v>12</v>
      </c>
      <c r="J45" s="12"/>
    </row>
    <row r="46" spans="1:10" ht="60" customHeight="1">
      <c r="A46" s="6" t="s">
        <v>178</v>
      </c>
      <c r="B46" s="6" t="s">
        <v>24</v>
      </c>
      <c r="C46" s="6" t="s">
        <v>12</v>
      </c>
      <c r="D46" s="7" t="s">
        <v>179</v>
      </c>
      <c r="E46" s="8" t="s">
        <v>180</v>
      </c>
      <c r="F46" s="6" t="s">
        <v>181</v>
      </c>
      <c r="G46" s="9">
        <f>IF(A46=1,"_",IF(C46="_","???",C46))</f>
        <v/>
      </c>
      <c r="H46" s="10" t="s">
        <v>12</v>
      </c>
      <c r="I46" s="11" t="s">
        <v>12</v>
      </c>
      <c r="J46" s="12"/>
    </row>
    <row r="47" spans="1:10" ht="60" customHeight="1">
      <c r="A47" s="6" t="s">
        <v>182</v>
      </c>
      <c r="B47" s="6" t="s">
        <v>41</v>
      </c>
      <c r="C47" s="6" t="s">
        <v>12</v>
      </c>
      <c r="D47" s="7" t="s">
        <v>183</v>
      </c>
      <c r="E47" s="8" t="s">
        <v>184</v>
      </c>
      <c r="F47" s="6" t="s">
        <v>185</v>
      </c>
      <c r="G47" s="9">
        <f>IF(A47=1,"_",IF(C47="_","???",C47))</f>
        <v/>
      </c>
      <c r="H47" s="10" t="s">
        <v>12</v>
      </c>
      <c r="I47" s="11" t="s">
        <v>12</v>
      </c>
      <c r="J47" s="12"/>
    </row>
    <row r="48" spans="1:10" ht="60" customHeight="1">
      <c r="A48" s="6" t="s">
        <v>186</v>
      </c>
      <c r="B48" s="6" t="s">
        <v>11</v>
      </c>
      <c r="C48" s="6" t="s">
        <v>12</v>
      </c>
      <c r="D48" s="7" t="s">
        <v>187</v>
      </c>
      <c r="E48" s="8" t="s">
        <v>188</v>
      </c>
      <c r="F48" s="6" t="s">
        <v>189</v>
      </c>
      <c r="G48" s="9">
        <f>IF(A48=1,"_",IF(C48="_","???",C48))</f>
        <v/>
      </c>
      <c r="H48" s="10" t="s">
        <v>12</v>
      </c>
      <c r="I48" s="11" t="s">
        <v>12</v>
      </c>
      <c r="J48" s="12"/>
    </row>
    <row r="49" spans="1:10" ht="60" customHeight="1">
      <c r="A49" s="6" t="s">
        <v>190</v>
      </c>
      <c r="B49" s="6" t="s">
        <v>10</v>
      </c>
      <c r="C49" s="6" t="s">
        <v>12</v>
      </c>
      <c r="D49" s="7" t="s">
        <v>191</v>
      </c>
      <c r="E49" s="8" t="s">
        <v>192</v>
      </c>
      <c r="F49" s="6" t="s">
        <v>193</v>
      </c>
      <c r="G49" s="9">
        <f>IF(A49=1,"_",IF(C49="_","???",C49))</f>
        <v/>
      </c>
      <c r="H49" s="10" t="s">
        <v>12</v>
      </c>
      <c r="I49" s="11" t="s">
        <v>12</v>
      </c>
      <c r="J49" s="12"/>
    </row>
    <row r="50" spans="1:10" ht="60" customHeight="1">
      <c r="A50" s="6" t="s">
        <v>194</v>
      </c>
      <c r="B50" s="6" t="s">
        <v>24</v>
      </c>
      <c r="C50" s="6" t="s">
        <v>12</v>
      </c>
      <c r="D50" s="7" t="s">
        <v>195</v>
      </c>
      <c r="E50" s="8" t="s">
        <v>196</v>
      </c>
      <c r="F50" s="6" t="s">
        <v>197</v>
      </c>
      <c r="G50" s="9">
        <f>IF(A50=1,"_",IF(C50="_","???",C50))</f>
        <v/>
      </c>
      <c r="H50" s="10" t="s">
        <v>12</v>
      </c>
      <c r="I50" s="11" t="s">
        <v>12</v>
      </c>
      <c r="J50" s="12"/>
    </row>
    <row r="51" spans="1:10" ht="60" customHeight="1">
      <c r="A51" s="6" t="s">
        <v>198</v>
      </c>
      <c r="B51" s="6" t="s">
        <v>16</v>
      </c>
      <c r="C51" s="6" t="s">
        <v>12</v>
      </c>
      <c r="D51" s="7" t="s">
        <v>199</v>
      </c>
      <c r="E51" s="8" t="s">
        <v>200</v>
      </c>
      <c r="F51" s="6" t="s">
        <v>201</v>
      </c>
      <c r="G51" s="9">
        <f>IF(A51=1,"_",IF(C51="_","???",C51))</f>
        <v/>
      </c>
      <c r="H51" s="10" t="s">
        <v>12</v>
      </c>
      <c r="I51" s="11" t="s">
        <v>12</v>
      </c>
      <c r="J51" s="12"/>
    </row>
    <row r="52" spans="1:10" ht="60" customHeight="1">
      <c r="A52" s="6" t="s">
        <v>202</v>
      </c>
      <c r="B52" s="6" t="s">
        <v>24</v>
      </c>
      <c r="C52" s="6" t="s">
        <v>12</v>
      </c>
      <c r="D52" s="7" t="s">
        <v>203</v>
      </c>
      <c r="E52" s="8" t="s">
        <v>204</v>
      </c>
      <c r="F52" s="6" t="s">
        <v>205</v>
      </c>
      <c r="G52" s="9">
        <f>IF(A52=1,"_",IF(C52="_","???",C52))</f>
        <v/>
      </c>
      <c r="H52" s="10" t="s">
        <v>12</v>
      </c>
      <c r="I52" s="11" t="s">
        <v>12</v>
      </c>
      <c r="J52" s="12"/>
    </row>
    <row r="53" spans="1:10" ht="60" customHeight="1">
      <c r="A53" s="6" t="s">
        <v>206</v>
      </c>
      <c r="B53" s="6" t="s">
        <v>16</v>
      </c>
      <c r="C53" s="6" t="s">
        <v>12</v>
      </c>
      <c r="D53" s="7" t="s">
        <v>207</v>
      </c>
      <c r="E53" s="8" t="s">
        <v>208</v>
      </c>
      <c r="F53" s="6" t="s">
        <v>209</v>
      </c>
      <c r="G53" s="9">
        <f>IF(A53=1,"_",IF(C53="_","???",C53))</f>
        <v/>
      </c>
      <c r="H53" s="10" t="s">
        <v>12</v>
      </c>
      <c r="I53" s="11" t="s">
        <v>12</v>
      </c>
      <c r="J53" s="12"/>
    </row>
    <row r="54" spans="1:10" ht="60" customHeight="1">
      <c r="A54" s="6" t="s">
        <v>210</v>
      </c>
      <c r="B54" s="6" t="s">
        <v>16</v>
      </c>
      <c r="C54" s="6" t="s">
        <v>12</v>
      </c>
      <c r="D54" s="7" t="s">
        <v>211</v>
      </c>
      <c r="E54" s="8" t="s">
        <v>212</v>
      </c>
      <c r="F54" s="6" t="s">
        <v>213</v>
      </c>
      <c r="G54" s="9">
        <f>IF(A54=1,"_",IF(C54="_","???",C54))</f>
        <v/>
      </c>
      <c r="H54" s="10" t="s">
        <v>12</v>
      </c>
      <c r="I54" s="11" t="s">
        <v>12</v>
      </c>
      <c r="J54" s="12"/>
    </row>
    <row r="55" spans="1:10" ht="60" customHeight="1">
      <c r="A55" s="6" t="s">
        <v>214</v>
      </c>
      <c r="B55" s="6" t="s">
        <v>55</v>
      </c>
      <c r="C55" s="6" t="s">
        <v>215</v>
      </c>
      <c r="D55" s="7" t="s">
        <v>216</v>
      </c>
      <c r="E55" s="8" t="s">
        <v>217</v>
      </c>
      <c r="F55" s="6" t="s">
        <v>218</v>
      </c>
      <c r="G55" s="9">
        <f>IF(A55=1,"_",IF(C55="_","???",C55))</f>
        <v/>
      </c>
      <c r="H55" s="10" t="s">
        <v>12</v>
      </c>
      <c r="I55" s="11" t="s">
        <v>12</v>
      </c>
      <c r="J55" s="12"/>
    </row>
    <row r="56" spans="1:10" ht="60" customHeight="1">
      <c r="A56" s="6" t="s">
        <v>219</v>
      </c>
      <c r="B56" s="6" t="s">
        <v>28</v>
      </c>
      <c r="C56" s="6" t="s">
        <v>215</v>
      </c>
      <c r="D56" s="7" t="s">
        <v>220</v>
      </c>
      <c r="E56" s="8" t="s">
        <v>221</v>
      </c>
      <c r="F56" s="6" t="s">
        <v>222</v>
      </c>
      <c r="G56" s="9">
        <f>IF(A56=1,"_",IF(C56="_","???",C56))</f>
        <v/>
      </c>
      <c r="H56" s="10" t="s">
        <v>12</v>
      </c>
      <c r="I56" s="11" t="s">
        <v>12</v>
      </c>
      <c r="J56" s="12"/>
    </row>
    <row r="57" spans="1:10" ht="60" customHeight="1">
      <c r="A57" s="6" t="s">
        <v>223</v>
      </c>
      <c r="B57" s="6" t="s">
        <v>11</v>
      </c>
      <c r="C57" s="6" t="s">
        <v>12</v>
      </c>
      <c r="D57" s="7" t="s">
        <v>224</v>
      </c>
      <c r="E57" s="8" t="s">
        <v>225</v>
      </c>
      <c r="F57" s="6" t="s">
        <v>226</v>
      </c>
      <c r="G57" s="9">
        <f>IF(A57=1,"_",IF(C57="_","???",C57))</f>
        <v/>
      </c>
      <c r="H57" s="10" t="s">
        <v>12</v>
      </c>
      <c r="I57" s="11" t="s">
        <v>12</v>
      </c>
      <c r="J57" s="12"/>
    </row>
    <row r="58" spans="1:10" ht="60" customHeight="1">
      <c r="A58" s="6" t="s">
        <v>227</v>
      </c>
      <c r="B58" s="6" t="s">
        <v>59</v>
      </c>
      <c r="C58" s="6" t="s">
        <v>12</v>
      </c>
      <c r="D58" s="7" t="s">
        <v>228</v>
      </c>
      <c r="E58" s="8" t="s">
        <v>229</v>
      </c>
      <c r="F58" s="6" t="s">
        <v>230</v>
      </c>
      <c r="G58" s="9">
        <f>IF(A58=1,"_",IF(C58="_","???",C58))</f>
        <v/>
      </c>
      <c r="H58" s="10" t="s">
        <v>12</v>
      </c>
      <c r="I58" s="11" t="s">
        <v>12</v>
      </c>
      <c r="J58" s="12"/>
    </row>
    <row r="59" spans="1:10" ht="60" customHeight="1">
      <c r="A59" s="6" t="s">
        <v>231</v>
      </c>
      <c r="B59" s="6" t="s">
        <v>28</v>
      </c>
      <c r="C59" s="6" t="s">
        <v>12</v>
      </c>
      <c r="D59" s="7" t="s">
        <v>232</v>
      </c>
      <c r="E59" s="8" t="s">
        <v>233</v>
      </c>
      <c r="F59" s="6" t="s">
        <v>234</v>
      </c>
      <c r="G59" s="9">
        <f>IF(A59=1,"_",IF(C59="_","???",C59))</f>
        <v/>
      </c>
      <c r="H59" s="10" t="s">
        <v>12</v>
      </c>
      <c r="I59" s="11" t="s">
        <v>12</v>
      </c>
      <c r="J59" s="12"/>
    </row>
    <row r="60" spans="1:10" ht="60" customHeight="1">
      <c r="A60" s="6" t="s">
        <v>235</v>
      </c>
      <c r="B60" s="6" t="s">
        <v>11</v>
      </c>
      <c r="C60" s="6" t="s">
        <v>12</v>
      </c>
      <c r="D60" s="7" t="s">
        <v>236</v>
      </c>
      <c r="E60" s="8" t="s">
        <v>237</v>
      </c>
      <c r="F60" s="6" t="s">
        <v>238</v>
      </c>
      <c r="G60" s="9">
        <f>IF(A60=1,"_",IF(C60="_","???",C60))</f>
        <v/>
      </c>
      <c r="H60" s="10" t="s">
        <v>12</v>
      </c>
      <c r="I60" s="11" t="s">
        <v>12</v>
      </c>
      <c r="J60" s="12"/>
    </row>
    <row r="61" spans="1:10" ht="60" customHeight="1">
      <c r="A61" s="6" t="s">
        <v>239</v>
      </c>
      <c r="B61" s="6" t="s">
        <v>16</v>
      </c>
      <c r="C61" s="6" t="s">
        <v>12</v>
      </c>
      <c r="D61" s="7" t="s">
        <v>240</v>
      </c>
      <c r="E61" s="8" t="s">
        <v>241</v>
      </c>
      <c r="F61" s="6" t="s">
        <v>242</v>
      </c>
      <c r="G61" s="9">
        <f>IF(A61=1,"_",IF(C61="_","???",C61))</f>
        <v/>
      </c>
      <c r="H61" s="10" t="s">
        <v>12</v>
      </c>
      <c r="I61" s="11" t="s">
        <v>12</v>
      </c>
      <c r="J61" s="12"/>
    </row>
    <row r="62" spans="1:10" ht="60" customHeight="1">
      <c r="A62" s="6" t="s">
        <v>243</v>
      </c>
      <c r="B62" s="6" t="s">
        <v>16</v>
      </c>
      <c r="C62" s="6" t="s">
        <v>12</v>
      </c>
      <c r="D62" s="7" t="s">
        <v>244</v>
      </c>
      <c r="E62" s="8" t="s">
        <v>245</v>
      </c>
      <c r="F62" s="6" t="s">
        <v>246</v>
      </c>
      <c r="G62" s="9">
        <f>IF(A62=1,"_",IF(C62="_","???",C62))</f>
        <v/>
      </c>
      <c r="H62" s="10" t="s">
        <v>12</v>
      </c>
      <c r="I62" s="11" t="s">
        <v>12</v>
      </c>
      <c r="J62" s="12"/>
    </row>
    <row r="63" spans="1:10" ht="60" customHeight="1">
      <c r="A63" s="6" t="s">
        <v>247</v>
      </c>
      <c r="B63" s="6" t="s">
        <v>11</v>
      </c>
      <c r="C63" s="6" t="s">
        <v>12</v>
      </c>
      <c r="D63" s="7" t="s">
        <v>248</v>
      </c>
      <c r="E63" s="8" t="s">
        <v>249</v>
      </c>
      <c r="F63" s="6" t="s">
        <v>250</v>
      </c>
      <c r="G63" s="9">
        <f>IF(A63=1,"_",IF(C63="_","???",C63))</f>
        <v/>
      </c>
      <c r="H63" s="10" t="s">
        <v>12</v>
      </c>
      <c r="I63" s="11" t="s">
        <v>12</v>
      </c>
      <c r="J63" s="12"/>
    </row>
    <row r="64" spans="1:10" ht="60" customHeight="1">
      <c r="A64" s="6" t="s">
        <v>251</v>
      </c>
      <c r="B64" s="6" t="s">
        <v>64</v>
      </c>
      <c r="C64" s="6" t="s">
        <v>252</v>
      </c>
      <c r="D64" s="7" t="s">
        <v>253</v>
      </c>
      <c r="E64" s="8" t="s">
        <v>254</v>
      </c>
      <c r="F64" s="6" t="s">
        <v>255</v>
      </c>
      <c r="G64" s="9">
        <f>IF(A64=1,"_",IF(C64="_","???",C64))</f>
        <v/>
      </c>
      <c r="H64" s="10" t="s">
        <v>12</v>
      </c>
      <c r="I64" s="11" t="s">
        <v>12</v>
      </c>
      <c r="J64" s="12"/>
    </row>
    <row r="65" spans="1:10" ht="60" customHeight="1">
      <c r="A65" s="6" t="s">
        <v>256</v>
      </c>
      <c r="B65" s="6" t="s">
        <v>16</v>
      </c>
      <c r="C65" s="6" t="s">
        <v>12</v>
      </c>
      <c r="D65" s="7" t="s">
        <v>257</v>
      </c>
      <c r="E65" s="8" t="s">
        <v>258</v>
      </c>
      <c r="F65" s="6" t="s">
        <v>259</v>
      </c>
      <c r="G65" s="9">
        <f>IF(A65=1,"_",IF(C65="_","???",C65))</f>
        <v/>
      </c>
      <c r="H65" s="10" t="s">
        <v>12</v>
      </c>
      <c r="I65" s="11" t="s">
        <v>12</v>
      </c>
      <c r="J65" s="12"/>
    </row>
    <row r="66" spans="1:10" ht="60" customHeight="1">
      <c r="A66" s="6" t="s">
        <v>260</v>
      </c>
      <c r="B66" s="6" t="s">
        <v>10</v>
      </c>
      <c r="C66" s="6" t="s">
        <v>215</v>
      </c>
      <c r="D66" s="7" t="s">
        <v>261</v>
      </c>
      <c r="E66" s="8" t="s">
        <v>262</v>
      </c>
      <c r="F66" s="6" t="s">
        <v>263</v>
      </c>
      <c r="G66" s="9">
        <f>IF(A66=1,"_",IF(C66="_","???",C66))</f>
        <v/>
      </c>
      <c r="H66" s="10" t="s">
        <v>12</v>
      </c>
      <c r="I66" s="11" t="s">
        <v>12</v>
      </c>
      <c r="J66" s="12"/>
    </row>
    <row r="67" spans="1:10" ht="60" customHeight="1">
      <c r="A67" s="6" t="s">
        <v>264</v>
      </c>
      <c r="B67" s="6" t="s">
        <v>11</v>
      </c>
      <c r="C67" s="6" t="s">
        <v>12</v>
      </c>
      <c r="D67" s="7" t="s">
        <v>265</v>
      </c>
      <c r="E67" s="8" t="s">
        <v>266</v>
      </c>
      <c r="F67" s="6" t="s">
        <v>267</v>
      </c>
      <c r="G67" s="9">
        <f>IF(A67=1,"_",IF(C67="_","???",C67))</f>
        <v/>
      </c>
      <c r="H67" s="10" t="s">
        <v>12</v>
      </c>
      <c r="I67" s="11" t="s">
        <v>12</v>
      </c>
      <c r="J67" s="12"/>
    </row>
    <row r="68" spans="1:10" ht="60" customHeight="1">
      <c r="A68" s="6" t="s">
        <v>268</v>
      </c>
      <c r="B68" s="6" t="s">
        <v>11</v>
      </c>
      <c r="C68" s="6" t="s">
        <v>12</v>
      </c>
      <c r="D68" s="7" t="s">
        <v>269</v>
      </c>
      <c r="E68" s="8" t="s">
        <v>270</v>
      </c>
      <c r="F68" s="6" t="s">
        <v>271</v>
      </c>
      <c r="G68" s="9">
        <f>IF(A68=1,"_",IF(C68="_","???",C68))</f>
        <v/>
      </c>
      <c r="H68" s="10" t="s">
        <v>12</v>
      </c>
      <c r="I68" s="11" t="s">
        <v>12</v>
      </c>
      <c r="J68" s="12"/>
    </row>
    <row r="69" spans="1:10" ht="60" customHeight="1">
      <c r="A69" s="6" t="s">
        <v>272</v>
      </c>
      <c r="B69" s="6" t="s">
        <v>32</v>
      </c>
      <c r="C69" s="6" t="s">
        <v>12</v>
      </c>
      <c r="D69" s="7" t="s">
        <v>273</v>
      </c>
      <c r="E69" s="8" t="s">
        <v>274</v>
      </c>
      <c r="F69" s="6" t="s">
        <v>275</v>
      </c>
      <c r="G69" s="9">
        <f>IF(A69=1,"_",IF(C69="_","???",C69))</f>
        <v/>
      </c>
      <c r="H69" s="10" t="s">
        <v>12</v>
      </c>
      <c r="I69" s="11" t="s">
        <v>12</v>
      </c>
      <c r="J69" s="12"/>
    </row>
    <row r="70" spans="1:10" ht="60" customHeight="1">
      <c r="A70" s="6" t="s">
        <v>276</v>
      </c>
      <c r="B70" s="6" t="s">
        <v>24</v>
      </c>
      <c r="C70" s="6" t="s">
        <v>12</v>
      </c>
      <c r="D70" s="7" t="s">
        <v>277</v>
      </c>
      <c r="E70" s="8" t="s">
        <v>278</v>
      </c>
      <c r="F70" s="6" t="s">
        <v>279</v>
      </c>
      <c r="G70" s="9">
        <f>IF(A70=1,"_",IF(C70="_","???",C70))</f>
        <v/>
      </c>
      <c r="H70" s="10" t="s">
        <v>12</v>
      </c>
      <c r="I70" s="11" t="s">
        <v>12</v>
      </c>
      <c r="J70" s="12"/>
    </row>
    <row r="71" spans="1:10" ht="60" customHeight="1">
      <c r="A71" s="6" t="s">
        <v>280</v>
      </c>
      <c r="B71" s="6" t="s">
        <v>16</v>
      </c>
      <c r="C71" s="6" t="s">
        <v>12</v>
      </c>
      <c r="D71" s="7" t="s">
        <v>195</v>
      </c>
      <c r="E71" s="8" t="s">
        <v>281</v>
      </c>
      <c r="F71" s="6" t="s">
        <v>282</v>
      </c>
      <c r="G71" s="9">
        <f>IF(A71=1,"_",IF(C71="_","???",C71))</f>
        <v/>
      </c>
      <c r="H71" s="10" t="s">
        <v>12</v>
      </c>
      <c r="I71" s="11" t="s">
        <v>12</v>
      </c>
      <c r="J71" s="12"/>
    </row>
    <row r="72" spans="1:10" ht="60" customHeight="1">
      <c r="A72" s="6" t="s">
        <v>283</v>
      </c>
      <c r="B72" s="6" t="s">
        <v>55</v>
      </c>
      <c r="C72" s="6" t="s">
        <v>12</v>
      </c>
      <c r="D72" s="7" t="s">
        <v>284</v>
      </c>
      <c r="E72" s="8" t="s">
        <v>285</v>
      </c>
      <c r="F72" s="6" t="s">
        <v>286</v>
      </c>
      <c r="G72" s="9">
        <f>IF(A72=1,"_",IF(C72="_","???",C72))</f>
        <v/>
      </c>
      <c r="H72" s="10" t="s">
        <v>12</v>
      </c>
      <c r="I72" s="11" t="s">
        <v>12</v>
      </c>
      <c r="J72" s="12"/>
    </row>
    <row r="73" spans="1:10" ht="60" customHeight="1">
      <c r="A73" s="6" t="s">
        <v>287</v>
      </c>
      <c r="B73" s="6" t="s">
        <v>32</v>
      </c>
      <c r="C73" s="6" t="s">
        <v>12</v>
      </c>
      <c r="D73" s="7" t="s">
        <v>288</v>
      </c>
      <c r="E73" s="8" t="s">
        <v>289</v>
      </c>
      <c r="F73" s="6" t="s">
        <v>290</v>
      </c>
      <c r="G73" s="9">
        <f>IF(A73=1,"_",IF(C73="_","???",C73))</f>
        <v/>
      </c>
      <c r="H73" s="10" t="s">
        <v>12</v>
      </c>
      <c r="I73" s="11" t="s">
        <v>12</v>
      </c>
      <c r="J73" s="12"/>
    </row>
    <row r="74" spans="1:10" ht="60" customHeight="1">
      <c r="A74" s="6" t="s">
        <v>291</v>
      </c>
      <c r="B74" s="6" t="s">
        <v>28</v>
      </c>
      <c r="C74" s="6" t="s">
        <v>12</v>
      </c>
      <c r="D74" s="7" t="s">
        <v>292</v>
      </c>
      <c r="E74" s="8" t="s">
        <v>293</v>
      </c>
      <c r="F74" s="6" t="s">
        <v>294</v>
      </c>
      <c r="G74" s="9">
        <f>IF(A74=1,"_",IF(C74="_","???",C74))</f>
        <v/>
      </c>
      <c r="H74" s="10" t="s">
        <v>12</v>
      </c>
      <c r="I74" s="11" t="s">
        <v>12</v>
      </c>
      <c r="J74" s="12"/>
    </row>
    <row r="75" spans="1:10" ht="60" customHeight="1">
      <c r="A75" s="6" t="s">
        <v>295</v>
      </c>
      <c r="B75" s="6" t="s">
        <v>49</v>
      </c>
      <c r="C75" s="6" t="s">
        <v>12</v>
      </c>
      <c r="D75" s="7" t="s">
        <v>296</v>
      </c>
      <c r="E75" s="8" t="s">
        <v>297</v>
      </c>
      <c r="F75" s="6" t="s">
        <v>298</v>
      </c>
      <c r="G75" s="9">
        <f>IF(A75=1,"_",IF(C75="_","???",C75))</f>
        <v/>
      </c>
      <c r="H75" s="10" t="s">
        <v>12</v>
      </c>
      <c r="I75" s="11" t="s">
        <v>12</v>
      </c>
      <c r="J75" s="12"/>
    </row>
    <row r="76" spans="1:10" ht="60" customHeight="1">
      <c r="A76" s="6" t="s">
        <v>299</v>
      </c>
      <c r="B76" s="6" t="s">
        <v>36</v>
      </c>
      <c r="C76" s="6" t="s">
        <v>12</v>
      </c>
      <c r="D76" s="7" t="s">
        <v>300</v>
      </c>
      <c r="E76" s="8" t="s">
        <v>301</v>
      </c>
      <c r="F76" s="6" t="s">
        <v>302</v>
      </c>
      <c r="G76" s="9">
        <f>IF(A76=1,"_",IF(C76="_","???",C76))</f>
        <v/>
      </c>
      <c r="H76" s="10" t="s">
        <v>12</v>
      </c>
      <c r="I76" s="11" t="s">
        <v>12</v>
      </c>
      <c r="J76" s="12"/>
    </row>
    <row r="77" spans="1:10" ht="60" customHeight="1">
      <c r="A77" s="6" t="s">
        <v>303</v>
      </c>
      <c r="B77" s="6" t="s">
        <v>16</v>
      </c>
      <c r="C77" s="6" t="s">
        <v>12</v>
      </c>
      <c r="D77" s="7" t="s">
        <v>304</v>
      </c>
      <c r="E77" s="8" t="s">
        <v>305</v>
      </c>
      <c r="F77" s="6" t="s">
        <v>306</v>
      </c>
      <c r="G77" s="9">
        <f>IF(A77=1,"_",IF(C77="_","???",C77))</f>
        <v/>
      </c>
      <c r="H77" s="10" t="s">
        <v>12</v>
      </c>
      <c r="I77" s="11" t="s">
        <v>12</v>
      </c>
      <c r="J77" s="12"/>
    </row>
    <row r="78" spans="1:10" ht="60" customHeight="1">
      <c r="A78" s="6" t="s">
        <v>307</v>
      </c>
      <c r="B78" s="6" t="s">
        <v>16</v>
      </c>
      <c r="C78" s="6" t="s">
        <v>12</v>
      </c>
      <c r="D78" s="7" t="s">
        <v>308</v>
      </c>
      <c r="E78" s="8" t="s">
        <v>309</v>
      </c>
      <c r="F78" s="6" t="s">
        <v>310</v>
      </c>
      <c r="G78" s="9">
        <f>IF(A78=1,"_",IF(C78="_","???",C78))</f>
        <v/>
      </c>
      <c r="H78" s="10" t="s">
        <v>12</v>
      </c>
      <c r="I78" s="11" t="s">
        <v>12</v>
      </c>
      <c r="J78" s="12"/>
    </row>
    <row r="79" spans="1:10" ht="60" customHeight="1">
      <c r="A79" s="6" t="s">
        <v>311</v>
      </c>
      <c r="B79" s="6" t="s">
        <v>59</v>
      </c>
      <c r="C79" s="6" t="s">
        <v>12</v>
      </c>
      <c r="D79" s="7" t="s">
        <v>148</v>
      </c>
      <c r="E79" s="8" t="s">
        <v>312</v>
      </c>
      <c r="F79" s="6" t="s">
        <v>313</v>
      </c>
      <c r="G79" s="9">
        <f>IF(A79=1,"_",IF(C79="_","???",C79))</f>
        <v/>
      </c>
      <c r="H79" s="10" t="s">
        <v>12</v>
      </c>
      <c r="I79" s="11" t="s">
        <v>12</v>
      </c>
      <c r="J79" s="12"/>
    </row>
    <row r="80" spans="1:10" ht="60" customHeight="1">
      <c r="A80" s="6" t="s">
        <v>314</v>
      </c>
      <c r="B80" s="6" t="s">
        <v>36</v>
      </c>
      <c r="C80" s="6" t="s">
        <v>12</v>
      </c>
      <c r="D80" s="7" t="s">
        <v>315</v>
      </c>
      <c r="E80" s="8" t="s">
        <v>316</v>
      </c>
      <c r="F80" s="6" t="s">
        <v>317</v>
      </c>
      <c r="G80" s="9">
        <f>IF(A80=1,"_",IF(C80="_","???",C80))</f>
        <v/>
      </c>
      <c r="H80" s="10" t="s">
        <v>12</v>
      </c>
      <c r="I80" s="11" t="s">
        <v>12</v>
      </c>
      <c r="J80" s="12"/>
    </row>
    <row r="81" spans="1:10" ht="60" customHeight="1">
      <c r="A81" s="6" t="s">
        <v>318</v>
      </c>
      <c r="B81" s="6" t="s">
        <v>16</v>
      </c>
      <c r="C81" s="6" t="s">
        <v>12</v>
      </c>
      <c r="D81" s="7" t="s">
        <v>319</v>
      </c>
      <c r="E81" s="8" t="s">
        <v>320</v>
      </c>
      <c r="F81" s="6" t="s">
        <v>321</v>
      </c>
      <c r="G81" s="9">
        <f>IF(A81=1,"_",IF(C81="_","???",C81))</f>
        <v/>
      </c>
      <c r="H81" s="10" t="s">
        <v>12</v>
      </c>
      <c r="I81" s="11" t="s">
        <v>12</v>
      </c>
      <c r="J81" s="12"/>
    </row>
    <row r="82" spans="1:10" ht="60" customHeight="1">
      <c r="A82" s="6" t="s">
        <v>322</v>
      </c>
      <c r="B82" s="6" t="s">
        <v>16</v>
      </c>
      <c r="C82" s="6" t="s">
        <v>12</v>
      </c>
      <c r="D82" s="7" t="s">
        <v>175</v>
      </c>
      <c r="E82" s="8" t="s">
        <v>323</v>
      </c>
      <c r="F82" s="6" t="s">
        <v>324</v>
      </c>
      <c r="G82" s="9">
        <f>IF(A82=1,"_",IF(C82="_","???",C82))</f>
        <v/>
      </c>
      <c r="H82" s="10" t="s">
        <v>12</v>
      </c>
      <c r="I82" s="11" t="s">
        <v>12</v>
      </c>
      <c r="J82" s="12"/>
    </row>
    <row r="83" spans="1:10" ht="60" customHeight="1">
      <c r="A83" s="6" t="s">
        <v>325</v>
      </c>
      <c r="B83" s="6" t="s">
        <v>28</v>
      </c>
      <c r="C83" s="6" t="s">
        <v>12</v>
      </c>
      <c r="D83" s="7" t="s">
        <v>326</v>
      </c>
      <c r="E83" s="8" t="s">
        <v>327</v>
      </c>
      <c r="F83" s="6" t="s">
        <v>328</v>
      </c>
      <c r="G83" s="9">
        <f>IF(A83=1,"_",IF(C83="_","???",C83))</f>
        <v/>
      </c>
      <c r="H83" s="10" t="s">
        <v>12</v>
      </c>
      <c r="I83" s="11" t="s">
        <v>12</v>
      </c>
      <c r="J83" s="12"/>
    </row>
    <row r="84" spans="1:10" ht="60" customHeight="1">
      <c r="A84" s="6" t="s">
        <v>329</v>
      </c>
      <c r="B84" s="6" t="s">
        <v>16</v>
      </c>
      <c r="C84" s="6" t="s">
        <v>12</v>
      </c>
      <c r="D84" s="7" t="s">
        <v>330</v>
      </c>
      <c r="E84" s="8" t="s">
        <v>331</v>
      </c>
      <c r="F84" s="6" t="s">
        <v>332</v>
      </c>
      <c r="G84" s="9">
        <f>IF(A84=1,"_",IF(C84="_","???",C84))</f>
        <v/>
      </c>
      <c r="H84" s="10" t="s">
        <v>12</v>
      </c>
      <c r="I84" s="11" t="s">
        <v>12</v>
      </c>
      <c r="J84" s="12"/>
    </row>
    <row r="85" spans="1:10" ht="60" customHeight="1">
      <c r="A85" s="6" t="s">
        <v>333</v>
      </c>
      <c r="B85" s="6" t="s">
        <v>16</v>
      </c>
      <c r="C85" s="6" t="s">
        <v>12</v>
      </c>
      <c r="D85" s="7" t="s">
        <v>334</v>
      </c>
      <c r="E85" s="8" t="s">
        <v>335</v>
      </c>
      <c r="F85" s="6" t="s">
        <v>336</v>
      </c>
      <c r="G85" s="9">
        <f>IF(A85=1,"_",IF(C85="_","???",C85))</f>
        <v/>
      </c>
      <c r="H85" s="10" t="s">
        <v>12</v>
      </c>
      <c r="I85" s="11" t="s">
        <v>12</v>
      </c>
      <c r="J85" s="12"/>
    </row>
    <row r="86" spans="1:10" ht="60" customHeight="1">
      <c r="A86" s="6" t="s">
        <v>337</v>
      </c>
      <c r="B86" s="6" t="s">
        <v>16</v>
      </c>
      <c r="C86" s="6" t="s">
        <v>12</v>
      </c>
      <c r="D86" s="7" t="s">
        <v>269</v>
      </c>
      <c r="E86" s="8" t="s">
        <v>338</v>
      </c>
      <c r="F86" s="6" t="s">
        <v>339</v>
      </c>
      <c r="G86" s="9">
        <f>IF(A86=1,"_",IF(C86="_","???",C86))</f>
        <v/>
      </c>
      <c r="H86" s="10" t="s">
        <v>12</v>
      </c>
      <c r="I86" s="11" t="s">
        <v>12</v>
      </c>
      <c r="J86" s="12"/>
    </row>
    <row r="87" spans="1:10" ht="60" customHeight="1">
      <c r="A87" s="6" t="s">
        <v>340</v>
      </c>
      <c r="B87" s="6" t="s">
        <v>28</v>
      </c>
      <c r="C87" s="6" t="s">
        <v>12</v>
      </c>
      <c r="D87" s="7" t="s">
        <v>341</v>
      </c>
      <c r="E87" s="8" t="s">
        <v>342</v>
      </c>
      <c r="F87" s="6" t="s">
        <v>343</v>
      </c>
      <c r="G87" s="9">
        <f>IF(A87=1,"_",IF(C87="_","???",C87))</f>
        <v/>
      </c>
      <c r="H87" s="10" t="s">
        <v>12</v>
      </c>
      <c r="I87" s="11" t="s">
        <v>12</v>
      </c>
      <c r="J87" s="12"/>
    </row>
    <row r="88" spans="1:10" ht="60" customHeight="1">
      <c r="A88" s="6" t="s">
        <v>344</v>
      </c>
      <c r="B88" s="6" t="s">
        <v>16</v>
      </c>
      <c r="C88" s="6" t="s">
        <v>12</v>
      </c>
      <c r="D88" s="7" t="s">
        <v>148</v>
      </c>
      <c r="E88" s="8" t="s">
        <v>345</v>
      </c>
      <c r="F88" s="6" t="s">
        <v>346</v>
      </c>
      <c r="G88" s="9">
        <f>IF(A88=1,"_",IF(C88="_","???",C88))</f>
        <v/>
      </c>
      <c r="H88" s="10" t="s">
        <v>12</v>
      </c>
      <c r="I88" s="11" t="s">
        <v>12</v>
      </c>
      <c r="J88" s="12"/>
    </row>
    <row r="89" spans="1:10" ht="60" customHeight="1">
      <c r="A89" s="6" t="s">
        <v>347</v>
      </c>
      <c r="B89" s="6" t="s">
        <v>16</v>
      </c>
      <c r="C89" s="6" t="s">
        <v>12</v>
      </c>
      <c r="D89" s="7" t="s">
        <v>348</v>
      </c>
      <c r="E89" s="8" t="s">
        <v>349</v>
      </c>
      <c r="F89" s="6" t="s">
        <v>350</v>
      </c>
      <c r="G89" s="9">
        <f>IF(A89=1,"_",IF(C89="_","???",C89))</f>
        <v/>
      </c>
      <c r="H89" s="10" t="s">
        <v>12</v>
      </c>
      <c r="I89" s="11" t="s">
        <v>12</v>
      </c>
      <c r="J89" s="12"/>
    </row>
    <row r="90" spans="1:10" ht="60" customHeight="1">
      <c r="A90" s="6" t="s">
        <v>351</v>
      </c>
      <c r="B90" s="6" t="s">
        <v>55</v>
      </c>
      <c r="C90" s="6" t="s">
        <v>12</v>
      </c>
      <c r="D90" s="7" t="s">
        <v>352</v>
      </c>
      <c r="E90" s="8" t="s">
        <v>353</v>
      </c>
      <c r="F90" s="6" t="s">
        <v>354</v>
      </c>
      <c r="G90" s="9">
        <f>IF(A90=1,"_",IF(C90="_","???",C90))</f>
        <v/>
      </c>
      <c r="H90" s="10" t="s">
        <v>12</v>
      </c>
      <c r="I90" s="11" t="s">
        <v>12</v>
      </c>
      <c r="J90" s="12"/>
    </row>
    <row r="91" spans="1:10" ht="60" customHeight="1">
      <c r="A91" s="6" t="s">
        <v>355</v>
      </c>
      <c r="B91" s="6" t="s">
        <v>16</v>
      </c>
      <c r="C91" s="6" t="s">
        <v>12</v>
      </c>
      <c r="D91" s="7" t="s">
        <v>356</v>
      </c>
      <c r="E91" s="8" t="s">
        <v>357</v>
      </c>
      <c r="F91" s="6" t="s">
        <v>358</v>
      </c>
      <c r="G91" s="9">
        <f>IF(A91=1,"_",IF(C91="_","???",C91))</f>
        <v/>
      </c>
      <c r="H91" s="10" t="s">
        <v>12</v>
      </c>
      <c r="I91" s="11" t="s">
        <v>12</v>
      </c>
      <c r="J91" s="12"/>
    </row>
    <row r="92" spans="1:10" ht="60" customHeight="1">
      <c r="A92" s="6" t="s">
        <v>359</v>
      </c>
      <c r="B92" s="6" t="s">
        <v>16</v>
      </c>
      <c r="C92" s="6" t="s">
        <v>12</v>
      </c>
      <c r="D92" s="7" t="s">
        <v>240</v>
      </c>
      <c r="E92" s="8" t="s">
        <v>360</v>
      </c>
      <c r="F92" s="6" t="s">
        <v>361</v>
      </c>
      <c r="G92" s="9">
        <f>IF(A92=1,"_",IF(C92="_","???",C92))</f>
        <v/>
      </c>
      <c r="H92" s="10" t="s">
        <v>12</v>
      </c>
      <c r="I92" s="11" t="s">
        <v>12</v>
      </c>
      <c r="J92" s="12"/>
    </row>
    <row r="93" spans="1:10" ht="60" customHeight="1">
      <c r="A93" s="6" t="s">
        <v>362</v>
      </c>
      <c r="B93" s="6" t="s">
        <v>16</v>
      </c>
      <c r="C93" s="6" t="s">
        <v>12</v>
      </c>
      <c r="D93" s="7" t="s">
        <v>363</v>
      </c>
      <c r="E93" s="8" t="s">
        <v>364</v>
      </c>
      <c r="F93" s="6" t="s">
        <v>365</v>
      </c>
      <c r="G93" s="9">
        <f>IF(A93=1,"_",IF(C93="_","???",C93))</f>
        <v/>
      </c>
      <c r="H93" s="10" t="s">
        <v>12</v>
      </c>
      <c r="I93" s="11" t="s">
        <v>12</v>
      </c>
      <c r="J93" s="12"/>
    </row>
    <row r="94" spans="1:10" ht="60" customHeight="1">
      <c r="A94" s="6" t="s">
        <v>366</v>
      </c>
      <c r="B94" s="6" t="s">
        <v>28</v>
      </c>
      <c r="C94" s="6" t="s">
        <v>367</v>
      </c>
      <c r="D94" s="7" t="s">
        <v>348</v>
      </c>
      <c r="E94" s="8" t="s">
        <v>368</v>
      </c>
      <c r="F94" s="6" t="s">
        <v>369</v>
      </c>
      <c r="G94" s="9">
        <f>IF(A94=1,"_",IF(C94="_","???",C94))</f>
        <v/>
      </c>
      <c r="H94" s="10" t="s">
        <v>12</v>
      </c>
      <c r="I94" s="11" t="s">
        <v>12</v>
      </c>
      <c r="J94" s="12"/>
    </row>
    <row r="95" spans="1:10" ht="60" customHeight="1">
      <c r="A95" s="6" t="s">
        <v>370</v>
      </c>
      <c r="B95" s="6" t="s">
        <v>16</v>
      </c>
      <c r="C95" s="6" t="s">
        <v>12</v>
      </c>
      <c r="D95" s="7" t="s">
        <v>371</v>
      </c>
      <c r="E95" s="8" t="s">
        <v>372</v>
      </c>
      <c r="F95" s="6" t="s">
        <v>373</v>
      </c>
      <c r="G95" s="9">
        <f>IF(A95=1,"_",IF(C95="_","???",C95))</f>
        <v/>
      </c>
      <c r="H95" s="10" t="s">
        <v>12</v>
      </c>
      <c r="I95" s="11" t="s">
        <v>12</v>
      </c>
      <c r="J95" s="12"/>
    </row>
    <row r="96" spans="1:10" ht="60" customHeight="1">
      <c r="A96" s="6" t="s">
        <v>374</v>
      </c>
      <c r="B96" s="6" t="s">
        <v>16</v>
      </c>
      <c r="C96" s="6" t="s">
        <v>12</v>
      </c>
      <c r="D96" s="7" t="s">
        <v>375</v>
      </c>
      <c r="E96" s="8" t="s">
        <v>376</v>
      </c>
      <c r="F96" s="6" t="s">
        <v>377</v>
      </c>
      <c r="G96" s="9">
        <f>IF(A96=1,"_",IF(C96="_","???",C96))</f>
        <v/>
      </c>
      <c r="H96" s="10" t="s">
        <v>12</v>
      </c>
      <c r="I96" s="11" t="s">
        <v>12</v>
      </c>
      <c r="J96" s="12"/>
    </row>
    <row r="97" spans="1:10" ht="60" customHeight="1">
      <c r="A97" s="6" t="s">
        <v>378</v>
      </c>
      <c r="B97" s="6" t="s">
        <v>11</v>
      </c>
      <c r="C97" s="6" t="s">
        <v>379</v>
      </c>
      <c r="D97" s="7" t="s">
        <v>380</v>
      </c>
      <c r="E97" s="8" t="s">
        <v>381</v>
      </c>
      <c r="F97" s="6" t="s">
        <v>382</v>
      </c>
      <c r="G97" s="9">
        <f>IF(A97=1,"_",IF(C97="_","???",C97))</f>
        <v/>
      </c>
      <c r="H97" s="10" t="s">
        <v>12</v>
      </c>
      <c r="I97" s="11" t="s">
        <v>12</v>
      </c>
      <c r="J97" s="12"/>
    </row>
    <row r="98" spans="1:10" ht="60" customHeight="1">
      <c r="A98" s="6" t="s">
        <v>383</v>
      </c>
      <c r="B98" s="6" t="s">
        <v>76</v>
      </c>
      <c r="C98" s="6" t="s">
        <v>12</v>
      </c>
      <c r="D98" s="7" t="s">
        <v>384</v>
      </c>
      <c r="E98" s="8" t="s">
        <v>385</v>
      </c>
      <c r="F98" s="6" t="s">
        <v>386</v>
      </c>
      <c r="G98" s="9">
        <f>IF(A98=1,"_",IF(C98="_","???",C98))</f>
        <v/>
      </c>
      <c r="H98" s="10" t="s">
        <v>12</v>
      </c>
      <c r="I98" s="11" t="s">
        <v>12</v>
      </c>
      <c r="J98" s="12"/>
    </row>
    <row r="99" spans="1:10" ht="60" customHeight="1">
      <c r="A99" s="6" t="s">
        <v>387</v>
      </c>
      <c r="B99" s="6" t="s">
        <v>32</v>
      </c>
      <c r="C99" s="6" t="s">
        <v>12</v>
      </c>
      <c r="D99" s="7" t="s">
        <v>388</v>
      </c>
      <c r="E99" s="8" t="s">
        <v>389</v>
      </c>
      <c r="F99" s="6" t="s">
        <v>390</v>
      </c>
      <c r="G99" s="9">
        <f>IF(A99=1,"_",IF(C99="_","???",C99))</f>
        <v/>
      </c>
      <c r="H99" s="10" t="s">
        <v>12</v>
      </c>
      <c r="I99" s="11" t="s">
        <v>12</v>
      </c>
      <c r="J99" s="12"/>
    </row>
    <row r="100" spans="1:10" ht="60" customHeight="1">
      <c r="A100" s="6" t="s">
        <v>391</v>
      </c>
      <c r="B100" s="6" t="s">
        <v>16</v>
      </c>
      <c r="C100" s="6" t="s">
        <v>12</v>
      </c>
      <c r="D100" s="7" t="s">
        <v>392</v>
      </c>
      <c r="E100" s="8" t="s">
        <v>393</v>
      </c>
      <c r="F100" s="6" t="s">
        <v>394</v>
      </c>
      <c r="G100" s="9">
        <f>IF(A100=1,"_",IF(C100="_","???",C100))</f>
        <v/>
      </c>
      <c r="H100" s="10" t="s">
        <v>12</v>
      </c>
      <c r="I100" s="11" t="s">
        <v>12</v>
      </c>
      <c r="J100" s="12"/>
    </row>
    <row r="101" spans="1:10" ht="60" customHeight="1">
      <c r="A101" s="6" t="s">
        <v>395</v>
      </c>
      <c r="B101" s="6" t="s">
        <v>24</v>
      </c>
      <c r="C101" s="6" t="s">
        <v>12</v>
      </c>
      <c r="D101" s="7" t="s">
        <v>396</v>
      </c>
      <c r="E101" s="8" t="s">
        <v>397</v>
      </c>
      <c r="F101" s="6" t="s">
        <v>398</v>
      </c>
      <c r="G101" s="9">
        <f>IF(A101=1,"_",IF(C101="_","???",C101))</f>
        <v/>
      </c>
      <c r="H101" s="10" t="s">
        <v>12</v>
      </c>
      <c r="I101" s="11" t="s">
        <v>12</v>
      </c>
      <c r="J101" s="12"/>
    </row>
    <row r="102" spans="1:10" ht="60" customHeight="1">
      <c r="A102" s="6" t="s">
        <v>399</v>
      </c>
      <c r="B102" s="6" t="s">
        <v>64</v>
      </c>
      <c r="C102" s="6" t="s">
        <v>12</v>
      </c>
      <c r="D102" s="7" t="s">
        <v>400</v>
      </c>
      <c r="E102" s="8" t="s">
        <v>401</v>
      </c>
      <c r="F102" s="6" t="s">
        <v>402</v>
      </c>
      <c r="G102" s="9">
        <f>IF(A102=1,"_",IF(C102="_","???",C102))</f>
        <v/>
      </c>
      <c r="H102" s="10" t="s">
        <v>12</v>
      </c>
      <c r="I102" s="11" t="s">
        <v>12</v>
      </c>
      <c r="J102" s="12"/>
    </row>
    <row r="103" spans="1:10" ht="60" customHeight="1">
      <c r="A103" s="6" t="s">
        <v>403</v>
      </c>
      <c r="B103" s="6" t="s">
        <v>16</v>
      </c>
      <c r="C103" s="6" t="s">
        <v>12</v>
      </c>
      <c r="D103" s="7" t="s">
        <v>371</v>
      </c>
      <c r="E103" s="8" t="s">
        <v>404</v>
      </c>
      <c r="F103" s="6" t="s">
        <v>405</v>
      </c>
      <c r="G103" s="9">
        <f>IF(A103=1,"_",IF(C103="_","???",C103))</f>
        <v/>
      </c>
      <c r="H103" s="10" t="s">
        <v>12</v>
      </c>
      <c r="I103" s="11" t="s">
        <v>12</v>
      </c>
      <c r="J103" s="12"/>
    </row>
    <row r="104" spans="1:10" ht="60" customHeight="1">
      <c r="A104" s="6" t="s">
        <v>406</v>
      </c>
      <c r="B104" s="6" t="s">
        <v>16</v>
      </c>
      <c r="C104" s="6" t="s">
        <v>12</v>
      </c>
      <c r="D104" s="7" t="s">
        <v>407</v>
      </c>
      <c r="E104" s="8" t="s">
        <v>408</v>
      </c>
      <c r="F104" s="6" t="s">
        <v>409</v>
      </c>
      <c r="G104" s="9">
        <f>IF(A104=1,"_",IF(C104="_","???",C104))</f>
        <v/>
      </c>
      <c r="H104" s="10" t="s">
        <v>12</v>
      </c>
      <c r="I104" s="11" t="s">
        <v>12</v>
      </c>
      <c r="J104" s="12"/>
    </row>
    <row r="105" spans="1:10" ht="60" customHeight="1">
      <c r="A105" s="6" t="s">
        <v>410</v>
      </c>
      <c r="B105" s="6" t="s">
        <v>45</v>
      </c>
      <c r="C105" s="6" t="s">
        <v>12</v>
      </c>
      <c r="D105" s="7" t="s">
        <v>411</v>
      </c>
      <c r="E105" s="8" t="s">
        <v>412</v>
      </c>
      <c r="F105" s="6" t="s">
        <v>413</v>
      </c>
      <c r="G105" s="9">
        <f>IF(A105=1,"_",IF(C105="_","???",C105))</f>
        <v/>
      </c>
      <c r="H105" s="10" t="s">
        <v>12</v>
      </c>
      <c r="I105" s="11" t="s">
        <v>12</v>
      </c>
      <c r="J105" s="12"/>
    </row>
    <row r="106" spans="1:10" ht="60" customHeight="1">
      <c r="A106" s="6" t="s">
        <v>414</v>
      </c>
      <c r="B106" s="6" t="s">
        <v>55</v>
      </c>
      <c r="C106" s="6" t="s">
        <v>12</v>
      </c>
      <c r="D106" s="7" t="s">
        <v>415</v>
      </c>
      <c r="E106" s="8" t="s">
        <v>416</v>
      </c>
      <c r="F106" s="6" t="s">
        <v>417</v>
      </c>
      <c r="G106" s="9">
        <f>IF(A106=1,"_",IF(C106="_","???",C106))</f>
        <v/>
      </c>
      <c r="H106" s="10" t="s">
        <v>12</v>
      </c>
      <c r="I106" s="11" t="s">
        <v>12</v>
      </c>
      <c r="J106" s="12"/>
    </row>
    <row r="107" spans="1:10" ht="60" customHeight="1">
      <c r="A107" s="6" t="s">
        <v>418</v>
      </c>
      <c r="B107" s="6" t="s">
        <v>11</v>
      </c>
      <c r="C107" s="6" t="s">
        <v>12</v>
      </c>
      <c r="D107" s="7" t="s">
        <v>419</v>
      </c>
      <c r="E107" s="8" t="s">
        <v>420</v>
      </c>
      <c r="F107" s="6" t="s">
        <v>421</v>
      </c>
      <c r="G107" s="9">
        <f>IF(A107=1,"_",IF(C107="_","???",C107))</f>
        <v/>
      </c>
      <c r="H107" s="10" t="s">
        <v>12</v>
      </c>
      <c r="I107" s="11" t="s">
        <v>12</v>
      </c>
      <c r="J107" s="12"/>
    </row>
    <row r="108" spans="1:10" ht="60" customHeight="1">
      <c r="A108" s="6" t="s">
        <v>422</v>
      </c>
      <c r="B108" s="6" t="s">
        <v>24</v>
      </c>
      <c r="C108" s="6" t="s">
        <v>12</v>
      </c>
      <c r="D108" s="7" t="s">
        <v>423</v>
      </c>
      <c r="E108" s="8" t="s">
        <v>424</v>
      </c>
      <c r="F108" s="6" t="s">
        <v>425</v>
      </c>
      <c r="G108" s="9">
        <f>IF(A108=1,"_",IF(C108="_","???",C108))</f>
        <v/>
      </c>
      <c r="H108" s="10" t="s">
        <v>12</v>
      </c>
      <c r="I108" s="11" t="s">
        <v>12</v>
      </c>
      <c r="J108" s="12"/>
    </row>
    <row r="109" spans="1:10" ht="60" customHeight="1">
      <c r="A109" s="6" t="s">
        <v>426</v>
      </c>
      <c r="B109" s="6" t="s">
        <v>45</v>
      </c>
      <c r="C109" s="6" t="s">
        <v>12</v>
      </c>
      <c r="D109" s="7" t="s">
        <v>137</v>
      </c>
      <c r="E109" s="8" t="s">
        <v>427</v>
      </c>
      <c r="F109" s="6" t="s">
        <v>428</v>
      </c>
      <c r="G109" s="9">
        <f>IF(A109=1,"_",IF(C109="_","???",C109))</f>
        <v/>
      </c>
      <c r="H109" s="10" t="s">
        <v>12</v>
      </c>
      <c r="I109" s="11" t="s">
        <v>12</v>
      </c>
      <c r="J109" s="12"/>
    </row>
    <row r="110" spans="1:10" ht="60" customHeight="1">
      <c r="A110" s="6" t="s">
        <v>429</v>
      </c>
      <c r="B110" s="6" t="s">
        <v>41</v>
      </c>
      <c r="C110" s="6" t="s">
        <v>12</v>
      </c>
      <c r="D110" s="7" t="s">
        <v>430</v>
      </c>
      <c r="E110" s="8" t="s">
        <v>431</v>
      </c>
      <c r="F110" s="6" t="s">
        <v>432</v>
      </c>
      <c r="G110" s="9">
        <f>IF(A110=1,"_",IF(C110="_","???",C110))</f>
        <v/>
      </c>
      <c r="H110" s="10" t="s">
        <v>12</v>
      </c>
      <c r="I110" s="11" t="s">
        <v>12</v>
      </c>
      <c r="J110" s="12"/>
    </row>
    <row r="111" spans="1:10" ht="60" customHeight="1">
      <c r="A111" s="6" t="s">
        <v>433</v>
      </c>
      <c r="B111" s="6" t="s">
        <v>32</v>
      </c>
      <c r="C111" s="6" t="s">
        <v>12</v>
      </c>
      <c r="D111" s="7" t="s">
        <v>211</v>
      </c>
      <c r="E111" s="8" t="s">
        <v>434</v>
      </c>
      <c r="F111" s="6" t="s">
        <v>435</v>
      </c>
      <c r="G111" s="9">
        <f>IF(A111=1,"_",IF(C111="_","???",C111))</f>
        <v/>
      </c>
      <c r="H111" s="10" t="s">
        <v>12</v>
      </c>
      <c r="I111" s="11" t="s">
        <v>12</v>
      </c>
      <c r="J111" s="12"/>
    </row>
    <row r="112" spans="1:10" ht="60" customHeight="1">
      <c r="A112" s="6" t="s">
        <v>436</v>
      </c>
      <c r="B112" s="6" t="s">
        <v>24</v>
      </c>
      <c r="C112" s="6" t="s">
        <v>12</v>
      </c>
      <c r="D112" s="7" t="s">
        <v>315</v>
      </c>
      <c r="E112" s="8" t="s">
        <v>437</v>
      </c>
      <c r="F112" s="6" t="s">
        <v>438</v>
      </c>
      <c r="G112" s="9">
        <f>IF(A112=1,"_",IF(C112="_","???",C112))</f>
        <v/>
      </c>
      <c r="H112" s="10" t="s">
        <v>12</v>
      </c>
      <c r="I112" s="11" t="s">
        <v>12</v>
      </c>
      <c r="J112" s="12"/>
    </row>
    <row r="113" spans="1:10" ht="60" customHeight="1">
      <c r="A113" s="6" t="s">
        <v>439</v>
      </c>
      <c r="B113" s="6" t="s">
        <v>10</v>
      </c>
      <c r="C113" s="6" t="s">
        <v>12</v>
      </c>
      <c r="D113" s="7" t="s">
        <v>440</v>
      </c>
      <c r="E113" s="8" t="s">
        <v>441</v>
      </c>
      <c r="F113" s="6" t="s">
        <v>442</v>
      </c>
      <c r="G113" s="9">
        <f>IF(A113=1,"_",IF(C113="_","???",C113))</f>
        <v/>
      </c>
      <c r="H113" s="10" t="s">
        <v>12</v>
      </c>
      <c r="I113" s="11" t="s">
        <v>12</v>
      </c>
      <c r="J113" s="12"/>
    </row>
    <row r="114" spans="1:10" ht="60" customHeight="1">
      <c r="A114" s="6" t="s">
        <v>443</v>
      </c>
      <c r="B114" s="6" t="s">
        <v>32</v>
      </c>
      <c r="C114" s="6" t="s">
        <v>12</v>
      </c>
      <c r="D114" s="7" t="s">
        <v>207</v>
      </c>
      <c r="E114" s="8" t="s">
        <v>444</v>
      </c>
      <c r="F114" s="6" t="s">
        <v>445</v>
      </c>
      <c r="G114" s="9">
        <f>IF(A114=1,"_",IF(C114="_","???",C114))</f>
        <v/>
      </c>
      <c r="H114" s="10" t="s">
        <v>12</v>
      </c>
      <c r="I114" s="11" t="s">
        <v>12</v>
      </c>
      <c r="J114" s="12"/>
    </row>
    <row r="115" spans="1:10" ht="60" customHeight="1">
      <c r="A115" s="6" t="s">
        <v>446</v>
      </c>
      <c r="B115" s="6" t="s">
        <v>32</v>
      </c>
      <c r="C115" s="6" t="s">
        <v>12</v>
      </c>
      <c r="D115" s="7" t="s">
        <v>447</v>
      </c>
      <c r="E115" s="8" t="s">
        <v>448</v>
      </c>
      <c r="F115" s="6" t="s">
        <v>449</v>
      </c>
      <c r="G115" s="9">
        <f>IF(A115=1,"_",IF(C115="_","???",C115))</f>
        <v/>
      </c>
      <c r="H115" s="10" t="s">
        <v>12</v>
      </c>
      <c r="I115" s="11" t="s">
        <v>12</v>
      </c>
      <c r="J115" s="12"/>
    </row>
    <row r="116" spans="1:10" ht="60" customHeight="1">
      <c r="A116" s="6" t="s">
        <v>450</v>
      </c>
      <c r="B116" s="6" t="s">
        <v>59</v>
      </c>
      <c r="C116" s="6" t="s">
        <v>12</v>
      </c>
      <c r="D116" s="7" t="s">
        <v>451</v>
      </c>
      <c r="E116" s="8" t="s">
        <v>452</v>
      </c>
      <c r="F116" s="6" t="s">
        <v>453</v>
      </c>
      <c r="G116" s="9">
        <f>IF(A116=1,"_",IF(C116="_","???",C116))</f>
        <v/>
      </c>
      <c r="H116" s="10" t="s">
        <v>12</v>
      </c>
      <c r="I116" s="11" t="s">
        <v>12</v>
      </c>
      <c r="J116" s="12"/>
    </row>
    <row r="117" spans="1:10" ht="60" customHeight="1">
      <c r="A117" s="6" t="s">
        <v>454</v>
      </c>
      <c r="B117" s="6" t="s">
        <v>52</v>
      </c>
      <c r="C117" s="6" t="s">
        <v>12</v>
      </c>
      <c r="D117" s="7" t="s">
        <v>371</v>
      </c>
      <c r="E117" s="8" t="s">
        <v>455</v>
      </c>
      <c r="F117" s="6" t="s">
        <v>456</v>
      </c>
      <c r="G117" s="9">
        <f>IF(A117=1,"_",IF(C117="_","???",C117))</f>
        <v/>
      </c>
      <c r="H117" s="10" t="s">
        <v>12</v>
      </c>
      <c r="I117" s="11" t="s">
        <v>12</v>
      </c>
      <c r="J117" s="12"/>
    </row>
    <row r="118" spans="1:10" ht="60" customHeight="1">
      <c r="A118" s="6" t="s">
        <v>457</v>
      </c>
      <c r="B118" s="6" t="s">
        <v>11</v>
      </c>
      <c r="C118" s="6" t="s">
        <v>12</v>
      </c>
      <c r="D118" s="7" t="s">
        <v>458</v>
      </c>
      <c r="E118" s="8" t="s">
        <v>459</v>
      </c>
      <c r="F118" s="6" t="s">
        <v>460</v>
      </c>
      <c r="G118" s="9">
        <f>IF(A118=1,"_",IF(C118="_","???",C118))</f>
        <v/>
      </c>
      <c r="H118" s="10" t="s">
        <v>12</v>
      </c>
      <c r="I118" s="11" t="s">
        <v>12</v>
      </c>
      <c r="J118" s="12"/>
    </row>
    <row r="119" spans="1:10" ht="60" customHeight="1">
      <c r="A119" s="6" t="s">
        <v>461</v>
      </c>
      <c r="B119" s="6" t="s">
        <v>16</v>
      </c>
      <c r="C119" s="6" t="s">
        <v>12</v>
      </c>
      <c r="D119" s="7" t="s">
        <v>462</v>
      </c>
      <c r="E119" s="8" t="s">
        <v>463</v>
      </c>
      <c r="F119" s="6" t="s">
        <v>464</v>
      </c>
      <c r="G119" s="9">
        <f>IF(A119=1,"_",IF(C119="_","???",C119))</f>
        <v/>
      </c>
      <c r="H119" s="10" t="s">
        <v>12</v>
      </c>
      <c r="I119" s="11" t="s">
        <v>12</v>
      </c>
      <c r="J119" s="12"/>
    </row>
    <row r="120" spans="1:10" ht="60" customHeight="1">
      <c r="A120" s="6" t="s">
        <v>465</v>
      </c>
      <c r="B120" s="6" t="s">
        <v>59</v>
      </c>
      <c r="C120" s="6" t="s">
        <v>12</v>
      </c>
      <c r="D120" s="7" t="s">
        <v>466</v>
      </c>
      <c r="E120" s="8" t="s">
        <v>467</v>
      </c>
      <c r="F120" s="6" t="s">
        <v>468</v>
      </c>
      <c r="G120" s="9">
        <f>IF(A120=1,"_",IF(C120="_","???",C120))</f>
        <v/>
      </c>
      <c r="H120" s="10" t="s">
        <v>12</v>
      </c>
      <c r="I120" s="11" t="s">
        <v>12</v>
      </c>
      <c r="J120" s="12"/>
    </row>
    <row r="121" spans="1:10" ht="60" customHeight="1">
      <c r="A121" s="6" t="s">
        <v>469</v>
      </c>
      <c r="B121" s="6" t="s">
        <v>36</v>
      </c>
      <c r="C121" s="6" t="s">
        <v>12</v>
      </c>
      <c r="D121" s="7" t="s">
        <v>277</v>
      </c>
      <c r="E121" s="8" t="s">
        <v>470</v>
      </c>
      <c r="F121" s="6" t="s">
        <v>471</v>
      </c>
      <c r="G121" s="9">
        <f>IF(A121=1,"_",IF(C121="_","???",C121))</f>
        <v/>
      </c>
      <c r="H121" s="10" t="s">
        <v>12</v>
      </c>
      <c r="I121" s="11" t="s">
        <v>12</v>
      </c>
      <c r="J121" s="12"/>
    </row>
    <row r="122" spans="1:10" ht="60" customHeight="1">
      <c r="A122" s="6" t="s">
        <v>472</v>
      </c>
      <c r="B122" s="6" t="s">
        <v>28</v>
      </c>
      <c r="C122" s="6" t="s">
        <v>12</v>
      </c>
      <c r="D122" s="7" t="s">
        <v>473</v>
      </c>
      <c r="E122" s="8" t="s">
        <v>474</v>
      </c>
      <c r="F122" s="6" t="s">
        <v>475</v>
      </c>
      <c r="G122" s="9">
        <f>IF(A122=1,"_",IF(C122="_","???",C122))</f>
        <v/>
      </c>
      <c r="H122" s="10" t="s">
        <v>12</v>
      </c>
      <c r="I122" s="11" t="s">
        <v>12</v>
      </c>
      <c r="J122" s="12"/>
    </row>
    <row r="123" spans="1:10" ht="60" customHeight="1">
      <c r="A123" s="6" t="s">
        <v>476</v>
      </c>
      <c r="B123" s="6" t="s">
        <v>32</v>
      </c>
      <c r="C123" s="6" t="s">
        <v>12</v>
      </c>
      <c r="D123" s="7" t="s">
        <v>477</v>
      </c>
      <c r="E123" s="8" t="s">
        <v>478</v>
      </c>
      <c r="F123" s="6" t="s">
        <v>479</v>
      </c>
      <c r="G123" s="9">
        <f>IF(A123=1,"_",IF(C123="_","???",C123))</f>
        <v/>
      </c>
      <c r="H123" s="10" t="s">
        <v>12</v>
      </c>
      <c r="I123" s="11" t="s">
        <v>12</v>
      </c>
      <c r="J123" s="12"/>
    </row>
    <row r="124" spans="1:10" ht="60" customHeight="1">
      <c r="A124" s="6" t="s">
        <v>480</v>
      </c>
      <c r="B124" s="6" t="s">
        <v>16</v>
      </c>
      <c r="C124" s="6" t="s">
        <v>12</v>
      </c>
      <c r="D124" s="7" t="s">
        <v>481</v>
      </c>
      <c r="E124" s="8" t="s">
        <v>482</v>
      </c>
      <c r="F124" s="6" t="s">
        <v>483</v>
      </c>
      <c r="G124" s="9">
        <f>IF(A124=1,"_",IF(C124="_","???",C124))</f>
        <v/>
      </c>
      <c r="H124" s="10" t="s">
        <v>12</v>
      </c>
      <c r="I124" s="11" t="s">
        <v>12</v>
      </c>
      <c r="J124" s="12"/>
    </row>
    <row r="125" spans="1:10" ht="60" customHeight="1">
      <c r="A125" s="6" t="s">
        <v>484</v>
      </c>
      <c r="B125" s="6" t="s">
        <v>11</v>
      </c>
      <c r="C125" s="6" t="s">
        <v>12</v>
      </c>
      <c r="D125" s="7" t="s">
        <v>485</v>
      </c>
      <c r="E125" s="8" t="s">
        <v>486</v>
      </c>
      <c r="F125" s="6" t="s">
        <v>487</v>
      </c>
      <c r="G125" s="9">
        <f>IF(A125=1,"_",IF(C125="_","???",C125))</f>
        <v/>
      </c>
      <c r="H125" s="10" t="s">
        <v>12</v>
      </c>
      <c r="I125" s="11" t="s">
        <v>12</v>
      </c>
      <c r="J125" s="12"/>
    </row>
    <row r="126" spans="1:10" ht="60" customHeight="1">
      <c r="A126" s="6" t="s">
        <v>488</v>
      </c>
      <c r="B126" s="6" t="s">
        <v>16</v>
      </c>
      <c r="C126" s="6" t="s">
        <v>12</v>
      </c>
      <c r="D126" s="7" t="s">
        <v>447</v>
      </c>
      <c r="E126" s="8" t="s">
        <v>489</v>
      </c>
      <c r="F126" s="6" t="s">
        <v>490</v>
      </c>
      <c r="G126" s="9">
        <f>IF(A126=1,"_",IF(C126="_","???",C126))</f>
        <v/>
      </c>
      <c r="H126" s="10" t="s">
        <v>12</v>
      </c>
      <c r="I126" s="11" t="s">
        <v>12</v>
      </c>
      <c r="J126" s="12"/>
    </row>
    <row r="127" spans="1:10" ht="60" customHeight="1">
      <c r="A127" s="6" t="s">
        <v>491</v>
      </c>
      <c r="B127" s="6" t="s">
        <v>76</v>
      </c>
      <c r="C127" s="6" t="s">
        <v>12</v>
      </c>
      <c r="D127" s="7" t="s">
        <v>447</v>
      </c>
      <c r="E127" s="8" t="s">
        <v>492</v>
      </c>
      <c r="F127" s="6" t="s">
        <v>493</v>
      </c>
      <c r="G127" s="9">
        <f>IF(A127=1,"_",IF(C127="_","???",C127))</f>
        <v/>
      </c>
      <c r="H127" s="10" t="s">
        <v>12</v>
      </c>
      <c r="I127" s="11" t="s">
        <v>12</v>
      </c>
      <c r="J127" s="12"/>
    </row>
    <row r="128" spans="1:10" ht="60" customHeight="1">
      <c r="A128" s="6" t="s">
        <v>494</v>
      </c>
      <c r="B128" s="6" t="s">
        <v>52</v>
      </c>
      <c r="C128" s="6" t="s">
        <v>12</v>
      </c>
      <c r="D128" s="7" t="s">
        <v>371</v>
      </c>
      <c r="E128" s="8" t="s">
        <v>495</v>
      </c>
      <c r="F128" s="6" t="s">
        <v>496</v>
      </c>
      <c r="G128" s="9">
        <f>IF(A128=1,"_",IF(C128="_","???",C128))</f>
        <v/>
      </c>
      <c r="H128" s="10" t="s">
        <v>12</v>
      </c>
      <c r="I128" s="11" t="s">
        <v>12</v>
      </c>
      <c r="J128" s="12"/>
    </row>
    <row r="129" spans="1:10" ht="60" customHeight="1">
      <c r="A129" s="6" t="s">
        <v>497</v>
      </c>
      <c r="B129" s="6" t="s">
        <v>28</v>
      </c>
      <c r="C129" s="6" t="s">
        <v>12</v>
      </c>
      <c r="D129" s="7" t="s">
        <v>498</v>
      </c>
      <c r="E129" s="8" t="s">
        <v>499</v>
      </c>
      <c r="F129" s="6" t="s">
        <v>500</v>
      </c>
      <c r="G129" s="9">
        <f>IF(A129=1,"_",IF(C129="_","???",C129))</f>
        <v/>
      </c>
      <c r="H129" s="10" t="s">
        <v>12</v>
      </c>
      <c r="I129" s="11" t="s">
        <v>12</v>
      </c>
      <c r="J129" s="12"/>
    </row>
    <row r="130" spans="1:10" ht="60" customHeight="1">
      <c r="A130" s="6" t="s">
        <v>501</v>
      </c>
      <c r="B130" s="6" t="s">
        <v>16</v>
      </c>
      <c r="C130" s="6" t="s">
        <v>12</v>
      </c>
      <c r="D130" s="7" t="s">
        <v>371</v>
      </c>
      <c r="E130" s="8" t="s">
        <v>502</v>
      </c>
      <c r="F130" s="6" t="s">
        <v>503</v>
      </c>
      <c r="G130" s="9">
        <f>IF(A130=1,"_",IF(C130="_","???",C130))</f>
        <v/>
      </c>
      <c r="H130" s="10" t="s">
        <v>12</v>
      </c>
      <c r="I130" s="11" t="s">
        <v>12</v>
      </c>
      <c r="J130" s="12"/>
    </row>
    <row r="131" spans="1:10" ht="60" customHeight="1">
      <c r="A131" s="6" t="s">
        <v>504</v>
      </c>
      <c r="B131" s="6" t="s">
        <v>10</v>
      </c>
      <c r="C131" s="6" t="s">
        <v>379</v>
      </c>
      <c r="D131" s="7" t="s">
        <v>505</v>
      </c>
      <c r="E131" s="8" t="s">
        <v>506</v>
      </c>
      <c r="F131" s="6" t="s">
        <v>507</v>
      </c>
      <c r="G131" s="9">
        <f>IF(A131=1,"_",IF(C131="_","???",C131))</f>
        <v/>
      </c>
      <c r="H131" s="10" t="s">
        <v>12</v>
      </c>
      <c r="I131" s="11" t="s">
        <v>12</v>
      </c>
      <c r="J131" s="12"/>
    </row>
    <row r="132" spans="1:10" ht="60" customHeight="1">
      <c r="A132" s="6" t="s">
        <v>508</v>
      </c>
      <c r="B132" s="6" t="s">
        <v>28</v>
      </c>
      <c r="C132" s="6" t="s">
        <v>12</v>
      </c>
      <c r="D132" s="7" t="s">
        <v>371</v>
      </c>
      <c r="E132" s="8" t="s">
        <v>509</v>
      </c>
      <c r="F132" s="6" t="s">
        <v>510</v>
      </c>
      <c r="G132" s="9">
        <f>IF(A132=1,"_",IF(C132="_","???",C132))</f>
        <v/>
      </c>
      <c r="H132" s="10" t="s">
        <v>12</v>
      </c>
      <c r="I132" s="11" t="s">
        <v>12</v>
      </c>
      <c r="J132" s="12"/>
    </row>
    <row r="133" spans="1:10" ht="60" customHeight="1">
      <c r="A133" s="6" t="s">
        <v>511</v>
      </c>
      <c r="B133" s="6" t="s">
        <v>16</v>
      </c>
      <c r="C133" s="6" t="s">
        <v>12</v>
      </c>
      <c r="D133" s="7" t="s">
        <v>207</v>
      </c>
      <c r="E133" s="8" t="s">
        <v>512</v>
      </c>
      <c r="F133" s="6" t="s">
        <v>513</v>
      </c>
      <c r="G133" s="9">
        <f>IF(A133=1,"_",IF(C133="_","???",C133))</f>
        <v/>
      </c>
      <c r="H133" s="10" t="s">
        <v>12</v>
      </c>
      <c r="I133" s="11" t="s">
        <v>12</v>
      </c>
      <c r="J133" s="12"/>
    </row>
    <row r="134" spans="1:10" ht="60" customHeight="1">
      <c r="A134" s="6" t="s">
        <v>514</v>
      </c>
      <c r="B134" s="6" t="s">
        <v>32</v>
      </c>
      <c r="C134" s="6" t="s">
        <v>12</v>
      </c>
      <c r="D134" s="7" t="s">
        <v>515</v>
      </c>
      <c r="E134" s="8" t="s">
        <v>516</v>
      </c>
      <c r="F134" s="6" t="s">
        <v>517</v>
      </c>
      <c r="G134" s="9">
        <f>IF(A134=1,"_",IF(C134="_","???",C134))</f>
        <v/>
      </c>
      <c r="H134" s="10" t="s">
        <v>12</v>
      </c>
      <c r="I134" s="11" t="s">
        <v>12</v>
      </c>
      <c r="J134" s="12"/>
    </row>
    <row r="135" spans="1:10" ht="60" customHeight="1">
      <c r="A135" s="6" t="s">
        <v>518</v>
      </c>
      <c r="B135" s="6" t="s">
        <v>11</v>
      </c>
      <c r="C135" s="6" t="s">
        <v>12</v>
      </c>
      <c r="D135" s="7" t="s">
        <v>277</v>
      </c>
      <c r="E135" s="8" t="s">
        <v>519</v>
      </c>
      <c r="F135" s="6" t="s">
        <v>520</v>
      </c>
      <c r="G135" s="9">
        <f>IF(A135=1,"_",IF(C135="_","???",C135))</f>
        <v/>
      </c>
      <c r="H135" s="10" t="s">
        <v>12</v>
      </c>
      <c r="I135" s="11" t="s">
        <v>12</v>
      </c>
      <c r="J135" s="12"/>
    </row>
    <row r="136" spans="1:10" ht="60" customHeight="1">
      <c r="A136" s="6" t="s">
        <v>521</v>
      </c>
      <c r="B136" s="6" t="s">
        <v>32</v>
      </c>
      <c r="C136" s="6" t="s">
        <v>12</v>
      </c>
      <c r="D136" s="7" t="s">
        <v>522</v>
      </c>
      <c r="E136" s="8" t="s">
        <v>523</v>
      </c>
      <c r="F136" s="6" t="s">
        <v>524</v>
      </c>
      <c r="G136" s="9">
        <f>IF(A136=1,"_",IF(C136="_","???",C136))</f>
        <v/>
      </c>
      <c r="H136" s="10" t="s">
        <v>12</v>
      </c>
      <c r="I136" s="11" t="s">
        <v>12</v>
      </c>
      <c r="J136" s="12"/>
    </row>
    <row r="137" spans="1:10" ht="60" customHeight="1">
      <c r="A137" s="6" t="s">
        <v>525</v>
      </c>
      <c r="B137" s="6" t="s">
        <v>41</v>
      </c>
      <c r="C137" s="6" t="s">
        <v>12</v>
      </c>
      <c r="D137" s="7" t="s">
        <v>526</v>
      </c>
      <c r="E137" s="8" t="s">
        <v>527</v>
      </c>
      <c r="F137" s="6" t="s">
        <v>528</v>
      </c>
      <c r="G137" s="9">
        <f>IF(A137=1,"_",IF(C137="_","???",C137))</f>
        <v/>
      </c>
      <c r="H137" s="10" t="s">
        <v>12</v>
      </c>
      <c r="I137" s="11" t="s">
        <v>12</v>
      </c>
      <c r="J137" s="12"/>
    </row>
    <row r="138" spans="1:10" ht="60" customHeight="1">
      <c r="A138" s="6" t="s">
        <v>529</v>
      </c>
      <c r="B138" s="6" t="s">
        <v>11</v>
      </c>
      <c r="C138" s="6" t="s">
        <v>12</v>
      </c>
      <c r="D138" s="7" t="s">
        <v>187</v>
      </c>
      <c r="E138" s="8" t="s">
        <v>530</v>
      </c>
      <c r="F138" s="6" t="s">
        <v>531</v>
      </c>
      <c r="G138" s="9">
        <f>IF(A138=1,"_",IF(C138="_","???",C138))</f>
        <v/>
      </c>
      <c r="H138" s="10" t="s">
        <v>12</v>
      </c>
      <c r="I138" s="11" t="s">
        <v>12</v>
      </c>
      <c r="J138" s="12"/>
    </row>
    <row r="139" spans="1:10" ht="60" customHeight="1">
      <c r="A139" s="6" t="s">
        <v>532</v>
      </c>
      <c r="B139" s="6" t="s">
        <v>24</v>
      </c>
      <c r="C139" s="6" t="s">
        <v>12</v>
      </c>
      <c r="D139" s="7" t="s">
        <v>533</v>
      </c>
      <c r="E139" s="8" t="s">
        <v>534</v>
      </c>
      <c r="F139" s="6" t="s">
        <v>535</v>
      </c>
      <c r="G139" s="9">
        <f>IF(A139=1,"_",IF(C139="_","???",C139))</f>
        <v/>
      </c>
      <c r="H139" s="10" t="s">
        <v>12</v>
      </c>
      <c r="I139" s="11" t="s">
        <v>12</v>
      </c>
      <c r="J139" s="12"/>
    </row>
    <row r="140" spans="1:10" ht="60" customHeight="1">
      <c r="A140" s="6" t="s">
        <v>536</v>
      </c>
      <c r="B140" s="6" t="s">
        <v>11</v>
      </c>
      <c r="C140" s="6" t="s">
        <v>12</v>
      </c>
      <c r="D140" s="7" t="s">
        <v>187</v>
      </c>
      <c r="E140" s="8" t="s">
        <v>537</v>
      </c>
      <c r="F140" s="6" t="s">
        <v>538</v>
      </c>
      <c r="G140" s="9">
        <f>IF(A140=1,"_",IF(C140="_","???",C140))</f>
        <v/>
      </c>
      <c r="H140" s="10" t="s">
        <v>12</v>
      </c>
      <c r="I140" s="11" t="s">
        <v>12</v>
      </c>
      <c r="J140" s="12"/>
    </row>
    <row r="141" spans="1:10" ht="60" customHeight="1">
      <c r="A141" s="6" t="s">
        <v>539</v>
      </c>
      <c r="B141" s="6" t="s">
        <v>11</v>
      </c>
      <c r="C141" s="6" t="s">
        <v>12</v>
      </c>
      <c r="D141" s="7" t="s">
        <v>269</v>
      </c>
      <c r="E141" s="8" t="s">
        <v>540</v>
      </c>
      <c r="F141" s="6" t="s">
        <v>541</v>
      </c>
      <c r="G141" s="9">
        <f>IF(A141=1,"_",IF(C141="_","???",C141))</f>
        <v/>
      </c>
      <c r="H141" s="10" t="s">
        <v>12</v>
      </c>
      <c r="I141" s="11" t="s">
        <v>12</v>
      </c>
      <c r="J141" s="12"/>
    </row>
    <row r="142" spans="1:10" ht="60" customHeight="1">
      <c r="A142" s="6" t="s">
        <v>542</v>
      </c>
      <c r="B142" s="6" t="s">
        <v>10</v>
      </c>
      <c r="C142" s="6" t="s">
        <v>12</v>
      </c>
      <c r="D142" s="7" t="s">
        <v>543</v>
      </c>
      <c r="E142" s="8" t="s">
        <v>544</v>
      </c>
      <c r="F142" s="6" t="s">
        <v>545</v>
      </c>
      <c r="G142" s="9">
        <f>IF(A142=1,"_",IF(C142="_","???",C142))</f>
        <v/>
      </c>
      <c r="H142" s="10" t="s">
        <v>12</v>
      </c>
      <c r="I142" s="11" t="s">
        <v>12</v>
      </c>
      <c r="J142" s="12"/>
    </row>
    <row r="143" spans="1:10" ht="60" customHeight="1">
      <c r="A143" s="6" t="s">
        <v>546</v>
      </c>
      <c r="B143" s="6" t="s">
        <v>16</v>
      </c>
      <c r="C143" s="6" t="s">
        <v>12</v>
      </c>
      <c r="D143" s="7" t="s">
        <v>547</v>
      </c>
      <c r="E143" s="8" t="s">
        <v>548</v>
      </c>
      <c r="F143" s="6" t="s">
        <v>549</v>
      </c>
      <c r="G143" s="9">
        <f>IF(A143=1,"_",IF(C143="_","???",C143))</f>
        <v/>
      </c>
      <c r="H143" s="10" t="s">
        <v>12</v>
      </c>
      <c r="I143" s="11" t="s">
        <v>12</v>
      </c>
      <c r="J143" s="12"/>
    </row>
    <row r="144" spans="1:10" ht="60" customHeight="1">
      <c r="A144" s="6" t="s">
        <v>550</v>
      </c>
      <c r="B144" s="6" t="s">
        <v>16</v>
      </c>
      <c r="C144" s="6" t="s">
        <v>12</v>
      </c>
      <c r="D144" s="7" t="s">
        <v>551</v>
      </c>
      <c r="E144" s="8" t="s">
        <v>552</v>
      </c>
      <c r="F144" s="6" t="s">
        <v>553</v>
      </c>
      <c r="G144" s="9">
        <f>IF(A144=1,"_",IF(C144="_","???",C144))</f>
        <v/>
      </c>
      <c r="H144" s="10" t="s">
        <v>12</v>
      </c>
      <c r="I144" s="11" t="s">
        <v>12</v>
      </c>
      <c r="J144" s="12"/>
    </row>
    <row r="145" spans="1:10" ht="60" customHeight="1">
      <c r="A145" s="6" t="s">
        <v>554</v>
      </c>
      <c r="B145" s="6" t="s">
        <v>11</v>
      </c>
      <c r="C145" s="6" t="s">
        <v>12</v>
      </c>
      <c r="D145" s="7" t="s">
        <v>555</v>
      </c>
      <c r="E145" s="8" t="s">
        <v>556</v>
      </c>
      <c r="F145" s="6" t="s">
        <v>557</v>
      </c>
      <c r="G145" s="9">
        <f>IF(A145=1,"_",IF(C145="_","???",C145))</f>
        <v/>
      </c>
      <c r="H145" s="10" t="s">
        <v>12</v>
      </c>
      <c r="I145" s="11" t="s">
        <v>12</v>
      </c>
      <c r="J145" s="12"/>
    </row>
    <row r="146" spans="1:10" ht="60" customHeight="1">
      <c r="A146" s="6" t="s">
        <v>558</v>
      </c>
      <c r="B146" s="6" t="s">
        <v>16</v>
      </c>
      <c r="C146" s="6" t="s">
        <v>12</v>
      </c>
      <c r="D146" s="7" t="s">
        <v>277</v>
      </c>
      <c r="E146" s="8" t="s">
        <v>559</v>
      </c>
      <c r="F146" s="6" t="s">
        <v>560</v>
      </c>
      <c r="G146" s="9">
        <f>IF(A146=1,"_",IF(C146="_","???",C146))</f>
        <v/>
      </c>
      <c r="H146" s="10" t="s">
        <v>12</v>
      </c>
      <c r="I146" s="11" t="s">
        <v>12</v>
      </c>
      <c r="J146" s="12"/>
    </row>
    <row r="147" spans="1:10" ht="60" customHeight="1">
      <c r="A147" s="6" t="s">
        <v>561</v>
      </c>
      <c r="B147" s="6" t="s">
        <v>16</v>
      </c>
      <c r="C147" s="6" t="s">
        <v>12</v>
      </c>
      <c r="D147" s="7" t="s">
        <v>562</v>
      </c>
      <c r="E147" s="8" t="s">
        <v>563</v>
      </c>
      <c r="F147" s="6" t="s">
        <v>564</v>
      </c>
      <c r="G147" s="9">
        <f>IF(A147=1,"_",IF(C147="_","???",C147))</f>
        <v/>
      </c>
      <c r="H147" s="10" t="s">
        <v>12</v>
      </c>
      <c r="I147" s="11" t="s">
        <v>12</v>
      </c>
      <c r="J147" s="12"/>
    </row>
    <row r="148" spans="1:10" ht="60" customHeight="1">
      <c r="A148" s="6" t="s">
        <v>565</v>
      </c>
      <c r="B148" s="6" t="s">
        <v>28</v>
      </c>
      <c r="C148" s="6" t="s">
        <v>12</v>
      </c>
      <c r="D148" s="7" t="s">
        <v>566</v>
      </c>
      <c r="E148" s="8" t="s">
        <v>567</v>
      </c>
      <c r="F148" s="6" t="s">
        <v>568</v>
      </c>
      <c r="G148" s="9">
        <f>IF(A148=1,"_",IF(C148="_","???",C148))</f>
        <v/>
      </c>
      <c r="H148" s="10" t="s">
        <v>12</v>
      </c>
      <c r="I148" s="11" t="s">
        <v>12</v>
      </c>
      <c r="J148" s="12"/>
    </row>
    <row r="149" spans="1:10" ht="60" customHeight="1">
      <c r="A149" s="6" t="s">
        <v>569</v>
      </c>
      <c r="B149" s="6" t="s">
        <v>49</v>
      </c>
      <c r="C149" s="6" t="s">
        <v>12</v>
      </c>
      <c r="D149" s="7" t="s">
        <v>570</v>
      </c>
      <c r="E149" s="8" t="s">
        <v>571</v>
      </c>
      <c r="F149" s="6" t="s">
        <v>572</v>
      </c>
      <c r="G149" s="9">
        <f>IF(A149=1,"_",IF(C149="_","???",C149))</f>
        <v/>
      </c>
      <c r="H149" s="10" t="s">
        <v>12</v>
      </c>
      <c r="I149" s="11" t="s">
        <v>12</v>
      </c>
      <c r="J149" s="12"/>
    </row>
    <row r="150" spans="1:10" ht="60" customHeight="1">
      <c r="A150" s="6" t="s">
        <v>573</v>
      </c>
      <c r="B150" s="6" t="s">
        <v>16</v>
      </c>
      <c r="C150" s="6" t="s">
        <v>12</v>
      </c>
      <c r="D150" s="7" t="s">
        <v>175</v>
      </c>
      <c r="E150" s="8" t="s">
        <v>574</v>
      </c>
      <c r="F150" s="6" t="s">
        <v>575</v>
      </c>
      <c r="G150" s="9">
        <f>IF(A150=1,"_",IF(C150="_","???",C150))</f>
        <v/>
      </c>
      <c r="H150" s="10" t="s">
        <v>12</v>
      </c>
      <c r="I150" s="11" t="s">
        <v>12</v>
      </c>
      <c r="J150" s="12"/>
    </row>
    <row r="151" spans="1:10" ht="60" customHeight="1">
      <c r="A151" s="6" t="s">
        <v>576</v>
      </c>
      <c r="B151" s="6" t="s">
        <v>10</v>
      </c>
      <c r="C151" s="6" t="s">
        <v>12</v>
      </c>
      <c r="D151" s="7" t="s">
        <v>577</v>
      </c>
      <c r="E151" s="8" t="s">
        <v>578</v>
      </c>
      <c r="F151" s="6" t="s">
        <v>579</v>
      </c>
      <c r="G151" s="9">
        <f>IF(A151=1,"_",IF(C151="_","???",C151))</f>
        <v/>
      </c>
      <c r="H151" s="10" t="s">
        <v>12</v>
      </c>
      <c r="I151" s="11" t="s">
        <v>12</v>
      </c>
      <c r="J151" s="12"/>
    </row>
    <row r="152" spans="1:10" ht="60" customHeight="1">
      <c r="A152" s="6" t="s">
        <v>580</v>
      </c>
      <c r="B152" s="6" t="s">
        <v>16</v>
      </c>
      <c r="C152" s="6" t="s">
        <v>12</v>
      </c>
      <c r="D152" s="7" t="s">
        <v>175</v>
      </c>
      <c r="E152" s="8" t="s">
        <v>581</v>
      </c>
      <c r="F152" s="6" t="s">
        <v>582</v>
      </c>
      <c r="G152" s="9">
        <f>IF(A152=1,"_",IF(C152="_","???",C152))</f>
        <v/>
      </c>
      <c r="H152" s="10" t="s">
        <v>12</v>
      </c>
      <c r="I152" s="11" t="s">
        <v>12</v>
      </c>
      <c r="J152" s="12"/>
    </row>
    <row r="153" spans="1:10" ht="60" customHeight="1">
      <c r="A153" s="6" t="s">
        <v>583</v>
      </c>
      <c r="B153" s="6" t="s">
        <v>16</v>
      </c>
      <c r="C153" s="6" t="s">
        <v>252</v>
      </c>
      <c r="D153" s="7" t="s">
        <v>584</v>
      </c>
      <c r="E153" s="8" t="s">
        <v>585</v>
      </c>
      <c r="F153" s="6" t="s">
        <v>586</v>
      </c>
      <c r="G153" s="9">
        <f>IF(A153=1,"_",IF(C153="_","???",C153))</f>
        <v/>
      </c>
      <c r="H153" s="10" t="s">
        <v>12</v>
      </c>
      <c r="I153" s="11" t="s">
        <v>12</v>
      </c>
      <c r="J153" s="12"/>
    </row>
    <row r="154" spans="1:10" ht="60" customHeight="1">
      <c r="A154" s="6" t="s">
        <v>587</v>
      </c>
      <c r="B154" s="6" t="s">
        <v>16</v>
      </c>
      <c r="C154" s="6" t="s">
        <v>12</v>
      </c>
      <c r="D154" s="7" t="s">
        <v>29</v>
      </c>
      <c r="E154" s="8" t="s">
        <v>588</v>
      </c>
      <c r="F154" s="6" t="s">
        <v>589</v>
      </c>
      <c r="G154" s="9">
        <f>IF(A154=1,"_",IF(C154="_","???",C154))</f>
        <v/>
      </c>
      <c r="H154" s="10" t="s">
        <v>12</v>
      </c>
      <c r="I154" s="11" t="s">
        <v>12</v>
      </c>
      <c r="J154" s="12"/>
    </row>
    <row r="155" spans="1:10" ht="60" customHeight="1">
      <c r="A155" s="6" t="s">
        <v>590</v>
      </c>
      <c r="B155" s="6" t="s">
        <v>28</v>
      </c>
      <c r="C155" s="6" t="s">
        <v>12</v>
      </c>
      <c r="D155" s="7" t="s">
        <v>591</v>
      </c>
      <c r="E155" s="8" t="s">
        <v>592</v>
      </c>
      <c r="F155" s="6" t="s">
        <v>593</v>
      </c>
      <c r="G155" s="9">
        <f>IF(A155=1,"_",IF(C155="_","???",C155))</f>
        <v/>
      </c>
      <c r="H155" s="10" t="s">
        <v>12</v>
      </c>
      <c r="I155" s="11" t="s">
        <v>12</v>
      </c>
      <c r="J155" s="12"/>
    </row>
    <row r="156" spans="1:10" ht="60" customHeight="1">
      <c r="A156" s="6" t="s">
        <v>594</v>
      </c>
      <c r="B156" s="6" t="s">
        <v>16</v>
      </c>
      <c r="C156" s="6" t="s">
        <v>12</v>
      </c>
      <c r="D156" s="7" t="s">
        <v>46</v>
      </c>
      <c r="E156" s="8" t="s">
        <v>595</v>
      </c>
      <c r="F156" s="6" t="s">
        <v>596</v>
      </c>
      <c r="G156" s="9">
        <f>IF(A156=1,"_",IF(C156="_","???",C156))</f>
        <v/>
      </c>
      <c r="H156" s="10" t="s">
        <v>12</v>
      </c>
      <c r="I156" s="11" t="s">
        <v>12</v>
      </c>
      <c r="J156" s="12"/>
    </row>
    <row r="157" spans="1:10" ht="60" customHeight="1">
      <c r="A157" s="6" t="s">
        <v>597</v>
      </c>
      <c r="B157" s="6" t="s">
        <v>11</v>
      </c>
      <c r="C157" s="6" t="s">
        <v>12</v>
      </c>
      <c r="D157" s="7" t="s">
        <v>598</v>
      </c>
      <c r="E157" s="8" t="s">
        <v>599</v>
      </c>
      <c r="F157" s="6" t="s">
        <v>600</v>
      </c>
      <c r="G157" s="9">
        <f>IF(A157=1,"_",IF(C157="_","???",C157))</f>
        <v/>
      </c>
      <c r="H157" s="10" t="s">
        <v>12</v>
      </c>
      <c r="I157" s="11" t="s">
        <v>12</v>
      </c>
      <c r="J157" s="12"/>
    </row>
    <row r="158" spans="1:10" ht="60" customHeight="1">
      <c r="A158" s="6" t="s">
        <v>601</v>
      </c>
      <c r="B158" s="6" t="s">
        <v>16</v>
      </c>
      <c r="C158" s="6" t="s">
        <v>12</v>
      </c>
      <c r="D158" s="7" t="s">
        <v>46</v>
      </c>
      <c r="E158" s="8" t="s">
        <v>602</v>
      </c>
      <c r="F158" s="6" t="s">
        <v>603</v>
      </c>
      <c r="G158" s="9">
        <f>IF(A158=1,"_",IF(C158="_","???",C158))</f>
        <v/>
      </c>
      <c r="H158" s="10" t="s">
        <v>12</v>
      </c>
      <c r="I158" s="11" t="s">
        <v>12</v>
      </c>
      <c r="J158" s="12"/>
    </row>
    <row r="159" spans="1:10" ht="60" customHeight="1">
      <c r="A159" s="6" t="s">
        <v>604</v>
      </c>
      <c r="B159" s="6" t="s">
        <v>16</v>
      </c>
      <c r="C159" s="6" t="s">
        <v>12</v>
      </c>
      <c r="D159" s="7" t="s">
        <v>591</v>
      </c>
      <c r="E159" s="8" t="s">
        <v>605</v>
      </c>
      <c r="F159" s="6" t="s">
        <v>606</v>
      </c>
      <c r="G159" s="9">
        <f>IF(A159=1,"_",IF(C159="_","???",C159))</f>
        <v/>
      </c>
      <c r="H159" s="10" t="s">
        <v>12</v>
      </c>
      <c r="I159" s="11" t="s">
        <v>12</v>
      </c>
      <c r="J159" s="12"/>
    </row>
    <row r="160" spans="1:10" ht="60" customHeight="1">
      <c r="A160" s="6" t="s">
        <v>607</v>
      </c>
      <c r="B160" s="6" t="s">
        <v>10</v>
      </c>
      <c r="C160" s="6" t="s">
        <v>12</v>
      </c>
      <c r="D160" s="7" t="s">
        <v>608</v>
      </c>
      <c r="E160" s="8" t="s">
        <v>609</v>
      </c>
      <c r="F160" s="6" t="s">
        <v>610</v>
      </c>
      <c r="G160" s="9">
        <f>IF(A160=1,"_",IF(C160="_","???",C160))</f>
        <v/>
      </c>
      <c r="H160" s="10" t="s">
        <v>12</v>
      </c>
      <c r="I160" s="11" t="s">
        <v>12</v>
      </c>
      <c r="J160" s="12"/>
    </row>
    <row r="161" spans="1:10" ht="60" customHeight="1">
      <c r="A161" s="6" t="s">
        <v>611</v>
      </c>
      <c r="B161" s="6" t="s">
        <v>16</v>
      </c>
      <c r="C161" s="6" t="s">
        <v>12</v>
      </c>
      <c r="D161" s="7" t="s">
        <v>612</v>
      </c>
      <c r="E161" s="8" t="s">
        <v>613</v>
      </c>
      <c r="F161" s="6" t="s">
        <v>614</v>
      </c>
      <c r="G161" s="9">
        <f>IF(A161=1,"_",IF(C161="_","???",C161))</f>
        <v/>
      </c>
      <c r="H161" s="10" t="s">
        <v>12</v>
      </c>
      <c r="I161" s="11" t="s">
        <v>12</v>
      </c>
      <c r="J161" s="12"/>
    </row>
    <row r="162" spans="1:10" ht="60" customHeight="1">
      <c r="A162" s="6" t="s">
        <v>615</v>
      </c>
      <c r="B162" s="6" t="s">
        <v>16</v>
      </c>
      <c r="C162" s="6" t="s">
        <v>12</v>
      </c>
      <c r="D162" s="7" t="s">
        <v>148</v>
      </c>
      <c r="E162" s="8" t="s">
        <v>616</v>
      </c>
      <c r="F162" s="6" t="s">
        <v>617</v>
      </c>
      <c r="G162" s="9">
        <f>IF(A162=1,"_",IF(C162="_","???",C162))</f>
        <v/>
      </c>
      <c r="H162" s="10" t="s">
        <v>12</v>
      </c>
      <c r="I162" s="11" t="s">
        <v>12</v>
      </c>
      <c r="J162" s="12"/>
    </row>
    <row r="163" spans="1:10" ht="60" customHeight="1">
      <c r="A163" s="6" t="s">
        <v>618</v>
      </c>
      <c r="B163" s="6" t="s">
        <v>36</v>
      </c>
      <c r="C163" s="6" t="s">
        <v>379</v>
      </c>
      <c r="D163" s="7" t="s">
        <v>619</v>
      </c>
      <c r="E163" s="8" t="s">
        <v>620</v>
      </c>
      <c r="F163" s="6" t="s">
        <v>621</v>
      </c>
      <c r="G163" s="9">
        <f>IF(A163=1,"_",IF(C163="_","???",C163))</f>
        <v/>
      </c>
      <c r="H163" s="10" t="s">
        <v>12</v>
      </c>
      <c r="I163" s="11" t="s">
        <v>12</v>
      </c>
      <c r="J163" s="12"/>
    </row>
    <row r="164" spans="1:10" ht="60" customHeight="1">
      <c r="A164" s="6" t="s">
        <v>622</v>
      </c>
      <c r="B164" s="6" t="s">
        <v>16</v>
      </c>
      <c r="C164" s="6" t="s">
        <v>379</v>
      </c>
      <c r="D164" s="7" t="s">
        <v>619</v>
      </c>
      <c r="E164" s="8" t="s">
        <v>623</v>
      </c>
      <c r="F164" s="6" t="s">
        <v>624</v>
      </c>
      <c r="G164" s="9">
        <f>IF(A164=1,"_",IF(C164="_","???",C164))</f>
        <v/>
      </c>
      <c r="H164" s="10" t="s">
        <v>12</v>
      </c>
      <c r="I164" s="11" t="s">
        <v>12</v>
      </c>
      <c r="J164" s="12"/>
    </row>
    <row r="165" spans="1:10" ht="60" customHeight="1">
      <c r="A165" s="6" t="s">
        <v>625</v>
      </c>
      <c r="B165" s="6" t="s">
        <v>41</v>
      </c>
      <c r="C165" s="6" t="s">
        <v>12</v>
      </c>
      <c r="D165" s="7" t="s">
        <v>626</v>
      </c>
      <c r="E165" s="8" t="s">
        <v>627</v>
      </c>
      <c r="F165" s="6" t="s">
        <v>628</v>
      </c>
      <c r="G165" s="9">
        <f>IF(A165=1,"_",IF(C165="_","???",C165))</f>
        <v/>
      </c>
      <c r="H165" s="10" t="s">
        <v>12</v>
      </c>
      <c r="I165" s="11" t="s">
        <v>12</v>
      </c>
      <c r="J165" s="12"/>
    </row>
    <row r="166" spans="1:10" ht="60" customHeight="1">
      <c r="A166" s="6" t="s">
        <v>629</v>
      </c>
      <c r="B166" s="6" t="s">
        <v>16</v>
      </c>
      <c r="C166" s="6" t="s">
        <v>12</v>
      </c>
      <c r="D166" s="7" t="s">
        <v>630</v>
      </c>
      <c r="E166" s="8" t="s">
        <v>631</v>
      </c>
      <c r="F166" s="6" t="s">
        <v>632</v>
      </c>
      <c r="G166" s="9">
        <f>IF(A166=1,"_",IF(C166="_","???",C166))</f>
        <v/>
      </c>
      <c r="H166" s="10" t="s">
        <v>12</v>
      </c>
      <c r="I166" s="11" t="s">
        <v>12</v>
      </c>
      <c r="J166" s="12"/>
    </row>
    <row r="167" spans="1:10" ht="60" customHeight="1">
      <c r="A167" s="6" t="s">
        <v>633</v>
      </c>
      <c r="B167" s="6" t="s">
        <v>68</v>
      </c>
      <c r="C167" s="6" t="s">
        <v>12</v>
      </c>
      <c r="D167" s="7" t="s">
        <v>634</v>
      </c>
      <c r="E167" s="8" t="s">
        <v>635</v>
      </c>
      <c r="F167" s="6" t="s">
        <v>636</v>
      </c>
      <c r="G167" s="9">
        <f>IF(A167=1,"_",IF(C167="_","???",C167))</f>
        <v/>
      </c>
      <c r="H167" s="10" t="s">
        <v>12</v>
      </c>
      <c r="I167" s="11" t="s">
        <v>12</v>
      </c>
      <c r="J167" s="12"/>
    </row>
    <row r="168" spans="1:10" ht="60" customHeight="1">
      <c r="A168" s="6" t="s">
        <v>637</v>
      </c>
      <c r="B168" s="6" t="s">
        <v>32</v>
      </c>
      <c r="C168" s="6" t="s">
        <v>12</v>
      </c>
      <c r="D168" s="7" t="s">
        <v>638</v>
      </c>
      <c r="E168" s="8" t="s">
        <v>639</v>
      </c>
      <c r="F168" s="6" t="s">
        <v>640</v>
      </c>
      <c r="G168" s="9">
        <f>IF(A168=1,"_",IF(C168="_","???",C168))</f>
        <v/>
      </c>
      <c r="H168" s="10" t="s">
        <v>12</v>
      </c>
      <c r="I168" s="11" t="s">
        <v>12</v>
      </c>
      <c r="J168" s="12"/>
    </row>
    <row r="169" spans="1:10" ht="60" customHeight="1">
      <c r="A169" s="6" t="s">
        <v>641</v>
      </c>
      <c r="B169" s="6" t="s">
        <v>16</v>
      </c>
      <c r="C169" s="6" t="s">
        <v>12</v>
      </c>
      <c r="D169" s="7" t="s">
        <v>642</v>
      </c>
      <c r="E169" s="8" t="s">
        <v>643</v>
      </c>
      <c r="F169" s="6" t="s">
        <v>644</v>
      </c>
      <c r="G169" s="9">
        <f>IF(A169=1,"_",IF(C169="_","???",C169))</f>
        <v/>
      </c>
      <c r="H169" s="10" t="s">
        <v>12</v>
      </c>
      <c r="I169" s="11" t="s">
        <v>12</v>
      </c>
      <c r="J169" s="12"/>
    </row>
    <row r="170" spans="1:10" ht="60" customHeight="1">
      <c r="A170" s="6" t="s">
        <v>645</v>
      </c>
      <c r="B170" s="6" t="s">
        <v>11</v>
      </c>
      <c r="C170" s="6" t="s">
        <v>12</v>
      </c>
      <c r="D170" s="7" t="s">
        <v>646</v>
      </c>
      <c r="E170" s="8" t="s">
        <v>647</v>
      </c>
      <c r="F170" s="6" t="s">
        <v>648</v>
      </c>
      <c r="G170" s="9">
        <f>IF(A170=1,"_",IF(C170="_","???",C170))</f>
        <v/>
      </c>
      <c r="H170" s="10" t="s">
        <v>12</v>
      </c>
      <c r="I170" s="11" t="s">
        <v>12</v>
      </c>
      <c r="J170" s="12"/>
    </row>
    <row r="171" spans="1:10" ht="60" customHeight="1">
      <c r="A171" s="6" t="s">
        <v>649</v>
      </c>
      <c r="B171" s="6" t="s">
        <v>16</v>
      </c>
      <c r="C171" s="6" t="s">
        <v>12</v>
      </c>
      <c r="D171" s="7" t="s">
        <v>650</v>
      </c>
      <c r="E171" s="8" t="s">
        <v>651</v>
      </c>
      <c r="F171" s="6" t="s">
        <v>652</v>
      </c>
      <c r="G171" s="9">
        <f>IF(A171=1,"_",IF(C171="_","???",C171))</f>
        <v/>
      </c>
      <c r="H171" s="10" t="s">
        <v>12</v>
      </c>
      <c r="I171" s="11" t="s">
        <v>12</v>
      </c>
      <c r="J171" s="12"/>
    </row>
    <row r="172" spans="1:10" ht="60" customHeight="1">
      <c r="A172" s="6" t="s">
        <v>653</v>
      </c>
      <c r="B172" s="6" t="s">
        <v>32</v>
      </c>
      <c r="C172" s="6" t="s">
        <v>12</v>
      </c>
      <c r="D172" s="7" t="s">
        <v>654</v>
      </c>
      <c r="E172" s="8" t="s">
        <v>655</v>
      </c>
      <c r="F172" s="6" t="s">
        <v>656</v>
      </c>
      <c r="G172" s="9">
        <f>IF(A172=1,"_",IF(C172="_","???",C172))</f>
        <v/>
      </c>
      <c r="H172" s="10" t="s">
        <v>12</v>
      </c>
      <c r="I172" s="11" t="s">
        <v>12</v>
      </c>
      <c r="J172" s="12"/>
    </row>
    <row r="173" spans="1:10" ht="60" customHeight="1">
      <c r="A173" s="6" t="s">
        <v>657</v>
      </c>
      <c r="B173" s="6" t="s">
        <v>16</v>
      </c>
      <c r="C173" s="6" t="s">
        <v>12</v>
      </c>
      <c r="D173" s="7" t="s">
        <v>658</v>
      </c>
      <c r="E173" s="8" t="s">
        <v>659</v>
      </c>
      <c r="F173" s="6" t="s">
        <v>660</v>
      </c>
      <c r="G173" s="9">
        <f>IF(A173=1,"_",IF(C173="_","???",C173))</f>
        <v/>
      </c>
      <c r="H173" s="10" t="s">
        <v>12</v>
      </c>
      <c r="I173" s="11" t="s">
        <v>12</v>
      </c>
      <c r="J173" s="12"/>
    </row>
    <row r="174" spans="1:10" ht="60" customHeight="1">
      <c r="A174" s="6" t="s">
        <v>661</v>
      </c>
      <c r="B174" s="6" t="s">
        <v>16</v>
      </c>
      <c r="C174" s="6" t="s">
        <v>12</v>
      </c>
      <c r="D174" s="7" t="s">
        <v>662</v>
      </c>
      <c r="E174" s="8" t="s">
        <v>663</v>
      </c>
      <c r="F174" s="6" t="s">
        <v>664</v>
      </c>
      <c r="G174" s="9">
        <f>IF(A174=1,"_",IF(C174="_","???",C174))</f>
        <v/>
      </c>
      <c r="H174" s="10" t="s">
        <v>12</v>
      </c>
      <c r="I174" s="11" t="s">
        <v>12</v>
      </c>
      <c r="J174" s="12"/>
    </row>
    <row r="175" spans="1:10" ht="60" customHeight="1">
      <c r="A175" s="6" t="s">
        <v>665</v>
      </c>
      <c r="B175" s="6" t="s">
        <v>16</v>
      </c>
      <c r="C175" s="6" t="s">
        <v>12</v>
      </c>
      <c r="D175" s="7" t="s">
        <v>666</v>
      </c>
      <c r="E175" s="8" t="s">
        <v>667</v>
      </c>
      <c r="F175" s="6" t="s">
        <v>668</v>
      </c>
      <c r="G175" s="9">
        <f>IF(A175=1,"_",IF(C175="_","???",C175))</f>
        <v/>
      </c>
      <c r="H175" s="10" t="s">
        <v>12</v>
      </c>
      <c r="I175" s="11" t="s">
        <v>12</v>
      </c>
      <c r="J175" s="12"/>
    </row>
    <row r="176" spans="1:10" ht="60" customHeight="1">
      <c r="A176" s="6" t="s">
        <v>669</v>
      </c>
      <c r="B176" s="6" t="s">
        <v>16</v>
      </c>
      <c r="C176" s="6" t="s">
        <v>12</v>
      </c>
      <c r="D176" s="7" t="s">
        <v>670</v>
      </c>
      <c r="E176" s="8" t="s">
        <v>671</v>
      </c>
      <c r="F176" s="6" t="s">
        <v>672</v>
      </c>
      <c r="G176" s="9">
        <f>IF(A176=1,"_",IF(C176="_","???",C176))</f>
        <v/>
      </c>
      <c r="H176" s="10" t="s">
        <v>12</v>
      </c>
      <c r="I176" s="11" t="s">
        <v>12</v>
      </c>
      <c r="J176" s="12"/>
    </row>
    <row r="177" spans="1:10" ht="60" customHeight="1">
      <c r="A177" s="6" t="s">
        <v>673</v>
      </c>
      <c r="B177" s="6" t="s">
        <v>52</v>
      </c>
      <c r="C177" s="6" t="s">
        <v>12</v>
      </c>
      <c r="D177" s="7" t="s">
        <v>674</v>
      </c>
      <c r="E177" s="8" t="s">
        <v>675</v>
      </c>
      <c r="F177" s="6" t="s">
        <v>676</v>
      </c>
      <c r="G177" s="9">
        <f>IF(A177=1,"_",IF(C177="_","???",C177))</f>
        <v/>
      </c>
      <c r="H177" s="10" t="s">
        <v>12</v>
      </c>
      <c r="I177" s="11" t="s">
        <v>12</v>
      </c>
      <c r="J177" s="12"/>
    </row>
    <row r="178" spans="1:10" ht="60" customHeight="1">
      <c r="A178" s="6" t="s">
        <v>677</v>
      </c>
      <c r="B178" s="6" t="s">
        <v>16</v>
      </c>
      <c r="C178" s="6" t="s">
        <v>12</v>
      </c>
      <c r="D178" s="7" t="s">
        <v>678</v>
      </c>
      <c r="E178" s="8" t="s">
        <v>679</v>
      </c>
      <c r="F178" s="6" t="s">
        <v>680</v>
      </c>
      <c r="G178" s="9">
        <f>IF(A178=1,"_",IF(C178="_","???",C178))</f>
        <v/>
      </c>
      <c r="H178" s="10" t="s">
        <v>12</v>
      </c>
      <c r="I178" s="11" t="s">
        <v>12</v>
      </c>
      <c r="J178" s="12"/>
    </row>
    <row r="179" spans="1:10" ht="60" customHeight="1">
      <c r="A179" s="6" t="s">
        <v>681</v>
      </c>
      <c r="B179" s="6" t="s">
        <v>28</v>
      </c>
      <c r="C179" s="6" t="s">
        <v>12</v>
      </c>
      <c r="D179" s="7" t="s">
        <v>682</v>
      </c>
      <c r="E179" s="8" t="s">
        <v>683</v>
      </c>
      <c r="F179" s="6" t="s">
        <v>684</v>
      </c>
      <c r="G179" s="9">
        <f>IF(A179=1,"_",IF(C179="_","???",C179))</f>
        <v/>
      </c>
      <c r="H179" s="10" t="s">
        <v>12</v>
      </c>
      <c r="I179" s="11" t="s">
        <v>12</v>
      </c>
      <c r="J179" s="12"/>
    </row>
    <row r="180" spans="1:10" ht="60" customHeight="1">
      <c r="A180" s="6" t="s">
        <v>685</v>
      </c>
      <c r="B180" s="6" t="s">
        <v>16</v>
      </c>
      <c r="C180" s="6" t="s">
        <v>12</v>
      </c>
      <c r="D180" s="7" t="s">
        <v>686</v>
      </c>
      <c r="E180" s="8" t="s">
        <v>687</v>
      </c>
      <c r="F180" s="6" t="s">
        <v>688</v>
      </c>
      <c r="G180" s="9">
        <f>IF(A180=1,"_",IF(C180="_","???",C180))</f>
        <v/>
      </c>
      <c r="H180" s="10" t="s">
        <v>12</v>
      </c>
      <c r="I180" s="11" t="s">
        <v>12</v>
      </c>
      <c r="J180" s="12"/>
    </row>
    <row r="181" spans="1:10" ht="60" customHeight="1">
      <c r="A181" s="6" t="s">
        <v>689</v>
      </c>
      <c r="B181" s="6" t="s">
        <v>10</v>
      </c>
      <c r="C181" s="6" t="s">
        <v>12</v>
      </c>
      <c r="D181" s="7" t="s">
        <v>686</v>
      </c>
      <c r="E181" s="8" t="s">
        <v>690</v>
      </c>
      <c r="F181" s="6" t="s">
        <v>691</v>
      </c>
      <c r="G181" s="9">
        <f>IF(A181=1,"_",IF(C181="_","???",C181))</f>
        <v/>
      </c>
      <c r="H181" s="10" t="s">
        <v>12</v>
      </c>
      <c r="I181" s="11" t="s">
        <v>12</v>
      </c>
      <c r="J181" s="12"/>
    </row>
    <row r="182" spans="1:10" ht="60" customHeight="1">
      <c r="A182" s="6" t="s">
        <v>692</v>
      </c>
      <c r="B182" s="6" t="s">
        <v>16</v>
      </c>
      <c r="C182" s="6" t="s">
        <v>12</v>
      </c>
      <c r="D182" s="7" t="s">
        <v>693</v>
      </c>
      <c r="E182" s="8" t="s">
        <v>694</v>
      </c>
      <c r="F182" s="6" t="s">
        <v>695</v>
      </c>
      <c r="G182" s="9">
        <f>IF(A182=1,"_",IF(C182="_","???",C182))</f>
        <v/>
      </c>
      <c r="H182" s="10" t="s">
        <v>12</v>
      </c>
      <c r="I182" s="11" t="s">
        <v>12</v>
      </c>
      <c r="J182"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2943"/>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696</v>
      </c>
      <c r="B1" s="13" t="s">
        <v>697</v>
      </c>
      <c r="C1" s="13" t="s">
        <v>698</v>
      </c>
      <c r="D1" s="13" t="s">
        <v>699</v>
      </c>
      <c r="E1" s="14" t="s">
        <v>700</v>
      </c>
      <c r="F1" s="15" t="s">
        <v>701</v>
      </c>
      <c r="G1" s="16" t="s">
        <v>702</v>
      </c>
      <c r="H1" s="17" t="s">
        <v>703</v>
      </c>
      <c r="I1" s="18" t="s">
        <v>704</v>
      </c>
      <c r="J1" s="18" t="s">
        <v>705</v>
      </c>
      <c r="K1" s="18" t="s">
        <v>706</v>
      </c>
      <c r="L1" s="19" t="s">
        <v>9</v>
      </c>
    </row>
    <row r="2" spans="1:12">
      <c r="A2" s="20" t="s">
        <v>707</v>
      </c>
    </row>
    <row r="3" spans="1:12">
      <c r="A3" s="20" t="s">
        <v>708</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709</v>
      </c>
      <c r="B4" s="27" t="s">
        <v>710</v>
      </c>
      <c r="C4" s="27" t="s">
        <v>711</v>
      </c>
      <c r="D4" s="27" t="s">
        <v>712</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713</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714</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715</v>
      </c>
      <c r="B7" s="27" t="s">
        <v>716</v>
      </c>
      <c r="C7" s="27" t="s">
        <v>717</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718</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719</v>
      </c>
      <c r="B9" s="27" t="s">
        <v>720</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721</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722</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723</v>
      </c>
      <c r="B12" s="27" t="s">
        <v>724</v>
      </c>
      <c r="C12" s="27" t="s">
        <v>717</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725</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row>
    <row r="15" spans="1:12">
      <c r="A15" s="20" t="s">
        <v>726</v>
      </c>
    </row>
    <row r="16" spans="1:12">
      <c r="A16" s="20" t="s">
        <v>727</v>
      </c>
      <c r="B16" s="27" t="s">
        <v>710</v>
      </c>
      <c r="C16" s="27" t="s">
        <v>728</v>
      </c>
      <c r="D16" s="27" t="s">
        <v>712</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729</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730</v>
      </c>
      <c r="B18" s="27" t="s">
        <v>731</v>
      </c>
      <c r="C18" s="27" t="s">
        <v>732</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733</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734</v>
      </c>
      <c r="B20" s="27" t="s">
        <v>716</v>
      </c>
      <c r="C20" s="27" t="s">
        <v>711</v>
      </c>
      <c r="D20" s="27" t="s">
        <v>712</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735</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736</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737</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738</v>
      </c>
      <c r="B24" s="27" t="s">
        <v>731</v>
      </c>
      <c r="C24" s="27" t="s">
        <v>739</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718</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714</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740</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741</v>
      </c>
      <c r="B28" s="27" t="s">
        <v>742</v>
      </c>
      <c r="C28" s="27" t="s">
        <v>743</v>
      </c>
      <c r="D28" s="27" t="s">
        <v>712</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713</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725</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row>
    <row r="32" spans="1:12">
      <c r="A32" s="20" t="s">
        <v>744</v>
      </c>
    </row>
    <row r="33" spans="1:12">
      <c r="A33" s="20" t="s">
        <v>745</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746</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747</v>
      </c>
      <c r="B35" s="27" t="s">
        <v>731</v>
      </c>
      <c r="C35" s="27" t="s">
        <v>717</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748</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741</v>
      </c>
      <c r="B37" s="27" t="s">
        <v>749</v>
      </c>
      <c r="C37" s="27" t="s">
        <v>743</v>
      </c>
      <c r="D37" s="27" t="s">
        <v>712</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750</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751</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752</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753</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754</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755</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756</v>
      </c>
      <c r="B44" s="27" t="s">
        <v>731</v>
      </c>
      <c r="C44" s="27" t="s">
        <v>717</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718</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757</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758</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21</v>
      </c>
      <c r="B48" s="27" t="s">
        <v>724</v>
      </c>
      <c r="C48" s="27" t="s">
        <v>739</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759</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754</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760</v>
      </c>
      <c r="B51" s="27" t="s">
        <v>731</v>
      </c>
      <c r="C51" s="27" t="s">
        <v>761</v>
      </c>
      <c r="D51" s="27" t="s">
        <v>712</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718</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757</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762</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21</v>
      </c>
      <c r="B55" s="27" t="s">
        <v>716</v>
      </c>
      <c r="C55" s="27" t="s">
        <v>739</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759</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754</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763</v>
      </c>
      <c r="B58" s="27" t="s">
        <v>716</v>
      </c>
      <c r="C58" s="27" t="s">
        <v>717</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764</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765</v>
      </c>
      <c r="B60" s="27" t="s">
        <v>731</v>
      </c>
      <c r="C60" s="27" t="s">
        <v>717</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718</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766</v>
      </c>
      <c r="B62" s="27" t="s">
        <v>720</v>
      </c>
      <c r="C62" s="27" t="s">
        <v>743</v>
      </c>
      <c r="D62" s="27" t="s">
        <v>712</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767</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768</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769</v>
      </c>
      <c r="B65" s="27" t="s">
        <v>720</v>
      </c>
      <c r="C65" s="27" t="s">
        <v>711</v>
      </c>
      <c r="D65" s="27" t="s">
        <v>712</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770</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759</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row>
    <row r="69" spans="1:12">
      <c r="A69" s="20" t="s">
        <v>771</v>
      </c>
    </row>
    <row r="70" spans="1:12">
      <c r="A70" s="20" t="s">
        <v>772</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773</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25</v>
      </c>
      <c r="B72" s="27" t="s">
        <v>716</v>
      </c>
      <c r="C72" s="27" t="s">
        <v>717</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764</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774</v>
      </c>
      <c r="B74" s="27" t="s">
        <v>716</v>
      </c>
      <c r="C74" s="27" t="s">
        <v>717</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718</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775</v>
      </c>
      <c r="B76" s="27" t="s">
        <v>731</v>
      </c>
      <c r="C76" s="27" t="s">
        <v>732</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776</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747</v>
      </c>
      <c r="B78" s="27" t="s">
        <v>777</v>
      </c>
      <c r="C78" s="27" t="s">
        <v>778</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725</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row>
    <row r="81" spans="1:12">
      <c r="A81" s="20" t="s">
        <v>779</v>
      </c>
    </row>
    <row r="82" spans="1:12">
      <c r="A82" s="20" t="s">
        <v>780</v>
      </c>
      <c r="B82" s="27" t="s">
        <v>710</v>
      </c>
      <c r="C82" s="27" t="s">
        <v>743</v>
      </c>
      <c r="D82" s="27" t="s">
        <v>712</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29</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714</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733</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90</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725</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row>
    <row r="89" spans="1:12">
      <c r="A89" s="20" t="s">
        <v>781</v>
      </c>
    </row>
    <row r="90" spans="1:12">
      <c r="A90" s="20" t="s">
        <v>33</v>
      </c>
      <c r="B90" s="27" t="s">
        <v>716</v>
      </c>
      <c r="C90" s="27" t="s">
        <v>717</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718</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714</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782</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46</v>
      </c>
      <c r="B94" s="27" t="s">
        <v>716</v>
      </c>
      <c r="C94" s="27" t="s">
        <v>739</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783</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784</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785</v>
      </c>
      <c r="B97" s="27" t="s">
        <v>731</v>
      </c>
      <c r="C97" s="27" t="s">
        <v>717</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764</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786</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787</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788</v>
      </c>
      <c r="B101" s="27" t="s">
        <v>724</v>
      </c>
      <c r="C101" s="27" t="s">
        <v>717</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725</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row>
    <row r="104" spans="1:12">
      <c r="A104" s="20" t="s">
        <v>789</v>
      </c>
    </row>
    <row r="105" spans="1:12">
      <c r="A105" s="20" t="s">
        <v>790</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791</v>
      </c>
      <c r="B106" s="27" t="s">
        <v>749</v>
      </c>
      <c r="C106" s="27" t="s">
        <v>743</v>
      </c>
      <c r="D106" s="27" t="s">
        <v>712</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714</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740</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792</v>
      </c>
      <c r="B109" s="27" t="s">
        <v>731</v>
      </c>
      <c r="C109" s="27" t="s">
        <v>711</v>
      </c>
      <c r="D109" s="27" t="s">
        <v>712</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764</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740</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709</v>
      </c>
      <c r="B112" s="27" t="s">
        <v>724</v>
      </c>
      <c r="C112" s="27" t="s">
        <v>711</v>
      </c>
      <c r="D112" s="27" t="s">
        <v>712</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793</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794</v>
      </c>
      <c r="B114" s="27" t="s">
        <v>731</v>
      </c>
      <c r="C114" s="27" t="s">
        <v>717</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795</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718</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796</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791</v>
      </c>
      <c r="B118" s="27" t="s">
        <v>710</v>
      </c>
      <c r="C118" s="27" t="s">
        <v>743</v>
      </c>
      <c r="D118" s="27" t="s">
        <v>712</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783</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797</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798</v>
      </c>
      <c r="B121" s="27" t="s">
        <v>716</v>
      </c>
      <c r="C121" s="27" t="s">
        <v>717</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799</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718</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767</v>
      </c>
      <c r="B124" s="27" t="s">
        <v>749</v>
      </c>
      <c r="C124" s="27" t="s">
        <v>743</v>
      </c>
      <c r="D124" s="27" t="s">
        <v>712</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800</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801</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802</v>
      </c>
      <c r="B127" s="27" t="s">
        <v>731</v>
      </c>
      <c r="C127" s="27" t="s">
        <v>778</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803</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804</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753</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805</v>
      </c>
      <c r="B131" s="27" t="s">
        <v>731</v>
      </c>
      <c r="C131" s="27" t="s">
        <v>717</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718</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806</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807</v>
      </c>
      <c r="B134" s="27" t="s">
        <v>724</v>
      </c>
      <c r="C134" s="27" t="s">
        <v>717</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783</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808</v>
      </c>
      <c r="B136" s="27" t="s">
        <v>809</v>
      </c>
      <c r="C136" s="27" t="s">
        <v>717</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764</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810</v>
      </c>
      <c r="B138" s="27" t="s">
        <v>811</v>
      </c>
      <c r="C138" s="27" t="s">
        <v>717</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718</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767</v>
      </c>
      <c r="B140" s="27" t="s">
        <v>812</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741</v>
      </c>
      <c r="B141" s="27" t="s">
        <v>742</v>
      </c>
      <c r="C141" s="27" t="s">
        <v>743</v>
      </c>
      <c r="D141" s="27" t="s">
        <v>712</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813</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814</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725</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row>
    <row r="146" spans="1:12">
      <c r="A146" s="20" t="s">
        <v>815</v>
      </c>
    </row>
    <row r="147" spans="1:12">
      <c r="A147" s="20" t="s">
        <v>816</v>
      </c>
      <c r="B147" s="27" t="s">
        <v>710</v>
      </c>
      <c r="C147" s="27" t="s">
        <v>732</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817</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718</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767</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747</v>
      </c>
      <c r="B151" s="27" t="s">
        <v>818</v>
      </c>
      <c r="C151" s="27" t="s">
        <v>711</v>
      </c>
      <c r="D151" s="27" t="s">
        <v>712</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819</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820</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821</v>
      </c>
      <c r="B154" s="27" t="s">
        <v>724</v>
      </c>
      <c r="C154" s="27" t="s">
        <v>711</v>
      </c>
      <c r="D154" s="27" t="s">
        <v>712</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822</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730</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823</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725</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row>
    <row r="160" spans="1:12">
      <c r="A160" s="20" t="s">
        <v>824</v>
      </c>
    </row>
    <row r="161" spans="1:12">
      <c r="A161" s="20" t="s">
        <v>825</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46</v>
      </c>
      <c r="B162" s="27" t="s">
        <v>716</v>
      </c>
      <c r="C162" s="27" t="s">
        <v>739</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819</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90</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725</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row>
    <row r="167" spans="1:12">
      <c r="A167" s="20" t="s">
        <v>826</v>
      </c>
    </row>
    <row r="168" spans="1:12">
      <c r="A168" s="20" t="s">
        <v>827</v>
      </c>
      <c r="B168" s="27" t="s">
        <v>716</v>
      </c>
      <c r="C168" s="27" t="s">
        <v>717</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718</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783</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828</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788</v>
      </c>
      <c r="B172" s="27" t="s">
        <v>716</v>
      </c>
      <c r="C172" s="27" t="s">
        <v>717</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764</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829</v>
      </c>
      <c r="B174" s="27" t="s">
        <v>716</v>
      </c>
      <c r="C174" s="27" t="s">
        <v>717</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718</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764</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830</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798</v>
      </c>
      <c r="B178" s="27" t="s">
        <v>716</v>
      </c>
      <c r="C178" s="27" t="s">
        <v>778</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819</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76</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725</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row>
    <row r="183" spans="1:12">
      <c r="A183" s="20" t="s">
        <v>831</v>
      </c>
    </row>
    <row r="184" spans="1:12">
      <c r="A184" s="20" t="s">
        <v>827</v>
      </c>
      <c r="B184" s="27" t="s">
        <v>716</v>
      </c>
      <c r="C184" s="27" t="s">
        <v>717</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725</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row>
    <row r="187" spans="1:12">
      <c r="A187" s="20" t="s">
        <v>832</v>
      </c>
    </row>
    <row r="188" spans="1:12">
      <c r="A188" s="20" t="s">
        <v>833</v>
      </c>
      <c r="B188" s="27" t="s">
        <v>731</v>
      </c>
      <c r="C188" s="27" t="s">
        <v>728</v>
      </c>
      <c r="D188" s="27" t="s">
        <v>712</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738</v>
      </c>
      <c r="B189" s="27" t="s">
        <v>710</v>
      </c>
      <c r="C189" s="27" t="s">
        <v>834</v>
      </c>
      <c r="D189" s="27" t="s">
        <v>712</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748</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719</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835</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21</v>
      </c>
      <c r="B193" s="27" t="s">
        <v>716</v>
      </c>
      <c r="C193" s="27" t="s">
        <v>711</v>
      </c>
      <c r="D193" s="27" t="s">
        <v>712</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740</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709</v>
      </c>
      <c r="B195" s="27" t="s">
        <v>716</v>
      </c>
      <c r="C195" s="27" t="s">
        <v>711</v>
      </c>
      <c r="D195" s="27" t="s">
        <v>712</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725</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row>
    <row r="198" spans="1:12">
      <c r="A198" s="20" t="s">
        <v>836</v>
      </c>
    </row>
    <row r="199" spans="1:12">
      <c r="A199" s="20" t="s">
        <v>837</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838</v>
      </c>
      <c r="B200" s="27" t="s">
        <v>710</v>
      </c>
      <c r="C200" s="27" t="s">
        <v>743</v>
      </c>
      <c r="D200" s="27" t="s">
        <v>712</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839</v>
      </c>
      <c r="B201" s="27" t="s">
        <v>731</v>
      </c>
      <c r="C201" s="27" t="s">
        <v>743</v>
      </c>
      <c r="D201" s="27" t="s">
        <v>712</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840</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841</v>
      </c>
      <c r="B203" s="27" t="s">
        <v>710</v>
      </c>
      <c r="C203" s="27" t="s">
        <v>842</v>
      </c>
      <c r="D203" s="27" t="s">
        <v>712</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843</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844</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718</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845</v>
      </c>
      <c r="B207" s="27" t="s">
        <v>818</v>
      </c>
      <c r="C207" s="27" t="s">
        <v>743</v>
      </c>
      <c r="D207" s="27" t="s">
        <v>712</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791</v>
      </c>
      <c r="B208" s="27" t="s">
        <v>749</v>
      </c>
      <c r="C208" s="27" t="s">
        <v>743</v>
      </c>
      <c r="D208" s="27" t="s">
        <v>712</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846</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847</v>
      </c>
      <c r="B210" s="27" t="s">
        <v>724</v>
      </c>
      <c r="C210" s="27" t="s">
        <v>728</v>
      </c>
      <c r="D210" s="27" t="s">
        <v>712</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848</v>
      </c>
      <c r="B211" s="27" t="s">
        <v>731</v>
      </c>
      <c r="C211" s="27" t="s">
        <v>834</v>
      </c>
      <c r="D211" s="27" t="s">
        <v>712</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277</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823</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725</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row>
    <row r="216" spans="1:12">
      <c r="A216" s="20" t="s">
        <v>849</v>
      </c>
    </row>
    <row r="217" spans="1:12">
      <c r="A217" s="20" t="s">
        <v>708</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829</v>
      </c>
      <c r="B218" s="27" t="s">
        <v>716</v>
      </c>
      <c r="C218" s="27" t="s">
        <v>850</v>
      </c>
      <c r="D218" s="27" t="s">
        <v>712</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819</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90</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725</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row>
    <row r="223" spans="1:12">
      <c r="A223" s="20" t="s">
        <v>851</v>
      </c>
    </row>
    <row r="224" spans="1:12">
      <c r="A224" s="20" t="s">
        <v>827</v>
      </c>
      <c r="B224" s="27" t="s">
        <v>716</v>
      </c>
      <c r="C224" s="27" t="s">
        <v>717</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764</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767</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852</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764</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750</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853</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797</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798</v>
      </c>
      <c r="B232" s="27" t="s">
        <v>716</v>
      </c>
      <c r="C232" s="27" t="s">
        <v>711</v>
      </c>
      <c r="D232" s="27" t="s">
        <v>712</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772</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767</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807</v>
      </c>
      <c r="B235" s="27" t="s">
        <v>716</v>
      </c>
      <c r="C235" s="27" t="s">
        <v>711</v>
      </c>
      <c r="D235" s="27" t="s">
        <v>712</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725</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row>
    <row r="238" spans="1:12">
      <c r="A238" s="20" t="s">
        <v>854</v>
      </c>
    </row>
    <row r="239" spans="1:12">
      <c r="A239" s="20" t="s">
        <v>855</v>
      </c>
      <c r="B239" s="27" t="s">
        <v>710</v>
      </c>
      <c r="C239" s="27" t="s">
        <v>842</v>
      </c>
      <c r="D239" s="27" t="s">
        <v>712</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856</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800</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718</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857</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791</v>
      </c>
      <c r="B244" s="27" t="s">
        <v>749</v>
      </c>
      <c r="C244" s="27" t="s">
        <v>743</v>
      </c>
      <c r="D244" s="27" t="s">
        <v>712</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719</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858</v>
      </c>
      <c r="B246" s="27" t="s">
        <v>818</v>
      </c>
      <c r="C246" s="27" t="s">
        <v>711</v>
      </c>
      <c r="D246" s="27" t="s">
        <v>712</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859</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718</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857</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791</v>
      </c>
      <c r="B250" s="27" t="s">
        <v>720</v>
      </c>
      <c r="C250" s="27" t="s">
        <v>743</v>
      </c>
      <c r="D250" s="27" t="s">
        <v>712</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860</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861</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862</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863</v>
      </c>
      <c r="B254" s="27" t="s">
        <v>724</v>
      </c>
      <c r="C254" s="27" t="s">
        <v>717</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80</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718</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862</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864</v>
      </c>
      <c r="B258" s="27" t="s">
        <v>716</v>
      </c>
      <c r="C258" s="27" t="s">
        <v>717</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783</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769</v>
      </c>
      <c r="B260" s="27" t="s">
        <v>731</v>
      </c>
      <c r="C260" s="27" t="s">
        <v>717</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718</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865</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862</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866</v>
      </c>
      <c r="B264" s="27" t="s">
        <v>716</v>
      </c>
      <c r="C264" s="27" t="s">
        <v>717</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725</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row>
    <row r="267" spans="1:12">
      <c r="A267" s="20" t="s">
        <v>867</v>
      </c>
    </row>
    <row r="268" spans="1:12">
      <c r="A268" s="20" t="s">
        <v>868</v>
      </c>
      <c r="B268" s="27" t="s">
        <v>710</v>
      </c>
      <c r="C268" s="27" t="s">
        <v>842</v>
      </c>
      <c r="D268" s="27" t="s">
        <v>712</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796</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869</v>
      </c>
      <c r="B270" s="27" t="s">
        <v>777</v>
      </c>
      <c r="C270" s="27" t="s">
        <v>842</v>
      </c>
      <c r="D270" s="27" t="s">
        <v>712</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870</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77</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718</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857</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871</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791</v>
      </c>
      <c r="B276" s="27" t="s">
        <v>749</v>
      </c>
      <c r="C276" s="27" t="s">
        <v>743</v>
      </c>
      <c r="D276" s="27" t="s">
        <v>712</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862</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866</v>
      </c>
      <c r="B278" s="27" t="s">
        <v>731</v>
      </c>
      <c r="C278" s="27" t="s">
        <v>717</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80</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718</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791</v>
      </c>
      <c r="B281" s="27" t="s">
        <v>720</v>
      </c>
      <c r="C281" s="27" t="s">
        <v>743</v>
      </c>
      <c r="D281" s="27" t="s">
        <v>712</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862</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767</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797</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798</v>
      </c>
      <c r="B285" s="27" t="s">
        <v>724</v>
      </c>
      <c r="C285" s="27" t="s">
        <v>711</v>
      </c>
      <c r="D285" s="27" t="s">
        <v>712</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80</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718</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714</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872</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873</v>
      </c>
      <c r="B290" s="27" t="s">
        <v>742</v>
      </c>
      <c r="C290" s="27" t="s">
        <v>717</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764</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874</v>
      </c>
      <c r="B292" s="27" t="s">
        <v>811</v>
      </c>
      <c r="C292" s="27" t="s">
        <v>717</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875</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804</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725</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row>
    <row r="297" spans="1:12">
      <c r="A297" s="20" t="s">
        <v>876</v>
      </c>
    </row>
    <row r="298" spans="1:12">
      <c r="A298" s="20" t="s">
        <v>780</v>
      </c>
      <c r="B298" s="27" t="s">
        <v>710</v>
      </c>
      <c r="C298" s="27" t="s">
        <v>743</v>
      </c>
      <c r="D298" s="27" t="s">
        <v>712</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80</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862</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767</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877</v>
      </c>
      <c r="B302" s="27" t="s">
        <v>716</v>
      </c>
      <c r="C302" s="27" t="s">
        <v>711</v>
      </c>
      <c r="D302" s="27" t="s">
        <v>712</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740</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709</v>
      </c>
      <c r="B304" s="27" t="s">
        <v>731</v>
      </c>
      <c r="C304" s="27" t="s">
        <v>711</v>
      </c>
      <c r="D304" s="27" t="s">
        <v>712</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725</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row>
    <row r="307" spans="1:12">
      <c r="A307" s="20" t="s">
        <v>878</v>
      </c>
    </row>
    <row r="308" spans="1:12">
      <c r="A308" s="20" t="s">
        <v>780</v>
      </c>
      <c r="B308" s="27" t="s">
        <v>710</v>
      </c>
      <c r="C308" s="27" t="s">
        <v>743</v>
      </c>
      <c r="D308" s="27" t="s">
        <v>712</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80</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862</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767</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879</v>
      </c>
      <c r="B312" s="27" t="s">
        <v>716</v>
      </c>
      <c r="C312" s="27" t="s">
        <v>711</v>
      </c>
      <c r="D312" s="27" t="s">
        <v>712</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718</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735</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872</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791</v>
      </c>
      <c r="B316" s="27" t="s">
        <v>720</v>
      </c>
      <c r="C316" s="27" t="s">
        <v>743</v>
      </c>
      <c r="D316" s="27" t="s">
        <v>712</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880</v>
      </c>
      <c r="B317" s="27" t="s">
        <v>881</v>
      </c>
      <c r="C317" s="27" t="s">
        <v>743</v>
      </c>
      <c r="D317" s="27" t="s">
        <v>712</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882</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718</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883</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709</v>
      </c>
      <c r="B321" s="27" t="s">
        <v>742</v>
      </c>
      <c r="C321" s="27" t="s">
        <v>717</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884</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764</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791</v>
      </c>
      <c r="B324" s="27" t="s">
        <v>885</v>
      </c>
      <c r="C324" s="27" t="s">
        <v>743</v>
      </c>
      <c r="D324" s="27" t="s">
        <v>712</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886</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846</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887</v>
      </c>
      <c r="B327" s="27" t="s">
        <v>811</v>
      </c>
      <c r="C327" s="27" t="s">
        <v>728</v>
      </c>
      <c r="D327" s="27" t="s">
        <v>712</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718</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767</v>
      </c>
      <c r="B329" s="27" t="s">
        <v>888</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880</v>
      </c>
      <c r="B330" s="27" t="s">
        <v>889</v>
      </c>
      <c r="C330" s="27" t="s">
        <v>743</v>
      </c>
      <c r="D330" s="27" t="s">
        <v>712</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890</v>
      </c>
      <c r="B331" s="27" t="s">
        <v>891</v>
      </c>
      <c r="C331" s="27" t="s">
        <v>892</v>
      </c>
      <c r="D331" s="27" t="s">
        <v>712</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893</v>
      </c>
      <c r="B332" s="27" t="s">
        <v>889</v>
      </c>
      <c r="C332" s="27" t="s">
        <v>717</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894</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895</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718</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896</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725</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row>
    <row r="339" spans="1:12">
      <c r="A339" s="20" t="s">
        <v>897</v>
      </c>
    </row>
    <row r="340" spans="1:12">
      <c r="A340" s="20" t="s">
        <v>87</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868</v>
      </c>
      <c r="B341" s="27" t="s">
        <v>710</v>
      </c>
      <c r="C341" s="27" t="s">
        <v>842</v>
      </c>
      <c r="D341" s="27" t="s">
        <v>712</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735</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898</v>
      </c>
      <c r="B343" s="27" t="s">
        <v>731</v>
      </c>
      <c r="C343" s="27" t="s">
        <v>732</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899</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900</v>
      </c>
      <c r="B345" s="27" t="s">
        <v>716</v>
      </c>
      <c r="C345" s="27" t="s">
        <v>778</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753</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901</v>
      </c>
      <c r="B347" s="27" t="s">
        <v>731</v>
      </c>
      <c r="C347" s="27" t="s">
        <v>761</v>
      </c>
      <c r="D347" s="27" t="s">
        <v>712</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902</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903</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904</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718</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905</v>
      </c>
      <c r="B352" s="27" t="s">
        <v>724</v>
      </c>
      <c r="C352" s="27" t="s">
        <v>761</v>
      </c>
      <c r="D352" s="27" t="s">
        <v>712</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12</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906</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718</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907</v>
      </c>
      <c r="B356" s="27" t="s">
        <v>724</v>
      </c>
      <c r="C356" s="27" t="s">
        <v>761</v>
      </c>
      <c r="D356" s="27" t="s">
        <v>712</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12</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908</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718</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909</v>
      </c>
      <c r="B360" s="27" t="s">
        <v>724</v>
      </c>
      <c r="C360" s="27" t="s">
        <v>761</v>
      </c>
      <c r="D360" s="27" t="s">
        <v>712</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12</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908</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12</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714</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910</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911</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912</v>
      </c>
      <c r="B367" s="27" t="s">
        <v>724</v>
      </c>
      <c r="C367" s="27" t="s">
        <v>711</v>
      </c>
      <c r="D367" s="27" t="s">
        <v>712</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12</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714</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913</v>
      </c>
      <c r="B370" s="27" t="s">
        <v>809</v>
      </c>
      <c r="C370" s="27" t="s">
        <v>761</v>
      </c>
      <c r="D370" s="27" t="s">
        <v>712</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718</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914</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718</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915</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718</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916</v>
      </c>
      <c r="B376" s="27" t="s">
        <v>742</v>
      </c>
      <c r="C376" s="27" t="s">
        <v>717</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917</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12</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908</v>
      </c>
      <c r="B379" s="27" t="s">
        <v>812</v>
      </c>
      <c r="C379" s="27" t="s">
        <v>717</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714</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918</v>
      </c>
      <c r="B381" s="27" t="s">
        <v>811</v>
      </c>
      <c r="C381" s="27" t="s">
        <v>761</v>
      </c>
      <c r="D381" s="27" t="s">
        <v>712</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725</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row>
    <row r="384" spans="1:12">
      <c r="A384" s="20" t="s">
        <v>919</v>
      </c>
    </row>
    <row r="385" spans="1:12">
      <c r="A385" s="20" t="s">
        <v>920</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693</v>
      </c>
      <c r="B386" s="27" t="s">
        <v>731</v>
      </c>
      <c r="C386" s="27" t="s">
        <v>717</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921</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922</v>
      </c>
      <c r="B388" s="27" t="s">
        <v>710</v>
      </c>
      <c r="C388" s="27" t="s">
        <v>728</v>
      </c>
      <c r="D388" s="27" t="s">
        <v>712</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923</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767</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924</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879</v>
      </c>
      <c r="B392" s="27" t="s">
        <v>716</v>
      </c>
      <c r="C392" s="27" t="s">
        <v>711</v>
      </c>
      <c r="D392" s="27" t="s">
        <v>712</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718</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735</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872</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791</v>
      </c>
      <c r="B396" s="27" t="s">
        <v>749</v>
      </c>
      <c r="C396" s="27" t="s">
        <v>743</v>
      </c>
      <c r="D396" s="27" t="s">
        <v>712</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880</v>
      </c>
      <c r="B397" s="27" t="s">
        <v>818</v>
      </c>
      <c r="C397" s="27" t="s">
        <v>743</v>
      </c>
      <c r="D397" s="27" t="s">
        <v>712</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925</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926</v>
      </c>
      <c r="B399" s="27" t="s">
        <v>731</v>
      </c>
      <c r="C399" s="27" t="s">
        <v>717</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730</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927</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175</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718</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925</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928</v>
      </c>
      <c r="B405" s="27" t="s">
        <v>716</v>
      </c>
      <c r="C405" s="27" t="s">
        <v>717</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718</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925</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929</v>
      </c>
      <c r="B408" s="27" t="s">
        <v>731</v>
      </c>
      <c r="C408" s="27" t="s">
        <v>717</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783</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733</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930</v>
      </c>
      <c r="B411" s="27" t="s">
        <v>724</v>
      </c>
      <c r="C411" s="27" t="s">
        <v>711</v>
      </c>
      <c r="D411" s="27" t="s">
        <v>712</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718</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767</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931</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932</v>
      </c>
      <c r="B415" s="27" t="s">
        <v>933</v>
      </c>
      <c r="C415" s="27" t="s">
        <v>711</v>
      </c>
      <c r="D415" s="27" t="s">
        <v>712</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730</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934</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725</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row>
    <row r="420" spans="1:12">
      <c r="A420" s="20" t="s">
        <v>935</v>
      </c>
    </row>
    <row r="421" spans="1:12">
      <c r="A421" s="20" t="s">
        <v>866</v>
      </c>
      <c r="B421" s="27" t="s">
        <v>710</v>
      </c>
      <c r="C421" s="27" t="s">
        <v>717</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923</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860</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936</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767</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937</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798</v>
      </c>
      <c r="B427" s="27" t="s">
        <v>716</v>
      </c>
      <c r="C427" s="27" t="s">
        <v>711</v>
      </c>
      <c r="D427" s="27" t="s">
        <v>712</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718</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741</v>
      </c>
      <c r="B429" s="27" t="s">
        <v>749</v>
      </c>
      <c r="C429" s="27" t="s">
        <v>743</v>
      </c>
      <c r="D429" s="27" t="s">
        <v>712</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923</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773</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767</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938</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725</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row>
    <row r="436" spans="1:12">
      <c r="A436" s="20" t="s">
        <v>939</v>
      </c>
    </row>
    <row r="437" spans="1:12">
      <c r="A437" s="20" t="s">
        <v>790</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868</v>
      </c>
      <c r="B438" s="27" t="s">
        <v>749</v>
      </c>
      <c r="C438" s="27" t="s">
        <v>842</v>
      </c>
      <c r="D438" s="27" t="s">
        <v>712</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843</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61</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718</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940</v>
      </c>
      <c r="B442" s="27" t="s">
        <v>731</v>
      </c>
      <c r="C442" s="27" t="s">
        <v>761</v>
      </c>
      <c r="D442" s="27" t="s">
        <v>712</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920</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913</v>
      </c>
      <c r="B444" s="27" t="s">
        <v>724</v>
      </c>
      <c r="C444" s="27" t="s">
        <v>761</v>
      </c>
      <c r="D444" s="27" t="s">
        <v>712</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921</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718</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748</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941</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942</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925</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767</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943</v>
      </c>
      <c r="B452" s="27" t="s">
        <v>716</v>
      </c>
      <c r="C452" s="27" t="s">
        <v>761</v>
      </c>
      <c r="D452" s="27" t="s">
        <v>712</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725</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row>
    <row r="455" spans="1:12">
      <c r="A455" s="20" t="s">
        <v>944</v>
      </c>
    </row>
    <row r="456" spans="1:12">
      <c r="A456" s="20" t="s">
        <v>945</v>
      </c>
      <c r="B456" s="27" t="s">
        <v>710</v>
      </c>
      <c r="C456" s="27" t="s">
        <v>761</v>
      </c>
      <c r="D456" s="27" t="s">
        <v>712</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748</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941</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942</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925</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946</v>
      </c>
      <c r="B461" s="27" t="s">
        <v>716</v>
      </c>
      <c r="C461" s="27" t="s">
        <v>717</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725</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row>
    <row r="464" spans="1:12">
      <c r="A464" s="20" t="s">
        <v>947</v>
      </c>
    </row>
    <row r="465" spans="1:12">
      <c r="A465" s="20" t="s">
        <v>948</v>
      </c>
      <c r="B465" s="27" t="s">
        <v>710</v>
      </c>
      <c r="C465" s="27" t="s">
        <v>761</v>
      </c>
      <c r="D465" s="27" t="s">
        <v>712</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748</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941</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942</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925</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949</v>
      </c>
      <c r="B470" s="27" t="s">
        <v>716</v>
      </c>
      <c r="C470" s="27" t="s">
        <v>761</v>
      </c>
      <c r="D470" s="27" t="s">
        <v>712</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725</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row>
    <row r="473" spans="1:12">
      <c r="A473" s="20" t="s">
        <v>950</v>
      </c>
    </row>
    <row r="474" spans="1:12">
      <c r="A474" s="20" t="s">
        <v>866</v>
      </c>
      <c r="B474" s="27" t="s">
        <v>710</v>
      </c>
      <c r="C474" s="27" t="s">
        <v>717</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108</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767</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951</v>
      </c>
      <c r="B477" s="27" t="s">
        <v>777</v>
      </c>
      <c r="C477" s="27" t="s">
        <v>711</v>
      </c>
      <c r="D477" s="27" t="s">
        <v>712</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725</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row>
    <row r="480" spans="1:12">
      <c r="A480" s="20" t="s">
        <v>952</v>
      </c>
    </row>
    <row r="481" spans="1:12">
      <c r="A481" s="20" t="s">
        <v>868</v>
      </c>
      <c r="B481" s="27" t="s">
        <v>710</v>
      </c>
      <c r="C481" s="27" t="s">
        <v>842</v>
      </c>
      <c r="D481" s="27" t="s">
        <v>712</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923</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767</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879</v>
      </c>
      <c r="B484" s="27" t="s">
        <v>716</v>
      </c>
      <c r="C484" s="27" t="s">
        <v>711</v>
      </c>
      <c r="D484" s="27" t="s">
        <v>712</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718</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735</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872</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791</v>
      </c>
      <c r="B488" s="27" t="s">
        <v>742</v>
      </c>
      <c r="C488" s="27" t="s">
        <v>743</v>
      </c>
      <c r="D488" s="27" t="s">
        <v>712</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875</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796</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718</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953</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718</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730</v>
      </c>
      <c r="B494" s="27" t="s">
        <v>724</v>
      </c>
      <c r="C494" s="27" t="s">
        <v>732</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740</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954</v>
      </c>
      <c r="B496" s="27" t="s">
        <v>731</v>
      </c>
      <c r="C496" s="27" t="s">
        <v>711</v>
      </c>
      <c r="D496" s="27" t="s">
        <v>712</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195</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718</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447</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718</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955</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718</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956</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718</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957</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718</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958</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796</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764</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959</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960</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725</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row>
    <row r="514" spans="1:12">
      <c r="A514" s="20" t="s">
        <v>961</v>
      </c>
    </row>
    <row r="515" spans="1:12">
      <c r="A515" s="20" t="s">
        <v>868</v>
      </c>
      <c r="B515" s="27" t="s">
        <v>710</v>
      </c>
      <c r="C515" s="27" t="s">
        <v>842</v>
      </c>
      <c r="D515" s="27" t="s">
        <v>712</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923</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962</v>
      </c>
      <c r="B517" s="27" t="s">
        <v>716</v>
      </c>
      <c r="C517" s="27" t="s">
        <v>717</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725</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row>
    <row r="520" spans="1:12">
      <c r="A520" s="20" t="s">
        <v>963</v>
      </c>
    </row>
    <row r="521" spans="1:12">
      <c r="A521" s="20" t="s">
        <v>964</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119</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925</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807</v>
      </c>
      <c r="B524" s="27" t="s">
        <v>716</v>
      </c>
      <c r="C524" s="27" t="s">
        <v>717</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718</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766</v>
      </c>
      <c r="B526" s="27" t="s">
        <v>724</v>
      </c>
      <c r="C526" s="27" t="s">
        <v>743</v>
      </c>
      <c r="D526" s="27" t="s">
        <v>712</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965</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966</v>
      </c>
      <c r="B528" s="27" t="s">
        <v>731</v>
      </c>
      <c r="C528" s="27" t="s">
        <v>717</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923</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725</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row>
    <row r="532" spans="1:12">
      <c r="A532" s="20" t="s">
        <v>967</v>
      </c>
    </row>
    <row r="533" spans="1:12">
      <c r="A533" s="20" t="s">
        <v>780</v>
      </c>
      <c r="B533" s="27" t="s">
        <v>710</v>
      </c>
      <c r="C533" s="27" t="s">
        <v>743</v>
      </c>
      <c r="D533" s="27" t="s">
        <v>712</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123</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968</v>
      </c>
      <c r="B535" s="27" t="s">
        <v>777</v>
      </c>
      <c r="C535" s="27" t="s">
        <v>717</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718</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791</v>
      </c>
      <c r="B537" s="27" t="s">
        <v>749</v>
      </c>
      <c r="C537" s="27" t="s">
        <v>743</v>
      </c>
      <c r="D537" s="27" t="s">
        <v>712</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195</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969</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730</v>
      </c>
      <c r="B540" s="27" t="s">
        <v>724</v>
      </c>
      <c r="C540" s="27" t="s">
        <v>732</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740</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970</v>
      </c>
      <c r="B542" s="27" t="s">
        <v>731</v>
      </c>
      <c r="C542" s="27" t="s">
        <v>711</v>
      </c>
      <c r="D542" s="27" t="s">
        <v>712</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725</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row>
    <row r="545" spans="1:12">
      <c r="A545" s="20" t="s">
        <v>971</v>
      </c>
    </row>
    <row r="546" spans="1:12">
      <c r="A546" s="20" t="s">
        <v>780</v>
      </c>
      <c r="B546" s="27" t="s">
        <v>710</v>
      </c>
      <c r="C546" s="27" t="s">
        <v>743</v>
      </c>
      <c r="D546" s="27" t="s">
        <v>712</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127</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730</v>
      </c>
      <c r="B548" s="27" t="s">
        <v>716</v>
      </c>
      <c r="C548" s="27" t="s">
        <v>732</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718</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772</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767</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972</v>
      </c>
      <c r="B552" s="27" t="s">
        <v>749</v>
      </c>
      <c r="C552" s="27" t="s">
        <v>711</v>
      </c>
      <c r="D552" s="27" t="s">
        <v>712</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764</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973</v>
      </c>
      <c r="B554" s="27" t="s">
        <v>724</v>
      </c>
      <c r="C554" s="27" t="s">
        <v>717</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718</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767</v>
      </c>
      <c r="B556" s="27" t="s">
        <v>812</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791</v>
      </c>
      <c r="B557" s="27" t="s">
        <v>742</v>
      </c>
      <c r="C557" s="27" t="s">
        <v>743</v>
      </c>
      <c r="D557" s="27" t="s">
        <v>712</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232</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718</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861</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914</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974</v>
      </c>
      <c r="B562" s="27" t="s">
        <v>724</v>
      </c>
      <c r="C562" s="27" t="s">
        <v>732</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975</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880</v>
      </c>
      <c r="B564" s="27" t="s">
        <v>731</v>
      </c>
      <c r="C564" s="27" t="s">
        <v>743</v>
      </c>
      <c r="D564" s="27" t="s">
        <v>712</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167</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725</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row>
    <row r="568" spans="1:12">
      <c r="A568" s="20" t="s">
        <v>976</v>
      </c>
    </row>
    <row r="569" spans="1:12">
      <c r="A569" s="20" t="s">
        <v>964</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119</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714</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740</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962</v>
      </c>
      <c r="B573" s="27" t="s">
        <v>716</v>
      </c>
      <c r="C573" s="27" t="s">
        <v>711</v>
      </c>
      <c r="D573" s="27" t="s">
        <v>712</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718</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714</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977</v>
      </c>
      <c r="B576" s="27" t="s">
        <v>731</v>
      </c>
      <c r="C576" s="27" t="s">
        <v>892</v>
      </c>
      <c r="D576" s="27" t="s">
        <v>712</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978</v>
      </c>
      <c r="B577" s="27" t="s">
        <v>716</v>
      </c>
      <c r="C577" s="27" t="s">
        <v>717</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764</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910</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979</v>
      </c>
      <c r="B580" s="27" t="s">
        <v>731</v>
      </c>
      <c r="C580" s="27" t="s">
        <v>711</v>
      </c>
      <c r="D580" s="27" t="s">
        <v>712</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718</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714</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872</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791</v>
      </c>
      <c r="B584" s="27" t="s">
        <v>742</v>
      </c>
      <c r="C584" s="27" t="s">
        <v>743</v>
      </c>
      <c r="D584" s="27" t="s">
        <v>712</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29</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725</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row>
    <row r="588" spans="1:12">
      <c r="A588" s="20" t="s">
        <v>980</v>
      </c>
    </row>
    <row r="589" spans="1:12">
      <c r="A589" s="20" t="s">
        <v>981</v>
      </c>
      <c r="B589" s="27" t="s">
        <v>710</v>
      </c>
      <c r="C589" s="27" t="s">
        <v>761</v>
      </c>
      <c r="D589" s="27" t="s">
        <v>712</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982</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861</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925</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767</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983</v>
      </c>
      <c r="B594" s="27" t="s">
        <v>716</v>
      </c>
      <c r="C594" s="27" t="s">
        <v>711</v>
      </c>
      <c r="D594" s="27" t="s">
        <v>712</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740</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984</v>
      </c>
      <c r="B596" s="27" t="s">
        <v>731</v>
      </c>
      <c r="C596" s="27" t="s">
        <v>711</v>
      </c>
      <c r="D596" s="27" t="s">
        <v>712</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714</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979</v>
      </c>
      <c r="B598" s="27" t="s">
        <v>724</v>
      </c>
      <c r="C598" s="27" t="s">
        <v>717</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725</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row>
    <row r="601" spans="1:12">
      <c r="A601" s="20" t="s">
        <v>985</v>
      </c>
    </row>
    <row r="602" spans="1:12">
      <c r="A602" s="20" t="s">
        <v>986</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740</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987</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46</v>
      </c>
      <c r="B605" s="27" t="s">
        <v>716</v>
      </c>
      <c r="C605" s="27" t="s">
        <v>711</v>
      </c>
      <c r="D605" s="27" t="s">
        <v>712</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923</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988</v>
      </c>
      <c r="B607" s="27" t="s">
        <v>710</v>
      </c>
      <c r="C607" s="27" t="s">
        <v>842</v>
      </c>
      <c r="D607" s="27" t="s">
        <v>712</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989</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311</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990</v>
      </c>
      <c r="B610" s="27" t="s">
        <v>716</v>
      </c>
      <c r="C610" s="27" t="s">
        <v>778</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725</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row>
    <row r="613" spans="1:12">
      <c r="A613" s="20" t="s">
        <v>991</v>
      </c>
    </row>
    <row r="614" spans="1:12">
      <c r="A614" s="20" t="s">
        <v>981</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29</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992</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993</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994</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929</v>
      </c>
      <c r="B619" s="27" t="s">
        <v>710</v>
      </c>
      <c r="C619" s="27" t="s">
        <v>778</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714</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995</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798</v>
      </c>
      <c r="B622" s="27" t="s">
        <v>731</v>
      </c>
      <c r="C622" s="27" t="s">
        <v>717</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718</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995</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996</v>
      </c>
      <c r="B625" s="27" t="s">
        <v>724</v>
      </c>
      <c r="C625" s="27" t="s">
        <v>717</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718</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986</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979</v>
      </c>
      <c r="B628" s="27" t="s">
        <v>809</v>
      </c>
      <c r="C628" s="27" t="s">
        <v>717</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997</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998</v>
      </c>
      <c r="B630" s="27" t="s">
        <v>812</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719</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999</v>
      </c>
      <c r="B632" s="27" t="s">
        <v>742</v>
      </c>
      <c r="C632" s="27" t="s">
        <v>711</v>
      </c>
      <c r="D632" s="27" t="s">
        <v>712</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1000</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725</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row>
    <row r="636" spans="1:12">
      <c r="A636" s="20" t="s">
        <v>1001</v>
      </c>
    </row>
    <row r="637" spans="1:12">
      <c r="A637" s="20" t="s">
        <v>780</v>
      </c>
      <c r="B637" s="27" t="s">
        <v>710</v>
      </c>
      <c r="C637" s="27" t="s">
        <v>743</v>
      </c>
      <c r="D637" s="27" t="s">
        <v>712</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923</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890</v>
      </c>
      <c r="B639" s="27" t="s">
        <v>716</v>
      </c>
      <c r="C639" s="27" t="s">
        <v>892</v>
      </c>
      <c r="D639" s="27" t="s">
        <v>712</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866</v>
      </c>
      <c r="B640" s="27" t="s">
        <v>716</v>
      </c>
      <c r="C640" s="27" t="s">
        <v>717</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725</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row>
    <row r="643" spans="1:12">
      <c r="A643" s="20" t="s">
        <v>1002</v>
      </c>
    </row>
    <row r="644" spans="1:12">
      <c r="A644" s="20" t="s">
        <v>1003</v>
      </c>
      <c r="B644" s="27" t="s">
        <v>710</v>
      </c>
      <c r="C644" s="27" t="s">
        <v>732</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1004</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714</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740</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1005</v>
      </c>
      <c r="B648" s="27" t="s">
        <v>716</v>
      </c>
      <c r="C648" s="27" t="s">
        <v>711</v>
      </c>
      <c r="D648" s="27" t="s">
        <v>712</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718</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857</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740</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1006</v>
      </c>
      <c r="B652" s="27" t="s">
        <v>749</v>
      </c>
      <c r="C652" s="27" t="s">
        <v>711</v>
      </c>
      <c r="D652" s="27" t="s">
        <v>712</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757</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1007</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1008</v>
      </c>
      <c r="B655" s="27" t="s">
        <v>716</v>
      </c>
      <c r="C655" s="27" t="s">
        <v>739</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748</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725</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row>
    <row r="659" spans="1:12">
      <c r="A659" s="20" t="s">
        <v>1009</v>
      </c>
    </row>
    <row r="660" spans="1:12">
      <c r="A660" s="20" t="s">
        <v>855</v>
      </c>
      <c r="B660" s="27" t="s">
        <v>710</v>
      </c>
      <c r="C660" s="27" t="s">
        <v>842</v>
      </c>
      <c r="D660" s="27" t="s">
        <v>712</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1010</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718</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791</v>
      </c>
      <c r="B663" s="27" t="s">
        <v>749</v>
      </c>
      <c r="C663" s="27" t="s">
        <v>743</v>
      </c>
      <c r="D663" s="27" t="s">
        <v>712</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923</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757</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1011</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1008</v>
      </c>
      <c r="B667" s="27" t="s">
        <v>777</v>
      </c>
      <c r="C667" s="27" t="s">
        <v>739</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725</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row>
    <row r="670" spans="1:12">
      <c r="A670" s="20" t="s">
        <v>1012</v>
      </c>
    </row>
    <row r="671" spans="1:12">
      <c r="A671" s="20" t="s">
        <v>780</v>
      </c>
      <c r="B671" s="27" t="s">
        <v>710</v>
      </c>
      <c r="C671" s="27" t="s">
        <v>743</v>
      </c>
      <c r="D671" s="27" t="s">
        <v>712</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923</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1013</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1014</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1015</v>
      </c>
      <c r="B675" s="27" t="s">
        <v>716</v>
      </c>
      <c r="C675" s="27" t="s">
        <v>739</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718</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890</v>
      </c>
      <c r="B677" s="27" t="s">
        <v>724</v>
      </c>
      <c r="C677" s="27" t="s">
        <v>892</v>
      </c>
      <c r="D677" s="27" t="s">
        <v>712</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866</v>
      </c>
      <c r="B678" s="27" t="s">
        <v>749</v>
      </c>
      <c r="C678" s="27" t="s">
        <v>717</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923</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1016</v>
      </c>
      <c r="B680" s="27" t="s">
        <v>731</v>
      </c>
      <c r="C680" s="27" t="s">
        <v>892</v>
      </c>
      <c r="D680" s="27" t="s">
        <v>712</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1017</v>
      </c>
      <c r="B681" s="27" t="s">
        <v>716</v>
      </c>
      <c r="C681" s="27" t="s">
        <v>717</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725</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row>
    <row r="684" spans="1:12">
      <c r="A684" s="20" t="s">
        <v>1018</v>
      </c>
    </row>
    <row r="685" spans="1:12">
      <c r="A685" s="20" t="s">
        <v>1019</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1020</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719</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738</v>
      </c>
      <c r="B688" s="27" t="s">
        <v>716</v>
      </c>
      <c r="C688" s="27" t="s">
        <v>711</v>
      </c>
      <c r="D688" s="27" t="s">
        <v>712</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159</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718</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871</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719</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738</v>
      </c>
      <c r="B693" s="27" t="s">
        <v>731</v>
      </c>
      <c r="C693" s="27" t="s">
        <v>711</v>
      </c>
      <c r="D693" s="27" t="s">
        <v>712</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748</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718</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857</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890</v>
      </c>
      <c r="B697" s="27" t="s">
        <v>885</v>
      </c>
      <c r="C697" s="27" t="s">
        <v>743</v>
      </c>
      <c r="D697" s="27" t="s">
        <v>712</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1021</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797</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807</v>
      </c>
      <c r="B700" s="27" t="s">
        <v>812</v>
      </c>
      <c r="C700" s="27" t="s">
        <v>717</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767</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46</v>
      </c>
      <c r="B702" s="27" t="s">
        <v>812</v>
      </c>
      <c r="C702" s="27" t="s">
        <v>711</v>
      </c>
      <c r="D702" s="27" t="s">
        <v>712</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860</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167</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823</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718</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977</v>
      </c>
      <c r="B707" s="27" t="s">
        <v>724</v>
      </c>
      <c r="C707" s="27" t="s">
        <v>892</v>
      </c>
      <c r="D707" s="27" t="s">
        <v>712</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755</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829</v>
      </c>
      <c r="B709" s="27" t="s">
        <v>749</v>
      </c>
      <c r="C709" s="27" t="s">
        <v>717</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860</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1022</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923</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718</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772</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740</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1023</v>
      </c>
      <c r="B716" s="27" t="s">
        <v>724</v>
      </c>
      <c r="C716" s="27" t="s">
        <v>711</v>
      </c>
      <c r="D716" s="27" t="s">
        <v>712</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718</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1024</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1025</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988</v>
      </c>
      <c r="B720" s="27" t="s">
        <v>720</v>
      </c>
      <c r="C720" s="27" t="s">
        <v>842</v>
      </c>
      <c r="D720" s="27" t="s">
        <v>712</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1026</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163</v>
      </c>
      <c r="B722" s="27" t="s">
        <v>724</v>
      </c>
      <c r="C722" s="27" t="s">
        <v>717</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718</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857</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767</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315</v>
      </c>
      <c r="B726" s="27" t="s">
        <v>885</v>
      </c>
      <c r="C726" s="27" t="s">
        <v>711</v>
      </c>
      <c r="D726" s="27" t="s">
        <v>712</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767</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46</v>
      </c>
      <c r="B728" s="27" t="s">
        <v>933</v>
      </c>
      <c r="C728" s="27" t="s">
        <v>711</v>
      </c>
      <c r="D728" s="27" t="s">
        <v>712</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167</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725</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row>
    <row r="732" spans="1:12">
      <c r="A732" s="20" t="s">
        <v>1027</v>
      </c>
    </row>
    <row r="733" spans="1:12">
      <c r="A733" s="20" t="s">
        <v>163</v>
      </c>
      <c r="B733" s="27" t="s">
        <v>716</v>
      </c>
      <c r="C733" s="27" t="s">
        <v>717</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718</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857</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315</v>
      </c>
      <c r="B736" s="27" t="s">
        <v>749</v>
      </c>
      <c r="C736" s="27" t="s">
        <v>717</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764</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767</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926</v>
      </c>
      <c r="B739" s="27" t="s">
        <v>724</v>
      </c>
      <c r="C739" s="27" t="s">
        <v>711</v>
      </c>
      <c r="D739" s="27" t="s">
        <v>712</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718</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767</v>
      </c>
      <c r="B741" s="27" t="s">
        <v>812</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741</v>
      </c>
      <c r="B742" s="27" t="s">
        <v>742</v>
      </c>
      <c r="C742" s="27" t="s">
        <v>743</v>
      </c>
      <c r="D742" s="27" t="s">
        <v>712</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1028</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718</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998</v>
      </c>
      <c r="B745" s="27" t="s">
        <v>818</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783</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910</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755</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1029</v>
      </c>
      <c r="B749" s="27" t="s">
        <v>731</v>
      </c>
      <c r="C749" s="27" t="s">
        <v>711</v>
      </c>
      <c r="D749" s="27" t="s">
        <v>712</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1030</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725</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row>
    <row r="753" spans="1:12">
      <c r="A753" s="20" t="s">
        <v>1031</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1032</v>
      </c>
    </row>
    <row r="755" spans="1:12">
      <c r="A755" s="20" t="s">
        <v>1033</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790</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315</v>
      </c>
      <c r="B757" s="27" t="s">
        <v>710</v>
      </c>
      <c r="C757" s="27" t="s">
        <v>717</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767</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46</v>
      </c>
      <c r="B759" s="27" t="s">
        <v>777</v>
      </c>
      <c r="C759" s="27" t="s">
        <v>711</v>
      </c>
      <c r="D759" s="27" t="s">
        <v>712</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167</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1034</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1035</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1033</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row>
    <row r="765" spans="1:12">
      <c r="A765" s="20" t="s">
        <v>1036</v>
      </c>
    </row>
    <row r="766" spans="1:12">
      <c r="A766" s="20" t="s">
        <v>1037</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869</v>
      </c>
      <c r="B767" s="27" t="s">
        <v>818</v>
      </c>
      <c r="C767" s="27" t="s">
        <v>842</v>
      </c>
      <c r="D767" s="27" t="s">
        <v>712</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1038</v>
      </c>
      <c r="B768" s="27" t="s">
        <v>724</v>
      </c>
      <c r="C768" s="27" t="s">
        <v>728</v>
      </c>
      <c r="D768" s="27" t="s">
        <v>712</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1039</v>
      </c>
      <c r="B769" s="27" t="s">
        <v>818</v>
      </c>
      <c r="C769" s="27" t="s">
        <v>834</v>
      </c>
      <c r="D769" s="27" t="s">
        <v>712</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730</v>
      </c>
      <c r="B770" s="27" t="s">
        <v>724</v>
      </c>
      <c r="C770" s="27" t="s">
        <v>732</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733</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1040</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1041</v>
      </c>
      <c r="B773" s="27" t="s">
        <v>731</v>
      </c>
      <c r="C773" s="27" t="s">
        <v>711</v>
      </c>
      <c r="D773" s="27" t="s">
        <v>712</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714</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910</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1042</v>
      </c>
      <c r="B776" s="27" t="s">
        <v>731</v>
      </c>
      <c r="C776" s="27" t="s">
        <v>711</v>
      </c>
      <c r="D776" s="27" t="s">
        <v>712</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1043</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718</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1044</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869</v>
      </c>
      <c r="B780" s="27" t="s">
        <v>777</v>
      </c>
      <c r="C780" s="27" t="s">
        <v>842</v>
      </c>
      <c r="D780" s="27" t="s">
        <v>712</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171</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718</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857</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741</v>
      </c>
      <c r="B784" s="27" t="s">
        <v>749</v>
      </c>
      <c r="C784" s="27" t="s">
        <v>743</v>
      </c>
      <c r="D784" s="27" t="s">
        <v>712</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719</v>
      </c>
      <c r="B785" s="27" t="s">
        <v>818</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1045</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1046</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277</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725</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row>
    <row r="791" spans="1:12">
      <c r="A791" s="20" t="s">
        <v>1047</v>
      </c>
    </row>
    <row r="792" spans="1:12">
      <c r="A792" s="20" t="s">
        <v>1048</v>
      </c>
      <c r="B792" s="27" t="s">
        <v>710</v>
      </c>
      <c r="C792" s="27" t="s">
        <v>842</v>
      </c>
      <c r="D792" s="27" t="s">
        <v>712</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1049</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1050</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1051</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718</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1052</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776</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798</v>
      </c>
      <c r="B799" s="27" t="s">
        <v>777</v>
      </c>
      <c r="C799" s="27" t="s">
        <v>717</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764</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1053</v>
      </c>
      <c r="B801" s="27" t="s">
        <v>731</v>
      </c>
      <c r="C801" s="27" t="s">
        <v>717</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718</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714</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872</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866</v>
      </c>
      <c r="B805" s="27" t="s">
        <v>720</v>
      </c>
      <c r="C805" s="27" t="s">
        <v>717</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1050</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1054</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1055</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718</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714</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733</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1056</v>
      </c>
      <c r="B812" s="27" t="s">
        <v>809</v>
      </c>
      <c r="C812" s="27" t="s">
        <v>711</v>
      </c>
      <c r="D812" s="27" t="s">
        <v>712</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718</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485</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718</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1057</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910</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1023</v>
      </c>
      <c r="B818" s="27" t="s">
        <v>933</v>
      </c>
      <c r="C818" s="27" t="s">
        <v>711</v>
      </c>
      <c r="D818" s="27" t="s">
        <v>712</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730</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1058</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718</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1057</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1059</v>
      </c>
      <c r="B823" s="27" t="s">
        <v>1060</v>
      </c>
      <c r="C823" s="27" t="s">
        <v>717</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730</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1061</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725</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row>
    <row r="828" spans="1:12">
      <c r="A828" s="20" t="s">
        <v>1062</v>
      </c>
    </row>
    <row r="829" spans="1:12">
      <c r="A829" s="20" t="s">
        <v>1063</v>
      </c>
      <c r="B829" s="27" t="s">
        <v>777</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783</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765</v>
      </c>
      <c r="B831" s="27" t="s">
        <v>716</v>
      </c>
      <c r="C831" s="27" t="s">
        <v>717</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179</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725</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row>
    <row r="835" spans="1:12">
      <c r="A835" s="20" t="s">
        <v>1064</v>
      </c>
    </row>
    <row r="836" spans="1:12">
      <c r="A836" s="20" t="s">
        <v>1065</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1066</v>
      </c>
      <c r="B837" s="27" t="s">
        <v>731</v>
      </c>
      <c r="C837" s="27" t="s">
        <v>728</v>
      </c>
      <c r="D837" s="27" t="s">
        <v>712</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1067</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764</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813</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1068</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747</v>
      </c>
      <c r="B842" s="27" t="s">
        <v>777</v>
      </c>
      <c r="C842" s="27" t="s">
        <v>834</v>
      </c>
      <c r="D842" s="27" t="s">
        <v>712</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183</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725</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row>
    <row r="846" spans="1:12">
      <c r="A846" s="20" t="s">
        <v>1069</v>
      </c>
    </row>
    <row r="847" spans="1:12">
      <c r="A847" s="20" t="s">
        <v>1070</v>
      </c>
      <c r="B847" s="27" t="s">
        <v>731</v>
      </c>
      <c r="C847" s="27" t="s">
        <v>728</v>
      </c>
      <c r="D847" s="27" t="s">
        <v>712</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798</v>
      </c>
      <c r="B848" s="27" t="s">
        <v>710</v>
      </c>
      <c r="C848" s="27" t="s">
        <v>834</v>
      </c>
      <c r="D848" s="27" t="s">
        <v>712</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187</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1071</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900</v>
      </c>
      <c r="B851" s="27" t="s">
        <v>777</v>
      </c>
      <c r="C851" s="27" t="s">
        <v>717</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753</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1072</v>
      </c>
      <c r="B853" s="27" t="s">
        <v>731</v>
      </c>
      <c r="C853" s="27" t="s">
        <v>761</v>
      </c>
      <c r="D853" s="27" t="s">
        <v>712</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718</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1073</v>
      </c>
      <c r="B855" s="27" t="s">
        <v>724</v>
      </c>
      <c r="C855" s="27" t="s">
        <v>717</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866</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764</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1074</v>
      </c>
      <c r="B858" s="27" t="s">
        <v>724</v>
      </c>
      <c r="C858" s="27" t="s">
        <v>717</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725</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row>
    <row r="861" spans="1:12">
      <c r="A861" s="20" t="s">
        <v>1075</v>
      </c>
    </row>
    <row r="862" spans="1:12">
      <c r="A862" s="20" t="s">
        <v>191</v>
      </c>
      <c r="B862" s="27" t="s">
        <v>716</v>
      </c>
      <c r="C862" s="27" t="s">
        <v>761</v>
      </c>
      <c r="D862" s="27" t="s">
        <v>712</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718</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1076</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1077</v>
      </c>
      <c r="B865" s="27" t="s">
        <v>716</v>
      </c>
      <c r="C865" s="27" t="s">
        <v>717</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1078</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1079</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1080</v>
      </c>
      <c r="B868" s="27" t="s">
        <v>731</v>
      </c>
      <c r="C868" s="27" t="s">
        <v>717</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725</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row>
    <row r="871" spans="1:12">
      <c r="A871" s="20" t="s">
        <v>1081</v>
      </c>
    </row>
    <row r="872" spans="1:12">
      <c r="A872" s="20" t="s">
        <v>1082</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767</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1083</v>
      </c>
      <c r="B874" s="27" t="s">
        <v>710</v>
      </c>
      <c r="C874" s="27" t="s">
        <v>711</v>
      </c>
      <c r="D874" s="27" t="s">
        <v>712</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1084</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1085</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753</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1086</v>
      </c>
      <c r="B878" s="27" t="s">
        <v>716</v>
      </c>
      <c r="C878" s="27" t="s">
        <v>761</v>
      </c>
      <c r="D878" s="27" t="s">
        <v>712</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714</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1087</v>
      </c>
      <c r="B880" s="27" t="s">
        <v>731</v>
      </c>
      <c r="C880" s="27" t="s">
        <v>761</v>
      </c>
      <c r="D880" s="27" t="s">
        <v>712</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759</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row>
    <row r="883" spans="1:12">
      <c r="A883" s="20" t="s">
        <v>1088</v>
      </c>
    </row>
    <row r="884" spans="1:12">
      <c r="A884" s="20" t="s">
        <v>1089</v>
      </c>
      <c r="B884" s="27" t="s">
        <v>716</v>
      </c>
      <c r="C884" s="27" t="s">
        <v>761</v>
      </c>
      <c r="D884" s="27" t="s">
        <v>712</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199</v>
      </c>
      <c r="B885" s="27" t="s">
        <v>716</v>
      </c>
      <c r="C885" s="27" t="s">
        <v>717</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718</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1013</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1090</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1091</v>
      </c>
      <c r="B889" s="27" t="s">
        <v>716</v>
      </c>
      <c r="C889" s="27" t="s">
        <v>739</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1092</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1093</v>
      </c>
      <c r="B891" s="27" t="s">
        <v>731</v>
      </c>
      <c r="C891" s="27" t="s">
        <v>761</v>
      </c>
      <c r="D891" s="27" t="s">
        <v>712</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718</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766</v>
      </c>
      <c r="B893" s="27" t="s">
        <v>720</v>
      </c>
      <c r="C893" s="27" t="s">
        <v>743</v>
      </c>
      <c r="D893" s="27" t="s">
        <v>712</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719</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1094</v>
      </c>
      <c r="B895" s="27" t="s">
        <v>881</v>
      </c>
      <c r="C895" s="27" t="s">
        <v>834</v>
      </c>
      <c r="D895" s="27" t="s">
        <v>712</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1095</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718</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1057</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1096</v>
      </c>
      <c r="B899" s="27" t="s">
        <v>812</v>
      </c>
      <c r="C899" s="27" t="s">
        <v>717</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783</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1097</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1098</v>
      </c>
      <c r="B902" s="27" t="s">
        <v>811</v>
      </c>
      <c r="C902" s="27" t="s">
        <v>717</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730</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1099</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725</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row>
    <row r="907" spans="1:12">
      <c r="A907" s="20" t="s">
        <v>1100</v>
      </c>
    </row>
    <row r="908" spans="1:12">
      <c r="A908" s="20" t="s">
        <v>1082</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767</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1101</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1102</v>
      </c>
      <c r="B911" s="27" t="s">
        <v>716</v>
      </c>
      <c r="C911" s="27" t="s">
        <v>711</v>
      </c>
      <c r="D911" s="27" t="s">
        <v>712</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753</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767</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1103</v>
      </c>
      <c r="B914" s="27" t="s">
        <v>716</v>
      </c>
      <c r="C914" s="27" t="s">
        <v>761</v>
      </c>
      <c r="D914" s="27" t="s">
        <v>712</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12</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1104</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718</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767</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1105</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1104</v>
      </c>
      <c r="B920" s="27" t="s">
        <v>731</v>
      </c>
      <c r="C920" s="27" t="s">
        <v>711</v>
      </c>
      <c r="D920" s="27" t="s">
        <v>712</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764</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767</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1106</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1104</v>
      </c>
      <c r="B924" s="27" t="s">
        <v>731</v>
      </c>
      <c r="C924" s="27" t="s">
        <v>711</v>
      </c>
      <c r="D924" s="27" t="s">
        <v>712</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725</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row>
    <row r="927" spans="1:12">
      <c r="A927" s="20" t="s">
        <v>1107</v>
      </c>
    </row>
    <row r="928" spans="1:12">
      <c r="A928" s="20" t="s">
        <v>315</v>
      </c>
      <c r="B928" s="27" t="s">
        <v>710</v>
      </c>
      <c r="C928" s="27" t="s">
        <v>717</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923</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800</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1108</v>
      </c>
      <c r="B931" s="27" t="s">
        <v>716</v>
      </c>
      <c r="C931" s="27" t="s">
        <v>717</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725</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row>
    <row r="934" spans="1:12">
      <c r="A934" s="20" t="s">
        <v>1109</v>
      </c>
    </row>
    <row r="935" spans="1:12">
      <c r="A935" s="20" t="s">
        <v>1110</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1111</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998</v>
      </c>
      <c r="B937" s="27" t="s">
        <v>777</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767</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723</v>
      </c>
      <c r="B939" s="27" t="s">
        <v>710</v>
      </c>
      <c r="C939" s="27" t="s">
        <v>711</v>
      </c>
      <c r="D939" s="27" t="s">
        <v>712</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753</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837</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823</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791</v>
      </c>
      <c r="B943" s="27" t="s">
        <v>749</v>
      </c>
      <c r="C943" s="27" t="s">
        <v>743</v>
      </c>
      <c r="D943" s="27" t="s">
        <v>712</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1013</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46</v>
      </c>
      <c r="B945" s="27" t="s">
        <v>818</v>
      </c>
      <c r="C945" s="27" t="s">
        <v>739</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1112</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718</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714</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740</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315</v>
      </c>
      <c r="B950" s="27" t="s">
        <v>724</v>
      </c>
      <c r="C950" s="27" t="s">
        <v>711</v>
      </c>
      <c r="D950" s="27" t="s">
        <v>712</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764</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767</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926</v>
      </c>
      <c r="B953" s="27" t="s">
        <v>809</v>
      </c>
      <c r="C953" s="27" t="s">
        <v>711</v>
      </c>
      <c r="D953" s="27" t="s">
        <v>712</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718</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767</v>
      </c>
      <c r="B955" s="27" t="s">
        <v>885</v>
      </c>
      <c r="C955" s="27" t="s">
        <v>743</v>
      </c>
      <c r="D955" s="27" t="s">
        <v>712</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741</v>
      </c>
      <c r="B956" s="27" t="s">
        <v>933</v>
      </c>
      <c r="C956" s="27" t="s">
        <v>743</v>
      </c>
      <c r="D956" s="27" t="s">
        <v>712</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1028</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718</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1013</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1113</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1114</v>
      </c>
      <c r="B961" s="27" t="s">
        <v>881</v>
      </c>
      <c r="C961" s="27" t="s">
        <v>739</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957</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1035</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row>
    <row r="965" spans="1:12">
      <c r="A965" s="20" t="s">
        <v>1115</v>
      </c>
    </row>
    <row r="966" spans="1:12">
      <c r="A966" s="20" t="s">
        <v>1019</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730</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1116</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718</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261</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719</v>
      </c>
      <c r="B971" s="27" t="s">
        <v>720</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1117</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748</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718</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1118</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1119</v>
      </c>
      <c r="B976" s="27" t="s">
        <v>710</v>
      </c>
      <c r="C976" s="27" t="s">
        <v>732</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216</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718</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261</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866</v>
      </c>
      <c r="B980" s="27" t="s">
        <v>749</v>
      </c>
      <c r="C980" s="27" t="s">
        <v>717</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1120</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1121</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923</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725</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row>
    <row r="986" spans="1:12">
      <c r="A986" s="20" t="s">
        <v>1122</v>
      </c>
    </row>
    <row r="987" spans="1:12">
      <c r="A987" s="20" t="s">
        <v>1123</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315</v>
      </c>
      <c r="B988" s="27" t="s">
        <v>710</v>
      </c>
      <c r="C988" s="27" t="s">
        <v>717</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1120</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119</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923</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925</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1124</v>
      </c>
      <c r="B993" s="27" t="s">
        <v>716</v>
      </c>
      <c r="C993" s="27" t="s">
        <v>717</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764</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1125</v>
      </c>
      <c r="B995" s="27" t="s">
        <v>731</v>
      </c>
      <c r="C995" s="27" t="s">
        <v>717</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725</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row>
    <row r="998" spans="1:12">
      <c r="A998" s="20" t="s">
        <v>1126</v>
      </c>
    </row>
    <row r="999" spans="1:12">
      <c r="A999" s="20" t="s">
        <v>1127</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1128</v>
      </c>
      <c r="B1000" s="27" t="s">
        <v>710</v>
      </c>
      <c r="C1000" s="27" t="s">
        <v>1129</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748</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718</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857</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315</v>
      </c>
      <c r="B1004" s="27" t="s">
        <v>710</v>
      </c>
      <c r="C1004" s="27" t="s">
        <v>717</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764</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1124</v>
      </c>
      <c r="B1006" s="27" t="s">
        <v>731</v>
      </c>
      <c r="C1006" s="27" t="s">
        <v>717</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998</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735</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733</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1130</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1097</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1131</v>
      </c>
      <c r="B1012" s="27" t="s">
        <v>716</v>
      </c>
      <c r="C1012" s="27" t="s">
        <v>1132</v>
      </c>
      <c r="D1012" s="27" t="s">
        <v>712</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1133</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797</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1134</v>
      </c>
      <c r="B1015" s="27" t="s">
        <v>731</v>
      </c>
      <c r="C1015" s="27" t="s">
        <v>739</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1135</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725</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row>
    <row r="1019" spans="1:12">
      <c r="A1019" s="20" t="s">
        <v>1136</v>
      </c>
    </row>
    <row r="1020" spans="1:12">
      <c r="A1020" s="20" t="s">
        <v>1019</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1124</v>
      </c>
      <c r="B1021" s="27" t="s">
        <v>720</v>
      </c>
      <c r="C1021" s="27" t="s">
        <v>717</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914</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1137</v>
      </c>
      <c r="B1023" s="27" t="s">
        <v>809</v>
      </c>
      <c r="C1023" s="27" t="s">
        <v>717</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730</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207</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718</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1138</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1119</v>
      </c>
      <c r="B1028" s="27" t="s">
        <v>749</v>
      </c>
      <c r="C1028" s="27" t="s">
        <v>732</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1013</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1139</v>
      </c>
      <c r="B1030" s="27" t="s">
        <v>818</v>
      </c>
      <c r="C1030" s="27" t="s">
        <v>739</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718</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1138</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1119</v>
      </c>
      <c r="B1033" s="27" t="s">
        <v>710</v>
      </c>
      <c r="C1033" s="27" t="s">
        <v>732</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1013</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1140</v>
      </c>
      <c r="B1035" s="27" t="s">
        <v>777</v>
      </c>
      <c r="C1035" s="27" t="s">
        <v>761</v>
      </c>
      <c r="D1035" s="27" t="s">
        <v>712</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12</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1141</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718</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1138</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1119</v>
      </c>
      <c r="B1040" s="27" t="s">
        <v>749</v>
      </c>
      <c r="C1040" s="27" t="s">
        <v>732</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1013</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1142</v>
      </c>
      <c r="B1042" s="27" t="s">
        <v>818</v>
      </c>
      <c r="C1042" s="27" t="s">
        <v>739</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843</v>
      </c>
      <c r="B1043" s="27" t="s">
        <v>731</v>
      </c>
      <c r="C1043" s="27" t="s">
        <v>1143</v>
      </c>
      <c r="D1043" s="27" t="s">
        <v>712</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718</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772</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1144</v>
      </c>
      <c r="B1046" s="27" t="s">
        <v>724</v>
      </c>
      <c r="C1046" s="27" t="s">
        <v>717</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1145</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764</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1119</v>
      </c>
      <c r="B1049" s="27" t="s">
        <v>749</v>
      </c>
      <c r="C1049" s="27" t="s">
        <v>732</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1138</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1013</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1146</v>
      </c>
      <c r="B1052" s="27" t="s">
        <v>818</v>
      </c>
      <c r="C1052" s="27" t="s">
        <v>739</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725</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row>
    <row r="1055" spans="1:12">
      <c r="A1055" s="20" t="s">
        <v>1147</v>
      </c>
    </row>
    <row r="1056" spans="1:12">
      <c r="A1056" s="20" t="s">
        <v>1148</v>
      </c>
      <c r="B1056" s="27" t="s">
        <v>731</v>
      </c>
      <c r="C1056" s="27" t="s">
        <v>743</v>
      </c>
      <c r="D1056" s="27" t="s">
        <v>712</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1149</v>
      </c>
      <c r="B1057" s="27" t="s">
        <v>710</v>
      </c>
      <c r="C1057" s="27" t="s">
        <v>717</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796</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860</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1150</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725</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row>
    <row r="1063" spans="1:12">
      <c r="A1063" s="20" t="s">
        <v>1151</v>
      </c>
    </row>
    <row r="1064" spans="1:12">
      <c r="A1064" s="20" t="s">
        <v>1152</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1153</v>
      </c>
      <c r="B1065" s="27" t="s">
        <v>716</v>
      </c>
      <c r="C1065" s="27" t="s">
        <v>717</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748</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988</v>
      </c>
      <c r="B1067" s="27" t="s">
        <v>710</v>
      </c>
      <c r="C1067" s="27" t="s">
        <v>842</v>
      </c>
      <c r="D1067" s="27" t="s">
        <v>712</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915</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1154</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725</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row>
    <row r="1072" spans="1:12">
      <c r="A1072" s="20" t="s">
        <v>1155</v>
      </c>
    </row>
    <row r="1073" spans="1:12">
      <c r="A1073" s="20" t="s">
        <v>315</v>
      </c>
      <c r="B1073" s="27" t="s">
        <v>710</v>
      </c>
      <c r="C1073" s="27" t="s">
        <v>717</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923</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1156</v>
      </c>
      <c r="B1075" s="27" t="s">
        <v>716</v>
      </c>
      <c r="C1075" s="27" t="s">
        <v>717</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759</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row>
    <row r="1078" spans="1:12">
      <c r="A1078" s="20" t="s">
        <v>1157</v>
      </c>
    </row>
    <row r="1079" spans="1:12">
      <c r="A1079" s="20" t="s">
        <v>741</v>
      </c>
      <c r="B1079" s="27" t="s">
        <v>710</v>
      </c>
      <c r="C1079" s="27" t="s">
        <v>743</v>
      </c>
      <c r="D1079" s="27" t="s">
        <v>712</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923</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1158</v>
      </c>
      <c r="B1081" s="27" t="s">
        <v>716</v>
      </c>
      <c r="C1081" s="27" t="s">
        <v>717</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725</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row>
    <row r="1084" spans="1:12">
      <c r="A1084" s="20" t="s">
        <v>1159</v>
      </c>
    </row>
    <row r="1085" spans="1:12">
      <c r="A1085" s="20" t="s">
        <v>1160</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1161</v>
      </c>
      <c r="B1086" s="27" t="s">
        <v>716</v>
      </c>
      <c r="C1086" s="27" t="s">
        <v>1129</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748</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988</v>
      </c>
      <c r="B1088" s="27" t="s">
        <v>710</v>
      </c>
      <c r="C1088" s="27" t="s">
        <v>842</v>
      </c>
      <c r="D1088" s="27" t="s">
        <v>712</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718</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747</v>
      </c>
      <c r="B1090" s="27" t="s">
        <v>818</v>
      </c>
      <c r="C1090" s="27" t="s">
        <v>717</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730</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822</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764</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871</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741</v>
      </c>
      <c r="B1095" s="27" t="s">
        <v>742</v>
      </c>
      <c r="C1095" s="27" t="s">
        <v>743</v>
      </c>
      <c r="D1095" s="27" t="s">
        <v>712</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719</v>
      </c>
      <c r="B1096" s="27" t="s">
        <v>812</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860</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277</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718</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356</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741</v>
      </c>
      <c r="B1101" s="27" t="s">
        <v>710</v>
      </c>
      <c r="C1101" s="27" t="s">
        <v>743</v>
      </c>
      <c r="D1101" s="27" t="s">
        <v>712</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1162</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1161</v>
      </c>
      <c r="B1103" s="27" t="s">
        <v>777</v>
      </c>
      <c r="C1103" s="27" t="s">
        <v>1129</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725</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row>
    <row r="1106" spans="1:12">
      <c r="A1106" s="20" t="s">
        <v>1163</v>
      </c>
    </row>
    <row r="1107" spans="1:12">
      <c r="A1107" s="20" t="s">
        <v>315</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1164</v>
      </c>
      <c r="B1108" s="27" t="s">
        <v>710</v>
      </c>
      <c r="C1108" s="27" t="s">
        <v>717</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1092</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1165</v>
      </c>
      <c r="B1110" s="27" t="s">
        <v>731</v>
      </c>
      <c r="C1110" s="27" t="s">
        <v>761</v>
      </c>
      <c r="D1110" s="27" t="s">
        <v>712</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1004</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753</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986</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1165</v>
      </c>
      <c r="B1114" s="27" t="s">
        <v>731</v>
      </c>
      <c r="C1114" s="27" t="s">
        <v>761</v>
      </c>
      <c r="D1114" s="27" t="s">
        <v>712</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1166</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791</v>
      </c>
      <c r="B1116" s="27" t="s">
        <v>749</v>
      </c>
      <c r="C1116" s="27" t="s">
        <v>743</v>
      </c>
      <c r="D1116" s="27" t="s">
        <v>712</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880</v>
      </c>
      <c r="B1117" s="27" t="s">
        <v>818</v>
      </c>
      <c r="C1117" s="27" t="s">
        <v>743</v>
      </c>
      <c r="D1117" s="27" t="s">
        <v>712</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1167</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719</v>
      </c>
      <c r="B1119" s="27" t="s">
        <v>818</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1168</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718</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845</v>
      </c>
      <c r="B1122" s="27" t="s">
        <v>818</v>
      </c>
      <c r="C1122" s="27" t="s">
        <v>743</v>
      </c>
      <c r="D1122" s="27" t="s">
        <v>712</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1119</v>
      </c>
      <c r="B1123" s="27" t="s">
        <v>749</v>
      </c>
      <c r="C1123" s="27" t="s">
        <v>732</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714</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1169</v>
      </c>
      <c r="B1125" s="27" t="s">
        <v>731</v>
      </c>
      <c r="C1125" s="27" t="s">
        <v>761</v>
      </c>
      <c r="D1125" s="27" t="s">
        <v>712</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1170</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725</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row>
    <row r="1129" spans="1:12">
      <c r="A1129" s="20" t="s">
        <v>1171</v>
      </c>
    </row>
    <row r="1130" spans="1:12">
      <c r="A1130" s="20" t="s">
        <v>1070</v>
      </c>
      <c r="B1130" s="27" t="s">
        <v>716</v>
      </c>
      <c r="C1130" s="27" t="s">
        <v>728</v>
      </c>
      <c r="D1130" s="27" t="s">
        <v>712</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257</v>
      </c>
      <c r="B1131" s="27" t="s">
        <v>716</v>
      </c>
      <c r="C1131" s="27" t="s">
        <v>834</v>
      </c>
      <c r="D1131" s="27" t="s">
        <v>712</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718</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767</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1172</v>
      </c>
      <c r="B1134" s="27" t="s">
        <v>716</v>
      </c>
      <c r="C1134" s="27" t="s">
        <v>711</v>
      </c>
      <c r="D1134" s="27" t="s">
        <v>712</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725</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row>
    <row r="1137" spans="1:12">
      <c r="A1137" s="20" t="s">
        <v>1173</v>
      </c>
    </row>
    <row r="1138" spans="1:12">
      <c r="A1138" s="20" t="s">
        <v>1123</v>
      </c>
      <c r="B1138" s="27" t="s">
        <v>716</v>
      </c>
      <c r="C1138" s="27" t="s">
        <v>1174</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1035</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row>
    <row r="1141" spans="1:12">
      <c r="A1141" s="20" t="s">
        <v>1175</v>
      </c>
    </row>
    <row r="1142" spans="1:12">
      <c r="A1142" s="20" t="s">
        <v>1176</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1177</v>
      </c>
      <c r="B1143" s="27" t="s">
        <v>710</v>
      </c>
      <c r="C1143" s="27" t="s">
        <v>717</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1178</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796</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273</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725</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row>
    <row r="1149" spans="1:12">
      <c r="A1149" s="20" t="s">
        <v>1179</v>
      </c>
    </row>
    <row r="1150" spans="1:12">
      <c r="A1150" s="20" t="s">
        <v>1176</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1180</v>
      </c>
      <c r="B1151" s="27" t="s">
        <v>710</v>
      </c>
      <c r="C1151" s="27" t="s">
        <v>717</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269</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273</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725</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row>
    <row r="1156" spans="1:12">
      <c r="A1156" s="20" t="s">
        <v>1181</v>
      </c>
    </row>
    <row r="1157" spans="1:12">
      <c r="A1157" s="20" t="s">
        <v>1176</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1182</v>
      </c>
      <c r="B1158" s="27" t="s">
        <v>710</v>
      </c>
      <c r="C1158" s="27" t="s">
        <v>717</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714</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767</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954</v>
      </c>
      <c r="B1161" s="27" t="s">
        <v>716</v>
      </c>
      <c r="C1161" s="27" t="s">
        <v>711</v>
      </c>
      <c r="D1161" s="27" t="s">
        <v>712</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273</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725</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row>
    <row r="1165" spans="1:12">
      <c r="A1165" s="20" t="s">
        <v>1183</v>
      </c>
    </row>
    <row r="1166" spans="1:12">
      <c r="A1166" s="20" t="s">
        <v>727</v>
      </c>
      <c r="B1166" s="27" t="s">
        <v>777</v>
      </c>
      <c r="C1166" s="27" t="s">
        <v>728</v>
      </c>
      <c r="D1166" s="27" t="s">
        <v>712</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273</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791</v>
      </c>
      <c r="B1168" s="27" t="s">
        <v>710</v>
      </c>
      <c r="C1168" s="27" t="s">
        <v>743</v>
      </c>
      <c r="D1168" s="27" t="s">
        <v>712</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277</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725</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row>
    <row r="1172" spans="1:12">
      <c r="A1172" s="20" t="s">
        <v>1184</v>
      </c>
    </row>
    <row r="1173" spans="1:12">
      <c r="A1173" s="20" t="s">
        <v>1048</v>
      </c>
      <c r="B1173" s="27" t="s">
        <v>710</v>
      </c>
      <c r="C1173" s="27" t="s">
        <v>842</v>
      </c>
      <c r="D1173" s="27" t="s">
        <v>712</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1084</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1057</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910</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1185</v>
      </c>
      <c r="B1177" s="27" t="s">
        <v>731</v>
      </c>
      <c r="C1177" s="27" t="s">
        <v>711</v>
      </c>
      <c r="D1177" s="27" t="s">
        <v>712</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714</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733</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1186</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718</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1187</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1042</v>
      </c>
      <c r="B1183" s="27" t="s">
        <v>731</v>
      </c>
      <c r="C1183" s="27" t="s">
        <v>711</v>
      </c>
      <c r="D1183" s="27" t="s">
        <v>712</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718</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740</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1188</v>
      </c>
      <c r="B1186" s="27" t="s">
        <v>749</v>
      </c>
      <c r="C1186" s="27" t="s">
        <v>711</v>
      </c>
      <c r="D1186" s="27" t="s">
        <v>712</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1189</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725</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row>
    <row r="1190" spans="1:12">
      <c r="A1190" s="20" t="s">
        <v>1190</v>
      </c>
    </row>
    <row r="1191" spans="1:12">
      <c r="A1191" s="20" t="s">
        <v>1169</v>
      </c>
      <c r="B1191" s="27" t="s">
        <v>710</v>
      </c>
      <c r="C1191" s="27" t="s">
        <v>761</v>
      </c>
      <c r="D1191" s="27" t="s">
        <v>712</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718</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918</v>
      </c>
      <c r="B1193" s="27" t="s">
        <v>731</v>
      </c>
      <c r="C1193" s="27" t="s">
        <v>761</v>
      </c>
      <c r="D1193" s="27" t="s">
        <v>712</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718</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1191</v>
      </c>
      <c r="B1195" s="27" t="s">
        <v>731</v>
      </c>
      <c r="C1195" s="27" t="s">
        <v>761</v>
      </c>
      <c r="D1195" s="27" t="s">
        <v>712</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718</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767</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1192</v>
      </c>
      <c r="B1198" s="27" t="s">
        <v>731</v>
      </c>
      <c r="C1198" s="27" t="s">
        <v>711</v>
      </c>
      <c r="D1198" s="27" t="s">
        <v>712</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740</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46</v>
      </c>
      <c r="B1200" s="27" t="s">
        <v>724</v>
      </c>
      <c r="C1200" s="27" t="s">
        <v>711</v>
      </c>
      <c r="D1200" s="27" t="s">
        <v>712</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718</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923</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775</v>
      </c>
      <c r="B1203" s="27" t="s">
        <v>710</v>
      </c>
      <c r="C1203" s="27" t="s">
        <v>732</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839</v>
      </c>
      <c r="B1204" s="27" t="s">
        <v>716</v>
      </c>
      <c r="C1204" s="27" t="s">
        <v>732</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925</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1193</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725</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row>
    <row r="1209" spans="1:12">
      <c r="A1209" s="20" t="s">
        <v>1194</v>
      </c>
    </row>
    <row r="1210" spans="1:12">
      <c r="A1210" s="20" t="s">
        <v>1195</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1196</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315</v>
      </c>
      <c r="B1212" s="27" t="s">
        <v>710</v>
      </c>
      <c r="C1212" s="27" t="s">
        <v>717</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273</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1156</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207</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725</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row>
    <row r="1218" spans="1:12">
      <c r="A1218" s="20" t="s">
        <v>1197</v>
      </c>
    </row>
    <row r="1219" spans="1:12">
      <c r="A1219" s="20" t="s">
        <v>868</v>
      </c>
      <c r="B1219" s="27" t="s">
        <v>710</v>
      </c>
      <c r="C1219" s="27" t="s">
        <v>842</v>
      </c>
      <c r="D1219" s="27" t="s">
        <v>712</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273</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767</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1144</v>
      </c>
      <c r="B1222" s="27" t="s">
        <v>777</v>
      </c>
      <c r="C1222" s="27" t="s">
        <v>711</v>
      </c>
      <c r="D1222" s="27" t="s">
        <v>712</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292</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725</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row>
    <row r="1226" spans="1:12">
      <c r="A1226" s="20" t="s">
        <v>1198</v>
      </c>
    </row>
    <row r="1227" spans="1:12">
      <c r="A1227" s="20" t="s">
        <v>868</v>
      </c>
      <c r="B1227" s="27" t="s">
        <v>710</v>
      </c>
      <c r="C1227" s="27" t="s">
        <v>842</v>
      </c>
      <c r="D1227" s="27" t="s">
        <v>712</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273</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1199</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1139</v>
      </c>
      <c r="B1230" s="27" t="s">
        <v>777</v>
      </c>
      <c r="C1230" s="27" t="s">
        <v>1129</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718</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1200</v>
      </c>
      <c r="B1232" s="27" t="s">
        <v>731</v>
      </c>
      <c r="C1232" s="27" t="s">
        <v>717</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764</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1201</v>
      </c>
      <c r="B1234" s="27" t="s">
        <v>731</v>
      </c>
      <c r="C1234" s="27" t="s">
        <v>717</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1202</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296</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764</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1199</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866</v>
      </c>
      <c r="B1239" s="27" t="s">
        <v>818</v>
      </c>
      <c r="C1239" s="27" t="s">
        <v>1129</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1203</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725</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row>
    <row r="1243" spans="1:12">
      <c r="A1243" s="20" t="s">
        <v>1204</v>
      </c>
    </row>
    <row r="1244" spans="1:12">
      <c r="A1244" s="20" t="s">
        <v>780</v>
      </c>
      <c r="B1244" s="27" t="s">
        <v>710</v>
      </c>
      <c r="C1244" s="27" t="s">
        <v>743</v>
      </c>
      <c r="D1244" s="27" t="s">
        <v>712</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187</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1205</v>
      </c>
      <c r="B1246" s="27" t="s">
        <v>777</v>
      </c>
      <c r="C1246" s="27" t="s">
        <v>728</v>
      </c>
      <c r="D1246" s="27" t="s">
        <v>712</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1046</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800</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1206</v>
      </c>
      <c r="B1249" s="27" t="s">
        <v>716</v>
      </c>
      <c r="C1249" s="27" t="s">
        <v>717</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1207</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718</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925</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1208</v>
      </c>
      <c r="B1253" s="27" t="s">
        <v>749</v>
      </c>
      <c r="C1253" s="27" t="s">
        <v>761</v>
      </c>
      <c r="D1253" s="27" t="s">
        <v>712</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1209</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718</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740</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1210</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315</v>
      </c>
      <c r="B1258" s="27" t="s">
        <v>818</v>
      </c>
      <c r="C1258" s="27" t="s">
        <v>711</v>
      </c>
      <c r="D1258" s="27" t="s">
        <v>712</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993</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1211</v>
      </c>
      <c r="B1260" s="27" t="s">
        <v>724</v>
      </c>
      <c r="C1260" s="27" t="s">
        <v>761</v>
      </c>
      <c r="D1260" s="27" t="s">
        <v>712</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714</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910</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1212</v>
      </c>
      <c r="B1263" s="27" t="s">
        <v>724</v>
      </c>
      <c r="C1263" s="27" t="s">
        <v>711</v>
      </c>
      <c r="D1263" s="27" t="s">
        <v>712</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764</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1213</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718</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735</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736</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1214</v>
      </c>
      <c r="B1269" s="27" t="s">
        <v>724</v>
      </c>
      <c r="C1269" s="27" t="s">
        <v>739</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714</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1215</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1216</v>
      </c>
      <c r="B1272" s="27" t="s">
        <v>731</v>
      </c>
      <c r="C1272" s="27" t="s">
        <v>1129</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993</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1217</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1218</v>
      </c>
      <c r="B1275" s="27" t="s">
        <v>724</v>
      </c>
      <c r="C1275" s="27" t="s">
        <v>717</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1219</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1220</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1221</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1044</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725</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row>
    <row r="1282" spans="1:12">
      <c r="A1282" s="20" t="s">
        <v>1222</v>
      </c>
    </row>
    <row r="1283" spans="1:12">
      <c r="A1283" s="20" t="s">
        <v>1223</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1224</v>
      </c>
      <c r="B1284" s="27" t="s">
        <v>716</v>
      </c>
      <c r="C1284" s="27" t="s">
        <v>717</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718</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1225</v>
      </c>
      <c r="B1286" s="27" t="s">
        <v>716</v>
      </c>
      <c r="C1286" s="27" t="s">
        <v>717</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764</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1226</v>
      </c>
      <c r="B1288" s="27" t="s">
        <v>716</v>
      </c>
      <c r="C1288" s="27" t="s">
        <v>717</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725</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row>
    <row r="1291" spans="1:12">
      <c r="A1291" s="20" t="s">
        <v>1227</v>
      </c>
    </row>
    <row r="1292" spans="1:12">
      <c r="A1292" s="20" t="s">
        <v>868</v>
      </c>
      <c r="B1292" s="27" t="s">
        <v>710</v>
      </c>
      <c r="C1292" s="27" t="s">
        <v>842</v>
      </c>
      <c r="D1292" s="27" t="s">
        <v>712</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308</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1228</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862</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910</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1229</v>
      </c>
      <c r="B1297" s="27" t="s">
        <v>716</v>
      </c>
      <c r="C1297" s="27" t="s">
        <v>711</v>
      </c>
      <c r="D1297" s="27" t="s">
        <v>712</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730</v>
      </c>
      <c r="B1298" s="27" t="s">
        <v>724</v>
      </c>
      <c r="C1298" s="27" t="s">
        <v>732</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910</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1230</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996</v>
      </c>
      <c r="B1301" s="27" t="s">
        <v>731</v>
      </c>
      <c r="C1301" s="27" t="s">
        <v>711</v>
      </c>
      <c r="D1301" s="27" t="s">
        <v>712</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725</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row>
    <row r="1304" spans="1:12">
      <c r="A1304" s="20" t="s">
        <v>1231</v>
      </c>
    </row>
    <row r="1305" spans="1:12">
      <c r="A1305" s="20" t="s">
        <v>1037</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719</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1232</v>
      </c>
      <c r="B1307" s="27" t="s">
        <v>749</v>
      </c>
      <c r="C1307" s="27" t="s">
        <v>711</v>
      </c>
      <c r="D1307" s="27" t="s">
        <v>712</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1233</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1085</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1234</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764</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1209</v>
      </c>
      <c r="B1312" s="27" t="s">
        <v>720</v>
      </c>
      <c r="C1312" s="27" t="s">
        <v>717</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1233</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1235</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1236</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718</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1004</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1237</v>
      </c>
      <c r="B1318" s="27" t="s">
        <v>710</v>
      </c>
      <c r="C1318" s="27" t="s">
        <v>842</v>
      </c>
      <c r="D1318" s="27" t="s">
        <v>712</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959</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753</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1238</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1239</v>
      </c>
      <c r="B1322" s="27" t="s">
        <v>724</v>
      </c>
      <c r="C1322" s="27" t="s">
        <v>892</v>
      </c>
      <c r="D1322" s="27" t="s">
        <v>712</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1240</v>
      </c>
      <c r="B1323" s="27" t="s">
        <v>818</v>
      </c>
      <c r="C1323" s="27" t="s">
        <v>717</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718</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1241</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868</v>
      </c>
      <c r="B1326" s="27" t="s">
        <v>749</v>
      </c>
      <c r="C1326" s="27" t="s">
        <v>842</v>
      </c>
      <c r="D1326" s="27" t="s">
        <v>712</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869</v>
      </c>
      <c r="B1327" s="27" t="s">
        <v>818</v>
      </c>
      <c r="C1327" s="27" t="s">
        <v>842</v>
      </c>
      <c r="D1327" s="27" t="s">
        <v>712</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1242</v>
      </c>
      <c r="B1328" s="27" t="s">
        <v>724</v>
      </c>
      <c r="C1328" s="27" t="s">
        <v>892</v>
      </c>
      <c r="D1328" s="27" t="s">
        <v>712</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1243</v>
      </c>
      <c r="B1329" s="27" t="s">
        <v>818</v>
      </c>
      <c r="C1329" s="27" t="s">
        <v>717</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764</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841</v>
      </c>
      <c r="B1331" s="27" t="s">
        <v>720</v>
      </c>
      <c r="C1331" s="27" t="s">
        <v>842</v>
      </c>
      <c r="D1331" s="27" t="s">
        <v>712</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1244</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1242</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1245</v>
      </c>
      <c r="B1334" s="27" t="s">
        <v>881</v>
      </c>
      <c r="C1334" s="27" t="s">
        <v>1129</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319</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725</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1246</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row>
    <row r="1339" spans="1:12">
      <c r="A1339" s="20" t="s">
        <v>1247</v>
      </c>
    </row>
    <row r="1340" spans="1:12">
      <c r="A1340" s="20" t="s">
        <v>920</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1248</v>
      </c>
      <c r="B1341" s="27" t="s">
        <v>716</v>
      </c>
      <c r="C1341" s="27" t="s">
        <v>717</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921</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1249</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719</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277</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315</v>
      </c>
      <c r="B1346" s="27" t="s">
        <v>716</v>
      </c>
      <c r="C1346" s="27" t="s">
        <v>834</v>
      </c>
      <c r="D1346" s="27" t="s">
        <v>712</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725</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row>
    <row r="1349" spans="1:12">
      <c r="A1349" s="20" t="s">
        <v>1250</v>
      </c>
    </row>
    <row r="1350" spans="1:12">
      <c r="A1350" s="20" t="s">
        <v>868</v>
      </c>
      <c r="B1350" s="27" t="s">
        <v>710</v>
      </c>
      <c r="C1350" s="27" t="s">
        <v>842</v>
      </c>
      <c r="D1350" s="27" t="s">
        <v>712</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319</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767</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1245</v>
      </c>
      <c r="B1353" s="27" t="s">
        <v>777</v>
      </c>
      <c r="C1353" s="27" t="s">
        <v>711</v>
      </c>
      <c r="D1353" s="27" t="s">
        <v>712</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718</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741</v>
      </c>
      <c r="B1355" s="27" t="s">
        <v>749</v>
      </c>
      <c r="C1355" s="27" t="s">
        <v>743</v>
      </c>
      <c r="D1355" s="27" t="s">
        <v>712</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1251</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1180</v>
      </c>
      <c r="B1357" s="27" t="s">
        <v>818</v>
      </c>
      <c r="C1357" s="27" t="s">
        <v>717</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730</v>
      </c>
      <c r="B1358" s="27" t="s">
        <v>724</v>
      </c>
      <c r="C1358" s="27" t="s">
        <v>732</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733</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1252</v>
      </c>
      <c r="B1360" s="27" t="s">
        <v>731</v>
      </c>
      <c r="C1360" s="27" t="s">
        <v>711</v>
      </c>
      <c r="D1360" s="27" t="s">
        <v>712</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725</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row>
    <row r="1363" spans="1:12">
      <c r="A1363" s="20" t="s">
        <v>1253</v>
      </c>
    </row>
    <row r="1364" spans="1:12">
      <c r="A1364" s="20" t="s">
        <v>1048</v>
      </c>
      <c r="B1364" s="27" t="s">
        <v>710</v>
      </c>
      <c r="C1364" s="27" t="s">
        <v>842</v>
      </c>
      <c r="D1364" s="27" t="s">
        <v>712</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1049</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1254</v>
      </c>
      <c r="B1366" s="27" t="s">
        <v>731</v>
      </c>
      <c r="C1366" s="27" t="s">
        <v>743</v>
      </c>
      <c r="D1366" s="27" t="s">
        <v>712</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1255</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914</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1256</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1257</v>
      </c>
      <c r="B1370" s="27" t="s">
        <v>777</v>
      </c>
      <c r="C1370" s="27" t="s">
        <v>778</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1258</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725</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row>
    <row r="1374" spans="1:12">
      <c r="A1374" s="20" t="s">
        <v>1259</v>
      </c>
    </row>
    <row r="1375" spans="1:12">
      <c r="A1375" s="20" t="s">
        <v>1260</v>
      </c>
      <c r="B1375" s="27" t="s">
        <v>710</v>
      </c>
      <c r="C1375" s="27" t="s">
        <v>761</v>
      </c>
      <c r="D1375" s="27" t="s">
        <v>712</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1261</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714</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1262</v>
      </c>
      <c r="B1378" s="27" t="s">
        <v>731</v>
      </c>
      <c r="C1378" s="27" t="s">
        <v>761</v>
      </c>
      <c r="D1378" s="27" t="s">
        <v>712</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1263</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998</v>
      </c>
      <c r="B1380" s="27" t="s">
        <v>777</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925</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1264</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1265</v>
      </c>
      <c r="B1383" s="27" t="s">
        <v>716</v>
      </c>
      <c r="C1383" s="27" t="s">
        <v>761</v>
      </c>
      <c r="D1383" s="27" t="s">
        <v>712</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12</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1266</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1267</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725</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row>
    <row r="1389" spans="1:12">
      <c r="A1389" s="20" t="s">
        <v>1268</v>
      </c>
    </row>
    <row r="1390" spans="1:12">
      <c r="A1390" s="20" t="s">
        <v>1269</v>
      </c>
      <c r="B1390" s="27" t="s">
        <v>716</v>
      </c>
      <c r="C1390" s="27" t="s">
        <v>743</v>
      </c>
      <c r="D1390" s="27" t="s">
        <v>712</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330</v>
      </c>
      <c r="B1391" s="27" t="s">
        <v>716</v>
      </c>
      <c r="C1391" s="27" t="s">
        <v>717</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718</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1270</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1271</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1272</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725</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row>
    <row r="1398" spans="1:12">
      <c r="A1398" s="20" t="s">
        <v>1273</v>
      </c>
    </row>
    <row r="1399" spans="1:12">
      <c r="A1399" s="20" t="s">
        <v>1274</v>
      </c>
      <c r="B1399" s="27" t="s">
        <v>710</v>
      </c>
      <c r="C1399" s="27" t="s">
        <v>842</v>
      </c>
      <c r="D1399" s="27" t="s">
        <v>712</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748</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1275</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764</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757</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1276</v>
      </c>
      <c r="B1404" s="27" t="s">
        <v>716</v>
      </c>
      <c r="C1404" s="27" t="s">
        <v>739</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725</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row>
    <row r="1407" spans="1:12">
      <c r="A1407" s="20" t="s">
        <v>1277</v>
      </c>
    </row>
    <row r="1408" spans="1:12">
      <c r="A1408" s="20" t="s">
        <v>1274</v>
      </c>
      <c r="B1408" s="27" t="s">
        <v>710</v>
      </c>
      <c r="C1408" s="27" t="s">
        <v>842</v>
      </c>
      <c r="D1408" s="27" t="s">
        <v>712</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1278</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783</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733</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1279</v>
      </c>
      <c r="B1412" s="27" t="s">
        <v>716</v>
      </c>
      <c r="C1412" s="27" t="s">
        <v>711</v>
      </c>
      <c r="D1412" s="27" t="s">
        <v>712</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730</v>
      </c>
      <c r="B1413" s="27" t="s">
        <v>731</v>
      </c>
      <c r="C1413" s="27" t="s">
        <v>732</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740</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1280</v>
      </c>
      <c r="B1415" s="27" t="s">
        <v>716</v>
      </c>
      <c r="C1415" s="27" t="s">
        <v>711</v>
      </c>
      <c r="D1415" s="27" t="s">
        <v>712</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764</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748</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1281</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714</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1282</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1283</v>
      </c>
      <c r="B1421" s="27" t="s">
        <v>731</v>
      </c>
      <c r="C1421" s="27" t="s">
        <v>778</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757</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1284</v>
      </c>
      <c r="B1423" s="27" t="s">
        <v>716</v>
      </c>
      <c r="C1423" s="27" t="s">
        <v>739</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725</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row>
    <row r="1426" spans="1:12">
      <c r="A1426" s="20" t="s">
        <v>1285</v>
      </c>
    </row>
    <row r="1427" spans="1:12">
      <c r="A1427" s="20" t="s">
        <v>1286</v>
      </c>
      <c r="B1427" s="27" t="s">
        <v>710</v>
      </c>
      <c r="C1427" s="27" t="s">
        <v>761</v>
      </c>
      <c r="D1427" s="27" t="s">
        <v>712</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714</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1287</v>
      </c>
      <c r="B1429" s="27" t="s">
        <v>731</v>
      </c>
      <c r="C1429" s="27" t="s">
        <v>761</v>
      </c>
      <c r="D1429" s="27" t="s">
        <v>712</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1288</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1289</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757</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1290</v>
      </c>
      <c r="B1433" s="27" t="s">
        <v>716</v>
      </c>
      <c r="C1433" s="27" t="s">
        <v>739</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718</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1024</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1291</v>
      </c>
      <c r="B1436" s="27" t="s">
        <v>716</v>
      </c>
      <c r="C1436" s="27" t="s">
        <v>761</v>
      </c>
      <c r="D1436" s="27" t="s">
        <v>712</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764</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959</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1044</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1237</v>
      </c>
      <c r="B1440" s="27" t="s">
        <v>749</v>
      </c>
      <c r="C1440" s="27" t="s">
        <v>842</v>
      </c>
      <c r="D1440" s="27" t="s">
        <v>712</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1292</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725</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row>
    <row r="1444" spans="1:12">
      <c r="A1444" s="20" t="s">
        <v>1293</v>
      </c>
    </row>
    <row r="1445" spans="1:12">
      <c r="A1445" s="20" t="s">
        <v>1274</v>
      </c>
      <c r="B1445" s="27" t="s">
        <v>710</v>
      </c>
      <c r="C1445" s="27" t="s">
        <v>842</v>
      </c>
      <c r="D1445" s="27" t="s">
        <v>712</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1004</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753</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727</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1146</v>
      </c>
      <c r="B1449" s="27" t="s">
        <v>749</v>
      </c>
      <c r="C1449" s="27" t="s">
        <v>761</v>
      </c>
      <c r="D1449" s="27" t="s">
        <v>712</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12</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1294</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748</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1295</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725</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row>
    <row r="1456" spans="1:12">
      <c r="A1456" s="20" t="s">
        <v>1296</v>
      </c>
    </row>
    <row r="1457" spans="1:12">
      <c r="A1457" s="20" t="s">
        <v>1297</v>
      </c>
      <c r="B1457" s="27" t="s">
        <v>710</v>
      </c>
      <c r="C1457" s="27" t="s">
        <v>761</v>
      </c>
      <c r="D1457" s="27" t="s">
        <v>712</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1289</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86</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1298</v>
      </c>
      <c r="B1460" s="27" t="s">
        <v>716</v>
      </c>
      <c r="C1460" s="27" t="s">
        <v>778</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315</v>
      </c>
      <c r="B1461" s="27" t="s">
        <v>716</v>
      </c>
      <c r="C1461" s="27" t="s">
        <v>717</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993</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1299</v>
      </c>
      <c r="B1463" s="27" t="s">
        <v>716</v>
      </c>
      <c r="C1463" s="27" t="s">
        <v>761</v>
      </c>
      <c r="D1463" s="27" t="s">
        <v>712</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725</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row>
    <row r="1466" spans="1:12">
      <c r="A1466" s="20" t="s">
        <v>1300</v>
      </c>
    </row>
    <row r="1467" spans="1:12">
      <c r="A1467" s="20" t="s">
        <v>1301</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1237</v>
      </c>
      <c r="B1468" s="27" t="s">
        <v>749</v>
      </c>
      <c r="C1468" s="27" t="s">
        <v>842</v>
      </c>
      <c r="D1468" s="27" t="s">
        <v>712</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1302</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1303</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718</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767</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1146</v>
      </c>
      <c r="B1473" s="27" t="s">
        <v>881</v>
      </c>
      <c r="C1473" s="27" t="s">
        <v>711</v>
      </c>
      <c r="D1473" s="27" t="s">
        <v>712</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1304</v>
      </c>
      <c r="B1474" s="27" t="s">
        <v>809</v>
      </c>
      <c r="C1474" s="27" t="s">
        <v>761</v>
      </c>
      <c r="D1474" s="27" t="s">
        <v>712</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730</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654</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718</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1305</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1237</v>
      </c>
      <c r="B1479" s="27" t="s">
        <v>710</v>
      </c>
      <c r="C1479" s="27" t="s">
        <v>842</v>
      </c>
      <c r="D1479" s="27" t="s">
        <v>712</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998</v>
      </c>
      <c r="B1480" s="27" t="s">
        <v>777</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860</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1306</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767</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1146</v>
      </c>
      <c r="B1484" s="27" t="s">
        <v>731</v>
      </c>
      <c r="C1484" s="27" t="s">
        <v>711</v>
      </c>
      <c r="D1484" s="27" t="s">
        <v>712</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1307</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725</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row>
    <row r="1488" spans="1:12">
      <c r="A1488" s="20" t="s">
        <v>1308</v>
      </c>
    </row>
    <row r="1489" spans="1:12">
      <c r="A1489" s="20" t="s">
        <v>1309</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1310</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1237</v>
      </c>
      <c r="B1491" s="27" t="s">
        <v>710</v>
      </c>
      <c r="C1491" s="27" t="s">
        <v>842</v>
      </c>
      <c r="D1491" s="27" t="s">
        <v>712</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1311</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1161</v>
      </c>
      <c r="B1493" s="27" t="s">
        <v>777</v>
      </c>
      <c r="C1493" s="27" t="s">
        <v>1129</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860</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1312</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1313</v>
      </c>
      <c r="B1496" s="27" t="s">
        <v>716</v>
      </c>
      <c r="C1496" s="27" t="s">
        <v>761</v>
      </c>
      <c r="D1496" s="27" t="s">
        <v>712</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718</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860</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1312</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1314</v>
      </c>
      <c r="B1500" s="27" t="s">
        <v>716</v>
      </c>
      <c r="C1500" s="27" t="s">
        <v>761</v>
      </c>
      <c r="D1500" s="27" t="s">
        <v>712</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718</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865</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1312</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392</v>
      </c>
      <c r="B1504" s="27" t="s">
        <v>716</v>
      </c>
      <c r="C1504" s="27" t="s">
        <v>717</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718</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740</v>
      </c>
      <c r="B1506" s="27" t="s">
        <v>720</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1315</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1316</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1317</v>
      </c>
      <c r="B1509" s="27" t="s">
        <v>881</v>
      </c>
      <c r="C1509" s="27" t="s">
        <v>739</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1318</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725</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row>
    <row r="1513" spans="1:12">
      <c r="A1513" s="20" t="s">
        <v>1319</v>
      </c>
    </row>
    <row r="1514" spans="1:12">
      <c r="A1514" s="20" t="s">
        <v>315</v>
      </c>
      <c r="B1514" s="27" t="s">
        <v>710</v>
      </c>
      <c r="C1514" s="27" t="s">
        <v>717</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923</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1320</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1156</v>
      </c>
      <c r="B1517" s="27" t="s">
        <v>716</v>
      </c>
      <c r="C1517" s="27" t="s">
        <v>717</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764</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1158</v>
      </c>
      <c r="B1519" s="27" t="s">
        <v>716</v>
      </c>
      <c r="C1519" s="27" t="s">
        <v>717</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725</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row>
    <row r="1522" spans="1:12">
      <c r="A1522" s="20" t="s">
        <v>1321</v>
      </c>
    </row>
    <row r="1523" spans="1:12">
      <c r="A1523" s="20" t="s">
        <v>868</v>
      </c>
      <c r="B1523" s="27" t="s">
        <v>710</v>
      </c>
      <c r="C1523" s="27" t="s">
        <v>842</v>
      </c>
      <c r="D1523" s="27" t="s">
        <v>712</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363</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1144</v>
      </c>
      <c r="B1525" s="27" t="s">
        <v>777</v>
      </c>
      <c r="C1525" s="27" t="s">
        <v>717</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735</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725</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row>
    <row r="1529" spans="1:12">
      <c r="A1529" s="20" t="s">
        <v>1031</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1322</v>
      </c>
    </row>
    <row r="1531" spans="1:12">
      <c r="A1531" s="20" t="s">
        <v>1323</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753</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1324</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315</v>
      </c>
      <c r="B1534" s="27" t="s">
        <v>716</v>
      </c>
      <c r="C1534" s="27" t="s">
        <v>739</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748</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12</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764</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1325</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1326</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841</v>
      </c>
      <c r="B1540" s="27" t="s">
        <v>720</v>
      </c>
      <c r="C1540" s="27" t="s">
        <v>842</v>
      </c>
      <c r="D1540" s="27" t="s">
        <v>712</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741</v>
      </c>
      <c r="B1541" s="27" t="s">
        <v>818</v>
      </c>
      <c r="C1541" s="27" t="s">
        <v>743</v>
      </c>
      <c r="D1541" s="27" t="s">
        <v>712</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1327</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1033</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1328</v>
      </c>
      <c r="B1544" s="27" t="s">
        <v>724</v>
      </c>
      <c r="C1544" s="27" t="s">
        <v>761</v>
      </c>
      <c r="D1544" s="27" t="s">
        <v>712</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1033</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718</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914</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767</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1329</v>
      </c>
      <c r="B1549" s="27" t="s">
        <v>809</v>
      </c>
      <c r="C1549" s="27" t="s">
        <v>711</v>
      </c>
      <c r="D1549" s="27" t="s">
        <v>712</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753</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1033</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1330</v>
      </c>
      <c r="B1552" s="27" t="s">
        <v>811</v>
      </c>
      <c r="C1552" s="27" t="s">
        <v>717</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1033</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725</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row>
    <row r="1556" spans="1:12">
      <c r="A1556" s="20" t="s">
        <v>1331</v>
      </c>
    </row>
    <row r="1557" spans="1:12">
      <c r="A1557" s="20" t="s">
        <v>868</v>
      </c>
      <c r="B1557" s="27" t="s">
        <v>710</v>
      </c>
      <c r="C1557" s="27" t="s">
        <v>842</v>
      </c>
      <c r="D1557" s="27" t="s">
        <v>712</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371</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1092</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740</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1332</v>
      </c>
      <c r="B1561" s="27" t="s">
        <v>716</v>
      </c>
      <c r="C1561" s="27" t="s">
        <v>711</v>
      </c>
      <c r="D1561" s="27" t="s">
        <v>712</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725</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row>
    <row r="1564" spans="1:12">
      <c r="A1564" s="20" t="s">
        <v>1333</v>
      </c>
    </row>
    <row r="1565" spans="1:12">
      <c r="A1565" s="20" t="s">
        <v>868</v>
      </c>
      <c r="B1565" s="27" t="s">
        <v>710</v>
      </c>
      <c r="C1565" s="27" t="s">
        <v>842</v>
      </c>
      <c r="D1565" s="27" t="s">
        <v>712</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923</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1332</v>
      </c>
      <c r="B1567" s="27" t="s">
        <v>716</v>
      </c>
      <c r="C1567" s="27" t="s">
        <v>717</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718</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1119</v>
      </c>
      <c r="B1569" s="27" t="s">
        <v>749</v>
      </c>
      <c r="C1569" s="27" t="s">
        <v>732</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1334</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741</v>
      </c>
      <c r="B1571" s="27" t="s">
        <v>818</v>
      </c>
      <c r="C1571" s="27" t="s">
        <v>743</v>
      </c>
      <c r="D1571" s="27" t="s">
        <v>712</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725</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row>
    <row r="1574" spans="1:12">
      <c r="A1574" s="20" t="s">
        <v>1335</v>
      </c>
    </row>
    <row r="1575" spans="1:12">
      <c r="A1575" s="20" t="s">
        <v>1336</v>
      </c>
      <c r="B1575" s="27" t="s">
        <v>710</v>
      </c>
      <c r="C1575" s="27" t="s">
        <v>761</v>
      </c>
      <c r="D1575" s="27" t="s">
        <v>712</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1337</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1338</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969</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1306</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1287</v>
      </c>
      <c r="B1580" s="27" t="s">
        <v>716</v>
      </c>
      <c r="C1580" s="27" t="s">
        <v>761</v>
      </c>
      <c r="D1580" s="27" t="s">
        <v>712</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1288</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1089</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764</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1339</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753</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1238</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837</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1340</v>
      </c>
      <c r="B1588" s="27" t="s">
        <v>818</v>
      </c>
      <c r="C1588" s="27" t="s">
        <v>743</v>
      </c>
      <c r="D1588" s="27" t="s">
        <v>712</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841</v>
      </c>
      <c r="B1589" s="27" t="s">
        <v>720</v>
      </c>
      <c r="C1589" s="27" t="s">
        <v>842</v>
      </c>
      <c r="D1589" s="27" t="s">
        <v>712</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1341</v>
      </c>
      <c r="B1590" s="27" t="s">
        <v>881</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1035</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1246</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row>
    <row r="1594" spans="1:12">
      <c r="A1594" s="20" t="s">
        <v>1342</v>
      </c>
    </row>
    <row r="1595" spans="1:12">
      <c r="A1595" s="20" t="s">
        <v>1343</v>
      </c>
      <c r="B1595" s="27" t="s">
        <v>731</v>
      </c>
      <c r="C1595" s="27" t="s">
        <v>717</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868</v>
      </c>
      <c r="B1596" s="27" t="s">
        <v>710</v>
      </c>
      <c r="C1596" s="27" t="s">
        <v>842</v>
      </c>
      <c r="D1596" s="27" t="s">
        <v>712</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998</v>
      </c>
      <c r="B1597" s="27" t="s">
        <v>777</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936</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1344</v>
      </c>
      <c r="B1599" s="27" t="s">
        <v>710</v>
      </c>
      <c r="C1599" s="27" t="s">
        <v>761</v>
      </c>
      <c r="D1599" s="27" t="s">
        <v>712</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1345</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800</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718</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772</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1237</v>
      </c>
      <c r="B1604" s="27" t="s">
        <v>720</v>
      </c>
      <c r="C1604" s="27" t="s">
        <v>842</v>
      </c>
      <c r="D1604" s="27" t="s">
        <v>712</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1306</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719</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1346</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1347</v>
      </c>
      <c r="B1608" s="27" t="s">
        <v>724</v>
      </c>
      <c r="C1608" s="27" t="s">
        <v>761</v>
      </c>
      <c r="D1608" s="27" t="s">
        <v>712</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1348</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764</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1349</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753</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1238</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837</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1340</v>
      </c>
      <c r="B1615" s="27" t="s">
        <v>818</v>
      </c>
      <c r="C1615" s="27" t="s">
        <v>743</v>
      </c>
      <c r="D1615" s="27" t="s">
        <v>712</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841</v>
      </c>
      <c r="B1616" s="27" t="s">
        <v>720</v>
      </c>
      <c r="C1616" s="27" t="s">
        <v>842</v>
      </c>
      <c r="D1616" s="27" t="s">
        <v>712</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1341</v>
      </c>
      <c r="B1617" s="27" t="s">
        <v>881</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t="s">
        <v>1035</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1246</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row>
    <row r="1621" spans="1:12">
      <c r="A1621" s="20" t="s">
        <v>1350</v>
      </c>
    </row>
    <row r="1622" spans="1:12">
      <c r="A1622" s="20" t="s">
        <v>1274</v>
      </c>
      <c r="B1622" s="27" t="s">
        <v>710</v>
      </c>
      <c r="C1622" s="27" t="s">
        <v>842</v>
      </c>
      <c r="D1622" s="27" t="s">
        <v>712</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1351</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767</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1352</v>
      </c>
      <c r="B1625" s="27" t="s">
        <v>777</v>
      </c>
      <c r="C1625" s="27" t="s">
        <v>711</v>
      </c>
      <c r="D1625" s="27" t="s">
        <v>712</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860</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388</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725</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row>
    <row r="1630" spans="1:12">
      <c r="A1630" s="20" t="s">
        <v>1353</v>
      </c>
    </row>
    <row r="1631" spans="1:12">
      <c r="A1631" s="20" t="s">
        <v>1354</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392</v>
      </c>
      <c r="B1632" s="27" t="s">
        <v>716</v>
      </c>
      <c r="C1632" s="27" t="s">
        <v>717</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725</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row>
    <row r="1635" spans="1:12">
      <c r="A1635" s="20" t="s">
        <v>1355</v>
      </c>
    </row>
    <row r="1636" spans="1:12">
      <c r="A1636" s="20" t="s">
        <v>1354</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1356</v>
      </c>
      <c r="B1637" s="27" t="s">
        <v>716</v>
      </c>
      <c r="C1637" s="27" t="s">
        <v>892</v>
      </c>
      <c r="D1637" s="27" t="s">
        <v>712</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1357</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396</v>
      </c>
      <c r="B1639" s="27" t="s">
        <v>716</v>
      </c>
      <c r="C1639" s="27" t="s">
        <v>717</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725</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row>
    <row r="1642" spans="1:12">
      <c r="A1642" s="20" t="s">
        <v>1358</v>
      </c>
    </row>
    <row r="1643" spans="1:12">
      <c r="A1643" s="20" t="s">
        <v>1337</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1359</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719</v>
      </c>
      <c r="B1645" s="27" t="s">
        <v>710</v>
      </c>
      <c r="C1645" s="27" t="s">
        <v>728</v>
      </c>
      <c r="D1645" s="27" t="s">
        <v>712</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718</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1360</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1237</v>
      </c>
      <c r="B1648" s="27" t="s">
        <v>710</v>
      </c>
      <c r="C1648" s="27" t="s">
        <v>842</v>
      </c>
      <c r="D1648" s="27" t="s">
        <v>712</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767</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1287</v>
      </c>
      <c r="B1650" s="27" t="s">
        <v>777</v>
      </c>
      <c r="C1650" s="27" t="s">
        <v>761</v>
      </c>
      <c r="D1650" s="27" t="s">
        <v>712</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1361</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1362</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718</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764</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741</v>
      </c>
      <c r="B1655" s="27" t="s">
        <v>749</v>
      </c>
      <c r="C1655" s="27" t="s">
        <v>743</v>
      </c>
      <c r="D1655" s="27" t="s">
        <v>712</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1363</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1364</v>
      </c>
      <c r="B1657" s="27" t="s">
        <v>818</v>
      </c>
      <c r="C1657" s="27" t="s">
        <v>842</v>
      </c>
      <c r="D1657" s="27" t="s">
        <v>712</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725</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row>
    <row r="1660" spans="1:12">
      <c r="A1660" s="20" t="s">
        <v>1365</v>
      </c>
    </row>
    <row r="1661" spans="1:12">
      <c r="A1661" s="20" t="s">
        <v>1366</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371</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315</v>
      </c>
      <c r="B1663" s="27" t="s">
        <v>710</v>
      </c>
      <c r="C1663" s="27" t="s">
        <v>717</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1092</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740</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1367</v>
      </c>
      <c r="B1666" s="27" t="s">
        <v>731</v>
      </c>
      <c r="C1666" s="27" t="s">
        <v>711</v>
      </c>
      <c r="D1666" s="27" t="s">
        <v>712</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718</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767</v>
      </c>
      <c r="B1668" s="27" t="s">
        <v>881</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741</v>
      </c>
      <c r="B1669" s="27" t="s">
        <v>720</v>
      </c>
      <c r="C1669" s="27" t="s">
        <v>743</v>
      </c>
      <c r="D1669" s="27" t="s">
        <v>712</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167</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725</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row>
    <row r="1673" spans="1:12">
      <c r="A1673" s="20" t="s">
        <v>1368</v>
      </c>
    </row>
    <row r="1674" spans="1:12">
      <c r="A1674" s="20" t="s">
        <v>1048</v>
      </c>
      <c r="B1674" s="27" t="s">
        <v>710</v>
      </c>
      <c r="C1674" s="27" t="s">
        <v>842</v>
      </c>
      <c r="D1674" s="27" t="s">
        <v>712</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748</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1369</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718</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925</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1370</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1371</v>
      </c>
      <c r="B1680" s="27" t="s">
        <v>731</v>
      </c>
      <c r="C1680" s="27" t="s">
        <v>717</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315</v>
      </c>
      <c r="B1681" s="27" t="s">
        <v>731</v>
      </c>
      <c r="C1681" s="27" t="s">
        <v>717</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730</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796</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725</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row>
    <row r="1686" spans="1:12">
      <c r="A1686" s="20" t="s">
        <v>1372</v>
      </c>
    </row>
    <row r="1687" spans="1:12">
      <c r="A1687" s="20" t="s">
        <v>1373</v>
      </c>
      <c r="B1687" s="27" t="s">
        <v>710</v>
      </c>
      <c r="C1687" s="27" t="s">
        <v>732</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1374</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714</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736</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1097</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1375</v>
      </c>
      <c r="B1692" s="27" t="s">
        <v>716</v>
      </c>
      <c r="C1692" s="27" t="s">
        <v>739</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925</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1376</v>
      </c>
      <c r="B1694" s="27" t="s">
        <v>716</v>
      </c>
      <c r="C1694" s="27" t="s">
        <v>717</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411</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718</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1377</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1078</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315</v>
      </c>
      <c r="B1699" s="27" t="s">
        <v>731</v>
      </c>
      <c r="C1699" s="27" t="s">
        <v>717</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748</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719</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1369</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725</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row>
    <row r="1705" spans="1:12">
      <c r="A1705" s="20" t="s">
        <v>1378</v>
      </c>
    </row>
    <row r="1706" spans="1:12">
      <c r="A1706" s="20" t="s">
        <v>1379</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1380</v>
      </c>
      <c r="B1707" s="27" t="s">
        <v>731</v>
      </c>
      <c r="C1707" s="27" t="s">
        <v>728</v>
      </c>
      <c r="D1707" s="27" t="s">
        <v>712</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1381</v>
      </c>
      <c r="B1708" s="27" t="s">
        <v>716</v>
      </c>
      <c r="C1708" s="27" t="s">
        <v>834</v>
      </c>
      <c r="D1708" s="27" t="s">
        <v>712</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1382</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315</v>
      </c>
      <c r="B1710" s="27" t="s">
        <v>710</v>
      </c>
      <c r="C1710" s="27" t="s">
        <v>717</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718</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1383</v>
      </c>
      <c r="B1712" s="27" t="s">
        <v>731</v>
      </c>
      <c r="C1712" s="27" t="s">
        <v>717</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764</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1384</v>
      </c>
      <c r="B1714" s="27" t="s">
        <v>731</v>
      </c>
      <c r="C1714" s="27" t="s">
        <v>717</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757</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1385</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415</v>
      </c>
      <c r="B1717" s="27" t="s">
        <v>716</v>
      </c>
      <c r="C1717" s="27" t="s">
        <v>739</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735</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1386</v>
      </c>
      <c r="B1719" s="27" t="s">
        <v>716</v>
      </c>
      <c r="C1719" s="27" t="s">
        <v>717</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725</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row>
    <row r="1722" spans="1:12">
      <c r="A1722" s="20" t="s">
        <v>1387</v>
      </c>
    </row>
    <row r="1723" spans="1:12">
      <c r="A1723" s="20" t="s">
        <v>1324</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1388</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419</v>
      </c>
      <c r="B1725" s="27" t="s">
        <v>716</v>
      </c>
      <c r="C1725" s="27" t="s">
        <v>739</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718</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714</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733</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998</v>
      </c>
      <c r="B1729" s="27" t="s">
        <v>818</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315</v>
      </c>
      <c r="B1730" s="27" t="s">
        <v>749</v>
      </c>
      <c r="C1730" s="27" t="s">
        <v>717</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993</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768</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1389</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12</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1390</v>
      </c>
      <c r="B1735" s="27" t="s">
        <v>731</v>
      </c>
      <c r="C1735" s="27" t="s">
        <v>717</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1391</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753</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row>
    <row r="1739" spans="1:12">
      <c r="A1739" s="20" t="s">
        <v>1392</v>
      </c>
    </row>
    <row r="1740" spans="1:12">
      <c r="A1740" s="20" t="s">
        <v>986</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910</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1393</v>
      </c>
      <c r="B1742" s="27" t="s">
        <v>716</v>
      </c>
      <c r="C1742" s="27" t="s">
        <v>761</v>
      </c>
      <c r="D1742" s="27" t="s">
        <v>712</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423</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791</v>
      </c>
      <c r="B1744" s="27" t="s">
        <v>710</v>
      </c>
      <c r="C1744" s="27" t="s">
        <v>743</v>
      </c>
      <c r="D1744" s="27" t="s">
        <v>712</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767</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1394</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1395</v>
      </c>
      <c r="B1747" s="27" t="s">
        <v>777</v>
      </c>
      <c r="C1747" s="27" t="s">
        <v>711</v>
      </c>
      <c r="D1747" s="27" t="s">
        <v>712</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753</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37</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990</v>
      </c>
      <c r="B1750" s="27" t="s">
        <v>749</v>
      </c>
      <c r="C1750" s="27" t="s">
        <v>778</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740</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1396</v>
      </c>
      <c r="B1752" s="27" t="s">
        <v>724</v>
      </c>
      <c r="C1752" s="27" t="s">
        <v>711</v>
      </c>
      <c r="D1752" s="27" t="s">
        <v>712</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1397</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910</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1398</v>
      </c>
      <c r="B1755" s="27" t="s">
        <v>818</v>
      </c>
      <c r="C1755" s="27" t="s">
        <v>711</v>
      </c>
      <c r="D1755" s="27" t="s">
        <v>712</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764</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845</v>
      </c>
      <c r="B1757" s="27" t="s">
        <v>812</v>
      </c>
      <c r="C1757" s="27" t="s">
        <v>743</v>
      </c>
      <c r="D1757" s="27" t="s">
        <v>712</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1237</v>
      </c>
      <c r="B1758" s="27" t="s">
        <v>742</v>
      </c>
      <c r="C1758" s="27" t="s">
        <v>842</v>
      </c>
      <c r="D1758" s="27" t="s">
        <v>712</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1399</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718</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1400</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725</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row>
    <row r="1764" spans="1:12">
      <c r="A1764" s="20" t="s">
        <v>1401</v>
      </c>
    </row>
    <row r="1765" spans="1:12">
      <c r="A1765" s="20" t="s">
        <v>1402</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754</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736</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1403</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t="s">
        <v>1404</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1125</v>
      </c>
      <c r="B1770" s="27" t="s">
        <v>716</v>
      </c>
      <c r="C1770" s="27" t="s">
        <v>739</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772</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1405</v>
      </c>
      <c r="B1772" s="27" t="s">
        <v>731</v>
      </c>
      <c r="C1772" s="27" t="s">
        <v>761</v>
      </c>
      <c r="D1772" s="27" t="s">
        <v>712</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748</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767</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1406</v>
      </c>
      <c r="B1775" s="27" t="s">
        <v>710</v>
      </c>
      <c r="C1775" s="27" t="s">
        <v>711</v>
      </c>
      <c r="D1775" s="27" t="s">
        <v>712</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158</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718</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178</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718</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1407</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198</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990</v>
      </c>
      <c r="B1782" s="27" t="s">
        <v>716</v>
      </c>
      <c r="C1782" s="27" t="s">
        <v>778</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725</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row>
    <row r="1785" spans="1:12">
      <c r="A1785" s="20" t="s">
        <v>1408</v>
      </c>
    </row>
    <row r="1786" spans="1:12">
      <c r="A1786" s="20" t="s">
        <v>1409</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1410</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1411</v>
      </c>
      <c r="B1788" s="27" t="s">
        <v>777</v>
      </c>
      <c r="C1788" s="27" t="s">
        <v>761</v>
      </c>
      <c r="D1788" s="27" t="s">
        <v>712</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1025</v>
      </c>
      <c r="B1789" s="27" t="s">
        <v>710</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860</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861</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1120</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430</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772</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1412</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725</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row>
    <row r="1798" spans="1:12">
      <c r="A1798" s="20" t="s">
        <v>1413</v>
      </c>
    </row>
    <row r="1799" spans="1:12">
      <c r="A1799" s="20" t="s">
        <v>1414</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871</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1119</v>
      </c>
      <c r="B1801" s="27" t="s">
        <v>710</v>
      </c>
      <c r="C1801" s="27" t="s">
        <v>732</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767</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723</v>
      </c>
      <c r="B1803" s="27" t="s">
        <v>777</v>
      </c>
      <c r="C1803" s="27" t="s">
        <v>711</v>
      </c>
      <c r="D1803" s="27" t="s">
        <v>712</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1111</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753</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1386</v>
      </c>
      <c r="B1806" s="27" t="s">
        <v>716</v>
      </c>
      <c r="C1806" s="27" t="s">
        <v>717</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868</v>
      </c>
      <c r="B1807" s="27" t="s">
        <v>749</v>
      </c>
      <c r="C1807" s="27" t="s">
        <v>842</v>
      </c>
      <c r="D1807" s="27" t="s">
        <v>712</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1415</v>
      </c>
      <c r="B1808" s="27" t="s">
        <v>724</v>
      </c>
      <c r="C1808" s="27" t="s">
        <v>892</v>
      </c>
      <c r="D1808" s="27" t="s">
        <v>712</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1416</v>
      </c>
      <c r="B1809" s="27" t="s">
        <v>731</v>
      </c>
      <c r="C1809" s="27" t="s">
        <v>717</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1035</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row>
    <row r="1812" spans="1:12">
      <c r="A1812" s="20" t="s">
        <v>1417</v>
      </c>
    </row>
    <row r="1813" spans="1:12">
      <c r="A1813" s="20" t="s">
        <v>1386</v>
      </c>
      <c r="B1813" s="27" t="s">
        <v>716</v>
      </c>
      <c r="C1813" s="27" t="s">
        <v>717</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868</v>
      </c>
      <c r="B1814" s="27" t="s">
        <v>749</v>
      </c>
      <c r="C1814" s="27" t="s">
        <v>842</v>
      </c>
      <c r="D1814" s="27" t="s">
        <v>712</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1415</v>
      </c>
      <c r="B1815" s="27" t="s">
        <v>716</v>
      </c>
      <c r="C1815" s="27" t="s">
        <v>892</v>
      </c>
      <c r="D1815" s="27" t="s">
        <v>712</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315</v>
      </c>
      <c r="B1816" s="27" t="s">
        <v>716</v>
      </c>
      <c r="C1816" s="27" t="s">
        <v>717</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1035</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row>
    <row r="1819" spans="1:12">
      <c r="A1819" s="20" t="s">
        <v>1418</v>
      </c>
    </row>
    <row r="1820" spans="1:12">
      <c r="A1820" s="20" t="s">
        <v>1419</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767</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1395</v>
      </c>
      <c r="B1822" s="27" t="s">
        <v>710</v>
      </c>
      <c r="C1822" s="27" t="s">
        <v>711</v>
      </c>
      <c r="D1822" s="27" t="s">
        <v>712</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714</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767</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1420</v>
      </c>
      <c r="B1825" s="27" t="s">
        <v>716</v>
      </c>
      <c r="C1825" s="27" t="s">
        <v>711</v>
      </c>
      <c r="D1825" s="27" t="s">
        <v>712</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1421</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730</v>
      </c>
      <c r="B1827" s="27" t="s">
        <v>724</v>
      </c>
      <c r="C1827" s="27" t="s">
        <v>732</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280</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718</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299</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914</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1422</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318</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990</v>
      </c>
      <c r="B1834" s="27" t="s">
        <v>777</v>
      </c>
      <c r="C1834" s="27" t="s">
        <v>778</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725</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row>
    <row r="1837" spans="1:12">
      <c r="A1837" s="20" t="s">
        <v>1423</v>
      </c>
    </row>
    <row r="1838" spans="1:12">
      <c r="A1838" s="20" t="s">
        <v>1176</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741</v>
      </c>
      <c r="B1839" s="27" t="s">
        <v>710</v>
      </c>
      <c r="C1839" s="27" t="s">
        <v>743</v>
      </c>
      <c r="D1839" s="27" t="s">
        <v>712</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1092</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740</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1332</v>
      </c>
      <c r="B1842" s="27" t="s">
        <v>716</v>
      </c>
      <c r="C1842" s="27" t="s">
        <v>711</v>
      </c>
      <c r="D1842" s="27" t="s">
        <v>712</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923</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725</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row>
    <row r="1846" spans="1:12">
      <c r="A1846" s="20" t="s">
        <v>1424</v>
      </c>
    </row>
    <row r="1847" spans="1:12">
      <c r="A1847" s="20" t="s">
        <v>1176</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741</v>
      </c>
      <c r="B1848" s="27" t="s">
        <v>710</v>
      </c>
      <c r="C1848" s="27" t="s">
        <v>743</v>
      </c>
      <c r="D1848" s="27" t="s">
        <v>712</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783</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1162</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1425</v>
      </c>
      <c r="B1851" s="27" t="s">
        <v>716</v>
      </c>
      <c r="C1851" s="27" t="s">
        <v>1129</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447</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725</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row>
    <row r="1855" spans="1:12">
      <c r="A1855" s="20" t="s">
        <v>1426</v>
      </c>
    </row>
    <row r="1856" spans="1:12">
      <c r="A1856" s="20" t="s">
        <v>1176</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741</v>
      </c>
      <c r="B1857" s="27" t="s">
        <v>710</v>
      </c>
      <c r="C1857" s="27" t="s">
        <v>743</v>
      </c>
      <c r="D1857" s="27" t="s">
        <v>712</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718</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772</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315</v>
      </c>
      <c r="B1860" s="27" t="s">
        <v>716</v>
      </c>
      <c r="C1860" s="27" t="s">
        <v>761</v>
      </c>
      <c r="D1860" s="27" t="s">
        <v>712</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1427</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1092</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1428</v>
      </c>
      <c r="B1863" s="27" t="s">
        <v>731</v>
      </c>
      <c r="C1863" s="27" t="s">
        <v>761</v>
      </c>
      <c r="D1863" s="27" t="s">
        <v>712</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718</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1092</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1429</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1430</v>
      </c>
      <c r="B1867" s="27" t="s">
        <v>716</v>
      </c>
      <c r="C1867" s="27" t="s">
        <v>1129</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451</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718</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1057</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929</v>
      </c>
      <c r="B1871" s="27" t="s">
        <v>818</v>
      </c>
      <c r="C1871" s="27" t="s">
        <v>717</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1092</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736</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1431</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1432</v>
      </c>
      <c r="B1875" s="27" t="s">
        <v>731</v>
      </c>
      <c r="C1875" s="27" t="s">
        <v>739</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730</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1433</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12</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719</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1434</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315</v>
      </c>
      <c r="B1881" s="27" t="s">
        <v>716</v>
      </c>
      <c r="C1881" s="27" t="s">
        <v>834</v>
      </c>
      <c r="D1881" s="27" t="s">
        <v>712</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1427</v>
      </c>
      <c r="B1882" s="27" t="s">
        <v>731</v>
      </c>
      <c r="C1882" s="27" t="s">
        <v>717</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12</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914</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754</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736</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1435</v>
      </c>
      <c r="B1887" s="27" t="s">
        <v>809</v>
      </c>
      <c r="C1887" s="27" t="s">
        <v>739</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1436</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718</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1360</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741</v>
      </c>
      <c r="B1891" s="27" t="s">
        <v>885</v>
      </c>
      <c r="C1891" s="27" t="s">
        <v>743</v>
      </c>
      <c r="D1891" s="27" t="s">
        <v>712</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988</v>
      </c>
      <c r="B1892" s="27" t="s">
        <v>933</v>
      </c>
      <c r="C1892" s="27" t="s">
        <v>842</v>
      </c>
      <c r="D1892" s="27" t="s">
        <v>712</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1437</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725</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row>
    <row r="1896" spans="1:12">
      <c r="A1896" s="20" t="s">
        <v>1438</v>
      </c>
    </row>
    <row r="1897" spans="1:12">
      <c r="A1897" s="20" t="s">
        <v>1439</v>
      </c>
      <c r="B1897" s="27" t="s">
        <v>731</v>
      </c>
      <c r="C1897" s="27" t="s">
        <v>743</v>
      </c>
      <c r="D1897" s="27" t="s">
        <v>712</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396</v>
      </c>
      <c r="B1898" s="27" t="s">
        <v>710</v>
      </c>
      <c r="C1898" s="27" t="s">
        <v>778</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1440</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719</v>
      </c>
      <c r="B1900" s="27" t="s">
        <v>710</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718</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1441</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740</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1442</v>
      </c>
      <c r="B1904" s="27" t="s">
        <v>716</v>
      </c>
      <c r="C1904" s="27" t="s">
        <v>711</v>
      </c>
      <c r="D1904" s="27" t="s">
        <v>712</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914</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741</v>
      </c>
      <c r="B1906" s="27" t="s">
        <v>710</v>
      </c>
      <c r="C1906" s="27" t="s">
        <v>743</v>
      </c>
      <c r="D1906" s="27" t="s">
        <v>712</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371</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1443</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860</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714</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1013</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1444</v>
      </c>
      <c r="B1912" s="27" t="s">
        <v>731</v>
      </c>
      <c r="C1912" s="27" t="s">
        <v>743</v>
      </c>
      <c r="D1912" s="27" t="s">
        <v>712</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1445</v>
      </c>
      <c r="B1913" s="27" t="s">
        <v>716</v>
      </c>
      <c r="C1913" s="27" t="s">
        <v>728</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725</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row>
    <row r="1916" spans="1:12">
      <c r="A1916" s="20" t="s">
        <v>1446</v>
      </c>
    </row>
    <row r="1917" spans="1:12">
      <c r="A1917" s="20" t="s">
        <v>1447</v>
      </c>
      <c r="B1917" s="27" t="s">
        <v>731</v>
      </c>
      <c r="C1917" s="27" t="s">
        <v>728</v>
      </c>
      <c r="D1917" s="27" t="s">
        <v>712</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1448</v>
      </c>
      <c r="B1918" s="27" t="s">
        <v>710</v>
      </c>
      <c r="C1918" s="27" t="s">
        <v>834</v>
      </c>
      <c r="D1918" s="27" t="s">
        <v>712</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1449</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1450</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1092</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733</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1451</v>
      </c>
      <c r="B1923" s="27" t="s">
        <v>716</v>
      </c>
      <c r="C1923" s="27" t="s">
        <v>711</v>
      </c>
      <c r="D1923" s="27" t="s">
        <v>712</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740</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866</v>
      </c>
      <c r="B1925" s="27" t="s">
        <v>731</v>
      </c>
      <c r="C1925" s="27" t="s">
        <v>711</v>
      </c>
      <c r="D1925" s="27" t="s">
        <v>712</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1452</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725</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row>
    <row r="1929" spans="1:12">
      <c r="A1929" s="20" t="s">
        <v>1453</v>
      </c>
    </row>
    <row r="1930" spans="1:12">
      <c r="A1930" s="20" t="s">
        <v>866</v>
      </c>
      <c r="B1930" s="27" t="s">
        <v>710</v>
      </c>
      <c r="C1930" s="27" t="s">
        <v>717</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923</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1454</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1455</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718</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1456</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t="s">
        <v>718</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1457</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718</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1458</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718</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730</v>
      </c>
      <c r="B1941" s="27" t="s">
        <v>724</v>
      </c>
      <c r="C1941" s="27" t="s">
        <v>732</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740</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1459</v>
      </c>
      <c r="B1943" s="27" t="s">
        <v>731</v>
      </c>
      <c r="C1943" s="27" t="s">
        <v>711</v>
      </c>
      <c r="D1943" s="27" t="s">
        <v>712</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1460</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725</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row>
    <row r="1947" spans="1:12">
      <c r="A1947" s="20" t="s">
        <v>1461</v>
      </c>
    </row>
    <row r="1948" spans="1:12">
      <c r="A1948" s="20" t="s">
        <v>790</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864</v>
      </c>
      <c r="B1949" s="27" t="s">
        <v>749</v>
      </c>
      <c r="C1949" s="27" t="s">
        <v>717</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1462</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1463</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718</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772</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1464</v>
      </c>
      <c r="B1954" s="27" t="s">
        <v>731</v>
      </c>
      <c r="C1954" s="27" t="s">
        <v>761</v>
      </c>
      <c r="D1954" s="27" t="s">
        <v>712</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764</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767</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t="s">
        <v>1393</v>
      </c>
      <c r="B1957" s="27" t="s">
        <v>724</v>
      </c>
      <c r="C1957" s="27" t="s">
        <v>761</v>
      </c>
      <c r="D1957" s="27" t="s">
        <v>712</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718</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t="s">
        <v>1024</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466</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741</v>
      </c>
      <c r="B1961" s="27" t="s">
        <v>710</v>
      </c>
      <c r="C1961" s="27" t="s">
        <v>743</v>
      </c>
      <c r="D1961" s="27" t="s">
        <v>712</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1465</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1120</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725</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row>
    <row r="1966" spans="1:12">
      <c r="A1966" s="20" t="s">
        <v>1466</v>
      </c>
    </row>
    <row r="1967" spans="1:12">
      <c r="A1967" s="20" t="s">
        <v>790</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866</v>
      </c>
      <c r="B1968" s="27" t="s">
        <v>749</v>
      </c>
      <c r="C1968" s="27" t="s">
        <v>717</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1462</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1467</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718</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1024</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277</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741</v>
      </c>
      <c r="B1974" s="27" t="s">
        <v>710</v>
      </c>
      <c r="C1974" s="27" t="s">
        <v>743</v>
      </c>
      <c r="D1974" s="27" t="s">
        <v>712</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719</v>
      </c>
      <c r="B1975" s="27" t="s">
        <v>749</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1468</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1120</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725</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row>
    <row r="1980" spans="1:12">
      <c r="A1980" s="20" t="s">
        <v>1469</v>
      </c>
    </row>
    <row r="1981" spans="1:12">
      <c r="A1981" s="20" t="s">
        <v>1464</v>
      </c>
      <c r="B1981" s="27" t="s">
        <v>710</v>
      </c>
      <c r="C1981" s="27" t="s">
        <v>761</v>
      </c>
      <c r="D1981" s="27" t="s">
        <v>712</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764</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767</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t="s">
        <v>1393</v>
      </c>
      <c r="B1984" s="27" t="s">
        <v>731</v>
      </c>
      <c r="C1984" s="27" t="s">
        <v>761</v>
      </c>
      <c r="D1984" s="27" t="s">
        <v>712</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t="s">
        <v>923</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718</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t="s">
        <v>1470</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819</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1471</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1472</v>
      </c>
      <c r="B1990" s="27" t="s">
        <v>731</v>
      </c>
      <c r="C1990" s="27" t="s">
        <v>711</v>
      </c>
      <c r="D1990" s="27" t="s">
        <v>712</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714</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1473</v>
      </c>
      <c r="B1992" s="27" t="s">
        <v>724</v>
      </c>
      <c r="C1992" s="27" t="s">
        <v>761</v>
      </c>
      <c r="D1992" s="27" t="s">
        <v>712</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718</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1474</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714</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1475</v>
      </c>
      <c r="B1996" s="27" t="s">
        <v>716</v>
      </c>
      <c r="C1996" s="27" t="s">
        <v>761</v>
      </c>
      <c r="D1996" s="27" t="s">
        <v>712</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718</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1476</v>
      </c>
      <c r="B1998" s="27" t="s">
        <v>731</v>
      </c>
      <c r="C1998" s="27" t="s">
        <v>717</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764</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1477</v>
      </c>
      <c r="B2000" s="27" t="s">
        <v>716</v>
      </c>
      <c r="C2000" s="27" t="s">
        <v>717</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1057</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910</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1040</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908</v>
      </c>
      <c r="B2004" s="27" t="s">
        <v>731</v>
      </c>
      <c r="C2004" s="27" t="s">
        <v>711</v>
      </c>
      <c r="D2004" s="27" t="s">
        <v>712</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725</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row>
    <row r="2007" spans="1:12">
      <c r="A2007" s="20" t="s">
        <v>1478</v>
      </c>
    </row>
    <row r="2008" spans="1:12">
      <c r="A2008" s="20" t="s">
        <v>1479</v>
      </c>
      <c r="B2008" s="27" t="s">
        <v>710</v>
      </c>
      <c r="C2008" s="27" t="s">
        <v>743</v>
      </c>
      <c r="D2008" s="27" t="s">
        <v>712</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895</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767</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1480</v>
      </c>
      <c r="B2011" s="27" t="s">
        <v>710</v>
      </c>
      <c r="C2011" s="27" t="s">
        <v>711</v>
      </c>
      <c r="D2011" s="27" t="s">
        <v>712</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1481</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207</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725</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row>
    <row r="2016" spans="1:12">
      <c r="A2016" s="20" t="s">
        <v>1482</v>
      </c>
    </row>
    <row r="2017" spans="1:12">
      <c r="A2017" s="20" t="s">
        <v>866</v>
      </c>
      <c r="B2017" s="27" t="s">
        <v>710</v>
      </c>
      <c r="C2017" s="27" t="s">
        <v>717</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481</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998</v>
      </c>
      <c r="B2019" s="27" t="s">
        <v>777</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843</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1483</v>
      </c>
      <c r="B2021" s="27" t="s">
        <v>731</v>
      </c>
      <c r="C2021" s="27" t="s">
        <v>743</v>
      </c>
      <c r="D2021" s="27" t="s">
        <v>712</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1484</v>
      </c>
      <c r="B2022" s="27" t="s">
        <v>777</v>
      </c>
      <c r="C2022" s="27" t="s">
        <v>778</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725</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row>
    <row r="2025" spans="1:12">
      <c r="A2025" s="20" t="s">
        <v>1485</v>
      </c>
    </row>
    <row r="2026" spans="1:12">
      <c r="A2026" s="20" t="s">
        <v>868</v>
      </c>
      <c r="B2026" s="27" t="s">
        <v>710</v>
      </c>
      <c r="C2026" s="27" t="s">
        <v>842</v>
      </c>
      <c r="D2026" s="27" t="s">
        <v>712</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273</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485</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764</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t="s">
        <v>741</v>
      </c>
      <c r="B2030" s="27" t="s">
        <v>749</v>
      </c>
      <c r="C2030" s="27" t="s">
        <v>743</v>
      </c>
      <c r="D2030" s="27" t="s">
        <v>712</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t="s">
        <v>277</v>
      </c>
      <c r="E2031" s="21">
        <f>IF(D2031="?OLD","!!!","")</f>
        <v/>
      </c>
      <c r="F2031" s="22" t="str">
        <f>IF(OR(E2031="",E2031="!!!"),"",IF(NOT(ISNA(VLOOKUP(E2031,E$1:E2030,1,FALSE()))),"OLD",IF(AND(E2031&lt;&gt;"",E2031&lt;&gt;"!!!"),"NEW","")))</f>
        <v> </v>
      </c>
      <c r="G2031" s="23" t="str">
        <f>IF(OR(E2031="",E2031="!!!"),"",IF(OR(J2031=0,AND(J2031=1,K2031=1),AND(J2031=1,I2031="SBJ"),AND(J2031=1,I2031=0)),"?IN_FOCUS",IF(J2031&lt;=2,"?ACTIVATED",IF(J2031&lt;&gt;"","?FAMILIAR",IF(F2031="NEW",IF(ISNA(VLOOKUP(E2031,#REF!,1,FALSE())),"?TYPE_IDENTIFIABLE","?REFERENTIAL"),"_")))))</f>
        <v> </v>
      </c>
      <c r="H2031" s="24" t="str">
        <f>IF(J2031&lt;&gt;1,"",IF(I2031="SBJ","CB","?"))</f>
        <v> </v>
      </c>
      <c r="I2031" s="25" t="str">
        <f>IF(OR(E2031="",E2031="!!!",F2031="NEW"),"",INDEX(B2030:B$2,-1+SUMPRODUCT(MAX(ROW(E2030:E$2)*(E2031=E2030:E$2)))))</f>
        <v> </v>
      </c>
      <c r="J2031" s="25" t="str">
        <f>IF(OR(E2031="",E2031="!!!",F2031="NEW"),"",COUNTBLANK(OFFSET(A$1,,,SUMPRODUCT(MAX(ROW(E$2:E2031)*(E2031=E$2:E2031)))))-COUNTBLANK(OFFSET(A$1,,,SUMPRODUCT(MAX(ROW(E$1:E2030)*(E2=E$1:E2030))))))</f>
        <v> </v>
      </c>
      <c r="K2031" s="25" t="str">
        <f>IF(OR(E2031="",E2031="!!!",F2031="NEW"),"",INDEX(J$1:J2030,SUMPRODUCT(MAX(ROW(E$1:E2030)*(E2031=E$1:E2030)))))</f>
        <v> </v>
      </c>
      <c r="L2031" s="26"/>
    </row>
    <row r="2032" spans="1:12">
      <c r="A2032" s="20" t="s">
        <v>988</v>
      </c>
      <c r="B2032" s="27" t="s">
        <v>818</v>
      </c>
      <c r="C2032" s="27" t="s">
        <v>842</v>
      </c>
      <c r="D2032" s="27" t="s">
        <v>712</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773</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725</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row>
    <row r="2036" spans="1:12">
      <c r="A2036" s="20" t="s">
        <v>1486</v>
      </c>
    </row>
    <row r="2037" spans="1:12">
      <c r="A2037" s="20" t="s">
        <v>868</v>
      </c>
      <c r="B2037" s="27" t="s">
        <v>710</v>
      </c>
      <c r="C2037" s="27" t="s">
        <v>842</v>
      </c>
      <c r="D2037" s="27" t="s">
        <v>712</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447</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730</v>
      </c>
      <c r="B2039" s="27" t="s">
        <v>731</v>
      </c>
      <c r="C2039" s="27" t="s">
        <v>732</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733</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t="s">
        <v>1487</v>
      </c>
      <c r="B2041" s="27" t="s">
        <v>716</v>
      </c>
      <c r="C2041" s="27" t="s">
        <v>711</v>
      </c>
      <c r="D2041" s="27" t="s">
        <v>712</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886</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846</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910</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1023</v>
      </c>
      <c r="B2045" s="27" t="s">
        <v>716</v>
      </c>
      <c r="C2045" s="27" t="s">
        <v>711</v>
      </c>
      <c r="D2045" s="27" t="s">
        <v>712</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725</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row>
    <row r="2048" spans="1:12">
      <c r="A2048" s="20" t="s">
        <v>1488</v>
      </c>
    </row>
    <row r="2049" spans="1:12">
      <c r="A2049" s="20" t="s">
        <v>1489</v>
      </c>
      <c r="B2049" s="27" t="s">
        <v>710</v>
      </c>
      <c r="C2049" s="27" t="s">
        <v>717</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772</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1490</v>
      </c>
      <c r="B2051" s="27" t="s">
        <v>731</v>
      </c>
      <c r="C2051" s="27" t="s">
        <v>761</v>
      </c>
      <c r="D2051" s="27" t="s">
        <v>712</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764</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767</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t="s">
        <v>1050</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t="s">
        <v>1491</v>
      </c>
      <c r="E2055" s="21">
        <f>IF(D2055="?OLD","!!!","")</f>
        <v/>
      </c>
      <c r="F2055" s="22" t="str">
        <f>IF(OR(E2055="",E2055="!!!"),"",IF(NOT(ISNA(VLOOKUP(E2055,E$1:E2054,1,FALSE()))),"OLD",IF(AND(E2055&lt;&gt;"",E2055&lt;&gt;"!!!"),"NEW","")))</f>
        <v> </v>
      </c>
      <c r="G2055" s="23" t="str">
        <f>IF(OR(E2055="",E2055="!!!"),"",IF(OR(J2055=0,AND(J2055=1,K2055=1),AND(J2055=1,I2055="SBJ"),AND(J2055=1,I2055=0)),"?IN_FOCUS",IF(J2055&lt;=2,"?ACTIVATED",IF(J2055&lt;&gt;"","?FAMILIAR",IF(F2055="NEW",IF(ISNA(VLOOKUP(E2055,#REF!,1,FALSE())),"?TYPE_IDENTIFIABLE","?REFERENTIAL"),"_")))))</f>
        <v> </v>
      </c>
      <c r="H2055" s="24" t="str">
        <f>IF(J2055&lt;&gt;1,"",IF(I2055="SBJ","CB","?"))</f>
        <v> </v>
      </c>
      <c r="I2055" s="25" t="str">
        <f>IF(OR(E2055="",E2055="!!!",F2055="NEW"),"",INDEX(B2054:B$2,-1+SUMPRODUCT(MAX(ROW(E2054:E$2)*(E2055=E2054:E$2)))))</f>
        <v> </v>
      </c>
      <c r="J2055" s="25" t="str">
        <f>IF(OR(E2055="",E2055="!!!",F2055="NEW"),"",COUNTBLANK(OFFSET(A$1,,,SUMPRODUCT(MAX(ROW(E$2:E2055)*(E2055=E$2:E2055)))))-COUNTBLANK(OFFSET(A$1,,,SUMPRODUCT(MAX(ROW(E$1:E2054)*(E2=E$1:E2054))))))</f>
        <v> </v>
      </c>
      <c r="K2055" s="25" t="str">
        <f>IF(OR(E2055="",E2055="!!!",F2055="NEW"),"",INDEX(J$1:J2054,SUMPRODUCT(MAX(ROW(E$1:E2054)*(E2055=E$1:E2054)))))</f>
        <v> </v>
      </c>
      <c r="L2055" s="26"/>
    </row>
    <row r="2056" spans="1:12">
      <c r="A2056" s="20" t="s">
        <v>191</v>
      </c>
      <c r="B2056" s="27" t="s">
        <v>724</v>
      </c>
      <c r="C2056" s="27" t="s">
        <v>711</v>
      </c>
      <c r="D2056" s="27" t="s">
        <v>712</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718</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187</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1046</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838</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t="s">
        <v>1298</v>
      </c>
      <c r="B2061" s="27" t="s">
        <v>777</v>
      </c>
      <c r="C2061" s="27" t="s">
        <v>778</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800</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1492</v>
      </c>
      <c r="B2063" s="27" t="s">
        <v>716</v>
      </c>
      <c r="C2063" s="27" t="s">
        <v>761</v>
      </c>
      <c r="D2063" s="27" t="s">
        <v>712</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1228</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1493</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t="s">
        <v>725</v>
      </c>
      <c r="E2066" s="21">
        <f>IF(D2066="?OLD","!!!","")</f>
        <v/>
      </c>
      <c r="F2066" s="22" t="str">
        <f>IF(OR(E2066="",E2066="!!!"),"",IF(NOT(ISNA(VLOOKUP(E2066,E$1:E2065,1,FALSE()))),"OLD",IF(AND(E2066&lt;&gt;"",E2066&lt;&gt;"!!!"),"NEW","")))</f>
        <v> </v>
      </c>
      <c r="G2066" s="23" t="str">
        <f>IF(OR(E2066="",E2066="!!!"),"",IF(OR(J2066=0,AND(J2066=1,K2066=1),AND(J2066=1,I2066="SBJ"),AND(J2066=1,I2066=0)),"?IN_FOCUS",IF(J2066&lt;=2,"?ACTIVATED",IF(J2066&lt;&gt;"","?FAMILIAR",IF(F2066="NEW",IF(ISNA(VLOOKUP(E2066,#REF!,1,FALSE())),"?TYPE_IDENTIFIABLE","?REFERENTIAL"),"_")))))</f>
        <v> </v>
      </c>
      <c r="H2066" s="24" t="str">
        <f>IF(J2066&lt;&gt;1,"",IF(I2066="SBJ","CB","?"))</f>
        <v> </v>
      </c>
      <c r="I2066" s="25" t="str">
        <f>IF(OR(E2066="",E2066="!!!",F2066="NEW"),"",INDEX(B2065:B$2,-1+SUMPRODUCT(MAX(ROW(E2065:E$2)*(E2066=E2065:E$2)))))</f>
        <v> </v>
      </c>
      <c r="J2066" s="25" t="str">
        <f>IF(OR(E2066="",E2066="!!!",F2066="NEW"),"",COUNTBLANK(OFFSET(A$1,,,SUMPRODUCT(MAX(ROW(E$2:E2066)*(E2066=E$2:E2066)))))-COUNTBLANK(OFFSET(A$1,,,SUMPRODUCT(MAX(ROW(E$1:E2065)*(E2=E$1:E2065))))))</f>
        <v> </v>
      </c>
      <c r="K2066" s="25" t="str">
        <f>IF(OR(E2066="",E2066="!!!",F2066="NEW"),"",INDEX(J$1:J2065,SUMPRODUCT(MAX(ROW(E$1:E2065)*(E2066=E$1:E2065)))))</f>
        <v> </v>
      </c>
      <c r="L2066" s="26"/>
    </row>
    <row r="2067" spans="1:12">
      <c r="A2067" s="20"/>
    </row>
    <row r="2068" spans="1:12">
      <c r="A2068" s="20" t="s">
        <v>1494</v>
      </c>
    </row>
    <row r="2069" spans="1:12">
      <c r="A2069" s="20" t="s">
        <v>986</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t="s">
        <v>1492</v>
      </c>
      <c r="B2070" s="27" t="s">
        <v>716</v>
      </c>
      <c r="C2070" s="27" t="s">
        <v>761</v>
      </c>
      <c r="D2070" s="27" t="s">
        <v>712</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t="s">
        <v>718</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800</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1465</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994</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914</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1495</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802</v>
      </c>
      <c r="B2077" s="27" t="s">
        <v>731</v>
      </c>
      <c r="C2077" s="27" t="s">
        <v>778</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718</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1496</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1497</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863</v>
      </c>
      <c r="B2081" s="27" t="s">
        <v>710</v>
      </c>
      <c r="C2081" s="27" t="s">
        <v>778</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1498</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764</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1499</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t="s">
        <v>1500</v>
      </c>
      <c r="E2085" s="21">
        <f>IF(D2085="?OLD","!!!","")</f>
        <v/>
      </c>
      <c r="F2085" s="22" t="str">
        <f>IF(OR(E2085="",E2085="!!!"),"",IF(NOT(ISNA(VLOOKUP(E2085,E$1:E2084,1,FALSE()))),"OLD",IF(AND(E2085&lt;&gt;"",E2085&lt;&gt;"!!!"),"NEW","")))</f>
        <v> </v>
      </c>
      <c r="G2085" s="23" t="str">
        <f>IF(OR(E2085="",E2085="!!!"),"",IF(OR(J2085=0,AND(J2085=1,K2085=1),AND(J2085=1,I2085="SBJ"),AND(J2085=1,I2085=0)),"?IN_FOCUS",IF(J2085&lt;=2,"?ACTIVATED",IF(J2085&lt;&gt;"","?FAMILIAR",IF(F2085="NEW",IF(ISNA(VLOOKUP(E2085,#REF!,1,FALSE())),"?TYPE_IDENTIFIABLE","?REFERENTIAL"),"_")))))</f>
        <v> </v>
      </c>
      <c r="H2085" s="24" t="str">
        <f>IF(J2085&lt;&gt;1,"",IF(I2085="SBJ","CB","?"))</f>
        <v> </v>
      </c>
      <c r="I2085" s="25" t="str">
        <f>IF(OR(E2085="",E2085="!!!",F2085="NEW"),"",INDEX(B2084:B$2,-1+SUMPRODUCT(MAX(ROW(E2084:E$2)*(E2085=E2084:E$2)))))</f>
        <v> </v>
      </c>
      <c r="J2085" s="25" t="str">
        <f>IF(OR(E2085="",E2085="!!!",F2085="NEW"),"",COUNTBLANK(OFFSET(A$1,,,SUMPRODUCT(MAX(ROW(E$2:E2085)*(E2085=E$2:E2085)))))-COUNTBLANK(OFFSET(A$1,,,SUMPRODUCT(MAX(ROW(E$1:E2084)*(E2=E$1:E2084))))))</f>
        <v> </v>
      </c>
      <c r="K2085" s="25" t="str">
        <f>IF(OR(E2085="",E2085="!!!",F2085="NEW"),"",INDEX(J$1:J2084,SUMPRODUCT(MAX(ROW(E$1:E2084)*(E2085=E$1:E2084)))))</f>
        <v> </v>
      </c>
      <c r="L2085" s="26"/>
    </row>
    <row r="2086" spans="1:12">
      <c r="A2086" s="20" t="s">
        <v>718</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261</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1199</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1501</v>
      </c>
      <c r="B2089" s="27" t="s">
        <v>881</v>
      </c>
      <c r="C2089" s="27" t="s">
        <v>1129</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988</v>
      </c>
      <c r="B2090" s="27" t="s">
        <v>720</v>
      </c>
      <c r="C2090" s="27" t="s">
        <v>842</v>
      </c>
      <c r="D2090" s="27" t="s">
        <v>712</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1502</v>
      </c>
      <c r="B2091" s="27" t="s">
        <v>812</v>
      </c>
      <c r="C2091" s="27" t="s">
        <v>842</v>
      </c>
      <c r="D2091" s="27" t="s">
        <v>712</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860</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1503</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718</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998</v>
      </c>
      <c r="B2095" s="27" t="s">
        <v>812</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t="s">
        <v>783</v>
      </c>
      <c r="E2096" s="21">
        <f>IF(D2096="?OLD","!!!","")</f>
        <v/>
      </c>
      <c r="F2096" s="22" t="str">
        <f>IF(OR(E2096="",E2096="!!!"),"",IF(NOT(ISNA(VLOOKUP(E2096,E$1:E2095,1,FALSE()))),"OLD",IF(AND(E2096&lt;&gt;"",E2096&lt;&gt;"!!!"),"NEW","")))</f>
        <v> </v>
      </c>
      <c r="G2096" s="23" t="str">
        <f>IF(OR(E2096="",E2096="!!!"),"",IF(OR(J2096=0,AND(J2096=1,K2096=1),AND(J2096=1,I2096="SBJ"),AND(J2096=1,I2096=0)),"?IN_FOCUS",IF(J2096&lt;=2,"?ACTIVATED",IF(J2096&lt;&gt;"","?FAMILIAR",IF(F2096="NEW",IF(ISNA(VLOOKUP(E2096,#REF!,1,FALSE())),"?TYPE_IDENTIFIABLE","?REFERENTIAL"),"_")))))</f>
        <v> </v>
      </c>
      <c r="H2096" s="24" t="str">
        <f>IF(J2096&lt;&gt;1,"",IF(I2096="SBJ","CB","?"))</f>
        <v> </v>
      </c>
      <c r="I2096" s="25" t="str">
        <f>IF(OR(E2096="",E2096="!!!",F2096="NEW"),"",INDEX(B2095:B$2,-1+SUMPRODUCT(MAX(ROW(E2095:E$2)*(E2096=E2095:E$2)))))</f>
        <v> </v>
      </c>
      <c r="J2096" s="25" t="str">
        <f>IF(OR(E2096="",E2096="!!!",F2096="NEW"),"",COUNTBLANK(OFFSET(A$1,,,SUMPRODUCT(MAX(ROW(E$2:E2096)*(E2096=E$2:E2096)))))-COUNTBLANK(OFFSET(A$1,,,SUMPRODUCT(MAX(ROW(E$1:E2095)*(E2=E$1:E2095))))))</f>
        <v> </v>
      </c>
      <c r="K2096" s="25" t="str">
        <f>IF(OR(E2096="",E2096="!!!",F2096="NEW"),"",INDEX(J$1:J2095,SUMPRODUCT(MAX(ROW(E$1:E2095)*(E2096=E$1:E2095)))))</f>
        <v> </v>
      </c>
      <c r="L2096" s="26"/>
    </row>
    <row r="2097" spans="1:12">
      <c r="A2097" s="20" t="s">
        <v>740</v>
      </c>
      <c r="E2097" s="21">
        <f>IF(D2097="?OLD","!!!","")</f>
        <v/>
      </c>
      <c r="F2097" s="22" t="str">
        <f>IF(OR(E2097="",E2097="!!!"),"",IF(NOT(ISNA(VLOOKUP(E2097,E$1:E2096,1,FALSE()))),"OLD",IF(AND(E2097&lt;&gt;"",E2097&lt;&gt;"!!!"),"NEW","")))</f>
        <v> </v>
      </c>
      <c r="G2097" s="23" t="str">
        <f>IF(OR(E2097="",E2097="!!!"),"",IF(OR(J2097=0,AND(J2097=1,K2097=1),AND(J2097=1,I2097="SBJ"),AND(J2097=1,I2097=0)),"?IN_FOCUS",IF(J2097&lt;=2,"?ACTIVATED",IF(J2097&lt;&gt;"","?FAMILIAR",IF(F2097="NEW",IF(ISNA(VLOOKUP(E2097,#REF!,1,FALSE())),"?TYPE_IDENTIFIABLE","?REFERENTIAL"),"_")))))</f>
        <v> </v>
      </c>
      <c r="H2097" s="24" t="str">
        <f>IF(J2097&lt;&gt;1,"",IF(I2097="SBJ","CB","?"))</f>
        <v> </v>
      </c>
      <c r="I2097" s="25" t="str">
        <f>IF(OR(E2097="",E2097="!!!",F2097="NEW"),"",INDEX(B2096:B$2,-1+SUMPRODUCT(MAX(ROW(E2096:E$2)*(E2097=E2096:E$2)))))</f>
        <v> </v>
      </c>
      <c r="J2097" s="25" t="str">
        <f>IF(OR(E2097="",E2097="!!!",F2097="NEW"),"",COUNTBLANK(OFFSET(A$1,,,SUMPRODUCT(MAX(ROW(E$2:E2097)*(E2097=E$2:E2097)))))-COUNTBLANK(OFFSET(A$1,,,SUMPRODUCT(MAX(ROW(E$1:E2096)*(E2=E$1:E2096))))))</f>
        <v> </v>
      </c>
      <c r="K2097" s="25" t="str">
        <f>IF(OR(E2097="",E2097="!!!",F2097="NEW"),"",INDEX(J$1:J2096,SUMPRODUCT(MAX(ROW(E$1:E2096)*(E2097=E$1:E2096)))))</f>
        <v> </v>
      </c>
      <c r="L2097" s="26"/>
    </row>
    <row r="2098" spans="1:12">
      <c r="A2098" s="20" t="s">
        <v>1054</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t="s">
        <v>1504</v>
      </c>
      <c r="E2099" s="21">
        <f>IF(D2099="?OLD","!!!","")</f>
        <v/>
      </c>
      <c r="F2099" s="22" t="str">
        <f>IF(OR(E2099="",E2099="!!!"),"",IF(NOT(ISNA(VLOOKUP(E2099,E$1:E2098,1,FALSE()))),"OLD",IF(AND(E2099&lt;&gt;"",E2099&lt;&gt;"!!!"),"NEW","")))</f>
        <v> </v>
      </c>
      <c r="G2099" s="23" t="str">
        <f>IF(OR(E2099="",E2099="!!!"),"",IF(OR(J2099=0,AND(J2099=1,K2099=1),AND(J2099=1,I2099="SBJ"),AND(J2099=1,I2099=0)),"?IN_FOCUS",IF(J2099&lt;=2,"?ACTIVATED",IF(J2099&lt;&gt;"","?FAMILIAR",IF(F2099="NEW",IF(ISNA(VLOOKUP(E2099,#REF!,1,FALSE())),"?TYPE_IDENTIFIABLE","?REFERENTIAL"),"_")))))</f>
        <v> </v>
      </c>
      <c r="H2099" s="24" t="str">
        <f>IF(J2099&lt;&gt;1,"",IF(I2099="SBJ","CB","?"))</f>
        <v> </v>
      </c>
      <c r="I2099" s="25" t="str">
        <f>IF(OR(E2099="",E2099="!!!",F2099="NEW"),"",INDEX(B2098:B$2,-1+SUMPRODUCT(MAX(ROW(E2098:E$2)*(E2099=E2098:E$2)))))</f>
        <v> </v>
      </c>
      <c r="J2099" s="25" t="str">
        <f>IF(OR(E2099="",E2099="!!!",F2099="NEW"),"",COUNTBLANK(OFFSET(A$1,,,SUMPRODUCT(MAX(ROW(E$2:E2099)*(E2099=E$2:E2099)))))-COUNTBLANK(OFFSET(A$1,,,SUMPRODUCT(MAX(ROW(E$1:E2098)*(E2=E$1:E2098))))))</f>
        <v> </v>
      </c>
      <c r="K2099" s="25" t="str">
        <f>IF(OR(E2099="",E2099="!!!",F2099="NEW"),"",INDEX(J$1:J2098,SUMPRODUCT(MAX(ROW(E$1:E2098)*(E2099=E$1:E2098)))))</f>
        <v> </v>
      </c>
      <c r="L2099" s="26"/>
    </row>
    <row r="2100" spans="1:12">
      <c r="A2100" s="20" t="s">
        <v>1505</v>
      </c>
      <c r="B2100" s="27" t="s">
        <v>809</v>
      </c>
      <c r="C2100" s="27" t="s">
        <v>711</v>
      </c>
      <c r="D2100" s="27" t="s">
        <v>712</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819</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1506</v>
      </c>
      <c r="B2102" s="27" t="s">
        <v>811</v>
      </c>
      <c r="C2102" s="27" t="s">
        <v>711</v>
      </c>
      <c r="D2102" s="27" t="s">
        <v>712</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730</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1030</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725</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row>
    <row r="2107" spans="1:12">
      <c r="A2107" s="20" t="s">
        <v>1507</v>
      </c>
    </row>
    <row r="2108" spans="1:12">
      <c r="A2108" s="20" t="s">
        <v>1414</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t="s">
        <v>733</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t="s">
        <v>315</v>
      </c>
      <c r="B2110" s="27" t="s">
        <v>777</v>
      </c>
      <c r="C2110" s="27" t="s">
        <v>1508</v>
      </c>
      <c r="D2110" s="27" t="s">
        <v>712</v>
      </c>
      <c r="E2110" s="21">
        <f>IF(D2110="?OLD","!!!","")</f>
        <v/>
      </c>
      <c r="F2110" s="22" t="str">
        <f>IF(OR(E2110="",E2110="!!!"),"",IF(NOT(ISNA(VLOOKUP(E2110,E$1:E2109,1,FALSE()))),"OLD",IF(AND(E2110&lt;&gt;"",E2110&lt;&gt;"!!!"),"NEW","")))</f>
        <v> </v>
      </c>
      <c r="G2110" s="23" t="str">
        <f>IF(OR(E2110="",E2110="!!!"),"",IF(OR(J2110=0,AND(J2110=1,K2110=1),AND(J2110=1,I2110="SBJ"),AND(J2110=1,I2110=0)),"?IN_FOCUS",IF(J2110&lt;=2,"?ACTIVATED",IF(J2110&lt;&gt;"","?FAMILIAR",IF(F2110="NEW",IF(ISNA(VLOOKUP(E2110,#REF!,1,FALSE())),"?TYPE_IDENTIFIABLE","?REFERENTIAL"),"_")))))</f>
        <v> </v>
      </c>
      <c r="H2110" s="24" t="str">
        <f>IF(J2110&lt;&gt;1,"",IF(I2110="SBJ","CB","?"))</f>
        <v> </v>
      </c>
      <c r="I2110" s="25" t="str">
        <f>IF(OR(E2110="",E2110="!!!",F2110="NEW"),"",INDEX(B2109:B$2,-1+SUMPRODUCT(MAX(ROW(E2109:E$2)*(E2110=E2109:E$2)))))</f>
        <v> </v>
      </c>
      <c r="J2110" s="25" t="str">
        <f>IF(OR(E2110="",E2110="!!!",F2110="NEW"),"",COUNTBLANK(OFFSET(A$1,,,SUMPRODUCT(MAX(ROW(E$2:E2110)*(E2110=E$2:E2110)))))-COUNTBLANK(OFFSET(A$1,,,SUMPRODUCT(MAX(ROW(E$1:E2109)*(E2=E$1:E2109))))))</f>
        <v> </v>
      </c>
      <c r="K2110" s="25" t="str">
        <f>IF(OR(E2110="",E2110="!!!",F2110="NEW"),"",INDEX(J$1:J2109,SUMPRODUCT(MAX(ROW(E$1:E2109)*(E2110=E$1:E2109)))))</f>
        <v> </v>
      </c>
      <c r="L2110" s="26"/>
    </row>
    <row r="2111" spans="1:12">
      <c r="A2111" s="20" t="s">
        <v>1509</v>
      </c>
      <c r="B2111" s="27" t="s">
        <v>731</v>
      </c>
      <c r="C2111" s="27" t="s">
        <v>761</v>
      </c>
      <c r="D2111" s="27" t="s">
        <v>712</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t="s">
        <v>1510</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988</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t="s">
        <v>718</v>
      </c>
      <c r="E2114" s="21">
        <f>IF(D2114="?OLD","!!!","")</f>
        <v/>
      </c>
      <c r="F2114" s="22" t="str">
        <f>IF(OR(E2114="",E2114="!!!"),"",IF(NOT(ISNA(VLOOKUP(E2114,E$1:E2113,1,FALSE()))),"OLD",IF(AND(E2114&lt;&gt;"",E2114&lt;&gt;"!!!"),"NEW","")))</f>
        <v> </v>
      </c>
      <c r="G2114" s="23" t="str">
        <f>IF(OR(E2114="",E2114="!!!"),"",IF(OR(J2114=0,AND(J2114=1,K2114=1),AND(J2114=1,I2114="SBJ"),AND(J2114=1,I2114=0)),"?IN_FOCUS",IF(J2114&lt;=2,"?ACTIVATED",IF(J2114&lt;&gt;"","?FAMILIAR",IF(F2114="NEW",IF(ISNA(VLOOKUP(E2114,#REF!,1,FALSE())),"?TYPE_IDENTIFIABLE","?REFERENTIAL"),"_")))))</f>
        <v> </v>
      </c>
      <c r="H2114" s="24" t="str">
        <f>IF(J2114&lt;&gt;1,"",IF(I2114="SBJ","CB","?"))</f>
        <v> </v>
      </c>
      <c r="I2114" s="25" t="str">
        <f>IF(OR(E2114="",E2114="!!!",F2114="NEW"),"",INDEX(B2113:B$2,-1+SUMPRODUCT(MAX(ROW(E2113:E$2)*(E2114=E2113:E$2)))))</f>
        <v> </v>
      </c>
      <c r="J2114" s="25" t="str">
        <f>IF(OR(E2114="",E2114="!!!",F2114="NEW"),"",COUNTBLANK(OFFSET(A$1,,,SUMPRODUCT(MAX(ROW(E$2:E2114)*(E2114=E$2:E2114)))))-COUNTBLANK(OFFSET(A$1,,,SUMPRODUCT(MAX(ROW(E$1:E2113)*(E2=E$1:E2113))))))</f>
        <v> </v>
      </c>
      <c r="K2114" s="25" t="str">
        <f>IF(OR(E2114="",E2114="!!!",F2114="NEW"),"",INDEX(J$1:J2113,SUMPRODUCT(MAX(ROW(E$1:E2113)*(E2114=E$1:E2113)))))</f>
        <v> </v>
      </c>
      <c r="L2114" s="26"/>
    </row>
    <row r="2115" spans="1:12">
      <c r="A2115" s="20" t="s">
        <v>1511</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315</v>
      </c>
      <c r="B2116" s="27" t="s">
        <v>818</v>
      </c>
      <c r="C2116" s="27" t="s">
        <v>778</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1512</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t="s">
        <v>725</v>
      </c>
      <c r="E2118" s="21">
        <f>IF(D2118="?OLD","!!!","")</f>
        <v/>
      </c>
      <c r="F2118" s="22" t="str">
        <f>IF(OR(E2118="",E2118="!!!"),"",IF(NOT(ISNA(VLOOKUP(E2118,E$1:E2117,1,FALSE()))),"OLD",IF(AND(E2118&lt;&gt;"",E2118&lt;&gt;"!!!"),"NEW","")))</f>
        <v> </v>
      </c>
      <c r="G2118" s="23" t="str">
        <f>IF(OR(E2118="",E2118="!!!"),"",IF(OR(J2118=0,AND(J2118=1,K2118=1),AND(J2118=1,I2118="SBJ"),AND(J2118=1,I2118=0)),"?IN_FOCUS",IF(J2118&lt;=2,"?ACTIVATED",IF(J2118&lt;&gt;"","?FAMILIAR",IF(F2118="NEW",IF(ISNA(VLOOKUP(E2118,#REF!,1,FALSE())),"?TYPE_IDENTIFIABLE","?REFERENTIAL"),"_")))))</f>
        <v> </v>
      </c>
      <c r="H2118" s="24" t="str">
        <f>IF(J2118&lt;&gt;1,"",IF(I2118="SBJ","CB","?"))</f>
        <v> </v>
      </c>
      <c r="I2118" s="25" t="str">
        <f>IF(OR(E2118="",E2118="!!!",F2118="NEW"),"",INDEX(B2117:B$2,-1+SUMPRODUCT(MAX(ROW(E2117:E$2)*(E2118=E2117:E$2)))))</f>
        <v> </v>
      </c>
      <c r="J2118" s="25" t="str">
        <f>IF(OR(E2118="",E2118="!!!",F2118="NEW"),"",COUNTBLANK(OFFSET(A$1,,,SUMPRODUCT(MAX(ROW(E$2:E2118)*(E2118=E$2:E2118)))))-COUNTBLANK(OFFSET(A$1,,,SUMPRODUCT(MAX(ROW(E$1:E2117)*(E2=E$1:E2117))))))</f>
        <v> </v>
      </c>
      <c r="K2118" s="25" t="str">
        <f>IF(OR(E2118="",E2118="!!!",F2118="NEW"),"",INDEX(J$1:J2117,SUMPRODUCT(MAX(ROW(E$1:E2117)*(E2118=E$1:E2117)))))</f>
        <v> </v>
      </c>
      <c r="L2118" s="26"/>
    </row>
    <row r="2119" spans="1:12">
      <c r="A2119" s="20"/>
    </row>
    <row r="2120" spans="1:12">
      <c r="A2120" s="20" t="s">
        <v>1513</v>
      </c>
    </row>
    <row r="2121" spans="1:12">
      <c r="A2121" s="20" t="s">
        <v>868</v>
      </c>
      <c r="B2121" s="27" t="s">
        <v>710</v>
      </c>
      <c r="C2121" s="27" t="s">
        <v>842</v>
      </c>
      <c r="D2121" s="27" t="s">
        <v>712</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1496</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718</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741</v>
      </c>
      <c r="B2124" s="27" t="s">
        <v>749</v>
      </c>
      <c r="C2124" s="27" t="s">
        <v>743</v>
      </c>
      <c r="D2124" s="27" t="s">
        <v>712</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1514</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764</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t="s">
        <v>1515</v>
      </c>
      <c r="E2127" s="21">
        <f>IF(D2127="?OLD","!!!","")</f>
        <v/>
      </c>
      <c r="F2127" s="22" t="str">
        <f>IF(OR(E2127="",E2127="!!!"),"",IF(NOT(ISNA(VLOOKUP(E2127,E$1:E2126,1,FALSE()))),"OLD",IF(AND(E2127&lt;&gt;"",E2127&lt;&gt;"!!!"),"NEW","")))</f>
        <v> </v>
      </c>
      <c r="G2127" s="23" t="str">
        <f>IF(OR(E2127="",E2127="!!!"),"",IF(OR(J2127=0,AND(J2127=1,K2127=1),AND(J2127=1,I2127="SBJ"),AND(J2127=1,I2127=0)),"?IN_FOCUS",IF(J2127&lt;=2,"?ACTIVATED",IF(J2127&lt;&gt;"","?FAMILIAR",IF(F2127="NEW",IF(ISNA(VLOOKUP(E2127,#REF!,1,FALSE())),"?TYPE_IDENTIFIABLE","?REFERENTIAL"),"_")))))</f>
        <v> </v>
      </c>
      <c r="H2127" s="24" t="str">
        <f>IF(J2127&lt;&gt;1,"",IF(I2127="SBJ","CB","?"))</f>
        <v> </v>
      </c>
      <c r="I2127" s="25" t="str">
        <f>IF(OR(E2127="",E2127="!!!",F2127="NEW"),"",INDEX(B2126:B$2,-1+SUMPRODUCT(MAX(ROW(E2126:E$2)*(E2127=E2126:E$2)))))</f>
        <v> </v>
      </c>
      <c r="J2127" s="25" t="str">
        <f>IF(OR(E2127="",E2127="!!!",F2127="NEW"),"",COUNTBLANK(OFFSET(A$1,,,SUMPRODUCT(MAX(ROW(E$2:E2127)*(E2127=E$2:E2127)))))-COUNTBLANK(OFFSET(A$1,,,SUMPRODUCT(MAX(ROW(E$1:E2126)*(E2=E$1:E2126))))))</f>
        <v> </v>
      </c>
      <c r="K2127" s="25" t="str">
        <f>IF(OR(E2127="",E2127="!!!",F2127="NEW"),"",INDEX(J$1:J2126,SUMPRODUCT(MAX(ROW(E$1:E2126)*(E2127=E$1:E2126)))))</f>
        <v> </v>
      </c>
      <c r="L2127" s="26"/>
    </row>
    <row r="2128" spans="1:12">
      <c r="A2128" s="20" t="s">
        <v>1090</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t="s">
        <v>1516</v>
      </c>
      <c r="B2129" s="27" t="s">
        <v>818</v>
      </c>
      <c r="C2129" s="27" t="s">
        <v>717</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t="s">
        <v>718</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t="s">
        <v>764</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1517</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t="s">
        <v>1518</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t="s">
        <v>1233</v>
      </c>
      <c r="E2134" s="21">
        <f>IF(D2134="?OLD","!!!","")</f>
        <v/>
      </c>
      <c r="F2134" s="22" t="str">
        <f>IF(OR(E2134="",E2134="!!!"),"",IF(NOT(ISNA(VLOOKUP(E2134,E$1:E2133,1,FALSE()))),"OLD",IF(AND(E2134&lt;&gt;"",E2134&lt;&gt;"!!!"),"NEW","")))</f>
        <v> </v>
      </c>
      <c r="G2134" s="23" t="str">
        <f>IF(OR(E2134="",E2134="!!!"),"",IF(OR(J2134=0,AND(J2134=1,K2134=1),AND(J2134=1,I2134="SBJ"),AND(J2134=1,I2134=0)),"?IN_FOCUS",IF(J2134&lt;=2,"?ACTIVATED",IF(J2134&lt;&gt;"","?FAMILIAR",IF(F2134="NEW",IF(ISNA(VLOOKUP(E2134,#REF!,1,FALSE())),"?TYPE_IDENTIFIABLE","?REFERENTIAL"),"_")))))</f>
        <v> </v>
      </c>
      <c r="H2134" s="24" t="str">
        <f>IF(J2134&lt;&gt;1,"",IF(I2134="SBJ","CB","?"))</f>
        <v> </v>
      </c>
      <c r="I2134" s="25" t="str">
        <f>IF(OR(E2134="",E2134="!!!",F2134="NEW"),"",INDEX(B2133:B$2,-1+SUMPRODUCT(MAX(ROW(E2133:E$2)*(E2134=E2133:E$2)))))</f>
        <v> </v>
      </c>
      <c r="J2134" s="25" t="str">
        <f>IF(OR(E2134="",E2134="!!!",F2134="NEW"),"",COUNTBLANK(OFFSET(A$1,,,SUMPRODUCT(MAX(ROW(E$2:E2134)*(E2134=E$2:E2134)))))-COUNTBLANK(OFFSET(A$1,,,SUMPRODUCT(MAX(ROW(E$1:E2133)*(E2=E$1:E2133))))))</f>
        <v> </v>
      </c>
      <c r="K2134" s="25" t="str">
        <f>IF(OR(E2134="",E2134="!!!",F2134="NEW"),"",INDEX(J$1:J2133,SUMPRODUCT(MAX(ROW(E$1:E2133)*(E2134=E$1:E2133)))))</f>
        <v> </v>
      </c>
      <c r="L2134" s="26"/>
    </row>
    <row r="2135" spans="1:12">
      <c r="A2135" s="20" t="s">
        <v>1516</v>
      </c>
      <c r="B2135" s="27" t="s">
        <v>818</v>
      </c>
      <c r="C2135" s="27" t="s">
        <v>717</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740</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1459</v>
      </c>
      <c r="B2137" s="27" t="s">
        <v>724</v>
      </c>
      <c r="C2137" s="27" t="s">
        <v>711</v>
      </c>
      <c r="D2137" s="27" t="s">
        <v>712</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725</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row>
    <row r="2140" spans="1:12">
      <c r="A2140" s="20" t="s">
        <v>1519</v>
      </c>
    </row>
    <row r="2141" spans="1:12">
      <c r="A2141" s="20" t="s">
        <v>1520</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764</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1306</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866</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12</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1489</v>
      </c>
      <c r="B2146" s="27" t="s">
        <v>716</v>
      </c>
      <c r="C2146" s="27" t="s">
        <v>717</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725</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row>
    <row r="2149" spans="1:12">
      <c r="A2149" s="20" t="s">
        <v>1521</v>
      </c>
    </row>
    <row r="2150" spans="1:12">
      <c r="A2150" s="20" t="s">
        <v>318</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t="s">
        <v>990</v>
      </c>
      <c r="B2151" s="27" t="s">
        <v>710</v>
      </c>
      <c r="C2151" s="27" t="s">
        <v>778</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t="s">
        <v>740</v>
      </c>
      <c r="E2152" s="21">
        <f>IF(D2152="?OLD","!!!","")</f>
        <v/>
      </c>
      <c r="F2152" s="22" t="str">
        <f>IF(OR(E2152="",E2152="!!!"),"",IF(NOT(ISNA(VLOOKUP(E2152,E$1:E2151,1,FALSE()))),"OLD",IF(AND(E2152&lt;&gt;"",E2152&lt;&gt;"!!!"),"NEW","")))</f>
        <v> </v>
      </c>
      <c r="G2152" s="23" t="str">
        <f>IF(OR(E2152="",E2152="!!!"),"",IF(OR(J2152=0,AND(J2152=1,K2152=1),AND(J2152=1,I2152="SBJ"),AND(J2152=1,I2152=0)),"?IN_FOCUS",IF(J2152&lt;=2,"?ACTIVATED",IF(J2152&lt;&gt;"","?FAMILIAR",IF(F2152="NEW",IF(ISNA(VLOOKUP(E2152,#REF!,1,FALSE())),"?TYPE_IDENTIFIABLE","?REFERENTIAL"),"_")))))</f>
        <v> </v>
      </c>
      <c r="H2152" s="24" t="str">
        <f>IF(J2152&lt;&gt;1,"",IF(I2152="SBJ","CB","?"))</f>
        <v> </v>
      </c>
      <c r="I2152" s="25" t="str">
        <f>IF(OR(E2152="",E2152="!!!",F2152="NEW"),"",INDEX(B2151:B$2,-1+SUMPRODUCT(MAX(ROW(E2151:E$2)*(E2152=E2151:E$2)))))</f>
        <v> </v>
      </c>
      <c r="J2152" s="25" t="str">
        <f>IF(OR(E2152="",E2152="!!!",F2152="NEW"),"",COUNTBLANK(OFFSET(A$1,,,SUMPRODUCT(MAX(ROW(E$2:E2152)*(E2152=E$2:E2152)))))-COUNTBLANK(OFFSET(A$1,,,SUMPRODUCT(MAX(ROW(E$1:E2151)*(E2=E$1:E2151))))))</f>
        <v> </v>
      </c>
      <c r="K2152" s="25" t="str">
        <f>IF(OR(E2152="",E2152="!!!",F2152="NEW"),"",INDEX(J$1:J2151,SUMPRODUCT(MAX(ROW(E$1:E2151)*(E2152=E$1:E2151)))))</f>
        <v> </v>
      </c>
      <c r="L2152" s="26"/>
    </row>
    <row r="2153" spans="1:12">
      <c r="A2153" s="20" t="s">
        <v>1522</v>
      </c>
      <c r="B2153" s="27" t="s">
        <v>731</v>
      </c>
      <c r="C2153" s="27" t="s">
        <v>711</v>
      </c>
      <c r="D2153" s="27" t="s">
        <v>712</v>
      </c>
      <c r="E2153" s="21">
        <f>IF(D2153="?OLD","!!!","")</f>
        <v/>
      </c>
      <c r="F2153" s="22" t="str">
        <f>IF(OR(E2153="",E2153="!!!"),"",IF(NOT(ISNA(VLOOKUP(E2153,E$1:E2152,1,FALSE()))),"OLD",IF(AND(E2153&lt;&gt;"",E2153&lt;&gt;"!!!"),"NEW","")))</f>
        <v> </v>
      </c>
      <c r="G2153" s="23" t="str">
        <f>IF(OR(E2153="",E2153="!!!"),"",IF(OR(J2153=0,AND(J2153=1,K2153=1),AND(J2153=1,I2153="SBJ"),AND(J2153=1,I2153=0)),"?IN_FOCUS",IF(J2153&lt;=2,"?ACTIVATED",IF(J2153&lt;&gt;"","?FAMILIAR",IF(F2153="NEW",IF(ISNA(VLOOKUP(E2153,#REF!,1,FALSE())),"?TYPE_IDENTIFIABLE","?REFERENTIAL"),"_")))))</f>
        <v> </v>
      </c>
      <c r="H2153" s="24" t="str">
        <f>IF(J2153&lt;&gt;1,"",IF(I2153="SBJ","CB","?"))</f>
        <v> </v>
      </c>
      <c r="I2153" s="25" t="str">
        <f>IF(OR(E2153="",E2153="!!!",F2153="NEW"),"",INDEX(B2152:B$2,-1+SUMPRODUCT(MAX(ROW(E2152:E$2)*(E2153=E2152:E$2)))))</f>
        <v> </v>
      </c>
      <c r="J2153" s="25" t="str">
        <f>IF(OR(E2153="",E2153="!!!",F2153="NEW"),"",COUNTBLANK(OFFSET(A$1,,,SUMPRODUCT(MAX(ROW(E$2:E2153)*(E2153=E$2:E2153)))))-COUNTBLANK(OFFSET(A$1,,,SUMPRODUCT(MAX(ROW(E$1:E2152)*(E2=E$1:E2152))))))</f>
        <v> </v>
      </c>
      <c r="K2153" s="25" t="str">
        <f>IF(OR(E2153="",E2153="!!!",F2153="NEW"),"",INDEX(J$1:J2152,SUMPRODUCT(MAX(ROW(E$1:E2152)*(E2153=E$1:E2152)))))</f>
        <v> </v>
      </c>
      <c r="L2153" s="26"/>
    </row>
    <row r="2154" spans="1:12">
      <c r="A2154" s="20" t="s">
        <v>371</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1092</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979</v>
      </c>
      <c r="B2156" s="27" t="s">
        <v>716</v>
      </c>
      <c r="C2156" s="27" t="s">
        <v>717</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725</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row>
    <row r="2159" spans="1:12">
      <c r="A2159" s="20" t="s">
        <v>1523</v>
      </c>
    </row>
    <row r="2160" spans="1:12">
      <c r="A2160" s="20" t="s">
        <v>1110</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923</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t="s">
        <v>866</v>
      </c>
      <c r="B2162" s="27" t="s">
        <v>710</v>
      </c>
      <c r="C2162" s="27" t="s">
        <v>717</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714</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740</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1524</v>
      </c>
      <c r="B2165" s="27" t="s">
        <v>716</v>
      </c>
      <c r="C2165" s="27" t="s">
        <v>711</v>
      </c>
      <c r="D2165" s="27" t="s">
        <v>712</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718</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719</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1525</v>
      </c>
      <c r="B2168" s="27" t="s">
        <v>731</v>
      </c>
      <c r="C2168" s="27" t="s">
        <v>711</v>
      </c>
      <c r="D2168" s="27" t="s">
        <v>712</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t="s">
        <v>914</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t="s">
        <v>1315</v>
      </c>
      <c r="E2170" s="21">
        <f>IF(D2170="?OLD","!!!","")</f>
        <v/>
      </c>
      <c r="F2170" s="22" t="str">
        <f>IF(OR(E2170="",E2170="!!!"),"",IF(NOT(ISNA(VLOOKUP(E2170,E$1:E2169,1,FALSE()))),"OLD",IF(AND(E2170&lt;&gt;"",E2170&lt;&gt;"!!!"),"NEW","")))</f>
        <v> </v>
      </c>
      <c r="G2170" s="23" t="str">
        <f>IF(OR(E2170="",E2170="!!!"),"",IF(OR(J2170=0,AND(J2170=1,K2170=1),AND(J2170=1,I2170="SBJ"),AND(J2170=1,I2170=0)),"?IN_FOCUS",IF(J2170&lt;=2,"?ACTIVATED",IF(J2170&lt;&gt;"","?FAMILIAR",IF(F2170="NEW",IF(ISNA(VLOOKUP(E2170,#REF!,1,FALSE())),"?TYPE_IDENTIFIABLE","?REFERENTIAL"),"_")))))</f>
        <v> </v>
      </c>
      <c r="H2170" s="24" t="str">
        <f>IF(J2170&lt;&gt;1,"",IF(I2170="SBJ","CB","?"))</f>
        <v> </v>
      </c>
      <c r="I2170" s="25" t="str">
        <f>IF(OR(E2170="",E2170="!!!",F2170="NEW"),"",INDEX(B2169:B$2,-1+SUMPRODUCT(MAX(ROW(E2169:E$2)*(E2170=E2169:E$2)))))</f>
        <v> </v>
      </c>
      <c r="J2170" s="25" t="str">
        <f>IF(OR(E2170="",E2170="!!!",F2170="NEW"),"",COUNTBLANK(OFFSET(A$1,,,SUMPRODUCT(MAX(ROW(E$2:E2170)*(E2170=E$2:E2170)))))-COUNTBLANK(OFFSET(A$1,,,SUMPRODUCT(MAX(ROW(E$1:E2169)*(E2=E$1:E2169))))))</f>
        <v> </v>
      </c>
      <c r="K2170" s="25" t="str">
        <f>IF(OR(E2170="",E2170="!!!",F2170="NEW"),"",INDEX(J$1:J2169,SUMPRODUCT(MAX(ROW(E$1:E2169)*(E2170=E$1:E2169)))))</f>
        <v> </v>
      </c>
      <c r="L2170" s="26"/>
    </row>
    <row r="2171" spans="1:12">
      <c r="A2171" s="20" t="s">
        <v>1526</v>
      </c>
      <c r="B2171" s="27" t="s">
        <v>731</v>
      </c>
      <c r="C2171" s="27" t="s">
        <v>739</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t="s">
        <v>1527</v>
      </c>
      <c r="E2172" s="21">
        <f>IF(D2172="?OLD","!!!","")</f>
        <v/>
      </c>
      <c r="F2172" s="22" t="str">
        <f>IF(OR(E2172="",E2172="!!!"),"",IF(NOT(ISNA(VLOOKUP(E2172,E$1:E2171,1,FALSE()))),"OLD",IF(AND(E2172&lt;&gt;"",E2172&lt;&gt;"!!!"),"NEW","")))</f>
        <v> </v>
      </c>
      <c r="G2172" s="23" t="str">
        <f>IF(OR(E2172="",E2172="!!!"),"",IF(OR(J2172=0,AND(J2172=1,K2172=1),AND(J2172=1,I2172="SBJ"),AND(J2172=1,I2172=0)),"?IN_FOCUS",IF(J2172&lt;=2,"?ACTIVATED",IF(J2172&lt;&gt;"","?FAMILIAR",IF(F2172="NEW",IF(ISNA(VLOOKUP(E2172,#REF!,1,FALSE())),"?TYPE_IDENTIFIABLE","?REFERENTIAL"),"_")))))</f>
        <v> </v>
      </c>
      <c r="H2172" s="24" t="str">
        <f>IF(J2172&lt;&gt;1,"",IF(I2172="SBJ","CB","?"))</f>
        <v> </v>
      </c>
      <c r="I2172" s="25" t="str">
        <f>IF(OR(E2172="",E2172="!!!",F2172="NEW"),"",INDEX(B2171:B$2,-1+SUMPRODUCT(MAX(ROW(E2171:E$2)*(E2172=E2171:E$2)))))</f>
        <v> </v>
      </c>
      <c r="J2172" s="25" t="str">
        <f>IF(OR(E2172="",E2172="!!!",F2172="NEW"),"",COUNTBLANK(OFFSET(A$1,,,SUMPRODUCT(MAX(ROW(E$2:E2172)*(E2172=E$2:E2172)))))-COUNTBLANK(OFFSET(A$1,,,SUMPRODUCT(MAX(ROW(E$1:E2171)*(E2=E$1:E2171))))))</f>
        <v> </v>
      </c>
      <c r="K2172" s="25" t="str">
        <f>IF(OR(E2172="",E2172="!!!",F2172="NEW"),"",INDEX(J$1:J2171,SUMPRODUCT(MAX(ROW(E$1:E2171)*(E2172=E$1:E2171)))))</f>
        <v> </v>
      </c>
      <c r="L2172" s="26"/>
    </row>
    <row r="2173" spans="1:12">
      <c r="A2173" s="20" t="s">
        <v>718</v>
      </c>
      <c r="E2173" s="21">
        <f>IF(D2173="?OLD","!!!","")</f>
        <v/>
      </c>
      <c r="F2173" s="22" t="str">
        <f>IF(OR(E2173="",E2173="!!!"),"",IF(NOT(ISNA(VLOOKUP(E2173,E$1:E2172,1,FALSE()))),"OLD",IF(AND(E2173&lt;&gt;"",E2173&lt;&gt;"!!!"),"NEW","")))</f>
        <v> </v>
      </c>
      <c r="G2173" s="23" t="str">
        <f>IF(OR(E2173="",E2173="!!!"),"",IF(OR(J2173=0,AND(J2173=1,K2173=1),AND(J2173=1,I2173="SBJ"),AND(J2173=1,I2173=0)),"?IN_FOCUS",IF(J2173&lt;=2,"?ACTIVATED",IF(J2173&lt;&gt;"","?FAMILIAR",IF(F2173="NEW",IF(ISNA(VLOOKUP(E2173,#REF!,1,FALSE())),"?TYPE_IDENTIFIABLE","?REFERENTIAL"),"_")))))</f>
        <v> </v>
      </c>
      <c r="H2173" s="24" t="str">
        <f>IF(J2173&lt;&gt;1,"",IF(I2173="SBJ","CB","?"))</f>
        <v> </v>
      </c>
      <c r="I2173" s="25" t="str">
        <f>IF(OR(E2173="",E2173="!!!",F2173="NEW"),"",INDEX(B2172:B$2,-1+SUMPRODUCT(MAX(ROW(E2172:E$2)*(E2173=E2172:E$2)))))</f>
        <v> </v>
      </c>
      <c r="J2173" s="25" t="str">
        <f>IF(OR(E2173="",E2173="!!!",F2173="NEW"),"",COUNTBLANK(OFFSET(A$1,,,SUMPRODUCT(MAX(ROW(E$2:E2173)*(E2173=E$2:E2173)))))-COUNTBLANK(OFFSET(A$1,,,SUMPRODUCT(MAX(ROW(E$1:E2172)*(E2=E$1:E2172))))))</f>
        <v> </v>
      </c>
      <c r="K2173" s="25" t="str">
        <f>IF(OR(E2173="",E2173="!!!",F2173="NEW"),"",INDEX(J$1:J2172,SUMPRODUCT(MAX(ROW(E$1:E2172)*(E2173=E$1:E2172)))))</f>
        <v> </v>
      </c>
      <c r="L2173" s="26"/>
    </row>
    <row r="2174" spans="1:12">
      <c r="A2174" s="20" t="s">
        <v>730</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822</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725</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row>
    <row r="2178" spans="1:12">
      <c r="A2178" s="20" t="s">
        <v>1528</v>
      </c>
    </row>
    <row r="2179" spans="1:12">
      <c r="A2179" s="20" t="s">
        <v>1529</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1527</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718</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t="s">
        <v>1530</v>
      </c>
      <c r="E2182" s="21">
        <f>IF(D2182="?OLD","!!!","")</f>
        <v/>
      </c>
      <c r="F2182" s="22" t="str">
        <f>IF(OR(E2182="",E2182="!!!"),"",IF(NOT(ISNA(VLOOKUP(E2182,E$1:E2181,1,FALSE()))),"OLD",IF(AND(E2182&lt;&gt;"",E2182&lt;&gt;"!!!"),"NEW","")))</f>
        <v> </v>
      </c>
      <c r="G2182" s="23" t="str">
        <f>IF(OR(E2182="",E2182="!!!"),"",IF(OR(J2182=0,AND(J2182=1,K2182=1),AND(J2182=1,I2182="SBJ"),AND(J2182=1,I2182=0)),"?IN_FOCUS",IF(J2182&lt;=2,"?ACTIVATED",IF(J2182&lt;&gt;"","?FAMILIAR",IF(F2182="NEW",IF(ISNA(VLOOKUP(E2182,#REF!,1,FALSE())),"?TYPE_IDENTIFIABLE","?REFERENTIAL"),"_")))))</f>
        <v> </v>
      </c>
      <c r="H2182" s="24" t="str">
        <f>IF(J2182&lt;&gt;1,"",IF(I2182="SBJ","CB","?"))</f>
        <v> </v>
      </c>
      <c r="I2182" s="25" t="str">
        <f>IF(OR(E2182="",E2182="!!!",F2182="NEW"),"",INDEX(B2181:B$2,-1+SUMPRODUCT(MAX(ROW(E2181:E$2)*(E2182=E2181:E$2)))))</f>
        <v> </v>
      </c>
      <c r="J2182" s="25" t="str">
        <f>IF(OR(E2182="",E2182="!!!",F2182="NEW"),"",COUNTBLANK(OFFSET(A$1,,,SUMPRODUCT(MAX(ROW(E$2:E2182)*(E2182=E$2:E2182)))))-COUNTBLANK(OFFSET(A$1,,,SUMPRODUCT(MAX(ROW(E$1:E2181)*(E2=E$1:E2181))))))</f>
        <v> </v>
      </c>
      <c r="K2182" s="25" t="str">
        <f>IF(OR(E2182="",E2182="!!!",F2182="NEW"),"",INDEX(J$1:J2181,SUMPRODUCT(MAX(ROW(E$1:E2181)*(E2182=E$1:E2181)))))</f>
        <v> </v>
      </c>
      <c r="L2182" s="26"/>
    </row>
    <row r="2183" spans="1:12">
      <c r="A2183" s="20" t="s">
        <v>767</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t="s">
        <v>864</v>
      </c>
      <c r="B2184" s="27" t="s">
        <v>716</v>
      </c>
      <c r="C2184" s="27" t="s">
        <v>711</v>
      </c>
      <c r="D2184" s="27" t="s">
        <v>712</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718</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730</v>
      </c>
      <c r="B2186" s="27" t="s">
        <v>724</v>
      </c>
      <c r="C2186" s="27" t="s">
        <v>732</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872</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741</v>
      </c>
      <c r="B2188" s="27" t="s">
        <v>749</v>
      </c>
      <c r="C2188" s="27" t="s">
        <v>743</v>
      </c>
      <c r="D2188" s="27" t="s">
        <v>712</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1531</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718</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t="s">
        <v>1532</v>
      </c>
      <c r="B2191" s="27" t="s">
        <v>881</v>
      </c>
      <c r="C2191" s="27" t="s">
        <v>717</v>
      </c>
      <c r="E2191" s="21">
        <f>IF(D2191="?OLD","!!!","")</f>
        <v/>
      </c>
      <c r="F2191" s="22" t="str">
        <f>IF(OR(E2191="",E2191="!!!"),"",IF(NOT(ISNA(VLOOKUP(E2191,E$1:E2190,1,FALSE()))),"OLD",IF(AND(E2191&lt;&gt;"",E2191&lt;&gt;"!!!"),"NEW","")))</f>
        <v> </v>
      </c>
      <c r="G2191" s="23" t="str">
        <f>IF(OR(E2191="",E2191="!!!"),"",IF(OR(J2191=0,AND(J2191=1,K2191=1),AND(J2191=1,I2191="SBJ"),AND(J2191=1,I2191=0)),"?IN_FOCUS",IF(J2191&lt;=2,"?ACTIVATED",IF(J2191&lt;&gt;"","?FAMILIAR",IF(F2191="NEW",IF(ISNA(VLOOKUP(E2191,#REF!,1,FALSE())),"?TYPE_IDENTIFIABLE","?REFERENTIAL"),"_")))))</f>
        <v> </v>
      </c>
      <c r="H2191" s="24" t="str">
        <f>IF(J2191&lt;&gt;1,"",IF(I2191="SBJ","CB","?"))</f>
        <v> </v>
      </c>
      <c r="I2191" s="25" t="str">
        <f>IF(OR(E2191="",E2191="!!!",F2191="NEW"),"",INDEX(B2190:B$2,-1+SUMPRODUCT(MAX(ROW(E2190:E$2)*(E2191=E2190:E$2)))))</f>
        <v> </v>
      </c>
      <c r="J2191" s="25" t="str">
        <f>IF(OR(E2191="",E2191="!!!",F2191="NEW"),"",COUNTBLANK(OFFSET(A$1,,,SUMPRODUCT(MAX(ROW(E$2:E2191)*(E2191=E$2:E2191)))))-COUNTBLANK(OFFSET(A$1,,,SUMPRODUCT(MAX(ROW(E$1:E2190)*(E2=E$1:E2190))))))</f>
        <v> </v>
      </c>
      <c r="K2191" s="25" t="str">
        <f>IF(OR(E2191="",E2191="!!!",F2191="NEW"),"",INDEX(J$1:J2190,SUMPRODUCT(MAX(ROW(E$1:E2190)*(E2191=E$1:E2190)))))</f>
        <v> </v>
      </c>
      <c r="L2191" s="26"/>
    </row>
    <row r="2192" spans="1:12">
      <c r="A2192" s="20" t="s">
        <v>1533</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t="s">
        <v>1534</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725</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row>
    <row r="2196" spans="1:12">
      <c r="A2196" s="20" t="s">
        <v>1535</v>
      </c>
    </row>
    <row r="2197" spans="1:12">
      <c r="A2197" s="20" t="s">
        <v>1082</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741</v>
      </c>
      <c r="B2198" s="27" t="s">
        <v>710</v>
      </c>
      <c r="C2198" s="27" t="s">
        <v>743</v>
      </c>
      <c r="D2198" s="27" t="s">
        <v>712</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t="s">
        <v>277</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988</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773</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725</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row>
    <row r="2204" spans="1:12">
      <c r="A2204" s="20" t="s">
        <v>1536</v>
      </c>
    </row>
    <row r="2205" spans="1:12">
      <c r="A2205" s="20" t="s">
        <v>1537</v>
      </c>
      <c r="B2205" s="27" t="s">
        <v>710</v>
      </c>
      <c r="C2205" s="27" t="s">
        <v>761</v>
      </c>
      <c r="D2205" s="27" t="s">
        <v>712</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t="s">
        <v>1538</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1539</v>
      </c>
      <c r="E2207" s="21">
        <f>IF(D2207="?OLD","!!!","")</f>
        <v/>
      </c>
      <c r="F2207" s="22" t="str">
        <f>IF(OR(E2207="",E2207="!!!"),"",IF(NOT(ISNA(VLOOKUP(E2207,E$1:E2206,1,FALSE()))),"OLD",IF(AND(E2207&lt;&gt;"",E2207&lt;&gt;"!!!"),"NEW","")))</f>
        <v> </v>
      </c>
      <c r="G2207" s="23" t="str">
        <f>IF(OR(E2207="",E2207="!!!"),"",IF(OR(J2207=0,AND(J2207=1,K2207=1),AND(J2207=1,I2207="SBJ"),AND(J2207=1,I2207=0)),"?IN_FOCUS",IF(J2207&lt;=2,"?ACTIVATED",IF(J2207&lt;&gt;"","?FAMILIAR",IF(F2207="NEW",IF(ISNA(VLOOKUP(E2207,#REF!,1,FALSE())),"?TYPE_IDENTIFIABLE","?REFERENTIAL"),"_")))))</f>
        <v> </v>
      </c>
      <c r="H2207" s="24" t="str">
        <f>IF(J2207&lt;&gt;1,"",IF(I2207="SBJ","CB","?"))</f>
        <v> </v>
      </c>
      <c r="I2207" s="25" t="str">
        <f>IF(OR(E2207="",E2207="!!!",F2207="NEW"),"",INDEX(B2206:B$2,-1+SUMPRODUCT(MAX(ROW(E2206:E$2)*(E2207=E2206:E$2)))))</f>
        <v> </v>
      </c>
      <c r="J2207" s="25" t="str">
        <f>IF(OR(E2207="",E2207="!!!",F2207="NEW"),"",COUNTBLANK(OFFSET(A$1,,,SUMPRODUCT(MAX(ROW(E$2:E2207)*(E2207=E$2:E2207)))))-COUNTBLANK(OFFSET(A$1,,,SUMPRODUCT(MAX(ROW(E$1:E2206)*(E2=E$1:E2206))))))</f>
        <v> </v>
      </c>
      <c r="K2207" s="25" t="str">
        <f>IF(OR(E2207="",E2207="!!!",F2207="NEW"),"",INDEX(J$1:J2206,SUMPRODUCT(MAX(ROW(E$1:E2206)*(E2207=E$1:E2206)))))</f>
        <v> </v>
      </c>
      <c r="L2207" s="26"/>
    </row>
    <row r="2208" spans="1:12">
      <c r="A2208" s="20" t="s">
        <v>1311</v>
      </c>
      <c r="E2208" s="21">
        <f>IF(D2208="?OLD","!!!","")</f>
        <v/>
      </c>
      <c r="F2208" s="22" t="str">
        <f>IF(OR(E2208="",E2208="!!!"),"",IF(NOT(ISNA(VLOOKUP(E2208,E$1:E2207,1,FALSE()))),"OLD",IF(AND(E2208&lt;&gt;"",E2208&lt;&gt;"!!!"),"NEW","")))</f>
        <v> </v>
      </c>
      <c r="G2208" s="23" t="str">
        <f>IF(OR(E2208="",E2208="!!!"),"",IF(OR(J2208=0,AND(J2208=1,K2208=1),AND(J2208=1,I2208="SBJ"),AND(J2208=1,I2208=0)),"?IN_FOCUS",IF(J2208&lt;=2,"?ACTIVATED",IF(J2208&lt;&gt;"","?FAMILIAR",IF(F2208="NEW",IF(ISNA(VLOOKUP(E2208,#REF!,1,FALSE())),"?TYPE_IDENTIFIABLE","?REFERENTIAL"),"_")))))</f>
        <v> </v>
      </c>
      <c r="H2208" s="24" t="str">
        <f>IF(J2208&lt;&gt;1,"",IF(I2208="SBJ","CB","?"))</f>
        <v> </v>
      </c>
      <c r="I2208" s="25" t="str">
        <f>IF(OR(E2208="",E2208="!!!",F2208="NEW"),"",INDEX(B2207:B$2,-1+SUMPRODUCT(MAX(ROW(E2207:E$2)*(E2208=E2207:E$2)))))</f>
        <v> </v>
      </c>
      <c r="J2208" s="25" t="str">
        <f>IF(OR(E2208="",E2208="!!!",F2208="NEW"),"",COUNTBLANK(OFFSET(A$1,,,SUMPRODUCT(MAX(ROW(E$2:E2208)*(E2208=E$2:E2208)))))-COUNTBLANK(OFFSET(A$1,,,SUMPRODUCT(MAX(ROW(E$1:E2207)*(E2=E$1:E2207))))))</f>
        <v> </v>
      </c>
      <c r="K2208" s="25" t="str">
        <f>IF(OR(E2208="",E2208="!!!",F2208="NEW"),"",INDEX(J$1:J2207,SUMPRODUCT(MAX(ROW(E$1:E2207)*(E2208=E$1:E2207)))))</f>
        <v> </v>
      </c>
      <c r="L2208" s="26"/>
    </row>
    <row r="2209" spans="1:12">
      <c r="A2209" s="20" t="s">
        <v>1540</v>
      </c>
      <c r="B2209" s="27" t="s">
        <v>777</v>
      </c>
      <c r="C2209" s="27" t="s">
        <v>1129</v>
      </c>
      <c r="E2209" s="21">
        <f>IF(D2209="?OLD","!!!","")</f>
        <v/>
      </c>
      <c r="F2209" s="22" t="str">
        <f>IF(OR(E2209="",E2209="!!!"),"",IF(NOT(ISNA(VLOOKUP(E2209,E$1:E2208,1,FALSE()))),"OLD",IF(AND(E2209&lt;&gt;"",E2209&lt;&gt;"!!!"),"NEW","")))</f>
        <v> </v>
      </c>
      <c r="G2209" s="23" t="str">
        <f>IF(OR(E2209="",E2209="!!!"),"",IF(OR(J2209=0,AND(J2209=1,K2209=1),AND(J2209=1,I2209="SBJ"),AND(J2209=1,I2209=0)),"?IN_FOCUS",IF(J2209&lt;=2,"?ACTIVATED",IF(J2209&lt;&gt;"","?FAMILIAR",IF(F2209="NEW",IF(ISNA(VLOOKUP(E2209,#REF!,1,FALSE())),"?TYPE_IDENTIFIABLE","?REFERENTIAL"),"_")))))</f>
        <v> </v>
      </c>
      <c r="H2209" s="24" t="str">
        <f>IF(J2209&lt;&gt;1,"",IF(I2209="SBJ","CB","?"))</f>
        <v> </v>
      </c>
      <c r="I2209" s="25" t="str">
        <f>IF(OR(E2209="",E2209="!!!",F2209="NEW"),"",INDEX(B2208:B$2,-1+SUMPRODUCT(MAX(ROW(E2208:E$2)*(E2209=E2208:E$2)))))</f>
        <v> </v>
      </c>
      <c r="J2209" s="25" t="str">
        <f>IF(OR(E2209="",E2209="!!!",F2209="NEW"),"",COUNTBLANK(OFFSET(A$1,,,SUMPRODUCT(MAX(ROW(E$2:E2209)*(E2209=E$2:E2209)))))-COUNTBLANK(OFFSET(A$1,,,SUMPRODUCT(MAX(ROW(E$1:E2208)*(E2=E$1:E2208))))))</f>
        <v> </v>
      </c>
      <c r="K2209" s="25" t="str">
        <f>IF(OR(E2209="",E2209="!!!",F2209="NEW"),"",INDEX(J$1:J2208,SUMPRODUCT(MAX(ROW(E$1:E2208)*(E2209=E$1:E2208)))))</f>
        <v> </v>
      </c>
      <c r="L2209" s="26"/>
    </row>
    <row r="2210" spans="1:12">
      <c r="A2210" s="20" t="s">
        <v>1541</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718</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t="s">
        <v>740</v>
      </c>
      <c r="B2212" s="27" t="s">
        <v>749</v>
      </c>
      <c r="C2212" s="27" t="s">
        <v>743</v>
      </c>
      <c r="D2212" s="27" t="s">
        <v>712</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t="s">
        <v>158</v>
      </c>
      <c r="E2213" s="21">
        <f>IF(D2213="?OLD","!!!","")</f>
        <v/>
      </c>
      <c r="F2213" s="22" t="str">
        <f>IF(OR(E2213="",E2213="!!!"),"",IF(NOT(ISNA(VLOOKUP(E2213,E$1:E2212,1,FALSE()))),"OLD",IF(AND(E2213&lt;&gt;"",E2213&lt;&gt;"!!!"),"NEW","")))</f>
        <v> </v>
      </c>
      <c r="G2213" s="23" t="str">
        <f>IF(OR(E2213="",E2213="!!!"),"",IF(OR(J2213=0,AND(J2213=1,K2213=1),AND(J2213=1,I2213="SBJ"),AND(J2213=1,I2213=0)),"?IN_FOCUS",IF(J2213&lt;=2,"?ACTIVATED",IF(J2213&lt;&gt;"","?FAMILIAR",IF(F2213="NEW",IF(ISNA(VLOOKUP(E2213,#REF!,1,FALSE())),"?TYPE_IDENTIFIABLE","?REFERENTIAL"),"_")))))</f>
        <v> </v>
      </c>
      <c r="H2213" s="24" t="str">
        <f>IF(J2213&lt;&gt;1,"",IF(I2213="SBJ","CB","?"))</f>
        <v> </v>
      </c>
      <c r="I2213" s="25" t="str">
        <f>IF(OR(E2213="",E2213="!!!",F2213="NEW"),"",INDEX(B2212:B$2,-1+SUMPRODUCT(MAX(ROW(E2212:E$2)*(E2213=E2212:E$2)))))</f>
        <v> </v>
      </c>
      <c r="J2213" s="25" t="str">
        <f>IF(OR(E2213="",E2213="!!!",F2213="NEW"),"",COUNTBLANK(OFFSET(A$1,,,SUMPRODUCT(MAX(ROW(E$2:E2213)*(E2213=E$2:E2213)))))-COUNTBLANK(OFFSET(A$1,,,SUMPRODUCT(MAX(ROW(E$1:E2212)*(E2=E$1:E2212))))))</f>
        <v> </v>
      </c>
      <c r="K2213" s="25" t="str">
        <f>IF(OR(E2213="",E2213="!!!",F2213="NEW"),"",INDEX(J$1:J2212,SUMPRODUCT(MAX(ROW(E$1:E2212)*(E2213=E$1:E2212)))))</f>
        <v> </v>
      </c>
      <c r="L2213" s="26"/>
    </row>
    <row r="2214" spans="1:12">
      <c r="A2214" s="20" t="s">
        <v>990</v>
      </c>
      <c r="B2214" s="27" t="s">
        <v>749</v>
      </c>
      <c r="C2214" s="27" t="s">
        <v>778</v>
      </c>
      <c r="E2214" s="21">
        <f>IF(D2214="?OLD","!!!","")</f>
        <v/>
      </c>
      <c r="F2214" s="22" t="str">
        <f>IF(OR(E2214="",E2214="!!!"),"",IF(NOT(ISNA(VLOOKUP(E2214,E$1:E2213,1,FALSE()))),"OLD",IF(AND(E2214&lt;&gt;"",E2214&lt;&gt;"!!!"),"NEW","")))</f>
        <v> </v>
      </c>
      <c r="G2214" s="23" t="str">
        <f>IF(OR(E2214="",E2214="!!!"),"",IF(OR(J2214=0,AND(J2214=1,K2214=1),AND(J2214=1,I2214="SBJ"),AND(J2214=1,I2214=0)),"?IN_FOCUS",IF(J2214&lt;=2,"?ACTIVATED",IF(J2214&lt;&gt;"","?FAMILIAR",IF(F2214="NEW",IF(ISNA(VLOOKUP(E2214,#REF!,1,FALSE())),"?TYPE_IDENTIFIABLE","?REFERENTIAL"),"_")))))</f>
        <v> </v>
      </c>
      <c r="H2214" s="24" t="str">
        <f>IF(J2214&lt;&gt;1,"",IF(I2214="SBJ","CB","?"))</f>
        <v> </v>
      </c>
      <c r="I2214" s="25" t="str">
        <f>IF(OR(E2214="",E2214="!!!",F2214="NEW"),"",INDEX(B2213:B$2,-1+SUMPRODUCT(MAX(ROW(E2213:E$2)*(E2214=E2213:E$2)))))</f>
        <v> </v>
      </c>
      <c r="J2214" s="25" t="str">
        <f>IF(OR(E2214="",E2214="!!!",F2214="NEW"),"",COUNTBLANK(OFFSET(A$1,,,SUMPRODUCT(MAX(ROW(E$2:E2214)*(E2214=E$2:E2214)))))-COUNTBLANK(OFFSET(A$1,,,SUMPRODUCT(MAX(ROW(E$1:E2213)*(E2=E$1:E2213))))))</f>
        <v> </v>
      </c>
      <c r="K2214" s="25" t="str">
        <f>IF(OR(E2214="",E2214="!!!",F2214="NEW"),"",INDEX(J$1:J2213,SUMPRODUCT(MAX(ROW(E$1:E2213)*(E2214=E$1:E2213)))))</f>
        <v> </v>
      </c>
      <c r="L2214" s="26"/>
    </row>
    <row r="2215" spans="1:12">
      <c r="A2215" s="20" t="s">
        <v>740</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t="s">
        <v>1542</v>
      </c>
      <c r="B2216" s="27" t="s">
        <v>724</v>
      </c>
      <c r="C2216" s="27" t="s">
        <v>711</v>
      </c>
      <c r="D2216" s="27" t="s">
        <v>712</v>
      </c>
      <c r="E2216" s="21">
        <f>IF(D2216="?OLD","!!!","")</f>
        <v/>
      </c>
      <c r="F2216" s="22" t="str">
        <f>IF(OR(E2216="",E2216="!!!"),"",IF(NOT(ISNA(VLOOKUP(E2216,E$1:E2215,1,FALSE()))),"OLD",IF(AND(E2216&lt;&gt;"",E2216&lt;&gt;"!!!"),"NEW","")))</f>
        <v> </v>
      </c>
      <c r="G2216" s="23" t="str">
        <f>IF(OR(E2216="",E2216="!!!"),"",IF(OR(J2216=0,AND(J2216=1,K2216=1),AND(J2216=1,I2216="SBJ"),AND(J2216=1,I2216=0)),"?IN_FOCUS",IF(J2216&lt;=2,"?ACTIVATED",IF(J2216&lt;&gt;"","?FAMILIAR",IF(F2216="NEW",IF(ISNA(VLOOKUP(E2216,#REF!,1,FALSE())),"?TYPE_IDENTIFIABLE","?REFERENTIAL"),"_")))))</f>
        <v> </v>
      </c>
      <c r="H2216" s="24" t="str">
        <f>IF(J2216&lt;&gt;1,"",IF(I2216="SBJ","CB","?"))</f>
        <v> </v>
      </c>
      <c r="I2216" s="25" t="str">
        <f>IF(OR(E2216="",E2216="!!!",F2216="NEW"),"",INDEX(B2215:B$2,-1+SUMPRODUCT(MAX(ROW(E2215:E$2)*(E2216=E2215:E$2)))))</f>
        <v> </v>
      </c>
      <c r="J2216" s="25" t="str">
        <f>IF(OR(E2216="",E2216="!!!",F2216="NEW"),"",COUNTBLANK(OFFSET(A$1,,,SUMPRODUCT(MAX(ROW(E$2:E2216)*(E2216=E$2:E2216)))))-COUNTBLANK(OFFSET(A$1,,,SUMPRODUCT(MAX(ROW(E$1:E2215)*(E2=E$1:E2215))))))</f>
        <v> </v>
      </c>
      <c r="K2216" s="25" t="str">
        <f>IF(OR(E2216="",E2216="!!!",F2216="NEW"),"",INDEX(J$1:J2215,SUMPRODUCT(MAX(ROW(E$1:E2215)*(E2216=E$1:E2215)))))</f>
        <v> </v>
      </c>
      <c r="L2216" s="26"/>
    </row>
    <row r="2217" spans="1:12">
      <c r="A2217" s="20" t="s">
        <v>1543</v>
      </c>
      <c r="E2217" s="21">
        <f>IF(D2217="?OLD","!!!","")</f>
        <v/>
      </c>
      <c r="F2217" s="22" t="str">
        <f>IF(OR(E2217="",E2217="!!!"),"",IF(NOT(ISNA(VLOOKUP(E2217,E$1:E2216,1,FALSE()))),"OLD",IF(AND(E2217&lt;&gt;"",E2217&lt;&gt;"!!!"),"NEW","")))</f>
        <v> </v>
      </c>
      <c r="G2217" s="23" t="str">
        <f>IF(OR(E2217="",E2217="!!!"),"",IF(OR(J2217=0,AND(J2217=1,K2217=1),AND(J2217=1,I2217="SBJ"),AND(J2217=1,I2217=0)),"?IN_FOCUS",IF(J2217&lt;=2,"?ACTIVATED",IF(J2217&lt;&gt;"","?FAMILIAR",IF(F2217="NEW",IF(ISNA(VLOOKUP(E2217,#REF!,1,FALSE())),"?TYPE_IDENTIFIABLE","?REFERENTIAL"),"_")))))</f>
        <v> </v>
      </c>
      <c r="H2217" s="24" t="str">
        <f>IF(J2217&lt;&gt;1,"",IF(I2217="SBJ","CB","?"))</f>
        <v> </v>
      </c>
      <c r="I2217" s="25" t="str">
        <f>IF(OR(E2217="",E2217="!!!",F2217="NEW"),"",INDEX(B2216:B$2,-1+SUMPRODUCT(MAX(ROW(E2216:E$2)*(E2217=E2216:E$2)))))</f>
        <v> </v>
      </c>
      <c r="J2217" s="25" t="str">
        <f>IF(OR(E2217="",E2217="!!!",F2217="NEW"),"",COUNTBLANK(OFFSET(A$1,,,SUMPRODUCT(MAX(ROW(E$2:E2217)*(E2217=E$2:E2217)))))-COUNTBLANK(OFFSET(A$1,,,SUMPRODUCT(MAX(ROW(E$1:E2216)*(E2=E$1:E2216))))))</f>
        <v> </v>
      </c>
      <c r="K2217" s="25" t="str">
        <f>IF(OR(E2217="",E2217="!!!",F2217="NEW"),"",INDEX(J$1:J2216,SUMPRODUCT(MAX(ROW(E$1:E2216)*(E2217=E$1:E2216)))))</f>
        <v> </v>
      </c>
      <c r="L2217" s="26"/>
    </row>
    <row r="2218" spans="1:12">
      <c r="A2218" s="20" t="s">
        <v>725</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row>
    <row r="2220" spans="1:12">
      <c r="A2220" s="20" t="s">
        <v>1544</v>
      </c>
    </row>
    <row r="2221" spans="1:12">
      <c r="A2221" s="20" t="s">
        <v>764</v>
      </c>
      <c r="E2221" s="21">
        <f>IF(D2221="?OLD","!!!","")</f>
        <v/>
      </c>
      <c r="F2221" s="22" t="str">
        <f>IF(OR(E2221="",E2221="!!!"),"",IF(NOT(ISNA(VLOOKUP(E2221,E$1:E2220,1,FALSE()))),"OLD",IF(AND(E2221&lt;&gt;"",E2221&lt;&gt;"!!!"),"NEW","")))</f>
        <v> </v>
      </c>
      <c r="G2221" s="23" t="str">
        <f>IF(OR(E2221="",E2221="!!!"),"",IF(OR(J2221=0,AND(J2221=1,K2221=1),AND(J2221=1,I2221="SBJ"),AND(J2221=1,I2221=0)),"?IN_FOCUS",IF(J2221&lt;=2,"?ACTIVATED",IF(J2221&lt;&gt;"","?FAMILIAR",IF(F2221="NEW",IF(ISNA(VLOOKUP(E2221,#REF!,1,FALSE())),"?TYPE_IDENTIFIABLE","?REFERENTIAL"),"_")))))</f>
        <v> </v>
      </c>
      <c r="H2221" s="24" t="str">
        <f>IF(J2221&lt;&gt;1,"",IF(I2221="SBJ","CB","?"))</f>
        <v> </v>
      </c>
      <c r="I2221" s="25" t="str">
        <f>IF(OR(E2221="",E2221="!!!",F2221="NEW"),"",INDEX(B2220:B$2,-1+SUMPRODUCT(MAX(ROW(E2220:E$2)*(E2221=E2220:E$2)))))</f>
        <v> </v>
      </c>
      <c r="J2221" s="25" t="str">
        <f>IF(OR(E2221="",E2221="!!!",F2221="NEW"),"",COUNTBLANK(OFFSET(A$1,,,SUMPRODUCT(MAX(ROW(E$2:E2221)*(E2221=E$2:E2221)))))-COUNTBLANK(OFFSET(A$1,,,SUMPRODUCT(MAX(ROW(E$1:E2220)*(E2=E$1:E2220))))))</f>
        <v> </v>
      </c>
      <c r="K2221" s="25" t="str">
        <f>IF(OR(E2221="",E2221="!!!",F2221="NEW"),"",INDEX(J$1:J2220,SUMPRODUCT(MAX(ROW(E$1:E2220)*(E2221=E$1:E2220)))))</f>
        <v> </v>
      </c>
      <c r="L2221" s="26"/>
    </row>
    <row r="2222" spans="1:12">
      <c r="A2222" s="20" t="s">
        <v>1539</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1545</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t="s">
        <v>86</v>
      </c>
      <c r="E2224" s="21">
        <f>IF(D2224="?OLD","!!!","")</f>
        <v/>
      </c>
      <c r="F2224" s="22" t="str">
        <f>IF(OR(E2224="",E2224="!!!"),"",IF(NOT(ISNA(VLOOKUP(E2224,E$1:E2223,1,FALSE()))),"OLD",IF(AND(E2224&lt;&gt;"",E2224&lt;&gt;"!!!"),"NEW","")))</f>
        <v> </v>
      </c>
      <c r="G2224" s="23" t="str">
        <f>IF(OR(E2224="",E2224="!!!"),"",IF(OR(J2224=0,AND(J2224=1,K2224=1),AND(J2224=1,I2224="SBJ"),AND(J2224=1,I2224=0)),"?IN_FOCUS",IF(J2224&lt;=2,"?ACTIVATED",IF(J2224&lt;&gt;"","?FAMILIAR",IF(F2224="NEW",IF(ISNA(VLOOKUP(E2224,#REF!,1,FALSE())),"?TYPE_IDENTIFIABLE","?REFERENTIAL"),"_")))))</f>
        <v> </v>
      </c>
      <c r="H2224" s="24" t="str">
        <f>IF(J2224&lt;&gt;1,"",IF(I2224="SBJ","CB","?"))</f>
        <v> </v>
      </c>
      <c r="I2224" s="25" t="str">
        <f>IF(OR(E2224="",E2224="!!!",F2224="NEW"),"",INDEX(B2223:B$2,-1+SUMPRODUCT(MAX(ROW(E2223:E$2)*(E2224=E2223:E$2)))))</f>
        <v> </v>
      </c>
      <c r="J2224" s="25" t="str">
        <f>IF(OR(E2224="",E2224="!!!",F2224="NEW"),"",COUNTBLANK(OFFSET(A$1,,,SUMPRODUCT(MAX(ROW(E$2:E2224)*(E2224=E$2:E2224)))))-COUNTBLANK(OFFSET(A$1,,,SUMPRODUCT(MAX(ROW(E$1:E2223)*(E2=E$1:E2223))))))</f>
        <v> </v>
      </c>
      <c r="K2224" s="25" t="str">
        <f>IF(OR(E2224="",E2224="!!!",F2224="NEW"),"",INDEX(J$1:J2223,SUMPRODUCT(MAX(ROW(E$1:E2223)*(E2224=E$1:E2223)))))</f>
        <v> </v>
      </c>
      <c r="L2224" s="26"/>
    </row>
    <row r="2225" spans="1:12">
      <c r="A2225" s="20" t="s">
        <v>990</v>
      </c>
      <c r="B2225" s="27" t="s">
        <v>710</v>
      </c>
      <c r="C2225" s="27" t="s">
        <v>778</v>
      </c>
      <c r="E2225" s="21">
        <f>IF(D2225="?OLD","!!!","")</f>
        <v/>
      </c>
      <c r="F2225" s="22" t="str">
        <f>IF(OR(E2225="",E2225="!!!"),"",IF(NOT(ISNA(VLOOKUP(E2225,E$1:E2224,1,FALSE()))),"OLD",IF(AND(E2225&lt;&gt;"",E2225&lt;&gt;"!!!"),"NEW","")))</f>
        <v> </v>
      </c>
      <c r="G2225" s="23" t="str">
        <f>IF(OR(E2225="",E2225="!!!"),"",IF(OR(J2225=0,AND(J2225=1,K2225=1),AND(J2225=1,I2225="SBJ"),AND(J2225=1,I2225=0)),"?IN_FOCUS",IF(J2225&lt;=2,"?ACTIVATED",IF(J2225&lt;&gt;"","?FAMILIAR",IF(F2225="NEW",IF(ISNA(VLOOKUP(E2225,#REF!,1,FALSE())),"?TYPE_IDENTIFIABLE","?REFERENTIAL"),"_")))))</f>
        <v> </v>
      </c>
      <c r="H2225" s="24" t="str">
        <f>IF(J2225&lt;&gt;1,"",IF(I2225="SBJ","CB","?"))</f>
        <v> </v>
      </c>
      <c r="I2225" s="25" t="str">
        <f>IF(OR(E2225="",E2225="!!!",F2225="NEW"),"",INDEX(B2224:B$2,-1+SUMPRODUCT(MAX(ROW(E2224:E$2)*(E2225=E2224:E$2)))))</f>
        <v> </v>
      </c>
      <c r="J2225" s="25" t="str">
        <f>IF(OR(E2225="",E2225="!!!",F2225="NEW"),"",COUNTBLANK(OFFSET(A$1,,,SUMPRODUCT(MAX(ROW(E$2:E2225)*(E2225=E$2:E2225)))))-COUNTBLANK(OFFSET(A$1,,,SUMPRODUCT(MAX(ROW(E$1:E2224)*(E2=E$1:E2224))))))</f>
        <v> </v>
      </c>
      <c r="K2225" s="25" t="str">
        <f>IF(OR(E2225="",E2225="!!!",F2225="NEW"),"",INDEX(J$1:J2224,SUMPRODUCT(MAX(ROW(E$1:E2224)*(E2225=E$1:E2224)))))</f>
        <v> </v>
      </c>
      <c r="L2225" s="26"/>
    </row>
    <row r="2226" spans="1:12">
      <c r="A2226" s="20" t="s">
        <v>740</v>
      </c>
      <c r="E2226" s="21">
        <f>IF(D2226="?OLD","!!!","")</f>
        <v/>
      </c>
      <c r="F2226" s="22" t="str">
        <f>IF(OR(E2226="",E2226="!!!"),"",IF(NOT(ISNA(VLOOKUP(E2226,E$1:E2225,1,FALSE()))),"OLD",IF(AND(E2226&lt;&gt;"",E2226&lt;&gt;"!!!"),"NEW","")))</f>
        <v> </v>
      </c>
      <c r="G2226" s="23" t="str">
        <f>IF(OR(E2226="",E2226="!!!"),"",IF(OR(J2226=0,AND(J2226=1,K2226=1),AND(J2226=1,I2226="SBJ"),AND(J2226=1,I2226=0)),"?IN_FOCUS",IF(J2226&lt;=2,"?ACTIVATED",IF(J2226&lt;&gt;"","?FAMILIAR",IF(F2226="NEW",IF(ISNA(VLOOKUP(E2226,#REF!,1,FALSE())),"?TYPE_IDENTIFIABLE","?REFERENTIAL"),"_")))))</f>
        <v> </v>
      </c>
      <c r="H2226" s="24" t="str">
        <f>IF(J2226&lt;&gt;1,"",IF(I2226="SBJ","CB","?"))</f>
        <v> </v>
      </c>
      <c r="I2226" s="25" t="str">
        <f>IF(OR(E2226="",E2226="!!!",F2226="NEW"),"",INDEX(B2225:B$2,-1+SUMPRODUCT(MAX(ROW(E2225:E$2)*(E2226=E2225:E$2)))))</f>
        <v> </v>
      </c>
      <c r="J2226" s="25" t="str">
        <f>IF(OR(E2226="",E2226="!!!",F2226="NEW"),"",COUNTBLANK(OFFSET(A$1,,,SUMPRODUCT(MAX(ROW(E$2:E2226)*(E2226=E$2:E2226)))))-COUNTBLANK(OFFSET(A$1,,,SUMPRODUCT(MAX(ROW(E$1:E2225)*(E2=E$1:E2225))))))</f>
        <v> </v>
      </c>
      <c r="K2226" s="25" t="str">
        <f>IF(OR(E2226="",E2226="!!!",F2226="NEW"),"",INDEX(J$1:J2225,SUMPRODUCT(MAX(ROW(E$1:E2225)*(E2226=E$1:E2225)))))</f>
        <v> </v>
      </c>
      <c r="L2226" s="26"/>
    </row>
    <row r="2227" spans="1:12">
      <c r="A2227" s="20" t="s">
        <v>1522</v>
      </c>
      <c r="B2227" s="27" t="s">
        <v>731</v>
      </c>
      <c r="C2227" s="27" t="s">
        <v>711</v>
      </c>
      <c r="D2227" s="27" t="s">
        <v>712</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t="s">
        <v>1546</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725</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row>
    <row r="2231" spans="1:12">
      <c r="A2231" s="20" t="s">
        <v>1547</v>
      </c>
    </row>
    <row r="2232" spans="1:12">
      <c r="A2232" s="20" t="s">
        <v>1287</v>
      </c>
      <c r="B2232" s="27" t="s">
        <v>710</v>
      </c>
      <c r="C2232" s="27" t="s">
        <v>761</v>
      </c>
      <c r="D2232" s="27" t="s">
        <v>712</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1288</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1539</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757</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1548</v>
      </c>
      <c r="B2236" s="27" t="s">
        <v>777</v>
      </c>
      <c r="C2236" s="27" t="s">
        <v>739</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t="s">
        <v>1078</v>
      </c>
      <c r="E2237" s="21">
        <f>IF(D2237="?OLD","!!!","")</f>
        <v/>
      </c>
      <c r="F2237" s="22" t="str">
        <f>IF(OR(E2237="",E2237="!!!"),"",IF(NOT(ISNA(VLOOKUP(E2237,E$1:E2236,1,FALSE()))),"OLD",IF(AND(E2237&lt;&gt;"",E2237&lt;&gt;"!!!"),"NEW","")))</f>
        <v> </v>
      </c>
      <c r="G2237" s="23" t="str">
        <f>IF(OR(E2237="",E2237="!!!"),"",IF(OR(J2237=0,AND(J2237=1,K2237=1),AND(J2237=1,I2237="SBJ"),AND(J2237=1,I2237=0)),"?IN_FOCUS",IF(J2237&lt;=2,"?ACTIVATED",IF(J2237&lt;&gt;"","?FAMILIAR",IF(F2237="NEW",IF(ISNA(VLOOKUP(E2237,#REF!,1,FALSE())),"?TYPE_IDENTIFIABLE","?REFERENTIAL"),"_")))))</f>
        <v> </v>
      </c>
      <c r="H2237" s="24" t="str">
        <f>IF(J2237&lt;&gt;1,"",IF(I2237="SBJ","CB","?"))</f>
        <v> </v>
      </c>
      <c r="I2237" s="25" t="str">
        <f>IF(OR(E2237="",E2237="!!!",F2237="NEW"),"",INDEX(B2236:B$2,-1+SUMPRODUCT(MAX(ROW(E2236:E$2)*(E2237=E2236:E$2)))))</f>
        <v> </v>
      </c>
      <c r="J2237" s="25" t="str">
        <f>IF(OR(E2237="",E2237="!!!",F2237="NEW"),"",COUNTBLANK(OFFSET(A$1,,,SUMPRODUCT(MAX(ROW(E$2:E2237)*(E2237=E$2:E2237)))))-COUNTBLANK(OFFSET(A$1,,,SUMPRODUCT(MAX(ROW(E$1:E2236)*(E2=E$1:E2236))))))</f>
        <v> </v>
      </c>
      <c r="K2237" s="25" t="str">
        <f>IF(OR(E2237="",E2237="!!!",F2237="NEW"),"",INDEX(J$1:J2236,SUMPRODUCT(MAX(ROW(E$1:E2236)*(E2237=E$1:E2236)))))</f>
        <v> </v>
      </c>
      <c r="L2237" s="26"/>
    </row>
    <row r="2238" spans="1:12">
      <c r="A2238" s="20" t="s">
        <v>1549</v>
      </c>
      <c r="B2238" s="27" t="s">
        <v>731</v>
      </c>
      <c r="C2238" s="27" t="s">
        <v>717</v>
      </c>
      <c r="E2238" s="21">
        <f>IF(D2238="?OLD","!!!","")</f>
        <v/>
      </c>
      <c r="F2238" s="22" t="str">
        <f>IF(OR(E2238="",E2238="!!!"),"",IF(NOT(ISNA(VLOOKUP(E2238,E$1:E2237,1,FALSE()))),"OLD",IF(AND(E2238&lt;&gt;"",E2238&lt;&gt;"!!!"),"NEW","")))</f>
        <v> </v>
      </c>
      <c r="G2238" s="23" t="str">
        <f>IF(OR(E2238="",E2238="!!!"),"",IF(OR(J2238=0,AND(J2238=1,K2238=1),AND(J2238=1,I2238="SBJ"),AND(J2238=1,I2238=0)),"?IN_FOCUS",IF(J2238&lt;=2,"?ACTIVATED",IF(J2238&lt;&gt;"","?FAMILIAR",IF(F2238="NEW",IF(ISNA(VLOOKUP(E2238,#REF!,1,FALSE())),"?TYPE_IDENTIFIABLE","?REFERENTIAL"),"_")))))</f>
        <v> </v>
      </c>
      <c r="H2238" s="24" t="str">
        <f>IF(J2238&lt;&gt;1,"",IF(I2238="SBJ","CB","?"))</f>
        <v> </v>
      </c>
      <c r="I2238" s="25" t="str">
        <f>IF(OR(E2238="",E2238="!!!",F2238="NEW"),"",INDEX(B2237:B$2,-1+SUMPRODUCT(MAX(ROW(E2237:E$2)*(E2238=E2237:E$2)))))</f>
        <v> </v>
      </c>
      <c r="J2238" s="25" t="str">
        <f>IF(OR(E2238="",E2238="!!!",F2238="NEW"),"",COUNTBLANK(OFFSET(A$1,,,SUMPRODUCT(MAX(ROW(E$2:E2238)*(E2238=E$2:E2238)))))-COUNTBLANK(OFFSET(A$1,,,SUMPRODUCT(MAX(ROW(E$1:E2237)*(E2=E$1:E2237))))))</f>
        <v> </v>
      </c>
      <c r="K2238" s="25" t="str">
        <f>IF(OR(E2238="",E2238="!!!",F2238="NEW"),"",INDEX(J$1:J2237,SUMPRODUCT(MAX(ROW(E$1:E2237)*(E2238=E$1:E2237)))))</f>
        <v> </v>
      </c>
      <c r="L2238" s="26"/>
    </row>
    <row r="2239" spans="1:12">
      <c r="A2239" s="20" t="s">
        <v>718</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1545</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t="s">
        <v>741</v>
      </c>
      <c r="B2241" s="27" t="s">
        <v>749</v>
      </c>
      <c r="C2241" s="27" t="s">
        <v>743</v>
      </c>
      <c r="D2241" s="27" t="s">
        <v>712</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t="s">
        <v>1078</v>
      </c>
      <c r="E2242" s="21">
        <f>IF(D2242="?OLD","!!!","")</f>
        <v/>
      </c>
      <c r="F2242" s="22" t="str">
        <f>IF(OR(E2242="",E2242="!!!"),"",IF(NOT(ISNA(VLOOKUP(E2242,E$1:E2241,1,FALSE()))),"OLD",IF(AND(E2242&lt;&gt;"",E2242&lt;&gt;"!!!"),"NEW","")))</f>
        <v> </v>
      </c>
      <c r="G2242" s="23" t="str">
        <f>IF(OR(E2242="",E2242="!!!"),"",IF(OR(J2242=0,AND(J2242=1,K2242=1),AND(J2242=1,I2242="SBJ"),AND(J2242=1,I2242=0)),"?IN_FOCUS",IF(J2242&lt;=2,"?ACTIVATED",IF(J2242&lt;&gt;"","?FAMILIAR",IF(F2242="NEW",IF(ISNA(VLOOKUP(E2242,#REF!,1,FALSE())),"?TYPE_IDENTIFIABLE","?REFERENTIAL"),"_")))))</f>
        <v> </v>
      </c>
      <c r="H2242" s="24" t="str">
        <f>IF(J2242&lt;&gt;1,"",IF(I2242="SBJ","CB","?"))</f>
        <v> </v>
      </c>
      <c r="I2242" s="25" t="str">
        <f>IF(OR(E2242="",E2242="!!!",F2242="NEW"),"",INDEX(B2241:B$2,-1+SUMPRODUCT(MAX(ROW(E2241:E$2)*(E2242=E2241:E$2)))))</f>
        <v> </v>
      </c>
      <c r="J2242" s="25" t="str">
        <f>IF(OR(E2242="",E2242="!!!",F2242="NEW"),"",COUNTBLANK(OFFSET(A$1,,,SUMPRODUCT(MAX(ROW(E$2:E2242)*(E2242=E$2:E2242)))))-COUNTBLANK(OFFSET(A$1,,,SUMPRODUCT(MAX(ROW(E$1:E2241)*(E2=E$1:E2241))))))</f>
        <v> </v>
      </c>
      <c r="K2242" s="25" t="str">
        <f>IF(OR(E2242="",E2242="!!!",F2242="NEW"),"",INDEX(J$1:J2241,SUMPRODUCT(MAX(ROW(E$1:E2241)*(E2242=E$1:E2241)))))</f>
        <v> </v>
      </c>
      <c r="L2242" s="26"/>
    </row>
    <row r="2243" spans="1:12">
      <c r="A2243" s="20" t="s">
        <v>910</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1550</v>
      </c>
      <c r="B2244" s="27" t="s">
        <v>731</v>
      </c>
      <c r="C2244" s="27" t="s">
        <v>711</v>
      </c>
      <c r="D2244" s="27" t="s">
        <v>712</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1551</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1552</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t="s">
        <v>923</v>
      </c>
      <c r="E2247" s="21">
        <f>IF(D2247="?OLD","!!!","")</f>
        <v/>
      </c>
      <c r="F2247" s="22" t="str">
        <f>IF(OR(E2247="",E2247="!!!"),"",IF(NOT(ISNA(VLOOKUP(E2247,E$1:E2246,1,FALSE()))),"OLD",IF(AND(E2247&lt;&gt;"",E2247&lt;&gt;"!!!"),"NEW","")))</f>
        <v> </v>
      </c>
      <c r="G2247" s="23" t="str">
        <f>IF(OR(E2247="",E2247="!!!"),"",IF(OR(J2247=0,AND(J2247=1,K2247=1),AND(J2247=1,I2247="SBJ"),AND(J2247=1,I2247=0)),"?IN_FOCUS",IF(J2247&lt;=2,"?ACTIVATED",IF(J2247&lt;&gt;"","?FAMILIAR",IF(F2247="NEW",IF(ISNA(VLOOKUP(E2247,#REF!,1,FALSE())),"?TYPE_IDENTIFIABLE","?REFERENTIAL"),"_")))))</f>
        <v> </v>
      </c>
      <c r="H2247" s="24" t="str">
        <f>IF(J2247&lt;&gt;1,"",IF(I2247="SBJ","CB","?"))</f>
        <v> </v>
      </c>
      <c r="I2247" s="25" t="str">
        <f>IF(OR(E2247="",E2247="!!!",F2247="NEW"),"",INDEX(B2246:B$2,-1+SUMPRODUCT(MAX(ROW(E2246:E$2)*(E2247=E2246:E$2)))))</f>
        <v> </v>
      </c>
      <c r="J2247" s="25" t="str">
        <f>IF(OR(E2247="",E2247="!!!",F2247="NEW"),"",COUNTBLANK(OFFSET(A$1,,,SUMPRODUCT(MAX(ROW(E$2:E2247)*(E2247=E$2:E2247)))))-COUNTBLANK(OFFSET(A$1,,,SUMPRODUCT(MAX(ROW(E$1:E2246)*(E2=E$1:E2246))))))</f>
        <v> </v>
      </c>
      <c r="K2247" s="25" t="str">
        <f>IF(OR(E2247="",E2247="!!!",F2247="NEW"),"",INDEX(J$1:J2246,SUMPRODUCT(MAX(ROW(E$1:E2246)*(E2247=E$1:E2246)))))</f>
        <v> </v>
      </c>
      <c r="L2247" s="26"/>
    </row>
    <row r="2248" spans="1:12">
      <c r="A2248" s="20" t="s">
        <v>764</v>
      </c>
      <c r="E2248" s="21">
        <f>IF(D2248="?OLD","!!!","")</f>
        <v/>
      </c>
      <c r="F2248" s="22" t="str">
        <f>IF(OR(E2248="",E2248="!!!"),"",IF(NOT(ISNA(VLOOKUP(E2248,E$1:E2247,1,FALSE()))),"OLD",IF(AND(E2248&lt;&gt;"",E2248&lt;&gt;"!!!"),"NEW","")))</f>
        <v> </v>
      </c>
      <c r="G2248" s="23" t="str">
        <f>IF(OR(E2248="",E2248="!!!"),"",IF(OR(J2248=0,AND(J2248=1,K2248=1),AND(J2248=1,I2248="SBJ"),AND(J2248=1,I2248=0)),"?IN_FOCUS",IF(J2248&lt;=2,"?ACTIVATED",IF(J2248&lt;&gt;"","?FAMILIAR",IF(F2248="NEW",IF(ISNA(VLOOKUP(E2248,#REF!,1,FALSE())),"?TYPE_IDENTIFIABLE","?REFERENTIAL"),"_")))))</f>
        <v> </v>
      </c>
      <c r="H2248" s="24" t="str">
        <f>IF(J2248&lt;&gt;1,"",IF(I2248="SBJ","CB","?"))</f>
        <v> </v>
      </c>
      <c r="I2248" s="25" t="str">
        <f>IF(OR(E2248="",E2248="!!!",F2248="NEW"),"",INDEX(B2247:B$2,-1+SUMPRODUCT(MAX(ROW(E2247:E$2)*(E2248=E2247:E$2)))))</f>
        <v> </v>
      </c>
      <c r="J2248" s="25" t="str">
        <f>IF(OR(E2248="",E2248="!!!",F2248="NEW"),"",COUNTBLANK(OFFSET(A$1,,,SUMPRODUCT(MAX(ROW(E$2:E2248)*(E2248=E$2:E2248)))))-COUNTBLANK(OFFSET(A$1,,,SUMPRODUCT(MAX(ROW(E$1:E2247)*(E2=E$1:E2247))))))</f>
        <v> </v>
      </c>
      <c r="K2248" s="25" t="str">
        <f>IF(OR(E2248="",E2248="!!!",F2248="NEW"),"",INDEX(J$1:J2247,SUMPRODUCT(MAX(ROW(E$1:E2247)*(E2248=E$1:E2247)))))</f>
        <v> </v>
      </c>
      <c r="L2248" s="26"/>
    </row>
    <row r="2249" spans="1:12">
      <c r="A2249" s="20" t="s">
        <v>714</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t="s">
        <v>733</v>
      </c>
      <c r="E2250" s="21">
        <f>IF(D2250="?OLD","!!!","")</f>
        <v/>
      </c>
      <c r="F2250" s="22" t="str">
        <f>IF(OR(E2250="",E2250="!!!"),"",IF(NOT(ISNA(VLOOKUP(E2250,E$1:E2249,1,FALSE()))),"OLD",IF(AND(E2250&lt;&gt;"",E2250&lt;&gt;"!!!"),"NEW","")))</f>
        <v> </v>
      </c>
      <c r="G2250" s="23" t="str">
        <f>IF(OR(E2250="",E2250="!!!"),"",IF(OR(J2250=0,AND(J2250=1,K2250=1),AND(J2250=1,I2250="SBJ"),AND(J2250=1,I2250=0)),"?IN_FOCUS",IF(J2250&lt;=2,"?ACTIVATED",IF(J2250&lt;&gt;"","?FAMILIAR",IF(F2250="NEW",IF(ISNA(VLOOKUP(E2250,#REF!,1,FALSE())),"?TYPE_IDENTIFIABLE","?REFERENTIAL"),"_")))))</f>
        <v> </v>
      </c>
      <c r="H2250" s="24" t="str">
        <f>IF(J2250&lt;&gt;1,"",IF(I2250="SBJ","CB","?"))</f>
        <v> </v>
      </c>
      <c r="I2250" s="25" t="str">
        <f>IF(OR(E2250="",E2250="!!!",F2250="NEW"),"",INDEX(B2249:B$2,-1+SUMPRODUCT(MAX(ROW(E2249:E$2)*(E2250=E2249:E$2)))))</f>
        <v> </v>
      </c>
      <c r="J2250" s="25" t="str">
        <f>IF(OR(E2250="",E2250="!!!",F2250="NEW"),"",COUNTBLANK(OFFSET(A$1,,,SUMPRODUCT(MAX(ROW(E$2:E2250)*(E2250=E$2:E2250)))))-COUNTBLANK(OFFSET(A$1,,,SUMPRODUCT(MAX(ROW(E$1:E2249)*(E2=E$1:E2249))))))</f>
        <v> </v>
      </c>
      <c r="K2250" s="25" t="str">
        <f>IF(OR(E2250="",E2250="!!!",F2250="NEW"),"",INDEX(J$1:J2249,SUMPRODUCT(MAX(ROW(E$1:E2249)*(E2250=E$1:E2249)))))</f>
        <v> </v>
      </c>
      <c r="L2250" s="26"/>
    </row>
    <row r="2251" spans="1:12">
      <c r="A2251" s="20" t="s">
        <v>1553</v>
      </c>
      <c r="B2251" s="27" t="s">
        <v>724</v>
      </c>
      <c r="C2251" s="27" t="s">
        <v>711</v>
      </c>
      <c r="D2251" s="27" t="s">
        <v>712</v>
      </c>
      <c r="E2251" s="21">
        <f>IF(D2251="?OLD","!!!","")</f>
        <v/>
      </c>
      <c r="F2251" s="22" t="str">
        <f>IF(OR(E2251="",E2251="!!!"),"",IF(NOT(ISNA(VLOOKUP(E2251,E$1:E2250,1,FALSE()))),"OLD",IF(AND(E2251&lt;&gt;"",E2251&lt;&gt;"!!!"),"NEW","")))</f>
        <v> </v>
      </c>
      <c r="G2251" s="23" t="str">
        <f>IF(OR(E2251="",E2251="!!!"),"",IF(OR(J2251=0,AND(J2251=1,K2251=1),AND(J2251=1,I2251="SBJ"),AND(J2251=1,I2251=0)),"?IN_FOCUS",IF(J2251&lt;=2,"?ACTIVATED",IF(J2251&lt;&gt;"","?FAMILIAR",IF(F2251="NEW",IF(ISNA(VLOOKUP(E2251,#REF!,1,FALSE())),"?TYPE_IDENTIFIABLE","?REFERENTIAL"),"_")))))</f>
        <v> </v>
      </c>
      <c r="H2251" s="24" t="str">
        <f>IF(J2251&lt;&gt;1,"",IF(I2251="SBJ","CB","?"))</f>
        <v> </v>
      </c>
      <c r="I2251" s="25" t="str">
        <f>IF(OR(E2251="",E2251="!!!",F2251="NEW"),"",INDEX(B2250:B$2,-1+SUMPRODUCT(MAX(ROW(E2250:E$2)*(E2251=E2250:E$2)))))</f>
        <v> </v>
      </c>
      <c r="J2251" s="25" t="str">
        <f>IF(OR(E2251="",E2251="!!!",F2251="NEW"),"",COUNTBLANK(OFFSET(A$1,,,SUMPRODUCT(MAX(ROW(E$2:E2251)*(E2251=E$2:E2251)))))-COUNTBLANK(OFFSET(A$1,,,SUMPRODUCT(MAX(ROW(E$1:E2250)*(E2=E$1:E2250))))))</f>
        <v> </v>
      </c>
      <c r="K2251" s="25" t="str">
        <f>IF(OR(E2251="",E2251="!!!",F2251="NEW"),"",INDEX(J$1:J2250,SUMPRODUCT(MAX(ROW(E$1:E2250)*(E2251=E$1:E2250)))))</f>
        <v> </v>
      </c>
      <c r="L2251" s="26"/>
    </row>
    <row r="2252" spans="1:12">
      <c r="A2252" s="20" t="s">
        <v>1483</v>
      </c>
      <c r="B2252" s="27" t="s">
        <v>809</v>
      </c>
      <c r="C2252" s="27" t="s">
        <v>743</v>
      </c>
      <c r="D2252" s="27" t="s">
        <v>712</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1554</v>
      </c>
      <c r="B2253" s="27" t="s">
        <v>881</v>
      </c>
      <c r="C2253" s="27" t="s">
        <v>778</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356</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t="s">
        <v>764</v>
      </c>
      <c r="E2255" s="21">
        <f>IF(D2255="?OLD","!!!","")</f>
        <v/>
      </c>
      <c r="F2255" s="22" t="str">
        <f>IF(OR(E2255="",E2255="!!!"),"",IF(NOT(ISNA(VLOOKUP(E2255,E$1:E2254,1,FALSE()))),"OLD",IF(AND(E2255&lt;&gt;"",E2255&lt;&gt;"!!!"),"NEW","")))</f>
        <v> </v>
      </c>
      <c r="G2255" s="23" t="str">
        <f>IF(OR(E2255="",E2255="!!!"),"",IF(OR(J2255=0,AND(J2255=1,K2255=1),AND(J2255=1,I2255="SBJ"),AND(J2255=1,I2255=0)),"?IN_FOCUS",IF(J2255&lt;=2,"?ACTIVATED",IF(J2255&lt;&gt;"","?FAMILIAR",IF(F2255="NEW",IF(ISNA(VLOOKUP(E2255,#REF!,1,FALSE())),"?TYPE_IDENTIFIABLE","?REFERENTIAL"),"_")))))</f>
        <v> </v>
      </c>
      <c r="H2255" s="24" t="str">
        <f>IF(J2255&lt;&gt;1,"",IF(I2255="SBJ","CB","?"))</f>
        <v> </v>
      </c>
      <c r="I2255" s="25" t="str">
        <f>IF(OR(E2255="",E2255="!!!",F2255="NEW"),"",INDEX(B2254:B$2,-1+SUMPRODUCT(MAX(ROW(E2254:E$2)*(E2255=E2254:E$2)))))</f>
        <v> </v>
      </c>
      <c r="J2255" s="25" t="str">
        <f>IF(OR(E2255="",E2255="!!!",F2255="NEW"),"",COUNTBLANK(OFFSET(A$1,,,SUMPRODUCT(MAX(ROW(E$2:E2255)*(E2255=E$2:E2255)))))-COUNTBLANK(OFFSET(A$1,,,SUMPRODUCT(MAX(ROW(E$1:E2254)*(E2=E$1:E2254))))))</f>
        <v> </v>
      </c>
      <c r="K2255" s="25" t="str">
        <f>IF(OR(E2255="",E2255="!!!",F2255="NEW"),"",INDEX(J$1:J2254,SUMPRODUCT(MAX(ROW(E$1:E2254)*(E2255=E$1:E2254)))))</f>
        <v> </v>
      </c>
      <c r="L2255" s="26"/>
    </row>
    <row r="2256" spans="1:12">
      <c r="A2256" s="20" t="s">
        <v>767</v>
      </c>
      <c r="E2256" s="21">
        <f>IF(D2256="?OLD","!!!","")</f>
        <v/>
      </c>
      <c r="F2256" s="22" t="str">
        <f>IF(OR(E2256="",E2256="!!!"),"",IF(NOT(ISNA(VLOOKUP(E2256,E$1:E2255,1,FALSE()))),"OLD",IF(AND(E2256&lt;&gt;"",E2256&lt;&gt;"!!!"),"NEW","")))</f>
        <v> </v>
      </c>
      <c r="G2256" s="23" t="str">
        <f>IF(OR(E2256="",E2256="!!!"),"",IF(OR(J2256=0,AND(J2256=1,K2256=1),AND(J2256=1,I2256="SBJ"),AND(J2256=1,I2256=0)),"?IN_FOCUS",IF(J2256&lt;=2,"?ACTIVATED",IF(J2256&lt;&gt;"","?FAMILIAR",IF(F2256="NEW",IF(ISNA(VLOOKUP(E2256,#REF!,1,FALSE())),"?TYPE_IDENTIFIABLE","?REFERENTIAL"),"_")))))</f>
        <v> </v>
      </c>
      <c r="H2256" s="24" t="str">
        <f>IF(J2256&lt;&gt;1,"",IF(I2256="SBJ","CB","?"))</f>
        <v> </v>
      </c>
      <c r="I2256" s="25" t="str">
        <f>IF(OR(E2256="",E2256="!!!",F2256="NEW"),"",INDEX(B2255:B$2,-1+SUMPRODUCT(MAX(ROW(E2255:E$2)*(E2256=E2255:E$2)))))</f>
        <v> </v>
      </c>
      <c r="J2256" s="25" t="str">
        <f>IF(OR(E2256="",E2256="!!!",F2256="NEW"),"",COUNTBLANK(OFFSET(A$1,,,SUMPRODUCT(MAX(ROW(E$2:E2256)*(E2256=E$2:E2256)))))-COUNTBLANK(OFFSET(A$1,,,SUMPRODUCT(MAX(ROW(E$1:E2255)*(E2=E$1:E2255))))))</f>
        <v> </v>
      </c>
      <c r="K2256" s="25" t="str">
        <f>IF(OR(E2256="",E2256="!!!",F2256="NEW"),"",INDEX(J$1:J2255,SUMPRODUCT(MAX(ROW(E$1:E2255)*(E2256=E$1:E2255)))))</f>
        <v> </v>
      </c>
      <c r="L2256" s="26"/>
    </row>
    <row r="2257" spans="1:12">
      <c r="A2257" s="20" t="s">
        <v>1555</v>
      </c>
      <c r="B2257" s="27" t="s">
        <v>749</v>
      </c>
      <c r="C2257" s="27" t="s">
        <v>711</v>
      </c>
      <c r="D2257" s="27" t="s">
        <v>712</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1556</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t="s">
        <v>748</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t="s">
        <v>725</v>
      </c>
      <c r="E2260" s="21">
        <f>IF(D2260="?OLD","!!!","")</f>
        <v/>
      </c>
      <c r="F2260" s="22" t="str">
        <f>IF(OR(E2260="",E2260="!!!"),"",IF(NOT(ISNA(VLOOKUP(E2260,E$1:E2259,1,FALSE()))),"OLD",IF(AND(E2260&lt;&gt;"",E2260&lt;&gt;"!!!"),"NEW","")))</f>
        <v> </v>
      </c>
      <c r="G2260" s="23" t="str">
        <f>IF(OR(E2260="",E2260="!!!"),"",IF(OR(J2260=0,AND(J2260=1,K2260=1),AND(J2260=1,I2260="SBJ"),AND(J2260=1,I2260=0)),"?IN_FOCUS",IF(J2260&lt;=2,"?ACTIVATED",IF(J2260&lt;&gt;"","?FAMILIAR",IF(F2260="NEW",IF(ISNA(VLOOKUP(E2260,#REF!,1,FALSE())),"?TYPE_IDENTIFIABLE","?REFERENTIAL"),"_")))))</f>
        <v> </v>
      </c>
      <c r="H2260" s="24" t="str">
        <f>IF(J2260&lt;&gt;1,"",IF(I2260="SBJ","CB","?"))</f>
        <v> </v>
      </c>
      <c r="I2260" s="25" t="str">
        <f>IF(OR(E2260="",E2260="!!!",F2260="NEW"),"",INDEX(B2259:B$2,-1+SUMPRODUCT(MAX(ROW(E2259:E$2)*(E2260=E2259:E$2)))))</f>
        <v> </v>
      </c>
      <c r="J2260" s="25" t="str">
        <f>IF(OR(E2260="",E2260="!!!",F2260="NEW"),"",COUNTBLANK(OFFSET(A$1,,,SUMPRODUCT(MAX(ROW(E$2:E2260)*(E2260=E$2:E2260)))))-COUNTBLANK(OFFSET(A$1,,,SUMPRODUCT(MAX(ROW(E$1:E2259)*(E2=E$1:E2259))))))</f>
        <v> </v>
      </c>
      <c r="K2260" s="25" t="str">
        <f>IF(OR(E2260="",E2260="!!!",F2260="NEW"),"",INDEX(J$1:J2259,SUMPRODUCT(MAX(ROW(E$1:E2259)*(E2260=E$1:E2259)))))</f>
        <v> </v>
      </c>
      <c r="L2260" s="26"/>
    </row>
    <row r="2261" spans="1:12">
      <c r="A2261" s="20"/>
    </row>
    <row r="2262" spans="1:12">
      <c r="A2262" s="20" t="s">
        <v>1557</v>
      </c>
    </row>
    <row r="2263" spans="1:12">
      <c r="A2263" s="20" t="s">
        <v>727</v>
      </c>
      <c r="B2263" s="27" t="s">
        <v>710</v>
      </c>
      <c r="C2263" s="27" t="s">
        <v>728</v>
      </c>
      <c r="D2263" s="27" t="s">
        <v>712</v>
      </c>
      <c r="E2263" s="21">
        <f>IF(D2263="?OLD","!!!","")</f>
        <v/>
      </c>
      <c r="F2263" s="22" t="str">
        <f>IF(OR(E2263="",E2263="!!!"),"",IF(NOT(ISNA(VLOOKUP(E2263,E$1:E2262,1,FALSE()))),"OLD",IF(AND(E2263&lt;&gt;"",E2263&lt;&gt;"!!!"),"NEW","")))</f>
        <v> </v>
      </c>
      <c r="G2263" s="23" t="str">
        <f>IF(OR(E2263="",E2263="!!!"),"",IF(OR(J2263=0,AND(J2263=1,K2263=1),AND(J2263=1,I2263="SBJ"),AND(J2263=1,I2263=0)),"?IN_FOCUS",IF(J2263&lt;=2,"?ACTIVATED",IF(J2263&lt;&gt;"","?FAMILIAR",IF(F2263="NEW",IF(ISNA(VLOOKUP(E2263,#REF!,1,FALSE())),"?TYPE_IDENTIFIABLE","?REFERENTIAL"),"_")))))</f>
        <v> </v>
      </c>
      <c r="H2263" s="24" t="str">
        <f>IF(J2263&lt;&gt;1,"",IF(I2263="SBJ","CB","?"))</f>
        <v> </v>
      </c>
      <c r="I2263" s="25" t="str">
        <f>IF(OR(E2263="",E2263="!!!",F2263="NEW"),"",INDEX(B2262:B$2,-1+SUMPRODUCT(MAX(ROW(E2262:E$2)*(E2263=E2262:E$2)))))</f>
        <v> </v>
      </c>
      <c r="J2263" s="25" t="str">
        <f>IF(OR(E2263="",E2263="!!!",F2263="NEW"),"",COUNTBLANK(OFFSET(A$1,,,SUMPRODUCT(MAX(ROW(E$2:E2263)*(E2263=E$2:E2263)))))-COUNTBLANK(OFFSET(A$1,,,SUMPRODUCT(MAX(ROW(E$1:E2262)*(E2=E$1:E2262))))))</f>
        <v> </v>
      </c>
      <c r="K2263" s="25" t="str">
        <f>IF(OR(E2263="",E2263="!!!",F2263="NEW"),"",INDEX(J$1:J2262,SUMPRODUCT(MAX(ROW(E$1:E2262)*(E2263=E$1:E2262)))))</f>
        <v> </v>
      </c>
      <c r="L2263" s="26"/>
    </row>
    <row r="2264" spans="1:12">
      <c r="A2264" s="20" t="s">
        <v>1539</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941</v>
      </c>
      <c r="B2265" s="27" t="s">
        <v>777</v>
      </c>
      <c r="C2265" s="27" t="s">
        <v>732</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1558</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t="s">
        <v>725</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row>
    <row r="2269" spans="1:12">
      <c r="A2269" s="20" t="s">
        <v>1559</v>
      </c>
    </row>
    <row r="2270" spans="1:12">
      <c r="A2270" s="20" t="s">
        <v>986</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1560</v>
      </c>
      <c r="B2271" s="27" t="s">
        <v>716</v>
      </c>
      <c r="C2271" s="27" t="s">
        <v>761</v>
      </c>
      <c r="D2271" s="27" t="s">
        <v>712</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t="s">
        <v>1539</v>
      </c>
      <c r="E2272" s="21">
        <f>IF(D2272="?OLD","!!!","")</f>
        <v/>
      </c>
      <c r="F2272" s="22" t="str">
        <f>IF(OR(E2272="",E2272="!!!"),"",IF(NOT(ISNA(VLOOKUP(E2272,E$1:E2271,1,FALSE()))),"OLD",IF(AND(E2272&lt;&gt;"",E2272&lt;&gt;"!!!"),"NEW","")))</f>
        <v> </v>
      </c>
      <c r="G2272" s="23" t="str">
        <f>IF(OR(E2272="",E2272="!!!"),"",IF(OR(J2272=0,AND(J2272=1,K2272=1),AND(J2272=1,I2272="SBJ"),AND(J2272=1,I2272=0)),"?IN_FOCUS",IF(J2272&lt;=2,"?ACTIVATED",IF(J2272&lt;&gt;"","?FAMILIAR",IF(F2272="NEW",IF(ISNA(VLOOKUP(E2272,#REF!,1,FALSE())),"?TYPE_IDENTIFIABLE","?REFERENTIAL"),"_")))))</f>
        <v> </v>
      </c>
      <c r="H2272" s="24" t="str">
        <f>IF(J2272&lt;&gt;1,"",IF(I2272="SBJ","CB","?"))</f>
        <v> </v>
      </c>
      <c r="I2272" s="25" t="str">
        <f>IF(OR(E2272="",E2272="!!!",F2272="NEW"),"",INDEX(B2271:B$2,-1+SUMPRODUCT(MAX(ROW(E2271:E$2)*(E2272=E2271:E$2)))))</f>
        <v> </v>
      </c>
      <c r="J2272" s="25" t="str">
        <f>IF(OR(E2272="",E2272="!!!",F2272="NEW"),"",COUNTBLANK(OFFSET(A$1,,,SUMPRODUCT(MAX(ROW(E$2:E2272)*(E2272=E$2:E2272)))))-COUNTBLANK(OFFSET(A$1,,,SUMPRODUCT(MAX(ROW(E$1:E2271)*(E2=E$1:E2271))))))</f>
        <v> </v>
      </c>
      <c r="K2272" s="25" t="str">
        <f>IF(OR(E2272="",E2272="!!!",F2272="NEW"),"",INDEX(J$1:J2271,SUMPRODUCT(MAX(ROW(E$1:E2271)*(E2272=E$1:E2271)))))</f>
        <v> </v>
      </c>
      <c r="L2272" s="26"/>
    </row>
    <row r="2273" spans="1:12">
      <c r="A2273" s="20" t="s">
        <v>315</v>
      </c>
      <c r="B2273" s="27" t="s">
        <v>710</v>
      </c>
      <c r="C2273" s="27" t="s">
        <v>717</v>
      </c>
      <c r="E2273" s="21">
        <f>IF(D2273="?OLD","!!!","")</f>
        <v/>
      </c>
      <c r="F2273" s="22" t="str">
        <f>IF(OR(E2273="",E2273="!!!"),"",IF(NOT(ISNA(VLOOKUP(E2273,E$1:E2272,1,FALSE()))),"OLD",IF(AND(E2273&lt;&gt;"",E2273&lt;&gt;"!!!"),"NEW","")))</f>
        <v> </v>
      </c>
      <c r="G2273" s="23" t="str">
        <f>IF(OR(E2273="",E2273="!!!"),"",IF(OR(J2273=0,AND(J2273=1,K2273=1),AND(J2273=1,I2273="SBJ"),AND(J2273=1,I2273=0)),"?IN_FOCUS",IF(J2273&lt;=2,"?ACTIVATED",IF(J2273&lt;&gt;"","?FAMILIAR",IF(F2273="NEW",IF(ISNA(VLOOKUP(E2273,#REF!,1,FALSE())),"?TYPE_IDENTIFIABLE","?REFERENTIAL"),"_")))))</f>
        <v> </v>
      </c>
      <c r="H2273" s="24" t="str">
        <f>IF(J2273&lt;&gt;1,"",IF(I2273="SBJ","CB","?"))</f>
        <v> </v>
      </c>
      <c r="I2273" s="25" t="str">
        <f>IF(OR(E2273="",E2273="!!!",F2273="NEW"),"",INDEX(B2272:B$2,-1+SUMPRODUCT(MAX(ROW(E2272:E$2)*(E2273=E2272:E$2)))))</f>
        <v> </v>
      </c>
      <c r="J2273" s="25" t="str">
        <f>IF(OR(E2273="",E2273="!!!",F2273="NEW"),"",COUNTBLANK(OFFSET(A$1,,,SUMPRODUCT(MAX(ROW(E$2:E2273)*(E2273=E$2:E2273)))))-COUNTBLANK(OFFSET(A$1,,,SUMPRODUCT(MAX(ROW(E$1:E2272)*(E2=E$1:E2272))))))</f>
        <v> </v>
      </c>
      <c r="K2273" s="25" t="str">
        <f>IF(OR(E2273="",E2273="!!!",F2273="NEW"),"",INDEX(J$1:J2272,SUMPRODUCT(MAX(ROW(E$1:E2272)*(E2273=E$1:E2272)))))</f>
        <v> </v>
      </c>
      <c r="L2273" s="26"/>
    </row>
    <row r="2274" spans="1:12">
      <c r="A2274" s="20" t="s">
        <v>1561</v>
      </c>
      <c r="B2274" s="27" t="s">
        <v>731</v>
      </c>
      <c r="C2274" s="27" t="s">
        <v>761</v>
      </c>
      <c r="D2274" s="27" t="s">
        <v>712</v>
      </c>
      <c r="E2274" s="21">
        <f>IF(D2274="?OLD","!!!","")</f>
        <v/>
      </c>
      <c r="F2274" s="22" t="str">
        <f>IF(OR(E2274="",E2274="!!!"),"",IF(NOT(ISNA(VLOOKUP(E2274,E$1:E2273,1,FALSE()))),"OLD",IF(AND(E2274&lt;&gt;"",E2274&lt;&gt;"!!!"),"NEW","")))</f>
        <v> </v>
      </c>
      <c r="G2274" s="23" t="str">
        <f>IF(OR(E2274="",E2274="!!!"),"",IF(OR(J2274=0,AND(J2274=1,K2274=1),AND(J2274=1,I2274="SBJ"),AND(J2274=1,I2274=0)),"?IN_FOCUS",IF(J2274&lt;=2,"?ACTIVATED",IF(J2274&lt;&gt;"","?FAMILIAR",IF(F2274="NEW",IF(ISNA(VLOOKUP(E2274,#REF!,1,FALSE())),"?TYPE_IDENTIFIABLE","?REFERENTIAL"),"_")))))</f>
        <v> </v>
      </c>
      <c r="H2274" s="24" t="str">
        <f>IF(J2274&lt;&gt;1,"",IF(I2274="SBJ","CB","?"))</f>
        <v> </v>
      </c>
      <c r="I2274" s="25" t="str">
        <f>IF(OR(E2274="",E2274="!!!",F2274="NEW"),"",INDEX(B2273:B$2,-1+SUMPRODUCT(MAX(ROW(E2273:E$2)*(E2274=E2273:E$2)))))</f>
        <v> </v>
      </c>
      <c r="J2274" s="25" t="str">
        <f>IF(OR(E2274="",E2274="!!!",F2274="NEW"),"",COUNTBLANK(OFFSET(A$1,,,SUMPRODUCT(MAX(ROW(E$2:E2274)*(E2274=E$2:E2274)))))-COUNTBLANK(OFFSET(A$1,,,SUMPRODUCT(MAX(ROW(E$1:E2273)*(E2=E$1:E2273))))))</f>
        <v> </v>
      </c>
      <c r="K2274" s="25" t="str">
        <f>IF(OR(E2274="",E2274="!!!",F2274="NEW"),"",INDEX(J$1:J2273,SUMPRODUCT(MAX(ROW(E$1:E2273)*(E2274=E$1:E2273)))))</f>
        <v> </v>
      </c>
      <c r="L2274" s="26"/>
    </row>
    <row r="2275" spans="1:12">
      <c r="A2275" s="20" t="s">
        <v>714</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t="s">
        <v>1562</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t="s">
        <v>1563</v>
      </c>
      <c r="B2277" s="27" t="s">
        <v>731</v>
      </c>
      <c r="C2277" s="27" t="s">
        <v>1129</v>
      </c>
      <c r="E2277" s="21">
        <f>IF(D2277="?OLD","!!!","")</f>
        <v/>
      </c>
      <c r="F2277" s="22" t="str">
        <f>IF(OR(E2277="",E2277="!!!"),"",IF(NOT(ISNA(VLOOKUP(E2277,E$1:E2276,1,FALSE()))),"OLD",IF(AND(E2277&lt;&gt;"",E2277&lt;&gt;"!!!"),"NEW","")))</f>
        <v> </v>
      </c>
      <c r="G2277" s="23" t="str">
        <f>IF(OR(E2277="",E2277="!!!"),"",IF(OR(J2277=0,AND(J2277=1,K2277=1),AND(J2277=1,I2277="SBJ"),AND(J2277=1,I2277=0)),"?IN_FOCUS",IF(J2277&lt;=2,"?ACTIVATED",IF(J2277&lt;&gt;"","?FAMILIAR",IF(F2277="NEW",IF(ISNA(VLOOKUP(E2277,#REF!,1,FALSE())),"?TYPE_IDENTIFIABLE","?REFERENTIAL"),"_")))))</f>
        <v> </v>
      </c>
      <c r="H2277" s="24" t="str">
        <f>IF(J2277&lt;&gt;1,"",IF(I2277="SBJ","CB","?"))</f>
        <v> </v>
      </c>
      <c r="I2277" s="25" t="str">
        <f>IF(OR(E2277="",E2277="!!!",F2277="NEW"),"",INDEX(B2276:B$2,-1+SUMPRODUCT(MAX(ROW(E2276:E$2)*(E2277=E2276:E$2)))))</f>
        <v> </v>
      </c>
      <c r="J2277" s="25" t="str">
        <f>IF(OR(E2277="",E2277="!!!",F2277="NEW"),"",COUNTBLANK(OFFSET(A$1,,,SUMPRODUCT(MAX(ROW(E$2:E2277)*(E2277=E$2:E2277)))))-COUNTBLANK(OFFSET(A$1,,,SUMPRODUCT(MAX(ROW(E$1:E2276)*(E2=E$1:E2276))))))</f>
        <v> </v>
      </c>
      <c r="K2277" s="25" t="str">
        <f>IF(OR(E2277="",E2277="!!!",F2277="NEW"),"",INDEX(J$1:J2276,SUMPRODUCT(MAX(ROW(E$1:E2276)*(E2277=E$1:E2276)))))</f>
        <v> </v>
      </c>
      <c r="L2277" s="26"/>
    </row>
    <row r="2278" spans="1:12">
      <c r="A2278" s="20" t="s">
        <v>757</v>
      </c>
      <c r="E2278" s="21">
        <f>IF(D2278="?OLD","!!!","")</f>
        <v/>
      </c>
      <c r="F2278" s="22" t="str">
        <f>IF(OR(E2278="",E2278="!!!"),"",IF(NOT(ISNA(VLOOKUP(E2278,E$1:E2277,1,FALSE()))),"OLD",IF(AND(E2278&lt;&gt;"",E2278&lt;&gt;"!!!"),"NEW","")))</f>
        <v> </v>
      </c>
      <c r="G2278" s="23" t="str">
        <f>IF(OR(E2278="",E2278="!!!"),"",IF(OR(J2278=0,AND(J2278=1,K2278=1),AND(J2278=1,I2278="SBJ"),AND(J2278=1,I2278=0)),"?IN_FOCUS",IF(J2278&lt;=2,"?ACTIVATED",IF(J2278&lt;&gt;"","?FAMILIAR",IF(F2278="NEW",IF(ISNA(VLOOKUP(E2278,#REF!,1,FALSE())),"?TYPE_IDENTIFIABLE","?REFERENTIAL"),"_")))))</f>
        <v> </v>
      </c>
      <c r="H2278" s="24" t="str">
        <f>IF(J2278&lt;&gt;1,"",IF(I2278="SBJ","CB","?"))</f>
        <v> </v>
      </c>
      <c r="I2278" s="25" t="str">
        <f>IF(OR(E2278="",E2278="!!!",F2278="NEW"),"",INDEX(B2277:B$2,-1+SUMPRODUCT(MAX(ROW(E2277:E$2)*(E2278=E2277:E$2)))))</f>
        <v> </v>
      </c>
      <c r="J2278" s="25" t="str">
        <f>IF(OR(E2278="",E2278="!!!",F2278="NEW"),"",COUNTBLANK(OFFSET(A$1,,,SUMPRODUCT(MAX(ROW(E$2:E2278)*(E2278=E$2:E2278)))))-COUNTBLANK(OFFSET(A$1,,,SUMPRODUCT(MAX(ROW(E$1:E2277)*(E2=E$1:E2277))))))</f>
        <v> </v>
      </c>
      <c r="K2278" s="25" t="str">
        <f>IF(OR(E2278="",E2278="!!!",F2278="NEW"),"",INDEX(J$1:J2277,SUMPRODUCT(MAX(ROW(E$1:E2277)*(E2278=E$1:E2277)))))</f>
        <v> </v>
      </c>
      <c r="L2278" s="26"/>
    </row>
    <row r="2279" spans="1:12">
      <c r="A2279" s="20" t="s">
        <v>1564</v>
      </c>
      <c r="B2279" s="27" t="s">
        <v>818</v>
      </c>
      <c r="C2279" s="27" t="s">
        <v>739</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t="s">
        <v>551</v>
      </c>
      <c r="E2280" s="21">
        <f>IF(D2280="?OLD","!!!","")</f>
        <v/>
      </c>
      <c r="F2280" s="22" t="str">
        <f>IF(OR(E2280="",E2280="!!!"),"",IF(NOT(ISNA(VLOOKUP(E2280,E$1:E2279,1,FALSE()))),"OLD",IF(AND(E2280&lt;&gt;"",E2280&lt;&gt;"!!!"),"NEW","")))</f>
        <v> </v>
      </c>
      <c r="G2280" s="23" t="str">
        <f>IF(OR(E2280="",E2280="!!!"),"",IF(OR(J2280=0,AND(J2280=1,K2280=1),AND(J2280=1,I2280="SBJ"),AND(J2280=1,I2280=0)),"?IN_FOCUS",IF(J2280&lt;=2,"?ACTIVATED",IF(J2280&lt;&gt;"","?FAMILIAR",IF(F2280="NEW",IF(ISNA(VLOOKUP(E2280,#REF!,1,FALSE())),"?TYPE_IDENTIFIABLE","?REFERENTIAL"),"_")))))</f>
        <v> </v>
      </c>
      <c r="H2280" s="24" t="str">
        <f>IF(J2280&lt;&gt;1,"",IF(I2280="SBJ","CB","?"))</f>
        <v> </v>
      </c>
      <c r="I2280" s="25" t="str">
        <f>IF(OR(E2280="",E2280="!!!",F2280="NEW"),"",INDEX(B2279:B$2,-1+SUMPRODUCT(MAX(ROW(E2279:E$2)*(E2280=E2279:E$2)))))</f>
        <v> </v>
      </c>
      <c r="J2280" s="25" t="str">
        <f>IF(OR(E2280="",E2280="!!!",F2280="NEW"),"",COUNTBLANK(OFFSET(A$1,,,SUMPRODUCT(MAX(ROW(E$2:E2280)*(E2280=E$2:E2280)))))-COUNTBLANK(OFFSET(A$1,,,SUMPRODUCT(MAX(ROW(E$1:E2279)*(E2=E$1:E2279))))))</f>
        <v> </v>
      </c>
      <c r="K2280" s="25" t="str">
        <f>IF(OR(E2280="",E2280="!!!",F2280="NEW"),"",INDEX(J$1:J2279,SUMPRODUCT(MAX(ROW(E$1:E2279)*(E2280=E$1:E2279)))))</f>
        <v> </v>
      </c>
      <c r="L2280" s="26"/>
    </row>
    <row r="2281" spans="1:12">
      <c r="A2281" s="20" t="s">
        <v>352</v>
      </c>
      <c r="B2281" s="27" t="s">
        <v>777</v>
      </c>
      <c r="C2281" s="27" t="s">
        <v>717</v>
      </c>
      <c r="E2281" s="21">
        <f>IF(D2281="?OLD","!!!","")</f>
        <v/>
      </c>
      <c r="F2281" s="22" t="str">
        <f>IF(OR(E2281="",E2281="!!!"),"",IF(NOT(ISNA(VLOOKUP(E2281,E$1:E2280,1,FALSE()))),"OLD",IF(AND(E2281&lt;&gt;"",E2281&lt;&gt;"!!!"),"NEW","")))</f>
        <v> </v>
      </c>
      <c r="G2281" s="23" t="str">
        <f>IF(OR(E2281="",E2281="!!!"),"",IF(OR(J2281=0,AND(J2281=1,K2281=1),AND(J2281=1,I2281="SBJ"),AND(J2281=1,I2281=0)),"?IN_FOCUS",IF(J2281&lt;=2,"?ACTIVATED",IF(J2281&lt;&gt;"","?FAMILIAR",IF(F2281="NEW",IF(ISNA(VLOOKUP(E2281,#REF!,1,FALSE())),"?TYPE_IDENTIFIABLE","?REFERENTIAL"),"_")))))</f>
        <v> </v>
      </c>
      <c r="H2281" s="24" t="str">
        <f>IF(J2281&lt;&gt;1,"",IF(I2281="SBJ","CB","?"))</f>
        <v> </v>
      </c>
      <c r="I2281" s="25" t="str">
        <f>IF(OR(E2281="",E2281="!!!",F2281="NEW"),"",INDEX(B2280:B$2,-1+SUMPRODUCT(MAX(ROW(E2280:E$2)*(E2281=E2280:E$2)))))</f>
        <v> </v>
      </c>
      <c r="J2281" s="25" t="str">
        <f>IF(OR(E2281="",E2281="!!!",F2281="NEW"),"",COUNTBLANK(OFFSET(A$1,,,SUMPRODUCT(MAX(ROW(E$2:E2281)*(E2281=E$2:E2281)))))-COUNTBLANK(OFFSET(A$1,,,SUMPRODUCT(MAX(ROW(E$1:E2280)*(E2=E$1:E2280))))))</f>
        <v> </v>
      </c>
      <c r="K2281" s="25" t="str">
        <f>IF(OR(E2281="",E2281="!!!",F2281="NEW"),"",INDEX(J$1:J2280,SUMPRODUCT(MAX(ROW(E$1:E2280)*(E2281=E$1:E2280)))))</f>
        <v> </v>
      </c>
      <c r="L2281" s="26"/>
    </row>
    <row r="2282" spans="1:12">
      <c r="A2282" s="20" t="s">
        <v>718</v>
      </c>
      <c r="E2282" s="21">
        <f>IF(D2282="?OLD","!!!","")</f>
        <v/>
      </c>
      <c r="F2282" s="22" t="str">
        <f>IF(OR(E2282="",E2282="!!!"),"",IF(NOT(ISNA(VLOOKUP(E2282,E$1:E2281,1,FALSE()))),"OLD",IF(AND(E2282&lt;&gt;"",E2282&lt;&gt;"!!!"),"NEW","")))</f>
        <v> </v>
      </c>
      <c r="G2282" s="23" t="str">
        <f>IF(OR(E2282="",E2282="!!!"),"",IF(OR(J2282=0,AND(J2282=1,K2282=1),AND(J2282=1,I2282="SBJ"),AND(J2282=1,I2282=0)),"?IN_FOCUS",IF(J2282&lt;=2,"?ACTIVATED",IF(J2282&lt;&gt;"","?FAMILIAR",IF(F2282="NEW",IF(ISNA(VLOOKUP(E2282,#REF!,1,FALSE())),"?TYPE_IDENTIFIABLE","?REFERENTIAL"),"_")))))</f>
        <v> </v>
      </c>
      <c r="H2282" s="24" t="str">
        <f>IF(J2282&lt;&gt;1,"",IF(I2282="SBJ","CB","?"))</f>
        <v> </v>
      </c>
      <c r="I2282" s="25" t="str">
        <f>IF(OR(E2282="",E2282="!!!",F2282="NEW"),"",INDEX(B2281:B$2,-1+SUMPRODUCT(MAX(ROW(E2281:E$2)*(E2282=E2281:E$2)))))</f>
        <v> </v>
      </c>
      <c r="J2282" s="25" t="str">
        <f>IF(OR(E2282="",E2282="!!!",F2282="NEW"),"",COUNTBLANK(OFFSET(A$1,,,SUMPRODUCT(MAX(ROW(E$2:E2282)*(E2282=E$2:E2282)))))-COUNTBLANK(OFFSET(A$1,,,SUMPRODUCT(MAX(ROW(E$1:E2281)*(E2=E$1:E2281))))))</f>
        <v> </v>
      </c>
      <c r="K2282" s="25" t="str">
        <f>IF(OR(E2282="",E2282="!!!",F2282="NEW"),"",INDEX(J$1:J2281,SUMPRODUCT(MAX(ROW(E$1:E2281)*(E2282=E$1:E2281)))))</f>
        <v> </v>
      </c>
      <c r="L2282" s="26"/>
    </row>
    <row r="2283" spans="1:12">
      <c r="A2283" s="20" t="s">
        <v>1057</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1554</v>
      </c>
      <c r="B2284" s="27" t="s">
        <v>818</v>
      </c>
      <c r="C2284" s="27" t="s">
        <v>717</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730</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t="s">
        <v>1565</v>
      </c>
      <c r="E2286" s="21">
        <f>IF(D2286="?OLD","!!!","")</f>
        <v/>
      </c>
      <c r="F2286" s="22" t="str">
        <f>IF(OR(E2286="",E2286="!!!"),"",IF(NOT(ISNA(VLOOKUP(E2286,E$1:E2285,1,FALSE()))),"OLD",IF(AND(E2286&lt;&gt;"",E2286&lt;&gt;"!!!"),"NEW","")))</f>
        <v> </v>
      </c>
      <c r="G2286" s="23" t="str">
        <f>IF(OR(E2286="",E2286="!!!"),"",IF(OR(J2286=0,AND(J2286=1,K2286=1),AND(J2286=1,I2286="SBJ"),AND(J2286=1,I2286=0)),"?IN_FOCUS",IF(J2286&lt;=2,"?ACTIVATED",IF(J2286&lt;&gt;"","?FAMILIAR",IF(F2286="NEW",IF(ISNA(VLOOKUP(E2286,#REF!,1,FALSE())),"?TYPE_IDENTIFIABLE","?REFERENTIAL"),"_")))))</f>
        <v> </v>
      </c>
      <c r="H2286" s="24" t="str">
        <f>IF(J2286&lt;&gt;1,"",IF(I2286="SBJ","CB","?"))</f>
        <v> </v>
      </c>
      <c r="I2286" s="25" t="str">
        <f>IF(OR(E2286="",E2286="!!!",F2286="NEW"),"",INDEX(B2285:B$2,-1+SUMPRODUCT(MAX(ROW(E2285:E$2)*(E2286=E2285:E$2)))))</f>
        <v> </v>
      </c>
      <c r="J2286" s="25" t="str">
        <f>IF(OR(E2286="",E2286="!!!",F2286="NEW"),"",COUNTBLANK(OFFSET(A$1,,,SUMPRODUCT(MAX(ROW(E$2:E2286)*(E2286=E$2:E2286)))))-COUNTBLANK(OFFSET(A$1,,,SUMPRODUCT(MAX(ROW(E$1:E2285)*(E2=E$1:E2285))))))</f>
        <v> </v>
      </c>
      <c r="K2286" s="25" t="str">
        <f>IF(OR(E2286="",E2286="!!!",F2286="NEW"),"",INDEX(J$1:J2285,SUMPRODUCT(MAX(ROW(E$1:E2285)*(E2286=E$1:E2285)))))</f>
        <v> </v>
      </c>
      <c r="L2286" s="26"/>
    </row>
    <row r="2287" spans="1:12">
      <c r="A2287" s="20" t="s">
        <v>725</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row>
    <row r="2289" spans="1:12">
      <c r="A2289" s="20" t="s">
        <v>1566</v>
      </c>
    </row>
    <row r="2290" spans="1:12">
      <c r="A2290" s="20" t="s">
        <v>1567</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1568</v>
      </c>
      <c r="B2291" s="27" t="s">
        <v>710</v>
      </c>
      <c r="C2291" s="27" t="s">
        <v>717</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269</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1569</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772</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1570</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12</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1571</v>
      </c>
      <c r="B2297" s="27" t="s">
        <v>716</v>
      </c>
      <c r="C2297" s="27" t="s">
        <v>717</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725</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row>
    <row r="2300" spans="1:12">
      <c r="A2300" s="20" t="s">
        <v>1572</v>
      </c>
    </row>
    <row r="2301" spans="1:12">
      <c r="A2301" s="20" t="s">
        <v>543</v>
      </c>
      <c r="B2301" s="27" t="s">
        <v>716</v>
      </c>
      <c r="C2301" s="27" t="s">
        <v>717</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783</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t="s">
        <v>820</v>
      </c>
      <c r="E2303" s="21">
        <f>IF(D2303="?OLD","!!!","")</f>
        <v/>
      </c>
      <c r="F2303" s="22" t="str">
        <f>IF(OR(E2303="",E2303="!!!"),"",IF(NOT(ISNA(VLOOKUP(E2303,E$1:E2302,1,FALSE()))),"OLD",IF(AND(E2303&lt;&gt;"",E2303&lt;&gt;"!!!"),"NEW","")))</f>
        <v> </v>
      </c>
      <c r="G2303" s="23" t="str">
        <f>IF(OR(E2303="",E2303="!!!"),"",IF(OR(J2303=0,AND(J2303=1,K2303=1),AND(J2303=1,I2303="SBJ"),AND(J2303=1,I2303=0)),"?IN_FOCUS",IF(J2303&lt;=2,"?ACTIVATED",IF(J2303&lt;&gt;"","?FAMILIAR",IF(F2303="NEW",IF(ISNA(VLOOKUP(E2303,#REF!,1,FALSE())),"?TYPE_IDENTIFIABLE","?REFERENTIAL"),"_")))))</f>
        <v> </v>
      </c>
      <c r="H2303" s="24" t="str">
        <f>IF(J2303&lt;&gt;1,"",IF(I2303="SBJ","CB","?"))</f>
        <v> </v>
      </c>
      <c r="I2303" s="25" t="str">
        <f>IF(OR(E2303="",E2303="!!!",F2303="NEW"),"",INDEX(B2302:B$2,-1+SUMPRODUCT(MAX(ROW(E2302:E$2)*(E2303=E2302:E$2)))))</f>
        <v> </v>
      </c>
      <c r="J2303" s="25" t="str">
        <f>IF(OR(E2303="",E2303="!!!",F2303="NEW"),"",COUNTBLANK(OFFSET(A$1,,,SUMPRODUCT(MAX(ROW(E$2:E2303)*(E2303=E$2:E2303)))))-COUNTBLANK(OFFSET(A$1,,,SUMPRODUCT(MAX(ROW(E$1:E2302)*(E2=E$1:E2302))))))</f>
        <v> </v>
      </c>
      <c r="K2303" s="25" t="str">
        <f>IF(OR(E2303="",E2303="!!!",F2303="NEW"),"",INDEX(J$1:J2302,SUMPRODUCT(MAX(ROW(E$1:E2302)*(E2303=E$1:E2302)))))</f>
        <v> </v>
      </c>
      <c r="L2303" s="26"/>
    </row>
    <row r="2304" spans="1:12">
      <c r="A2304" s="20" t="s">
        <v>1573</v>
      </c>
      <c r="B2304" s="27" t="s">
        <v>716</v>
      </c>
      <c r="C2304" s="27" t="s">
        <v>717</v>
      </c>
      <c r="E2304" s="21">
        <f>IF(D2304="?OLD","!!!","")</f>
        <v/>
      </c>
      <c r="F2304" s="22" t="str">
        <f>IF(OR(E2304="",E2304="!!!"),"",IF(NOT(ISNA(VLOOKUP(E2304,E$1:E2303,1,FALSE()))),"OLD",IF(AND(E2304&lt;&gt;"",E2304&lt;&gt;"!!!"),"NEW","")))</f>
        <v> </v>
      </c>
      <c r="G2304" s="23" t="str">
        <f>IF(OR(E2304="",E2304="!!!"),"",IF(OR(J2304=0,AND(J2304=1,K2304=1),AND(J2304=1,I2304="SBJ"),AND(J2304=1,I2304=0)),"?IN_FOCUS",IF(J2304&lt;=2,"?ACTIVATED",IF(J2304&lt;&gt;"","?FAMILIAR",IF(F2304="NEW",IF(ISNA(VLOOKUP(E2304,#REF!,1,FALSE())),"?TYPE_IDENTIFIABLE","?REFERENTIAL"),"_")))))</f>
        <v> </v>
      </c>
      <c r="H2304" s="24" t="str">
        <f>IF(J2304&lt;&gt;1,"",IF(I2304="SBJ","CB","?"))</f>
        <v> </v>
      </c>
      <c r="I2304" s="25" t="str">
        <f>IF(OR(E2304="",E2304="!!!",F2304="NEW"),"",INDEX(B2303:B$2,-1+SUMPRODUCT(MAX(ROW(E2303:E$2)*(E2304=E2303:E$2)))))</f>
        <v> </v>
      </c>
      <c r="J2304" s="25" t="str">
        <f>IF(OR(E2304="",E2304="!!!",F2304="NEW"),"",COUNTBLANK(OFFSET(A$1,,,SUMPRODUCT(MAX(ROW(E$2:E2304)*(E2304=E$2:E2304)))))-COUNTBLANK(OFFSET(A$1,,,SUMPRODUCT(MAX(ROW(E$1:E2303)*(E2=E$1:E2303))))))</f>
        <v> </v>
      </c>
      <c r="K2304" s="25" t="str">
        <f>IF(OR(E2304="",E2304="!!!",F2304="NEW"),"",INDEX(J$1:J2303,SUMPRODUCT(MAX(ROW(E$1:E2303)*(E2304=E$1:E2303)))))</f>
        <v> </v>
      </c>
      <c r="L2304" s="26"/>
    </row>
    <row r="2305" spans="1:12">
      <c r="A2305" s="20" t="s">
        <v>725</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row>
    <row r="2307" spans="1:12">
      <c r="A2307" s="20" t="s">
        <v>1574</v>
      </c>
    </row>
    <row r="2308" spans="1:12">
      <c r="A2308" s="20" t="s">
        <v>1048</v>
      </c>
      <c r="B2308" s="27" t="s">
        <v>710</v>
      </c>
      <c r="C2308" s="27" t="s">
        <v>842</v>
      </c>
      <c r="D2308" s="27" t="s">
        <v>712</v>
      </c>
      <c r="E2308" s="21">
        <f>IF(D2308="?OLD","!!!","")</f>
        <v/>
      </c>
      <c r="F2308" s="22" t="str">
        <f>IF(OR(E2308="",E2308="!!!"),"",IF(NOT(ISNA(VLOOKUP(E2308,E$1:E2307,1,FALSE()))),"OLD",IF(AND(E2308&lt;&gt;"",E2308&lt;&gt;"!!!"),"NEW","")))</f>
        <v> </v>
      </c>
      <c r="G2308" s="23" t="str">
        <f>IF(OR(E2308="",E2308="!!!"),"",IF(OR(J2308=0,AND(J2308=1,K2308=1),AND(J2308=1,I2308="SBJ"),AND(J2308=1,I2308=0)),"?IN_FOCUS",IF(J2308&lt;=2,"?ACTIVATED",IF(J2308&lt;&gt;"","?FAMILIAR",IF(F2308="NEW",IF(ISNA(VLOOKUP(E2308,#REF!,1,FALSE())),"?TYPE_IDENTIFIABLE","?REFERENTIAL"),"_")))))</f>
        <v> </v>
      </c>
      <c r="H2308" s="24" t="str">
        <f>IF(J2308&lt;&gt;1,"",IF(I2308="SBJ","CB","?"))</f>
        <v> </v>
      </c>
      <c r="I2308" s="25" t="str">
        <f>IF(OR(E2308="",E2308="!!!",F2308="NEW"),"",INDEX(B2307:B$2,-1+SUMPRODUCT(MAX(ROW(E2307:E$2)*(E2308=E2307:E$2)))))</f>
        <v> </v>
      </c>
      <c r="J2308" s="25" t="str">
        <f>IF(OR(E2308="",E2308="!!!",F2308="NEW"),"",COUNTBLANK(OFFSET(A$1,,,SUMPRODUCT(MAX(ROW(E$2:E2308)*(E2308=E$2:E2308)))))-COUNTBLANK(OFFSET(A$1,,,SUMPRODUCT(MAX(ROW(E$1:E2307)*(E2=E$1:E2307))))))</f>
        <v> </v>
      </c>
      <c r="K2308" s="25" t="str">
        <f>IF(OR(E2308="",E2308="!!!",F2308="NEW"),"",INDEX(J$1:J2307,SUMPRODUCT(MAX(ROW(E$1:E2307)*(E2308=E$1:E2307)))))</f>
        <v> </v>
      </c>
      <c r="L2308" s="26"/>
    </row>
    <row r="2309" spans="1:12">
      <c r="A2309" s="20" t="s">
        <v>1303</v>
      </c>
      <c r="E2309" s="21">
        <f>IF(D2309="?OLD","!!!","")</f>
        <v/>
      </c>
      <c r="F2309" s="22" t="str">
        <f>IF(OR(E2309="",E2309="!!!"),"",IF(NOT(ISNA(VLOOKUP(E2309,E$1:E2308,1,FALSE()))),"OLD",IF(AND(E2309&lt;&gt;"",E2309&lt;&gt;"!!!"),"NEW","")))</f>
        <v> </v>
      </c>
      <c r="G2309" s="23" t="str">
        <f>IF(OR(E2309="",E2309="!!!"),"",IF(OR(J2309=0,AND(J2309=1,K2309=1),AND(J2309=1,I2309="SBJ"),AND(J2309=1,I2309=0)),"?IN_FOCUS",IF(J2309&lt;=2,"?ACTIVATED",IF(J2309&lt;&gt;"","?FAMILIAR",IF(F2309="NEW",IF(ISNA(VLOOKUP(E2309,#REF!,1,FALSE())),"?TYPE_IDENTIFIABLE","?REFERENTIAL"),"_")))))</f>
        <v> </v>
      </c>
      <c r="H2309" s="24" t="str">
        <f>IF(J2309&lt;&gt;1,"",IF(I2309="SBJ","CB","?"))</f>
        <v> </v>
      </c>
      <c r="I2309" s="25" t="str">
        <f>IF(OR(E2309="",E2309="!!!",F2309="NEW"),"",INDEX(B2308:B$2,-1+SUMPRODUCT(MAX(ROW(E2308:E$2)*(E2309=E2308:E$2)))))</f>
        <v> </v>
      </c>
      <c r="J2309" s="25" t="str">
        <f>IF(OR(E2309="",E2309="!!!",F2309="NEW"),"",COUNTBLANK(OFFSET(A$1,,,SUMPRODUCT(MAX(ROW(E$2:E2309)*(E2309=E$2:E2309)))))-COUNTBLANK(OFFSET(A$1,,,SUMPRODUCT(MAX(ROW(E$1:E2308)*(E2=E$1:E2308))))))</f>
        <v> </v>
      </c>
      <c r="K2309" s="25" t="str">
        <f>IF(OR(E2309="",E2309="!!!",F2309="NEW"),"",INDEX(J$1:J2308,SUMPRODUCT(MAX(ROW(E$1:E2308)*(E2309=E$1:E2308)))))</f>
        <v> </v>
      </c>
      <c r="L2309" s="26"/>
    </row>
    <row r="2310" spans="1:12">
      <c r="A2310" s="20" t="s">
        <v>740</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t="s">
        <v>1575</v>
      </c>
      <c r="B2311" s="27" t="s">
        <v>777</v>
      </c>
      <c r="C2311" s="27" t="s">
        <v>711</v>
      </c>
      <c r="D2311" s="27" t="s">
        <v>712</v>
      </c>
      <c r="E2311" s="21">
        <f>IF(D2311="?OLD","!!!","")</f>
        <v/>
      </c>
      <c r="F2311" s="22" t="str">
        <f>IF(OR(E2311="",E2311="!!!"),"",IF(NOT(ISNA(VLOOKUP(E2311,E$1:E2310,1,FALSE()))),"OLD",IF(AND(E2311&lt;&gt;"",E2311&lt;&gt;"!!!"),"NEW","")))</f>
        <v> </v>
      </c>
      <c r="G2311" s="23" t="str">
        <f>IF(OR(E2311="",E2311="!!!"),"",IF(OR(J2311=0,AND(J2311=1,K2311=1),AND(J2311=1,I2311="SBJ"),AND(J2311=1,I2311=0)),"?IN_FOCUS",IF(J2311&lt;=2,"?ACTIVATED",IF(J2311&lt;&gt;"","?FAMILIAR",IF(F2311="NEW",IF(ISNA(VLOOKUP(E2311,#REF!,1,FALSE())),"?TYPE_IDENTIFIABLE","?REFERENTIAL"),"_")))))</f>
        <v> </v>
      </c>
      <c r="H2311" s="24" t="str">
        <f>IF(J2311&lt;&gt;1,"",IF(I2311="SBJ","CB","?"))</f>
        <v> </v>
      </c>
      <c r="I2311" s="25" t="str">
        <f>IF(OR(E2311="",E2311="!!!",F2311="NEW"),"",INDEX(B2310:B$2,-1+SUMPRODUCT(MAX(ROW(E2310:E$2)*(E2311=E2310:E$2)))))</f>
        <v> </v>
      </c>
      <c r="J2311" s="25" t="str">
        <f>IF(OR(E2311="",E2311="!!!",F2311="NEW"),"",COUNTBLANK(OFFSET(A$1,,,SUMPRODUCT(MAX(ROW(E$2:E2311)*(E2311=E$2:E2311)))))-COUNTBLANK(OFFSET(A$1,,,SUMPRODUCT(MAX(ROW(E$1:E2310)*(E2=E$1:E2310))))))</f>
        <v> </v>
      </c>
      <c r="K2311" s="25" t="str">
        <f>IF(OR(E2311="",E2311="!!!",F2311="NEW"),"",INDEX(J$1:J2310,SUMPRODUCT(MAX(ROW(E$1:E2310)*(E2311=E$1:E2310)))))</f>
        <v> </v>
      </c>
      <c r="L2311" s="26"/>
    </row>
    <row r="2312" spans="1:12">
      <c r="A2312" s="20" t="s">
        <v>718</v>
      </c>
      <c r="E2312" s="21">
        <f>IF(D2312="?OLD","!!!","")</f>
        <v/>
      </c>
      <c r="F2312" s="22" t="str">
        <f>IF(OR(E2312="",E2312="!!!"),"",IF(NOT(ISNA(VLOOKUP(E2312,E$1:E2311,1,FALSE()))),"OLD",IF(AND(E2312&lt;&gt;"",E2312&lt;&gt;"!!!"),"NEW","")))</f>
        <v> </v>
      </c>
      <c r="G2312" s="23" t="str">
        <f>IF(OR(E2312="",E2312="!!!"),"",IF(OR(J2312=0,AND(J2312=1,K2312=1),AND(J2312=1,I2312="SBJ"),AND(J2312=1,I2312=0)),"?IN_FOCUS",IF(J2312&lt;=2,"?ACTIVATED",IF(J2312&lt;&gt;"","?FAMILIAR",IF(F2312="NEW",IF(ISNA(VLOOKUP(E2312,#REF!,1,FALSE())),"?TYPE_IDENTIFIABLE","?REFERENTIAL"),"_")))))</f>
        <v> </v>
      </c>
      <c r="H2312" s="24" t="str">
        <f>IF(J2312&lt;&gt;1,"",IF(I2312="SBJ","CB","?"))</f>
        <v> </v>
      </c>
      <c r="I2312" s="25" t="str">
        <f>IF(OR(E2312="",E2312="!!!",F2312="NEW"),"",INDEX(B2311:B$2,-1+SUMPRODUCT(MAX(ROW(E2311:E$2)*(E2312=E2311:E$2)))))</f>
        <v> </v>
      </c>
      <c r="J2312" s="25" t="str">
        <f>IF(OR(E2312="",E2312="!!!",F2312="NEW"),"",COUNTBLANK(OFFSET(A$1,,,SUMPRODUCT(MAX(ROW(E$2:E2312)*(E2312=E$2:E2312)))))-COUNTBLANK(OFFSET(A$1,,,SUMPRODUCT(MAX(ROW(E$1:E2311)*(E2=E$1:E2311))))))</f>
        <v> </v>
      </c>
      <c r="K2312" s="25" t="str">
        <f>IF(OR(E2312="",E2312="!!!",F2312="NEW"),"",INDEX(J$1:J2311,SUMPRODUCT(MAX(ROW(E$1:E2311)*(E2312=E$1:E2311)))))</f>
        <v> </v>
      </c>
      <c r="L2312" s="26"/>
    </row>
    <row r="2313" spans="1:12">
      <c r="A2313" s="20" t="s">
        <v>1576</v>
      </c>
      <c r="E2313" s="21">
        <f>IF(D2313="?OLD","!!!","")</f>
        <v/>
      </c>
      <c r="F2313" s="22" t="str">
        <f>IF(OR(E2313="",E2313="!!!"),"",IF(NOT(ISNA(VLOOKUP(E2313,E$1:E2312,1,FALSE()))),"OLD",IF(AND(E2313&lt;&gt;"",E2313&lt;&gt;"!!!"),"NEW","")))</f>
        <v> </v>
      </c>
      <c r="G2313" s="23" t="str">
        <f>IF(OR(E2313="",E2313="!!!"),"",IF(OR(J2313=0,AND(J2313=1,K2313=1),AND(J2313=1,I2313="SBJ"),AND(J2313=1,I2313=0)),"?IN_FOCUS",IF(J2313&lt;=2,"?ACTIVATED",IF(J2313&lt;&gt;"","?FAMILIAR",IF(F2313="NEW",IF(ISNA(VLOOKUP(E2313,#REF!,1,FALSE())),"?TYPE_IDENTIFIABLE","?REFERENTIAL"),"_")))))</f>
        <v> </v>
      </c>
      <c r="H2313" s="24" t="str">
        <f>IF(J2313&lt;&gt;1,"",IF(I2313="SBJ","CB","?"))</f>
        <v> </v>
      </c>
      <c r="I2313" s="25" t="str">
        <f>IF(OR(E2313="",E2313="!!!",F2313="NEW"),"",INDEX(B2312:B$2,-1+SUMPRODUCT(MAX(ROW(E2312:E$2)*(E2313=E2312:E$2)))))</f>
        <v> </v>
      </c>
      <c r="J2313" s="25" t="str">
        <f>IF(OR(E2313="",E2313="!!!",F2313="NEW"),"",COUNTBLANK(OFFSET(A$1,,,SUMPRODUCT(MAX(ROW(E$2:E2313)*(E2313=E$2:E2313)))))-COUNTBLANK(OFFSET(A$1,,,SUMPRODUCT(MAX(ROW(E$1:E2312)*(E2=E$1:E2312))))))</f>
        <v> </v>
      </c>
      <c r="K2313" s="25" t="str">
        <f>IF(OR(E2313="",E2313="!!!",F2313="NEW"),"",INDEX(J$1:J2312,SUMPRODUCT(MAX(ROW(E$1:E2312)*(E2313=E$1:E2312)))))</f>
        <v> </v>
      </c>
      <c r="L2313" s="26"/>
    </row>
    <row r="2314" spans="1:12">
      <c r="A2314" s="20" t="s">
        <v>929</v>
      </c>
      <c r="B2314" s="27" t="s">
        <v>749</v>
      </c>
      <c r="C2314" s="27" t="s">
        <v>717</v>
      </c>
      <c r="E2314" s="21">
        <f>IF(D2314="?OLD","!!!","")</f>
        <v/>
      </c>
      <c r="F2314" s="22" t="str">
        <f>IF(OR(E2314="",E2314="!!!"),"",IF(NOT(ISNA(VLOOKUP(E2314,E$1:E2313,1,FALSE()))),"OLD",IF(AND(E2314&lt;&gt;"",E2314&lt;&gt;"!!!"),"NEW","")))</f>
        <v> </v>
      </c>
      <c r="G2314" s="23" t="str">
        <f>IF(OR(E2314="",E2314="!!!"),"",IF(OR(J2314=0,AND(J2314=1,K2314=1),AND(J2314=1,I2314="SBJ"),AND(J2314=1,I2314=0)),"?IN_FOCUS",IF(J2314&lt;=2,"?ACTIVATED",IF(J2314&lt;&gt;"","?FAMILIAR",IF(F2314="NEW",IF(ISNA(VLOOKUP(E2314,#REF!,1,FALSE())),"?TYPE_IDENTIFIABLE","?REFERENTIAL"),"_")))))</f>
        <v> </v>
      </c>
      <c r="H2314" s="24" t="str">
        <f>IF(J2314&lt;&gt;1,"",IF(I2314="SBJ","CB","?"))</f>
        <v> </v>
      </c>
      <c r="I2314" s="25" t="str">
        <f>IF(OR(E2314="",E2314="!!!",F2314="NEW"),"",INDEX(B2313:B$2,-1+SUMPRODUCT(MAX(ROW(E2313:E$2)*(E2314=E2313:E$2)))))</f>
        <v> </v>
      </c>
      <c r="J2314" s="25" t="str">
        <f>IF(OR(E2314="",E2314="!!!",F2314="NEW"),"",COUNTBLANK(OFFSET(A$1,,,SUMPRODUCT(MAX(ROW(E$2:E2314)*(E2314=E$2:E2314)))))-COUNTBLANK(OFFSET(A$1,,,SUMPRODUCT(MAX(ROW(E$1:E2313)*(E2=E$1:E2313))))))</f>
        <v> </v>
      </c>
      <c r="K2314" s="25" t="str">
        <f>IF(OR(E2314="",E2314="!!!",F2314="NEW"),"",INDEX(J$1:J2313,SUMPRODUCT(MAX(ROW(E$1:E2313)*(E2314=E$1:E2313)))))</f>
        <v> </v>
      </c>
      <c r="L2314" s="26"/>
    </row>
    <row r="2315" spans="1:12">
      <c r="A2315" s="20" t="s">
        <v>1577</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1551</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1306</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767</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555</v>
      </c>
      <c r="B2319" s="27" t="s">
        <v>731</v>
      </c>
      <c r="C2319" s="27" t="s">
        <v>711</v>
      </c>
      <c r="D2319" s="27" t="s">
        <v>712</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1496</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718</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t="s">
        <v>764</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988</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1578</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t="s">
        <v>1315</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t="s">
        <v>1579</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t="s">
        <v>1580</v>
      </c>
      <c r="B2327" s="27" t="s">
        <v>881</v>
      </c>
      <c r="C2327" s="27" t="s">
        <v>739</v>
      </c>
      <c r="E2327" s="21">
        <f>IF(D2327="?OLD","!!!","")</f>
        <v/>
      </c>
      <c r="F2327" s="22" t="str">
        <f>IF(OR(E2327="",E2327="!!!"),"",IF(NOT(ISNA(VLOOKUP(E2327,E$1:E2326,1,FALSE()))),"OLD",IF(AND(E2327&lt;&gt;"",E2327&lt;&gt;"!!!"),"NEW","")))</f>
        <v> </v>
      </c>
      <c r="G2327" s="23" t="str">
        <f>IF(OR(E2327="",E2327="!!!"),"",IF(OR(J2327=0,AND(J2327=1,K2327=1),AND(J2327=1,I2327="SBJ"),AND(J2327=1,I2327=0)),"?IN_FOCUS",IF(J2327&lt;=2,"?ACTIVATED",IF(J2327&lt;&gt;"","?FAMILIAR",IF(F2327="NEW",IF(ISNA(VLOOKUP(E2327,#REF!,1,FALSE())),"?TYPE_IDENTIFIABLE","?REFERENTIAL"),"_")))))</f>
        <v> </v>
      </c>
      <c r="H2327" s="24" t="str">
        <f>IF(J2327&lt;&gt;1,"",IF(I2327="SBJ","CB","?"))</f>
        <v> </v>
      </c>
      <c r="I2327" s="25" t="str">
        <f>IF(OR(E2327="",E2327="!!!",F2327="NEW"),"",INDEX(B2326:B$2,-1+SUMPRODUCT(MAX(ROW(E2326:E$2)*(E2327=E2326:E$2)))))</f>
        <v> </v>
      </c>
      <c r="J2327" s="25" t="str">
        <f>IF(OR(E2327="",E2327="!!!",F2327="NEW"),"",COUNTBLANK(OFFSET(A$1,,,SUMPRODUCT(MAX(ROW(E$2:E2327)*(E2327=E$2:E2327)))))-COUNTBLANK(OFFSET(A$1,,,SUMPRODUCT(MAX(ROW(E$1:E2326)*(E2=E$1:E2326))))))</f>
        <v> </v>
      </c>
      <c r="K2327" s="25" t="str">
        <f>IF(OR(E2327="",E2327="!!!",F2327="NEW"),"",INDEX(J$1:J2326,SUMPRODUCT(MAX(ROW(E$1:E2326)*(E2327=E$1:E2326)))))</f>
        <v> </v>
      </c>
      <c r="L2327" s="26"/>
    </row>
    <row r="2328" spans="1:12">
      <c r="A2328" s="20" t="s">
        <v>1020</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t="s">
        <v>719</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t="s">
        <v>1581</v>
      </c>
      <c r="B2330" s="27" t="s">
        <v>724</v>
      </c>
      <c r="C2330" s="27" t="s">
        <v>711</v>
      </c>
      <c r="D2330" s="27" t="s">
        <v>712</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764</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t="s">
        <v>838</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839</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t="s">
        <v>1144</v>
      </c>
      <c r="B2334" s="27" t="s">
        <v>809</v>
      </c>
      <c r="C2334" s="27" t="s">
        <v>778</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t="s">
        <v>725</v>
      </c>
      <c r="E2335" s="21">
        <f>IF(D2335="?OLD","!!!","")</f>
        <v/>
      </c>
      <c r="F2335" s="22" t="str">
        <f>IF(OR(E2335="",E2335="!!!"),"",IF(NOT(ISNA(VLOOKUP(E2335,E$1:E2334,1,FALSE()))),"OLD",IF(AND(E2335&lt;&gt;"",E2335&lt;&gt;"!!!"),"NEW","")))</f>
        <v> </v>
      </c>
      <c r="G2335" s="23" t="str">
        <f>IF(OR(E2335="",E2335="!!!"),"",IF(OR(J2335=0,AND(J2335=1,K2335=1),AND(J2335=1,I2335="SBJ"),AND(J2335=1,I2335=0)),"?IN_FOCUS",IF(J2335&lt;=2,"?ACTIVATED",IF(J2335&lt;&gt;"","?FAMILIAR",IF(F2335="NEW",IF(ISNA(VLOOKUP(E2335,#REF!,1,FALSE())),"?TYPE_IDENTIFIABLE","?REFERENTIAL"),"_")))))</f>
        <v> </v>
      </c>
      <c r="H2335" s="24" t="str">
        <f>IF(J2335&lt;&gt;1,"",IF(I2335="SBJ","CB","?"))</f>
        <v> </v>
      </c>
      <c r="I2335" s="25" t="str">
        <f>IF(OR(E2335="",E2335="!!!",F2335="NEW"),"",INDEX(B2334:B$2,-1+SUMPRODUCT(MAX(ROW(E2334:E$2)*(E2335=E2334:E$2)))))</f>
        <v> </v>
      </c>
      <c r="J2335" s="25" t="str">
        <f>IF(OR(E2335="",E2335="!!!",F2335="NEW"),"",COUNTBLANK(OFFSET(A$1,,,SUMPRODUCT(MAX(ROW(E$2:E2335)*(E2335=E$2:E2335)))))-COUNTBLANK(OFFSET(A$1,,,SUMPRODUCT(MAX(ROW(E$1:E2334)*(E2=E$1:E2334))))))</f>
        <v> </v>
      </c>
      <c r="K2335" s="25" t="str">
        <f>IF(OR(E2335="",E2335="!!!",F2335="NEW"),"",INDEX(J$1:J2334,SUMPRODUCT(MAX(ROW(E$1:E2334)*(E2335=E$1:E2334)))))</f>
        <v> </v>
      </c>
      <c r="L2335" s="26"/>
    </row>
    <row r="2336" spans="1:12">
      <c r="A2336" s="20"/>
    </row>
    <row r="2337" spans="1:12">
      <c r="A2337" s="20" t="s">
        <v>1582</v>
      </c>
    </row>
    <row r="2338" spans="1:12">
      <c r="A2338" s="20" t="s">
        <v>1583</v>
      </c>
      <c r="B2338" s="27" t="s">
        <v>710</v>
      </c>
      <c r="C2338" s="27" t="s">
        <v>717</v>
      </c>
      <c r="E2338" s="21">
        <f>IF(D2338="?OLD","!!!","")</f>
        <v/>
      </c>
      <c r="F2338" s="22" t="str">
        <f>IF(OR(E2338="",E2338="!!!"),"",IF(NOT(ISNA(VLOOKUP(E2338,E$1:E2337,1,FALSE()))),"OLD",IF(AND(E2338&lt;&gt;"",E2338&lt;&gt;"!!!"),"NEW","")))</f>
        <v> </v>
      </c>
      <c r="G2338" s="23" t="str">
        <f>IF(OR(E2338="",E2338="!!!"),"",IF(OR(J2338=0,AND(J2338=1,K2338=1),AND(J2338=1,I2338="SBJ"),AND(J2338=1,I2338=0)),"?IN_FOCUS",IF(J2338&lt;=2,"?ACTIVATED",IF(J2338&lt;&gt;"","?FAMILIAR",IF(F2338="NEW",IF(ISNA(VLOOKUP(E2338,#REF!,1,FALSE())),"?TYPE_IDENTIFIABLE","?REFERENTIAL"),"_")))))</f>
        <v> </v>
      </c>
      <c r="H2338" s="24" t="str">
        <f>IF(J2338&lt;&gt;1,"",IF(I2338="SBJ","CB","?"))</f>
        <v> </v>
      </c>
      <c r="I2338" s="25" t="str">
        <f>IF(OR(E2338="",E2338="!!!",F2338="NEW"),"",INDEX(B2337:B$2,-1+SUMPRODUCT(MAX(ROW(E2337:E$2)*(E2338=E2337:E$2)))))</f>
        <v> </v>
      </c>
      <c r="J2338" s="25" t="str">
        <f>IF(OR(E2338="",E2338="!!!",F2338="NEW"),"",COUNTBLANK(OFFSET(A$1,,,SUMPRODUCT(MAX(ROW(E$2:E2338)*(E2338=E$2:E2338)))))-COUNTBLANK(OFFSET(A$1,,,SUMPRODUCT(MAX(ROW(E$1:E2337)*(E2=E$1:E2337))))))</f>
        <v> </v>
      </c>
      <c r="K2338" s="25" t="str">
        <f>IF(OR(E2338="",E2338="!!!",F2338="NEW"),"",INDEX(J$1:J2337,SUMPRODUCT(MAX(ROW(E$1:E2337)*(E2338=E$1:E2337)))))</f>
        <v> </v>
      </c>
      <c r="L2338" s="26"/>
    </row>
    <row r="2339" spans="1:12">
      <c r="A2339" s="20" t="s">
        <v>1584</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1498</v>
      </c>
      <c r="E2340" s="21">
        <f>IF(D2340="?OLD","!!!","")</f>
        <v/>
      </c>
      <c r="F2340" s="22" t="str">
        <f>IF(OR(E2340="",E2340="!!!"),"",IF(NOT(ISNA(VLOOKUP(E2340,E$1:E2339,1,FALSE()))),"OLD",IF(AND(E2340&lt;&gt;"",E2340&lt;&gt;"!!!"),"NEW","")))</f>
        <v> </v>
      </c>
      <c r="G2340" s="23" t="str">
        <f>IF(OR(E2340="",E2340="!!!"),"",IF(OR(J2340=0,AND(J2340=1,K2340=1),AND(J2340=1,I2340="SBJ"),AND(J2340=1,I2340=0)),"?IN_FOCUS",IF(J2340&lt;=2,"?ACTIVATED",IF(J2340&lt;&gt;"","?FAMILIAR",IF(F2340="NEW",IF(ISNA(VLOOKUP(E2340,#REF!,1,FALSE())),"?TYPE_IDENTIFIABLE","?REFERENTIAL"),"_")))))</f>
        <v> </v>
      </c>
      <c r="H2340" s="24" t="str">
        <f>IF(J2340&lt;&gt;1,"",IF(I2340="SBJ","CB","?"))</f>
        <v> </v>
      </c>
      <c r="I2340" s="25" t="str">
        <f>IF(OR(E2340="",E2340="!!!",F2340="NEW"),"",INDEX(B2339:B$2,-1+SUMPRODUCT(MAX(ROW(E2339:E$2)*(E2340=E2339:E$2)))))</f>
        <v> </v>
      </c>
      <c r="J2340" s="25" t="str">
        <f>IF(OR(E2340="",E2340="!!!",F2340="NEW"),"",COUNTBLANK(OFFSET(A$1,,,SUMPRODUCT(MAX(ROW(E$2:E2340)*(E2340=E$2:E2340)))))-COUNTBLANK(OFFSET(A$1,,,SUMPRODUCT(MAX(ROW(E$1:E2339)*(E2=E$1:E2339))))))</f>
        <v> </v>
      </c>
      <c r="K2340" s="25" t="str">
        <f>IF(OR(E2340="",E2340="!!!",F2340="NEW"),"",INDEX(J$1:J2339,SUMPRODUCT(MAX(ROW(E$1:E2339)*(E2340=E$1:E2339)))))</f>
        <v> </v>
      </c>
      <c r="L2340" s="26"/>
    </row>
    <row r="2341" spans="1:12">
      <c r="A2341" s="20" t="s">
        <v>783</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910</v>
      </c>
      <c r="E2342" s="21">
        <f>IF(D2342="?OLD","!!!","")</f>
        <v/>
      </c>
      <c r="F2342" s="22" t="str">
        <f>IF(OR(E2342="",E2342="!!!"),"",IF(NOT(ISNA(VLOOKUP(E2342,E$1:E2341,1,FALSE()))),"OLD",IF(AND(E2342&lt;&gt;"",E2342&lt;&gt;"!!!"),"NEW","")))</f>
        <v> </v>
      </c>
      <c r="G2342" s="23" t="str">
        <f>IF(OR(E2342="",E2342="!!!"),"",IF(OR(J2342=0,AND(J2342=1,K2342=1),AND(J2342=1,I2342="SBJ"),AND(J2342=1,I2342=0)),"?IN_FOCUS",IF(J2342&lt;=2,"?ACTIVATED",IF(J2342&lt;&gt;"","?FAMILIAR",IF(F2342="NEW",IF(ISNA(VLOOKUP(E2342,#REF!,1,FALSE())),"?TYPE_IDENTIFIABLE","?REFERENTIAL"),"_")))))</f>
        <v> </v>
      </c>
      <c r="H2342" s="24" t="str">
        <f>IF(J2342&lt;&gt;1,"",IF(I2342="SBJ","CB","?"))</f>
        <v> </v>
      </c>
      <c r="I2342" s="25" t="str">
        <f>IF(OR(E2342="",E2342="!!!",F2342="NEW"),"",INDEX(B2341:B$2,-1+SUMPRODUCT(MAX(ROW(E2341:E$2)*(E2342=E2341:E$2)))))</f>
        <v> </v>
      </c>
      <c r="J2342" s="25" t="str">
        <f>IF(OR(E2342="",E2342="!!!",F2342="NEW"),"",COUNTBLANK(OFFSET(A$1,,,SUMPRODUCT(MAX(ROW(E$2:E2342)*(E2342=E$2:E2342)))))-COUNTBLANK(OFFSET(A$1,,,SUMPRODUCT(MAX(ROW(E$1:E2341)*(E2=E$1:E2341))))))</f>
        <v> </v>
      </c>
      <c r="K2342" s="25" t="str">
        <f>IF(OR(E2342="",E2342="!!!",F2342="NEW"),"",INDEX(J$1:J2341,SUMPRODUCT(MAX(ROW(E$1:E2341)*(E2342=E$1:E2341)))))</f>
        <v> </v>
      </c>
      <c r="L2342" s="26"/>
    </row>
    <row r="2343" spans="1:12">
      <c r="A2343" s="20" t="s">
        <v>1585</v>
      </c>
      <c r="B2343" s="27" t="s">
        <v>716</v>
      </c>
      <c r="C2343" s="27" t="s">
        <v>711</v>
      </c>
      <c r="D2343" s="27" t="s">
        <v>712</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764</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910</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t="s">
        <v>1586</v>
      </c>
      <c r="E2346" s="21">
        <f>IF(D2346="?OLD","!!!","")</f>
        <v/>
      </c>
      <c r="F2346" s="22" t="str">
        <f>IF(OR(E2346="",E2346="!!!"),"",IF(NOT(ISNA(VLOOKUP(E2346,E$1:E2345,1,FALSE()))),"OLD",IF(AND(E2346&lt;&gt;"",E2346&lt;&gt;"!!!"),"NEW","")))</f>
        <v> </v>
      </c>
      <c r="G2346" s="23" t="str">
        <f>IF(OR(E2346="",E2346="!!!"),"",IF(OR(J2346=0,AND(J2346=1,K2346=1),AND(J2346=1,I2346="SBJ"),AND(J2346=1,I2346=0)),"?IN_FOCUS",IF(J2346&lt;=2,"?ACTIVATED",IF(J2346&lt;&gt;"","?FAMILIAR",IF(F2346="NEW",IF(ISNA(VLOOKUP(E2346,#REF!,1,FALSE())),"?TYPE_IDENTIFIABLE","?REFERENTIAL"),"_")))))</f>
        <v> </v>
      </c>
      <c r="H2346" s="24" t="str">
        <f>IF(J2346&lt;&gt;1,"",IF(I2346="SBJ","CB","?"))</f>
        <v> </v>
      </c>
      <c r="I2346" s="25" t="str">
        <f>IF(OR(E2346="",E2346="!!!",F2346="NEW"),"",INDEX(B2345:B$2,-1+SUMPRODUCT(MAX(ROW(E2345:E$2)*(E2346=E2345:E$2)))))</f>
        <v> </v>
      </c>
      <c r="J2346" s="25" t="str">
        <f>IF(OR(E2346="",E2346="!!!",F2346="NEW"),"",COUNTBLANK(OFFSET(A$1,,,SUMPRODUCT(MAX(ROW(E$2:E2346)*(E2346=E$2:E2346)))))-COUNTBLANK(OFFSET(A$1,,,SUMPRODUCT(MAX(ROW(E$1:E2345)*(E2=E$1:E2345))))))</f>
        <v> </v>
      </c>
      <c r="K2346" s="25" t="str">
        <f>IF(OR(E2346="",E2346="!!!",F2346="NEW"),"",INDEX(J$1:J2345,SUMPRODUCT(MAX(ROW(E$1:E2345)*(E2346=E$1:E2345)))))</f>
        <v> </v>
      </c>
      <c r="L2346" s="26"/>
    </row>
    <row r="2347" spans="1:12">
      <c r="A2347" s="20" t="s">
        <v>1587</v>
      </c>
      <c r="B2347" s="27" t="s">
        <v>731</v>
      </c>
      <c r="C2347" s="27" t="s">
        <v>711</v>
      </c>
      <c r="D2347" s="27" t="s">
        <v>712</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t="s">
        <v>1013</v>
      </c>
      <c r="E2348" s="21">
        <f>IF(D2348="?OLD","!!!","")</f>
        <v/>
      </c>
      <c r="F2348" s="22" t="str">
        <f>IF(OR(E2348="",E2348="!!!"),"",IF(NOT(ISNA(VLOOKUP(E2348,E$1:E2347,1,FALSE()))),"OLD",IF(AND(E2348&lt;&gt;"",E2348&lt;&gt;"!!!"),"NEW","")))</f>
        <v> </v>
      </c>
      <c r="G2348" s="23" t="str">
        <f>IF(OR(E2348="",E2348="!!!"),"",IF(OR(J2348=0,AND(J2348=1,K2348=1),AND(J2348=1,I2348="SBJ"),AND(J2348=1,I2348=0)),"?IN_FOCUS",IF(J2348&lt;=2,"?ACTIVATED",IF(J2348&lt;&gt;"","?FAMILIAR",IF(F2348="NEW",IF(ISNA(VLOOKUP(E2348,#REF!,1,FALSE())),"?TYPE_IDENTIFIABLE","?REFERENTIAL"),"_")))))</f>
        <v> </v>
      </c>
      <c r="H2348" s="24" t="str">
        <f>IF(J2348&lt;&gt;1,"",IF(I2348="SBJ","CB","?"))</f>
        <v> </v>
      </c>
      <c r="I2348" s="25" t="str">
        <f>IF(OR(E2348="",E2348="!!!",F2348="NEW"),"",INDEX(B2347:B$2,-1+SUMPRODUCT(MAX(ROW(E2347:E$2)*(E2348=E2347:E$2)))))</f>
        <v> </v>
      </c>
      <c r="J2348" s="25" t="str">
        <f>IF(OR(E2348="",E2348="!!!",F2348="NEW"),"",COUNTBLANK(OFFSET(A$1,,,SUMPRODUCT(MAX(ROW(E$2:E2348)*(E2348=E$2:E2348)))))-COUNTBLANK(OFFSET(A$1,,,SUMPRODUCT(MAX(ROW(E$1:E2347)*(E2=E$1:E2347))))))</f>
        <v> </v>
      </c>
      <c r="K2348" s="25" t="str">
        <f>IF(OR(E2348="",E2348="!!!",F2348="NEW"),"",INDEX(J$1:J2347,SUMPRODUCT(MAX(ROW(E$1:E2347)*(E2348=E$1:E2347)))))</f>
        <v> </v>
      </c>
      <c r="L2348" s="26"/>
    </row>
    <row r="2349" spans="1:12">
      <c r="A2349" s="20" t="s">
        <v>1588</v>
      </c>
      <c r="B2349" s="27" t="s">
        <v>777</v>
      </c>
      <c r="C2349" s="27" t="s">
        <v>739</v>
      </c>
      <c r="E2349" s="21">
        <f>IF(D2349="?OLD","!!!","")</f>
        <v/>
      </c>
      <c r="F2349" s="22" t="str">
        <f>IF(OR(E2349="",E2349="!!!"),"",IF(NOT(ISNA(VLOOKUP(E2349,E$1:E2348,1,FALSE()))),"OLD",IF(AND(E2349&lt;&gt;"",E2349&lt;&gt;"!!!"),"NEW","")))</f>
        <v> </v>
      </c>
      <c r="G2349" s="23" t="str">
        <f>IF(OR(E2349="",E2349="!!!"),"",IF(OR(J2349=0,AND(J2349=1,K2349=1),AND(J2349=1,I2349="SBJ"),AND(J2349=1,I2349=0)),"?IN_FOCUS",IF(J2349&lt;=2,"?ACTIVATED",IF(J2349&lt;&gt;"","?FAMILIAR",IF(F2349="NEW",IF(ISNA(VLOOKUP(E2349,#REF!,1,FALSE())),"?TYPE_IDENTIFIABLE","?REFERENTIAL"),"_")))))</f>
        <v> </v>
      </c>
      <c r="H2349" s="24" t="str">
        <f>IF(J2349&lt;&gt;1,"",IF(I2349="SBJ","CB","?"))</f>
        <v> </v>
      </c>
      <c r="I2349" s="25" t="str">
        <f>IF(OR(E2349="",E2349="!!!",F2349="NEW"),"",INDEX(B2348:B$2,-1+SUMPRODUCT(MAX(ROW(E2348:E$2)*(E2349=E2348:E$2)))))</f>
        <v> </v>
      </c>
      <c r="J2349" s="25" t="str">
        <f>IF(OR(E2349="",E2349="!!!",F2349="NEW"),"",COUNTBLANK(OFFSET(A$1,,,SUMPRODUCT(MAX(ROW(E$2:E2349)*(E2349=E$2:E2349)))))-COUNTBLANK(OFFSET(A$1,,,SUMPRODUCT(MAX(ROW(E$1:E2348)*(E2=E$1:E2348))))))</f>
        <v> </v>
      </c>
      <c r="K2349" s="25" t="str">
        <f>IF(OR(E2349="",E2349="!!!",F2349="NEW"),"",INDEX(J$1:J2348,SUMPRODUCT(MAX(ROW(E$1:E2348)*(E2349=E$1:E2348)))))</f>
        <v> </v>
      </c>
      <c r="L2349" s="26"/>
    </row>
    <row r="2350" spans="1:12">
      <c r="A2350" s="20" t="s">
        <v>783</v>
      </c>
      <c r="E2350" s="21">
        <f>IF(D2350="?OLD","!!!","")</f>
        <v/>
      </c>
      <c r="F2350" s="22" t="str">
        <f>IF(OR(E2350="",E2350="!!!"),"",IF(NOT(ISNA(VLOOKUP(E2350,E$1:E2349,1,FALSE()))),"OLD",IF(AND(E2350&lt;&gt;"",E2350&lt;&gt;"!!!"),"NEW","")))</f>
        <v> </v>
      </c>
      <c r="G2350" s="23" t="str">
        <f>IF(OR(E2350="",E2350="!!!"),"",IF(OR(J2350=0,AND(J2350=1,K2350=1),AND(J2350=1,I2350="SBJ"),AND(J2350=1,I2350=0)),"?IN_FOCUS",IF(J2350&lt;=2,"?ACTIVATED",IF(J2350&lt;&gt;"","?FAMILIAR",IF(F2350="NEW",IF(ISNA(VLOOKUP(E2350,#REF!,1,FALSE())),"?TYPE_IDENTIFIABLE","?REFERENTIAL"),"_")))))</f>
        <v> </v>
      </c>
      <c r="H2350" s="24" t="str">
        <f>IF(J2350&lt;&gt;1,"",IF(I2350="SBJ","CB","?"))</f>
        <v> </v>
      </c>
      <c r="I2350" s="25" t="str">
        <f>IF(OR(E2350="",E2350="!!!",F2350="NEW"),"",INDEX(B2349:B$2,-1+SUMPRODUCT(MAX(ROW(E2349:E$2)*(E2350=E2349:E$2)))))</f>
        <v> </v>
      </c>
      <c r="J2350" s="25" t="str">
        <f>IF(OR(E2350="",E2350="!!!",F2350="NEW"),"",COUNTBLANK(OFFSET(A$1,,,SUMPRODUCT(MAX(ROW(E$2:E2350)*(E2350=E$2:E2350)))))-COUNTBLANK(OFFSET(A$1,,,SUMPRODUCT(MAX(ROW(E$1:E2349)*(E2=E$1:E2349))))))</f>
        <v> </v>
      </c>
      <c r="K2350" s="25" t="str">
        <f>IF(OR(E2350="",E2350="!!!",F2350="NEW"),"",INDEX(J$1:J2349,SUMPRODUCT(MAX(ROW(E$1:E2349)*(E2350=E$1:E2349)))))</f>
        <v> </v>
      </c>
      <c r="L2350" s="26"/>
    </row>
    <row r="2351" spans="1:12">
      <c r="A2351" s="20" t="s">
        <v>1589</v>
      </c>
      <c r="B2351" s="27" t="s">
        <v>731</v>
      </c>
      <c r="C2351" s="27" t="s">
        <v>717</v>
      </c>
      <c r="E2351" s="21">
        <f>IF(D2351="?OLD","!!!","")</f>
        <v/>
      </c>
      <c r="F2351" s="22" t="str">
        <f>IF(OR(E2351="",E2351="!!!"),"",IF(NOT(ISNA(VLOOKUP(E2351,E$1:E2350,1,FALSE()))),"OLD",IF(AND(E2351&lt;&gt;"",E2351&lt;&gt;"!!!"),"NEW","")))</f>
        <v> </v>
      </c>
      <c r="G2351" s="23" t="str">
        <f>IF(OR(E2351="",E2351="!!!"),"",IF(OR(J2351=0,AND(J2351=1,K2351=1),AND(J2351=1,I2351="SBJ"),AND(J2351=1,I2351=0)),"?IN_FOCUS",IF(J2351&lt;=2,"?ACTIVATED",IF(J2351&lt;&gt;"","?FAMILIAR",IF(F2351="NEW",IF(ISNA(VLOOKUP(E2351,#REF!,1,FALSE())),"?TYPE_IDENTIFIABLE","?REFERENTIAL"),"_")))))</f>
        <v> </v>
      </c>
      <c r="H2351" s="24" t="str">
        <f>IF(J2351&lt;&gt;1,"",IF(I2351="SBJ","CB","?"))</f>
        <v> </v>
      </c>
      <c r="I2351" s="25" t="str">
        <f>IF(OR(E2351="",E2351="!!!",F2351="NEW"),"",INDEX(B2350:B$2,-1+SUMPRODUCT(MAX(ROW(E2350:E$2)*(E2351=E2350:E$2)))))</f>
        <v> </v>
      </c>
      <c r="J2351" s="25" t="str">
        <f>IF(OR(E2351="",E2351="!!!",F2351="NEW"),"",COUNTBLANK(OFFSET(A$1,,,SUMPRODUCT(MAX(ROW(E$2:E2351)*(E2351=E$2:E2351)))))-COUNTBLANK(OFFSET(A$1,,,SUMPRODUCT(MAX(ROW(E$1:E2350)*(E2=E$1:E2350))))))</f>
        <v> </v>
      </c>
      <c r="K2351" s="25" t="str">
        <f>IF(OR(E2351="",E2351="!!!",F2351="NEW"),"",INDEX(J$1:J2350,SUMPRODUCT(MAX(ROW(E$1:E2350)*(E2351=E$1:E2350)))))</f>
        <v> </v>
      </c>
      <c r="L2351" s="26"/>
    </row>
    <row r="2352" spans="1:12">
      <c r="A2352" s="20" t="s">
        <v>764</v>
      </c>
      <c r="E2352" s="21">
        <f>IF(D2352="?OLD","!!!","")</f>
        <v/>
      </c>
      <c r="F2352" s="22" t="str">
        <f>IF(OR(E2352="",E2352="!!!"),"",IF(NOT(ISNA(VLOOKUP(E2352,E$1:E2351,1,FALSE()))),"OLD",IF(AND(E2352&lt;&gt;"",E2352&lt;&gt;"!!!"),"NEW","")))</f>
        <v> </v>
      </c>
      <c r="G2352" s="23" t="str">
        <f>IF(OR(E2352="",E2352="!!!"),"",IF(OR(J2352=0,AND(J2352=1,K2352=1),AND(J2352=1,I2352="SBJ"),AND(J2352=1,I2352=0)),"?IN_FOCUS",IF(J2352&lt;=2,"?ACTIVATED",IF(J2352&lt;&gt;"","?FAMILIAR",IF(F2352="NEW",IF(ISNA(VLOOKUP(E2352,#REF!,1,FALSE())),"?TYPE_IDENTIFIABLE","?REFERENTIAL"),"_")))))</f>
        <v> </v>
      </c>
      <c r="H2352" s="24" t="str">
        <f>IF(J2352&lt;&gt;1,"",IF(I2352="SBJ","CB","?"))</f>
        <v> </v>
      </c>
      <c r="I2352" s="25" t="str">
        <f>IF(OR(E2352="",E2352="!!!",F2352="NEW"),"",INDEX(B2351:B$2,-1+SUMPRODUCT(MAX(ROW(E2351:E$2)*(E2352=E2351:E$2)))))</f>
        <v> </v>
      </c>
      <c r="J2352" s="25" t="str">
        <f>IF(OR(E2352="",E2352="!!!",F2352="NEW"),"",COUNTBLANK(OFFSET(A$1,,,SUMPRODUCT(MAX(ROW(E$2:E2352)*(E2352=E$2:E2352)))))-COUNTBLANK(OFFSET(A$1,,,SUMPRODUCT(MAX(ROW(E$1:E2351)*(E2=E$1:E2351))))))</f>
        <v> </v>
      </c>
      <c r="K2352" s="25" t="str">
        <f>IF(OR(E2352="",E2352="!!!",F2352="NEW"),"",INDEX(J$1:J2351,SUMPRODUCT(MAX(ROW(E$1:E2351)*(E2352=E$1:E2351)))))</f>
        <v> </v>
      </c>
      <c r="L2352" s="26"/>
    </row>
    <row r="2353" spans="1:12">
      <c r="A2353" s="20" t="s">
        <v>871</v>
      </c>
      <c r="E2353" s="21">
        <f>IF(D2353="?OLD","!!!","")</f>
        <v/>
      </c>
      <c r="F2353" s="22" t="str">
        <f>IF(OR(E2353="",E2353="!!!"),"",IF(NOT(ISNA(VLOOKUP(E2353,E$1:E2352,1,FALSE()))),"OLD",IF(AND(E2353&lt;&gt;"",E2353&lt;&gt;"!!!"),"NEW","")))</f>
        <v> </v>
      </c>
      <c r="G2353" s="23" t="str">
        <f>IF(OR(E2353="",E2353="!!!"),"",IF(OR(J2353=0,AND(J2353=1,K2353=1),AND(J2353=1,I2353="SBJ"),AND(J2353=1,I2353=0)),"?IN_FOCUS",IF(J2353&lt;=2,"?ACTIVATED",IF(J2353&lt;&gt;"","?FAMILIAR",IF(F2353="NEW",IF(ISNA(VLOOKUP(E2353,#REF!,1,FALSE())),"?TYPE_IDENTIFIABLE","?REFERENTIAL"),"_")))))</f>
        <v> </v>
      </c>
      <c r="H2353" s="24" t="str">
        <f>IF(J2353&lt;&gt;1,"",IF(I2353="SBJ","CB","?"))</f>
        <v> </v>
      </c>
      <c r="I2353" s="25" t="str">
        <f>IF(OR(E2353="",E2353="!!!",F2353="NEW"),"",INDEX(B2352:B$2,-1+SUMPRODUCT(MAX(ROW(E2352:E$2)*(E2353=E2352:E$2)))))</f>
        <v> </v>
      </c>
      <c r="J2353" s="25" t="str">
        <f>IF(OR(E2353="",E2353="!!!",F2353="NEW"),"",COUNTBLANK(OFFSET(A$1,,,SUMPRODUCT(MAX(ROW(E$2:E2353)*(E2353=E$2:E2353)))))-COUNTBLANK(OFFSET(A$1,,,SUMPRODUCT(MAX(ROW(E$1:E2352)*(E2=E$1:E2352))))))</f>
        <v> </v>
      </c>
      <c r="K2353" s="25" t="str">
        <f>IF(OR(E2353="",E2353="!!!",F2353="NEW"),"",INDEX(J$1:J2352,SUMPRODUCT(MAX(ROW(E$1:E2352)*(E2353=E$1:E2352)))))</f>
        <v> </v>
      </c>
      <c r="L2353" s="26"/>
    </row>
    <row r="2354" spans="1:12">
      <c r="A2354" s="20" t="s">
        <v>868</v>
      </c>
      <c r="B2354" s="27" t="s">
        <v>720</v>
      </c>
      <c r="C2354" s="27" t="s">
        <v>842</v>
      </c>
      <c r="D2354" s="27" t="s">
        <v>712</v>
      </c>
      <c r="E2354" s="21">
        <f>IF(D2354="?OLD","!!!","")</f>
        <v/>
      </c>
      <c r="F2354" s="22" t="str">
        <f>IF(OR(E2354="",E2354="!!!"),"",IF(NOT(ISNA(VLOOKUP(E2354,E$1:E2353,1,FALSE()))),"OLD",IF(AND(E2354&lt;&gt;"",E2354&lt;&gt;"!!!"),"NEW","")))</f>
        <v> </v>
      </c>
      <c r="G2354" s="23" t="str">
        <f>IF(OR(E2354="",E2354="!!!"),"",IF(OR(J2354=0,AND(J2354=1,K2354=1),AND(J2354=1,I2354="SBJ"),AND(J2354=1,I2354=0)),"?IN_FOCUS",IF(J2354&lt;=2,"?ACTIVATED",IF(J2354&lt;&gt;"","?FAMILIAR",IF(F2354="NEW",IF(ISNA(VLOOKUP(E2354,#REF!,1,FALSE())),"?TYPE_IDENTIFIABLE","?REFERENTIAL"),"_")))))</f>
        <v> </v>
      </c>
      <c r="H2354" s="24" t="str">
        <f>IF(J2354&lt;&gt;1,"",IF(I2354="SBJ","CB","?"))</f>
        <v> </v>
      </c>
      <c r="I2354" s="25" t="str">
        <f>IF(OR(E2354="",E2354="!!!",F2354="NEW"),"",INDEX(B2353:B$2,-1+SUMPRODUCT(MAX(ROW(E2353:E$2)*(E2354=E2353:E$2)))))</f>
        <v> </v>
      </c>
      <c r="J2354" s="25" t="str">
        <f>IF(OR(E2354="",E2354="!!!",F2354="NEW"),"",COUNTBLANK(OFFSET(A$1,,,SUMPRODUCT(MAX(ROW(E$2:E2354)*(E2354=E$2:E2354)))))-COUNTBLANK(OFFSET(A$1,,,SUMPRODUCT(MAX(ROW(E$1:E2353)*(E2=E$1:E2353))))))</f>
        <v> </v>
      </c>
      <c r="K2354" s="25" t="str">
        <f>IF(OR(E2354="",E2354="!!!",F2354="NEW"),"",INDEX(J$1:J2353,SUMPRODUCT(MAX(ROW(E$1:E2353)*(E2354=E$1:E2353)))))</f>
        <v> </v>
      </c>
      <c r="L2354" s="26"/>
    </row>
    <row r="2355" spans="1:12">
      <c r="A2355" s="20" t="s">
        <v>1590</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923</v>
      </c>
      <c r="E2356" s="21">
        <f>IF(D2356="?OLD","!!!","")</f>
        <v/>
      </c>
      <c r="F2356" s="22" t="str">
        <f>IF(OR(E2356="",E2356="!!!"),"",IF(NOT(ISNA(VLOOKUP(E2356,E$1:E2355,1,FALSE()))),"OLD",IF(AND(E2356&lt;&gt;"",E2356&lt;&gt;"!!!"),"NEW","")))</f>
        <v> </v>
      </c>
      <c r="G2356" s="23" t="str">
        <f>IF(OR(E2356="",E2356="!!!"),"",IF(OR(J2356=0,AND(J2356=1,K2356=1),AND(J2356=1,I2356="SBJ"),AND(J2356=1,I2356=0)),"?IN_FOCUS",IF(J2356&lt;=2,"?ACTIVATED",IF(J2356&lt;&gt;"","?FAMILIAR",IF(F2356="NEW",IF(ISNA(VLOOKUP(E2356,#REF!,1,FALSE())),"?TYPE_IDENTIFIABLE","?REFERENTIAL"),"_")))))</f>
        <v> </v>
      </c>
      <c r="H2356" s="24" t="str">
        <f>IF(J2356&lt;&gt;1,"",IF(I2356="SBJ","CB","?"))</f>
        <v> </v>
      </c>
      <c r="I2356" s="25" t="str">
        <f>IF(OR(E2356="",E2356="!!!",F2356="NEW"),"",INDEX(B2355:B$2,-1+SUMPRODUCT(MAX(ROW(E2355:E$2)*(E2356=E2355:E$2)))))</f>
        <v> </v>
      </c>
      <c r="J2356" s="25" t="str">
        <f>IF(OR(E2356="",E2356="!!!",F2356="NEW"),"",COUNTBLANK(OFFSET(A$1,,,SUMPRODUCT(MAX(ROW(E$2:E2356)*(E2356=E$2:E2356)))))-COUNTBLANK(OFFSET(A$1,,,SUMPRODUCT(MAX(ROW(E$1:E2355)*(E2=E$1:E2355))))))</f>
        <v> </v>
      </c>
      <c r="K2356" s="25" t="str">
        <f>IF(OR(E2356="",E2356="!!!",F2356="NEW"),"",INDEX(J$1:J2355,SUMPRODUCT(MAX(ROW(E$1:E2355)*(E2356=E$1:E2355)))))</f>
        <v> </v>
      </c>
      <c r="L2356" s="26"/>
    </row>
    <row r="2357" spans="1:12">
      <c r="A2357" s="20" t="s">
        <v>718</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t="s">
        <v>300</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t="s">
        <v>868</v>
      </c>
      <c r="B2359" s="27" t="s">
        <v>749</v>
      </c>
      <c r="C2359" s="27" t="s">
        <v>842</v>
      </c>
      <c r="D2359" s="27" t="s">
        <v>712</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718</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772</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t="s">
        <v>838</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t="s">
        <v>1591</v>
      </c>
      <c r="B2363" s="27" t="s">
        <v>720</v>
      </c>
      <c r="C2363" s="27" t="s">
        <v>778</v>
      </c>
      <c r="E2363" s="21">
        <f>IF(D2363="?OLD","!!!","")</f>
        <v/>
      </c>
      <c r="F2363" s="22" t="str">
        <f>IF(OR(E2363="",E2363="!!!"),"",IF(NOT(ISNA(VLOOKUP(E2363,E$1:E2362,1,FALSE()))),"OLD",IF(AND(E2363&lt;&gt;"",E2363&lt;&gt;"!!!"),"NEW","")))</f>
        <v> </v>
      </c>
      <c r="G2363" s="23" t="str">
        <f>IF(OR(E2363="",E2363="!!!"),"",IF(OR(J2363=0,AND(J2363=1,K2363=1),AND(J2363=1,I2363="SBJ"),AND(J2363=1,I2363=0)),"?IN_FOCUS",IF(J2363&lt;=2,"?ACTIVATED",IF(J2363&lt;&gt;"","?FAMILIAR",IF(F2363="NEW",IF(ISNA(VLOOKUP(E2363,#REF!,1,FALSE())),"?TYPE_IDENTIFIABLE","?REFERENTIAL"),"_")))))</f>
        <v> </v>
      </c>
      <c r="H2363" s="24" t="str">
        <f>IF(J2363&lt;&gt;1,"",IF(I2363="SBJ","CB","?"))</f>
        <v> </v>
      </c>
      <c r="I2363" s="25" t="str">
        <f>IF(OR(E2363="",E2363="!!!",F2363="NEW"),"",INDEX(B2362:B$2,-1+SUMPRODUCT(MAX(ROW(E2362:E$2)*(E2363=E2362:E$2)))))</f>
        <v> </v>
      </c>
      <c r="J2363" s="25" t="str">
        <f>IF(OR(E2363="",E2363="!!!",F2363="NEW"),"",COUNTBLANK(OFFSET(A$1,,,SUMPRODUCT(MAX(ROW(E$2:E2363)*(E2363=E$2:E2363)))))-COUNTBLANK(OFFSET(A$1,,,SUMPRODUCT(MAX(ROW(E$1:E2362)*(E2=E$1:E2362))))))</f>
        <v> </v>
      </c>
      <c r="K2363" s="25" t="str">
        <f>IF(OR(E2363="",E2363="!!!",F2363="NEW"),"",INDEX(J$1:J2362,SUMPRODUCT(MAX(ROW(E$1:E2362)*(E2363=E$1:E2362)))))</f>
        <v> </v>
      </c>
      <c r="L2363" s="26"/>
    </row>
    <row r="2364" spans="1:12">
      <c r="A2364" s="20" t="s">
        <v>764</v>
      </c>
      <c r="E2364" s="21">
        <f>IF(D2364="?OLD","!!!","")</f>
        <v/>
      </c>
      <c r="F2364" s="22" t="str">
        <f>IF(OR(E2364="",E2364="!!!"),"",IF(NOT(ISNA(VLOOKUP(E2364,E$1:E2363,1,FALSE()))),"OLD",IF(AND(E2364&lt;&gt;"",E2364&lt;&gt;"!!!"),"NEW","")))</f>
        <v> </v>
      </c>
      <c r="G2364" s="23" t="str">
        <f>IF(OR(E2364="",E2364="!!!"),"",IF(OR(J2364=0,AND(J2364=1,K2364=1),AND(J2364=1,I2364="SBJ"),AND(J2364=1,I2364=0)),"?IN_FOCUS",IF(J2364&lt;=2,"?ACTIVATED",IF(J2364&lt;&gt;"","?FAMILIAR",IF(F2364="NEW",IF(ISNA(VLOOKUP(E2364,#REF!,1,FALSE())),"?TYPE_IDENTIFIABLE","?REFERENTIAL"),"_")))))</f>
        <v> </v>
      </c>
      <c r="H2364" s="24" t="str">
        <f>IF(J2364&lt;&gt;1,"",IF(I2364="SBJ","CB","?"))</f>
        <v> </v>
      </c>
      <c r="I2364" s="25" t="str">
        <f>IF(OR(E2364="",E2364="!!!",F2364="NEW"),"",INDEX(B2363:B$2,-1+SUMPRODUCT(MAX(ROW(E2363:E$2)*(E2364=E2363:E$2)))))</f>
        <v> </v>
      </c>
      <c r="J2364" s="25" t="str">
        <f>IF(OR(E2364="",E2364="!!!",F2364="NEW"),"",COUNTBLANK(OFFSET(A$1,,,SUMPRODUCT(MAX(ROW(E$2:E2364)*(E2364=E$2:E2364)))))-COUNTBLANK(OFFSET(A$1,,,SUMPRODUCT(MAX(ROW(E$1:E2363)*(E2=E$1:E2363))))))</f>
        <v> </v>
      </c>
      <c r="K2364" s="25" t="str">
        <f>IF(OR(E2364="",E2364="!!!",F2364="NEW"),"",INDEX(J$1:J2363,SUMPRODUCT(MAX(ROW(E$1:E2363)*(E2364=E$1:E2363)))))</f>
        <v> </v>
      </c>
      <c r="L2364" s="26"/>
    </row>
    <row r="2365" spans="1:12">
      <c r="A2365" s="20" t="s">
        <v>1592</v>
      </c>
      <c r="B2365" s="27" t="s">
        <v>809</v>
      </c>
      <c r="C2365" s="27" t="s">
        <v>717</v>
      </c>
      <c r="E2365" s="21">
        <f>IF(D2365="?OLD","!!!","")</f>
        <v/>
      </c>
      <c r="F2365" s="22" t="str">
        <f>IF(OR(E2365="",E2365="!!!"),"",IF(NOT(ISNA(VLOOKUP(E2365,E$1:E2364,1,FALSE()))),"OLD",IF(AND(E2365&lt;&gt;"",E2365&lt;&gt;"!!!"),"NEW","")))</f>
        <v> </v>
      </c>
      <c r="G2365" s="23" t="str">
        <f>IF(OR(E2365="",E2365="!!!"),"",IF(OR(J2365=0,AND(J2365=1,K2365=1),AND(J2365=1,I2365="SBJ"),AND(J2365=1,I2365=0)),"?IN_FOCUS",IF(J2365&lt;=2,"?ACTIVATED",IF(J2365&lt;&gt;"","?FAMILIAR",IF(F2365="NEW",IF(ISNA(VLOOKUP(E2365,#REF!,1,FALSE())),"?TYPE_IDENTIFIABLE","?REFERENTIAL"),"_")))))</f>
        <v> </v>
      </c>
      <c r="H2365" s="24" t="str">
        <f>IF(J2365&lt;&gt;1,"",IF(I2365="SBJ","CB","?"))</f>
        <v> </v>
      </c>
      <c r="I2365" s="25" t="str">
        <f>IF(OR(E2365="",E2365="!!!",F2365="NEW"),"",INDEX(B2364:B$2,-1+SUMPRODUCT(MAX(ROW(E2364:E$2)*(E2365=E2364:E$2)))))</f>
        <v> </v>
      </c>
      <c r="J2365" s="25" t="str">
        <f>IF(OR(E2365="",E2365="!!!",F2365="NEW"),"",COUNTBLANK(OFFSET(A$1,,,SUMPRODUCT(MAX(ROW(E$2:E2365)*(E2365=E$2:E2365)))))-COUNTBLANK(OFFSET(A$1,,,SUMPRODUCT(MAX(ROW(E$1:E2364)*(E2=E$1:E2364))))))</f>
        <v> </v>
      </c>
      <c r="K2365" s="25" t="str">
        <f>IF(OR(E2365="",E2365="!!!",F2365="NEW"),"",INDEX(J$1:J2364,SUMPRODUCT(MAX(ROW(E$1:E2364)*(E2365=E$1:E2364)))))</f>
        <v> </v>
      </c>
      <c r="L2365" s="26"/>
    </row>
    <row r="2366" spans="1:12">
      <c r="A2366" s="20" t="s">
        <v>988</v>
      </c>
      <c r="B2366" s="27" t="s">
        <v>742</v>
      </c>
      <c r="C2366" s="27" t="s">
        <v>842</v>
      </c>
      <c r="D2366" s="27" t="s">
        <v>712</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1590</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1049</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725</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row>
    <row r="2371" spans="1:12">
      <c r="A2371" s="20" t="s">
        <v>1593</v>
      </c>
    </row>
    <row r="2372" spans="1:12">
      <c r="A2372" s="20" t="s">
        <v>727</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t="s">
        <v>481</v>
      </c>
      <c r="E2373" s="21">
        <f>IF(D2373="?OLD","!!!","")</f>
        <v/>
      </c>
      <c r="F2373" s="22" t="str">
        <f>IF(OR(E2373="",E2373="!!!"),"",IF(NOT(ISNA(VLOOKUP(E2373,E$1:E2372,1,FALSE()))),"OLD",IF(AND(E2373&lt;&gt;"",E2373&lt;&gt;"!!!"),"NEW","")))</f>
        <v> </v>
      </c>
      <c r="G2373" s="23" t="str">
        <f>IF(OR(E2373="",E2373="!!!"),"",IF(OR(J2373=0,AND(J2373=1,K2373=1),AND(J2373=1,I2373="SBJ"),AND(J2373=1,I2373=0)),"?IN_FOCUS",IF(J2373&lt;=2,"?ACTIVATED",IF(J2373&lt;&gt;"","?FAMILIAR",IF(F2373="NEW",IF(ISNA(VLOOKUP(E2373,#REF!,1,FALSE())),"?TYPE_IDENTIFIABLE","?REFERENTIAL"),"_")))))</f>
        <v> </v>
      </c>
      <c r="H2373" s="24" t="str">
        <f>IF(J2373&lt;&gt;1,"",IF(I2373="SBJ","CB","?"))</f>
        <v> </v>
      </c>
      <c r="I2373" s="25" t="str">
        <f>IF(OR(E2373="",E2373="!!!",F2373="NEW"),"",INDEX(B2372:B$2,-1+SUMPRODUCT(MAX(ROW(E2372:E$2)*(E2373=E2372:E$2)))))</f>
        <v> </v>
      </c>
      <c r="J2373" s="25" t="str">
        <f>IF(OR(E2373="",E2373="!!!",F2373="NEW"),"",COUNTBLANK(OFFSET(A$1,,,SUMPRODUCT(MAX(ROW(E$2:E2373)*(E2373=E$2:E2373)))))-COUNTBLANK(OFFSET(A$1,,,SUMPRODUCT(MAX(ROW(E$1:E2372)*(E2=E$1:E2372))))))</f>
        <v> </v>
      </c>
      <c r="K2373" s="25" t="str">
        <f>IF(OR(E2373="",E2373="!!!",F2373="NEW"),"",INDEX(J$1:J2372,SUMPRODUCT(MAX(ROW(E$1:E2372)*(E2373=E$1:E2372)))))</f>
        <v> </v>
      </c>
      <c r="L2373" s="26"/>
    </row>
    <row r="2374" spans="1:12">
      <c r="A2374" s="20" t="s">
        <v>866</v>
      </c>
      <c r="B2374" s="27" t="s">
        <v>716</v>
      </c>
      <c r="C2374" s="27" t="s">
        <v>834</v>
      </c>
      <c r="D2374" s="27" t="s">
        <v>712</v>
      </c>
      <c r="E2374" s="21">
        <f>IF(D2374="?OLD","!!!","")</f>
        <v/>
      </c>
      <c r="F2374" s="22" t="str">
        <f>IF(OR(E2374="",E2374="!!!"),"",IF(NOT(ISNA(VLOOKUP(E2374,E$1:E2373,1,FALSE()))),"OLD",IF(AND(E2374&lt;&gt;"",E2374&lt;&gt;"!!!"),"NEW","")))</f>
        <v> </v>
      </c>
      <c r="G2374" s="23" t="str">
        <f>IF(OR(E2374="",E2374="!!!"),"",IF(OR(J2374=0,AND(J2374=1,K2374=1),AND(J2374=1,I2374="SBJ"),AND(J2374=1,I2374=0)),"?IN_FOCUS",IF(J2374&lt;=2,"?ACTIVATED",IF(J2374&lt;&gt;"","?FAMILIAR",IF(F2374="NEW",IF(ISNA(VLOOKUP(E2374,#REF!,1,FALSE())),"?TYPE_IDENTIFIABLE","?REFERENTIAL"),"_")))))</f>
        <v> </v>
      </c>
      <c r="H2374" s="24" t="str">
        <f>IF(J2374&lt;&gt;1,"",IF(I2374="SBJ","CB","?"))</f>
        <v> </v>
      </c>
      <c r="I2374" s="25" t="str">
        <f>IF(OR(E2374="",E2374="!!!",F2374="NEW"),"",INDEX(B2373:B$2,-1+SUMPRODUCT(MAX(ROW(E2373:E$2)*(E2374=E2373:E$2)))))</f>
        <v> </v>
      </c>
      <c r="J2374" s="25" t="str">
        <f>IF(OR(E2374="",E2374="!!!",F2374="NEW"),"",COUNTBLANK(OFFSET(A$1,,,SUMPRODUCT(MAX(ROW(E$2:E2374)*(E2374=E$2:E2374)))))-COUNTBLANK(OFFSET(A$1,,,SUMPRODUCT(MAX(ROW(E$1:E2373)*(E2=E$1:E2373))))))</f>
        <v> </v>
      </c>
      <c r="K2374" s="25" t="str">
        <f>IF(OR(E2374="",E2374="!!!",F2374="NEW"),"",INDEX(J$1:J2373,SUMPRODUCT(MAX(ROW(E$1:E2373)*(E2374=E$1:E2373)))))</f>
        <v> </v>
      </c>
      <c r="L2374" s="26"/>
    </row>
    <row r="2375" spans="1:12">
      <c r="A2375" s="20" t="s">
        <v>764</v>
      </c>
      <c r="E2375" s="21">
        <f>IF(D2375="?OLD","!!!","")</f>
        <v/>
      </c>
      <c r="F2375" s="22" t="str">
        <f>IF(OR(E2375="",E2375="!!!"),"",IF(NOT(ISNA(VLOOKUP(E2375,E$1:E2374,1,FALSE()))),"OLD",IF(AND(E2375&lt;&gt;"",E2375&lt;&gt;"!!!"),"NEW","")))</f>
        <v> </v>
      </c>
      <c r="G2375" s="23" t="str">
        <f>IF(OR(E2375="",E2375="!!!"),"",IF(OR(J2375=0,AND(J2375=1,K2375=1),AND(J2375=1,I2375="SBJ"),AND(J2375=1,I2375=0)),"?IN_FOCUS",IF(J2375&lt;=2,"?ACTIVATED",IF(J2375&lt;&gt;"","?FAMILIAR",IF(F2375="NEW",IF(ISNA(VLOOKUP(E2375,#REF!,1,FALSE())),"?TYPE_IDENTIFIABLE","?REFERENTIAL"),"_")))))</f>
        <v> </v>
      </c>
      <c r="H2375" s="24" t="str">
        <f>IF(J2375&lt;&gt;1,"",IF(I2375="SBJ","CB","?"))</f>
        <v> </v>
      </c>
      <c r="I2375" s="25" t="str">
        <f>IF(OR(E2375="",E2375="!!!",F2375="NEW"),"",INDEX(B2374:B$2,-1+SUMPRODUCT(MAX(ROW(E2374:E$2)*(E2375=E2374:E$2)))))</f>
        <v> </v>
      </c>
      <c r="J2375" s="25" t="str">
        <f>IF(OR(E2375="",E2375="!!!",F2375="NEW"),"",COUNTBLANK(OFFSET(A$1,,,SUMPRODUCT(MAX(ROW(E$2:E2375)*(E2375=E$2:E2375)))))-COUNTBLANK(OFFSET(A$1,,,SUMPRODUCT(MAX(ROW(E$1:E2374)*(E2=E$1:E2374))))))</f>
        <v> </v>
      </c>
      <c r="K2375" s="25" t="str">
        <f>IF(OR(E2375="",E2375="!!!",F2375="NEW"),"",INDEX(J$1:J2374,SUMPRODUCT(MAX(ROW(E$1:E2374)*(E2375=E$1:E2374)))))</f>
        <v> </v>
      </c>
      <c r="L2375" s="26"/>
    </row>
    <row r="2376" spans="1:12">
      <c r="A2376" s="20" t="s">
        <v>1594</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t="s">
        <v>860</v>
      </c>
      <c r="E2377" s="21">
        <f>IF(D2377="?OLD","!!!","")</f>
        <v/>
      </c>
      <c r="F2377" s="22" t="str">
        <f>IF(OR(E2377="",E2377="!!!"),"",IF(NOT(ISNA(VLOOKUP(E2377,E$1:E2376,1,FALSE()))),"OLD",IF(AND(E2377&lt;&gt;"",E2377&lt;&gt;"!!!"),"NEW","")))</f>
        <v> </v>
      </c>
      <c r="G2377" s="23" t="str">
        <f>IF(OR(E2377="",E2377="!!!"),"",IF(OR(J2377=0,AND(J2377=1,K2377=1),AND(J2377=1,I2377="SBJ"),AND(J2377=1,I2377=0)),"?IN_FOCUS",IF(J2377&lt;=2,"?ACTIVATED",IF(J2377&lt;&gt;"","?FAMILIAR",IF(F2377="NEW",IF(ISNA(VLOOKUP(E2377,#REF!,1,FALSE())),"?TYPE_IDENTIFIABLE","?REFERENTIAL"),"_")))))</f>
        <v> </v>
      </c>
      <c r="H2377" s="24" t="str">
        <f>IF(J2377&lt;&gt;1,"",IF(I2377="SBJ","CB","?"))</f>
        <v> </v>
      </c>
      <c r="I2377" s="25" t="str">
        <f>IF(OR(E2377="",E2377="!!!",F2377="NEW"),"",INDEX(B2376:B$2,-1+SUMPRODUCT(MAX(ROW(E2376:E$2)*(E2377=E2376:E$2)))))</f>
        <v> </v>
      </c>
      <c r="J2377" s="25" t="str">
        <f>IF(OR(E2377="",E2377="!!!",F2377="NEW"),"",COUNTBLANK(OFFSET(A$1,,,SUMPRODUCT(MAX(ROW(E$2:E2377)*(E2377=E$2:E2377)))))-COUNTBLANK(OFFSET(A$1,,,SUMPRODUCT(MAX(ROW(E$1:E2376)*(E2=E$1:E2376))))))</f>
        <v> </v>
      </c>
      <c r="K2377" s="25" t="str">
        <f>IF(OR(E2377="",E2377="!!!",F2377="NEW"),"",INDEX(J$1:J2376,SUMPRODUCT(MAX(ROW(E$1:E2376)*(E2377=E$1:E2376)))))</f>
        <v> </v>
      </c>
      <c r="L2377" s="26"/>
    </row>
    <row r="2378" spans="1:12">
      <c r="A2378" s="20" t="s">
        <v>1595</v>
      </c>
      <c r="E2378" s="21">
        <f>IF(D2378="?OLD","!!!","")</f>
        <v/>
      </c>
      <c r="F2378" s="22" t="str">
        <f>IF(OR(E2378="",E2378="!!!"),"",IF(NOT(ISNA(VLOOKUP(E2378,E$1:E2377,1,FALSE()))),"OLD",IF(AND(E2378&lt;&gt;"",E2378&lt;&gt;"!!!"),"NEW","")))</f>
        <v> </v>
      </c>
      <c r="G2378" s="23" t="str">
        <f>IF(OR(E2378="",E2378="!!!"),"",IF(OR(J2378=0,AND(J2378=1,K2378=1),AND(J2378=1,I2378="SBJ"),AND(J2378=1,I2378=0)),"?IN_FOCUS",IF(J2378&lt;=2,"?ACTIVATED",IF(J2378&lt;&gt;"","?FAMILIAR",IF(F2378="NEW",IF(ISNA(VLOOKUP(E2378,#REF!,1,FALSE())),"?TYPE_IDENTIFIABLE","?REFERENTIAL"),"_")))))</f>
        <v> </v>
      </c>
      <c r="H2378" s="24" t="str">
        <f>IF(J2378&lt;&gt;1,"",IF(I2378="SBJ","CB","?"))</f>
        <v> </v>
      </c>
      <c r="I2378" s="25" t="str">
        <f>IF(OR(E2378="",E2378="!!!",F2378="NEW"),"",INDEX(B2377:B$2,-1+SUMPRODUCT(MAX(ROW(E2377:E$2)*(E2378=E2377:E$2)))))</f>
        <v> </v>
      </c>
      <c r="J2378" s="25" t="str">
        <f>IF(OR(E2378="",E2378="!!!",F2378="NEW"),"",COUNTBLANK(OFFSET(A$1,,,SUMPRODUCT(MAX(ROW(E$2:E2378)*(E2378=E$2:E2378)))))-COUNTBLANK(OFFSET(A$1,,,SUMPRODUCT(MAX(ROW(E$1:E2377)*(E2=E$1:E2377))))))</f>
        <v> </v>
      </c>
      <c r="K2378" s="25" t="str">
        <f>IF(OR(E2378="",E2378="!!!",F2378="NEW"),"",INDEX(J$1:J2377,SUMPRODUCT(MAX(ROW(E$1:E2377)*(E2378=E$1:E2377)))))</f>
        <v> </v>
      </c>
      <c r="L2378" s="26"/>
    </row>
    <row r="2379" spans="1:12">
      <c r="A2379" s="20" t="s">
        <v>725</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row>
    <row r="2381" spans="1:12">
      <c r="A2381" s="20" t="s">
        <v>1596</v>
      </c>
    </row>
    <row r="2382" spans="1:12">
      <c r="A2382" s="20" t="s">
        <v>868</v>
      </c>
      <c r="B2382" s="27" t="s">
        <v>710</v>
      </c>
      <c r="C2382" s="27" t="s">
        <v>842</v>
      </c>
      <c r="D2382" s="27" t="s">
        <v>712</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t="s">
        <v>277</v>
      </c>
      <c r="E2383" s="21">
        <f>IF(D2383="?OLD","!!!","")</f>
        <v/>
      </c>
      <c r="F2383" s="22" t="str">
        <f>IF(OR(E2383="",E2383="!!!"),"",IF(NOT(ISNA(VLOOKUP(E2383,E$1:E2382,1,FALSE()))),"OLD",IF(AND(E2383&lt;&gt;"",E2383&lt;&gt;"!!!"),"NEW","")))</f>
        <v> </v>
      </c>
      <c r="G2383" s="23" t="str">
        <f>IF(OR(E2383="",E2383="!!!"),"",IF(OR(J2383=0,AND(J2383=1,K2383=1),AND(J2383=1,I2383="SBJ"),AND(J2383=1,I2383=0)),"?IN_FOCUS",IF(J2383&lt;=2,"?ACTIVATED",IF(J2383&lt;&gt;"","?FAMILIAR",IF(F2383="NEW",IF(ISNA(VLOOKUP(E2383,#REF!,1,FALSE())),"?TYPE_IDENTIFIABLE","?REFERENTIAL"),"_")))))</f>
        <v> </v>
      </c>
      <c r="H2383" s="24" t="str">
        <f>IF(J2383&lt;&gt;1,"",IF(I2383="SBJ","CB","?"))</f>
        <v> </v>
      </c>
      <c r="I2383" s="25" t="str">
        <f>IF(OR(E2383="",E2383="!!!",F2383="NEW"),"",INDEX(B2382:B$2,-1+SUMPRODUCT(MAX(ROW(E2382:E$2)*(E2383=E2382:E$2)))))</f>
        <v> </v>
      </c>
      <c r="J2383" s="25" t="str">
        <f>IF(OR(E2383="",E2383="!!!",F2383="NEW"),"",COUNTBLANK(OFFSET(A$1,,,SUMPRODUCT(MAX(ROW(E$2:E2383)*(E2383=E$2:E2383)))))-COUNTBLANK(OFFSET(A$1,,,SUMPRODUCT(MAX(ROW(E$1:E2382)*(E2=E$1:E2382))))))</f>
        <v> </v>
      </c>
      <c r="K2383" s="25" t="str">
        <f>IF(OR(E2383="",E2383="!!!",F2383="NEW"),"",INDEX(J$1:J2382,SUMPRODUCT(MAX(ROW(E$1:E2382)*(E2383=E$1:E2382)))))</f>
        <v> </v>
      </c>
      <c r="L2383" s="26"/>
    </row>
    <row r="2384" spans="1:12">
      <c r="A2384" s="20" t="s">
        <v>988</v>
      </c>
      <c r="B2384" s="27" t="s">
        <v>777</v>
      </c>
      <c r="C2384" s="27" t="s">
        <v>842</v>
      </c>
      <c r="D2384" s="27" t="s">
        <v>712</v>
      </c>
      <c r="E2384" s="21">
        <f>IF(D2384="?OLD","!!!","")</f>
        <v/>
      </c>
      <c r="F2384" s="22" t="str">
        <f>IF(OR(E2384="",E2384="!!!"),"",IF(NOT(ISNA(VLOOKUP(E2384,E$1:E2383,1,FALSE()))),"OLD",IF(AND(E2384&lt;&gt;"",E2384&lt;&gt;"!!!"),"NEW","")))</f>
        <v> </v>
      </c>
      <c r="G2384" s="23" t="str">
        <f>IF(OR(E2384="",E2384="!!!"),"",IF(OR(J2384=0,AND(J2384=1,K2384=1),AND(J2384=1,I2384="SBJ"),AND(J2384=1,I2384=0)),"?IN_FOCUS",IF(J2384&lt;=2,"?ACTIVATED",IF(J2384&lt;&gt;"","?FAMILIAR",IF(F2384="NEW",IF(ISNA(VLOOKUP(E2384,#REF!,1,FALSE())),"?TYPE_IDENTIFIABLE","?REFERENTIAL"),"_")))))</f>
        <v> </v>
      </c>
      <c r="H2384" s="24" t="str">
        <f>IF(J2384&lt;&gt;1,"",IF(I2384="SBJ","CB","?"))</f>
        <v> </v>
      </c>
      <c r="I2384" s="25" t="str">
        <f>IF(OR(E2384="",E2384="!!!",F2384="NEW"),"",INDEX(B2383:B$2,-1+SUMPRODUCT(MAX(ROW(E2383:E$2)*(E2384=E2383:E$2)))))</f>
        <v> </v>
      </c>
      <c r="J2384" s="25" t="str">
        <f>IF(OR(E2384="",E2384="!!!",F2384="NEW"),"",COUNTBLANK(OFFSET(A$1,,,SUMPRODUCT(MAX(ROW(E$2:E2384)*(E2384=E$2:E2384)))))-COUNTBLANK(OFFSET(A$1,,,SUMPRODUCT(MAX(ROW(E$1:E2383)*(E2=E$1:E2383))))))</f>
        <v> </v>
      </c>
      <c r="K2384" s="25" t="str">
        <f>IF(OR(E2384="",E2384="!!!",F2384="NEW"),"",INDEX(J$1:J2383,SUMPRODUCT(MAX(ROW(E$1:E2383)*(E2384=E$1:E2383)))))</f>
        <v> </v>
      </c>
      <c r="L2384" s="26"/>
    </row>
    <row r="2385" spans="1:12">
      <c r="A2385" s="20" t="s">
        <v>886</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725</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row>
    <row r="2388" spans="1:12">
      <c r="A2388" s="20" t="s">
        <v>1597</v>
      </c>
    </row>
    <row r="2389" spans="1:12">
      <c r="A2389" s="20" t="s">
        <v>868</v>
      </c>
      <c r="B2389" s="27" t="s">
        <v>710</v>
      </c>
      <c r="C2389" s="27" t="s">
        <v>842</v>
      </c>
      <c r="D2389" s="27" t="s">
        <v>712</v>
      </c>
      <c r="E2389" s="21">
        <f>IF(D2389="?OLD","!!!","")</f>
        <v/>
      </c>
      <c r="F2389" s="22" t="str">
        <f>IF(OR(E2389="",E2389="!!!"),"",IF(NOT(ISNA(VLOOKUP(E2389,E$1:E2388,1,FALSE()))),"OLD",IF(AND(E2389&lt;&gt;"",E2389&lt;&gt;"!!!"),"NEW","")))</f>
        <v> </v>
      </c>
      <c r="G2389" s="23" t="str">
        <f>IF(OR(E2389="",E2389="!!!"),"",IF(OR(J2389=0,AND(J2389=1,K2389=1),AND(J2389=1,I2389="SBJ"),AND(J2389=1,I2389=0)),"?IN_FOCUS",IF(J2389&lt;=2,"?ACTIVATED",IF(J2389&lt;&gt;"","?FAMILIAR",IF(F2389="NEW",IF(ISNA(VLOOKUP(E2389,#REF!,1,FALSE())),"?TYPE_IDENTIFIABLE","?REFERENTIAL"),"_")))))</f>
        <v> </v>
      </c>
      <c r="H2389" s="24" t="str">
        <f>IF(J2389&lt;&gt;1,"",IF(I2389="SBJ","CB","?"))</f>
        <v> </v>
      </c>
      <c r="I2389" s="25" t="str">
        <f>IF(OR(E2389="",E2389="!!!",F2389="NEW"),"",INDEX(B2388:B$2,-1+SUMPRODUCT(MAX(ROW(E2388:E$2)*(E2389=E2388:E$2)))))</f>
        <v> </v>
      </c>
      <c r="J2389" s="25" t="str">
        <f>IF(OR(E2389="",E2389="!!!",F2389="NEW"),"",COUNTBLANK(OFFSET(A$1,,,SUMPRODUCT(MAX(ROW(E$2:E2389)*(E2389=E$2:E2389)))))-COUNTBLANK(OFFSET(A$1,,,SUMPRODUCT(MAX(ROW(E$1:E2388)*(E2=E$1:E2388))))))</f>
        <v> </v>
      </c>
      <c r="K2389" s="25" t="str">
        <f>IF(OR(E2389="",E2389="!!!",F2389="NEW"),"",INDEX(J$1:J2388,SUMPRODUCT(MAX(ROW(E$1:E2388)*(E2389=E$1:E2388)))))</f>
        <v> </v>
      </c>
      <c r="L2389" s="26"/>
    </row>
    <row r="2390" spans="1:12">
      <c r="A2390" s="20" t="s">
        <v>562</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1199</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1598</v>
      </c>
      <c r="B2392" s="27" t="s">
        <v>777</v>
      </c>
      <c r="C2392" s="27" t="s">
        <v>1129</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1092</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764</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741</v>
      </c>
      <c r="B2395" s="27" t="s">
        <v>749</v>
      </c>
      <c r="C2395" s="27" t="s">
        <v>743</v>
      </c>
      <c r="D2395" s="27" t="s">
        <v>712</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t="s">
        <v>1599</v>
      </c>
      <c r="E2396" s="21">
        <f>IF(D2396="?OLD","!!!","")</f>
        <v/>
      </c>
      <c r="F2396" s="22" t="str">
        <f>IF(OR(E2396="",E2396="!!!"),"",IF(NOT(ISNA(VLOOKUP(E2396,E$1:E2395,1,FALSE()))),"OLD",IF(AND(E2396&lt;&gt;"",E2396&lt;&gt;"!!!"),"NEW","")))</f>
        <v> </v>
      </c>
      <c r="G2396" s="23" t="str">
        <f>IF(OR(E2396="",E2396="!!!"),"",IF(OR(J2396=0,AND(J2396=1,K2396=1),AND(J2396=1,I2396="SBJ"),AND(J2396=1,I2396=0)),"?IN_FOCUS",IF(J2396&lt;=2,"?ACTIVATED",IF(J2396&lt;&gt;"","?FAMILIAR",IF(F2396="NEW",IF(ISNA(VLOOKUP(E2396,#REF!,1,FALSE())),"?TYPE_IDENTIFIABLE","?REFERENTIAL"),"_")))))</f>
        <v> </v>
      </c>
      <c r="H2396" s="24" t="str">
        <f>IF(J2396&lt;&gt;1,"",IF(I2396="SBJ","CB","?"))</f>
        <v> </v>
      </c>
      <c r="I2396" s="25" t="str">
        <f>IF(OR(E2396="",E2396="!!!",F2396="NEW"),"",INDEX(B2395:B$2,-1+SUMPRODUCT(MAX(ROW(E2395:E$2)*(E2396=E2395:E$2)))))</f>
        <v> </v>
      </c>
      <c r="J2396" s="25" t="str">
        <f>IF(OR(E2396="",E2396="!!!",F2396="NEW"),"",COUNTBLANK(OFFSET(A$1,,,SUMPRODUCT(MAX(ROW(E$2:E2396)*(E2396=E$2:E2396)))))-COUNTBLANK(OFFSET(A$1,,,SUMPRODUCT(MAX(ROW(E$1:E2395)*(E2=E$1:E2395))))))</f>
        <v> </v>
      </c>
      <c r="K2396" s="25" t="str">
        <f>IF(OR(E2396="",E2396="!!!",F2396="NEW"),"",INDEX(J$1:J2395,SUMPRODUCT(MAX(ROW(E$1:E2395)*(E2396=E$1:E2395)))))</f>
        <v> </v>
      </c>
      <c r="L2396" s="26"/>
    </row>
    <row r="2397" spans="1:12">
      <c r="A2397" s="20" t="s">
        <v>1120</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t="s">
        <v>941</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1306</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t="s">
        <v>910</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t="s">
        <v>1600</v>
      </c>
      <c r="B2401" s="27" t="s">
        <v>731</v>
      </c>
      <c r="C2401" s="27" t="s">
        <v>711</v>
      </c>
      <c r="D2401" s="27" t="s">
        <v>712</v>
      </c>
      <c r="E2401" s="21">
        <f>IF(D2401="?OLD","!!!","")</f>
        <v/>
      </c>
      <c r="F2401" s="22" t="str">
        <f>IF(OR(E2401="",E2401="!!!"),"",IF(NOT(ISNA(VLOOKUP(E2401,E$1:E2400,1,FALSE()))),"OLD",IF(AND(E2401&lt;&gt;"",E2401&lt;&gt;"!!!"),"NEW","")))</f>
        <v> </v>
      </c>
      <c r="G2401" s="23" t="str">
        <f>IF(OR(E2401="",E2401="!!!"),"",IF(OR(J2401=0,AND(J2401=1,K2401=1),AND(J2401=1,I2401="SBJ"),AND(J2401=1,I2401=0)),"?IN_FOCUS",IF(J2401&lt;=2,"?ACTIVATED",IF(J2401&lt;&gt;"","?FAMILIAR",IF(F2401="NEW",IF(ISNA(VLOOKUP(E2401,#REF!,1,FALSE())),"?TYPE_IDENTIFIABLE","?REFERENTIAL"),"_")))))</f>
        <v> </v>
      </c>
      <c r="H2401" s="24" t="str">
        <f>IF(J2401&lt;&gt;1,"",IF(I2401="SBJ","CB","?"))</f>
        <v> </v>
      </c>
      <c r="I2401" s="25" t="str">
        <f>IF(OR(E2401="",E2401="!!!",F2401="NEW"),"",INDEX(B2400:B$2,-1+SUMPRODUCT(MAX(ROW(E2400:E$2)*(E2401=E2400:E$2)))))</f>
        <v> </v>
      </c>
      <c r="J2401" s="25" t="str">
        <f>IF(OR(E2401="",E2401="!!!",F2401="NEW"),"",COUNTBLANK(OFFSET(A$1,,,SUMPRODUCT(MAX(ROW(E$2:E2401)*(E2401=E$2:E2401)))))-COUNTBLANK(OFFSET(A$1,,,SUMPRODUCT(MAX(ROW(E$1:E2400)*(E2=E$1:E2400))))))</f>
        <v> </v>
      </c>
      <c r="K2401" s="25" t="str">
        <f>IF(OR(E2401="",E2401="!!!",F2401="NEW"),"",INDEX(J$1:J2400,SUMPRODUCT(MAX(ROW(E$1:E2400)*(E2401=E$1:E2400)))))</f>
        <v> </v>
      </c>
      <c r="L2401" s="26"/>
    </row>
    <row r="2402" spans="1:12">
      <c r="A2402" s="20" t="s">
        <v>1601</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t="s">
        <v>1096</v>
      </c>
      <c r="B2403" s="27" t="s">
        <v>724</v>
      </c>
      <c r="C2403" s="27" t="s">
        <v>1129</v>
      </c>
      <c r="E2403" s="21">
        <f>IF(D2403="?OLD","!!!","")</f>
        <v/>
      </c>
      <c r="F2403" s="22" t="str">
        <f>IF(OR(E2403="",E2403="!!!"),"",IF(NOT(ISNA(VLOOKUP(E2403,E$1:E2402,1,FALSE()))),"OLD",IF(AND(E2403&lt;&gt;"",E2403&lt;&gt;"!!!"),"NEW","")))</f>
        <v> </v>
      </c>
      <c r="G2403" s="23" t="str">
        <f>IF(OR(E2403="",E2403="!!!"),"",IF(OR(J2403=0,AND(J2403=1,K2403=1),AND(J2403=1,I2403="SBJ"),AND(J2403=1,I2403=0)),"?IN_FOCUS",IF(J2403&lt;=2,"?ACTIVATED",IF(J2403&lt;&gt;"","?FAMILIAR",IF(F2403="NEW",IF(ISNA(VLOOKUP(E2403,#REF!,1,FALSE())),"?TYPE_IDENTIFIABLE","?REFERENTIAL"),"_")))))</f>
        <v> </v>
      </c>
      <c r="H2403" s="24" t="str">
        <f>IF(J2403&lt;&gt;1,"",IF(I2403="SBJ","CB","?"))</f>
        <v> </v>
      </c>
      <c r="I2403" s="25" t="str">
        <f>IF(OR(E2403="",E2403="!!!",F2403="NEW"),"",INDEX(B2402:B$2,-1+SUMPRODUCT(MAX(ROW(E2402:E$2)*(E2403=E2402:E$2)))))</f>
        <v> </v>
      </c>
      <c r="J2403" s="25" t="str">
        <f>IF(OR(E2403="",E2403="!!!",F2403="NEW"),"",COUNTBLANK(OFFSET(A$1,,,SUMPRODUCT(MAX(ROW(E$2:E2403)*(E2403=E$2:E2403)))))-COUNTBLANK(OFFSET(A$1,,,SUMPRODUCT(MAX(ROW(E$1:E2402)*(E2=E$1:E2402))))))</f>
        <v> </v>
      </c>
      <c r="K2403" s="25" t="str">
        <f>IF(OR(E2403="",E2403="!!!",F2403="NEW"),"",INDEX(J$1:J2402,SUMPRODUCT(MAX(ROW(E$1:E2402)*(E2403=E$1:E2402)))))</f>
        <v> </v>
      </c>
      <c r="L2403" s="26"/>
    </row>
    <row r="2404" spans="1:12">
      <c r="A2404" s="20" t="s">
        <v>725</v>
      </c>
      <c r="E2404" s="21">
        <f>IF(D2404="?OLD","!!!","")</f>
        <v/>
      </c>
      <c r="F2404" s="22" t="str">
        <f>IF(OR(E2404="",E2404="!!!"),"",IF(NOT(ISNA(VLOOKUP(E2404,E$1:E2403,1,FALSE()))),"OLD",IF(AND(E2404&lt;&gt;"",E2404&lt;&gt;"!!!"),"NEW","")))</f>
        <v> </v>
      </c>
      <c r="G2404" s="23" t="str">
        <f>IF(OR(E2404="",E2404="!!!"),"",IF(OR(J2404=0,AND(J2404=1,K2404=1),AND(J2404=1,I2404="SBJ"),AND(J2404=1,I2404=0)),"?IN_FOCUS",IF(J2404&lt;=2,"?ACTIVATED",IF(J2404&lt;&gt;"","?FAMILIAR",IF(F2404="NEW",IF(ISNA(VLOOKUP(E2404,#REF!,1,FALSE())),"?TYPE_IDENTIFIABLE","?REFERENTIAL"),"_")))))</f>
        <v> </v>
      </c>
      <c r="H2404" s="24" t="str">
        <f>IF(J2404&lt;&gt;1,"",IF(I2404="SBJ","CB","?"))</f>
        <v> </v>
      </c>
      <c r="I2404" s="25" t="str">
        <f>IF(OR(E2404="",E2404="!!!",F2404="NEW"),"",INDEX(B2403:B$2,-1+SUMPRODUCT(MAX(ROW(E2403:E$2)*(E2404=E2403:E$2)))))</f>
        <v> </v>
      </c>
      <c r="J2404" s="25" t="str">
        <f>IF(OR(E2404="",E2404="!!!",F2404="NEW"),"",COUNTBLANK(OFFSET(A$1,,,SUMPRODUCT(MAX(ROW(E$2:E2404)*(E2404=E$2:E2404)))))-COUNTBLANK(OFFSET(A$1,,,SUMPRODUCT(MAX(ROW(E$1:E2403)*(E2=E$1:E2403))))))</f>
        <v> </v>
      </c>
      <c r="K2404" s="25" t="str">
        <f>IF(OR(E2404="",E2404="!!!",F2404="NEW"),"",INDEX(J$1:J2403,SUMPRODUCT(MAX(ROW(E$1:E2403)*(E2404=E$1:E2403)))))</f>
        <v> </v>
      </c>
      <c r="L2404" s="26"/>
    </row>
    <row r="2405" spans="1:12">
      <c r="A2405" s="20"/>
    </row>
    <row r="2406" spans="1:12">
      <c r="A2406" s="20" t="s">
        <v>1602</v>
      </c>
    </row>
    <row r="2407" spans="1:12">
      <c r="A2407" s="20" t="s">
        <v>1479</v>
      </c>
      <c r="B2407" s="27" t="s">
        <v>716</v>
      </c>
      <c r="C2407" s="27" t="s">
        <v>743</v>
      </c>
      <c r="D2407" s="27" t="s">
        <v>712</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t="s">
        <v>993</v>
      </c>
      <c r="E2408" s="21">
        <f>IF(D2408="?OLD","!!!","")</f>
        <v/>
      </c>
      <c r="F2408" s="22" t="str">
        <f>IF(OR(E2408="",E2408="!!!"),"",IF(NOT(ISNA(VLOOKUP(E2408,E$1:E2407,1,FALSE()))),"OLD",IF(AND(E2408&lt;&gt;"",E2408&lt;&gt;"!!!"),"NEW","")))</f>
        <v> </v>
      </c>
      <c r="G2408" s="23" t="str">
        <f>IF(OR(E2408="",E2408="!!!"),"",IF(OR(J2408=0,AND(J2408=1,K2408=1),AND(J2408=1,I2408="SBJ"),AND(J2408=1,I2408=0)),"?IN_FOCUS",IF(J2408&lt;=2,"?ACTIVATED",IF(J2408&lt;&gt;"","?FAMILIAR",IF(F2408="NEW",IF(ISNA(VLOOKUP(E2408,#REF!,1,FALSE())),"?TYPE_IDENTIFIABLE","?REFERENTIAL"),"_")))))</f>
        <v> </v>
      </c>
      <c r="H2408" s="24" t="str">
        <f>IF(J2408&lt;&gt;1,"",IF(I2408="SBJ","CB","?"))</f>
        <v> </v>
      </c>
      <c r="I2408" s="25" t="str">
        <f>IF(OR(E2408="",E2408="!!!",F2408="NEW"),"",INDEX(B2407:B$2,-1+SUMPRODUCT(MAX(ROW(E2407:E$2)*(E2408=E2407:E$2)))))</f>
        <v> </v>
      </c>
      <c r="J2408" s="25" t="str">
        <f>IF(OR(E2408="",E2408="!!!",F2408="NEW"),"",COUNTBLANK(OFFSET(A$1,,,SUMPRODUCT(MAX(ROW(E$2:E2408)*(E2408=E$2:E2408)))))-COUNTBLANK(OFFSET(A$1,,,SUMPRODUCT(MAX(ROW(E$1:E2407)*(E2=E$1:E2407))))))</f>
        <v> </v>
      </c>
      <c r="K2408" s="25" t="str">
        <f>IF(OR(E2408="",E2408="!!!",F2408="NEW"),"",INDEX(J$1:J2407,SUMPRODUCT(MAX(ROW(E$1:E2407)*(E2408=E$1:E2407)))))</f>
        <v> </v>
      </c>
      <c r="L2408" s="26"/>
    </row>
    <row r="2409" spans="1:12">
      <c r="A2409" s="20" t="s">
        <v>1502</v>
      </c>
      <c r="B2409" s="27" t="s">
        <v>731</v>
      </c>
      <c r="C2409" s="27" t="s">
        <v>842</v>
      </c>
      <c r="D2409" s="27" t="s">
        <v>712</v>
      </c>
      <c r="E2409" s="21">
        <f>IF(D2409="?OLD","!!!","")</f>
        <v/>
      </c>
      <c r="F2409" s="22" t="str">
        <f>IF(OR(E2409="",E2409="!!!"),"",IF(NOT(ISNA(VLOOKUP(E2409,E$1:E2408,1,FALSE()))),"OLD",IF(AND(E2409&lt;&gt;"",E2409&lt;&gt;"!!!"),"NEW","")))</f>
        <v> </v>
      </c>
      <c r="G2409" s="23" t="str">
        <f>IF(OR(E2409="",E2409="!!!"),"",IF(OR(J2409=0,AND(J2409=1,K2409=1),AND(J2409=1,I2409="SBJ"),AND(J2409=1,I2409=0)),"?IN_FOCUS",IF(J2409&lt;=2,"?ACTIVATED",IF(J2409&lt;&gt;"","?FAMILIAR",IF(F2409="NEW",IF(ISNA(VLOOKUP(E2409,#REF!,1,FALSE())),"?TYPE_IDENTIFIABLE","?REFERENTIAL"),"_")))))</f>
        <v> </v>
      </c>
      <c r="H2409" s="24" t="str">
        <f>IF(J2409&lt;&gt;1,"",IF(I2409="SBJ","CB","?"))</f>
        <v> </v>
      </c>
      <c r="I2409" s="25" t="str">
        <f>IF(OR(E2409="",E2409="!!!",F2409="NEW"),"",INDEX(B2408:B$2,-1+SUMPRODUCT(MAX(ROW(E2408:E$2)*(E2409=E2408:E$2)))))</f>
        <v> </v>
      </c>
      <c r="J2409" s="25" t="str">
        <f>IF(OR(E2409="",E2409="!!!",F2409="NEW"),"",COUNTBLANK(OFFSET(A$1,,,SUMPRODUCT(MAX(ROW(E$2:E2409)*(E2409=E$2:E2409)))))-COUNTBLANK(OFFSET(A$1,,,SUMPRODUCT(MAX(ROW(E$1:E2408)*(E2=E$1:E2408))))))</f>
        <v> </v>
      </c>
      <c r="K2409" s="25" t="str">
        <f>IF(OR(E2409="",E2409="!!!",F2409="NEW"),"",INDEX(J$1:J2408,SUMPRODUCT(MAX(ROW(E$1:E2408)*(E2409=E$1:E2408)))))</f>
        <v> </v>
      </c>
      <c r="L2409" s="26"/>
    </row>
    <row r="2410" spans="1:12">
      <c r="A2410" s="20" t="s">
        <v>423</v>
      </c>
      <c r="E2410" s="21">
        <f>IF(D2410="?OLD","!!!","")</f>
        <v/>
      </c>
      <c r="F2410" s="22" t="str">
        <f>IF(OR(E2410="",E2410="!!!"),"",IF(NOT(ISNA(VLOOKUP(E2410,E$1:E2409,1,FALSE()))),"OLD",IF(AND(E2410&lt;&gt;"",E2410&lt;&gt;"!!!"),"NEW","")))</f>
        <v> </v>
      </c>
      <c r="G2410" s="23" t="str">
        <f>IF(OR(E2410="",E2410="!!!"),"",IF(OR(J2410=0,AND(J2410=1,K2410=1),AND(J2410=1,I2410="SBJ"),AND(J2410=1,I2410=0)),"?IN_FOCUS",IF(J2410&lt;=2,"?ACTIVATED",IF(J2410&lt;&gt;"","?FAMILIAR",IF(F2410="NEW",IF(ISNA(VLOOKUP(E2410,#REF!,1,FALSE())),"?TYPE_IDENTIFIABLE","?REFERENTIAL"),"_")))))</f>
        <v> </v>
      </c>
      <c r="H2410" s="24" t="str">
        <f>IF(J2410&lt;&gt;1,"",IF(I2410="SBJ","CB","?"))</f>
        <v> </v>
      </c>
      <c r="I2410" s="25" t="str">
        <f>IF(OR(E2410="",E2410="!!!",F2410="NEW"),"",INDEX(B2409:B$2,-1+SUMPRODUCT(MAX(ROW(E2409:E$2)*(E2410=E2409:E$2)))))</f>
        <v> </v>
      </c>
      <c r="J2410" s="25" t="str">
        <f>IF(OR(E2410="",E2410="!!!",F2410="NEW"),"",COUNTBLANK(OFFSET(A$1,,,SUMPRODUCT(MAX(ROW(E$2:E2410)*(E2410=E$2:E2410)))))-COUNTBLANK(OFFSET(A$1,,,SUMPRODUCT(MAX(ROW(E$1:E2409)*(E2=E$1:E2409))))))</f>
        <v> </v>
      </c>
      <c r="K2410" s="25" t="str">
        <f>IF(OR(E2410="",E2410="!!!",F2410="NEW"),"",INDEX(J$1:J2409,SUMPRODUCT(MAX(ROW(E$1:E2409)*(E2410=E$1:E2409)))))</f>
        <v> </v>
      </c>
      <c r="L2410" s="26"/>
    </row>
    <row r="2411" spans="1:12">
      <c r="A2411" s="20" t="s">
        <v>1603</v>
      </c>
      <c r="B2411" s="27" t="s">
        <v>716</v>
      </c>
      <c r="C2411" s="27" t="s">
        <v>778</v>
      </c>
      <c r="E2411" s="21">
        <f>IF(D2411="?OLD","!!!","")</f>
        <v/>
      </c>
      <c r="F2411" s="22" t="str">
        <f>IF(OR(E2411="",E2411="!!!"),"",IF(NOT(ISNA(VLOOKUP(E2411,E$1:E2410,1,FALSE()))),"OLD",IF(AND(E2411&lt;&gt;"",E2411&lt;&gt;"!!!"),"NEW","")))</f>
        <v> </v>
      </c>
      <c r="G2411" s="23" t="str">
        <f>IF(OR(E2411="",E2411="!!!"),"",IF(OR(J2411=0,AND(J2411=1,K2411=1),AND(J2411=1,I2411="SBJ"),AND(J2411=1,I2411=0)),"?IN_FOCUS",IF(J2411&lt;=2,"?ACTIVATED",IF(J2411&lt;&gt;"","?FAMILIAR",IF(F2411="NEW",IF(ISNA(VLOOKUP(E2411,#REF!,1,FALSE())),"?TYPE_IDENTIFIABLE","?REFERENTIAL"),"_")))))</f>
        <v> </v>
      </c>
      <c r="H2411" s="24" t="str">
        <f>IF(J2411&lt;&gt;1,"",IF(I2411="SBJ","CB","?"))</f>
        <v> </v>
      </c>
      <c r="I2411" s="25" t="str">
        <f>IF(OR(E2411="",E2411="!!!",F2411="NEW"),"",INDEX(B2410:B$2,-1+SUMPRODUCT(MAX(ROW(E2410:E$2)*(E2411=E2410:E$2)))))</f>
        <v> </v>
      </c>
      <c r="J2411" s="25" t="str">
        <f>IF(OR(E2411="",E2411="!!!",F2411="NEW"),"",COUNTBLANK(OFFSET(A$1,,,SUMPRODUCT(MAX(ROW(E$2:E2411)*(E2411=E$2:E2411)))))-COUNTBLANK(OFFSET(A$1,,,SUMPRODUCT(MAX(ROW(E$1:E2410)*(E2=E$1:E2410))))))</f>
        <v> </v>
      </c>
      <c r="K2411" s="25" t="str">
        <f>IF(OR(E2411="",E2411="!!!",F2411="NEW"),"",INDEX(J$1:J2410,SUMPRODUCT(MAX(ROW(E$1:E2410)*(E2411=E$1:E2410)))))</f>
        <v> </v>
      </c>
      <c r="L2411" s="26"/>
    </row>
    <row r="2412" spans="1:12">
      <c r="A2412" s="20" t="s">
        <v>725</v>
      </c>
      <c r="E2412" s="21">
        <f>IF(D2412="?OLD","!!!","")</f>
        <v/>
      </c>
      <c r="F2412" s="22" t="str">
        <f>IF(OR(E2412="",E2412="!!!"),"",IF(NOT(ISNA(VLOOKUP(E2412,E$1:E2411,1,FALSE()))),"OLD",IF(AND(E2412&lt;&gt;"",E2412&lt;&gt;"!!!"),"NEW","")))</f>
        <v> </v>
      </c>
      <c r="G2412" s="23" t="str">
        <f>IF(OR(E2412="",E2412="!!!"),"",IF(OR(J2412=0,AND(J2412=1,K2412=1),AND(J2412=1,I2412="SBJ"),AND(J2412=1,I2412=0)),"?IN_FOCUS",IF(J2412&lt;=2,"?ACTIVATED",IF(J2412&lt;&gt;"","?FAMILIAR",IF(F2412="NEW",IF(ISNA(VLOOKUP(E2412,#REF!,1,FALSE())),"?TYPE_IDENTIFIABLE","?REFERENTIAL"),"_")))))</f>
        <v> </v>
      </c>
      <c r="H2412" s="24" t="str">
        <f>IF(J2412&lt;&gt;1,"",IF(I2412="SBJ","CB","?"))</f>
        <v> </v>
      </c>
      <c r="I2412" s="25" t="str">
        <f>IF(OR(E2412="",E2412="!!!",F2412="NEW"),"",INDEX(B2411:B$2,-1+SUMPRODUCT(MAX(ROW(E2411:E$2)*(E2412=E2411:E$2)))))</f>
        <v> </v>
      </c>
      <c r="J2412" s="25" t="str">
        <f>IF(OR(E2412="",E2412="!!!",F2412="NEW"),"",COUNTBLANK(OFFSET(A$1,,,SUMPRODUCT(MAX(ROW(E$2:E2412)*(E2412=E$2:E2412)))))-COUNTBLANK(OFFSET(A$1,,,SUMPRODUCT(MAX(ROW(E$1:E2411)*(E2=E$1:E2411))))))</f>
        <v> </v>
      </c>
      <c r="K2412" s="25" t="str">
        <f>IF(OR(E2412="",E2412="!!!",F2412="NEW"),"",INDEX(J$1:J2411,SUMPRODUCT(MAX(ROW(E$1:E2411)*(E2412=E$1:E2411)))))</f>
        <v> </v>
      </c>
      <c r="L2412" s="26"/>
    </row>
    <row r="2413" spans="1:12">
      <c r="A2413" s="20"/>
    </row>
    <row r="2414" spans="1:12">
      <c r="A2414" s="20" t="s">
        <v>1604</v>
      </c>
    </row>
    <row r="2415" spans="1:12">
      <c r="A2415" s="20" t="s">
        <v>868</v>
      </c>
      <c r="B2415" s="27" t="s">
        <v>710</v>
      </c>
      <c r="C2415" s="27" t="s">
        <v>842</v>
      </c>
      <c r="D2415" s="27" t="s">
        <v>712</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t="s">
        <v>804</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800</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86</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914</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122</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802</v>
      </c>
      <c r="B2421" s="27" t="s">
        <v>716</v>
      </c>
      <c r="C2421" s="27" t="s">
        <v>778</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t="s">
        <v>714</v>
      </c>
      <c r="E2422" s="21">
        <f>IF(D2422="?OLD","!!!","")</f>
        <v/>
      </c>
      <c r="F2422" s="22" t="str">
        <f>IF(OR(E2422="",E2422="!!!"),"",IF(NOT(ISNA(VLOOKUP(E2422,E$1:E2421,1,FALSE()))),"OLD",IF(AND(E2422&lt;&gt;"",E2422&lt;&gt;"!!!"),"NEW","")))</f>
        <v> </v>
      </c>
      <c r="G2422" s="23" t="str">
        <f>IF(OR(E2422="",E2422="!!!"),"",IF(OR(J2422=0,AND(J2422=1,K2422=1),AND(J2422=1,I2422="SBJ"),AND(J2422=1,I2422=0)),"?IN_FOCUS",IF(J2422&lt;=2,"?ACTIVATED",IF(J2422&lt;&gt;"","?FAMILIAR",IF(F2422="NEW",IF(ISNA(VLOOKUP(E2422,#REF!,1,FALSE())),"?TYPE_IDENTIFIABLE","?REFERENTIAL"),"_")))))</f>
        <v> </v>
      </c>
      <c r="H2422" s="24" t="str">
        <f>IF(J2422&lt;&gt;1,"",IF(I2422="SBJ","CB","?"))</f>
        <v> </v>
      </c>
      <c r="I2422" s="25" t="str">
        <f>IF(OR(E2422="",E2422="!!!",F2422="NEW"),"",INDEX(B2421:B$2,-1+SUMPRODUCT(MAX(ROW(E2421:E$2)*(E2422=E2421:E$2)))))</f>
        <v> </v>
      </c>
      <c r="J2422" s="25" t="str">
        <f>IF(OR(E2422="",E2422="!!!",F2422="NEW"),"",COUNTBLANK(OFFSET(A$1,,,SUMPRODUCT(MAX(ROW(E$2:E2422)*(E2422=E$2:E2422)))))-COUNTBLANK(OFFSET(A$1,,,SUMPRODUCT(MAX(ROW(E$1:E2421)*(E2=E$1:E2421))))))</f>
        <v> </v>
      </c>
      <c r="K2422" s="25" t="str">
        <f>IF(OR(E2422="",E2422="!!!",F2422="NEW"),"",INDEX(J$1:J2421,SUMPRODUCT(MAX(ROW(E$1:E2421)*(E2422=E$1:E2421)))))</f>
        <v> </v>
      </c>
      <c r="L2422" s="26"/>
    </row>
    <row r="2423" spans="1:12">
      <c r="A2423" s="20" t="s">
        <v>1605</v>
      </c>
      <c r="B2423" s="27" t="s">
        <v>716</v>
      </c>
      <c r="C2423" s="27" t="s">
        <v>761</v>
      </c>
      <c r="D2423" s="27" t="s">
        <v>712</v>
      </c>
      <c r="E2423" s="21">
        <f>IF(D2423="?OLD","!!!","")</f>
        <v/>
      </c>
      <c r="F2423" s="22" t="str">
        <f>IF(OR(E2423="",E2423="!!!"),"",IF(NOT(ISNA(VLOOKUP(E2423,E$1:E2422,1,FALSE()))),"OLD",IF(AND(E2423&lt;&gt;"",E2423&lt;&gt;"!!!"),"NEW","")))</f>
        <v> </v>
      </c>
      <c r="G2423" s="23" t="str">
        <f>IF(OR(E2423="",E2423="!!!"),"",IF(OR(J2423=0,AND(J2423=1,K2423=1),AND(J2423=1,I2423="SBJ"),AND(J2423=1,I2423=0)),"?IN_FOCUS",IF(J2423&lt;=2,"?ACTIVATED",IF(J2423&lt;&gt;"","?FAMILIAR",IF(F2423="NEW",IF(ISNA(VLOOKUP(E2423,#REF!,1,FALSE())),"?TYPE_IDENTIFIABLE","?REFERENTIAL"),"_")))))</f>
        <v> </v>
      </c>
      <c r="H2423" s="24" t="str">
        <f>IF(J2423&lt;&gt;1,"",IF(I2423="SBJ","CB","?"))</f>
        <v> </v>
      </c>
      <c r="I2423" s="25" t="str">
        <f>IF(OR(E2423="",E2423="!!!",F2423="NEW"),"",INDEX(B2422:B$2,-1+SUMPRODUCT(MAX(ROW(E2422:E$2)*(E2423=E2422:E$2)))))</f>
        <v> </v>
      </c>
      <c r="J2423" s="25" t="str">
        <f>IF(OR(E2423="",E2423="!!!",F2423="NEW"),"",COUNTBLANK(OFFSET(A$1,,,SUMPRODUCT(MAX(ROW(E$2:E2423)*(E2423=E$2:E2423)))))-COUNTBLANK(OFFSET(A$1,,,SUMPRODUCT(MAX(ROW(E$1:E2422)*(E2=E$1:E2422))))))</f>
        <v> </v>
      </c>
      <c r="K2423" s="25" t="str">
        <f>IF(OR(E2423="",E2423="!!!",F2423="NEW"),"",INDEX(J$1:J2422,SUMPRODUCT(MAX(ROW(E$1:E2422)*(E2423=E$1:E2422)))))</f>
        <v> </v>
      </c>
      <c r="L2423" s="26"/>
    </row>
    <row r="2424" spans="1:12">
      <c r="A2424" s="20" t="s">
        <v>1606</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t="s">
        <v>725</v>
      </c>
      <c r="E2425" s="21">
        <f>IF(D2425="?OLD","!!!","")</f>
        <v/>
      </c>
      <c r="F2425" s="22" t="str">
        <f>IF(OR(E2425="",E2425="!!!"),"",IF(NOT(ISNA(VLOOKUP(E2425,E$1:E2424,1,FALSE()))),"OLD",IF(AND(E2425&lt;&gt;"",E2425&lt;&gt;"!!!"),"NEW","")))</f>
        <v> </v>
      </c>
      <c r="G2425" s="23" t="str">
        <f>IF(OR(E2425="",E2425="!!!"),"",IF(OR(J2425=0,AND(J2425=1,K2425=1),AND(J2425=1,I2425="SBJ"),AND(J2425=1,I2425=0)),"?IN_FOCUS",IF(J2425&lt;=2,"?ACTIVATED",IF(J2425&lt;&gt;"","?FAMILIAR",IF(F2425="NEW",IF(ISNA(VLOOKUP(E2425,#REF!,1,FALSE())),"?TYPE_IDENTIFIABLE","?REFERENTIAL"),"_")))))</f>
        <v> </v>
      </c>
      <c r="H2425" s="24" t="str">
        <f>IF(J2425&lt;&gt;1,"",IF(I2425="SBJ","CB","?"))</f>
        <v> </v>
      </c>
      <c r="I2425" s="25" t="str">
        <f>IF(OR(E2425="",E2425="!!!",F2425="NEW"),"",INDEX(B2424:B$2,-1+SUMPRODUCT(MAX(ROW(E2424:E$2)*(E2425=E2424:E$2)))))</f>
        <v> </v>
      </c>
      <c r="J2425" s="25" t="str">
        <f>IF(OR(E2425="",E2425="!!!",F2425="NEW"),"",COUNTBLANK(OFFSET(A$1,,,SUMPRODUCT(MAX(ROW(E$2:E2425)*(E2425=E$2:E2425)))))-COUNTBLANK(OFFSET(A$1,,,SUMPRODUCT(MAX(ROW(E$1:E2424)*(E2=E$1:E2424))))))</f>
        <v> </v>
      </c>
      <c r="K2425" s="25" t="str">
        <f>IF(OR(E2425="",E2425="!!!",F2425="NEW"),"",INDEX(J$1:J2424,SUMPRODUCT(MAX(ROW(E$1:E2424)*(E2425=E$1:E2424)))))</f>
        <v> </v>
      </c>
      <c r="L2425" s="26"/>
    </row>
    <row r="2426" spans="1:12">
      <c r="A2426" s="20"/>
    </row>
    <row r="2427" spans="1:12">
      <c r="A2427" s="20" t="s">
        <v>1607</v>
      </c>
    </row>
    <row r="2428" spans="1:12">
      <c r="A2428" s="20" t="s">
        <v>1048</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1049</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741</v>
      </c>
      <c r="B2430" s="27" t="s">
        <v>710</v>
      </c>
      <c r="C2430" s="27" t="s">
        <v>743</v>
      </c>
      <c r="D2430" s="27" t="s">
        <v>712</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1577</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t="s">
        <v>714</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t="s">
        <v>1608</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t="s">
        <v>979</v>
      </c>
      <c r="B2434" s="27" t="s">
        <v>716</v>
      </c>
      <c r="C2434" s="27" t="s">
        <v>717</v>
      </c>
      <c r="E2434" s="21">
        <f>IF(D2434="?OLD","!!!","")</f>
        <v/>
      </c>
      <c r="F2434" s="22" t="str">
        <f>IF(OR(E2434="",E2434="!!!"),"",IF(NOT(ISNA(VLOOKUP(E2434,E$1:E2433,1,FALSE()))),"OLD",IF(AND(E2434&lt;&gt;"",E2434&lt;&gt;"!!!"),"NEW","")))</f>
        <v> </v>
      </c>
      <c r="G2434" s="23" t="str">
        <f>IF(OR(E2434="",E2434="!!!"),"",IF(OR(J2434=0,AND(J2434=1,K2434=1),AND(J2434=1,I2434="SBJ"),AND(J2434=1,I2434=0)),"?IN_FOCUS",IF(J2434&lt;=2,"?ACTIVATED",IF(J2434&lt;&gt;"","?FAMILIAR",IF(F2434="NEW",IF(ISNA(VLOOKUP(E2434,#REF!,1,FALSE())),"?TYPE_IDENTIFIABLE","?REFERENTIAL"),"_")))))</f>
        <v> </v>
      </c>
      <c r="H2434" s="24" t="str">
        <f>IF(J2434&lt;&gt;1,"",IF(I2434="SBJ","CB","?"))</f>
        <v> </v>
      </c>
      <c r="I2434" s="25" t="str">
        <f>IF(OR(E2434="",E2434="!!!",F2434="NEW"),"",INDEX(B2433:B$2,-1+SUMPRODUCT(MAX(ROW(E2433:E$2)*(E2434=E2433:E$2)))))</f>
        <v> </v>
      </c>
      <c r="J2434" s="25" t="str">
        <f>IF(OR(E2434="",E2434="!!!",F2434="NEW"),"",COUNTBLANK(OFFSET(A$1,,,SUMPRODUCT(MAX(ROW(E$2:E2434)*(E2434=E$2:E2434)))))-COUNTBLANK(OFFSET(A$1,,,SUMPRODUCT(MAX(ROW(E$1:E2433)*(E2=E$1:E2433))))))</f>
        <v> </v>
      </c>
      <c r="K2434" s="25" t="str">
        <f>IF(OR(E2434="",E2434="!!!",F2434="NEW"),"",INDEX(J$1:J2433,SUMPRODUCT(MAX(ROW(E$1:E2433)*(E2434=E$1:E2433)))))</f>
        <v> </v>
      </c>
      <c r="L2434" s="26"/>
    </row>
    <row r="2435" spans="1:12">
      <c r="A2435" s="20" t="s">
        <v>1020</v>
      </c>
      <c r="E2435" s="21">
        <f>IF(D2435="?OLD","!!!","")</f>
        <v/>
      </c>
      <c r="F2435" s="22" t="str">
        <f>IF(OR(E2435="",E2435="!!!"),"",IF(NOT(ISNA(VLOOKUP(E2435,E$1:E2434,1,FALSE()))),"OLD",IF(AND(E2435&lt;&gt;"",E2435&lt;&gt;"!!!"),"NEW","")))</f>
        <v> </v>
      </c>
      <c r="G2435" s="23" t="str">
        <f>IF(OR(E2435="",E2435="!!!"),"",IF(OR(J2435=0,AND(J2435=1,K2435=1),AND(J2435=1,I2435="SBJ"),AND(J2435=1,I2435=0)),"?IN_FOCUS",IF(J2435&lt;=2,"?ACTIVATED",IF(J2435&lt;&gt;"","?FAMILIAR",IF(F2435="NEW",IF(ISNA(VLOOKUP(E2435,#REF!,1,FALSE())),"?TYPE_IDENTIFIABLE","?REFERENTIAL"),"_")))))</f>
        <v> </v>
      </c>
      <c r="H2435" s="24" t="str">
        <f>IF(J2435&lt;&gt;1,"",IF(I2435="SBJ","CB","?"))</f>
        <v> </v>
      </c>
      <c r="I2435" s="25" t="str">
        <f>IF(OR(E2435="",E2435="!!!",F2435="NEW"),"",INDEX(B2434:B$2,-1+SUMPRODUCT(MAX(ROW(E2434:E$2)*(E2435=E2434:E$2)))))</f>
        <v> </v>
      </c>
      <c r="J2435" s="25" t="str">
        <f>IF(OR(E2435="",E2435="!!!",F2435="NEW"),"",COUNTBLANK(OFFSET(A$1,,,SUMPRODUCT(MAX(ROW(E$2:E2435)*(E2435=E$2:E2435)))))-COUNTBLANK(OFFSET(A$1,,,SUMPRODUCT(MAX(ROW(E$1:E2434)*(E2=E$1:E2434))))))</f>
        <v> </v>
      </c>
      <c r="K2435" s="25" t="str">
        <f>IF(OR(E2435="",E2435="!!!",F2435="NEW"),"",INDEX(J$1:J2434,SUMPRODUCT(MAX(ROW(E$1:E2434)*(E2435=E$1:E2434)))))</f>
        <v> </v>
      </c>
      <c r="L2435" s="26"/>
    </row>
    <row r="2436" spans="1:12">
      <c r="A2436" s="20" t="s">
        <v>740</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1609</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46</v>
      </c>
      <c r="B2438" s="27" t="s">
        <v>716</v>
      </c>
      <c r="C2438" s="27" t="s">
        <v>711</v>
      </c>
      <c r="D2438" s="27" t="s">
        <v>712</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725</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row>
    <row r="2441" spans="1:12">
      <c r="A2441" s="20" t="s">
        <v>1610</v>
      </c>
    </row>
    <row r="2442" spans="1:12">
      <c r="A2442" s="20" t="s">
        <v>1611</v>
      </c>
      <c r="B2442" s="27" t="s">
        <v>716</v>
      </c>
      <c r="C2442" s="27" t="s">
        <v>717</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t="s">
        <v>718</v>
      </c>
      <c r="E2443" s="21">
        <f>IF(D2443="?OLD","!!!","")</f>
        <v/>
      </c>
      <c r="F2443" s="22" t="str">
        <f>IF(OR(E2443="",E2443="!!!"),"",IF(NOT(ISNA(VLOOKUP(E2443,E$1:E2442,1,FALSE()))),"OLD",IF(AND(E2443&lt;&gt;"",E2443&lt;&gt;"!!!"),"NEW","")))</f>
        <v> </v>
      </c>
      <c r="G2443" s="23" t="str">
        <f>IF(OR(E2443="",E2443="!!!"),"",IF(OR(J2443=0,AND(J2443=1,K2443=1),AND(J2443=1,I2443="SBJ"),AND(J2443=1,I2443=0)),"?IN_FOCUS",IF(J2443&lt;=2,"?ACTIVATED",IF(J2443&lt;&gt;"","?FAMILIAR",IF(F2443="NEW",IF(ISNA(VLOOKUP(E2443,#REF!,1,FALSE())),"?TYPE_IDENTIFIABLE","?REFERENTIAL"),"_")))))</f>
        <v> </v>
      </c>
      <c r="H2443" s="24" t="str">
        <f>IF(J2443&lt;&gt;1,"",IF(I2443="SBJ","CB","?"))</f>
        <v> </v>
      </c>
      <c r="I2443" s="25" t="str">
        <f>IF(OR(E2443="",E2443="!!!",F2443="NEW"),"",INDEX(B2442:B$2,-1+SUMPRODUCT(MAX(ROW(E2442:E$2)*(E2443=E2442:E$2)))))</f>
        <v> </v>
      </c>
      <c r="J2443" s="25" t="str">
        <f>IF(OR(E2443="",E2443="!!!",F2443="NEW"),"",COUNTBLANK(OFFSET(A$1,,,SUMPRODUCT(MAX(ROW(E$2:E2443)*(E2443=E$2:E2443)))))-COUNTBLANK(OFFSET(A$1,,,SUMPRODUCT(MAX(ROW(E$1:E2442)*(E2=E$1:E2442))))))</f>
        <v> </v>
      </c>
      <c r="K2443" s="25" t="str">
        <f>IF(OR(E2443="",E2443="!!!",F2443="NEW"),"",INDEX(J$1:J2442,SUMPRODUCT(MAX(ROW(E$1:E2442)*(E2443=E$1:E2442)))))</f>
        <v> </v>
      </c>
      <c r="L2443" s="26"/>
    </row>
    <row r="2444" spans="1:12">
      <c r="A2444" s="20" t="s">
        <v>1612</v>
      </c>
      <c r="B2444" s="27" t="s">
        <v>716</v>
      </c>
      <c r="C2444" s="27" t="s">
        <v>717</v>
      </c>
      <c r="E2444" s="21">
        <f>IF(D2444="?OLD","!!!","")</f>
        <v/>
      </c>
      <c r="F2444" s="22" t="str">
        <f>IF(OR(E2444="",E2444="!!!"),"",IF(NOT(ISNA(VLOOKUP(E2444,E$1:E2443,1,FALSE()))),"OLD",IF(AND(E2444&lt;&gt;"",E2444&lt;&gt;"!!!"),"NEW","")))</f>
        <v> </v>
      </c>
      <c r="G2444" s="23" t="str">
        <f>IF(OR(E2444="",E2444="!!!"),"",IF(OR(J2444=0,AND(J2444=1,K2444=1),AND(J2444=1,I2444="SBJ"),AND(J2444=1,I2444=0)),"?IN_FOCUS",IF(J2444&lt;=2,"?ACTIVATED",IF(J2444&lt;&gt;"","?FAMILIAR",IF(F2444="NEW",IF(ISNA(VLOOKUP(E2444,#REF!,1,FALSE())),"?TYPE_IDENTIFIABLE","?REFERENTIAL"),"_")))))</f>
        <v> </v>
      </c>
      <c r="H2444" s="24" t="str">
        <f>IF(J2444&lt;&gt;1,"",IF(I2444="SBJ","CB","?"))</f>
        <v> </v>
      </c>
      <c r="I2444" s="25" t="str">
        <f>IF(OR(E2444="",E2444="!!!",F2444="NEW"),"",INDEX(B2443:B$2,-1+SUMPRODUCT(MAX(ROW(E2443:E$2)*(E2444=E2443:E$2)))))</f>
        <v> </v>
      </c>
      <c r="J2444" s="25" t="str">
        <f>IF(OR(E2444="",E2444="!!!",F2444="NEW"),"",COUNTBLANK(OFFSET(A$1,,,SUMPRODUCT(MAX(ROW(E$2:E2444)*(E2444=E$2:E2444)))))-COUNTBLANK(OFFSET(A$1,,,SUMPRODUCT(MAX(ROW(E$1:E2443)*(E2=E$1:E2443))))))</f>
        <v> </v>
      </c>
      <c r="K2444" s="25" t="str">
        <f>IF(OR(E2444="",E2444="!!!",F2444="NEW"),"",INDEX(J$1:J2443,SUMPRODUCT(MAX(ROW(E$1:E2443)*(E2444=E$1:E2443)))))</f>
        <v> </v>
      </c>
      <c r="L2444" s="26"/>
    </row>
    <row r="2445" spans="1:12">
      <c r="A2445" s="20" t="s">
        <v>718</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1613</v>
      </c>
      <c r="B2446" s="27" t="s">
        <v>716</v>
      </c>
      <c r="C2446" s="27" t="s">
        <v>717</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t="s">
        <v>772</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t="s">
        <v>714</v>
      </c>
      <c r="E2448" s="21">
        <f>IF(D2448="?OLD","!!!","")</f>
        <v/>
      </c>
      <c r="F2448" s="22" t="str">
        <f>IF(OR(E2448="",E2448="!!!"),"",IF(NOT(ISNA(VLOOKUP(E2448,E$1:E2447,1,FALSE()))),"OLD",IF(AND(E2448&lt;&gt;"",E2448&lt;&gt;"!!!"),"NEW","")))</f>
        <v> </v>
      </c>
      <c r="G2448" s="23" t="str">
        <f>IF(OR(E2448="",E2448="!!!"),"",IF(OR(J2448=0,AND(J2448=1,K2448=1),AND(J2448=1,I2448="SBJ"),AND(J2448=1,I2448=0)),"?IN_FOCUS",IF(J2448&lt;=2,"?ACTIVATED",IF(J2448&lt;&gt;"","?FAMILIAR",IF(F2448="NEW",IF(ISNA(VLOOKUP(E2448,#REF!,1,FALSE())),"?TYPE_IDENTIFIABLE","?REFERENTIAL"),"_")))))</f>
        <v> </v>
      </c>
      <c r="H2448" s="24" t="str">
        <f>IF(J2448&lt;&gt;1,"",IF(I2448="SBJ","CB","?"))</f>
        <v> </v>
      </c>
      <c r="I2448" s="25" t="str">
        <f>IF(OR(E2448="",E2448="!!!",F2448="NEW"),"",INDEX(B2447:B$2,-1+SUMPRODUCT(MAX(ROW(E2447:E$2)*(E2448=E2447:E$2)))))</f>
        <v> </v>
      </c>
      <c r="J2448" s="25" t="str">
        <f>IF(OR(E2448="",E2448="!!!",F2448="NEW"),"",COUNTBLANK(OFFSET(A$1,,,SUMPRODUCT(MAX(ROW(E$2:E2448)*(E2448=E$2:E2448)))))-COUNTBLANK(OFFSET(A$1,,,SUMPRODUCT(MAX(ROW(E$1:E2447)*(E2=E$1:E2447))))))</f>
        <v> </v>
      </c>
      <c r="K2448" s="25" t="str">
        <f>IF(OR(E2448="",E2448="!!!",F2448="NEW"),"",INDEX(J$1:J2447,SUMPRODUCT(MAX(ROW(E$1:E2447)*(E2448=E$1:E2447)))))</f>
        <v> </v>
      </c>
      <c r="L2448" s="26"/>
    </row>
    <row r="2449" spans="1:12">
      <c r="A2449" s="20" t="s">
        <v>910</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t="s">
        <v>979</v>
      </c>
      <c r="B2450" s="27" t="s">
        <v>731</v>
      </c>
      <c r="C2450" s="27" t="s">
        <v>1508</v>
      </c>
      <c r="D2450" s="27" t="s">
        <v>712</v>
      </c>
      <c r="E2450" s="21">
        <f>IF(D2450="?OLD","!!!","")</f>
        <v/>
      </c>
      <c r="F2450" s="22" t="str">
        <f>IF(OR(E2450="",E2450="!!!"),"",IF(NOT(ISNA(VLOOKUP(E2450,E$1:E2449,1,FALSE()))),"OLD",IF(AND(E2450&lt;&gt;"",E2450&lt;&gt;"!!!"),"NEW","")))</f>
        <v> </v>
      </c>
      <c r="G2450" s="23" t="str">
        <f>IF(OR(E2450="",E2450="!!!"),"",IF(OR(J2450=0,AND(J2450=1,K2450=1),AND(J2450=1,I2450="SBJ"),AND(J2450=1,I2450=0)),"?IN_FOCUS",IF(J2450&lt;=2,"?ACTIVATED",IF(J2450&lt;&gt;"","?FAMILIAR",IF(F2450="NEW",IF(ISNA(VLOOKUP(E2450,#REF!,1,FALSE())),"?TYPE_IDENTIFIABLE","?REFERENTIAL"),"_")))))</f>
        <v> </v>
      </c>
      <c r="H2450" s="24" t="str">
        <f>IF(J2450&lt;&gt;1,"",IF(I2450="SBJ","CB","?"))</f>
        <v> </v>
      </c>
      <c r="I2450" s="25" t="str">
        <f>IF(OR(E2450="",E2450="!!!",F2450="NEW"),"",INDEX(B2449:B$2,-1+SUMPRODUCT(MAX(ROW(E2449:E$2)*(E2450=E2449:E$2)))))</f>
        <v> </v>
      </c>
      <c r="J2450" s="25" t="str">
        <f>IF(OR(E2450="",E2450="!!!",F2450="NEW"),"",COUNTBLANK(OFFSET(A$1,,,SUMPRODUCT(MAX(ROW(E$2:E2450)*(E2450=E$2:E2450)))))-COUNTBLANK(OFFSET(A$1,,,SUMPRODUCT(MAX(ROW(E$1:E2449)*(E2=E$1:E2449))))))</f>
        <v> </v>
      </c>
      <c r="K2450" s="25" t="str">
        <f>IF(OR(E2450="",E2450="!!!",F2450="NEW"),"",INDEX(J$1:J2449,SUMPRODUCT(MAX(ROW(E$1:E2449)*(E2450=E$1:E2449)))))</f>
        <v> </v>
      </c>
      <c r="L2450" s="26"/>
    </row>
    <row r="2451" spans="1:12">
      <c r="A2451" s="20" t="s">
        <v>1614</v>
      </c>
      <c r="B2451" s="27" t="s">
        <v>724</v>
      </c>
      <c r="C2451" s="27" t="s">
        <v>761</v>
      </c>
      <c r="D2451" s="27" t="s">
        <v>712</v>
      </c>
      <c r="E2451" s="21">
        <f>IF(D2451="?OLD","!!!","")</f>
        <v/>
      </c>
      <c r="F2451" s="22" t="str">
        <f>IF(OR(E2451="",E2451="!!!"),"",IF(NOT(ISNA(VLOOKUP(E2451,E$1:E2450,1,FALSE()))),"OLD",IF(AND(E2451&lt;&gt;"",E2451&lt;&gt;"!!!"),"NEW","")))</f>
        <v> </v>
      </c>
      <c r="G2451" s="23" t="str">
        <f>IF(OR(E2451="",E2451="!!!"),"",IF(OR(J2451=0,AND(J2451=1,K2451=1),AND(J2451=1,I2451="SBJ"),AND(J2451=1,I2451=0)),"?IN_FOCUS",IF(J2451&lt;=2,"?ACTIVATED",IF(J2451&lt;&gt;"","?FAMILIAR",IF(F2451="NEW",IF(ISNA(VLOOKUP(E2451,#REF!,1,FALSE())),"?TYPE_IDENTIFIABLE","?REFERENTIAL"),"_")))))</f>
        <v> </v>
      </c>
      <c r="H2451" s="24" t="str">
        <f>IF(J2451&lt;&gt;1,"",IF(I2451="SBJ","CB","?"))</f>
        <v> </v>
      </c>
      <c r="I2451" s="25" t="str">
        <f>IF(OR(E2451="",E2451="!!!",F2451="NEW"),"",INDEX(B2450:B$2,-1+SUMPRODUCT(MAX(ROW(E2450:E$2)*(E2451=E2450:E$2)))))</f>
        <v> </v>
      </c>
      <c r="J2451" s="25" t="str">
        <f>IF(OR(E2451="",E2451="!!!",F2451="NEW"),"",COUNTBLANK(OFFSET(A$1,,,SUMPRODUCT(MAX(ROW(E$2:E2451)*(E2451=E$2:E2451)))))-COUNTBLANK(OFFSET(A$1,,,SUMPRODUCT(MAX(ROW(E$1:E2450)*(E2=E$1:E2450))))))</f>
        <v> </v>
      </c>
      <c r="K2451" s="25" t="str">
        <f>IF(OR(E2451="",E2451="!!!",F2451="NEW"),"",INDEX(J$1:J2450,SUMPRODUCT(MAX(ROW(E$1:E2450)*(E2451=E$1:E2450)))))</f>
        <v> </v>
      </c>
      <c r="L2451" s="26"/>
    </row>
    <row r="2452" spans="1:12">
      <c r="A2452" s="20" t="s">
        <v>725</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row>
    <row r="2454" spans="1:12">
      <c r="A2454" s="20" t="s">
        <v>1615</v>
      </c>
    </row>
    <row r="2455" spans="1:12">
      <c r="A2455" s="20" t="s">
        <v>1048</v>
      </c>
      <c r="B2455" s="27" t="s">
        <v>710</v>
      </c>
      <c r="C2455" s="27" t="s">
        <v>842</v>
      </c>
      <c r="D2455" s="27" t="s">
        <v>712</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1049</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1120</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1616</v>
      </c>
      <c r="B2458" s="27" t="s">
        <v>777</v>
      </c>
      <c r="C2458" s="27" t="s">
        <v>732</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718</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t="s">
        <v>845</v>
      </c>
      <c r="B2460" s="27" t="s">
        <v>720</v>
      </c>
      <c r="C2460" s="27" t="s">
        <v>743</v>
      </c>
      <c r="D2460" s="27" t="s">
        <v>712</v>
      </c>
      <c r="E2460" s="21">
        <f>IF(D2460="?OLD","!!!","")</f>
        <v/>
      </c>
      <c r="F2460" s="22" t="str">
        <f>IF(OR(E2460="",E2460="!!!"),"",IF(NOT(ISNA(VLOOKUP(E2460,E$1:E2459,1,FALSE()))),"OLD",IF(AND(E2460&lt;&gt;"",E2460&lt;&gt;"!!!"),"NEW","")))</f>
        <v> </v>
      </c>
      <c r="G2460" s="23" t="str">
        <f>IF(OR(E2460="",E2460="!!!"),"",IF(OR(J2460=0,AND(J2460=1,K2460=1),AND(J2460=1,I2460="SBJ"),AND(J2460=1,I2460=0)),"?IN_FOCUS",IF(J2460&lt;=2,"?ACTIVATED",IF(J2460&lt;&gt;"","?FAMILIAR",IF(F2460="NEW",IF(ISNA(VLOOKUP(E2460,#REF!,1,FALSE())),"?TYPE_IDENTIFIABLE","?REFERENTIAL"),"_")))))</f>
        <v> </v>
      </c>
      <c r="H2460" s="24" t="str">
        <f>IF(J2460&lt;&gt;1,"",IF(I2460="SBJ","CB","?"))</f>
        <v> </v>
      </c>
      <c r="I2460" s="25" t="str">
        <f>IF(OR(E2460="",E2460="!!!",F2460="NEW"),"",INDEX(B2459:B$2,-1+SUMPRODUCT(MAX(ROW(E2459:E$2)*(E2460=E2459:E$2)))))</f>
        <v> </v>
      </c>
      <c r="J2460" s="25" t="str">
        <f>IF(OR(E2460="",E2460="!!!",F2460="NEW"),"",COUNTBLANK(OFFSET(A$1,,,SUMPRODUCT(MAX(ROW(E$2:E2460)*(E2460=E$2:E2460)))))-COUNTBLANK(OFFSET(A$1,,,SUMPRODUCT(MAX(ROW(E$1:E2459)*(E2=E$1:E2459))))))</f>
        <v> </v>
      </c>
      <c r="K2460" s="25" t="str">
        <f>IF(OR(E2460="",E2460="!!!",F2460="NEW"),"",INDEX(J$1:J2459,SUMPRODUCT(MAX(ROW(E$1:E2459)*(E2460=E$1:E2459)))))</f>
        <v> </v>
      </c>
      <c r="L2460" s="26"/>
    </row>
    <row r="2461" spans="1:12">
      <c r="A2461" s="20" t="s">
        <v>866</v>
      </c>
      <c r="B2461" s="27" t="s">
        <v>881</v>
      </c>
      <c r="C2461" s="27" t="s">
        <v>717</v>
      </c>
      <c r="E2461" s="21">
        <f>IF(D2461="?OLD","!!!","")</f>
        <v/>
      </c>
      <c r="F2461" s="22" t="str">
        <f>IF(OR(E2461="",E2461="!!!"),"",IF(NOT(ISNA(VLOOKUP(E2461,E$1:E2460,1,FALSE()))),"OLD",IF(AND(E2461&lt;&gt;"",E2461&lt;&gt;"!!!"),"NEW","")))</f>
        <v> </v>
      </c>
      <c r="G2461" s="23" t="str">
        <f>IF(OR(E2461="",E2461="!!!"),"",IF(OR(J2461=0,AND(J2461=1,K2461=1),AND(J2461=1,I2461="SBJ"),AND(J2461=1,I2461=0)),"?IN_FOCUS",IF(J2461&lt;=2,"?ACTIVATED",IF(J2461&lt;&gt;"","?FAMILIAR",IF(F2461="NEW",IF(ISNA(VLOOKUP(E2461,#REF!,1,FALSE())),"?TYPE_IDENTIFIABLE","?REFERENTIAL"),"_")))))</f>
        <v> </v>
      </c>
      <c r="H2461" s="24" t="str">
        <f>IF(J2461&lt;&gt;1,"",IF(I2461="SBJ","CB","?"))</f>
        <v> </v>
      </c>
      <c r="I2461" s="25" t="str">
        <f>IF(OR(E2461="",E2461="!!!",F2461="NEW"),"",INDEX(B2460:B$2,-1+SUMPRODUCT(MAX(ROW(E2460:E$2)*(E2461=E2460:E$2)))))</f>
        <v> </v>
      </c>
      <c r="J2461" s="25" t="str">
        <f>IF(OR(E2461="",E2461="!!!",F2461="NEW"),"",COUNTBLANK(OFFSET(A$1,,,SUMPRODUCT(MAX(ROW(E$2:E2461)*(E2461=E$2:E2461)))))-COUNTBLANK(OFFSET(A$1,,,SUMPRODUCT(MAX(ROW(E$1:E2460)*(E2=E$1:E2460))))))</f>
        <v> </v>
      </c>
      <c r="K2461" s="25" t="str">
        <f>IF(OR(E2461="",E2461="!!!",F2461="NEW"),"",INDEX(J$1:J2460,SUMPRODUCT(MAX(ROW(E$1:E2460)*(E2461=E$1:E2460)))))</f>
        <v> </v>
      </c>
      <c r="L2461" s="26"/>
    </row>
    <row r="2462" spans="1:12">
      <c r="A2462" s="20" t="s">
        <v>277</v>
      </c>
      <c r="E2462" s="21">
        <f>IF(D2462="?OLD","!!!","")</f>
        <v/>
      </c>
      <c r="F2462" s="22" t="str">
        <f>IF(OR(E2462="",E2462="!!!"),"",IF(NOT(ISNA(VLOOKUP(E2462,E$1:E2461,1,FALSE()))),"OLD",IF(AND(E2462&lt;&gt;"",E2462&lt;&gt;"!!!"),"NEW","")))</f>
        <v> </v>
      </c>
      <c r="G2462" s="23" t="str">
        <f>IF(OR(E2462="",E2462="!!!"),"",IF(OR(J2462=0,AND(J2462=1,K2462=1),AND(J2462=1,I2462="SBJ"),AND(J2462=1,I2462=0)),"?IN_FOCUS",IF(J2462&lt;=2,"?ACTIVATED",IF(J2462&lt;&gt;"","?FAMILIAR",IF(F2462="NEW",IF(ISNA(VLOOKUP(E2462,#REF!,1,FALSE())),"?TYPE_IDENTIFIABLE","?REFERENTIAL"),"_")))))</f>
        <v> </v>
      </c>
      <c r="H2462" s="24" t="str">
        <f>IF(J2462&lt;&gt;1,"",IF(I2462="SBJ","CB","?"))</f>
        <v> </v>
      </c>
      <c r="I2462" s="25" t="str">
        <f>IF(OR(E2462="",E2462="!!!",F2462="NEW"),"",INDEX(B2461:B$2,-1+SUMPRODUCT(MAX(ROW(E2461:E$2)*(E2462=E2461:E$2)))))</f>
        <v> </v>
      </c>
      <c r="J2462" s="25" t="str">
        <f>IF(OR(E2462="",E2462="!!!",F2462="NEW"),"",COUNTBLANK(OFFSET(A$1,,,SUMPRODUCT(MAX(ROW(E$2:E2462)*(E2462=E$2:E2462)))))-COUNTBLANK(OFFSET(A$1,,,SUMPRODUCT(MAX(ROW(E$1:E2461)*(E2=E$1:E2461))))))</f>
        <v> </v>
      </c>
      <c r="K2462" s="25" t="str">
        <f>IF(OR(E2462="",E2462="!!!",F2462="NEW"),"",INDEX(J$1:J2461,SUMPRODUCT(MAX(ROW(E$1:E2461)*(E2462=E$1:E2461)))))</f>
        <v> </v>
      </c>
      <c r="L2462" s="26"/>
    </row>
    <row r="2463" spans="1:12">
      <c r="A2463" s="20" t="s">
        <v>823</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t="s">
        <v>718</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1452</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t="s">
        <v>1024</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t="s">
        <v>718</v>
      </c>
      <c r="E2467" s="21">
        <f>IF(D2467="?OLD","!!!","")</f>
        <v/>
      </c>
      <c r="F2467" s="22" t="str">
        <f>IF(OR(E2467="",E2467="!!!"),"",IF(NOT(ISNA(VLOOKUP(E2467,E$1:E2466,1,FALSE()))),"OLD",IF(AND(E2467&lt;&gt;"",E2467&lt;&gt;"!!!"),"NEW","")))</f>
        <v> </v>
      </c>
      <c r="G2467" s="23" t="str">
        <f>IF(OR(E2467="",E2467="!!!"),"",IF(OR(J2467=0,AND(J2467=1,K2467=1),AND(J2467=1,I2467="SBJ"),AND(J2467=1,I2467=0)),"?IN_FOCUS",IF(J2467&lt;=2,"?ACTIVATED",IF(J2467&lt;&gt;"","?FAMILIAR",IF(F2467="NEW",IF(ISNA(VLOOKUP(E2467,#REF!,1,FALSE())),"?TYPE_IDENTIFIABLE","?REFERENTIAL"),"_")))))</f>
        <v> </v>
      </c>
      <c r="H2467" s="24" t="str">
        <f>IF(J2467&lt;&gt;1,"",IF(I2467="SBJ","CB","?"))</f>
        <v> </v>
      </c>
      <c r="I2467" s="25" t="str">
        <f>IF(OR(E2467="",E2467="!!!",F2467="NEW"),"",INDEX(B2466:B$2,-1+SUMPRODUCT(MAX(ROW(E2466:E$2)*(E2467=E2466:E$2)))))</f>
        <v> </v>
      </c>
      <c r="J2467" s="25" t="str">
        <f>IF(OR(E2467="",E2467="!!!",F2467="NEW"),"",COUNTBLANK(OFFSET(A$1,,,SUMPRODUCT(MAX(ROW(E$2:E2467)*(E2467=E$2:E2467)))))-COUNTBLANK(OFFSET(A$1,,,SUMPRODUCT(MAX(ROW(E$1:E2466)*(E2=E$1:E2466))))))</f>
        <v> </v>
      </c>
      <c r="K2467" s="25" t="str">
        <f>IF(OR(E2467="",E2467="!!!",F2467="NEW"),"",INDEX(J$1:J2466,SUMPRODUCT(MAX(ROW(E$1:E2466)*(E2467=E$1:E2466)))))</f>
        <v> </v>
      </c>
      <c r="L2467" s="26"/>
    </row>
    <row r="2468" spans="1:12">
      <c r="A2468" s="20" t="s">
        <v>871</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1617</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718</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1618</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863</v>
      </c>
      <c r="B2472" s="27" t="s">
        <v>749</v>
      </c>
      <c r="C2472" s="27" t="s">
        <v>1129</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t="s">
        <v>998</v>
      </c>
      <c r="B2473" s="27" t="s">
        <v>818</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t="s">
        <v>1619</v>
      </c>
      <c r="E2474" s="21">
        <f>IF(D2474="?OLD","!!!","")</f>
        <v/>
      </c>
      <c r="F2474" s="22" t="str">
        <f>IF(OR(E2474="",E2474="!!!"),"",IF(NOT(ISNA(VLOOKUP(E2474,E$1:E2473,1,FALSE()))),"OLD",IF(AND(E2474&lt;&gt;"",E2474&lt;&gt;"!!!"),"NEW","")))</f>
        <v> </v>
      </c>
      <c r="G2474" s="23" t="str">
        <f>IF(OR(E2474="",E2474="!!!"),"",IF(OR(J2474=0,AND(J2474=1,K2474=1),AND(J2474=1,I2474="SBJ"),AND(J2474=1,I2474=0)),"?IN_FOCUS",IF(J2474&lt;=2,"?ACTIVATED",IF(J2474&lt;&gt;"","?FAMILIAR",IF(F2474="NEW",IF(ISNA(VLOOKUP(E2474,#REF!,1,FALSE())),"?TYPE_IDENTIFIABLE","?REFERENTIAL"),"_")))))</f>
        <v> </v>
      </c>
      <c r="H2474" s="24" t="str">
        <f>IF(J2474&lt;&gt;1,"",IF(I2474="SBJ","CB","?"))</f>
        <v> </v>
      </c>
      <c r="I2474" s="25" t="str">
        <f>IF(OR(E2474="",E2474="!!!",F2474="NEW"),"",INDEX(B2473:B$2,-1+SUMPRODUCT(MAX(ROW(E2473:E$2)*(E2474=E2473:E$2)))))</f>
        <v> </v>
      </c>
      <c r="J2474" s="25" t="str">
        <f>IF(OR(E2474="",E2474="!!!",F2474="NEW"),"",COUNTBLANK(OFFSET(A$1,,,SUMPRODUCT(MAX(ROW(E$2:E2474)*(E2474=E$2:E2474)))))-COUNTBLANK(OFFSET(A$1,,,SUMPRODUCT(MAX(ROW(E$1:E2473)*(E2=E$1:E2473))))))</f>
        <v> </v>
      </c>
      <c r="K2474" s="25" t="str">
        <f>IF(OR(E2474="",E2474="!!!",F2474="NEW"),"",INDEX(J$1:J2473,SUMPRODUCT(MAX(ROW(E$1:E2473)*(E2474=E$1:E2473)))))</f>
        <v> </v>
      </c>
      <c r="L2474" s="26"/>
    </row>
    <row r="2475" spans="1:12">
      <c r="A2475" s="20" t="s">
        <v>730</v>
      </c>
      <c r="E2475" s="21">
        <f>IF(D2475="?OLD","!!!","")</f>
        <v/>
      </c>
      <c r="F2475" s="22" t="str">
        <f>IF(OR(E2475="",E2475="!!!"),"",IF(NOT(ISNA(VLOOKUP(E2475,E$1:E2474,1,FALSE()))),"OLD",IF(AND(E2475&lt;&gt;"",E2475&lt;&gt;"!!!"),"NEW","")))</f>
        <v> </v>
      </c>
      <c r="G2475" s="23" t="str">
        <f>IF(OR(E2475="",E2475="!!!"),"",IF(OR(J2475=0,AND(J2475=1,K2475=1),AND(J2475=1,I2475="SBJ"),AND(J2475=1,I2475=0)),"?IN_FOCUS",IF(J2475&lt;=2,"?ACTIVATED",IF(J2475&lt;&gt;"","?FAMILIAR",IF(F2475="NEW",IF(ISNA(VLOOKUP(E2475,#REF!,1,FALSE())),"?TYPE_IDENTIFIABLE","?REFERENTIAL"),"_")))))</f>
        <v> </v>
      </c>
      <c r="H2475" s="24" t="str">
        <f>IF(J2475&lt;&gt;1,"",IF(I2475="SBJ","CB","?"))</f>
        <v> </v>
      </c>
      <c r="I2475" s="25" t="str">
        <f>IF(OR(E2475="",E2475="!!!",F2475="NEW"),"",INDEX(B2474:B$2,-1+SUMPRODUCT(MAX(ROW(E2474:E$2)*(E2475=E2474:E$2)))))</f>
        <v> </v>
      </c>
      <c r="J2475" s="25" t="str">
        <f>IF(OR(E2475="",E2475="!!!",F2475="NEW"),"",COUNTBLANK(OFFSET(A$1,,,SUMPRODUCT(MAX(ROW(E$2:E2475)*(E2475=E$2:E2475)))))-COUNTBLANK(OFFSET(A$1,,,SUMPRODUCT(MAX(ROW(E$1:E2474)*(E2=E$1:E2474))))))</f>
        <v> </v>
      </c>
      <c r="K2475" s="25" t="str">
        <f>IF(OR(E2475="",E2475="!!!",F2475="NEW"),"",INDEX(J$1:J2474,SUMPRODUCT(MAX(ROW(E$1:E2474)*(E2475=E$1:E2474)))))</f>
        <v> </v>
      </c>
      <c r="L2475" s="26"/>
    </row>
    <row r="2476" spans="1:12">
      <c r="A2476" s="20" t="s">
        <v>466</v>
      </c>
      <c r="E2476" s="21">
        <f>IF(D2476="?OLD","!!!","")</f>
        <v/>
      </c>
      <c r="F2476" s="22" t="str">
        <f>IF(OR(E2476="",E2476="!!!"),"",IF(NOT(ISNA(VLOOKUP(E2476,E$1:E2475,1,FALSE()))),"OLD",IF(AND(E2476&lt;&gt;"",E2476&lt;&gt;"!!!"),"NEW","")))</f>
        <v> </v>
      </c>
      <c r="G2476" s="23" t="str">
        <f>IF(OR(E2476="",E2476="!!!"),"",IF(OR(J2476=0,AND(J2476=1,K2476=1),AND(J2476=1,I2476="SBJ"),AND(J2476=1,I2476=0)),"?IN_FOCUS",IF(J2476&lt;=2,"?ACTIVATED",IF(J2476&lt;&gt;"","?FAMILIAR",IF(F2476="NEW",IF(ISNA(VLOOKUP(E2476,#REF!,1,FALSE())),"?TYPE_IDENTIFIABLE","?REFERENTIAL"),"_")))))</f>
        <v> </v>
      </c>
      <c r="H2476" s="24" t="str">
        <f>IF(J2476&lt;&gt;1,"",IF(I2476="SBJ","CB","?"))</f>
        <v> </v>
      </c>
      <c r="I2476" s="25" t="str">
        <f>IF(OR(E2476="",E2476="!!!",F2476="NEW"),"",INDEX(B2475:B$2,-1+SUMPRODUCT(MAX(ROW(E2475:E$2)*(E2476=E2475:E$2)))))</f>
        <v> </v>
      </c>
      <c r="J2476" s="25" t="str">
        <f>IF(OR(E2476="",E2476="!!!",F2476="NEW"),"",COUNTBLANK(OFFSET(A$1,,,SUMPRODUCT(MAX(ROW(E$2:E2476)*(E2476=E$2:E2476)))))-COUNTBLANK(OFFSET(A$1,,,SUMPRODUCT(MAX(ROW(E$1:E2475)*(E2=E$1:E2475))))))</f>
        <v> </v>
      </c>
      <c r="K2476" s="25" t="str">
        <f>IF(OR(E2476="",E2476="!!!",F2476="NEW"),"",INDEX(J$1:J2475,SUMPRODUCT(MAX(ROW(E$1:E2475)*(E2476=E$1:E2475)))))</f>
        <v> </v>
      </c>
      <c r="L2476" s="26"/>
    </row>
    <row r="2477" spans="1:12">
      <c r="A2477" s="20" t="s">
        <v>725</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row>
    <row r="2479" spans="1:12">
      <c r="A2479" s="20" t="s">
        <v>1620</v>
      </c>
    </row>
    <row r="2480" spans="1:12">
      <c r="A2480" s="20" t="s">
        <v>1621</v>
      </c>
      <c r="B2480" s="27" t="s">
        <v>710</v>
      </c>
      <c r="C2480" s="27" t="s">
        <v>743</v>
      </c>
      <c r="D2480" s="27" t="s">
        <v>712</v>
      </c>
      <c r="E2480" s="21">
        <f>IF(D2480="?OLD","!!!","")</f>
        <v/>
      </c>
      <c r="F2480" s="22" t="str">
        <f>IF(OR(E2480="",E2480="!!!"),"",IF(NOT(ISNA(VLOOKUP(E2480,E$1:E2479,1,FALSE()))),"OLD",IF(AND(E2480&lt;&gt;"",E2480&lt;&gt;"!!!"),"NEW","")))</f>
        <v> </v>
      </c>
      <c r="G2480" s="23" t="str">
        <f>IF(OR(E2480="",E2480="!!!"),"",IF(OR(J2480=0,AND(J2480=1,K2480=1),AND(J2480=1,I2480="SBJ"),AND(J2480=1,I2480=0)),"?IN_FOCUS",IF(J2480&lt;=2,"?ACTIVATED",IF(J2480&lt;&gt;"","?FAMILIAR",IF(F2480="NEW",IF(ISNA(VLOOKUP(E2480,#REF!,1,FALSE())),"?TYPE_IDENTIFIABLE","?REFERENTIAL"),"_")))))</f>
        <v> </v>
      </c>
      <c r="H2480" s="24" t="str">
        <f>IF(J2480&lt;&gt;1,"",IF(I2480="SBJ","CB","?"))</f>
        <v> </v>
      </c>
      <c r="I2480" s="25" t="str">
        <f>IF(OR(E2480="",E2480="!!!",F2480="NEW"),"",INDEX(B2479:B$2,-1+SUMPRODUCT(MAX(ROW(E2479:E$2)*(E2480=E2479:E$2)))))</f>
        <v> </v>
      </c>
      <c r="J2480" s="25" t="str">
        <f>IF(OR(E2480="",E2480="!!!",F2480="NEW"),"",COUNTBLANK(OFFSET(A$1,,,SUMPRODUCT(MAX(ROW(E$2:E2480)*(E2480=E$2:E2480)))))-COUNTBLANK(OFFSET(A$1,,,SUMPRODUCT(MAX(ROW(E$1:E2479)*(E2=E$1:E2479))))))</f>
        <v> </v>
      </c>
      <c r="K2480" s="25" t="str">
        <f>IF(OR(E2480="",E2480="!!!",F2480="NEW"),"",INDEX(J$1:J2479,SUMPRODUCT(MAX(ROW(E$1:E2479)*(E2480=E$1:E2479)))))</f>
        <v> </v>
      </c>
      <c r="L2480" s="26"/>
    </row>
    <row r="2481" spans="1:12">
      <c r="A2481" s="20" t="s">
        <v>584</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791</v>
      </c>
      <c r="B2482" s="27" t="s">
        <v>710</v>
      </c>
      <c r="C2482" s="27" t="s">
        <v>743</v>
      </c>
      <c r="D2482" s="27" t="s">
        <v>712</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t="s">
        <v>1622</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1035</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row>
    <row r="2486" spans="1:12">
      <c r="A2486" s="20" t="s">
        <v>1623</v>
      </c>
    </row>
    <row r="2487" spans="1:12">
      <c r="A2487" s="20" t="s">
        <v>1624</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29</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791</v>
      </c>
      <c r="B2489" s="27" t="s">
        <v>710</v>
      </c>
      <c r="C2489" s="27" t="s">
        <v>743</v>
      </c>
      <c r="D2489" s="27" t="s">
        <v>712</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t="s">
        <v>1518</v>
      </c>
      <c r="E2490" s="21">
        <f>IF(D2490="?OLD","!!!","")</f>
        <v/>
      </c>
      <c r="F2490" s="22" t="str">
        <f>IF(OR(E2490="",E2490="!!!"),"",IF(NOT(ISNA(VLOOKUP(E2490,E$1:E2489,1,FALSE()))),"OLD",IF(AND(E2490&lt;&gt;"",E2490&lt;&gt;"!!!"),"NEW","")))</f>
        <v> </v>
      </c>
      <c r="G2490" s="23" t="str">
        <f>IF(OR(E2490="",E2490="!!!"),"",IF(OR(J2490=0,AND(J2490=1,K2490=1),AND(J2490=1,I2490="SBJ"),AND(J2490=1,I2490=0)),"?IN_FOCUS",IF(J2490&lt;=2,"?ACTIVATED",IF(J2490&lt;&gt;"","?FAMILIAR",IF(F2490="NEW",IF(ISNA(VLOOKUP(E2490,#REF!,1,FALSE())),"?TYPE_IDENTIFIABLE","?REFERENTIAL"),"_")))))</f>
        <v> </v>
      </c>
      <c r="H2490" s="24" t="str">
        <f>IF(J2490&lt;&gt;1,"",IF(I2490="SBJ","CB","?"))</f>
        <v> </v>
      </c>
      <c r="I2490" s="25" t="str">
        <f>IF(OR(E2490="",E2490="!!!",F2490="NEW"),"",INDEX(B2489:B$2,-1+SUMPRODUCT(MAX(ROW(E2489:E$2)*(E2490=E2489:E$2)))))</f>
        <v> </v>
      </c>
      <c r="J2490" s="25" t="str">
        <f>IF(OR(E2490="",E2490="!!!",F2490="NEW"),"",COUNTBLANK(OFFSET(A$1,,,SUMPRODUCT(MAX(ROW(E$2:E2490)*(E2490=E$2:E2490)))))-COUNTBLANK(OFFSET(A$1,,,SUMPRODUCT(MAX(ROW(E$1:E2489)*(E2=E$1:E2489))))))</f>
        <v> </v>
      </c>
      <c r="K2490" s="25" t="str">
        <f>IF(OR(E2490="",E2490="!!!",F2490="NEW"),"",INDEX(J$1:J2489,SUMPRODUCT(MAX(ROW(E$1:E2489)*(E2490=E$1:E2489)))))</f>
        <v> </v>
      </c>
      <c r="L2490" s="26"/>
    </row>
    <row r="2491" spans="1:12">
      <c r="A2491" s="20" t="s">
        <v>1233</v>
      </c>
      <c r="E2491" s="21">
        <f>IF(D2491="?OLD","!!!","")</f>
        <v/>
      </c>
      <c r="F2491" s="22" t="str">
        <f>IF(OR(E2491="",E2491="!!!"),"",IF(NOT(ISNA(VLOOKUP(E2491,E$1:E2490,1,FALSE()))),"OLD",IF(AND(E2491&lt;&gt;"",E2491&lt;&gt;"!!!"),"NEW","")))</f>
        <v> </v>
      </c>
      <c r="G2491" s="23" t="str">
        <f>IF(OR(E2491="",E2491="!!!"),"",IF(OR(J2491=0,AND(J2491=1,K2491=1),AND(J2491=1,I2491="SBJ"),AND(J2491=1,I2491=0)),"?IN_FOCUS",IF(J2491&lt;=2,"?ACTIVATED",IF(J2491&lt;&gt;"","?FAMILIAR",IF(F2491="NEW",IF(ISNA(VLOOKUP(E2491,#REF!,1,FALSE())),"?TYPE_IDENTIFIABLE","?REFERENTIAL"),"_")))))</f>
        <v> </v>
      </c>
      <c r="H2491" s="24" t="str">
        <f>IF(J2491&lt;&gt;1,"",IF(I2491="SBJ","CB","?"))</f>
        <v> </v>
      </c>
      <c r="I2491" s="25" t="str">
        <f>IF(OR(E2491="",E2491="!!!",F2491="NEW"),"",INDEX(B2490:B$2,-1+SUMPRODUCT(MAX(ROW(E2490:E$2)*(E2491=E2490:E$2)))))</f>
        <v> </v>
      </c>
      <c r="J2491" s="25" t="str">
        <f>IF(OR(E2491="",E2491="!!!",F2491="NEW"),"",COUNTBLANK(OFFSET(A$1,,,SUMPRODUCT(MAX(ROW(E$2:E2491)*(E2491=E$2:E2491)))))-COUNTBLANK(OFFSET(A$1,,,SUMPRODUCT(MAX(ROW(E$1:E2490)*(E2=E$1:E2490))))))</f>
        <v> </v>
      </c>
      <c r="K2491" s="25" t="str">
        <f>IF(OR(E2491="",E2491="!!!",F2491="NEW"),"",INDEX(J$1:J2490,SUMPRODUCT(MAX(ROW(E$1:E2490)*(E2491=E$1:E2490)))))</f>
        <v> </v>
      </c>
      <c r="L2491" s="26"/>
    </row>
    <row r="2492" spans="1:12">
      <c r="A2492" s="20" t="s">
        <v>714</v>
      </c>
      <c r="E2492" s="21">
        <f>IF(D2492="?OLD","!!!","")</f>
        <v/>
      </c>
      <c r="F2492" s="22" t="str">
        <f>IF(OR(E2492="",E2492="!!!"),"",IF(NOT(ISNA(VLOOKUP(E2492,E$1:E2491,1,FALSE()))),"OLD",IF(AND(E2492&lt;&gt;"",E2492&lt;&gt;"!!!"),"NEW","")))</f>
        <v> </v>
      </c>
      <c r="G2492" s="23" t="str">
        <f>IF(OR(E2492="",E2492="!!!"),"",IF(OR(J2492=0,AND(J2492=1,K2492=1),AND(J2492=1,I2492="SBJ"),AND(J2492=1,I2492=0)),"?IN_FOCUS",IF(J2492&lt;=2,"?ACTIVATED",IF(J2492&lt;&gt;"","?FAMILIAR",IF(F2492="NEW",IF(ISNA(VLOOKUP(E2492,#REF!,1,FALSE())),"?TYPE_IDENTIFIABLE","?REFERENTIAL"),"_")))))</f>
        <v> </v>
      </c>
      <c r="H2492" s="24" t="str">
        <f>IF(J2492&lt;&gt;1,"",IF(I2492="SBJ","CB","?"))</f>
        <v> </v>
      </c>
      <c r="I2492" s="25" t="str">
        <f>IF(OR(E2492="",E2492="!!!",F2492="NEW"),"",INDEX(B2491:B$2,-1+SUMPRODUCT(MAX(ROW(E2491:E$2)*(E2492=E2491:E$2)))))</f>
        <v> </v>
      </c>
      <c r="J2492" s="25" t="str">
        <f>IF(OR(E2492="",E2492="!!!",F2492="NEW"),"",COUNTBLANK(OFFSET(A$1,,,SUMPRODUCT(MAX(ROW(E$2:E2492)*(E2492=E$2:E2492)))))-COUNTBLANK(OFFSET(A$1,,,SUMPRODUCT(MAX(ROW(E$1:E2491)*(E2=E$1:E2491))))))</f>
        <v> </v>
      </c>
      <c r="K2492" s="25" t="str">
        <f>IF(OR(E2492="",E2492="!!!",F2492="NEW"),"",INDEX(J$1:J2491,SUMPRODUCT(MAX(ROW(E$1:E2491)*(E2492=E$1:E2491)))))</f>
        <v> </v>
      </c>
      <c r="L2492" s="26"/>
    </row>
    <row r="2493" spans="1:12">
      <c r="A2493" s="20" t="s">
        <v>782</v>
      </c>
      <c r="E2493" s="21">
        <f>IF(D2493="?OLD","!!!","")</f>
        <v/>
      </c>
      <c r="F2493" s="22" t="str">
        <f>IF(OR(E2493="",E2493="!!!"),"",IF(NOT(ISNA(VLOOKUP(E2493,E$1:E2492,1,FALSE()))),"OLD",IF(AND(E2493&lt;&gt;"",E2493&lt;&gt;"!!!"),"NEW","")))</f>
        <v> </v>
      </c>
      <c r="G2493" s="23" t="str">
        <f>IF(OR(E2493="",E2493="!!!"),"",IF(OR(J2493=0,AND(J2493=1,K2493=1),AND(J2493=1,I2493="SBJ"),AND(J2493=1,I2493=0)),"?IN_FOCUS",IF(J2493&lt;=2,"?ACTIVATED",IF(J2493&lt;&gt;"","?FAMILIAR",IF(F2493="NEW",IF(ISNA(VLOOKUP(E2493,#REF!,1,FALSE())),"?TYPE_IDENTIFIABLE","?REFERENTIAL"),"_")))))</f>
        <v> </v>
      </c>
      <c r="H2493" s="24" t="str">
        <f>IF(J2493&lt;&gt;1,"",IF(I2493="SBJ","CB","?"))</f>
        <v> </v>
      </c>
      <c r="I2493" s="25" t="str">
        <f>IF(OR(E2493="",E2493="!!!",F2493="NEW"),"",INDEX(B2492:B$2,-1+SUMPRODUCT(MAX(ROW(E2492:E$2)*(E2493=E2492:E$2)))))</f>
        <v> </v>
      </c>
      <c r="J2493" s="25" t="str">
        <f>IF(OR(E2493="",E2493="!!!",F2493="NEW"),"",COUNTBLANK(OFFSET(A$1,,,SUMPRODUCT(MAX(ROW(E$2:E2493)*(E2493=E$2:E2493)))))-COUNTBLANK(OFFSET(A$1,,,SUMPRODUCT(MAX(ROW(E$1:E2492)*(E2=E$1:E2492))))))</f>
        <v> </v>
      </c>
      <c r="K2493" s="25" t="str">
        <f>IF(OR(E2493="",E2493="!!!",F2493="NEW"),"",INDEX(J$1:J2492,SUMPRODUCT(MAX(ROW(E$1:E2492)*(E2493=E$1:E2492)))))</f>
        <v> </v>
      </c>
      <c r="L2493" s="26"/>
    </row>
    <row r="2494" spans="1:12">
      <c r="A2494" s="20" t="s">
        <v>46</v>
      </c>
      <c r="B2494" s="27" t="s">
        <v>716</v>
      </c>
      <c r="C2494" s="27" t="s">
        <v>739</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t="s">
        <v>783</v>
      </c>
      <c r="E2495" s="21">
        <f>IF(D2495="?OLD","!!!","")</f>
        <v/>
      </c>
      <c r="F2495" s="22" t="str">
        <f>IF(OR(E2495="",E2495="!!!"),"",IF(NOT(ISNA(VLOOKUP(E2495,E$1:E2494,1,FALSE()))),"OLD",IF(AND(E2495&lt;&gt;"",E2495&lt;&gt;"!!!"),"NEW","")))</f>
        <v> </v>
      </c>
      <c r="G2495" s="23" t="str">
        <f>IF(OR(E2495="",E2495="!!!"),"",IF(OR(J2495=0,AND(J2495=1,K2495=1),AND(J2495=1,I2495="SBJ"),AND(J2495=1,I2495=0)),"?IN_FOCUS",IF(J2495&lt;=2,"?ACTIVATED",IF(J2495&lt;&gt;"","?FAMILIAR",IF(F2495="NEW",IF(ISNA(VLOOKUP(E2495,#REF!,1,FALSE())),"?TYPE_IDENTIFIABLE","?REFERENTIAL"),"_")))))</f>
        <v> </v>
      </c>
      <c r="H2495" s="24" t="str">
        <f>IF(J2495&lt;&gt;1,"",IF(I2495="SBJ","CB","?"))</f>
        <v> </v>
      </c>
      <c r="I2495" s="25" t="str">
        <f>IF(OR(E2495="",E2495="!!!",F2495="NEW"),"",INDEX(B2494:B$2,-1+SUMPRODUCT(MAX(ROW(E2494:E$2)*(E2495=E2494:E$2)))))</f>
        <v> </v>
      </c>
      <c r="J2495" s="25" t="str">
        <f>IF(OR(E2495="",E2495="!!!",F2495="NEW"),"",COUNTBLANK(OFFSET(A$1,,,SUMPRODUCT(MAX(ROW(E$2:E2495)*(E2495=E$2:E2495)))))-COUNTBLANK(OFFSET(A$1,,,SUMPRODUCT(MAX(ROW(E$1:E2494)*(E2=E$1:E2494))))))</f>
        <v> </v>
      </c>
      <c r="K2495" s="25" t="str">
        <f>IF(OR(E2495="",E2495="!!!",F2495="NEW"),"",INDEX(J$1:J2494,SUMPRODUCT(MAX(ROW(E$1:E2494)*(E2495=E$1:E2494)))))</f>
        <v> </v>
      </c>
      <c r="L2495" s="26"/>
    </row>
    <row r="2496" spans="1:12">
      <c r="A2496" s="20" t="s">
        <v>769</v>
      </c>
      <c r="B2496" s="27" t="s">
        <v>716</v>
      </c>
      <c r="C2496" s="27" t="s">
        <v>717</v>
      </c>
      <c r="E2496" s="21">
        <f>IF(D2496="?OLD","!!!","")</f>
        <v/>
      </c>
      <c r="F2496" s="22" t="str">
        <f>IF(OR(E2496="",E2496="!!!"),"",IF(NOT(ISNA(VLOOKUP(E2496,E$1:E2495,1,FALSE()))),"OLD",IF(AND(E2496&lt;&gt;"",E2496&lt;&gt;"!!!"),"NEW","")))</f>
        <v> </v>
      </c>
      <c r="G2496" s="23" t="str">
        <f>IF(OR(E2496="",E2496="!!!"),"",IF(OR(J2496=0,AND(J2496=1,K2496=1),AND(J2496=1,I2496="SBJ"),AND(J2496=1,I2496=0)),"?IN_FOCUS",IF(J2496&lt;=2,"?ACTIVATED",IF(J2496&lt;&gt;"","?FAMILIAR",IF(F2496="NEW",IF(ISNA(VLOOKUP(E2496,#REF!,1,FALSE())),"?TYPE_IDENTIFIABLE","?REFERENTIAL"),"_")))))</f>
        <v> </v>
      </c>
      <c r="H2496" s="24" t="str">
        <f>IF(J2496&lt;&gt;1,"",IF(I2496="SBJ","CB","?"))</f>
        <v> </v>
      </c>
      <c r="I2496" s="25" t="str">
        <f>IF(OR(E2496="",E2496="!!!",F2496="NEW"),"",INDEX(B2495:B$2,-1+SUMPRODUCT(MAX(ROW(E2495:E$2)*(E2496=E2495:E$2)))))</f>
        <v> </v>
      </c>
      <c r="J2496" s="25" t="str">
        <f>IF(OR(E2496="",E2496="!!!",F2496="NEW"),"",COUNTBLANK(OFFSET(A$1,,,SUMPRODUCT(MAX(ROW(E$2:E2496)*(E2496=E$2:E2496)))))-COUNTBLANK(OFFSET(A$1,,,SUMPRODUCT(MAX(ROW(E$1:E2495)*(E2=E$1:E2495))))))</f>
        <v> </v>
      </c>
      <c r="K2496" s="25" t="str">
        <f>IF(OR(E2496="",E2496="!!!",F2496="NEW"),"",INDEX(J$1:J2495,SUMPRODUCT(MAX(ROW(E$1:E2495)*(E2496=E$1:E2495)))))</f>
        <v> </v>
      </c>
      <c r="L2496" s="26"/>
    </row>
    <row r="2497" spans="1:12">
      <c r="A2497" s="20" t="s">
        <v>718</v>
      </c>
      <c r="E2497" s="21">
        <f>IF(D2497="?OLD","!!!","")</f>
        <v/>
      </c>
      <c r="F2497" s="22" t="str">
        <f>IF(OR(E2497="",E2497="!!!"),"",IF(NOT(ISNA(VLOOKUP(E2497,E$1:E2496,1,FALSE()))),"OLD",IF(AND(E2497&lt;&gt;"",E2497&lt;&gt;"!!!"),"NEW","")))</f>
        <v> </v>
      </c>
      <c r="G2497" s="23" t="str">
        <f>IF(OR(E2497="",E2497="!!!"),"",IF(OR(J2497=0,AND(J2497=1,K2497=1),AND(J2497=1,I2497="SBJ"),AND(J2497=1,I2497=0)),"?IN_FOCUS",IF(J2497&lt;=2,"?ACTIVATED",IF(J2497&lt;&gt;"","?FAMILIAR",IF(F2497="NEW",IF(ISNA(VLOOKUP(E2497,#REF!,1,FALSE())),"?TYPE_IDENTIFIABLE","?REFERENTIAL"),"_")))))</f>
        <v> </v>
      </c>
      <c r="H2497" s="24" t="str">
        <f>IF(J2497&lt;&gt;1,"",IF(I2497="SBJ","CB","?"))</f>
        <v> </v>
      </c>
      <c r="I2497" s="25" t="str">
        <f>IF(OR(E2497="",E2497="!!!",F2497="NEW"),"",INDEX(B2496:B$2,-1+SUMPRODUCT(MAX(ROW(E2496:E$2)*(E2497=E2496:E$2)))))</f>
        <v> </v>
      </c>
      <c r="J2497" s="25" t="str">
        <f>IF(OR(E2497="",E2497="!!!",F2497="NEW"),"",COUNTBLANK(OFFSET(A$1,,,SUMPRODUCT(MAX(ROW(E$2:E2497)*(E2497=E$2:E2497)))))-COUNTBLANK(OFFSET(A$1,,,SUMPRODUCT(MAX(ROW(E$1:E2496)*(E2=E$1:E2496))))))</f>
        <v> </v>
      </c>
      <c r="K2497" s="25" t="str">
        <f>IF(OR(E2497="",E2497="!!!",F2497="NEW"),"",INDEX(J$1:J2496,SUMPRODUCT(MAX(ROW(E$1:E2496)*(E2497=E$1:E2496)))))</f>
        <v> </v>
      </c>
      <c r="L2497" s="26"/>
    </row>
    <row r="2498" spans="1:12">
      <c r="A2498" s="20" t="s">
        <v>782</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46</v>
      </c>
      <c r="B2499" s="27" t="s">
        <v>731</v>
      </c>
      <c r="C2499" s="27" t="s">
        <v>739</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783</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1625</v>
      </c>
      <c r="B2501" s="27" t="s">
        <v>724</v>
      </c>
      <c r="C2501" s="27" t="s">
        <v>717</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718</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782</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46</v>
      </c>
      <c r="B2504" s="27" t="s">
        <v>809</v>
      </c>
      <c r="C2504" s="27" t="s">
        <v>739</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718</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714</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740</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t="s">
        <v>864</v>
      </c>
      <c r="B2508" s="27" t="s">
        <v>1626</v>
      </c>
      <c r="C2508" s="27" t="s">
        <v>711</v>
      </c>
      <c r="D2508" s="27" t="s">
        <v>712</v>
      </c>
      <c r="E2508" s="21">
        <f>IF(D2508="?OLD","!!!","")</f>
        <v/>
      </c>
      <c r="F2508" s="22" t="str">
        <f>IF(OR(E2508="",E2508="!!!"),"",IF(NOT(ISNA(VLOOKUP(E2508,E$1:E2507,1,FALSE()))),"OLD",IF(AND(E2508&lt;&gt;"",E2508&lt;&gt;"!!!"),"NEW","")))</f>
        <v> </v>
      </c>
      <c r="G2508" s="23" t="str">
        <f>IF(OR(E2508="",E2508="!!!"),"",IF(OR(J2508=0,AND(J2508=1,K2508=1),AND(J2508=1,I2508="SBJ"),AND(J2508=1,I2508=0)),"?IN_FOCUS",IF(J2508&lt;=2,"?ACTIVATED",IF(J2508&lt;&gt;"","?FAMILIAR",IF(F2508="NEW",IF(ISNA(VLOOKUP(E2508,#REF!,1,FALSE())),"?TYPE_IDENTIFIABLE","?REFERENTIAL"),"_")))))</f>
        <v> </v>
      </c>
      <c r="H2508" s="24" t="str">
        <f>IF(J2508&lt;&gt;1,"",IF(I2508="SBJ","CB","?"))</f>
        <v> </v>
      </c>
      <c r="I2508" s="25" t="str">
        <f>IF(OR(E2508="",E2508="!!!",F2508="NEW"),"",INDEX(B2507:B$2,-1+SUMPRODUCT(MAX(ROW(E2507:E$2)*(E2508=E2507:E$2)))))</f>
        <v> </v>
      </c>
      <c r="J2508" s="25" t="str">
        <f>IF(OR(E2508="",E2508="!!!",F2508="NEW"),"",COUNTBLANK(OFFSET(A$1,,,SUMPRODUCT(MAX(ROW(E$2:E2508)*(E2508=E$2:E2508)))))-COUNTBLANK(OFFSET(A$1,,,SUMPRODUCT(MAX(ROW(E$1:E2507)*(E2=E$1:E2507))))))</f>
        <v> </v>
      </c>
      <c r="K2508" s="25" t="str">
        <f>IF(OR(E2508="",E2508="!!!",F2508="NEW"),"",INDEX(J$1:J2507,SUMPRODUCT(MAX(ROW(E$1:E2507)*(E2508=E$1:E2507)))))</f>
        <v> </v>
      </c>
      <c r="L2508" s="26"/>
    </row>
    <row r="2509" spans="1:12">
      <c r="A2509" s="20" t="s">
        <v>998</v>
      </c>
      <c r="B2509" s="27" t="s">
        <v>1060</v>
      </c>
      <c r="E2509" s="21">
        <f>IF(D2509="?OLD","!!!","")</f>
        <v/>
      </c>
      <c r="F2509" s="22" t="str">
        <f>IF(OR(E2509="",E2509="!!!"),"",IF(NOT(ISNA(VLOOKUP(E2509,E$1:E2508,1,FALSE()))),"OLD",IF(AND(E2509&lt;&gt;"",E2509&lt;&gt;"!!!"),"NEW","")))</f>
        <v> </v>
      </c>
      <c r="G2509" s="23" t="str">
        <f>IF(OR(E2509="",E2509="!!!"),"",IF(OR(J2509=0,AND(J2509=1,K2509=1),AND(J2509=1,I2509="SBJ"),AND(J2509=1,I2509=0)),"?IN_FOCUS",IF(J2509&lt;=2,"?ACTIVATED",IF(J2509&lt;&gt;"","?FAMILIAR",IF(F2509="NEW",IF(ISNA(VLOOKUP(E2509,#REF!,1,FALSE())),"?TYPE_IDENTIFIABLE","?REFERENTIAL"),"_")))))</f>
        <v> </v>
      </c>
      <c r="H2509" s="24" t="str">
        <f>IF(J2509&lt;&gt;1,"",IF(I2509="SBJ","CB","?"))</f>
        <v> </v>
      </c>
      <c r="I2509" s="25" t="str">
        <f>IF(OR(E2509="",E2509="!!!",F2509="NEW"),"",INDEX(B2508:B$2,-1+SUMPRODUCT(MAX(ROW(E2508:E$2)*(E2509=E2508:E$2)))))</f>
        <v> </v>
      </c>
      <c r="J2509" s="25" t="str">
        <f>IF(OR(E2509="",E2509="!!!",F2509="NEW"),"",COUNTBLANK(OFFSET(A$1,,,SUMPRODUCT(MAX(ROW(E$2:E2509)*(E2509=E$2:E2509)))))-COUNTBLANK(OFFSET(A$1,,,SUMPRODUCT(MAX(ROW(E$1:E2508)*(E2=E$1:E2508))))))</f>
        <v> </v>
      </c>
      <c r="K2509" s="25" t="str">
        <f>IF(OR(E2509="",E2509="!!!",F2509="NEW"),"",INDEX(J$1:J2508,SUMPRODUCT(MAX(ROW(E$1:E2508)*(E2509=E$1:E2508)))))</f>
        <v> </v>
      </c>
      <c r="L2509" s="26"/>
    </row>
    <row r="2510" spans="1:12">
      <c r="A2510" s="20" t="s">
        <v>1619</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t="s">
        <v>718</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886</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730</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466</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725</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row>
    <row r="2517" spans="1:12">
      <c r="A2517" s="20" t="s">
        <v>1627</v>
      </c>
    </row>
    <row r="2518" spans="1:12">
      <c r="A2518" s="20" t="s">
        <v>1414</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t="s">
        <v>890</v>
      </c>
      <c r="B2519" s="27" t="s">
        <v>731</v>
      </c>
      <c r="C2519" s="27" t="s">
        <v>892</v>
      </c>
      <c r="D2519" s="27" t="s">
        <v>712</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1628</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t="s">
        <v>1629</v>
      </c>
      <c r="B2521" s="27" t="s">
        <v>710</v>
      </c>
      <c r="C2521" s="27" t="s">
        <v>717</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748</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1013</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t="s">
        <v>46</v>
      </c>
      <c r="B2524" s="27" t="s">
        <v>716</v>
      </c>
      <c r="C2524" s="27" t="s">
        <v>739</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t="s">
        <v>975</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t="s">
        <v>769</v>
      </c>
      <c r="B2526" s="27" t="s">
        <v>716</v>
      </c>
      <c r="C2526" s="27" t="s">
        <v>717</v>
      </c>
      <c r="E2526" s="21">
        <f>IF(D2526="?OLD","!!!","")</f>
        <v/>
      </c>
      <c r="F2526" s="22" t="str">
        <f>IF(OR(E2526="",E2526="!!!"),"",IF(NOT(ISNA(VLOOKUP(E2526,E$1:E2525,1,FALSE()))),"OLD",IF(AND(E2526&lt;&gt;"",E2526&lt;&gt;"!!!"),"NEW","")))</f>
        <v> </v>
      </c>
      <c r="G2526" s="23" t="str">
        <f>IF(OR(E2526="",E2526="!!!"),"",IF(OR(J2526=0,AND(J2526=1,K2526=1),AND(J2526=1,I2526="SBJ"),AND(J2526=1,I2526=0)),"?IN_FOCUS",IF(J2526&lt;=2,"?ACTIVATED",IF(J2526&lt;&gt;"","?FAMILIAR",IF(F2526="NEW",IF(ISNA(VLOOKUP(E2526,#REF!,1,FALSE())),"?TYPE_IDENTIFIABLE","?REFERENTIAL"),"_")))))</f>
        <v> </v>
      </c>
      <c r="H2526" s="24" t="str">
        <f>IF(J2526&lt;&gt;1,"",IF(I2526="SBJ","CB","?"))</f>
        <v> </v>
      </c>
      <c r="I2526" s="25" t="str">
        <f>IF(OR(E2526="",E2526="!!!",F2526="NEW"),"",INDEX(B2525:B$2,-1+SUMPRODUCT(MAX(ROW(E2525:E$2)*(E2526=E2525:E$2)))))</f>
        <v> </v>
      </c>
      <c r="J2526" s="25" t="str">
        <f>IF(OR(E2526="",E2526="!!!",F2526="NEW"),"",COUNTBLANK(OFFSET(A$1,,,SUMPRODUCT(MAX(ROW(E$2:E2526)*(E2526=E$2:E2526)))))-COUNTBLANK(OFFSET(A$1,,,SUMPRODUCT(MAX(ROW(E$1:E2525)*(E2=E$1:E2525))))))</f>
        <v> </v>
      </c>
      <c r="K2526" s="25" t="str">
        <f>IF(OR(E2526="",E2526="!!!",F2526="NEW"),"",INDEX(J$1:J2525,SUMPRODUCT(MAX(ROW(E$1:E2525)*(E2526=E$1:E2525)))))</f>
        <v> </v>
      </c>
      <c r="L2526" s="26"/>
    </row>
    <row r="2527" spans="1:12">
      <c r="A2527" s="20" t="s">
        <v>725</v>
      </c>
      <c r="E2527" s="21">
        <f>IF(D2527="?OLD","!!!","")</f>
        <v/>
      </c>
      <c r="F2527" s="22" t="str">
        <f>IF(OR(E2527="",E2527="!!!"),"",IF(NOT(ISNA(VLOOKUP(E2527,E$1:E2526,1,FALSE()))),"OLD",IF(AND(E2527&lt;&gt;"",E2527&lt;&gt;"!!!"),"NEW","")))</f>
        <v> </v>
      </c>
      <c r="G2527" s="23" t="str">
        <f>IF(OR(E2527="",E2527="!!!"),"",IF(OR(J2527=0,AND(J2527=1,K2527=1),AND(J2527=1,I2527="SBJ"),AND(J2527=1,I2527=0)),"?IN_FOCUS",IF(J2527&lt;=2,"?ACTIVATED",IF(J2527&lt;&gt;"","?FAMILIAR",IF(F2527="NEW",IF(ISNA(VLOOKUP(E2527,#REF!,1,FALSE())),"?TYPE_IDENTIFIABLE","?REFERENTIAL"),"_")))))</f>
        <v> </v>
      </c>
      <c r="H2527" s="24" t="str">
        <f>IF(J2527&lt;&gt;1,"",IF(I2527="SBJ","CB","?"))</f>
        <v> </v>
      </c>
      <c r="I2527" s="25" t="str">
        <f>IF(OR(E2527="",E2527="!!!",F2527="NEW"),"",INDEX(B2526:B$2,-1+SUMPRODUCT(MAX(ROW(E2526:E$2)*(E2527=E2526:E$2)))))</f>
        <v> </v>
      </c>
      <c r="J2527" s="25" t="str">
        <f>IF(OR(E2527="",E2527="!!!",F2527="NEW"),"",COUNTBLANK(OFFSET(A$1,,,SUMPRODUCT(MAX(ROW(E$2:E2527)*(E2527=E$2:E2527)))))-COUNTBLANK(OFFSET(A$1,,,SUMPRODUCT(MAX(ROW(E$1:E2526)*(E2=E$1:E2526))))))</f>
        <v> </v>
      </c>
      <c r="K2527" s="25" t="str">
        <f>IF(OR(E2527="",E2527="!!!",F2527="NEW"),"",INDEX(J$1:J2526,SUMPRODUCT(MAX(ROW(E$1:E2526)*(E2527=E$1:E2526)))))</f>
        <v> </v>
      </c>
      <c r="L2527" s="26"/>
    </row>
    <row r="2528" spans="1:12">
      <c r="A2528" s="20"/>
    </row>
    <row r="2529" spans="1:12">
      <c r="A2529" s="20" t="s">
        <v>1630</v>
      </c>
    </row>
    <row r="2530" spans="1:12">
      <c r="A2530" s="20" t="s">
        <v>825</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46</v>
      </c>
      <c r="B2531" s="27" t="s">
        <v>716</v>
      </c>
      <c r="C2531" s="27" t="s">
        <v>739</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t="s">
        <v>740</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1631</v>
      </c>
      <c r="B2533" s="27" t="s">
        <v>716</v>
      </c>
      <c r="C2533" s="27" t="s">
        <v>711</v>
      </c>
      <c r="D2533" s="27" t="s">
        <v>712</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t="s">
        <v>975</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t="s">
        <v>769</v>
      </c>
      <c r="B2535" s="27" t="s">
        <v>716</v>
      </c>
      <c r="C2535" s="27" t="s">
        <v>717</v>
      </c>
      <c r="E2535" s="21">
        <f>IF(D2535="?OLD","!!!","")</f>
        <v/>
      </c>
      <c r="F2535" s="22" t="str">
        <f>IF(OR(E2535="",E2535="!!!"),"",IF(NOT(ISNA(VLOOKUP(E2535,E$1:E2534,1,FALSE()))),"OLD",IF(AND(E2535&lt;&gt;"",E2535&lt;&gt;"!!!"),"NEW","")))</f>
        <v> </v>
      </c>
      <c r="G2535" s="23" t="str">
        <f>IF(OR(E2535="",E2535="!!!"),"",IF(OR(J2535=0,AND(J2535=1,K2535=1),AND(J2535=1,I2535="SBJ"),AND(J2535=1,I2535=0)),"?IN_FOCUS",IF(J2535&lt;=2,"?ACTIVATED",IF(J2535&lt;&gt;"","?FAMILIAR",IF(F2535="NEW",IF(ISNA(VLOOKUP(E2535,#REF!,1,FALSE())),"?TYPE_IDENTIFIABLE","?REFERENTIAL"),"_")))))</f>
        <v> </v>
      </c>
      <c r="H2535" s="24" t="str">
        <f>IF(J2535&lt;&gt;1,"",IF(I2535="SBJ","CB","?"))</f>
        <v> </v>
      </c>
      <c r="I2535" s="25" t="str">
        <f>IF(OR(E2535="",E2535="!!!",F2535="NEW"),"",INDEX(B2534:B$2,-1+SUMPRODUCT(MAX(ROW(E2534:E$2)*(E2535=E2534:E$2)))))</f>
        <v> </v>
      </c>
      <c r="J2535" s="25" t="str">
        <f>IF(OR(E2535="",E2535="!!!",F2535="NEW"),"",COUNTBLANK(OFFSET(A$1,,,SUMPRODUCT(MAX(ROW(E$2:E2535)*(E2535=E$2:E2535)))))-COUNTBLANK(OFFSET(A$1,,,SUMPRODUCT(MAX(ROW(E$1:E2534)*(E2=E$1:E2534))))))</f>
        <v> </v>
      </c>
      <c r="K2535" s="25" t="str">
        <f>IF(OR(E2535="",E2535="!!!",F2535="NEW"),"",INDEX(J$1:J2534,SUMPRODUCT(MAX(ROW(E$1:E2534)*(E2535=E$1:E2534)))))</f>
        <v> </v>
      </c>
      <c r="L2535" s="26"/>
    </row>
    <row r="2536" spans="1:12">
      <c r="A2536" s="20" t="s">
        <v>764</v>
      </c>
      <c r="E2536" s="21">
        <f>IF(D2536="?OLD","!!!","")</f>
        <v/>
      </c>
      <c r="F2536" s="22" t="str">
        <f>IF(OR(E2536="",E2536="!!!"),"",IF(NOT(ISNA(VLOOKUP(E2536,E$1:E2535,1,FALSE()))),"OLD",IF(AND(E2536&lt;&gt;"",E2536&lt;&gt;"!!!"),"NEW","")))</f>
        <v> </v>
      </c>
      <c r="G2536" s="23" t="str">
        <f>IF(OR(E2536="",E2536="!!!"),"",IF(OR(J2536=0,AND(J2536=1,K2536=1),AND(J2536=1,I2536="SBJ"),AND(J2536=1,I2536=0)),"?IN_FOCUS",IF(J2536&lt;=2,"?ACTIVATED",IF(J2536&lt;&gt;"","?FAMILIAR",IF(F2536="NEW",IF(ISNA(VLOOKUP(E2536,#REF!,1,FALSE())),"?TYPE_IDENTIFIABLE","?REFERENTIAL"),"_")))))</f>
        <v> </v>
      </c>
      <c r="H2536" s="24" t="str">
        <f>IF(J2536&lt;&gt;1,"",IF(I2536="SBJ","CB","?"))</f>
        <v> </v>
      </c>
      <c r="I2536" s="25" t="str">
        <f>IF(OR(E2536="",E2536="!!!",F2536="NEW"),"",INDEX(B2535:B$2,-1+SUMPRODUCT(MAX(ROW(E2535:E$2)*(E2536=E2535:E$2)))))</f>
        <v> </v>
      </c>
      <c r="J2536" s="25" t="str">
        <f>IF(OR(E2536="",E2536="!!!",F2536="NEW"),"",COUNTBLANK(OFFSET(A$1,,,SUMPRODUCT(MAX(ROW(E$2:E2536)*(E2536=E$2:E2536)))))-COUNTBLANK(OFFSET(A$1,,,SUMPRODUCT(MAX(ROW(E$1:E2535)*(E2=E$1:E2535))))))</f>
        <v> </v>
      </c>
      <c r="K2536" s="25" t="str">
        <f>IF(OR(E2536="",E2536="!!!",F2536="NEW"),"",INDEX(J$1:J2535,SUMPRODUCT(MAX(ROW(E$1:E2535)*(E2536=E$1:E2535)))))</f>
        <v> </v>
      </c>
      <c r="L2536" s="26"/>
    </row>
    <row r="2537" spans="1:12">
      <c r="A2537" s="20" t="s">
        <v>1632</v>
      </c>
      <c r="B2537" s="27" t="s">
        <v>731</v>
      </c>
      <c r="C2537" s="27" t="s">
        <v>717</v>
      </c>
      <c r="E2537" s="21">
        <f>IF(D2537="?OLD","!!!","")</f>
        <v/>
      </c>
      <c r="F2537" s="22" t="str">
        <f>IF(OR(E2537="",E2537="!!!"),"",IF(NOT(ISNA(VLOOKUP(E2537,E$1:E2536,1,FALSE()))),"OLD",IF(AND(E2537&lt;&gt;"",E2537&lt;&gt;"!!!"),"NEW","")))</f>
        <v> </v>
      </c>
      <c r="G2537" s="23" t="str">
        <f>IF(OR(E2537="",E2537="!!!"),"",IF(OR(J2537=0,AND(J2537=1,K2537=1),AND(J2537=1,I2537="SBJ"),AND(J2537=1,I2537=0)),"?IN_FOCUS",IF(J2537&lt;=2,"?ACTIVATED",IF(J2537&lt;&gt;"","?FAMILIAR",IF(F2537="NEW",IF(ISNA(VLOOKUP(E2537,#REF!,1,FALSE())),"?TYPE_IDENTIFIABLE","?REFERENTIAL"),"_")))))</f>
        <v> </v>
      </c>
      <c r="H2537" s="24" t="str">
        <f>IF(J2537&lt;&gt;1,"",IF(I2537="SBJ","CB","?"))</f>
        <v> </v>
      </c>
      <c r="I2537" s="25" t="str">
        <f>IF(OR(E2537="",E2537="!!!",F2537="NEW"),"",INDEX(B2536:B$2,-1+SUMPRODUCT(MAX(ROW(E2536:E$2)*(E2537=E2536:E$2)))))</f>
        <v> </v>
      </c>
      <c r="J2537" s="25" t="str">
        <f>IF(OR(E2537="",E2537="!!!",F2537="NEW"),"",COUNTBLANK(OFFSET(A$1,,,SUMPRODUCT(MAX(ROW(E$2:E2537)*(E2537=E$2:E2537)))))-COUNTBLANK(OFFSET(A$1,,,SUMPRODUCT(MAX(ROW(E$1:E2536)*(E2=E$1:E2536))))))</f>
        <v> </v>
      </c>
      <c r="K2537" s="25" t="str">
        <f>IF(OR(E2537="",E2537="!!!",F2537="NEW"),"",INDEX(J$1:J2536,SUMPRODUCT(MAX(ROW(E$1:E2536)*(E2537=E$1:E2536)))))</f>
        <v> </v>
      </c>
      <c r="L2537" s="26"/>
    </row>
    <row r="2538" spans="1:12">
      <c r="A2538" s="20" t="s">
        <v>975</v>
      </c>
      <c r="E2538" s="21">
        <f>IF(D2538="?OLD","!!!","")</f>
        <v/>
      </c>
      <c r="F2538" s="22" t="str">
        <f>IF(OR(E2538="",E2538="!!!"),"",IF(NOT(ISNA(VLOOKUP(E2538,E$1:E2537,1,FALSE()))),"OLD",IF(AND(E2538&lt;&gt;"",E2538&lt;&gt;"!!!"),"NEW","")))</f>
        <v> </v>
      </c>
      <c r="G2538" s="23" t="str">
        <f>IF(OR(E2538="",E2538="!!!"),"",IF(OR(J2538=0,AND(J2538=1,K2538=1),AND(J2538=1,I2538="SBJ"),AND(J2538=1,I2538=0)),"?IN_FOCUS",IF(J2538&lt;=2,"?ACTIVATED",IF(J2538&lt;&gt;"","?FAMILIAR",IF(F2538="NEW",IF(ISNA(VLOOKUP(E2538,#REF!,1,FALSE())),"?TYPE_IDENTIFIABLE","?REFERENTIAL"),"_")))))</f>
        <v> </v>
      </c>
      <c r="H2538" s="24" t="str">
        <f>IF(J2538&lt;&gt;1,"",IF(I2538="SBJ","CB","?"))</f>
        <v> </v>
      </c>
      <c r="I2538" s="25" t="str">
        <f>IF(OR(E2538="",E2538="!!!",F2538="NEW"),"",INDEX(B2537:B$2,-1+SUMPRODUCT(MAX(ROW(E2537:E$2)*(E2538=E2537:E$2)))))</f>
        <v> </v>
      </c>
      <c r="J2538" s="25" t="str">
        <f>IF(OR(E2538="",E2538="!!!",F2538="NEW"),"",COUNTBLANK(OFFSET(A$1,,,SUMPRODUCT(MAX(ROW(E$2:E2538)*(E2538=E$2:E2538)))))-COUNTBLANK(OFFSET(A$1,,,SUMPRODUCT(MAX(ROW(E$1:E2537)*(E2=E$1:E2537))))))</f>
        <v> </v>
      </c>
      <c r="K2538" s="25" t="str">
        <f>IF(OR(E2538="",E2538="!!!",F2538="NEW"),"",INDEX(J$1:J2537,SUMPRODUCT(MAX(ROW(E$1:E2537)*(E2538=E$1:E2537)))))</f>
        <v> </v>
      </c>
      <c r="L2538" s="26"/>
    </row>
    <row r="2539" spans="1:12">
      <c r="A2539" s="20" t="s">
        <v>769</v>
      </c>
      <c r="B2539" s="27" t="s">
        <v>731</v>
      </c>
      <c r="C2539" s="27" t="s">
        <v>717</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725</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row>
    <row r="2542" spans="1:12">
      <c r="A2542" s="20" t="s">
        <v>1633</v>
      </c>
    </row>
    <row r="2543" spans="1:12">
      <c r="A2543" s="20" t="s">
        <v>1634</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1635</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t="s">
        <v>1636</v>
      </c>
      <c r="E2545" s="21">
        <f>IF(D2545="?OLD","!!!","")</f>
        <v/>
      </c>
      <c r="F2545" s="22" t="str">
        <f>IF(OR(E2545="",E2545="!!!"),"",IF(NOT(ISNA(VLOOKUP(E2545,E$1:E2544,1,FALSE()))),"OLD",IF(AND(E2545&lt;&gt;"",E2545&lt;&gt;"!!!"),"NEW","")))</f>
        <v> </v>
      </c>
      <c r="G2545" s="23" t="str">
        <f>IF(OR(E2545="",E2545="!!!"),"",IF(OR(J2545=0,AND(J2545=1,K2545=1),AND(J2545=1,I2545="SBJ"),AND(J2545=1,I2545=0)),"?IN_FOCUS",IF(J2545&lt;=2,"?ACTIVATED",IF(J2545&lt;&gt;"","?FAMILIAR",IF(F2545="NEW",IF(ISNA(VLOOKUP(E2545,#REF!,1,FALSE())),"?TYPE_IDENTIFIABLE","?REFERENTIAL"),"_")))))</f>
        <v> </v>
      </c>
      <c r="H2545" s="24" t="str">
        <f>IF(J2545&lt;&gt;1,"",IF(I2545="SBJ","CB","?"))</f>
        <v> </v>
      </c>
      <c r="I2545" s="25" t="str">
        <f>IF(OR(E2545="",E2545="!!!",F2545="NEW"),"",INDEX(B2544:B$2,-1+SUMPRODUCT(MAX(ROW(E2544:E$2)*(E2545=E2544:E$2)))))</f>
        <v> </v>
      </c>
      <c r="J2545" s="25" t="str">
        <f>IF(OR(E2545="",E2545="!!!",F2545="NEW"),"",COUNTBLANK(OFFSET(A$1,,,SUMPRODUCT(MAX(ROW(E$2:E2545)*(E2545=E$2:E2545)))))-COUNTBLANK(OFFSET(A$1,,,SUMPRODUCT(MAX(ROW(E$1:E2544)*(E2=E$1:E2544))))))</f>
        <v> </v>
      </c>
      <c r="K2545" s="25" t="str">
        <f>IF(OR(E2545="",E2545="!!!",F2545="NEW"),"",INDEX(J$1:J2544,SUMPRODUCT(MAX(ROW(E$1:E2544)*(E2545=E$1:E2544)))))</f>
        <v> </v>
      </c>
      <c r="L2545" s="26"/>
    </row>
    <row r="2546" spans="1:12">
      <c r="A2546" s="20" t="s">
        <v>718</v>
      </c>
      <c r="E2546" s="21">
        <f>IF(D2546="?OLD","!!!","")</f>
        <v/>
      </c>
      <c r="F2546" s="22" t="str">
        <f>IF(OR(E2546="",E2546="!!!"),"",IF(NOT(ISNA(VLOOKUP(E2546,E$1:E2545,1,FALSE()))),"OLD",IF(AND(E2546&lt;&gt;"",E2546&lt;&gt;"!!!"),"NEW","")))</f>
        <v> </v>
      </c>
      <c r="G2546" s="23" t="str">
        <f>IF(OR(E2546="",E2546="!!!"),"",IF(OR(J2546=0,AND(J2546=1,K2546=1),AND(J2546=1,I2546="SBJ"),AND(J2546=1,I2546=0)),"?IN_FOCUS",IF(J2546&lt;=2,"?ACTIVATED",IF(J2546&lt;&gt;"","?FAMILIAR",IF(F2546="NEW",IF(ISNA(VLOOKUP(E2546,#REF!,1,FALSE())),"?TYPE_IDENTIFIABLE","?REFERENTIAL"),"_")))))</f>
        <v> </v>
      </c>
      <c r="H2546" s="24" t="str">
        <f>IF(J2546&lt;&gt;1,"",IF(I2546="SBJ","CB","?"))</f>
        <v> </v>
      </c>
      <c r="I2546" s="25" t="str">
        <f>IF(OR(E2546="",E2546="!!!",F2546="NEW"),"",INDEX(B2545:B$2,-1+SUMPRODUCT(MAX(ROW(E2545:E$2)*(E2546=E2545:E$2)))))</f>
        <v> </v>
      </c>
      <c r="J2546" s="25" t="str">
        <f>IF(OR(E2546="",E2546="!!!",F2546="NEW"),"",COUNTBLANK(OFFSET(A$1,,,SUMPRODUCT(MAX(ROW(E$2:E2546)*(E2546=E$2:E2546)))))-COUNTBLANK(OFFSET(A$1,,,SUMPRODUCT(MAX(ROW(E$1:E2545)*(E2=E$1:E2545))))))</f>
        <v> </v>
      </c>
      <c r="K2546" s="25" t="str">
        <f>IF(OR(E2546="",E2546="!!!",F2546="NEW"),"",INDEX(J$1:J2545,SUMPRODUCT(MAX(ROW(E$1:E2545)*(E2546=E$1:E2545)))))</f>
        <v> </v>
      </c>
      <c r="L2546" s="26"/>
    </row>
    <row r="2547" spans="1:12">
      <c r="A2547" s="20" t="s">
        <v>1637</v>
      </c>
      <c r="B2547" s="27" t="s">
        <v>716</v>
      </c>
      <c r="C2547" s="27" t="s">
        <v>761</v>
      </c>
      <c r="D2547" s="27" t="s">
        <v>712</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1638</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1639</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725</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row>
    <row r="2552" spans="1:12">
      <c r="A2552" s="20" t="s">
        <v>1640</v>
      </c>
    </row>
    <row r="2553" spans="1:12">
      <c r="A2553" s="20" t="s">
        <v>825</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t="s">
        <v>46</v>
      </c>
      <c r="B2554" s="27" t="s">
        <v>716</v>
      </c>
      <c r="C2554" s="27" t="s">
        <v>739</v>
      </c>
      <c r="E2554" s="21">
        <f>IF(D2554="?OLD","!!!","")</f>
        <v/>
      </c>
      <c r="F2554" s="22" t="str">
        <f>IF(OR(E2554="",E2554="!!!"),"",IF(NOT(ISNA(VLOOKUP(E2554,E$1:E2553,1,FALSE()))),"OLD",IF(AND(E2554&lt;&gt;"",E2554&lt;&gt;"!!!"),"NEW","")))</f>
        <v> </v>
      </c>
      <c r="G2554" s="23" t="str">
        <f>IF(OR(E2554="",E2554="!!!"),"",IF(OR(J2554=0,AND(J2554=1,K2554=1),AND(J2554=1,I2554="SBJ"),AND(J2554=1,I2554=0)),"?IN_FOCUS",IF(J2554&lt;=2,"?ACTIVATED",IF(J2554&lt;&gt;"","?FAMILIAR",IF(F2554="NEW",IF(ISNA(VLOOKUP(E2554,#REF!,1,FALSE())),"?TYPE_IDENTIFIABLE","?REFERENTIAL"),"_")))))</f>
        <v> </v>
      </c>
      <c r="H2554" s="24" t="str">
        <f>IF(J2554&lt;&gt;1,"",IF(I2554="SBJ","CB","?"))</f>
        <v> </v>
      </c>
      <c r="I2554" s="25" t="str">
        <f>IF(OR(E2554="",E2554="!!!",F2554="NEW"),"",INDEX(B2553:B$2,-1+SUMPRODUCT(MAX(ROW(E2553:E$2)*(E2554=E2553:E$2)))))</f>
        <v> </v>
      </c>
      <c r="J2554" s="25" t="str">
        <f>IF(OR(E2554="",E2554="!!!",F2554="NEW"),"",COUNTBLANK(OFFSET(A$1,,,SUMPRODUCT(MAX(ROW(E$2:E2554)*(E2554=E$2:E2554)))))-COUNTBLANK(OFFSET(A$1,,,SUMPRODUCT(MAX(ROW(E$1:E2553)*(E2=E$1:E2553))))))</f>
        <v> </v>
      </c>
      <c r="K2554" s="25" t="str">
        <f>IF(OR(E2554="",E2554="!!!",F2554="NEW"),"",INDEX(J$1:J2553,SUMPRODUCT(MAX(ROW(E$1:E2553)*(E2554=E$1:E2553)))))</f>
        <v> </v>
      </c>
      <c r="L2554" s="26"/>
    </row>
    <row r="2555" spans="1:12">
      <c r="A2555" s="20" t="s">
        <v>740</v>
      </c>
      <c r="E2555" s="21">
        <f>IF(D2555="?OLD","!!!","")</f>
        <v/>
      </c>
      <c r="F2555" s="22" t="str">
        <f>IF(OR(E2555="",E2555="!!!"),"",IF(NOT(ISNA(VLOOKUP(E2555,E$1:E2554,1,FALSE()))),"OLD",IF(AND(E2555&lt;&gt;"",E2555&lt;&gt;"!!!"),"NEW","")))</f>
        <v> </v>
      </c>
      <c r="G2555" s="23" t="str">
        <f>IF(OR(E2555="",E2555="!!!"),"",IF(OR(J2555=0,AND(J2555=1,K2555=1),AND(J2555=1,I2555="SBJ"),AND(J2555=1,I2555=0)),"?IN_FOCUS",IF(J2555&lt;=2,"?ACTIVATED",IF(J2555&lt;&gt;"","?FAMILIAR",IF(F2555="NEW",IF(ISNA(VLOOKUP(E2555,#REF!,1,FALSE())),"?TYPE_IDENTIFIABLE","?REFERENTIAL"),"_")))))</f>
        <v> </v>
      </c>
      <c r="H2555" s="24" t="str">
        <f>IF(J2555&lt;&gt;1,"",IF(I2555="SBJ","CB","?"))</f>
        <v> </v>
      </c>
      <c r="I2555" s="25" t="str">
        <f>IF(OR(E2555="",E2555="!!!",F2555="NEW"),"",INDEX(B2554:B$2,-1+SUMPRODUCT(MAX(ROW(E2554:E$2)*(E2555=E2554:E$2)))))</f>
        <v> </v>
      </c>
      <c r="J2555" s="25" t="str">
        <f>IF(OR(E2555="",E2555="!!!",F2555="NEW"),"",COUNTBLANK(OFFSET(A$1,,,SUMPRODUCT(MAX(ROW(E$2:E2555)*(E2555=E$2:E2555)))))-COUNTBLANK(OFFSET(A$1,,,SUMPRODUCT(MAX(ROW(E$1:E2554)*(E2=E$1:E2554))))))</f>
        <v> </v>
      </c>
      <c r="K2555" s="25" t="str">
        <f>IF(OR(E2555="",E2555="!!!",F2555="NEW"),"",INDEX(J$1:J2554,SUMPRODUCT(MAX(ROW(E$1:E2554)*(E2555=E$1:E2554)))))</f>
        <v> </v>
      </c>
      <c r="L2555" s="26"/>
    </row>
    <row r="2556" spans="1:12">
      <c r="A2556" s="20" t="s">
        <v>763</v>
      </c>
      <c r="B2556" s="27" t="s">
        <v>716</v>
      </c>
      <c r="C2556" s="27" t="s">
        <v>711</v>
      </c>
      <c r="D2556" s="27" t="s">
        <v>712</v>
      </c>
      <c r="E2556" s="21">
        <f>IF(D2556="?OLD","!!!","")</f>
        <v/>
      </c>
      <c r="F2556" s="22" t="str">
        <f>IF(OR(E2556="",E2556="!!!"),"",IF(NOT(ISNA(VLOOKUP(E2556,E$1:E2555,1,FALSE()))),"OLD",IF(AND(E2556&lt;&gt;"",E2556&lt;&gt;"!!!"),"NEW","")))</f>
        <v> </v>
      </c>
      <c r="G2556" s="23" t="str">
        <f>IF(OR(E2556="",E2556="!!!"),"",IF(OR(J2556=0,AND(J2556=1,K2556=1),AND(J2556=1,I2556="SBJ"),AND(J2556=1,I2556=0)),"?IN_FOCUS",IF(J2556&lt;=2,"?ACTIVATED",IF(J2556&lt;&gt;"","?FAMILIAR",IF(F2556="NEW",IF(ISNA(VLOOKUP(E2556,#REF!,1,FALSE())),"?TYPE_IDENTIFIABLE","?REFERENTIAL"),"_")))))</f>
        <v> </v>
      </c>
      <c r="H2556" s="24" t="str">
        <f>IF(J2556&lt;&gt;1,"",IF(I2556="SBJ","CB","?"))</f>
        <v> </v>
      </c>
      <c r="I2556" s="25" t="str">
        <f>IF(OR(E2556="",E2556="!!!",F2556="NEW"),"",INDEX(B2555:B$2,-1+SUMPRODUCT(MAX(ROW(E2555:E$2)*(E2556=E2555:E$2)))))</f>
        <v> </v>
      </c>
      <c r="J2556" s="25" t="str">
        <f>IF(OR(E2556="",E2556="!!!",F2556="NEW"),"",COUNTBLANK(OFFSET(A$1,,,SUMPRODUCT(MAX(ROW(E$2:E2556)*(E2556=E$2:E2556)))))-COUNTBLANK(OFFSET(A$1,,,SUMPRODUCT(MAX(ROW(E$1:E2555)*(E2=E$1:E2555))))))</f>
        <v> </v>
      </c>
      <c r="K2556" s="25" t="str">
        <f>IF(OR(E2556="",E2556="!!!",F2556="NEW"),"",INDEX(J$1:J2555,SUMPRODUCT(MAX(ROW(E$1:E2555)*(E2556=E$1:E2555)))))</f>
        <v> </v>
      </c>
      <c r="L2556" s="26"/>
    </row>
    <row r="2557" spans="1:12">
      <c r="A2557" s="20" t="s">
        <v>764</v>
      </c>
      <c r="E2557" s="21">
        <f>IF(D2557="?OLD","!!!","")</f>
        <v/>
      </c>
      <c r="F2557" s="22" t="str">
        <f>IF(OR(E2557="",E2557="!!!"),"",IF(NOT(ISNA(VLOOKUP(E2557,E$1:E2556,1,FALSE()))),"OLD",IF(AND(E2557&lt;&gt;"",E2557&lt;&gt;"!!!"),"NEW","")))</f>
        <v> </v>
      </c>
      <c r="G2557" s="23" t="str">
        <f>IF(OR(E2557="",E2557="!!!"),"",IF(OR(J2557=0,AND(J2557=1,K2557=1),AND(J2557=1,I2557="SBJ"),AND(J2557=1,I2557=0)),"?IN_FOCUS",IF(J2557&lt;=2,"?ACTIVATED",IF(J2557&lt;&gt;"","?FAMILIAR",IF(F2557="NEW",IF(ISNA(VLOOKUP(E2557,#REF!,1,FALSE())),"?TYPE_IDENTIFIABLE","?REFERENTIAL"),"_")))))</f>
        <v> </v>
      </c>
      <c r="H2557" s="24" t="str">
        <f>IF(J2557&lt;&gt;1,"",IF(I2557="SBJ","CB","?"))</f>
        <v> </v>
      </c>
      <c r="I2557" s="25" t="str">
        <f>IF(OR(E2557="",E2557="!!!",F2557="NEW"),"",INDEX(B2556:B$2,-1+SUMPRODUCT(MAX(ROW(E2556:E$2)*(E2557=E2556:E$2)))))</f>
        <v> </v>
      </c>
      <c r="J2557" s="25" t="str">
        <f>IF(OR(E2557="",E2557="!!!",F2557="NEW"),"",COUNTBLANK(OFFSET(A$1,,,SUMPRODUCT(MAX(ROW(E$2:E2557)*(E2557=E$2:E2557)))))-COUNTBLANK(OFFSET(A$1,,,SUMPRODUCT(MAX(ROW(E$1:E2556)*(E2=E$1:E2556))))))</f>
        <v> </v>
      </c>
      <c r="K2557" s="25" t="str">
        <f>IF(OR(E2557="",E2557="!!!",F2557="NEW"),"",INDEX(J$1:J2556,SUMPRODUCT(MAX(ROW(E$1:E2556)*(E2557=E$1:E2556)))))</f>
        <v> </v>
      </c>
      <c r="L2557" s="26"/>
    </row>
    <row r="2558" spans="1:12">
      <c r="A2558" s="20" t="s">
        <v>1641</v>
      </c>
      <c r="B2558" s="27" t="s">
        <v>731</v>
      </c>
      <c r="C2558" s="27" t="s">
        <v>717</v>
      </c>
      <c r="E2558" s="21">
        <f>IF(D2558="?OLD","!!!","")</f>
        <v/>
      </c>
      <c r="F2558" s="22" t="str">
        <f>IF(OR(E2558="",E2558="!!!"),"",IF(NOT(ISNA(VLOOKUP(E2558,E$1:E2557,1,FALSE()))),"OLD",IF(AND(E2558&lt;&gt;"",E2558&lt;&gt;"!!!"),"NEW","")))</f>
        <v> </v>
      </c>
      <c r="G2558" s="23" t="str">
        <f>IF(OR(E2558="",E2558="!!!"),"",IF(OR(J2558=0,AND(J2558=1,K2558=1),AND(J2558=1,I2558="SBJ"),AND(J2558=1,I2558=0)),"?IN_FOCUS",IF(J2558&lt;=2,"?ACTIVATED",IF(J2558&lt;&gt;"","?FAMILIAR",IF(F2558="NEW",IF(ISNA(VLOOKUP(E2558,#REF!,1,FALSE())),"?TYPE_IDENTIFIABLE","?REFERENTIAL"),"_")))))</f>
        <v> </v>
      </c>
      <c r="H2558" s="24" t="str">
        <f>IF(J2558&lt;&gt;1,"",IF(I2558="SBJ","CB","?"))</f>
        <v> </v>
      </c>
      <c r="I2558" s="25" t="str">
        <f>IF(OR(E2558="",E2558="!!!",F2558="NEW"),"",INDEX(B2557:B$2,-1+SUMPRODUCT(MAX(ROW(E2557:E$2)*(E2558=E2557:E$2)))))</f>
        <v> </v>
      </c>
      <c r="J2558" s="25" t="str">
        <f>IF(OR(E2558="",E2558="!!!",F2558="NEW"),"",COUNTBLANK(OFFSET(A$1,,,SUMPRODUCT(MAX(ROW(E$2:E2558)*(E2558=E$2:E2558)))))-COUNTBLANK(OFFSET(A$1,,,SUMPRODUCT(MAX(ROW(E$1:E2557)*(E2=E$1:E2557))))))</f>
        <v> </v>
      </c>
      <c r="K2558" s="25" t="str">
        <f>IF(OR(E2558="",E2558="!!!",F2558="NEW"),"",INDEX(J$1:J2557,SUMPRODUCT(MAX(ROW(E$1:E2557)*(E2558=E$1:E2557)))))</f>
        <v> </v>
      </c>
      <c r="L2558" s="26"/>
    </row>
    <row r="2559" spans="1:12">
      <c r="A2559" s="20" t="s">
        <v>975</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t="s">
        <v>769</v>
      </c>
      <c r="B2560" s="27" t="s">
        <v>724</v>
      </c>
      <c r="C2560" s="27" t="s">
        <v>717</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718</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740</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1642</v>
      </c>
      <c r="B2563" s="27" t="s">
        <v>809</v>
      </c>
      <c r="C2563" s="27" t="s">
        <v>711</v>
      </c>
      <c r="D2563" s="27" t="s">
        <v>712</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975</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t="s">
        <v>769</v>
      </c>
      <c r="B2565" s="27" t="s">
        <v>811</v>
      </c>
      <c r="C2565" s="27" t="s">
        <v>717</v>
      </c>
      <c r="E2565" s="21">
        <f>IF(D2565="?OLD","!!!","")</f>
        <v/>
      </c>
      <c r="F2565" s="22" t="str">
        <f>IF(OR(E2565="",E2565="!!!"),"",IF(NOT(ISNA(VLOOKUP(E2565,E$1:E2564,1,FALSE()))),"OLD",IF(AND(E2565&lt;&gt;"",E2565&lt;&gt;"!!!"),"NEW","")))</f>
        <v> </v>
      </c>
      <c r="G2565" s="23" t="str">
        <f>IF(OR(E2565="",E2565="!!!"),"",IF(OR(J2565=0,AND(J2565=1,K2565=1),AND(J2565=1,I2565="SBJ"),AND(J2565=1,I2565=0)),"?IN_FOCUS",IF(J2565&lt;=2,"?ACTIVATED",IF(J2565&lt;&gt;"","?FAMILIAR",IF(F2565="NEW",IF(ISNA(VLOOKUP(E2565,#REF!,1,FALSE())),"?TYPE_IDENTIFIABLE","?REFERENTIAL"),"_")))))</f>
        <v> </v>
      </c>
      <c r="H2565" s="24" t="str">
        <f>IF(J2565&lt;&gt;1,"",IF(I2565="SBJ","CB","?"))</f>
        <v> </v>
      </c>
      <c r="I2565" s="25" t="str">
        <f>IF(OR(E2565="",E2565="!!!",F2565="NEW"),"",INDEX(B2564:B$2,-1+SUMPRODUCT(MAX(ROW(E2564:E$2)*(E2565=E2564:E$2)))))</f>
        <v> </v>
      </c>
      <c r="J2565" s="25" t="str">
        <f>IF(OR(E2565="",E2565="!!!",F2565="NEW"),"",COUNTBLANK(OFFSET(A$1,,,SUMPRODUCT(MAX(ROW(E$2:E2565)*(E2565=E$2:E2565)))))-COUNTBLANK(OFFSET(A$1,,,SUMPRODUCT(MAX(ROW(E$1:E2564)*(E2=E$1:E2564))))))</f>
        <v> </v>
      </c>
      <c r="K2565" s="25" t="str">
        <f>IF(OR(E2565="",E2565="!!!",F2565="NEW"),"",INDEX(J$1:J2564,SUMPRODUCT(MAX(ROW(E$1:E2564)*(E2565=E$1:E2564)))))</f>
        <v> </v>
      </c>
      <c r="L2565" s="26"/>
    </row>
    <row r="2566" spans="1:12">
      <c r="A2566" s="20" t="s">
        <v>718</v>
      </c>
      <c r="E2566" s="21">
        <f>IF(D2566="?OLD","!!!","")</f>
        <v/>
      </c>
      <c r="F2566" s="22" t="str">
        <f>IF(OR(E2566="",E2566="!!!"),"",IF(NOT(ISNA(VLOOKUP(E2566,E$1:E2565,1,FALSE()))),"OLD",IF(AND(E2566&lt;&gt;"",E2566&lt;&gt;"!!!"),"NEW","")))</f>
        <v> </v>
      </c>
      <c r="G2566" s="23" t="str">
        <f>IF(OR(E2566="",E2566="!!!"),"",IF(OR(J2566=0,AND(J2566=1,K2566=1),AND(J2566=1,I2566="SBJ"),AND(J2566=1,I2566=0)),"?IN_FOCUS",IF(J2566&lt;=2,"?ACTIVATED",IF(J2566&lt;&gt;"","?FAMILIAR",IF(F2566="NEW",IF(ISNA(VLOOKUP(E2566,#REF!,1,FALSE())),"?TYPE_IDENTIFIABLE","?REFERENTIAL"),"_")))))</f>
        <v> </v>
      </c>
      <c r="H2566" s="24" t="str">
        <f>IF(J2566&lt;&gt;1,"",IF(I2566="SBJ","CB","?"))</f>
        <v> </v>
      </c>
      <c r="I2566" s="25" t="str">
        <f>IF(OR(E2566="",E2566="!!!",F2566="NEW"),"",INDEX(B2565:B$2,-1+SUMPRODUCT(MAX(ROW(E2565:E$2)*(E2566=E2565:E$2)))))</f>
        <v> </v>
      </c>
      <c r="J2566" s="25" t="str">
        <f>IF(OR(E2566="",E2566="!!!",F2566="NEW"),"",COUNTBLANK(OFFSET(A$1,,,SUMPRODUCT(MAX(ROW(E$2:E2566)*(E2566=E$2:E2566)))))-COUNTBLANK(OFFSET(A$1,,,SUMPRODUCT(MAX(ROW(E$1:E2565)*(E2=E$1:E2565))))))</f>
        <v> </v>
      </c>
      <c r="K2566" s="25" t="str">
        <f>IF(OR(E2566="",E2566="!!!",F2566="NEW"),"",INDEX(J$1:J2565,SUMPRODUCT(MAX(ROW(E$1:E2565)*(E2566=E$1:E2565)))))</f>
        <v> </v>
      </c>
      <c r="L2566" s="26"/>
    </row>
    <row r="2567" spans="1:12">
      <c r="A2567" s="20" t="s">
        <v>819</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t="s">
        <v>25</v>
      </c>
      <c r="B2568" s="27" t="s">
        <v>1643</v>
      </c>
      <c r="C2568" s="27" t="s">
        <v>711</v>
      </c>
      <c r="D2568" s="27" t="s">
        <v>712</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t="s">
        <v>764</v>
      </c>
      <c r="E2569" s="21">
        <f>IF(D2569="?OLD","!!!","")</f>
        <v/>
      </c>
      <c r="F2569" s="22" t="str">
        <f>IF(OR(E2569="",E2569="!!!"),"",IF(NOT(ISNA(VLOOKUP(E2569,E$1:E2568,1,FALSE()))),"OLD",IF(AND(E2569&lt;&gt;"",E2569&lt;&gt;"!!!"),"NEW","")))</f>
        <v> </v>
      </c>
      <c r="G2569" s="23" t="str">
        <f>IF(OR(E2569="",E2569="!!!"),"",IF(OR(J2569=0,AND(J2569=1,K2569=1),AND(J2569=1,I2569="SBJ"),AND(J2569=1,I2569=0)),"?IN_FOCUS",IF(J2569&lt;=2,"?ACTIVATED",IF(J2569&lt;&gt;"","?FAMILIAR",IF(F2569="NEW",IF(ISNA(VLOOKUP(E2569,#REF!,1,FALSE())),"?TYPE_IDENTIFIABLE","?REFERENTIAL"),"_")))))</f>
        <v> </v>
      </c>
      <c r="H2569" s="24" t="str">
        <f>IF(J2569&lt;&gt;1,"",IF(I2569="SBJ","CB","?"))</f>
        <v> </v>
      </c>
      <c r="I2569" s="25" t="str">
        <f>IF(OR(E2569="",E2569="!!!",F2569="NEW"),"",INDEX(B2568:B$2,-1+SUMPRODUCT(MAX(ROW(E2568:E$2)*(E2569=E2568:E$2)))))</f>
        <v> </v>
      </c>
      <c r="J2569" s="25" t="str">
        <f>IF(OR(E2569="",E2569="!!!",F2569="NEW"),"",COUNTBLANK(OFFSET(A$1,,,SUMPRODUCT(MAX(ROW(E$2:E2569)*(E2569=E$2:E2569)))))-COUNTBLANK(OFFSET(A$1,,,SUMPRODUCT(MAX(ROW(E$1:E2568)*(E2=E$1:E2568))))))</f>
        <v> </v>
      </c>
      <c r="K2569" s="25" t="str">
        <f>IF(OR(E2569="",E2569="!!!",F2569="NEW"),"",INDEX(J$1:J2568,SUMPRODUCT(MAX(ROW(E$1:E2568)*(E2569=E$1:E2568)))))</f>
        <v> </v>
      </c>
      <c r="L2569" s="26"/>
    </row>
    <row r="2570" spans="1:12">
      <c r="A2570" s="20" t="s">
        <v>1644</v>
      </c>
      <c r="B2570" s="27" t="s">
        <v>1643</v>
      </c>
      <c r="C2570" s="27" t="s">
        <v>717</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t="s">
        <v>975</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769</v>
      </c>
      <c r="B2572" s="27" t="s">
        <v>1643</v>
      </c>
      <c r="C2572" s="27" t="s">
        <v>717</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t="s">
        <v>725</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row>
    <row r="2575" spans="1:12">
      <c r="A2575" s="20" t="s">
        <v>1645</v>
      </c>
    </row>
    <row r="2576" spans="1:12">
      <c r="A2576" s="20" t="s">
        <v>727</v>
      </c>
      <c r="B2576" s="27" t="s">
        <v>710</v>
      </c>
      <c r="C2576" s="27" t="s">
        <v>728</v>
      </c>
      <c r="D2576" s="27" t="s">
        <v>712</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748</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767</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1646</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46</v>
      </c>
      <c r="B2580" s="27" t="s">
        <v>716</v>
      </c>
      <c r="C2580" s="27" t="s">
        <v>711</v>
      </c>
      <c r="D2580" s="27" t="s">
        <v>712</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764</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871</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791</v>
      </c>
      <c r="B2583" s="27" t="s">
        <v>749</v>
      </c>
      <c r="C2583" s="27" t="s">
        <v>743</v>
      </c>
      <c r="D2583" s="27" t="s">
        <v>712</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1254</v>
      </c>
      <c r="B2584" s="27" t="s">
        <v>724</v>
      </c>
      <c r="C2584" s="27" t="s">
        <v>743</v>
      </c>
      <c r="D2584" s="27" t="s">
        <v>712</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1257</v>
      </c>
      <c r="B2585" s="27" t="s">
        <v>818</v>
      </c>
      <c r="C2585" s="27" t="s">
        <v>778</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t="s">
        <v>1517</v>
      </c>
      <c r="E2586" s="21">
        <f>IF(D2586="?OLD","!!!","")</f>
        <v/>
      </c>
      <c r="F2586" s="22" t="str">
        <f>IF(OR(E2586="",E2586="!!!"),"",IF(NOT(ISNA(VLOOKUP(E2586,E$1:E2585,1,FALSE()))),"OLD",IF(AND(E2586&lt;&gt;"",E2586&lt;&gt;"!!!"),"NEW","")))</f>
        <v> </v>
      </c>
      <c r="G2586" s="23" t="str">
        <f>IF(OR(E2586="",E2586="!!!"),"",IF(OR(J2586=0,AND(J2586=1,K2586=1),AND(J2586=1,I2586="SBJ"),AND(J2586=1,I2586=0)),"?IN_FOCUS",IF(J2586&lt;=2,"?ACTIVATED",IF(J2586&lt;&gt;"","?FAMILIAR",IF(F2586="NEW",IF(ISNA(VLOOKUP(E2586,#REF!,1,FALSE())),"?TYPE_IDENTIFIABLE","?REFERENTIAL"),"_")))))</f>
        <v> </v>
      </c>
      <c r="H2586" s="24" t="str">
        <f>IF(J2586&lt;&gt;1,"",IF(I2586="SBJ","CB","?"))</f>
        <v> </v>
      </c>
      <c r="I2586" s="25" t="str">
        <f>IF(OR(E2586="",E2586="!!!",F2586="NEW"),"",INDEX(B2585:B$2,-1+SUMPRODUCT(MAX(ROW(E2585:E$2)*(E2586=E2585:E$2)))))</f>
        <v> </v>
      </c>
      <c r="J2586" s="25" t="str">
        <f>IF(OR(E2586="",E2586="!!!",F2586="NEW"),"",COUNTBLANK(OFFSET(A$1,,,SUMPRODUCT(MAX(ROW(E$2:E2586)*(E2586=E$2:E2586)))))-COUNTBLANK(OFFSET(A$1,,,SUMPRODUCT(MAX(ROW(E$1:E2585)*(E2=E$1:E2585))))))</f>
        <v> </v>
      </c>
      <c r="K2586" s="25" t="str">
        <f>IF(OR(E2586="",E2586="!!!",F2586="NEW"),"",INDEX(J$1:J2585,SUMPRODUCT(MAX(ROW(E$1:E2585)*(E2586=E$1:E2585)))))</f>
        <v> </v>
      </c>
      <c r="L2586" s="26"/>
    </row>
    <row r="2587" spans="1:12">
      <c r="A2587" s="20" t="s">
        <v>718</v>
      </c>
      <c r="E2587" s="21">
        <f>IF(D2587="?OLD","!!!","")</f>
        <v/>
      </c>
      <c r="F2587" s="22" t="str">
        <f>IF(OR(E2587="",E2587="!!!"),"",IF(NOT(ISNA(VLOOKUP(E2587,E$1:E2586,1,FALSE()))),"OLD",IF(AND(E2587&lt;&gt;"",E2587&lt;&gt;"!!!"),"NEW","")))</f>
        <v> </v>
      </c>
      <c r="G2587" s="23" t="str">
        <f>IF(OR(E2587="",E2587="!!!"),"",IF(OR(J2587=0,AND(J2587=1,K2587=1),AND(J2587=1,I2587="SBJ"),AND(J2587=1,I2587=0)),"?IN_FOCUS",IF(J2587&lt;=2,"?ACTIVATED",IF(J2587&lt;&gt;"","?FAMILIAR",IF(F2587="NEW",IF(ISNA(VLOOKUP(E2587,#REF!,1,FALSE())),"?TYPE_IDENTIFIABLE","?REFERENTIAL"),"_")))))</f>
        <v> </v>
      </c>
      <c r="H2587" s="24" t="str">
        <f>IF(J2587&lt;&gt;1,"",IF(I2587="SBJ","CB","?"))</f>
        <v> </v>
      </c>
      <c r="I2587" s="25" t="str">
        <f>IF(OR(E2587="",E2587="!!!",F2587="NEW"),"",INDEX(B2586:B$2,-1+SUMPRODUCT(MAX(ROW(E2586:E$2)*(E2587=E2586:E$2)))))</f>
        <v> </v>
      </c>
      <c r="J2587" s="25" t="str">
        <f>IF(OR(E2587="",E2587="!!!",F2587="NEW"),"",COUNTBLANK(OFFSET(A$1,,,SUMPRODUCT(MAX(ROW(E$2:E2587)*(E2587=E$2:E2587)))))-COUNTBLANK(OFFSET(A$1,,,SUMPRODUCT(MAX(ROW(E$1:E2586)*(E2=E$1:E2586))))))</f>
        <v> </v>
      </c>
      <c r="K2587" s="25" t="str">
        <f>IF(OR(E2587="",E2587="!!!",F2587="NEW"),"",INDEX(J$1:J2586,SUMPRODUCT(MAX(ROW(E$1:E2586)*(E2587=E$1:E2586)))))</f>
        <v> </v>
      </c>
      <c r="L2587" s="26"/>
    </row>
    <row r="2588" spans="1:12">
      <c r="A2588" s="20" t="s">
        <v>1057</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t="s">
        <v>767</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709</v>
      </c>
      <c r="B2590" s="27" t="s">
        <v>881</v>
      </c>
      <c r="C2590" s="27" t="s">
        <v>711</v>
      </c>
      <c r="D2590" s="27" t="s">
        <v>712</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730</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1647</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914</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767</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1648</v>
      </c>
      <c r="B2595" s="27" t="s">
        <v>812</v>
      </c>
      <c r="C2595" s="27" t="s">
        <v>711</v>
      </c>
      <c r="D2595" s="27" t="s">
        <v>712</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t="s">
        <v>730</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1649</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718</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1024</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1650</v>
      </c>
      <c r="E2600" s="21">
        <f>IF(D2600="?OLD","!!!","")</f>
        <v/>
      </c>
      <c r="F2600" s="22" t="str">
        <f>IF(OR(E2600="",E2600="!!!"),"",IF(NOT(ISNA(VLOOKUP(E2600,E$1:E2599,1,FALSE()))),"OLD",IF(AND(E2600&lt;&gt;"",E2600&lt;&gt;"!!!"),"NEW","")))</f>
        <v> </v>
      </c>
      <c r="G2600" s="23" t="str">
        <f>IF(OR(E2600="",E2600="!!!"),"",IF(OR(J2600=0,AND(J2600=1,K2600=1),AND(J2600=1,I2600="SBJ"),AND(J2600=1,I2600=0)),"?IN_FOCUS",IF(J2600&lt;=2,"?ACTIVATED",IF(J2600&lt;&gt;"","?FAMILIAR",IF(F2600="NEW",IF(ISNA(VLOOKUP(E2600,#REF!,1,FALSE())),"?TYPE_IDENTIFIABLE","?REFERENTIAL"),"_")))))</f>
        <v> </v>
      </c>
      <c r="H2600" s="24" t="str">
        <f>IF(J2600&lt;&gt;1,"",IF(I2600="SBJ","CB","?"))</f>
        <v> </v>
      </c>
      <c r="I2600" s="25" t="str">
        <f>IF(OR(E2600="",E2600="!!!",F2600="NEW"),"",INDEX(B2599:B$2,-1+SUMPRODUCT(MAX(ROW(E2599:E$2)*(E2600=E2599:E$2)))))</f>
        <v> </v>
      </c>
      <c r="J2600" s="25" t="str">
        <f>IF(OR(E2600="",E2600="!!!",F2600="NEW"),"",COUNTBLANK(OFFSET(A$1,,,SUMPRODUCT(MAX(ROW(E$2:E2600)*(E2600=E$2:E2600)))))-COUNTBLANK(OFFSET(A$1,,,SUMPRODUCT(MAX(ROW(E$1:E2599)*(E2=E$1:E2599))))))</f>
        <v> </v>
      </c>
      <c r="K2600" s="25" t="str">
        <f>IF(OR(E2600="",E2600="!!!",F2600="NEW"),"",INDEX(J$1:J2599,SUMPRODUCT(MAX(ROW(E$1:E2599)*(E2600=E$1:E2599)))))</f>
        <v> </v>
      </c>
      <c r="L2600" s="26"/>
    </row>
    <row r="2601" spans="1:12">
      <c r="A2601" s="20" t="s">
        <v>860</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t="s">
        <v>936</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719</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t="s">
        <v>1651</v>
      </c>
      <c r="B2604" s="27" t="s">
        <v>818</v>
      </c>
      <c r="C2604" s="27" t="s">
        <v>711</v>
      </c>
      <c r="D2604" s="27" t="s">
        <v>712</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718</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857</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791</v>
      </c>
      <c r="B2607" s="27" t="s">
        <v>720</v>
      </c>
      <c r="C2607" s="27" t="s">
        <v>743</v>
      </c>
      <c r="D2607" s="27" t="s">
        <v>712</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754</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740</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1652</v>
      </c>
      <c r="B2610" s="27" t="s">
        <v>724</v>
      </c>
      <c r="C2610" s="27" t="s">
        <v>1508</v>
      </c>
      <c r="D2610" s="27" t="s">
        <v>712</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1038</v>
      </c>
      <c r="B2611" s="27" t="s">
        <v>811</v>
      </c>
      <c r="C2611" s="27" t="s">
        <v>728</v>
      </c>
      <c r="D2611" s="27" t="s">
        <v>712</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828</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747</v>
      </c>
      <c r="B2613" s="27" t="s">
        <v>809</v>
      </c>
      <c r="C2613" s="27" t="s">
        <v>834</v>
      </c>
      <c r="D2613" s="27" t="s">
        <v>712</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1653</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718</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t="s">
        <v>865</v>
      </c>
      <c r="E2616" s="21">
        <f>IF(D2616="?OLD","!!!","")</f>
        <v/>
      </c>
      <c r="F2616" s="22" t="str">
        <f>IF(OR(E2616="",E2616="!!!"),"",IF(NOT(ISNA(VLOOKUP(E2616,E$1:E2615,1,FALSE()))),"OLD",IF(AND(E2616&lt;&gt;"",E2616&lt;&gt;"!!!"),"NEW","")))</f>
        <v> </v>
      </c>
      <c r="G2616" s="23" t="str">
        <f>IF(OR(E2616="",E2616="!!!"),"",IF(OR(J2616=0,AND(J2616=1,K2616=1),AND(J2616=1,I2616="SBJ"),AND(J2616=1,I2616=0)),"?IN_FOCUS",IF(J2616&lt;=2,"?ACTIVATED",IF(J2616&lt;&gt;"","?FAMILIAR",IF(F2616="NEW",IF(ISNA(VLOOKUP(E2616,#REF!,1,FALSE())),"?TYPE_IDENTIFIABLE","?REFERENTIAL"),"_")))))</f>
        <v> </v>
      </c>
      <c r="H2616" s="24" t="str">
        <f>IF(J2616&lt;&gt;1,"",IF(I2616="SBJ","CB","?"))</f>
        <v> </v>
      </c>
      <c r="I2616" s="25" t="str">
        <f>IF(OR(E2616="",E2616="!!!",F2616="NEW"),"",INDEX(B2615:B$2,-1+SUMPRODUCT(MAX(ROW(E2615:E$2)*(E2616=E2615:E$2)))))</f>
        <v> </v>
      </c>
      <c r="J2616" s="25" t="str">
        <f>IF(OR(E2616="",E2616="!!!",F2616="NEW"),"",COUNTBLANK(OFFSET(A$1,,,SUMPRODUCT(MAX(ROW(E$2:E2616)*(E2616=E$2:E2616)))))-COUNTBLANK(OFFSET(A$1,,,SUMPRODUCT(MAX(ROW(E$1:E2615)*(E2=E$1:E2615))))))</f>
        <v> </v>
      </c>
      <c r="K2616" s="25" t="str">
        <f>IF(OR(E2616="",E2616="!!!",F2616="NEW"),"",INDEX(J$1:J2615,SUMPRODUCT(MAX(ROW(E$1:E2615)*(E2616=E$1:E2615)))))</f>
        <v> </v>
      </c>
      <c r="L2616" s="26"/>
    </row>
    <row r="2617" spans="1:12">
      <c r="A2617" s="20" t="s">
        <v>773</v>
      </c>
      <c r="E2617" s="21">
        <f>IF(D2617="?OLD","!!!","")</f>
        <v/>
      </c>
      <c r="F2617" s="22" t="str">
        <f>IF(OR(E2617="",E2617="!!!"),"",IF(NOT(ISNA(VLOOKUP(E2617,E$1:E2616,1,FALSE()))),"OLD",IF(AND(E2617&lt;&gt;"",E2617&lt;&gt;"!!!"),"NEW","")))</f>
        <v> </v>
      </c>
      <c r="G2617" s="23" t="str">
        <f>IF(OR(E2617="",E2617="!!!"),"",IF(OR(J2617=0,AND(J2617=1,K2617=1),AND(J2617=1,I2617="SBJ"),AND(J2617=1,I2617=0)),"?IN_FOCUS",IF(J2617&lt;=2,"?ACTIVATED",IF(J2617&lt;&gt;"","?FAMILIAR",IF(F2617="NEW",IF(ISNA(VLOOKUP(E2617,#REF!,1,FALSE())),"?TYPE_IDENTIFIABLE","?REFERENTIAL"),"_")))))</f>
        <v> </v>
      </c>
      <c r="H2617" s="24" t="str">
        <f>IF(J2617&lt;&gt;1,"",IF(I2617="SBJ","CB","?"))</f>
        <v> </v>
      </c>
      <c r="I2617" s="25" t="str">
        <f>IF(OR(E2617="",E2617="!!!",F2617="NEW"),"",INDEX(B2616:B$2,-1+SUMPRODUCT(MAX(ROW(E2616:E$2)*(E2617=E2616:E$2)))))</f>
        <v> </v>
      </c>
      <c r="J2617" s="25" t="str">
        <f>IF(OR(E2617="",E2617="!!!",F2617="NEW"),"",COUNTBLANK(OFFSET(A$1,,,SUMPRODUCT(MAX(ROW(E$2:E2617)*(E2617=E$2:E2617)))))-COUNTBLANK(OFFSET(A$1,,,SUMPRODUCT(MAX(ROW(E$1:E2616)*(E2=E$1:E2616))))))</f>
        <v> </v>
      </c>
      <c r="K2617" s="25" t="str">
        <f>IF(OR(E2617="",E2617="!!!",F2617="NEW"),"",INDEX(J$1:J2616,SUMPRODUCT(MAX(ROW(E$1:E2616)*(E2617=E$1:E2616)))))</f>
        <v> </v>
      </c>
      <c r="L2617" s="26"/>
    </row>
    <row r="2618" spans="1:12">
      <c r="A2618" s="20" t="s">
        <v>718</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857</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791</v>
      </c>
      <c r="B2620" s="27" t="s">
        <v>742</v>
      </c>
      <c r="C2620" s="27" t="s">
        <v>743</v>
      </c>
      <c r="D2620" s="27" t="s">
        <v>712</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767</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709</v>
      </c>
      <c r="B2622" s="27" t="s">
        <v>812</v>
      </c>
      <c r="C2622" s="27" t="s">
        <v>711</v>
      </c>
      <c r="D2622" s="27" t="s">
        <v>712</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1452</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356</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t="s">
        <v>725</v>
      </c>
      <c r="E2625" s="21">
        <f>IF(D2625="?OLD","!!!","")</f>
        <v/>
      </c>
      <c r="F2625" s="22" t="str">
        <f>IF(OR(E2625="",E2625="!!!"),"",IF(NOT(ISNA(VLOOKUP(E2625,E$1:E2624,1,FALSE()))),"OLD",IF(AND(E2625&lt;&gt;"",E2625&lt;&gt;"!!!"),"NEW","")))</f>
        <v> </v>
      </c>
      <c r="G2625" s="23" t="str">
        <f>IF(OR(E2625="",E2625="!!!"),"",IF(OR(J2625=0,AND(J2625=1,K2625=1),AND(J2625=1,I2625="SBJ"),AND(J2625=1,I2625=0)),"?IN_FOCUS",IF(J2625&lt;=2,"?ACTIVATED",IF(J2625&lt;&gt;"","?FAMILIAR",IF(F2625="NEW",IF(ISNA(VLOOKUP(E2625,#REF!,1,FALSE())),"?TYPE_IDENTIFIABLE","?REFERENTIAL"),"_")))))</f>
        <v> </v>
      </c>
      <c r="H2625" s="24" t="str">
        <f>IF(J2625&lt;&gt;1,"",IF(I2625="SBJ","CB","?"))</f>
        <v> </v>
      </c>
      <c r="I2625" s="25" t="str">
        <f>IF(OR(E2625="",E2625="!!!",F2625="NEW"),"",INDEX(B2624:B$2,-1+SUMPRODUCT(MAX(ROW(E2624:E$2)*(E2625=E2624:E$2)))))</f>
        <v> </v>
      </c>
      <c r="J2625" s="25" t="str">
        <f>IF(OR(E2625="",E2625="!!!",F2625="NEW"),"",COUNTBLANK(OFFSET(A$1,,,SUMPRODUCT(MAX(ROW(E$2:E2625)*(E2625=E$2:E2625)))))-COUNTBLANK(OFFSET(A$1,,,SUMPRODUCT(MAX(ROW(E$1:E2624)*(E2=E$1:E2624))))))</f>
        <v> </v>
      </c>
      <c r="K2625" s="25" t="str">
        <f>IF(OR(E2625="",E2625="!!!",F2625="NEW"),"",INDEX(J$1:J2624,SUMPRODUCT(MAX(ROW(E$1:E2624)*(E2625=E$1:E2624)))))</f>
        <v> </v>
      </c>
      <c r="L2625" s="26"/>
    </row>
    <row r="2626" spans="1:12">
      <c r="A2626" s="20"/>
    </row>
    <row r="2627" spans="1:12">
      <c r="A2627" s="20" t="s">
        <v>1654</v>
      </c>
    </row>
    <row r="2628" spans="1:12">
      <c r="A2628" s="20" t="s">
        <v>1655</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714</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t="s">
        <v>740</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t="s">
        <v>1656</v>
      </c>
      <c r="B2631" s="27" t="s">
        <v>716</v>
      </c>
      <c r="C2631" s="27" t="s">
        <v>711</v>
      </c>
      <c r="D2631" s="27" t="s">
        <v>712</v>
      </c>
      <c r="E2631" s="21">
        <f>IF(D2631="?OLD","!!!","")</f>
        <v/>
      </c>
      <c r="F2631" s="22" t="str">
        <f>IF(OR(E2631="",E2631="!!!"),"",IF(NOT(ISNA(VLOOKUP(E2631,E$1:E2630,1,FALSE()))),"OLD",IF(AND(E2631&lt;&gt;"",E2631&lt;&gt;"!!!"),"NEW","")))</f>
        <v> </v>
      </c>
      <c r="G2631" s="23" t="str">
        <f>IF(OR(E2631="",E2631="!!!"),"",IF(OR(J2631=0,AND(J2631=1,K2631=1),AND(J2631=1,I2631="SBJ"),AND(J2631=1,I2631=0)),"?IN_FOCUS",IF(J2631&lt;=2,"?ACTIVATED",IF(J2631&lt;&gt;"","?FAMILIAR",IF(F2631="NEW",IF(ISNA(VLOOKUP(E2631,#REF!,1,FALSE())),"?TYPE_IDENTIFIABLE","?REFERENTIAL"),"_")))))</f>
        <v> </v>
      </c>
      <c r="H2631" s="24" t="str">
        <f>IF(J2631&lt;&gt;1,"",IF(I2631="SBJ","CB","?"))</f>
        <v> </v>
      </c>
      <c r="I2631" s="25" t="str">
        <f>IF(OR(E2631="",E2631="!!!",F2631="NEW"),"",INDEX(B2630:B$2,-1+SUMPRODUCT(MAX(ROW(E2630:E$2)*(E2631=E2630:E$2)))))</f>
        <v> </v>
      </c>
      <c r="J2631" s="25" t="str">
        <f>IF(OR(E2631="",E2631="!!!",F2631="NEW"),"",COUNTBLANK(OFFSET(A$1,,,SUMPRODUCT(MAX(ROW(E$2:E2631)*(E2631=E$2:E2631)))))-COUNTBLANK(OFFSET(A$1,,,SUMPRODUCT(MAX(ROW(E$1:E2630)*(E2=E$1:E2630))))))</f>
        <v> </v>
      </c>
      <c r="K2631" s="25" t="str">
        <f>IF(OR(E2631="",E2631="!!!",F2631="NEW"),"",INDEX(J$1:J2630,SUMPRODUCT(MAX(ROW(E$1:E2630)*(E2631=E$1:E2630)))))</f>
        <v> </v>
      </c>
      <c r="L2631" s="26"/>
    </row>
    <row r="2632" spans="1:12">
      <c r="A2632" s="20" t="s">
        <v>740</v>
      </c>
      <c r="E2632" s="21">
        <f>IF(D2632="?OLD","!!!","")</f>
        <v/>
      </c>
      <c r="F2632" s="22" t="str">
        <f>IF(OR(E2632="",E2632="!!!"),"",IF(NOT(ISNA(VLOOKUP(E2632,E$1:E2631,1,FALSE()))),"OLD",IF(AND(E2632&lt;&gt;"",E2632&lt;&gt;"!!!"),"NEW","")))</f>
        <v> </v>
      </c>
      <c r="G2632" s="23" t="str">
        <f>IF(OR(E2632="",E2632="!!!"),"",IF(OR(J2632=0,AND(J2632=1,K2632=1),AND(J2632=1,I2632="SBJ"),AND(J2632=1,I2632=0)),"?IN_FOCUS",IF(J2632&lt;=2,"?ACTIVATED",IF(J2632&lt;&gt;"","?FAMILIAR",IF(F2632="NEW",IF(ISNA(VLOOKUP(E2632,#REF!,1,FALSE())),"?TYPE_IDENTIFIABLE","?REFERENTIAL"),"_")))))</f>
        <v> </v>
      </c>
      <c r="H2632" s="24" t="str">
        <f>IF(J2632&lt;&gt;1,"",IF(I2632="SBJ","CB","?"))</f>
        <v> </v>
      </c>
      <c r="I2632" s="25" t="str">
        <f>IF(OR(E2632="",E2632="!!!",F2632="NEW"),"",INDEX(B2631:B$2,-1+SUMPRODUCT(MAX(ROW(E2631:E$2)*(E2632=E2631:E$2)))))</f>
        <v> </v>
      </c>
      <c r="J2632" s="25" t="str">
        <f>IF(OR(E2632="",E2632="!!!",F2632="NEW"),"",COUNTBLANK(OFFSET(A$1,,,SUMPRODUCT(MAX(ROW(E$2:E2632)*(E2632=E$2:E2632)))))-COUNTBLANK(OFFSET(A$1,,,SUMPRODUCT(MAX(ROW(E$1:E2631)*(E2=E$1:E2631))))))</f>
        <v> </v>
      </c>
      <c r="K2632" s="25" t="str">
        <f>IF(OR(E2632="",E2632="!!!",F2632="NEW"),"",INDEX(J$1:J2631,SUMPRODUCT(MAX(ROW(E$1:E2631)*(E2632=E$1:E2631)))))</f>
        <v> </v>
      </c>
      <c r="L2632" s="26"/>
    </row>
    <row r="2633" spans="1:12">
      <c r="A2633" s="20" t="s">
        <v>1657</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807</v>
      </c>
      <c r="B2634" s="27" t="s">
        <v>731</v>
      </c>
      <c r="C2634" s="27" t="s">
        <v>711</v>
      </c>
      <c r="D2634" s="27" t="s">
        <v>712</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718</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860</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1658</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718</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767</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755</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747</v>
      </c>
      <c r="B2641" s="27" t="s">
        <v>818</v>
      </c>
      <c r="C2641" s="27" t="s">
        <v>711</v>
      </c>
      <c r="D2641" s="27" t="s">
        <v>712</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1458</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t="s">
        <v>730</v>
      </c>
      <c r="E2643" s="21">
        <f>IF(D2643="?OLD","!!!","")</f>
        <v/>
      </c>
      <c r="F2643" s="22" t="str">
        <f>IF(OR(E2643="",E2643="!!!"),"",IF(NOT(ISNA(VLOOKUP(E2643,E$1:E2642,1,FALSE()))),"OLD",IF(AND(E2643&lt;&gt;"",E2643&lt;&gt;"!!!"),"NEW","")))</f>
        <v> </v>
      </c>
      <c r="G2643" s="23" t="str">
        <f>IF(OR(E2643="",E2643="!!!"),"",IF(OR(J2643=0,AND(J2643=1,K2643=1),AND(J2643=1,I2643="SBJ"),AND(J2643=1,I2643=0)),"?IN_FOCUS",IF(J2643&lt;=2,"?ACTIVATED",IF(J2643&lt;&gt;"","?FAMILIAR",IF(F2643="NEW",IF(ISNA(VLOOKUP(E2643,#REF!,1,FALSE())),"?TYPE_IDENTIFIABLE","?REFERENTIAL"),"_")))))</f>
        <v> </v>
      </c>
      <c r="H2643" s="24" t="str">
        <f>IF(J2643&lt;&gt;1,"",IF(I2643="SBJ","CB","?"))</f>
        <v> </v>
      </c>
      <c r="I2643" s="25" t="str">
        <f>IF(OR(E2643="",E2643="!!!",F2643="NEW"),"",INDEX(B2642:B$2,-1+SUMPRODUCT(MAX(ROW(E2642:E$2)*(E2643=E2642:E$2)))))</f>
        <v> </v>
      </c>
      <c r="J2643" s="25" t="str">
        <f>IF(OR(E2643="",E2643="!!!",F2643="NEW"),"",COUNTBLANK(OFFSET(A$1,,,SUMPRODUCT(MAX(ROW(E$2:E2643)*(E2643=E$2:E2643)))))-COUNTBLANK(OFFSET(A$1,,,SUMPRODUCT(MAX(ROW(E$1:E2642)*(E2=E$1:E2642))))))</f>
        <v> </v>
      </c>
      <c r="K2643" s="25" t="str">
        <f>IF(OR(E2643="",E2643="!!!",F2643="NEW"),"",INDEX(J$1:J2642,SUMPRODUCT(MAX(ROW(E$1:E2642)*(E2643=E$1:E2642)))))</f>
        <v> </v>
      </c>
      <c r="L2643" s="26"/>
    </row>
    <row r="2644" spans="1:12">
      <c r="A2644" s="20" t="s">
        <v>822</v>
      </c>
      <c r="E2644" s="21">
        <f>IF(D2644="?OLD","!!!","")</f>
        <v/>
      </c>
      <c r="F2644" s="22" t="str">
        <f>IF(OR(E2644="",E2644="!!!"),"",IF(NOT(ISNA(VLOOKUP(E2644,E$1:E2643,1,FALSE()))),"OLD",IF(AND(E2644&lt;&gt;"",E2644&lt;&gt;"!!!"),"NEW","")))</f>
        <v> </v>
      </c>
      <c r="G2644" s="23" t="str">
        <f>IF(OR(E2644="",E2644="!!!"),"",IF(OR(J2644=0,AND(J2644=1,K2644=1),AND(J2644=1,I2644="SBJ"),AND(J2644=1,I2644=0)),"?IN_FOCUS",IF(J2644&lt;=2,"?ACTIVATED",IF(J2644&lt;&gt;"","?FAMILIAR",IF(F2644="NEW",IF(ISNA(VLOOKUP(E2644,#REF!,1,FALSE())),"?TYPE_IDENTIFIABLE","?REFERENTIAL"),"_")))))</f>
        <v> </v>
      </c>
      <c r="H2644" s="24" t="str">
        <f>IF(J2644&lt;&gt;1,"",IF(I2644="SBJ","CB","?"))</f>
        <v> </v>
      </c>
      <c r="I2644" s="25" t="str">
        <f>IF(OR(E2644="",E2644="!!!",F2644="NEW"),"",INDEX(B2643:B$2,-1+SUMPRODUCT(MAX(ROW(E2643:E$2)*(E2644=E2643:E$2)))))</f>
        <v> </v>
      </c>
      <c r="J2644" s="25" t="str">
        <f>IF(OR(E2644="",E2644="!!!",F2644="NEW"),"",COUNTBLANK(OFFSET(A$1,,,SUMPRODUCT(MAX(ROW(E$2:E2644)*(E2644=E$2:E2644)))))-COUNTBLANK(OFFSET(A$1,,,SUMPRODUCT(MAX(ROW(E$1:E2643)*(E2=E$1:E2643))))))</f>
        <v> </v>
      </c>
      <c r="K2644" s="25" t="str">
        <f>IF(OR(E2644="",E2644="!!!",F2644="NEW"),"",INDEX(J$1:J2643,SUMPRODUCT(MAX(ROW(E$1:E2643)*(E2644=E$1:E2643)))))</f>
        <v> </v>
      </c>
      <c r="L2644" s="26"/>
    </row>
    <row r="2645" spans="1:12">
      <c r="A2645" s="20" t="s">
        <v>725</v>
      </c>
      <c r="E2645" s="21">
        <f>IF(D2645="?OLD","!!!","")</f>
        <v/>
      </c>
      <c r="F2645" s="22" t="str">
        <f>IF(OR(E2645="",E2645="!!!"),"",IF(NOT(ISNA(VLOOKUP(E2645,E$1:E2644,1,FALSE()))),"OLD",IF(AND(E2645&lt;&gt;"",E2645&lt;&gt;"!!!"),"NEW","")))</f>
        <v> </v>
      </c>
      <c r="G2645" s="23" t="str">
        <f>IF(OR(E2645="",E2645="!!!"),"",IF(OR(J2645=0,AND(J2645=1,K2645=1),AND(J2645=1,I2645="SBJ"),AND(J2645=1,I2645=0)),"?IN_FOCUS",IF(J2645&lt;=2,"?ACTIVATED",IF(J2645&lt;&gt;"","?FAMILIAR",IF(F2645="NEW",IF(ISNA(VLOOKUP(E2645,#REF!,1,FALSE())),"?TYPE_IDENTIFIABLE","?REFERENTIAL"),"_")))))</f>
        <v> </v>
      </c>
      <c r="H2645" s="24" t="str">
        <f>IF(J2645&lt;&gt;1,"",IF(I2645="SBJ","CB","?"))</f>
        <v> </v>
      </c>
      <c r="I2645" s="25" t="str">
        <f>IF(OR(E2645="",E2645="!!!",F2645="NEW"),"",INDEX(B2644:B$2,-1+SUMPRODUCT(MAX(ROW(E2644:E$2)*(E2645=E2644:E$2)))))</f>
        <v> </v>
      </c>
      <c r="J2645" s="25" t="str">
        <f>IF(OR(E2645="",E2645="!!!",F2645="NEW"),"",COUNTBLANK(OFFSET(A$1,,,SUMPRODUCT(MAX(ROW(E$2:E2645)*(E2645=E$2:E2645)))))-COUNTBLANK(OFFSET(A$1,,,SUMPRODUCT(MAX(ROW(E$1:E2644)*(E2=E$1:E2644))))))</f>
        <v> </v>
      </c>
      <c r="K2645" s="25" t="str">
        <f>IF(OR(E2645="",E2645="!!!",F2645="NEW"),"",INDEX(J$1:J2644,SUMPRODUCT(MAX(ROW(E$1:E2644)*(E2645=E$1:E2644)))))</f>
        <v> </v>
      </c>
      <c r="L2645" s="26"/>
    </row>
    <row r="2646" spans="1:12">
      <c r="A2646" s="20"/>
    </row>
    <row r="2647" spans="1:12">
      <c r="A2647" s="20" t="s">
        <v>1659</v>
      </c>
    </row>
    <row r="2648" spans="1:12">
      <c r="A2648" s="20" t="s">
        <v>837</v>
      </c>
      <c r="E2648" s="21">
        <f>IF(D2648="?OLD","!!!","")</f>
        <v/>
      </c>
      <c r="F2648" s="22" t="str">
        <f>IF(OR(E2648="",E2648="!!!"),"",IF(NOT(ISNA(VLOOKUP(E2648,E$1:E2647,1,FALSE()))),"OLD",IF(AND(E2648&lt;&gt;"",E2648&lt;&gt;"!!!"),"NEW","")))</f>
        <v> </v>
      </c>
      <c r="G2648" s="23" t="str">
        <f>IF(OR(E2648="",E2648="!!!"),"",IF(OR(J2648=0,AND(J2648=1,K2648=1),AND(J2648=1,I2648="SBJ"),AND(J2648=1,I2648=0)),"?IN_FOCUS",IF(J2648&lt;=2,"?ACTIVATED",IF(J2648&lt;&gt;"","?FAMILIAR",IF(F2648="NEW",IF(ISNA(VLOOKUP(E2648,#REF!,1,FALSE())),"?TYPE_IDENTIFIABLE","?REFERENTIAL"),"_")))))</f>
        <v> </v>
      </c>
      <c r="H2648" s="24" t="str">
        <f>IF(J2648&lt;&gt;1,"",IF(I2648="SBJ","CB","?"))</f>
        <v> </v>
      </c>
      <c r="I2648" s="25" t="str">
        <f>IF(OR(E2648="",E2648="!!!",F2648="NEW"),"",INDEX(B2647:B$2,-1+SUMPRODUCT(MAX(ROW(E2647:E$2)*(E2648=E2647:E$2)))))</f>
        <v> </v>
      </c>
      <c r="J2648" s="25" t="str">
        <f>IF(OR(E2648="",E2648="!!!",F2648="NEW"),"",COUNTBLANK(OFFSET(A$1,,,SUMPRODUCT(MAX(ROW(E$2:E2648)*(E2648=E$2:E2648)))))-COUNTBLANK(OFFSET(A$1,,,SUMPRODUCT(MAX(ROW(E$1:E2647)*(E2=E$1:E2647))))))</f>
        <v> </v>
      </c>
      <c r="K2648" s="25" t="str">
        <f>IF(OR(E2648="",E2648="!!!",F2648="NEW"),"",INDEX(J$1:J2647,SUMPRODUCT(MAX(ROW(E$1:E2647)*(E2648=E$1:E2647)))))</f>
        <v> </v>
      </c>
      <c r="L2648" s="26"/>
    </row>
    <row r="2649" spans="1:12">
      <c r="A2649" s="20" t="s">
        <v>612</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791</v>
      </c>
      <c r="B2650" s="27" t="s">
        <v>710</v>
      </c>
      <c r="C2650" s="27" t="s">
        <v>743</v>
      </c>
      <c r="D2650" s="27" t="s">
        <v>712</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1035</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row>
    <row r="2653" spans="1:12">
      <c r="A2653" s="20" t="s">
        <v>1660</v>
      </c>
    </row>
    <row r="2654" spans="1:12">
      <c r="A2654" s="20" t="s">
        <v>855</v>
      </c>
      <c r="B2654" s="27" t="s">
        <v>710</v>
      </c>
      <c r="C2654" s="27" t="s">
        <v>842</v>
      </c>
      <c r="D2654" s="27" t="s">
        <v>712</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t="s">
        <v>1010</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t="s">
        <v>988</v>
      </c>
      <c r="B2656" s="27" t="s">
        <v>777</v>
      </c>
      <c r="C2656" s="27" t="s">
        <v>842</v>
      </c>
      <c r="D2656" s="27" t="s">
        <v>712</v>
      </c>
      <c r="E2656" s="21">
        <f>IF(D2656="?OLD","!!!","")</f>
        <v/>
      </c>
      <c r="F2656" s="22" t="str">
        <f>IF(OR(E2656="",E2656="!!!"),"",IF(NOT(ISNA(VLOOKUP(E2656,E$1:E2655,1,FALSE()))),"OLD",IF(AND(E2656&lt;&gt;"",E2656&lt;&gt;"!!!"),"NEW","")))</f>
        <v> </v>
      </c>
      <c r="G2656" s="23" t="str">
        <f>IF(OR(E2656="",E2656="!!!"),"",IF(OR(J2656=0,AND(J2656=1,K2656=1),AND(J2656=1,I2656="SBJ"),AND(J2656=1,I2656=0)),"?IN_FOCUS",IF(J2656&lt;=2,"?ACTIVATED",IF(J2656&lt;&gt;"","?FAMILIAR",IF(F2656="NEW",IF(ISNA(VLOOKUP(E2656,#REF!,1,FALSE())),"?TYPE_IDENTIFIABLE","?REFERENTIAL"),"_")))))</f>
        <v> </v>
      </c>
      <c r="H2656" s="24" t="str">
        <f>IF(J2656&lt;&gt;1,"",IF(I2656="SBJ","CB","?"))</f>
        <v> </v>
      </c>
      <c r="I2656" s="25" t="str">
        <f>IF(OR(E2656="",E2656="!!!",F2656="NEW"),"",INDEX(B2655:B$2,-1+SUMPRODUCT(MAX(ROW(E2655:E$2)*(E2656=E2655:E$2)))))</f>
        <v> </v>
      </c>
      <c r="J2656" s="25" t="str">
        <f>IF(OR(E2656="",E2656="!!!",F2656="NEW"),"",COUNTBLANK(OFFSET(A$1,,,SUMPRODUCT(MAX(ROW(E$2:E2656)*(E2656=E$2:E2656)))))-COUNTBLANK(OFFSET(A$1,,,SUMPRODUCT(MAX(ROW(E$1:E2655)*(E2=E$1:E2655))))))</f>
        <v> </v>
      </c>
      <c r="K2656" s="25" t="str">
        <f>IF(OR(E2656="",E2656="!!!",F2656="NEW"),"",INDEX(J$1:J2655,SUMPRODUCT(MAX(ROW(E$1:E2655)*(E2656=E$1:E2655)))))</f>
        <v> </v>
      </c>
      <c r="L2656" s="26"/>
    </row>
    <row r="2657" spans="1:12">
      <c r="A2657" s="20" t="s">
        <v>1661</v>
      </c>
      <c r="B2657" s="27" t="s">
        <v>777</v>
      </c>
      <c r="C2657" s="27" t="s">
        <v>842</v>
      </c>
      <c r="D2657" s="27" t="s">
        <v>712</v>
      </c>
      <c r="E2657" s="21">
        <f>IF(D2657="?OLD","!!!","")</f>
        <v/>
      </c>
      <c r="F2657" s="22" t="str">
        <f>IF(OR(E2657="",E2657="!!!"),"",IF(NOT(ISNA(VLOOKUP(E2657,E$1:E2656,1,FALSE()))),"OLD",IF(AND(E2657&lt;&gt;"",E2657&lt;&gt;"!!!"),"NEW","")))</f>
        <v> </v>
      </c>
      <c r="G2657" s="23" t="str">
        <f>IF(OR(E2657="",E2657="!!!"),"",IF(OR(J2657=0,AND(J2657=1,K2657=1),AND(J2657=1,I2657="SBJ"),AND(J2657=1,I2657=0)),"?IN_FOCUS",IF(J2657&lt;=2,"?ACTIVATED",IF(J2657&lt;&gt;"","?FAMILIAR",IF(F2657="NEW",IF(ISNA(VLOOKUP(E2657,#REF!,1,FALSE())),"?TYPE_IDENTIFIABLE","?REFERENTIAL"),"_")))))</f>
        <v> </v>
      </c>
      <c r="H2657" s="24" t="str">
        <f>IF(J2657&lt;&gt;1,"",IF(I2657="SBJ","CB","?"))</f>
        <v> </v>
      </c>
      <c r="I2657" s="25" t="str">
        <f>IF(OR(E2657="",E2657="!!!",F2657="NEW"),"",INDEX(B2656:B$2,-1+SUMPRODUCT(MAX(ROW(E2656:E$2)*(E2657=E2656:E$2)))))</f>
        <v> </v>
      </c>
      <c r="J2657" s="25" t="str">
        <f>IF(OR(E2657="",E2657="!!!",F2657="NEW"),"",COUNTBLANK(OFFSET(A$1,,,SUMPRODUCT(MAX(ROW(E$2:E2657)*(E2657=E$2:E2657)))))-COUNTBLANK(OFFSET(A$1,,,SUMPRODUCT(MAX(ROW(E$1:E2656)*(E2=E$1:E2656))))))</f>
        <v> </v>
      </c>
      <c r="K2657" s="25" t="str">
        <f>IF(OR(E2657="",E2657="!!!",F2657="NEW"),"",INDEX(J$1:J2656,SUMPRODUCT(MAX(ROW(E$1:E2656)*(E2657=E$1:E2656)))))</f>
        <v> </v>
      </c>
      <c r="L2657" s="26"/>
    </row>
    <row r="2658" spans="1:12">
      <c r="A2658" s="20" t="s">
        <v>725</v>
      </c>
      <c r="E2658" s="21">
        <f>IF(D2658="?OLD","!!!","")</f>
        <v/>
      </c>
      <c r="F2658" s="22" t="str">
        <f>IF(OR(E2658="",E2658="!!!"),"",IF(NOT(ISNA(VLOOKUP(E2658,E$1:E2657,1,FALSE()))),"OLD",IF(AND(E2658&lt;&gt;"",E2658&lt;&gt;"!!!"),"NEW","")))</f>
        <v> </v>
      </c>
      <c r="G2658" s="23" t="str">
        <f>IF(OR(E2658="",E2658="!!!"),"",IF(OR(J2658=0,AND(J2658=1,K2658=1),AND(J2658=1,I2658="SBJ"),AND(J2658=1,I2658=0)),"?IN_FOCUS",IF(J2658&lt;=2,"?ACTIVATED",IF(J2658&lt;&gt;"","?FAMILIAR",IF(F2658="NEW",IF(ISNA(VLOOKUP(E2658,#REF!,1,FALSE())),"?TYPE_IDENTIFIABLE","?REFERENTIAL"),"_")))))</f>
        <v> </v>
      </c>
      <c r="H2658" s="24" t="str">
        <f>IF(J2658&lt;&gt;1,"",IF(I2658="SBJ","CB","?"))</f>
        <v> </v>
      </c>
      <c r="I2658" s="25" t="str">
        <f>IF(OR(E2658="",E2658="!!!",F2658="NEW"),"",INDEX(B2657:B$2,-1+SUMPRODUCT(MAX(ROW(E2657:E$2)*(E2658=E2657:E$2)))))</f>
        <v> </v>
      </c>
      <c r="J2658" s="25" t="str">
        <f>IF(OR(E2658="",E2658="!!!",F2658="NEW"),"",COUNTBLANK(OFFSET(A$1,,,SUMPRODUCT(MAX(ROW(E$2:E2658)*(E2658=E$2:E2658)))))-COUNTBLANK(OFFSET(A$1,,,SUMPRODUCT(MAX(ROW(E$1:E2657)*(E2=E$1:E2657))))))</f>
        <v> </v>
      </c>
      <c r="K2658" s="25" t="str">
        <f>IF(OR(E2658="",E2658="!!!",F2658="NEW"),"",INDEX(J$1:J2657,SUMPRODUCT(MAX(ROW(E$1:E2657)*(E2658=E$1:E2657)))))</f>
        <v> </v>
      </c>
      <c r="L2658" s="26"/>
    </row>
    <row r="2659" spans="1:12">
      <c r="A2659" s="20"/>
    </row>
    <row r="2660" spans="1:12">
      <c r="A2660" s="20" t="s">
        <v>1662</v>
      </c>
    </row>
    <row r="2661" spans="1:12">
      <c r="A2661" s="20" t="s">
        <v>1663</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t="s">
        <v>1257</v>
      </c>
      <c r="B2662" s="27" t="s">
        <v>710</v>
      </c>
      <c r="C2662" s="27" t="s">
        <v>711</v>
      </c>
      <c r="D2662" s="27" t="s">
        <v>712</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t="s">
        <v>730</v>
      </c>
      <c r="B2663" s="27" t="s">
        <v>724</v>
      </c>
      <c r="C2663" s="27" t="s">
        <v>732</v>
      </c>
      <c r="E2663" s="21">
        <f>IF(D2663="?OLD","!!!","")</f>
        <v/>
      </c>
      <c r="F2663" s="22" t="str">
        <f>IF(OR(E2663="",E2663="!!!"),"",IF(NOT(ISNA(VLOOKUP(E2663,E$1:E2662,1,FALSE()))),"OLD",IF(AND(E2663&lt;&gt;"",E2663&lt;&gt;"!!!"),"NEW","")))</f>
        <v> </v>
      </c>
      <c r="G2663" s="23" t="str">
        <f>IF(OR(E2663="",E2663="!!!"),"",IF(OR(J2663=0,AND(J2663=1,K2663=1),AND(J2663=1,I2663="SBJ"),AND(J2663=1,I2663=0)),"?IN_FOCUS",IF(J2663&lt;=2,"?ACTIVATED",IF(J2663&lt;&gt;"","?FAMILIAR",IF(F2663="NEW",IF(ISNA(VLOOKUP(E2663,#REF!,1,FALSE())),"?TYPE_IDENTIFIABLE","?REFERENTIAL"),"_")))))</f>
        <v> </v>
      </c>
      <c r="H2663" s="24" t="str">
        <f>IF(J2663&lt;&gt;1,"",IF(I2663="SBJ","CB","?"))</f>
        <v> </v>
      </c>
      <c r="I2663" s="25" t="str">
        <f>IF(OR(E2663="",E2663="!!!",F2663="NEW"),"",INDEX(B2662:B$2,-1+SUMPRODUCT(MAX(ROW(E2662:E$2)*(E2663=E2662:E$2)))))</f>
        <v> </v>
      </c>
      <c r="J2663" s="25" t="str">
        <f>IF(OR(E2663="",E2663="!!!",F2663="NEW"),"",COUNTBLANK(OFFSET(A$1,,,SUMPRODUCT(MAX(ROW(E$2:E2663)*(E2663=E$2:E2663)))))-COUNTBLANK(OFFSET(A$1,,,SUMPRODUCT(MAX(ROW(E$1:E2662)*(E2=E$1:E2662))))))</f>
        <v> </v>
      </c>
      <c r="K2663" s="25" t="str">
        <f>IF(OR(E2663="",E2663="!!!",F2663="NEW"),"",INDEX(J$1:J2662,SUMPRODUCT(MAX(ROW(E$1:E2662)*(E2663=E$1:E2662)))))</f>
        <v> </v>
      </c>
      <c r="L2663" s="26"/>
    </row>
    <row r="2664" spans="1:12">
      <c r="A2664" s="20" t="s">
        <v>740</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755</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709</v>
      </c>
      <c r="B2666" s="27" t="s">
        <v>731</v>
      </c>
      <c r="C2666" s="27" t="s">
        <v>711</v>
      </c>
      <c r="D2666" s="27" t="s">
        <v>712</v>
      </c>
      <c r="E2666" s="21">
        <f>IF(D2666="?OLD","!!!","")</f>
        <v/>
      </c>
      <c r="F2666" s="22" t="str">
        <f>IF(OR(E2666="",E2666="!!!"),"",IF(NOT(ISNA(VLOOKUP(E2666,E$1:E2665,1,FALSE()))),"OLD",IF(AND(E2666&lt;&gt;"",E2666&lt;&gt;"!!!"),"NEW","")))</f>
        <v> </v>
      </c>
      <c r="G2666" s="23" t="str">
        <f>IF(OR(E2666="",E2666="!!!"),"",IF(OR(J2666=0,AND(J2666=1,K2666=1),AND(J2666=1,I2666="SBJ"),AND(J2666=1,I2666=0)),"?IN_FOCUS",IF(J2666&lt;=2,"?ACTIVATED",IF(J2666&lt;&gt;"","?FAMILIAR",IF(F2666="NEW",IF(ISNA(VLOOKUP(E2666,#REF!,1,FALSE())),"?TYPE_IDENTIFIABLE","?REFERENTIAL"),"_")))))</f>
        <v> </v>
      </c>
      <c r="H2666" s="24" t="str">
        <f>IF(J2666&lt;&gt;1,"",IF(I2666="SBJ","CB","?"))</f>
        <v> </v>
      </c>
      <c r="I2666" s="25" t="str">
        <f>IF(OR(E2666="",E2666="!!!",F2666="NEW"),"",INDEX(B2665:B$2,-1+SUMPRODUCT(MAX(ROW(E2665:E$2)*(E2666=E2665:E$2)))))</f>
        <v> </v>
      </c>
      <c r="J2666" s="25" t="str">
        <f>IF(OR(E2666="",E2666="!!!",F2666="NEW"),"",COUNTBLANK(OFFSET(A$1,,,SUMPRODUCT(MAX(ROW(E$2:E2666)*(E2666=E$2:E2666)))))-COUNTBLANK(OFFSET(A$1,,,SUMPRODUCT(MAX(ROW(E$1:E2665)*(E2=E$1:E2665))))))</f>
        <v> </v>
      </c>
      <c r="K2666" s="25" t="str">
        <f>IF(OR(E2666="",E2666="!!!",F2666="NEW"),"",INDEX(J$1:J2665,SUMPRODUCT(MAX(ROW(E$1:E2665)*(E2666=E$1:E2665)))))</f>
        <v> </v>
      </c>
      <c r="L2666" s="26"/>
    </row>
    <row r="2667" spans="1:12">
      <c r="A2667" s="20" t="s">
        <v>1664</v>
      </c>
      <c r="E2667" s="21">
        <f>IF(D2667="?OLD","!!!","")</f>
        <v/>
      </c>
      <c r="F2667" s="22" t="str">
        <f>IF(OR(E2667="",E2667="!!!"),"",IF(NOT(ISNA(VLOOKUP(E2667,E$1:E2666,1,FALSE()))),"OLD",IF(AND(E2667&lt;&gt;"",E2667&lt;&gt;"!!!"),"NEW","")))</f>
        <v> </v>
      </c>
      <c r="G2667" s="23" t="str">
        <f>IF(OR(E2667="",E2667="!!!"),"",IF(OR(J2667=0,AND(J2667=1,K2667=1),AND(J2667=1,I2667="SBJ"),AND(J2667=1,I2667=0)),"?IN_FOCUS",IF(J2667&lt;=2,"?ACTIVATED",IF(J2667&lt;&gt;"","?FAMILIAR",IF(F2667="NEW",IF(ISNA(VLOOKUP(E2667,#REF!,1,FALSE())),"?TYPE_IDENTIFIABLE","?REFERENTIAL"),"_")))))</f>
        <v> </v>
      </c>
      <c r="H2667" s="24" t="str">
        <f>IF(J2667&lt;&gt;1,"",IF(I2667="SBJ","CB","?"))</f>
        <v> </v>
      </c>
      <c r="I2667" s="25" t="str">
        <f>IF(OR(E2667="",E2667="!!!",F2667="NEW"),"",INDEX(B2666:B$2,-1+SUMPRODUCT(MAX(ROW(E2666:E$2)*(E2667=E2666:E$2)))))</f>
        <v> </v>
      </c>
      <c r="J2667" s="25" t="str">
        <f>IF(OR(E2667="",E2667="!!!",F2667="NEW"),"",COUNTBLANK(OFFSET(A$1,,,SUMPRODUCT(MAX(ROW(E$2:E2667)*(E2667=E$2:E2667)))))-COUNTBLANK(OFFSET(A$1,,,SUMPRODUCT(MAX(ROW(E$1:E2666)*(E2=E$1:E2666))))))</f>
        <v> </v>
      </c>
      <c r="K2667" s="25" t="str">
        <f>IF(OR(E2667="",E2667="!!!",F2667="NEW"),"",INDEX(J$1:J2666,SUMPRODUCT(MAX(ROW(E$1:E2666)*(E2667=E$1:E2666)))))</f>
        <v> </v>
      </c>
      <c r="L2667" s="26"/>
    </row>
    <row r="2668" spans="1:12">
      <c r="A2668" s="20" t="s">
        <v>860</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t="s">
        <v>1306</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767</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t="s">
        <v>864</v>
      </c>
      <c r="B2671" s="27" t="s">
        <v>716</v>
      </c>
      <c r="C2671" s="27" t="s">
        <v>711</v>
      </c>
      <c r="D2671" s="27" t="s">
        <v>712</v>
      </c>
      <c r="E2671" s="21">
        <f>IF(D2671="?OLD","!!!","")</f>
        <v/>
      </c>
      <c r="F2671" s="22" t="str">
        <f>IF(OR(E2671="",E2671="!!!"),"",IF(NOT(ISNA(VLOOKUP(E2671,E$1:E2670,1,FALSE()))),"OLD",IF(AND(E2671&lt;&gt;"",E2671&lt;&gt;"!!!"),"NEW","")))</f>
        <v> </v>
      </c>
      <c r="G2671" s="23" t="str">
        <f>IF(OR(E2671="",E2671="!!!"),"",IF(OR(J2671=0,AND(J2671=1,K2671=1),AND(J2671=1,I2671="SBJ"),AND(J2671=1,I2671=0)),"?IN_FOCUS",IF(J2671&lt;=2,"?ACTIVATED",IF(J2671&lt;&gt;"","?FAMILIAR",IF(F2671="NEW",IF(ISNA(VLOOKUP(E2671,#REF!,1,FALSE())),"?TYPE_IDENTIFIABLE","?REFERENTIAL"),"_")))))</f>
        <v> </v>
      </c>
      <c r="H2671" s="24" t="str">
        <f>IF(J2671&lt;&gt;1,"",IF(I2671="SBJ","CB","?"))</f>
        <v> </v>
      </c>
      <c r="I2671" s="25" t="str">
        <f>IF(OR(E2671="",E2671="!!!",F2671="NEW"),"",INDEX(B2670:B$2,-1+SUMPRODUCT(MAX(ROW(E2670:E$2)*(E2671=E2670:E$2)))))</f>
        <v> </v>
      </c>
      <c r="J2671" s="25" t="str">
        <f>IF(OR(E2671="",E2671="!!!",F2671="NEW"),"",COUNTBLANK(OFFSET(A$1,,,SUMPRODUCT(MAX(ROW(E$2:E2671)*(E2671=E$2:E2671)))))-COUNTBLANK(OFFSET(A$1,,,SUMPRODUCT(MAX(ROW(E$1:E2670)*(E2=E$1:E2670))))))</f>
        <v> </v>
      </c>
      <c r="K2671" s="25" t="str">
        <f>IF(OR(E2671="",E2671="!!!",F2671="NEW"),"",INDEX(J$1:J2670,SUMPRODUCT(MAX(ROW(E$1:E2670)*(E2671=E$1:E2670)))))</f>
        <v> </v>
      </c>
      <c r="L2671" s="26"/>
    </row>
    <row r="2672" spans="1:12">
      <c r="A2672" s="20" t="s">
        <v>725</v>
      </c>
      <c r="E2672" s="21">
        <f>IF(D2672="?OLD","!!!","")</f>
        <v/>
      </c>
      <c r="F2672" s="22" t="str">
        <f>IF(OR(E2672="",E2672="!!!"),"",IF(NOT(ISNA(VLOOKUP(E2672,E$1:E2671,1,FALSE()))),"OLD",IF(AND(E2672&lt;&gt;"",E2672&lt;&gt;"!!!"),"NEW","")))</f>
        <v> </v>
      </c>
      <c r="G2672" s="23" t="str">
        <f>IF(OR(E2672="",E2672="!!!"),"",IF(OR(J2672=0,AND(J2672=1,K2672=1),AND(J2672=1,I2672="SBJ"),AND(J2672=1,I2672=0)),"?IN_FOCUS",IF(J2672&lt;=2,"?ACTIVATED",IF(J2672&lt;&gt;"","?FAMILIAR",IF(F2672="NEW",IF(ISNA(VLOOKUP(E2672,#REF!,1,FALSE())),"?TYPE_IDENTIFIABLE","?REFERENTIAL"),"_")))))</f>
        <v> </v>
      </c>
      <c r="H2672" s="24" t="str">
        <f>IF(J2672&lt;&gt;1,"",IF(I2672="SBJ","CB","?"))</f>
        <v> </v>
      </c>
      <c r="I2672" s="25" t="str">
        <f>IF(OR(E2672="",E2672="!!!",F2672="NEW"),"",INDEX(B2671:B$2,-1+SUMPRODUCT(MAX(ROW(E2671:E$2)*(E2672=E2671:E$2)))))</f>
        <v> </v>
      </c>
      <c r="J2672" s="25" t="str">
        <f>IF(OR(E2672="",E2672="!!!",F2672="NEW"),"",COUNTBLANK(OFFSET(A$1,,,SUMPRODUCT(MAX(ROW(E$2:E2672)*(E2672=E$2:E2672)))))-COUNTBLANK(OFFSET(A$1,,,SUMPRODUCT(MAX(ROW(E$1:E2671)*(E2=E$1:E2671))))))</f>
        <v> </v>
      </c>
      <c r="K2672" s="25" t="str">
        <f>IF(OR(E2672="",E2672="!!!",F2672="NEW"),"",INDEX(J$1:J2671,SUMPRODUCT(MAX(ROW(E$1:E2671)*(E2672=E$1:E2671)))))</f>
        <v> </v>
      </c>
      <c r="L2672" s="26"/>
    </row>
    <row r="2673" spans="1:12">
      <c r="A2673" s="20"/>
    </row>
    <row r="2674" spans="1:12">
      <c r="A2674" s="20" t="s">
        <v>1665</v>
      </c>
    </row>
    <row r="2675" spans="1:12">
      <c r="A2675" s="20" t="s">
        <v>1274</v>
      </c>
      <c r="B2675" s="27" t="s">
        <v>710</v>
      </c>
      <c r="C2675" s="27" t="s">
        <v>842</v>
      </c>
      <c r="D2675" s="27" t="s">
        <v>712</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1664</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1306</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866</v>
      </c>
      <c r="B2678" s="27" t="s">
        <v>716</v>
      </c>
      <c r="C2678" s="27" t="s">
        <v>717</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725</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row>
    <row r="2681" spans="1:12">
      <c r="A2681" s="20" t="s">
        <v>1666</v>
      </c>
    </row>
    <row r="2682" spans="1:12">
      <c r="A2682" s="20" t="s">
        <v>708</v>
      </c>
      <c r="E2682" s="21">
        <f>IF(D2682="?OLD","!!!","")</f>
        <v/>
      </c>
      <c r="F2682" s="22" t="str">
        <f>IF(OR(E2682="",E2682="!!!"),"",IF(NOT(ISNA(VLOOKUP(E2682,E$1:E2681,1,FALSE()))),"OLD",IF(AND(E2682&lt;&gt;"",E2682&lt;&gt;"!!!"),"NEW","")))</f>
        <v> </v>
      </c>
      <c r="G2682" s="23" t="str">
        <f>IF(OR(E2682="",E2682="!!!"),"",IF(OR(J2682=0,AND(J2682=1,K2682=1),AND(J2682=1,I2682="SBJ"),AND(J2682=1,I2682=0)),"?IN_FOCUS",IF(J2682&lt;=2,"?ACTIVATED",IF(J2682&lt;&gt;"","?FAMILIAR",IF(F2682="NEW",IF(ISNA(VLOOKUP(E2682,#REF!,1,FALSE())),"?TYPE_IDENTIFIABLE","?REFERENTIAL"),"_")))))</f>
        <v> </v>
      </c>
      <c r="H2682" s="24" t="str">
        <f>IF(J2682&lt;&gt;1,"",IF(I2682="SBJ","CB","?"))</f>
        <v> </v>
      </c>
      <c r="I2682" s="25" t="str">
        <f>IF(OR(E2682="",E2682="!!!",F2682="NEW"),"",INDEX(B2681:B$2,-1+SUMPRODUCT(MAX(ROW(E2681:E$2)*(E2682=E2681:E$2)))))</f>
        <v> </v>
      </c>
      <c r="J2682" s="25" t="str">
        <f>IF(OR(E2682="",E2682="!!!",F2682="NEW"),"",COUNTBLANK(OFFSET(A$1,,,SUMPRODUCT(MAX(ROW(E$2:E2682)*(E2682=E$2:E2682)))))-COUNTBLANK(OFFSET(A$1,,,SUMPRODUCT(MAX(ROW(E$1:E2681)*(E2=E$1:E2681))))))</f>
        <v> </v>
      </c>
      <c r="K2682" s="25" t="str">
        <f>IF(OR(E2682="",E2682="!!!",F2682="NEW"),"",INDEX(J$1:J2681,SUMPRODUCT(MAX(ROW(E$1:E2681)*(E2682=E$1:E2681)))))</f>
        <v> </v>
      </c>
      <c r="L2682" s="26"/>
    </row>
    <row r="2683" spans="1:12">
      <c r="A2683" s="20" t="s">
        <v>709</v>
      </c>
      <c r="B2683" s="27" t="s">
        <v>710</v>
      </c>
      <c r="C2683" s="27" t="s">
        <v>711</v>
      </c>
      <c r="D2683" s="27" t="s">
        <v>712</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t="s">
        <v>1044</v>
      </c>
      <c r="E2684" s="21">
        <f>IF(D2684="?OLD","!!!","")</f>
        <v/>
      </c>
      <c r="F2684" s="22" t="str">
        <f>IF(OR(E2684="",E2684="!!!"),"",IF(NOT(ISNA(VLOOKUP(E2684,E$1:E2683,1,FALSE()))),"OLD",IF(AND(E2684&lt;&gt;"",E2684&lt;&gt;"!!!"),"NEW","")))</f>
        <v> </v>
      </c>
      <c r="G2684" s="23" t="str">
        <f>IF(OR(E2684="",E2684="!!!"),"",IF(OR(J2684=0,AND(J2684=1,K2684=1),AND(J2684=1,I2684="SBJ"),AND(J2684=1,I2684=0)),"?IN_FOCUS",IF(J2684&lt;=2,"?ACTIVATED",IF(J2684&lt;&gt;"","?FAMILIAR",IF(F2684="NEW",IF(ISNA(VLOOKUP(E2684,#REF!,1,FALSE())),"?TYPE_IDENTIFIABLE","?REFERENTIAL"),"_")))))</f>
        <v> </v>
      </c>
      <c r="H2684" s="24" t="str">
        <f>IF(J2684&lt;&gt;1,"",IF(I2684="SBJ","CB","?"))</f>
        <v> </v>
      </c>
      <c r="I2684" s="25" t="str">
        <f>IF(OR(E2684="",E2684="!!!",F2684="NEW"),"",INDEX(B2683:B$2,-1+SUMPRODUCT(MAX(ROW(E2683:E$2)*(E2684=E2683:E$2)))))</f>
        <v> </v>
      </c>
      <c r="J2684" s="25" t="str">
        <f>IF(OR(E2684="",E2684="!!!",F2684="NEW"),"",COUNTBLANK(OFFSET(A$1,,,SUMPRODUCT(MAX(ROW(E$2:E2684)*(E2684=E$2:E2684)))))-COUNTBLANK(OFFSET(A$1,,,SUMPRODUCT(MAX(ROW(E$1:E2683)*(E2=E$1:E2683))))))</f>
        <v> </v>
      </c>
      <c r="K2684" s="25" t="str">
        <f>IF(OR(E2684="",E2684="!!!",F2684="NEW"),"",INDEX(J$1:J2683,SUMPRODUCT(MAX(ROW(E$1:E2683)*(E2684=E$1:E2683)))))</f>
        <v> </v>
      </c>
      <c r="L2684" s="26"/>
    </row>
    <row r="2685" spans="1:12">
      <c r="A2685" s="20" t="s">
        <v>714</v>
      </c>
      <c r="E2685" s="21">
        <f>IF(D2685="?OLD","!!!","")</f>
        <v/>
      </c>
      <c r="F2685" s="22" t="str">
        <f>IF(OR(E2685="",E2685="!!!"),"",IF(NOT(ISNA(VLOOKUP(E2685,E$1:E2684,1,FALSE()))),"OLD",IF(AND(E2685&lt;&gt;"",E2685&lt;&gt;"!!!"),"NEW","")))</f>
        <v> </v>
      </c>
      <c r="G2685" s="23" t="str">
        <f>IF(OR(E2685="",E2685="!!!"),"",IF(OR(J2685=0,AND(J2685=1,K2685=1),AND(J2685=1,I2685="SBJ"),AND(J2685=1,I2685=0)),"?IN_FOCUS",IF(J2685&lt;=2,"?ACTIVATED",IF(J2685&lt;&gt;"","?FAMILIAR",IF(F2685="NEW",IF(ISNA(VLOOKUP(E2685,#REF!,1,FALSE())),"?TYPE_IDENTIFIABLE","?REFERENTIAL"),"_")))))</f>
        <v> </v>
      </c>
      <c r="H2685" s="24" t="str">
        <f>IF(J2685&lt;&gt;1,"",IF(I2685="SBJ","CB","?"))</f>
        <v> </v>
      </c>
      <c r="I2685" s="25" t="str">
        <f>IF(OR(E2685="",E2685="!!!",F2685="NEW"),"",INDEX(B2684:B$2,-1+SUMPRODUCT(MAX(ROW(E2684:E$2)*(E2685=E2684:E$2)))))</f>
        <v> </v>
      </c>
      <c r="J2685" s="25" t="str">
        <f>IF(OR(E2685="",E2685="!!!",F2685="NEW"),"",COUNTBLANK(OFFSET(A$1,,,SUMPRODUCT(MAX(ROW(E$2:E2685)*(E2685=E$2:E2685)))))-COUNTBLANK(OFFSET(A$1,,,SUMPRODUCT(MAX(ROW(E$1:E2684)*(E2=E$1:E2684))))))</f>
        <v> </v>
      </c>
      <c r="K2685" s="25" t="str">
        <f>IF(OR(E2685="",E2685="!!!",F2685="NEW"),"",INDEX(J$1:J2684,SUMPRODUCT(MAX(ROW(E$1:E2684)*(E2685=E$1:E2684)))))</f>
        <v> </v>
      </c>
      <c r="L2685" s="26"/>
    </row>
    <row r="2686" spans="1:12">
      <c r="A2686" s="20" t="s">
        <v>740</v>
      </c>
      <c r="E2686" s="21">
        <f>IF(D2686="?OLD","!!!","")</f>
        <v/>
      </c>
      <c r="F2686" s="22" t="str">
        <f>IF(OR(E2686="",E2686="!!!"),"",IF(NOT(ISNA(VLOOKUP(E2686,E$1:E2685,1,FALSE()))),"OLD",IF(AND(E2686&lt;&gt;"",E2686&lt;&gt;"!!!"),"NEW","")))</f>
        <v> </v>
      </c>
      <c r="G2686" s="23" t="str">
        <f>IF(OR(E2686="",E2686="!!!"),"",IF(OR(J2686=0,AND(J2686=1,K2686=1),AND(J2686=1,I2686="SBJ"),AND(J2686=1,I2686=0)),"?IN_FOCUS",IF(J2686&lt;=2,"?ACTIVATED",IF(J2686&lt;&gt;"","?FAMILIAR",IF(F2686="NEW",IF(ISNA(VLOOKUP(E2686,#REF!,1,FALSE())),"?TYPE_IDENTIFIABLE","?REFERENTIAL"),"_")))))</f>
        <v> </v>
      </c>
      <c r="H2686" s="24" t="str">
        <f>IF(J2686&lt;&gt;1,"",IF(I2686="SBJ","CB","?"))</f>
        <v> </v>
      </c>
      <c r="I2686" s="25" t="str">
        <f>IF(OR(E2686="",E2686="!!!",F2686="NEW"),"",INDEX(B2685:B$2,-1+SUMPRODUCT(MAX(ROW(E2685:E$2)*(E2686=E2685:E$2)))))</f>
        <v> </v>
      </c>
      <c r="J2686" s="25" t="str">
        <f>IF(OR(E2686="",E2686="!!!",F2686="NEW"),"",COUNTBLANK(OFFSET(A$1,,,SUMPRODUCT(MAX(ROW(E$2:E2686)*(E2686=E$2:E2686)))))-COUNTBLANK(OFFSET(A$1,,,SUMPRODUCT(MAX(ROW(E$1:E2685)*(E2=E$1:E2685))))))</f>
        <v> </v>
      </c>
      <c r="K2686" s="25" t="str">
        <f>IF(OR(E2686="",E2686="!!!",F2686="NEW"),"",INDEX(J$1:J2685,SUMPRODUCT(MAX(ROW(E$1:E2685)*(E2686=E$1:E2685)))))</f>
        <v> </v>
      </c>
      <c r="L2686" s="26"/>
    </row>
    <row r="2687" spans="1:12">
      <c r="A2687" s="20" t="s">
        <v>1667</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1668</v>
      </c>
      <c r="B2688" s="27" t="s">
        <v>716</v>
      </c>
      <c r="C2688" s="27" t="s">
        <v>711</v>
      </c>
      <c r="D2688" s="27" t="s">
        <v>712</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875</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t="s">
        <v>725</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row>
    <row r="2692" spans="1:12">
      <c r="A2692" s="20" t="s">
        <v>1669</v>
      </c>
    </row>
    <row r="2693" spans="1:12">
      <c r="A2693" s="20" t="s">
        <v>855</v>
      </c>
      <c r="B2693" s="27" t="s">
        <v>710</v>
      </c>
      <c r="C2693" s="27" t="s">
        <v>842</v>
      </c>
      <c r="D2693" s="27" t="s">
        <v>712</v>
      </c>
      <c r="E2693" s="21">
        <f>IF(D2693="?OLD","!!!","")</f>
        <v/>
      </c>
      <c r="F2693" s="22" t="str">
        <f>IF(OR(E2693="",E2693="!!!"),"",IF(NOT(ISNA(VLOOKUP(E2693,E$1:E2692,1,FALSE()))),"OLD",IF(AND(E2693&lt;&gt;"",E2693&lt;&gt;"!!!"),"NEW","")))</f>
        <v> </v>
      </c>
      <c r="G2693" s="23" t="str">
        <f>IF(OR(E2693="",E2693="!!!"),"",IF(OR(J2693=0,AND(J2693=1,K2693=1),AND(J2693=1,I2693="SBJ"),AND(J2693=1,I2693=0)),"?IN_FOCUS",IF(J2693&lt;=2,"?ACTIVATED",IF(J2693&lt;&gt;"","?FAMILIAR",IF(F2693="NEW",IF(ISNA(VLOOKUP(E2693,#REF!,1,FALSE())),"?TYPE_IDENTIFIABLE","?REFERENTIAL"),"_")))))</f>
        <v> </v>
      </c>
      <c r="H2693" s="24" t="str">
        <f>IF(J2693&lt;&gt;1,"",IF(I2693="SBJ","CB","?"))</f>
        <v> </v>
      </c>
      <c r="I2693" s="25" t="str">
        <f>IF(OR(E2693="",E2693="!!!",F2693="NEW"),"",INDEX(B2692:B$2,-1+SUMPRODUCT(MAX(ROW(E2692:E$2)*(E2693=E2692:E$2)))))</f>
        <v> </v>
      </c>
      <c r="J2693" s="25" t="str">
        <f>IF(OR(E2693="",E2693="!!!",F2693="NEW"),"",COUNTBLANK(OFFSET(A$1,,,SUMPRODUCT(MAX(ROW(E$2:E2693)*(E2693=E$2:E2693)))))-COUNTBLANK(OFFSET(A$1,,,SUMPRODUCT(MAX(ROW(E$1:E2692)*(E2=E$1:E2692))))))</f>
        <v> </v>
      </c>
      <c r="K2693" s="25" t="str">
        <f>IF(OR(E2693="",E2693="!!!",F2693="NEW"),"",INDEX(J$1:J2692,SUMPRODUCT(MAX(ROW(E$1:E2692)*(E2693=E$1:E2692)))))</f>
        <v> </v>
      </c>
      <c r="L2693" s="26"/>
    </row>
    <row r="2694" spans="1:12">
      <c r="A2694" s="20" t="s">
        <v>1670</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718</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t="s">
        <v>741</v>
      </c>
      <c r="B2696" s="27" t="s">
        <v>749</v>
      </c>
      <c r="C2696" s="27" t="s">
        <v>743</v>
      </c>
      <c r="D2696" s="27" t="s">
        <v>712</v>
      </c>
      <c r="E2696" s="21">
        <f>IF(D2696="?OLD","!!!","")</f>
        <v/>
      </c>
      <c r="F2696" s="22" t="str">
        <f>IF(OR(E2696="",E2696="!!!"),"",IF(NOT(ISNA(VLOOKUP(E2696,E$1:E2695,1,FALSE()))),"OLD",IF(AND(E2696&lt;&gt;"",E2696&lt;&gt;"!!!"),"NEW","")))</f>
        <v> </v>
      </c>
      <c r="G2696" s="23" t="str">
        <f>IF(OR(E2696="",E2696="!!!"),"",IF(OR(J2696=0,AND(J2696=1,K2696=1),AND(J2696=1,I2696="SBJ"),AND(J2696=1,I2696=0)),"?IN_FOCUS",IF(J2696&lt;=2,"?ACTIVATED",IF(J2696&lt;&gt;"","?FAMILIAR",IF(F2696="NEW",IF(ISNA(VLOOKUP(E2696,#REF!,1,FALSE())),"?TYPE_IDENTIFIABLE","?REFERENTIAL"),"_")))))</f>
        <v> </v>
      </c>
      <c r="H2696" s="24" t="str">
        <f>IF(J2696&lt;&gt;1,"",IF(I2696="SBJ","CB","?"))</f>
        <v> </v>
      </c>
      <c r="I2696" s="25" t="str">
        <f>IF(OR(E2696="",E2696="!!!",F2696="NEW"),"",INDEX(B2695:B$2,-1+SUMPRODUCT(MAX(ROW(E2695:E$2)*(E2696=E2695:E$2)))))</f>
        <v> </v>
      </c>
      <c r="J2696" s="25" t="str">
        <f>IF(OR(E2696="",E2696="!!!",F2696="NEW"),"",COUNTBLANK(OFFSET(A$1,,,SUMPRODUCT(MAX(ROW(E$2:E2696)*(E2696=E$2:E2696)))))-COUNTBLANK(OFFSET(A$1,,,SUMPRODUCT(MAX(ROW(E$1:E2695)*(E2=E$1:E2695))))))</f>
        <v> </v>
      </c>
      <c r="K2696" s="25" t="str">
        <f>IF(OR(E2696="",E2696="!!!",F2696="NEW"),"",INDEX(J$1:J2695,SUMPRODUCT(MAX(ROW(E$1:E2695)*(E2696=E$1:E2695)))))</f>
        <v> </v>
      </c>
      <c r="L2696" s="26"/>
    </row>
    <row r="2697" spans="1:12">
      <c r="A2697" s="20" t="s">
        <v>1374</v>
      </c>
      <c r="E2697" s="21">
        <f>IF(D2697="?OLD","!!!","")</f>
        <v/>
      </c>
      <c r="F2697" s="22" t="str">
        <f>IF(OR(E2697="",E2697="!!!"),"",IF(NOT(ISNA(VLOOKUP(E2697,E$1:E2696,1,FALSE()))),"OLD",IF(AND(E2697&lt;&gt;"",E2697&lt;&gt;"!!!"),"NEW","")))</f>
        <v> </v>
      </c>
      <c r="G2697" s="23" t="str">
        <f>IF(OR(E2697="",E2697="!!!"),"",IF(OR(J2697=0,AND(J2697=1,K2697=1),AND(J2697=1,I2697="SBJ"),AND(J2697=1,I2697=0)),"?IN_FOCUS",IF(J2697&lt;=2,"?ACTIVATED",IF(J2697&lt;&gt;"","?FAMILIAR",IF(F2697="NEW",IF(ISNA(VLOOKUP(E2697,#REF!,1,FALSE())),"?TYPE_IDENTIFIABLE","?REFERENTIAL"),"_")))))</f>
        <v> </v>
      </c>
      <c r="H2697" s="24" t="str">
        <f>IF(J2697&lt;&gt;1,"",IF(I2697="SBJ","CB","?"))</f>
        <v> </v>
      </c>
      <c r="I2697" s="25" t="str">
        <f>IF(OR(E2697="",E2697="!!!",F2697="NEW"),"",INDEX(B2696:B$2,-1+SUMPRODUCT(MAX(ROW(E2696:E$2)*(E2697=E2696:E$2)))))</f>
        <v> </v>
      </c>
      <c r="J2697" s="25" t="str">
        <f>IF(OR(E2697="",E2697="!!!",F2697="NEW"),"",COUNTBLANK(OFFSET(A$1,,,SUMPRODUCT(MAX(ROW(E$2:E2697)*(E2697=E$2:E2697)))))-COUNTBLANK(OFFSET(A$1,,,SUMPRODUCT(MAX(ROW(E$1:E2696)*(E2=E$1:E2696))))))</f>
        <v> </v>
      </c>
      <c r="K2697" s="25" t="str">
        <f>IF(OR(E2697="",E2697="!!!",F2697="NEW"),"",INDEX(J$1:J2696,SUMPRODUCT(MAX(ROW(E$1:E2696)*(E2697=E$1:E2696)))))</f>
        <v> </v>
      </c>
      <c r="L2697" s="26"/>
    </row>
    <row r="2698" spans="1:12">
      <c r="A2698" s="20" t="s">
        <v>714</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t="s">
        <v>740</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755</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1671</v>
      </c>
      <c r="B2701" s="27" t="s">
        <v>731</v>
      </c>
      <c r="C2701" s="27" t="s">
        <v>711</v>
      </c>
      <c r="D2701" s="27" t="s">
        <v>712</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1672</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t="s">
        <v>796</v>
      </c>
      <c r="E2703" s="21">
        <f>IF(D2703="?OLD","!!!","")</f>
        <v/>
      </c>
      <c r="F2703" s="22" t="str">
        <f>IF(OR(E2703="",E2703="!!!"),"",IF(NOT(ISNA(VLOOKUP(E2703,E$1:E2702,1,FALSE()))),"OLD",IF(AND(E2703&lt;&gt;"",E2703&lt;&gt;"!!!"),"NEW","")))</f>
        <v> </v>
      </c>
      <c r="G2703" s="23" t="str">
        <f>IF(OR(E2703="",E2703="!!!"),"",IF(OR(J2703=0,AND(J2703=1,K2703=1),AND(J2703=1,I2703="SBJ"),AND(J2703=1,I2703=0)),"?IN_FOCUS",IF(J2703&lt;=2,"?ACTIVATED",IF(J2703&lt;&gt;"","?FAMILIAR",IF(F2703="NEW",IF(ISNA(VLOOKUP(E2703,#REF!,1,FALSE())),"?TYPE_IDENTIFIABLE","?REFERENTIAL"),"_")))))</f>
        <v> </v>
      </c>
      <c r="H2703" s="24" t="str">
        <f>IF(J2703&lt;&gt;1,"",IF(I2703="SBJ","CB","?"))</f>
        <v> </v>
      </c>
      <c r="I2703" s="25" t="str">
        <f>IF(OR(E2703="",E2703="!!!",F2703="NEW"),"",INDEX(B2702:B$2,-1+SUMPRODUCT(MAX(ROW(E2702:E$2)*(E2703=E2702:E$2)))))</f>
        <v> </v>
      </c>
      <c r="J2703" s="25" t="str">
        <f>IF(OR(E2703="",E2703="!!!",F2703="NEW"),"",COUNTBLANK(OFFSET(A$1,,,SUMPRODUCT(MAX(ROW(E$2:E2703)*(E2703=E$2:E2703)))))-COUNTBLANK(OFFSET(A$1,,,SUMPRODUCT(MAX(ROW(E$1:E2702)*(E2=E$1:E2702))))))</f>
        <v> </v>
      </c>
      <c r="K2703" s="25" t="str">
        <f>IF(OR(E2703="",E2703="!!!",F2703="NEW"),"",INDEX(J$1:J2702,SUMPRODUCT(MAX(ROW(E$1:E2702)*(E2703=E$1:E2702)))))</f>
        <v> </v>
      </c>
      <c r="L2703" s="26"/>
    </row>
    <row r="2704" spans="1:12">
      <c r="A2704" s="20" t="s">
        <v>725</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row>
    <row r="2706" spans="1:12">
      <c r="A2706" s="20" t="s">
        <v>1673</v>
      </c>
    </row>
    <row r="2707" spans="1:12">
      <c r="A2707" s="20" t="s">
        <v>1674</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t="s">
        <v>1038</v>
      </c>
      <c r="B2708" s="27" t="s">
        <v>731</v>
      </c>
      <c r="C2708" s="27" t="s">
        <v>728</v>
      </c>
      <c r="D2708" s="27" t="s">
        <v>712</v>
      </c>
      <c r="E2708" s="21">
        <f>IF(D2708="?OLD","!!!","")</f>
        <v/>
      </c>
      <c r="F2708" s="22" t="str">
        <f>IF(OR(E2708="",E2708="!!!"),"",IF(NOT(ISNA(VLOOKUP(E2708,E$1:E2707,1,FALSE()))),"OLD",IF(AND(E2708&lt;&gt;"",E2708&lt;&gt;"!!!"),"NEW","")))</f>
        <v> </v>
      </c>
      <c r="G2708" s="23" t="str">
        <f>IF(OR(E2708="",E2708="!!!"),"",IF(OR(J2708=0,AND(J2708=1,K2708=1),AND(J2708=1,I2708="SBJ"),AND(J2708=1,I2708=0)),"?IN_FOCUS",IF(J2708&lt;=2,"?ACTIVATED",IF(J2708&lt;&gt;"","?FAMILIAR",IF(F2708="NEW",IF(ISNA(VLOOKUP(E2708,#REF!,1,FALSE())),"?TYPE_IDENTIFIABLE","?REFERENTIAL"),"_")))))</f>
        <v> </v>
      </c>
      <c r="H2708" s="24" t="str">
        <f>IF(J2708&lt;&gt;1,"",IF(I2708="SBJ","CB","?"))</f>
        <v> </v>
      </c>
      <c r="I2708" s="25" t="str">
        <f>IF(OR(E2708="",E2708="!!!",F2708="NEW"),"",INDEX(B2707:B$2,-1+SUMPRODUCT(MAX(ROW(E2707:E$2)*(E2708=E2707:E$2)))))</f>
        <v> </v>
      </c>
      <c r="J2708" s="25" t="str">
        <f>IF(OR(E2708="",E2708="!!!",F2708="NEW"),"",COUNTBLANK(OFFSET(A$1,,,SUMPRODUCT(MAX(ROW(E$2:E2708)*(E2708=E$2:E2708)))))-COUNTBLANK(OFFSET(A$1,,,SUMPRODUCT(MAX(ROW(E$1:E2707)*(E2=E$1:E2707))))))</f>
        <v> </v>
      </c>
      <c r="K2708" s="25" t="str">
        <f>IF(OR(E2708="",E2708="!!!",F2708="NEW"),"",INDEX(J$1:J2707,SUMPRODUCT(MAX(ROW(E$1:E2707)*(E2708=E$1:E2707)))))</f>
        <v> </v>
      </c>
      <c r="L2708" s="26"/>
    </row>
    <row r="2709" spans="1:12">
      <c r="A2709" s="20" t="s">
        <v>1675</v>
      </c>
      <c r="B2709" s="27" t="s">
        <v>716</v>
      </c>
      <c r="C2709" s="27" t="s">
        <v>834</v>
      </c>
      <c r="D2709" s="27" t="s">
        <v>712</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993</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t="s">
        <v>1668</v>
      </c>
      <c r="B2711" s="27" t="s">
        <v>731</v>
      </c>
      <c r="C2711" s="27" t="s">
        <v>761</v>
      </c>
      <c r="D2711" s="27" t="s">
        <v>712</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730</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1671</v>
      </c>
      <c r="B2713" s="27" t="s">
        <v>731</v>
      </c>
      <c r="C2713" s="27" t="s">
        <v>761</v>
      </c>
      <c r="D2713" s="27" t="s">
        <v>712</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823</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t="s">
        <v>791</v>
      </c>
      <c r="B2715" s="27" t="s">
        <v>710</v>
      </c>
      <c r="C2715" s="27" t="s">
        <v>743</v>
      </c>
      <c r="D2715" s="27" t="s">
        <v>712</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t="s">
        <v>767</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1676</v>
      </c>
      <c r="B2717" s="27" t="s">
        <v>777</v>
      </c>
      <c r="C2717" s="27" t="s">
        <v>711</v>
      </c>
      <c r="D2717" s="27" t="s">
        <v>712</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740</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709</v>
      </c>
      <c r="B2719" s="27" t="s">
        <v>731</v>
      </c>
      <c r="C2719" s="27" t="s">
        <v>711</v>
      </c>
      <c r="D2719" s="27" t="s">
        <v>712</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1677</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634</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1020</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782</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755</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1678</v>
      </c>
      <c r="B2725" s="27" t="s">
        <v>716</v>
      </c>
      <c r="C2725" s="27" t="s">
        <v>739</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t="s">
        <v>725</v>
      </c>
      <c r="E2726" s="21">
        <f>IF(D2726="?OLD","!!!","")</f>
        <v/>
      </c>
      <c r="F2726" s="22" t="str">
        <f>IF(OR(E2726="",E2726="!!!"),"",IF(NOT(ISNA(VLOOKUP(E2726,E$1:E2725,1,FALSE()))),"OLD",IF(AND(E2726&lt;&gt;"",E2726&lt;&gt;"!!!"),"NEW","")))</f>
        <v> </v>
      </c>
      <c r="G2726" s="23" t="str">
        <f>IF(OR(E2726="",E2726="!!!"),"",IF(OR(J2726=0,AND(J2726=1,K2726=1),AND(J2726=1,I2726="SBJ"),AND(J2726=1,I2726=0)),"?IN_FOCUS",IF(J2726&lt;=2,"?ACTIVATED",IF(J2726&lt;&gt;"","?FAMILIAR",IF(F2726="NEW",IF(ISNA(VLOOKUP(E2726,#REF!,1,FALSE())),"?TYPE_IDENTIFIABLE","?REFERENTIAL"),"_")))))</f>
        <v> </v>
      </c>
      <c r="H2726" s="24" t="str">
        <f>IF(J2726&lt;&gt;1,"",IF(I2726="SBJ","CB","?"))</f>
        <v> </v>
      </c>
      <c r="I2726" s="25" t="str">
        <f>IF(OR(E2726="",E2726="!!!",F2726="NEW"),"",INDEX(B2725:B$2,-1+SUMPRODUCT(MAX(ROW(E2725:E$2)*(E2726=E2725:E$2)))))</f>
        <v> </v>
      </c>
      <c r="J2726" s="25" t="str">
        <f>IF(OR(E2726="",E2726="!!!",F2726="NEW"),"",COUNTBLANK(OFFSET(A$1,,,SUMPRODUCT(MAX(ROW(E$2:E2726)*(E2726=E$2:E2726)))))-COUNTBLANK(OFFSET(A$1,,,SUMPRODUCT(MAX(ROW(E$1:E2725)*(E2=E$1:E2725))))))</f>
        <v> </v>
      </c>
      <c r="K2726" s="25" t="str">
        <f>IF(OR(E2726="",E2726="!!!",F2726="NEW"),"",INDEX(J$1:J2725,SUMPRODUCT(MAX(ROW(E$1:E2725)*(E2726=E$1:E2725)))))</f>
        <v> </v>
      </c>
      <c r="L2726" s="26"/>
    </row>
    <row r="2727" spans="1:12">
      <c r="A2727" s="20"/>
    </row>
    <row r="2728" spans="1:12">
      <c r="A2728" s="20" t="s">
        <v>1679</v>
      </c>
    </row>
    <row r="2729" spans="1:12">
      <c r="A2729" s="20" t="s">
        <v>1680</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t="s">
        <v>1681</v>
      </c>
      <c r="B2730" s="27" t="s">
        <v>777</v>
      </c>
      <c r="C2730" s="27" t="s">
        <v>739</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823</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791</v>
      </c>
      <c r="B2732" s="27" t="s">
        <v>710</v>
      </c>
      <c r="C2732" s="27" t="s">
        <v>743</v>
      </c>
      <c r="D2732" s="27" t="s">
        <v>712</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860</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638</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t="s">
        <v>725</v>
      </c>
      <c r="E2735" s="21">
        <f>IF(D2735="?OLD","!!!","")</f>
        <v/>
      </c>
      <c r="F2735" s="22" t="str">
        <f>IF(OR(E2735="",E2735="!!!"),"",IF(NOT(ISNA(VLOOKUP(E2735,E$1:E2734,1,FALSE()))),"OLD",IF(AND(E2735&lt;&gt;"",E2735&lt;&gt;"!!!"),"NEW","")))</f>
        <v> </v>
      </c>
      <c r="G2735" s="23" t="str">
        <f>IF(OR(E2735="",E2735="!!!"),"",IF(OR(J2735=0,AND(J2735=1,K2735=1),AND(J2735=1,I2735="SBJ"),AND(J2735=1,I2735=0)),"?IN_FOCUS",IF(J2735&lt;=2,"?ACTIVATED",IF(J2735&lt;&gt;"","?FAMILIAR",IF(F2735="NEW",IF(ISNA(VLOOKUP(E2735,#REF!,1,FALSE())),"?TYPE_IDENTIFIABLE","?REFERENTIAL"),"_")))))</f>
        <v> </v>
      </c>
      <c r="H2735" s="24" t="str">
        <f>IF(J2735&lt;&gt;1,"",IF(I2735="SBJ","CB","?"))</f>
        <v> </v>
      </c>
      <c r="I2735" s="25" t="str">
        <f>IF(OR(E2735="",E2735="!!!",F2735="NEW"),"",INDEX(B2734:B$2,-1+SUMPRODUCT(MAX(ROW(E2734:E$2)*(E2735=E2734:E$2)))))</f>
        <v> </v>
      </c>
      <c r="J2735" s="25" t="str">
        <f>IF(OR(E2735="",E2735="!!!",F2735="NEW"),"",COUNTBLANK(OFFSET(A$1,,,SUMPRODUCT(MAX(ROW(E$2:E2735)*(E2735=E$2:E2735)))))-COUNTBLANK(OFFSET(A$1,,,SUMPRODUCT(MAX(ROW(E$1:E2734)*(E2=E$1:E2734))))))</f>
        <v> </v>
      </c>
      <c r="K2735" s="25" t="str">
        <f>IF(OR(E2735="",E2735="!!!",F2735="NEW"),"",INDEX(J$1:J2734,SUMPRODUCT(MAX(ROW(E$1:E2734)*(E2735=E$1:E2734)))))</f>
        <v> </v>
      </c>
      <c r="L2735" s="26"/>
    </row>
    <row r="2736" spans="1:12">
      <c r="A2736" s="20"/>
    </row>
    <row r="2737" spans="1:12">
      <c r="A2737" s="20" t="s">
        <v>1682</v>
      </c>
    </row>
    <row r="2738" spans="1:12">
      <c r="A2738" s="20" t="s">
        <v>727</v>
      </c>
      <c r="B2738" s="27" t="s">
        <v>710</v>
      </c>
      <c r="C2738" s="27" t="s">
        <v>743</v>
      </c>
      <c r="D2738" s="27" t="s">
        <v>712</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t="s">
        <v>748</v>
      </c>
      <c r="E2739" s="21">
        <f>IF(D2739="?OLD","!!!","")</f>
        <v/>
      </c>
      <c r="F2739" s="22" t="str">
        <f>IF(OR(E2739="",E2739="!!!"),"",IF(NOT(ISNA(VLOOKUP(E2739,E$1:E2738,1,FALSE()))),"OLD",IF(AND(E2739&lt;&gt;"",E2739&lt;&gt;"!!!"),"NEW","")))</f>
        <v> </v>
      </c>
      <c r="G2739" s="23" t="str">
        <f>IF(OR(E2739="",E2739="!!!"),"",IF(OR(J2739=0,AND(J2739=1,K2739=1),AND(J2739=1,I2739="SBJ"),AND(J2739=1,I2739=0)),"?IN_FOCUS",IF(J2739&lt;=2,"?ACTIVATED",IF(J2739&lt;&gt;"","?FAMILIAR",IF(F2739="NEW",IF(ISNA(VLOOKUP(E2739,#REF!,1,FALSE())),"?TYPE_IDENTIFIABLE","?REFERENTIAL"),"_")))))</f>
        <v> </v>
      </c>
      <c r="H2739" s="24" t="str">
        <f>IF(J2739&lt;&gt;1,"",IF(I2739="SBJ","CB","?"))</f>
        <v> </v>
      </c>
      <c r="I2739" s="25" t="str">
        <f>IF(OR(E2739="",E2739="!!!",F2739="NEW"),"",INDEX(B2738:B$2,-1+SUMPRODUCT(MAX(ROW(E2738:E$2)*(E2739=E2738:E$2)))))</f>
        <v> </v>
      </c>
      <c r="J2739" s="25" t="str">
        <f>IF(OR(E2739="",E2739="!!!",F2739="NEW"),"",COUNTBLANK(OFFSET(A$1,,,SUMPRODUCT(MAX(ROW(E$2:E2739)*(E2739=E$2:E2739)))))-COUNTBLANK(OFFSET(A$1,,,SUMPRODUCT(MAX(ROW(E$1:E2738)*(E2=E$1:E2738))))))</f>
        <v> </v>
      </c>
      <c r="K2739" s="25" t="str">
        <f>IF(OR(E2739="",E2739="!!!",F2739="NEW"),"",INDEX(J$1:J2738,SUMPRODUCT(MAX(ROW(E$1:E2738)*(E2739=E$1:E2738)))))</f>
        <v> </v>
      </c>
      <c r="L2739" s="26"/>
    </row>
    <row r="2740" spans="1:12">
      <c r="A2740" s="20" t="s">
        <v>1683</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725</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row>
    <row r="2743" spans="1:12">
      <c r="A2743" s="20" t="s">
        <v>1684</v>
      </c>
    </row>
    <row r="2744" spans="1:12">
      <c r="A2744" s="20" t="s">
        <v>1685</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1315</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t="s">
        <v>646</v>
      </c>
      <c r="B2746" s="27" t="s">
        <v>716</v>
      </c>
      <c r="C2746" s="27" t="s">
        <v>739</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725</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row>
    <row r="2749" spans="1:12">
      <c r="A2749" s="20" t="s">
        <v>1686</v>
      </c>
    </row>
    <row r="2750" spans="1:12">
      <c r="A2750" s="20" t="s">
        <v>1687</v>
      </c>
      <c r="E2750" s="21">
        <f>IF(D2750="?OLD","!!!","")</f>
        <v/>
      </c>
      <c r="F2750" s="22" t="str">
        <f>IF(OR(E2750="",E2750="!!!"),"",IF(NOT(ISNA(VLOOKUP(E2750,E$1:E2749,1,FALSE()))),"OLD",IF(AND(E2750&lt;&gt;"",E2750&lt;&gt;"!!!"),"NEW","")))</f>
        <v> </v>
      </c>
      <c r="G2750" s="23" t="str">
        <f>IF(OR(E2750="",E2750="!!!"),"",IF(OR(J2750=0,AND(J2750=1,K2750=1),AND(J2750=1,I2750="SBJ"),AND(J2750=1,I2750=0)),"?IN_FOCUS",IF(J2750&lt;=2,"?ACTIVATED",IF(J2750&lt;&gt;"","?FAMILIAR",IF(F2750="NEW",IF(ISNA(VLOOKUP(E2750,#REF!,1,FALSE())),"?TYPE_IDENTIFIABLE","?REFERENTIAL"),"_")))))</f>
        <v> </v>
      </c>
      <c r="H2750" s="24" t="str">
        <f>IF(J2750&lt;&gt;1,"",IF(I2750="SBJ","CB","?"))</f>
        <v> </v>
      </c>
      <c r="I2750" s="25" t="str">
        <f>IF(OR(E2750="",E2750="!!!",F2750="NEW"),"",INDEX(B2749:B$2,-1+SUMPRODUCT(MAX(ROW(E2749:E$2)*(E2750=E2749:E$2)))))</f>
        <v> </v>
      </c>
      <c r="J2750" s="25" t="str">
        <f>IF(OR(E2750="",E2750="!!!",F2750="NEW"),"",COUNTBLANK(OFFSET(A$1,,,SUMPRODUCT(MAX(ROW(E$2:E2750)*(E2750=E$2:E2750)))))-COUNTBLANK(OFFSET(A$1,,,SUMPRODUCT(MAX(ROW(E$1:E2749)*(E2=E$1:E2749))))))</f>
        <v> </v>
      </c>
      <c r="K2750" s="25" t="str">
        <f>IF(OR(E2750="",E2750="!!!",F2750="NEW"),"",INDEX(J$1:J2749,SUMPRODUCT(MAX(ROW(E$1:E2749)*(E2750=E$1:E2749)))))</f>
        <v> </v>
      </c>
      <c r="L2750" s="26"/>
    </row>
    <row r="2751" spans="1:12">
      <c r="A2751" s="20" t="s">
        <v>1688</v>
      </c>
      <c r="B2751" s="27" t="s">
        <v>716</v>
      </c>
      <c r="C2751" s="27" t="s">
        <v>778</v>
      </c>
      <c r="E2751" s="21">
        <f>IF(D2751="?OLD","!!!","")</f>
        <v/>
      </c>
      <c r="F2751" s="22" t="str">
        <f>IF(OR(E2751="",E2751="!!!"),"",IF(NOT(ISNA(VLOOKUP(E2751,E$1:E2750,1,FALSE()))),"OLD",IF(AND(E2751&lt;&gt;"",E2751&lt;&gt;"!!!"),"NEW","")))</f>
        <v> </v>
      </c>
      <c r="G2751" s="23" t="str">
        <f>IF(OR(E2751="",E2751="!!!"),"",IF(OR(J2751=0,AND(J2751=1,K2751=1),AND(J2751=1,I2751="SBJ"),AND(J2751=1,I2751=0)),"?IN_FOCUS",IF(J2751&lt;=2,"?ACTIVATED",IF(J2751&lt;&gt;"","?FAMILIAR",IF(F2751="NEW",IF(ISNA(VLOOKUP(E2751,#REF!,1,FALSE())),"?TYPE_IDENTIFIABLE","?REFERENTIAL"),"_")))))</f>
        <v> </v>
      </c>
      <c r="H2751" s="24" t="str">
        <f>IF(J2751&lt;&gt;1,"",IF(I2751="SBJ","CB","?"))</f>
        <v> </v>
      </c>
      <c r="I2751" s="25" t="str">
        <f>IF(OR(E2751="",E2751="!!!",F2751="NEW"),"",INDEX(B2750:B$2,-1+SUMPRODUCT(MAX(ROW(E2750:E$2)*(E2751=E2750:E$2)))))</f>
        <v> </v>
      </c>
      <c r="J2751" s="25" t="str">
        <f>IF(OR(E2751="",E2751="!!!",F2751="NEW"),"",COUNTBLANK(OFFSET(A$1,,,SUMPRODUCT(MAX(ROW(E$2:E2751)*(E2751=E$2:E2751)))))-COUNTBLANK(OFFSET(A$1,,,SUMPRODUCT(MAX(ROW(E$1:E2750)*(E2=E$1:E2750))))))</f>
        <v> </v>
      </c>
      <c r="K2751" s="25" t="str">
        <f>IF(OR(E2751="",E2751="!!!",F2751="NEW"),"",INDEX(J$1:J2750,SUMPRODUCT(MAX(ROW(E$1:E2750)*(E2751=E$1:E2750)))))</f>
        <v> </v>
      </c>
      <c r="L2751" s="26"/>
    </row>
    <row r="2752" spans="1:12">
      <c r="A2752" s="20" t="s">
        <v>914</v>
      </c>
      <c r="E2752" s="21">
        <f>IF(D2752="?OLD","!!!","")</f>
        <v/>
      </c>
      <c r="F2752" s="22" t="str">
        <f>IF(OR(E2752="",E2752="!!!"),"",IF(NOT(ISNA(VLOOKUP(E2752,E$1:E2751,1,FALSE()))),"OLD",IF(AND(E2752&lt;&gt;"",E2752&lt;&gt;"!!!"),"NEW","")))</f>
        <v> </v>
      </c>
      <c r="G2752" s="23" t="str">
        <f>IF(OR(E2752="",E2752="!!!"),"",IF(OR(J2752=0,AND(J2752=1,K2752=1),AND(J2752=1,I2752="SBJ"),AND(J2752=1,I2752=0)),"?IN_FOCUS",IF(J2752&lt;=2,"?ACTIVATED",IF(J2752&lt;&gt;"","?FAMILIAR",IF(F2752="NEW",IF(ISNA(VLOOKUP(E2752,#REF!,1,FALSE())),"?TYPE_IDENTIFIABLE","?REFERENTIAL"),"_")))))</f>
        <v> </v>
      </c>
      <c r="H2752" s="24" t="str">
        <f>IF(J2752&lt;&gt;1,"",IF(I2752="SBJ","CB","?"))</f>
        <v> </v>
      </c>
      <c r="I2752" s="25" t="str">
        <f>IF(OR(E2752="",E2752="!!!",F2752="NEW"),"",INDEX(B2751:B$2,-1+SUMPRODUCT(MAX(ROW(E2751:E$2)*(E2752=E2751:E$2)))))</f>
        <v> </v>
      </c>
      <c r="J2752" s="25" t="str">
        <f>IF(OR(E2752="",E2752="!!!",F2752="NEW"),"",COUNTBLANK(OFFSET(A$1,,,SUMPRODUCT(MAX(ROW(E$2:E2752)*(E2752=E$2:E2752)))))-COUNTBLANK(OFFSET(A$1,,,SUMPRODUCT(MAX(ROW(E$1:E2751)*(E2=E$1:E2751))))))</f>
        <v> </v>
      </c>
      <c r="K2752" s="25" t="str">
        <f>IF(OR(E2752="",E2752="!!!",F2752="NEW"),"",INDEX(J$1:J2751,SUMPRODUCT(MAX(ROW(E$1:E2751)*(E2752=E$1:E2751)))))</f>
        <v> </v>
      </c>
      <c r="L2752" s="26"/>
    </row>
    <row r="2753" spans="1:12">
      <c r="A2753" s="20" t="s">
        <v>1689</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12</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1688</v>
      </c>
      <c r="B2755" s="27" t="s">
        <v>716</v>
      </c>
      <c r="C2755" s="27" t="s">
        <v>761</v>
      </c>
      <c r="D2755" s="27" t="s">
        <v>712</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863</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718</v>
      </c>
      <c r="E2757" s="21">
        <f>IF(D2757="?OLD","!!!","")</f>
        <v/>
      </c>
      <c r="F2757" s="22" t="str">
        <f>IF(OR(E2757="",E2757="!!!"),"",IF(NOT(ISNA(VLOOKUP(E2757,E$1:E2756,1,FALSE()))),"OLD",IF(AND(E2757&lt;&gt;"",E2757&lt;&gt;"!!!"),"NEW","")))</f>
        <v> </v>
      </c>
      <c r="G2757" s="23" t="str">
        <f>IF(OR(E2757="",E2757="!!!"),"",IF(OR(J2757=0,AND(J2757=1,K2757=1),AND(J2757=1,I2757="SBJ"),AND(J2757=1,I2757=0)),"?IN_FOCUS",IF(J2757&lt;=2,"?ACTIVATED",IF(J2757&lt;&gt;"","?FAMILIAR",IF(F2757="NEW",IF(ISNA(VLOOKUP(E2757,#REF!,1,FALSE())),"?TYPE_IDENTIFIABLE","?REFERENTIAL"),"_")))))</f>
        <v> </v>
      </c>
      <c r="H2757" s="24" t="str">
        <f>IF(J2757&lt;&gt;1,"",IF(I2757="SBJ","CB","?"))</f>
        <v> </v>
      </c>
      <c r="I2757" s="25" t="str">
        <f>IF(OR(E2757="",E2757="!!!",F2757="NEW"),"",INDEX(B2756:B$2,-1+SUMPRODUCT(MAX(ROW(E2756:E$2)*(E2757=E2756:E$2)))))</f>
        <v> </v>
      </c>
      <c r="J2757" s="25" t="str">
        <f>IF(OR(E2757="",E2757="!!!",F2757="NEW"),"",COUNTBLANK(OFFSET(A$1,,,SUMPRODUCT(MAX(ROW(E$2:E2757)*(E2757=E$2:E2757)))))-COUNTBLANK(OFFSET(A$1,,,SUMPRODUCT(MAX(ROW(E$1:E2756)*(E2=E$1:E2756))))))</f>
        <v> </v>
      </c>
      <c r="K2757" s="25" t="str">
        <f>IF(OR(E2757="",E2757="!!!",F2757="NEW"),"",INDEX(J$1:J2756,SUMPRODUCT(MAX(ROW(E$1:E2756)*(E2757=E$1:E2756)))))</f>
        <v> </v>
      </c>
      <c r="L2757" s="26"/>
    </row>
    <row r="2758" spans="1:12">
      <c r="A2758" s="20" t="s">
        <v>865</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767</v>
      </c>
      <c r="E2759" s="21">
        <f>IF(D2759="?OLD","!!!","")</f>
        <v/>
      </c>
      <c r="F2759" s="22" t="str">
        <f>IF(OR(E2759="",E2759="!!!"),"",IF(NOT(ISNA(VLOOKUP(E2759,E$1:E2758,1,FALSE()))),"OLD",IF(AND(E2759&lt;&gt;"",E2759&lt;&gt;"!!!"),"NEW","")))</f>
        <v> </v>
      </c>
      <c r="G2759" s="23" t="str">
        <f>IF(OR(E2759="",E2759="!!!"),"",IF(OR(J2759=0,AND(J2759=1,K2759=1),AND(J2759=1,I2759="SBJ"),AND(J2759=1,I2759=0)),"?IN_FOCUS",IF(J2759&lt;=2,"?ACTIVATED",IF(J2759&lt;&gt;"","?FAMILIAR",IF(F2759="NEW",IF(ISNA(VLOOKUP(E2759,#REF!,1,FALSE())),"?TYPE_IDENTIFIABLE","?REFERENTIAL"),"_")))))</f>
        <v> </v>
      </c>
      <c r="H2759" s="24" t="str">
        <f>IF(J2759&lt;&gt;1,"",IF(I2759="SBJ","CB","?"))</f>
        <v> </v>
      </c>
      <c r="I2759" s="25" t="str">
        <f>IF(OR(E2759="",E2759="!!!",F2759="NEW"),"",INDEX(B2758:B$2,-1+SUMPRODUCT(MAX(ROW(E2758:E$2)*(E2759=E2758:E$2)))))</f>
        <v> </v>
      </c>
      <c r="J2759" s="25" t="str">
        <f>IF(OR(E2759="",E2759="!!!",F2759="NEW"),"",COUNTBLANK(OFFSET(A$1,,,SUMPRODUCT(MAX(ROW(E$2:E2759)*(E2759=E$2:E2759)))))-COUNTBLANK(OFFSET(A$1,,,SUMPRODUCT(MAX(ROW(E$1:E2758)*(E2=E$1:E2758))))))</f>
        <v> </v>
      </c>
      <c r="K2759" s="25" t="str">
        <f>IF(OR(E2759="",E2759="!!!",F2759="NEW"),"",INDEX(J$1:J2758,SUMPRODUCT(MAX(ROW(E$1:E2758)*(E2759=E$1:E2758)))))</f>
        <v> </v>
      </c>
      <c r="L2759" s="26"/>
    </row>
    <row r="2760" spans="1:12">
      <c r="A2760" s="20" t="s">
        <v>1688</v>
      </c>
      <c r="B2760" s="27" t="s">
        <v>731</v>
      </c>
      <c r="C2760" s="27" t="s">
        <v>711</v>
      </c>
      <c r="D2760" s="27" t="s">
        <v>712</v>
      </c>
      <c r="E2760" s="21">
        <f>IF(D2760="?OLD","!!!","")</f>
        <v/>
      </c>
      <c r="F2760" s="22" t="str">
        <f>IF(OR(E2760="",E2760="!!!"),"",IF(NOT(ISNA(VLOOKUP(E2760,E$1:E2759,1,FALSE()))),"OLD",IF(AND(E2760&lt;&gt;"",E2760&lt;&gt;"!!!"),"NEW","")))</f>
        <v> </v>
      </c>
      <c r="G2760" s="23" t="str">
        <f>IF(OR(E2760="",E2760="!!!"),"",IF(OR(J2760=0,AND(J2760=1,K2760=1),AND(J2760=1,I2760="SBJ"),AND(J2760=1,I2760=0)),"?IN_FOCUS",IF(J2760&lt;=2,"?ACTIVATED",IF(J2760&lt;&gt;"","?FAMILIAR",IF(F2760="NEW",IF(ISNA(VLOOKUP(E2760,#REF!,1,FALSE())),"?TYPE_IDENTIFIABLE","?REFERENTIAL"),"_")))))</f>
        <v> </v>
      </c>
      <c r="H2760" s="24" t="str">
        <f>IF(J2760&lt;&gt;1,"",IF(I2760="SBJ","CB","?"))</f>
        <v> </v>
      </c>
      <c r="I2760" s="25" t="str">
        <f>IF(OR(E2760="",E2760="!!!",F2760="NEW"),"",INDEX(B2759:B$2,-1+SUMPRODUCT(MAX(ROW(E2759:E$2)*(E2760=E2759:E$2)))))</f>
        <v> </v>
      </c>
      <c r="J2760" s="25" t="str">
        <f>IF(OR(E2760="",E2760="!!!",F2760="NEW"),"",COUNTBLANK(OFFSET(A$1,,,SUMPRODUCT(MAX(ROW(E$2:E2760)*(E2760=E$2:E2760)))))-COUNTBLANK(OFFSET(A$1,,,SUMPRODUCT(MAX(ROW(E$1:E2759)*(E2=E$1:E2759))))))</f>
        <v> </v>
      </c>
      <c r="K2760" s="25" t="str">
        <f>IF(OR(E2760="",E2760="!!!",F2760="NEW"),"",INDEX(J$1:J2759,SUMPRODUCT(MAX(ROW(E$1:E2759)*(E2760=E$1:E2759)))))</f>
        <v> </v>
      </c>
      <c r="L2760" s="26"/>
    </row>
    <row r="2761" spans="1:12">
      <c r="A2761" s="20" t="s">
        <v>866</v>
      </c>
      <c r="B2761" s="27" t="s">
        <v>716</v>
      </c>
      <c r="C2761" s="27" t="s">
        <v>717</v>
      </c>
      <c r="E2761" s="21">
        <f>IF(D2761="?OLD","!!!","")</f>
        <v/>
      </c>
      <c r="F2761" s="22" t="str">
        <f>IF(OR(E2761="",E2761="!!!"),"",IF(NOT(ISNA(VLOOKUP(E2761,E$1:E2760,1,FALSE()))),"OLD",IF(AND(E2761&lt;&gt;"",E2761&lt;&gt;"!!!"),"NEW","")))</f>
        <v> </v>
      </c>
      <c r="G2761" s="23" t="str">
        <f>IF(OR(E2761="",E2761="!!!"),"",IF(OR(J2761=0,AND(J2761=1,K2761=1),AND(J2761=1,I2761="SBJ"),AND(J2761=1,I2761=0)),"?IN_FOCUS",IF(J2761&lt;=2,"?ACTIVATED",IF(J2761&lt;&gt;"","?FAMILIAR",IF(F2761="NEW",IF(ISNA(VLOOKUP(E2761,#REF!,1,FALSE())),"?TYPE_IDENTIFIABLE","?REFERENTIAL"),"_")))))</f>
        <v> </v>
      </c>
      <c r="H2761" s="24" t="str">
        <f>IF(J2761&lt;&gt;1,"",IF(I2761="SBJ","CB","?"))</f>
        <v> </v>
      </c>
      <c r="I2761" s="25" t="str">
        <f>IF(OR(E2761="",E2761="!!!",F2761="NEW"),"",INDEX(B2760:B$2,-1+SUMPRODUCT(MAX(ROW(E2760:E$2)*(E2761=E2760:E$2)))))</f>
        <v> </v>
      </c>
      <c r="J2761" s="25" t="str">
        <f>IF(OR(E2761="",E2761="!!!",F2761="NEW"),"",COUNTBLANK(OFFSET(A$1,,,SUMPRODUCT(MAX(ROW(E$2:E2761)*(E2761=E$2:E2761)))))-COUNTBLANK(OFFSET(A$1,,,SUMPRODUCT(MAX(ROW(E$1:E2760)*(E2=E$1:E2760))))))</f>
        <v> </v>
      </c>
      <c r="K2761" s="25" t="str">
        <f>IF(OR(E2761="",E2761="!!!",F2761="NEW"),"",INDEX(J$1:J2760,SUMPRODUCT(MAX(ROW(E$1:E2760)*(E2761=E$1:E2760)))))</f>
        <v> </v>
      </c>
      <c r="L2761" s="26"/>
    </row>
    <row r="2762" spans="1:12">
      <c r="A2762" s="20" t="s">
        <v>740</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t="s">
        <v>46</v>
      </c>
      <c r="B2763" s="27" t="s">
        <v>731</v>
      </c>
      <c r="C2763" s="27" t="s">
        <v>711</v>
      </c>
      <c r="D2763" s="27" t="s">
        <v>712</v>
      </c>
      <c r="E2763" s="21">
        <f>IF(D2763="?OLD","!!!","")</f>
        <v/>
      </c>
      <c r="F2763" s="22" t="str">
        <f>IF(OR(E2763="",E2763="!!!"),"",IF(NOT(ISNA(VLOOKUP(E2763,E$1:E2762,1,FALSE()))),"OLD",IF(AND(E2763&lt;&gt;"",E2763&lt;&gt;"!!!"),"NEW","")))</f>
        <v> </v>
      </c>
      <c r="G2763" s="23" t="str">
        <f>IF(OR(E2763="",E2763="!!!"),"",IF(OR(J2763=0,AND(J2763=1,K2763=1),AND(J2763=1,I2763="SBJ"),AND(J2763=1,I2763=0)),"?IN_FOCUS",IF(J2763&lt;=2,"?ACTIVATED",IF(J2763&lt;&gt;"","?FAMILIAR",IF(F2763="NEW",IF(ISNA(VLOOKUP(E2763,#REF!,1,FALSE())),"?TYPE_IDENTIFIABLE","?REFERENTIAL"),"_")))))</f>
        <v> </v>
      </c>
      <c r="H2763" s="24" t="str">
        <f>IF(J2763&lt;&gt;1,"",IF(I2763="SBJ","CB","?"))</f>
        <v> </v>
      </c>
      <c r="I2763" s="25" t="str">
        <f>IF(OR(E2763="",E2763="!!!",F2763="NEW"),"",INDEX(B2762:B$2,-1+SUMPRODUCT(MAX(ROW(E2762:E$2)*(E2763=E2762:E$2)))))</f>
        <v> </v>
      </c>
      <c r="J2763" s="25" t="str">
        <f>IF(OR(E2763="",E2763="!!!",F2763="NEW"),"",COUNTBLANK(OFFSET(A$1,,,SUMPRODUCT(MAX(ROW(E$2:E2763)*(E2763=E$2:E2763)))))-COUNTBLANK(OFFSET(A$1,,,SUMPRODUCT(MAX(ROW(E$1:E2762)*(E2=E$1:E2762))))))</f>
        <v> </v>
      </c>
      <c r="K2763" s="25" t="str">
        <f>IF(OR(E2763="",E2763="!!!",F2763="NEW"),"",INDEX(J$1:J2762,SUMPRODUCT(MAX(ROW(E$1:E2762)*(E2763=E$1:E2762)))))</f>
        <v> </v>
      </c>
      <c r="L2763" s="26"/>
    </row>
    <row r="2764" spans="1:12">
      <c r="A2764" s="20" t="s">
        <v>725</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row>
    <row r="2766" spans="1:12">
      <c r="A2766" s="20" t="s">
        <v>1690</v>
      </c>
    </row>
    <row r="2767" spans="1:12">
      <c r="A2767" s="20" t="s">
        <v>780</v>
      </c>
      <c r="B2767" s="27" t="s">
        <v>710</v>
      </c>
      <c r="C2767" s="27" t="s">
        <v>743</v>
      </c>
      <c r="D2767" s="27" t="s">
        <v>712</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823</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757</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1691</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t="s">
        <v>1692</v>
      </c>
      <c r="B2771" s="27" t="s">
        <v>777</v>
      </c>
      <c r="C2771" s="27" t="s">
        <v>739</v>
      </c>
      <c r="E2771" s="21">
        <f>IF(D2771="?OLD","!!!","")</f>
        <v/>
      </c>
      <c r="F2771" s="22" t="str">
        <f>IF(OR(E2771="",E2771="!!!"),"",IF(NOT(ISNA(VLOOKUP(E2771,E$1:E2770,1,FALSE()))),"OLD",IF(AND(E2771&lt;&gt;"",E2771&lt;&gt;"!!!"),"NEW","")))</f>
        <v> </v>
      </c>
      <c r="G2771" s="23" t="str">
        <f>IF(OR(E2771="",E2771="!!!"),"",IF(OR(J2771=0,AND(J2771=1,K2771=1),AND(J2771=1,I2771="SBJ"),AND(J2771=1,I2771=0)),"?IN_FOCUS",IF(J2771&lt;=2,"?ACTIVATED",IF(J2771&lt;&gt;"","?FAMILIAR",IF(F2771="NEW",IF(ISNA(VLOOKUP(E2771,#REF!,1,FALSE())),"?TYPE_IDENTIFIABLE","?REFERENTIAL"),"_")))))</f>
        <v> </v>
      </c>
      <c r="H2771" s="24" t="str">
        <f>IF(J2771&lt;&gt;1,"",IF(I2771="SBJ","CB","?"))</f>
        <v> </v>
      </c>
      <c r="I2771" s="25" t="str">
        <f>IF(OR(E2771="",E2771="!!!",F2771="NEW"),"",INDEX(B2770:B$2,-1+SUMPRODUCT(MAX(ROW(E2770:E$2)*(E2771=E2770:E$2)))))</f>
        <v> </v>
      </c>
      <c r="J2771" s="25" t="str">
        <f>IF(OR(E2771="",E2771="!!!",F2771="NEW"),"",COUNTBLANK(OFFSET(A$1,,,SUMPRODUCT(MAX(ROW(E$2:E2771)*(E2771=E$2:E2771)))))-COUNTBLANK(OFFSET(A$1,,,SUMPRODUCT(MAX(ROW(E$1:E2770)*(E2=E$1:E2770))))))</f>
        <v> </v>
      </c>
      <c r="K2771" s="25" t="str">
        <f>IF(OR(E2771="",E2771="!!!",F2771="NEW"),"",INDEX(J$1:J2770,SUMPRODUCT(MAX(ROW(E$1:E2770)*(E2771=E$1:E2770)))))</f>
        <v> </v>
      </c>
      <c r="L2771" s="26"/>
    </row>
    <row r="2772" spans="1:12">
      <c r="A2772" s="20" t="s">
        <v>654</v>
      </c>
      <c r="E2772" s="21">
        <f>IF(D2772="?OLD","!!!","")</f>
        <v/>
      </c>
      <c r="F2772" s="22" t="str">
        <f>IF(OR(E2772="",E2772="!!!"),"",IF(NOT(ISNA(VLOOKUP(E2772,E$1:E2771,1,FALSE()))),"OLD",IF(AND(E2772&lt;&gt;"",E2772&lt;&gt;"!!!"),"NEW","")))</f>
        <v> </v>
      </c>
      <c r="G2772" s="23" t="str">
        <f>IF(OR(E2772="",E2772="!!!"),"",IF(OR(J2772=0,AND(J2772=1,K2772=1),AND(J2772=1,I2772="SBJ"),AND(J2772=1,I2772=0)),"?IN_FOCUS",IF(J2772&lt;=2,"?ACTIVATED",IF(J2772&lt;&gt;"","?FAMILIAR",IF(F2772="NEW",IF(ISNA(VLOOKUP(E2772,#REF!,1,FALSE())),"?TYPE_IDENTIFIABLE","?REFERENTIAL"),"_")))))</f>
        <v> </v>
      </c>
      <c r="H2772" s="24" t="str">
        <f>IF(J2772&lt;&gt;1,"",IF(I2772="SBJ","CB","?"))</f>
        <v> </v>
      </c>
      <c r="I2772" s="25" t="str">
        <f>IF(OR(E2772="",E2772="!!!",F2772="NEW"),"",INDEX(B2771:B$2,-1+SUMPRODUCT(MAX(ROW(E2771:E$2)*(E2772=E2771:E$2)))))</f>
        <v> </v>
      </c>
      <c r="J2772" s="25" t="str">
        <f>IF(OR(E2772="",E2772="!!!",F2772="NEW"),"",COUNTBLANK(OFFSET(A$1,,,SUMPRODUCT(MAX(ROW(E$2:E2772)*(E2772=E$2:E2772)))))-COUNTBLANK(OFFSET(A$1,,,SUMPRODUCT(MAX(ROW(E$1:E2771)*(E2=E$1:E2771))))))</f>
        <v> </v>
      </c>
      <c r="K2772" s="25" t="str">
        <f>IF(OR(E2772="",E2772="!!!",F2772="NEW"),"",INDEX(J$1:J2771,SUMPRODUCT(MAX(ROW(E$1:E2771)*(E2772=E$1:E2771)))))</f>
        <v> </v>
      </c>
      <c r="L2772" s="26"/>
    </row>
    <row r="2773" spans="1:12">
      <c r="A2773" s="20" t="s">
        <v>725</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row>
    <row r="2775" spans="1:12">
      <c r="A2775" s="20" t="s">
        <v>1693</v>
      </c>
    </row>
    <row r="2776" spans="1:12">
      <c r="A2776" s="20" t="s">
        <v>727</v>
      </c>
      <c r="B2776" s="27" t="s">
        <v>710</v>
      </c>
      <c r="C2776" s="27" t="s">
        <v>743</v>
      </c>
      <c r="D2776" s="27" t="s">
        <v>712</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1694</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t="s">
        <v>1013</v>
      </c>
      <c r="E2778" s="21">
        <f>IF(D2778="?OLD","!!!","")</f>
        <v/>
      </c>
      <c r="F2778" s="22" t="str">
        <f>IF(OR(E2778="",E2778="!!!"),"",IF(NOT(ISNA(VLOOKUP(E2778,E$1:E2777,1,FALSE()))),"OLD",IF(AND(E2778&lt;&gt;"",E2778&lt;&gt;"!!!"),"NEW","")))</f>
        <v> </v>
      </c>
      <c r="G2778" s="23" t="str">
        <f>IF(OR(E2778="",E2778="!!!"),"",IF(OR(J2778=0,AND(J2778=1,K2778=1),AND(J2778=1,I2778="SBJ"),AND(J2778=1,I2778=0)),"?IN_FOCUS",IF(J2778&lt;=2,"?ACTIVATED",IF(J2778&lt;&gt;"","?FAMILIAR",IF(F2778="NEW",IF(ISNA(VLOOKUP(E2778,#REF!,1,FALSE())),"?TYPE_IDENTIFIABLE","?REFERENTIAL"),"_")))))</f>
        <v> </v>
      </c>
      <c r="H2778" s="24" t="str">
        <f>IF(J2778&lt;&gt;1,"",IF(I2778="SBJ","CB","?"))</f>
        <v> </v>
      </c>
      <c r="I2778" s="25" t="str">
        <f>IF(OR(E2778="",E2778="!!!",F2778="NEW"),"",INDEX(B2777:B$2,-1+SUMPRODUCT(MAX(ROW(E2777:E$2)*(E2778=E2777:E$2)))))</f>
        <v> </v>
      </c>
      <c r="J2778" s="25" t="str">
        <f>IF(OR(E2778="",E2778="!!!",F2778="NEW"),"",COUNTBLANK(OFFSET(A$1,,,SUMPRODUCT(MAX(ROW(E$2:E2778)*(E2778=E$2:E2778)))))-COUNTBLANK(OFFSET(A$1,,,SUMPRODUCT(MAX(ROW(E$1:E2777)*(E2=E$1:E2777))))))</f>
        <v> </v>
      </c>
      <c r="K2778" s="25" t="str">
        <f>IF(OR(E2778="",E2778="!!!",F2778="NEW"),"",INDEX(J$1:J2777,SUMPRODUCT(MAX(ROW(E$1:E2777)*(E2778=E$1:E2777)))))</f>
        <v> </v>
      </c>
      <c r="L2778" s="26"/>
    </row>
    <row r="2779" spans="1:12">
      <c r="A2779" s="20" t="s">
        <v>1695</v>
      </c>
      <c r="B2779" s="27" t="s">
        <v>716</v>
      </c>
      <c r="C2779" s="27" t="s">
        <v>739</v>
      </c>
      <c r="E2779" s="21">
        <f>IF(D2779="?OLD","!!!","")</f>
        <v/>
      </c>
      <c r="F2779" s="22" t="str">
        <f>IF(OR(E2779="",E2779="!!!"),"",IF(NOT(ISNA(VLOOKUP(E2779,E$1:E2778,1,FALSE()))),"OLD",IF(AND(E2779&lt;&gt;"",E2779&lt;&gt;"!!!"),"NEW","")))</f>
        <v> </v>
      </c>
      <c r="G2779" s="23" t="str">
        <f>IF(OR(E2779="",E2779="!!!"),"",IF(OR(J2779=0,AND(J2779=1,K2779=1),AND(J2779=1,I2779="SBJ"),AND(J2779=1,I2779=0)),"?IN_FOCUS",IF(J2779&lt;=2,"?ACTIVATED",IF(J2779&lt;&gt;"","?FAMILIAR",IF(F2779="NEW",IF(ISNA(VLOOKUP(E2779,#REF!,1,FALSE())),"?TYPE_IDENTIFIABLE","?REFERENTIAL"),"_")))))</f>
        <v> </v>
      </c>
      <c r="H2779" s="24" t="str">
        <f>IF(J2779&lt;&gt;1,"",IF(I2779="SBJ","CB","?"))</f>
        <v> </v>
      </c>
      <c r="I2779" s="25" t="str">
        <f>IF(OR(E2779="",E2779="!!!",F2779="NEW"),"",INDEX(B2778:B$2,-1+SUMPRODUCT(MAX(ROW(E2778:E$2)*(E2779=E2778:E$2)))))</f>
        <v> </v>
      </c>
      <c r="J2779" s="25" t="str">
        <f>IF(OR(E2779="",E2779="!!!",F2779="NEW"),"",COUNTBLANK(OFFSET(A$1,,,SUMPRODUCT(MAX(ROW(E$2:E2779)*(E2779=E$2:E2779)))))-COUNTBLANK(OFFSET(A$1,,,SUMPRODUCT(MAX(ROW(E$1:E2778)*(E2=E$1:E2778))))))</f>
        <v> </v>
      </c>
      <c r="K2779" s="25" t="str">
        <f>IF(OR(E2779="",E2779="!!!",F2779="NEW"),"",INDEX(J$1:J2778,SUMPRODUCT(MAX(ROW(E$1:E2778)*(E2779=E$1:E2778)))))</f>
        <v> </v>
      </c>
      <c r="L2779" s="26"/>
    </row>
    <row r="2780" spans="1:12">
      <c r="A2780" s="20" t="s">
        <v>725</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row>
    <row r="2782" spans="1:12">
      <c r="A2782" s="20" t="s">
        <v>1696</v>
      </c>
    </row>
    <row r="2783" spans="1:12">
      <c r="A2783" s="20" t="s">
        <v>1048</v>
      </c>
      <c r="B2783" s="27" t="s">
        <v>710</v>
      </c>
      <c r="C2783" s="27" t="s">
        <v>842</v>
      </c>
      <c r="D2783" s="27" t="s">
        <v>712</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t="s">
        <v>748</v>
      </c>
      <c r="E2784" s="21">
        <f>IF(D2784="?OLD","!!!","")</f>
        <v/>
      </c>
      <c r="F2784" s="22" t="str">
        <f>IF(OR(E2784="",E2784="!!!"),"",IF(NOT(ISNA(VLOOKUP(E2784,E$1:E2783,1,FALSE()))),"OLD",IF(AND(E2784&lt;&gt;"",E2784&lt;&gt;"!!!"),"NEW","")))</f>
        <v> </v>
      </c>
      <c r="G2784" s="23" t="str">
        <f>IF(OR(E2784="",E2784="!!!"),"",IF(OR(J2784=0,AND(J2784=1,K2784=1),AND(J2784=1,I2784="SBJ"),AND(J2784=1,I2784=0)),"?IN_FOCUS",IF(J2784&lt;=2,"?ACTIVATED",IF(J2784&lt;&gt;"","?FAMILIAR",IF(F2784="NEW",IF(ISNA(VLOOKUP(E2784,#REF!,1,FALSE())),"?TYPE_IDENTIFIABLE","?REFERENTIAL"),"_")))))</f>
        <v> </v>
      </c>
      <c r="H2784" s="24" t="str">
        <f>IF(J2784&lt;&gt;1,"",IF(I2784="SBJ","CB","?"))</f>
        <v> </v>
      </c>
      <c r="I2784" s="25" t="str">
        <f>IF(OR(E2784="",E2784="!!!",F2784="NEW"),"",INDEX(B2783:B$2,-1+SUMPRODUCT(MAX(ROW(E2783:E$2)*(E2784=E2783:E$2)))))</f>
        <v> </v>
      </c>
      <c r="J2784" s="25" t="str">
        <f>IF(OR(E2784="",E2784="!!!",F2784="NEW"),"",COUNTBLANK(OFFSET(A$1,,,SUMPRODUCT(MAX(ROW(E$2:E2784)*(E2784=E$2:E2784)))))-COUNTBLANK(OFFSET(A$1,,,SUMPRODUCT(MAX(ROW(E$1:E2783)*(E2=E$1:E2783))))))</f>
        <v> </v>
      </c>
      <c r="K2784" s="25" t="str">
        <f>IF(OR(E2784="",E2784="!!!",F2784="NEW"),"",INDEX(J$1:J2783,SUMPRODUCT(MAX(ROW(E$1:E2783)*(E2784=E$1:E2783)))))</f>
        <v> </v>
      </c>
      <c r="L2784" s="26"/>
    </row>
    <row r="2785" spans="1:12">
      <c r="A2785" s="20" t="s">
        <v>860</v>
      </c>
      <c r="E2785" s="21">
        <f>IF(D2785="?OLD","!!!","")</f>
        <v/>
      </c>
      <c r="F2785" s="22" t="str">
        <f>IF(OR(E2785="",E2785="!!!"),"",IF(NOT(ISNA(VLOOKUP(E2785,E$1:E2784,1,FALSE()))),"OLD",IF(AND(E2785&lt;&gt;"",E2785&lt;&gt;"!!!"),"NEW","")))</f>
        <v> </v>
      </c>
      <c r="G2785" s="23" t="str">
        <f>IF(OR(E2785="",E2785="!!!"),"",IF(OR(J2785=0,AND(J2785=1,K2785=1),AND(J2785=1,I2785="SBJ"),AND(J2785=1,I2785=0)),"?IN_FOCUS",IF(J2785&lt;=2,"?ACTIVATED",IF(J2785&lt;&gt;"","?FAMILIAR",IF(F2785="NEW",IF(ISNA(VLOOKUP(E2785,#REF!,1,FALSE())),"?TYPE_IDENTIFIABLE","?REFERENTIAL"),"_")))))</f>
        <v> </v>
      </c>
      <c r="H2785" s="24" t="str">
        <f>IF(J2785&lt;&gt;1,"",IF(I2785="SBJ","CB","?"))</f>
        <v> </v>
      </c>
      <c r="I2785" s="25" t="str">
        <f>IF(OR(E2785="",E2785="!!!",F2785="NEW"),"",INDEX(B2784:B$2,-1+SUMPRODUCT(MAX(ROW(E2784:E$2)*(E2785=E2784:E$2)))))</f>
        <v> </v>
      </c>
      <c r="J2785" s="25" t="str">
        <f>IF(OR(E2785="",E2785="!!!",F2785="NEW"),"",COUNTBLANK(OFFSET(A$1,,,SUMPRODUCT(MAX(ROW(E$2:E2785)*(E2785=E$2:E2785)))))-COUNTBLANK(OFFSET(A$1,,,SUMPRODUCT(MAX(ROW(E$1:E2784)*(E2=E$1:E2784))))))</f>
        <v> </v>
      </c>
      <c r="K2785" s="25" t="str">
        <f>IF(OR(E2785="",E2785="!!!",F2785="NEW"),"",INDEX(J$1:J2784,SUMPRODUCT(MAX(ROW(E$1:E2784)*(E2785=E$1:E2784)))))</f>
        <v> </v>
      </c>
      <c r="L2785" s="26"/>
    </row>
    <row r="2786" spans="1:12">
      <c r="A2786" s="20" t="s">
        <v>936</v>
      </c>
      <c r="E2786" s="21">
        <f>IF(D2786="?OLD","!!!","")</f>
        <v/>
      </c>
      <c r="F2786" s="22" t="str">
        <f>IF(OR(E2786="",E2786="!!!"),"",IF(NOT(ISNA(VLOOKUP(E2786,E$1:E2785,1,FALSE()))),"OLD",IF(AND(E2786&lt;&gt;"",E2786&lt;&gt;"!!!"),"NEW","")))</f>
        <v> </v>
      </c>
      <c r="G2786" s="23" t="str">
        <f>IF(OR(E2786="",E2786="!!!"),"",IF(OR(J2786=0,AND(J2786=1,K2786=1),AND(J2786=1,I2786="SBJ"),AND(J2786=1,I2786=0)),"?IN_FOCUS",IF(J2786&lt;=2,"?ACTIVATED",IF(J2786&lt;&gt;"","?FAMILIAR",IF(F2786="NEW",IF(ISNA(VLOOKUP(E2786,#REF!,1,FALSE())),"?TYPE_IDENTIFIABLE","?REFERENTIAL"),"_")))))</f>
        <v> </v>
      </c>
      <c r="H2786" s="24" t="str">
        <f>IF(J2786&lt;&gt;1,"",IF(I2786="SBJ","CB","?"))</f>
        <v> </v>
      </c>
      <c r="I2786" s="25" t="str">
        <f>IF(OR(E2786="",E2786="!!!",F2786="NEW"),"",INDEX(B2785:B$2,-1+SUMPRODUCT(MAX(ROW(E2785:E$2)*(E2786=E2785:E$2)))))</f>
        <v> </v>
      </c>
      <c r="J2786" s="25" t="str">
        <f>IF(OR(E2786="",E2786="!!!",F2786="NEW"),"",COUNTBLANK(OFFSET(A$1,,,SUMPRODUCT(MAX(ROW(E$2:E2786)*(E2786=E$2:E2786)))))-COUNTBLANK(OFFSET(A$1,,,SUMPRODUCT(MAX(ROW(E$1:E2785)*(E2=E$1:E2785))))))</f>
        <v> </v>
      </c>
      <c r="K2786" s="25" t="str">
        <f>IF(OR(E2786="",E2786="!!!",F2786="NEW"),"",INDEX(J$1:J2785,SUMPRODUCT(MAX(ROW(E$1:E2785)*(E2786=E$1:E2785)))))</f>
        <v> </v>
      </c>
      <c r="L2786" s="26"/>
    </row>
    <row r="2787" spans="1:12">
      <c r="A2787" s="20" t="s">
        <v>1697</v>
      </c>
      <c r="B2787" s="27" t="s">
        <v>716</v>
      </c>
      <c r="C2787" s="27" t="s">
        <v>892</v>
      </c>
      <c r="D2787" s="27" t="s">
        <v>712</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1698</v>
      </c>
      <c r="B2788" s="27" t="s">
        <v>716</v>
      </c>
      <c r="C2788" s="27" t="s">
        <v>717</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740</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1699</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46</v>
      </c>
      <c r="B2791" s="27" t="s">
        <v>716</v>
      </c>
      <c r="C2791" s="27" t="s">
        <v>711</v>
      </c>
      <c r="D2791" s="27" t="s">
        <v>712</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718</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865</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t="s">
        <v>1025</v>
      </c>
      <c r="E2794" s="21">
        <f>IF(D2794="?OLD","!!!","")</f>
        <v/>
      </c>
      <c r="F2794" s="22" t="str">
        <f>IF(OR(E2794="",E2794="!!!"),"",IF(NOT(ISNA(VLOOKUP(E2794,E$1:E2793,1,FALSE()))),"OLD",IF(AND(E2794&lt;&gt;"",E2794&lt;&gt;"!!!"),"NEW","")))</f>
        <v> </v>
      </c>
      <c r="G2794" s="23" t="str">
        <f>IF(OR(E2794="",E2794="!!!"),"",IF(OR(J2794=0,AND(J2794=1,K2794=1),AND(J2794=1,I2794="SBJ"),AND(J2794=1,I2794=0)),"?IN_FOCUS",IF(J2794&lt;=2,"?ACTIVATED",IF(J2794&lt;&gt;"","?FAMILIAR",IF(F2794="NEW",IF(ISNA(VLOOKUP(E2794,#REF!,1,FALSE())),"?TYPE_IDENTIFIABLE","?REFERENTIAL"),"_")))))</f>
        <v> </v>
      </c>
      <c r="H2794" s="24" t="str">
        <f>IF(J2794&lt;&gt;1,"",IF(I2794="SBJ","CB","?"))</f>
        <v> </v>
      </c>
      <c r="I2794" s="25" t="str">
        <f>IF(OR(E2794="",E2794="!!!",F2794="NEW"),"",INDEX(B2793:B$2,-1+SUMPRODUCT(MAX(ROW(E2793:E$2)*(E2794=E2793:E$2)))))</f>
        <v> </v>
      </c>
      <c r="J2794" s="25" t="str">
        <f>IF(OR(E2794="",E2794="!!!",F2794="NEW"),"",COUNTBLANK(OFFSET(A$1,,,SUMPRODUCT(MAX(ROW(E$2:E2794)*(E2794=E$2:E2794)))))-COUNTBLANK(OFFSET(A$1,,,SUMPRODUCT(MAX(ROW(E$1:E2793)*(E2=E$1:E2793))))))</f>
        <v> </v>
      </c>
      <c r="K2794" s="25" t="str">
        <f>IF(OR(E2794="",E2794="!!!",F2794="NEW"),"",INDEX(J$1:J2793,SUMPRODUCT(MAX(ROW(E$1:E2793)*(E2794=E$1:E2793)))))</f>
        <v> </v>
      </c>
      <c r="L2794" s="26"/>
    </row>
    <row r="2795" spans="1:12">
      <c r="A2795" s="20" t="s">
        <v>1050</v>
      </c>
      <c r="E2795" s="21">
        <f>IF(D2795="?OLD","!!!","")</f>
        <v/>
      </c>
      <c r="F2795" s="22" t="str">
        <f>IF(OR(E2795="",E2795="!!!"),"",IF(NOT(ISNA(VLOOKUP(E2795,E$1:E2794,1,FALSE()))),"OLD",IF(AND(E2795&lt;&gt;"",E2795&lt;&gt;"!!!"),"NEW","")))</f>
        <v> </v>
      </c>
      <c r="G2795" s="23" t="str">
        <f>IF(OR(E2795="",E2795="!!!"),"",IF(OR(J2795=0,AND(J2795=1,K2795=1),AND(J2795=1,I2795="SBJ"),AND(J2795=1,I2795=0)),"?IN_FOCUS",IF(J2795&lt;=2,"?ACTIVATED",IF(J2795&lt;&gt;"","?FAMILIAR",IF(F2795="NEW",IF(ISNA(VLOOKUP(E2795,#REF!,1,FALSE())),"?TYPE_IDENTIFIABLE","?REFERENTIAL"),"_")))))</f>
        <v> </v>
      </c>
      <c r="H2795" s="24" t="str">
        <f>IF(J2795&lt;&gt;1,"",IF(I2795="SBJ","CB","?"))</f>
        <v> </v>
      </c>
      <c r="I2795" s="25" t="str">
        <f>IF(OR(E2795="",E2795="!!!",F2795="NEW"),"",INDEX(B2794:B$2,-1+SUMPRODUCT(MAX(ROW(E2794:E$2)*(E2795=E2794:E$2)))))</f>
        <v> </v>
      </c>
      <c r="J2795" s="25" t="str">
        <f>IF(OR(E2795="",E2795="!!!",F2795="NEW"),"",COUNTBLANK(OFFSET(A$1,,,SUMPRODUCT(MAX(ROW(E$2:E2795)*(E2795=E$2:E2795)))))-COUNTBLANK(OFFSET(A$1,,,SUMPRODUCT(MAX(ROW(E$1:E2794)*(E2=E$1:E2794))))))</f>
        <v> </v>
      </c>
      <c r="K2795" s="25" t="str">
        <f>IF(OR(E2795="",E2795="!!!",F2795="NEW"),"",INDEX(J$1:J2794,SUMPRODUCT(MAX(ROW(E$1:E2794)*(E2795=E$1:E2794)))))</f>
        <v> </v>
      </c>
      <c r="L2795" s="26"/>
    </row>
    <row r="2796" spans="1:12">
      <c r="A2796" s="20" t="s">
        <v>714</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t="s">
        <v>1700</v>
      </c>
      <c r="B2797" s="27" t="s">
        <v>731</v>
      </c>
      <c r="C2797" s="27" t="s">
        <v>717</v>
      </c>
      <c r="E2797" s="21">
        <f>IF(D2797="?OLD","!!!","")</f>
        <v/>
      </c>
      <c r="F2797" s="22" t="str">
        <f>IF(OR(E2797="",E2797="!!!"),"",IF(NOT(ISNA(VLOOKUP(E2797,E$1:E2796,1,FALSE()))),"OLD",IF(AND(E2797&lt;&gt;"",E2797&lt;&gt;"!!!"),"NEW","")))</f>
        <v> </v>
      </c>
      <c r="G2797" s="23" t="str">
        <f>IF(OR(E2797="",E2797="!!!"),"",IF(OR(J2797=0,AND(J2797=1,K2797=1),AND(J2797=1,I2797="SBJ"),AND(J2797=1,I2797=0)),"?IN_FOCUS",IF(J2797&lt;=2,"?ACTIVATED",IF(J2797&lt;&gt;"","?FAMILIAR",IF(F2797="NEW",IF(ISNA(VLOOKUP(E2797,#REF!,1,FALSE())),"?TYPE_IDENTIFIABLE","?REFERENTIAL"),"_")))))</f>
        <v> </v>
      </c>
      <c r="H2797" s="24" t="str">
        <f>IF(J2797&lt;&gt;1,"",IF(I2797="SBJ","CB","?"))</f>
        <v> </v>
      </c>
      <c r="I2797" s="25" t="str">
        <f>IF(OR(E2797="",E2797="!!!",F2797="NEW"),"",INDEX(B2796:B$2,-1+SUMPRODUCT(MAX(ROW(E2796:E$2)*(E2797=E2796:E$2)))))</f>
        <v> </v>
      </c>
      <c r="J2797" s="25" t="str">
        <f>IF(OR(E2797="",E2797="!!!",F2797="NEW"),"",COUNTBLANK(OFFSET(A$1,,,SUMPRODUCT(MAX(ROW(E$2:E2797)*(E2797=E$2:E2797)))))-COUNTBLANK(OFFSET(A$1,,,SUMPRODUCT(MAX(ROW(E$1:E2796)*(E2=E$1:E2796))))))</f>
        <v> </v>
      </c>
      <c r="K2797" s="25" t="str">
        <f>IF(OR(E2797="",E2797="!!!",F2797="NEW"),"",INDEX(J$1:J2796,SUMPRODUCT(MAX(ROW(E$1:E2796)*(E2797=E$1:E2796)))))</f>
        <v> </v>
      </c>
      <c r="L2797" s="26"/>
    </row>
    <row r="2798" spans="1:12">
      <c r="A2798" s="20" t="s">
        <v>1701</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t="s">
        <v>714</v>
      </c>
      <c r="E2799" s="21">
        <f>IF(D2799="?OLD","!!!","")</f>
        <v/>
      </c>
      <c r="F2799" s="22" t="str">
        <f>IF(OR(E2799="",E2799="!!!"),"",IF(NOT(ISNA(VLOOKUP(E2799,E$1:E2798,1,FALSE()))),"OLD",IF(AND(E2799&lt;&gt;"",E2799&lt;&gt;"!!!"),"NEW","")))</f>
        <v> </v>
      </c>
      <c r="G2799" s="23" t="str">
        <f>IF(OR(E2799="",E2799="!!!"),"",IF(OR(J2799=0,AND(J2799=1,K2799=1),AND(J2799=1,I2799="SBJ"),AND(J2799=1,I2799=0)),"?IN_FOCUS",IF(J2799&lt;=2,"?ACTIVATED",IF(J2799&lt;&gt;"","?FAMILIAR",IF(F2799="NEW",IF(ISNA(VLOOKUP(E2799,#REF!,1,FALSE())),"?TYPE_IDENTIFIABLE","?REFERENTIAL"),"_")))))</f>
        <v> </v>
      </c>
      <c r="H2799" s="24" t="str">
        <f>IF(J2799&lt;&gt;1,"",IF(I2799="SBJ","CB","?"))</f>
        <v> </v>
      </c>
      <c r="I2799" s="25" t="str">
        <f>IF(OR(E2799="",E2799="!!!",F2799="NEW"),"",INDEX(B2798:B$2,-1+SUMPRODUCT(MAX(ROW(E2798:E$2)*(E2799=E2798:E$2)))))</f>
        <v> </v>
      </c>
      <c r="J2799" s="25" t="str">
        <f>IF(OR(E2799="",E2799="!!!",F2799="NEW"),"",COUNTBLANK(OFFSET(A$1,,,SUMPRODUCT(MAX(ROW(E$2:E2799)*(E2799=E$2:E2799)))))-COUNTBLANK(OFFSET(A$1,,,SUMPRODUCT(MAX(ROW(E$1:E2798)*(E2=E$1:E2798))))))</f>
        <v> </v>
      </c>
      <c r="K2799" s="25" t="str">
        <f>IF(OR(E2799="",E2799="!!!",F2799="NEW"),"",INDEX(J$1:J2798,SUMPRODUCT(MAX(ROW(E$1:E2798)*(E2799=E$1:E2798)))))</f>
        <v> </v>
      </c>
      <c r="L2799" s="26"/>
    </row>
    <row r="2800" spans="1:12">
      <c r="A2800" s="20" t="s">
        <v>1702</v>
      </c>
      <c r="B2800" s="27" t="s">
        <v>731</v>
      </c>
      <c r="C2800" s="27" t="s">
        <v>761</v>
      </c>
      <c r="D2800" s="27" t="s">
        <v>712</v>
      </c>
      <c r="E2800" s="21">
        <f>IF(D2800="?OLD","!!!","")</f>
        <v/>
      </c>
      <c r="F2800" s="22" t="str">
        <f>IF(OR(E2800="",E2800="!!!"),"",IF(NOT(ISNA(VLOOKUP(E2800,E$1:E2799,1,FALSE()))),"OLD",IF(AND(E2800&lt;&gt;"",E2800&lt;&gt;"!!!"),"NEW","")))</f>
        <v> </v>
      </c>
      <c r="G2800" s="23" t="str">
        <f>IF(OR(E2800="",E2800="!!!"),"",IF(OR(J2800=0,AND(J2800=1,K2800=1),AND(J2800=1,I2800="SBJ"),AND(J2800=1,I2800=0)),"?IN_FOCUS",IF(J2800&lt;=2,"?ACTIVATED",IF(J2800&lt;&gt;"","?FAMILIAR",IF(F2800="NEW",IF(ISNA(VLOOKUP(E2800,#REF!,1,FALSE())),"?TYPE_IDENTIFIABLE","?REFERENTIAL"),"_")))))</f>
        <v> </v>
      </c>
      <c r="H2800" s="24" t="str">
        <f>IF(J2800&lt;&gt;1,"",IF(I2800="SBJ","CB","?"))</f>
        <v> </v>
      </c>
      <c r="I2800" s="25" t="str">
        <f>IF(OR(E2800="",E2800="!!!",F2800="NEW"),"",INDEX(B2799:B$2,-1+SUMPRODUCT(MAX(ROW(E2799:E$2)*(E2800=E2799:E$2)))))</f>
        <v> </v>
      </c>
      <c r="J2800" s="25" t="str">
        <f>IF(OR(E2800="",E2800="!!!",F2800="NEW"),"",COUNTBLANK(OFFSET(A$1,,,SUMPRODUCT(MAX(ROW(E$2:E2800)*(E2800=E$2:E2800)))))-COUNTBLANK(OFFSET(A$1,,,SUMPRODUCT(MAX(ROW(E$1:E2799)*(E2=E$1:E2799))))))</f>
        <v> </v>
      </c>
      <c r="K2800" s="25" t="str">
        <f>IF(OR(E2800="",E2800="!!!",F2800="NEW"),"",INDEX(J$1:J2799,SUMPRODUCT(MAX(ROW(E$1:E2799)*(E2800=E$1:E2799)))))</f>
        <v> </v>
      </c>
      <c r="L2800" s="26"/>
    </row>
    <row r="2801" spans="1:12">
      <c r="A2801" s="20" t="s">
        <v>718</v>
      </c>
      <c r="E2801" s="21">
        <f>IF(D2801="?OLD","!!!","")</f>
        <v/>
      </c>
      <c r="F2801" s="22" t="str">
        <f>IF(OR(E2801="",E2801="!!!"),"",IF(NOT(ISNA(VLOOKUP(E2801,E$1:E2800,1,FALSE()))),"OLD",IF(AND(E2801&lt;&gt;"",E2801&lt;&gt;"!!!"),"NEW","")))</f>
        <v> </v>
      </c>
      <c r="G2801" s="23" t="str">
        <f>IF(OR(E2801="",E2801="!!!"),"",IF(OR(J2801=0,AND(J2801=1,K2801=1),AND(J2801=1,I2801="SBJ"),AND(J2801=1,I2801=0)),"?IN_FOCUS",IF(J2801&lt;=2,"?ACTIVATED",IF(J2801&lt;&gt;"","?FAMILIAR",IF(F2801="NEW",IF(ISNA(VLOOKUP(E2801,#REF!,1,FALSE())),"?TYPE_IDENTIFIABLE","?REFERENTIAL"),"_")))))</f>
        <v> </v>
      </c>
      <c r="H2801" s="24" t="str">
        <f>IF(J2801&lt;&gt;1,"",IF(I2801="SBJ","CB","?"))</f>
        <v> </v>
      </c>
      <c r="I2801" s="25" t="str">
        <f>IF(OR(E2801="",E2801="!!!",F2801="NEW"),"",INDEX(B2800:B$2,-1+SUMPRODUCT(MAX(ROW(E2800:E$2)*(E2801=E2800:E$2)))))</f>
        <v> </v>
      </c>
      <c r="J2801" s="25" t="str">
        <f>IF(OR(E2801="",E2801="!!!",F2801="NEW"),"",COUNTBLANK(OFFSET(A$1,,,SUMPRODUCT(MAX(ROW(E$2:E2801)*(E2801=E$2:E2801)))))-COUNTBLANK(OFFSET(A$1,,,SUMPRODUCT(MAX(ROW(E$1:E2800)*(E2=E$1:E2800))))))</f>
        <v> </v>
      </c>
      <c r="K2801" s="25" t="str">
        <f>IF(OR(E2801="",E2801="!!!",F2801="NEW"),"",INDEX(J$1:J2800,SUMPRODUCT(MAX(ROW(E$1:E2800)*(E2801=E$1:E2800)))))</f>
        <v> </v>
      </c>
      <c r="L2801" s="26"/>
    </row>
    <row r="2802" spans="1:12">
      <c r="A2802" s="20" t="s">
        <v>1703</v>
      </c>
      <c r="B2802" s="27" t="s">
        <v>724</v>
      </c>
      <c r="C2802" s="27" t="s">
        <v>761</v>
      </c>
      <c r="D2802" s="27" t="s">
        <v>712</v>
      </c>
      <c r="E2802" s="21">
        <f>IF(D2802="?OLD","!!!","")</f>
        <v/>
      </c>
      <c r="F2802" s="22" t="str">
        <f>IF(OR(E2802="",E2802="!!!"),"",IF(NOT(ISNA(VLOOKUP(E2802,E$1:E2801,1,FALSE()))),"OLD",IF(AND(E2802&lt;&gt;"",E2802&lt;&gt;"!!!"),"NEW","")))</f>
        <v> </v>
      </c>
      <c r="G2802" s="23" t="str">
        <f>IF(OR(E2802="",E2802="!!!"),"",IF(OR(J2802=0,AND(J2802=1,K2802=1),AND(J2802=1,I2802="SBJ"),AND(J2802=1,I2802=0)),"?IN_FOCUS",IF(J2802&lt;=2,"?ACTIVATED",IF(J2802&lt;&gt;"","?FAMILIAR",IF(F2802="NEW",IF(ISNA(VLOOKUP(E2802,#REF!,1,FALSE())),"?TYPE_IDENTIFIABLE","?REFERENTIAL"),"_")))))</f>
        <v> </v>
      </c>
      <c r="H2802" s="24" t="str">
        <f>IF(J2802&lt;&gt;1,"",IF(I2802="SBJ","CB","?"))</f>
        <v> </v>
      </c>
      <c r="I2802" s="25" t="str">
        <f>IF(OR(E2802="",E2802="!!!",F2802="NEW"),"",INDEX(B2801:B$2,-1+SUMPRODUCT(MAX(ROW(E2801:E$2)*(E2802=E2801:E$2)))))</f>
        <v> </v>
      </c>
      <c r="J2802" s="25" t="str">
        <f>IF(OR(E2802="",E2802="!!!",F2802="NEW"),"",COUNTBLANK(OFFSET(A$1,,,SUMPRODUCT(MAX(ROW(E$2:E2802)*(E2802=E$2:E2802)))))-COUNTBLANK(OFFSET(A$1,,,SUMPRODUCT(MAX(ROW(E$1:E2801)*(E2=E$1:E2801))))))</f>
        <v> </v>
      </c>
      <c r="K2802" s="25" t="str">
        <f>IF(OR(E2802="",E2802="!!!",F2802="NEW"),"",INDEX(J$1:J2801,SUMPRODUCT(MAX(ROW(E$1:E2801)*(E2802=E$1:E2801)))))</f>
        <v> </v>
      </c>
      <c r="L2802" s="26"/>
    </row>
    <row r="2803" spans="1:12">
      <c r="A2803" s="20" t="s">
        <v>718</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t="s">
        <v>714</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t="s">
        <v>1704</v>
      </c>
      <c r="B2805" s="27" t="s">
        <v>724</v>
      </c>
      <c r="C2805" s="27" t="s">
        <v>761</v>
      </c>
      <c r="D2805" s="27" t="s">
        <v>712</v>
      </c>
      <c r="E2805" s="21">
        <f>IF(D2805="?OLD","!!!","")</f>
        <v/>
      </c>
      <c r="F2805" s="22" t="str">
        <f>IF(OR(E2805="",E2805="!!!"),"",IF(NOT(ISNA(VLOOKUP(E2805,E$1:E2804,1,FALSE()))),"OLD",IF(AND(E2805&lt;&gt;"",E2805&lt;&gt;"!!!"),"NEW","")))</f>
        <v> </v>
      </c>
      <c r="G2805" s="23" t="str">
        <f>IF(OR(E2805="",E2805="!!!"),"",IF(OR(J2805=0,AND(J2805=1,K2805=1),AND(J2805=1,I2805="SBJ"),AND(J2805=1,I2805=0)),"?IN_FOCUS",IF(J2805&lt;=2,"?ACTIVATED",IF(J2805&lt;&gt;"","?FAMILIAR",IF(F2805="NEW",IF(ISNA(VLOOKUP(E2805,#REF!,1,FALSE())),"?TYPE_IDENTIFIABLE","?REFERENTIAL"),"_")))))</f>
        <v> </v>
      </c>
      <c r="H2805" s="24" t="str">
        <f>IF(J2805&lt;&gt;1,"",IF(I2805="SBJ","CB","?"))</f>
        <v> </v>
      </c>
      <c r="I2805" s="25" t="str">
        <f>IF(OR(E2805="",E2805="!!!",F2805="NEW"),"",INDEX(B2804:B$2,-1+SUMPRODUCT(MAX(ROW(E2804:E$2)*(E2805=E2804:E$2)))))</f>
        <v> </v>
      </c>
      <c r="J2805" s="25" t="str">
        <f>IF(OR(E2805="",E2805="!!!",F2805="NEW"),"",COUNTBLANK(OFFSET(A$1,,,SUMPRODUCT(MAX(ROW(E$2:E2805)*(E2805=E$2:E2805)))))-COUNTBLANK(OFFSET(A$1,,,SUMPRODUCT(MAX(ROW(E$1:E2804)*(E2=E$1:E2804))))))</f>
        <v> </v>
      </c>
      <c r="K2805" s="25" t="str">
        <f>IF(OR(E2805="",E2805="!!!",F2805="NEW"),"",INDEX(J$1:J2804,SUMPRODUCT(MAX(ROW(E$1:E2804)*(E2805=E$1:E2804)))))</f>
        <v> </v>
      </c>
      <c r="L2805" s="26"/>
    </row>
    <row r="2806" spans="1:12">
      <c r="A2806" s="20" t="s">
        <v>718</v>
      </c>
      <c r="E2806" s="21">
        <f>IF(D2806="?OLD","!!!","")</f>
        <v/>
      </c>
      <c r="F2806" s="22" t="str">
        <f>IF(OR(E2806="",E2806="!!!"),"",IF(NOT(ISNA(VLOOKUP(E2806,E$1:E2805,1,FALSE()))),"OLD",IF(AND(E2806&lt;&gt;"",E2806&lt;&gt;"!!!"),"NEW","")))</f>
        <v> </v>
      </c>
      <c r="G2806" s="23" t="str">
        <f>IF(OR(E2806="",E2806="!!!"),"",IF(OR(J2806=0,AND(J2806=1,K2806=1),AND(J2806=1,I2806="SBJ"),AND(J2806=1,I2806=0)),"?IN_FOCUS",IF(J2806&lt;=2,"?ACTIVATED",IF(J2806&lt;&gt;"","?FAMILIAR",IF(F2806="NEW",IF(ISNA(VLOOKUP(E2806,#REF!,1,FALSE())),"?TYPE_IDENTIFIABLE","?REFERENTIAL"),"_")))))</f>
        <v> </v>
      </c>
      <c r="H2806" s="24" t="str">
        <f>IF(J2806&lt;&gt;1,"",IF(I2806="SBJ","CB","?"))</f>
        <v> </v>
      </c>
      <c r="I2806" s="25" t="str">
        <f>IF(OR(E2806="",E2806="!!!",F2806="NEW"),"",INDEX(B2805:B$2,-1+SUMPRODUCT(MAX(ROW(E2805:E$2)*(E2806=E2805:E$2)))))</f>
        <v> </v>
      </c>
      <c r="J2806" s="25" t="str">
        <f>IF(OR(E2806="",E2806="!!!",F2806="NEW"),"",COUNTBLANK(OFFSET(A$1,,,SUMPRODUCT(MAX(ROW(E$2:E2806)*(E2806=E$2:E2806)))))-COUNTBLANK(OFFSET(A$1,,,SUMPRODUCT(MAX(ROW(E$1:E2805)*(E2=E$1:E2805))))))</f>
        <v> </v>
      </c>
      <c r="K2806" s="25" t="str">
        <f>IF(OR(E2806="",E2806="!!!",F2806="NEW"),"",INDEX(J$1:J2805,SUMPRODUCT(MAX(ROW(E$1:E2805)*(E2806=E$1:E2805)))))</f>
        <v> </v>
      </c>
      <c r="L2806" s="26"/>
    </row>
    <row r="2807" spans="1:12">
      <c r="A2807" s="20" t="s">
        <v>714</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t="s">
        <v>1705</v>
      </c>
      <c r="B2808" s="27" t="s">
        <v>724</v>
      </c>
      <c r="C2808" s="27" t="s">
        <v>761</v>
      </c>
      <c r="D2808" s="27" t="s">
        <v>712</v>
      </c>
      <c r="E2808" s="21">
        <f>IF(D2808="?OLD","!!!","")</f>
        <v/>
      </c>
      <c r="F2808" s="22" t="str">
        <f>IF(OR(E2808="",E2808="!!!"),"",IF(NOT(ISNA(VLOOKUP(E2808,E$1:E2807,1,FALSE()))),"OLD",IF(AND(E2808&lt;&gt;"",E2808&lt;&gt;"!!!"),"NEW","")))</f>
        <v> </v>
      </c>
      <c r="G2808" s="23" t="str">
        <f>IF(OR(E2808="",E2808="!!!"),"",IF(OR(J2808=0,AND(J2808=1,K2808=1),AND(J2808=1,I2808="SBJ"),AND(J2808=1,I2808=0)),"?IN_FOCUS",IF(J2808&lt;=2,"?ACTIVATED",IF(J2808&lt;&gt;"","?FAMILIAR",IF(F2808="NEW",IF(ISNA(VLOOKUP(E2808,#REF!,1,FALSE())),"?TYPE_IDENTIFIABLE","?REFERENTIAL"),"_")))))</f>
        <v> </v>
      </c>
      <c r="H2808" s="24" t="str">
        <f>IF(J2808&lt;&gt;1,"",IF(I2808="SBJ","CB","?"))</f>
        <v> </v>
      </c>
      <c r="I2808" s="25" t="str">
        <f>IF(OR(E2808="",E2808="!!!",F2808="NEW"),"",INDEX(B2807:B$2,-1+SUMPRODUCT(MAX(ROW(E2807:E$2)*(E2808=E2807:E$2)))))</f>
        <v> </v>
      </c>
      <c r="J2808" s="25" t="str">
        <f>IF(OR(E2808="",E2808="!!!",F2808="NEW"),"",COUNTBLANK(OFFSET(A$1,,,SUMPRODUCT(MAX(ROW(E$2:E2808)*(E2808=E$2:E2808)))))-COUNTBLANK(OFFSET(A$1,,,SUMPRODUCT(MAX(ROW(E$1:E2807)*(E2=E$1:E2807))))))</f>
        <v> </v>
      </c>
      <c r="K2808" s="25" t="str">
        <f>IF(OR(E2808="",E2808="!!!",F2808="NEW"),"",INDEX(J$1:J2807,SUMPRODUCT(MAX(ROW(E$1:E2807)*(E2808=E$1:E2807)))))</f>
        <v> </v>
      </c>
      <c r="L2808" s="26"/>
    </row>
    <row r="2809" spans="1:12">
      <c r="A2809" s="20" t="s">
        <v>764</v>
      </c>
      <c r="E2809" s="21">
        <f>IF(D2809="?OLD","!!!","")</f>
        <v/>
      </c>
      <c r="F2809" s="22" t="str">
        <f>IF(OR(E2809="",E2809="!!!"),"",IF(NOT(ISNA(VLOOKUP(E2809,E$1:E2808,1,FALSE()))),"OLD",IF(AND(E2809&lt;&gt;"",E2809&lt;&gt;"!!!"),"NEW","")))</f>
        <v> </v>
      </c>
      <c r="G2809" s="23" t="str">
        <f>IF(OR(E2809="",E2809="!!!"),"",IF(OR(J2809=0,AND(J2809=1,K2809=1),AND(J2809=1,I2809="SBJ"),AND(J2809=1,I2809=0)),"?IN_FOCUS",IF(J2809&lt;=2,"?ACTIVATED",IF(J2809&lt;&gt;"","?FAMILIAR",IF(F2809="NEW",IF(ISNA(VLOOKUP(E2809,#REF!,1,FALSE())),"?TYPE_IDENTIFIABLE","?REFERENTIAL"),"_")))))</f>
        <v> </v>
      </c>
      <c r="H2809" s="24" t="str">
        <f>IF(J2809&lt;&gt;1,"",IF(I2809="SBJ","CB","?"))</f>
        <v> </v>
      </c>
      <c r="I2809" s="25" t="str">
        <f>IF(OR(E2809="",E2809="!!!",F2809="NEW"),"",INDEX(B2808:B$2,-1+SUMPRODUCT(MAX(ROW(E2808:E$2)*(E2809=E2808:E$2)))))</f>
        <v> </v>
      </c>
      <c r="J2809" s="25" t="str">
        <f>IF(OR(E2809="",E2809="!!!",F2809="NEW"),"",COUNTBLANK(OFFSET(A$1,,,SUMPRODUCT(MAX(ROW(E$2:E2809)*(E2809=E$2:E2809)))))-COUNTBLANK(OFFSET(A$1,,,SUMPRODUCT(MAX(ROW(E$1:E2808)*(E2=E$1:E2808))))))</f>
        <v> </v>
      </c>
      <c r="K2809" s="25" t="str">
        <f>IF(OR(E2809="",E2809="!!!",F2809="NEW"),"",INDEX(J$1:J2808,SUMPRODUCT(MAX(ROW(E$1:E2808)*(E2809=E$1:E2808)))))</f>
        <v> </v>
      </c>
      <c r="L2809" s="26"/>
    </row>
    <row r="2810" spans="1:12">
      <c r="A2810" s="20" t="s">
        <v>714</v>
      </c>
      <c r="E2810" s="21">
        <f>IF(D2810="?OLD","!!!","")</f>
        <v/>
      </c>
      <c r="F2810" s="22" t="str">
        <f>IF(OR(E2810="",E2810="!!!"),"",IF(NOT(ISNA(VLOOKUP(E2810,E$1:E2809,1,FALSE()))),"OLD",IF(AND(E2810&lt;&gt;"",E2810&lt;&gt;"!!!"),"NEW","")))</f>
        <v> </v>
      </c>
      <c r="G2810" s="23" t="str">
        <f>IF(OR(E2810="",E2810="!!!"),"",IF(OR(J2810=0,AND(J2810=1,K2810=1),AND(J2810=1,I2810="SBJ"),AND(J2810=1,I2810=0)),"?IN_FOCUS",IF(J2810&lt;=2,"?ACTIVATED",IF(J2810&lt;&gt;"","?FAMILIAR",IF(F2810="NEW",IF(ISNA(VLOOKUP(E2810,#REF!,1,FALSE())),"?TYPE_IDENTIFIABLE","?REFERENTIAL"),"_")))))</f>
        <v> </v>
      </c>
      <c r="H2810" s="24" t="str">
        <f>IF(J2810&lt;&gt;1,"",IF(I2810="SBJ","CB","?"))</f>
        <v> </v>
      </c>
      <c r="I2810" s="25" t="str">
        <f>IF(OR(E2810="",E2810="!!!",F2810="NEW"),"",INDEX(B2809:B$2,-1+SUMPRODUCT(MAX(ROW(E2809:E$2)*(E2810=E2809:E$2)))))</f>
        <v> </v>
      </c>
      <c r="J2810" s="25" t="str">
        <f>IF(OR(E2810="",E2810="!!!",F2810="NEW"),"",COUNTBLANK(OFFSET(A$1,,,SUMPRODUCT(MAX(ROW(E$2:E2810)*(E2810=E$2:E2810)))))-COUNTBLANK(OFFSET(A$1,,,SUMPRODUCT(MAX(ROW(E$1:E2809)*(E2=E$1:E2809))))))</f>
        <v> </v>
      </c>
      <c r="K2810" s="25" t="str">
        <f>IF(OR(E2810="",E2810="!!!",F2810="NEW"),"",INDEX(J$1:J2809,SUMPRODUCT(MAX(ROW(E$1:E2809)*(E2810=E$1:E2809)))))</f>
        <v> </v>
      </c>
      <c r="L2810" s="26"/>
    </row>
    <row r="2811" spans="1:12">
      <c r="A2811" s="20" t="s">
        <v>1287</v>
      </c>
      <c r="B2811" s="27" t="s">
        <v>724</v>
      </c>
      <c r="C2811" s="27" t="s">
        <v>761</v>
      </c>
      <c r="D2811" s="27" t="s">
        <v>712</v>
      </c>
      <c r="E2811" s="21">
        <f>IF(D2811="?OLD","!!!","")</f>
        <v/>
      </c>
      <c r="F2811" s="22" t="str">
        <f>IF(OR(E2811="",E2811="!!!"),"",IF(NOT(ISNA(VLOOKUP(E2811,E$1:E2810,1,FALSE()))),"OLD",IF(AND(E2811&lt;&gt;"",E2811&lt;&gt;"!!!"),"NEW","")))</f>
        <v> </v>
      </c>
      <c r="G2811" s="23" t="str">
        <f>IF(OR(E2811="",E2811="!!!"),"",IF(OR(J2811=0,AND(J2811=1,K2811=1),AND(J2811=1,I2811="SBJ"),AND(J2811=1,I2811=0)),"?IN_FOCUS",IF(J2811&lt;=2,"?ACTIVATED",IF(J2811&lt;&gt;"","?FAMILIAR",IF(F2811="NEW",IF(ISNA(VLOOKUP(E2811,#REF!,1,FALSE())),"?TYPE_IDENTIFIABLE","?REFERENTIAL"),"_")))))</f>
        <v> </v>
      </c>
      <c r="H2811" s="24" t="str">
        <f>IF(J2811&lt;&gt;1,"",IF(I2811="SBJ","CB","?"))</f>
        <v> </v>
      </c>
      <c r="I2811" s="25" t="str">
        <f>IF(OR(E2811="",E2811="!!!",F2811="NEW"),"",INDEX(B2810:B$2,-1+SUMPRODUCT(MAX(ROW(E2810:E$2)*(E2811=E2810:E$2)))))</f>
        <v> </v>
      </c>
      <c r="J2811" s="25" t="str">
        <f>IF(OR(E2811="",E2811="!!!",F2811="NEW"),"",COUNTBLANK(OFFSET(A$1,,,SUMPRODUCT(MAX(ROW(E$2:E2811)*(E2811=E$2:E2811)))))-COUNTBLANK(OFFSET(A$1,,,SUMPRODUCT(MAX(ROW(E$1:E2810)*(E2=E$1:E2810))))))</f>
        <v> </v>
      </c>
      <c r="K2811" s="25" t="str">
        <f>IF(OR(E2811="",E2811="!!!",F2811="NEW"),"",INDEX(J$1:J2810,SUMPRODUCT(MAX(ROW(E$1:E2810)*(E2811=E$1:E2810)))))</f>
        <v> </v>
      </c>
      <c r="L2811" s="26"/>
    </row>
    <row r="2812" spans="1:12">
      <c r="A2812" s="20" t="s">
        <v>1288</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t="s">
        <v>725</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row>
    <row r="2815" spans="1:12">
      <c r="A2815" s="20" t="s">
        <v>1706</v>
      </c>
    </row>
    <row r="2816" spans="1:12">
      <c r="A2816" s="20" t="s">
        <v>315</v>
      </c>
      <c r="B2816" s="27" t="s">
        <v>710</v>
      </c>
      <c r="C2816" s="27" t="s">
        <v>717</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t="s">
        <v>666</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t="s">
        <v>1050</v>
      </c>
      <c r="E2818" s="21">
        <f>IF(D2818="?OLD","!!!","")</f>
        <v/>
      </c>
      <c r="F2818" s="22" t="str">
        <f>IF(OR(E2818="",E2818="!!!"),"",IF(NOT(ISNA(VLOOKUP(E2818,E$1:E2817,1,FALSE()))),"OLD",IF(AND(E2818&lt;&gt;"",E2818&lt;&gt;"!!!"),"NEW","")))</f>
        <v> </v>
      </c>
      <c r="G2818" s="23" t="str">
        <f>IF(OR(E2818="",E2818="!!!"),"",IF(OR(J2818=0,AND(J2818=1,K2818=1),AND(J2818=1,I2818="SBJ"),AND(J2818=1,I2818=0)),"?IN_FOCUS",IF(J2818&lt;=2,"?ACTIVATED",IF(J2818&lt;&gt;"","?FAMILIAR",IF(F2818="NEW",IF(ISNA(VLOOKUP(E2818,#REF!,1,FALSE())),"?TYPE_IDENTIFIABLE","?REFERENTIAL"),"_")))))</f>
        <v> </v>
      </c>
      <c r="H2818" s="24" t="str">
        <f>IF(J2818&lt;&gt;1,"",IF(I2818="SBJ","CB","?"))</f>
        <v> </v>
      </c>
      <c r="I2818" s="25" t="str">
        <f>IF(OR(E2818="",E2818="!!!",F2818="NEW"),"",INDEX(B2817:B$2,-1+SUMPRODUCT(MAX(ROW(E2817:E$2)*(E2818=E2817:E$2)))))</f>
        <v> </v>
      </c>
      <c r="J2818" s="25" t="str">
        <f>IF(OR(E2818="",E2818="!!!",F2818="NEW"),"",COUNTBLANK(OFFSET(A$1,,,SUMPRODUCT(MAX(ROW(E$2:E2818)*(E2818=E$2:E2818)))))-COUNTBLANK(OFFSET(A$1,,,SUMPRODUCT(MAX(ROW(E$1:E2817)*(E2=E$1:E2817))))))</f>
        <v> </v>
      </c>
      <c r="K2818" s="25" t="str">
        <f>IF(OR(E2818="",E2818="!!!",F2818="NEW"),"",INDEX(J$1:J2817,SUMPRODUCT(MAX(ROW(E$1:E2817)*(E2818=E$1:E2817)))))</f>
        <v> </v>
      </c>
      <c r="L2818" s="26"/>
    </row>
    <row r="2819" spans="1:12">
      <c r="A2819" s="20" t="s">
        <v>718</v>
      </c>
      <c r="E2819" s="21">
        <f>IF(D2819="?OLD","!!!","")</f>
        <v/>
      </c>
      <c r="F2819" s="22" t="str">
        <f>IF(OR(E2819="",E2819="!!!"),"",IF(NOT(ISNA(VLOOKUP(E2819,E$1:E2818,1,FALSE()))),"OLD",IF(AND(E2819&lt;&gt;"",E2819&lt;&gt;"!!!"),"NEW","")))</f>
        <v> </v>
      </c>
      <c r="G2819" s="23" t="str">
        <f>IF(OR(E2819="",E2819="!!!"),"",IF(OR(J2819=0,AND(J2819=1,K2819=1),AND(J2819=1,I2819="SBJ"),AND(J2819=1,I2819=0)),"?IN_FOCUS",IF(J2819&lt;=2,"?ACTIVATED",IF(J2819&lt;&gt;"","?FAMILIAR",IF(F2819="NEW",IF(ISNA(VLOOKUP(E2819,#REF!,1,FALSE())),"?TYPE_IDENTIFIABLE","?REFERENTIAL"),"_")))))</f>
        <v> </v>
      </c>
      <c r="H2819" s="24" t="str">
        <f>IF(J2819&lt;&gt;1,"",IF(I2819="SBJ","CB","?"))</f>
        <v> </v>
      </c>
      <c r="I2819" s="25" t="str">
        <f>IF(OR(E2819="",E2819="!!!",F2819="NEW"),"",INDEX(B2818:B$2,-1+SUMPRODUCT(MAX(ROW(E2818:E$2)*(E2819=E2818:E$2)))))</f>
        <v> </v>
      </c>
      <c r="J2819" s="25" t="str">
        <f>IF(OR(E2819="",E2819="!!!",F2819="NEW"),"",COUNTBLANK(OFFSET(A$1,,,SUMPRODUCT(MAX(ROW(E$2:E2819)*(E2819=E$2:E2819)))))-COUNTBLANK(OFFSET(A$1,,,SUMPRODUCT(MAX(ROW(E$1:E2818)*(E2=E$1:E2818))))))</f>
        <v> </v>
      </c>
      <c r="K2819" s="25" t="str">
        <f>IF(OR(E2819="",E2819="!!!",F2819="NEW"),"",INDEX(J$1:J2818,SUMPRODUCT(MAX(ROW(E$1:E2818)*(E2819=E$1:E2818)))))</f>
        <v> </v>
      </c>
      <c r="L2819" s="26"/>
    </row>
    <row r="2820" spans="1:12">
      <c r="A2820" s="20" t="s">
        <v>772</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t="s">
        <v>757</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1707</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t="s">
        <v>1691</v>
      </c>
      <c r="E2823" s="21">
        <f>IF(D2823="?OLD","!!!","")</f>
        <v/>
      </c>
      <c r="F2823" s="22" t="str">
        <f>IF(OR(E2823="",E2823="!!!"),"",IF(NOT(ISNA(VLOOKUP(E2823,E$1:E2822,1,FALSE()))),"OLD",IF(AND(E2823&lt;&gt;"",E2823&lt;&gt;"!!!"),"NEW","")))</f>
        <v> </v>
      </c>
      <c r="G2823" s="23" t="str">
        <f>IF(OR(E2823="",E2823="!!!"),"",IF(OR(J2823=0,AND(J2823=1,K2823=1),AND(J2823=1,I2823="SBJ"),AND(J2823=1,I2823=0)),"?IN_FOCUS",IF(J2823&lt;=2,"?ACTIVATED",IF(J2823&lt;&gt;"","?FAMILIAR",IF(F2823="NEW",IF(ISNA(VLOOKUP(E2823,#REF!,1,FALSE())),"?TYPE_IDENTIFIABLE","?REFERENTIAL"),"_")))))</f>
        <v> </v>
      </c>
      <c r="H2823" s="24" t="str">
        <f>IF(J2823&lt;&gt;1,"",IF(I2823="SBJ","CB","?"))</f>
        <v> </v>
      </c>
      <c r="I2823" s="25" t="str">
        <f>IF(OR(E2823="",E2823="!!!",F2823="NEW"),"",INDEX(B2822:B$2,-1+SUMPRODUCT(MAX(ROW(E2822:E$2)*(E2823=E2822:E$2)))))</f>
        <v> </v>
      </c>
      <c r="J2823" s="25" t="str">
        <f>IF(OR(E2823="",E2823="!!!",F2823="NEW"),"",COUNTBLANK(OFFSET(A$1,,,SUMPRODUCT(MAX(ROW(E$2:E2823)*(E2823=E$2:E2823)))))-COUNTBLANK(OFFSET(A$1,,,SUMPRODUCT(MAX(ROW(E$1:E2822)*(E2=E$1:E2822))))))</f>
        <v> </v>
      </c>
      <c r="K2823" s="25" t="str">
        <f>IF(OR(E2823="",E2823="!!!",F2823="NEW"),"",INDEX(J$1:J2822,SUMPRODUCT(MAX(ROW(E$1:E2822)*(E2823=E$1:E2822)))))</f>
        <v> </v>
      </c>
      <c r="L2823" s="26"/>
    </row>
    <row r="2824" spans="1:12">
      <c r="A2824" s="20" t="s">
        <v>1692</v>
      </c>
      <c r="B2824" s="27" t="s">
        <v>749</v>
      </c>
      <c r="C2824" s="27" t="s">
        <v>728</v>
      </c>
      <c r="E2824" s="21">
        <f>IF(D2824="?OLD","!!!","")</f>
        <v/>
      </c>
      <c r="F2824" s="22" t="str">
        <f>IF(OR(E2824="",E2824="!!!"),"",IF(NOT(ISNA(VLOOKUP(E2824,E$1:E2823,1,FALSE()))),"OLD",IF(AND(E2824&lt;&gt;"",E2824&lt;&gt;"!!!"),"NEW","")))</f>
        <v> </v>
      </c>
      <c r="G2824" s="23" t="str">
        <f>IF(OR(E2824="",E2824="!!!"),"",IF(OR(J2824=0,AND(J2824=1,K2824=1),AND(J2824=1,I2824="SBJ"),AND(J2824=1,I2824=0)),"?IN_FOCUS",IF(J2824&lt;=2,"?ACTIVATED",IF(J2824&lt;&gt;"","?FAMILIAR",IF(F2824="NEW",IF(ISNA(VLOOKUP(E2824,#REF!,1,FALSE())),"?TYPE_IDENTIFIABLE","?REFERENTIAL"),"_")))))</f>
        <v> </v>
      </c>
      <c r="H2824" s="24" t="str">
        <f>IF(J2824&lt;&gt;1,"",IF(I2824="SBJ","CB","?"))</f>
        <v> </v>
      </c>
      <c r="I2824" s="25" t="str">
        <f>IF(OR(E2824="",E2824="!!!",F2824="NEW"),"",INDEX(B2823:B$2,-1+SUMPRODUCT(MAX(ROW(E2823:E$2)*(E2824=E2823:E$2)))))</f>
        <v> </v>
      </c>
      <c r="J2824" s="25" t="str">
        <f>IF(OR(E2824="",E2824="!!!",F2824="NEW"),"",COUNTBLANK(OFFSET(A$1,,,SUMPRODUCT(MAX(ROW(E$2:E2824)*(E2824=E$2:E2824)))))-COUNTBLANK(OFFSET(A$1,,,SUMPRODUCT(MAX(ROW(E$1:E2823)*(E2=E$1:E2823))))))</f>
        <v> </v>
      </c>
      <c r="K2824" s="25" t="str">
        <f>IF(OR(E2824="",E2824="!!!",F2824="NEW"),"",INDEX(J$1:J2823,SUMPRODUCT(MAX(ROW(E$1:E2823)*(E2824=E$1:E2823)))))</f>
        <v> </v>
      </c>
      <c r="L2824" s="26"/>
    </row>
    <row r="2825" spans="1:12">
      <c r="A2825" s="20" t="s">
        <v>1708</v>
      </c>
      <c r="E2825" s="21">
        <f>IF(D2825="?OLD","!!!","")</f>
        <v/>
      </c>
      <c r="F2825" s="22" t="str">
        <f>IF(OR(E2825="",E2825="!!!"),"",IF(NOT(ISNA(VLOOKUP(E2825,E$1:E2824,1,FALSE()))),"OLD",IF(AND(E2825&lt;&gt;"",E2825&lt;&gt;"!!!"),"NEW","")))</f>
        <v> </v>
      </c>
      <c r="G2825" s="23" t="str">
        <f>IF(OR(E2825="",E2825="!!!"),"",IF(OR(J2825=0,AND(J2825=1,K2825=1),AND(J2825=1,I2825="SBJ"),AND(J2825=1,I2825=0)),"?IN_FOCUS",IF(J2825&lt;=2,"?ACTIVATED",IF(J2825&lt;&gt;"","?FAMILIAR",IF(F2825="NEW",IF(ISNA(VLOOKUP(E2825,#REF!,1,FALSE())),"?TYPE_IDENTIFIABLE","?REFERENTIAL"),"_")))))</f>
        <v> </v>
      </c>
      <c r="H2825" s="24" t="str">
        <f>IF(J2825&lt;&gt;1,"",IF(I2825="SBJ","CB","?"))</f>
        <v> </v>
      </c>
      <c r="I2825" s="25" t="str">
        <f>IF(OR(E2825="",E2825="!!!",F2825="NEW"),"",INDEX(B2824:B$2,-1+SUMPRODUCT(MAX(ROW(E2824:E$2)*(E2825=E2824:E$2)))))</f>
        <v> </v>
      </c>
      <c r="J2825" s="25" t="str">
        <f>IF(OR(E2825="",E2825="!!!",F2825="NEW"),"",COUNTBLANK(OFFSET(A$1,,,SUMPRODUCT(MAX(ROW(E$2:E2825)*(E2825=E$2:E2825)))))-COUNTBLANK(OFFSET(A$1,,,SUMPRODUCT(MAX(ROW(E$1:E2824)*(E2=E$1:E2824))))))</f>
        <v> </v>
      </c>
      <c r="K2825" s="25" t="str">
        <f>IF(OR(E2825="",E2825="!!!",F2825="NEW"),"",INDEX(J$1:J2824,SUMPRODUCT(MAX(ROW(E$1:E2824)*(E2825=E$1:E2824)))))</f>
        <v> </v>
      </c>
      <c r="L2825" s="26"/>
    </row>
    <row r="2826" spans="1:12">
      <c r="A2826" s="20" t="s">
        <v>796</v>
      </c>
      <c r="E2826" s="21">
        <f>IF(D2826="?OLD","!!!","")</f>
        <v/>
      </c>
      <c r="F2826" s="22" t="str">
        <f>IF(OR(E2826="",E2826="!!!"),"",IF(NOT(ISNA(VLOOKUP(E2826,E$1:E2825,1,FALSE()))),"OLD",IF(AND(E2826&lt;&gt;"",E2826&lt;&gt;"!!!"),"NEW","")))</f>
        <v> </v>
      </c>
      <c r="G2826" s="23" t="str">
        <f>IF(OR(E2826="",E2826="!!!"),"",IF(OR(J2826=0,AND(J2826=1,K2826=1),AND(J2826=1,I2826="SBJ"),AND(J2826=1,I2826=0)),"?IN_FOCUS",IF(J2826&lt;=2,"?ACTIVATED",IF(J2826&lt;&gt;"","?FAMILIAR",IF(F2826="NEW",IF(ISNA(VLOOKUP(E2826,#REF!,1,FALSE())),"?TYPE_IDENTIFIABLE","?REFERENTIAL"),"_")))))</f>
        <v> </v>
      </c>
      <c r="H2826" s="24" t="str">
        <f>IF(J2826&lt;&gt;1,"",IF(I2826="SBJ","CB","?"))</f>
        <v> </v>
      </c>
      <c r="I2826" s="25" t="str">
        <f>IF(OR(E2826="",E2826="!!!",F2826="NEW"),"",INDEX(B2825:B$2,-1+SUMPRODUCT(MAX(ROW(E2825:E$2)*(E2826=E2825:E$2)))))</f>
        <v> </v>
      </c>
      <c r="J2826" s="25" t="str">
        <f>IF(OR(E2826="",E2826="!!!",F2826="NEW"),"",COUNTBLANK(OFFSET(A$1,,,SUMPRODUCT(MAX(ROW(E$2:E2826)*(E2826=E$2:E2826)))))-COUNTBLANK(OFFSET(A$1,,,SUMPRODUCT(MAX(ROW(E$1:E2825)*(E2=E$1:E2825))))))</f>
        <v> </v>
      </c>
      <c r="K2826" s="25" t="str">
        <f>IF(OR(E2826="",E2826="!!!",F2826="NEW"),"",INDEX(J$1:J2825,SUMPRODUCT(MAX(ROW(E$1:E2825)*(E2826=E$1:E2825)))))</f>
        <v> </v>
      </c>
      <c r="L2826" s="26"/>
    </row>
    <row r="2827" spans="1:12">
      <c r="A2827" s="20" t="s">
        <v>1374</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t="s">
        <v>725</v>
      </c>
      <c r="E2828" s="21">
        <f>IF(D2828="?OLD","!!!","")</f>
        <v/>
      </c>
      <c r="F2828" s="22" t="str">
        <f>IF(OR(E2828="",E2828="!!!"),"",IF(NOT(ISNA(VLOOKUP(E2828,E$1:E2827,1,FALSE()))),"OLD",IF(AND(E2828&lt;&gt;"",E2828&lt;&gt;"!!!"),"NEW","")))</f>
        <v> </v>
      </c>
      <c r="G2828" s="23" t="str">
        <f>IF(OR(E2828="",E2828="!!!"),"",IF(OR(J2828=0,AND(J2828=1,K2828=1),AND(J2828=1,I2828="SBJ"),AND(J2828=1,I2828=0)),"?IN_FOCUS",IF(J2828&lt;=2,"?ACTIVATED",IF(J2828&lt;&gt;"","?FAMILIAR",IF(F2828="NEW",IF(ISNA(VLOOKUP(E2828,#REF!,1,FALSE())),"?TYPE_IDENTIFIABLE","?REFERENTIAL"),"_")))))</f>
        <v> </v>
      </c>
      <c r="H2828" s="24" t="str">
        <f>IF(J2828&lt;&gt;1,"",IF(I2828="SBJ","CB","?"))</f>
        <v> </v>
      </c>
      <c r="I2828" s="25" t="str">
        <f>IF(OR(E2828="",E2828="!!!",F2828="NEW"),"",INDEX(B2827:B$2,-1+SUMPRODUCT(MAX(ROW(E2827:E$2)*(E2828=E2827:E$2)))))</f>
        <v> </v>
      </c>
      <c r="J2828" s="25" t="str">
        <f>IF(OR(E2828="",E2828="!!!",F2828="NEW"),"",COUNTBLANK(OFFSET(A$1,,,SUMPRODUCT(MAX(ROW(E$2:E2828)*(E2828=E$2:E2828)))))-COUNTBLANK(OFFSET(A$1,,,SUMPRODUCT(MAX(ROW(E$1:E2827)*(E2=E$1:E2827))))))</f>
        <v> </v>
      </c>
      <c r="K2828" s="25" t="str">
        <f>IF(OR(E2828="",E2828="!!!",F2828="NEW"),"",INDEX(J$1:J2827,SUMPRODUCT(MAX(ROW(E$1:E2827)*(E2828=E$1:E2827)))))</f>
        <v> </v>
      </c>
      <c r="L2828" s="26"/>
    </row>
    <row r="2829" spans="1:12">
      <c r="A2829" s="20"/>
    </row>
    <row r="2830" spans="1:12">
      <c r="A2830" s="20" t="s">
        <v>1709</v>
      </c>
    </row>
    <row r="2831" spans="1:12">
      <c r="A2831" s="20" t="s">
        <v>855</v>
      </c>
      <c r="B2831" s="27" t="s">
        <v>710</v>
      </c>
      <c r="C2831" s="27" t="s">
        <v>842</v>
      </c>
      <c r="D2831" s="27" t="s">
        <v>712</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t="s">
        <v>1710</v>
      </c>
      <c r="E2832" s="21">
        <f>IF(D2832="?OLD","!!!","")</f>
        <v/>
      </c>
      <c r="F2832" s="22" t="str">
        <f>IF(OR(E2832="",E2832="!!!"),"",IF(NOT(ISNA(VLOOKUP(E2832,E$1:E2831,1,FALSE()))),"OLD",IF(AND(E2832&lt;&gt;"",E2832&lt;&gt;"!!!"),"NEW","")))</f>
        <v> </v>
      </c>
      <c r="G2832" s="23" t="str">
        <f>IF(OR(E2832="",E2832="!!!"),"",IF(OR(J2832=0,AND(J2832=1,K2832=1),AND(J2832=1,I2832="SBJ"),AND(J2832=1,I2832=0)),"?IN_FOCUS",IF(J2832&lt;=2,"?ACTIVATED",IF(J2832&lt;&gt;"","?FAMILIAR",IF(F2832="NEW",IF(ISNA(VLOOKUP(E2832,#REF!,1,FALSE())),"?TYPE_IDENTIFIABLE","?REFERENTIAL"),"_")))))</f>
        <v> </v>
      </c>
      <c r="H2832" s="24" t="str">
        <f>IF(J2832&lt;&gt;1,"",IF(I2832="SBJ","CB","?"))</f>
        <v> </v>
      </c>
      <c r="I2832" s="25" t="str">
        <f>IF(OR(E2832="",E2832="!!!",F2832="NEW"),"",INDEX(B2831:B$2,-1+SUMPRODUCT(MAX(ROW(E2831:E$2)*(E2832=E2831:E$2)))))</f>
        <v> </v>
      </c>
      <c r="J2832" s="25" t="str">
        <f>IF(OR(E2832="",E2832="!!!",F2832="NEW"),"",COUNTBLANK(OFFSET(A$1,,,SUMPRODUCT(MAX(ROW(E$2:E2832)*(E2832=E$2:E2832)))))-COUNTBLANK(OFFSET(A$1,,,SUMPRODUCT(MAX(ROW(E$1:E2831)*(E2=E$1:E2831))))))</f>
        <v> </v>
      </c>
      <c r="K2832" s="25" t="str">
        <f>IF(OR(E2832="",E2832="!!!",F2832="NEW"),"",INDEX(J$1:J2831,SUMPRODUCT(MAX(ROW(E$1:E2831)*(E2832=E$1:E2831)))))</f>
        <v> </v>
      </c>
      <c r="L2832" s="26"/>
    </row>
    <row r="2833" spans="1:12">
      <c r="A2833" s="20" t="s">
        <v>1066</v>
      </c>
      <c r="B2833" s="27" t="s">
        <v>731</v>
      </c>
      <c r="C2833" s="27" t="s">
        <v>728</v>
      </c>
      <c r="D2833" s="27" t="s">
        <v>712</v>
      </c>
      <c r="E2833" s="21">
        <f>IF(D2833="?OLD","!!!","")</f>
        <v/>
      </c>
      <c r="F2833" s="22" t="str">
        <f>IF(OR(E2833="",E2833="!!!"),"",IF(NOT(ISNA(VLOOKUP(E2833,E$1:E2832,1,FALSE()))),"OLD",IF(AND(E2833&lt;&gt;"",E2833&lt;&gt;"!!!"),"NEW","")))</f>
        <v> </v>
      </c>
      <c r="G2833" s="23" t="str">
        <f>IF(OR(E2833="",E2833="!!!"),"",IF(OR(J2833=0,AND(J2833=1,K2833=1),AND(J2833=1,I2833="SBJ"),AND(J2833=1,I2833=0)),"?IN_FOCUS",IF(J2833&lt;=2,"?ACTIVATED",IF(J2833&lt;&gt;"","?FAMILIAR",IF(F2833="NEW",IF(ISNA(VLOOKUP(E2833,#REF!,1,FALSE())),"?TYPE_IDENTIFIABLE","?REFERENTIAL"),"_")))))</f>
        <v> </v>
      </c>
      <c r="H2833" s="24" t="str">
        <f>IF(J2833&lt;&gt;1,"",IF(I2833="SBJ","CB","?"))</f>
        <v> </v>
      </c>
      <c r="I2833" s="25" t="str">
        <f>IF(OR(E2833="",E2833="!!!",F2833="NEW"),"",INDEX(B2832:B$2,-1+SUMPRODUCT(MAX(ROW(E2832:E$2)*(E2833=E2832:E$2)))))</f>
        <v> </v>
      </c>
      <c r="J2833" s="25" t="str">
        <f>IF(OR(E2833="",E2833="!!!",F2833="NEW"),"",COUNTBLANK(OFFSET(A$1,,,SUMPRODUCT(MAX(ROW(E$2:E2833)*(E2833=E$2:E2833)))))-COUNTBLANK(OFFSET(A$1,,,SUMPRODUCT(MAX(ROW(E$1:E2832)*(E2=E$1:E2832))))))</f>
        <v> </v>
      </c>
      <c r="K2833" s="25" t="str">
        <f>IF(OR(E2833="",E2833="!!!",F2833="NEW"),"",INDEX(J$1:J2832,SUMPRODUCT(MAX(ROW(E$1:E2832)*(E2833=E$1:E2832)))))</f>
        <v> </v>
      </c>
      <c r="L2833" s="26"/>
    </row>
    <row r="2834" spans="1:12">
      <c r="A2834" s="20" t="s">
        <v>1695</v>
      </c>
      <c r="B2834" s="27" t="s">
        <v>777</v>
      </c>
      <c r="C2834" s="27" t="s">
        <v>834</v>
      </c>
      <c r="D2834" s="27" t="s">
        <v>712</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718</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1711</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757</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t="s">
        <v>1692</v>
      </c>
      <c r="B2838" s="27" t="s">
        <v>749</v>
      </c>
      <c r="C2838" s="27" t="s">
        <v>739</v>
      </c>
      <c r="E2838" s="21">
        <f>IF(D2838="?OLD","!!!","")</f>
        <v/>
      </c>
      <c r="F2838" s="22" t="str">
        <f>IF(OR(E2838="",E2838="!!!"),"",IF(NOT(ISNA(VLOOKUP(E2838,E$1:E2837,1,FALSE()))),"OLD",IF(AND(E2838&lt;&gt;"",E2838&lt;&gt;"!!!"),"NEW","")))</f>
        <v> </v>
      </c>
      <c r="G2838" s="23" t="str">
        <f>IF(OR(E2838="",E2838="!!!"),"",IF(OR(J2838=0,AND(J2838=1,K2838=1),AND(J2838=1,I2838="SBJ"),AND(J2838=1,I2838=0)),"?IN_FOCUS",IF(J2838&lt;=2,"?ACTIVATED",IF(J2838&lt;&gt;"","?FAMILIAR",IF(F2838="NEW",IF(ISNA(VLOOKUP(E2838,#REF!,1,FALSE())),"?TYPE_IDENTIFIABLE","?REFERENTIAL"),"_")))))</f>
        <v> </v>
      </c>
      <c r="H2838" s="24" t="str">
        <f>IF(J2838&lt;&gt;1,"",IF(I2838="SBJ","CB","?"))</f>
        <v> </v>
      </c>
      <c r="I2838" s="25" t="str">
        <f>IF(OR(E2838="",E2838="!!!",F2838="NEW"),"",INDEX(B2837:B$2,-1+SUMPRODUCT(MAX(ROW(E2837:E$2)*(E2838=E2837:E$2)))))</f>
        <v> </v>
      </c>
      <c r="J2838" s="25" t="str">
        <f>IF(OR(E2838="",E2838="!!!",F2838="NEW"),"",COUNTBLANK(OFFSET(A$1,,,SUMPRODUCT(MAX(ROW(E$2:E2838)*(E2838=E$2:E2838)))))-COUNTBLANK(OFFSET(A$1,,,SUMPRODUCT(MAX(ROW(E$1:E2837)*(E2=E$1:E2837))))))</f>
        <v> </v>
      </c>
      <c r="K2838" s="25" t="str">
        <f>IF(OR(E2838="",E2838="!!!",F2838="NEW"),"",INDEX(J$1:J2837,SUMPRODUCT(MAX(ROW(E$1:E2837)*(E2838=E$1:E2837)))))</f>
        <v> </v>
      </c>
      <c r="L2838" s="26"/>
    </row>
    <row r="2839" spans="1:12">
      <c r="A2839" s="20" t="s">
        <v>748</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t="s">
        <v>757</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t="s">
        <v>1712</v>
      </c>
      <c r="B2841" s="27" t="s">
        <v>749</v>
      </c>
      <c r="C2841" s="27" t="s">
        <v>739</v>
      </c>
      <c r="E2841" s="21">
        <f>IF(D2841="?OLD","!!!","")</f>
        <v/>
      </c>
      <c r="F2841" s="22" t="str">
        <f>IF(OR(E2841="",E2841="!!!"),"",IF(NOT(ISNA(VLOOKUP(E2841,E$1:E2840,1,FALSE()))),"OLD",IF(AND(E2841&lt;&gt;"",E2841&lt;&gt;"!!!"),"NEW","")))</f>
        <v> </v>
      </c>
      <c r="G2841" s="23" t="str">
        <f>IF(OR(E2841="",E2841="!!!"),"",IF(OR(J2841=0,AND(J2841=1,K2841=1),AND(J2841=1,I2841="SBJ"),AND(J2841=1,I2841=0)),"?IN_FOCUS",IF(J2841&lt;=2,"?ACTIVATED",IF(J2841&lt;&gt;"","?FAMILIAR",IF(F2841="NEW",IF(ISNA(VLOOKUP(E2841,#REF!,1,FALSE())),"?TYPE_IDENTIFIABLE","?REFERENTIAL"),"_")))))</f>
        <v> </v>
      </c>
      <c r="H2841" s="24" t="str">
        <f>IF(J2841&lt;&gt;1,"",IF(I2841="SBJ","CB","?"))</f>
        <v> </v>
      </c>
      <c r="I2841" s="25" t="str">
        <f>IF(OR(E2841="",E2841="!!!",F2841="NEW"),"",INDEX(B2840:B$2,-1+SUMPRODUCT(MAX(ROW(E2840:E$2)*(E2841=E2840:E$2)))))</f>
        <v> </v>
      </c>
      <c r="J2841" s="25" t="str">
        <f>IF(OR(E2841="",E2841="!!!",F2841="NEW"),"",COUNTBLANK(OFFSET(A$1,,,SUMPRODUCT(MAX(ROW(E$2:E2841)*(E2841=E$2:E2841)))))-COUNTBLANK(OFFSET(A$1,,,SUMPRODUCT(MAX(ROW(E$1:E2840)*(E2=E$1:E2840))))))</f>
        <v> </v>
      </c>
      <c r="K2841" s="25" t="str">
        <f>IF(OR(E2841="",E2841="!!!",F2841="NEW"),"",INDEX(J$1:J2840,SUMPRODUCT(MAX(ROW(E$1:E2840)*(E2841=E$1:E2840)))))</f>
        <v> </v>
      </c>
      <c r="L2841" s="26"/>
    </row>
    <row r="2842" spans="1:12">
      <c r="A2842" s="20" t="s">
        <v>740</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926</v>
      </c>
      <c r="B2843" s="27" t="s">
        <v>724</v>
      </c>
      <c r="C2843" s="27" t="s">
        <v>711</v>
      </c>
      <c r="D2843" s="27" t="s">
        <v>712</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t="s">
        <v>764</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757</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1712</v>
      </c>
      <c r="B2846" s="27" t="s">
        <v>724</v>
      </c>
      <c r="C2846" s="27" t="s">
        <v>739</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740</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926</v>
      </c>
      <c r="B2848" s="27" t="s">
        <v>809</v>
      </c>
      <c r="C2848" s="27" t="s">
        <v>711</v>
      </c>
      <c r="D2848" s="27" t="s">
        <v>712</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748</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t="s">
        <v>757</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t="s">
        <v>1712</v>
      </c>
      <c r="B2851" s="27" t="s">
        <v>716</v>
      </c>
      <c r="C2851" s="27" t="s">
        <v>1508</v>
      </c>
      <c r="D2851" s="27" t="s">
        <v>712</v>
      </c>
      <c r="E2851" s="21">
        <f>IF(D2851="?OLD","!!!","")</f>
        <v/>
      </c>
      <c r="F2851" s="22" t="str">
        <f>IF(OR(E2851="",E2851="!!!"),"",IF(NOT(ISNA(VLOOKUP(E2851,E$1:E2850,1,FALSE()))),"OLD",IF(AND(E2851&lt;&gt;"",E2851&lt;&gt;"!!!"),"NEW","")))</f>
        <v> </v>
      </c>
      <c r="G2851" s="23" t="str">
        <f>IF(OR(E2851="",E2851="!!!"),"",IF(OR(J2851=0,AND(J2851=1,K2851=1),AND(J2851=1,I2851="SBJ"),AND(J2851=1,I2851=0)),"?IN_FOCUS",IF(J2851&lt;=2,"?ACTIVATED",IF(J2851&lt;&gt;"","?FAMILIAR",IF(F2851="NEW",IF(ISNA(VLOOKUP(E2851,#REF!,1,FALSE())),"?TYPE_IDENTIFIABLE","?REFERENTIAL"),"_")))))</f>
        <v> </v>
      </c>
      <c r="H2851" s="24" t="str">
        <f>IF(J2851&lt;&gt;1,"",IF(I2851="SBJ","CB","?"))</f>
        <v> </v>
      </c>
      <c r="I2851" s="25" t="str">
        <f>IF(OR(E2851="",E2851="!!!",F2851="NEW"),"",INDEX(B2850:B$2,-1+SUMPRODUCT(MAX(ROW(E2850:E$2)*(E2851=E2850:E$2)))))</f>
        <v> </v>
      </c>
      <c r="J2851" s="25" t="str">
        <f>IF(OR(E2851="",E2851="!!!",F2851="NEW"),"",COUNTBLANK(OFFSET(A$1,,,SUMPRODUCT(MAX(ROW(E$2:E2851)*(E2851=E$2:E2851)))))-COUNTBLANK(OFFSET(A$1,,,SUMPRODUCT(MAX(ROW(E$1:E2850)*(E2=E$1:E2850))))))</f>
        <v> </v>
      </c>
      <c r="K2851" s="25" t="str">
        <f>IF(OR(E2851="",E2851="!!!",F2851="NEW"),"",INDEX(J$1:J2850,SUMPRODUCT(MAX(ROW(E$1:E2850)*(E2851=E$1:E2850)))))</f>
        <v> </v>
      </c>
      <c r="L2851" s="26"/>
    </row>
    <row r="2852" spans="1:12">
      <c r="A2852" s="20" t="s">
        <v>993</v>
      </c>
      <c r="E2852" s="21">
        <f>IF(D2852="?OLD","!!!","")</f>
        <v/>
      </c>
      <c r="F2852" s="22" t="str">
        <f>IF(OR(E2852="",E2852="!!!"),"",IF(NOT(ISNA(VLOOKUP(E2852,E$1:E2851,1,FALSE()))),"OLD",IF(AND(E2852&lt;&gt;"",E2852&lt;&gt;"!!!"),"NEW","")))</f>
        <v> </v>
      </c>
      <c r="G2852" s="23" t="str">
        <f>IF(OR(E2852="",E2852="!!!"),"",IF(OR(J2852=0,AND(J2852=1,K2852=1),AND(J2852=1,I2852="SBJ"),AND(J2852=1,I2852=0)),"?IN_FOCUS",IF(J2852&lt;=2,"?ACTIVATED",IF(J2852&lt;&gt;"","?FAMILIAR",IF(F2852="NEW",IF(ISNA(VLOOKUP(E2852,#REF!,1,FALSE())),"?TYPE_IDENTIFIABLE","?REFERENTIAL"),"_")))))</f>
        <v> </v>
      </c>
      <c r="H2852" s="24" t="str">
        <f>IF(J2852&lt;&gt;1,"",IF(I2852="SBJ","CB","?"))</f>
        <v> </v>
      </c>
      <c r="I2852" s="25" t="str">
        <f>IF(OR(E2852="",E2852="!!!",F2852="NEW"),"",INDEX(B2851:B$2,-1+SUMPRODUCT(MAX(ROW(E2851:E$2)*(E2852=E2851:E$2)))))</f>
        <v> </v>
      </c>
      <c r="J2852" s="25" t="str">
        <f>IF(OR(E2852="",E2852="!!!",F2852="NEW"),"",COUNTBLANK(OFFSET(A$1,,,SUMPRODUCT(MAX(ROW(E$2:E2852)*(E2852=E$2:E2852)))))-COUNTBLANK(OFFSET(A$1,,,SUMPRODUCT(MAX(ROW(E$1:E2851)*(E2=E$1:E2851))))))</f>
        <v> </v>
      </c>
      <c r="K2852" s="25" t="str">
        <f>IF(OR(E2852="",E2852="!!!",F2852="NEW"),"",INDEX(J$1:J2851,SUMPRODUCT(MAX(ROW(E$1:E2851)*(E2852=E$1:E2851)))))</f>
        <v> </v>
      </c>
      <c r="L2852" s="26"/>
    </row>
    <row r="2853" spans="1:12">
      <c r="A2853" s="20" t="s">
        <v>880</v>
      </c>
      <c r="B2853" s="27" t="s">
        <v>731</v>
      </c>
      <c r="C2853" s="27" t="s">
        <v>743</v>
      </c>
      <c r="D2853" s="27" t="s">
        <v>712</v>
      </c>
      <c r="E2853" s="21">
        <f>IF(D2853="?OLD","!!!","")</f>
        <v/>
      </c>
      <c r="F2853" s="22" t="str">
        <f>IF(OR(E2853="",E2853="!!!"),"",IF(NOT(ISNA(VLOOKUP(E2853,E$1:E2852,1,FALSE()))),"OLD",IF(AND(E2853&lt;&gt;"",E2853&lt;&gt;"!!!"),"NEW","")))</f>
        <v> </v>
      </c>
      <c r="G2853" s="23" t="str">
        <f>IF(OR(E2853="",E2853="!!!"),"",IF(OR(J2853=0,AND(J2853=1,K2853=1),AND(J2853=1,I2853="SBJ"),AND(J2853=1,I2853=0)),"?IN_FOCUS",IF(J2853&lt;=2,"?ACTIVATED",IF(J2853&lt;&gt;"","?FAMILIAR",IF(F2853="NEW",IF(ISNA(VLOOKUP(E2853,#REF!,1,FALSE())),"?TYPE_IDENTIFIABLE","?REFERENTIAL"),"_")))))</f>
        <v> </v>
      </c>
      <c r="H2853" s="24" t="str">
        <f>IF(J2853&lt;&gt;1,"",IF(I2853="SBJ","CB","?"))</f>
        <v> </v>
      </c>
      <c r="I2853" s="25" t="str">
        <f>IF(OR(E2853="",E2853="!!!",F2853="NEW"),"",INDEX(B2852:B$2,-1+SUMPRODUCT(MAX(ROW(E2852:E$2)*(E2853=E2852:E$2)))))</f>
        <v> </v>
      </c>
      <c r="J2853" s="25" t="str">
        <f>IF(OR(E2853="",E2853="!!!",F2853="NEW"),"",COUNTBLANK(OFFSET(A$1,,,SUMPRODUCT(MAX(ROW(E$2:E2853)*(E2853=E$2:E2853)))))-COUNTBLANK(OFFSET(A$1,,,SUMPRODUCT(MAX(ROW(E$1:E2852)*(E2=E$1:E2852))))))</f>
        <v> </v>
      </c>
      <c r="K2853" s="25" t="str">
        <f>IF(OR(E2853="",E2853="!!!",F2853="NEW"),"",INDEX(J$1:J2852,SUMPRODUCT(MAX(ROW(E$1:E2852)*(E2853=E$1:E2852)))))</f>
        <v> </v>
      </c>
      <c r="L2853" s="26"/>
    </row>
    <row r="2854" spans="1:12">
      <c r="A2854" s="20" t="s">
        <v>718</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993</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1661</v>
      </c>
      <c r="B2856" s="27" t="s">
        <v>731</v>
      </c>
      <c r="C2856" s="27" t="s">
        <v>842</v>
      </c>
      <c r="D2856" s="27" t="s">
        <v>712</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t="s">
        <v>764</v>
      </c>
      <c r="E2857" s="21">
        <f>IF(D2857="?OLD","!!!","")</f>
        <v/>
      </c>
      <c r="F2857" s="22" t="str">
        <f>IF(OR(E2857="",E2857="!!!"),"",IF(NOT(ISNA(VLOOKUP(E2857,E$1:E2856,1,FALSE()))),"OLD",IF(AND(E2857&lt;&gt;"",E2857&lt;&gt;"!!!"),"NEW","")))</f>
        <v> </v>
      </c>
      <c r="G2857" s="23" t="str">
        <f>IF(OR(E2857="",E2857="!!!"),"",IF(OR(J2857=0,AND(J2857=1,K2857=1),AND(J2857=1,I2857="SBJ"),AND(J2857=1,I2857=0)),"?IN_FOCUS",IF(J2857&lt;=2,"?ACTIVATED",IF(J2857&lt;&gt;"","?FAMILIAR",IF(F2857="NEW",IF(ISNA(VLOOKUP(E2857,#REF!,1,FALSE())),"?TYPE_IDENTIFIABLE","?REFERENTIAL"),"_")))))</f>
        <v> </v>
      </c>
      <c r="H2857" s="24" t="str">
        <f>IF(J2857&lt;&gt;1,"",IF(I2857="SBJ","CB","?"))</f>
        <v> </v>
      </c>
      <c r="I2857" s="25" t="str">
        <f>IF(OR(E2857="",E2857="!!!",F2857="NEW"),"",INDEX(B2856:B$2,-1+SUMPRODUCT(MAX(ROW(E2856:E$2)*(E2857=E2856:E$2)))))</f>
        <v> </v>
      </c>
      <c r="J2857" s="25" t="str">
        <f>IF(OR(E2857="",E2857="!!!",F2857="NEW"),"",COUNTBLANK(OFFSET(A$1,,,SUMPRODUCT(MAX(ROW(E$2:E2857)*(E2857=E$2:E2857)))))-COUNTBLANK(OFFSET(A$1,,,SUMPRODUCT(MAX(ROW(E$1:E2856)*(E2=E$1:E2856))))))</f>
        <v> </v>
      </c>
      <c r="K2857" s="25" t="str">
        <f>IF(OR(E2857="",E2857="!!!",F2857="NEW"),"",INDEX(J$1:J2856,SUMPRODUCT(MAX(ROW(E$1:E2856)*(E2857=E$1:E2856)))))</f>
        <v> </v>
      </c>
      <c r="L2857" s="26"/>
    </row>
    <row r="2858" spans="1:12">
      <c r="A2858" s="20" t="s">
        <v>869</v>
      </c>
      <c r="B2858" s="27" t="s">
        <v>724</v>
      </c>
      <c r="C2858" s="27" t="s">
        <v>842</v>
      </c>
      <c r="D2858" s="27" t="s">
        <v>712</v>
      </c>
      <c r="E2858" s="21">
        <f>IF(D2858="?OLD","!!!","")</f>
        <v/>
      </c>
      <c r="F2858" s="22" t="str">
        <f>IF(OR(E2858="",E2858="!!!"),"",IF(NOT(ISNA(VLOOKUP(E2858,E$1:E2857,1,FALSE()))),"OLD",IF(AND(E2858&lt;&gt;"",E2858&lt;&gt;"!!!"),"NEW","")))</f>
        <v> </v>
      </c>
      <c r="G2858" s="23" t="str">
        <f>IF(OR(E2858="",E2858="!!!"),"",IF(OR(J2858=0,AND(J2858=1,K2858=1),AND(J2858=1,I2858="SBJ"),AND(J2858=1,I2858=0)),"?IN_FOCUS",IF(J2858&lt;=2,"?ACTIVATED",IF(J2858&lt;&gt;"","?FAMILIAR",IF(F2858="NEW",IF(ISNA(VLOOKUP(E2858,#REF!,1,FALSE())),"?TYPE_IDENTIFIABLE","?REFERENTIAL"),"_")))))</f>
        <v> </v>
      </c>
      <c r="H2858" s="24" t="str">
        <f>IF(J2858&lt;&gt;1,"",IF(I2858="SBJ","CB","?"))</f>
        <v> </v>
      </c>
      <c r="I2858" s="25" t="str">
        <f>IF(OR(E2858="",E2858="!!!",F2858="NEW"),"",INDEX(B2857:B$2,-1+SUMPRODUCT(MAX(ROW(E2857:E$2)*(E2858=E2857:E$2)))))</f>
        <v> </v>
      </c>
      <c r="J2858" s="25" t="str">
        <f>IF(OR(E2858="",E2858="!!!",F2858="NEW"),"",COUNTBLANK(OFFSET(A$1,,,SUMPRODUCT(MAX(ROW(E$2:E2858)*(E2858=E$2:E2858)))))-COUNTBLANK(OFFSET(A$1,,,SUMPRODUCT(MAX(ROW(E$1:E2857)*(E2=E$1:E2857))))))</f>
        <v> </v>
      </c>
      <c r="K2858" s="25" t="str">
        <f>IF(OR(E2858="",E2858="!!!",F2858="NEW"),"",INDEX(J$1:J2857,SUMPRODUCT(MAX(ROW(E$1:E2857)*(E2858=E$1:E2857)))))</f>
        <v> </v>
      </c>
      <c r="L2858" s="26"/>
    </row>
    <row r="2859" spans="1:12">
      <c r="A2859" s="20" t="s">
        <v>725</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row>
    <row r="2861" spans="1:12">
      <c r="A2861" s="20" t="s">
        <v>1713</v>
      </c>
    </row>
    <row r="2862" spans="1:12">
      <c r="A2862" s="20" t="s">
        <v>790</v>
      </c>
      <c r="E2862" s="21">
        <f>IF(D2862="?OLD","!!!","")</f>
        <v/>
      </c>
      <c r="F2862" s="22" t="str">
        <f>IF(OR(E2862="",E2862="!!!"),"",IF(NOT(ISNA(VLOOKUP(E2862,E$1:E2861,1,FALSE()))),"OLD",IF(AND(E2862&lt;&gt;"",E2862&lt;&gt;"!!!"),"NEW","")))</f>
        <v> </v>
      </c>
      <c r="G2862" s="23" t="str">
        <f>IF(OR(E2862="",E2862="!!!"),"",IF(OR(J2862=0,AND(J2862=1,K2862=1),AND(J2862=1,I2862="SBJ"),AND(J2862=1,I2862=0)),"?IN_FOCUS",IF(J2862&lt;=2,"?ACTIVATED",IF(J2862&lt;&gt;"","?FAMILIAR",IF(F2862="NEW",IF(ISNA(VLOOKUP(E2862,#REF!,1,FALSE())),"?TYPE_IDENTIFIABLE","?REFERENTIAL"),"_")))))</f>
        <v> </v>
      </c>
      <c r="H2862" s="24" t="str">
        <f>IF(J2862&lt;&gt;1,"",IF(I2862="SBJ","CB","?"))</f>
        <v> </v>
      </c>
      <c r="I2862" s="25" t="str">
        <f>IF(OR(E2862="",E2862="!!!",F2862="NEW"),"",INDEX(B2861:B$2,-1+SUMPRODUCT(MAX(ROW(E2861:E$2)*(E2862=E2861:E$2)))))</f>
        <v> </v>
      </c>
      <c r="J2862" s="25" t="str">
        <f>IF(OR(E2862="",E2862="!!!",F2862="NEW"),"",COUNTBLANK(OFFSET(A$1,,,SUMPRODUCT(MAX(ROW(E$2:E2862)*(E2862=E$2:E2862)))))-COUNTBLANK(OFFSET(A$1,,,SUMPRODUCT(MAX(ROW(E$1:E2861)*(E2=E$1:E2861))))))</f>
        <v> </v>
      </c>
      <c r="K2862" s="25" t="str">
        <f>IF(OR(E2862="",E2862="!!!",F2862="NEW"),"",INDEX(J$1:J2861,SUMPRODUCT(MAX(ROW(E$1:E2861)*(E2862=E$1:E2861)))))</f>
        <v> </v>
      </c>
      <c r="L2862" s="26"/>
    </row>
    <row r="2863" spans="1:12">
      <c r="A2863" s="20" t="s">
        <v>988</v>
      </c>
      <c r="B2863" s="27" t="s">
        <v>720</v>
      </c>
      <c r="C2863" s="27" t="s">
        <v>842</v>
      </c>
      <c r="D2863" s="27" t="s">
        <v>712</v>
      </c>
      <c r="E2863" s="21">
        <f>IF(D2863="?OLD","!!!","")</f>
        <v/>
      </c>
      <c r="F2863" s="22" t="str">
        <f>IF(OR(E2863="",E2863="!!!"),"",IF(NOT(ISNA(VLOOKUP(E2863,E$1:E2862,1,FALSE()))),"OLD",IF(AND(E2863&lt;&gt;"",E2863&lt;&gt;"!!!"),"NEW","")))</f>
        <v> </v>
      </c>
      <c r="G2863" s="23" t="str">
        <f>IF(OR(E2863="",E2863="!!!"),"",IF(OR(J2863=0,AND(J2863=1,K2863=1),AND(J2863=1,I2863="SBJ"),AND(J2863=1,I2863=0)),"?IN_FOCUS",IF(J2863&lt;=2,"?ACTIVATED",IF(J2863&lt;&gt;"","?FAMILIAR",IF(F2863="NEW",IF(ISNA(VLOOKUP(E2863,#REF!,1,FALSE())),"?TYPE_IDENTIFIABLE","?REFERENTIAL"),"_")))))</f>
        <v> </v>
      </c>
      <c r="H2863" s="24" t="str">
        <f>IF(J2863&lt;&gt;1,"",IF(I2863="SBJ","CB","?"))</f>
        <v> </v>
      </c>
      <c r="I2863" s="25" t="str">
        <f>IF(OR(E2863="",E2863="!!!",F2863="NEW"),"",INDEX(B2862:B$2,-1+SUMPRODUCT(MAX(ROW(E2862:E$2)*(E2863=E2862:E$2)))))</f>
        <v> </v>
      </c>
      <c r="J2863" s="25" t="str">
        <f>IF(OR(E2863="",E2863="!!!",F2863="NEW"),"",COUNTBLANK(OFFSET(A$1,,,SUMPRODUCT(MAX(ROW(E$2:E2863)*(E2863=E$2:E2863)))))-COUNTBLANK(OFFSET(A$1,,,SUMPRODUCT(MAX(ROW(E$1:E2862)*(E2=E$1:E2862))))))</f>
        <v> </v>
      </c>
      <c r="K2863" s="25" t="str">
        <f>IF(OR(E2863="",E2863="!!!",F2863="NEW"),"",INDEX(J$1:J2862,SUMPRODUCT(MAX(ROW(E$1:E2862)*(E2863=E$1:E2862)))))</f>
        <v> </v>
      </c>
      <c r="L2863" s="26"/>
    </row>
    <row r="2864" spans="1:12">
      <c r="A2864" s="20" t="s">
        <v>1714</v>
      </c>
      <c r="E2864" s="21">
        <f>IF(D2864="?OLD","!!!","")</f>
        <v/>
      </c>
      <c r="F2864" s="22" t="str">
        <f>IF(OR(E2864="",E2864="!!!"),"",IF(NOT(ISNA(VLOOKUP(E2864,E$1:E2863,1,FALSE()))),"OLD",IF(AND(E2864&lt;&gt;"",E2864&lt;&gt;"!!!"),"NEW","")))</f>
        <v> </v>
      </c>
      <c r="G2864" s="23" t="str">
        <f>IF(OR(E2864="",E2864="!!!"),"",IF(OR(J2864=0,AND(J2864=1,K2864=1),AND(J2864=1,I2864="SBJ"),AND(J2864=1,I2864=0)),"?IN_FOCUS",IF(J2864&lt;=2,"?ACTIVATED",IF(J2864&lt;&gt;"","?FAMILIAR",IF(F2864="NEW",IF(ISNA(VLOOKUP(E2864,#REF!,1,FALSE())),"?TYPE_IDENTIFIABLE","?REFERENTIAL"),"_")))))</f>
        <v> </v>
      </c>
      <c r="H2864" s="24" t="str">
        <f>IF(J2864&lt;&gt;1,"",IF(I2864="SBJ","CB","?"))</f>
        <v> </v>
      </c>
      <c r="I2864" s="25" t="str">
        <f>IF(OR(E2864="",E2864="!!!",F2864="NEW"),"",INDEX(B2863:B$2,-1+SUMPRODUCT(MAX(ROW(E2863:E$2)*(E2864=E2863:E$2)))))</f>
        <v> </v>
      </c>
      <c r="J2864" s="25" t="str">
        <f>IF(OR(E2864="",E2864="!!!",F2864="NEW"),"",COUNTBLANK(OFFSET(A$1,,,SUMPRODUCT(MAX(ROW(E$2:E2864)*(E2864=E$2:E2864)))))-COUNTBLANK(OFFSET(A$1,,,SUMPRODUCT(MAX(ROW(E$1:E2863)*(E2=E$1:E2863))))))</f>
        <v> </v>
      </c>
      <c r="K2864" s="25" t="str">
        <f>IF(OR(E2864="",E2864="!!!",F2864="NEW"),"",INDEX(J$1:J2863,SUMPRODUCT(MAX(ROW(E$1:E2863)*(E2864=E$1:E2863)))))</f>
        <v> </v>
      </c>
      <c r="L2864" s="26"/>
    </row>
    <row r="2865" spans="1:12">
      <c r="A2865" s="20" t="s">
        <v>926</v>
      </c>
      <c r="B2865" s="27" t="s">
        <v>881</v>
      </c>
      <c r="C2865" s="27" t="s">
        <v>717</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975</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t="s">
        <v>769</v>
      </c>
      <c r="B2867" s="27" t="s">
        <v>724</v>
      </c>
      <c r="C2867" s="27" t="s">
        <v>717</v>
      </c>
      <c r="E2867" s="21">
        <f>IF(D2867="?OLD","!!!","")</f>
        <v/>
      </c>
      <c r="F2867" s="22" t="str">
        <f>IF(OR(E2867="",E2867="!!!"),"",IF(NOT(ISNA(VLOOKUP(E2867,E$1:E2866,1,FALSE()))),"OLD",IF(AND(E2867&lt;&gt;"",E2867&lt;&gt;"!!!"),"NEW","")))</f>
        <v> </v>
      </c>
      <c r="G2867" s="23" t="str">
        <f>IF(OR(E2867="",E2867="!!!"),"",IF(OR(J2867=0,AND(J2867=1,K2867=1),AND(J2867=1,I2867="SBJ"),AND(J2867=1,I2867=0)),"?IN_FOCUS",IF(J2867&lt;=2,"?ACTIVATED",IF(J2867&lt;&gt;"","?FAMILIAR",IF(F2867="NEW",IF(ISNA(VLOOKUP(E2867,#REF!,1,FALSE())),"?TYPE_IDENTIFIABLE","?REFERENTIAL"),"_")))))</f>
        <v> </v>
      </c>
      <c r="H2867" s="24" t="str">
        <f>IF(J2867&lt;&gt;1,"",IF(I2867="SBJ","CB","?"))</f>
        <v> </v>
      </c>
      <c r="I2867" s="25" t="str">
        <f>IF(OR(E2867="",E2867="!!!",F2867="NEW"),"",INDEX(B2866:B$2,-1+SUMPRODUCT(MAX(ROW(E2866:E$2)*(E2867=E2866:E$2)))))</f>
        <v> </v>
      </c>
      <c r="J2867" s="25" t="str">
        <f>IF(OR(E2867="",E2867="!!!",F2867="NEW"),"",COUNTBLANK(OFFSET(A$1,,,SUMPRODUCT(MAX(ROW(E$2:E2867)*(E2867=E$2:E2867)))))-COUNTBLANK(OFFSET(A$1,,,SUMPRODUCT(MAX(ROW(E$1:E2866)*(E2=E$1:E2866))))))</f>
        <v> </v>
      </c>
      <c r="K2867" s="25" t="str">
        <f>IF(OR(E2867="",E2867="!!!",F2867="NEW"),"",INDEX(J$1:J2866,SUMPRODUCT(MAX(ROW(E$1:E2866)*(E2867=E$1:E2866)))))</f>
        <v> </v>
      </c>
      <c r="L2867" s="26"/>
    </row>
    <row r="2868" spans="1:12">
      <c r="A2868" s="20" t="s">
        <v>1715</v>
      </c>
      <c r="E2868" s="21">
        <f>IF(D2868="?OLD","!!!","")</f>
        <v/>
      </c>
      <c r="F2868" s="22" t="str">
        <f>IF(OR(E2868="",E2868="!!!"),"",IF(NOT(ISNA(VLOOKUP(E2868,E$1:E2867,1,FALSE()))),"OLD",IF(AND(E2868&lt;&gt;"",E2868&lt;&gt;"!!!"),"NEW","")))</f>
        <v> </v>
      </c>
      <c r="G2868" s="23" t="str">
        <f>IF(OR(E2868="",E2868="!!!"),"",IF(OR(J2868=0,AND(J2868=1,K2868=1),AND(J2868=1,I2868="SBJ"),AND(J2868=1,I2868=0)),"?IN_FOCUS",IF(J2868&lt;=2,"?ACTIVATED",IF(J2868&lt;&gt;"","?FAMILIAR",IF(F2868="NEW",IF(ISNA(VLOOKUP(E2868,#REF!,1,FALSE())),"?TYPE_IDENTIFIABLE","?REFERENTIAL"),"_")))))</f>
        <v> </v>
      </c>
      <c r="H2868" s="24" t="str">
        <f>IF(J2868&lt;&gt;1,"",IF(I2868="SBJ","CB","?"))</f>
        <v> </v>
      </c>
      <c r="I2868" s="25" t="str">
        <f>IF(OR(E2868="",E2868="!!!",F2868="NEW"),"",INDEX(B2867:B$2,-1+SUMPRODUCT(MAX(ROW(E2867:E$2)*(E2868=E2867:E$2)))))</f>
        <v> </v>
      </c>
      <c r="J2868" s="25" t="str">
        <f>IF(OR(E2868="",E2868="!!!",F2868="NEW"),"",COUNTBLANK(OFFSET(A$1,,,SUMPRODUCT(MAX(ROW(E$2:E2868)*(E2868=E$2:E2868)))))-COUNTBLANK(OFFSET(A$1,,,SUMPRODUCT(MAX(ROW(E$1:E2867)*(E2=E$1:E2867))))))</f>
        <v> </v>
      </c>
      <c r="K2868" s="25" t="str">
        <f>IF(OR(E2868="",E2868="!!!",F2868="NEW"),"",INDEX(J$1:J2867,SUMPRODUCT(MAX(ROW(E$1:E2867)*(E2868=E$1:E2867)))))</f>
        <v> </v>
      </c>
      <c r="L2868" s="26"/>
    </row>
    <row r="2869" spans="1:12">
      <c r="A2869" s="20" t="s">
        <v>1539</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718</v>
      </c>
      <c r="E2870" s="21">
        <f>IF(D2870="?OLD","!!!","")</f>
        <v/>
      </c>
      <c r="F2870" s="22" t="str">
        <f>IF(OR(E2870="",E2870="!!!"),"",IF(NOT(ISNA(VLOOKUP(E2870,E$1:E2869,1,FALSE()))),"OLD",IF(AND(E2870&lt;&gt;"",E2870&lt;&gt;"!!!"),"NEW","")))</f>
        <v> </v>
      </c>
      <c r="G2870" s="23" t="str">
        <f>IF(OR(E2870="",E2870="!!!"),"",IF(OR(J2870=0,AND(J2870=1,K2870=1),AND(J2870=1,I2870="SBJ"),AND(J2870=1,I2870=0)),"?IN_FOCUS",IF(J2870&lt;=2,"?ACTIVATED",IF(J2870&lt;&gt;"","?FAMILIAR",IF(F2870="NEW",IF(ISNA(VLOOKUP(E2870,#REF!,1,FALSE())),"?TYPE_IDENTIFIABLE","?REFERENTIAL"),"_")))))</f>
        <v> </v>
      </c>
      <c r="H2870" s="24" t="str">
        <f>IF(J2870&lt;&gt;1,"",IF(I2870="SBJ","CB","?"))</f>
        <v> </v>
      </c>
      <c r="I2870" s="25" t="str">
        <f>IF(OR(E2870="",E2870="!!!",F2870="NEW"),"",INDEX(B2869:B$2,-1+SUMPRODUCT(MAX(ROW(E2869:E$2)*(E2870=E2869:E$2)))))</f>
        <v> </v>
      </c>
      <c r="J2870" s="25" t="str">
        <f>IF(OR(E2870="",E2870="!!!",F2870="NEW"),"",COUNTBLANK(OFFSET(A$1,,,SUMPRODUCT(MAX(ROW(E$2:E2870)*(E2870=E$2:E2870)))))-COUNTBLANK(OFFSET(A$1,,,SUMPRODUCT(MAX(ROW(E$1:E2869)*(E2=E$1:E2869))))))</f>
        <v> </v>
      </c>
      <c r="K2870" s="25" t="str">
        <f>IF(OR(E2870="",E2870="!!!",F2870="NEW"),"",INDEX(J$1:J2869,SUMPRODUCT(MAX(ROW(E$1:E2869)*(E2870=E$1:E2869)))))</f>
        <v> </v>
      </c>
      <c r="L2870" s="26"/>
    </row>
    <row r="2871" spans="1:12">
      <c r="A2871" s="20" t="s">
        <v>1024</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923</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t="s">
        <v>988</v>
      </c>
      <c r="B2873" s="27" t="s">
        <v>749</v>
      </c>
      <c r="C2873" s="27" t="s">
        <v>842</v>
      </c>
      <c r="D2873" s="27" t="s">
        <v>712</v>
      </c>
      <c r="E2873" s="21">
        <f>IF(D2873="?OLD","!!!","")</f>
        <v/>
      </c>
      <c r="F2873" s="22" t="str">
        <f>IF(OR(E2873="",E2873="!!!"),"",IF(NOT(ISNA(VLOOKUP(E2873,E$1:E2872,1,FALSE()))),"OLD",IF(AND(E2873&lt;&gt;"",E2873&lt;&gt;"!!!"),"NEW","")))</f>
        <v> </v>
      </c>
      <c r="G2873" s="23" t="str">
        <f>IF(OR(E2873="",E2873="!!!"),"",IF(OR(J2873=0,AND(J2873=1,K2873=1),AND(J2873=1,I2873="SBJ"),AND(J2873=1,I2873=0)),"?IN_FOCUS",IF(J2873&lt;=2,"?ACTIVATED",IF(J2873&lt;&gt;"","?FAMILIAR",IF(F2873="NEW",IF(ISNA(VLOOKUP(E2873,#REF!,1,FALSE())),"?TYPE_IDENTIFIABLE","?REFERENTIAL"),"_")))))</f>
        <v> </v>
      </c>
      <c r="H2873" s="24" t="str">
        <f>IF(J2873&lt;&gt;1,"",IF(I2873="SBJ","CB","?"))</f>
        <v> </v>
      </c>
      <c r="I2873" s="25" t="str">
        <f>IF(OR(E2873="",E2873="!!!",F2873="NEW"),"",INDEX(B2872:B$2,-1+SUMPRODUCT(MAX(ROW(E2872:E$2)*(E2873=E2872:E$2)))))</f>
        <v> </v>
      </c>
      <c r="J2873" s="25" t="str">
        <f>IF(OR(E2873="",E2873="!!!",F2873="NEW"),"",COUNTBLANK(OFFSET(A$1,,,SUMPRODUCT(MAX(ROW(E$2:E2873)*(E2873=E$2:E2873)))))-COUNTBLANK(OFFSET(A$1,,,SUMPRODUCT(MAX(ROW(E$1:E2872)*(E2=E$1:E2872))))))</f>
        <v> </v>
      </c>
      <c r="K2873" s="25" t="str">
        <f>IF(OR(E2873="",E2873="!!!",F2873="NEW"),"",INDEX(J$1:J2872,SUMPRODUCT(MAX(ROW(E$1:E2872)*(E2873=E$1:E2872)))))</f>
        <v> </v>
      </c>
      <c r="L2873" s="26"/>
    </row>
    <row r="2874" spans="1:12">
      <c r="A2874" s="20" t="s">
        <v>718</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1716</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t="s">
        <v>841</v>
      </c>
      <c r="B2876" s="27" t="s">
        <v>710</v>
      </c>
      <c r="C2876" s="27" t="s">
        <v>842</v>
      </c>
      <c r="D2876" s="27" t="s">
        <v>712</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t="s">
        <v>718</v>
      </c>
      <c r="E2877" s="21">
        <f>IF(D2877="?OLD","!!!","")</f>
        <v/>
      </c>
      <c r="F2877" s="22" t="str">
        <f>IF(OR(E2877="",E2877="!!!"),"",IF(NOT(ISNA(VLOOKUP(E2877,E$1:E2876,1,FALSE()))),"OLD",IF(AND(E2877&lt;&gt;"",E2877&lt;&gt;"!!!"),"NEW","")))</f>
        <v> </v>
      </c>
      <c r="G2877" s="23" t="str">
        <f>IF(OR(E2877="",E2877="!!!"),"",IF(OR(J2877=0,AND(J2877=1,K2877=1),AND(J2877=1,I2877="SBJ"),AND(J2877=1,I2877=0)),"?IN_FOCUS",IF(J2877&lt;=2,"?ACTIVATED",IF(J2877&lt;&gt;"","?FAMILIAR",IF(F2877="NEW",IF(ISNA(VLOOKUP(E2877,#REF!,1,FALSE())),"?TYPE_IDENTIFIABLE","?REFERENTIAL"),"_")))))</f>
        <v> </v>
      </c>
      <c r="H2877" s="24" t="str">
        <f>IF(J2877&lt;&gt;1,"",IF(I2877="SBJ","CB","?"))</f>
        <v> </v>
      </c>
      <c r="I2877" s="25" t="str">
        <f>IF(OR(E2877="",E2877="!!!",F2877="NEW"),"",INDEX(B2876:B$2,-1+SUMPRODUCT(MAX(ROW(E2876:E$2)*(E2877=E2876:E$2)))))</f>
        <v> </v>
      </c>
      <c r="J2877" s="25" t="str">
        <f>IF(OR(E2877="",E2877="!!!",F2877="NEW"),"",COUNTBLANK(OFFSET(A$1,,,SUMPRODUCT(MAX(ROW(E$2:E2877)*(E2877=E$2:E2877)))))-COUNTBLANK(OFFSET(A$1,,,SUMPRODUCT(MAX(ROW(E$1:E2876)*(E2=E$1:E2876))))))</f>
        <v> </v>
      </c>
      <c r="K2877" s="25" t="str">
        <f>IF(OR(E2877="",E2877="!!!",F2877="NEW"),"",INDEX(J$1:J2876,SUMPRODUCT(MAX(ROW(E$1:E2876)*(E2877=E$1:E2876)))))</f>
        <v> </v>
      </c>
      <c r="L2877" s="26"/>
    </row>
    <row r="2878" spans="1:12">
      <c r="A2878" s="20" t="s">
        <v>767</v>
      </c>
      <c r="E2878" s="21">
        <f>IF(D2878="?OLD","!!!","")</f>
        <v/>
      </c>
      <c r="F2878" s="22" t="str">
        <f>IF(OR(E2878="",E2878="!!!"),"",IF(NOT(ISNA(VLOOKUP(E2878,E$1:E2877,1,FALSE()))),"OLD",IF(AND(E2878&lt;&gt;"",E2878&lt;&gt;"!!!"),"NEW","")))</f>
        <v> </v>
      </c>
      <c r="G2878" s="23" t="str">
        <f>IF(OR(E2878="",E2878="!!!"),"",IF(OR(J2878=0,AND(J2878=1,K2878=1),AND(J2878=1,I2878="SBJ"),AND(J2878=1,I2878=0)),"?IN_FOCUS",IF(J2878&lt;=2,"?ACTIVATED",IF(J2878&lt;&gt;"","?FAMILIAR",IF(F2878="NEW",IF(ISNA(VLOOKUP(E2878,#REF!,1,FALSE())),"?TYPE_IDENTIFIABLE","?REFERENTIAL"),"_")))))</f>
        <v> </v>
      </c>
      <c r="H2878" s="24" t="str">
        <f>IF(J2878&lt;&gt;1,"",IF(I2878="SBJ","CB","?"))</f>
        <v> </v>
      </c>
      <c r="I2878" s="25" t="str">
        <f>IF(OR(E2878="",E2878="!!!",F2878="NEW"),"",INDEX(B2877:B$2,-1+SUMPRODUCT(MAX(ROW(E2877:E$2)*(E2878=E2877:E$2)))))</f>
        <v> </v>
      </c>
      <c r="J2878" s="25" t="str">
        <f>IF(OR(E2878="",E2878="!!!",F2878="NEW"),"",COUNTBLANK(OFFSET(A$1,,,SUMPRODUCT(MAX(ROW(E$2:E2878)*(E2878=E$2:E2878)))))-COUNTBLANK(OFFSET(A$1,,,SUMPRODUCT(MAX(ROW(E$1:E2877)*(E2=E$1:E2877))))))</f>
        <v> </v>
      </c>
      <c r="K2878" s="25" t="str">
        <f>IF(OR(E2878="",E2878="!!!",F2878="NEW"),"",INDEX(J$1:J2877,SUMPRODUCT(MAX(ROW(E$1:E2877)*(E2878=E$1:E2877)))))</f>
        <v> </v>
      </c>
      <c r="L2878" s="26"/>
    </row>
    <row r="2879" spans="1:12">
      <c r="A2879" s="20" t="s">
        <v>926</v>
      </c>
      <c r="B2879" s="27" t="s">
        <v>710</v>
      </c>
      <c r="C2879" s="27" t="s">
        <v>711</v>
      </c>
      <c r="D2879" s="27" t="s">
        <v>712</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993</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1717</v>
      </c>
      <c r="B2881" s="27" t="s">
        <v>731</v>
      </c>
      <c r="C2881" s="27" t="s">
        <v>761</v>
      </c>
      <c r="D2881" s="27" t="s">
        <v>712</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718</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767</v>
      </c>
      <c r="B2883" s="27" t="s">
        <v>720</v>
      </c>
      <c r="C2883" s="27" t="s">
        <v>743</v>
      </c>
      <c r="D2883" s="27" t="s">
        <v>712</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1054</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1718</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926</v>
      </c>
      <c r="B2886" s="27" t="s">
        <v>731</v>
      </c>
      <c r="C2886" s="27" t="s">
        <v>717</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975</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769</v>
      </c>
      <c r="B2888" s="27" t="s">
        <v>724</v>
      </c>
      <c r="C2888" s="27" t="s">
        <v>717</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923</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725</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row>
    <row r="2892" spans="1:12">
      <c r="A2892" s="20" t="s">
        <v>1719</v>
      </c>
    </row>
    <row r="2893" spans="1:12">
      <c r="A2893" s="20" t="s">
        <v>855</v>
      </c>
      <c r="B2893" s="27" t="s">
        <v>710</v>
      </c>
      <c r="C2893" s="27" t="s">
        <v>842</v>
      </c>
      <c r="D2893" s="27" t="s">
        <v>712</v>
      </c>
      <c r="E2893" s="21">
        <f>IF(D2893="?OLD","!!!","")</f>
        <v/>
      </c>
      <c r="F2893" s="22" t="str">
        <f>IF(OR(E2893="",E2893="!!!"),"",IF(NOT(ISNA(VLOOKUP(E2893,E$1:E2892,1,FALSE()))),"OLD",IF(AND(E2893&lt;&gt;"",E2893&lt;&gt;"!!!"),"NEW","")))</f>
        <v> </v>
      </c>
      <c r="G2893" s="23" t="str">
        <f>IF(OR(E2893="",E2893="!!!"),"",IF(OR(J2893=0,AND(J2893=1,K2893=1),AND(J2893=1,I2893="SBJ"),AND(J2893=1,I2893=0)),"?IN_FOCUS",IF(J2893&lt;=2,"?ACTIVATED",IF(J2893&lt;&gt;"","?FAMILIAR",IF(F2893="NEW",IF(ISNA(VLOOKUP(E2893,#REF!,1,FALSE())),"?TYPE_IDENTIFIABLE","?REFERENTIAL"),"_")))))</f>
        <v> </v>
      </c>
      <c r="H2893" s="24" t="str">
        <f>IF(J2893&lt;&gt;1,"",IF(I2893="SBJ","CB","?"))</f>
        <v> </v>
      </c>
      <c r="I2893" s="25" t="str">
        <f>IF(OR(E2893="",E2893="!!!",F2893="NEW"),"",INDEX(B2892:B$2,-1+SUMPRODUCT(MAX(ROW(E2892:E$2)*(E2893=E2892:E$2)))))</f>
        <v> </v>
      </c>
      <c r="J2893" s="25" t="str">
        <f>IF(OR(E2893="",E2893="!!!",F2893="NEW"),"",COUNTBLANK(OFFSET(A$1,,,SUMPRODUCT(MAX(ROW(E$2:E2893)*(E2893=E$2:E2893)))))-COUNTBLANK(OFFSET(A$1,,,SUMPRODUCT(MAX(ROW(E$1:E2892)*(E2=E$1:E2892))))))</f>
        <v> </v>
      </c>
      <c r="K2893" s="25" t="str">
        <f>IF(OR(E2893="",E2893="!!!",F2893="NEW"),"",INDEX(J$1:J2892,SUMPRODUCT(MAX(ROW(E$1:E2892)*(E2893=E$1:E2892)))))</f>
        <v> </v>
      </c>
      <c r="L2893" s="26"/>
    </row>
    <row r="2894" spans="1:12">
      <c r="A2894" s="20" t="s">
        <v>1720</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1721</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718</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767</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1722</v>
      </c>
      <c r="B2898" s="27" t="s">
        <v>818</v>
      </c>
      <c r="C2898" s="27" t="s">
        <v>711</v>
      </c>
      <c r="D2898" s="27" t="s">
        <v>712</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t="s">
        <v>1723</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t="s">
        <v>718</v>
      </c>
      <c r="E2900" s="21">
        <f>IF(D2900="?OLD","!!!","")</f>
        <v/>
      </c>
      <c r="F2900" s="22" t="str">
        <f>IF(OR(E2900="",E2900="!!!"),"",IF(NOT(ISNA(VLOOKUP(E2900,E$1:E2899,1,FALSE()))),"OLD",IF(AND(E2900&lt;&gt;"",E2900&lt;&gt;"!!!"),"NEW","")))</f>
        <v> </v>
      </c>
      <c r="G2900" s="23" t="str">
        <f>IF(OR(E2900="",E2900="!!!"),"",IF(OR(J2900=0,AND(J2900=1,K2900=1),AND(J2900=1,I2900="SBJ"),AND(J2900=1,I2900=0)),"?IN_FOCUS",IF(J2900&lt;=2,"?ACTIVATED",IF(J2900&lt;&gt;"","?FAMILIAR",IF(F2900="NEW",IF(ISNA(VLOOKUP(E2900,#REF!,1,FALSE())),"?TYPE_IDENTIFIABLE","?REFERENTIAL"),"_")))))</f>
        <v> </v>
      </c>
      <c r="H2900" s="24" t="str">
        <f>IF(J2900&lt;&gt;1,"",IF(I2900="SBJ","CB","?"))</f>
        <v> </v>
      </c>
      <c r="I2900" s="25" t="str">
        <f>IF(OR(E2900="",E2900="!!!",F2900="NEW"),"",INDEX(B2899:B$2,-1+SUMPRODUCT(MAX(ROW(E2899:E$2)*(E2900=E2899:E$2)))))</f>
        <v> </v>
      </c>
      <c r="J2900" s="25" t="str">
        <f>IF(OR(E2900="",E2900="!!!",F2900="NEW"),"",COUNTBLANK(OFFSET(A$1,,,SUMPRODUCT(MAX(ROW(E$2:E2900)*(E2900=E$2:E2900)))))-COUNTBLANK(OFFSET(A$1,,,SUMPRODUCT(MAX(ROW(E$1:E2899)*(E2=E$1:E2899))))))</f>
        <v> </v>
      </c>
      <c r="K2900" s="25" t="str">
        <f>IF(OR(E2900="",E2900="!!!",F2900="NEW"),"",INDEX(J$1:J2899,SUMPRODUCT(MAX(ROW(E$1:E2899)*(E2900=E$1:E2899)))))</f>
        <v> </v>
      </c>
      <c r="L2900" s="26"/>
    </row>
    <row r="2901" spans="1:12">
      <c r="A2901" s="20" t="s">
        <v>730</v>
      </c>
      <c r="B2901" s="27" t="s">
        <v>731</v>
      </c>
      <c r="C2901" s="27" t="s">
        <v>732</v>
      </c>
      <c r="E2901" s="21">
        <f>IF(D2901="?OLD","!!!","")</f>
        <v/>
      </c>
      <c r="F2901" s="22" t="str">
        <f>IF(OR(E2901="",E2901="!!!"),"",IF(NOT(ISNA(VLOOKUP(E2901,E$1:E2900,1,FALSE()))),"OLD",IF(AND(E2901&lt;&gt;"",E2901&lt;&gt;"!!!"),"NEW","")))</f>
        <v> </v>
      </c>
      <c r="G2901" s="23" t="str">
        <f>IF(OR(E2901="",E2901="!!!"),"",IF(OR(J2901=0,AND(J2901=1,K2901=1),AND(J2901=1,I2901="SBJ"),AND(J2901=1,I2901=0)),"?IN_FOCUS",IF(J2901&lt;=2,"?ACTIVATED",IF(J2901&lt;&gt;"","?FAMILIAR",IF(F2901="NEW",IF(ISNA(VLOOKUP(E2901,#REF!,1,FALSE())),"?TYPE_IDENTIFIABLE","?REFERENTIAL"),"_")))))</f>
        <v> </v>
      </c>
      <c r="H2901" s="24" t="str">
        <f>IF(J2901&lt;&gt;1,"",IF(I2901="SBJ","CB","?"))</f>
        <v> </v>
      </c>
      <c r="I2901" s="25" t="str">
        <f>IF(OR(E2901="",E2901="!!!",F2901="NEW"),"",INDEX(B2900:B$2,-1+SUMPRODUCT(MAX(ROW(E2900:E$2)*(E2901=E2900:E$2)))))</f>
        <v> </v>
      </c>
      <c r="J2901" s="25" t="str">
        <f>IF(OR(E2901="",E2901="!!!",F2901="NEW"),"",COUNTBLANK(OFFSET(A$1,,,SUMPRODUCT(MAX(ROW(E$2:E2901)*(E2901=E$2:E2901)))))-COUNTBLANK(OFFSET(A$1,,,SUMPRODUCT(MAX(ROW(E$1:E2900)*(E2=E$1:E2900))))))</f>
        <v> </v>
      </c>
      <c r="K2901" s="25" t="str">
        <f>IF(OR(E2901="",E2901="!!!",F2901="NEW"),"",INDEX(J$1:J2900,SUMPRODUCT(MAX(ROW(E$1:E2900)*(E2901=E$1:E2900)))))</f>
        <v> </v>
      </c>
      <c r="L2901" s="26"/>
    </row>
    <row r="2902" spans="1:12">
      <c r="A2902" s="20" t="s">
        <v>1724</v>
      </c>
      <c r="B2902" s="27" t="s">
        <v>716</v>
      </c>
      <c r="C2902" s="27" t="s">
        <v>717</v>
      </c>
      <c r="E2902" s="21">
        <f>IF(D2902="?OLD","!!!","")</f>
        <v/>
      </c>
      <c r="F2902" s="22" t="str">
        <f>IF(OR(E2902="",E2902="!!!"),"",IF(NOT(ISNA(VLOOKUP(E2902,E$1:E2901,1,FALSE()))),"OLD",IF(AND(E2902&lt;&gt;"",E2902&lt;&gt;"!!!"),"NEW","")))</f>
        <v> </v>
      </c>
      <c r="G2902" s="23" t="str">
        <f>IF(OR(E2902="",E2902="!!!"),"",IF(OR(J2902=0,AND(J2902=1,K2902=1),AND(J2902=1,I2902="SBJ"),AND(J2902=1,I2902=0)),"?IN_FOCUS",IF(J2902&lt;=2,"?ACTIVATED",IF(J2902&lt;&gt;"","?FAMILIAR",IF(F2902="NEW",IF(ISNA(VLOOKUP(E2902,#REF!,1,FALSE())),"?TYPE_IDENTIFIABLE","?REFERENTIAL"),"_")))))</f>
        <v> </v>
      </c>
      <c r="H2902" s="24" t="str">
        <f>IF(J2902&lt;&gt;1,"",IF(I2902="SBJ","CB","?"))</f>
        <v> </v>
      </c>
      <c r="I2902" s="25" t="str">
        <f>IF(OR(E2902="",E2902="!!!",F2902="NEW"),"",INDEX(B2901:B$2,-1+SUMPRODUCT(MAX(ROW(E2901:E$2)*(E2902=E2901:E$2)))))</f>
        <v> </v>
      </c>
      <c r="J2902" s="25" t="str">
        <f>IF(OR(E2902="",E2902="!!!",F2902="NEW"),"",COUNTBLANK(OFFSET(A$1,,,SUMPRODUCT(MAX(ROW(E$2:E2902)*(E2902=E$2:E2902)))))-COUNTBLANK(OFFSET(A$1,,,SUMPRODUCT(MAX(ROW(E$1:E2901)*(E2=E$1:E2901))))))</f>
        <v> </v>
      </c>
      <c r="K2902" s="25" t="str">
        <f>IF(OR(E2902="",E2902="!!!",F2902="NEW"),"",INDEX(J$1:J2901,SUMPRODUCT(MAX(ROW(E$1:E2901)*(E2902=E$1:E2901)))))</f>
        <v> </v>
      </c>
      <c r="L2902" s="26"/>
    </row>
    <row r="2903" spans="1:12">
      <c r="A2903" s="20" t="s">
        <v>782</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1725</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755</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709</v>
      </c>
      <c r="B2906" s="27" t="s">
        <v>731</v>
      </c>
      <c r="C2906" s="27" t="s">
        <v>739</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718</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1057</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890</v>
      </c>
      <c r="B2909" s="27" t="s">
        <v>809</v>
      </c>
      <c r="C2909" s="27" t="s">
        <v>892</v>
      </c>
      <c r="D2909" s="27" t="s">
        <v>712</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709</v>
      </c>
      <c r="B2910" s="27" t="s">
        <v>881</v>
      </c>
      <c r="C2910" s="27" t="s">
        <v>717</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t="s">
        <v>1726</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t="s">
        <v>725</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row>
    <row r="2914" spans="1:12">
      <c r="A2914" s="20" t="s">
        <v>1727</v>
      </c>
    </row>
    <row r="2915" spans="1:12">
      <c r="A2915" s="20" t="s">
        <v>1082</v>
      </c>
      <c r="B2915" s="27" t="s">
        <v>710</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767</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1728</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723</v>
      </c>
      <c r="B2918" s="27" t="s">
        <v>716</v>
      </c>
      <c r="C2918" s="27" t="s">
        <v>711</v>
      </c>
      <c r="D2918" s="27" t="s">
        <v>712</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t="s">
        <v>748</v>
      </c>
      <c r="E2919" s="21">
        <f>IF(D2919="?OLD","!!!","")</f>
        <v/>
      </c>
      <c r="F2919" s="22" t="str">
        <f>IF(OR(E2919="",E2919="!!!"),"",IF(NOT(ISNA(VLOOKUP(E2919,E$1:E2918,1,FALSE()))),"OLD",IF(AND(E2919&lt;&gt;"",E2919&lt;&gt;"!!!"),"NEW","")))</f>
        <v> </v>
      </c>
      <c r="G2919" s="23" t="str">
        <f>IF(OR(E2919="",E2919="!!!"),"",IF(OR(J2919=0,AND(J2919=1,K2919=1),AND(J2919=1,I2919="SBJ"),AND(J2919=1,I2919=0)),"?IN_FOCUS",IF(J2919&lt;=2,"?ACTIVATED",IF(J2919&lt;&gt;"","?FAMILIAR",IF(F2919="NEW",IF(ISNA(VLOOKUP(E2919,#REF!,1,FALSE())),"?TYPE_IDENTIFIABLE","?REFERENTIAL"),"_")))))</f>
        <v> </v>
      </c>
      <c r="H2919" s="24" t="str">
        <f>IF(J2919&lt;&gt;1,"",IF(I2919="SBJ","CB","?"))</f>
        <v> </v>
      </c>
      <c r="I2919" s="25" t="str">
        <f>IF(OR(E2919="",E2919="!!!",F2919="NEW"),"",INDEX(B2918:B$2,-1+SUMPRODUCT(MAX(ROW(E2918:E$2)*(E2919=E2918:E$2)))))</f>
        <v> </v>
      </c>
      <c r="J2919" s="25" t="str">
        <f>IF(OR(E2919="",E2919="!!!",F2919="NEW"),"",COUNTBLANK(OFFSET(A$1,,,SUMPRODUCT(MAX(ROW(E$2:E2919)*(E2919=E$2:E2919)))))-COUNTBLANK(OFFSET(A$1,,,SUMPRODUCT(MAX(ROW(E$1:E2918)*(E2=E$1:E2918))))))</f>
        <v> </v>
      </c>
      <c r="K2919" s="25" t="str">
        <f>IF(OR(E2919="",E2919="!!!",F2919="NEW"),"",INDEX(J$1:J2918,SUMPRODUCT(MAX(ROW(E$1:E2918)*(E2919=E$1:E2918)))))</f>
        <v> </v>
      </c>
      <c r="L2919" s="26"/>
    </row>
    <row r="2920" spans="1:12">
      <c r="A2920" s="20" t="s">
        <v>753</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t="s">
        <v>1729</v>
      </c>
      <c r="E2921" s="21">
        <f>IF(D2921="?OLD","!!!","")</f>
        <v/>
      </c>
      <c r="F2921" s="22" t="str">
        <f>IF(OR(E2921="",E2921="!!!"),"",IF(NOT(ISNA(VLOOKUP(E2921,E$1:E2920,1,FALSE()))),"OLD",IF(AND(E2921&lt;&gt;"",E2921&lt;&gt;"!!!"),"NEW","")))</f>
        <v> </v>
      </c>
      <c r="G2921" s="23" t="str">
        <f>IF(OR(E2921="",E2921="!!!"),"",IF(OR(J2921=0,AND(J2921=1,K2921=1),AND(J2921=1,I2921="SBJ"),AND(J2921=1,I2921=0)),"?IN_FOCUS",IF(J2921&lt;=2,"?ACTIVATED",IF(J2921&lt;&gt;"","?FAMILIAR",IF(F2921="NEW",IF(ISNA(VLOOKUP(E2921,#REF!,1,FALSE())),"?TYPE_IDENTIFIABLE","?REFERENTIAL"),"_")))))</f>
        <v> </v>
      </c>
      <c r="H2921" s="24" t="str">
        <f>IF(J2921&lt;&gt;1,"",IF(I2921="SBJ","CB","?"))</f>
        <v> </v>
      </c>
      <c r="I2921" s="25" t="str">
        <f>IF(OR(E2921="",E2921="!!!",F2921="NEW"),"",INDEX(B2920:B$2,-1+SUMPRODUCT(MAX(ROW(E2920:E$2)*(E2921=E2920:E$2)))))</f>
        <v> </v>
      </c>
      <c r="J2921" s="25" t="str">
        <f>IF(OR(E2921="",E2921="!!!",F2921="NEW"),"",COUNTBLANK(OFFSET(A$1,,,SUMPRODUCT(MAX(ROW(E$2:E2921)*(E2921=E$2:E2921)))))-COUNTBLANK(OFFSET(A$1,,,SUMPRODUCT(MAX(ROW(E$1:E2920)*(E2=E$1:E2920))))))</f>
        <v> </v>
      </c>
      <c r="K2921" s="25" t="str">
        <f>IF(OR(E2921="",E2921="!!!",F2921="NEW"),"",INDEX(J$1:J2920,SUMPRODUCT(MAX(ROW(E$1:E2920)*(E2921=E$1:E2920)))))</f>
        <v> </v>
      </c>
      <c r="L2921" s="26"/>
    </row>
    <row r="2922" spans="1:12">
      <c r="A2922" s="20" t="s">
        <v>868</v>
      </c>
      <c r="B2922" s="27" t="s">
        <v>749</v>
      </c>
      <c r="C2922" s="27" t="s">
        <v>842</v>
      </c>
      <c r="D2922" s="27" t="s">
        <v>712</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988</v>
      </c>
      <c r="B2923" s="27" t="s">
        <v>749</v>
      </c>
      <c r="C2923" s="27" t="s">
        <v>842</v>
      </c>
      <c r="D2923" s="27" t="s">
        <v>712</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t="s">
        <v>773</v>
      </c>
      <c r="E2924" s="21">
        <f>IF(D2924="?OLD","!!!","")</f>
        <v/>
      </c>
      <c r="F2924" s="22" t="str">
        <f>IF(OR(E2924="",E2924="!!!"),"",IF(NOT(ISNA(VLOOKUP(E2924,E$1:E2923,1,FALSE()))),"OLD",IF(AND(E2924&lt;&gt;"",E2924&lt;&gt;"!!!"),"NEW","")))</f>
        <v> </v>
      </c>
      <c r="G2924" s="23" t="str">
        <f>IF(OR(E2924="",E2924="!!!"),"",IF(OR(J2924=0,AND(J2924=1,K2924=1),AND(J2924=1,I2924="SBJ"),AND(J2924=1,I2924=0)),"?IN_FOCUS",IF(J2924&lt;=2,"?ACTIVATED",IF(J2924&lt;&gt;"","?FAMILIAR",IF(F2924="NEW",IF(ISNA(VLOOKUP(E2924,#REF!,1,FALSE())),"?TYPE_IDENTIFIABLE","?REFERENTIAL"),"_")))))</f>
        <v> </v>
      </c>
      <c r="H2924" s="24" t="str">
        <f>IF(J2924&lt;&gt;1,"",IF(I2924="SBJ","CB","?"))</f>
        <v> </v>
      </c>
      <c r="I2924" s="25" t="str">
        <f>IF(OR(E2924="",E2924="!!!",F2924="NEW"),"",INDEX(B2923:B$2,-1+SUMPRODUCT(MAX(ROW(E2923:E$2)*(E2924=E2923:E$2)))))</f>
        <v> </v>
      </c>
      <c r="J2924" s="25" t="str">
        <f>IF(OR(E2924="",E2924="!!!",F2924="NEW"),"",COUNTBLANK(OFFSET(A$1,,,SUMPRODUCT(MAX(ROW(E$2:E2924)*(E2924=E$2:E2924)))))-COUNTBLANK(OFFSET(A$1,,,SUMPRODUCT(MAX(ROW(E$1:E2923)*(E2=E$1:E2923))))))</f>
        <v> </v>
      </c>
      <c r="K2924" s="25" t="str">
        <f>IF(OR(E2924="",E2924="!!!",F2924="NEW"),"",INDEX(J$1:J2923,SUMPRODUCT(MAX(ROW(E$1:E2923)*(E2924=E$1:E2923)))))</f>
        <v> </v>
      </c>
      <c r="L2924" s="26"/>
    </row>
    <row r="2925" spans="1:12">
      <c r="A2925" s="20" t="s">
        <v>1035</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row>
    <row r="2927" spans="1:12">
      <c r="A2927" s="20" t="s">
        <v>1730</v>
      </c>
    </row>
    <row r="2928" spans="1:12">
      <c r="A2928" s="20" t="s">
        <v>1731</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686</v>
      </c>
      <c r="B2929" s="27" t="s">
        <v>716</v>
      </c>
      <c r="C2929" s="27" t="s">
        <v>778</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718</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t="s">
        <v>1732</v>
      </c>
      <c r="B2931" s="27" t="s">
        <v>731</v>
      </c>
      <c r="C2931" s="27" t="s">
        <v>892</v>
      </c>
      <c r="D2931" s="27" t="s">
        <v>712</v>
      </c>
      <c r="E2931" s="21">
        <f>IF(D2931="?OLD","!!!","")</f>
        <v/>
      </c>
      <c r="F2931" s="22" t="str">
        <f>IF(OR(E2931="",E2931="!!!"),"",IF(NOT(ISNA(VLOOKUP(E2931,E$1:E2930,1,FALSE()))),"OLD",IF(AND(E2931&lt;&gt;"",E2931&lt;&gt;"!!!"),"NEW","")))</f>
        <v> </v>
      </c>
      <c r="G2931" s="23" t="str">
        <f>IF(OR(E2931="",E2931="!!!"),"",IF(OR(J2931=0,AND(J2931=1,K2931=1),AND(J2931=1,I2931="SBJ"),AND(J2931=1,I2931=0)),"?IN_FOCUS",IF(J2931&lt;=2,"?ACTIVATED",IF(J2931&lt;&gt;"","?FAMILIAR",IF(F2931="NEW",IF(ISNA(VLOOKUP(E2931,#REF!,1,FALSE())),"?TYPE_IDENTIFIABLE","?REFERENTIAL"),"_")))))</f>
        <v> </v>
      </c>
      <c r="H2931" s="24" t="str">
        <f>IF(J2931&lt;&gt;1,"",IF(I2931="SBJ","CB","?"))</f>
        <v> </v>
      </c>
      <c r="I2931" s="25" t="str">
        <f>IF(OR(E2931="",E2931="!!!",F2931="NEW"),"",INDEX(B2930:B$2,-1+SUMPRODUCT(MAX(ROW(E2930:E$2)*(E2931=E2930:E$2)))))</f>
        <v> </v>
      </c>
      <c r="J2931" s="25" t="str">
        <f>IF(OR(E2931="",E2931="!!!",F2931="NEW"),"",COUNTBLANK(OFFSET(A$1,,,SUMPRODUCT(MAX(ROW(E$2:E2931)*(E2931=E$2:E2931)))))-COUNTBLANK(OFFSET(A$1,,,SUMPRODUCT(MAX(ROW(E$1:E2930)*(E2=E$1:E2930))))))</f>
        <v> </v>
      </c>
      <c r="K2931" s="25" t="str">
        <f>IF(OR(E2931="",E2931="!!!",F2931="NEW"),"",INDEX(J$1:J2930,SUMPRODUCT(MAX(ROW(E$1:E2930)*(E2931=E$1:E2930)))))</f>
        <v> </v>
      </c>
      <c r="L2931" s="26"/>
    </row>
    <row r="2932" spans="1:12">
      <c r="A2932" s="20" t="s">
        <v>1733</v>
      </c>
      <c r="B2932" s="27" t="s">
        <v>716</v>
      </c>
      <c r="C2932" s="27" t="s">
        <v>717</v>
      </c>
      <c r="E2932" s="21">
        <f>IF(D2932="?OLD","!!!","")</f>
        <v/>
      </c>
      <c r="F2932" s="22" t="str">
        <f>IF(OR(E2932="",E2932="!!!"),"",IF(NOT(ISNA(VLOOKUP(E2932,E$1:E2931,1,FALSE()))),"OLD",IF(AND(E2932&lt;&gt;"",E2932&lt;&gt;"!!!"),"NEW","")))</f>
        <v> </v>
      </c>
      <c r="G2932" s="23" t="str">
        <f>IF(OR(E2932="",E2932="!!!"),"",IF(OR(J2932=0,AND(J2932=1,K2932=1),AND(J2932=1,I2932="SBJ"),AND(J2932=1,I2932=0)),"?IN_FOCUS",IF(J2932&lt;=2,"?ACTIVATED",IF(J2932&lt;&gt;"","?FAMILIAR",IF(F2932="NEW",IF(ISNA(VLOOKUP(E2932,#REF!,1,FALSE())),"?TYPE_IDENTIFIABLE","?REFERENTIAL"),"_")))))</f>
        <v> </v>
      </c>
      <c r="H2932" s="24" t="str">
        <f>IF(J2932&lt;&gt;1,"",IF(I2932="SBJ","CB","?"))</f>
        <v> </v>
      </c>
      <c r="I2932" s="25" t="str">
        <f>IF(OR(E2932="",E2932="!!!",F2932="NEW"),"",INDEX(B2931:B$2,-1+SUMPRODUCT(MAX(ROW(E2931:E$2)*(E2932=E2931:E$2)))))</f>
        <v> </v>
      </c>
      <c r="J2932" s="25" t="str">
        <f>IF(OR(E2932="",E2932="!!!",F2932="NEW"),"",COUNTBLANK(OFFSET(A$1,,,SUMPRODUCT(MAX(ROW(E$2:E2932)*(E2932=E$2:E2932)))))-COUNTBLANK(OFFSET(A$1,,,SUMPRODUCT(MAX(ROW(E$1:E2931)*(E2=E$1:E2931))))))</f>
        <v> </v>
      </c>
      <c r="K2932" s="25" t="str">
        <f>IF(OR(E2932="",E2932="!!!",F2932="NEW"),"",INDEX(J$1:J2931,SUMPRODUCT(MAX(ROW(E$1:E2931)*(E2932=E$1:E2931)))))</f>
        <v> </v>
      </c>
      <c r="L2932" s="26"/>
    </row>
    <row r="2933" spans="1:12">
      <c r="A2933" s="20" t="s">
        <v>725</v>
      </c>
      <c r="E2933" s="21">
        <f>IF(D2933="?OLD","!!!","")</f>
        <v/>
      </c>
      <c r="F2933" s="22" t="str">
        <f>IF(OR(E2933="",E2933="!!!"),"",IF(NOT(ISNA(VLOOKUP(E2933,E$1:E2932,1,FALSE()))),"OLD",IF(AND(E2933&lt;&gt;"",E2933&lt;&gt;"!!!"),"NEW","")))</f>
        <v> </v>
      </c>
      <c r="G2933" s="23" t="str">
        <f>IF(OR(E2933="",E2933="!!!"),"",IF(OR(J2933=0,AND(J2933=1,K2933=1),AND(J2933=1,I2933="SBJ"),AND(J2933=1,I2933=0)),"?IN_FOCUS",IF(J2933&lt;=2,"?ACTIVATED",IF(J2933&lt;&gt;"","?FAMILIAR",IF(F2933="NEW",IF(ISNA(VLOOKUP(E2933,#REF!,1,FALSE())),"?TYPE_IDENTIFIABLE","?REFERENTIAL"),"_")))))</f>
        <v> </v>
      </c>
      <c r="H2933" s="24" t="str">
        <f>IF(J2933&lt;&gt;1,"",IF(I2933="SBJ","CB","?"))</f>
        <v> </v>
      </c>
      <c r="I2933" s="25" t="str">
        <f>IF(OR(E2933="",E2933="!!!",F2933="NEW"),"",INDEX(B2932:B$2,-1+SUMPRODUCT(MAX(ROW(E2932:E$2)*(E2933=E2932:E$2)))))</f>
        <v> </v>
      </c>
      <c r="J2933" s="25" t="str">
        <f>IF(OR(E2933="",E2933="!!!",F2933="NEW"),"",COUNTBLANK(OFFSET(A$1,,,SUMPRODUCT(MAX(ROW(E$2:E2933)*(E2933=E$2:E2933)))))-COUNTBLANK(OFFSET(A$1,,,SUMPRODUCT(MAX(ROW(E$1:E2932)*(E2=E$1:E2932))))))</f>
        <v> </v>
      </c>
      <c r="K2933" s="25" t="str">
        <f>IF(OR(E2933="",E2933="!!!",F2933="NEW"),"",INDEX(J$1:J2932,SUMPRODUCT(MAX(ROW(E$1:E2932)*(E2933=E$1:E2932)))))</f>
        <v> </v>
      </c>
      <c r="L2933" s="26"/>
    </row>
    <row r="2934" spans="1:12">
      <c r="A2934" s="20"/>
    </row>
    <row r="2935" spans="1:12">
      <c r="A2935" s="20" t="s">
        <v>1734</v>
      </c>
    </row>
    <row r="2936" spans="1:12">
      <c r="A2936" s="20" t="s">
        <v>1735</v>
      </c>
      <c r="B2936" s="27" t="s">
        <v>716</v>
      </c>
      <c r="C2936" s="27" t="s">
        <v>717</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t="s">
        <v>725</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row>
    <row r="2939" spans="1:12">
      <c r="A2939" s="20" t="s">
        <v>1736</v>
      </c>
    </row>
    <row r="2940" spans="1:12">
      <c r="A2940" s="20" t="s">
        <v>920</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t="s">
        <v>693</v>
      </c>
      <c r="B2941" s="27" t="s">
        <v>716</v>
      </c>
      <c r="C2941" s="27" t="s">
        <v>717</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t="s">
        <v>921</v>
      </c>
      <c r="E2942" s="21">
        <f>IF(D2942="?OLD","!!!","")</f>
        <v/>
      </c>
      <c r="F2942" s="22" t="str">
        <f>IF(OR(E2942="",E2942="!!!"),"",IF(NOT(ISNA(VLOOKUP(E2942,E$1:E2941,1,FALSE()))),"OLD",IF(AND(E2942&lt;&gt;"",E2942&lt;&gt;"!!!"),"NEW","")))</f>
        <v> </v>
      </c>
      <c r="G2942" s="23" t="str">
        <f>IF(OR(E2942="",E2942="!!!"),"",IF(OR(J2942=0,AND(J2942=1,K2942=1),AND(J2942=1,I2942="SBJ"),AND(J2942=1,I2942=0)),"?IN_FOCUS",IF(J2942&lt;=2,"?ACTIVATED",IF(J2942&lt;&gt;"","?FAMILIAR",IF(F2942="NEW",IF(ISNA(VLOOKUP(E2942,#REF!,1,FALSE())),"?TYPE_IDENTIFIABLE","?REFERENTIAL"),"_")))))</f>
        <v> </v>
      </c>
      <c r="H2942" s="24" t="str">
        <f>IF(J2942&lt;&gt;1,"",IF(I2942="SBJ","CB","?"))</f>
        <v> </v>
      </c>
      <c r="I2942" s="25" t="str">
        <f>IF(OR(E2942="",E2942="!!!",F2942="NEW"),"",INDEX(B2941:B$2,-1+SUMPRODUCT(MAX(ROW(E2941:E$2)*(E2942=E2941:E$2)))))</f>
        <v> </v>
      </c>
      <c r="J2942" s="25" t="str">
        <f>IF(OR(E2942="",E2942="!!!",F2942="NEW"),"",COUNTBLANK(OFFSET(A$1,,,SUMPRODUCT(MAX(ROW(E$2:E2942)*(E2942=E$2:E2942)))))-COUNTBLANK(OFFSET(A$1,,,SUMPRODUCT(MAX(ROW(E$1:E2941)*(E2=E$1:E2941))))))</f>
        <v> </v>
      </c>
      <c r="K2942" s="25" t="str">
        <f>IF(OR(E2942="",E2942="!!!",F2942="NEW"),"",INDEX(J$1:J2941,SUMPRODUCT(MAX(ROW(E$1:E2941)*(E2942=E$1:E2941)))))</f>
        <v> </v>
      </c>
      <c r="L2942" s="26"/>
    </row>
    <row r="2943" spans="1:12">
      <c r="A2943"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2025-07-10T18:04:01Z</dcterms:created>
  <dcterms:modified xsi:type="dcterms:W3CDTF">2025-07-10T18:04:01Z</dcterms:modified>
</cp:coreProperties>
</file>