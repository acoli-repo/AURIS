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<sst xmlns="http://schemas.openxmlformats.org/spreadsheetml/2006/main" count="7007" uniqueCount="2340">
  <si>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</si>
  <si>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</si>
  <si>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</si>
  <si>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</si>
  <si>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</si>
  <si>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</si>
  <si>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</si>
  <si>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</si>
  <si>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</si>
  <si>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</si>
  <si>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</si>
  <si>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</si>
  <si>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давать</t>
  </si>
  <si>
    <t>Давайте представим , что у нас тут стоит машина большая , классная , в стиле TED машина . . . . . . машина времени .</t>
  </si>
  <si>
    <t>file://conllu/ru/teddy-1325.conllu#s1_0</t>
  </si>
  <si>
    <t>2</t>
  </si>
  <si>
    <t>6</t>
  </si>
  <si>
    <t>должен</t>
  </si>
  <si>
    <t>И все в этом зале должны в неё сесть .</t>
  </si>
  <si>
    <t>file://conllu/ru/teddy-1325.conllu#s2_0</t>
  </si>
  <si>
    <t>3</t>
  </si>
  <si>
    <t>мочь</t>
  </si>
  <si>
    <t>Вы можете отправиться в прошлое или в будущее , но здесь , в настоящем , остаться вы не можете .</t>
  </si>
  <si>
    <t>file://conllu/ru/teddy-1325.conllu#s3_0</t>
  </si>
  <si>
    <t>4</t>
  </si>
  <si>
    <t>Потому?</t>
  </si>
  <si>
    <t>любопытный</t>
  </si>
  <si>
    <t>Мне очень любопытно , что же вы выберете , потому что я в последнее время часто задаю этот вопрос своим друзьям , и все они хотят отправиться в прошлое .</t>
  </si>
  <si>
    <t>file://conllu/ru/teddy-1325.conllu#s4_0</t>
  </si>
  <si>
    <t>5</t>
  </si>
  <si>
    <t>понимать</t>
  </si>
  <si>
    <t>Не понимаю .</t>
  </si>
  <si>
    <t>file://conllu/ru/teddy-1325.conllu#s5_0</t>
  </si>
  <si>
    <t>хотеть</t>
  </si>
  <si>
    <t>Они хотят отправиться во времена , когда не было автомобилей , или твиттера , или &amp;quot; Минуты славы &amp;quot; .</t>
  </si>
  <si>
    <t>file://conllu/ru/teddy-1325.conllu#s6_0</t>
  </si>
  <si>
    <t>7</t>
  </si>
  <si>
    <t>Я не понимаю .</t>
  </si>
  <si>
    <t>file://conllu/ru/teddy-1325.conllu#s7_0</t>
  </si>
  <si>
    <t>8</t>
  </si>
  <si>
    <t>уверенный</t>
  </si>
  <si>
    <t>Я уверен , что это какое-то стремление к ностальгии , попытка выдать желаемое за действительное .</t>
  </si>
  <si>
    <t>file://conllu/ru/teddy-1325.conllu#s8_0</t>
  </si>
  <si>
    <t>9</t>
  </si>
  <si>
    <t>Я это понимаю .</t>
  </si>
  <si>
    <t>file://conllu/ru/teddy-1325.conllu#s9_0</t>
  </si>
  <si>
    <t>10</t>
  </si>
  <si>
    <t>Но должен сказать , я не из таких .</t>
  </si>
  <si>
    <t>file://conllu/ru/teddy-1325.conllu#s10_0</t>
  </si>
  <si>
    <t>11</t>
  </si>
  <si>
    <t>Я не хочу в прошлое , и это не потому что я ищу приключений это потому что возможности на этой планете не возникают в прошлом , они возникают в будущем .</t>
  </si>
  <si>
    <t>file://conllu/ru/teddy-1325.conllu#s11_0</t>
  </si>
  <si>
    <t>12</t>
  </si>
  <si>
    <t>Поэтому я хочу сесть в эту машину и отправиться в будущее .</t>
  </si>
  <si>
    <t>file://conllu/ru/teddy-1325.conllu#s12_0</t>
  </si>
  <si>
    <t>13</t>
  </si>
  <si>
    <t>переживать</t>
  </si>
  <si>
    <t>Мы переживаем прекраснейшие времена на этой планете , по любым меркам : здоровье , богатство , мобильность , возможности , снижение уровня болезней .</t>
  </si>
  <si>
    <t>file://conllu/ru/teddy-1325.conllu#s13_0</t>
  </si>
  <si>
    <t>14</t>
  </si>
  <si>
    <t>быть</t>
  </si>
  <si>
    <t>Ещё никогда не было таких времён .</t>
  </si>
  <si>
    <t>file://conllu/ru/teddy-1325.conllu#s14_0</t>
  </si>
  <si>
    <t>15</t>
  </si>
  <si>
    <t>умереть</t>
  </si>
  <si>
    <t>Все мои прапрадеды умерли ещё до 60 лет .</t>
  </si>
  <si>
    <t>file://conllu/ru/teddy-1325.conllu#s15_0</t>
  </si>
  <si>
    <t>16</t>
  </si>
  <si>
    <t>добраться</t>
  </si>
  <si>
    <t>Мои прадеды добрались до 70 .</t>
  </si>
  <si>
    <t>file://conllu/ru/teddy-1325.conllu#s16_0</t>
  </si>
  <si>
    <t>17</t>
  </si>
  <si>
    <t>приближаться</t>
  </si>
  <si>
    <t>Родители приближаются к 80 .</t>
  </si>
  <si>
    <t>file://conllu/ru/teddy-1325.conllu#s17_0</t>
  </si>
  <si>
    <t>18</t>
  </si>
  <si>
    <t>надеяться</t>
  </si>
  <si>
    <t>Я очень надеюсь , что мой возраст будет начинаться на девятку .</t>
  </si>
  <si>
    <t>file://conllu/ru/teddy-1325.conllu#s18_0</t>
  </si>
  <si>
    <t>19</t>
  </si>
  <si>
    <t>относиться</t>
  </si>
  <si>
    <t>Но всё это относится не только и не столько к нам , потому что есть вещи поважнее .</t>
  </si>
  <si>
    <t>file://conllu/ru/teddy-1325.conllu#s19_0</t>
  </si>
  <si>
    <t>20</t>
  </si>
  <si>
    <t>Ребёнок , родившийся сегодня в Нью -Дели , может надеяться прожить столько же , сколько богатейший человек в мире — сто лет тому назад .</t>
  </si>
  <si>
    <t>file://conllu/ru/teddy-1325.conllu#s20_0</t>
  </si>
  <si>
    <t>21</t>
  </si>
  <si>
    <t>подумать</t>
  </si>
  <si>
    <t>Подумайте об этом .</t>
  </si>
  <si>
    <t>file://conllu/ru/teddy-1325.conllu#s21_0</t>
  </si>
  <si>
    <t>22</t>
  </si>
  <si>
    <t>факт</t>
  </si>
  <si>
    <t>Это невероятный факт .</t>
  </si>
  <si>
    <t>file://conllu/ru/teddy-1325.conllu#s22_0</t>
  </si>
  <si>
    <t>23</t>
  </si>
  <si>
    <t>так</t>
  </si>
  <si>
    <t>А почему это так ?</t>
  </si>
  <si>
    <t>file://conllu/ru/teddy-1325.conllu#s23_0</t>
  </si>
  <si>
    <t>24</t>
  </si>
  <si>
    <t>оспа</t>
  </si>
  <si>
    <t>Оспа .</t>
  </si>
  <si>
    <t>file://conllu/ru/teddy-1325.conllu#s24_0</t>
  </si>
  <si>
    <t>25</t>
  </si>
  <si>
    <t>губить</t>
  </si>
  <si>
    <t>Оспа погубила миллиарды человек на этой планете .</t>
  </si>
  <si>
    <t>file://conllu/ru/teddy-1325.conllu#s25_0</t>
  </si>
  <si>
    <t>26</t>
  </si>
  <si>
    <t>изменить</t>
  </si>
  <si>
    <t>Она изменила демографию мира так , как ни одна война в истории человечества .</t>
  </si>
  <si>
    <t>file://conllu/ru/teddy-1325.conllu#s26_0</t>
  </si>
  <si>
    <t>27</t>
  </si>
  <si>
    <t>нет</t>
  </si>
  <si>
    <t>Её нет .</t>
  </si>
  <si>
    <t>file://conllu/ru/teddy-1325.conllu#s27_0</t>
  </si>
  <si>
    <t>28</t>
  </si>
  <si>
    <t>исчезнуть</t>
  </si>
  <si>
    <t>Она исчезла .</t>
  </si>
  <si>
    <t>file://conllu/ru/teddy-1325.conllu#s28_0</t>
  </si>
  <si>
    <t>29</t>
  </si>
  <si>
    <t>искоренить</t>
  </si>
  <si>
    <t>Мы её искоренили .</t>
  </si>
  <si>
    <t>file://conllu/ru/teddy-1325.conllu#s29_0</t>
  </si>
  <si>
    <t>30</t>
  </si>
  <si>
    <t>Пшик</t>
  </si>
  <si>
    <t>Пшик !</t>
  </si>
  <si>
    <t>file://conllu/ru/teddy-1325.conllu#s30_0</t>
  </si>
  <si>
    <t>31</t>
  </si>
  <si>
    <t>мир</t>
  </si>
  <si>
    <t>В мире богатых , болезни , которые угрожали миллионам ещё поколение тому назад , больше практически не существуют .</t>
  </si>
  <si>
    <t>file://conllu/ru/teddy-1325.conllu#s31_0</t>
  </si>
  <si>
    <t>32</t>
  </si>
  <si>
    <t>помнить</t>
  </si>
  <si>
    <t>Дифтерия , краснуха , полиомиелит . . . кто-нибудь вообще помнит , что это такое ?</t>
  </si>
  <si>
    <t>file://conllu/ru/teddy-1325.conllu#s32_0</t>
  </si>
  <si>
    <t>33</t>
  </si>
  <si>
    <t>вакцина</t>
  </si>
  <si>
    <t>Вакцины , современная медицина , наша способность накормить миллиарды человек , это всё триумф научного метода .</t>
  </si>
  <si>
    <t>file://conllu/ru/teddy-1325.conllu#s33_0</t>
  </si>
  <si>
    <t>34</t>
  </si>
  <si>
    <t>метод</t>
  </si>
  <si>
    <t>И по-моему , научный метод , разные опыты , заработало не заработало , снова опыты , если не заработало — это одно из величайших достижений человечества .</t>
  </si>
  <si>
    <t>file://conllu/ru/teddy-1325.conllu#s34_0</t>
  </si>
  <si>
    <t>35</t>
  </si>
  <si>
    <t>новость</t>
  </si>
  <si>
    <t>Это всё хорошие новости .</t>
  </si>
  <si>
    <t>file://conllu/ru/teddy-1325.conllu#s35_0</t>
  </si>
  <si>
    <t>36</t>
  </si>
  <si>
    <t>К сожалению , это все хорошие новости , потому что есть другие проблемы , и о них не раз уже говорилось , и одна из них заключается в том , что несмотря на все наши достижения , миллиард человек ложится спать голодным каждый день на этой планете .</t>
  </si>
  <si>
    <t>file://conllu/ru/teddy-1325.conllu#s36_0</t>
  </si>
  <si>
    <t>37</t>
  </si>
  <si>
    <t>раствать</t>
  </si>
  <si>
    <t>Это число растёт , и растёт очень , очень быстро , и это позор .</t>
  </si>
  <si>
    <t>file://conllu/ru/teddy-1325.conllu#s37_0</t>
  </si>
  <si>
    <t>38</t>
  </si>
  <si>
    <t>использовать</t>
  </si>
  <si>
    <t>Мало того , мы использовали наше воображение , чтобы тщательно изуродовать эту планету .</t>
  </si>
  <si>
    <t>file://conllu/ru/teddy-1325.conllu#s38_0</t>
  </si>
  <si>
    <t>39</t>
  </si>
  <si>
    <t>вода</t>
  </si>
  <si>
    <t>Питьевая вода , пахотная земля , тропические леса , нефть , газ : всё это исчезнет , очень скоро исчезнет , и если мы не найдём оригинальный выход из этой передряги , исчезнем и мы .</t>
  </si>
  <si>
    <t>file://conllu/ru/teddy-1325.conllu#s39_0</t>
  </si>
  <si>
    <t>40</t>
  </si>
  <si>
    <t>такой</t>
  </si>
  <si>
    <t>Так что вопрос такой : сможем ли мы это сделать ?</t>
  </si>
  <si>
    <t>file://conllu/ru/teddy-1325.conllu#s40_0</t>
  </si>
  <si>
    <t>41</t>
  </si>
  <si>
    <t>Я думаю , сможем .</t>
  </si>
  <si>
    <t>file://conllu/ru/teddy-1325.conllu#s41_0</t>
  </si>
  <si>
    <t>42</t>
  </si>
  <si>
    <t>очевидный</t>
  </si>
  <si>
    <t>Я думаю , всем очевидно , что мы можем производить еду , которой будет достаточно миллиардам людей , не насилуя землю , на которой они живут .</t>
  </si>
  <si>
    <t>file://conllu/ru/teddy-1325.conllu#s42_0</t>
  </si>
  <si>
    <t>43</t>
  </si>
  <si>
    <t>думать</t>
  </si>
  <si>
    <t>Я думаю , что мы можем питать мир энергией , которая при этом его не разрушает .</t>
  </si>
  <si>
    <t>file://conllu/ru/teddy-1325.conllu#s43_0</t>
  </si>
  <si>
    <t>44</t>
  </si>
  <si>
    <t>считать</t>
  </si>
  <si>
    <t>Я действительно так считаю , и нет , это я выдаю желаемое за действительное .</t>
  </si>
  <si>
    <t>file://conllu/ru/teddy-1325.conllu#s44_0</t>
  </si>
  <si>
    <t>45</t>
  </si>
  <si>
    <t>Но вот одна мысль не даёт мне спокойно спать — одна из мыслей , которые не дают мне спокойно спать : мы никогда не нуждались в научном прогрессе больше , чем сейчас , и у нас никогда не было лучшей возможности реализовать его потенциал , чем сейчас .</t>
  </si>
  <si>
    <t>file://conllu/ru/teddy-1325.conllu#s45_0</t>
  </si>
  <si>
    <t>46</t>
  </si>
  <si>
    <t>стоять</t>
  </si>
  <si>
    <t>Мы стоим на пороге удивительных , удивительных событий во многих отраслях .</t>
  </si>
  <si>
    <t>file://conllu/ru/teddy-1325.conllu#s46_0</t>
  </si>
  <si>
    <t>47</t>
  </si>
  <si>
    <t>прийтись</t>
  </si>
  <si>
    <t>И при всём том , нам пришлось бы заглянуть на сотни лет назад , лет на триста , до Просвещения , чтобы увидеть времена , когда мы сопротивлялись прогрессу , сопротивлялись этим удивительным вещам сильнее , чем сегодня .</t>
  </si>
  <si>
    <t>file://conllu/ru/teddy-1325.conllu#s47_0</t>
  </si>
  <si>
    <t>48</t>
  </si>
  <si>
    <t>опутывать</t>
  </si>
  <si>
    <t>Люди опутывают себя предрассудками настолько плотно , что их уже не освободить .</t>
  </si>
  <si>
    <t>file://conllu/ru/teddy-1325.conllu#s48_0</t>
  </si>
  <si>
    <t>49</t>
  </si>
  <si>
    <t>Даже правда не может их освободить .</t>
  </si>
  <si>
    <t>file://conllu/ru/teddy-1325.conllu#s49_0</t>
  </si>
  <si>
    <t>50</t>
  </si>
  <si>
    <t>иметь</t>
  </si>
  <si>
    <t>Нет , конечно , каждый имеет право на своё мнение , у них даже есть право иметь собственное мнение касательно прогресса , но знаете , на что ни у кого нет права ?</t>
  </si>
  <si>
    <t>file://conllu/ru/teddy-1325.conllu#s50_0</t>
  </si>
  <si>
    <t>51</t>
  </si>
  <si>
    <t>Ни у кого нет права иметь собственные факты .</t>
  </si>
  <si>
    <t>file://conllu/ru/teddy-1325.conllu#s51_0</t>
  </si>
  <si>
    <t>52</t>
  </si>
  <si>
    <t>извинить</t>
  </si>
  <si>
    <t>Извините , но так нельзя .</t>
  </si>
  <si>
    <t>file://conllu/ru/teddy-1325.conllu#s52_0</t>
  </si>
  <si>
    <t>53</t>
  </si>
  <si>
    <t>осознать</t>
  </si>
  <si>
    <t>Я это не сразу осознал .</t>
  </si>
  <si>
    <t>file://conllu/ru/teddy-1325.conllu#s53_0</t>
  </si>
  <si>
    <t>54</t>
  </si>
  <si>
    <t>писать</t>
  </si>
  <si>
    <t>Лет десять назад я написал статью о вакцинации для &amp;quot; Нью-Йоркера &amp;quot; , маленькую статью .</t>
  </si>
  <si>
    <t>file://conllu/ru/teddy-1325.conllu#s54_0</t>
  </si>
  <si>
    <t>55</t>
  </si>
  <si>
    <t>обнаружить</t>
  </si>
  <si>
    <t>И с удивлением обнаружил противников , противников того , что фактически является наиболее эффективной мерой здравоохранения в истории человечества .</t>
  </si>
  <si>
    <t>file://conllu/ru/teddy-1325.conllu#s55_0</t>
  </si>
  <si>
    <t>56</t>
  </si>
  <si>
    <t>знать</t>
  </si>
  <si>
    <t>Я не знал , что мне делать , поэтому поступил как обычно написал статью и забыл о ней .</t>
  </si>
  <si>
    <t>file://conllu/ru/teddy-1325.conllu#s56_0</t>
  </si>
  <si>
    <t>57</t>
  </si>
  <si>
    <t>Но вскоре я написал статью о генетически модифицированной еде .</t>
  </si>
  <si>
    <t>file://conllu/ru/teddy-1325.conllu#s57_0</t>
  </si>
  <si>
    <t>58</t>
  </si>
  <si>
    <t>повториться</t>
  </si>
  <si>
    <t>И всё повторилось только в большем масштабе .</t>
  </si>
  <si>
    <t>file://conllu/ru/teddy-1325.conllu#s58_0</t>
  </si>
  <si>
    <t>59</t>
  </si>
  <si>
    <t>сходить</t>
  </si>
  <si>
    <t>Люди как с ума посходили .</t>
  </si>
  <si>
    <t>file://conllu/ru/teddy-1325.conllu#s59_0</t>
  </si>
  <si>
    <t>60</t>
  </si>
  <si>
    <t>Поэтому я написал и об этом статью , но никак не мог понять , почему люди думают , что это &amp;quot; еда франкештейн &amp;quot; , почему они считают , что передвигая молекулы в определённом , а не случайном , порядке , мы вмешиваемся в дела природы .</t>
  </si>
  <si>
    <t>file://conllu/ru/teddy-1325.conllu#s60_0</t>
  </si>
  <si>
    <t>61</t>
  </si>
  <si>
    <t>заниматься</t>
  </si>
  <si>
    <t>Но , вы понимаете , я занимаюсь своим делом : написал историю и забыл .</t>
  </si>
  <si>
    <t>file://conllu/ru/teddy-1325.conllu#s61_0</t>
  </si>
  <si>
    <t>62</t>
  </si>
  <si>
    <t>журналист</t>
  </si>
  <si>
    <t>В смысле , я журналист : напечатал , отправил , пошёл покушал , так и живём . ( смех ) Но эти статьи не давали мне покоя , я никак не мог понять почему , но в конце концов догадался .</t>
  </si>
  <si>
    <t>file://conllu/ru/teddy-1325.conllu#s62_0</t>
  </si>
  <si>
    <t>63</t>
  </si>
  <si>
    <t>фанатик</t>
  </si>
  <si>
    <t>Всё потому что те фанатики , которые на меня нападали , на самом деле фанатиками вовсе не являлись .</t>
  </si>
  <si>
    <t>file://conllu/ru/teddy-1325.conllu#s63_0</t>
  </si>
  <si>
    <t>64</t>
  </si>
  <si>
    <t>быть (быть человек)</t>
  </si>
  <si>
    <t>Это были вдумчивые люди , образованные , приличные .</t>
  </si>
  <si>
    <t>file://conllu/ru/teddy-1325.conllu#s64_0</t>
  </si>
  <si>
    <t>65</t>
  </si>
  <si>
    <t>Абсолютно такие же , что сидят в этом зале .</t>
  </si>
  <si>
    <t>file://conllu/ru/teddy-1325.conllu#s65_0</t>
  </si>
  <si>
    <t>66</t>
  </si>
  <si>
    <t>обеспокоить</t>
  </si>
  <si>
    <t>И это меня сильно обеспокоило , но потом я решил , что если уж говорить начистоту , то мы сегодня живём в мире , в котором совершенно другое отношение к прогрессу , нежели когда-то .</t>
  </si>
  <si>
    <t>file://conllu/ru/teddy-1325.conllu#s66_0</t>
  </si>
  <si>
    <t>67</t>
  </si>
  <si>
    <t>говорить</t>
  </si>
  <si>
    <t>Мы говорим о нём что попало .</t>
  </si>
  <si>
    <t>file://conllu/ru/teddy-1325.conllu#s67_0</t>
  </si>
  <si>
    <t>68</t>
  </si>
  <si>
    <t>Мы говорим о нём с иронией , с издёвкой : &amp;quot; Прогресс , ну-ну &amp;quot; .</t>
  </si>
  <si>
    <t>file://conllu/ru/teddy-1325.conllu#s68_0</t>
  </si>
  <si>
    <t>69</t>
  </si>
  <si>
    <t>окей</t>
  </si>
  <si>
    <t>Окей , есть на то причины , и мы их прекрасно понимаем .</t>
  </si>
  <si>
    <t>file://conllu/ru/teddy-1325.conllu#s69_0</t>
  </si>
  <si>
    <t>70</t>
  </si>
  <si>
    <t>терять</t>
  </si>
  <si>
    <t>Мы потеряли веру в организации , в авторитеты , и немного в собственно науку , и это весьма закономерно .</t>
  </si>
  <si>
    <t>file://conllu/ru/teddy-1325.conllu#s70_0</t>
  </si>
  <si>
    <t>71</t>
  </si>
  <si>
    <t>можно</t>
  </si>
  <si>
    <t>Можно упомянуть всего несколько названий , и каждый поймёт .</t>
  </si>
  <si>
    <t>file://conllu/ru/teddy-1325.conllu#s71_0</t>
  </si>
  <si>
    <t>72</t>
  </si>
  <si>
    <t>Бхопал</t>
  </si>
  <si>
    <t>Чернобыль , Бхопал , &amp;quot; Челленджер &amp;quot; , Vioxx ( рофекоксиб скандальное лекарство от артрита , вызывавшее болезни сердца ) , оружие массового поражения , скандал с автоматизированным голосованием во Флориде .</t>
  </si>
  <si>
    <t>file://conllu/ru/teddy-1325.conllu#s72_0</t>
  </si>
  <si>
    <t>73</t>
  </si>
  <si>
    <t>понятный</t>
  </si>
  <si>
    <t>Понятно , что каждый может предложить свои примеры .</t>
  </si>
  <si>
    <t>file://conllu/ru/teddy-1325.conllu#s73_0</t>
  </si>
  <si>
    <t>74</t>
  </si>
  <si>
    <t>У нас есть вопросы и претензии к людям , которых мы всегда считали правыми .</t>
  </si>
  <si>
    <t>file://conllu/ru/teddy-1325.conllu#s74_0</t>
  </si>
  <si>
    <t>75</t>
  </si>
  <si>
    <t>быть (быть скептик)</t>
  </si>
  <si>
    <t>Ну так будьте скептиками .</t>
  </si>
  <si>
    <t>file://conllu/ru/teddy-1325.conllu#s75_0</t>
  </si>
  <si>
    <t>76</t>
  </si>
  <si>
    <t>задавать</t>
  </si>
  <si>
    <t>Задавайте вопросы , требуйте проверок , требуйте доказательств .</t>
  </si>
  <si>
    <t>file://conllu/ru/teddy-1325.conllu#s76_0</t>
  </si>
  <si>
    <t>77</t>
  </si>
  <si>
    <t>принимать</t>
  </si>
  <si>
    <t>Не принимайте ничего на веру .</t>
  </si>
  <si>
    <t>file://conllu/ru/teddy-1325.conllu#s77_0</t>
  </si>
  <si>
    <t>78</t>
  </si>
  <si>
    <t>важный</t>
  </si>
  <si>
    <t>Но вот что важно : получив доказательства , вы должны их принять , но как раз это у нас не слишком хорошо получается .</t>
  </si>
  <si>
    <t>file://conllu/ru/teddy-1325.conllu#s78_0</t>
  </si>
  <si>
    <t>79</t>
  </si>
  <si>
    <t>И я могу сказать , почему : мы охвачены эпидемией страха , какой я раньше не видал и , надеюсь , никогда не увижу снова .</t>
  </si>
  <si>
    <t>file://conllu/ru/teddy-1325.conllu#s79_0</t>
  </si>
  <si>
    <t>80</t>
  </si>
  <si>
    <t>выйти</t>
  </si>
  <si>
    <t>Лет двенадцать назад , вышла статья , шокирующая статья , которая описывала связь между эпидемией аутизма и прививками универсальной вакцины MMR ( корь , паротит , краснуха ) .</t>
  </si>
  <si>
    <t>file://conllu/ru/teddy-1325.conllu#s80_0</t>
  </si>
  <si>
    <t>81</t>
  </si>
  <si>
    <t>ужас</t>
  </si>
  <si>
    <t>Просто ужас .</t>
  </si>
  <si>
    <t>file://conllu/ru/teddy-1325.conllu#s81_0</t>
  </si>
  <si>
    <t>82</t>
  </si>
  <si>
    <t>провести</t>
  </si>
  <si>
    <t>Были проведены сотни исследований , чтобы выяснить , правда ли это .</t>
  </si>
  <si>
    <t>file://conllu/ru/teddy-1325.conllu#s82_0</t>
  </si>
  <si>
    <t>83</t>
  </si>
  <si>
    <t>быть (быть необходимый)</t>
  </si>
  <si>
    <t>Эти сотни исследований были необходимы , это очень серьёзный вопрос .</t>
  </si>
  <si>
    <t>file://conllu/ru/teddy-1325.conllu#s83_0</t>
  </si>
  <si>
    <t>84</t>
  </si>
  <si>
    <t>получить</t>
  </si>
  <si>
    <t>Были получены данные .</t>
  </si>
  <si>
    <t>file://conllu/ru/teddy-1325.conllu#s84_0</t>
  </si>
  <si>
    <t>85</t>
  </si>
  <si>
    <t>Данные были получены из США , Англии , Швеции , Канады , все абсолютно одинаковые : нет корреляции , нет связи , вообще никакой .</t>
  </si>
  <si>
    <t>file://conllu/ru/teddy-1325.conllu#s85_0</t>
  </si>
  <si>
    <t>86</t>
  </si>
  <si>
    <t>Но это ничего не изменило .</t>
  </si>
  <si>
    <t>file://conllu/ru/teddy-1325.conllu#s86_0</t>
  </si>
  <si>
    <t>87</t>
  </si>
  <si>
    <t>ничего</t>
  </si>
  <si>
    <t>Ничего , потому что мы верим в анекдотические доказательства , в то , что мы видим или в то , что нам кажется , в то , что нам кажется реальным .</t>
  </si>
  <si>
    <t>file://conllu/ru/teddy-1325.conllu#s87_0</t>
  </si>
  <si>
    <t>88</t>
  </si>
  <si>
    <t>верить</t>
  </si>
  <si>
    <t>Мы не верим в пачку документов с данными от правительственного чиновника , и я это не осуждаю , никто , наверное , не осуждает .</t>
  </si>
  <si>
    <t>file://conllu/ru/teddy-1325.conllu#s88_0</t>
  </si>
  <si>
    <t>89</t>
  </si>
  <si>
    <t>Но знаете что ?</t>
  </si>
  <si>
    <t>file://conllu/ru/teddy-1325.conllu#s89_0</t>
  </si>
  <si>
    <t>90</t>
  </si>
  <si>
    <t>быть (быть катастрофичный)</t>
  </si>
  <si>
    <t>Итог этого был катастрофичен , катастрофичен из-за простого факта : США является одной из немногих стран в мире , где уровень вакцинации от кори снижается .</t>
  </si>
  <si>
    <t>file://conllu/ru/teddy-1325.conllu#s90_0</t>
  </si>
  <si>
    <t>91</t>
  </si>
  <si>
    <t>позора</t>
  </si>
  <si>
    <t>Это позор , нам всем должно быть стыдно .</t>
  </si>
  <si>
    <t>file://conllu/ru/teddy-1325.conllu#s91_0</t>
  </si>
  <si>
    <t>92</t>
  </si>
  <si>
    <t>ужасный</t>
  </si>
  <si>
    <t>Это ужасно .</t>
  </si>
  <si>
    <t>file://conllu/ru/teddy-1325.conllu#s92_0</t>
  </si>
  <si>
    <t>93</t>
  </si>
  <si>
    <t>быть (быть должен)</t>
  </si>
  <si>
    <t>Что должно было произойти , чтобы мы так поступили ?</t>
  </si>
  <si>
    <t>file://conllu/ru/teddy-1325.conllu#s93_0</t>
  </si>
  <si>
    <t>94</t>
  </si>
  <si>
    <t>Нет , я понимаю .</t>
  </si>
  <si>
    <t>file://conllu/ru/teddy-1325.conllu#s94_0</t>
  </si>
  <si>
    <t>95</t>
  </si>
  <si>
    <t>Правда , понимаю .</t>
  </si>
  <si>
    <t>file://conllu/ru/teddy-1325.conllu#s95_0</t>
  </si>
  <si>
    <t>96</t>
  </si>
  <si>
    <t>болеть</t>
  </si>
  <si>
    <t>Потому что , ну кто тут болеет корью ?</t>
  </si>
  <si>
    <t>file://conllu/ru/teddy-1325.conllu#s96_0</t>
  </si>
  <si>
    <t>97</t>
  </si>
  <si>
    <t>видеть</t>
  </si>
  <si>
    <t>Хоть кто-нибудь в зале видел человека , умершего от кори ?</t>
  </si>
  <si>
    <t>file://conllu/ru/teddy-1325.conllu#s97_0</t>
  </si>
  <si>
    <t>98</t>
  </si>
  <si>
    <t>встретить</t>
  </si>
  <si>
    <t>Такое нечасто встретишь .</t>
  </si>
  <si>
    <t>file://conllu/ru/teddy-1325.conllu#s98_0</t>
  </si>
  <si>
    <t>99</t>
  </si>
  <si>
    <t>происходить</t>
  </si>
  <si>
    <t>В этой стране это вообще не происходит , но происходит по всему миру 160 000 случаев в прошлом году .</t>
  </si>
  <si>
    <t>file://conllu/ru/teddy-1325.conllu#s99_0</t>
  </si>
  <si>
    <t>100</t>
  </si>
  <si>
    <t>много</t>
  </si>
  <si>
    <t>Для смерти от кори это много , 20 в час .</t>
  </si>
  <si>
    <t>file://conllu/ru/teddy-1325.conllu#s100_0</t>
  </si>
  <si>
    <t>101</t>
  </si>
  <si>
    <t>Но раз это тут не случается , мы можем об этом забыть , и люди вроде Дженни МакКарти могут свободно проповедовать страх и невежество с таких трибун как шоу Опры и Ларри Кинга .</t>
  </si>
  <si>
    <t>file://conllu/ru/teddy-1325.conllu#s101_0</t>
  </si>
  <si>
    <t>102</t>
  </si>
  <si>
    <t>А могут они это делать оттого , что они не видят разницы между причинно следственной связью и корреляцией .</t>
  </si>
  <si>
    <t>file://conllu/ru/teddy-1325.conllu#s102_0</t>
  </si>
  <si>
    <t>103</t>
  </si>
  <si>
    <t>Они не понимают , что они могут выглядеть одним и тем же , но почти никогда одним и тем же не являются .</t>
  </si>
  <si>
    <t>file://conllu/ru/teddy-1325.conllu#s103_0</t>
  </si>
  <si>
    <t>104</t>
  </si>
  <si>
    <t>И эту разницу мы должны понять , и понять очень скоро .</t>
  </si>
  <si>
    <t>file://conllu/ru/teddy-1325.conllu#s104_0</t>
  </si>
  <si>
    <t>105</t>
  </si>
  <si>
    <t>быть (быть герой)</t>
  </si>
  <si>
    <t>Йонас Солк был героем .</t>
  </si>
  <si>
    <t>file://conllu/ru/teddy-1325.conllu#s105_0</t>
  </si>
  <si>
    <t>106</t>
  </si>
  <si>
    <t>избавить</t>
  </si>
  <si>
    <t>Он избавил нас от одной из худших бед человечества .</t>
  </si>
  <si>
    <t>file://conllu/ru/teddy-1325.conllu#s106_0</t>
  </si>
  <si>
    <t>107</t>
  </si>
  <si>
    <t>лиомиелить</t>
  </si>
  <si>
    <t>Никакого страха , никакой агонии , полиомиелит пшик и исчез .</t>
  </si>
  <si>
    <t>file://conllu/ru/teddy-1325.conllu#s107_0</t>
  </si>
  <si>
    <t>108</t>
  </si>
  <si>
    <t>совсем</t>
  </si>
  <si>
    <t>А вот этот посередине не совсем .</t>
  </si>
  <si>
    <t>file://conllu/ru/teddy-1325.conllu#s108_0</t>
  </si>
  <si>
    <t>109</t>
  </si>
  <si>
    <t>Оффит</t>
  </si>
  <si>
    <t>Его зовут Пол Оффит .</t>
  </si>
  <si>
    <t>file://conllu/ru/teddy-1325.conllu#s109_0</t>
  </si>
  <si>
    <t>110</t>
  </si>
  <si>
    <t>разработать</t>
  </si>
  <si>
    <t>Он только что разработал вакцину от ротавируса с группой других ученых .</t>
  </si>
  <si>
    <t>file://conllu/ru/teddy-1325.conllu#s110_0</t>
  </si>
  <si>
    <t>111</t>
  </si>
  <si>
    <t>спасать</t>
  </si>
  <si>
    <t>Она ежегодно спасает жизни четыремстам пятистам тысячам детей в странах третьего мира .</t>
  </si>
  <si>
    <t>file://conllu/ru/teddy-1325.conllu#s111_0</t>
  </si>
  <si>
    <t>112</t>
  </si>
  <si>
    <t>неплохой</t>
  </si>
  <si>
    <t>Неплохо , да ?</t>
  </si>
  <si>
    <t>file://conllu/ru/teddy-1325.conllu#s112_0</t>
  </si>
  <si>
    <t>113</t>
  </si>
  <si>
    <t>Действительно неплохо , если не считать того , что Пол публично рассуждает о вакцинах и говорит , что они очень нужны , и что люди должны просто прекратить ныть .</t>
  </si>
  <si>
    <t>file://conllu/ru/teddy-1325.conllu#s113_0</t>
  </si>
  <si>
    <t>114</t>
  </si>
  <si>
    <t>Прямо так и говорит .</t>
  </si>
  <si>
    <t>file://conllu/ru/teddy-1325.conllu#s114_0</t>
  </si>
  <si>
    <t>115</t>
  </si>
  <si>
    <t>террорист</t>
  </si>
  <si>
    <t>Поэтому Пол террорист .</t>
  </si>
  <si>
    <t>file://conllu/ru/teddy-1325.conllu#s115_0</t>
  </si>
  <si>
    <t>116</t>
  </si>
  <si>
    <t>Когда он участвует в публичном слушании в суде , он не может дать показания без присутствия вооруженной охраны .</t>
  </si>
  <si>
    <t>file://conllu/ru/teddy-1325.conllu#s116_0</t>
  </si>
  <si>
    <t>117</t>
  </si>
  <si>
    <t>звонить</t>
  </si>
  <si>
    <t>Ему звонят домой , потому что людям нравится сообщить ему , что им известно , в какую именно школу ходят его дети .</t>
  </si>
  <si>
    <t>file://conllu/ru/teddy-1325.conllu#s117_0</t>
  </si>
  <si>
    <t>118</t>
  </si>
  <si>
    <t>почему</t>
  </si>
  <si>
    <t>А всё почему ?</t>
  </si>
  <si>
    <t>file://conllu/ru/teddy-1325.conllu#s118_0</t>
  </si>
  <si>
    <t>119</t>
  </si>
  <si>
    <t>создать</t>
  </si>
  <si>
    <t>Потому что Пол создал вакцину .</t>
  </si>
  <si>
    <t>file://conllu/ru/teddy-1325.conllu#s119_0</t>
  </si>
  <si>
    <t>120</t>
  </si>
  <si>
    <t>излишний</t>
  </si>
  <si>
    <t>Излишне напоминать , что вакцины жизненно необходимы .</t>
  </si>
  <si>
    <t>file://conllu/ru/teddy-1325.conllu#s120_0</t>
  </si>
  <si>
    <t>121</t>
  </si>
  <si>
    <t>Уберить</t>
  </si>
  <si>
    <t>Уберите их и болезни вернутся , ужасные болезни , и это уже происходит .</t>
  </si>
  <si>
    <t>file://conllu/ru/teddy-1325.conllu#s121_0</t>
  </si>
  <si>
    <t>122</t>
  </si>
  <si>
    <t>Теперь в этой стране есть корь .</t>
  </si>
  <si>
    <t>file://conllu/ru/teddy-1325.conllu#s122_0</t>
  </si>
  <si>
    <t>123</t>
  </si>
  <si>
    <t>ухудшаться</t>
  </si>
  <si>
    <t>И ситуация ухудшается , и уже скоро дети снова начнут умирать от кори , потому что тут весь вопрос в достаточном количестве случаев .</t>
  </si>
  <si>
    <t>file://conllu/ru/teddy-1325.conllu#s123_0</t>
  </si>
  <si>
    <t>124</t>
  </si>
  <si>
    <t>начать</t>
  </si>
  <si>
    <t>И не только от кори начнут умирать .</t>
  </si>
  <si>
    <t>file://conllu/ru/teddy-1325.conllu#s124_0</t>
  </si>
  <si>
    <t>125</t>
  </si>
  <si>
    <t>наскать</t>
  </si>
  <si>
    <t>Как насчёт полиомиелита ?</t>
  </si>
  <si>
    <t>file://conllu/ru/teddy-1325.conllu#s125_0</t>
  </si>
  <si>
    <t>126</t>
  </si>
  <si>
    <t>Давайте вернём его .</t>
  </si>
  <si>
    <t>file://conllu/ru/teddy-1325.conllu#s126_0</t>
  </si>
  <si>
    <t>127</t>
  </si>
  <si>
    <t>Почему нет ?</t>
  </si>
  <si>
    <t>file://conllu/ru/teddy-1325.conllu#s127_0</t>
  </si>
  <si>
    <t>128</t>
  </si>
  <si>
    <t>сказать (сказать писать)</t>
  </si>
  <si>
    <t>Моя бывшая однокурсница написала мне пару недель назад и сказала , что по её мнению , я слегка перегибаю палку .</t>
  </si>
  <si>
    <t>file://conllu/ru/teddy-1325.conllu#s128_0</t>
  </si>
  <si>
    <t>129</t>
  </si>
  <si>
    <t>Такого мне ещё не говорили .</t>
  </si>
  <si>
    <t>file://conllu/ru/teddy-1325.conllu#s129_0</t>
  </si>
  <si>
    <t>130</t>
  </si>
  <si>
    <t>собираться</t>
  </si>
  <si>
    <t>Она не собирается прививать своих детей от полиомиелита .</t>
  </si>
  <si>
    <t>file://conllu/ru/teddy-1325.conllu#s130_0</t>
  </si>
  <si>
    <t>131</t>
  </si>
  <si>
    <t>что</t>
  </si>
  <si>
    <t>Ни за что .</t>
  </si>
  <si>
    <t>file://conllu/ru/teddy-1325.conllu#s131_0</t>
  </si>
  <si>
    <t>132</t>
  </si>
  <si>
    <t>хороший</t>
  </si>
  <si>
    <t>Хорошо .</t>
  </si>
  <si>
    <t>file://conllu/ru/teddy-1325.conllu#s132_0</t>
  </si>
  <si>
    <t>133</t>
  </si>
  <si>
    <t>Почему ?</t>
  </si>
  <si>
    <t>file://conllu/ru/teddy-1325.conllu#s133_0</t>
  </si>
  <si>
    <t>134</t>
  </si>
  <si>
    <t>Потому что нет у нас полиомиелита .</t>
  </si>
  <si>
    <t>file://conllu/ru/teddy-1325.conllu#s134_0</t>
  </si>
  <si>
    <t>135</t>
  </si>
  <si>
    <t>Только знаете что ?</t>
  </si>
  <si>
    <t>file://conllu/ru/teddy-1325.conllu#s135_0</t>
  </si>
  <si>
    <t>136</t>
  </si>
  <si>
    <t>У нас вчера не было полиомиелита .</t>
  </si>
  <si>
    <t>file://conllu/ru/teddy-1325.conllu#s136_0</t>
  </si>
  <si>
    <t>137</t>
  </si>
  <si>
    <t>Кто?</t>
  </si>
  <si>
    <t>А сегодня , кто знает , может кто-то с утра сел на самолёт в Лагосе , и летит теперь в Лос-Анджелес , сейчас он где-то над Огайо .</t>
  </si>
  <si>
    <t>file://conllu/ru/teddy-1325.conllu#s137_0</t>
  </si>
  <si>
    <t>138</t>
  </si>
  <si>
    <t>приземлиться</t>
  </si>
  <si>
    <t>И через пару часов он приземлится , возьмёт машину напрокат , поедет в Лонг Бич и придёт на один из этих чудесных званых ужинов на TED .</t>
  </si>
  <si>
    <t>file://conllu/ru/teddy-1325.conllu#s138_0</t>
  </si>
  <si>
    <t>139</t>
  </si>
  <si>
    <t>знать (знать знать)</t>
  </si>
  <si>
    <t>И он не знает , что инфицирован страшной болезнью , и мы тоже не знаем , потому что всё так и происходит .</t>
  </si>
  <si>
    <t>file://conllu/ru/teddy-1325.conllu#s139_0</t>
  </si>
  <si>
    <t>140</t>
  </si>
  <si>
    <t>живй</t>
  </si>
  <si>
    <t>В таком мире мы живём .</t>
  </si>
  <si>
    <t>file://conllu/ru/teddy-1325.conllu#s140_0</t>
  </si>
  <si>
    <t>141</t>
  </si>
  <si>
    <t>стоить</t>
  </si>
  <si>
    <t>Не стоит притворяться , что не в таком .</t>
  </si>
  <si>
    <t>file://conllu/ru/teddy-1325.conllu#s141_0</t>
  </si>
  <si>
    <t>142</t>
  </si>
  <si>
    <t>любить</t>
  </si>
  <si>
    <t>Да , мы любим закутаться в ложь .</t>
  </si>
  <si>
    <t>file://conllu/ru/teddy-1325.conllu#s142_0</t>
  </si>
  <si>
    <t>143</t>
  </si>
  <si>
    <t>Обожать</t>
  </si>
  <si>
    <t>Обожаем просто .</t>
  </si>
  <si>
    <t>file://conllu/ru/teddy-1325.conllu#s143_0</t>
  </si>
  <si>
    <t>144</t>
  </si>
  <si>
    <t>кушать</t>
  </si>
  <si>
    <t>Все сегодня с утра скушали свою витаминку ?</t>
  </si>
  <si>
    <t>file://conllu/ru/teddy-1325.conllu#s144_0</t>
  </si>
  <si>
    <t>145</t>
  </si>
  <si>
    <t>Эхинацея</t>
  </si>
  <si>
    <t>Эхинацея , немного антиоксиданта с утра на дорожку .</t>
  </si>
  <si>
    <t>file://conllu/ru/teddy-1325.conllu#s145_0</t>
  </si>
  <si>
    <t>146</t>
  </si>
  <si>
    <t>Я уверен , что скушали половина американцев делает это каждый день .</t>
  </si>
  <si>
    <t>file://conllu/ru/teddy-1325.conllu#s146_0</t>
  </si>
  <si>
    <t>147</t>
  </si>
  <si>
    <t>Принимают пилюли , альтернативные лекарства , и совершенно всё равно , насколько часто они оказываются бесполезными .</t>
  </si>
  <si>
    <t>file://conllu/ru/teddy-1325.conllu#s147_0</t>
  </si>
  <si>
    <t>148</t>
  </si>
  <si>
    <t>подтверждать</t>
  </si>
  <si>
    <t>Данные это постоянно подтверждают .</t>
  </si>
  <si>
    <t>file://conllu/ru/teddy-1325.conllu#s148_0</t>
  </si>
  <si>
    <t>149</t>
  </si>
  <si>
    <t>делать</t>
  </si>
  <si>
    <t>Они делают вашу мочу темнее .</t>
  </si>
  <si>
    <t>file://conllu/ru/teddy-1325.conllu#s149_0</t>
  </si>
  <si>
    <t>150</t>
  </si>
  <si>
    <t>И почти всегда ничего больше не делают .</t>
  </si>
  <si>
    <t>file://conllu/ru/teddy-1325.conllu#s150_0</t>
  </si>
  <si>
    <t>151</t>
  </si>
  <si>
    <t>понимать (понимать хотеть)</t>
  </si>
  <si>
    <t>Окей , всё в порядке , вы хотите платить 28 миллиардов долларов за тёмную мочу , я вас очень понимаю .</t>
  </si>
  <si>
    <t>file://conllu/ru/teddy-1325.conllu#s151_0</t>
  </si>
  <si>
    <t>152</t>
  </si>
  <si>
    <t>моча</t>
  </si>
  <si>
    <t>Тёмная моча .</t>
  </si>
  <si>
    <t>file://conllu/ru/teddy-1325.conllu#s152_0</t>
  </si>
  <si>
    <t>153</t>
  </si>
  <si>
    <t>Тёмный</t>
  </si>
  <si>
    <t>Тёмная .</t>
  </si>
  <si>
    <t>file://conllu/ru/teddy-1325.conllu#s153_0</t>
  </si>
  <si>
    <t>154</t>
  </si>
  <si>
    <t>Зачем мы это делаем ?</t>
  </si>
  <si>
    <t>file://conllu/ru/teddy-1325.conllu#s154_0</t>
  </si>
  <si>
    <t>155</t>
  </si>
  <si>
    <t>file://conllu/ru/teddy-1325.conllu#s155_0</t>
  </si>
  <si>
    <t>156</t>
  </si>
  <si>
    <t>Ну , я наверное понимаю , мы ненавидим большие фармацевтические корпорации .</t>
  </si>
  <si>
    <t>file://conllu/ru/teddy-1325.conllu#s156_0</t>
  </si>
  <si>
    <t>157</t>
  </si>
  <si>
    <t>ненавидеть</t>
  </si>
  <si>
    <t>Мы ненавидим большое правительство .</t>
  </si>
  <si>
    <t>file://conllu/ru/teddy-1325.conllu#s157_0</t>
  </si>
  <si>
    <t>158</t>
  </si>
  <si>
    <t>доверять</t>
  </si>
  <si>
    <t>Мы им просто не доверяем .</t>
  </si>
  <si>
    <t>file://conllu/ru/teddy-1325.conllu#s158_0</t>
  </si>
  <si>
    <t>159</t>
  </si>
  <si>
    <t>И не должны .</t>
  </si>
  <si>
    <t>file://conllu/ru/teddy-1325.conllu#s159_0</t>
  </si>
  <si>
    <t>160</t>
  </si>
  <si>
    <t>отсть</t>
  </si>
  <si>
    <t>Наша система здравоохранения отстой .</t>
  </si>
  <si>
    <t>file://conllu/ru/teddy-1325.conllu#s160_0</t>
  </si>
  <si>
    <t>161</t>
  </si>
  <si>
    <t>жестокий</t>
  </si>
  <si>
    <t>Она жестока к миллионам людей .</t>
  </si>
  <si>
    <t>file://conllu/ru/teddy-1325.conllu#s161_0</t>
  </si>
  <si>
    <t>162</t>
  </si>
  <si>
    <t>холодный</t>
  </si>
  <si>
    <t>Она просто потрясающе холодна и отвратительна в своём отношении к тем из нас кто может себе позволить ею пользоваться .</t>
  </si>
  <si>
    <t>file://conllu/ru/teddy-1325.conllu#s162_0</t>
  </si>
  <si>
    <t>163</t>
  </si>
  <si>
    <t>пытаться</t>
  </si>
  <si>
    <t>Так что мы пытаемся от неё сбежать , и куда же мы бежим ?</t>
  </si>
  <si>
    <t>file://conllu/ru/teddy-1325.conllu#s163_0</t>
  </si>
  <si>
    <t>164</t>
  </si>
  <si>
    <t>Бросаться</t>
  </si>
  <si>
    <t>Бросаемся в объятия больших плацебо .</t>
  </si>
  <si>
    <t>file://conllu/ru/teddy-1325.conllu#s164_0</t>
  </si>
  <si>
    <t>165</t>
  </si>
  <si>
    <t>отлично</t>
  </si>
  <si>
    <t>Просто отлично .</t>
  </si>
  <si>
    <t>file://conllu/ru/teddy-1325.conllu#s165_0</t>
  </si>
  <si>
    <t>166</t>
  </si>
  <si>
    <t>обожать</t>
  </si>
  <si>
    <t>Я обожаю большие плацебо . ( аплодисменты ) Впрочем , вы же понимаете , вообще то это серьёзное дело , потому что все эти штучки полная ерунда , а мы на неё тратим миллиарды долларов .</t>
  </si>
  <si>
    <t>file://conllu/ru/teddy-1325.conllu#s166_0</t>
  </si>
  <si>
    <t>167</t>
  </si>
  <si>
    <t>принести</t>
  </si>
  <si>
    <t>Я принёс с собой кое-что .</t>
  </si>
  <si>
    <t>file://conllu/ru/teddy-1325.conllu#s167_0</t>
  </si>
  <si>
    <t>168</t>
  </si>
  <si>
    <t>Ginkgo</t>
  </si>
  <si>
    <t>Ginkgo пустышка , эхинацея пустышка , acai , я вообще не знаю , что это такое , но мы тратим миллиарды долларов на это , и это сплошное мошенничество .</t>
  </si>
  <si>
    <t>file://conllu/ru/teddy-1325.conllu#s168_0</t>
  </si>
  <si>
    <t>169</t>
  </si>
  <si>
    <t>И знаете что ?</t>
  </si>
  <si>
    <t>file://conllu/ru/teddy-1325.conllu#s169_0</t>
  </si>
  <si>
    <t>170</t>
  </si>
  <si>
    <t>начинать</t>
  </si>
  <si>
    <t>Когда я говорю об этом , люди начинают кричать на меня , мол , &amp;quot; Какая тебе разница ?</t>
  </si>
  <si>
    <t>file://conllu/ru/teddy-1325.conllu#s170_0</t>
  </si>
  <si>
    <t>171</t>
  </si>
  <si>
    <t>Пусть люди делают , что хотят , раз им это нравится &amp;quot; .</t>
  </si>
  <si>
    <t>file://conllu/ru/teddy-1325.conllu#s171_0</t>
  </si>
  <si>
    <t>172</t>
  </si>
  <si>
    <t>file://conllu/ru/teddy-1325.conllu#s172_0</t>
  </si>
  <si>
    <t>173</t>
  </si>
  <si>
    <t>прав</t>
  </si>
  <si>
    <t>Они не правы .</t>
  </si>
  <si>
    <t>file://conllu/ru/teddy-1325.conllu#s173_0</t>
  </si>
  <si>
    <t>174</t>
  </si>
  <si>
    <t>Потому что мне всё равно , министр ли здравоохранения заявляет &amp;quot; Хм , я не собираюсь принимать во внимание свидетельство моих экспертов касательно маммограмм &amp;quot; , или какой-то знахарь онколог собирается лечить своего пациента клизмой с кофе .</t>
  </si>
  <si>
    <t>file://conllu/ru/teddy-1325.conllu#s174_0</t>
  </si>
  <si>
    <t>175</t>
  </si>
  <si>
    <t>попадать</t>
  </si>
  <si>
    <t>Те , кто начинают замещать опыт и науку верой и волшебством , попадают в ситуацию , в которую лучше не попадать .</t>
  </si>
  <si>
    <t>file://conllu/ru/teddy-1325.conllu#s175_0</t>
  </si>
  <si>
    <t>176</t>
  </si>
  <si>
    <t>ситуация</t>
  </si>
  <si>
    <t>В ситуацию Табо Мбеки из Южной Африки .</t>
  </si>
  <si>
    <t>file://conllu/ru/teddy-1325.conllu#s176_0</t>
  </si>
  <si>
    <t>177</t>
  </si>
  <si>
    <t>убить</t>
  </si>
  <si>
    <t>Он убил 400 000 человек в своей стране , утверждая , что свекла , чеснок и лимонное масло могут гораздо эффективнее замедлить протекание СПИДа , чем признанные антиретровирусные лекарства .</t>
  </si>
  <si>
    <t>file://conllu/ru/teddy-1325.conllu#s177_0</t>
  </si>
  <si>
    <t>178</t>
  </si>
  <si>
    <t>сотня</t>
  </si>
  <si>
    <t>Сотни тысяч напрасных смертей в стране , которая пострадала от этой чумы больше , чем любая другая .</t>
  </si>
  <si>
    <t>file://conllu/ru/teddy-1325.conllu#s178_0</t>
  </si>
  <si>
    <t>179</t>
  </si>
  <si>
    <t>надо</t>
  </si>
  <si>
    <t>Пожалуйста , не надо говорить мне , что такие вещи проходят бесследно .</t>
  </si>
  <si>
    <t>file://conllu/ru/teddy-1325.conllu#s179_0</t>
  </si>
  <si>
    <t>180</t>
  </si>
  <si>
    <t>Последствия есть всегда .</t>
  </si>
  <si>
    <t>file://conllu/ru/teddy-1325.conllu#s180_0</t>
  </si>
  <si>
    <t>181</t>
  </si>
  <si>
    <t>всегда</t>
  </si>
  <si>
    <t>Всегда .</t>
  </si>
  <si>
    <t>file://conllu/ru/teddy-1325.conllu#s181_0</t>
  </si>
  <si>
    <t>182</t>
  </si>
  <si>
    <t>эпидемия</t>
  </si>
  <si>
    <t>Но самая безумная эпидемия из современных эпидемий — это абсурдная борьба между сторонниками генетически модифицированной пищи и &amp;quot; органическими элитаристами &amp;quot; .</t>
  </si>
  <si>
    <t>file://conllu/ru/teddy-1325.conllu#s182_0</t>
  </si>
  <si>
    <t>183</t>
  </si>
  <si>
    <t>спора</t>
  </si>
  <si>
    <t>Это дебильный спор .</t>
  </si>
  <si>
    <t>file://conllu/ru/teddy-1325.conllu#s183_0</t>
  </si>
  <si>
    <t>184</t>
  </si>
  <si>
    <t>необходимый</t>
  </si>
  <si>
    <t>Его необходимо прекратить .</t>
  </si>
  <si>
    <t>file://conllu/ru/teddy-1325.conllu#s184_0</t>
  </si>
  <si>
    <t>185</t>
  </si>
  <si>
    <t>спор</t>
  </si>
  <si>
    <t>Это спор о словах , о метафорах .</t>
  </si>
  <si>
    <t>file://conllu/ru/teddy-1325.conllu#s185_0</t>
  </si>
  <si>
    <t>186</t>
  </si>
  <si>
    <t>идеология</t>
  </si>
  <si>
    <t>Это идеология , а не наука .</t>
  </si>
  <si>
    <t>file://conllu/ru/teddy-1325.conllu#s186_0</t>
  </si>
  <si>
    <t>187</t>
  </si>
  <si>
    <t>абсолютно</t>
  </si>
  <si>
    <t>Абсолютно всё , что мы едим , каждое зёрнышко риса , каждый листик петрушки , каждый кочан капусты был модифицирован человеком .</t>
  </si>
  <si>
    <t>file://conllu/ru/teddy-1325.conllu#s187_0</t>
  </si>
  <si>
    <t>188</t>
  </si>
  <si>
    <t>Между прочим , в Райском саду не было мандаринов .</t>
  </si>
  <si>
    <t>file://conllu/ru/teddy-1325.conllu#s188_0</t>
  </si>
  <si>
    <t>189</t>
  </si>
  <si>
    <t>И канталупов не было .</t>
  </si>
  <si>
    <t>file://conllu/ru/teddy-1325.conllu#s189_0</t>
  </si>
  <si>
    <t>190</t>
  </si>
  <si>
    <t>Рождественских елей тоже не было .</t>
  </si>
  <si>
    <t>file://conllu/ru/teddy-1325.conllu#s190_0</t>
  </si>
  <si>
    <t>191</t>
  </si>
  <si>
    <t>Это всё сделали мы .</t>
  </si>
  <si>
    <t>file://conllu/ru/teddy-1325.conllu#s191_0</t>
  </si>
  <si>
    <t>192</t>
  </si>
  <si>
    <t>Сделали за последние 11 000 лет .</t>
  </si>
  <si>
    <t>file://conllu/ru/teddy-1325.conllu#s192_0</t>
  </si>
  <si>
    <t>193</t>
  </si>
  <si>
    <t>получиться</t>
  </si>
  <si>
    <t>Кое-что получилось , кое-что — нет .</t>
  </si>
  <si>
    <t>file://conllu/ru/teddy-1325.conllu#s193_0</t>
  </si>
  <si>
    <t>194</t>
  </si>
  <si>
    <t>От того , что не получилось , мы избавились .</t>
  </si>
  <si>
    <t>file://conllu/ru/teddy-1325.conllu#s194_0</t>
  </si>
  <si>
    <t>195</t>
  </si>
  <si>
    <t>Теперь же мы можем делать это более точным способом .</t>
  </si>
  <si>
    <t>file://conllu/ru/teddy-1325.conllu#s195_0</t>
  </si>
  <si>
    <t>196</t>
  </si>
  <si>
    <t>существовать</t>
  </si>
  <si>
    <t>Разумеется , существуют и риски .</t>
  </si>
  <si>
    <t>file://conllu/ru/teddy-1325.conllu#s196_0</t>
  </si>
  <si>
    <t>197</t>
  </si>
  <si>
    <t>Но мы можем добавить , например , витамин А в рис , и это поможет миллионам людей , миллионам людей , продлит им жизнь .</t>
  </si>
  <si>
    <t>file://conllu/ru/teddy-1325.conllu#s197_0</t>
  </si>
  <si>
    <t>198</t>
  </si>
  <si>
    <t>Вы не хотите этого ?</t>
  </si>
  <si>
    <t>file://conllu/ru/teddy-1325.conllu#s198_0</t>
  </si>
  <si>
    <t>199</t>
  </si>
  <si>
    <t>Должен признаться , я этого не понимаю .</t>
  </si>
  <si>
    <t>file://conllu/ru/teddy-1325.conllu#s199_0</t>
  </si>
  <si>
    <t>200</t>
  </si>
  <si>
    <t>возражать</t>
  </si>
  <si>
    <t>Мы возражаем против генетически модифицированной пищи .</t>
  </si>
  <si>
    <t>file://conllu/ru/teddy-1325.conllu#s200_0</t>
  </si>
  <si>
    <t>201</t>
  </si>
  <si>
    <t>file://conllu/ru/teddy-1325.conllu#s201_0</t>
  </si>
  <si>
    <t>202</t>
  </si>
  <si>
    <t>слышать</t>
  </si>
  <si>
    <t>Ну , обычно я слышу следующие аргументы : слишком много химикатов , пестицидов , гормонов , монокультур , мы не хотим огромных полей одного и того же , это неправильно .</t>
  </si>
  <si>
    <t>file://conllu/ru/teddy-1325.conllu#s202_0</t>
  </si>
  <si>
    <t>203</t>
  </si>
  <si>
    <t>Мы не хотим , чтобы компании получали патенты на жизнь .</t>
  </si>
  <si>
    <t>file://conllu/ru/teddy-1325.conllu#s203_0</t>
  </si>
  <si>
    <t>204</t>
  </si>
  <si>
    <t>Мы не хотим , чтобы компании владели семенами .</t>
  </si>
  <si>
    <t>file://conllu/ru/teddy-1325.conllu#s204_0</t>
  </si>
  <si>
    <t>205</t>
  </si>
  <si>
    <t>отвечать (отвечать знать)</t>
  </si>
  <si>
    <t>И знаете , что я на это отвечаю ?</t>
  </si>
  <si>
    <t>file://conllu/ru/teddy-1325.conllu#s205_0</t>
  </si>
  <si>
    <t>206</t>
  </si>
  <si>
    <t>Да , вы правы .</t>
  </si>
  <si>
    <t>file://conllu/ru/teddy-1325.conllu#s206_0</t>
  </si>
  <si>
    <t>207</t>
  </si>
  <si>
    <t>Давайте всё исправим .</t>
  </si>
  <si>
    <t>file://conllu/ru/teddy-1325.conllu#s207_0</t>
  </si>
  <si>
    <t>208</t>
  </si>
  <si>
    <t>мы</t>
  </si>
  <si>
    <t>Действительно , у нас огромные проблемы с едой , но дело не в науке .</t>
  </si>
  <si>
    <t>file://conllu/ru/teddy-1325.conllu#s208_0</t>
  </si>
  <si>
    <t>209</t>
  </si>
  <si>
    <t>У них нет ничего общего с наукой .</t>
  </si>
  <si>
    <t>file://conllu/ru/teddy-1325.conllu#s209_0</t>
  </si>
  <si>
    <t>210</t>
  </si>
  <si>
    <t>закон</t>
  </si>
  <si>
    <t>Это законы , это мораль , это вопрос патентов .</t>
  </si>
  <si>
    <t>file://conllu/ru/teddy-1325.conllu#s210_0</t>
  </si>
  <si>
    <t>211</t>
  </si>
  <si>
    <t>корпорация</t>
  </si>
  <si>
    <t>Понимаете , наука — не корпорация .</t>
  </si>
  <si>
    <t>file://conllu/ru/teddy-1325.conllu#s211_0</t>
  </si>
  <si>
    <t>212</t>
  </si>
  <si>
    <t>страна</t>
  </si>
  <si>
    <t>Не страна .</t>
  </si>
  <si>
    <t>file://conllu/ru/teddy-1325.conllu#s212_0</t>
  </si>
  <si>
    <t>213</t>
  </si>
  <si>
    <t>идея</t>
  </si>
  <si>
    <t>Это даже не идея ; наука — это процесс .</t>
  </si>
  <si>
    <t>file://conllu/ru/teddy-1325.conllu#s213_0</t>
  </si>
  <si>
    <t>214</t>
  </si>
  <si>
    <t>процесс</t>
  </si>
  <si>
    <t>Это процесс , и иногда он работает , а иногда — нет , но мысль , что мы должны запретить науке заниматься своим делом , потому что мы боимся , просто ужасна , и это не даёт миллионам людей жить лучше .</t>
  </si>
  <si>
    <t>file://conllu/ru/teddy-1325.conllu#s214_0</t>
  </si>
  <si>
    <t>215</t>
  </si>
  <si>
    <t>придваться</t>
  </si>
  <si>
    <t>Знаете , в ближайшие 50 лет нам придётся выращивать на 70 процентов больше пищи , чем сегодня , на 70 процентов .</t>
  </si>
  <si>
    <t>file://conllu/ru/teddy-1325.conllu#s215_0</t>
  </si>
  <si>
    <t>216</t>
  </si>
  <si>
    <t>год</t>
  </si>
  <si>
    <t>Эти вложения в Африку за последние 30 лет .</t>
  </si>
  <si>
    <t>file://conllu/ru/teddy-1325.conllu#s216_0</t>
  </si>
  <si>
    <t>217</t>
  </si>
  <si>
    <t>Просто позор , позор .</t>
  </si>
  <si>
    <t>file://conllu/ru/teddy-1325.conllu#s217_0</t>
  </si>
  <si>
    <t>218</t>
  </si>
  <si>
    <t>нуждаться</t>
  </si>
  <si>
    <t>Они нуждаются в пище , а мы им её не даём .</t>
  </si>
  <si>
    <t>file://conllu/ru/teddy-1325.conllu#s218_0</t>
  </si>
  <si>
    <t>219</t>
  </si>
  <si>
    <t>file://conllu/ru/teddy-1325.conllu#s219_0</t>
  </si>
  <si>
    <t>220</t>
  </si>
  <si>
    <t>продукт</t>
  </si>
  <si>
    <t>Генетически модифицированные продукты .</t>
  </si>
  <si>
    <t>file://conllu/ru/teddy-1325.conllu#s220_0</t>
  </si>
  <si>
    <t>221</t>
  </si>
  <si>
    <t>Мы не хотим , чтобы люди ели эти отвратительные штуки вроде маниока .</t>
  </si>
  <si>
    <t>file://conllu/ru/teddy-1325.conllu#s221_0</t>
  </si>
  <si>
    <t>222</t>
  </si>
  <si>
    <t>питаться</t>
  </si>
  <si>
    <t>Маниоком питаются около полумиллиарда человек .</t>
  </si>
  <si>
    <t>file://conllu/ru/teddy-1325.conllu#s222_0</t>
  </si>
  <si>
    <t>223</t>
  </si>
  <si>
    <t>что-то</t>
  </si>
  <si>
    <t>Это что-то вроде картошки .</t>
  </si>
  <si>
    <t>file://conllu/ru/teddy-1325.conllu#s223_0</t>
  </si>
  <si>
    <t>224</t>
  </si>
  <si>
    <t>комок</t>
  </si>
  <si>
    <t>Просто комок калорий .</t>
  </si>
  <si>
    <t>file://conllu/ru/teddy-1325.conllu#s224_0</t>
  </si>
  <si>
    <t>225</t>
  </si>
  <si>
    <t>отвратительно</t>
  </si>
  <si>
    <t>Отвратительно .</t>
  </si>
  <si>
    <t>file://conllu/ru/teddy-1325.conllu#s225_0</t>
  </si>
  <si>
    <t>226</t>
  </si>
  <si>
    <t>В нём нет питательных веществ , в нём нет белка , и сегодня учёные пытаются искусственно привнести их в маниок .</t>
  </si>
  <si>
    <t>file://conllu/ru/teddy-1325.conllu#s226_0</t>
  </si>
  <si>
    <t>227</t>
  </si>
  <si>
    <t>И тогда люди смогут его есть , но не будут слепнуть .</t>
  </si>
  <si>
    <t>file://conllu/ru/teddy-1325.conllu#s227_0</t>
  </si>
  <si>
    <t>228</t>
  </si>
  <si>
    <t>голодать</t>
  </si>
  <si>
    <t>Не будут голодать , и знаете что ?</t>
  </si>
  <si>
    <t>file://conllu/ru/teddy-1325.conllu#s228_0</t>
  </si>
  <si>
    <t>229</t>
  </si>
  <si>
    <t>быть (быть неплохой)</t>
  </si>
  <si>
    <t>Неплохо было бы .</t>
  </si>
  <si>
    <t>file://conllu/ru/teddy-1325.conllu#s229_0</t>
  </si>
  <si>
    <t>230</t>
  </si>
  <si>
    <t>кухня</t>
  </si>
  <si>
    <t>Это , конечно , не изысканная кухня , но было бы неплохо .</t>
  </si>
  <si>
    <t>file://conllu/ru/teddy-1325.conllu#s230_0</t>
  </si>
  <si>
    <t>231</t>
  </si>
  <si>
    <t>бороться</t>
  </si>
  <si>
    <t>И всё , что я могу об этом сказать , это &amp;quot; Зачем мы с этим боремся ? &amp;quot;</t>
  </si>
  <si>
    <t>file://conllu/ru/teddy-1325.conllu#s231_0</t>
  </si>
  <si>
    <t>232</t>
  </si>
  <si>
    <t>давать (давать спросить)</t>
  </si>
  <si>
    <t>Нет , давайте спросим себя : &amp;quot; Зачем мы с этим боремся ? &amp;quot;</t>
  </si>
  <si>
    <t>file://conllu/ru/teddy-1325.conllu#s232_0</t>
  </si>
  <si>
    <t>233</t>
  </si>
  <si>
    <t>Мы не хотим передвигать гены ?</t>
  </si>
  <si>
    <t>file://conllu/ru/teddy-1325.conllu#s233_0</t>
  </si>
  <si>
    <t>234</t>
  </si>
  <si>
    <t>Но это не имеет отношения к перестановке генов .</t>
  </si>
  <si>
    <t>file://conllu/ru/teddy-1325.conllu#s234_0</t>
  </si>
  <si>
    <t>235</t>
  </si>
  <si>
    <t>химикат</t>
  </si>
  <si>
    <t>К химикатам .</t>
  </si>
  <si>
    <t>file://conllu/ru/teddy-1325.conllu#s235_0</t>
  </si>
  <si>
    <t>236</t>
  </si>
  <si>
    <t>Не имеет отношения к нашей дурацкой страсти к гормонам , к нашему стремлению получить больше еды , лучшую еду , выдающуюся еду .</t>
  </si>
  <si>
    <t>file://conllu/ru/teddy-1325.conllu#s236_0</t>
  </si>
  <si>
    <t>237</t>
  </si>
  <si>
    <t>Не имеет отношения к рисовым хлопьям на завтрак , а имеет отношение к выживанию людей , и нам пора уже это понять .</t>
  </si>
  <si>
    <t>file://conllu/ru/teddy-1325.conllu#s237_0</t>
  </si>
  <si>
    <t>238</t>
  </si>
  <si>
    <t>быть (быть виновный)</t>
  </si>
  <si>
    <t>Потому что , поймите , если мы не поймём , если мы продолжим вести себя так , как сейчас , мы будем виновны кое в чём таком , в чём никто не хочет оказаться виноватым , в высокотехнологичном колониализме .</t>
  </si>
  <si>
    <t>file://conllu/ru/teddy-1325.conllu#s238_0</t>
  </si>
  <si>
    <t>239</t>
  </si>
  <si>
    <t>назовёть</t>
  </si>
  <si>
    <t>Никак иначе это не назовёшь .</t>
  </si>
  <si>
    <t>file://conllu/ru/teddy-1325.conllu#s239_0</t>
  </si>
  <si>
    <t>240</t>
  </si>
  <si>
    <t>эгоизм</t>
  </si>
  <si>
    <t>Это эгоизм , это отвратительно , это ниже нашего достоинства , и мы обязательно должны это прекратить .</t>
  </si>
  <si>
    <t>file://conllu/ru/teddy-1325.conllu#s240_0</t>
  </si>
  <si>
    <t>241</t>
  </si>
  <si>
    <t>Так вот , после такого невероятно весёлого разговора , вы можете спросить : &amp;quot; Так что , ты ещё хочешь сесть в эту дурацкую машину времени и отправиться в будущее ? &amp;quot;</t>
  </si>
  <si>
    <t>file://conllu/ru/teddy-1325.conllu#s241_0</t>
  </si>
  <si>
    <t>242</t>
  </si>
  <si>
    <t>обязательно</t>
  </si>
  <si>
    <t>Да , обязательно .</t>
  </si>
  <si>
    <t>file://conllu/ru/teddy-1325.conllu#s242_0</t>
  </si>
  <si>
    <t>243</t>
  </si>
  <si>
    <t>Непременно хочу .</t>
  </si>
  <si>
    <t>file://conllu/ru/teddy-1325.conllu#s243_0</t>
  </si>
  <si>
    <t>244</t>
  </si>
  <si>
    <t>застрять</t>
  </si>
  <si>
    <t>Она застряла в настоящем , но нам выпал удивительный шанс .</t>
  </si>
  <si>
    <t>file://conllu/ru/teddy-1325.conllu#s244_0</t>
  </si>
  <si>
    <t>245</t>
  </si>
  <si>
    <t>Мы можем направить эту машину куда угодно .</t>
  </si>
  <si>
    <t>file://conllu/ru/teddy-1325.conllu#s245_0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</si>
  <si>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</si>
  <si>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</si>
  <si>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</si>
  <si>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</si>
  <si>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</si>
  <si>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</si>
  <si>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</si>
  <si>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</si>
  <si>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</si>
  <si>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</si>
  <si>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</si>
  <si>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Давайте представим, что у нас тут стоит машина большая, классная, в стиле TED машина... ...машина времени.</t>
  </si>
  <si>
    <t>Давайте</t>
  </si>
  <si>
    <t>представим</t>
  </si>
  <si>
    <t>,</t>
  </si>
  <si>
    <t>у</t>
  </si>
  <si>
    <t>нас</t>
  </si>
  <si>
    <t>other_3</t>
  </si>
  <si>
    <t>pron</t>
  </si>
  <si>
    <t>?OLD</t>
  </si>
  <si>
    <t>тут</t>
  </si>
  <si>
    <t>стоит</t>
  </si>
  <si>
    <t>машина</t>
  </si>
  <si>
    <t>SBJ_3</t>
  </si>
  <si>
    <t>большая</t>
  </si>
  <si>
    <t>классная</t>
  </si>
  <si>
    <t>в</t>
  </si>
  <si>
    <t>стиле</t>
  </si>
  <si>
    <t>TED</t>
  </si>
  <si>
    <t>other_4</t>
  </si>
  <si>
    <t>ne</t>
  </si>
  <si>
    <t>.</t>
  </si>
  <si>
    <t>времени</t>
  </si>
  <si>
    <t># text = И все в этом зале должны в неё сесть.</t>
  </si>
  <si>
    <t>И</t>
  </si>
  <si>
    <t>все</t>
  </si>
  <si>
    <t>SBJ</t>
  </si>
  <si>
    <t>этом</t>
  </si>
  <si>
    <t>зале</t>
  </si>
  <si>
    <t>other</t>
  </si>
  <si>
    <t>def-np.dem</t>
  </si>
  <si>
    <t>должны</t>
  </si>
  <si>
    <t>неё</t>
  </si>
  <si>
    <t>other_2</t>
  </si>
  <si>
    <t>сесть</t>
  </si>
  <si>
    <t># text = Вы можете отправиться в прошлое или в будущее, но здесь, в настоящем, остаться вы не можете.</t>
  </si>
  <si>
    <t>Вы</t>
  </si>
  <si>
    <t>можете</t>
  </si>
  <si>
    <t>отправиться</t>
  </si>
  <si>
    <t>прошлое</t>
  </si>
  <si>
    <t>или</t>
  </si>
  <si>
    <t>будущее</t>
  </si>
  <si>
    <t>но</t>
  </si>
  <si>
    <t>здесь</t>
  </si>
  <si>
    <t>настоящем</t>
  </si>
  <si>
    <t>остаться</t>
  </si>
  <si>
    <t>вы</t>
  </si>
  <si>
    <t>SBJ_2</t>
  </si>
  <si>
    <t>не</t>
  </si>
  <si>
    <t># text = Мне очень любопытно, что же вы выберете, потому что я в последнее время часто задаю этот вопрос своим друзьям, и все они хотят отправиться в прошлое.</t>
  </si>
  <si>
    <t>Мне</t>
  </si>
  <si>
    <t>OBJ</t>
  </si>
  <si>
    <t>очень</t>
  </si>
  <si>
    <t>любопытно</t>
  </si>
  <si>
    <t>OBJ_2</t>
  </si>
  <si>
    <t>pron.pint</t>
  </si>
  <si>
    <t>же</t>
  </si>
  <si>
    <t>выберете</t>
  </si>
  <si>
    <t>потому</t>
  </si>
  <si>
    <t>я</t>
  </si>
  <si>
    <t>последнее</t>
  </si>
  <si>
    <t>время</t>
  </si>
  <si>
    <t>часто</t>
  </si>
  <si>
    <t>задаю</t>
  </si>
  <si>
    <t>этот</t>
  </si>
  <si>
    <t>вопрос</t>
  </si>
  <si>
    <t>своим</t>
  </si>
  <si>
    <t>друзьям</t>
  </si>
  <si>
    <t>и</t>
  </si>
  <si>
    <t>они</t>
  </si>
  <si>
    <t>хотят</t>
  </si>
  <si>
    <t># text = Не понимаю.</t>
  </si>
  <si>
    <t>Не</t>
  </si>
  <si>
    <t>понимаю</t>
  </si>
  <si>
    <t>--</t>
  </si>
  <si>
    <t># text = Они хотят отправиться во времена, когда не было автомобилей, или твиттера, или \"Минуты славы\".</t>
  </si>
  <si>
    <t>Они</t>
  </si>
  <si>
    <t>во</t>
  </si>
  <si>
    <t>времена</t>
  </si>
  <si>
    <t>когда</t>
  </si>
  <si>
    <t>было</t>
  </si>
  <si>
    <t>автомобилей</t>
  </si>
  <si>
    <t>SBJ_4</t>
  </si>
  <si>
    <t>твиттера</t>
  </si>
  <si>
    <t>&amp;quot;</t>
  </si>
  <si>
    <t>Минуты</t>
  </si>
  <si>
    <t>славы</t>
  </si>
  <si>
    <t># text = Я не понимаю.</t>
  </si>
  <si>
    <t>Я</t>
  </si>
  <si>
    <t># text = Я уверен, что это какое-то стремление к ностальгии, попытка выдать желаемое за действительное.</t>
  </si>
  <si>
    <t>уверен</t>
  </si>
  <si>
    <t>это</t>
  </si>
  <si>
    <t>pron.pds</t>
  </si>
  <si>
    <t>какое-то</t>
  </si>
  <si>
    <t>стремление</t>
  </si>
  <si>
    <t>indef-np</t>
  </si>
  <si>
    <t>к</t>
  </si>
  <si>
    <t>ностальгии</t>
  </si>
  <si>
    <t>попытка</t>
  </si>
  <si>
    <t>выдать</t>
  </si>
  <si>
    <t>желаемое</t>
  </si>
  <si>
    <t>за</t>
  </si>
  <si>
    <t>действительное</t>
  </si>
  <si>
    <t># text = Я это понимаю.</t>
  </si>
  <si>
    <t># text = Но должен сказать, я не из таких.</t>
  </si>
  <si>
    <t>Но</t>
  </si>
  <si>
    <t>сказать</t>
  </si>
  <si>
    <t>из</t>
  </si>
  <si>
    <t>таких</t>
  </si>
  <si>
    <t># text = Я не хочу в прошлое, и это не потому что я ищу приключений -- это потому что возможности на этой планете не возникают в прошлом, они возникают в будущем.</t>
  </si>
  <si>
    <t>хочу</t>
  </si>
  <si>
    <t>ищу</t>
  </si>
  <si>
    <t>приключений</t>
  </si>
  <si>
    <t>возможности</t>
  </si>
  <si>
    <t>на</t>
  </si>
  <si>
    <t>этой</t>
  </si>
  <si>
    <t>планете</t>
  </si>
  <si>
    <t>возникают</t>
  </si>
  <si>
    <t>прошлом</t>
  </si>
  <si>
    <t>будущем</t>
  </si>
  <si>
    <t># text = Поэтому я хочу сесть в эту машину и отправиться в будущее.</t>
  </si>
  <si>
    <t>Поэтому</t>
  </si>
  <si>
    <t>эту</t>
  </si>
  <si>
    <t>машину</t>
  </si>
  <si>
    <t># text = Мы переживаем прекраснейшие времена на этой планете, по любым меркам: здоровье, богатство, мобильность, возможности, снижение уровня болезней.</t>
  </si>
  <si>
    <t>Мы</t>
  </si>
  <si>
    <t>переживаем</t>
  </si>
  <si>
    <t>прекраснейшие</t>
  </si>
  <si>
    <t>по</t>
  </si>
  <si>
    <t>любым</t>
  </si>
  <si>
    <t>меркам</t>
  </si>
  <si>
    <t>:</t>
  </si>
  <si>
    <t>здоровье</t>
  </si>
  <si>
    <t>богатство</t>
  </si>
  <si>
    <t>мобильность</t>
  </si>
  <si>
    <t>снижение</t>
  </si>
  <si>
    <t>уровня</t>
  </si>
  <si>
    <t>болезней</t>
  </si>
  <si>
    <t># text = Ещё никогда не было таких времён.</t>
  </si>
  <si>
    <t>Ещё</t>
  </si>
  <si>
    <t>никогда</t>
  </si>
  <si>
    <t>времён</t>
  </si>
  <si>
    <t># text = Все мои прапрадеды умерли ещё до 60 лет.</t>
  </si>
  <si>
    <t>Все</t>
  </si>
  <si>
    <t>мои</t>
  </si>
  <si>
    <t>pron.ppos</t>
  </si>
  <si>
    <t>прапрадеды</t>
  </si>
  <si>
    <t>indef-np.quant</t>
  </si>
  <si>
    <t>умерли</t>
  </si>
  <si>
    <t>ещё</t>
  </si>
  <si>
    <t>до</t>
  </si>
  <si>
    <t>лет</t>
  </si>
  <si>
    <t># text = Мои прадеды добрались до 70.</t>
  </si>
  <si>
    <t>Мои</t>
  </si>
  <si>
    <t>прадеды</t>
  </si>
  <si>
    <t>добрались</t>
  </si>
  <si>
    <t># text = Родители приближаются к 80.</t>
  </si>
  <si>
    <t>Родители</t>
  </si>
  <si>
    <t>приближаются</t>
  </si>
  <si>
    <t># text = Я очень надеюсь, что мой возраст будет начинаться на девятку.</t>
  </si>
  <si>
    <t>надеюсь</t>
  </si>
  <si>
    <t>мой</t>
  </si>
  <si>
    <t>возраст</t>
  </si>
  <si>
    <t>будет</t>
  </si>
  <si>
    <t>начинаться</t>
  </si>
  <si>
    <t>девятку</t>
  </si>
  <si>
    <t># text = Но всё это относится не только и не столько к нам, потому что есть вещи поважнее.</t>
  </si>
  <si>
    <t>всё</t>
  </si>
  <si>
    <t>относится</t>
  </si>
  <si>
    <t>только</t>
  </si>
  <si>
    <t>столько</t>
  </si>
  <si>
    <t>нам</t>
  </si>
  <si>
    <t>есть</t>
  </si>
  <si>
    <t>вещи</t>
  </si>
  <si>
    <t>поважнее</t>
  </si>
  <si>
    <t># text = Ребёнок, родившийся сегодня в Нью-Дели, может надеяться прожить столько же, сколько богатейший человек в мире — сто лет тому назад.</t>
  </si>
  <si>
    <t>Ребёнок</t>
  </si>
  <si>
    <t>родившийся</t>
  </si>
  <si>
    <t>сегодня</t>
  </si>
  <si>
    <t>Нью</t>
  </si>
  <si>
    <t>-Дели</t>
  </si>
  <si>
    <t>может</t>
  </si>
  <si>
    <t>прожить</t>
  </si>
  <si>
    <t>сколько</t>
  </si>
  <si>
    <t>богатейший</t>
  </si>
  <si>
    <t>человек</t>
  </si>
  <si>
    <t>мире</t>
  </si>
  <si>
    <t>—</t>
  </si>
  <si>
    <t>сто</t>
  </si>
  <si>
    <t>other_6</t>
  </si>
  <si>
    <t>тому</t>
  </si>
  <si>
    <t>назад</t>
  </si>
  <si>
    <t># text = Подумайте об этом.</t>
  </si>
  <si>
    <t>Подумайте</t>
  </si>
  <si>
    <t>об</t>
  </si>
  <si>
    <t># text = Это невероятный факт.</t>
  </si>
  <si>
    <t>Это</t>
  </si>
  <si>
    <t>невероятный</t>
  </si>
  <si>
    <t># text = А почему это так?</t>
  </si>
  <si>
    <t>А</t>
  </si>
  <si>
    <t>?</t>
  </si>
  <si>
    <t># text = Оспа.</t>
  </si>
  <si>
    <t>Оспа</t>
  </si>
  <si>
    <t># text = Оспа погубила миллиарды человек на этой планете.</t>
  </si>
  <si>
    <t>погубила</t>
  </si>
  <si>
    <t>миллиарды</t>
  </si>
  <si>
    <t># text = Она изменила демографию мира так, как ни одна война в истории человечества.</t>
  </si>
  <si>
    <t>Она</t>
  </si>
  <si>
    <t>изменила</t>
  </si>
  <si>
    <t>демографию</t>
  </si>
  <si>
    <t>мира</t>
  </si>
  <si>
    <t>как</t>
  </si>
  <si>
    <t>ни</t>
  </si>
  <si>
    <t>одна</t>
  </si>
  <si>
    <t>война</t>
  </si>
  <si>
    <t>истории</t>
  </si>
  <si>
    <t>человечества</t>
  </si>
  <si>
    <t># text = Её нет.</t>
  </si>
  <si>
    <t>Её</t>
  </si>
  <si>
    <t># text = Она исчезла.</t>
  </si>
  <si>
    <t>исчезла</t>
  </si>
  <si>
    <t># text = Мы её искоренили.</t>
  </si>
  <si>
    <t>её</t>
  </si>
  <si>
    <t>искоренили</t>
  </si>
  <si>
    <t># text = Пшик!</t>
  </si>
  <si>
    <t>!</t>
  </si>
  <si>
    <t># text = В мире богатых, болезни, которые угрожали миллионам ещё поколение тому назад, больше практически не существуют.</t>
  </si>
  <si>
    <t>В</t>
  </si>
  <si>
    <t>богатых</t>
  </si>
  <si>
    <t>болезни</t>
  </si>
  <si>
    <t>которые</t>
  </si>
  <si>
    <t>угрожали</t>
  </si>
  <si>
    <t>миллионам</t>
  </si>
  <si>
    <t>OBJ_3</t>
  </si>
  <si>
    <t>поколение</t>
  </si>
  <si>
    <t>больше</t>
  </si>
  <si>
    <t>практически</t>
  </si>
  <si>
    <t>существуют</t>
  </si>
  <si>
    <t># text = Дифтерия, краснуха, полиомиелит... кто-нибудь вообще помнит, что это такое?</t>
  </si>
  <si>
    <t>Дифтерия</t>
  </si>
  <si>
    <t>краснуха</t>
  </si>
  <si>
    <t>полиомиелит</t>
  </si>
  <si>
    <t>кто-нибудь</t>
  </si>
  <si>
    <t>вообще</t>
  </si>
  <si>
    <t>помнит</t>
  </si>
  <si>
    <t>такое</t>
  </si>
  <si>
    <t># text = Вакцины, современная медицина, наша способность накормить миллиарды человек, это всё триумф научного метода.</t>
  </si>
  <si>
    <t>Вакцины</t>
  </si>
  <si>
    <t>современная</t>
  </si>
  <si>
    <t>медицина</t>
  </si>
  <si>
    <t>наша</t>
  </si>
  <si>
    <t>способность</t>
  </si>
  <si>
    <t>накормить</t>
  </si>
  <si>
    <t>триумф</t>
  </si>
  <si>
    <t>научного</t>
  </si>
  <si>
    <t>метода</t>
  </si>
  <si>
    <t># text = И по-моему, научный метод, разные опыты, заработало - не заработало, снова опыты, если не заработало — это одно из величайших достижений человечества.</t>
  </si>
  <si>
    <t>по-моему</t>
  </si>
  <si>
    <t>научный</t>
  </si>
  <si>
    <t>разные</t>
  </si>
  <si>
    <t>опыты</t>
  </si>
  <si>
    <t>заработало</t>
  </si>
  <si>
    <t>снова</t>
  </si>
  <si>
    <t>если</t>
  </si>
  <si>
    <t>одно</t>
  </si>
  <si>
    <t>величайших</t>
  </si>
  <si>
    <t>достижений</t>
  </si>
  <si>
    <t># text = Это всё хорошие новости.</t>
  </si>
  <si>
    <t>хорошие</t>
  </si>
  <si>
    <t>новости</t>
  </si>
  <si>
    <t># text = К сожалению, это все хорошие новости, потому что есть другие проблемы, и о них не раз уже говорилось, и одна из них заключается в том, что несмотря на все наши достижения, миллиард человек ложится спать голодным каждый день на этой планете.</t>
  </si>
  <si>
    <t>К</t>
  </si>
  <si>
    <t>сожалению</t>
  </si>
  <si>
    <t>другие</t>
  </si>
  <si>
    <t>проблемы</t>
  </si>
  <si>
    <t>о</t>
  </si>
  <si>
    <t>них</t>
  </si>
  <si>
    <t>раз</t>
  </si>
  <si>
    <t>уже</t>
  </si>
  <si>
    <t>говорилось</t>
  </si>
  <si>
    <t>заключается</t>
  </si>
  <si>
    <t>том</t>
  </si>
  <si>
    <t>несмотря</t>
  </si>
  <si>
    <t>наши</t>
  </si>
  <si>
    <t>other_5</t>
  </si>
  <si>
    <t>достижения</t>
  </si>
  <si>
    <t>миллиард</t>
  </si>
  <si>
    <t>ложится</t>
  </si>
  <si>
    <t>спать</t>
  </si>
  <si>
    <t>голодным</t>
  </si>
  <si>
    <t>каждый</t>
  </si>
  <si>
    <t>день</t>
  </si>
  <si>
    <t># text = Это число растёт, и растёт очень, очень быстро, и это позор.</t>
  </si>
  <si>
    <t>число</t>
  </si>
  <si>
    <t>растёт</t>
  </si>
  <si>
    <t>быстро</t>
  </si>
  <si>
    <t>позор</t>
  </si>
  <si>
    <t># text = Мало того, мы использовали наше воображение, чтобы тщательно изуродовать эту планету.</t>
  </si>
  <si>
    <t>Мало</t>
  </si>
  <si>
    <t>того</t>
  </si>
  <si>
    <t>использовали</t>
  </si>
  <si>
    <t>наше</t>
  </si>
  <si>
    <t>воображение</t>
  </si>
  <si>
    <t>чтобы</t>
  </si>
  <si>
    <t>тщательно</t>
  </si>
  <si>
    <t>изуродовать</t>
  </si>
  <si>
    <t>планету</t>
  </si>
  <si>
    <t># text = Питьевая вода, пахотная земля, тропические леса, нефть, газ: всё это исчезнет, очень скоро исчезнет, и если мы не найдём оригинальный выход из этой передряги, исчезнем и мы.</t>
  </si>
  <si>
    <t>Питьевая</t>
  </si>
  <si>
    <t>пахотная</t>
  </si>
  <si>
    <t>земля</t>
  </si>
  <si>
    <t>тропические</t>
  </si>
  <si>
    <t>леса</t>
  </si>
  <si>
    <t>нефть</t>
  </si>
  <si>
    <t>газ</t>
  </si>
  <si>
    <t>исчезнет</t>
  </si>
  <si>
    <t>скоро</t>
  </si>
  <si>
    <t>найдём</t>
  </si>
  <si>
    <t>оригинальный</t>
  </si>
  <si>
    <t>выход</t>
  </si>
  <si>
    <t>OBJ_4</t>
  </si>
  <si>
    <t>def-np.poss</t>
  </si>
  <si>
    <t>передряги</t>
  </si>
  <si>
    <t>исчезнем</t>
  </si>
  <si>
    <t># text = Так что вопрос такой: сможем ли мы это сделать?</t>
  </si>
  <si>
    <t>Так</t>
  </si>
  <si>
    <t>сможем</t>
  </si>
  <si>
    <t>ли</t>
  </si>
  <si>
    <t>сделать</t>
  </si>
  <si>
    <t># text = Я думаю, сможем.</t>
  </si>
  <si>
    <t>думаю</t>
  </si>
  <si>
    <t># text = Я думаю, всем очевидно, что мы можем производить еду, которой будет достаточно миллиардам людей, не насилуя землю, на которой они живут.</t>
  </si>
  <si>
    <t>всем</t>
  </si>
  <si>
    <t>очевидно</t>
  </si>
  <si>
    <t>можем</t>
  </si>
  <si>
    <t>производить</t>
  </si>
  <si>
    <t>еду</t>
  </si>
  <si>
    <t>которой</t>
  </si>
  <si>
    <t>OBJ_5</t>
  </si>
  <si>
    <t>достаточно</t>
  </si>
  <si>
    <t>миллиардам</t>
  </si>
  <si>
    <t>SBJ_5</t>
  </si>
  <si>
    <t>людей</t>
  </si>
  <si>
    <t>насилуя</t>
  </si>
  <si>
    <t>землю</t>
  </si>
  <si>
    <t>OBJ_6</t>
  </si>
  <si>
    <t>other_8</t>
  </si>
  <si>
    <t>SBJ_8</t>
  </si>
  <si>
    <t>живут</t>
  </si>
  <si>
    <t># text = Я думаю, что мы можем питать мир энергией, которая при этом его не разрушает.</t>
  </si>
  <si>
    <t>питать</t>
  </si>
  <si>
    <t>энергией</t>
  </si>
  <si>
    <t>которая</t>
  </si>
  <si>
    <t>при</t>
  </si>
  <si>
    <t>его</t>
  </si>
  <si>
    <t>разрушает</t>
  </si>
  <si>
    <t># text = Я действительно так считаю, и нет, это я выдаю желаемое за действительное.</t>
  </si>
  <si>
    <t>действительно</t>
  </si>
  <si>
    <t>считаю</t>
  </si>
  <si>
    <t>выдаю</t>
  </si>
  <si>
    <t># text = Но вот одна мысль не даёт мне спокойно спать — одна из мыслей, которые не дают мне спокойно спать: мы никогда не нуждались в научном прогрессе больше, чем сейчас, и у нас никогда не было лучшей возможности реализовать его потенциал, чем сейчас.</t>
  </si>
  <si>
    <t>вот</t>
  </si>
  <si>
    <t>мысль</t>
  </si>
  <si>
    <t>даёт</t>
  </si>
  <si>
    <t>мне</t>
  </si>
  <si>
    <t>спокойно</t>
  </si>
  <si>
    <t>мыслей</t>
  </si>
  <si>
    <t>дают</t>
  </si>
  <si>
    <t>нуждались</t>
  </si>
  <si>
    <t>научном</t>
  </si>
  <si>
    <t>прогрессе</t>
  </si>
  <si>
    <t>чем</t>
  </si>
  <si>
    <t>сейчас</t>
  </si>
  <si>
    <t>лучшей</t>
  </si>
  <si>
    <t>SBJ_6</t>
  </si>
  <si>
    <t>реализовать</t>
  </si>
  <si>
    <t>other_9</t>
  </si>
  <si>
    <t>потенциал</t>
  </si>
  <si>
    <t>OBJ_8</t>
  </si>
  <si>
    <t># text = Мы стоим на пороге удивительных, удивительных событий во многих отраслях.</t>
  </si>
  <si>
    <t>стоим</t>
  </si>
  <si>
    <t>пороге</t>
  </si>
  <si>
    <t>удивительных</t>
  </si>
  <si>
    <t>событий</t>
  </si>
  <si>
    <t>многих</t>
  </si>
  <si>
    <t>отраслях</t>
  </si>
  <si>
    <t># text = И при всём том, нам пришлось бы заглянуть на сотни лет назад, лет на триста, до Просвещения, чтобы увидеть времена, когда мы сопротивлялись прогрессу, сопротивлялись этим удивительным вещам сильнее, чем сегодня.</t>
  </si>
  <si>
    <t>всём</t>
  </si>
  <si>
    <t>пришлось</t>
  </si>
  <si>
    <t>бы</t>
  </si>
  <si>
    <t>заглянуть</t>
  </si>
  <si>
    <t>сотни</t>
  </si>
  <si>
    <t>триста</t>
  </si>
  <si>
    <t>Просвещения</t>
  </si>
  <si>
    <t>увидеть</t>
  </si>
  <si>
    <t>сопротивлялись</t>
  </si>
  <si>
    <t>прогрессу</t>
  </si>
  <si>
    <t>этим</t>
  </si>
  <si>
    <t>удивительным</t>
  </si>
  <si>
    <t>вещам</t>
  </si>
  <si>
    <t>сильнее</t>
  </si>
  <si>
    <t># text = Люди опутывают себя предрассудками настолько плотно, что их уже не освободить.</t>
  </si>
  <si>
    <t>Люди</t>
  </si>
  <si>
    <t>опутывают</t>
  </si>
  <si>
    <t>себя</t>
  </si>
  <si>
    <t>предрассудками</t>
  </si>
  <si>
    <t>настолько</t>
  </si>
  <si>
    <t>плотно</t>
  </si>
  <si>
    <t>их</t>
  </si>
  <si>
    <t>освободить</t>
  </si>
  <si>
    <t># text = Даже правда не может их освободить.</t>
  </si>
  <si>
    <t>Даже</t>
  </si>
  <si>
    <t>правда</t>
  </si>
  <si>
    <t># text = Нет, конечно, каждый имеет право на своё мнение, у них даже есть право иметь собственное мнение касательно прогресса, но знаете, на что ни у кого нет права?</t>
  </si>
  <si>
    <t>Нет</t>
  </si>
  <si>
    <t>конечно</t>
  </si>
  <si>
    <t>имеет</t>
  </si>
  <si>
    <t>право</t>
  </si>
  <si>
    <t>своё</t>
  </si>
  <si>
    <t>мнение</t>
  </si>
  <si>
    <t>даже</t>
  </si>
  <si>
    <t>собственное</t>
  </si>
  <si>
    <t>касательно</t>
  </si>
  <si>
    <t>прогресса</t>
  </si>
  <si>
    <t>знаете</t>
  </si>
  <si>
    <t>кого</t>
  </si>
  <si>
    <t>права</t>
  </si>
  <si>
    <t># text = Ни у кого нет права иметь собственные факты.</t>
  </si>
  <si>
    <t>Ни</t>
  </si>
  <si>
    <t>собственные</t>
  </si>
  <si>
    <t>факты</t>
  </si>
  <si>
    <t># text = Извините, но так нельзя.</t>
  </si>
  <si>
    <t>Извините</t>
  </si>
  <si>
    <t>нельзя</t>
  </si>
  <si>
    <t># text = Я это не сразу осознал.</t>
  </si>
  <si>
    <t>сразу</t>
  </si>
  <si>
    <t>осознал</t>
  </si>
  <si>
    <t># text = Лет десять назад я написал статью о вакцинации для "Нью-Йоркера", маленькую статью.</t>
  </si>
  <si>
    <t>Лет</t>
  </si>
  <si>
    <t>десять</t>
  </si>
  <si>
    <t>написал</t>
  </si>
  <si>
    <t>статью</t>
  </si>
  <si>
    <t>вакцинации</t>
  </si>
  <si>
    <t>для</t>
  </si>
  <si>
    <t>Нью-Йоркера</t>
  </si>
  <si>
    <t>маленькую</t>
  </si>
  <si>
    <t># text = И с удивлением обнаружил противников, противников того, что фактически является наиболее эффективной мерой здравоохранения в истории человечества.</t>
  </si>
  <si>
    <t>с</t>
  </si>
  <si>
    <t>удивлением</t>
  </si>
  <si>
    <t>обнаружил</t>
  </si>
  <si>
    <t>противников</t>
  </si>
  <si>
    <t>фактически</t>
  </si>
  <si>
    <t>является</t>
  </si>
  <si>
    <t>наиболее</t>
  </si>
  <si>
    <t>эффективной</t>
  </si>
  <si>
    <t>мерой</t>
  </si>
  <si>
    <t>здравоохранения</t>
  </si>
  <si>
    <t># text = Я не знал, что мне делать, поэтому поступил как обычно - написал статью и забыл о ней.</t>
  </si>
  <si>
    <t>знал</t>
  </si>
  <si>
    <t>поэтому</t>
  </si>
  <si>
    <t>поступил</t>
  </si>
  <si>
    <t>обычно</t>
  </si>
  <si>
    <t>забыл</t>
  </si>
  <si>
    <t>ней</t>
  </si>
  <si>
    <t># text = Но вскоре я написал статью о генетически модифицированной еде.</t>
  </si>
  <si>
    <t>вскоре</t>
  </si>
  <si>
    <t>генетически</t>
  </si>
  <si>
    <t>модифицированной</t>
  </si>
  <si>
    <t>еде</t>
  </si>
  <si>
    <t># text = И всё повторилось - только в большем масштабе.</t>
  </si>
  <si>
    <t>повторилось</t>
  </si>
  <si>
    <t>большем</t>
  </si>
  <si>
    <t>масштабе</t>
  </si>
  <si>
    <t># text = Люди как с ума посходили.</t>
  </si>
  <si>
    <t>ума</t>
  </si>
  <si>
    <t>посходили</t>
  </si>
  <si>
    <t># text = Поэтому я написал и об этом статью, но никак не мог понять, почему люди думают, что это \"еда-франкештейн\", почему они считают, что передвигая молекулы в определённом, а не случайном, порядке, мы вмешиваемся в дела природы.</t>
  </si>
  <si>
    <t>никак</t>
  </si>
  <si>
    <t>мог</t>
  </si>
  <si>
    <t>понять</t>
  </si>
  <si>
    <t>люди</t>
  </si>
  <si>
    <t>думают</t>
  </si>
  <si>
    <t>еда</t>
  </si>
  <si>
    <t>франкештейн</t>
  </si>
  <si>
    <t>считают</t>
  </si>
  <si>
    <t>передвигая</t>
  </si>
  <si>
    <t>молекулы</t>
  </si>
  <si>
    <t>OBJ_7</t>
  </si>
  <si>
    <t>определённом</t>
  </si>
  <si>
    <t>а</t>
  </si>
  <si>
    <t>случайном</t>
  </si>
  <si>
    <t>порядке</t>
  </si>
  <si>
    <t>вмешиваемся</t>
  </si>
  <si>
    <t>дела</t>
  </si>
  <si>
    <t>природы</t>
  </si>
  <si>
    <t># text = Но, вы понимаете, я занимаюсь своим делом: написал историю и забыл.</t>
  </si>
  <si>
    <t>понимаете</t>
  </si>
  <si>
    <t>занимаюсь</t>
  </si>
  <si>
    <t>делом</t>
  </si>
  <si>
    <t>историю</t>
  </si>
  <si>
    <t># text = В смысле, я журналист: напечатал, отправил, пошёл покушал, так и живём. (смех) Но эти статьи не давали мне покоя, я никак не мог понять почему, но в конце концов догадался.</t>
  </si>
  <si>
    <t>смысле</t>
  </si>
  <si>
    <t>напечатал</t>
  </si>
  <si>
    <t>отправил</t>
  </si>
  <si>
    <t>пошёл</t>
  </si>
  <si>
    <t>покушал</t>
  </si>
  <si>
    <t>живём</t>
  </si>
  <si>
    <t>(</t>
  </si>
  <si>
    <t>смех</t>
  </si>
  <si>
    <t>)</t>
  </si>
  <si>
    <t>эти</t>
  </si>
  <si>
    <t>статьи</t>
  </si>
  <si>
    <t>давали</t>
  </si>
  <si>
    <t>покоя</t>
  </si>
  <si>
    <t>конце</t>
  </si>
  <si>
    <t>концов</t>
  </si>
  <si>
    <t>догадался</t>
  </si>
  <si>
    <t># text = Всё потому что те фанатики, которые на меня нападали, на самом деле фанатиками вовсе не являлись.</t>
  </si>
  <si>
    <t>Всё</t>
  </si>
  <si>
    <t>те</t>
  </si>
  <si>
    <t>фанатики</t>
  </si>
  <si>
    <t>меня</t>
  </si>
  <si>
    <t>нападали</t>
  </si>
  <si>
    <t>самом</t>
  </si>
  <si>
    <t>деле</t>
  </si>
  <si>
    <t>фанатиками</t>
  </si>
  <si>
    <t>вовсе</t>
  </si>
  <si>
    <t>являлись</t>
  </si>
  <si>
    <t># text = Это были вдумчивые люди, образованные, приличные.</t>
  </si>
  <si>
    <t>были</t>
  </si>
  <si>
    <t>вдумчивые</t>
  </si>
  <si>
    <t>образованные</t>
  </si>
  <si>
    <t>приличные</t>
  </si>
  <si>
    <t># text = Абсолютно такие же, что сидят в этом зале.</t>
  </si>
  <si>
    <t>Абсолютно</t>
  </si>
  <si>
    <t>такие</t>
  </si>
  <si>
    <t>сидят</t>
  </si>
  <si>
    <t># text = И это меня сильно обеспокоило, но потом я решил, что если уж говорить начистоту, то мы сегодня живём в мире, в котором совершенно другое отношение к прогрессу, нежели когда-то.</t>
  </si>
  <si>
    <t>сильно</t>
  </si>
  <si>
    <t>обеспокоило</t>
  </si>
  <si>
    <t>потом</t>
  </si>
  <si>
    <t>решил</t>
  </si>
  <si>
    <t>уж</t>
  </si>
  <si>
    <t>начистоту</t>
  </si>
  <si>
    <t>то</t>
  </si>
  <si>
    <t>котором</t>
  </si>
  <si>
    <t>совершенно</t>
  </si>
  <si>
    <t>другое</t>
  </si>
  <si>
    <t>отношение</t>
  </si>
  <si>
    <t>нежели</t>
  </si>
  <si>
    <t>когда-то</t>
  </si>
  <si>
    <t># text = Мы говорим о нём что попало.</t>
  </si>
  <si>
    <t>говорим</t>
  </si>
  <si>
    <t>нём</t>
  </si>
  <si>
    <t>попало</t>
  </si>
  <si>
    <t># text = Мы говорим о нём с иронией, с издёвкой: \"Прогресс, ну-ну\".</t>
  </si>
  <si>
    <t>иронией</t>
  </si>
  <si>
    <t>издёвкой</t>
  </si>
  <si>
    <t>Прогресс</t>
  </si>
  <si>
    <t>ну-ну</t>
  </si>
  <si>
    <t># text = Окей, есть на то причины, и мы их прекрасно понимаем.</t>
  </si>
  <si>
    <t>Окей</t>
  </si>
  <si>
    <t>причины</t>
  </si>
  <si>
    <t>прекрасно</t>
  </si>
  <si>
    <t>понимаем</t>
  </si>
  <si>
    <t># text = Мы потеряли веру в организации, в авторитеты, и немного в собственно науку, и это весьма закономерно.</t>
  </si>
  <si>
    <t>потеряли</t>
  </si>
  <si>
    <t>веру</t>
  </si>
  <si>
    <t>организации</t>
  </si>
  <si>
    <t>авторитеты</t>
  </si>
  <si>
    <t>немного</t>
  </si>
  <si>
    <t>собственно</t>
  </si>
  <si>
    <t>науку</t>
  </si>
  <si>
    <t>весьма</t>
  </si>
  <si>
    <t>закономерно</t>
  </si>
  <si>
    <t># text = Можно упомянуть всего несколько названий, и каждый поймёт.</t>
  </si>
  <si>
    <t>Можно</t>
  </si>
  <si>
    <t>упомянуть</t>
  </si>
  <si>
    <t>всего</t>
  </si>
  <si>
    <t>несколько</t>
  </si>
  <si>
    <t>названий</t>
  </si>
  <si>
    <t>поймёт</t>
  </si>
  <si>
    <t># text = Чернобыль, Бхопал, "Челленджер", Vioxx (рофекоксиб - скандальное лекарство от артрита, вызывавшее болезни сердца), оружие массового поражения, скандал с автоматизированным голосованием во Флориде.</t>
  </si>
  <si>
    <t>Чернобыль</t>
  </si>
  <si>
    <t>Челленджер</t>
  </si>
  <si>
    <t>Vioxx</t>
  </si>
  <si>
    <t>рофекоксиб</t>
  </si>
  <si>
    <t>скандальное</t>
  </si>
  <si>
    <t>лекарство</t>
  </si>
  <si>
    <t>от</t>
  </si>
  <si>
    <t>артрита</t>
  </si>
  <si>
    <t>вызывавшее</t>
  </si>
  <si>
    <t>сердца</t>
  </si>
  <si>
    <t>оружие</t>
  </si>
  <si>
    <t>массового</t>
  </si>
  <si>
    <t>поражения</t>
  </si>
  <si>
    <t>скандал</t>
  </si>
  <si>
    <t>автоматизированным</t>
  </si>
  <si>
    <t>голосованием</t>
  </si>
  <si>
    <t>Флориде</t>
  </si>
  <si>
    <t># text = Понятно, что каждый может предложить свои примеры.</t>
  </si>
  <si>
    <t>Понятно</t>
  </si>
  <si>
    <t>предложить</t>
  </si>
  <si>
    <t>свои</t>
  </si>
  <si>
    <t>примеры</t>
  </si>
  <si>
    <t># text = У нас есть вопросы и претензии к людям, которых мы всегда считали правыми.</t>
  </si>
  <si>
    <t>У</t>
  </si>
  <si>
    <t>вопросы</t>
  </si>
  <si>
    <t>претензии</t>
  </si>
  <si>
    <t>людям</t>
  </si>
  <si>
    <t>которых</t>
  </si>
  <si>
    <t>считали</t>
  </si>
  <si>
    <t>правыми</t>
  </si>
  <si>
    <t># text = Ну так будьте скептиками.</t>
  </si>
  <si>
    <t>Ну</t>
  </si>
  <si>
    <t>будьте</t>
  </si>
  <si>
    <t>скептиками</t>
  </si>
  <si>
    <t># text = Задавайте вопросы, требуйте проверок, требуйте доказательств.</t>
  </si>
  <si>
    <t>Задавайте</t>
  </si>
  <si>
    <t>требуйте</t>
  </si>
  <si>
    <t>проверок</t>
  </si>
  <si>
    <t>доказательств</t>
  </si>
  <si>
    <t># text = Не принимайте ничего на веру.</t>
  </si>
  <si>
    <t>принимайте</t>
  </si>
  <si>
    <t>pron.pind</t>
  </si>
  <si>
    <t># text = Но вот что важно: получив доказательства, вы должны их принять, но как раз это у нас не слишком хорошо получается.</t>
  </si>
  <si>
    <t>важно</t>
  </si>
  <si>
    <t>получив</t>
  </si>
  <si>
    <t>доказательства</t>
  </si>
  <si>
    <t>принять</t>
  </si>
  <si>
    <t>слишком</t>
  </si>
  <si>
    <t>хорошо</t>
  </si>
  <si>
    <t>получается</t>
  </si>
  <si>
    <t># text = И я могу сказать, почему: мы охвачены эпидемией страха, какой я раньше не видал - и, надеюсь, никогда не увижу снова.</t>
  </si>
  <si>
    <t>могу</t>
  </si>
  <si>
    <t>охвачены</t>
  </si>
  <si>
    <t>эпидемией</t>
  </si>
  <si>
    <t>страха</t>
  </si>
  <si>
    <t>какой</t>
  </si>
  <si>
    <t>раньше</t>
  </si>
  <si>
    <t>видал</t>
  </si>
  <si>
    <t>увижу</t>
  </si>
  <si>
    <t># text = Лет двенадцать назад, вышла статья, шокирующая статья, которая описывала связь между эпидемией аутизма и прививками универсальной вакцины MMR (корь, паротит, краснуха).</t>
  </si>
  <si>
    <t>двенадцать</t>
  </si>
  <si>
    <t>вышла</t>
  </si>
  <si>
    <t>статья</t>
  </si>
  <si>
    <t>шокирующая</t>
  </si>
  <si>
    <t>описывала</t>
  </si>
  <si>
    <t>связь</t>
  </si>
  <si>
    <t>между</t>
  </si>
  <si>
    <t>аутизма</t>
  </si>
  <si>
    <t>прививками</t>
  </si>
  <si>
    <t>универсальной</t>
  </si>
  <si>
    <t>вакцины</t>
  </si>
  <si>
    <t>MMR</t>
  </si>
  <si>
    <t>корь</t>
  </si>
  <si>
    <t>паротит</t>
  </si>
  <si>
    <t># text = Просто ужас.</t>
  </si>
  <si>
    <t>Просто</t>
  </si>
  <si>
    <t># text = Были проведены сотни исследований, чтобы выяснить, правда ли это.</t>
  </si>
  <si>
    <t>Были</t>
  </si>
  <si>
    <t>проведены</t>
  </si>
  <si>
    <t>исследований</t>
  </si>
  <si>
    <t>выяснить</t>
  </si>
  <si>
    <t># text = Эти сотни исследований были необходимы, это очень серьёзный вопрос.</t>
  </si>
  <si>
    <t>Эти</t>
  </si>
  <si>
    <t>необходимы</t>
  </si>
  <si>
    <t>серьёзный</t>
  </si>
  <si>
    <t># text = Были получены данные.</t>
  </si>
  <si>
    <t>получены</t>
  </si>
  <si>
    <t>данные</t>
  </si>
  <si>
    <t># text = Данные были получены из США, Англии, Швеции, Канады, все абсолютно одинаковые: нет корреляции, нет связи, вообще никакой.</t>
  </si>
  <si>
    <t>Данные</t>
  </si>
  <si>
    <t>США</t>
  </si>
  <si>
    <t>Англии</t>
  </si>
  <si>
    <t>Швеции</t>
  </si>
  <si>
    <t>Канады</t>
  </si>
  <si>
    <t>одинаковые</t>
  </si>
  <si>
    <t>корреляции</t>
  </si>
  <si>
    <t>связи</t>
  </si>
  <si>
    <t>никакой</t>
  </si>
  <si>
    <t># text = Но это ничего не изменило.</t>
  </si>
  <si>
    <t>изменило</t>
  </si>
  <si>
    <t># text = Ничего, потому что мы верим в анекдотические доказательства, в то, что мы видим или в то, что нам кажется, в то, что нам кажется реальным.</t>
  </si>
  <si>
    <t>Ничего</t>
  </si>
  <si>
    <t>верим</t>
  </si>
  <si>
    <t>анекдотические</t>
  </si>
  <si>
    <t>видим</t>
  </si>
  <si>
    <t>кажется</t>
  </si>
  <si>
    <t>реальным</t>
  </si>
  <si>
    <t># text = Мы не верим в пачку документов с данными от правительственного чиновника, и я это не осуждаю, никто, наверное, не осуждает.</t>
  </si>
  <si>
    <t>пачку</t>
  </si>
  <si>
    <t>документов</t>
  </si>
  <si>
    <t>данными</t>
  </si>
  <si>
    <t>правительственного</t>
  </si>
  <si>
    <t>чиновника</t>
  </si>
  <si>
    <t>осуждаю</t>
  </si>
  <si>
    <t>никто</t>
  </si>
  <si>
    <t>наверное</t>
  </si>
  <si>
    <t>осуждает</t>
  </si>
  <si>
    <t># text = Но знаете что?</t>
  </si>
  <si>
    <t># text = Итог этого был катастрофичен, катастрофичен из-за простого факта: США является одной из немногих стран в мире, где уровень вакцинации от кори снижается.</t>
  </si>
  <si>
    <t>Итог</t>
  </si>
  <si>
    <t>этого</t>
  </si>
  <si>
    <t>был</t>
  </si>
  <si>
    <t>катастрофичен</t>
  </si>
  <si>
    <t>из-за</t>
  </si>
  <si>
    <t>простого</t>
  </si>
  <si>
    <t>факта</t>
  </si>
  <si>
    <t>одной</t>
  </si>
  <si>
    <t>немногих</t>
  </si>
  <si>
    <t>стран</t>
  </si>
  <si>
    <t>где</t>
  </si>
  <si>
    <t>уровень</t>
  </si>
  <si>
    <t>SBJ_7</t>
  </si>
  <si>
    <t>кори</t>
  </si>
  <si>
    <t>снижается</t>
  </si>
  <si>
    <t># text = Это позор, нам всем должно быть стыдно.</t>
  </si>
  <si>
    <t>должно</t>
  </si>
  <si>
    <t>стыдно</t>
  </si>
  <si>
    <t># text = Это ужасно.</t>
  </si>
  <si>
    <t>ужасно</t>
  </si>
  <si>
    <t># text = Что должно было произойти, чтобы мы так поступили?</t>
  </si>
  <si>
    <t>Что</t>
  </si>
  <si>
    <t>произойти</t>
  </si>
  <si>
    <t>поступили</t>
  </si>
  <si>
    <t># text = Нет, я понимаю.</t>
  </si>
  <si>
    <t># text = Правда, понимаю.</t>
  </si>
  <si>
    <t>Правда</t>
  </si>
  <si>
    <t># text = Потому что, ну кто тут болеет корью?</t>
  </si>
  <si>
    <t>Потому</t>
  </si>
  <si>
    <t>ну</t>
  </si>
  <si>
    <t>кто</t>
  </si>
  <si>
    <t>болеет</t>
  </si>
  <si>
    <t>корью</t>
  </si>
  <si>
    <t># text = Хоть кто-нибудь в зале видел человека, умершего от кори?</t>
  </si>
  <si>
    <t>Хоть</t>
  </si>
  <si>
    <t>видел</t>
  </si>
  <si>
    <t>человека</t>
  </si>
  <si>
    <t>умершего</t>
  </si>
  <si>
    <t># text = Такое нечасто встретишь.</t>
  </si>
  <si>
    <t>Такое</t>
  </si>
  <si>
    <t>нечасто</t>
  </si>
  <si>
    <t>встретишь</t>
  </si>
  <si>
    <t># text = В этой стране это вообще не происходит, но происходит по всему миру - 160 000 случаев в прошлом году.</t>
  </si>
  <si>
    <t>стране</t>
  </si>
  <si>
    <t>происходит</t>
  </si>
  <si>
    <t>всему</t>
  </si>
  <si>
    <t>миру</t>
  </si>
  <si>
    <t>160 000</t>
  </si>
  <si>
    <t>случаев</t>
  </si>
  <si>
    <t>году</t>
  </si>
  <si>
    <t># text = Для смерти от кори это много, 20 в час.</t>
  </si>
  <si>
    <t>Для</t>
  </si>
  <si>
    <t>смерти</t>
  </si>
  <si>
    <t>час</t>
  </si>
  <si>
    <t># text = Но раз это тут не случается, мы можем об этом забыть, и люди вроде Дженни МакКарти могут свободно проповедовать страх и невежество с таких трибун как шоу Опры и Ларри Кинга.</t>
  </si>
  <si>
    <t>случается</t>
  </si>
  <si>
    <t>забыть</t>
  </si>
  <si>
    <t>вроде</t>
  </si>
  <si>
    <t>Дженни</t>
  </si>
  <si>
    <t>МакКарти</t>
  </si>
  <si>
    <t>могут</t>
  </si>
  <si>
    <t>свободно</t>
  </si>
  <si>
    <t>проповедовать</t>
  </si>
  <si>
    <t>страх</t>
  </si>
  <si>
    <t>невежество</t>
  </si>
  <si>
    <t>трибун</t>
  </si>
  <si>
    <t>шоу</t>
  </si>
  <si>
    <t>Опры</t>
  </si>
  <si>
    <t>Ларри</t>
  </si>
  <si>
    <t>Кинга</t>
  </si>
  <si>
    <t># text = А могут они это делать оттого, что они не видят разницы между причинно-следственной связью и корреляцией.</t>
  </si>
  <si>
    <t>оттого</t>
  </si>
  <si>
    <t>видят</t>
  </si>
  <si>
    <t>разницы</t>
  </si>
  <si>
    <t>причинно</t>
  </si>
  <si>
    <t>следственной</t>
  </si>
  <si>
    <t>связью</t>
  </si>
  <si>
    <t>корреляцией</t>
  </si>
  <si>
    <t># text = Они не понимают, что они могут выглядеть одним и тем же, но почти никогда одним и тем же не являются.</t>
  </si>
  <si>
    <t>понимают</t>
  </si>
  <si>
    <t>выглядеть</t>
  </si>
  <si>
    <t>одним</t>
  </si>
  <si>
    <t>тем</t>
  </si>
  <si>
    <t>почти</t>
  </si>
  <si>
    <t>являются</t>
  </si>
  <si>
    <t># text = И эту разницу мы должны понять, и понять очень скоро.</t>
  </si>
  <si>
    <t>разницу</t>
  </si>
  <si>
    <t># text = Йонас Солк был героем.</t>
  </si>
  <si>
    <t>Йонас</t>
  </si>
  <si>
    <t>Солк</t>
  </si>
  <si>
    <t>героем</t>
  </si>
  <si>
    <t># text = Он избавил нас от одной из худших бед человечества.</t>
  </si>
  <si>
    <t>Он</t>
  </si>
  <si>
    <t>избавил</t>
  </si>
  <si>
    <t>худших</t>
  </si>
  <si>
    <t>бед</t>
  </si>
  <si>
    <t># text = Никакого страха, никакой агонии, полиомиелит - пшик - и исчез.</t>
  </si>
  <si>
    <t>Никакого</t>
  </si>
  <si>
    <t>агонии</t>
  </si>
  <si>
    <t>пшик</t>
  </si>
  <si>
    <t>исчез</t>
  </si>
  <si>
    <t># text = А вот этот посередине - не совсем.</t>
  </si>
  <si>
    <t>посередине</t>
  </si>
  <si>
    <t># text = Его зовут Пол Оффит.</t>
  </si>
  <si>
    <t>Его</t>
  </si>
  <si>
    <t>зовут</t>
  </si>
  <si>
    <t>Пол</t>
  </si>
  <si>
    <t># text = Он только что разработал вакцину от ротавируса с группой других ученых.</t>
  </si>
  <si>
    <t>разработал</t>
  </si>
  <si>
    <t>вакцину</t>
  </si>
  <si>
    <t>ротавируса</t>
  </si>
  <si>
    <t>группой</t>
  </si>
  <si>
    <t>других</t>
  </si>
  <si>
    <t>ученых</t>
  </si>
  <si>
    <t># text = Она ежегодно спасает жизни четыремстам-пятистам тысячам детей в странах третьего мира.</t>
  </si>
  <si>
    <t>ежегодно</t>
  </si>
  <si>
    <t>спасает</t>
  </si>
  <si>
    <t>жизни</t>
  </si>
  <si>
    <t>четыремстам</t>
  </si>
  <si>
    <t>пятистам</t>
  </si>
  <si>
    <t>тысячам</t>
  </si>
  <si>
    <t>детей</t>
  </si>
  <si>
    <t>странах</t>
  </si>
  <si>
    <t>третьего</t>
  </si>
  <si>
    <t># text = Неплохо, да?</t>
  </si>
  <si>
    <t>Неплохо</t>
  </si>
  <si>
    <t>да</t>
  </si>
  <si>
    <t># text = Действительно неплохо, если не считать того, что Пол публично рассуждает о вакцинах и говорит, что они очень нужны, и что люди должны просто прекратить ныть.</t>
  </si>
  <si>
    <t>Действительно</t>
  </si>
  <si>
    <t>неплохо</t>
  </si>
  <si>
    <t>публично</t>
  </si>
  <si>
    <t>рассуждает</t>
  </si>
  <si>
    <t>вакцинах</t>
  </si>
  <si>
    <t>говорит</t>
  </si>
  <si>
    <t>нужны</t>
  </si>
  <si>
    <t>просто</t>
  </si>
  <si>
    <t>прекратить</t>
  </si>
  <si>
    <t>ныть</t>
  </si>
  <si>
    <t># text = Прямо так и говорит.</t>
  </si>
  <si>
    <t>Прямо</t>
  </si>
  <si>
    <t># text = Поэтому Пол - террорист.</t>
  </si>
  <si>
    <t># text = Когда он участвует в публичном слушании в суде, он не может дать показания без присутствия вооруженной охраны.</t>
  </si>
  <si>
    <t>Когда</t>
  </si>
  <si>
    <t>он</t>
  </si>
  <si>
    <t>участвует</t>
  </si>
  <si>
    <t>публичном</t>
  </si>
  <si>
    <t>слушании</t>
  </si>
  <si>
    <t>суде</t>
  </si>
  <si>
    <t>дать</t>
  </si>
  <si>
    <t>показания</t>
  </si>
  <si>
    <t>без</t>
  </si>
  <si>
    <t>присутствия</t>
  </si>
  <si>
    <t>вооруженной</t>
  </si>
  <si>
    <t>охраны</t>
  </si>
  <si>
    <t># text = Ему звонят домой, потому что людям нравится сообщить ему, что им известно, в какую именно школу ходят его дети.</t>
  </si>
  <si>
    <t>Ему</t>
  </si>
  <si>
    <t>звонят</t>
  </si>
  <si>
    <t>домой</t>
  </si>
  <si>
    <t>нравится</t>
  </si>
  <si>
    <t>сообщить</t>
  </si>
  <si>
    <t>ему</t>
  </si>
  <si>
    <t>им</t>
  </si>
  <si>
    <t>известно</t>
  </si>
  <si>
    <t>какую</t>
  </si>
  <si>
    <t>именно</t>
  </si>
  <si>
    <t>школу</t>
  </si>
  <si>
    <t>ходят</t>
  </si>
  <si>
    <t>дети</t>
  </si>
  <si>
    <t># text = А всё почему?</t>
  </si>
  <si>
    <t># text = Потому что Пол создал вакцину.</t>
  </si>
  <si>
    <t>создал</t>
  </si>
  <si>
    <t># text = Излишне напоминать, что вакцины жизненно необходимы.</t>
  </si>
  <si>
    <t>Излишне</t>
  </si>
  <si>
    <t>напоминать</t>
  </si>
  <si>
    <t>жизненно</t>
  </si>
  <si>
    <t># text = Уберите их - и болезни вернутся, ужасные болезни, и это уже происходит.</t>
  </si>
  <si>
    <t>Уберите</t>
  </si>
  <si>
    <t>вернутся</t>
  </si>
  <si>
    <t>ужасные</t>
  </si>
  <si>
    <t># text = Теперь в этой стране есть корь.</t>
  </si>
  <si>
    <t>Теперь</t>
  </si>
  <si>
    <t># text = И ситуация ухудшается, и уже скоро дети снова начнут умирать от кори, потому что тут весь вопрос в достаточном количестве случаев.</t>
  </si>
  <si>
    <t>ухудшается</t>
  </si>
  <si>
    <t>начнут</t>
  </si>
  <si>
    <t>умирать</t>
  </si>
  <si>
    <t>весь</t>
  </si>
  <si>
    <t>достаточном</t>
  </si>
  <si>
    <t>количестве</t>
  </si>
  <si>
    <t># text = И не только от кори начнут умирать.</t>
  </si>
  <si>
    <t># text = Как насчёт полиомиелита?</t>
  </si>
  <si>
    <t>Как</t>
  </si>
  <si>
    <t>насчёт</t>
  </si>
  <si>
    <t>полиомиелита</t>
  </si>
  <si>
    <t># text = Давайте вернём его.</t>
  </si>
  <si>
    <t>вернём</t>
  </si>
  <si>
    <t># text = Почему нет?</t>
  </si>
  <si>
    <t>Почему</t>
  </si>
  <si>
    <t># text = Моя бывшая однокурсница написала мне пару недель назад и сказала, что по её мнению, я слегка перегибаю палку.</t>
  </si>
  <si>
    <t>Моя</t>
  </si>
  <si>
    <t>бывшая</t>
  </si>
  <si>
    <t>однокурсница</t>
  </si>
  <si>
    <t>написала</t>
  </si>
  <si>
    <t>пару</t>
  </si>
  <si>
    <t>недель</t>
  </si>
  <si>
    <t>сказала</t>
  </si>
  <si>
    <t>мнению</t>
  </si>
  <si>
    <t>слегка</t>
  </si>
  <si>
    <t>перегибаю</t>
  </si>
  <si>
    <t>палку</t>
  </si>
  <si>
    <t># text = Такого мне ещё не говорили.</t>
  </si>
  <si>
    <t>Такого</t>
  </si>
  <si>
    <t>говорили</t>
  </si>
  <si>
    <t># text = Она не собирается прививать своих детей от полиомиелита.</t>
  </si>
  <si>
    <t>собирается</t>
  </si>
  <si>
    <t>прививать</t>
  </si>
  <si>
    <t>своих</t>
  </si>
  <si>
    <t># text = Ни за что.</t>
  </si>
  <si>
    <t># text = Хорошо.</t>
  </si>
  <si>
    <t>Хорошо</t>
  </si>
  <si>
    <t># text = Почему?</t>
  </si>
  <si>
    <t># text = Потому что нет у нас полиомиелита.</t>
  </si>
  <si>
    <t># text = Только знаете что?</t>
  </si>
  <si>
    <t>Только</t>
  </si>
  <si>
    <t># text = У нас вчера не было полиомиелита.</t>
  </si>
  <si>
    <t>вчера</t>
  </si>
  <si>
    <t># text = А сегодня, кто знает, может кто-то с утра сел на самолёт в Лагосе, и летит теперь в Лос-Анджелес, сейчас он где-то над Огайо.</t>
  </si>
  <si>
    <t>знает</t>
  </si>
  <si>
    <t>кто-то</t>
  </si>
  <si>
    <t>утра</t>
  </si>
  <si>
    <t>сел</t>
  </si>
  <si>
    <t>самолёт</t>
  </si>
  <si>
    <t>Лагосе</t>
  </si>
  <si>
    <t>летит</t>
  </si>
  <si>
    <t>теперь</t>
  </si>
  <si>
    <t>Лос-Анджелес</t>
  </si>
  <si>
    <t>где-то</t>
  </si>
  <si>
    <t>над</t>
  </si>
  <si>
    <t>Огайо</t>
  </si>
  <si>
    <t># text = И через пару часов он приземлится, возьмёт машину напрокат, поедет в Лонг Бич и придёт на один из этих чудесных званых ужинов на TED.</t>
  </si>
  <si>
    <t>через</t>
  </si>
  <si>
    <t>часов</t>
  </si>
  <si>
    <t>приземлится</t>
  </si>
  <si>
    <t>возьмёт</t>
  </si>
  <si>
    <t>напрокат</t>
  </si>
  <si>
    <t>поедет</t>
  </si>
  <si>
    <t>Лонг</t>
  </si>
  <si>
    <t>Бич</t>
  </si>
  <si>
    <t>придёт</t>
  </si>
  <si>
    <t>один</t>
  </si>
  <si>
    <t>этих</t>
  </si>
  <si>
    <t>чудесных</t>
  </si>
  <si>
    <t>званых</t>
  </si>
  <si>
    <t>ужинов</t>
  </si>
  <si>
    <t># text = И он не знает, что инфицирован страшной болезнью, и мы тоже не знаем, потому что всё так и происходит.</t>
  </si>
  <si>
    <t>инфицирован</t>
  </si>
  <si>
    <t>страшной</t>
  </si>
  <si>
    <t>болезнью</t>
  </si>
  <si>
    <t>тоже</t>
  </si>
  <si>
    <t>знаем</t>
  </si>
  <si>
    <t># text = В таком мире мы живём.</t>
  </si>
  <si>
    <t>таком</t>
  </si>
  <si>
    <t># text = Не стоит притворяться, что не в таком.</t>
  </si>
  <si>
    <t>притворяться</t>
  </si>
  <si>
    <t># text = Да, мы любим закутаться в ложь.</t>
  </si>
  <si>
    <t>Да</t>
  </si>
  <si>
    <t>любим</t>
  </si>
  <si>
    <t>закутаться</t>
  </si>
  <si>
    <t>ложь</t>
  </si>
  <si>
    <t># text = Обожаем просто.</t>
  </si>
  <si>
    <t>Обожаем</t>
  </si>
  <si>
    <t># text = Все сегодня с утра скушали свою витаминку?</t>
  </si>
  <si>
    <t>скушали</t>
  </si>
  <si>
    <t>свою</t>
  </si>
  <si>
    <t>витаминку</t>
  </si>
  <si>
    <t># text = Эхинацея, немного антиоксиданта с утра на дорожку.</t>
  </si>
  <si>
    <t>антиоксиданта</t>
  </si>
  <si>
    <t>дорожку</t>
  </si>
  <si>
    <t># text = Я уверен, что скушали - половина американцев делает это каждый день.</t>
  </si>
  <si>
    <t>половина</t>
  </si>
  <si>
    <t>американцев</t>
  </si>
  <si>
    <t>делает</t>
  </si>
  <si>
    <t># text = Принимают пилюли, альтернативные лекарства, и совершенно всё равно, насколько часто они оказываются бесполезными.</t>
  </si>
  <si>
    <t>Принимают</t>
  </si>
  <si>
    <t>пилюли</t>
  </si>
  <si>
    <t>альтернативные</t>
  </si>
  <si>
    <t>лекарства</t>
  </si>
  <si>
    <t>равно</t>
  </si>
  <si>
    <t>насколько</t>
  </si>
  <si>
    <t>оказываются</t>
  </si>
  <si>
    <t>бесполезными</t>
  </si>
  <si>
    <t># text = Данные это постоянно подтверждают.</t>
  </si>
  <si>
    <t>постоянно</t>
  </si>
  <si>
    <t>подтверждают</t>
  </si>
  <si>
    <t># text = Они делают вашу мочу темнее.</t>
  </si>
  <si>
    <t>делают</t>
  </si>
  <si>
    <t>вашу</t>
  </si>
  <si>
    <t>мочу</t>
  </si>
  <si>
    <t>темнее</t>
  </si>
  <si>
    <t># text = И почти всегда ничего больше не делают.</t>
  </si>
  <si>
    <t># text = Окей, всё в порядке, вы хотите платить 28 миллиардов долларов за тёмную мочу, я вас очень понимаю.</t>
  </si>
  <si>
    <t>хотите</t>
  </si>
  <si>
    <t>платить</t>
  </si>
  <si>
    <t>миллиардов</t>
  </si>
  <si>
    <t>долларов</t>
  </si>
  <si>
    <t>тёмную</t>
  </si>
  <si>
    <t>вас</t>
  </si>
  <si>
    <t># text = Тёмная моча.</t>
  </si>
  <si>
    <t>Тёмная</t>
  </si>
  <si>
    <t># text = Тёмная.</t>
  </si>
  <si>
    <t># text = Зачем мы это делаем?</t>
  </si>
  <si>
    <t>Зачем</t>
  </si>
  <si>
    <t>делаем</t>
  </si>
  <si>
    <t># text = Ну, я наверное понимаю, мы ненавидим большие фармацевтические корпорации.</t>
  </si>
  <si>
    <t>ненавидим</t>
  </si>
  <si>
    <t>большие</t>
  </si>
  <si>
    <t>фармацевтические</t>
  </si>
  <si>
    <t>корпорации</t>
  </si>
  <si>
    <t># text = Мы ненавидим большое правительство.</t>
  </si>
  <si>
    <t>большое</t>
  </si>
  <si>
    <t>правительство</t>
  </si>
  <si>
    <t># text = Мы им просто не доверяем.</t>
  </si>
  <si>
    <t>доверяем</t>
  </si>
  <si>
    <t># text = И не должны.</t>
  </si>
  <si>
    <t># text = Наша система здравоохранения - отстой.</t>
  </si>
  <si>
    <t>Наша</t>
  </si>
  <si>
    <t>система</t>
  </si>
  <si>
    <t>отстой</t>
  </si>
  <si>
    <t># text = Она жестока к миллионам людей.</t>
  </si>
  <si>
    <t>жестока</t>
  </si>
  <si>
    <t># text = Она просто потрясающе холодна и отвратительна в своём отношении к тем из нас кто может себе позволить ею пользоваться.</t>
  </si>
  <si>
    <t>потрясающе</t>
  </si>
  <si>
    <t>холодна</t>
  </si>
  <si>
    <t>отвратительна</t>
  </si>
  <si>
    <t>своём</t>
  </si>
  <si>
    <t>отношении</t>
  </si>
  <si>
    <t>себе</t>
  </si>
  <si>
    <t>позволить</t>
  </si>
  <si>
    <t>ею</t>
  </si>
  <si>
    <t>пользоваться</t>
  </si>
  <si>
    <t># text = Так что мы пытаемся от неё сбежать, и куда же мы бежим?</t>
  </si>
  <si>
    <t>пытаемся</t>
  </si>
  <si>
    <t>сбежать</t>
  </si>
  <si>
    <t>куда</t>
  </si>
  <si>
    <t>бежим</t>
  </si>
  <si>
    <t># text = Бросаемся в объятия больших плацебо.</t>
  </si>
  <si>
    <t>Бросаемся</t>
  </si>
  <si>
    <t>объятия</t>
  </si>
  <si>
    <t>больших</t>
  </si>
  <si>
    <t>плацебо</t>
  </si>
  <si>
    <t># text = Просто отлично.</t>
  </si>
  <si>
    <t># text = Я обожаю большие плацебо. (аплодисменты) Впрочем, вы же понимаете, вообще-то это серьёзное дело, потому что все эти штучки - полная ерунда, а мы на неё тратим миллиарды долларов.</t>
  </si>
  <si>
    <t>обожаю</t>
  </si>
  <si>
    <t>аплодисменты</t>
  </si>
  <si>
    <t>Впрочем</t>
  </si>
  <si>
    <t>серьёзное</t>
  </si>
  <si>
    <t>дело</t>
  </si>
  <si>
    <t>штучки</t>
  </si>
  <si>
    <t>полная</t>
  </si>
  <si>
    <t>ерунда</t>
  </si>
  <si>
    <t>тратим</t>
  </si>
  <si>
    <t># text = Я принёс с собой кое-что.</t>
  </si>
  <si>
    <t>принёс</t>
  </si>
  <si>
    <t>собой</t>
  </si>
  <si>
    <t>кое-что</t>
  </si>
  <si>
    <t># text = Ginkgo - пустышка, эхинацея - пустышка, acai, я вообще не знаю, что это такое, но мы тратим миллиарды долларов на это, и это сплошное мошенничество.</t>
  </si>
  <si>
    <t>пустышка</t>
  </si>
  <si>
    <t>эхинацея</t>
  </si>
  <si>
    <t>acai</t>
  </si>
  <si>
    <t>знаю</t>
  </si>
  <si>
    <t>сплошное</t>
  </si>
  <si>
    <t>мошенничество</t>
  </si>
  <si>
    <t># text = И знаете что?</t>
  </si>
  <si>
    <t># text = Когда я говорю об этом, люди начинают кричать на меня, мол, "Какая тебе разница?</t>
  </si>
  <si>
    <t>говорю</t>
  </si>
  <si>
    <t>начинают</t>
  </si>
  <si>
    <t>кричать</t>
  </si>
  <si>
    <t>мол</t>
  </si>
  <si>
    <t>Какая</t>
  </si>
  <si>
    <t>тебе</t>
  </si>
  <si>
    <t>разница</t>
  </si>
  <si>
    <t># text = Пусть люди делают, что хотят, раз им это нравится\".</t>
  </si>
  <si>
    <t>Пусть</t>
  </si>
  <si>
    <t># text = Они не правы.</t>
  </si>
  <si>
    <t>правы</t>
  </si>
  <si>
    <t># text = Потому что мне всё равно, министр ли здравоохранения заявляет "Хм, я не собираюсь принимать во внимание свидетельство моих экспертов касательно маммограмм", или какой-то знахарь-онколог собирается лечить своего пациента клизмой с кофе.</t>
  </si>
  <si>
    <t>министр</t>
  </si>
  <si>
    <t>заявляет</t>
  </si>
  <si>
    <t>Хм</t>
  </si>
  <si>
    <t>собираюсь</t>
  </si>
  <si>
    <t>внимание</t>
  </si>
  <si>
    <t>свидетельство</t>
  </si>
  <si>
    <t>моих</t>
  </si>
  <si>
    <t>экспертов</t>
  </si>
  <si>
    <t>маммограмм</t>
  </si>
  <si>
    <t>какой-то</t>
  </si>
  <si>
    <t>знахарь</t>
  </si>
  <si>
    <t>онколог</t>
  </si>
  <si>
    <t>лечить</t>
  </si>
  <si>
    <t>своего</t>
  </si>
  <si>
    <t>пациента</t>
  </si>
  <si>
    <t>клизмой</t>
  </si>
  <si>
    <t>кофе</t>
  </si>
  <si>
    <t># text = Те, кто начинают замещать опыт и науку верой и волшебством, попадают в ситуацию, в которую лучше не попадать.</t>
  </si>
  <si>
    <t>Те</t>
  </si>
  <si>
    <t>замещать</t>
  </si>
  <si>
    <t>опыт</t>
  </si>
  <si>
    <t>верой</t>
  </si>
  <si>
    <t>волшебством</t>
  </si>
  <si>
    <t>попадают</t>
  </si>
  <si>
    <t>ситуацию</t>
  </si>
  <si>
    <t>которую</t>
  </si>
  <si>
    <t>лучше</t>
  </si>
  <si>
    <t># text = В ситуацию Табо Мбеки из Южной Африки.</t>
  </si>
  <si>
    <t>Табо</t>
  </si>
  <si>
    <t>Мбеки</t>
  </si>
  <si>
    <t>Южной</t>
  </si>
  <si>
    <t>Африки</t>
  </si>
  <si>
    <t># text = Он убил 400 000 человек в своей стране, утверждая, что свекла, чеснок и лимонное масло могут гораздо эффективнее замедлить протекание СПИДа, чем признанные антиретровирусные лекарства.</t>
  </si>
  <si>
    <t>убил</t>
  </si>
  <si>
    <t>400 000</t>
  </si>
  <si>
    <t>своей</t>
  </si>
  <si>
    <t>утверждая</t>
  </si>
  <si>
    <t>свекла</t>
  </si>
  <si>
    <t>чеснок</t>
  </si>
  <si>
    <t>лимонное</t>
  </si>
  <si>
    <t>масло</t>
  </si>
  <si>
    <t>гораздо</t>
  </si>
  <si>
    <t>эффективнее</t>
  </si>
  <si>
    <t>замедлить</t>
  </si>
  <si>
    <t>протекание</t>
  </si>
  <si>
    <t>СПИДа</t>
  </si>
  <si>
    <t>признанные</t>
  </si>
  <si>
    <t>антиретровирусные</t>
  </si>
  <si>
    <t># text = Сотни тысяч напрасных смертей в стране, которая пострадала от этой чумы больше, чем любая другая.</t>
  </si>
  <si>
    <t>Сотни</t>
  </si>
  <si>
    <t>тысяч</t>
  </si>
  <si>
    <t>напрасных</t>
  </si>
  <si>
    <t>смертей</t>
  </si>
  <si>
    <t>пострадала</t>
  </si>
  <si>
    <t>чумы</t>
  </si>
  <si>
    <t>любая</t>
  </si>
  <si>
    <t>другая</t>
  </si>
  <si>
    <t># text = Пожалуйста, не надо говорить мне, что такие вещи проходят бесследно.</t>
  </si>
  <si>
    <t>Пожалуйста</t>
  </si>
  <si>
    <t>проходят</t>
  </si>
  <si>
    <t>бесследно</t>
  </si>
  <si>
    <t># text = Последствия есть всегда.</t>
  </si>
  <si>
    <t>Последствия</t>
  </si>
  <si>
    <t># text = Всегда.</t>
  </si>
  <si>
    <t>Всегда</t>
  </si>
  <si>
    <t># text = Но самая безумная эпидемия из современных эпидемий — это абсурдная борьба между сторонниками генетически модифицированной пищи и "органическими элитаристами".</t>
  </si>
  <si>
    <t>самая</t>
  </si>
  <si>
    <t>безумная</t>
  </si>
  <si>
    <t>современных</t>
  </si>
  <si>
    <t>эпидемий</t>
  </si>
  <si>
    <t>абсурдная</t>
  </si>
  <si>
    <t>борьба</t>
  </si>
  <si>
    <t>сторонниками</t>
  </si>
  <si>
    <t>пищи</t>
  </si>
  <si>
    <t>органическими</t>
  </si>
  <si>
    <t>элитаристами</t>
  </si>
  <si>
    <t># text = Это дебильный спор.</t>
  </si>
  <si>
    <t>дебильный</t>
  </si>
  <si>
    <t># text = Его необходимо прекратить.</t>
  </si>
  <si>
    <t>необходимо</t>
  </si>
  <si>
    <t># text = Это спор о словах, о метафорах.</t>
  </si>
  <si>
    <t>словах</t>
  </si>
  <si>
    <t>метафорах</t>
  </si>
  <si>
    <t># text = Это идеология, а не наука.</t>
  </si>
  <si>
    <t>наука</t>
  </si>
  <si>
    <t># text = Абсолютно всё, что мы едим, каждое зёрнышко риса, каждый листик петрушки, каждый кочан капусты был модифицирован человеком.</t>
  </si>
  <si>
    <t>едим</t>
  </si>
  <si>
    <t>каждое</t>
  </si>
  <si>
    <t>зёрнышко</t>
  </si>
  <si>
    <t>риса</t>
  </si>
  <si>
    <t>листик</t>
  </si>
  <si>
    <t>петрушки</t>
  </si>
  <si>
    <t>кочан</t>
  </si>
  <si>
    <t>капусты</t>
  </si>
  <si>
    <t>модифицирован</t>
  </si>
  <si>
    <t>человеком</t>
  </si>
  <si>
    <t># text = Между прочим, в Райском саду не было мандаринов.</t>
  </si>
  <si>
    <t>Между</t>
  </si>
  <si>
    <t>прочим</t>
  </si>
  <si>
    <t>Райском</t>
  </si>
  <si>
    <t>саду</t>
  </si>
  <si>
    <t>мандаринов</t>
  </si>
  <si>
    <t># text = И канталупов не было.</t>
  </si>
  <si>
    <t>канталупов</t>
  </si>
  <si>
    <t># text = Рождественских елей тоже не было.</t>
  </si>
  <si>
    <t>Рождественских</t>
  </si>
  <si>
    <t>елей</t>
  </si>
  <si>
    <t># text = Это всё сделали мы.</t>
  </si>
  <si>
    <t>сделали</t>
  </si>
  <si>
    <t># text = Сделали за последние 11 000 лет.</t>
  </si>
  <si>
    <t>Сделали</t>
  </si>
  <si>
    <t>последние</t>
  </si>
  <si>
    <t>11 000</t>
  </si>
  <si>
    <t># text = Кое-что получилось, кое-что — нет.</t>
  </si>
  <si>
    <t>Кое-что</t>
  </si>
  <si>
    <t>получилось</t>
  </si>
  <si>
    <t># text = От того, что не получилось, мы избавились.</t>
  </si>
  <si>
    <t>От</t>
  </si>
  <si>
    <t>избавились</t>
  </si>
  <si>
    <t># text = Теперь же мы можем делать это более точным способом.</t>
  </si>
  <si>
    <t>более</t>
  </si>
  <si>
    <t>точным</t>
  </si>
  <si>
    <t>способом</t>
  </si>
  <si>
    <t># text = Разумеется, существуют и риски.</t>
  </si>
  <si>
    <t>Разумеется</t>
  </si>
  <si>
    <t>риски</t>
  </si>
  <si>
    <t># text = Но мы можем добавить, например, витамин А в рис, и это поможет миллионам людей, миллионам людей, продлит им жизнь.</t>
  </si>
  <si>
    <t>добавить</t>
  </si>
  <si>
    <t>например</t>
  </si>
  <si>
    <t>витамин</t>
  </si>
  <si>
    <t>рис</t>
  </si>
  <si>
    <t>поможет</t>
  </si>
  <si>
    <t>продлит</t>
  </si>
  <si>
    <t>жизнь</t>
  </si>
  <si>
    <t># text = Вы не хотите этого?</t>
  </si>
  <si>
    <t># text = Должен признаться, я этого не понимаю.</t>
  </si>
  <si>
    <t>Должен</t>
  </si>
  <si>
    <t>признаться</t>
  </si>
  <si>
    <t># text = Мы возражаем против генетически модифицированной пищи.</t>
  </si>
  <si>
    <t>возражаем</t>
  </si>
  <si>
    <t>против</t>
  </si>
  <si>
    <t># text = Ну, обычно я слышу следующие аргументы: слишком много химикатов, пестицидов, гормонов, монокультур, мы не хотим огромных полей одного и того же, это неправильно.</t>
  </si>
  <si>
    <t>слышу</t>
  </si>
  <si>
    <t>следующие</t>
  </si>
  <si>
    <t>аргументы</t>
  </si>
  <si>
    <t>химикатов</t>
  </si>
  <si>
    <t>пестицидов</t>
  </si>
  <si>
    <t>гормонов</t>
  </si>
  <si>
    <t>монокультур</t>
  </si>
  <si>
    <t>хотим</t>
  </si>
  <si>
    <t>огромных</t>
  </si>
  <si>
    <t>полей</t>
  </si>
  <si>
    <t>одного</t>
  </si>
  <si>
    <t>неправильно</t>
  </si>
  <si>
    <t># text = Мы не хотим, чтобы компании получали патенты на жизнь.</t>
  </si>
  <si>
    <t>компании</t>
  </si>
  <si>
    <t>получали</t>
  </si>
  <si>
    <t>патенты</t>
  </si>
  <si>
    <t># text = Мы не хотим, чтобы компании владели семенами.</t>
  </si>
  <si>
    <t>владели</t>
  </si>
  <si>
    <t>семенами</t>
  </si>
  <si>
    <t># text = И знаете, что я на это отвечаю?</t>
  </si>
  <si>
    <t>отвечаю</t>
  </si>
  <si>
    <t># text = Да, вы правы.</t>
  </si>
  <si>
    <t># text = Давайте всё исправим.</t>
  </si>
  <si>
    <t>исправим</t>
  </si>
  <si>
    <t># text = Действительно, у нас огромные проблемы с едой, но дело не в науке.</t>
  </si>
  <si>
    <t>огромные</t>
  </si>
  <si>
    <t>едой</t>
  </si>
  <si>
    <t>науке</t>
  </si>
  <si>
    <t># text = У них нет ничего общего с наукой.</t>
  </si>
  <si>
    <t>общего</t>
  </si>
  <si>
    <t>наукой</t>
  </si>
  <si>
    <t># text = Это законы, это мораль, это вопрос патентов.</t>
  </si>
  <si>
    <t>законы</t>
  </si>
  <si>
    <t>мораль</t>
  </si>
  <si>
    <t>патентов</t>
  </si>
  <si>
    <t># text = Понимаете, наука — не корпорация.</t>
  </si>
  <si>
    <t>Понимаете</t>
  </si>
  <si>
    <t># text = Не страна.</t>
  </si>
  <si>
    <t># text = Это даже не идея; наука — это процесс.</t>
  </si>
  <si>
    <t>;</t>
  </si>
  <si>
    <t># text = Это процесс, и иногда он работает, а иногда — нет, но мысль, что мы должны запретить науке заниматься своим делом, потому что мы боимся, просто ужасна, и это не даёт миллионам людей жить лучше.</t>
  </si>
  <si>
    <t>иногда</t>
  </si>
  <si>
    <t>работает</t>
  </si>
  <si>
    <t>запретить</t>
  </si>
  <si>
    <t>боимся</t>
  </si>
  <si>
    <t>ужасна</t>
  </si>
  <si>
    <t>жить</t>
  </si>
  <si>
    <t># text = Знаете, в ближайшие 50 лет нам придётся выращивать на 70 процентов больше пищи, чем сегодня, на 70 процентов.</t>
  </si>
  <si>
    <t>Знаете</t>
  </si>
  <si>
    <t>ближайшие</t>
  </si>
  <si>
    <t>придётся</t>
  </si>
  <si>
    <t>выращивать</t>
  </si>
  <si>
    <t>процентов</t>
  </si>
  <si>
    <t># text = Эти вложения в Африку за последние 30 лет.</t>
  </si>
  <si>
    <t>вложения</t>
  </si>
  <si>
    <t>Африку</t>
  </si>
  <si>
    <t># text = Просто позор, позор.</t>
  </si>
  <si>
    <t># text = Они нуждаются в пище, а мы им её не даём.</t>
  </si>
  <si>
    <t>нуждаются</t>
  </si>
  <si>
    <t>пище</t>
  </si>
  <si>
    <t>даём</t>
  </si>
  <si>
    <t># text = Генетически модифицированные продукты.</t>
  </si>
  <si>
    <t>Генетически</t>
  </si>
  <si>
    <t>модифицированные</t>
  </si>
  <si>
    <t>продукты</t>
  </si>
  <si>
    <t># text = Мы не хотим, чтобы люди ели эти отвратительные штуки вроде маниока.</t>
  </si>
  <si>
    <t>ели</t>
  </si>
  <si>
    <t>отвратительные</t>
  </si>
  <si>
    <t>штуки</t>
  </si>
  <si>
    <t>маниока</t>
  </si>
  <si>
    <t># text = Маниоком питаются около полумиллиарда человек.</t>
  </si>
  <si>
    <t>Маниоком</t>
  </si>
  <si>
    <t>питаются</t>
  </si>
  <si>
    <t>около</t>
  </si>
  <si>
    <t>полумиллиарда</t>
  </si>
  <si>
    <t># text = Это что-то вроде картошки.</t>
  </si>
  <si>
    <t>картошки</t>
  </si>
  <si>
    <t># text = Просто комок калорий.</t>
  </si>
  <si>
    <t>калорий</t>
  </si>
  <si>
    <t># text = Отвратительно.</t>
  </si>
  <si>
    <t>Отвратительно</t>
  </si>
  <si>
    <t># text = В нём нет питательных веществ, в нём нет белка, и сегодня учёные пытаются искусственно привнести их в маниок.</t>
  </si>
  <si>
    <t>питательных</t>
  </si>
  <si>
    <t>веществ</t>
  </si>
  <si>
    <t>белка</t>
  </si>
  <si>
    <t>учёные</t>
  </si>
  <si>
    <t>пытаются</t>
  </si>
  <si>
    <t>искусственно</t>
  </si>
  <si>
    <t>привнести</t>
  </si>
  <si>
    <t>маниок</t>
  </si>
  <si>
    <t># text = И тогда люди смогут его есть, но не будут слепнуть.</t>
  </si>
  <si>
    <t>тогда</t>
  </si>
  <si>
    <t>смогут</t>
  </si>
  <si>
    <t>будут</t>
  </si>
  <si>
    <t>слепнуть</t>
  </si>
  <si>
    <t># text = Не будут голодать, и знаете что?</t>
  </si>
  <si>
    <t># text = Неплохо было бы.</t>
  </si>
  <si>
    <t># text = Это, конечно, не изысканная кухня, но было бы неплохо.</t>
  </si>
  <si>
    <t>изысканная</t>
  </si>
  <si>
    <t># text = И всё, что я могу об этом сказать, это "Зачем мы с этим боремся?"</t>
  </si>
  <si>
    <t>боремся</t>
  </si>
  <si>
    <t># text = Нет, давайте спросим себя: "Зачем мы с этим боремся?"</t>
  </si>
  <si>
    <t>давайте</t>
  </si>
  <si>
    <t>спросим</t>
  </si>
  <si>
    <t># text = Мы не хотим передвигать гены?</t>
  </si>
  <si>
    <t>передвигать</t>
  </si>
  <si>
    <t>гены</t>
  </si>
  <si>
    <t># text = Но это не имеет отношения к перестановке генов.</t>
  </si>
  <si>
    <t>отношения</t>
  </si>
  <si>
    <t>перестановке</t>
  </si>
  <si>
    <t>генов</t>
  </si>
  <si>
    <t># text = К химикатам.</t>
  </si>
  <si>
    <t>химикатам</t>
  </si>
  <si>
    <t># text = Не имеет отношения к нашей дурацкой страсти к гормонам, к нашему стремлению получить больше еды, лучшую еду, выдающуюся еду.</t>
  </si>
  <si>
    <t>нашей</t>
  </si>
  <si>
    <t>дурацкой</t>
  </si>
  <si>
    <t>страсти</t>
  </si>
  <si>
    <t>гормонам</t>
  </si>
  <si>
    <t>нашему</t>
  </si>
  <si>
    <t>стремлению</t>
  </si>
  <si>
    <t>еды</t>
  </si>
  <si>
    <t>лучшую</t>
  </si>
  <si>
    <t>выдающуюся</t>
  </si>
  <si>
    <t># text = Не имеет отношения к рисовым хлопьям на завтрак, а имеет отношение к выживанию людей, и нам пора уже это понять.</t>
  </si>
  <si>
    <t>рисовым</t>
  </si>
  <si>
    <t>хлопьям</t>
  </si>
  <si>
    <t>завтрак</t>
  </si>
  <si>
    <t>выживанию</t>
  </si>
  <si>
    <t>пора</t>
  </si>
  <si>
    <t># text = Потому что, поймите, если мы не поймём, если мы продолжим вести себя так, как сейчас, мы будем виновны кое в чём таком, в чём никто не хочет оказаться виноватым, в высокотехнологичном колониализме.</t>
  </si>
  <si>
    <t>поймите</t>
  </si>
  <si>
    <t>поймём</t>
  </si>
  <si>
    <t>продолжим</t>
  </si>
  <si>
    <t>вести</t>
  </si>
  <si>
    <t>будем</t>
  </si>
  <si>
    <t>виновны</t>
  </si>
  <si>
    <t>кое</t>
  </si>
  <si>
    <t>чём</t>
  </si>
  <si>
    <t>хочет</t>
  </si>
  <si>
    <t>оказаться</t>
  </si>
  <si>
    <t>виноватым</t>
  </si>
  <si>
    <t>высокотехнологичном</t>
  </si>
  <si>
    <t>колониализме</t>
  </si>
  <si>
    <t># text = Никак иначе это не назовёшь.</t>
  </si>
  <si>
    <t>Никак</t>
  </si>
  <si>
    <t>иначе</t>
  </si>
  <si>
    <t>назовёшь</t>
  </si>
  <si>
    <t># text = Это эгоизм, это отвратительно, это ниже нашего достоинства, и мы обязательно должны это прекратить.</t>
  </si>
  <si>
    <t>ниже</t>
  </si>
  <si>
    <t>нашего</t>
  </si>
  <si>
    <t>достоинства</t>
  </si>
  <si>
    <t># text = Так вот, после такого невероятно весёлого разговора, вы можете спросить: "Так что, ты ещё хочешь сесть в эту дурацкую машину времени и отправиться в будущее?"</t>
  </si>
  <si>
    <t>после</t>
  </si>
  <si>
    <t>такого</t>
  </si>
  <si>
    <t>невероятно</t>
  </si>
  <si>
    <t>весёлого</t>
  </si>
  <si>
    <t>разговора</t>
  </si>
  <si>
    <t>спросить</t>
  </si>
  <si>
    <t>ты</t>
  </si>
  <si>
    <t>хочешь</t>
  </si>
  <si>
    <t>дурацкую</t>
  </si>
  <si>
    <t># text = Да, обязательно.</t>
  </si>
  <si>
    <t># text = Непременно хочу.</t>
  </si>
  <si>
    <t>Непременно</t>
  </si>
  <si>
    <t># text = Она застряла в настоящем, но нам выпал удивительный шанс.</t>
  </si>
  <si>
    <t>застряла</t>
  </si>
  <si>
    <t>выпал</t>
  </si>
  <si>
    <t>удивительный</t>
  </si>
  <si>
    <t>шанс</t>
  </si>
  <si>
    <t># text = Мы можем направить эту машину куда угодно.</t>
  </si>
  <si>
    <t>направить</t>
  </si>
  <si>
    <t>угодно</t>
  </si>
  <si>
    <t># text = Отправиться, куда пожелаем, и мы отправимся туда, куда пожелаем.</t>
  </si>
  <si>
    <t>Отправиться</t>
  </si>
  <si>
    <t>пожелаем</t>
  </si>
  <si>
    <t>отправимся</t>
  </si>
  <si>
    <t>туда</t>
  </si>
  <si>
    <t># text = Мы должны вести такие разговоры, и мы должны задуматься, но когда мы сядем в эту машину и отправимся в будущее, мы будем рады своему выбору.</t>
  </si>
  <si>
    <t>разговоры</t>
  </si>
  <si>
    <t>задуматься</t>
  </si>
  <si>
    <t>сядем</t>
  </si>
  <si>
    <t>рады</t>
  </si>
  <si>
    <t>своему</t>
  </si>
  <si>
    <t>выбору</t>
  </si>
  <si>
    <t># text = Я уверен, что мы это сможем, и, по моему скромному мнению, именно это сегодня нужно миру.</t>
  </si>
  <si>
    <t>моему</t>
  </si>
  <si>
    <t>скромному</t>
  </si>
  <si>
    <t>нужно</t>
  </si>
  <si>
    <t># text = Спасибо.</t>
  </si>
  <si>
    <t>Спасибо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</si>
</sst>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4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20</v>
      </c>
      <c r="B4" s="6" t="s">
        <v>15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20</v>
      </c>
      <c r="C5" s="6" t="s">
        <v>25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29</v>
      </c>
      <c r="B6" s="6" t="s">
        <v>15</v>
      </c>
      <c r="C6" s="6" t="s">
        <v>11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16</v>
      </c>
      <c r="B7" s="6" t="s">
        <v>15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36</v>
      </c>
      <c r="B8" s="6" t="s">
        <v>20</v>
      </c>
      <c r="C8" s="6" t="s">
        <v>11</v>
      </c>
      <c r="D8" s="7" t="s">
        <v>30</v>
      </c>
      <c r="E8" s="8" t="s">
        <v>37</v>
      </c>
      <c r="F8" s="6" t="s">
        <v>38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39</v>
      </c>
      <c r="B9" s="6" t="s">
        <v>15</v>
      </c>
      <c r="C9" s="6" t="s">
        <v>11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43</v>
      </c>
      <c r="B10" s="6" t="s">
        <v>20</v>
      </c>
      <c r="C10" s="6" t="s">
        <v>11</v>
      </c>
      <c r="D10" s="7" t="s">
        <v>30</v>
      </c>
      <c r="E10" s="8" t="s">
        <v>44</v>
      </c>
      <c r="F10" s="6" t="s">
        <v>45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46</v>
      </c>
      <c r="B11" s="6" t="s">
        <v>15</v>
      </c>
      <c r="C11" s="6" t="s">
        <v>11</v>
      </c>
      <c r="D11" s="7" t="s">
        <v>17</v>
      </c>
      <c r="E11" s="8" t="s">
        <v>47</v>
      </c>
      <c r="F11" s="6" t="s">
        <v>48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49</v>
      </c>
      <c r="B12" s="6" t="s">
        <v>20</v>
      </c>
      <c r="C12" s="6" t="s">
        <v>25</v>
      </c>
      <c r="D12" s="7" t="s">
        <v>33</v>
      </c>
      <c r="E12" s="8" t="s">
        <v>50</v>
      </c>
      <c r="F12" s="6" t="s">
        <v>51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52</v>
      </c>
      <c r="B13" s="6" t="s">
        <v>20</v>
      </c>
      <c r="C13" s="6" t="s">
        <v>11</v>
      </c>
      <c r="D13" s="7" t="s">
        <v>33</v>
      </c>
      <c r="E13" s="8" t="s">
        <v>53</v>
      </c>
      <c r="F13" s="6" t="s">
        <v>54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55</v>
      </c>
      <c r="B14" s="6" t="s">
        <v>15</v>
      </c>
      <c r="C14" s="6" t="s">
        <v>11</v>
      </c>
      <c r="D14" s="7" t="s">
        <v>56</v>
      </c>
      <c r="E14" s="8" t="s">
        <v>57</v>
      </c>
      <c r="F14" s="6" t="s">
        <v>58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59</v>
      </c>
      <c r="B15" s="6" t="s">
        <v>24</v>
      </c>
      <c r="C15" s="6" t="s">
        <v>11</v>
      </c>
      <c r="D15" s="7" t="s">
        <v>60</v>
      </c>
      <c r="E15" s="8" t="s">
        <v>61</v>
      </c>
      <c r="F15" s="6" t="s">
        <v>62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63</v>
      </c>
      <c r="B16" s="6" t="s">
        <v>24</v>
      </c>
      <c r="C16" s="6" t="s">
        <v>11</v>
      </c>
      <c r="D16" s="7" t="s">
        <v>64</v>
      </c>
      <c r="E16" s="8" t="s">
        <v>65</v>
      </c>
      <c r="F16" s="6" t="s">
        <v>66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67</v>
      </c>
      <c r="B17" s="6" t="s">
        <v>20</v>
      </c>
      <c r="C17" s="6" t="s">
        <v>11</v>
      </c>
      <c r="D17" s="7" t="s">
        <v>68</v>
      </c>
      <c r="E17" s="8" t="s">
        <v>69</v>
      </c>
      <c r="F17" s="6" t="s">
        <v>70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71</v>
      </c>
      <c r="B18" s="6" t="s">
        <v>15</v>
      </c>
      <c r="C18" s="6" t="s">
        <v>11</v>
      </c>
      <c r="D18" s="7" t="s">
        <v>72</v>
      </c>
      <c r="E18" s="8" t="s">
        <v>73</v>
      </c>
      <c r="F18" s="6" t="s">
        <v>74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75</v>
      </c>
      <c r="B19" s="6" t="s">
        <v>20</v>
      </c>
      <c r="C19" s="6" t="s">
        <v>11</v>
      </c>
      <c r="D19" s="7" t="s">
        <v>76</v>
      </c>
      <c r="E19" s="8" t="s">
        <v>77</v>
      </c>
      <c r="F19" s="6" t="s">
        <v>78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79</v>
      </c>
      <c r="B20" s="6" t="s">
        <v>24</v>
      </c>
      <c r="C20" s="6" t="s">
        <v>25</v>
      </c>
      <c r="D20" s="7" t="s">
        <v>80</v>
      </c>
      <c r="E20" s="8" t="s">
        <v>81</v>
      </c>
      <c r="F20" s="6" t="s">
        <v>82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83</v>
      </c>
      <c r="B21" s="6" t="s">
        <v>43</v>
      </c>
      <c r="C21" s="6" t="s">
        <v>11</v>
      </c>
      <c r="D21" s="7" t="s">
        <v>21</v>
      </c>
      <c r="E21" s="8" t="s">
        <v>84</v>
      </c>
      <c r="F21" s="6" t="s">
        <v>85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86</v>
      </c>
      <c r="B22" s="6" t="s">
        <v>10</v>
      </c>
      <c r="C22" s="6" t="s">
        <v>11</v>
      </c>
      <c r="D22" s="7" t="s">
        <v>87</v>
      </c>
      <c r="E22" s="8" t="s">
        <v>88</v>
      </c>
      <c r="F22" s="6" t="s">
        <v>89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90</v>
      </c>
      <c r="B23" s="6" t="s">
        <v>20</v>
      </c>
      <c r="C23" s="6" t="s">
        <v>11</v>
      </c>
      <c r="D23" s="7" t="s">
        <v>91</v>
      </c>
      <c r="E23" s="8" t="s">
        <v>92</v>
      </c>
      <c r="F23" s="6" t="s">
        <v>93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94</v>
      </c>
      <c r="B24" s="6" t="s">
        <v>24</v>
      </c>
      <c r="C24" s="6" t="s">
        <v>11</v>
      </c>
      <c r="D24" s="7" t="s">
        <v>95</v>
      </c>
      <c r="E24" s="8" t="s">
        <v>96</v>
      </c>
      <c r="F24" s="6" t="s">
        <v>97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98</v>
      </c>
      <c r="B25" s="6" t="s">
        <v>10</v>
      </c>
      <c r="C25" s="6" t="s">
        <v>11</v>
      </c>
      <c r="D25" s="7" t="s">
        <v>99</v>
      </c>
      <c r="E25" s="8" t="s">
        <v>100</v>
      </c>
      <c r="F25" s="6" t="s">
        <v>101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102</v>
      </c>
      <c r="B26" s="6" t="s">
        <v>15</v>
      </c>
      <c r="C26" s="6" t="s">
        <v>11</v>
      </c>
      <c r="D26" s="7" t="s">
        <v>103</v>
      </c>
      <c r="E26" s="8" t="s">
        <v>104</v>
      </c>
      <c r="F26" s="6" t="s">
        <v>105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106</v>
      </c>
      <c r="B27" s="6" t="s">
        <v>15</v>
      </c>
      <c r="C27" s="6" t="s">
        <v>11</v>
      </c>
      <c r="D27" s="7" t="s">
        <v>107</v>
      </c>
      <c r="E27" s="8" t="s">
        <v>108</v>
      </c>
      <c r="F27" s="6" t="s">
        <v>109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110</v>
      </c>
      <c r="B28" s="6" t="s">
        <v>15</v>
      </c>
      <c r="C28" s="6" t="s">
        <v>11</v>
      </c>
      <c r="D28" s="7" t="s">
        <v>111</v>
      </c>
      <c r="E28" s="8" t="s">
        <v>112</v>
      </c>
      <c r="F28" s="6" t="s">
        <v>113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114</v>
      </c>
      <c r="B29" s="6" t="s">
        <v>15</v>
      </c>
      <c r="C29" s="6" t="s">
        <v>11</v>
      </c>
      <c r="D29" s="7" t="s">
        <v>115</v>
      </c>
      <c r="E29" s="8" t="s">
        <v>116</v>
      </c>
      <c r="F29" s="6" t="s">
        <v>117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118</v>
      </c>
      <c r="B30" s="6" t="s">
        <v>20</v>
      </c>
      <c r="C30" s="6" t="s">
        <v>11</v>
      </c>
      <c r="D30" s="7" t="s">
        <v>119</v>
      </c>
      <c r="E30" s="8" t="s">
        <v>120</v>
      </c>
      <c r="F30" s="6" t="s">
        <v>121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122</v>
      </c>
      <c r="B31" s="6" t="s">
        <v>10</v>
      </c>
      <c r="C31" s="6" t="s">
        <v>11</v>
      </c>
      <c r="D31" s="7" t="s">
        <v>123</v>
      </c>
      <c r="E31" s="8" t="s">
        <v>124</v>
      </c>
      <c r="F31" s="6" t="s">
        <v>125</v>
      </c>
      <c r="G31" s="9">
        <f>IF(A31=1,"_",IF(C31="_","???",C31))</f>
        <v/>
      </c>
      <c r="H31" s="10" t="s">
        <v>11</v>
      </c>
      <c r="I31" s="11" t="s">
        <v>11</v>
      </c>
      <c r="J31" s="12"/>
    </row>
    <row r="32" spans="1:10" ht="60" customHeight="1">
      <c r="A32" s="6" t="s">
        <v>126</v>
      </c>
      <c r="B32" s="6" t="s">
        <v>15</v>
      </c>
      <c r="C32" s="6" t="s">
        <v>11</v>
      </c>
      <c r="D32" s="7" t="s">
        <v>127</v>
      </c>
      <c r="E32" s="8" t="s">
        <v>128</v>
      </c>
      <c r="F32" s="6" t="s">
        <v>129</v>
      </c>
      <c r="G32" s="9">
        <f>IF(A32=1,"_",IF(C32="_","???",C32))</f>
        <v/>
      </c>
      <c r="H32" s="10" t="s">
        <v>11</v>
      </c>
      <c r="I32" s="11" t="s">
        <v>11</v>
      </c>
      <c r="J32" s="12"/>
    </row>
    <row r="33" spans="1:10" ht="60" customHeight="1">
      <c r="A33" s="6" t="s">
        <v>130</v>
      </c>
      <c r="B33" s="6" t="s">
        <v>49</v>
      </c>
      <c r="C33" s="6" t="s">
        <v>11</v>
      </c>
      <c r="D33" s="7" t="s">
        <v>131</v>
      </c>
      <c r="E33" s="8" t="s">
        <v>132</v>
      </c>
      <c r="F33" s="6" t="s">
        <v>133</v>
      </c>
      <c r="G33" s="9">
        <f>IF(A33=1,"_",IF(C33="_","???",C33))</f>
        <v/>
      </c>
      <c r="H33" s="10" t="s">
        <v>11</v>
      </c>
      <c r="I33" s="11" t="s">
        <v>11</v>
      </c>
      <c r="J33" s="12"/>
    </row>
    <row r="34" spans="1:10" ht="60" customHeight="1">
      <c r="A34" s="6" t="s">
        <v>134</v>
      </c>
      <c r="B34" s="6" t="s">
        <v>10</v>
      </c>
      <c r="C34" s="6" t="s">
        <v>11</v>
      </c>
      <c r="D34" s="7" t="s">
        <v>135</v>
      </c>
      <c r="E34" s="8" t="s">
        <v>136</v>
      </c>
      <c r="F34" s="6" t="s">
        <v>137</v>
      </c>
      <c r="G34" s="9">
        <f>IF(A34=1,"_",IF(C34="_","???",C34))</f>
        <v/>
      </c>
      <c r="H34" s="10" t="s">
        <v>11</v>
      </c>
      <c r="I34" s="11" t="s">
        <v>11</v>
      </c>
      <c r="J34" s="12"/>
    </row>
    <row r="35" spans="1:10" ht="60" customHeight="1">
      <c r="A35" s="6" t="s">
        <v>138</v>
      </c>
      <c r="B35" s="6" t="s">
        <v>29</v>
      </c>
      <c r="C35" s="6" t="s">
        <v>11</v>
      </c>
      <c r="D35" s="7" t="s">
        <v>139</v>
      </c>
      <c r="E35" s="8" t="s">
        <v>140</v>
      </c>
      <c r="F35" s="6" t="s">
        <v>141</v>
      </c>
      <c r="G35" s="9">
        <f>IF(A35=1,"_",IF(C35="_","???",C35))</f>
        <v/>
      </c>
      <c r="H35" s="10" t="s">
        <v>11</v>
      </c>
      <c r="I35" s="11" t="s">
        <v>11</v>
      </c>
      <c r="J35" s="12"/>
    </row>
    <row r="36" spans="1:10" ht="60" customHeight="1">
      <c r="A36" s="6" t="s">
        <v>142</v>
      </c>
      <c r="B36" s="6" t="s">
        <v>24</v>
      </c>
      <c r="C36" s="6" t="s">
        <v>11</v>
      </c>
      <c r="D36" s="7" t="s">
        <v>143</v>
      </c>
      <c r="E36" s="8" t="s">
        <v>144</v>
      </c>
      <c r="F36" s="6" t="s">
        <v>145</v>
      </c>
      <c r="G36" s="9">
        <f>IF(A36=1,"_",IF(C36="_","???",C36))</f>
        <v/>
      </c>
      <c r="H36" s="10" t="s">
        <v>11</v>
      </c>
      <c r="I36" s="11" t="s">
        <v>11</v>
      </c>
      <c r="J36" s="12"/>
    </row>
    <row r="37" spans="1:10" ht="60" customHeight="1">
      <c r="A37" s="6" t="s">
        <v>146</v>
      </c>
      <c r="B37" s="6" t="s">
        <v>36</v>
      </c>
      <c r="C37" s="6" t="s">
        <v>25</v>
      </c>
      <c r="D37" s="7" t="s">
        <v>143</v>
      </c>
      <c r="E37" s="8" t="s">
        <v>147</v>
      </c>
      <c r="F37" s="6" t="s">
        <v>148</v>
      </c>
      <c r="G37" s="9">
        <f>IF(A37=1,"_",IF(C37="_","???",C37))</f>
        <v/>
      </c>
      <c r="H37" s="10" t="s">
        <v>11</v>
      </c>
      <c r="I37" s="11" t="s">
        <v>11</v>
      </c>
      <c r="J37" s="12"/>
    </row>
    <row r="38" spans="1:10" ht="60" customHeight="1">
      <c r="A38" s="6" t="s">
        <v>149</v>
      </c>
      <c r="B38" s="6" t="s">
        <v>20</v>
      </c>
      <c r="C38" s="6" t="s">
        <v>11</v>
      </c>
      <c r="D38" s="7" t="s">
        <v>150</v>
      </c>
      <c r="E38" s="8" t="s">
        <v>151</v>
      </c>
      <c r="F38" s="6" t="s">
        <v>152</v>
      </c>
      <c r="G38" s="9">
        <f>IF(A38=1,"_",IF(C38="_","???",C38))</f>
        <v/>
      </c>
      <c r="H38" s="10" t="s">
        <v>11</v>
      </c>
      <c r="I38" s="11" t="s">
        <v>11</v>
      </c>
      <c r="J38" s="12"/>
    </row>
    <row r="39" spans="1:10" ht="60" customHeight="1">
      <c r="A39" s="6" t="s">
        <v>153</v>
      </c>
      <c r="B39" s="6" t="s">
        <v>29</v>
      </c>
      <c r="C39" s="6" t="s">
        <v>11</v>
      </c>
      <c r="D39" s="7" t="s">
        <v>154</v>
      </c>
      <c r="E39" s="8" t="s">
        <v>155</v>
      </c>
      <c r="F39" s="6" t="s">
        <v>156</v>
      </c>
      <c r="G39" s="9">
        <f>IF(A39=1,"_",IF(C39="_","???",C39))</f>
        <v/>
      </c>
      <c r="H39" s="10" t="s">
        <v>11</v>
      </c>
      <c r="I39" s="11" t="s">
        <v>11</v>
      </c>
      <c r="J39" s="12"/>
    </row>
    <row r="40" spans="1:10" ht="60" customHeight="1">
      <c r="A40" s="6" t="s">
        <v>157</v>
      </c>
      <c r="B40" s="6" t="s">
        <v>15</v>
      </c>
      <c r="C40" s="6" t="s">
        <v>11</v>
      </c>
      <c r="D40" s="7" t="s">
        <v>158</v>
      </c>
      <c r="E40" s="8" t="s">
        <v>159</v>
      </c>
      <c r="F40" s="6" t="s">
        <v>160</v>
      </c>
      <c r="G40" s="9">
        <f>IF(A40=1,"_",IF(C40="_","???",C40))</f>
        <v/>
      </c>
      <c r="H40" s="10" t="s">
        <v>11</v>
      </c>
      <c r="I40" s="11" t="s">
        <v>11</v>
      </c>
      <c r="J40" s="12"/>
    </row>
    <row r="41" spans="1:10" ht="60" customHeight="1">
      <c r="A41" s="6" t="s">
        <v>161</v>
      </c>
      <c r="B41" s="6" t="s">
        <v>24</v>
      </c>
      <c r="C41" s="6" t="s">
        <v>11</v>
      </c>
      <c r="D41" s="7" t="s">
        <v>162</v>
      </c>
      <c r="E41" s="8" t="s">
        <v>163</v>
      </c>
      <c r="F41" s="6" t="s">
        <v>164</v>
      </c>
      <c r="G41" s="9">
        <f>IF(A41=1,"_",IF(C41="_","???",C41))</f>
        <v/>
      </c>
      <c r="H41" s="10" t="s">
        <v>11</v>
      </c>
      <c r="I41" s="11" t="s">
        <v>11</v>
      </c>
      <c r="J41" s="12"/>
    </row>
    <row r="42" spans="1:10" ht="60" customHeight="1">
      <c r="A42" s="6" t="s">
        <v>165</v>
      </c>
      <c r="B42" s="6" t="s">
        <v>24</v>
      </c>
      <c r="C42" s="6" t="s">
        <v>11</v>
      </c>
      <c r="D42" s="7" t="s">
        <v>21</v>
      </c>
      <c r="E42" s="8" t="s">
        <v>166</v>
      </c>
      <c r="F42" s="6" t="s">
        <v>167</v>
      </c>
      <c r="G42" s="9">
        <f>IF(A42=1,"_",IF(C42="_","???",C42))</f>
        <v/>
      </c>
      <c r="H42" s="10" t="s">
        <v>11</v>
      </c>
      <c r="I42" s="11" t="s">
        <v>11</v>
      </c>
      <c r="J42" s="12"/>
    </row>
    <row r="43" spans="1:10" ht="60" customHeight="1">
      <c r="A43" s="6" t="s">
        <v>168</v>
      </c>
      <c r="B43" s="6" t="s">
        <v>29</v>
      </c>
      <c r="C43" s="6" t="s">
        <v>11</v>
      </c>
      <c r="D43" s="7" t="s">
        <v>169</v>
      </c>
      <c r="E43" s="8" t="s">
        <v>170</v>
      </c>
      <c r="F43" s="6" t="s">
        <v>171</v>
      </c>
      <c r="G43" s="9">
        <f>IF(A43=1,"_",IF(C43="_","???",C43))</f>
        <v/>
      </c>
      <c r="H43" s="10" t="s">
        <v>11</v>
      </c>
      <c r="I43" s="11" t="s">
        <v>11</v>
      </c>
      <c r="J43" s="12"/>
    </row>
    <row r="44" spans="1:10" ht="60" customHeight="1">
      <c r="A44" s="6" t="s">
        <v>172</v>
      </c>
      <c r="B44" s="6" t="s">
        <v>15</v>
      </c>
      <c r="C44" s="6" t="s">
        <v>11</v>
      </c>
      <c r="D44" s="7" t="s">
        <v>173</v>
      </c>
      <c r="E44" s="8" t="s">
        <v>174</v>
      </c>
      <c r="F44" s="6" t="s">
        <v>175</v>
      </c>
      <c r="G44" s="9">
        <f>IF(A44=1,"_",IF(C44="_","???",C44))</f>
        <v/>
      </c>
      <c r="H44" s="10" t="s">
        <v>11</v>
      </c>
      <c r="I44" s="11" t="s">
        <v>11</v>
      </c>
      <c r="J44" s="12"/>
    </row>
    <row r="45" spans="1:10" ht="60" customHeight="1">
      <c r="A45" s="6" t="s">
        <v>176</v>
      </c>
      <c r="B45" s="6" t="s">
        <v>24</v>
      </c>
      <c r="C45" s="6" t="s">
        <v>11</v>
      </c>
      <c r="D45" s="7" t="s">
        <v>177</v>
      </c>
      <c r="E45" s="8" t="s">
        <v>178</v>
      </c>
      <c r="F45" s="6" t="s">
        <v>179</v>
      </c>
      <c r="G45" s="9">
        <f>IF(A45=1,"_",IF(C45="_","???",C45))</f>
        <v/>
      </c>
      <c r="H45" s="10" t="s">
        <v>11</v>
      </c>
      <c r="I45" s="11" t="s">
        <v>11</v>
      </c>
      <c r="J45" s="12"/>
    </row>
    <row r="46" spans="1:10" ht="60" customHeight="1">
      <c r="A46" s="6" t="s">
        <v>180</v>
      </c>
      <c r="B46" s="6" t="s">
        <v>16</v>
      </c>
      <c r="C46" s="6" t="s">
        <v>11</v>
      </c>
      <c r="D46" s="7" t="s">
        <v>12</v>
      </c>
      <c r="E46" s="8" t="s">
        <v>181</v>
      </c>
      <c r="F46" s="6" t="s">
        <v>182</v>
      </c>
      <c r="G46" s="9">
        <f>IF(A46=1,"_",IF(C46="_","???",C46))</f>
        <v/>
      </c>
      <c r="H46" s="10" t="s">
        <v>11</v>
      </c>
      <c r="I46" s="11" t="s">
        <v>11</v>
      </c>
      <c r="J46" s="12"/>
    </row>
    <row r="47" spans="1:10" ht="60" customHeight="1">
      <c r="A47" s="6" t="s">
        <v>183</v>
      </c>
      <c r="B47" s="6" t="s">
        <v>15</v>
      </c>
      <c r="C47" s="6" t="s">
        <v>11</v>
      </c>
      <c r="D47" s="7" t="s">
        <v>184</v>
      </c>
      <c r="E47" s="8" t="s">
        <v>185</v>
      </c>
      <c r="F47" s="6" t="s">
        <v>186</v>
      </c>
      <c r="G47" s="9">
        <f>IF(A47=1,"_",IF(C47="_","???",C47))</f>
        <v/>
      </c>
      <c r="H47" s="10" t="s">
        <v>11</v>
      </c>
      <c r="I47" s="11" t="s">
        <v>11</v>
      </c>
      <c r="J47" s="12"/>
    </row>
    <row r="48" spans="1:10" ht="60" customHeight="1">
      <c r="A48" s="6" t="s">
        <v>187</v>
      </c>
      <c r="B48" s="6" t="s">
        <v>36</v>
      </c>
      <c r="C48" s="6" t="s">
        <v>11</v>
      </c>
      <c r="D48" s="7" t="s">
        <v>188</v>
      </c>
      <c r="E48" s="8" t="s">
        <v>189</v>
      </c>
      <c r="F48" s="6" t="s">
        <v>190</v>
      </c>
      <c r="G48" s="9">
        <f>IF(A48=1,"_",IF(C48="_","???",C48))</f>
        <v/>
      </c>
      <c r="H48" s="10" t="s">
        <v>11</v>
      </c>
      <c r="I48" s="11" t="s">
        <v>11</v>
      </c>
      <c r="J48" s="12"/>
    </row>
    <row r="49" spans="1:10" ht="60" customHeight="1">
      <c r="A49" s="6" t="s">
        <v>191</v>
      </c>
      <c r="B49" s="6" t="s">
        <v>15</v>
      </c>
      <c r="C49" s="6" t="s">
        <v>11</v>
      </c>
      <c r="D49" s="7" t="s">
        <v>192</v>
      </c>
      <c r="E49" s="8" t="s">
        <v>193</v>
      </c>
      <c r="F49" s="6" t="s">
        <v>194</v>
      </c>
      <c r="G49" s="9">
        <f>IF(A49=1,"_",IF(C49="_","???",C49))</f>
        <v/>
      </c>
      <c r="H49" s="10" t="s">
        <v>11</v>
      </c>
      <c r="I49" s="11" t="s">
        <v>11</v>
      </c>
      <c r="J49" s="12"/>
    </row>
    <row r="50" spans="1:10" ht="60" customHeight="1">
      <c r="A50" s="6" t="s">
        <v>195</v>
      </c>
      <c r="B50" s="6" t="s">
        <v>24</v>
      </c>
      <c r="C50" s="6" t="s">
        <v>11</v>
      </c>
      <c r="D50" s="7" t="s">
        <v>21</v>
      </c>
      <c r="E50" s="8" t="s">
        <v>196</v>
      </c>
      <c r="F50" s="6" t="s">
        <v>197</v>
      </c>
      <c r="G50" s="9">
        <f>IF(A50=1,"_",IF(C50="_","???",C50))</f>
        <v/>
      </c>
      <c r="H50" s="10" t="s">
        <v>11</v>
      </c>
      <c r="I50" s="11" t="s">
        <v>11</v>
      </c>
      <c r="J50" s="12"/>
    </row>
    <row r="51" spans="1:10" ht="60" customHeight="1">
      <c r="A51" s="6" t="s">
        <v>198</v>
      </c>
      <c r="B51" s="6" t="s">
        <v>16</v>
      </c>
      <c r="C51" s="6" t="s">
        <v>11</v>
      </c>
      <c r="D51" s="7" t="s">
        <v>199</v>
      </c>
      <c r="E51" s="8" t="s">
        <v>200</v>
      </c>
      <c r="F51" s="6" t="s">
        <v>201</v>
      </c>
      <c r="G51" s="9">
        <f>IF(A51=1,"_",IF(C51="_","???",C51))</f>
        <v/>
      </c>
      <c r="H51" s="10" t="s">
        <v>11</v>
      </c>
      <c r="I51" s="11" t="s">
        <v>11</v>
      </c>
      <c r="J51" s="12"/>
    </row>
    <row r="52" spans="1:10" ht="60" customHeight="1">
      <c r="A52" s="6" t="s">
        <v>202</v>
      </c>
      <c r="B52" s="6" t="s">
        <v>24</v>
      </c>
      <c r="C52" s="6" t="s">
        <v>11</v>
      </c>
      <c r="D52" s="7" t="s">
        <v>111</v>
      </c>
      <c r="E52" s="8" t="s">
        <v>203</v>
      </c>
      <c r="F52" s="6" t="s">
        <v>204</v>
      </c>
      <c r="G52" s="9">
        <f>IF(A52=1,"_",IF(C52="_","???",C52))</f>
        <v/>
      </c>
      <c r="H52" s="10" t="s">
        <v>11</v>
      </c>
      <c r="I52" s="11" t="s">
        <v>11</v>
      </c>
      <c r="J52" s="12"/>
    </row>
    <row r="53" spans="1:10" ht="60" customHeight="1">
      <c r="A53" s="6" t="s">
        <v>205</v>
      </c>
      <c r="B53" s="6" t="s">
        <v>10</v>
      </c>
      <c r="C53" s="6" t="s">
        <v>11</v>
      </c>
      <c r="D53" s="7" t="s">
        <v>206</v>
      </c>
      <c r="E53" s="8" t="s">
        <v>207</v>
      </c>
      <c r="F53" s="6" t="s">
        <v>208</v>
      </c>
      <c r="G53" s="9">
        <f>IF(A53=1,"_",IF(C53="_","???",C53))</f>
        <v/>
      </c>
      <c r="H53" s="10" t="s">
        <v>11</v>
      </c>
      <c r="I53" s="11" t="s">
        <v>11</v>
      </c>
      <c r="J53" s="12"/>
    </row>
    <row r="54" spans="1:10" ht="60" customHeight="1">
      <c r="A54" s="6" t="s">
        <v>209</v>
      </c>
      <c r="B54" s="6" t="s">
        <v>29</v>
      </c>
      <c r="C54" s="6" t="s">
        <v>11</v>
      </c>
      <c r="D54" s="7" t="s">
        <v>210</v>
      </c>
      <c r="E54" s="8" t="s">
        <v>211</v>
      </c>
      <c r="F54" s="6" t="s">
        <v>212</v>
      </c>
      <c r="G54" s="9">
        <f>IF(A54=1,"_",IF(C54="_","???",C54))</f>
        <v/>
      </c>
      <c r="H54" s="10" t="s">
        <v>11</v>
      </c>
      <c r="I54" s="11" t="s">
        <v>11</v>
      </c>
      <c r="J54" s="12"/>
    </row>
    <row r="55" spans="1:10" ht="60" customHeight="1">
      <c r="A55" s="6" t="s">
        <v>213</v>
      </c>
      <c r="B55" s="6" t="s">
        <v>29</v>
      </c>
      <c r="C55" s="6" t="s">
        <v>11</v>
      </c>
      <c r="D55" s="7" t="s">
        <v>214</v>
      </c>
      <c r="E55" s="8" t="s">
        <v>215</v>
      </c>
      <c r="F55" s="6" t="s">
        <v>216</v>
      </c>
      <c r="G55" s="9">
        <f>IF(A55=1,"_",IF(C55="_","???",C55))</f>
        <v/>
      </c>
      <c r="H55" s="10" t="s">
        <v>11</v>
      </c>
      <c r="I55" s="11" t="s">
        <v>11</v>
      </c>
      <c r="J55" s="12"/>
    </row>
    <row r="56" spans="1:10" ht="60" customHeight="1">
      <c r="A56" s="6" t="s">
        <v>217</v>
      </c>
      <c r="B56" s="6" t="s">
        <v>24</v>
      </c>
      <c r="C56" s="6" t="s">
        <v>11</v>
      </c>
      <c r="D56" s="7" t="s">
        <v>218</v>
      </c>
      <c r="E56" s="8" t="s">
        <v>219</v>
      </c>
      <c r="F56" s="6" t="s">
        <v>220</v>
      </c>
      <c r="G56" s="9">
        <f>IF(A56=1,"_",IF(C56="_","???",C56))</f>
        <v/>
      </c>
      <c r="H56" s="10" t="s">
        <v>11</v>
      </c>
      <c r="I56" s="11" t="s">
        <v>11</v>
      </c>
      <c r="J56" s="12"/>
    </row>
    <row r="57" spans="1:10" ht="60" customHeight="1">
      <c r="A57" s="6" t="s">
        <v>221</v>
      </c>
      <c r="B57" s="6" t="s">
        <v>20</v>
      </c>
      <c r="C57" s="6" t="s">
        <v>11</v>
      </c>
      <c r="D57" s="7" t="s">
        <v>222</v>
      </c>
      <c r="E57" s="8" t="s">
        <v>223</v>
      </c>
      <c r="F57" s="6" t="s">
        <v>224</v>
      </c>
      <c r="G57" s="9">
        <f>IF(A57=1,"_",IF(C57="_","???",C57))</f>
        <v/>
      </c>
      <c r="H57" s="10" t="s">
        <v>11</v>
      </c>
      <c r="I57" s="11" t="s">
        <v>11</v>
      </c>
      <c r="J57" s="12"/>
    </row>
    <row r="58" spans="1:10" ht="60" customHeight="1">
      <c r="A58" s="6" t="s">
        <v>225</v>
      </c>
      <c r="B58" s="6" t="s">
        <v>24</v>
      </c>
      <c r="C58" s="6" t="s">
        <v>11</v>
      </c>
      <c r="D58" s="7" t="s">
        <v>214</v>
      </c>
      <c r="E58" s="8" t="s">
        <v>226</v>
      </c>
      <c r="F58" s="6" t="s">
        <v>227</v>
      </c>
      <c r="G58" s="9">
        <f>IF(A58=1,"_",IF(C58="_","???",C58))</f>
        <v/>
      </c>
      <c r="H58" s="10" t="s">
        <v>11</v>
      </c>
      <c r="I58" s="11" t="s">
        <v>11</v>
      </c>
      <c r="J58" s="12"/>
    </row>
    <row r="59" spans="1:10" ht="60" customHeight="1">
      <c r="A59" s="6" t="s">
        <v>228</v>
      </c>
      <c r="B59" s="6" t="s">
        <v>20</v>
      </c>
      <c r="C59" s="6" t="s">
        <v>11</v>
      </c>
      <c r="D59" s="7" t="s">
        <v>229</v>
      </c>
      <c r="E59" s="8" t="s">
        <v>230</v>
      </c>
      <c r="F59" s="6" t="s">
        <v>231</v>
      </c>
      <c r="G59" s="9">
        <f>IF(A59=1,"_",IF(C59="_","???",C59))</f>
        <v/>
      </c>
      <c r="H59" s="10" t="s">
        <v>11</v>
      </c>
      <c r="I59" s="11" t="s">
        <v>11</v>
      </c>
      <c r="J59" s="12"/>
    </row>
    <row r="60" spans="1:10" ht="60" customHeight="1">
      <c r="A60" s="6" t="s">
        <v>232</v>
      </c>
      <c r="B60" s="6" t="s">
        <v>29</v>
      </c>
      <c r="C60" s="6" t="s">
        <v>11</v>
      </c>
      <c r="D60" s="7" t="s">
        <v>233</v>
      </c>
      <c r="E60" s="8" t="s">
        <v>234</v>
      </c>
      <c r="F60" s="6" t="s">
        <v>235</v>
      </c>
      <c r="G60" s="9">
        <f>IF(A60=1,"_",IF(C60="_","???",C60))</f>
        <v/>
      </c>
      <c r="H60" s="10" t="s">
        <v>11</v>
      </c>
      <c r="I60" s="11" t="s">
        <v>11</v>
      </c>
      <c r="J60" s="12"/>
    </row>
    <row r="61" spans="1:10" ht="60" customHeight="1">
      <c r="A61" s="6" t="s">
        <v>236</v>
      </c>
      <c r="B61" s="6" t="s">
        <v>20</v>
      </c>
      <c r="C61" s="6" t="s">
        <v>11</v>
      </c>
      <c r="D61" s="7" t="s">
        <v>214</v>
      </c>
      <c r="E61" s="8" t="s">
        <v>237</v>
      </c>
      <c r="F61" s="6" t="s">
        <v>238</v>
      </c>
      <c r="G61" s="9">
        <f>IF(A61=1,"_",IF(C61="_","???",C61))</f>
        <v/>
      </c>
      <c r="H61" s="10" t="s">
        <v>11</v>
      </c>
      <c r="I61" s="11" t="s">
        <v>11</v>
      </c>
      <c r="J61" s="12"/>
    </row>
    <row r="62" spans="1:10" ht="60" customHeight="1">
      <c r="A62" s="6" t="s">
        <v>239</v>
      </c>
      <c r="B62" s="6" t="s">
        <v>36</v>
      </c>
      <c r="C62" s="6" t="s">
        <v>11</v>
      </c>
      <c r="D62" s="7" t="s">
        <v>240</v>
      </c>
      <c r="E62" s="8" t="s">
        <v>241</v>
      </c>
      <c r="F62" s="6" t="s">
        <v>242</v>
      </c>
      <c r="G62" s="9">
        <f>IF(A62=1,"_",IF(C62="_","???",C62))</f>
        <v/>
      </c>
      <c r="H62" s="10" t="s">
        <v>11</v>
      </c>
      <c r="I62" s="11" t="s">
        <v>11</v>
      </c>
      <c r="J62" s="12"/>
    </row>
    <row r="63" spans="1:10" ht="60" customHeight="1">
      <c r="A63" s="6" t="s">
        <v>243</v>
      </c>
      <c r="B63" s="6" t="s">
        <v>29</v>
      </c>
      <c r="C63" s="6" t="s">
        <v>11</v>
      </c>
      <c r="D63" s="7" t="s">
        <v>244</v>
      </c>
      <c r="E63" s="8" t="s">
        <v>245</v>
      </c>
      <c r="F63" s="6" t="s">
        <v>246</v>
      </c>
      <c r="G63" s="9">
        <f>IF(A63=1,"_",IF(C63="_","???",C63))</f>
        <v/>
      </c>
      <c r="H63" s="10" t="s">
        <v>11</v>
      </c>
      <c r="I63" s="11" t="s">
        <v>11</v>
      </c>
      <c r="J63" s="12"/>
    </row>
    <row r="64" spans="1:10" ht="60" customHeight="1">
      <c r="A64" s="6" t="s">
        <v>247</v>
      </c>
      <c r="B64" s="6" t="s">
        <v>29</v>
      </c>
      <c r="C64" s="6" t="s">
        <v>25</v>
      </c>
      <c r="D64" s="7" t="s">
        <v>248</v>
      </c>
      <c r="E64" s="8" t="s">
        <v>249</v>
      </c>
      <c r="F64" s="6" t="s">
        <v>250</v>
      </c>
      <c r="G64" s="9">
        <f>IF(A64=1,"_",IF(C64="_","???",C64))</f>
        <v/>
      </c>
      <c r="H64" s="10" t="s">
        <v>11</v>
      </c>
      <c r="I64" s="11" t="s">
        <v>11</v>
      </c>
      <c r="J64" s="12"/>
    </row>
    <row r="65" spans="1:10" ht="60" customHeight="1">
      <c r="A65" s="6" t="s">
        <v>251</v>
      </c>
      <c r="B65" s="6" t="s">
        <v>15</v>
      </c>
      <c r="C65" s="6" t="s">
        <v>11</v>
      </c>
      <c r="D65" s="7" t="s">
        <v>252</v>
      </c>
      <c r="E65" s="8" t="s">
        <v>253</v>
      </c>
      <c r="F65" s="6" t="s">
        <v>254</v>
      </c>
      <c r="G65" s="9">
        <f>IF(A65=1,"_",IF(C65="_","???",C65))</f>
        <v/>
      </c>
      <c r="H65" s="10" t="s">
        <v>11</v>
      </c>
      <c r="I65" s="11" t="s">
        <v>11</v>
      </c>
      <c r="J65" s="12"/>
    </row>
    <row r="66" spans="1:10" ht="60" customHeight="1">
      <c r="A66" s="6" t="s">
        <v>255</v>
      </c>
      <c r="B66" s="6" t="s">
        <v>15</v>
      </c>
      <c r="C66" s="6" t="s">
        <v>11</v>
      </c>
      <c r="D66" s="7" t="s">
        <v>162</v>
      </c>
      <c r="E66" s="8" t="s">
        <v>256</v>
      </c>
      <c r="F66" s="6" t="s">
        <v>257</v>
      </c>
      <c r="G66" s="9">
        <f>IF(A66=1,"_",IF(C66="_","???",C66))</f>
        <v/>
      </c>
      <c r="H66" s="10" t="s">
        <v>11</v>
      </c>
      <c r="I66" s="11" t="s">
        <v>11</v>
      </c>
      <c r="J66" s="12"/>
    </row>
    <row r="67" spans="1:10" ht="60" customHeight="1">
      <c r="A67" s="6" t="s">
        <v>258</v>
      </c>
      <c r="B67" s="6" t="s">
        <v>29</v>
      </c>
      <c r="C67" s="6" t="s">
        <v>11</v>
      </c>
      <c r="D67" s="7" t="s">
        <v>259</v>
      </c>
      <c r="E67" s="8" t="s">
        <v>260</v>
      </c>
      <c r="F67" s="6" t="s">
        <v>261</v>
      </c>
      <c r="G67" s="9">
        <f>IF(A67=1,"_",IF(C67="_","???",C67))</f>
        <v/>
      </c>
      <c r="H67" s="10" t="s">
        <v>11</v>
      </c>
      <c r="I67" s="11" t="s">
        <v>11</v>
      </c>
      <c r="J67" s="12"/>
    </row>
    <row r="68" spans="1:10" ht="60" customHeight="1">
      <c r="A68" s="6" t="s">
        <v>262</v>
      </c>
      <c r="B68" s="6" t="s">
        <v>15</v>
      </c>
      <c r="C68" s="6" t="s">
        <v>11</v>
      </c>
      <c r="D68" s="7" t="s">
        <v>263</v>
      </c>
      <c r="E68" s="8" t="s">
        <v>264</v>
      </c>
      <c r="F68" s="6" t="s">
        <v>265</v>
      </c>
      <c r="G68" s="9">
        <f>IF(A68=1,"_",IF(C68="_","???",C68))</f>
        <v/>
      </c>
      <c r="H68" s="10" t="s">
        <v>11</v>
      </c>
      <c r="I68" s="11" t="s">
        <v>11</v>
      </c>
      <c r="J68" s="12"/>
    </row>
    <row r="69" spans="1:10" ht="60" customHeight="1">
      <c r="A69" s="6" t="s">
        <v>266</v>
      </c>
      <c r="B69" s="6" t="s">
        <v>15</v>
      </c>
      <c r="C69" s="6" t="s">
        <v>11</v>
      </c>
      <c r="D69" s="7" t="s">
        <v>263</v>
      </c>
      <c r="E69" s="8" t="s">
        <v>267</v>
      </c>
      <c r="F69" s="6" t="s">
        <v>268</v>
      </c>
      <c r="G69" s="9">
        <f>IF(A69=1,"_",IF(C69="_","???",C69))</f>
        <v/>
      </c>
      <c r="H69" s="10" t="s">
        <v>11</v>
      </c>
      <c r="I69" s="11" t="s">
        <v>11</v>
      </c>
      <c r="J69" s="12"/>
    </row>
    <row r="70" spans="1:10" ht="60" customHeight="1">
      <c r="A70" s="6" t="s">
        <v>269</v>
      </c>
      <c r="B70" s="6" t="s">
        <v>10</v>
      </c>
      <c r="C70" s="6" t="s">
        <v>11</v>
      </c>
      <c r="D70" s="7" t="s">
        <v>270</v>
      </c>
      <c r="E70" s="8" t="s">
        <v>271</v>
      </c>
      <c r="F70" s="6" t="s">
        <v>272</v>
      </c>
      <c r="G70" s="9">
        <f>IF(A70=1,"_",IF(C70="_","???",C70))</f>
        <v/>
      </c>
      <c r="H70" s="10" t="s">
        <v>11</v>
      </c>
      <c r="I70" s="11" t="s">
        <v>11</v>
      </c>
      <c r="J70" s="12"/>
    </row>
    <row r="71" spans="1:10" ht="60" customHeight="1">
      <c r="A71" s="6" t="s">
        <v>273</v>
      </c>
      <c r="B71" s="6" t="s">
        <v>15</v>
      </c>
      <c r="C71" s="6" t="s">
        <v>11</v>
      </c>
      <c r="D71" s="7" t="s">
        <v>274</v>
      </c>
      <c r="E71" s="8" t="s">
        <v>275</v>
      </c>
      <c r="F71" s="6" t="s">
        <v>276</v>
      </c>
      <c r="G71" s="9">
        <f>IF(A71=1,"_",IF(C71="_","???",C71))</f>
        <v/>
      </c>
      <c r="H71" s="10" t="s">
        <v>11</v>
      </c>
      <c r="I71" s="11" t="s">
        <v>11</v>
      </c>
      <c r="J71" s="12"/>
    </row>
    <row r="72" spans="1:10" ht="60" customHeight="1">
      <c r="A72" s="6" t="s">
        <v>277</v>
      </c>
      <c r="B72" s="6" t="s">
        <v>10</v>
      </c>
      <c r="C72" s="6" t="s">
        <v>11</v>
      </c>
      <c r="D72" s="7" t="s">
        <v>278</v>
      </c>
      <c r="E72" s="8" t="s">
        <v>279</v>
      </c>
      <c r="F72" s="6" t="s">
        <v>280</v>
      </c>
      <c r="G72" s="9">
        <f>IF(A72=1,"_",IF(C72="_","???",C72))</f>
        <v/>
      </c>
      <c r="H72" s="10" t="s">
        <v>11</v>
      </c>
      <c r="I72" s="11" t="s">
        <v>11</v>
      </c>
      <c r="J72" s="12"/>
    </row>
    <row r="73" spans="1:10" ht="60" customHeight="1">
      <c r="A73" s="6" t="s">
        <v>281</v>
      </c>
      <c r="B73" s="6" t="s">
        <v>20</v>
      </c>
      <c r="C73" s="6" t="s">
        <v>11</v>
      </c>
      <c r="D73" s="7" t="s">
        <v>282</v>
      </c>
      <c r="E73" s="8" t="s">
        <v>283</v>
      </c>
      <c r="F73" s="6" t="s">
        <v>284</v>
      </c>
      <c r="G73" s="9">
        <f>IF(A73=1,"_",IF(C73="_","???",C73))</f>
        <v/>
      </c>
      <c r="H73" s="10" t="s">
        <v>11</v>
      </c>
      <c r="I73" s="11" t="s">
        <v>11</v>
      </c>
      <c r="J73" s="12"/>
    </row>
    <row r="74" spans="1:10" ht="60" customHeight="1">
      <c r="A74" s="6" t="s">
        <v>285</v>
      </c>
      <c r="B74" s="6" t="s">
        <v>10</v>
      </c>
      <c r="C74" s="6" t="s">
        <v>11</v>
      </c>
      <c r="D74" s="7" t="s">
        <v>286</v>
      </c>
      <c r="E74" s="8" t="s">
        <v>287</v>
      </c>
      <c r="F74" s="6" t="s">
        <v>288</v>
      </c>
      <c r="G74" s="9">
        <f>IF(A74=1,"_",IF(C74="_","???",C74))</f>
        <v/>
      </c>
      <c r="H74" s="10" t="s">
        <v>11</v>
      </c>
      <c r="I74" s="11" t="s">
        <v>11</v>
      </c>
      <c r="J74" s="12"/>
    </row>
    <row r="75" spans="1:10" ht="60" customHeight="1">
      <c r="A75" s="6" t="s">
        <v>289</v>
      </c>
      <c r="B75" s="6" t="s">
        <v>20</v>
      </c>
      <c r="C75" s="6" t="s">
        <v>11</v>
      </c>
      <c r="D75" s="7" t="s">
        <v>60</v>
      </c>
      <c r="E75" s="8" t="s">
        <v>290</v>
      </c>
      <c r="F75" s="6" t="s">
        <v>291</v>
      </c>
      <c r="G75" s="9">
        <f>IF(A75=1,"_",IF(C75="_","???",C75))</f>
        <v/>
      </c>
      <c r="H75" s="10" t="s">
        <v>11</v>
      </c>
      <c r="I75" s="11" t="s">
        <v>11</v>
      </c>
      <c r="J75" s="12"/>
    </row>
    <row r="76" spans="1:10" ht="60" customHeight="1">
      <c r="A76" s="6" t="s">
        <v>292</v>
      </c>
      <c r="B76" s="6" t="s">
        <v>20</v>
      </c>
      <c r="C76" s="6" t="s">
        <v>11</v>
      </c>
      <c r="D76" s="7" t="s">
        <v>293</v>
      </c>
      <c r="E76" s="8" t="s">
        <v>294</v>
      </c>
      <c r="F76" s="6" t="s">
        <v>295</v>
      </c>
      <c r="G76" s="9">
        <f>IF(A76=1,"_",IF(C76="_","???",C76))</f>
        <v/>
      </c>
      <c r="H76" s="10" t="s">
        <v>11</v>
      </c>
      <c r="I76" s="11" t="s">
        <v>11</v>
      </c>
      <c r="J76" s="12"/>
    </row>
    <row r="77" spans="1:10" ht="60" customHeight="1">
      <c r="A77" s="6" t="s">
        <v>296</v>
      </c>
      <c r="B77" s="6" t="s">
        <v>10</v>
      </c>
      <c r="C77" s="6" t="s">
        <v>11</v>
      </c>
      <c r="D77" s="7" t="s">
        <v>297</v>
      </c>
      <c r="E77" s="8" t="s">
        <v>298</v>
      </c>
      <c r="F77" s="6" t="s">
        <v>299</v>
      </c>
      <c r="G77" s="9">
        <f>IF(A77=1,"_",IF(C77="_","???",C77))</f>
        <v/>
      </c>
      <c r="H77" s="10" t="s">
        <v>11</v>
      </c>
      <c r="I77" s="11" t="s">
        <v>11</v>
      </c>
      <c r="J77" s="12"/>
    </row>
    <row r="78" spans="1:10" ht="60" customHeight="1">
      <c r="A78" s="6" t="s">
        <v>300</v>
      </c>
      <c r="B78" s="6" t="s">
        <v>15</v>
      </c>
      <c r="C78" s="6" t="s">
        <v>11</v>
      </c>
      <c r="D78" s="7" t="s">
        <v>301</v>
      </c>
      <c r="E78" s="8" t="s">
        <v>302</v>
      </c>
      <c r="F78" s="6" t="s">
        <v>303</v>
      </c>
      <c r="G78" s="9">
        <f>IF(A78=1,"_",IF(C78="_","???",C78))</f>
        <v/>
      </c>
      <c r="H78" s="10" t="s">
        <v>11</v>
      </c>
      <c r="I78" s="11" t="s">
        <v>11</v>
      </c>
      <c r="J78" s="12"/>
    </row>
    <row r="79" spans="1:10" ht="60" customHeight="1">
      <c r="A79" s="6" t="s">
        <v>304</v>
      </c>
      <c r="B79" s="6" t="s">
        <v>24</v>
      </c>
      <c r="C79" s="6" t="s">
        <v>11</v>
      </c>
      <c r="D79" s="7" t="s">
        <v>305</v>
      </c>
      <c r="E79" s="8" t="s">
        <v>306</v>
      </c>
      <c r="F79" s="6" t="s">
        <v>307</v>
      </c>
      <c r="G79" s="9">
        <f>IF(A79=1,"_",IF(C79="_","???",C79))</f>
        <v/>
      </c>
      <c r="H79" s="10" t="s">
        <v>11</v>
      </c>
      <c r="I79" s="11" t="s">
        <v>11</v>
      </c>
      <c r="J79" s="12"/>
    </row>
    <row r="80" spans="1:10" ht="60" customHeight="1">
      <c r="A80" s="6" t="s">
        <v>308</v>
      </c>
      <c r="B80" s="6" t="s">
        <v>20</v>
      </c>
      <c r="C80" s="6" t="s">
        <v>11</v>
      </c>
      <c r="D80" s="7" t="s">
        <v>21</v>
      </c>
      <c r="E80" s="8" t="s">
        <v>309</v>
      </c>
      <c r="F80" s="6" t="s">
        <v>310</v>
      </c>
      <c r="G80" s="9">
        <f>IF(A80=1,"_",IF(C80="_","???",C80))</f>
        <v/>
      </c>
      <c r="H80" s="10" t="s">
        <v>11</v>
      </c>
      <c r="I80" s="11" t="s">
        <v>11</v>
      </c>
      <c r="J80" s="12"/>
    </row>
    <row r="81" spans="1:10" ht="60" customHeight="1">
      <c r="A81" s="6" t="s">
        <v>311</v>
      </c>
      <c r="B81" s="6" t="s">
        <v>29</v>
      </c>
      <c r="C81" s="6" t="s">
        <v>11</v>
      </c>
      <c r="D81" s="7" t="s">
        <v>312</v>
      </c>
      <c r="E81" s="8" t="s">
        <v>313</v>
      </c>
      <c r="F81" s="6" t="s">
        <v>314</v>
      </c>
      <c r="G81" s="9">
        <f>IF(A81=1,"_",IF(C81="_","???",C81))</f>
        <v/>
      </c>
      <c r="H81" s="10" t="s">
        <v>11</v>
      </c>
      <c r="I81" s="11" t="s">
        <v>11</v>
      </c>
      <c r="J81" s="12"/>
    </row>
    <row r="82" spans="1:10" ht="60" customHeight="1">
      <c r="A82" s="6" t="s">
        <v>315</v>
      </c>
      <c r="B82" s="6" t="s">
        <v>15</v>
      </c>
      <c r="C82" s="6" t="s">
        <v>11</v>
      </c>
      <c r="D82" s="7" t="s">
        <v>316</v>
      </c>
      <c r="E82" s="8" t="s">
        <v>317</v>
      </c>
      <c r="F82" s="6" t="s">
        <v>318</v>
      </c>
      <c r="G82" s="9">
        <f>IF(A82=1,"_",IF(C82="_","???",C82))</f>
        <v/>
      </c>
      <c r="H82" s="10" t="s">
        <v>11</v>
      </c>
      <c r="I82" s="11" t="s">
        <v>11</v>
      </c>
      <c r="J82" s="12"/>
    </row>
    <row r="83" spans="1:10" ht="60" customHeight="1">
      <c r="A83" s="6" t="s">
        <v>319</v>
      </c>
      <c r="B83" s="6" t="s">
        <v>15</v>
      </c>
      <c r="C83" s="6" t="s">
        <v>11</v>
      </c>
      <c r="D83" s="7" t="s">
        <v>320</v>
      </c>
      <c r="E83" s="8" t="s">
        <v>321</v>
      </c>
      <c r="F83" s="6" t="s">
        <v>322</v>
      </c>
      <c r="G83" s="9">
        <f>IF(A83=1,"_",IF(C83="_","???",C83))</f>
        <v/>
      </c>
      <c r="H83" s="10" t="s">
        <v>11</v>
      </c>
      <c r="I83" s="11" t="s">
        <v>11</v>
      </c>
      <c r="J83" s="12"/>
    </row>
    <row r="84" spans="1:10" ht="60" customHeight="1">
      <c r="A84" s="6" t="s">
        <v>323</v>
      </c>
      <c r="B84" s="6" t="s">
        <v>24</v>
      </c>
      <c r="C84" s="6" t="s">
        <v>11</v>
      </c>
      <c r="D84" s="7" t="s">
        <v>324</v>
      </c>
      <c r="E84" s="8" t="s">
        <v>325</v>
      </c>
      <c r="F84" s="6" t="s">
        <v>326</v>
      </c>
      <c r="G84" s="9">
        <f>IF(A84=1,"_",IF(C84="_","???",C84))</f>
        <v/>
      </c>
      <c r="H84" s="10" t="s">
        <v>11</v>
      </c>
      <c r="I84" s="11" t="s">
        <v>11</v>
      </c>
      <c r="J84" s="12"/>
    </row>
    <row r="85" spans="1:10" ht="60" customHeight="1">
      <c r="A85" s="6" t="s">
        <v>327</v>
      </c>
      <c r="B85" s="6" t="s">
        <v>15</v>
      </c>
      <c r="C85" s="6" t="s">
        <v>11</v>
      </c>
      <c r="D85" s="7" t="s">
        <v>328</v>
      </c>
      <c r="E85" s="8" t="s">
        <v>329</v>
      </c>
      <c r="F85" s="6" t="s">
        <v>330</v>
      </c>
      <c r="G85" s="9">
        <f>IF(A85=1,"_",IF(C85="_","???",C85))</f>
        <v/>
      </c>
      <c r="H85" s="10" t="s">
        <v>11</v>
      </c>
      <c r="I85" s="11" t="s">
        <v>11</v>
      </c>
      <c r="J85" s="12"/>
    </row>
    <row r="86" spans="1:10" ht="60" customHeight="1">
      <c r="A86" s="6" t="s">
        <v>331</v>
      </c>
      <c r="B86" s="6" t="s">
        <v>20</v>
      </c>
      <c r="C86" s="6" t="s">
        <v>11</v>
      </c>
      <c r="D86" s="7" t="s">
        <v>328</v>
      </c>
      <c r="E86" s="8" t="s">
        <v>332</v>
      </c>
      <c r="F86" s="6" t="s">
        <v>333</v>
      </c>
      <c r="G86" s="9">
        <f>IF(A86=1,"_",IF(C86="_","???",C86))</f>
        <v/>
      </c>
      <c r="H86" s="10" t="s">
        <v>11</v>
      </c>
      <c r="I86" s="11" t="s">
        <v>11</v>
      </c>
      <c r="J86" s="12"/>
    </row>
    <row r="87" spans="1:10" ht="60" customHeight="1">
      <c r="A87" s="6" t="s">
        <v>334</v>
      </c>
      <c r="B87" s="6" t="s">
        <v>29</v>
      </c>
      <c r="C87" s="6" t="s">
        <v>11</v>
      </c>
      <c r="D87" s="7" t="s">
        <v>107</v>
      </c>
      <c r="E87" s="8" t="s">
        <v>335</v>
      </c>
      <c r="F87" s="6" t="s">
        <v>336</v>
      </c>
      <c r="G87" s="9">
        <f>IF(A87=1,"_",IF(C87="_","???",C87))</f>
        <v/>
      </c>
      <c r="H87" s="10" t="s">
        <v>11</v>
      </c>
      <c r="I87" s="11" t="s">
        <v>11</v>
      </c>
      <c r="J87" s="12"/>
    </row>
    <row r="88" spans="1:10" ht="60" customHeight="1">
      <c r="A88" s="6" t="s">
        <v>337</v>
      </c>
      <c r="B88" s="6" t="s">
        <v>10</v>
      </c>
      <c r="C88" s="6" t="s">
        <v>25</v>
      </c>
      <c r="D88" s="7" t="s">
        <v>338</v>
      </c>
      <c r="E88" s="8" t="s">
        <v>339</v>
      </c>
      <c r="F88" s="6" t="s">
        <v>340</v>
      </c>
      <c r="G88" s="9">
        <f>IF(A88=1,"_",IF(C88="_","???",C88))</f>
        <v/>
      </c>
      <c r="H88" s="10" t="s">
        <v>11</v>
      </c>
      <c r="I88" s="11" t="s">
        <v>11</v>
      </c>
      <c r="J88" s="12"/>
    </row>
    <row r="89" spans="1:10" ht="60" customHeight="1">
      <c r="A89" s="6" t="s">
        <v>341</v>
      </c>
      <c r="B89" s="6" t="s">
        <v>20</v>
      </c>
      <c r="C89" s="6" t="s">
        <v>11</v>
      </c>
      <c r="D89" s="7" t="s">
        <v>342</v>
      </c>
      <c r="E89" s="8" t="s">
        <v>343</v>
      </c>
      <c r="F89" s="6" t="s">
        <v>344</v>
      </c>
      <c r="G89" s="9">
        <f>IF(A89=1,"_",IF(C89="_","???",C89))</f>
        <v/>
      </c>
      <c r="H89" s="10" t="s">
        <v>11</v>
      </c>
      <c r="I89" s="11" t="s">
        <v>11</v>
      </c>
      <c r="J89" s="12"/>
    </row>
    <row r="90" spans="1:10" ht="60" customHeight="1">
      <c r="A90" s="6" t="s">
        <v>345</v>
      </c>
      <c r="B90" s="6" t="s">
        <v>15</v>
      </c>
      <c r="C90" s="6" t="s">
        <v>11</v>
      </c>
      <c r="D90" s="7" t="s">
        <v>222</v>
      </c>
      <c r="E90" s="8" t="s">
        <v>346</v>
      </c>
      <c r="F90" s="6" t="s">
        <v>347</v>
      </c>
      <c r="G90" s="9">
        <f>IF(A90=1,"_",IF(C90="_","???",C90))</f>
        <v/>
      </c>
      <c r="H90" s="10" t="s">
        <v>11</v>
      </c>
      <c r="I90" s="11" t="s">
        <v>11</v>
      </c>
      <c r="J90" s="12"/>
    </row>
    <row r="91" spans="1:10" ht="60" customHeight="1">
      <c r="A91" s="6" t="s">
        <v>348</v>
      </c>
      <c r="B91" s="6" t="s">
        <v>20</v>
      </c>
      <c r="C91" s="6" t="s">
        <v>11</v>
      </c>
      <c r="D91" s="7" t="s">
        <v>349</v>
      </c>
      <c r="E91" s="8" t="s">
        <v>350</v>
      </c>
      <c r="F91" s="6" t="s">
        <v>351</v>
      </c>
      <c r="G91" s="9">
        <f>IF(A91=1,"_",IF(C91="_","???",C91))</f>
        <v/>
      </c>
      <c r="H91" s="10" t="s">
        <v>11</v>
      </c>
      <c r="I91" s="11" t="s">
        <v>11</v>
      </c>
      <c r="J91" s="12"/>
    </row>
    <row r="92" spans="1:10" ht="60" customHeight="1">
      <c r="A92" s="6" t="s">
        <v>352</v>
      </c>
      <c r="B92" s="6" t="s">
        <v>15</v>
      </c>
      <c r="C92" s="6" t="s">
        <v>11</v>
      </c>
      <c r="D92" s="7" t="s">
        <v>353</v>
      </c>
      <c r="E92" s="8" t="s">
        <v>354</v>
      </c>
      <c r="F92" s="6" t="s">
        <v>355</v>
      </c>
      <c r="G92" s="9">
        <f>IF(A92=1,"_",IF(C92="_","???",C92))</f>
        <v/>
      </c>
      <c r="H92" s="10" t="s">
        <v>11</v>
      </c>
      <c r="I92" s="11" t="s">
        <v>11</v>
      </c>
      <c r="J92" s="12"/>
    </row>
    <row r="93" spans="1:10" ht="60" customHeight="1">
      <c r="A93" s="6" t="s">
        <v>356</v>
      </c>
      <c r="B93" s="6" t="s">
        <v>15</v>
      </c>
      <c r="C93" s="6" t="s">
        <v>11</v>
      </c>
      <c r="D93" s="7" t="s">
        <v>357</v>
      </c>
      <c r="E93" s="8" t="s">
        <v>358</v>
      </c>
      <c r="F93" s="6" t="s">
        <v>359</v>
      </c>
      <c r="G93" s="9">
        <f>IF(A93=1,"_",IF(C93="_","???",C93))</f>
        <v/>
      </c>
      <c r="H93" s="10" t="s">
        <v>11</v>
      </c>
      <c r="I93" s="11" t="s">
        <v>11</v>
      </c>
      <c r="J93" s="12"/>
    </row>
    <row r="94" spans="1:10" ht="60" customHeight="1">
      <c r="A94" s="6" t="s">
        <v>360</v>
      </c>
      <c r="B94" s="6" t="s">
        <v>20</v>
      </c>
      <c r="C94" s="6" t="s">
        <v>11</v>
      </c>
      <c r="D94" s="7" t="s">
        <v>361</v>
      </c>
      <c r="E94" s="8" t="s">
        <v>362</v>
      </c>
      <c r="F94" s="6" t="s">
        <v>363</v>
      </c>
      <c r="G94" s="9">
        <f>IF(A94=1,"_",IF(C94="_","???",C94))</f>
        <v/>
      </c>
      <c r="H94" s="10" t="s">
        <v>11</v>
      </c>
      <c r="I94" s="11" t="s">
        <v>11</v>
      </c>
      <c r="J94" s="12"/>
    </row>
    <row r="95" spans="1:10" ht="60" customHeight="1">
      <c r="A95" s="6" t="s">
        <v>364</v>
      </c>
      <c r="B95" s="6" t="s">
        <v>24</v>
      </c>
      <c r="C95" s="6" t="s">
        <v>11</v>
      </c>
      <c r="D95" s="7" t="s">
        <v>30</v>
      </c>
      <c r="E95" s="8" t="s">
        <v>365</v>
      </c>
      <c r="F95" s="6" t="s">
        <v>366</v>
      </c>
      <c r="G95" s="9">
        <f>IF(A95=1,"_",IF(C95="_","???",C95))</f>
        <v/>
      </c>
      <c r="H95" s="10" t="s">
        <v>11</v>
      </c>
      <c r="I95" s="11" t="s">
        <v>11</v>
      </c>
      <c r="J95" s="12"/>
    </row>
    <row r="96" spans="1:10" ht="60" customHeight="1">
      <c r="A96" s="6" t="s">
        <v>367</v>
      </c>
      <c r="B96" s="6" t="s">
        <v>20</v>
      </c>
      <c r="C96" s="6" t="s">
        <v>11</v>
      </c>
      <c r="D96" s="7" t="s">
        <v>30</v>
      </c>
      <c r="E96" s="8" t="s">
        <v>368</v>
      </c>
      <c r="F96" s="6" t="s">
        <v>369</v>
      </c>
      <c r="G96" s="9">
        <f>IF(A96=1,"_",IF(C96="_","???",C96))</f>
        <v/>
      </c>
      <c r="H96" s="10" t="s">
        <v>11</v>
      </c>
      <c r="I96" s="11" t="s">
        <v>11</v>
      </c>
      <c r="J96" s="12"/>
    </row>
    <row r="97" spans="1:10" ht="60" customHeight="1">
      <c r="A97" s="6" t="s">
        <v>370</v>
      </c>
      <c r="B97" s="6" t="s">
        <v>36</v>
      </c>
      <c r="C97" s="6" t="s">
        <v>25</v>
      </c>
      <c r="D97" s="7" t="s">
        <v>371</v>
      </c>
      <c r="E97" s="8" t="s">
        <v>372</v>
      </c>
      <c r="F97" s="6" t="s">
        <v>373</v>
      </c>
      <c r="G97" s="9">
        <f>IF(A97=1,"_",IF(C97="_","???",C97))</f>
        <v/>
      </c>
      <c r="H97" s="10" t="s">
        <v>11</v>
      </c>
      <c r="I97" s="11" t="s">
        <v>11</v>
      </c>
      <c r="J97" s="12"/>
    </row>
    <row r="98" spans="1:10" ht="60" customHeight="1">
      <c r="A98" s="6" t="s">
        <v>374</v>
      </c>
      <c r="B98" s="6" t="s">
        <v>29</v>
      </c>
      <c r="C98" s="6" t="s">
        <v>11</v>
      </c>
      <c r="D98" s="7" t="s">
        <v>375</v>
      </c>
      <c r="E98" s="8" t="s">
        <v>376</v>
      </c>
      <c r="F98" s="6" t="s">
        <v>377</v>
      </c>
      <c r="G98" s="9">
        <f>IF(A98=1,"_",IF(C98="_","???",C98))</f>
        <v/>
      </c>
      <c r="H98" s="10" t="s">
        <v>11</v>
      </c>
      <c r="I98" s="11" t="s">
        <v>11</v>
      </c>
      <c r="J98" s="12"/>
    </row>
    <row r="99" spans="1:10" ht="60" customHeight="1">
      <c r="A99" s="6" t="s">
        <v>378</v>
      </c>
      <c r="B99" s="6" t="s">
        <v>20</v>
      </c>
      <c r="C99" s="6" t="s">
        <v>11</v>
      </c>
      <c r="D99" s="7" t="s">
        <v>379</v>
      </c>
      <c r="E99" s="8" t="s">
        <v>380</v>
      </c>
      <c r="F99" s="6" t="s">
        <v>381</v>
      </c>
      <c r="G99" s="9">
        <f>IF(A99=1,"_",IF(C99="_","???",C99))</f>
        <v/>
      </c>
      <c r="H99" s="10" t="s">
        <v>11</v>
      </c>
      <c r="I99" s="11" t="s">
        <v>11</v>
      </c>
      <c r="J99" s="12"/>
    </row>
    <row r="100" spans="1:10" ht="60" customHeight="1">
      <c r="A100" s="6" t="s">
        <v>382</v>
      </c>
      <c r="B100" s="6" t="s">
        <v>36</v>
      </c>
      <c r="C100" s="6" t="s">
        <v>11</v>
      </c>
      <c r="D100" s="7" t="s">
        <v>383</v>
      </c>
      <c r="E100" s="8" t="s">
        <v>384</v>
      </c>
      <c r="F100" s="6" t="s">
        <v>385</v>
      </c>
      <c r="G100" s="9">
        <f>IF(A100=1,"_",IF(C100="_","???",C100))</f>
        <v/>
      </c>
      <c r="H100" s="10" t="s">
        <v>11</v>
      </c>
      <c r="I100" s="11" t="s">
        <v>11</v>
      </c>
      <c r="J100" s="12"/>
    </row>
    <row r="101" spans="1:10" ht="60" customHeight="1">
      <c r="A101" s="6" t="s">
        <v>386</v>
      </c>
      <c r="B101" s="6" t="s">
        <v>16</v>
      </c>
      <c r="C101" s="6" t="s">
        <v>11</v>
      </c>
      <c r="D101" s="7" t="s">
        <v>387</v>
      </c>
      <c r="E101" s="8" t="s">
        <v>388</v>
      </c>
      <c r="F101" s="6" t="s">
        <v>389</v>
      </c>
      <c r="G101" s="9">
        <f>IF(A101=1,"_",IF(C101="_","???",C101))</f>
        <v/>
      </c>
      <c r="H101" s="10" t="s">
        <v>11</v>
      </c>
      <c r="I101" s="11" t="s">
        <v>11</v>
      </c>
      <c r="J101" s="12"/>
    </row>
    <row r="102" spans="1:10" ht="60" customHeight="1">
      <c r="A102" s="6" t="s">
        <v>390</v>
      </c>
      <c r="B102" s="6" t="s">
        <v>43</v>
      </c>
      <c r="C102" s="6" t="s">
        <v>11</v>
      </c>
      <c r="D102" s="7" t="s">
        <v>21</v>
      </c>
      <c r="E102" s="8" t="s">
        <v>391</v>
      </c>
      <c r="F102" s="6" t="s">
        <v>392</v>
      </c>
      <c r="G102" s="9">
        <f>IF(A102=1,"_",IF(C102="_","???",C102))</f>
        <v/>
      </c>
      <c r="H102" s="10" t="s">
        <v>11</v>
      </c>
      <c r="I102" s="11" t="s">
        <v>11</v>
      </c>
      <c r="J102" s="12"/>
    </row>
    <row r="103" spans="1:10" ht="60" customHeight="1">
      <c r="A103" s="6" t="s">
        <v>393</v>
      </c>
      <c r="B103" s="6" t="s">
        <v>15</v>
      </c>
      <c r="C103" s="6" t="s">
        <v>11</v>
      </c>
      <c r="D103" s="7" t="s">
        <v>21</v>
      </c>
      <c r="E103" s="8" t="s">
        <v>394</v>
      </c>
      <c r="F103" s="6" t="s">
        <v>395</v>
      </c>
      <c r="G103" s="9">
        <f>IF(A103=1,"_",IF(C103="_","???",C103))</f>
        <v/>
      </c>
      <c r="H103" s="10" t="s">
        <v>11</v>
      </c>
      <c r="I103" s="11" t="s">
        <v>11</v>
      </c>
      <c r="J103" s="12"/>
    </row>
    <row r="104" spans="1:10" ht="60" customHeight="1">
      <c r="A104" s="6" t="s">
        <v>396</v>
      </c>
      <c r="B104" s="6" t="s">
        <v>20</v>
      </c>
      <c r="C104" s="6" t="s">
        <v>11</v>
      </c>
      <c r="D104" s="7" t="s">
        <v>30</v>
      </c>
      <c r="E104" s="8" t="s">
        <v>397</v>
      </c>
      <c r="F104" s="6" t="s">
        <v>398</v>
      </c>
      <c r="G104" s="9">
        <f>IF(A104=1,"_",IF(C104="_","???",C104))</f>
        <v/>
      </c>
      <c r="H104" s="10" t="s">
        <v>11</v>
      </c>
      <c r="I104" s="11" t="s">
        <v>11</v>
      </c>
      <c r="J104" s="12"/>
    </row>
    <row r="105" spans="1:10" ht="60" customHeight="1">
      <c r="A105" s="6" t="s">
        <v>399</v>
      </c>
      <c r="B105" s="6" t="s">
        <v>29</v>
      </c>
      <c r="C105" s="6" t="s">
        <v>11</v>
      </c>
      <c r="D105" s="7" t="s">
        <v>17</v>
      </c>
      <c r="E105" s="8" t="s">
        <v>400</v>
      </c>
      <c r="F105" s="6" t="s">
        <v>401</v>
      </c>
      <c r="G105" s="9">
        <f>IF(A105=1,"_",IF(C105="_","???",C105))</f>
        <v/>
      </c>
      <c r="H105" s="10" t="s">
        <v>11</v>
      </c>
      <c r="I105" s="11" t="s">
        <v>11</v>
      </c>
      <c r="J105" s="12"/>
    </row>
    <row r="106" spans="1:10" ht="60" customHeight="1">
      <c r="A106" s="6" t="s">
        <v>402</v>
      </c>
      <c r="B106" s="6" t="s">
        <v>20</v>
      </c>
      <c r="C106" s="6" t="s">
        <v>11</v>
      </c>
      <c r="D106" s="7" t="s">
        <v>403</v>
      </c>
      <c r="E106" s="8" t="s">
        <v>404</v>
      </c>
      <c r="F106" s="6" t="s">
        <v>405</v>
      </c>
      <c r="G106" s="9">
        <f>IF(A106=1,"_",IF(C106="_","???",C106))</f>
        <v/>
      </c>
      <c r="H106" s="10" t="s">
        <v>11</v>
      </c>
      <c r="I106" s="11" t="s">
        <v>11</v>
      </c>
      <c r="J106" s="12"/>
    </row>
    <row r="107" spans="1:10" ht="60" customHeight="1">
      <c r="A107" s="6" t="s">
        <v>406</v>
      </c>
      <c r="B107" s="6" t="s">
        <v>15</v>
      </c>
      <c r="C107" s="6" t="s">
        <v>11</v>
      </c>
      <c r="D107" s="7" t="s">
        <v>407</v>
      </c>
      <c r="E107" s="8" t="s">
        <v>408</v>
      </c>
      <c r="F107" s="6" t="s">
        <v>409</v>
      </c>
      <c r="G107" s="9">
        <f>IF(A107=1,"_",IF(C107="_","???",C107))</f>
        <v/>
      </c>
      <c r="H107" s="10" t="s">
        <v>11</v>
      </c>
      <c r="I107" s="11" t="s">
        <v>11</v>
      </c>
      <c r="J107" s="12"/>
    </row>
    <row r="108" spans="1:10" ht="60" customHeight="1">
      <c r="A108" s="6" t="s">
        <v>410</v>
      </c>
      <c r="B108" s="6" t="s">
        <v>36</v>
      </c>
      <c r="C108" s="6" t="s">
        <v>11</v>
      </c>
      <c r="D108" s="7" t="s">
        <v>411</v>
      </c>
      <c r="E108" s="8" t="s">
        <v>412</v>
      </c>
      <c r="F108" s="6" t="s">
        <v>413</v>
      </c>
      <c r="G108" s="9">
        <f>IF(A108=1,"_",IF(C108="_","???",C108))</f>
        <v/>
      </c>
      <c r="H108" s="10" t="s">
        <v>11</v>
      </c>
      <c r="I108" s="11" t="s">
        <v>11</v>
      </c>
      <c r="J108" s="12"/>
    </row>
    <row r="109" spans="1:10" ht="60" customHeight="1">
      <c r="A109" s="6" t="s">
        <v>414</v>
      </c>
      <c r="B109" s="6" t="s">
        <v>36</v>
      </c>
      <c r="C109" s="6" t="s">
        <v>11</v>
      </c>
      <c r="D109" s="7" t="s">
        <v>415</v>
      </c>
      <c r="E109" s="8" t="s">
        <v>416</v>
      </c>
      <c r="F109" s="6" t="s">
        <v>417</v>
      </c>
      <c r="G109" s="9">
        <f>IF(A109=1,"_",IF(C109="_","???",C109))</f>
        <v/>
      </c>
      <c r="H109" s="10" t="s">
        <v>11</v>
      </c>
      <c r="I109" s="11" t="s">
        <v>11</v>
      </c>
      <c r="J109" s="12"/>
    </row>
    <row r="110" spans="1:10" ht="60" customHeight="1">
      <c r="A110" s="6" t="s">
        <v>418</v>
      </c>
      <c r="B110" s="6" t="s">
        <v>24</v>
      </c>
      <c r="C110" s="6" t="s">
        <v>11</v>
      </c>
      <c r="D110" s="7" t="s">
        <v>419</v>
      </c>
      <c r="E110" s="8" t="s">
        <v>420</v>
      </c>
      <c r="F110" s="6" t="s">
        <v>421</v>
      </c>
      <c r="G110" s="9">
        <f>IF(A110=1,"_",IF(C110="_","???",C110))</f>
        <v/>
      </c>
      <c r="H110" s="10" t="s">
        <v>11</v>
      </c>
      <c r="I110" s="11" t="s">
        <v>11</v>
      </c>
      <c r="J110" s="12"/>
    </row>
    <row r="111" spans="1:10" ht="60" customHeight="1">
      <c r="A111" s="6" t="s">
        <v>422</v>
      </c>
      <c r="B111" s="6" t="s">
        <v>24</v>
      </c>
      <c r="C111" s="6" t="s">
        <v>11</v>
      </c>
      <c r="D111" s="7" t="s">
        <v>423</v>
      </c>
      <c r="E111" s="8" t="s">
        <v>424</v>
      </c>
      <c r="F111" s="6" t="s">
        <v>425</v>
      </c>
      <c r="G111" s="9">
        <f>IF(A111=1,"_",IF(C111="_","???",C111))</f>
        <v/>
      </c>
      <c r="H111" s="10" t="s">
        <v>11</v>
      </c>
      <c r="I111" s="11" t="s">
        <v>11</v>
      </c>
      <c r="J111" s="12"/>
    </row>
    <row r="112" spans="1:10" ht="60" customHeight="1">
      <c r="A112" s="6" t="s">
        <v>426</v>
      </c>
      <c r="B112" s="6" t="s">
        <v>20</v>
      </c>
      <c r="C112" s="6" t="s">
        <v>11</v>
      </c>
      <c r="D112" s="7" t="s">
        <v>427</v>
      </c>
      <c r="E112" s="8" t="s">
        <v>428</v>
      </c>
      <c r="F112" s="6" t="s">
        <v>429</v>
      </c>
      <c r="G112" s="9">
        <f>IF(A112=1,"_",IF(C112="_","???",C112))</f>
        <v/>
      </c>
      <c r="H112" s="10" t="s">
        <v>11</v>
      </c>
      <c r="I112" s="11" t="s">
        <v>11</v>
      </c>
      <c r="J112" s="12"/>
    </row>
    <row r="113" spans="1:10" ht="60" customHeight="1">
      <c r="A113" s="6" t="s">
        <v>430</v>
      </c>
      <c r="B113" s="6" t="s">
        <v>10</v>
      </c>
      <c r="C113" s="6" t="s">
        <v>11</v>
      </c>
      <c r="D113" s="7" t="s">
        <v>431</v>
      </c>
      <c r="E113" s="8" t="s">
        <v>432</v>
      </c>
      <c r="F113" s="6" t="s">
        <v>433</v>
      </c>
      <c r="G113" s="9">
        <f>IF(A113=1,"_",IF(C113="_","???",C113))</f>
        <v/>
      </c>
      <c r="H113" s="10" t="s">
        <v>11</v>
      </c>
      <c r="I113" s="11" t="s">
        <v>11</v>
      </c>
      <c r="J113" s="12"/>
    </row>
    <row r="114" spans="1:10" ht="60" customHeight="1">
      <c r="A114" s="6" t="s">
        <v>434</v>
      </c>
      <c r="B114" s="6" t="s">
        <v>15</v>
      </c>
      <c r="C114" s="6" t="s">
        <v>11</v>
      </c>
      <c r="D114" s="7" t="s">
        <v>431</v>
      </c>
      <c r="E114" s="8" t="s">
        <v>435</v>
      </c>
      <c r="F114" s="6" t="s">
        <v>436</v>
      </c>
      <c r="G114" s="9">
        <f>IF(A114=1,"_",IF(C114="_","???",C114))</f>
        <v/>
      </c>
      <c r="H114" s="10" t="s">
        <v>11</v>
      </c>
      <c r="I114" s="11" t="s">
        <v>11</v>
      </c>
      <c r="J114" s="12"/>
    </row>
    <row r="115" spans="1:10" ht="60" customHeight="1">
      <c r="A115" s="6" t="s">
        <v>437</v>
      </c>
      <c r="B115" s="6" t="s">
        <v>24</v>
      </c>
      <c r="C115" s="6" t="s">
        <v>11</v>
      </c>
      <c r="D115" s="7" t="s">
        <v>263</v>
      </c>
      <c r="E115" s="8" t="s">
        <v>438</v>
      </c>
      <c r="F115" s="6" t="s">
        <v>439</v>
      </c>
      <c r="G115" s="9">
        <f>IF(A115=1,"_",IF(C115="_","???",C115))</f>
        <v/>
      </c>
      <c r="H115" s="10" t="s">
        <v>11</v>
      </c>
      <c r="I115" s="11" t="s">
        <v>11</v>
      </c>
      <c r="J115" s="12"/>
    </row>
    <row r="116" spans="1:10" ht="60" customHeight="1">
      <c r="A116" s="6" t="s">
        <v>440</v>
      </c>
      <c r="B116" s="6" t="s">
        <v>24</v>
      </c>
      <c r="C116" s="6" t="s">
        <v>11</v>
      </c>
      <c r="D116" s="7" t="s">
        <v>441</v>
      </c>
      <c r="E116" s="8" t="s">
        <v>442</v>
      </c>
      <c r="F116" s="6" t="s">
        <v>443</v>
      </c>
      <c r="G116" s="9">
        <f>IF(A116=1,"_",IF(C116="_","???",C116))</f>
        <v/>
      </c>
      <c r="H116" s="10" t="s">
        <v>11</v>
      </c>
      <c r="I116" s="11" t="s">
        <v>11</v>
      </c>
      <c r="J116" s="12"/>
    </row>
    <row r="117" spans="1:10" ht="60" customHeight="1">
      <c r="A117" s="6" t="s">
        <v>444</v>
      </c>
      <c r="B117" s="6" t="s">
        <v>52</v>
      </c>
      <c r="C117" s="6" t="s">
        <v>11</v>
      </c>
      <c r="D117" s="7" t="s">
        <v>21</v>
      </c>
      <c r="E117" s="8" t="s">
        <v>445</v>
      </c>
      <c r="F117" s="6" t="s">
        <v>446</v>
      </c>
      <c r="G117" s="9">
        <f>IF(A117=1,"_",IF(C117="_","???",C117))</f>
        <v/>
      </c>
      <c r="H117" s="10" t="s">
        <v>11</v>
      </c>
      <c r="I117" s="11" t="s">
        <v>11</v>
      </c>
      <c r="J117" s="12"/>
    </row>
    <row r="118" spans="1:10" ht="60" customHeight="1">
      <c r="A118" s="6" t="s">
        <v>447</v>
      </c>
      <c r="B118" s="6" t="s">
        <v>15</v>
      </c>
      <c r="C118" s="6" t="s">
        <v>25</v>
      </c>
      <c r="D118" s="7" t="s">
        <v>448</v>
      </c>
      <c r="E118" s="8" t="s">
        <v>449</v>
      </c>
      <c r="F118" s="6" t="s">
        <v>450</v>
      </c>
      <c r="G118" s="9">
        <f>IF(A118=1,"_",IF(C118="_","???",C118))</f>
        <v/>
      </c>
      <c r="H118" s="10" t="s">
        <v>11</v>
      </c>
      <c r="I118" s="11" t="s">
        <v>11</v>
      </c>
      <c r="J118" s="12"/>
    </row>
    <row r="119" spans="1:10" ht="60" customHeight="1">
      <c r="A119" s="6" t="s">
        <v>451</v>
      </c>
      <c r="B119" s="6" t="s">
        <v>20</v>
      </c>
      <c r="C119" s="6" t="s">
        <v>11</v>
      </c>
      <c r="D119" s="7" t="s">
        <v>452</v>
      </c>
      <c r="E119" s="8" t="s">
        <v>453</v>
      </c>
      <c r="F119" s="6" t="s">
        <v>454</v>
      </c>
      <c r="G119" s="9">
        <f>IF(A119=1,"_",IF(C119="_","???",C119))</f>
        <v/>
      </c>
      <c r="H119" s="10" t="s">
        <v>11</v>
      </c>
      <c r="I119" s="11" t="s">
        <v>11</v>
      </c>
      <c r="J119" s="12"/>
    </row>
    <row r="120" spans="1:10" ht="60" customHeight="1">
      <c r="A120" s="6" t="s">
        <v>455</v>
      </c>
      <c r="B120" s="6" t="s">
        <v>24</v>
      </c>
      <c r="C120" s="6" t="s">
        <v>25</v>
      </c>
      <c r="D120" s="7" t="s">
        <v>456</v>
      </c>
      <c r="E120" s="8" t="s">
        <v>457</v>
      </c>
      <c r="F120" s="6" t="s">
        <v>458</v>
      </c>
      <c r="G120" s="9">
        <f>IF(A120=1,"_",IF(C120="_","???",C120))</f>
        <v/>
      </c>
      <c r="H120" s="10" t="s">
        <v>11</v>
      </c>
      <c r="I120" s="11" t="s">
        <v>11</v>
      </c>
      <c r="J120" s="12"/>
    </row>
    <row r="121" spans="1:10" ht="60" customHeight="1">
      <c r="A121" s="6" t="s">
        <v>459</v>
      </c>
      <c r="B121" s="6" t="s">
        <v>10</v>
      </c>
      <c r="C121" s="6" t="s">
        <v>11</v>
      </c>
      <c r="D121" s="7" t="s">
        <v>460</v>
      </c>
      <c r="E121" s="8" t="s">
        <v>461</v>
      </c>
      <c r="F121" s="6" t="s">
        <v>462</v>
      </c>
      <c r="G121" s="9">
        <f>IF(A121=1,"_",IF(C121="_","???",C121))</f>
        <v/>
      </c>
      <c r="H121" s="10" t="s">
        <v>11</v>
      </c>
      <c r="I121" s="11" t="s">
        <v>11</v>
      </c>
      <c r="J121" s="12"/>
    </row>
    <row r="122" spans="1:10" ht="60" customHeight="1">
      <c r="A122" s="6" t="s">
        <v>463</v>
      </c>
      <c r="B122" s="6" t="s">
        <v>10</v>
      </c>
      <c r="C122" s="6" t="s">
        <v>11</v>
      </c>
      <c r="D122" s="7" t="s">
        <v>464</v>
      </c>
      <c r="E122" s="8" t="s">
        <v>465</v>
      </c>
      <c r="F122" s="6" t="s">
        <v>466</v>
      </c>
      <c r="G122" s="9">
        <f>IF(A122=1,"_",IF(C122="_","???",C122))</f>
        <v/>
      </c>
      <c r="H122" s="10" t="s">
        <v>11</v>
      </c>
      <c r="I122" s="11" t="s">
        <v>11</v>
      </c>
      <c r="J122" s="12"/>
    </row>
    <row r="123" spans="1:10" ht="60" customHeight="1">
      <c r="A123" s="6" t="s">
        <v>467</v>
      </c>
      <c r="B123" s="6" t="s">
        <v>29</v>
      </c>
      <c r="C123" s="6" t="s">
        <v>11</v>
      </c>
      <c r="D123" s="7" t="s">
        <v>60</v>
      </c>
      <c r="E123" s="8" t="s">
        <v>468</v>
      </c>
      <c r="F123" s="6" t="s">
        <v>469</v>
      </c>
      <c r="G123" s="9">
        <f>IF(A123=1,"_",IF(C123="_","???",C123))</f>
        <v/>
      </c>
      <c r="H123" s="10" t="s">
        <v>11</v>
      </c>
      <c r="I123" s="11" t="s">
        <v>11</v>
      </c>
      <c r="J123" s="12"/>
    </row>
    <row r="124" spans="1:10" ht="60" customHeight="1">
      <c r="A124" s="6" t="s">
        <v>470</v>
      </c>
      <c r="B124" s="6" t="s">
        <v>20</v>
      </c>
      <c r="C124" s="6" t="s">
        <v>11</v>
      </c>
      <c r="D124" s="7" t="s">
        <v>471</v>
      </c>
      <c r="E124" s="8" t="s">
        <v>472</v>
      </c>
      <c r="F124" s="6" t="s">
        <v>473</v>
      </c>
      <c r="G124" s="9">
        <f>IF(A124=1,"_",IF(C124="_","???",C124))</f>
        <v/>
      </c>
      <c r="H124" s="10" t="s">
        <v>11</v>
      </c>
      <c r="I124" s="11" t="s">
        <v>11</v>
      </c>
      <c r="J124" s="12"/>
    </row>
    <row r="125" spans="1:10" ht="60" customHeight="1">
      <c r="A125" s="6" t="s">
        <v>474</v>
      </c>
      <c r="B125" s="6" t="s">
        <v>16</v>
      </c>
      <c r="C125" s="6" t="s">
        <v>11</v>
      </c>
      <c r="D125" s="7" t="s">
        <v>475</v>
      </c>
      <c r="E125" s="8" t="s">
        <v>476</v>
      </c>
      <c r="F125" s="6" t="s">
        <v>477</v>
      </c>
      <c r="G125" s="9">
        <f>IF(A125=1,"_",IF(C125="_","???",C125))</f>
        <v/>
      </c>
      <c r="H125" s="10" t="s">
        <v>11</v>
      </c>
      <c r="I125" s="11" t="s">
        <v>11</v>
      </c>
      <c r="J125" s="12"/>
    </row>
    <row r="126" spans="1:10" ht="60" customHeight="1">
      <c r="A126" s="6" t="s">
        <v>478</v>
      </c>
      <c r="B126" s="6" t="s">
        <v>15</v>
      </c>
      <c r="C126" s="6" t="s">
        <v>11</v>
      </c>
      <c r="D126" s="7" t="s">
        <v>479</v>
      </c>
      <c r="E126" s="8" t="s">
        <v>480</v>
      </c>
      <c r="F126" s="6" t="s">
        <v>481</v>
      </c>
      <c r="G126" s="9">
        <f>IF(A126=1,"_",IF(C126="_","???",C126))</f>
        <v/>
      </c>
      <c r="H126" s="10" t="s">
        <v>11</v>
      </c>
      <c r="I126" s="11" t="s">
        <v>11</v>
      </c>
      <c r="J126" s="12"/>
    </row>
    <row r="127" spans="1:10" ht="60" customHeight="1">
      <c r="A127" s="6" t="s">
        <v>482</v>
      </c>
      <c r="B127" s="6" t="s">
        <v>10</v>
      </c>
      <c r="C127" s="6" t="s">
        <v>11</v>
      </c>
      <c r="D127" s="7" t="s">
        <v>12</v>
      </c>
      <c r="E127" s="8" t="s">
        <v>483</v>
      </c>
      <c r="F127" s="6" t="s">
        <v>484</v>
      </c>
      <c r="G127" s="9">
        <f>IF(A127=1,"_",IF(C127="_","???",C127))</f>
        <v/>
      </c>
      <c r="H127" s="10" t="s">
        <v>11</v>
      </c>
      <c r="I127" s="11" t="s">
        <v>11</v>
      </c>
      <c r="J127" s="12"/>
    </row>
    <row r="128" spans="1:10" ht="60" customHeight="1">
      <c r="A128" s="6" t="s">
        <v>485</v>
      </c>
      <c r="B128" s="6" t="s">
        <v>15</v>
      </c>
      <c r="C128" s="6" t="s">
        <v>11</v>
      </c>
      <c r="D128" s="7" t="s">
        <v>111</v>
      </c>
      <c r="E128" s="8" t="s">
        <v>486</v>
      </c>
      <c r="F128" s="6" t="s">
        <v>487</v>
      </c>
      <c r="G128" s="9">
        <f>IF(A128=1,"_",IF(C128="_","???",C128))</f>
        <v/>
      </c>
      <c r="H128" s="10" t="s">
        <v>11</v>
      </c>
      <c r="I128" s="11" t="s">
        <v>11</v>
      </c>
      <c r="J128" s="12"/>
    </row>
    <row r="129" spans="1:10" ht="60" customHeight="1">
      <c r="A129" s="6" t="s">
        <v>488</v>
      </c>
      <c r="B129" s="6" t="s">
        <v>46</v>
      </c>
      <c r="C129" s="6" t="s">
        <v>11</v>
      </c>
      <c r="D129" s="7" t="s">
        <v>489</v>
      </c>
      <c r="E129" s="8" t="s">
        <v>490</v>
      </c>
      <c r="F129" s="6" t="s">
        <v>491</v>
      </c>
      <c r="G129" s="9">
        <f>IF(A129=1,"_",IF(C129="_","???",C129))</f>
        <v/>
      </c>
      <c r="H129" s="10" t="s">
        <v>11</v>
      </c>
      <c r="I129" s="11" t="s">
        <v>11</v>
      </c>
      <c r="J129" s="12"/>
    </row>
    <row r="130" spans="1:10" ht="60" customHeight="1">
      <c r="A130" s="6" t="s">
        <v>492</v>
      </c>
      <c r="B130" s="6" t="s">
        <v>29</v>
      </c>
      <c r="C130" s="6" t="s">
        <v>11</v>
      </c>
      <c r="D130" s="7" t="s">
        <v>263</v>
      </c>
      <c r="E130" s="8" t="s">
        <v>493</v>
      </c>
      <c r="F130" s="6" t="s">
        <v>494</v>
      </c>
      <c r="G130" s="9">
        <f>IF(A130=1,"_",IF(C130="_","???",C130))</f>
        <v/>
      </c>
      <c r="H130" s="10" t="s">
        <v>11</v>
      </c>
      <c r="I130" s="11" t="s">
        <v>11</v>
      </c>
      <c r="J130" s="12"/>
    </row>
    <row r="131" spans="1:10" ht="60" customHeight="1">
      <c r="A131" s="6" t="s">
        <v>495</v>
      </c>
      <c r="B131" s="6" t="s">
        <v>20</v>
      </c>
      <c r="C131" s="6" t="s">
        <v>11</v>
      </c>
      <c r="D131" s="7" t="s">
        <v>496</v>
      </c>
      <c r="E131" s="8" t="s">
        <v>497</v>
      </c>
      <c r="F131" s="6" t="s">
        <v>498</v>
      </c>
      <c r="G131" s="9">
        <f>IF(A131=1,"_",IF(C131="_","???",C131))</f>
        <v/>
      </c>
      <c r="H131" s="10" t="s">
        <v>11</v>
      </c>
      <c r="I131" s="11" t="s">
        <v>11</v>
      </c>
      <c r="J131" s="12"/>
    </row>
    <row r="132" spans="1:10" ht="60" customHeight="1">
      <c r="A132" s="6" t="s">
        <v>499</v>
      </c>
      <c r="B132" s="6" t="s">
        <v>20</v>
      </c>
      <c r="C132" s="6" t="s">
        <v>11</v>
      </c>
      <c r="D132" s="7" t="s">
        <v>500</v>
      </c>
      <c r="E132" s="8" t="s">
        <v>501</v>
      </c>
      <c r="F132" s="6" t="s">
        <v>502</v>
      </c>
      <c r="G132" s="9">
        <f>IF(A132=1,"_",IF(C132="_","???",C132))</f>
        <v/>
      </c>
      <c r="H132" s="10" t="s">
        <v>11</v>
      </c>
      <c r="I132" s="11" t="s">
        <v>11</v>
      </c>
      <c r="J132" s="12"/>
    </row>
    <row r="133" spans="1:10" ht="60" customHeight="1">
      <c r="A133" s="6" t="s">
        <v>503</v>
      </c>
      <c r="B133" s="6" t="s">
        <v>10</v>
      </c>
      <c r="C133" s="6" t="s">
        <v>11</v>
      </c>
      <c r="D133" s="7" t="s">
        <v>504</v>
      </c>
      <c r="E133" s="8" t="s">
        <v>505</v>
      </c>
      <c r="F133" s="6" t="s">
        <v>506</v>
      </c>
      <c r="G133" s="9">
        <f>IF(A133=1,"_",IF(C133="_","???",C133))</f>
        <v/>
      </c>
      <c r="H133" s="10" t="s">
        <v>11</v>
      </c>
      <c r="I133" s="11" t="s">
        <v>11</v>
      </c>
      <c r="J133" s="12"/>
    </row>
    <row r="134" spans="1:10" ht="60" customHeight="1">
      <c r="A134" s="6" t="s">
        <v>507</v>
      </c>
      <c r="B134" s="6" t="s">
        <v>10</v>
      </c>
      <c r="C134" s="6" t="s">
        <v>11</v>
      </c>
      <c r="D134" s="7" t="s">
        <v>452</v>
      </c>
      <c r="E134" s="8" t="s">
        <v>508</v>
      </c>
      <c r="F134" s="6" t="s">
        <v>509</v>
      </c>
      <c r="G134" s="9">
        <f>IF(A134=1,"_",IF(C134="_","???",C134))</f>
        <v/>
      </c>
      <c r="H134" s="10" t="s">
        <v>11</v>
      </c>
      <c r="I134" s="11" t="s">
        <v>11</v>
      </c>
      <c r="J134" s="12"/>
    </row>
    <row r="135" spans="1:10" ht="60" customHeight="1">
      <c r="A135" s="6" t="s">
        <v>510</v>
      </c>
      <c r="B135" s="6" t="s">
        <v>20</v>
      </c>
      <c r="C135" s="6" t="s">
        <v>25</v>
      </c>
      <c r="D135" s="7" t="s">
        <v>111</v>
      </c>
      <c r="E135" s="8" t="s">
        <v>511</v>
      </c>
      <c r="F135" s="6" t="s">
        <v>512</v>
      </c>
      <c r="G135" s="9">
        <f>IF(A135=1,"_",IF(C135="_","???",C135))</f>
        <v/>
      </c>
      <c r="H135" s="10" t="s">
        <v>11</v>
      </c>
      <c r="I135" s="11" t="s">
        <v>11</v>
      </c>
      <c r="J135" s="12"/>
    </row>
    <row r="136" spans="1:10" ht="60" customHeight="1">
      <c r="A136" s="6" t="s">
        <v>513</v>
      </c>
      <c r="B136" s="6" t="s">
        <v>15</v>
      </c>
      <c r="C136" s="6" t="s">
        <v>11</v>
      </c>
      <c r="D136" s="7" t="s">
        <v>222</v>
      </c>
      <c r="E136" s="8" t="s">
        <v>514</v>
      </c>
      <c r="F136" s="6" t="s">
        <v>515</v>
      </c>
      <c r="G136" s="9">
        <f>IF(A136=1,"_",IF(C136="_","???",C136))</f>
        <v/>
      </c>
      <c r="H136" s="10" t="s">
        <v>11</v>
      </c>
      <c r="I136" s="11" t="s">
        <v>11</v>
      </c>
      <c r="J136" s="12"/>
    </row>
    <row r="137" spans="1:10" ht="60" customHeight="1">
      <c r="A137" s="6" t="s">
        <v>516</v>
      </c>
      <c r="B137" s="6" t="s">
        <v>29</v>
      </c>
      <c r="C137" s="6" t="s">
        <v>11</v>
      </c>
      <c r="D137" s="7" t="s">
        <v>60</v>
      </c>
      <c r="E137" s="8" t="s">
        <v>517</v>
      </c>
      <c r="F137" s="6" t="s">
        <v>518</v>
      </c>
      <c r="G137" s="9">
        <f>IF(A137=1,"_",IF(C137="_","???",C137))</f>
        <v/>
      </c>
      <c r="H137" s="10" t="s">
        <v>11</v>
      </c>
      <c r="I137" s="11" t="s">
        <v>11</v>
      </c>
      <c r="J137" s="12"/>
    </row>
    <row r="138" spans="1:10" ht="60" customHeight="1">
      <c r="A138" s="6" t="s">
        <v>519</v>
      </c>
      <c r="B138" s="6" t="s">
        <v>36</v>
      </c>
      <c r="C138" s="6" t="s">
        <v>520</v>
      </c>
      <c r="D138" s="7" t="s">
        <v>21</v>
      </c>
      <c r="E138" s="8" t="s">
        <v>521</v>
      </c>
      <c r="F138" s="6" t="s">
        <v>522</v>
      </c>
      <c r="G138" s="9">
        <f>IF(A138=1,"_",IF(C138="_","???",C138))</f>
        <v/>
      </c>
      <c r="H138" s="10" t="s">
        <v>11</v>
      </c>
      <c r="I138" s="11" t="s">
        <v>11</v>
      </c>
      <c r="J138" s="12"/>
    </row>
    <row r="139" spans="1:10" ht="60" customHeight="1">
      <c r="A139" s="6" t="s">
        <v>523</v>
      </c>
      <c r="B139" s="6" t="s">
        <v>16</v>
      </c>
      <c r="C139" s="6" t="s">
        <v>11</v>
      </c>
      <c r="D139" s="7" t="s">
        <v>524</v>
      </c>
      <c r="E139" s="8" t="s">
        <v>525</v>
      </c>
      <c r="F139" s="6" t="s">
        <v>526</v>
      </c>
      <c r="G139" s="9">
        <f>IF(A139=1,"_",IF(C139="_","???",C139))</f>
        <v/>
      </c>
      <c r="H139" s="10" t="s">
        <v>11</v>
      </c>
      <c r="I139" s="11" t="s">
        <v>11</v>
      </c>
      <c r="J139" s="12"/>
    </row>
    <row r="140" spans="1:10" ht="60" customHeight="1">
      <c r="A140" s="6" t="s">
        <v>527</v>
      </c>
      <c r="B140" s="6" t="s">
        <v>63</v>
      </c>
      <c r="C140" s="6" t="s">
        <v>11</v>
      </c>
      <c r="D140" s="7" t="s">
        <v>528</v>
      </c>
      <c r="E140" s="8" t="s">
        <v>529</v>
      </c>
      <c r="F140" s="6" t="s">
        <v>530</v>
      </c>
      <c r="G140" s="9">
        <f>IF(A140=1,"_",IF(C140="_","???",C140))</f>
        <v/>
      </c>
      <c r="H140" s="10" t="s">
        <v>11</v>
      </c>
      <c r="I140" s="11" t="s">
        <v>11</v>
      </c>
      <c r="J140" s="12"/>
    </row>
    <row r="141" spans="1:10" ht="60" customHeight="1">
      <c r="A141" s="6" t="s">
        <v>531</v>
      </c>
      <c r="B141" s="6" t="s">
        <v>29</v>
      </c>
      <c r="C141" s="6" t="s">
        <v>11</v>
      </c>
      <c r="D141" s="7" t="s">
        <v>532</v>
      </c>
      <c r="E141" s="8" t="s">
        <v>533</v>
      </c>
      <c r="F141" s="6" t="s">
        <v>534</v>
      </c>
      <c r="G141" s="9">
        <f>IF(A141=1,"_",IF(C141="_","???",C141))</f>
        <v/>
      </c>
      <c r="H141" s="10" t="s">
        <v>11</v>
      </c>
      <c r="I141" s="11" t="s">
        <v>11</v>
      </c>
      <c r="J141" s="12"/>
    </row>
    <row r="142" spans="1:10" ht="60" customHeight="1">
      <c r="A142" s="6" t="s">
        <v>535</v>
      </c>
      <c r="B142" s="6" t="s">
        <v>15</v>
      </c>
      <c r="C142" s="6" t="s">
        <v>11</v>
      </c>
      <c r="D142" s="7" t="s">
        <v>536</v>
      </c>
      <c r="E142" s="8" t="s">
        <v>537</v>
      </c>
      <c r="F142" s="6" t="s">
        <v>538</v>
      </c>
      <c r="G142" s="9">
        <f>IF(A142=1,"_",IF(C142="_","???",C142))</f>
        <v/>
      </c>
      <c r="H142" s="10" t="s">
        <v>11</v>
      </c>
      <c r="I142" s="11" t="s">
        <v>11</v>
      </c>
      <c r="J142" s="12"/>
    </row>
    <row r="143" spans="1:10" ht="60" customHeight="1">
      <c r="A143" s="6" t="s">
        <v>539</v>
      </c>
      <c r="B143" s="6" t="s">
        <v>24</v>
      </c>
      <c r="C143" s="6" t="s">
        <v>11</v>
      </c>
      <c r="D143" s="7" t="s">
        <v>540</v>
      </c>
      <c r="E143" s="8" t="s">
        <v>541</v>
      </c>
      <c r="F143" s="6" t="s">
        <v>542</v>
      </c>
      <c r="G143" s="9">
        <f>IF(A143=1,"_",IF(C143="_","???",C143))</f>
        <v/>
      </c>
      <c r="H143" s="10" t="s">
        <v>11</v>
      </c>
      <c r="I143" s="11" t="s">
        <v>11</v>
      </c>
      <c r="J143" s="12"/>
    </row>
    <row r="144" spans="1:10" ht="60" customHeight="1">
      <c r="A144" s="6" t="s">
        <v>543</v>
      </c>
      <c r="B144" s="6" t="s">
        <v>10</v>
      </c>
      <c r="C144" s="6" t="s">
        <v>11</v>
      </c>
      <c r="D144" s="7" t="s">
        <v>544</v>
      </c>
      <c r="E144" s="8" t="s">
        <v>545</v>
      </c>
      <c r="F144" s="6" t="s">
        <v>546</v>
      </c>
      <c r="G144" s="9">
        <f>IF(A144=1,"_",IF(C144="_","???",C144))</f>
        <v/>
      </c>
      <c r="H144" s="10" t="s">
        <v>11</v>
      </c>
      <c r="I144" s="11" t="s">
        <v>11</v>
      </c>
      <c r="J144" s="12"/>
    </row>
    <row r="145" spans="1:10" ht="60" customHeight="1">
      <c r="A145" s="6" t="s">
        <v>547</v>
      </c>
      <c r="B145" s="6" t="s">
        <v>29</v>
      </c>
      <c r="C145" s="6" t="s">
        <v>11</v>
      </c>
      <c r="D145" s="7" t="s">
        <v>548</v>
      </c>
      <c r="E145" s="8" t="s">
        <v>549</v>
      </c>
      <c r="F145" s="6" t="s">
        <v>550</v>
      </c>
      <c r="G145" s="9">
        <f>IF(A145=1,"_",IF(C145="_","???",C145))</f>
        <v/>
      </c>
      <c r="H145" s="10" t="s">
        <v>11</v>
      </c>
      <c r="I145" s="11" t="s">
        <v>11</v>
      </c>
      <c r="J145" s="12"/>
    </row>
    <row r="146" spans="1:10" ht="60" customHeight="1">
      <c r="A146" s="6" t="s">
        <v>551</v>
      </c>
      <c r="B146" s="6" t="s">
        <v>10</v>
      </c>
      <c r="C146" s="6" t="s">
        <v>11</v>
      </c>
      <c r="D146" s="7" t="s">
        <v>552</v>
      </c>
      <c r="E146" s="8" t="s">
        <v>553</v>
      </c>
      <c r="F146" s="6" t="s">
        <v>554</v>
      </c>
      <c r="G146" s="9">
        <f>IF(A146=1,"_",IF(C146="_","???",C146))</f>
        <v/>
      </c>
      <c r="H146" s="10" t="s">
        <v>11</v>
      </c>
      <c r="I146" s="11" t="s">
        <v>11</v>
      </c>
      <c r="J146" s="12"/>
    </row>
    <row r="147" spans="1:10" ht="60" customHeight="1">
      <c r="A147" s="6" t="s">
        <v>555</v>
      </c>
      <c r="B147" s="6" t="s">
        <v>15</v>
      </c>
      <c r="C147" s="6" t="s">
        <v>11</v>
      </c>
      <c r="D147" s="7" t="s">
        <v>40</v>
      </c>
      <c r="E147" s="8" t="s">
        <v>556</v>
      </c>
      <c r="F147" s="6" t="s">
        <v>557</v>
      </c>
      <c r="G147" s="9">
        <f>IF(A147=1,"_",IF(C147="_","???",C147))</f>
        <v/>
      </c>
      <c r="H147" s="10" t="s">
        <v>11</v>
      </c>
      <c r="I147" s="11" t="s">
        <v>11</v>
      </c>
      <c r="J147" s="12"/>
    </row>
    <row r="148" spans="1:10" ht="60" customHeight="1">
      <c r="A148" s="6" t="s">
        <v>558</v>
      </c>
      <c r="B148" s="6" t="s">
        <v>10</v>
      </c>
      <c r="C148" s="6" t="s">
        <v>11</v>
      </c>
      <c r="D148" s="7" t="s">
        <v>301</v>
      </c>
      <c r="E148" s="8" t="s">
        <v>559</v>
      </c>
      <c r="F148" s="6" t="s">
        <v>560</v>
      </c>
      <c r="G148" s="9">
        <f>IF(A148=1,"_",IF(C148="_","???",C148))</f>
        <v/>
      </c>
      <c r="H148" s="10" t="s">
        <v>11</v>
      </c>
      <c r="I148" s="11" t="s">
        <v>11</v>
      </c>
      <c r="J148" s="12"/>
    </row>
    <row r="149" spans="1:10" ht="60" customHeight="1">
      <c r="A149" s="6" t="s">
        <v>561</v>
      </c>
      <c r="B149" s="6" t="s">
        <v>24</v>
      </c>
      <c r="C149" s="6" t="s">
        <v>11</v>
      </c>
      <c r="D149" s="7" t="s">
        <v>562</v>
      </c>
      <c r="E149" s="8" t="s">
        <v>563</v>
      </c>
      <c r="F149" s="6" t="s">
        <v>564</v>
      </c>
      <c r="G149" s="9">
        <f>IF(A149=1,"_",IF(C149="_","???",C149))</f>
        <v/>
      </c>
      <c r="H149" s="10" t="s">
        <v>11</v>
      </c>
      <c r="I149" s="11" t="s">
        <v>11</v>
      </c>
      <c r="J149" s="12"/>
    </row>
    <row r="150" spans="1:10" ht="60" customHeight="1">
      <c r="A150" s="6" t="s">
        <v>565</v>
      </c>
      <c r="B150" s="6" t="s">
        <v>15</v>
      </c>
      <c r="C150" s="6" t="s">
        <v>11</v>
      </c>
      <c r="D150" s="7" t="s">
        <v>566</v>
      </c>
      <c r="E150" s="8" t="s">
        <v>567</v>
      </c>
      <c r="F150" s="6" t="s">
        <v>568</v>
      </c>
      <c r="G150" s="9">
        <f>IF(A150=1,"_",IF(C150="_","???",C150))</f>
        <v/>
      </c>
      <c r="H150" s="10" t="s">
        <v>11</v>
      </c>
      <c r="I150" s="11" t="s">
        <v>11</v>
      </c>
      <c r="J150" s="12"/>
    </row>
    <row r="151" spans="1:10" ht="60" customHeight="1">
      <c r="A151" s="6" t="s">
        <v>569</v>
      </c>
      <c r="B151" s="6" t="s">
        <v>36</v>
      </c>
      <c r="C151" s="6" t="s">
        <v>11</v>
      </c>
      <c r="D151" s="7" t="s">
        <v>566</v>
      </c>
      <c r="E151" s="8" t="s">
        <v>570</v>
      </c>
      <c r="F151" s="6" t="s">
        <v>571</v>
      </c>
      <c r="G151" s="9">
        <f>IF(A151=1,"_",IF(C151="_","???",C151))</f>
        <v/>
      </c>
      <c r="H151" s="10" t="s">
        <v>11</v>
      </c>
      <c r="I151" s="11" t="s">
        <v>11</v>
      </c>
      <c r="J151" s="12"/>
    </row>
    <row r="152" spans="1:10" ht="60" customHeight="1">
      <c r="A152" s="6" t="s">
        <v>572</v>
      </c>
      <c r="B152" s="6" t="s">
        <v>83</v>
      </c>
      <c r="C152" s="6" t="s">
        <v>11</v>
      </c>
      <c r="D152" s="7" t="s">
        <v>573</v>
      </c>
      <c r="E152" s="8" t="s">
        <v>574</v>
      </c>
      <c r="F152" s="6" t="s">
        <v>575</v>
      </c>
      <c r="G152" s="9">
        <f>IF(A152=1,"_",IF(C152="_","???",C152))</f>
        <v/>
      </c>
      <c r="H152" s="10" t="s">
        <v>11</v>
      </c>
      <c r="I152" s="11" t="s">
        <v>11</v>
      </c>
      <c r="J152" s="12"/>
    </row>
    <row r="153" spans="1:10" ht="60" customHeight="1">
      <c r="A153" s="6" t="s">
        <v>576</v>
      </c>
      <c r="B153" s="6" t="s">
        <v>15</v>
      </c>
      <c r="C153" s="6" t="s">
        <v>11</v>
      </c>
      <c r="D153" s="7" t="s">
        <v>577</v>
      </c>
      <c r="E153" s="8" t="s">
        <v>578</v>
      </c>
      <c r="F153" s="6" t="s">
        <v>579</v>
      </c>
      <c r="G153" s="9">
        <f>IF(A153=1,"_",IF(C153="_","???",C153))</f>
        <v/>
      </c>
      <c r="H153" s="10" t="s">
        <v>11</v>
      </c>
      <c r="I153" s="11" t="s">
        <v>11</v>
      </c>
      <c r="J153" s="12"/>
    </row>
    <row r="154" spans="1:10" ht="60" customHeight="1">
      <c r="A154" s="6" t="s">
        <v>580</v>
      </c>
      <c r="B154" s="6" t="s">
        <v>10</v>
      </c>
      <c r="C154" s="6" t="s">
        <v>11</v>
      </c>
      <c r="D154" s="7" t="s">
        <v>581</v>
      </c>
      <c r="E154" s="8" t="s">
        <v>582</v>
      </c>
      <c r="F154" s="6" t="s">
        <v>583</v>
      </c>
      <c r="G154" s="9">
        <f>IF(A154=1,"_",IF(C154="_","???",C154))</f>
        <v/>
      </c>
      <c r="H154" s="10" t="s">
        <v>11</v>
      </c>
      <c r="I154" s="11" t="s">
        <v>11</v>
      </c>
      <c r="J154" s="12"/>
    </row>
    <row r="155" spans="1:10" ht="60" customHeight="1">
      <c r="A155" s="6" t="s">
        <v>584</v>
      </c>
      <c r="B155" s="6" t="s">
        <v>24</v>
      </c>
      <c r="C155" s="6" t="s">
        <v>11</v>
      </c>
      <c r="D155" s="7" t="s">
        <v>566</v>
      </c>
      <c r="E155" s="8" t="s">
        <v>585</v>
      </c>
      <c r="F155" s="6" t="s">
        <v>586</v>
      </c>
      <c r="G155" s="9">
        <f>IF(A155=1,"_",IF(C155="_","???",C155))</f>
        <v/>
      </c>
      <c r="H155" s="10" t="s">
        <v>11</v>
      </c>
      <c r="I155" s="11" t="s">
        <v>11</v>
      </c>
      <c r="J155" s="12"/>
    </row>
    <row r="156" spans="1:10" ht="60" customHeight="1">
      <c r="A156" s="6" t="s">
        <v>587</v>
      </c>
      <c r="B156" s="6" t="s">
        <v>24</v>
      </c>
      <c r="C156" s="6" t="s">
        <v>11</v>
      </c>
      <c r="D156" s="7" t="s">
        <v>566</v>
      </c>
      <c r="E156" s="8" t="s">
        <v>585</v>
      </c>
      <c r="F156" s="6" t="s">
        <v>588</v>
      </c>
      <c r="G156" s="9">
        <f>IF(A156=1,"_",IF(C156="_","???",C156))</f>
        <v/>
      </c>
      <c r="H156" s="10" t="s">
        <v>11</v>
      </c>
      <c r="I156" s="11" t="s">
        <v>11</v>
      </c>
      <c r="J156" s="12"/>
    </row>
    <row r="157" spans="1:10" ht="60" customHeight="1">
      <c r="A157" s="6" t="s">
        <v>589</v>
      </c>
      <c r="B157" s="6" t="s">
        <v>29</v>
      </c>
      <c r="C157" s="6" t="s">
        <v>11</v>
      </c>
      <c r="D157" s="7" t="s">
        <v>30</v>
      </c>
      <c r="E157" s="8" t="s">
        <v>590</v>
      </c>
      <c r="F157" s="6" t="s">
        <v>591</v>
      </c>
      <c r="G157" s="9">
        <f>IF(A157=1,"_",IF(C157="_","???",C157))</f>
        <v/>
      </c>
      <c r="H157" s="10" t="s">
        <v>11</v>
      </c>
      <c r="I157" s="11" t="s">
        <v>11</v>
      </c>
      <c r="J157" s="12"/>
    </row>
    <row r="158" spans="1:10" ht="60" customHeight="1">
      <c r="A158" s="6" t="s">
        <v>592</v>
      </c>
      <c r="B158" s="6" t="s">
        <v>15</v>
      </c>
      <c r="C158" s="6" t="s">
        <v>11</v>
      </c>
      <c r="D158" s="7" t="s">
        <v>593</v>
      </c>
      <c r="E158" s="8" t="s">
        <v>594</v>
      </c>
      <c r="F158" s="6" t="s">
        <v>595</v>
      </c>
      <c r="G158" s="9">
        <f>IF(A158=1,"_",IF(C158="_","???",C158))</f>
        <v/>
      </c>
      <c r="H158" s="10" t="s">
        <v>11</v>
      </c>
      <c r="I158" s="11" t="s">
        <v>11</v>
      </c>
      <c r="J158" s="12"/>
    </row>
    <row r="159" spans="1:10" ht="60" customHeight="1">
      <c r="A159" s="6" t="s">
        <v>596</v>
      </c>
      <c r="B159" s="6" t="s">
        <v>29</v>
      </c>
      <c r="C159" s="6" t="s">
        <v>11</v>
      </c>
      <c r="D159" s="7" t="s">
        <v>597</v>
      </c>
      <c r="E159" s="8" t="s">
        <v>598</v>
      </c>
      <c r="F159" s="6" t="s">
        <v>599</v>
      </c>
      <c r="G159" s="9">
        <f>IF(A159=1,"_",IF(C159="_","???",C159))</f>
        <v/>
      </c>
      <c r="H159" s="10" t="s">
        <v>11</v>
      </c>
      <c r="I159" s="11" t="s">
        <v>11</v>
      </c>
      <c r="J159" s="12"/>
    </row>
    <row r="160" spans="1:10" ht="60" customHeight="1">
      <c r="A160" s="6" t="s">
        <v>600</v>
      </c>
      <c r="B160" s="6" t="s">
        <v>20</v>
      </c>
      <c r="C160" s="6" t="s">
        <v>11</v>
      </c>
      <c r="D160" s="7" t="s">
        <v>17</v>
      </c>
      <c r="E160" s="8" t="s">
        <v>601</v>
      </c>
      <c r="F160" s="6" t="s">
        <v>602</v>
      </c>
      <c r="G160" s="9">
        <f>IF(A160=1,"_",IF(C160="_","???",C160))</f>
        <v/>
      </c>
      <c r="H160" s="10" t="s">
        <v>11</v>
      </c>
      <c r="I160" s="11" t="s">
        <v>11</v>
      </c>
      <c r="J160" s="12"/>
    </row>
    <row r="161" spans="1:10" ht="60" customHeight="1">
      <c r="A161" s="6" t="s">
        <v>603</v>
      </c>
      <c r="B161" s="6" t="s">
        <v>29</v>
      </c>
      <c r="C161" s="6" t="s">
        <v>11</v>
      </c>
      <c r="D161" s="7" t="s">
        <v>604</v>
      </c>
      <c r="E161" s="8" t="s">
        <v>605</v>
      </c>
      <c r="F161" s="6" t="s">
        <v>606</v>
      </c>
      <c r="G161" s="9">
        <f>IF(A161=1,"_",IF(C161="_","???",C161))</f>
        <v/>
      </c>
      <c r="H161" s="10" t="s">
        <v>11</v>
      </c>
      <c r="I161" s="11" t="s">
        <v>11</v>
      </c>
      <c r="J161" s="12"/>
    </row>
    <row r="162" spans="1:10" ht="60" customHeight="1">
      <c r="A162" s="6" t="s">
        <v>607</v>
      </c>
      <c r="B162" s="6" t="s">
        <v>15</v>
      </c>
      <c r="C162" s="6" t="s">
        <v>11</v>
      </c>
      <c r="D162" s="7" t="s">
        <v>608</v>
      </c>
      <c r="E162" s="8" t="s">
        <v>609</v>
      </c>
      <c r="F162" s="6" t="s">
        <v>610</v>
      </c>
      <c r="G162" s="9">
        <f>IF(A162=1,"_",IF(C162="_","???",C162))</f>
        <v/>
      </c>
      <c r="H162" s="10" t="s">
        <v>11</v>
      </c>
      <c r="I162" s="11" t="s">
        <v>11</v>
      </c>
      <c r="J162" s="12"/>
    </row>
    <row r="163" spans="1:10" ht="60" customHeight="1">
      <c r="A163" s="6" t="s">
        <v>611</v>
      </c>
      <c r="B163" s="6" t="s">
        <v>24</v>
      </c>
      <c r="C163" s="6" t="s">
        <v>11</v>
      </c>
      <c r="D163" s="7" t="s">
        <v>612</v>
      </c>
      <c r="E163" s="8" t="s">
        <v>613</v>
      </c>
      <c r="F163" s="6" t="s">
        <v>614</v>
      </c>
      <c r="G163" s="9">
        <f>IF(A163=1,"_",IF(C163="_","???",C163))</f>
        <v/>
      </c>
      <c r="H163" s="10" t="s">
        <v>11</v>
      </c>
      <c r="I163" s="11" t="s">
        <v>11</v>
      </c>
      <c r="J163" s="12"/>
    </row>
    <row r="164" spans="1:10" ht="60" customHeight="1">
      <c r="A164" s="6" t="s">
        <v>615</v>
      </c>
      <c r="B164" s="6" t="s">
        <v>24</v>
      </c>
      <c r="C164" s="6" t="s">
        <v>11</v>
      </c>
      <c r="D164" s="7" t="s">
        <v>616</v>
      </c>
      <c r="E164" s="8" t="s">
        <v>617</v>
      </c>
      <c r="F164" s="6" t="s">
        <v>618</v>
      </c>
      <c r="G164" s="9">
        <f>IF(A164=1,"_",IF(C164="_","???",C164))</f>
        <v/>
      </c>
      <c r="H164" s="10" t="s">
        <v>11</v>
      </c>
      <c r="I164" s="11" t="s">
        <v>11</v>
      </c>
      <c r="J164" s="12"/>
    </row>
    <row r="165" spans="1:10" ht="60" customHeight="1">
      <c r="A165" s="6" t="s">
        <v>619</v>
      </c>
      <c r="B165" s="6" t="s">
        <v>10</v>
      </c>
      <c r="C165" s="6" t="s">
        <v>11</v>
      </c>
      <c r="D165" s="7" t="s">
        <v>620</v>
      </c>
      <c r="E165" s="8" t="s">
        <v>621</v>
      </c>
      <c r="F165" s="6" t="s">
        <v>622</v>
      </c>
      <c r="G165" s="9">
        <f>IF(A165=1,"_",IF(C165="_","???",C165))</f>
        <v/>
      </c>
      <c r="H165" s="10" t="s">
        <v>11</v>
      </c>
      <c r="I165" s="11" t="s">
        <v>11</v>
      </c>
      <c r="J165" s="12"/>
    </row>
    <row r="166" spans="1:10" ht="60" customHeight="1">
      <c r="A166" s="6" t="s">
        <v>623</v>
      </c>
      <c r="B166" s="6" t="s">
        <v>15</v>
      </c>
      <c r="C166" s="6" t="s">
        <v>11</v>
      </c>
      <c r="D166" s="7" t="s">
        <v>624</v>
      </c>
      <c r="E166" s="8" t="s">
        <v>625</v>
      </c>
      <c r="F166" s="6" t="s">
        <v>626</v>
      </c>
      <c r="G166" s="9">
        <f>IF(A166=1,"_",IF(C166="_","???",C166))</f>
        <v/>
      </c>
      <c r="H166" s="10" t="s">
        <v>11</v>
      </c>
      <c r="I166" s="11" t="s">
        <v>11</v>
      </c>
      <c r="J166" s="12"/>
    </row>
    <row r="167" spans="1:10" ht="60" customHeight="1">
      <c r="A167" s="6" t="s">
        <v>627</v>
      </c>
      <c r="B167" s="6" t="s">
        <v>15</v>
      </c>
      <c r="C167" s="6" t="s">
        <v>11</v>
      </c>
      <c r="D167" s="7" t="s">
        <v>628</v>
      </c>
      <c r="E167" s="8" t="s">
        <v>629</v>
      </c>
      <c r="F167" s="6" t="s">
        <v>630</v>
      </c>
      <c r="G167" s="9">
        <f>IF(A167=1,"_",IF(C167="_","???",C167))</f>
        <v/>
      </c>
      <c r="H167" s="10" t="s">
        <v>11</v>
      </c>
      <c r="I167" s="11" t="s">
        <v>11</v>
      </c>
      <c r="J167" s="12"/>
    </row>
    <row r="168" spans="1:10" ht="60" customHeight="1">
      <c r="A168" s="6" t="s">
        <v>631</v>
      </c>
      <c r="B168" s="6" t="s">
        <v>15</v>
      </c>
      <c r="C168" s="6" t="s">
        <v>11</v>
      </c>
      <c r="D168" s="7" t="s">
        <v>632</v>
      </c>
      <c r="E168" s="8" t="s">
        <v>633</v>
      </c>
      <c r="F168" s="6" t="s">
        <v>634</v>
      </c>
      <c r="G168" s="9">
        <f>IF(A168=1,"_",IF(C168="_","???",C168))</f>
        <v/>
      </c>
      <c r="H168" s="10" t="s">
        <v>11</v>
      </c>
      <c r="I168" s="11" t="s">
        <v>11</v>
      </c>
      <c r="J168" s="12"/>
    </row>
    <row r="169" spans="1:10" ht="60" customHeight="1">
      <c r="A169" s="6" t="s">
        <v>635</v>
      </c>
      <c r="B169" s="6" t="s">
        <v>10</v>
      </c>
      <c r="C169" s="6" t="s">
        <v>11</v>
      </c>
      <c r="D169" s="7" t="s">
        <v>636</v>
      </c>
      <c r="E169" s="8" t="s">
        <v>637</v>
      </c>
      <c r="F169" s="6" t="s">
        <v>638</v>
      </c>
      <c r="G169" s="9">
        <f>IF(A169=1,"_",IF(C169="_","???",C169))</f>
        <v/>
      </c>
      <c r="H169" s="10" t="s">
        <v>11</v>
      </c>
      <c r="I169" s="11" t="s">
        <v>11</v>
      </c>
      <c r="J169" s="12"/>
    </row>
    <row r="170" spans="1:10" ht="60" customHeight="1">
      <c r="A170" s="6" t="s">
        <v>639</v>
      </c>
      <c r="B170" s="6" t="s">
        <v>15</v>
      </c>
      <c r="C170" s="6" t="s">
        <v>11</v>
      </c>
      <c r="D170" s="7" t="s">
        <v>222</v>
      </c>
      <c r="E170" s="8" t="s">
        <v>640</v>
      </c>
      <c r="F170" s="6" t="s">
        <v>641</v>
      </c>
      <c r="G170" s="9">
        <f>IF(A170=1,"_",IF(C170="_","???",C170))</f>
        <v/>
      </c>
      <c r="H170" s="10" t="s">
        <v>11</v>
      </c>
      <c r="I170" s="11" t="s">
        <v>11</v>
      </c>
      <c r="J170" s="12"/>
    </row>
    <row r="171" spans="1:10" ht="60" customHeight="1">
      <c r="A171" s="6" t="s">
        <v>642</v>
      </c>
      <c r="B171" s="6" t="s">
        <v>39</v>
      </c>
      <c r="C171" s="6" t="s">
        <v>11</v>
      </c>
      <c r="D171" s="7" t="s">
        <v>643</v>
      </c>
      <c r="E171" s="8" t="s">
        <v>644</v>
      </c>
      <c r="F171" s="6" t="s">
        <v>645</v>
      </c>
      <c r="G171" s="9">
        <f>IF(A171=1,"_",IF(C171="_","???",C171))</f>
        <v/>
      </c>
      <c r="H171" s="10" t="s">
        <v>11</v>
      </c>
      <c r="I171" s="11" t="s">
        <v>11</v>
      </c>
      <c r="J171" s="12"/>
    </row>
    <row r="172" spans="1:10" ht="60" customHeight="1">
      <c r="A172" s="6" t="s">
        <v>646</v>
      </c>
      <c r="B172" s="6" t="s">
        <v>20</v>
      </c>
      <c r="C172" s="6" t="s">
        <v>11</v>
      </c>
      <c r="D172" s="7" t="s">
        <v>566</v>
      </c>
      <c r="E172" s="8" t="s">
        <v>647</v>
      </c>
      <c r="F172" s="6" t="s">
        <v>648</v>
      </c>
      <c r="G172" s="9">
        <f>IF(A172=1,"_",IF(C172="_","???",C172))</f>
        <v/>
      </c>
      <c r="H172" s="10" t="s">
        <v>11</v>
      </c>
      <c r="I172" s="11" t="s">
        <v>11</v>
      </c>
      <c r="J172" s="12"/>
    </row>
    <row r="173" spans="1:10" ht="60" customHeight="1">
      <c r="A173" s="6" t="s">
        <v>649</v>
      </c>
      <c r="B173" s="6" t="s">
        <v>15</v>
      </c>
      <c r="C173" s="6" t="s">
        <v>11</v>
      </c>
      <c r="D173" s="7" t="s">
        <v>222</v>
      </c>
      <c r="E173" s="8" t="s">
        <v>640</v>
      </c>
      <c r="F173" s="6" t="s">
        <v>650</v>
      </c>
      <c r="G173" s="9">
        <f>IF(A173=1,"_",IF(C173="_","???",C173))</f>
        <v/>
      </c>
      <c r="H173" s="10" t="s">
        <v>11</v>
      </c>
      <c r="I173" s="11" t="s">
        <v>11</v>
      </c>
      <c r="J173" s="12"/>
    </row>
    <row r="174" spans="1:10" ht="60" customHeight="1">
      <c r="A174" s="6" t="s">
        <v>651</v>
      </c>
      <c r="B174" s="6" t="s">
        <v>20</v>
      </c>
      <c r="C174" s="6" t="s">
        <v>11</v>
      </c>
      <c r="D174" s="7" t="s">
        <v>652</v>
      </c>
      <c r="E174" s="8" t="s">
        <v>653</v>
      </c>
      <c r="F174" s="6" t="s">
        <v>654</v>
      </c>
      <c r="G174" s="9">
        <f>IF(A174=1,"_",IF(C174="_","???",C174))</f>
        <v/>
      </c>
      <c r="H174" s="10" t="s">
        <v>11</v>
      </c>
      <c r="I174" s="11" t="s">
        <v>11</v>
      </c>
      <c r="J174" s="12"/>
    </row>
    <row r="175" spans="1:10" ht="60" customHeight="1">
      <c r="A175" s="6" t="s">
        <v>655</v>
      </c>
      <c r="B175" s="6" t="s">
        <v>130</v>
      </c>
      <c r="C175" s="6" t="s">
        <v>11</v>
      </c>
      <c r="D175" s="7" t="s">
        <v>496</v>
      </c>
      <c r="E175" s="8" t="s">
        <v>656</v>
      </c>
      <c r="F175" s="6" t="s">
        <v>657</v>
      </c>
      <c r="G175" s="9">
        <f>IF(A175=1,"_",IF(C175="_","???",C175))</f>
        <v/>
      </c>
      <c r="H175" s="10" t="s">
        <v>11</v>
      </c>
      <c r="I175" s="11" t="s">
        <v>11</v>
      </c>
      <c r="J175" s="12"/>
    </row>
    <row r="176" spans="1:10" ht="60" customHeight="1">
      <c r="A176" s="6" t="s">
        <v>658</v>
      </c>
      <c r="B176" s="6" t="s">
        <v>55</v>
      </c>
      <c r="C176" s="6" t="s">
        <v>11</v>
      </c>
      <c r="D176" s="7" t="s">
        <v>659</v>
      </c>
      <c r="E176" s="8" t="s">
        <v>660</v>
      </c>
      <c r="F176" s="6" t="s">
        <v>661</v>
      </c>
      <c r="G176" s="9">
        <f>IF(A176=1,"_",IF(C176="_","???",C176))</f>
        <v/>
      </c>
      <c r="H176" s="10" t="s">
        <v>11</v>
      </c>
      <c r="I176" s="11" t="s">
        <v>11</v>
      </c>
      <c r="J176" s="12"/>
    </row>
    <row r="177" spans="1:10" ht="60" customHeight="1">
      <c r="A177" s="6" t="s">
        <v>662</v>
      </c>
      <c r="B177" s="6" t="s">
        <v>15</v>
      </c>
      <c r="C177" s="6" t="s">
        <v>11</v>
      </c>
      <c r="D177" s="7" t="s">
        <v>663</v>
      </c>
      <c r="E177" s="8" t="s">
        <v>664</v>
      </c>
      <c r="F177" s="6" t="s">
        <v>665</v>
      </c>
      <c r="G177" s="9">
        <f>IF(A177=1,"_",IF(C177="_","???",C177))</f>
        <v/>
      </c>
      <c r="H177" s="10" t="s">
        <v>11</v>
      </c>
      <c r="I177" s="11" t="s">
        <v>11</v>
      </c>
      <c r="J177" s="12"/>
    </row>
    <row r="178" spans="1:10" ht="60" customHeight="1">
      <c r="A178" s="6" t="s">
        <v>666</v>
      </c>
      <c r="B178" s="6" t="s">
        <v>15</v>
      </c>
      <c r="C178" s="6" t="s">
        <v>11</v>
      </c>
      <c r="D178" s="7" t="s">
        <v>667</v>
      </c>
      <c r="E178" s="8" t="s">
        <v>668</v>
      </c>
      <c r="F178" s="6" t="s">
        <v>669</v>
      </c>
      <c r="G178" s="9">
        <f>IF(A178=1,"_",IF(C178="_","???",C178))</f>
        <v/>
      </c>
      <c r="H178" s="10" t="s">
        <v>11</v>
      </c>
      <c r="I178" s="11" t="s">
        <v>11</v>
      </c>
      <c r="J178" s="12"/>
    </row>
    <row r="179" spans="1:10" ht="60" customHeight="1">
      <c r="A179" s="6" t="s">
        <v>670</v>
      </c>
      <c r="B179" s="6" t="s">
        <v>10</v>
      </c>
      <c r="C179" s="6" t="s">
        <v>11</v>
      </c>
      <c r="D179" s="7" t="s">
        <v>671</v>
      </c>
      <c r="E179" s="8" t="s">
        <v>672</v>
      </c>
      <c r="F179" s="6" t="s">
        <v>673</v>
      </c>
      <c r="G179" s="9">
        <f>IF(A179=1,"_",IF(C179="_","???",C179))</f>
        <v/>
      </c>
      <c r="H179" s="10" t="s">
        <v>11</v>
      </c>
      <c r="I179" s="11" t="s">
        <v>11</v>
      </c>
      <c r="J179" s="12"/>
    </row>
    <row r="180" spans="1:10" ht="60" customHeight="1">
      <c r="A180" s="6" t="s">
        <v>674</v>
      </c>
      <c r="B180" s="6" t="s">
        <v>24</v>
      </c>
      <c r="C180" s="6" t="s">
        <v>11</v>
      </c>
      <c r="D180" s="7" t="s">
        <v>675</v>
      </c>
      <c r="E180" s="8" t="s">
        <v>676</v>
      </c>
      <c r="F180" s="6" t="s">
        <v>677</v>
      </c>
      <c r="G180" s="9">
        <f>IF(A180=1,"_",IF(C180="_","???",C180))</f>
        <v/>
      </c>
      <c r="H180" s="10" t="s">
        <v>11</v>
      </c>
      <c r="I180" s="11" t="s">
        <v>11</v>
      </c>
      <c r="J180" s="12"/>
    </row>
    <row r="181" spans="1:10" ht="60" customHeight="1">
      <c r="A181" s="6" t="s">
        <v>678</v>
      </c>
      <c r="B181" s="6" t="s">
        <v>15</v>
      </c>
      <c r="C181" s="6" t="s">
        <v>11</v>
      </c>
      <c r="D181" s="7" t="s">
        <v>60</v>
      </c>
      <c r="E181" s="8" t="s">
        <v>679</v>
      </c>
      <c r="F181" s="6" t="s">
        <v>680</v>
      </c>
      <c r="G181" s="9">
        <f>IF(A181=1,"_",IF(C181="_","???",C181))</f>
        <v/>
      </c>
      <c r="H181" s="10" t="s">
        <v>11</v>
      </c>
      <c r="I181" s="11" t="s">
        <v>11</v>
      </c>
      <c r="J181" s="12"/>
    </row>
    <row r="182" spans="1:10" ht="60" customHeight="1">
      <c r="A182" s="6" t="s">
        <v>681</v>
      </c>
      <c r="B182" s="6" t="s">
        <v>10</v>
      </c>
      <c r="C182" s="6" t="s">
        <v>11</v>
      </c>
      <c r="D182" s="7" t="s">
        <v>682</v>
      </c>
      <c r="E182" s="8" t="s">
        <v>683</v>
      </c>
      <c r="F182" s="6" t="s">
        <v>684</v>
      </c>
      <c r="G182" s="9">
        <f>IF(A182=1,"_",IF(C182="_","???",C182))</f>
        <v/>
      </c>
      <c r="H182" s="10" t="s">
        <v>11</v>
      </c>
      <c r="I182" s="11" t="s">
        <v>11</v>
      </c>
      <c r="J182" s="12"/>
    </row>
    <row r="183" spans="1:10" ht="60" customHeight="1">
      <c r="A183" s="6" t="s">
        <v>685</v>
      </c>
      <c r="B183" s="6" t="s">
        <v>24</v>
      </c>
      <c r="C183" s="6" t="s">
        <v>11</v>
      </c>
      <c r="D183" s="7" t="s">
        <v>686</v>
      </c>
      <c r="E183" s="8" t="s">
        <v>687</v>
      </c>
      <c r="F183" s="6" t="s">
        <v>688</v>
      </c>
      <c r="G183" s="9">
        <f>IF(A183=1,"_",IF(C183="_","???",C183))</f>
        <v/>
      </c>
      <c r="H183" s="10" t="s">
        <v>11</v>
      </c>
      <c r="I183" s="11" t="s">
        <v>11</v>
      </c>
      <c r="J183" s="12"/>
    </row>
    <row r="184" spans="1:10" ht="60" customHeight="1">
      <c r="A184" s="6" t="s">
        <v>689</v>
      </c>
      <c r="B184" s="6" t="s">
        <v>20</v>
      </c>
      <c r="C184" s="6" t="s">
        <v>11</v>
      </c>
      <c r="D184" s="7" t="s">
        <v>690</v>
      </c>
      <c r="E184" s="8" t="s">
        <v>691</v>
      </c>
      <c r="F184" s="6" t="s">
        <v>692</v>
      </c>
      <c r="G184" s="9">
        <f>IF(A184=1,"_",IF(C184="_","???",C184))</f>
        <v/>
      </c>
      <c r="H184" s="10" t="s">
        <v>11</v>
      </c>
      <c r="I184" s="11" t="s">
        <v>11</v>
      </c>
      <c r="J184" s="12"/>
    </row>
    <row r="185" spans="1:10" ht="60" customHeight="1">
      <c r="A185" s="6" t="s">
        <v>693</v>
      </c>
      <c r="B185" s="6" t="s">
        <v>15</v>
      </c>
      <c r="C185" s="6" t="s">
        <v>11</v>
      </c>
      <c r="D185" s="7" t="s">
        <v>694</v>
      </c>
      <c r="E185" s="8" t="s">
        <v>695</v>
      </c>
      <c r="F185" s="6" t="s">
        <v>696</v>
      </c>
      <c r="G185" s="9">
        <f>IF(A185=1,"_",IF(C185="_","???",C185))</f>
        <v/>
      </c>
      <c r="H185" s="10" t="s">
        <v>11</v>
      </c>
      <c r="I185" s="11" t="s">
        <v>11</v>
      </c>
      <c r="J185" s="12"/>
    </row>
    <row r="186" spans="1:10" ht="60" customHeight="1">
      <c r="A186" s="6" t="s">
        <v>697</v>
      </c>
      <c r="B186" s="6" t="s">
        <v>15</v>
      </c>
      <c r="C186" s="6" t="s">
        <v>11</v>
      </c>
      <c r="D186" s="7" t="s">
        <v>698</v>
      </c>
      <c r="E186" s="8" t="s">
        <v>699</v>
      </c>
      <c r="F186" s="6" t="s">
        <v>700</v>
      </c>
      <c r="G186" s="9">
        <f>IF(A186=1,"_",IF(C186="_","???",C186))</f>
        <v/>
      </c>
      <c r="H186" s="10" t="s">
        <v>11</v>
      </c>
      <c r="I186" s="11" t="s">
        <v>11</v>
      </c>
      <c r="J186" s="12"/>
    </row>
    <row r="187" spans="1:10" ht="60" customHeight="1">
      <c r="A187" s="6" t="s">
        <v>701</v>
      </c>
      <c r="B187" s="6" t="s">
        <v>15</v>
      </c>
      <c r="C187" s="6" t="s">
        <v>11</v>
      </c>
      <c r="D187" s="7" t="s">
        <v>702</v>
      </c>
      <c r="E187" s="8" t="s">
        <v>703</v>
      </c>
      <c r="F187" s="6" t="s">
        <v>704</v>
      </c>
      <c r="G187" s="9">
        <f>IF(A187=1,"_",IF(C187="_","???",C187))</f>
        <v/>
      </c>
      <c r="H187" s="10" t="s">
        <v>11</v>
      </c>
      <c r="I187" s="11" t="s">
        <v>11</v>
      </c>
      <c r="J187" s="12"/>
    </row>
    <row r="188" spans="1:10" ht="60" customHeight="1">
      <c r="A188" s="6" t="s">
        <v>705</v>
      </c>
      <c r="B188" s="6" t="s">
        <v>10</v>
      </c>
      <c r="C188" s="6" t="s">
        <v>11</v>
      </c>
      <c r="D188" s="7" t="s">
        <v>706</v>
      </c>
      <c r="E188" s="8" t="s">
        <v>707</v>
      </c>
      <c r="F188" s="6" t="s">
        <v>708</v>
      </c>
      <c r="G188" s="9">
        <f>IF(A188=1,"_",IF(C188="_","???",C188))</f>
        <v/>
      </c>
      <c r="H188" s="10" t="s">
        <v>11</v>
      </c>
      <c r="I188" s="11" t="s">
        <v>11</v>
      </c>
      <c r="J188" s="12"/>
    </row>
    <row r="189" spans="1:10" ht="60" customHeight="1">
      <c r="A189" s="6" t="s">
        <v>709</v>
      </c>
      <c r="B189" s="6" t="s">
        <v>39</v>
      </c>
      <c r="C189" s="6" t="s">
        <v>11</v>
      </c>
      <c r="D189" s="7" t="s">
        <v>60</v>
      </c>
      <c r="E189" s="8" t="s">
        <v>710</v>
      </c>
      <c r="F189" s="6" t="s">
        <v>711</v>
      </c>
      <c r="G189" s="9">
        <f>IF(A189=1,"_",IF(C189="_","???",C189))</f>
        <v/>
      </c>
      <c r="H189" s="10" t="s">
        <v>11</v>
      </c>
      <c r="I189" s="11" t="s">
        <v>11</v>
      </c>
      <c r="J189" s="12"/>
    </row>
    <row r="190" spans="1:10" ht="60" customHeight="1">
      <c r="A190" s="6" t="s">
        <v>712</v>
      </c>
      <c r="B190" s="6" t="s">
        <v>24</v>
      </c>
      <c r="C190" s="6" t="s">
        <v>11</v>
      </c>
      <c r="D190" s="7" t="s">
        <v>60</v>
      </c>
      <c r="E190" s="8" t="s">
        <v>713</v>
      </c>
      <c r="F190" s="6" t="s">
        <v>714</v>
      </c>
      <c r="G190" s="9">
        <f>IF(A190=1,"_",IF(C190="_","???",C190))</f>
        <v/>
      </c>
      <c r="H190" s="10" t="s">
        <v>11</v>
      </c>
      <c r="I190" s="11" t="s">
        <v>11</v>
      </c>
      <c r="J190" s="12"/>
    </row>
    <row r="191" spans="1:10" ht="60" customHeight="1">
      <c r="A191" s="6" t="s">
        <v>715</v>
      </c>
      <c r="B191" s="6" t="s">
        <v>29</v>
      </c>
      <c r="C191" s="6" t="s">
        <v>11</v>
      </c>
      <c r="D191" s="7" t="s">
        <v>60</v>
      </c>
      <c r="E191" s="8" t="s">
        <v>716</v>
      </c>
      <c r="F191" s="6" t="s">
        <v>717</v>
      </c>
      <c r="G191" s="9">
        <f>IF(A191=1,"_",IF(C191="_","???",C191))</f>
        <v/>
      </c>
      <c r="H191" s="10" t="s">
        <v>11</v>
      </c>
      <c r="I191" s="11" t="s">
        <v>11</v>
      </c>
      <c r="J191" s="12"/>
    </row>
    <row r="192" spans="1:10" ht="60" customHeight="1">
      <c r="A192" s="6" t="s">
        <v>718</v>
      </c>
      <c r="B192" s="6" t="s">
        <v>20</v>
      </c>
      <c r="C192" s="6" t="s">
        <v>11</v>
      </c>
      <c r="D192" s="7" t="s">
        <v>566</v>
      </c>
      <c r="E192" s="8" t="s">
        <v>719</v>
      </c>
      <c r="F192" s="6" t="s">
        <v>720</v>
      </c>
      <c r="G192" s="9">
        <f>IF(A192=1,"_",IF(C192="_","???",C192))</f>
        <v/>
      </c>
      <c r="H192" s="10" t="s">
        <v>11</v>
      </c>
      <c r="I192" s="11" t="s">
        <v>11</v>
      </c>
      <c r="J192" s="12"/>
    </row>
    <row r="193" spans="1:10" ht="60" customHeight="1">
      <c r="A193" s="6" t="s">
        <v>721</v>
      </c>
      <c r="B193" s="6" t="s">
        <v>10</v>
      </c>
      <c r="C193" s="6" t="s">
        <v>11</v>
      </c>
      <c r="D193" s="7" t="s">
        <v>566</v>
      </c>
      <c r="E193" s="8" t="s">
        <v>722</v>
      </c>
      <c r="F193" s="6" t="s">
        <v>723</v>
      </c>
      <c r="G193" s="9">
        <f>IF(A193=1,"_",IF(C193="_","???",C193))</f>
        <v/>
      </c>
      <c r="H193" s="10" t="s">
        <v>11</v>
      </c>
      <c r="I193" s="11" t="s">
        <v>11</v>
      </c>
      <c r="J193" s="12"/>
    </row>
    <row r="194" spans="1:10" ht="60" customHeight="1">
      <c r="A194" s="6" t="s">
        <v>724</v>
      </c>
      <c r="B194" s="6" t="s">
        <v>15</v>
      </c>
      <c r="C194" s="6" t="s">
        <v>11</v>
      </c>
      <c r="D194" s="7" t="s">
        <v>725</v>
      </c>
      <c r="E194" s="8" t="s">
        <v>726</v>
      </c>
      <c r="F194" s="6" t="s">
        <v>727</v>
      </c>
      <c r="G194" s="9">
        <f>IF(A194=1,"_",IF(C194="_","???",C194))</f>
        <v/>
      </c>
      <c r="H194" s="10" t="s">
        <v>11</v>
      </c>
      <c r="I194" s="11" t="s">
        <v>11</v>
      </c>
      <c r="J194" s="12"/>
    </row>
    <row r="195" spans="1:10" ht="60" customHeight="1">
      <c r="A195" s="6" t="s">
        <v>728</v>
      </c>
      <c r="B195" s="6" t="s">
        <v>43</v>
      </c>
      <c r="C195" s="6" t="s">
        <v>11</v>
      </c>
      <c r="D195" s="7" t="s">
        <v>407</v>
      </c>
      <c r="E195" s="8" t="s">
        <v>729</v>
      </c>
      <c r="F195" s="6" t="s">
        <v>730</v>
      </c>
      <c r="G195" s="9">
        <f>IF(A195=1,"_",IF(C195="_","???",C195))</f>
        <v/>
      </c>
      <c r="H195" s="10" t="s">
        <v>11</v>
      </c>
      <c r="I195" s="11" t="s">
        <v>11</v>
      </c>
      <c r="J195" s="12"/>
    </row>
    <row r="196" spans="1:10" ht="60" customHeight="1">
      <c r="A196" s="6" t="s">
        <v>731</v>
      </c>
      <c r="B196" s="6" t="s">
        <v>24</v>
      </c>
      <c r="C196" s="6" t="s">
        <v>11</v>
      </c>
      <c r="D196" s="7" t="s">
        <v>21</v>
      </c>
      <c r="E196" s="8" t="s">
        <v>732</v>
      </c>
      <c r="F196" s="6" t="s">
        <v>733</v>
      </c>
      <c r="G196" s="9">
        <f>IF(A196=1,"_",IF(C196="_","???",C196))</f>
        <v/>
      </c>
      <c r="H196" s="10" t="s">
        <v>11</v>
      </c>
      <c r="I196" s="11" t="s">
        <v>11</v>
      </c>
      <c r="J196" s="12"/>
    </row>
    <row r="197" spans="1:10" ht="60" customHeight="1">
      <c r="A197" s="6" t="s">
        <v>734</v>
      </c>
      <c r="B197" s="6" t="s">
        <v>20</v>
      </c>
      <c r="C197" s="6" t="s">
        <v>11</v>
      </c>
      <c r="D197" s="7" t="s">
        <v>735</v>
      </c>
      <c r="E197" s="8" t="s">
        <v>736</v>
      </c>
      <c r="F197" s="6" t="s">
        <v>737</v>
      </c>
      <c r="G197" s="9">
        <f>IF(A197=1,"_",IF(C197="_","???",C197))</f>
        <v/>
      </c>
      <c r="H197" s="10" t="s">
        <v>11</v>
      </c>
      <c r="I197" s="11" t="s">
        <v>11</v>
      </c>
      <c r="J197" s="12"/>
    </row>
    <row r="198" spans="1:10" ht="60" customHeight="1">
      <c r="A198" s="6" t="s">
        <v>738</v>
      </c>
      <c r="B198" s="6" t="s">
        <v>20</v>
      </c>
      <c r="C198" s="6" t="s">
        <v>11</v>
      </c>
      <c r="D198" s="7" t="s">
        <v>21</v>
      </c>
      <c r="E198" s="8" t="s">
        <v>739</v>
      </c>
      <c r="F198" s="6" t="s">
        <v>740</v>
      </c>
      <c r="G198" s="9">
        <f>IF(A198=1,"_",IF(C198="_","???",C198))</f>
        <v/>
      </c>
      <c r="H198" s="10" t="s">
        <v>11</v>
      </c>
      <c r="I198" s="11" t="s">
        <v>11</v>
      </c>
      <c r="J198" s="12"/>
    </row>
    <row r="199" spans="1:10" ht="60" customHeight="1">
      <c r="A199" s="6" t="s">
        <v>741</v>
      </c>
      <c r="B199" s="6" t="s">
        <v>20</v>
      </c>
      <c r="C199" s="6" t="s">
        <v>11</v>
      </c>
      <c r="D199" s="7" t="s">
        <v>33</v>
      </c>
      <c r="E199" s="8" t="s">
        <v>742</v>
      </c>
      <c r="F199" s="6" t="s">
        <v>743</v>
      </c>
      <c r="G199" s="9">
        <f>IF(A199=1,"_",IF(C199="_","???",C199))</f>
        <v/>
      </c>
      <c r="H199" s="10" t="s">
        <v>11</v>
      </c>
      <c r="I199" s="11" t="s">
        <v>11</v>
      </c>
      <c r="J199" s="12"/>
    </row>
    <row r="200" spans="1:10" ht="60" customHeight="1">
      <c r="A200" s="6" t="s">
        <v>744</v>
      </c>
      <c r="B200" s="6" t="s">
        <v>10</v>
      </c>
      <c r="C200" s="6" t="s">
        <v>11</v>
      </c>
      <c r="D200" s="7" t="s">
        <v>17</v>
      </c>
      <c r="E200" s="8" t="s">
        <v>745</v>
      </c>
      <c r="F200" s="6" t="s">
        <v>746</v>
      </c>
      <c r="G200" s="9">
        <f>IF(A200=1,"_",IF(C200="_","???",C200))</f>
        <v/>
      </c>
      <c r="H200" s="10" t="s">
        <v>11</v>
      </c>
      <c r="I200" s="11" t="s">
        <v>11</v>
      </c>
      <c r="J200" s="12"/>
    </row>
    <row r="201" spans="1:10" ht="60" customHeight="1">
      <c r="A201" s="6" t="s">
        <v>747</v>
      </c>
      <c r="B201" s="6" t="s">
        <v>15</v>
      </c>
      <c r="C201" s="6" t="s">
        <v>11</v>
      </c>
      <c r="D201" s="7" t="s">
        <v>748</v>
      </c>
      <c r="E201" s="8" t="s">
        <v>749</v>
      </c>
      <c r="F201" s="6" t="s">
        <v>750</v>
      </c>
      <c r="G201" s="9">
        <f>IF(A201=1,"_",IF(C201="_","???",C201))</f>
        <v/>
      </c>
      <c r="H201" s="10" t="s">
        <v>11</v>
      </c>
      <c r="I201" s="11" t="s">
        <v>11</v>
      </c>
      <c r="J201" s="12"/>
    </row>
    <row r="202" spans="1:10" ht="60" customHeight="1">
      <c r="A202" s="6" t="s">
        <v>751</v>
      </c>
      <c r="B202" s="6" t="s">
        <v>10</v>
      </c>
      <c r="C202" s="6" t="s">
        <v>11</v>
      </c>
      <c r="D202" s="7" t="s">
        <v>452</v>
      </c>
      <c r="E202" s="8" t="s">
        <v>508</v>
      </c>
      <c r="F202" s="6" t="s">
        <v>752</v>
      </c>
      <c r="G202" s="9">
        <f>IF(A202=1,"_",IF(C202="_","???",C202))</f>
        <v/>
      </c>
      <c r="H202" s="10" t="s">
        <v>11</v>
      </c>
      <c r="I202" s="11" t="s">
        <v>11</v>
      </c>
      <c r="J202" s="12"/>
    </row>
    <row r="203" spans="1:10" ht="60" customHeight="1">
      <c r="A203" s="6" t="s">
        <v>753</v>
      </c>
      <c r="B203" s="6" t="s">
        <v>29</v>
      </c>
      <c r="C203" s="6" t="s">
        <v>11</v>
      </c>
      <c r="D203" s="7" t="s">
        <v>754</v>
      </c>
      <c r="E203" s="8" t="s">
        <v>755</v>
      </c>
      <c r="F203" s="6" t="s">
        <v>756</v>
      </c>
      <c r="G203" s="9">
        <f>IF(A203=1,"_",IF(C203="_","???",C203))</f>
        <v/>
      </c>
      <c r="H203" s="10" t="s">
        <v>11</v>
      </c>
      <c r="I203" s="11" t="s">
        <v>11</v>
      </c>
      <c r="J203" s="12"/>
    </row>
    <row r="204" spans="1:10" ht="60" customHeight="1">
      <c r="A204" s="6" t="s">
        <v>757</v>
      </c>
      <c r="B204" s="6" t="s">
        <v>20</v>
      </c>
      <c r="C204" s="6" t="s">
        <v>11</v>
      </c>
      <c r="D204" s="7" t="s">
        <v>33</v>
      </c>
      <c r="E204" s="8" t="s">
        <v>758</v>
      </c>
      <c r="F204" s="6" t="s">
        <v>759</v>
      </c>
      <c r="G204" s="9">
        <f>IF(A204=1,"_",IF(C204="_","???",C204))</f>
        <v/>
      </c>
      <c r="H204" s="10" t="s">
        <v>11</v>
      </c>
      <c r="I204" s="11" t="s">
        <v>11</v>
      </c>
      <c r="J204" s="12"/>
    </row>
    <row r="205" spans="1:10" ht="60" customHeight="1">
      <c r="A205" s="6" t="s">
        <v>760</v>
      </c>
      <c r="B205" s="6" t="s">
        <v>20</v>
      </c>
      <c r="C205" s="6" t="s">
        <v>11</v>
      </c>
      <c r="D205" s="7" t="s">
        <v>33</v>
      </c>
      <c r="E205" s="8" t="s">
        <v>761</v>
      </c>
      <c r="F205" s="6" t="s">
        <v>762</v>
      </c>
      <c r="G205" s="9">
        <f>IF(A205=1,"_",IF(C205="_","???",C205))</f>
        <v/>
      </c>
      <c r="H205" s="10" t="s">
        <v>11</v>
      </c>
      <c r="I205" s="11" t="s">
        <v>11</v>
      </c>
      <c r="J205" s="12"/>
    </row>
    <row r="206" spans="1:10" ht="60" customHeight="1">
      <c r="A206" s="6" t="s">
        <v>763</v>
      </c>
      <c r="B206" s="6" t="s">
        <v>39</v>
      </c>
      <c r="C206" s="6" t="s">
        <v>11</v>
      </c>
      <c r="D206" s="7" t="s">
        <v>764</v>
      </c>
      <c r="E206" s="8" t="s">
        <v>765</v>
      </c>
      <c r="F206" s="6" t="s">
        <v>766</v>
      </c>
      <c r="G206" s="9">
        <f>IF(A206=1,"_",IF(C206="_","???",C206))</f>
        <v/>
      </c>
      <c r="H206" s="10" t="s">
        <v>11</v>
      </c>
      <c r="I206" s="11" t="s">
        <v>11</v>
      </c>
      <c r="J206" s="12"/>
    </row>
    <row r="207" spans="1:10" ht="60" customHeight="1">
      <c r="A207" s="6" t="s">
        <v>767</v>
      </c>
      <c r="B207" s="6" t="s">
        <v>24</v>
      </c>
      <c r="C207" s="6" t="s">
        <v>11</v>
      </c>
      <c r="D207" s="7" t="s">
        <v>652</v>
      </c>
      <c r="E207" s="8" t="s">
        <v>768</v>
      </c>
      <c r="F207" s="6" t="s">
        <v>769</v>
      </c>
      <c r="G207" s="9">
        <f>IF(A207=1,"_",IF(C207="_","???",C207))</f>
        <v/>
      </c>
      <c r="H207" s="10" t="s">
        <v>11</v>
      </c>
      <c r="I207" s="11" t="s">
        <v>11</v>
      </c>
      <c r="J207" s="12"/>
    </row>
    <row r="208" spans="1:10" ht="60" customHeight="1">
      <c r="A208" s="6" t="s">
        <v>770</v>
      </c>
      <c r="B208" s="6" t="s">
        <v>10</v>
      </c>
      <c r="C208" s="6" t="s">
        <v>11</v>
      </c>
      <c r="D208" s="7" t="s">
        <v>12</v>
      </c>
      <c r="E208" s="8" t="s">
        <v>771</v>
      </c>
      <c r="F208" s="6" t="s">
        <v>772</v>
      </c>
      <c r="G208" s="9">
        <f>IF(A208=1,"_",IF(C208="_","???",C208))</f>
        <v/>
      </c>
      <c r="H208" s="10" t="s">
        <v>11</v>
      </c>
      <c r="I208" s="11" t="s">
        <v>11</v>
      </c>
      <c r="J208" s="12"/>
    </row>
    <row r="209" spans="1:10" ht="60" customHeight="1">
      <c r="A209" s="6" t="s">
        <v>773</v>
      </c>
      <c r="B209" s="6" t="s">
        <v>24</v>
      </c>
      <c r="C209" s="6" t="s">
        <v>11</v>
      </c>
      <c r="D209" s="7" t="s">
        <v>774</v>
      </c>
      <c r="E209" s="8" t="s">
        <v>775</v>
      </c>
      <c r="F209" s="6" t="s">
        <v>776</v>
      </c>
      <c r="G209" s="9">
        <f>IF(A209=1,"_",IF(C209="_","???",C209))</f>
        <v/>
      </c>
      <c r="H209" s="10" t="s">
        <v>11</v>
      </c>
      <c r="I209" s="11" t="s">
        <v>11</v>
      </c>
      <c r="J209" s="12"/>
    </row>
    <row r="210" spans="1:10" ht="60" customHeight="1">
      <c r="A210" s="6" t="s">
        <v>777</v>
      </c>
      <c r="B210" s="6" t="s">
        <v>20</v>
      </c>
      <c r="C210" s="6" t="s">
        <v>11</v>
      </c>
      <c r="D210" s="7" t="s">
        <v>111</v>
      </c>
      <c r="E210" s="8" t="s">
        <v>778</v>
      </c>
      <c r="F210" s="6" t="s">
        <v>779</v>
      </c>
      <c r="G210" s="9">
        <f>IF(A210=1,"_",IF(C210="_","???",C210))</f>
        <v/>
      </c>
      <c r="H210" s="10" t="s">
        <v>11</v>
      </c>
      <c r="I210" s="11" t="s">
        <v>11</v>
      </c>
      <c r="J210" s="12"/>
    </row>
    <row r="211" spans="1:10" ht="60" customHeight="1">
      <c r="A211" s="6" t="s">
        <v>780</v>
      </c>
      <c r="B211" s="6" t="s">
        <v>15</v>
      </c>
      <c r="C211" s="6" t="s">
        <v>11</v>
      </c>
      <c r="D211" s="7" t="s">
        <v>781</v>
      </c>
      <c r="E211" s="8" t="s">
        <v>782</v>
      </c>
      <c r="F211" s="6" t="s">
        <v>783</v>
      </c>
      <c r="G211" s="9">
        <f>IF(A211=1,"_",IF(C211="_","???",C211))</f>
        <v/>
      </c>
      <c r="H211" s="10" t="s">
        <v>11</v>
      </c>
      <c r="I211" s="11" t="s">
        <v>11</v>
      </c>
      <c r="J211" s="12"/>
    </row>
    <row r="212" spans="1:10" ht="60" customHeight="1">
      <c r="A212" s="6" t="s">
        <v>784</v>
      </c>
      <c r="B212" s="6" t="s">
        <v>16</v>
      </c>
      <c r="C212" s="6" t="s">
        <v>11</v>
      </c>
      <c r="D212" s="7" t="s">
        <v>785</v>
      </c>
      <c r="E212" s="8" t="s">
        <v>786</v>
      </c>
      <c r="F212" s="6" t="s">
        <v>787</v>
      </c>
      <c r="G212" s="9">
        <f>IF(A212=1,"_",IF(C212="_","???",C212))</f>
        <v/>
      </c>
      <c r="H212" s="10" t="s">
        <v>11</v>
      </c>
      <c r="I212" s="11" t="s">
        <v>11</v>
      </c>
      <c r="J212" s="12"/>
    </row>
    <row r="213" spans="1:10" ht="60" customHeight="1">
      <c r="A213" s="6" t="s">
        <v>788</v>
      </c>
      <c r="B213" s="6" t="s">
        <v>15</v>
      </c>
      <c r="C213" s="6" t="s">
        <v>11</v>
      </c>
      <c r="D213" s="7" t="s">
        <v>789</v>
      </c>
      <c r="E213" s="8" t="s">
        <v>790</v>
      </c>
      <c r="F213" s="6" t="s">
        <v>791</v>
      </c>
      <c r="G213" s="9">
        <f>IF(A213=1,"_",IF(C213="_","???",C213))</f>
        <v/>
      </c>
      <c r="H213" s="10" t="s">
        <v>11</v>
      </c>
      <c r="I213" s="11" t="s">
        <v>11</v>
      </c>
      <c r="J213" s="12"/>
    </row>
    <row r="214" spans="1:10" ht="60" customHeight="1">
      <c r="A214" s="6" t="s">
        <v>792</v>
      </c>
      <c r="B214" s="6" t="s">
        <v>24</v>
      </c>
      <c r="C214" s="6" t="s">
        <v>11</v>
      </c>
      <c r="D214" s="7" t="s">
        <v>793</v>
      </c>
      <c r="E214" s="8" t="s">
        <v>794</v>
      </c>
      <c r="F214" s="6" t="s">
        <v>795</v>
      </c>
      <c r="G214" s="9">
        <f>IF(A214=1,"_",IF(C214="_","???",C214))</f>
        <v/>
      </c>
      <c r="H214" s="10" t="s">
        <v>11</v>
      </c>
      <c r="I214" s="11" t="s">
        <v>11</v>
      </c>
      <c r="J214" s="12"/>
    </row>
    <row r="215" spans="1:10" ht="60" customHeight="1">
      <c r="A215" s="6" t="s">
        <v>796</v>
      </c>
      <c r="B215" s="6" t="s">
        <v>15</v>
      </c>
      <c r="C215" s="6" t="s">
        <v>11</v>
      </c>
      <c r="D215" s="7" t="s">
        <v>797</v>
      </c>
      <c r="E215" s="8" t="s">
        <v>798</v>
      </c>
      <c r="F215" s="6" t="s">
        <v>799</v>
      </c>
      <c r="G215" s="9">
        <f>IF(A215=1,"_",IF(C215="_","???",C215))</f>
        <v/>
      </c>
      <c r="H215" s="10" t="s">
        <v>11</v>
      </c>
      <c r="I215" s="11" t="s">
        <v>11</v>
      </c>
      <c r="J215" s="12"/>
    </row>
    <row r="216" spans="1:10" ht="60" customHeight="1">
      <c r="A216" s="6" t="s">
        <v>800</v>
      </c>
      <c r="B216" s="6" t="s">
        <v>39</v>
      </c>
      <c r="C216" s="6" t="s">
        <v>11</v>
      </c>
      <c r="D216" s="7" t="s">
        <v>801</v>
      </c>
      <c r="E216" s="8" t="s">
        <v>802</v>
      </c>
      <c r="F216" s="6" t="s">
        <v>803</v>
      </c>
      <c r="G216" s="9">
        <f>IF(A216=1,"_",IF(C216="_","???",C216))</f>
        <v/>
      </c>
      <c r="H216" s="10" t="s">
        <v>11</v>
      </c>
      <c r="I216" s="11" t="s">
        <v>11</v>
      </c>
      <c r="J216" s="12"/>
    </row>
    <row r="217" spans="1:10" ht="60" customHeight="1">
      <c r="A217" s="6" t="s">
        <v>804</v>
      </c>
      <c r="B217" s="6" t="s">
        <v>39</v>
      </c>
      <c r="C217" s="6" t="s">
        <v>11</v>
      </c>
      <c r="D217" s="7" t="s">
        <v>805</v>
      </c>
      <c r="E217" s="8" t="s">
        <v>806</v>
      </c>
      <c r="F217" s="6" t="s">
        <v>807</v>
      </c>
      <c r="G217" s="9">
        <f>IF(A217=1,"_",IF(C217="_","???",C217))</f>
        <v/>
      </c>
      <c r="H217" s="10" t="s">
        <v>11</v>
      </c>
      <c r="I217" s="11" t="s">
        <v>11</v>
      </c>
      <c r="J217" s="12"/>
    </row>
    <row r="218" spans="1:10" ht="60" customHeight="1">
      <c r="A218" s="6" t="s">
        <v>808</v>
      </c>
      <c r="B218" s="6" t="s">
        <v>15</v>
      </c>
      <c r="C218" s="6" t="s">
        <v>11</v>
      </c>
      <c r="D218" s="7" t="s">
        <v>353</v>
      </c>
      <c r="E218" s="8" t="s">
        <v>809</v>
      </c>
      <c r="F218" s="6" t="s">
        <v>810</v>
      </c>
      <c r="G218" s="9">
        <f>IF(A218=1,"_",IF(C218="_","???",C218))</f>
        <v/>
      </c>
      <c r="H218" s="10" t="s">
        <v>11</v>
      </c>
      <c r="I218" s="11" t="s">
        <v>11</v>
      </c>
      <c r="J218" s="12"/>
    </row>
    <row r="219" spans="1:10" ht="60" customHeight="1">
      <c r="A219" s="6" t="s">
        <v>811</v>
      </c>
      <c r="B219" s="6" t="s">
        <v>15</v>
      </c>
      <c r="C219" s="6" t="s">
        <v>11</v>
      </c>
      <c r="D219" s="7" t="s">
        <v>812</v>
      </c>
      <c r="E219" s="8" t="s">
        <v>813</v>
      </c>
      <c r="F219" s="6" t="s">
        <v>814</v>
      </c>
      <c r="G219" s="9">
        <f>IF(A219=1,"_",IF(C219="_","???",C219))</f>
        <v/>
      </c>
      <c r="H219" s="10" t="s">
        <v>11</v>
      </c>
      <c r="I219" s="11" t="s">
        <v>11</v>
      </c>
      <c r="J219" s="12"/>
    </row>
    <row r="220" spans="1:10" ht="60" customHeight="1">
      <c r="A220" s="6" t="s">
        <v>815</v>
      </c>
      <c r="B220" s="6" t="s">
        <v>10</v>
      </c>
      <c r="C220" s="6" t="s">
        <v>11</v>
      </c>
      <c r="D220" s="7" t="s">
        <v>452</v>
      </c>
      <c r="E220" s="8" t="s">
        <v>508</v>
      </c>
      <c r="F220" s="6" t="s">
        <v>816</v>
      </c>
      <c r="G220" s="9">
        <f>IF(A220=1,"_",IF(C220="_","???",C220))</f>
        <v/>
      </c>
      <c r="H220" s="10" t="s">
        <v>11</v>
      </c>
      <c r="I220" s="11" t="s">
        <v>11</v>
      </c>
      <c r="J220" s="12"/>
    </row>
    <row r="221" spans="1:10" ht="60" customHeight="1">
      <c r="A221" s="6" t="s">
        <v>817</v>
      </c>
      <c r="B221" s="6" t="s">
        <v>20</v>
      </c>
      <c r="C221" s="6" t="s">
        <v>11</v>
      </c>
      <c r="D221" s="7" t="s">
        <v>818</v>
      </c>
      <c r="E221" s="8" t="s">
        <v>819</v>
      </c>
      <c r="F221" s="6" t="s">
        <v>820</v>
      </c>
      <c r="G221" s="9">
        <f>IF(A221=1,"_",IF(C221="_","???",C221))</f>
        <v/>
      </c>
      <c r="H221" s="10" t="s">
        <v>11</v>
      </c>
      <c r="I221" s="11" t="s">
        <v>11</v>
      </c>
      <c r="J221" s="12"/>
    </row>
    <row r="222" spans="1:10" ht="60" customHeight="1">
      <c r="A222" s="6" t="s">
        <v>821</v>
      </c>
      <c r="B222" s="6" t="s">
        <v>20</v>
      </c>
      <c r="C222" s="6" t="s">
        <v>11</v>
      </c>
      <c r="D222" s="7" t="s">
        <v>33</v>
      </c>
      <c r="E222" s="8" t="s">
        <v>822</v>
      </c>
      <c r="F222" s="6" t="s">
        <v>823</v>
      </c>
      <c r="G222" s="9">
        <f>IF(A222=1,"_",IF(C222="_","???",C222))</f>
        <v/>
      </c>
      <c r="H222" s="10" t="s">
        <v>11</v>
      </c>
      <c r="I222" s="11" t="s">
        <v>11</v>
      </c>
      <c r="J222" s="12"/>
    </row>
    <row r="223" spans="1:10" ht="60" customHeight="1">
      <c r="A223" s="6" t="s">
        <v>824</v>
      </c>
      <c r="B223" s="6" t="s">
        <v>15</v>
      </c>
      <c r="C223" s="6" t="s">
        <v>11</v>
      </c>
      <c r="D223" s="7" t="s">
        <v>825</v>
      </c>
      <c r="E223" s="8" t="s">
        <v>826</v>
      </c>
      <c r="F223" s="6" t="s">
        <v>827</v>
      </c>
      <c r="G223" s="9">
        <f>IF(A223=1,"_",IF(C223="_","???",C223))</f>
        <v/>
      </c>
      <c r="H223" s="10" t="s">
        <v>11</v>
      </c>
      <c r="I223" s="11" t="s">
        <v>11</v>
      </c>
      <c r="J223" s="12"/>
    </row>
    <row r="224" spans="1:10" ht="60" customHeight="1">
      <c r="A224" s="6" t="s">
        <v>828</v>
      </c>
      <c r="B224" s="6" t="s">
        <v>15</v>
      </c>
      <c r="C224" s="6" t="s">
        <v>11</v>
      </c>
      <c r="D224" s="7" t="s">
        <v>829</v>
      </c>
      <c r="E224" s="8" t="s">
        <v>830</v>
      </c>
      <c r="F224" s="6" t="s">
        <v>831</v>
      </c>
      <c r="G224" s="9">
        <f>IF(A224=1,"_",IF(C224="_","???",C224))</f>
        <v/>
      </c>
      <c r="H224" s="10" t="s">
        <v>11</v>
      </c>
      <c r="I224" s="11" t="s">
        <v>11</v>
      </c>
      <c r="J224" s="12"/>
    </row>
    <row r="225" spans="1:10" ht="60" customHeight="1">
      <c r="A225" s="6" t="s">
        <v>832</v>
      </c>
      <c r="B225" s="6" t="s">
        <v>15</v>
      </c>
      <c r="C225" s="6" t="s">
        <v>11</v>
      </c>
      <c r="D225" s="7" t="s">
        <v>833</v>
      </c>
      <c r="E225" s="8" t="s">
        <v>834</v>
      </c>
      <c r="F225" s="6" t="s">
        <v>835</v>
      </c>
      <c r="G225" s="9">
        <f>IF(A225=1,"_",IF(C225="_","???",C225))</f>
        <v/>
      </c>
      <c r="H225" s="10" t="s">
        <v>11</v>
      </c>
      <c r="I225" s="11" t="s">
        <v>11</v>
      </c>
      <c r="J225" s="12"/>
    </row>
    <row r="226" spans="1:10" ht="60" customHeight="1">
      <c r="A226" s="6" t="s">
        <v>836</v>
      </c>
      <c r="B226" s="6" t="s">
        <v>10</v>
      </c>
      <c r="C226" s="6" t="s">
        <v>11</v>
      </c>
      <c r="D226" s="7" t="s">
        <v>837</v>
      </c>
      <c r="E226" s="8" t="s">
        <v>838</v>
      </c>
      <c r="F226" s="6" t="s">
        <v>839</v>
      </c>
      <c r="G226" s="9">
        <f>IF(A226=1,"_",IF(C226="_","???",C226))</f>
        <v/>
      </c>
      <c r="H226" s="10" t="s">
        <v>11</v>
      </c>
      <c r="I226" s="11" t="s">
        <v>11</v>
      </c>
      <c r="J226" s="12"/>
    </row>
    <row r="227" spans="1:10" ht="60" customHeight="1">
      <c r="A227" s="6" t="s">
        <v>840</v>
      </c>
      <c r="B227" s="6" t="s">
        <v>20</v>
      </c>
      <c r="C227" s="6" t="s">
        <v>11</v>
      </c>
      <c r="D227" s="7" t="s">
        <v>111</v>
      </c>
      <c r="E227" s="8" t="s">
        <v>841</v>
      </c>
      <c r="F227" s="6" t="s">
        <v>842</v>
      </c>
      <c r="G227" s="9">
        <f>IF(A227=1,"_",IF(C227="_","???",C227))</f>
        <v/>
      </c>
      <c r="H227" s="10" t="s">
        <v>11</v>
      </c>
      <c r="I227" s="11" t="s">
        <v>11</v>
      </c>
      <c r="J227" s="12"/>
    </row>
    <row r="228" spans="1:10" ht="60" customHeight="1">
      <c r="A228" s="6" t="s">
        <v>843</v>
      </c>
      <c r="B228" s="6" t="s">
        <v>24</v>
      </c>
      <c r="C228" s="6" t="s">
        <v>11</v>
      </c>
      <c r="D228" s="7" t="s">
        <v>21</v>
      </c>
      <c r="E228" s="8" t="s">
        <v>844</v>
      </c>
      <c r="F228" s="6" t="s">
        <v>845</v>
      </c>
      <c r="G228" s="9">
        <f>IF(A228=1,"_",IF(C228="_","???",C228))</f>
        <v/>
      </c>
      <c r="H228" s="10" t="s">
        <v>11</v>
      </c>
      <c r="I228" s="11" t="s">
        <v>11</v>
      </c>
      <c r="J228" s="12"/>
    </row>
    <row r="229" spans="1:10" ht="60" customHeight="1">
      <c r="A229" s="6" t="s">
        <v>846</v>
      </c>
      <c r="B229" s="6" t="s">
        <v>20</v>
      </c>
      <c r="C229" s="6" t="s">
        <v>11</v>
      </c>
      <c r="D229" s="7" t="s">
        <v>847</v>
      </c>
      <c r="E229" s="8" t="s">
        <v>848</v>
      </c>
      <c r="F229" s="6" t="s">
        <v>849</v>
      </c>
      <c r="G229" s="9">
        <f>IF(A229=1,"_",IF(C229="_","???",C229))</f>
        <v/>
      </c>
      <c r="H229" s="10" t="s">
        <v>11</v>
      </c>
      <c r="I229" s="11" t="s">
        <v>11</v>
      </c>
      <c r="J229" s="12"/>
    </row>
    <row r="230" spans="1:10" ht="60" customHeight="1">
      <c r="A230" s="6" t="s">
        <v>850</v>
      </c>
      <c r="B230" s="6" t="s">
        <v>15</v>
      </c>
      <c r="C230" s="6" t="s">
        <v>11</v>
      </c>
      <c r="D230" s="7" t="s">
        <v>851</v>
      </c>
      <c r="E230" s="8" t="s">
        <v>852</v>
      </c>
      <c r="F230" s="6" t="s">
        <v>853</v>
      </c>
      <c r="G230" s="9">
        <f>IF(A230=1,"_",IF(C230="_","???",C230))</f>
        <v/>
      </c>
      <c r="H230" s="10" t="s">
        <v>11</v>
      </c>
      <c r="I230" s="11" t="s">
        <v>11</v>
      </c>
      <c r="J230" s="12"/>
    </row>
    <row r="231" spans="1:10" ht="60" customHeight="1">
      <c r="A231" s="6" t="s">
        <v>854</v>
      </c>
      <c r="B231" s="6" t="s">
        <v>36</v>
      </c>
      <c r="C231" s="6" t="s">
        <v>11</v>
      </c>
      <c r="D231" s="7" t="s">
        <v>855</v>
      </c>
      <c r="E231" s="8" t="s">
        <v>856</v>
      </c>
      <c r="F231" s="6" t="s">
        <v>857</v>
      </c>
      <c r="G231" s="9">
        <f>IF(A231=1,"_",IF(C231="_","???",C231))</f>
        <v/>
      </c>
      <c r="H231" s="10" t="s">
        <v>11</v>
      </c>
      <c r="I231" s="11" t="s">
        <v>11</v>
      </c>
      <c r="J231" s="12"/>
    </row>
    <row r="232" spans="1:10" ht="60" customHeight="1">
      <c r="A232" s="6" t="s">
        <v>858</v>
      </c>
      <c r="B232" s="6" t="s">
        <v>71</v>
      </c>
      <c r="C232" s="6" t="s">
        <v>11</v>
      </c>
      <c r="D232" s="7" t="s">
        <v>859</v>
      </c>
      <c r="E232" s="8" t="s">
        <v>860</v>
      </c>
      <c r="F232" s="6" t="s">
        <v>861</v>
      </c>
      <c r="G232" s="9">
        <f>IF(A232=1,"_",IF(C232="_","???",C232))</f>
        <v/>
      </c>
      <c r="H232" s="10" t="s">
        <v>11</v>
      </c>
      <c r="I232" s="11" t="s">
        <v>11</v>
      </c>
      <c r="J232" s="12"/>
    </row>
    <row r="233" spans="1:10" ht="60" customHeight="1">
      <c r="A233" s="6" t="s">
        <v>862</v>
      </c>
      <c r="B233" s="6" t="s">
        <v>20</v>
      </c>
      <c r="C233" s="6" t="s">
        <v>11</v>
      </c>
      <c r="D233" s="7" t="s">
        <v>863</v>
      </c>
      <c r="E233" s="8" t="s">
        <v>864</v>
      </c>
      <c r="F233" s="6" t="s">
        <v>865</v>
      </c>
      <c r="G233" s="9">
        <f>IF(A233=1,"_",IF(C233="_","???",C233))</f>
        <v/>
      </c>
      <c r="H233" s="10" t="s">
        <v>11</v>
      </c>
      <c r="I233" s="11" t="s">
        <v>11</v>
      </c>
      <c r="J233" s="12"/>
    </row>
    <row r="234" spans="1:10" ht="60" customHeight="1">
      <c r="A234" s="6" t="s">
        <v>866</v>
      </c>
      <c r="B234" s="6" t="s">
        <v>20</v>
      </c>
      <c r="C234" s="6" t="s">
        <v>11</v>
      </c>
      <c r="D234" s="7" t="s">
        <v>33</v>
      </c>
      <c r="E234" s="8" t="s">
        <v>867</v>
      </c>
      <c r="F234" s="6" t="s">
        <v>868</v>
      </c>
      <c r="G234" s="9">
        <f>IF(A234=1,"_",IF(C234="_","???",C234))</f>
        <v/>
      </c>
      <c r="H234" s="10" t="s">
        <v>11</v>
      </c>
      <c r="I234" s="11" t="s">
        <v>11</v>
      </c>
      <c r="J234" s="12"/>
    </row>
    <row r="235" spans="1:10" ht="60" customHeight="1">
      <c r="A235" s="6" t="s">
        <v>869</v>
      </c>
      <c r="B235" s="6" t="s">
        <v>24</v>
      </c>
      <c r="C235" s="6" t="s">
        <v>11</v>
      </c>
      <c r="D235" s="7" t="s">
        <v>199</v>
      </c>
      <c r="E235" s="8" t="s">
        <v>870</v>
      </c>
      <c r="F235" s="6" t="s">
        <v>871</v>
      </c>
      <c r="G235" s="9">
        <f>IF(A235=1,"_",IF(C235="_","???",C235))</f>
        <v/>
      </c>
      <c r="H235" s="10" t="s">
        <v>11</v>
      </c>
      <c r="I235" s="11" t="s">
        <v>11</v>
      </c>
      <c r="J235" s="12"/>
    </row>
    <row r="236" spans="1:10" ht="60" customHeight="1">
      <c r="A236" s="6" t="s">
        <v>872</v>
      </c>
      <c r="B236" s="6" t="s">
        <v>15</v>
      </c>
      <c r="C236" s="6" t="s">
        <v>11</v>
      </c>
      <c r="D236" s="7" t="s">
        <v>873</v>
      </c>
      <c r="E236" s="8" t="s">
        <v>874</v>
      </c>
      <c r="F236" s="6" t="s">
        <v>875</v>
      </c>
      <c r="G236" s="9">
        <f>IF(A236=1,"_",IF(C236="_","???",C236))</f>
        <v/>
      </c>
      <c r="H236" s="10" t="s">
        <v>11</v>
      </c>
      <c r="I236" s="11" t="s">
        <v>11</v>
      </c>
      <c r="J236" s="12"/>
    </row>
    <row r="237" spans="1:10" ht="60" customHeight="1">
      <c r="A237" s="6" t="s">
        <v>876</v>
      </c>
      <c r="B237" s="6" t="s">
        <v>15</v>
      </c>
      <c r="C237" s="6" t="s">
        <v>11</v>
      </c>
      <c r="D237" s="7" t="s">
        <v>199</v>
      </c>
      <c r="E237" s="8" t="s">
        <v>877</v>
      </c>
      <c r="F237" s="6" t="s">
        <v>878</v>
      </c>
      <c r="G237" s="9">
        <f>IF(A237=1,"_",IF(C237="_","???",C237))</f>
        <v/>
      </c>
      <c r="H237" s="10" t="s">
        <v>11</v>
      </c>
      <c r="I237" s="11" t="s">
        <v>11</v>
      </c>
      <c r="J237" s="12"/>
    </row>
    <row r="238" spans="1:10" ht="60" customHeight="1">
      <c r="A238" s="6" t="s">
        <v>879</v>
      </c>
      <c r="B238" s="6" t="s">
        <v>15</v>
      </c>
      <c r="C238" s="6" t="s">
        <v>11</v>
      </c>
      <c r="D238" s="7" t="s">
        <v>199</v>
      </c>
      <c r="E238" s="8" t="s">
        <v>880</v>
      </c>
      <c r="F238" s="6" t="s">
        <v>881</v>
      </c>
      <c r="G238" s="9">
        <f>IF(A238=1,"_",IF(C238="_","???",C238))</f>
        <v/>
      </c>
      <c r="H238" s="10" t="s">
        <v>11</v>
      </c>
      <c r="I238" s="11" t="s">
        <v>11</v>
      </c>
      <c r="J238" s="12"/>
    </row>
    <row r="239" spans="1:10" ht="60" customHeight="1">
      <c r="A239" s="6" t="s">
        <v>882</v>
      </c>
      <c r="B239" s="6" t="s">
        <v>90</v>
      </c>
      <c r="C239" s="6" t="s">
        <v>25</v>
      </c>
      <c r="D239" s="7" t="s">
        <v>883</v>
      </c>
      <c r="E239" s="8" t="s">
        <v>884</v>
      </c>
      <c r="F239" s="6" t="s">
        <v>885</v>
      </c>
      <c r="G239" s="9">
        <f>IF(A239=1,"_",IF(C239="_","???",C239))</f>
        <v/>
      </c>
      <c r="H239" s="10" t="s">
        <v>11</v>
      </c>
      <c r="I239" s="11" t="s">
        <v>11</v>
      </c>
      <c r="J239" s="12"/>
    </row>
    <row r="240" spans="1:10" ht="60" customHeight="1">
      <c r="A240" s="6" t="s">
        <v>886</v>
      </c>
      <c r="B240" s="6" t="s">
        <v>29</v>
      </c>
      <c r="C240" s="6" t="s">
        <v>11</v>
      </c>
      <c r="D240" s="7" t="s">
        <v>887</v>
      </c>
      <c r="E240" s="8" t="s">
        <v>888</v>
      </c>
      <c r="F240" s="6" t="s">
        <v>889</v>
      </c>
      <c r="G240" s="9">
        <f>IF(A240=1,"_",IF(C240="_","???",C240))</f>
        <v/>
      </c>
      <c r="H240" s="10" t="s">
        <v>11</v>
      </c>
      <c r="I240" s="11" t="s">
        <v>11</v>
      </c>
      <c r="J240" s="12"/>
    </row>
    <row r="241" spans="1:10" ht="60" customHeight="1">
      <c r="A241" s="6" t="s">
        <v>890</v>
      </c>
      <c r="B241" s="6" t="s">
        <v>15</v>
      </c>
      <c r="C241" s="6" t="s">
        <v>11</v>
      </c>
      <c r="D241" s="7" t="s">
        <v>891</v>
      </c>
      <c r="E241" s="8" t="s">
        <v>892</v>
      </c>
      <c r="F241" s="6" t="s">
        <v>893</v>
      </c>
      <c r="G241" s="9">
        <f>IF(A241=1,"_",IF(C241="_","???",C241))</f>
        <v/>
      </c>
      <c r="H241" s="10" t="s">
        <v>11</v>
      </c>
      <c r="I241" s="11" t="s">
        <v>11</v>
      </c>
      <c r="J241" s="12"/>
    </row>
    <row r="242" spans="1:10" ht="60" customHeight="1">
      <c r="A242" s="6" t="s">
        <v>894</v>
      </c>
      <c r="B242" s="6" t="s">
        <v>49</v>
      </c>
      <c r="C242" s="6" t="s">
        <v>11</v>
      </c>
      <c r="D242" s="7" t="s">
        <v>21</v>
      </c>
      <c r="E242" s="8" t="s">
        <v>895</v>
      </c>
      <c r="F242" s="6" t="s">
        <v>896</v>
      </c>
      <c r="G242" s="9">
        <f>IF(A242=1,"_",IF(C242="_","???",C242))</f>
        <v/>
      </c>
      <c r="H242" s="10" t="s">
        <v>11</v>
      </c>
      <c r="I242" s="11" t="s">
        <v>11</v>
      </c>
      <c r="J242" s="12"/>
    </row>
    <row r="243" spans="1:10" ht="60" customHeight="1">
      <c r="A243" s="6" t="s">
        <v>897</v>
      </c>
      <c r="B243" s="6" t="s">
        <v>20</v>
      </c>
      <c r="C243" s="6" t="s">
        <v>11</v>
      </c>
      <c r="D243" s="7" t="s">
        <v>898</v>
      </c>
      <c r="E243" s="8" t="s">
        <v>899</v>
      </c>
      <c r="F243" s="6" t="s">
        <v>900</v>
      </c>
      <c r="G243" s="9">
        <f>IF(A243=1,"_",IF(C243="_","???",C243))</f>
        <v/>
      </c>
      <c r="H243" s="10" t="s">
        <v>11</v>
      </c>
      <c r="I243" s="11" t="s">
        <v>11</v>
      </c>
      <c r="J243" s="12"/>
    </row>
    <row r="244" spans="1:10" ht="60" customHeight="1">
      <c r="A244" s="6" t="s">
        <v>901</v>
      </c>
      <c r="B244" s="6" t="s">
        <v>15</v>
      </c>
      <c r="C244" s="6" t="s">
        <v>11</v>
      </c>
      <c r="D244" s="7" t="s">
        <v>33</v>
      </c>
      <c r="E244" s="8" t="s">
        <v>902</v>
      </c>
      <c r="F244" s="6" t="s">
        <v>903</v>
      </c>
      <c r="G244" s="9">
        <f>IF(A244=1,"_",IF(C244="_","???",C244))</f>
        <v/>
      </c>
      <c r="H244" s="10" t="s">
        <v>11</v>
      </c>
      <c r="I244" s="11" t="s">
        <v>11</v>
      </c>
      <c r="J244" s="12"/>
    </row>
    <row r="245" spans="1:10" ht="60" customHeight="1">
      <c r="A245" s="6" t="s">
        <v>904</v>
      </c>
      <c r="B245" s="6" t="s">
        <v>15</v>
      </c>
      <c r="C245" s="6" t="s">
        <v>11</v>
      </c>
      <c r="D245" s="7" t="s">
        <v>905</v>
      </c>
      <c r="E245" s="8" t="s">
        <v>906</v>
      </c>
      <c r="F245" s="6" t="s">
        <v>907</v>
      </c>
      <c r="G245" s="9">
        <f>IF(A245=1,"_",IF(C245="_","???",C245))</f>
        <v/>
      </c>
      <c r="H245" s="10" t="s">
        <v>11</v>
      </c>
      <c r="I245" s="11" t="s">
        <v>11</v>
      </c>
      <c r="J245" s="12"/>
    </row>
    <row r="246" spans="1:10" ht="60" customHeight="1">
      <c r="A246" s="6" t="s">
        <v>908</v>
      </c>
      <c r="B246" s="6" t="s">
        <v>15</v>
      </c>
      <c r="C246" s="6" t="s">
        <v>11</v>
      </c>
      <c r="D246" s="7" t="s">
        <v>21</v>
      </c>
      <c r="E246" s="8" t="s">
        <v>909</v>
      </c>
      <c r="F246" s="6" t="s">
        <v>910</v>
      </c>
      <c r="G246" s="9">
        <f>IF(A246=1,"_",IF(C246="_","???",C246))</f>
        <v/>
      </c>
      <c r="H246" s="10" t="s">
        <v>11</v>
      </c>
      <c r="I246" s="11" t="s">
        <v>11</v>
      </c>
      <c r="J24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7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911</v>
      </c>
      <c r="B1" s="13" t="s">
        <v>912</v>
      </c>
      <c r="C1" s="13" t="s">
        <v>913</v>
      </c>
      <c r="D1" s="13" t="s">
        <v>914</v>
      </c>
      <c r="E1" s="14" t="s">
        <v>915</v>
      </c>
      <c r="F1" s="15" t="s">
        <v>916</v>
      </c>
      <c r="G1" s="16" t="s">
        <v>917</v>
      </c>
      <c r="H1" s="17" t="s">
        <v>918</v>
      </c>
      <c r="I1" s="18" t="s">
        <v>919</v>
      </c>
      <c r="J1" s="18" t="s">
        <v>920</v>
      </c>
      <c r="K1" s="18" t="s">
        <v>921</v>
      </c>
      <c r="L1" s="19" t="s">
        <v>9</v>
      </c>
    </row>
    <row r="2" spans="1:12">
      <c r="A2" s="20" t="s">
        <v>922</v>
      </c>
    </row>
    <row r="3" spans="1:12">
      <c r="A3" s="20" t="s">
        <v>923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924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925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500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926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927</v>
      </c>
      <c r="B8" s="27" t="s">
        <v>928</v>
      </c>
      <c r="C8" s="27" t="s">
        <v>929</v>
      </c>
      <c r="D8" s="27" t="s">
        <v>930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931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932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933</v>
      </c>
      <c r="B11" s="27" t="s">
        <v>934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935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925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936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925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937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938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939</v>
      </c>
      <c r="B18" s="27" t="s">
        <v>940</v>
      </c>
      <c r="C18" s="27" t="s">
        <v>941</v>
      </c>
      <c r="D18" s="27" t="s">
        <v>930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933</v>
      </c>
      <c r="B19" s="27" t="s">
        <v>934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942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942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942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942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942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942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933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943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942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/>
    </row>
    <row r="30" spans="1:12">
      <c r="A30" s="20" t="s">
        <v>944</v>
      </c>
    </row>
    <row r="31" spans="1:12">
      <c r="A31" s="20" t="s">
        <v>945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946</v>
      </c>
      <c r="B32" s="27" t="s">
        <v>947</v>
      </c>
      <c r="C32" s="27" t="s">
        <v>929</v>
      </c>
      <c r="D32" s="27" t="s">
        <v>930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937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948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949</v>
      </c>
      <c r="B35" s="27" t="s">
        <v>950</v>
      </c>
      <c r="C35" s="27" t="s">
        <v>951</v>
      </c>
      <c r="D35" s="27" t="s">
        <v>930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952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937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953</v>
      </c>
      <c r="B38" s="27" t="s">
        <v>954</v>
      </c>
      <c r="C38" s="27" t="s">
        <v>929</v>
      </c>
      <c r="D38" s="27" t="s">
        <v>930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955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942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/>
    </row>
    <row r="42" spans="1:12">
      <c r="A42" s="20" t="s">
        <v>956</v>
      </c>
    </row>
    <row r="43" spans="1:12">
      <c r="A43" s="20" t="s">
        <v>957</v>
      </c>
      <c r="B43" s="27" t="s">
        <v>947</v>
      </c>
      <c r="C43" s="27" t="s">
        <v>929</v>
      </c>
      <c r="D43" s="27" t="s">
        <v>930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958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959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937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960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961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937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962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925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963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964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925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937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965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925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966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967</v>
      </c>
      <c r="B59" s="27" t="s">
        <v>968</v>
      </c>
      <c r="C59" s="27" t="s">
        <v>929</v>
      </c>
      <c r="D59" s="27" t="s">
        <v>930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969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958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942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/>
    </row>
    <row r="64" spans="1:12">
      <c r="A64" s="20" t="s">
        <v>970</v>
      </c>
    </row>
    <row r="65" spans="1:12">
      <c r="A65" s="20" t="s">
        <v>971</v>
      </c>
      <c r="B65" s="27" t="s">
        <v>972</v>
      </c>
      <c r="C65" s="27" t="s">
        <v>929</v>
      </c>
      <c r="D65" s="27" t="s">
        <v>930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973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974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925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500</v>
      </c>
      <c r="B69" s="27" t="s">
        <v>975</v>
      </c>
      <c r="C69" s="27" t="s">
        <v>976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977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967</v>
      </c>
      <c r="B71" s="27" t="s">
        <v>968</v>
      </c>
      <c r="C71" s="27" t="s">
        <v>929</v>
      </c>
      <c r="D71" s="27" t="s">
        <v>930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978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925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979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500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980</v>
      </c>
      <c r="B76" s="27" t="s">
        <v>968</v>
      </c>
      <c r="C76" s="27" t="s">
        <v>929</v>
      </c>
      <c r="D76" s="27" t="s">
        <v>930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937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981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982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983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984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985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986</v>
      </c>
      <c r="B83" s="27" t="s">
        <v>975</v>
      </c>
      <c r="C83" s="27" t="s">
        <v>951</v>
      </c>
      <c r="D83" s="27" t="s">
        <v>930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987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988</v>
      </c>
      <c r="B85" s="27" t="s">
        <v>975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925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989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946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990</v>
      </c>
      <c r="B89" s="27" t="s">
        <v>968</v>
      </c>
      <c r="C89" s="27" t="s">
        <v>929</v>
      </c>
      <c r="D89" s="27" t="s">
        <v>930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991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959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937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960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942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/>
    </row>
    <row r="96" spans="1:12">
      <c r="A96" s="20" t="s">
        <v>992</v>
      </c>
    </row>
    <row r="97" spans="1:12">
      <c r="A97" s="20" t="s">
        <v>993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994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942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/>
    </row>
    <row r="101" spans="1:12">
      <c r="A101" s="20" t="s">
        <v>995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996</v>
      </c>
    </row>
    <row r="103" spans="1:12">
      <c r="A103" s="20" t="s">
        <v>997</v>
      </c>
      <c r="B103" s="27" t="s">
        <v>947</v>
      </c>
      <c r="C103" s="27" t="s">
        <v>929</v>
      </c>
      <c r="D103" s="27" t="s">
        <v>930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991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959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998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999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925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1000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969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1001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1002</v>
      </c>
      <c r="B112" s="27" t="s">
        <v>1003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925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961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1004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925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961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1005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1006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1007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1005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942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1008</v>
      </c>
    </row>
    <row r="125" spans="1:12">
      <c r="A125" s="20" t="s">
        <v>1009</v>
      </c>
      <c r="B125" s="27" t="s">
        <v>947</v>
      </c>
      <c r="C125" s="27" t="s">
        <v>929</v>
      </c>
      <c r="D125" s="27" t="s">
        <v>930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969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994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942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/>
    </row>
    <row r="130" spans="1:12">
      <c r="A130" s="20" t="s">
        <v>1010</v>
      </c>
    </row>
    <row r="131" spans="1:12">
      <c r="A131" s="20" t="s">
        <v>1009</v>
      </c>
      <c r="B131" s="27" t="s">
        <v>947</v>
      </c>
      <c r="C131" s="27" t="s">
        <v>929</v>
      </c>
      <c r="D131" s="27" t="s">
        <v>930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1011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925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500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1012</v>
      </c>
      <c r="B135" s="27" t="s">
        <v>968</v>
      </c>
      <c r="C135" s="27" t="s">
        <v>1013</v>
      </c>
      <c r="D135" s="27" t="s">
        <v>930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1014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1015</v>
      </c>
      <c r="B137" s="27" t="s">
        <v>950</v>
      </c>
      <c r="C137" s="27" t="s">
        <v>1016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1017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1018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925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1019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1020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1021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1022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1023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942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/>
    </row>
    <row r="148" spans="1:12">
      <c r="A148" s="20" t="s">
        <v>1024</v>
      </c>
    </row>
    <row r="149" spans="1:12">
      <c r="A149" s="20" t="s">
        <v>1009</v>
      </c>
      <c r="B149" s="27" t="s">
        <v>947</v>
      </c>
      <c r="C149" s="27" t="s">
        <v>929</v>
      </c>
      <c r="D149" s="27" t="s">
        <v>930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1012</v>
      </c>
      <c r="B150" s="27" t="s">
        <v>972</v>
      </c>
      <c r="C150" s="27" t="s">
        <v>1013</v>
      </c>
      <c r="D150" s="27" t="s">
        <v>930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994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942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/>
    </row>
    <row r="154" spans="1:12">
      <c r="A154" s="20" t="s">
        <v>1025</v>
      </c>
    </row>
    <row r="155" spans="1:12">
      <c r="A155" s="20" t="s">
        <v>1026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17</v>
      </c>
      <c r="B156" s="27" t="s">
        <v>950</v>
      </c>
      <c r="C156" s="27" t="s">
        <v>1013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1027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925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980</v>
      </c>
      <c r="B159" s="27" t="s">
        <v>968</v>
      </c>
      <c r="C159" s="27" t="s">
        <v>929</v>
      </c>
      <c r="D159" s="27" t="s">
        <v>930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969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1028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1029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942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/>
    </row>
    <row r="165" spans="1:12">
      <c r="A165" s="20" t="s">
        <v>1030</v>
      </c>
    </row>
    <row r="166" spans="1:12">
      <c r="A166" s="20" t="s">
        <v>1009</v>
      </c>
      <c r="B166" s="27" t="s">
        <v>947</v>
      </c>
      <c r="C166" s="27" t="s">
        <v>929</v>
      </c>
      <c r="D166" s="27" t="s">
        <v>930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969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1031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937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960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925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989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1012</v>
      </c>
      <c r="B173" s="27" t="s">
        <v>934</v>
      </c>
      <c r="C173" s="27" t="s">
        <v>1013</v>
      </c>
      <c r="D173" s="27" t="s">
        <v>930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969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979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500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980</v>
      </c>
      <c r="B177" s="27" t="s">
        <v>968</v>
      </c>
      <c r="C177" s="27" t="s">
        <v>929</v>
      </c>
      <c r="D177" s="27" t="s">
        <v>930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1032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1033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11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11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1012</v>
      </c>
      <c r="B182" s="27" t="s">
        <v>968</v>
      </c>
      <c r="C182" s="27" t="s">
        <v>1013</v>
      </c>
      <c r="D182" s="27" t="s">
        <v>930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979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500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1034</v>
      </c>
      <c r="B185" s="27" t="s">
        <v>968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1035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1036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1037</v>
      </c>
      <c r="B188" s="27" t="s">
        <v>928</v>
      </c>
      <c r="C188" s="27" t="s">
        <v>951</v>
      </c>
      <c r="D188" s="27" t="s">
        <v>930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969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1038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937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1039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925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990</v>
      </c>
      <c r="B194" s="27" t="s">
        <v>934</v>
      </c>
      <c r="C194" s="27" t="s">
        <v>929</v>
      </c>
      <c r="D194" s="27" t="s">
        <v>930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1038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937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1040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942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/>
    </row>
    <row r="200" spans="1:12">
      <c r="A200" s="20" t="s">
        <v>1041</v>
      </c>
    </row>
    <row r="201" spans="1:12">
      <c r="A201" s="20" t="s">
        <v>1042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980</v>
      </c>
      <c r="B202" s="27" t="s">
        <v>947</v>
      </c>
      <c r="C202" s="27" t="s">
        <v>929</v>
      </c>
      <c r="D202" s="27" t="s">
        <v>930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1031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955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937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1043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1044</v>
      </c>
      <c r="B207" s="27" t="s">
        <v>954</v>
      </c>
      <c r="C207" s="27" t="s">
        <v>951</v>
      </c>
      <c r="D207" s="27" t="s">
        <v>930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989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959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937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962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942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/>
    </row>
    <row r="214" spans="1:12">
      <c r="A214" s="20" t="s">
        <v>1045</v>
      </c>
    </row>
    <row r="215" spans="1:12">
      <c r="A215" s="20" t="s">
        <v>1046</v>
      </c>
      <c r="B215" s="27" t="s">
        <v>947</v>
      </c>
      <c r="C215" s="27" t="s">
        <v>929</v>
      </c>
      <c r="D215" s="27" t="s">
        <v>930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1047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1048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999</v>
      </c>
      <c r="B218" s="27" t="s">
        <v>972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1035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1036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1037</v>
      </c>
      <c r="B221" s="27" t="s">
        <v>954</v>
      </c>
      <c r="C221" s="27" t="s">
        <v>951</v>
      </c>
      <c r="D221" s="27" t="s">
        <v>930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925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1049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1050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1051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1052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1053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925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1054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925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1055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925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1034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925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1056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1057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1058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942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/>
    </row>
    <row r="240" spans="1:12">
      <c r="A240" s="20" t="s">
        <v>1059</v>
      </c>
    </row>
    <row r="241" spans="1:12">
      <c r="A241" s="20" t="s">
        <v>1060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1061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969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1001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1029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1062</v>
      </c>
      <c r="B246" s="27" t="s">
        <v>947</v>
      </c>
      <c r="C246" s="27" t="s">
        <v>1013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942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/>
    </row>
    <row r="249" spans="1:12">
      <c r="A249" s="20" t="s">
        <v>1063</v>
      </c>
    </row>
    <row r="250" spans="1:12">
      <c r="A250" s="20" t="s">
        <v>1064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1065</v>
      </c>
      <c r="B251" s="27" t="s">
        <v>954</v>
      </c>
      <c r="C251" s="27" t="s">
        <v>1066</v>
      </c>
      <c r="D251" s="27" t="s">
        <v>930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1067</v>
      </c>
      <c r="B252" s="27" t="s">
        <v>947</v>
      </c>
      <c r="C252" s="27" t="s">
        <v>1068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1069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1070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1071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236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1072</v>
      </c>
      <c r="B257" s="27" t="s">
        <v>950</v>
      </c>
      <c r="C257" s="27" t="s">
        <v>1068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942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/>
    </row>
    <row r="260" spans="1:12">
      <c r="A260" s="20" t="s">
        <v>1073</v>
      </c>
    </row>
    <row r="261" spans="1:12">
      <c r="A261" s="20" t="s">
        <v>1074</v>
      </c>
      <c r="B261" s="27" t="s">
        <v>954</v>
      </c>
      <c r="C261" s="27" t="s">
        <v>1066</v>
      </c>
      <c r="D261" s="27" t="s">
        <v>930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1075</v>
      </c>
      <c r="B262" s="27" t="s">
        <v>947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1076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1071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273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942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/>
    </row>
    <row r="268" spans="1:12">
      <c r="A268" s="20" t="s">
        <v>1077</v>
      </c>
    </row>
    <row r="269" spans="1:12">
      <c r="A269" s="20" t="s">
        <v>1078</v>
      </c>
      <c r="B269" s="27" t="s">
        <v>947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1079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1017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311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942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/>
    </row>
    <row r="275" spans="1:12">
      <c r="A275" s="20" t="s">
        <v>1080</v>
      </c>
    </row>
    <row r="276" spans="1:12">
      <c r="A276" s="20" t="s">
        <v>1009</v>
      </c>
      <c r="B276" s="27" t="s">
        <v>947</v>
      </c>
      <c r="C276" s="27" t="s">
        <v>929</v>
      </c>
      <c r="D276" s="27" t="s">
        <v>930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973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1081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925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500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1082</v>
      </c>
      <c r="B281" s="27" t="s">
        <v>928</v>
      </c>
      <c r="C281" s="27" t="s">
        <v>1066</v>
      </c>
      <c r="D281" s="27" t="s">
        <v>930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1083</v>
      </c>
      <c r="B282" s="27" t="s">
        <v>968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1084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1085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1035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1086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942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/>
    </row>
    <row r="289" spans="1:12">
      <c r="A289" s="20" t="s">
        <v>1087</v>
      </c>
    </row>
    <row r="290" spans="1:12">
      <c r="A290" s="20" t="s">
        <v>1026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1088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1012</v>
      </c>
      <c r="B292" s="27" t="s">
        <v>947</v>
      </c>
      <c r="C292" s="27" t="s">
        <v>1013</v>
      </c>
      <c r="D292" s="27" t="s">
        <v>930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1089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969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1090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989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969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1091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1017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1092</v>
      </c>
      <c r="B300" s="27" t="s">
        <v>950</v>
      </c>
      <c r="C300" s="27" t="s">
        <v>929</v>
      </c>
      <c r="D300" s="27" t="s">
        <v>930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925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979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500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1093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1094</v>
      </c>
      <c r="B305" s="27" t="s">
        <v>934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1095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942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/>
    </row>
    <row r="309" spans="1:12">
      <c r="A309" s="20" t="s">
        <v>1096</v>
      </c>
    </row>
    <row r="310" spans="1:12">
      <c r="A310" s="20" t="s">
        <v>1097</v>
      </c>
      <c r="B310" s="27" t="s">
        <v>947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925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1098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1099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937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1100</v>
      </c>
      <c r="B315" s="27" t="s">
        <v>928</v>
      </c>
      <c r="C315" s="27" t="s">
        <v>941</v>
      </c>
      <c r="D315" s="27" t="s">
        <v>930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1101</v>
      </c>
      <c r="B316" s="27" t="s">
        <v>928</v>
      </c>
      <c r="C316" s="27" t="s">
        <v>941</v>
      </c>
      <c r="D316" s="27" t="s">
        <v>930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925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1102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76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1103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1091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977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925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1104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1105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1106</v>
      </c>
      <c r="B326" s="27" t="s">
        <v>940</v>
      </c>
      <c r="C326" s="27" t="s">
        <v>1068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937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1107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1108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1109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1072</v>
      </c>
      <c r="B331" s="27" t="s">
        <v>1110</v>
      </c>
      <c r="C331" s="27" t="s">
        <v>1068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1111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1112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942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1113</v>
      </c>
    </row>
    <row r="337" spans="1:12">
      <c r="A337" s="20" t="s">
        <v>1114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1115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948</v>
      </c>
      <c r="B339" s="27" t="s">
        <v>950</v>
      </c>
      <c r="C339" s="27" t="s">
        <v>1013</v>
      </c>
      <c r="D339" s="27" t="s">
        <v>930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942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/>
    </row>
    <row r="342" spans="1:12">
      <c r="A342" s="20" t="s">
        <v>1116</v>
      </c>
    </row>
    <row r="343" spans="1:12">
      <c r="A343" s="20" t="s">
        <v>1117</v>
      </c>
      <c r="B343" s="27" t="s">
        <v>947</v>
      </c>
      <c r="C343" s="27" t="s">
        <v>1013</v>
      </c>
      <c r="D343" s="27" t="s">
        <v>930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1118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91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942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/>
    </row>
    <row r="348" spans="1:12">
      <c r="A348" s="20" t="s">
        <v>1119</v>
      </c>
    </row>
    <row r="349" spans="1:12">
      <c r="A349" s="20" t="s">
        <v>1120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452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1012</v>
      </c>
      <c r="B351" s="27" t="s">
        <v>947</v>
      </c>
      <c r="C351" s="27" t="s">
        <v>1013</v>
      </c>
      <c r="D351" s="27" t="s">
        <v>930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95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1121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/>
    </row>
    <row r="355" spans="1:12">
      <c r="A355" s="20" t="s">
        <v>1122</v>
      </c>
    </row>
    <row r="356" spans="1:12">
      <c r="A356" s="20" t="s">
        <v>1123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942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/>
    </row>
    <row r="359" spans="1:12">
      <c r="A359" s="20" t="s">
        <v>1124</v>
      </c>
    </row>
    <row r="360" spans="1:12">
      <c r="A360" s="20" t="s">
        <v>1123</v>
      </c>
      <c r="B360" s="27" t="s">
        <v>947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1125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1126</v>
      </c>
      <c r="B362" s="27" t="s">
        <v>972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1106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1035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1036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1037</v>
      </c>
      <c r="B366" s="27" t="s">
        <v>954</v>
      </c>
      <c r="C366" s="27" t="s">
        <v>951</v>
      </c>
      <c r="D366" s="27" t="s">
        <v>930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942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/>
    </row>
    <row r="369" spans="1:12">
      <c r="A369" s="20" t="s">
        <v>1127</v>
      </c>
    </row>
    <row r="370" spans="1:12">
      <c r="A370" s="20" t="s">
        <v>1128</v>
      </c>
      <c r="B370" s="27" t="s">
        <v>947</v>
      </c>
      <c r="C370" s="27" t="s">
        <v>929</v>
      </c>
      <c r="D370" s="27" t="s">
        <v>930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1129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1130</v>
      </c>
      <c r="B372" s="27" t="s">
        <v>972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1131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95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925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1132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1133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1134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1135</v>
      </c>
      <c r="B379" s="27" t="s">
        <v>968</v>
      </c>
      <c r="C379" s="27" t="s">
        <v>1068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937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1136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1137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942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/>
    </row>
    <row r="385" spans="1:12">
      <c r="A385" s="20" t="s">
        <v>1138</v>
      </c>
    </row>
    <row r="386" spans="1:12">
      <c r="A386" s="20" t="s">
        <v>1139</v>
      </c>
      <c r="B386" s="27" t="s">
        <v>972</v>
      </c>
      <c r="C386" s="27" t="s">
        <v>929</v>
      </c>
      <c r="D386" s="27" t="s">
        <v>930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111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942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/>
    </row>
    <row r="390" spans="1:12">
      <c r="A390" s="20" t="s">
        <v>1140</v>
      </c>
    </row>
    <row r="391" spans="1:12">
      <c r="A391" s="20" t="s">
        <v>1128</v>
      </c>
      <c r="B391" s="27" t="s">
        <v>947</v>
      </c>
      <c r="C391" s="27" t="s">
        <v>929</v>
      </c>
      <c r="D391" s="27" t="s">
        <v>930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1141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942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/>
    </row>
    <row r="395" spans="1:12">
      <c r="A395" s="20" t="s">
        <v>1142</v>
      </c>
    </row>
    <row r="396" spans="1:12">
      <c r="A396" s="20" t="s">
        <v>1046</v>
      </c>
      <c r="B396" s="27" t="s">
        <v>947</v>
      </c>
      <c r="C396" s="27" t="s">
        <v>929</v>
      </c>
      <c r="D396" s="27" t="s">
        <v>930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1143</v>
      </c>
      <c r="B397" s="27" t="s">
        <v>972</v>
      </c>
      <c r="C397" s="27" t="s">
        <v>929</v>
      </c>
      <c r="D397" s="27" t="s">
        <v>930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1144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942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/>
    </row>
    <row r="401" spans="1:12">
      <c r="A401" s="20" t="s">
        <v>1145</v>
      </c>
    </row>
    <row r="402" spans="1:12">
      <c r="A402" s="20" t="s">
        <v>123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1146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/>
    </row>
    <row r="405" spans="1:12">
      <c r="A405" s="20" t="s">
        <v>1147</v>
      </c>
    </row>
    <row r="406" spans="1:12">
      <c r="A406" s="20" t="s">
        <v>1148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1107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1149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925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1150</v>
      </c>
      <c r="B410" s="27" t="s">
        <v>947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925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1151</v>
      </c>
      <c r="B412" s="27" t="s">
        <v>934</v>
      </c>
      <c r="C412" s="27" t="s">
        <v>976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1152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1153</v>
      </c>
      <c r="B414" s="27" t="s">
        <v>1154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1070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1155</v>
      </c>
      <c r="B416" s="27" t="s">
        <v>1154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1111</v>
      </c>
      <c r="B417" s="27" t="s">
        <v>1154</v>
      </c>
      <c r="C417" s="27" t="s">
        <v>1013</v>
      </c>
      <c r="D417" s="27" t="s">
        <v>930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1112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925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1156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1157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969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1158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942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/>
    </row>
    <row r="426" spans="1:12">
      <c r="A426" s="20" t="s">
        <v>1159</v>
      </c>
    </row>
    <row r="427" spans="1:12">
      <c r="A427" s="20" t="s">
        <v>1160</v>
      </c>
      <c r="B427" s="27" t="s">
        <v>968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925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1161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925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1162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942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942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942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1163</v>
      </c>
      <c r="B435" s="27" t="s">
        <v>947</v>
      </c>
      <c r="C435" s="27" t="s">
        <v>976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1164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1165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925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500</v>
      </c>
      <c r="B439" s="27" t="s">
        <v>950</v>
      </c>
      <c r="C439" s="27" t="s">
        <v>976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1012</v>
      </c>
      <c r="B440" s="27" t="s">
        <v>968</v>
      </c>
      <c r="C440" s="27" t="s">
        <v>1013</v>
      </c>
      <c r="D440" s="27" t="s">
        <v>930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1166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1121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/>
    </row>
    <row r="444" spans="1:12">
      <c r="A444" s="20" t="s">
        <v>1167</v>
      </c>
    </row>
    <row r="445" spans="1:12">
      <c r="A445" s="20" t="s">
        <v>1168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925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1169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1170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925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1171</v>
      </c>
      <c r="B450" s="27" t="s">
        <v>954</v>
      </c>
      <c r="C450" s="27" t="s">
        <v>1066</v>
      </c>
      <c r="D450" s="27" t="s">
        <v>930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1172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1173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1126</v>
      </c>
      <c r="B453" s="27" t="s">
        <v>1154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1106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925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1012</v>
      </c>
      <c r="B456" s="27" t="s">
        <v>968</v>
      </c>
      <c r="C456" s="27" t="s">
        <v>1013</v>
      </c>
      <c r="D456" s="27" t="s">
        <v>930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1088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1174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1175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1176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942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/>
    </row>
    <row r="463" spans="1:12">
      <c r="A463" s="20" t="s">
        <v>1177</v>
      </c>
    </row>
    <row r="464" spans="1:12">
      <c r="A464" s="20" t="s">
        <v>945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1178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925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1179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139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925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1180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1181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925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1182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969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1182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925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1183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1181</v>
      </c>
      <c r="B479" s="27" t="s">
        <v>1003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925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1184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969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1182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1108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1012</v>
      </c>
      <c r="B485" s="27" t="s">
        <v>1003</v>
      </c>
      <c r="C485" s="27" t="s">
        <v>1013</v>
      </c>
      <c r="D485" s="27" t="s">
        <v>930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1185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1028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1186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1187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1137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942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/>
    </row>
    <row r="493" spans="1:12">
      <c r="A493" s="20" t="s">
        <v>1188</v>
      </c>
    </row>
    <row r="494" spans="1:12">
      <c r="A494" s="20" t="s">
        <v>1117</v>
      </c>
      <c r="B494" s="27" t="s">
        <v>947</v>
      </c>
      <c r="C494" s="27" t="s">
        <v>1013</v>
      </c>
      <c r="D494" s="27" t="s">
        <v>930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1088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1189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1190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942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/>
    </row>
    <row r="500" spans="1:12">
      <c r="A500" s="20" t="s">
        <v>1191</v>
      </c>
    </row>
    <row r="501" spans="1:12">
      <c r="A501" s="20" t="s">
        <v>1192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1193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925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1012</v>
      </c>
      <c r="B504" s="27" t="s">
        <v>947</v>
      </c>
      <c r="C504" s="27" t="s">
        <v>1013</v>
      </c>
      <c r="D504" s="27" t="s">
        <v>930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946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1189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1190</v>
      </c>
      <c r="B507" s="27" t="s">
        <v>950</v>
      </c>
      <c r="C507" s="27" t="s">
        <v>1068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925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979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500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1093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1194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1195</v>
      </c>
      <c r="B513" s="27" t="s">
        <v>968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925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989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1196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1197</v>
      </c>
      <c r="B517" s="27" t="s">
        <v>954</v>
      </c>
      <c r="C517" s="27" t="s">
        <v>929</v>
      </c>
      <c r="D517" s="27" t="s">
        <v>930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969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1198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1199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1200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925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989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1134</v>
      </c>
      <c r="B524" s="27" t="s">
        <v>968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1028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1197</v>
      </c>
      <c r="B526" s="27" t="s">
        <v>928</v>
      </c>
      <c r="C526" s="27" t="s">
        <v>929</v>
      </c>
      <c r="D526" s="27" t="s">
        <v>930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1201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937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1202</v>
      </c>
      <c r="B529" s="27" t="s">
        <v>954</v>
      </c>
      <c r="C529" s="27" t="s">
        <v>1013</v>
      </c>
      <c r="D529" s="27" t="s">
        <v>930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925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500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1203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1035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946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1204</v>
      </c>
      <c r="B535" s="27" t="s">
        <v>1205</v>
      </c>
      <c r="C535" s="27" t="s">
        <v>1066</v>
      </c>
      <c r="D535" s="27" t="s">
        <v>930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1206</v>
      </c>
      <c r="B536" s="27" t="s">
        <v>940</v>
      </c>
      <c r="C536" s="27" t="s">
        <v>1068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925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1207</v>
      </c>
      <c r="B538" s="27" t="s">
        <v>1003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1106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1208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1209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1210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1211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1212</v>
      </c>
      <c r="B544" s="27" t="s">
        <v>940</v>
      </c>
      <c r="C544" s="27" t="s">
        <v>1068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1035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1036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1037</v>
      </c>
      <c r="B547" s="27" t="s">
        <v>1205</v>
      </c>
      <c r="C547" s="27" t="s">
        <v>951</v>
      </c>
      <c r="D547" s="27" t="s">
        <v>930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942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/>
    </row>
    <row r="550" spans="1:12">
      <c r="A550" s="20" t="s">
        <v>1213</v>
      </c>
    </row>
    <row r="551" spans="1:12">
      <c r="A551" s="20" t="s">
        <v>1117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1214</v>
      </c>
      <c r="B552" s="27" t="s">
        <v>947</v>
      </c>
      <c r="C552" s="27" t="s">
        <v>951</v>
      </c>
      <c r="D552" s="27" t="s">
        <v>930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1215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925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989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1215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973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925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973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1216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925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989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1012</v>
      </c>
      <c r="B563" s="27" t="s">
        <v>968</v>
      </c>
      <c r="C563" s="27" t="s">
        <v>1013</v>
      </c>
      <c r="D563" s="27" t="s">
        <v>930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1217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942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/>
    </row>
    <row r="567" spans="1:12">
      <c r="A567" s="20" t="s">
        <v>1218</v>
      </c>
    </row>
    <row r="568" spans="1:12">
      <c r="A568" s="20" t="s">
        <v>1219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1220</v>
      </c>
      <c r="B569" s="27" t="s">
        <v>950</v>
      </c>
      <c r="C569" s="27" t="s">
        <v>1013</v>
      </c>
      <c r="D569" s="27" t="s">
        <v>930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925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774</v>
      </c>
      <c r="B571" s="27" t="s">
        <v>947</v>
      </c>
      <c r="C571" s="27" t="s">
        <v>929</v>
      </c>
      <c r="D571" s="27" t="s">
        <v>930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1221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1222</v>
      </c>
      <c r="B573" s="27" t="s">
        <v>954</v>
      </c>
      <c r="C573" s="27" t="s">
        <v>1066</v>
      </c>
      <c r="D573" s="27" t="s">
        <v>930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1223</v>
      </c>
      <c r="B574" s="27" t="s">
        <v>972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925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1224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1225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1226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1043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1227</v>
      </c>
      <c r="B580" s="27" t="s">
        <v>975</v>
      </c>
      <c r="C580" s="27" t="s">
        <v>951</v>
      </c>
      <c r="D580" s="27" t="s">
        <v>930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942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/>
    </row>
    <row r="583" spans="1:12">
      <c r="A583" s="20" t="s">
        <v>1228</v>
      </c>
    </row>
    <row r="584" spans="1:12">
      <c r="A584" s="20" t="s">
        <v>1229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158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925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1230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1231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925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1232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1233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925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1234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925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1235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1052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1088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1012</v>
      </c>
      <c r="B598" s="27" t="s">
        <v>934</v>
      </c>
      <c r="C598" s="27" t="s">
        <v>1013</v>
      </c>
      <c r="D598" s="27" t="s">
        <v>930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1236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925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973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1237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1236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925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989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1184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774</v>
      </c>
      <c r="B607" s="27" t="s">
        <v>1003</v>
      </c>
      <c r="C607" s="27" t="s">
        <v>929</v>
      </c>
      <c r="D607" s="27" t="s">
        <v>930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969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1238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1239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1240</v>
      </c>
      <c r="B611" s="27" t="s">
        <v>1241</v>
      </c>
      <c r="C611" s="27" t="s">
        <v>1242</v>
      </c>
      <c r="D611" s="27" t="s">
        <v>930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1028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1036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1243</v>
      </c>
      <c r="B614" s="27" t="s">
        <v>1205</v>
      </c>
      <c r="C614" s="27" t="s">
        <v>951</v>
      </c>
      <c r="D614" s="27" t="s">
        <v>930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925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1244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989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774</v>
      </c>
      <c r="B618" s="27" t="s">
        <v>1003</v>
      </c>
      <c r="C618" s="27" t="s">
        <v>929</v>
      </c>
      <c r="D618" s="27" t="s">
        <v>930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942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/>
    </row>
    <row r="621" spans="1:12">
      <c r="A621" s="20" t="s">
        <v>1245</v>
      </c>
    </row>
    <row r="622" spans="1:12">
      <c r="A622" s="20" t="s">
        <v>1246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500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986</v>
      </c>
      <c r="B624" s="27" t="s">
        <v>947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162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1052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1247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1248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774</v>
      </c>
      <c r="B629" s="27" t="s">
        <v>968</v>
      </c>
      <c r="C629" s="27" t="s">
        <v>929</v>
      </c>
      <c r="D629" s="27" t="s">
        <v>930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1012</v>
      </c>
      <c r="B630" s="27" t="s">
        <v>1154</v>
      </c>
      <c r="C630" s="27" t="s">
        <v>1013</v>
      </c>
      <c r="D630" s="27" t="s">
        <v>930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1249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1121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/>
    </row>
    <row r="634" spans="1:12">
      <c r="A634" s="20" t="s">
        <v>1250</v>
      </c>
    </row>
    <row r="635" spans="1:12">
      <c r="A635" s="20" t="s">
        <v>1009</v>
      </c>
      <c r="B635" s="27" t="s">
        <v>968</v>
      </c>
      <c r="C635" s="27" t="s">
        <v>929</v>
      </c>
      <c r="D635" s="27" t="s">
        <v>930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1251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925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1247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942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/>
    </row>
    <row r="641" spans="1:12">
      <c r="A641" s="20" t="s">
        <v>1252</v>
      </c>
    </row>
    <row r="642" spans="1:12">
      <c r="A642" s="20" t="s">
        <v>1009</v>
      </c>
      <c r="B642" s="27" t="s">
        <v>968</v>
      </c>
      <c r="C642" s="27" t="s">
        <v>929</v>
      </c>
      <c r="D642" s="27" t="s">
        <v>930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1251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925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1253</v>
      </c>
      <c r="B645" s="27" t="s">
        <v>972</v>
      </c>
      <c r="C645" s="27" t="s">
        <v>929</v>
      </c>
      <c r="D645" s="27" t="s">
        <v>930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1254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925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500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774</v>
      </c>
      <c r="B649" s="27" t="s">
        <v>968</v>
      </c>
      <c r="C649" s="27" t="s">
        <v>929</v>
      </c>
      <c r="D649" s="27" t="s">
        <v>930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1255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1256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1257</v>
      </c>
      <c r="B652" s="27" t="s">
        <v>1154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925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1258</v>
      </c>
      <c r="B654" s="27" t="s">
        <v>1259</v>
      </c>
      <c r="C654" s="27" t="s">
        <v>976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1084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1260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1261</v>
      </c>
      <c r="B657" s="27" t="s">
        <v>1262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1263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925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969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1264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1265</v>
      </c>
      <c r="B662" s="27" t="s">
        <v>1266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925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1035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1258</v>
      </c>
      <c r="B665" s="27" t="s">
        <v>1267</v>
      </c>
      <c r="C665" s="27" t="s">
        <v>976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990</v>
      </c>
      <c r="B666" s="27" t="s">
        <v>1268</v>
      </c>
      <c r="C666" s="27" t="s">
        <v>929</v>
      </c>
      <c r="D666" s="27" t="s">
        <v>930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1269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942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/>
    </row>
    <row r="670" spans="1:12">
      <c r="A670" s="20" t="s">
        <v>1270</v>
      </c>
    </row>
    <row r="671" spans="1:12">
      <c r="A671" s="20" t="s">
        <v>1009</v>
      </c>
      <c r="B671" s="27" t="s">
        <v>947</v>
      </c>
      <c r="C671" s="27" t="s">
        <v>929</v>
      </c>
      <c r="D671" s="27" t="s">
        <v>930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1251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925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500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774</v>
      </c>
      <c r="B675" s="27" t="s">
        <v>968</v>
      </c>
      <c r="C675" s="27" t="s">
        <v>929</v>
      </c>
      <c r="D675" s="27" t="s">
        <v>930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1255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1271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127</v>
      </c>
      <c r="B678" s="27" t="s">
        <v>1154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1272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925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1273</v>
      </c>
      <c r="B681" s="27" t="s">
        <v>1262</v>
      </c>
      <c r="C681" s="27" t="s">
        <v>976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1274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948</v>
      </c>
      <c r="B683" s="27" t="s">
        <v>1205</v>
      </c>
      <c r="C683" s="27" t="s">
        <v>1013</v>
      </c>
      <c r="D683" s="27" t="s">
        <v>930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1275</v>
      </c>
      <c r="B684" s="27" t="s">
        <v>1259</v>
      </c>
      <c r="C684" s="27" t="s">
        <v>929</v>
      </c>
      <c r="D684" s="27" t="s">
        <v>930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969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1276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942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/>
    </row>
    <row r="689" spans="1:12">
      <c r="A689" s="20" t="s">
        <v>1277</v>
      </c>
    </row>
    <row r="690" spans="1:12">
      <c r="A690" s="20" t="s">
        <v>1009</v>
      </c>
      <c r="B690" s="27" t="s">
        <v>947</v>
      </c>
      <c r="C690" s="27" t="s">
        <v>929</v>
      </c>
      <c r="D690" s="27" t="s">
        <v>930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1278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95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1279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925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989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111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925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1012</v>
      </c>
      <c r="B698" s="27" t="s">
        <v>975</v>
      </c>
      <c r="C698" s="27" t="s">
        <v>1013</v>
      </c>
      <c r="D698" s="27" t="s">
        <v>930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980</v>
      </c>
      <c r="B699" s="27" t="s">
        <v>968</v>
      </c>
      <c r="C699" s="27" t="s">
        <v>929</v>
      </c>
      <c r="D699" s="27" t="s">
        <v>930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1280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1021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1022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1023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942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/>
    </row>
    <row r="706" spans="1:12">
      <c r="A706" s="20" t="s">
        <v>1281</v>
      </c>
    </row>
    <row r="707" spans="1:12">
      <c r="A707" s="20" t="s">
        <v>1026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1282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1134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1283</v>
      </c>
      <c r="B710" s="27" t="s">
        <v>947</v>
      </c>
      <c r="C710" s="27" t="s">
        <v>1068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969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1284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1285</v>
      </c>
      <c r="B713" s="27" t="s">
        <v>972</v>
      </c>
      <c r="C713" s="27" t="s">
        <v>929</v>
      </c>
      <c r="D713" s="27" t="s">
        <v>930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1286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1209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1108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1134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1028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1287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925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1151</v>
      </c>
      <c r="B721" s="27" t="s">
        <v>1003</v>
      </c>
      <c r="C721" s="27" t="s">
        <v>976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969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1288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1285</v>
      </c>
      <c r="B724" s="27" t="s">
        <v>1259</v>
      </c>
      <c r="C724" s="27" t="s">
        <v>929</v>
      </c>
      <c r="D724" s="27" t="s">
        <v>930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1286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1209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1052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774</v>
      </c>
      <c r="B728" s="27" t="s">
        <v>1262</v>
      </c>
      <c r="C728" s="27" t="s">
        <v>929</v>
      </c>
      <c r="D728" s="27" t="s">
        <v>930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1061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969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1289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937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1290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1291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1156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925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1292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1293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925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989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926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927</v>
      </c>
      <c r="B742" s="27" t="s">
        <v>1110</v>
      </c>
      <c r="C742" s="27" t="s">
        <v>929</v>
      </c>
      <c r="D742" s="27" t="s">
        <v>930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1061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969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1001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1294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1034</v>
      </c>
      <c r="B747" s="27" t="s">
        <v>1295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1296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1275</v>
      </c>
      <c r="B749" s="27" t="s">
        <v>1297</v>
      </c>
      <c r="C749" s="27" t="s">
        <v>1066</v>
      </c>
      <c r="D749" s="27" t="s">
        <v>930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1298</v>
      </c>
      <c r="B750" s="27" t="s">
        <v>1299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925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1292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1293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942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/>
    </row>
    <row r="756" spans="1:12">
      <c r="A756" s="20" t="s">
        <v>1300</v>
      </c>
    </row>
    <row r="757" spans="1:12">
      <c r="A757" s="20" t="s">
        <v>1046</v>
      </c>
      <c r="B757" s="27" t="s">
        <v>947</v>
      </c>
      <c r="C757" s="27" t="s">
        <v>929</v>
      </c>
      <c r="D757" s="27" t="s">
        <v>930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1301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1035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1302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1303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925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1303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1304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998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1305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1306</v>
      </c>
      <c r="B767" s="27" t="s">
        <v>928</v>
      </c>
      <c r="C767" s="27" t="s">
        <v>1068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942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/>
    </row>
    <row r="770" spans="1:12">
      <c r="A770" s="20" t="s">
        <v>1307</v>
      </c>
    </row>
    <row r="771" spans="1:12">
      <c r="A771" s="20" t="s">
        <v>945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1274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1308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1202</v>
      </c>
      <c r="B774" s="27" t="s">
        <v>950</v>
      </c>
      <c r="C774" s="27" t="s">
        <v>1013</v>
      </c>
      <c r="D774" s="27" t="s">
        <v>930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925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1092</v>
      </c>
      <c r="B776" s="27" t="s">
        <v>972</v>
      </c>
      <c r="C776" s="27" t="s">
        <v>929</v>
      </c>
      <c r="D776" s="27" t="s">
        <v>930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1309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1310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1311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1035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1312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1072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1112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925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1072</v>
      </c>
      <c r="B785" s="27" t="s">
        <v>928</v>
      </c>
      <c r="C785" s="27" t="s">
        <v>1068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1035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1313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925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1071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1314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925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1224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1315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999</v>
      </c>
      <c r="B794" s="27" t="s">
        <v>1154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925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1000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774</v>
      </c>
      <c r="B797" s="27" t="s">
        <v>1262</v>
      </c>
      <c r="C797" s="27" t="s">
        <v>929</v>
      </c>
      <c r="D797" s="27" t="s">
        <v>930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1316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1317</v>
      </c>
      <c r="B799" s="27" t="s">
        <v>1259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925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1316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1318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1319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1320</v>
      </c>
      <c r="B804" s="27" t="s">
        <v>1266</v>
      </c>
      <c r="C804" s="27" t="s">
        <v>951</v>
      </c>
      <c r="D804" s="27" t="s">
        <v>930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1321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925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1292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1099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942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/>
    </row>
    <row r="811" spans="1:12">
      <c r="A811" s="20" t="s">
        <v>1322</v>
      </c>
    </row>
    <row r="812" spans="1:12">
      <c r="A812" s="20" t="s">
        <v>1323</v>
      </c>
      <c r="B812" s="27" t="s">
        <v>947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1324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1325</v>
      </c>
      <c r="B814" s="27" t="s">
        <v>972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1326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1327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1328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925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500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1329</v>
      </c>
      <c r="B820" s="27" t="s">
        <v>1241</v>
      </c>
      <c r="C820" s="27" t="s">
        <v>929</v>
      </c>
      <c r="D820" s="27" t="s">
        <v>930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1199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969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1330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942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/>
    </row>
    <row r="826" spans="1:12">
      <c r="A826" s="20" t="s">
        <v>1331</v>
      </c>
    </row>
    <row r="827" spans="1:12">
      <c r="A827" s="20" t="s">
        <v>1332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1333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969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1102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1329</v>
      </c>
      <c r="B831" s="27" t="s">
        <v>954</v>
      </c>
      <c r="C831" s="27" t="s">
        <v>929</v>
      </c>
      <c r="D831" s="27" t="s">
        <v>930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1330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942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/>
    </row>
    <row r="835" spans="1:12">
      <c r="A835" s="20" t="s">
        <v>1334</v>
      </c>
    </row>
    <row r="836" spans="1:12">
      <c r="A836" s="20" t="s">
        <v>1335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925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1336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925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1211</v>
      </c>
      <c r="B840" s="27" t="s">
        <v>947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1337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1338</v>
      </c>
      <c r="B842" s="27" t="s">
        <v>972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1035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1339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1340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925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926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1197</v>
      </c>
      <c r="B848" s="27" t="s">
        <v>954</v>
      </c>
      <c r="C848" s="27" t="s">
        <v>929</v>
      </c>
      <c r="D848" s="27" t="s">
        <v>930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1341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1093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1338</v>
      </c>
      <c r="B851" s="27" t="s">
        <v>968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199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1342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1340</v>
      </c>
      <c r="B854" s="27" t="s">
        <v>1241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1343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1344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925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963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1345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925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1035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500</v>
      </c>
      <c r="B862" s="27" t="s">
        <v>928</v>
      </c>
      <c r="C862" s="27" t="s">
        <v>976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1133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926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1346</v>
      </c>
      <c r="B865" s="27" t="s">
        <v>934</v>
      </c>
      <c r="C865" s="27" t="s">
        <v>976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111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1347</v>
      </c>
      <c r="B867" s="27" t="s">
        <v>934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1121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/>
    </row>
    <row r="870" spans="1:12">
      <c r="A870" s="20" t="s">
        <v>1348</v>
      </c>
    </row>
    <row r="871" spans="1:12">
      <c r="A871" s="20" t="s">
        <v>1349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926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1346</v>
      </c>
      <c r="B873" s="27" t="s">
        <v>950</v>
      </c>
      <c r="C873" s="27" t="s">
        <v>976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111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1347</v>
      </c>
      <c r="B875" s="27" t="s">
        <v>947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199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1350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1351</v>
      </c>
      <c r="B878" s="27" t="s">
        <v>1154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942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/>
    </row>
    <row r="881" spans="1:12">
      <c r="A881" s="20" t="s">
        <v>1352</v>
      </c>
    </row>
    <row r="882" spans="1:12">
      <c r="A882" s="20" t="s">
        <v>1353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925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963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95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1354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942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/>
    </row>
    <row r="889" spans="1:12">
      <c r="A889" s="20" t="s">
        <v>1355</v>
      </c>
    </row>
    <row r="890" spans="1:12">
      <c r="A890" s="20" t="s">
        <v>1009</v>
      </c>
      <c r="B890" s="27" t="s">
        <v>947</v>
      </c>
      <c r="C890" s="27" t="s">
        <v>929</v>
      </c>
      <c r="D890" s="27" t="s">
        <v>930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1012</v>
      </c>
      <c r="B891" s="27" t="s">
        <v>947</v>
      </c>
      <c r="C891" s="27" t="s">
        <v>1013</v>
      </c>
      <c r="D891" s="27" t="s">
        <v>930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969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1356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1357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942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/>
    </row>
    <row r="897" spans="1:12">
      <c r="A897" s="20" t="s">
        <v>995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1358</v>
      </c>
    </row>
    <row r="899" spans="1:12">
      <c r="A899" s="20" t="s">
        <v>1359</v>
      </c>
      <c r="B899" s="27" t="s">
        <v>950</v>
      </c>
      <c r="C899" s="27" t="s">
        <v>1068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1360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1112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980</v>
      </c>
      <c r="B902" s="27" t="s">
        <v>947</v>
      </c>
      <c r="C902" s="27" t="s">
        <v>929</v>
      </c>
      <c r="D902" s="27" t="s">
        <v>930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1361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1362</v>
      </c>
      <c r="B904" s="27" t="s">
        <v>972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1196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1363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1364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1005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1365</v>
      </c>
      <c r="B909" s="27" t="s">
        <v>928</v>
      </c>
      <c r="C909" s="27" t="s">
        <v>941</v>
      </c>
      <c r="D909" s="27" t="s">
        <v>930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1005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925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1366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1362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942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/>
    </row>
    <row r="916" spans="1:12">
      <c r="A916" s="20" t="s">
        <v>1367</v>
      </c>
    </row>
    <row r="917" spans="1:12">
      <c r="A917" s="20" t="s">
        <v>945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1368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1369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1370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1371</v>
      </c>
      <c r="B921" s="27" t="s">
        <v>972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925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1371</v>
      </c>
      <c r="B923" s="27" t="s">
        <v>954</v>
      </c>
      <c r="C923" s="27" t="s">
        <v>1242</v>
      </c>
      <c r="D923" s="27" t="s">
        <v>930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1220</v>
      </c>
      <c r="B924" s="27" t="s">
        <v>928</v>
      </c>
      <c r="C924" s="27" t="s">
        <v>1013</v>
      </c>
      <c r="D924" s="27" t="s">
        <v>930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925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500</v>
      </c>
      <c r="B926" s="27" t="s">
        <v>1262</v>
      </c>
      <c r="C926" s="27" t="s">
        <v>976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1372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1373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1374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1375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1376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1377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937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1136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1137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942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/>
    </row>
    <row r="938" spans="1:12">
      <c r="A938" s="20" t="s">
        <v>1378</v>
      </c>
    </row>
    <row r="939" spans="1:12">
      <c r="A939" s="20" t="s">
        <v>1009</v>
      </c>
      <c r="B939" s="27" t="s">
        <v>947</v>
      </c>
      <c r="C939" s="27" t="s">
        <v>929</v>
      </c>
      <c r="D939" s="27" t="s">
        <v>930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969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1379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925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500</v>
      </c>
      <c r="B943" s="27" t="s">
        <v>975</v>
      </c>
      <c r="C943" s="27" t="s">
        <v>976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1285</v>
      </c>
      <c r="B944" s="27" t="s">
        <v>975</v>
      </c>
      <c r="C944" s="27" t="s">
        <v>929</v>
      </c>
      <c r="D944" s="27" t="s">
        <v>930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566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925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1380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1381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1132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1382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11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1361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1362</v>
      </c>
      <c r="B953" s="27" t="s">
        <v>1154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989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1383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1196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1384</v>
      </c>
      <c r="B957" s="27" t="s">
        <v>940</v>
      </c>
      <c r="C957" s="27" t="s">
        <v>929</v>
      </c>
      <c r="D957" s="27" t="s">
        <v>930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942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/>
    </row>
    <row r="960" spans="1:12">
      <c r="A960" s="20" t="s">
        <v>1385</v>
      </c>
    </row>
    <row r="961" spans="1:12">
      <c r="A961" s="20" t="s">
        <v>1026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1386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980</v>
      </c>
      <c r="B963" s="27" t="s">
        <v>947</v>
      </c>
      <c r="C963" s="27" t="s">
        <v>929</v>
      </c>
      <c r="D963" s="27" t="s">
        <v>930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1361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1362</v>
      </c>
      <c r="B965" s="27" t="s">
        <v>972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1196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1387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1388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1389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942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/>
    </row>
    <row r="972" spans="1:12">
      <c r="A972" s="20" t="s">
        <v>1390</v>
      </c>
    </row>
    <row r="973" spans="1:12">
      <c r="A973" s="20" t="s">
        <v>945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1088</v>
      </c>
      <c r="B974" s="27" t="s">
        <v>947</v>
      </c>
      <c r="C974" s="27" t="s">
        <v>929</v>
      </c>
      <c r="D974" s="27" t="s">
        <v>930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1391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11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1090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937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1392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1393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942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/>
    </row>
    <row r="983" spans="1:12">
      <c r="A983" s="20" t="s">
        <v>1394</v>
      </c>
    </row>
    <row r="984" spans="1:12">
      <c r="A984" s="20" t="s">
        <v>1323</v>
      </c>
      <c r="B984" s="27" t="s">
        <v>947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1132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1368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1395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1396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942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/>
    </row>
    <row r="991" spans="1:12">
      <c r="A991" s="20" t="s">
        <v>995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1397</v>
      </c>
    </row>
    <row r="993" spans="1:12">
      <c r="A993" s="20" t="s">
        <v>1042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980</v>
      </c>
      <c r="B994" s="27" t="s">
        <v>947</v>
      </c>
      <c r="C994" s="27" t="s">
        <v>929</v>
      </c>
      <c r="D994" s="27" t="s">
        <v>930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1361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989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1115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948</v>
      </c>
      <c r="B998" s="27" t="s">
        <v>950</v>
      </c>
      <c r="C998" s="27" t="s">
        <v>1013</v>
      </c>
      <c r="D998" s="27" t="s">
        <v>930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1362</v>
      </c>
      <c r="B999" s="27" t="s">
        <v>972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925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963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1398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969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1399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1400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925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452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1401</v>
      </c>
      <c r="B1008" s="27" t="s">
        <v>1003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1402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925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500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1012</v>
      </c>
      <c r="B1012" s="27" t="s">
        <v>1262</v>
      </c>
      <c r="C1012" s="27" t="s">
        <v>1013</v>
      </c>
      <c r="D1012" s="27" t="s">
        <v>930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1005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1403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11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1404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1005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925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452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990</v>
      </c>
      <c r="B1020" s="27" t="s">
        <v>1262</v>
      </c>
      <c r="C1020" s="27" t="s">
        <v>929</v>
      </c>
      <c r="D1020" s="27" t="s">
        <v>930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1405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925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500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1406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1407</v>
      </c>
      <c r="B1025" s="27" t="s">
        <v>1408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937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1409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925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1410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969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1411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925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1412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925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774</v>
      </c>
      <c r="B1035" s="27" t="s">
        <v>1295</v>
      </c>
      <c r="C1035" s="27" t="s">
        <v>929</v>
      </c>
      <c r="D1035" s="27" t="s">
        <v>930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1413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937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1414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1415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942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/>
    </row>
    <row r="1042" spans="1:12">
      <c r="A1042" s="20" t="s">
        <v>1416</v>
      </c>
    </row>
    <row r="1043" spans="1:12">
      <c r="A1043" s="20" t="s">
        <v>1026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925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967</v>
      </c>
      <c r="B1045" s="27" t="s">
        <v>968</v>
      </c>
      <c r="C1045" s="27" t="s">
        <v>929</v>
      </c>
      <c r="D1045" s="27" t="s">
        <v>930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1417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925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980</v>
      </c>
      <c r="B1048" s="27" t="s">
        <v>947</v>
      </c>
      <c r="C1048" s="27" t="s">
        <v>929</v>
      </c>
      <c r="D1048" s="27" t="s">
        <v>930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1418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987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1419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1052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1361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1420</v>
      </c>
      <c r="B1054" s="27" t="s">
        <v>975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989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1383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942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/>
    </row>
    <row r="1059" spans="1:12">
      <c r="A1059" s="20" t="s">
        <v>1421</v>
      </c>
    </row>
    <row r="1060" spans="1:12">
      <c r="A1060" s="20" t="s">
        <v>1148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1422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925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980</v>
      </c>
      <c r="B1063" s="27" t="s">
        <v>947</v>
      </c>
      <c r="C1063" s="27" t="s">
        <v>929</v>
      </c>
      <c r="D1063" s="27" t="s">
        <v>930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244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1052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1423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925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1424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925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1425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1426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925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95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989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1427</v>
      </c>
      <c r="B1075" s="27" t="s">
        <v>928</v>
      </c>
      <c r="C1075" s="27" t="s">
        <v>929</v>
      </c>
      <c r="D1075" s="27" t="s">
        <v>930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942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1428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1429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1430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1026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1431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1432</v>
      </c>
      <c r="B1082" s="27" t="s">
        <v>1262</v>
      </c>
      <c r="C1082" s="27" t="s">
        <v>951</v>
      </c>
      <c r="D1082" s="27" t="s">
        <v>930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969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1433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1285</v>
      </c>
      <c r="B1085" s="27" t="s">
        <v>1259</v>
      </c>
      <c r="C1085" s="27" t="s">
        <v>929</v>
      </c>
      <c r="D1085" s="27" t="s">
        <v>930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1434</v>
      </c>
      <c r="B1086" s="27" t="s">
        <v>1259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925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980</v>
      </c>
      <c r="B1088" s="27" t="s">
        <v>1295</v>
      </c>
      <c r="C1088" s="27" t="s">
        <v>929</v>
      </c>
      <c r="D1088" s="27" t="s">
        <v>930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1398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969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1399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1400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452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925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963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937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1435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1436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1437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942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/>
    </row>
    <row r="1102" spans="1:12">
      <c r="A1102" s="20" t="s">
        <v>1438</v>
      </c>
    </row>
    <row r="1103" spans="1:12">
      <c r="A1103" s="20" t="s">
        <v>1439</v>
      </c>
      <c r="B1103" s="27" t="s">
        <v>947</v>
      </c>
      <c r="C1103" s="27" t="s">
        <v>929</v>
      </c>
      <c r="D1103" s="27" t="s">
        <v>930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979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500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1440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1441</v>
      </c>
      <c r="B1107" s="27" t="s">
        <v>950</v>
      </c>
      <c r="C1107" s="27" t="s">
        <v>951</v>
      </c>
      <c r="D1107" s="27" t="s">
        <v>930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925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1151</v>
      </c>
      <c r="B1109" s="27" t="s">
        <v>968</v>
      </c>
      <c r="C1109" s="27" t="s">
        <v>976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1035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1442</v>
      </c>
      <c r="B1111" s="27" t="s">
        <v>954</v>
      </c>
      <c r="C1111" s="27" t="s">
        <v>929</v>
      </c>
      <c r="D1111" s="27" t="s">
        <v>930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1443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925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1035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1444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1445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1446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1447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969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1448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942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/>
    </row>
    <row r="1123" spans="1:12">
      <c r="A1123" s="20" t="s">
        <v>1449</v>
      </c>
    </row>
    <row r="1124" spans="1:12">
      <c r="A1124" s="20" t="s">
        <v>1117</v>
      </c>
      <c r="B1124" s="27" t="s">
        <v>947</v>
      </c>
      <c r="C1124" s="27" t="s">
        <v>1013</v>
      </c>
      <c r="D1124" s="27" t="s">
        <v>930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1450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1451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1401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925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1452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925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1453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942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/>
    </row>
    <row r="1134" spans="1:12">
      <c r="A1134" s="20" t="s">
        <v>1454</v>
      </c>
    </row>
    <row r="1135" spans="1:12">
      <c r="A1135" s="20" t="s">
        <v>1455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1456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977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925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500</v>
      </c>
      <c r="B1139" s="27" t="s">
        <v>975</v>
      </c>
      <c r="C1139" s="27" t="s">
        <v>976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1457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937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948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949</v>
      </c>
      <c r="B1143" s="27" t="s">
        <v>954</v>
      </c>
      <c r="C1143" s="27" t="s">
        <v>951</v>
      </c>
      <c r="D1143" s="27" t="s">
        <v>930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942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/>
    </row>
    <row r="1146" spans="1:12">
      <c r="A1146" s="20" t="s">
        <v>1458</v>
      </c>
    </row>
    <row r="1147" spans="1:12">
      <c r="A1147" s="20" t="s">
        <v>945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1012</v>
      </c>
      <c r="B1148" s="27" t="s">
        <v>947</v>
      </c>
      <c r="C1148" s="27" t="s">
        <v>1013</v>
      </c>
      <c r="D1148" s="27" t="s">
        <v>930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1442</v>
      </c>
      <c r="B1149" s="27" t="s">
        <v>972</v>
      </c>
      <c r="C1149" s="27" t="s">
        <v>929</v>
      </c>
      <c r="D1149" s="27" t="s">
        <v>930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1459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1460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925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963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1461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980</v>
      </c>
      <c r="B1155" s="27" t="s">
        <v>968</v>
      </c>
      <c r="C1155" s="27" t="s">
        <v>929</v>
      </c>
      <c r="D1155" s="27" t="s">
        <v>930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1462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925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500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1184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1463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263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1464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925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1465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774</v>
      </c>
      <c r="B1165" s="27" t="s">
        <v>934</v>
      </c>
      <c r="C1165" s="27" t="s">
        <v>929</v>
      </c>
      <c r="D1165" s="27" t="s">
        <v>930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1099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1427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937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1107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925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937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1466</v>
      </c>
      <c r="B1172" s="27" t="s">
        <v>1205</v>
      </c>
      <c r="C1172" s="27" t="s">
        <v>976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1467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1468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1469</v>
      </c>
      <c r="B1175" s="27" t="s">
        <v>1262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1017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1317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925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1470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1471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942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/>
    </row>
    <row r="1183" spans="1:12">
      <c r="A1183" s="20" t="s">
        <v>1472</v>
      </c>
    </row>
    <row r="1184" spans="1:12">
      <c r="A1184" s="20" t="s">
        <v>1046</v>
      </c>
      <c r="B1184" s="27" t="s">
        <v>947</v>
      </c>
      <c r="C1184" s="27" t="s">
        <v>929</v>
      </c>
      <c r="D1184" s="27" t="s">
        <v>930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1473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1196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1474</v>
      </c>
      <c r="B1187" s="27" t="s">
        <v>950</v>
      </c>
      <c r="C1187" s="27" t="s">
        <v>929</v>
      </c>
      <c r="D1187" s="27" t="s">
        <v>930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500</v>
      </c>
      <c r="B1188" s="27" t="s">
        <v>968</v>
      </c>
      <c r="C1188" s="27" t="s">
        <v>976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1475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942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/>
    </row>
    <row r="1192" spans="1:12">
      <c r="A1192" s="20" t="s">
        <v>995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1476</v>
      </c>
    </row>
    <row r="1194" spans="1:12">
      <c r="A1194" s="20" t="s">
        <v>1046</v>
      </c>
      <c r="B1194" s="27" t="s">
        <v>947</v>
      </c>
      <c r="C1194" s="27" t="s">
        <v>929</v>
      </c>
      <c r="D1194" s="27" t="s">
        <v>930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1473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1196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1474</v>
      </c>
      <c r="B1197" s="27" t="s">
        <v>950</v>
      </c>
      <c r="C1197" s="27" t="s">
        <v>929</v>
      </c>
      <c r="D1197" s="27" t="s">
        <v>930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1368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1477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925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1368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1478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1052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1005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1479</v>
      </c>
      <c r="B1205" s="27" t="s">
        <v>940</v>
      </c>
      <c r="C1205" s="27" t="s">
        <v>941</v>
      </c>
      <c r="D1205" s="27" t="s">
        <v>930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925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1480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1005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942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/>
    </row>
    <row r="1211" spans="1:12">
      <c r="A1211" s="20" t="s">
        <v>1481</v>
      </c>
    </row>
    <row r="1212" spans="1:12">
      <c r="A1212" s="20" t="s">
        <v>1482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925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1093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1035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1465</v>
      </c>
      <c r="B1216" s="27" t="s">
        <v>928</v>
      </c>
      <c r="C1216" s="27" t="s">
        <v>1013</v>
      </c>
      <c r="D1216" s="27" t="s">
        <v>930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1483</v>
      </c>
      <c r="B1217" s="27" t="s">
        <v>975</v>
      </c>
      <c r="C1217" s="27" t="s">
        <v>1242</v>
      </c>
      <c r="D1217" s="27" t="s">
        <v>930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925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989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774</v>
      </c>
      <c r="B1220" s="27" t="s">
        <v>968</v>
      </c>
      <c r="C1220" s="27" t="s">
        <v>929</v>
      </c>
      <c r="D1220" s="27" t="s">
        <v>930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1329</v>
      </c>
      <c r="B1221" s="27" t="s">
        <v>975</v>
      </c>
      <c r="C1221" s="27" t="s">
        <v>929</v>
      </c>
      <c r="D1221" s="27" t="s">
        <v>930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1484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1485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942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/>
    </row>
    <row r="1226" spans="1:12">
      <c r="A1226" s="20" t="s">
        <v>1486</v>
      </c>
    </row>
    <row r="1227" spans="1:12">
      <c r="A1227" s="20" t="s">
        <v>1046</v>
      </c>
      <c r="B1227" s="27" t="s">
        <v>947</v>
      </c>
      <c r="C1227" s="27" t="s">
        <v>929</v>
      </c>
      <c r="D1227" s="27" t="s">
        <v>930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1487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1488</v>
      </c>
      <c r="B1229" s="27" t="s">
        <v>972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937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1489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925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937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1490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925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989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1491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937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1492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1493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925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989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1012</v>
      </c>
      <c r="B1243" s="27" t="s">
        <v>968</v>
      </c>
      <c r="C1243" s="27" t="s">
        <v>1013</v>
      </c>
      <c r="D1243" s="27" t="s">
        <v>930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1494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1495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942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/>
    </row>
    <row r="1248" spans="1:12">
      <c r="A1248" s="20" t="s">
        <v>1496</v>
      </c>
    </row>
    <row r="1249" spans="1:12">
      <c r="A1249" s="20" t="s">
        <v>1497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1498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1499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1500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1501</v>
      </c>
      <c r="B1253" s="27" t="s">
        <v>954</v>
      </c>
      <c r="C1253" s="27" t="s">
        <v>1068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925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989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1211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1502</v>
      </c>
      <c r="B1257" s="27" t="s">
        <v>928</v>
      </c>
      <c r="C1257" s="27" t="s">
        <v>1068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942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/>
    </row>
    <row r="1260" spans="1:12">
      <c r="A1260" s="20" t="s">
        <v>995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1503</v>
      </c>
    </row>
    <row r="1262" spans="1:12">
      <c r="A1262" s="20" t="s">
        <v>1504</v>
      </c>
      <c r="B1262" s="27" t="s">
        <v>947</v>
      </c>
      <c r="C1262" s="27" t="s">
        <v>941</v>
      </c>
      <c r="D1262" s="27" t="s">
        <v>930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925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282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925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1005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1505</v>
      </c>
      <c r="B1267" s="27" t="s">
        <v>950</v>
      </c>
      <c r="C1267" s="27" t="s">
        <v>941</v>
      </c>
      <c r="D1267" s="27" t="s">
        <v>930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1005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925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1506</v>
      </c>
      <c r="B1270" s="27" t="s">
        <v>950</v>
      </c>
      <c r="C1270" s="27" t="s">
        <v>941</v>
      </c>
      <c r="D1270" s="27" t="s">
        <v>930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1428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1507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11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1508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1509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1510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1511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925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1512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1150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1513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1430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925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1514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1515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1516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925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1517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1368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1518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1519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998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1520</v>
      </c>
      <c r="B1293" s="27" t="s">
        <v>928</v>
      </c>
      <c r="C1293" s="27" t="s">
        <v>941</v>
      </c>
      <c r="D1293" s="27" t="s">
        <v>930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942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/>
    </row>
    <row r="1296" spans="1:12">
      <c r="A1296" s="20" t="s">
        <v>1521</v>
      </c>
    </row>
    <row r="1297" spans="1:12">
      <c r="A1297" s="20" t="s">
        <v>1522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925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500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1211</v>
      </c>
      <c r="B1300" s="27" t="s">
        <v>968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1102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1523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1524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1525</v>
      </c>
      <c r="B1304" s="27" t="s">
        <v>1154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942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/>
    </row>
    <row r="1307" spans="1:12">
      <c r="A1307" s="20" t="s">
        <v>1526</v>
      </c>
    </row>
    <row r="1308" spans="1:12">
      <c r="A1308" s="20" t="s">
        <v>1527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927</v>
      </c>
      <c r="B1309" s="27" t="s">
        <v>950</v>
      </c>
      <c r="C1309" s="27" t="s">
        <v>929</v>
      </c>
      <c r="D1309" s="27" t="s">
        <v>930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1093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1528</v>
      </c>
      <c r="B1311" s="27" t="s">
        <v>947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989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1529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1017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1530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925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1531</v>
      </c>
      <c r="B1317" s="27" t="s">
        <v>1241</v>
      </c>
      <c r="C1317" s="27" t="s">
        <v>976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774</v>
      </c>
      <c r="B1318" s="27" t="s">
        <v>1003</v>
      </c>
      <c r="C1318" s="27" t="s">
        <v>929</v>
      </c>
      <c r="D1318" s="27" t="s">
        <v>930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682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1532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1533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942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/>
    </row>
    <row r="1324" spans="1:12">
      <c r="A1324" s="20" t="s">
        <v>1534</v>
      </c>
    </row>
    <row r="1325" spans="1:12">
      <c r="A1325" s="20" t="s">
        <v>1535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95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1536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1537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942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/>
    </row>
    <row r="1331" spans="1:12">
      <c r="A1331" s="20" t="s">
        <v>1538</v>
      </c>
    </row>
    <row r="1332" spans="1:12">
      <c r="A1332" s="20" t="s">
        <v>1539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1528</v>
      </c>
      <c r="B1333" s="27" t="s">
        <v>972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925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1540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1541</v>
      </c>
      <c r="B1336" s="27" t="s">
        <v>975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925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1540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1542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942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/>
    </row>
    <row r="1342" spans="1:12">
      <c r="A1342" s="20" t="s">
        <v>1543</v>
      </c>
    </row>
    <row r="1343" spans="1:12">
      <c r="A1343" s="20" t="s">
        <v>993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1544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338</v>
      </c>
      <c r="B1345" s="27" t="s">
        <v>950</v>
      </c>
      <c r="C1345" s="27" t="s">
        <v>1545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1035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1488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942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/>
    </row>
    <row r="1350" spans="1:12">
      <c r="A1350" s="20" t="s">
        <v>1546</v>
      </c>
    </row>
    <row r="1351" spans="1:12">
      <c r="A1351" s="20" t="s">
        <v>1026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1282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500</v>
      </c>
      <c r="B1353" s="27" t="s">
        <v>947</v>
      </c>
      <c r="C1353" s="27" t="s">
        <v>976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1547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1052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1548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1549</v>
      </c>
      <c r="B1357" s="27" t="s">
        <v>1154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925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967</v>
      </c>
      <c r="B1359" s="27" t="s">
        <v>968</v>
      </c>
      <c r="C1359" s="27" t="s">
        <v>929</v>
      </c>
      <c r="D1359" s="27" t="s">
        <v>930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952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1329</v>
      </c>
      <c r="B1361" s="27" t="s">
        <v>1154</v>
      </c>
      <c r="C1361" s="27" t="s">
        <v>929</v>
      </c>
      <c r="D1361" s="27" t="s">
        <v>930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1550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925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963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1132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1198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1012</v>
      </c>
      <c r="B1367" s="27" t="s">
        <v>1154</v>
      </c>
      <c r="C1367" s="27" t="s">
        <v>1013</v>
      </c>
      <c r="D1367" s="27" t="s">
        <v>930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926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927</v>
      </c>
      <c r="B1369" s="27" t="s">
        <v>928</v>
      </c>
      <c r="C1369" s="27" t="s">
        <v>929</v>
      </c>
      <c r="D1369" s="27" t="s">
        <v>930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969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1551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1552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1553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942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/>
    </row>
    <row r="1376" spans="1:12">
      <c r="A1376" s="20" t="s">
        <v>1554</v>
      </c>
    </row>
    <row r="1377" spans="1:12">
      <c r="A1377" s="20" t="s">
        <v>945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980</v>
      </c>
      <c r="B1378" s="27" t="s">
        <v>947</v>
      </c>
      <c r="C1378" s="27" t="s">
        <v>929</v>
      </c>
      <c r="D1378" s="27" t="s">
        <v>930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1555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1027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925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452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1052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774</v>
      </c>
      <c r="B1384" s="27" t="s">
        <v>934</v>
      </c>
      <c r="C1384" s="27" t="s">
        <v>929</v>
      </c>
      <c r="D1384" s="27" t="s">
        <v>930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1556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1557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1558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925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1559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980</v>
      </c>
      <c r="B1390" s="27" t="s">
        <v>1003</v>
      </c>
      <c r="C1390" s="27" t="s">
        <v>929</v>
      </c>
      <c r="D1390" s="27" t="s">
        <v>930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1560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969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1561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11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989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925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1081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925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1061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969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1562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1183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942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/>
    </row>
    <row r="1405" spans="1:12">
      <c r="A1405" s="20" t="s">
        <v>1563</v>
      </c>
    </row>
    <row r="1406" spans="1:12">
      <c r="A1406" s="20" t="s">
        <v>1359</v>
      </c>
      <c r="B1406" s="27" t="s">
        <v>950</v>
      </c>
      <c r="C1406" s="27" t="s">
        <v>1068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1564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1112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925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1565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1566</v>
      </c>
      <c r="B1411" s="27" t="s">
        <v>947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925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1567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1566</v>
      </c>
      <c r="B1414" s="27" t="s">
        <v>1154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925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1273</v>
      </c>
      <c r="B1416" s="27" t="s">
        <v>1262</v>
      </c>
      <c r="C1416" s="27" t="s">
        <v>976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1568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1569</v>
      </c>
      <c r="B1418" s="27" t="s">
        <v>1259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1570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1557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1571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989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1572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1573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1574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1575</v>
      </c>
      <c r="B1426" s="27" t="s">
        <v>1297</v>
      </c>
      <c r="C1426" s="27" t="s">
        <v>941</v>
      </c>
      <c r="D1426" s="27" t="s">
        <v>930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1428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1576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925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1577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925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1161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1430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942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/>
    </row>
    <row r="1436" spans="1:12">
      <c r="A1436" s="20" t="s">
        <v>1578</v>
      </c>
    </row>
    <row r="1437" spans="1:12">
      <c r="A1437" s="20" t="s">
        <v>1579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316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942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/>
    </row>
    <row r="1441" spans="1:12">
      <c r="A1441" s="20" t="s">
        <v>1580</v>
      </c>
    </row>
    <row r="1442" spans="1:12">
      <c r="A1442" s="20" t="s">
        <v>1581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1582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1312</v>
      </c>
      <c r="B1444" s="27" t="s">
        <v>947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1583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925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1224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1584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925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1333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1248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1012</v>
      </c>
      <c r="B1452" s="27" t="s">
        <v>975</v>
      </c>
      <c r="C1452" s="27" t="s">
        <v>1013</v>
      </c>
      <c r="D1452" s="27" t="s">
        <v>930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942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/>
    </row>
    <row r="1455" spans="1:12">
      <c r="A1455" s="20" t="s">
        <v>1585</v>
      </c>
    </row>
    <row r="1456" spans="1:12">
      <c r="A1456" s="20" t="s">
        <v>1586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1312</v>
      </c>
      <c r="B1457" s="27" t="s">
        <v>947</v>
      </c>
      <c r="C1457" s="27" t="s">
        <v>951</v>
      </c>
      <c r="D1457" s="27" t="s">
        <v>930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1583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1450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1587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925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1012</v>
      </c>
      <c r="B1462" s="27" t="s">
        <v>968</v>
      </c>
      <c r="C1462" s="27" t="s">
        <v>1013</v>
      </c>
      <c r="D1462" s="27" t="s">
        <v>930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973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1588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986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942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/>
    </row>
    <row r="1468" spans="1:12">
      <c r="A1468" s="20" t="s">
        <v>1589</v>
      </c>
    </row>
    <row r="1469" spans="1:12">
      <c r="A1469" s="20" t="s">
        <v>1581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1590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1591</v>
      </c>
      <c r="B1471" s="27" t="s">
        <v>947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942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/>
    </row>
    <row r="1474" spans="1:12">
      <c r="A1474" s="20" t="s">
        <v>1592</v>
      </c>
    </row>
    <row r="1475" spans="1:12">
      <c r="A1475" s="20" t="s">
        <v>1593</v>
      </c>
      <c r="B1475" s="27" t="s">
        <v>947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1450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1590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1028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1594</v>
      </c>
      <c r="B1479" s="27" t="s">
        <v>950</v>
      </c>
      <c r="C1479" s="27" t="s">
        <v>941</v>
      </c>
      <c r="D1479" s="27" t="s">
        <v>930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925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1595</v>
      </c>
      <c r="B1481" s="27" t="s">
        <v>954</v>
      </c>
      <c r="C1481" s="27" t="s">
        <v>941</v>
      </c>
      <c r="D1481" s="27" t="s">
        <v>930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925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1596</v>
      </c>
      <c r="B1483" s="27" t="s">
        <v>954</v>
      </c>
      <c r="C1483" s="27" t="s">
        <v>941</v>
      </c>
      <c r="D1483" s="27" t="s">
        <v>930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925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1597</v>
      </c>
      <c r="B1485" s="27" t="s">
        <v>954</v>
      </c>
      <c r="C1485" s="27" t="s">
        <v>941</v>
      </c>
      <c r="D1485" s="27" t="s">
        <v>930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925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946</v>
      </c>
      <c r="B1487" s="27" t="s">
        <v>968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706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1598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1052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111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1599</v>
      </c>
      <c r="B1492" s="27" t="s">
        <v>934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925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111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1600</v>
      </c>
      <c r="B1495" s="27" t="s">
        <v>1003</v>
      </c>
      <c r="C1495" s="27" t="s">
        <v>1016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925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1164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1601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942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/>
    </row>
    <row r="1501" spans="1:12">
      <c r="A1501" s="20" t="s">
        <v>1602</v>
      </c>
    </row>
    <row r="1502" spans="1:12">
      <c r="A1502" s="20" t="s">
        <v>1026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1012</v>
      </c>
      <c r="B1503" s="27" t="s">
        <v>947</v>
      </c>
      <c r="C1503" s="27" t="s">
        <v>1013</v>
      </c>
      <c r="D1503" s="27" t="s">
        <v>930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338</v>
      </c>
      <c r="B1504" s="27" t="s">
        <v>950</v>
      </c>
      <c r="C1504" s="27" t="s">
        <v>1545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969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1603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942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/>
    </row>
    <row r="1509" spans="1:12">
      <c r="A1509" s="20" t="s">
        <v>1604</v>
      </c>
    </row>
    <row r="1510" spans="1:12">
      <c r="A1510" s="20" t="s">
        <v>1605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925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979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500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774</v>
      </c>
      <c r="B1514" s="27" t="s">
        <v>968</v>
      </c>
      <c r="C1514" s="27" t="s">
        <v>929</v>
      </c>
      <c r="D1514" s="27" t="s">
        <v>930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1606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937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1607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1549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925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937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1465</v>
      </c>
      <c r="B1521" s="27" t="s">
        <v>954</v>
      </c>
      <c r="C1521" s="27" t="s">
        <v>1013</v>
      </c>
      <c r="D1521" s="27" t="s">
        <v>930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925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500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774</v>
      </c>
      <c r="B1524" s="27" t="s">
        <v>1003</v>
      </c>
      <c r="C1524" s="27" t="s">
        <v>929</v>
      </c>
      <c r="D1524" s="27" t="s">
        <v>930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1608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961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937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1465</v>
      </c>
      <c r="B1528" s="27" t="s">
        <v>940</v>
      </c>
      <c r="C1528" s="27" t="s">
        <v>1013</v>
      </c>
      <c r="D1528" s="27" t="s">
        <v>930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925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500</v>
      </c>
      <c r="B1530" s="27" t="s">
        <v>1295</v>
      </c>
      <c r="C1530" s="27" t="s">
        <v>976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1092</v>
      </c>
      <c r="B1531" s="27" t="s">
        <v>1266</v>
      </c>
      <c r="C1531" s="27" t="s">
        <v>929</v>
      </c>
      <c r="D1531" s="27" t="s">
        <v>930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1609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925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937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1465</v>
      </c>
      <c r="B1535" s="27" t="s">
        <v>1110</v>
      </c>
      <c r="C1535" s="27" t="s">
        <v>1013</v>
      </c>
      <c r="D1535" s="27" t="s">
        <v>930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925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500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1092</v>
      </c>
      <c r="B1538" s="27" t="s">
        <v>1299</v>
      </c>
      <c r="C1538" s="27" t="s">
        <v>929</v>
      </c>
      <c r="D1538" s="27" t="s">
        <v>930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1609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1610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942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/>
    </row>
    <row r="1543" spans="1:12">
      <c r="A1543" s="20" t="s">
        <v>1611</v>
      </c>
    </row>
    <row r="1544" spans="1:12">
      <c r="A1544" s="20" t="s">
        <v>1046</v>
      </c>
      <c r="B1544" s="27" t="s">
        <v>947</v>
      </c>
      <c r="C1544" s="27" t="s">
        <v>929</v>
      </c>
      <c r="D1544" s="27" t="s">
        <v>930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969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1606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937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1612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1613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1368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1614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1510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1615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1616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925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989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980</v>
      </c>
      <c r="B1557" s="27" t="s">
        <v>968</v>
      </c>
      <c r="C1557" s="27" t="s">
        <v>929</v>
      </c>
      <c r="D1557" s="27" t="s">
        <v>930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1012</v>
      </c>
      <c r="B1558" s="27" t="s">
        <v>975</v>
      </c>
      <c r="C1558" s="27" t="s">
        <v>1013</v>
      </c>
      <c r="D1558" s="27" t="s">
        <v>930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969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1617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925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1618</v>
      </c>
      <c r="B1562" s="27" t="s">
        <v>968</v>
      </c>
      <c r="C1562" s="27" t="s">
        <v>1545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925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1619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925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969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1620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942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/>
    </row>
    <row r="1570" spans="1:12">
      <c r="A1570" s="20" t="s">
        <v>1621</v>
      </c>
    </row>
    <row r="1571" spans="1:12">
      <c r="A1571" s="20" t="s">
        <v>1026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1345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500</v>
      </c>
      <c r="B1573" s="27" t="s">
        <v>947</v>
      </c>
      <c r="C1573" s="27" t="s">
        <v>976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1121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/>
    </row>
    <row r="1576" spans="1:12">
      <c r="A1576" s="20" t="s">
        <v>1622</v>
      </c>
    </row>
    <row r="1577" spans="1:12">
      <c r="A1577" s="20" t="s">
        <v>1623</v>
      </c>
      <c r="B1577" s="27" t="s">
        <v>947</v>
      </c>
      <c r="C1577" s="27" t="s">
        <v>1242</v>
      </c>
      <c r="D1577" s="27" t="s">
        <v>930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1624</v>
      </c>
      <c r="B1578" s="27" t="s">
        <v>954</v>
      </c>
      <c r="C1578" s="27" t="s">
        <v>1013</v>
      </c>
      <c r="D1578" s="27" t="s">
        <v>930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1625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1626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925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1626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1627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1628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1629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1052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1594</v>
      </c>
      <c r="B1587" s="27" t="s">
        <v>1003</v>
      </c>
      <c r="C1587" s="27" t="s">
        <v>941</v>
      </c>
      <c r="D1587" s="27" t="s">
        <v>930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1373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1630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1028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1631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1632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937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1107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925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1633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1634</v>
      </c>
      <c r="B1597" s="27" t="s">
        <v>1635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1363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1510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1636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1637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942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/>
    </row>
    <row r="1604" spans="1:12">
      <c r="A1604" s="20" t="s">
        <v>1638</v>
      </c>
    </row>
    <row r="1605" spans="1:12">
      <c r="A1605" s="20" t="s">
        <v>1117</v>
      </c>
      <c r="B1605" s="27" t="s">
        <v>947</v>
      </c>
      <c r="C1605" s="27" t="s">
        <v>1013</v>
      </c>
      <c r="D1605" s="27" t="s">
        <v>930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1217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925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1092</v>
      </c>
      <c r="B1608" s="27" t="s">
        <v>975</v>
      </c>
      <c r="C1608" s="27" t="s">
        <v>929</v>
      </c>
      <c r="D1608" s="27" t="s">
        <v>930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1253</v>
      </c>
      <c r="B1609" s="27" t="s">
        <v>975</v>
      </c>
      <c r="C1609" s="27" t="s">
        <v>929</v>
      </c>
      <c r="D1609" s="27" t="s">
        <v>930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1639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60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1640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942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/>
    </row>
    <row r="1615" spans="1:12">
      <c r="A1615" s="20" t="s">
        <v>1641</v>
      </c>
    </row>
    <row r="1616" spans="1:12">
      <c r="A1616" s="20" t="s">
        <v>1117</v>
      </c>
      <c r="B1616" s="27" t="s">
        <v>947</v>
      </c>
      <c r="C1616" s="27" t="s">
        <v>1013</v>
      </c>
      <c r="D1616" s="27" t="s">
        <v>930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1642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942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/>
    </row>
    <row r="1620" spans="1:12">
      <c r="A1620" s="20" t="s">
        <v>1643</v>
      </c>
    </row>
    <row r="1621" spans="1:12">
      <c r="A1621" s="20" t="s">
        <v>1644</v>
      </c>
      <c r="B1621" s="27" t="s">
        <v>975</v>
      </c>
      <c r="C1621" s="27" t="s">
        <v>976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1639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1001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1645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925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1224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774</v>
      </c>
      <c r="B1627" s="27" t="s">
        <v>934</v>
      </c>
      <c r="C1627" s="27" t="s">
        <v>929</v>
      </c>
      <c r="D1627" s="27" t="s">
        <v>930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95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1646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1121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/>
    </row>
    <row r="1632" spans="1:12">
      <c r="A1632" s="20" t="s">
        <v>1647</v>
      </c>
    </row>
    <row r="1633" spans="1:12">
      <c r="A1633" s="20" t="s">
        <v>1335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925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980</v>
      </c>
      <c r="B1635" s="27" t="s">
        <v>947</v>
      </c>
      <c r="C1635" s="27" t="s">
        <v>929</v>
      </c>
      <c r="D1635" s="27" t="s">
        <v>930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994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942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/>
    </row>
    <row r="1639" spans="1:12">
      <c r="A1639" s="20" t="s">
        <v>1648</v>
      </c>
    </row>
    <row r="1640" spans="1:12">
      <c r="A1640" s="20" t="s">
        <v>1649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925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994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942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/>
    </row>
    <row r="1645" spans="1:12">
      <c r="A1645" s="20" t="s">
        <v>1650</v>
      </c>
    </row>
    <row r="1646" spans="1:12">
      <c r="A1646" s="20" t="s">
        <v>1651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500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925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1652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1653</v>
      </c>
      <c r="B1650" s="27" t="s">
        <v>947</v>
      </c>
      <c r="C1650" s="27" t="s">
        <v>976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931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1654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1655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1121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/>
    </row>
    <row r="1656" spans="1:12">
      <c r="A1656" s="20" t="s">
        <v>1656</v>
      </c>
    </row>
    <row r="1657" spans="1:12">
      <c r="A1657" s="20" t="s">
        <v>1657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1163</v>
      </c>
      <c r="B1658" s="27" t="s">
        <v>947</v>
      </c>
      <c r="C1658" s="27" t="s">
        <v>976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937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949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1658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1659</v>
      </c>
      <c r="B1662" s="27" t="s">
        <v>972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925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1660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1510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1636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1121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/>
    </row>
    <row r="1669" spans="1:12">
      <c r="A1669" s="20" t="s">
        <v>1661</v>
      </c>
    </row>
    <row r="1670" spans="1:12">
      <c r="A1670" s="20" t="s">
        <v>1662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1663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1664</v>
      </c>
      <c r="B1672" s="27" t="s">
        <v>950</v>
      </c>
      <c r="C1672" s="27" t="s">
        <v>1013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942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/>
    </row>
    <row r="1675" spans="1:12">
      <c r="A1675" s="20" t="s">
        <v>1665</v>
      </c>
    </row>
    <row r="1676" spans="1:12">
      <c r="A1676" s="20" t="s">
        <v>1148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1036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1666</v>
      </c>
      <c r="B1678" s="27" t="s">
        <v>950</v>
      </c>
      <c r="C1678" s="27" t="s">
        <v>951</v>
      </c>
      <c r="D1678" s="27" t="s">
        <v>930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1012</v>
      </c>
      <c r="B1679" s="27" t="s">
        <v>947</v>
      </c>
      <c r="C1679" s="27" t="s">
        <v>1013</v>
      </c>
      <c r="D1679" s="27" t="s">
        <v>930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1164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969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1667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925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963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1667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1049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1668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1669</v>
      </c>
      <c r="B1688" s="27" t="s">
        <v>954</v>
      </c>
      <c r="C1688" s="27" t="s">
        <v>1068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11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1670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1671</v>
      </c>
      <c r="B1691" s="27" t="s">
        <v>928</v>
      </c>
      <c r="C1691" s="27" t="s">
        <v>1068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937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1039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1672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942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/>
    </row>
    <row r="1697" spans="1:12">
      <c r="A1697" s="20" t="s">
        <v>1673</v>
      </c>
    </row>
    <row r="1698" spans="1:12">
      <c r="A1698" s="20" t="s">
        <v>1674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1675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1510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1636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1012</v>
      </c>
      <c r="B1702" s="27" t="s">
        <v>947</v>
      </c>
      <c r="C1702" s="27" t="s">
        <v>1013</v>
      </c>
      <c r="D1702" s="27" t="s">
        <v>930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387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925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83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937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1676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942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/>
    </row>
    <row r="1710" spans="1:12">
      <c r="A1710" s="20" t="s">
        <v>1677</v>
      </c>
    </row>
    <row r="1711" spans="1:12">
      <c r="A1711" s="20" t="s">
        <v>1026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1198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1012</v>
      </c>
      <c r="B1713" s="27" t="s">
        <v>968</v>
      </c>
      <c r="C1713" s="27" t="s">
        <v>1013</v>
      </c>
      <c r="D1713" s="27" t="s">
        <v>930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931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969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1678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925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774</v>
      </c>
      <c r="B1718" s="27" t="s">
        <v>947</v>
      </c>
      <c r="C1718" s="27" t="s">
        <v>929</v>
      </c>
      <c r="D1718" s="27" t="s">
        <v>930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1255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1115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948</v>
      </c>
      <c r="B1721" s="27" t="s">
        <v>954</v>
      </c>
      <c r="C1721" s="27" t="s">
        <v>1013</v>
      </c>
      <c r="D1721" s="27" t="s">
        <v>930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1679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925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989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1401</v>
      </c>
      <c r="B1725" s="27" t="s">
        <v>968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1680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1681</v>
      </c>
      <c r="B1727" s="27" t="s">
        <v>928</v>
      </c>
      <c r="C1727" s="27" t="s">
        <v>941</v>
      </c>
      <c r="D1727" s="27" t="s">
        <v>930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1682</v>
      </c>
      <c r="B1728" s="27" t="s">
        <v>940</v>
      </c>
      <c r="C1728" s="27" t="s">
        <v>941</v>
      </c>
      <c r="D1728" s="27" t="s">
        <v>930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1683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1684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1685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1686</v>
      </c>
      <c r="B1732" s="27" t="s">
        <v>1154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989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1687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1368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1029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1688</v>
      </c>
      <c r="B1737" s="27" t="s">
        <v>954</v>
      </c>
      <c r="C1737" s="27" t="s">
        <v>1013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1132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1689</v>
      </c>
      <c r="B1739" s="27" t="s">
        <v>928</v>
      </c>
      <c r="C1739" s="27" t="s">
        <v>1242</v>
      </c>
      <c r="D1739" s="27" t="s">
        <v>930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1690</v>
      </c>
      <c r="B1740" s="27" t="s">
        <v>940</v>
      </c>
      <c r="C1740" s="27" t="s">
        <v>941</v>
      </c>
      <c r="D1740" s="27" t="s">
        <v>930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989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1691</v>
      </c>
      <c r="B1742" s="27" t="s">
        <v>1205</v>
      </c>
      <c r="C1742" s="27" t="s">
        <v>941</v>
      </c>
      <c r="D1742" s="27" t="s">
        <v>930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1692</v>
      </c>
      <c r="B1743" s="27" t="s">
        <v>1110</v>
      </c>
      <c r="C1743" s="27" t="s">
        <v>941</v>
      </c>
      <c r="D1743" s="27" t="s">
        <v>930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942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/>
    </row>
    <row r="1746" spans="1:12">
      <c r="A1746" s="20" t="s">
        <v>1693</v>
      </c>
    </row>
    <row r="1747" spans="1:12">
      <c r="A1747" s="20" t="s">
        <v>1120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1683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990</v>
      </c>
      <c r="B1749" s="27" t="s">
        <v>947</v>
      </c>
      <c r="C1749" s="27" t="s">
        <v>929</v>
      </c>
      <c r="D1749" s="27" t="s">
        <v>930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1012</v>
      </c>
      <c r="B1750" s="27" t="s">
        <v>975</v>
      </c>
      <c r="C1750" s="27" t="s">
        <v>1013</v>
      </c>
      <c r="D1750" s="27" t="s">
        <v>930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566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1694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925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500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990</v>
      </c>
      <c r="B1755" s="27" t="s">
        <v>1003</v>
      </c>
      <c r="C1755" s="27" t="s">
        <v>929</v>
      </c>
      <c r="D1755" s="27" t="s">
        <v>930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969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1695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1696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1570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1697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11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1698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1699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989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1700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942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/>
    </row>
    <row r="1768" spans="1:12">
      <c r="A1768" s="20" t="s">
        <v>1701</v>
      </c>
    </row>
    <row r="1769" spans="1:12">
      <c r="A1769" s="20" t="s">
        <v>997</v>
      </c>
      <c r="B1769" s="27" t="s">
        <v>947</v>
      </c>
      <c r="C1769" s="27" t="s">
        <v>929</v>
      </c>
      <c r="D1769" s="27" t="s">
        <v>930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969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1702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925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500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990</v>
      </c>
      <c r="B1774" s="27" t="s">
        <v>968</v>
      </c>
      <c r="C1774" s="27" t="s">
        <v>929</v>
      </c>
      <c r="D1774" s="27" t="s">
        <v>930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1683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1703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1704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989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1705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977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925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963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1706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1061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1704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989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1705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977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969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1707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942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/>
    </row>
    <row r="1793" spans="1:12">
      <c r="A1793" s="20" t="s">
        <v>1708</v>
      </c>
    </row>
    <row r="1794" spans="1:12">
      <c r="A1794" s="20" t="s">
        <v>945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1043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1709</v>
      </c>
      <c r="B1796" s="27" t="s">
        <v>975</v>
      </c>
      <c r="C1796" s="27" t="s">
        <v>951</v>
      </c>
      <c r="D1796" s="27" t="s">
        <v>930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774</v>
      </c>
      <c r="B1797" s="27" t="s">
        <v>947</v>
      </c>
      <c r="C1797" s="27" t="s">
        <v>929</v>
      </c>
      <c r="D1797" s="27" t="s">
        <v>930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952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1400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925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989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1400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973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1237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942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/>
    </row>
    <row r="1807" spans="1:12">
      <c r="A1807" s="20" t="s">
        <v>1710</v>
      </c>
    </row>
    <row r="1808" spans="1:12">
      <c r="A1808" s="20" t="s">
        <v>1711</v>
      </c>
      <c r="B1808" s="27" t="s">
        <v>950</v>
      </c>
      <c r="C1808" s="27" t="s">
        <v>929</v>
      </c>
      <c r="D1808" s="27" t="s">
        <v>930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1712</v>
      </c>
      <c r="B1809" s="27" t="s">
        <v>947</v>
      </c>
      <c r="C1809" s="27" t="s">
        <v>941</v>
      </c>
      <c r="D1809" s="27" t="s">
        <v>930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1625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1713</v>
      </c>
      <c r="B1811" s="27" t="s">
        <v>950</v>
      </c>
      <c r="C1811" s="27" t="s">
        <v>1242</v>
      </c>
      <c r="D1811" s="27" t="s">
        <v>930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942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/>
    </row>
    <row r="1814" spans="1:12">
      <c r="A1814" s="20" t="s">
        <v>1714</v>
      </c>
    </row>
    <row r="1815" spans="1:12">
      <c r="A1815" s="20" t="s">
        <v>1715</v>
      </c>
      <c r="B1815" s="27" t="s">
        <v>947</v>
      </c>
      <c r="C1815" s="27" t="s">
        <v>929</v>
      </c>
      <c r="D1815" s="27" t="s">
        <v>930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1716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927</v>
      </c>
      <c r="B1817" s="27" t="s">
        <v>972</v>
      </c>
      <c r="C1817" s="27" t="s">
        <v>929</v>
      </c>
      <c r="D1817" s="27" t="s">
        <v>930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1510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1630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1028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1717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1718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1137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942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/>
    </row>
    <row r="1826" spans="1:12">
      <c r="A1826" s="20" t="s">
        <v>1719</v>
      </c>
    </row>
    <row r="1827" spans="1:12">
      <c r="A1827" s="20" t="s">
        <v>1720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1558</v>
      </c>
      <c r="B1828" s="27" t="s">
        <v>947</v>
      </c>
      <c r="C1828" s="27" t="s">
        <v>1016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925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1601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1721</v>
      </c>
      <c r="B1831" s="27" t="s">
        <v>954</v>
      </c>
      <c r="C1831" s="27" t="s">
        <v>1016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925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1162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11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1722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11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989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1723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942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/>
    </row>
    <row r="1841" spans="1:12">
      <c r="A1841" s="20" t="s">
        <v>1724</v>
      </c>
    </row>
    <row r="1842" spans="1:12">
      <c r="A1842" s="20" t="s">
        <v>1120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1282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985</v>
      </c>
      <c r="B1844" s="27" t="s">
        <v>947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1725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11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969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415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942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/>
    </row>
    <row r="1851" spans="1:12">
      <c r="A1851" s="20" t="s">
        <v>1726</v>
      </c>
    </row>
    <row r="1852" spans="1:12">
      <c r="A1852" s="20" t="s">
        <v>1727</v>
      </c>
      <c r="B1852" s="27" t="s">
        <v>975</v>
      </c>
      <c r="C1852" s="27" t="s">
        <v>929</v>
      </c>
      <c r="D1852" s="27" t="s">
        <v>930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1728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1729</v>
      </c>
      <c r="B1854" s="27" t="s">
        <v>947</v>
      </c>
      <c r="C1854" s="27" t="s">
        <v>941</v>
      </c>
      <c r="D1854" s="27" t="s">
        <v>930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419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942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/>
    </row>
    <row r="1858" spans="1:12">
      <c r="A1858" s="20" t="s">
        <v>1730</v>
      </c>
    </row>
    <row r="1859" spans="1:12">
      <c r="A1859" s="20" t="s">
        <v>1715</v>
      </c>
      <c r="B1859" s="27" t="s">
        <v>947</v>
      </c>
      <c r="C1859" s="27" t="s">
        <v>929</v>
      </c>
      <c r="D1859" s="27" t="s">
        <v>930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1090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500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1731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1732</v>
      </c>
      <c r="B1863" s="27" t="s">
        <v>972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1510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1733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1368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1734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1735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1736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942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/>
    </row>
    <row r="1872" spans="1:12">
      <c r="A1872" s="20" t="s">
        <v>1737</v>
      </c>
    </row>
    <row r="1873" spans="1:12">
      <c r="A1873" s="20" t="s">
        <v>1128</v>
      </c>
      <c r="B1873" s="27" t="s">
        <v>947</v>
      </c>
      <c r="C1873" s="27" t="s">
        <v>929</v>
      </c>
      <c r="D1873" s="27" t="s">
        <v>930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1738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1739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1740</v>
      </c>
      <c r="B1876" s="27" t="s">
        <v>972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1741</v>
      </c>
      <c r="B1877" s="27" t="s">
        <v>975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11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1742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1743</v>
      </c>
      <c r="B1880" s="27" t="s">
        <v>1154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1744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937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1745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1746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1131</v>
      </c>
      <c r="B1885" s="27" t="s">
        <v>1205</v>
      </c>
      <c r="C1885" s="27" t="s">
        <v>1068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942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/>
    </row>
    <row r="1888" spans="1:12">
      <c r="A1888" s="20" t="s">
        <v>1747</v>
      </c>
    </row>
    <row r="1889" spans="1:12">
      <c r="A1889" s="20" t="s">
        <v>1748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925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1749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1121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/>
    </row>
    <row r="1894" spans="1:12">
      <c r="A1894" s="20" t="s">
        <v>1750</v>
      </c>
    </row>
    <row r="1895" spans="1:12">
      <c r="A1895" s="20" t="s">
        <v>1751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1752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925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1184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969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177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1220</v>
      </c>
      <c r="B1901" s="27" t="s">
        <v>954</v>
      </c>
      <c r="C1901" s="27" t="s">
        <v>1013</v>
      </c>
      <c r="D1901" s="27" t="s">
        <v>930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925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500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1729</v>
      </c>
      <c r="B1904" s="27" t="s">
        <v>1003</v>
      </c>
      <c r="C1904" s="27" t="s">
        <v>941</v>
      </c>
      <c r="D1904" s="27" t="s">
        <v>930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1753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1754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1196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1755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989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1756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925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500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990</v>
      </c>
      <c r="B1913" s="27" t="s">
        <v>1295</v>
      </c>
      <c r="C1913" s="27" t="s">
        <v>929</v>
      </c>
      <c r="D1913" s="27" t="s">
        <v>930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973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1757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925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989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500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1401</v>
      </c>
      <c r="B1919" s="27" t="s">
        <v>1635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952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1758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1759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1760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942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/>
    </row>
    <row r="1926" spans="1:12">
      <c r="A1926" s="20" t="s">
        <v>1761</v>
      </c>
    </row>
    <row r="1927" spans="1:12">
      <c r="A1927" s="20" t="s">
        <v>1762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95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989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1756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942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/>
    </row>
    <row r="1933" spans="1:12">
      <c r="A1933" s="20" t="s">
        <v>1763</v>
      </c>
    </row>
    <row r="1934" spans="1:12">
      <c r="A1934" s="20" t="s">
        <v>1042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1729</v>
      </c>
      <c r="B1935" s="27" t="s">
        <v>947</v>
      </c>
      <c r="C1935" s="27" t="s">
        <v>941</v>
      </c>
      <c r="D1935" s="27" t="s">
        <v>930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11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441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942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/>
    </row>
    <row r="1940" spans="1:12">
      <c r="A1940" s="20" t="s">
        <v>1764</v>
      </c>
    </row>
    <row r="1941" spans="1:12">
      <c r="A1941" s="20" t="s">
        <v>1765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1766</v>
      </c>
      <c r="B1942" s="27" t="s">
        <v>968</v>
      </c>
      <c r="C1942" s="27" t="s">
        <v>929</v>
      </c>
      <c r="D1942" s="27" t="s">
        <v>930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1767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937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1768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1769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937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1770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925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1766</v>
      </c>
      <c r="B1950" s="27" t="s">
        <v>947</v>
      </c>
      <c r="C1950" s="27" t="s">
        <v>929</v>
      </c>
      <c r="D1950" s="27" t="s">
        <v>930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969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1102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1771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1772</v>
      </c>
      <c r="B1954" s="27" t="s">
        <v>975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1773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1774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1775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1776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942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/>
    </row>
    <row r="1961" spans="1:12">
      <c r="A1961" s="20" t="s">
        <v>1777</v>
      </c>
    </row>
    <row r="1962" spans="1:12">
      <c r="A1962" s="20" t="s">
        <v>1778</v>
      </c>
      <c r="B1962" s="27" t="s">
        <v>972</v>
      </c>
      <c r="C1962" s="27" t="s">
        <v>929</v>
      </c>
      <c r="D1962" s="27" t="s">
        <v>930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1779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1780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925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979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500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1530</v>
      </c>
      <c r="B1968" s="27" t="s">
        <v>975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1781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1782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1783</v>
      </c>
      <c r="B1971" s="27" t="s">
        <v>1154</v>
      </c>
      <c r="C1971" s="27" t="s">
        <v>929</v>
      </c>
      <c r="D1971" s="27" t="s">
        <v>930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925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500</v>
      </c>
      <c r="B1973" s="27" t="s">
        <v>934</v>
      </c>
      <c r="C1973" s="27" t="s">
        <v>976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1784</v>
      </c>
      <c r="B1974" s="27" t="s">
        <v>1154</v>
      </c>
      <c r="C1974" s="27" t="s">
        <v>929</v>
      </c>
      <c r="D1974" s="27" t="s">
        <v>930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1785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925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937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1786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1787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1788</v>
      </c>
      <c r="B1980" s="27" t="s">
        <v>940</v>
      </c>
      <c r="C1980" s="27" t="s">
        <v>1016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1789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1275</v>
      </c>
      <c r="B1982" s="27" t="s">
        <v>1205</v>
      </c>
      <c r="C1982" s="27" t="s">
        <v>929</v>
      </c>
      <c r="D1982" s="27" t="s">
        <v>930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1790</v>
      </c>
      <c r="B1983" s="27" t="s">
        <v>1003</v>
      </c>
      <c r="C1983" s="27" t="s">
        <v>1242</v>
      </c>
      <c r="D1983" s="27" t="s">
        <v>930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942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/>
    </row>
    <row r="1986" spans="1:12">
      <c r="A1986" s="20" t="s">
        <v>1791</v>
      </c>
    </row>
    <row r="1987" spans="1:12">
      <c r="A1987" s="20" t="s">
        <v>1120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1088</v>
      </c>
      <c r="B1988" s="27" t="s">
        <v>947</v>
      </c>
      <c r="C1988" s="27" t="s">
        <v>929</v>
      </c>
      <c r="D1988" s="27" t="s">
        <v>930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452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1121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/>
    </row>
    <row r="1992" spans="1:12">
      <c r="A1992" s="20" t="s">
        <v>1792</v>
      </c>
    </row>
    <row r="1993" spans="1:12">
      <c r="A1993" s="20" t="s">
        <v>1651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500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1729</v>
      </c>
      <c r="B1995" s="27" t="s">
        <v>947</v>
      </c>
      <c r="C1995" s="27" t="s">
        <v>941</v>
      </c>
      <c r="D1995" s="27" t="s">
        <v>930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1793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1732</v>
      </c>
      <c r="B1997" s="27" t="s">
        <v>972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942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/>
    </row>
    <row r="2000" spans="1:12">
      <c r="A2000" s="20" t="s">
        <v>1794</v>
      </c>
    </row>
    <row r="2001" spans="1:12">
      <c r="A2001" s="20" t="s">
        <v>1795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1796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925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500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1574</v>
      </c>
      <c r="B2005" s="27" t="s">
        <v>934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1797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1587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942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/>
    </row>
    <row r="2010" spans="1:12">
      <c r="A2010" s="20" t="s">
        <v>1798</v>
      </c>
    </row>
    <row r="2011" spans="1:12">
      <c r="A2011" s="20" t="s">
        <v>1799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1329</v>
      </c>
      <c r="B2012" s="27" t="s">
        <v>972</v>
      </c>
      <c r="C2012" s="27" t="s">
        <v>929</v>
      </c>
      <c r="D2012" s="27" t="s">
        <v>930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11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989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1150</v>
      </c>
      <c r="B2015" s="27" t="s">
        <v>968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1800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925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1801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1150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925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989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1012</v>
      </c>
      <c r="B2022" s="27" t="s">
        <v>968</v>
      </c>
      <c r="C2022" s="27" t="s">
        <v>1013</v>
      </c>
      <c r="D2022" s="27" t="s">
        <v>930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1199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1667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942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/>
    </row>
    <row r="2027" spans="1:12">
      <c r="A2027" s="20" t="s">
        <v>1802</v>
      </c>
    </row>
    <row r="2028" spans="1:12">
      <c r="A2028" s="20" t="s">
        <v>1803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937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1036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1666</v>
      </c>
      <c r="B2031" s="27" t="s">
        <v>950</v>
      </c>
      <c r="C2031" s="27" t="s">
        <v>951</v>
      </c>
      <c r="D2031" s="27" t="s">
        <v>930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1093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1576</v>
      </c>
      <c r="B2033" s="27" t="s">
        <v>947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942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/>
    </row>
    <row r="2036" spans="1:12">
      <c r="A2036" s="20" t="s">
        <v>1804</v>
      </c>
    </row>
    <row r="2037" spans="1:12">
      <c r="A2037" s="20" t="s">
        <v>945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663</v>
      </c>
      <c r="B2038" s="27" t="s">
        <v>947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1805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925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989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1199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1237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1790</v>
      </c>
      <c r="B2044" s="27" t="s">
        <v>968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1183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1806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1807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1510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1636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925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979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500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931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1808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986</v>
      </c>
      <c r="B2055" s="27" t="s">
        <v>954</v>
      </c>
      <c r="C2055" s="27" t="s">
        <v>1068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937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1809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1810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1671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942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/>
    </row>
    <row r="2062" spans="1:12">
      <c r="A2062" s="20" t="s">
        <v>1811</v>
      </c>
    </row>
    <row r="2063" spans="1:12">
      <c r="A2063" s="20" t="s">
        <v>945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969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1090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1510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1636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1806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1807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942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/>
    </row>
    <row r="2072" spans="1:12">
      <c r="A2072" s="20" t="s">
        <v>1812</v>
      </c>
    </row>
    <row r="2073" spans="1:12">
      <c r="A2073" s="20" t="s">
        <v>1813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1814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1815</v>
      </c>
      <c r="B2075" s="27" t="s">
        <v>947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1121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/>
    </row>
    <row r="2078" spans="1:12">
      <c r="A2078" s="20" t="s">
        <v>1816</v>
      </c>
    </row>
    <row r="2079" spans="1:12">
      <c r="A2079" s="20" t="s">
        <v>923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1817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1275</v>
      </c>
      <c r="B2081" s="27" t="s">
        <v>950</v>
      </c>
      <c r="C2081" s="27" t="s">
        <v>929</v>
      </c>
      <c r="D2081" s="27" t="s">
        <v>930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942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/>
    </row>
    <row r="2084" spans="1:12">
      <c r="A2084" s="20" t="s">
        <v>1818</v>
      </c>
    </row>
    <row r="2085" spans="1:12">
      <c r="A2085" s="20" t="s">
        <v>1819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111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1121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/>
    </row>
    <row r="2089" spans="1:12">
      <c r="A2089" s="20" t="s">
        <v>1820</v>
      </c>
    </row>
    <row r="2090" spans="1:12">
      <c r="A2090" s="20" t="s">
        <v>1821</v>
      </c>
      <c r="B2090" s="27" t="s">
        <v>954</v>
      </c>
      <c r="C2090" s="27" t="s">
        <v>1066</v>
      </c>
      <c r="D2090" s="27" t="s">
        <v>930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1822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1823</v>
      </c>
      <c r="B2092" s="27" t="s">
        <v>947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1824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1285</v>
      </c>
      <c r="B2094" s="27" t="s">
        <v>972</v>
      </c>
      <c r="C2094" s="27" t="s">
        <v>929</v>
      </c>
      <c r="D2094" s="27" t="s">
        <v>930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1825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1826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1112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989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1827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925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500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1049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1143</v>
      </c>
      <c r="B2103" s="27" t="s">
        <v>940</v>
      </c>
      <c r="C2103" s="27" t="s">
        <v>1066</v>
      </c>
      <c r="D2103" s="27" t="s">
        <v>930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1828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925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980</v>
      </c>
      <c r="B2106" s="27" t="s">
        <v>934</v>
      </c>
      <c r="C2106" s="27" t="s">
        <v>929</v>
      </c>
      <c r="D2106" s="27" t="s">
        <v>930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1829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1830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1831</v>
      </c>
      <c r="B2109" s="27" t="s">
        <v>1154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942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/>
    </row>
    <row r="2112" spans="1:12">
      <c r="A2112" s="20" t="s">
        <v>1832</v>
      </c>
    </row>
    <row r="2113" spans="1:12">
      <c r="A2113" s="20" t="s">
        <v>1833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1285</v>
      </c>
      <c r="B2114" s="27" t="s">
        <v>972</v>
      </c>
      <c r="C2114" s="27" t="s">
        <v>1013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1070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969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1834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942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/>
    </row>
    <row r="2120" spans="1:12">
      <c r="A2120" s="20" t="s">
        <v>1835</v>
      </c>
    </row>
    <row r="2121" spans="1:12">
      <c r="A2121" s="20" t="s">
        <v>1128</v>
      </c>
      <c r="B2121" s="27" t="s">
        <v>947</v>
      </c>
      <c r="C2121" s="27" t="s">
        <v>929</v>
      </c>
      <c r="D2121" s="27" t="s">
        <v>930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969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1836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1837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1838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1744</v>
      </c>
      <c r="B2126" s="27" t="s">
        <v>975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1510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1815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942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/>
    </row>
    <row r="2131" spans="1:12">
      <c r="A2131" s="20" t="s">
        <v>1839</v>
      </c>
    </row>
    <row r="2132" spans="1:12">
      <c r="A2132" s="20" t="s">
        <v>1349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1022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500</v>
      </c>
      <c r="B2134" s="27" t="s">
        <v>950</v>
      </c>
      <c r="C2134" s="27" t="s">
        <v>976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942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/>
    </row>
    <row r="2137" spans="1:12">
      <c r="A2137" s="20" t="s">
        <v>1840</v>
      </c>
    </row>
    <row r="2138" spans="1:12">
      <c r="A2138" s="20" t="s">
        <v>1841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942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/>
    </row>
    <row r="2141" spans="1:12">
      <c r="A2141" s="20" t="s">
        <v>1842</v>
      </c>
    </row>
    <row r="2142" spans="1:12">
      <c r="A2142" s="20" t="s">
        <v>1819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1121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/>
    </row>
    <row r="2145" spans="1:12">
      <c r="A2145" s="20" t="s">
        <v>1843</v>
      </c>
    </row>
    <row r="2146" spans="1:12">
      <c r="A2146" s="20" t="s">
        <v>1651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500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111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926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927</v>
      </c>
      <c r="B2150" s="27" t="s">
        <v>950</v>
      </c>
      <c r="C2150" s="27" t="s">
        <v>929</v>
      </c>
      <c r="D2150" s="27" t="s">
        <v>930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1815</v>
      </c>
      <c r="B2151" s="27" t="s">
        <v>947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942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/>
    </row>
    <row r="2154" spans="1:12">
      <c r="A2154" s="20" t="s">
        <v>1844</v>
      </c>
    </row>
    <row r="2155" spans="1:12">
      <c r="A2155" s="20" t="s">
        <v>1845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1345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500</v>
      </c>
      <c r="B2157" s="27" t="s">
        <v>947</v>
      </c>
      <c r="C2157" s="27" t="s">
        <v>976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1121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/>
    </row>
    <row r="2160" spans="1:12">
      <c r="A2160" s="20" t="s">
        <v>1846</v>
      </c>
    </row>
    <row r="2161" spans="1:12">
      <c r="A2161" s="20" t="s">
        <v>1527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927</v>
      </c>
      <c r="B2162" s="27" t="s">
        <v>950</v>
      </c>
      <c r="C2162" s="27" t="s">
        <v>929</v>
      </c>
      <c r="D2162" s="27" t="s">
        <v>930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1847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969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1001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1815</v>
      </c>
      <c r="B2166" s="27" t="s">
        <v>947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942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/>
    </row>
    <row r="2169" spans="1:12">
      <c r="A2169" s="20" t="s">
        <v>1848</v>
      </c>
    </row>
    <row r="2170" spans="1:12">
      <c r="A2170" s="20" t="s">
        <v>1120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1099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925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1653</v>
      </c>
      <c r="B2173" s="27" t="s">
        <v>968</v>
      </c>
      <c r="C2173" s="27" t="s">
        <v>976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1849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925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1102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1850</v>
      </c>
      <c r="B2177" s="27" t="s">
        <v>968</v>
      </c>
      <c r="C2177" s="27" t="s">
        <v>976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1368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1851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1852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1035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1853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937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1854</v>
      </c>
      <c r="B2184" s="27" t="s">
        <v>928</v>
      </c>
      <c r="C2184" s="27" t="s">
        <v>941</v>
      </c>
      <c r="D2184" s="27" t="s">
        <v>930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925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989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1855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1856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937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1857</v>
      </c>
      <c r="B2190" s="27" t="s">
        <v>954</v>
      </c>
      <c r="C2190" s="27" t="s">
        <v>941</v>
      </c>
      <c r="D2190" s="27" t="s">
        <v>930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925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1293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1766</v>
      </c>
      <c r="B2193" s="27" t="s">
        <v>968</v>
      </c>
      <c r="C2193" s="27" t="s">
        <v>929</v>
      </c>
      <c r="D2193" s="27" t="s">
        <v>930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1858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1859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1860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942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/>
    </row>
    <row r="2199" spans="1:12">
      <c r="A2199" s="20" t="s">
        <v>1861</v>
      </c>
    </row>
    <row r="2200" spans="1:12">
      <c r="A2200" s="20" t="s">
        <v>945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1862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1825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1863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1766</v>
      </c>
      <c r="B2204" s="27" t="s">
        <v>947</v>
      </c>
      <c r="C2204" s="27" t="s">
        <v>929</v>
      </c>
      <c r="D2204" s="27" t="s">
        <v>930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1864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925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1865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1044</v>
      </c>
      <c r="B2208" s="27" t="s">
        <v>975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1866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925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1867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937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1868</v>
      </c>
      <c r="B2213" s="27" t="s">
        <v>954</v>
      </c>
      <c r="C2213" s="27" t="s">
        <v>941</v>
      </c>
      <c r="D2213" s="27" t="s">
        <v>930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1869</v>
      </c>
      <c r="B2214" s="27" t="s">
        <v>975</v>
      </c>
      <c r="C2214" s="27" t="s">
        <v>941</v>
      </c>
      <c r="D2214" s="27" t="s">
        <v>930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989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1870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1035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1871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1028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1872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1873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1874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1875</v>
      </c>
      <c r="B2223" s="27" t="s">
        <v>928</v>
      </c>
      <c r="C2223" s="27" t="s">
        <v>951</v>
      </c>
      <c r="D2223" s="27" t="s">
        <v>930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1035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939</v>
      </c>
      <c r="B2225" s="27" t="s">
        <v>940</v>
      </c>
      <c r="C2225" s="27" t="s">
        <v>941</v>
      </c>
      <c r="D2225" s="27" t="s">
        <v>930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942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/>
    </row>
    <row r="2228" spans="1:12">
      <c r="A2228" s="20" t="s">
        <v>1876</v>
      </c>
    </row>
    <row r="2229" spans="1:12">
      <c r="A2229" s="20" t="s">
        <v>945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1766</v>
      </c>
      <c r="B2230" s="27" t="s">
        <v>947</v>
      </c>
      <c r="C2230" s="27" t="s">
        <v>929</v>
      </c>
      <c r="D2230" s="27" t="s">
        <v>930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969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1849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925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500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1877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1878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1879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925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989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774</v>
      </c>
      <c r="B2240" s="27" t="s">
        <v>968</v>
      </c>
      <c r="C2240" s="27" t="s">
        <v>929</v>
      </c>
      <c r="D2240" s="27" t="s">
        <v>930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1880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969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1881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925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979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500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1088</v>
      </c>
      <c r="B2247" s="27" t="s">
        <v>934</v>
      </c>
      <c r="C2247" s="27" t="s">
        <v>929</v>
      </c>
      <c r="D2247" s="27" t="s">
        <v>930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95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989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1667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942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/>
    </row>
    <row r="2253" spans="1:12">
      <c r="A2253" s="20" t="s">
        <v>1882</v>
      </c>
    </row>
    <row r="2254" spans="1:12">
      <c r="A2254" s="20" t="s">
        <v>1148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1883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1107</v>
      </c>
      <c r="B2256" s="27" t="s">
        <v>950</v>
      </c>
      <c r="C2256" s="27" t="s">
        <v>1013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774</v>
      </c>
      <c r="B2257" s="27" t="s">
        <v>947</v>
      </c>
      <c r="C2257" s="27" t="s">
        <v>929</v>
      </c>
      <c r="D2257" s="27" t="s">
        <v>930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1427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942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/>
    </row>
    <row r="2261" spans="1:12">
      <c r="A2261" s="20" t="s">
        <v>1884</v>
      </c>
    </row>
    <row r="2262" spans="1:12">
      <c r="A2262" s="20" t="s">
        <v>993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932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1885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925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500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969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937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1883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942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/>
    </row>
    <row r="2272" spans="1:12">
      <c r="A2272" s="20" t="s">
        <v>1886</v>
      </c>
    </row>
    <row r="2273" spans="1:12">
      <c r="A2273" s="20" t="s">
        <v>1887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925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774</v>
      </c>
      <c r="B2275" s="27" t="s">
        <v>947</v>
      </c>
      <c r="C2275" s="27" t="s">
        <v>929</v>
      </c>
      <c r="D2275" s="27" t="s">
        <v>930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1888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1889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937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1890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942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/>
    </row>
    <row r="2282" spans="1:12">
      <c r="A2282" s="20" t="s">
        <v>1891</v>
      </c>
    </row>
    <row r="2283" spans="1:12">
      <c r="A2283" s="20" t="s">
        <v>1892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1758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942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/>
    </row>
    <row r="2287" spans="1:12">
      <c r="A2287" s="20" t="s">
        <v>1893</v>
      </c>
    </row>
    <row r="2288" spans="1:12">
      <c r="A2288" s="20" t="s">
        <v>1064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1099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1368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1851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1894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1895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1896</v>
      </c>
      <c r="B2294" s="27" t="s">
        <v>972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1121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/>
    </row>
    <row r="2297" spans="1:12">
      <c r="A2297" s="20" t="s">
        <v>1897</v>
      </c>
    </row>
    <row r="2298" spans="1:12">
      <c r="A2298" s="20" t="s">
        <v>552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925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1491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1898</v>
      </c>
      <c r="B2301" s="27" t="s">
        <v>968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1368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1851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1035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1899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942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/>
    </row>
    <row r="2308" spans="1:12">
      <c r="A2308" s="20" t="s">
        <v>1900</v>
      </c>
    </row>
    <row r="2309" spans="1:12">
      <c r="A2309" s="20" t="s">
        <v>1009</v>
      </c>
      <c r="B2309" s="27" t="s">
        <v>947</v>
      </c>
      <c r="C2309" s="27" t="s">
        <v>929</v>
      </c>
      <c r="D2309" s="27" t="s">
        <v>930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1011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925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500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1894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11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1901</v>
      </c>
      <c r="B2315" s="27" t="s">
        <v>934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1902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1903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1012</v>
      </c>
      <c r="B2318" s="27" t="s">
        <v>1154</v>
      </c>
      <c r="C2318" s="27" t="s">
        <v>1013</v>
      </c>
      <c r="D2318" s="27" t="s">
        <v>930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1211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1212</v>
      </c>
      <c r="B2320" s="27" t="s">
        <v>928</v>
      </c>
      <c r="C2320" s="27" t="s">
        <v>1068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942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/>
    </row>
    <row r="2323" spans="1:12">
      <c r="A2323" s="20" t="s">
        <v>1904</v>
      </c>
    </row>
    <row r="2324" spans="1:12">
      <c r="A2324" s="20" t="s">
        <v>1905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1906</v>
      </c>
      <c r="B2325" s="27" t="s">
        <v>947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925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1907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1908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925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989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1467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1088</v>
      </c>
      <c r="B2332" s="27" t="s">
        <v>950</v>
      </c>
      <c r="C2332" s="27" t="s">
        <v>929</v>
      </c>
      <c r="D2332" s="27" t="s">
        <v>930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1909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925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1910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983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990</v>
      </c>
      <c r="B2337" s="27" t="s">
        <v>934</v>
      </c>
      <c r="C2337" s="27" t="s">
        <v>929</v>
      </c>
      <c r="D2337" s="27" t="s">
        <v>930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1911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1912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942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/>
    </row>
    <row r="2342" spans="1:12">
      <c r="A2342" s="20" t="s">
        <v>1913</v>
      </c>
    </row>
    <row r="2343" spans="1:12">
      <c r="A2343" s="20" t="s">
        <v>1593</v>
      </c>
      <c r="B2343" s="27" t="s">
        <v>972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1012</v>
      </c>
      <c r="B2344" s="27" t="s">
        <v>972</v>
      </c>
      <c r="C2344" s="27" t="s">
        <v>1013</v>
      </c>
      <c r="D2344" s="27" t="s">
        <v>930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1914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1915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942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/>
    </row>
    <row r="2349" spans="1:12">
      <c r="A2349" s="20" t="s">
        <v>1916</v>
      </c>
    </row>
    <row r="2350" spans="1:12">
      <c r="A2350" s="20" t="s">
        <v>997</v>
      </c>
      <c r="B2350" s="27" t="s">
        <v>947</v>
      </c>
      <c r="C2350" s="27" t="s">
        <v>929</v>
      </c>
      <c r="D2350" s="27" t="s">
        <v>930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1917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1918</v>
      </c>
      <c r="B2352" s="27" t="s">
        <v>954</v>
      </c>
      <c r="C2352" s="27" t="s">
        <v>1066</v>
      </c>
      <c r="D2352" s="27" t="s">
        <v>930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1919</v>
      </c>
      <c r="B2353" s="27" t="s">
        <v>972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1920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942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/>
    </row>
    <row r="2357" spans="1:12">
      <c r="A2357" s="20" t="s">
        <v>1921</v>
      </c>
    </row>
    <row r="2358" spans="1:12">
      <c r="A2358" s="20" t="s">
        <v>945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1706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682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338</v>
      </c>
      <c r="B2361" s="27" t="s">
        <v>950</v>
      </c>
      <c r="C2361" s="27" t="s">
        <v>1545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1156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969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1917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942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/>
    </row>
    <row r="2367" spans="1:12">
      <c r="A2367" s="20" t="s">
        <v>1922</v>
      </c>
    </row>
    <row r="2368" spans="1:12">
      <c r="A2368" s="20" t="s">
        <v>1482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925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1088</v>
      </c>
      <c r="B2370" s="27" t="s">
        <v>934</v>
      </c>
      <c r="C2370" s="27" t="s">
        <v>929</v>
      </c>
      <c r="D2370" s="27" t="s">
        <v>930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937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1412</v>
      </c>
      <c r="B2372" s="27" t="s">
        <v>954</v>
      </c>
      <c r="C2372" s="27" t="s">
        <v>1068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925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967</v>
      </c>
      <c r="B2374" s="27" t="s">
        <v>947</v>
      </c>
      <c r="C2374" s="27" t="s">
        <v>929</v>
      </c>
      <c r="D2374" s="27" t="s">
        <v>930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1923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1924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114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1925</v>
      </c>
      <c r="B2378" s="27" t="s">
        <v>954</v>
      </c>
      <c r="C2378" s="27" t="s">
        <v>1068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1926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1022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1927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1919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925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980</v>
      </c>
      <c r="B2384" s="27" t="s">
        <v>968</v>
      </c>
      <c r="C2384" s="27" t="s">
        <v>929</v>
      </c>
      <c r="D2384" s="27" t="s">
        <v>930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1928</v>
      </c>
      <c r="B2385" s="27" t="s">
        <v>975</v>
      </c>
      <c r="C2385" s="27" t="s">
        <v>929</v>
      </c>
      <c r="D2385" s="27" t="s">
        <v>930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973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994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942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/>
    </row>
    <row r="2390" spans="1:12">
      <c r="A2390" s="20" t="s">
        <v>1929</v>
      </c>
    </row>
    <row r="2391" spans="1:12">
      <c r="A2391" s="20" t="s">
        <v>1930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577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942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/>
    </row>
    <row r="2395" spans="1:12">
      <c r="A2395" s="20" t="s">
        <v>1931</v>
      </c>
    </row>
    <row r="2396" spans="1:12">
      <c r="A2396" s="20" t="s">
        <v>1930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942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/>
    </row>
    <row r="2399" spans="1:12">
      <c r="A2399" s="20" t="s">
        <v>1932</v>
      </c>
    </row>
    <row r="2400" spans="1:12">
      <c r="A2400" s="20" t="s">
        <v>1933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774</v>
      </c>
      <c r="B2401" s="27" t="s">
        <v>947</v>
      </c>
      <c r="C2401" s="27" t="s">
        <v>929</v>
      </c>
      <c r="D2401" s="27" t="s">
        <v>930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1012</v>
      </c>
      <c r="B2402" s="27" t="s">
        <v>972</v>
      </c>
      <c r="C2402" s="27" t="s">
        <v>1013</v>
      </c>
      <c r="D2402" s="27" t="s">
        <v>930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1934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1121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/>
    </row>
    <row r="2406" spans="1:12">
      <c r="A2406" s="20" t="s">
        <v>1932</v>
      </c>
    </row>
    <row r="2407" spans="1:12">
      <c r="A2407" s="20" t="s">
        <v>1933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774</v>
      </c>
      <c r="B2408" s="27" t="s">
        <v>947</v>
      </c>
      <c r="C2408" s="27" t="s">
        <v>929</v>
      </c>
      <c r="D2408" s="27" t="s">
        <v>930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1012</v>
      </c>
      <c r="B2409" s="27" t="s">
        <v>972</v>
      </c>
      <c r="C2409" s="27" t="s">
        <v>1013</v>
      </c>
      <c r="D2409" s="27" t="s">
        <v>930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1934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1121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/>
    </row>
    <row r="2413" spans="1:12">
      <c r="A2413" s="20" t="s">
        <v>1935</v>
      </c>
    </row>
    <row r="2414" spans="1:12">
      <c r="A2414" s="20" t="s">
        <v>1535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925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980</v>
      </c>
      <c r="B2416" s="27" t="s">
        <v>947</v>
      </c>
      <c r="C2416" s="27" t="s">
        <v>929</v>
      </c>
      <c r="D2416" s="27" t="s">
        <v>930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1619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994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925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774</v>
      </c>
      <c r="B2420" s="27" t="s">
        <v>968</v>
      </c>
      <c r="C2420" s="27" t="s">
        <v>929</v>
      </c>
      <c r="D2420" s="27" t="s">
        <v>930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 t="s">
        <v>1936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1937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1938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1939</v>
      </c>
      <c r="B2424" s="27" t="s">
        <v>975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942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/>
    </row>
    <row r="2427" spans="1:12">
      <c r="A2427" s="20" t="s">
        <v>1940</v>
      </c>
    </row>
    <row r="2428" spans="1:12">
      <c r="A2428" s="20" t="s">
        <v>1046</v>
      </c>
      <c r="B2428" s="27" t="s">
        <v>947</v>
      </c>
      <c r="C2428" s="27" t="s">
        <v>929</v>
      </c>
      <c r="D2428" s="27" t="s">
        <v>930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1936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1941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1942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942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/>
    </row>
    <row r="2434" spans="1:12">
      <c r="A2434" s="20" t="s">
        <v>1943</v>
      </c>
    </row>
    <row r="2435" spans="1:12">
      <c r="A2435" s="20" t="s">
        <v>1046</v>
      </c>
      <c r="B2435" s="27" t="s">
        <v>947</v>
      </c>
      <c r="C2435" s="27" t="s">
        <v>929</v>
      </c>
      <c r="D2435" s="27" t="s">
        <v>930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1784</v>
      </c>
      <c r="B2436" s="27" t="s">
        <v>972</v>
      </c>
      <c r="C2436" s="27" t="s">
        <v>929</v>
      </c>
      <c r="D2436" s="27" t="s">
        <v>930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1758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969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1944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942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/>
    </row>
    <row r="2442" spans="1:12">
      <c r="A2442" s="20" t="s">
        <v>1945</v>
      </c>
    </row>
    <row r="2443" spans="1:12">
      <c r="A2443" s="20" t="s">
        <v>945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969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952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942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/>
    </row>
    <row r="2448" spans="1:12">
      <c r="A2448" s="20" t="s">
        <v>1946</v>
      </c>
    </row>
    <row r="2449" spans="1:12">
      <c r="A2449" s="20" t="s">
        <v>1947</v>
      </c>
      <c r="B2449" s="27" t="s">
        <v>954</v>
      </c>
      <c r="C2449" s="27" t="s">
        <v>1066</v>
      </c>
      <c r="D2449" s="27" t="s">
        <v>930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1948</v>
      </c>
      <c r="B2450" s="27" t="s">
        <v>947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1377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11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1949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942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/>
    </row>
    <row r="2456" spans="1:12">
      <c r="A2456" s="20" t="s">
        <v>1950</v>
      </c>
    </row>
    <row r="2457" spans="1:12">
      <c r="A2457" s="20" t="s">
        <v>1128</v>
      </c>
      <c r="B2457" s="27" t="s">
        <v>947</v>
      </c>
      <c r="C2457" s="27" t="s">
        <v>929</v>
      </c>
      <c r="D2457" s="27" t="s">
        <v>930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1951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1017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1153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1263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942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/>
    </row>
    <row r="2464" spans="1:12">
      <c r="A2464" s="20" t="s">
        <v>1952</v>
      </c>
    </row>
    <row r="2465" spans="1:12">
      <c r="A2465" s="20" t="s">
        <v>1128</v>
      </c>
      <c r="B2465" s="27" t="s">
        <v>947</v>
      </c>
      <c r="C2465" s="27" t="s">
        <v>929</v>
      </c>
      <c r="D2465" s="27" t="s">
        <v>930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1758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1953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1954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989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1955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937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1956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1957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1017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1705</v>
      </c>
      <c r="B2475" s="27" t="s">
        <v>954</v>
      </c>
      <c r="C2475" s="27" t="s">
        <v>1013</v>
      </c>
      <c r="D2475" s="27" t="s">
        <v>930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1028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927</v>
      </c>
      <c r="B2477" s="27" t="s">
        <v>928</v>
      </c>
      <c r="C2477" s="27" t="s">
        <v>929</v>
      </c>
      <c r="D2477" s="27" t="s">
        <v>930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1653</v>
      </c>
      <c r="B2478" s="27" t="s">
        <v>934</v>
      </c>
      <c r="C2478" s="27" t="s">
        <v>976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1102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1958</v>
      </c>
      <c r="B2480" s="27" t="s">
        <v>1241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1959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1960</v>
      </c>
      <c r="B2482" s="27" t="s">
        <v>1205</v>
      </c>
      <c r="C2482" s="27" t="s">
        <v>929</v>
      </c>
      <c r="D2482" s="27" t="s">
        <v>930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1961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942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/>
    </row>
    <row r="2486" spans="1:12">
      <c r="A2486" s="20" t="s">
        <v>1962</v>
      </c>
    </row>
    <row r="2487" spans="1:12">
      <c r="A2487" s="20" t="s">
        <v>1246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500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774</v>
      </c>
      <c r="B2489" s="27" t="s">
        <v>947</v>
      </c>
      <c r="C2489" s="27" t="s">
        <v>929</v>
      </c>
      <c r="D2489" s="27" t="s">
        <v>930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 t="s">
        <v>1963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1510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953</v>
      </c>
      <c r="B2492" s="27" t="s">
        <v>954</v>
      </c>
      <c r="C2492" s="27" t="s">
        <v>929</v>
      </c>
      <c r="D2492" s="27" t="s">
        <v>930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1964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925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989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1965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977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774</v>
      </c>
      <c r="B2498" s="27" t="s">
        <v>968</v>
      </c>
      <c r="C2498" s="27" t="s">
        <v>929</v>
      </c>
      <c r="D2498" s="27" t="s">
        <v>930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1966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1121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/>
    </row>
    <row r="2502" spans="1:12">
      <c r="A2502" s="20" t="s">
        <v>1967</v>
      </c>
    </row>
    <row r="2503" spans="1:12">
      <c r="A2503" s="20" t="s">
        <v>1968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937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1969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1970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1971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942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/>
    </row>
    <row r="2510" spans="1:12">
      <c r="A2510" s="20" t="s">
        <v>1972</v>
      </c>
    </row>
    <row r="2511" spans="1:12">
      <c r="A2511" s="20" t="s">
        <v>1579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624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942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/>
    </row>
    <row r="2515" spans="1:12">
      <c r="A2515" s="20" t="s">
        <v>1973</v>
      </c>
    </row>
    <row r="2516" spans="1:12">
      <c r="A2516" s="20" t="s">
        <v>1009</v>
      </c>
      <c r="B2516" s="27" t="s">
        <v>947</v>
      </c>
      <c r="C2516" s="27" t="s">
        <v>929</v>
      </c>
      <c r="D2516" s="27" t="s">
        <v>930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1974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1937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 t="s">
        <v>1971</v>
      </c>
      <c r="B2519" s="27" t="s">
        <v>972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942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1428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1975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1430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1976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925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967</v>
      </c>
      <c r="B2526" s="27" t="s">
        <v>968</v>
      </c>
      <c r="C2526" s="27" t="s">
        <v>929</v>
      </c>
      <c r="D2526" s="27" t="s">
        <v>930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977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 t="s">
        <v>1417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925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1164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11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1465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1012</v>
      </c>
      <c r="B2533" s="27" t="s">
        <v>968</v>
      </c>
      <c r="C2533" s="27" t="s">
        <v>1013</v>
      </c>
      <c r="D2533" s="27" t="s">
        <v>930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1977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1978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925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979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500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 t="s">
        <v>946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1431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1979</v>
      </c>
      <c r="B2541" s="27" t="s">
        <v>934</v>
      </c>
      <c r="C2541" s="27" t="s">
        <v>951</v>
      </c>
      <c r="D2541" s="27" t="s">
        <v>930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11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1980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1981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925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1410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774</v>
      </c>
      <c r="B2547" s="27" t="s">
        <v>1003</v>
      </c>
      <c r="C2547" s="27" t="s">
        <v>929</v>
      </c>
      <c r="D2547" s="27" t="s">
        <v>930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1035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953</v>
      </c>
      <c r="B2549" s="27" t="s">
        <v>940</v>
      </c>
      <c r="C2549" s="27" t="s">
        <v>929</v>
      </c>
      <c r="D2549" s="27" t="s">
        <v>930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1982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1126</v>
      </c>
      <c r="B2551" s="27" t="s">
        <v>1241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1926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942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/>
    </row>
    <row r="2555" spans="1:12">
      <c r="A2555" s="20" t="s">
        <v>1983</v>
      </c>
    </row>
    <row r="2556" spans="1:12">
      <c r="A2556" s="20" t="s">
        <v>1009</v>
      </c>
      <c r="B2556" s="27" t="s">
        <v>947</v>
      </c>
      <c r="C2556" s="27" t="s">
        <v>929</v>
      </c>
      <c r="D2556" s="27" t="s">
        <v>930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1984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1368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1985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1986</v>
      </c>
      <c r="B2560" s="27" t="s">
        <v>972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942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/>
    </row>
    <row r="2563" spans="1:12">
      <c r="A2563" s="20" t="s">
        <v>1987</v>
      </c>
    </row>
    <row r="2564" spans="1:12">
      <c r="A2564" s="20" t="s">
        <v>636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11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1988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925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1989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11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1988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925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1990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925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980</v>
      </c>
      <c r="B2574" s="27" t="s">
        <v>968</v>
      </c>
      <c r="C2574" s="27" t="s">
        <v>929</v>
      </c>
      <c r="D2574" s="27" t="s">
        <v>930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1164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969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1991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925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500</v>
      </c>
      <c r="B2579" s="27" t="s">
        <v>954</v>
      </c>
      <c r="C2579" s="27" t="s">
        <v>976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1012</v>
      </c>
      <c r="B2580" s="27" t="s">
        <v>934</v>
      </c>
      <c r="C2580" s="27" t="s">
        <v>1013</v>
      </c>
      <c r="D2580" s="27" t="s">
        <v>930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1166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925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963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 t="s">
        <v>774</v>
      </c>
      <c r="B2584" s="27" t="s">
        <v>934</v>
      </c>
      <c r="C2584" s="27" t="s">
        <v>929</v>
      </c>
      <c r="D2584" s="27" t="s">
        <v>930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 t="s">
        <v>1982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1126</v>
      </c>
      <c r="B2586" s="27" t="s">
        <v>1154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1926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1035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1012</v>
      </c>
      <c r="B2589" s="27" t="s">
        <v>928</v>
      </c>
      <c r="C2589" s="27" t="s">
        <v>1013</v>
      </c>
      <c r="D2589" s="27" t="s">
        <v>930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925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989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1012</v>
      </c>
      <c r="B2592" s="27" t="s">
        <v>934</v>
      </c>
      <c r="C2592" s="27" t="s">
        <v>1013</v>
      </c>
      <c r="D2592" s="27" t="s">
        <v>930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1992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1993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942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/>
    </row>
    <row r="2597" spans="1:12">
      <c r="A2597" s="20" t="s">
        <v>1994</v>
      </c>
    </row>
    <row r="2598" spans="1:12">
      <c r="A2598" s="20" t="s">
        <v>945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1345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500</v>
      </c>
      <c r="B2600" s="27" t="s">
        <v>947</v>
      </c>
      <c r="C2600" s="27" t="s">
        <v>976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1121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/>
    </row>
    <row r="2603" spans="1:12">
      <c r="A2603" s="20" t="s">
        <v>995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1995</v>
      </c>
    </row>
    <row r="2605" spans="1:12">
      <c r="A2605" s="20" t="s">
        <v>1765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980</v>
      </c>
      <c r="B2606" s="27" t="s">
        <v>968</v>
      </c>
      <c r="C2606" s="27" t="s">
        <v>929</v>
      </c>
      <c r="D2606" s="27" t="s">
        <v>930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1996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1115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948</v>
      </c>
      <c r="B2609" s="27" t="s">
        <v>954</v>
      </c>
      <c r="C2609" s="27" t="s">
        <v>1013</v>
      </c>
      <c r="D2609" s="27" t="s">
        <v>930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925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1401</v>
      </c>
      <c r="B2611" s="27" t="s">
        <v>947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1997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1998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1035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1442</v>
      </c>
      <c r="B2615" s="27" t="s">
        <v>954</v>
      </c>
      <c r="C2615" s="27" t="s">
        <v>929</v>
      </c>
      <c r="D2615" s="27" t="s">
        <v>930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925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1999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925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1005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2000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2001</v>
      </c>
      <c r="B2621" s="27" t="s">
        <v>975</v>
      </c>
      <c r="C2621" s="27" t="s">
        <v>929</v>
      </c>
      <c r="D2621" s="27" t="s">
        <v>930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2002</v>
      </c>
      <c r="B2622" s="27" t="s">
        <v>950</v>
      </c>
      <c r="C2622" s="27" t="s">
        <v>1016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1121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/>
    </row>
    <row r="2625" spans="1:12">
      <c r="A2625" s="20" t="s">
        <v>995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2003</v>
      </c>
    </row>
    <row r="2627" spans="1:12">
      <c r="A2627" s="20" t="s">
        <v>2004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 t="s">
        <v>1401</v>
      </c>
      <c r="B2628" s="27" t="s">
        <v>947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1917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925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500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991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925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1198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1784</v>
      </c>
      <c r="B2635" s="27" t="s">
        <v>975</v>
      </c>
      <c r="C2635" s="27" t="s">
        <v>929</v>
      </c>
      <c r="D2635" s="27" t="s">
        <v>930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1012</v>
      </c>
      <c r="B2636" s="27" t="s">
        <v>968</v>
      </c>
      <c r="C2636" s="27" t="s">
        <v>1013</v>
      </c>
      <c r="D2636" s="27" t="s">
        <v>930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1781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1005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942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/>
    </row>
    <row r="2641" spans="1:12">
      <c r="A2641" s="20" t="s">
        <v>1994</v>
      </c>
    </row>
    <row r="2642" spans="1:12">
      <c r="A2642" s="20" t="s">
        <v>945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1345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500</v>
      </c>
      <c r="B2644" s="27" t="s">
        <v>947</v>
      </c>
      <c r="C2644" s="27" t="s">
        <v>976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 t="s">
        <v>1121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/>
    </row>
    <row r="2647" spans="1:12">
      <c r="A2647" s="20" t="s">
        <v>2005</v>
      </c>
    </row>
    <row r="2648" spans="1:12">
      <c r="A2648" s="20" t="s">
        <v>997</v>
      </c>
      <c r="B2648" s="27" t="s">
        <v>947</v>
      </c>
      <c r="C2648" s="27" t="s">
        <v>929</v>
      </c>
      <c r="D2648" s="27" t="s">
        <v>930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969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2006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942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/>
    </row>
    <row r="2653" spans="1:12">
      <c r="A2653" s="20" t="s">
        <v>995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2007</v>
      </c>
    </row>
    <row r="2655" spans="1:12">
      <c r="A2655" s="20" t="s">
        <v>1651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500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1285</v>
      </c>
      <c r="B2657" s="27" t="s">
        <v>1241</v>
      </c>
      <c r="C2657" s="27" t="s">
        <v>929</v>
      </c>
      <c r="D2657" s="27" t="s">
        <v>930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1088</v>
      </c>
      <c r="B2658" s="27" t="s">
        <v>1154</v>
      </c>
      <c r="C2658" s="27" t="s">
        <v>929</v>
      </c>
      <c r="D2658" s="27" t="s">
        <v>930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1909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925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2008</v>
      </c>
      <c r="B2661" s="27" t="s">
        <v>934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1248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1377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2009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1005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2010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925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980</v>
      </c>
      <c r="B2668" s="27" t="s">
        <v>968</v>
      </c>
      <c r="C2668" s="27" t="s">
        <v>929</v>
      </c>
      <c r="D2668" s="27" t="s">
        <v>930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969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2011</v>
      </c>
      <c r="B2670" s="27" t="s">
        <v>947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301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998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2012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2013</v>
      </c>
      <c r="B2674" s="27" t="s">
        <v>1154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2014</v>
      </c>
      <c r="B2675" s="27" t="s">
        <v>1205</v>
      </c>
      <c r="C2675" s="27" t="s">
        <v>1066</v>
      </c>
      <c r="D2675" s="27" t="s">
        <v>930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2015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1343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2016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1005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925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961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2017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2018</v>
      </c>
      <c r="B2683" s="27" t="s">
        <v>954</v>
      </c>
      <c r="C2683" s="27" t="s">
        <v>1016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11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2019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 t="s">
        <v>1836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 t="s">
        <v>2020</v>
      </c>
      <c r="E2687" s="21">
        <f>IF(D2687="?OLD","!!!","")</f>
        <v/>
      </c>
      <c r="F2687" s="22" t="str">
        <f>IF(OR(E2687="",E2687="!!!"),"",IF(NOT(ISNA(VLOOKUP(E2687,E$1:E2686,1,FALSE()))),"OLD",IF(AND(E2687&lt;&gt;"",E2687&lt;&gt;"!!!"),"NEW","")))</f>
        <v> </v>
      </c>
      <c r="G2687" s="23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4" t="str">
        <f>IF(J2687&lt;&gt;1,"",IF(I2687="SBJ","CB","?"))</f>
        <v> </v>
      </c>
      <c r="I2687" s="25" t="str">
        <f>IF(OR(E2687="",E2687="!!!",F2687="NEW"),"",INDEX(B2686:B$2,-1+SUMPRODUCT(MAX(ROW(E2686:E$2)*(E2687=E2686:E$2)))))</f>
        <v> </v>
      </c>
      <c r="J2687" s="25" t="str">
        <f>IF(OR(E2687="",E2687="!!!",F2687="NEW"),"",COUNTBLANK(OFFSET(A$1,,,SUMPRODUCT(MAX(ROW(E$2:E2687)*(E2687=E$2:E2687)))))-COUNTBLANK(OFFSET(A$1,,,SUMPRODUCT(MAX(ROW(E$1:E2686)*(E2=E$1:E2686))))))</f>
        <v> </v>
      </c>
      <c r="K2687" s="25" t="str">
        <f>IF(OR(E2687="",E2687="!!!",F2687="NEW"),"",INDEX(J$1:J2686,SUMPRODUCT(MAX(ROW(E$1:E2686)*(E2687=E$1:E2686)))))</f>
        <v> </v>
      </c>
      <c r="L2687" s="26"/>
    </row>
    <row r="2688" spans="1:12">
      <c r="A2688" s="20" t="s">
        <v>2021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2022</v>
      </c>
      <c r="B2689" s="27" t="s">
        <v>975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2023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1368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2024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942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/>
    </row>
    <row r="2695" spans="1:12">
      <c r="A2695" s="20" t="s">
        <v>2025</v>
      </c>
    </row>
    <row r="2696" spans="1:12">
      <c r="A2696" s="20" t="s">
        <v>2026</v>
      </c>
      <c r="B2696" s="27" t="s">
        <v>947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925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1653</v>
      </c>
      <c r="B2698" s="27" t="s">
        <v>934</v>
      </c>
      <c r="C2698" s="27" t="s">
        <v>976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1997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2027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2028</v>
      </c>
      <c r="B2701" s="27" t="s">
        <v>1241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989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1493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2029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989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2030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925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2031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937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2032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925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937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2033</v>
      </c>
      <c r="B2713" s="27" t="s">
        <v>928</v>
      </c>
      <c r="C2713" s="27" t="s">
        <v>976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2034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969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659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942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/>
    </row>
    <row r="2719" spans="1:12">
      <c r="A2719" s="20" t="s">
        <v>2035</v>
      </c>
    </row>
    <row r="2720" spans="1:12">
      <c r="A2720" s="20" t="s">
        <v>1148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2032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2036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2037</v>
      </c>
      <c r="B2723" s="27" t="s">
        <v>968</v>
      </c>
      <c r="C2723" s="27" t="s">
        <v>1242</v>
      </c>
      <c r="D2723" s="27" t="s">
        <v>930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1028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2038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2039</v>
      </c>
      <c r="B2726" s="27" t="s">
        <v>928</v>
      </c>
      <c r="C2726" s="27" t="s">
        <v>941</v>
      </c>
      <c r="D2726" s="27" t="s">
        <v>930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942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/>
    </row>
    <row r="2729" spans="1:12">
      <c r="A2729" s="20" t="s">
        <v>2040</v>
      </c>
    </row>
    <row r="2730" spans="1:12">
      <c r="A2730" s="20" t="s">
        <v>1715</v>
      </c>
      <c r="B2730" s="27" t="s">
        <v>947</v>
      </c>
      <c r="C2730" s="27" t="s">
        <v>929</v>
      </c>
      <c r="D2730" s="27" t="s">
        <v>930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2041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2042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1106</v>
      </c>
      <c r="B2733" s="27" t="s">
        <v>950</v>
      </c>
      <c r="C2733" s="27" t="s">
        <v>1068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937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2043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1666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925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2044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925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 t="s">
        <v>500</v>
      </c>
      <c r="E2740" s="21">
        <f>IF(D2740="?OLD","!!!","")</f>
        <v/>
      </c>
      <c r="F2740" s="22" t="str">
        <f>IF(OR(E2740="",E2740="!!!"),"",IF(NOT(ISNA(VLOOKUP(E2740,E$1:E2739,1,FALSE()))),"OLD",IF(AND(E2740&lt;&gt;"",E2740&lt;&gt;"!!!"),"NEW","")))</f>
        <v> </v>
      </c>
      <c r="G2740" s="23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4" t="str">
        <f>IF(J2740&lt;&gt;1,"",IF(I2740="SBJ","CB","?"))</f>
        <v> </v>
      </c>
      <c r="I2740" s="25" t="str">
        <f>IF(OR(E2740="",E2740="!!!",F2740="NEW"),"",INDEX(B2739:B$2,-1+SUMPRODUCT(MAX(ROW(E2739:E$2)*(E2740=E2739:E$2)))))</f>
        <v> </v>
      </c>
      <c r="J2740" s="25" t="str">
        <f>IF(OR(E2740="",E2740="!!!",F2740="NEW"),"",COUNTBLANK(OFFSET(A$1,,,SUMPRODUCT(MAX(ROW(E$2:E2740)*(E2740=E$2:E2740)))))-COUNTBLANK(OFFSET(A$1,,,SUMPRODUCT(MAX(ROW(E$1:E2739)*(E2=E$1:E2739))))))</f>
        <v> </v>
      </c>
      <c r="K2740" s="25" t="str">
        <f>IF(OR(E2740="",E2740="!!!",F2740="NEW"),"",INDEX(J$1:J2739,SUMPRODUCT(MAX(ROW(E$1:E2739)*(E2740=E$1:E2739)))))</f>
        <v> </v>
      </c>
      <c r="L2740" s="26"/>
    </row>
    <row r="2741" spans="1:12">
      <c r="A2741" s="20" t="s">
        <v>2045</v>
      </c>
      <c r="B2741" s="27" t="s">
        <v>934</v>
      </c>
      <c r="E2741" s="21">
        <f>IF(D2741="?OLD","!!!","")</f>
        <v/>
      </c>
      <c r="F2741" s="22" t="str">
        <f>IF(OR(E2741="",E2741="!!!"),"",IF(NOT(ISNA(VLOOKUP(E2741,E$1:E2740,1,FALSE()))),"OLD",IF(AND(E2741&lt;&gt;"",E2741&lt;&gt;"!!!"),"NEW","")))</f>
        <v> </v>
      </c>
      <c r="G2741" s="23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4" t="str">
        <f>IF(J2741&lt;&gt;1,"",IF(I2741="SBJ","CB","?"))</f>
        <v> </v>
      </c>
      <c r="I2741" s="25" t="str">
        <f>IF(OR(E2741="",E2741="!!!",F2741="NEW"),"",INDEX(B2740:B$2,-1+SUMPRODUCT(MAX(ROW(E2740:E$2)*(E2741=E2740:E$2)))))</f>
        <v> </v>
      </c>
      <c r="J2741" s="25" t="str">
        <f>IF(OR(E2741="",E2741="!!!",F2741="NEW"),"",COUNTBLANK(OFFSET(A$1,,,SUMPRODUCT(MAX(ROW(E$2:E2741)*(E2741=E$2:E2741)))))-COUNTBLANK(OFFSET(A$1,,,SUMPRODUCT(MAX(ROW(E$1:E2740)*(E2=E$1:E2740))))))</f>
        <v> </v>
      </c>
      <c r="K2741" s="25" t="str">
        <f>IF(OR(E2741="",E2741="!!!",F2741="NEW"),"",INDEX(J$1:J2740,SUMPRODUCT(MAX(ROW(E$1:E2740)*(E2741=E$1:E2740)))))</f>
        <v> </v>
      </c>
      <c r="L2741" s="26"/>
    </row>
    <row r="2742" spans="1:12">
      <c r="A2742" s="20" t="s">
        <v>925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2046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989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2047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2048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1683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2049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2050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2051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2052</v>
      </c>
      <c r="B2751" s="27" t="s">
        <v>1241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2053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925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1292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2054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2055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1908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942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/>
    </row>
    <row r="2760" spans="1:12">
      <c r="A2760" s="20" t="s">
        <v>2056</v>
      </c>
    </row>
    <row r="2761" spans="1:12">
      <c r="A2761" s="20" t="s">
        <v>2057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2058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2059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2060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937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1666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925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1273</v>
      </c>
      <c r="B2768" s="27" t="s">
        <v>934</v>
      </c>
      <c r="C2768" s="27" t="s">
        <v>976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2061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1510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1036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2062</v>
      </c>
      <c r="B2772" s="27" t="s">
        <v>928</v>
      </c>
      <c r="C2772" s="27" t="s">
        <v>951</v>
      </c>
      <c r="D2772" s="27" t="s">
        <v>930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1156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925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1292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2063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2064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942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/>
    </row>
    <row r="2780" spans="1:12">
      <c r="A2780" s="20" t="s">
        <v>2065</v>
      </c>
    </row>
    <row r="2781" spans="1:12">
      <c r="A2781" s="20" t="s">
        <v>2066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925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969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675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263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1285</v>
      </c>
      <c r="B2786" s="27" t="s">
        <v>975</v>
      </c>
      <c r="C2786" s="27" t="s">
        <v>929</v>
      </c>
      <c r="D2786" s="27" t="s">
        <v>930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925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500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1456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1094</v>
      </c>
      <c r="B2790" s="27" t="s">
        <v>934</v>
      </c>
      <c r="C2790" s="27" t="s">
        <v>1013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2067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2068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942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/>
    </row>
    <row r="2795" spans="1:12">
      <c r="A2795" s="20" t="s">
        <v>2069</v>
      </c>
    </row>
    <row r="2796" spans="1:12">
      <c r="A2796" s="20" t="s">
        <v>2070</v>
      </c>
      <c r="B2796" s="27" t="s">
        <v>947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1093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682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942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/>
    </row>
    <row r="2801" spans="1:12">
      <c r="A2801" s="20" t="s">
        <v>2071</v>
      </c>
    </row>
    <row r="2802" spans="1:12">
      <c r="A2802" s="20" t="s">
        <v>2072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942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/>
    </row>
    <row r="2805" spans="1:12">
      <c r="A2805" s="20" t="s">
        <v>995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2073</v>
      </c>
    </row>
    <row r="2807" spans="1:12">
      <c r="A2807" s="20" t="s">
        <v>1026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2074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2075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686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1028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2076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2077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1108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1012</v>
      </c>
      <c r="B2815" s="27" t="s">
        <v>968</v>
      </c>
      <c r="C2815" s="27" t="s">
        <v>1013</v>
      </c>
      <c r="D2815" s="27" t="s">
        <v>930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2078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2079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1570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2080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1387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1388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2081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989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1005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2082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2083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1005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942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/>
    </row>
    <row r="2830" spans="1:12">
      <c r="A2830" s="20" t="s">
        <v>2084</v>
      </c>
    </row>
    <row r="2831" spans="1:12">
      <c r="A2831" s="20" t="s">
        <v>1117</v>
      </c>
      <c r="B2831" s="27" t="s">
        <v>947</v>
      </c>
      <c r="C2831" s="27" t="s">
        <v>1013</v>
      </c>
      <c r="D2831" s="27" t="s">
        <v>930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2085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698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942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/>
    </row>
    <row r="2836" spans="1:12">
      <c r="A2836" s="20" t="s">
        <v>2086</v>
      </c>
    </row>
    <row r="2837" spans="1:12">
      <c r="A2837" s="20" t="s">
        <v>1727</v>
      </c>
      <c r="B2837" s="27" t="s">
        <v>975</v>
      </c>
      <c r="C2837" s="27" t="s">
        <v>929</v>
      </c>
      <c r="D2837" s="27" t="s">
        <v>930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2087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1759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942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/>
    </row>
    <row r="2842" spans="1:12">
      <c r="A2842" s="20" t="s">
        <v>2088</v>
      </c>
    </row>
    <row r="2843" spans="1:12">
      <c r="A2843" s="20" t="s">
        <v>1117</v>
      </c>
      <c r="B2843" s="27" t="s">
        <v>947</v>
      </c>
      <c r="C2843" s="27" t="s">
        <v>1013</v>
      </c>
      <c r="D2843" s="27" t="s">
        <v>930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698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1196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2089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925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1196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2090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942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/>
    </row>
    <row r="2852" spans="1:12">
      <c r="A2852" s="20" t="s">
        <v>2091</v>
      </c>
    </row>
    <row r="2853" spans="1:12">
      <c r="A2853" s="20" t="s">
        <v>1117</v>
      </c>
      <c r="B2853" s="27" t="s">
        <v>947</v>
      </c>
      <c r="C2853" s="27" t="s">
        <v>1013</v>
      </c>
      <c r="D2853" s="27" t="s">
        <v>930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702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925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1410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969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2092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942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/>
    </row>
    <row r="2861" spans="1:12">
      <c r="A2861" s="20" t="s">
        <v>2093</v>
      </c>
    </row>
    <row r="2862" spans="1:12">
      <c r="A2862" s="20" t="s">
        <v>1455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1088</v>
      </c>
      <c r="B2863" s="27" t="s">
        <v>972</v>
      </c>
      <c r="C2863" s="27" t="s">
        <v>929</v>
      </c>
      <c r="D2863" s="27" t="s">
        <v>930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925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500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774</v>
      </c>
      <c r="B2866" s="27" t="s">
        <v>934</v>
      </c>
      <c r="C2866" s="27" t="s">
        <v>929</v>
      </c>
      <c r="D2866" s="27" t="s">
        <v>930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2094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925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2095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2096</v>
      </c>
      <c r="B2870" s="27" t="s">
        <v>1003</v>
      </c>
      <c r="C2870" s="27" t="s">
        <v>1068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2097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925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1211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 t="s">
        <v>2098</v>
      </c>
      <c r="B2874" s="27" t="s">
        <v>1205</v>
      </c>
      <c r="C2874" s="27" t="s">
        <v>1068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2099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925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1211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2100</v>
      </c>
      <c r="B2878" s="27" t="s">
        <v>1003</v>
      </c>
      <c r="C2878" s="27" t="s">
        <v>1068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2101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1625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2102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2103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942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/>
    </row>
    <row r="2885" spans="1:12">
      <c r="A2885" s="20" t="s">
        <v>2104</v>
      </c>
    </row>
    <row r="2886" spans="1:12">
      <c r="A2886" s="20" t="s">
        <v>2105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2106</v>
      </c>
      <c r="B2887" s="27" t="s">
        <v>954</v>
      </c>
      <c r="C2887" s="27" t="s">
        <v>929</v>
      </c>
      <c r="D2887" s="27" t="s">
        <v>930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925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937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2107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2108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969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1001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2109</v>
      </c>
      <c r="B2894" s="27" t="s">
        <v>947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942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/>
    </row>
    <row r="2897" spans="1:12">
      <c r="A2897" s="20" t="s">
        <v>2110</v>
      </c>
    </row>
    <row r="2898" spans="1:12">
      <c r="A2898" s="20" t="s">
        <v>945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2111</v>
      </c>
      <c r="B2899" s="27" t="s">
        <v>947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969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1001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942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/>
    </row>
    <row r="2904" spans="1:12">
      <c r="A2904" s="20" t="s">
        <v>2112</v>
      </c>
    </row>
    <row r="2905" spans="1:12">
      <c r="A2905" s="20" t="s">
        <v>2113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2114</v>
      </c>
      <c r="B2906" s="27" t="s">
        <v>947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1880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969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1001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942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/>
    </row>
    <row r="2912" spans="1:12">
      <c r="A2912" s="20" t="s">
        <v>2115</v>
      </c>
    </row>
    <row r="2913" spans="1:12">
      <c r="A2913" s="20" t="s">
        <v>1117</v>
      </c>
      <c r="B2913" s="27" t="s">
        <v>972</v>
      </c>
      <c r="C2913" s="27" t="s">
        <v>1013</v>
      </c>
      <c r="D2913" s="27" t="s">
        <v>930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1088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2116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774</v>
      </c>
      <c r="B2916" s="27" t="s">
        <v>947</v>
      </c>
      <c r="C2916" s="27" t="s">
        <v>929</v>
      </c>
      <c r="D2916" s="27" t="s">
        <v>930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 t="s">
        <v>942</v>
      </c>
      <c r="E2917" s="21">
        <f>IF(D2917="?OLD","!!!","")</f>
        <v/>
      </c>
      <c r="F2917" s="22" t="str">
        <f>IF(OR(E2917="",E2917="!!!"),"",IF(NOT(ISNA(VLOOKUP(E2917,E$1:E2916,1,FALSE()))),"OLD",IF(AND(E2917&lt;&gt;"",E2917&lt;&gt;"!!!"),"NEW","")))</f>
        <v> </v>
      </c>
      <c r="G2917" s="23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4" t="str">
        <f>IF(J2917&lt;&gt;1,"",IF(I2917="SBJ","CB","?"))</f>
        <v> </v>
      </c>
      <c r="I2917" s="25" t="str">
        <f>IF(OR(E2917="",E2917="!!!",F2917="NEW"),"",INDEX(B2916:B$2,-1+SUMPRODUCT(MAX(ROW(E2916:E$2)*(E2917=E2916:E$2)))))</f>
        <v> </v>
      </c>
      <c r="J2917" s="25" t="str">
        <f>IF(OR(E2917="",E2917="!!!",F2917="NEW"),"",COUNTBLANK(OFFSET(A$1,,,SUMPRODUCT(MAX(ROW(E$2:E2917)*(E2917=E$2:E2917)))))-COUNTBLANK(OFFSET(A$1,,,SUMPRODUCT(MAX(ROW(E$1:E2916)*(E2=E$1:E2916))))))</f>
        <v> </v>
      </c>
      <c r="K2917" s="25" t="str">
        <f>IF(OR(E2917="",E2917="!!!",F2917="NEW"),"",INDEX(J$1:J2916,SUMPRODUCT(MAX(ROW(E$1:E2916)*(E2917=E$1:E2916)))))</f>
        <v> </v>
      </c>
      <c r="L2917" s="26"/>
    </row>
    <row r="2918" spans="1:12">
      <c r="A2918" s="20"/>
    </row>
    <row r="2919" spans="1:12">
      <c r="A2919" s="20" t="s">
        <v>2117</v>
      </c>
    </row>
    <row r="2920" spans="1:12">
      <c r="A2920" s="20" t="s">
        <v>2118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1022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2119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2120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1072</v>
      </c>
      <c r="B2924" s="27" t="s">
        <v>950</v>
      </c>
      <c r="C2924" s="27" t="s">
        <v>1068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 t="s">
        <v>942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/>
    </row>
    <row r="2927" spans="1:12">
      <c r="A2927" s="20" t="s">
        <v>2121</v>
      </c>
    </row>
    <row r="2928" spans="1:12">
      <c r="A2928" s="20" t="s">
        <v>2122</v>
      </c>
      <c r="B2928" s="27" t="s">
        <v>972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2123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925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1986</v>
      </c>
      <c r="B2931" s="27" t="s">
        <v>968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1108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111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942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/>
    </row>
    <row r="2936" spans="1:12">
      <c r="A2936" s="20" t="s">
        <v>2124</v>
      </c>
    </row>
    <row r="2937" spans="1:12">
      <c r="A2937" s="20" t="s">
        <v>2125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1220</v>
      </c>
      <c r="B2938" s="27" t="s">
        <v>950</v>
      </c>
      <c r="C2938" s="27" t="s">
        <v>1013</v>
      </c>
      <c r="D2938" s="27" t="s">
        <v>930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925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500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969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2123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925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774</v>
      </c>
      <c r="B2944" s="27" t="s">
        <v>947</v>
      </c>
      <c r="C2944" s="27" t="s">
        <v>929</v>
      </c>
      <c r="D2944" s="27" t="s">
        <v>930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2126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942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/>
    </row>
    <row r="2948" spans="1:12">
      <c r="A2948" s="20" t="s">
        <v>2127</v>
      </c>
    </row>
    <row r="2949" spans="1:12">
      <c r="A2949" s="20" t="s">
        <v>1803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977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774</v>
      </c>
      <c r="B2951" s="27" t="s">
        <v>947</v>
      </c>
      <c r="C2951" s="27" t="s">
        <v>929</v>
      </c>
      <c r="D2951" s="27" t="s">
        <v>930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1255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566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1012</v>
      </c>
      <c r="B2954" s="27" t="s">
        <v>975</v>
      </c>
      <c r="C2954" s="27" t="s">
        <v>1013</v>
      </c>
      <c r="D2954" s="27" t="s">
        <v>930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2128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2129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2130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942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/>
    </row>
    <row r="2960" spans="1:12">
      <c r="A2960" s="20" t="s">
        <v>2131</v>
      </c>
    </row>
    <row r="2961" spans="1:12">
      <c r="A2961" s="20" t="s">
        <v>2132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925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1158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989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2133</v>
      </c>
      <c r="B2965" s="27" t="s">
        <v>947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942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/>
    </row>
    <row r="2968" spans="1:12">
      <c r="A2968" s="20" t="s">
        <v>2134</v>
      </c>
    </row>
    <row r="2969" spans="1:12">
      <c r="A2969" s="20" t="s">
        <v>1026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774</v>
      </c>
      <c r="B2970" s="27" t="s">
        <v>947</v>
      </c>
      <c r="C2970" s="27" t="s">
        <v>929</v>
      </c>
      <c r="D2970" s="27" t="s">
        <v>930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1255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2135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925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 t="s">
        <v>2136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925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2137</v>
      </c>
      <c r="B2976" s="27" t="s">
        <v>975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1120</v>
      </c>
      <c r="B2977" s="27" t="s">
        <v>928</v>
      </c>
      <c r="C2977" s="27" t="s">
        <v>941</v>
      </c>
      <c r="D2977" s="27" t="s">
        <v>930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937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2138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925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989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1012</v>
      </c>
      <c r="B2982" s="27" t="s">
        <v>968</v>
      </c>
      <c r="C2982" s="27" t="s">
        <v>1013</v>
      </c>
      <c r="D2982" s="27" t="s">
        <v>930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2139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1153</v>
      </c>
      <c r="B2984" s="27" t="s">
        <v>975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1263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925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1153</v>
      </c>
      <c r="B2987" s="27" t="s">
        <v>1259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1263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925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2140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1784</v>
      </c>
      <c r="B2991" s="27" t="s">
        <v>1259</v>
      </c>
      <c r="C2991" s="27" t="s">
        <v>929</v>
      </c>
      <c r="D2991" s="27" t="s">
        <v>930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2141</v>
      </c>
      <c r="B2992" s="27" t="s">
        <v>1259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942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/>
    </row>
    <row r="2995" spans="1:12">
      <c r="A2995" s="20" t="s">
        <v>2142</v>
      </c>
    </row>
    <row r="2996" spans="1:12">
      <c r="A2996" s="20" t="s">
        <v>957</v>
      </c>
      <c r="B2996" s="27" t="s">
        <v>947</v>
      </c>
      <c r="C2996" s="27" t="s">
        <v>929</v>
      </c>
      <c r="D2996" s="27" t="s">
        <v>930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969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1923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1624</v>
      </c>
      <c r="B2999" s="27" t="s">
        <v>950</v>
      </c>
      <c r="C2999" s="27" t="s">
        <v>1013</v>
      </c>
      <c r="D2999" s="27" t="s">
        <v>930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1121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/>
    </row>
    <row r="3002" spans="1:12">
      <c r="A3002" s="20" t="s">
        <v>2143</v>
      </c>
    </row>
    <row r="3003" spans="1:12">
      <c r="A3003" s="20" t="s">
        <v>2144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2145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925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980</v>
      </c>
      <c r="B3006" s="27" t="s">
        <v>968</v>
      </c>
      <c r="C3006" s="27" t="s">
        <v>929</v>
      </c>
      <c r="D3006" s="27" t="s">
        <v>930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1624</v>
      </c>
      <c r="B3007" s="27" t="s">
        <v>954</v>
      </c>
      <c r="C3007" s="27" t="s">
        <v>1013</v>
      </c>
      <c r="D3007" s="27" t="s">
        <v>930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969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994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942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/>
    </row>
    <row r="3012" spans="1:12">
      <c r="A3012" s="20" t="s">
        <v>2146</v>
      </c>
    </row>
    <row r="3013" spans="1:12">
      <c r="A3013" s="20" t="s">
        <v>1046</v>
      </c>
      <c r="B3013" s="27" t="s">
        <v>947</v>
      </c>
      <c r="C3013" s="27" t="s">
        <v>929</v>
      </c>
      <c r="D3013" s="27" t="s">
        <v>930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2147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2148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1387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1388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2081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942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/>
    </row>
    <row r="3021" spans="1:12">
      <c r="A3021" s="20" t="s">
        <v>1842</v>
      </c>
    </row>
    <row r="3022" spans="1:12">
      <c r="A3022" s="20" t="s">
        <v>1819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1121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/>
    </row>
    <row r="3025" spans="1:12">
      <c r="A3025" s="20" t="s">
        <v>2149</v>
      </c>
    </row>
    <row r="3026" spans="1:12">
      <c r="A3026" s="20" t="s">
        <v>1535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925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1382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980</v>
      </c>
      <c r="B3029" s="27" t="s">
        <v>947</v>
      </c>
      <c r="C3029" s="27" t="s">
        <v>929</v>
      </c>
      <c r="D3029" s="27" t="s">
        <v>930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2150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2151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2152</v>
      </c>
      <c r="B3032" s="27" t="s">
        <v>972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1052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1551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 t="s">
        <v>387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2153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925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2154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925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2155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925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2156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925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774</v>
      </c>
      <c r="B3044" s="27" t="s">
        <v>934</v>
      </c>
      <c r="C3044" s="27" t="s">
        <v>929</v>
      </c>
      <c r="D3044" s="27" t="s">
        <v>930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969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2157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2158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2159</v>
      </c>
      <c r="B3048" s="27" t="s">
        <v>928</v>
      </c>
      <c r="C3048" s="27" t="s">
        <v>1068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2160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 t="s">
        <v>989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1220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977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925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1012</v>
      </c>
      <c r="B3054" s="27" t="s">
        <v>1003</v>
      </c>
      <c r="C3054" s="27" t="s">
        <v>1013</v>
      </c>
      <c r="D3054" s="27" t="s">
        <v>930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2161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942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/>
    </row>
    <row r="3058" spans="1:12">
      <c r="A3058" s="20" t="s">
        <v>2162</v>
      </c>
    </row>
    <row r="3059" spans="1:12">
      <c r="A3059" s="20" t="s">
        <v>1046</v>
      </c>
      <c r="B3059" s="27" t="s">
        <v>947</v>
      </c>
      <c r="C3059" s="27" t="s">
        <v>929</v>
      </c>
      <c r="D3059" s="27" t="s">
        <v>930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969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2157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925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1224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2163</v>
      </c>
      <c r="B3064" s="27" t="s">
        <v>968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2164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2165</v>
      </c>
      <c r="B3066" s="27" t="s">
        <v>975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1035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2141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942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/>
    </row>
    <row r="3071" spans="1:12">
      <c r="A3071" s="20" t="s">
        <v>2166</v>
      </c>
    </row>
    <row r="3072" spans="1:12">
      <c r="A3072" s="20" t="s">
        <v>1046</v>
      </c>
      <c r="B3072" s="27" t="s">
        <v>947</v>
      </c>
      <c r="C3072" s="27" t="s">
        <v>929</v>
      </c>
      <c r="D3072" s="27" t="s">
        <v>930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969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2157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925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1224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2163</v>
      </c>
      <c r="B3077" s="27" t="s">
        <v>968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2167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2168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942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/>
    </row>
    <row r="3082" spans="1:12">
      <c r="A3082" s="20" t="s">
        <v>2169</v>
      </c>
    </row>
    <row r="3083" spans="1:12">
      <c r="A3083" s="20" t="s">
        <v>945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1345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925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500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980</v>
      </c>
      <c r="B3087" s="27" t="s">
        <v>968</v>
      </c>
      <c r="C3087" s="27" t="s">
        <v>929</v>
      </c>
      <c r="D3087" s="27" t="s">
        <v>930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1035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 t="s">
        <v>1012</v>
      </c>
      <c r="B3089" s="27" t="s">
        <v>954</v>
      </c>
      <c r="C3089" s="27" t="s">
        <v>1013</v>
      </c>
      <c r="D3089" s="27" t="s">
        <v>930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2170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1121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/>
    </row>
    <row r="3093" spans="1:12">
      <c r="A3093" s="20" t="s">
        <v>2171</v>
      </c>
    </row>
    <row r="3094" spans="1:12">
      <c r="A3094" s="20" t="s">
        <v>1887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925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967</v>
      </c>
      <c r="B3096" s="27" t="s">
        <v>947</v>
      </c>
      <c r="C3096" s="27" t="s">
        <v>929</v>
      </c>
      <c r="D3096" s="27" t="s">
        <v>930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2006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942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/>
    </row>
    <row r="3100" spans="1:12">
      <c r="A3100" s="20" t="s">
        <v>2172</v>
      </c>
    </row>
    <row r="3101" spans="1:12">
      <c r="A3101" s="20" t="s">
        <v>923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1088</v>
      </c>
      <c r="B3102" s="27" t="s">
        <v>975</v>
      </c>
      <c r="C3102" s="27" t="s">
        <v>929</v>
      </c>
      <c r="D3102" s="27" t="s">
        <v>930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2173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942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/>
    </row>
    <row r="3106" spans="1:12">
      <c r="A3106" s="20" t="s">
        <v>2174</v>
      </c>
    </row>
    <row r="3107" spans="1:12">
      <c r="A3107" s="20" t="s">
        <v>1751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925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926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927</v>
      </c>
      <c r="B3110" s="27" t="s">
        <v>950</v>
      </c>
      <c r="C3110" s="27" t="s">
        <v>929</v>
      </c>
      <c r="D3110" s="27" t="s">
        <v>930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2175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1195</v>
      </c>
      <c r="B3112" s="27" t="s">
        <v>947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1368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2176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925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963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1978</v>
      </c>
      <c r="B3117" s="27" t="s">
        <v>968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969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937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2177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942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/>
    </row>
    <row r="3123" spans="1:12">
      <c r="A3123" s="20" t="s">
        <v>2178</v>
      </c>
    </row>
    <row r="3124" spans="1:12">
      <c r="A3124" s="20" t="s">
        <v>1527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1197</v>
      </c>
      <c r="B3125" s="27" t="s">
        <v>950</v>
      </c>
      <c r="C3125" s="27" t="s">
        <v>929</v>
      </c>
      <c r="D3125" s="27" t="s">
        <v>930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111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338</v>
      </c>
      <c r="B3127" s="27" t="s">
        <v>947</v>
      </c>
      <c r="C3127" s="27" t="s">
        <v>1545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2179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1368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2180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942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/>
    </row>
    <row r="3133" spans="1:12">
      <c r="A3133" s="20" t="s">
        <v>2181</v>
      </c>
    </row>
    <row r="3134" spans="1:12">
      <c r="A3134" s="20" t="s">
        <v>1117</v>
      </c>
      <c r="B3134" s="27" t="s">
        <v>947</v>
      </c>
      <c r="C3134" s="27" t="s">
        <v>1013</v>
      </c>
      <c r="D3134" s="27" t="s">
        <v>930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 t="s">
        <v>2182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925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1012</v>
      </c>
      <c r="B3137" s="27" t="s">
        <v>968</v>
      </c>
      <c r="C3137" s="27" t="s">
        <v>1013</v>
      </c>
      <c r="D3137" s="27" t="s">
        <v>930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2183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 t="s">
        <v>925</v>
      </c>
      <c r="E3139" s="21">
        <f>IF(D3139="?OLD","!!!","")</f>
        <v/>
      </c>
      <c r="F3139" s="22" t="str">
        <f>IF(OR(E3139="",E3139="!!!"),"",IF(NOT(ISNA(VLOOKUP(E3139,E$1:E3138,1,FALSE()))),"OLD",IF(AND(E3139&lt;&gt;"",E3139&lt;&gt;"!!!"),"NEW","")))</f>
        <v> </v>
      </c>
      <c r="G3139" s="23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4" t="str">
        <f>IF(J3139&lt;&gt;1,"",IF(I3139="SBJ","CB","?"))</f>
        <v> </v>
      </c>
      <c r="I3139" s="25" t="str">
        <f>IF(OR(E3139="",E3139="!!!",F3139="NEW"),"",INDEX(B3138:B$2,-1+SUMPRODUCT(MAX(ROW(E3138:E$2)*(E3139=E3138:E$2)))))</f>
        <v> </v>
      </c>
      <c r="J3139" s="25" t="str">
        <f>IF(OR(E3139="",E3139="!!!",F3139="NEW"),"",COUNTBLANK(OFFSET(A$1,,,SUMPRODUCT(MAX(ROW(E$2:E3139)*(E3139=E$2:E3139)))))-COUNTBLANK(OFFSET(A$1,,,SUMPRODUCT(MAX(ROW(E$1:E3138)*(E2=E$1:E3138))))))</f>
        <v> </v>
      </c>
      <c r="K3139" s="25" t="str">
        <f>IF(OR(E3139="",E3139="!!!",F3139="NEW"),"",INDEX(J$1:J3138,SUMPRODUCT(MAX(ROW(E$1:E3138)*(E3139=E$1:E3138)))))</f>
        <v> </v>
      </c>
      <c r="L3139" s="26"/>
    </row>
    <row r="3140" spans="1:12">
      <c r="A3140" s="20" t="s">
        <v>1012</v>
      </c>
      <c r="B3140" s="27" t="s">
        <v>954</v>
      </c>
      <c r="C3140" s="27" t="s">
        <v>1013</v>
      </c>
      <c r="D3140" s="27" t="s">
        <v>930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986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2184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942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/>
    </row>
    <row r="3145" spans="1:12">
      <c r="A3145" s="20" t="s">
        <v>2185</v>
      </c>
    </row>
    <row r="3146" spans="1:12">
      <c r="A3146" s="20" t="s">
        <v>2186</v>
      </c>
      <c r="E3146" s="21">
        <f>IF(D3146="?OLD","!!!","")</f>
        <v/>
      </c>
      <c r="F3146" s="22" t="str">
        <f>IF(OR(E3146="",E3146="!!!"),"",IF(NOT(ISNA(VLOOKUP(E3146,E$1:E3145,1,FALSE()))),"OLD",IF(AND(E3146&lt;&gt;"",E3146&lt;&gt;"!!!"),"NEW","")))</f>
        <v> </v>
      </c>
      <c r="G3146" s="23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4" t="str">
        <f>IF(J3146&lt;&gt;1,"",IF(I3146="SBJ","CB","?"))</f>
        <v> </v>
      </c>
      <c r="I3146" s="25" t="str">
        <f>IF(OR(E3146="",E3146="!!!",F3146="NEW"),"",INDEX(B3145:B$2,-1+SUMPRODUCT(MAX(ROW(E3145:E$2)*(E3146=E3145:E$2)))))</f>
        <v> </v>
      </c>
      <c r="J3146" s="25" t="str">
        <f>IF(OR(E3146="",E3146="!!!",F3146="NEW"),"",COUNTBLANK(OFFSET(A$1,,,SUMPRODUCT(MAX(ROW(E$2:E3146)*(E3146=E$2:E3146)))))-COUNTBLANK(OFFSET(A$1,,,SUMPRODUCT(MAX(ROW(E$1:E3145)*(E2=E$1:E3145))))))</f>
        <v> </v>
      </c>
      <c r="K3146" s="25" t="str">
        <f>IF(OR(E3146="",E3146="!!!",F3146="NEW"),"",INDEX(J$1:J3145,SUMPRODUCT(MAX(ROW(E$1:E3145)*(E3146=E$1:E3145)))))</f>
        <v> </v>
      </c>
      <c r="L3146" s="26"/>
    </row>
    <row r="3147" spans="1:12">
      <c r="A3147" s="20" t="s">
        <v>925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2092</v>
      </c>
      <c r="B3148" s="27" t="s">
        <v>947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 t="s">
        <v>1108</v>
      </c>
      <c r="E3149" s="21">
        <f>IF(D3149="?OLD","!!!","")</f>
        <v/>
      </c>
      <c r="F3149" s="22" t="str">
        <f>IF(OR(E3149="",E3149="!!!"),"",IF(NOT(ISNA(VLOOKUP(E3149,E$1:E3148,1,FALSE()))),"OLD",IF(AND(E3149&lt;&gt;"",E3149&lt;&gt;"!!!"),"NEW","")))</f>
        <v> </v>
      </c>
      <c r="G3149" s="23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4" t="str">
        <f>IF(J3149&lt;&gt;1,"",IF(I3149="SBJ","CB","?"))</f>
        <v> </v>
      </c>
      <c r="I3149" s="25" t="str">
        <f>IF(OR(E3149="",E3149="!!!",F3149="NEW"),"",INDEX(B3148:B$2,-1+SUMPRODUCT(MAX(ROW(E3148:E$2)*(E3149=E3148:E$2)))))</f>
        <v> </v>
      </c>
      <c r="J3149" s="25" t="str">
        <f>IF(OR(E3149="",E3149="!!!",F3149="NEW"),"",COUNTBLANK(OFFSET(A$1,,,SUMPRODUCT(MAX(ROW(E$2:E3149)*(E3149=E$2:E3149)))))-COUNTBLANK(OFFSET(A$1,,,SUMPRODUCT(MAX(ROW(E$1:E3148)*(E2=E$1:E3148))))))</f>
        <v> </v>
      </c>
      <c r="K3149" s="25" t="str">
        <f>IF(OR(E3149="",E3149="!!!",F3149="NEW"),"",INDEX(J$1:J3148,SUMPRODUCT(MAX(ROW(E$1:E3148)*(E3149=E$1:E3148)))))</f>
        <v> </v>
      </c>
      <c r="L3149" s="26"/>
    </row>
    <row r="3150" spans="1:12">
      <c r="A3150" s="20" t="s">
        <v>969</v>
      </c>
      <c r="E3150" s="21">
        <f>IF(D3150="?OLD","!!!","")</f>
        <v/>
      </c>
      <c r="F3150" s="22" t="str">
        <f>IF(OR(E3150="",E3150="!!!"),"",IF(NOT(ISNA(VLOOKUP(E3150,E$1:E3149,1,FALSE()))),"OLD",IF(AND(E3150&lt;&gt;"",E3150&lt;&gt;"!!!"),"NEW","")))</f>
        <v> </v>
      </c>
      <c r="G3150" s="23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4" t="str">
        <f>IF(J3150&lt;&gt;1,"",IF(I3150="SBJ","CB","?"))</f>
        <v> </v>
      </c>
      <c r="I3150" s="25" t="str">
        <f>IF(OR(E3150="",E3150="!!!",F3150="NEW"),"",INDEX(B3149:B$2,-1+SUMPRODUCT(MAX(ROW(E3149:E$2)*(E3150=E3149:E$2)))))</f>
        <v> </v>
      </c>
      <c r="J3150" s="25" t="str">
        <f>IF(OR(E3150="",E3150="!!!",F3150="NEW"),"",COUNTBLANK(OFFSET(A$1,,,SUMPRODUCT(MAX(ROW(E$2:E3150)*(E3150=E$2:E3150)))))-COUNTBLANK(OFFSET(A$1,,,SUMPRODUCT(MAX(ROW(E$1:E3149)*(E2=E$1:E3149))))))</f>
        <v> </v>
      </c>
      <c r="K3150" s="25" t="str">
        <f>IF(OR(E3150="",E3150="!!!",F3150="NEW"),"",INDEX(J$1:J3149,SUMPRODUCT(MAX(ROW(E$1:E3149)*(E3150=E$1:E3149)))))</f>
        <v> </v>
      </c>
      <c r="L3150" s="26"/>
    </row>
    <row r="3151" spans="1:12">
      <c r="A3151" s="20" t="s">
        <v>785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942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/>
    </row>
    <row r="3154" spans="1:12">
      <c r="A3154" s="20" t="s">
        <v>2187</v>
      </c>
    </row>
    <row r="3155" spans="1:12">
      <c r="A3155" s="20" t="s">
        <v>993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789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942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/>
    </row>
    <row r="3159" spans="1:12">
      <c r="A3159" s="20" t="s">
        <v>2188</v>
      </c>
    </row>
    <row r="3160" spans="1:12">
      <c r="A3160" s="20" t="s">
        <v>1117</v>
      </c>
      <c r="B3160" s="27" t="s">
        <v>947</v>
      </c>
      <c r="C3160" s="27" t="s">
        <v>1013</v>
      </c>
      <c r="D3160" s="27" t="s">
        <v>930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1341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969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793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2189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2092</v>
      </c>
      <c r="B3165" s="27" t="s">
        <v>968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1108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 t="s">
        <v>1012</v>
      </c>
      <c r="B3167" s="27" t="s">
        <v>954</v>
      </c>
      <c r="C3167" s="27" t="s">
        <v>1013</v>
      </c>
      <c r="D3167" s="27" t="s">
        <v>930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 t="s">
        <v>797</v>
      </c>
      <c r="E3168" s="21">
        <f>IF(D3168="?OLD","!!!","")</f>
        <v/>
      </c>
      <c r="F3168" s="22" t="str">
        <f>IF(OR(E3168="",E3168="!!!"),"",IF(NOT(ISNA(VLOOKUP(E3168,E$1:E3167,1,FALSE()))),"OLD",IF(AND(E3168&lt;&gt;"",E3168&lt;&gt;"!!!"),"NEW","")))</f>
        <v> </v>
      </c>
      <c r="G3168" s="23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4" t="str">
        <f>IF(J3168&lt;&gt;1,"",IF(I3168="SBJ","CB","?"))</f>
        <v> </v>
      </c>
      <c r="I3168" s="25" t="str">
        <f>IF(OR(E3168="",E3168="!!!",F3168="NEW"),"",INDEX(B3167:B$2,-1+SUMPRODUCT(MAX(ROW(E3167:E$2)*(E3168=E3167:E$2)))))</f>
        <v> </v>
      </c>
      <c r="J3168" s="25" t="str">
        <f>IF(OR(E3168="",E3168="!!!",F3168="NEW"),"",COUNTBLANK(OFFSET(A$1,,,SUMPRODUCT(MAX(ROW(E$2:E3168)*(E3168=E$2:E3168)))))-COUNTBLANK(OFFSET(A$1,,,SUMPRODUCT(MAX(ROW(E$1:E3167)*(E2=E$1:E3167))))))</f>
        <v> </v>
      </c>
      <c r="K3168" s="25" t="str">
        <f>IF(OR(E3168="",E3168="!!!",F3168="NEW"),"",INDEX(J$1:J3167,SUMPRODUCT(MAX(ROW(E$1:E3167)*(E3168=E$1:E3167)))))</f>
        <v> </v>
      </c>
      <c r="L3168" s="26"/>
    </row>
    <row r="3169" spans="1:12">
      <c r="A3169" s="20" t="s">
        <v>942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/>
    </row>
    <row r="3171" spans="1:12">
      <c r="A3171" s="20" t="s">
        <v>2190</v>
      </c>
    </row>
    <row r="3172" spans="1:12">
      <c r="A3172" s="20" t="s">
        <v>1117</v>
      </c>
      <c r="B3172" s="27" t="s">
        <v>947</v>
      </c>
      <c r="C3172" s="27" t="s">
        <v>1013</v>
      </c>
      <c r="D3172" s="27" t="s">
        <v>930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797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925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989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 t="s">
        <v>2191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 t="s">
        <v>1766</v>
      </c>
      <c r="B3177" s="27" t="s">
        <v>968</v>
      </c>
      <c r="C3177" s="27" t="s">
        <v>929</v>
      </c>
      <c r="D3177" s="27" t="s">
        <v>930</v>
      </c>
      <c r="E3177" s="21">
        <f>IF(D3177="?OLD","!!!","")</f>
        <v/>
      </c>
      <c r="F3177" s="22" t="str">
        <f>IF(OR(E3177="",E3177="!!!"),"",IF(NOT(ISNA(VLOOKUP(E3177,E$1:E3176,1,FALSE()))),"OLD",IF(AND(E3177&lt;&gt;"",E3177&lt;&gt;"!!!"),"NEW","")))</f>
        <v> </v>
      </c>
      <c r="G3177" s="23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4" t="str">
        <f>IF(J3177&lt;&gt;1,"",IF(I3177="SBJ","CB","?"))</f>
        <v> </v>
      </c>
      <c r="I3177" s="25" t="str">
        <f>IF(OR(E3177="",E3177="!!!",F3177="NEW"),"",INDEX(B3176:B$2,-1+SUMPRODUCT(MAX(ROW(E3176:E$2)*(E3177=E3176:E$2)))))</f>
        <v> </v>
      </c>
      <c r="J3177" s="25" t="str">
        <f>IF(OR(E3177="",E3177="!!!",F3177="NEW"),"",COUNTBLANK(OFFSET(A$1,,,SUMPRODUCT(MAX(ROW(E$2:E3177)*(E3177=E$2:E3177)))))-COUNTBLANK(OFFSET(A$1,,,SUMPRODUCT(MAX(ROW(E$1:E3176)*(E2=E$1:E3176))))))</f>
        <v> </v>
      </c>
      <c r="K3177" s="25" t="str">
        <f>IF(OR(E3177="",E3177="!!!",F3177="NEW"),"",INDEX(J$1:J3176,SUMPRODUCT(MAX(ROW(E$1:E3176)*(E3177=E$1:E3176)))))</f>
        <v> </v>
      </c>
      <c r="L3177" s="26"/>
    </row>
    <row r="3178" spans="1:12">
      <c r="A3178" s="20" t="s">
        <v>2192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925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1410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2191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1108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111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925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963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1283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925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500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774</v>
      </c>
      <c r="B3189" s="27" t="s">
        <v>934</v>
      </c>
      <c r="C3189" s="27" t="s">
        <v>929</v>
      </c>
      <c r="D3189" s="27" t="s">
        <v>930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952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2193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2177</v>
      </c>
      <c r="B3192" s="27" t="s">
        <v>1241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240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 t="s">
        <v>987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 t="s">
        <v>1419</v>
      </c>
      <c r="E3195" s="21">
        <f>IF(D3195="?OLD","!!!","")</f>
        <v/>
      </c>
      <c r="F3195" s="22" t="str">
        <f>IF(OR(E3195="",E3195="!!!"),"",IF(NOT(ISNA(VLOOKUP(E3195,E$1:E3194,1,FALSE()))),"OLD",IF(AND(E3195&lt;&gt;"",E3195&lt;&gt;"!!!"),"NEW","")))</f>
        <v> </v>
      </c>
      <c r="G3195" s="23" t="str">
        <f>IF(OR(E3195="",E3195="!!!"),"",IF(OR(J3195=0,AND(J3195=1,K3195=1),AND(J3195=1,I3195="SBJ"),AND(J3195=1,I3195=0)),"?IN_FOCUS",IF(J3195&lt;=2,"?ACTIVATED",IF(J3195&lt;&gt;"","?FAMILIAR",IF(F3195="NEW",IF(ISNA(VLOOKUP(E3195,#REF!,1,FALSE())),"?TYPE_IDENTIFIABLE","?REFERENTIAL"),"_")))))</f>
        <v> </v>
      </c>
      <c r="H3195" s="24" t="str">
        <f>IF(J3195&lt;&gt;1,"",IF(I3195="SBJ","CB","?"))</f>
        <v> </v>
      </c>
      <c r="I3195" s="25" t="str">
        <f>IF(OR(E3195="",E3195="!!!",F3195="NEW"),"",INDEX(B3194:B$2,-1+SUMPRODUCT(MAX(ROW(E3194:E$2)*(E3195=E3194:E$2)))))</f>
        <v> </v>
      </c>
      <c r="J3195" s="25" t="str">
        <f>IF(OR(E3195="",E3195="!!!",F3195="NEW"),"",COUNTBLANK(OFFSET(A$1,,,SUMPRODUCT(MAX(ROW(E$2:E3195)*(E3195=E$2:E3195)))))-COUNTBLANK(OFFSET(A$1,,,SUMPRODUCT(MAX(ROW(E$1:E3194)*(E2=E$1:E3194))))))</f>
        <v> </v>
      </c>
      <c r="K3195" s="25" t="str">
        <f>IF(OR(E3195="",E3195="!!!",F3195="NEW"),"",INDEX(J$1:J3194,SUMPRODUCT(MAX(ROW(E$1:E3194)*(E3195=E$1:E3194)))))</f>
        <v> </v>
      </c>
      <c r="L3195" s="26"/>
    </row>
    <row r="3196" spans="1:12">
      <c r="A3196" s="20" t="s">
        <v>925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979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500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774</v>
      </c>
      <c r="B3199" s="27" t="s">
        <v>1295</v>
      </c>
      <c r="C3199" s="27" t="s">
        <v>929</v>
      </c>
      <c r="D3199" s="27" t="s">
        <v>930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2194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925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1758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2195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925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 t="s">
        <v>989</v>
      </c>
      <c r="E3205" s="21">
        <f>IF(D3205="?OLD","!!!","")</f>
        <v/>
      </c>
      <c r="F3205" s="22" t="str">
        <f>IF(OR(E3205="",E3205="!!!"),"",IF(NOT(ISNA(VLOOKUP(E3205,E$1:E3204,1,FALSE()))),"OLD",IF(AND(E3205&lt;&gt;"",E3205&lt;&gt;"!!!"),"NEW","")))</f>
        <v> </v>
      </c>
      <c r="G3205" s="23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4" t="str">
        <f>IF(J3205&lt;&gt;1,"",IF(I3205="SBJ","CB","?"))</f>
        <v> </v>
      </c>
      <c r="I3205" s="25" t="str">
        <f>IF(OR(E3205="",E3205="!!!",F3205="NEW"),"",INDEX(B3204:B$2,-1+SUMPRODUCT(MAX(ROW(E3204:E$2)*(E3205=E3204:E$2)))))</f>
        <v> </v>
      </c>
      <c r="J3205" s="25" t="str">
        <f>IF(OR(E3205="",E3205="!!!",F3205="NEW"),"",COUNTBLANK(OFFSET(A$1,,,SUMPRODUCT(MAX(ROW(E$2:E3205)*(E3205=E$2:E3205)))))-COUNTBLANK(OFFSET(A$1,,,SUMPRODUCT(MAX(ROW(E$1:E3204)*(E2=E$1:E3204))))))</f>
        <v> </v>
      </c>
      <c r="K3205" s="25" t="str">
        <f>IF(OR(E3205="",E3205="!!!",F3205="NEW"),"",INDEX(J$1:J3204,SUMPRODUCT(MAX(ROW(E$1:E3204)*(E3205=E$1:E3204)))))</f>
        <v> </v>
      </c>
      <c r="L3205" s="26"/>
    </row>
    <row r="3206" spans="1:12">
      <c r="A3206" s="20" t="s">
        <v>1012</v>
      </c>
      <c r="B3206" s="27" t="s">
        <v>1635</v>
      </c>
      <c r="C3206" s="27" t="s">
        <v>1013</v>
      </c>
      <c r="D3206" s="27" t="s">
        <v>930</v>
      </c>
      <c r="E3206" s="21">
        <f>IF(D3206="?OLD","!!!","")</f>
        <v/>
      </c>
      <c r="F3206" s="22" t="str">
        <f>IF(OR(E3206="",E3206="!!!"),"",IF(NOT(ISNA(VLOOKUP(E3206,E$1:E3205,1,FALSE()))),"OLD",IF(AND(E3206&lt;&gt;"",E3206&lt;&gt;"!!!"),"NEW","")))</f>
        <v> </v>
      </c>
      <c r="G3206" s="23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4" t="str">
        <f>IF(J3206&lt;&gt;1,"",IF(I3206="SBJ","CB","?"))</f>
        <v> </v>
      </c>
      <c r="I3206" s="25" t="str">
        <f>IF(OR(E3206="",E3206="!!!",F3206="NEW"),"",INDEX(B3205:B$2,-1+SUMPRODUCT(MAX(ROW(E3205:E$2)*(E3206=E3205:E$2)))))</f>
        <v> </v>
      </c>
      <c r="J3206" s="25" t="str">
        <f>IF(OR(E3206="",E3206="!!!",F3206="NEW"),"",COUNTBLANK(OFFSET(A$1,,,SUMPRODUCT(MAX(ROW(E$2:E3206)*(E3206=E$2:E3206)))))-COUNTBLANK(OFFSET(A$1,,,SUMPRODUCT(MAX(ROW(E$1:E3205)*(E2=E$1:E3205))))))</f>
        <v> </v>
      </c>
      <c r="K3206" s="25" t="str">
        <f>IF(OR(E3206="",E3206="!!!",F3206="NEW"),"",INDEX(J$1:J3205,SUMPRODUCT(MAX(ROW(E$1:E3205)*(E3206=E$1:E3205)))))</f>
        <v> </v>
      </c>
      <c r="L3206" s="26"/>
    </row>
    <row r="3207" spans="1:12">
      <c r="A3207" s="20" t="s">
        <v>969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1284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1153</v>
      </c>
      <c r="B3209" s="27" t="s">
        <v>1408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1263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2196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2034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 t="s">
        <v>942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/>
    </row>
    <row r="3215" spans="1:12">
      <c r="A3215" s="20" t="s">
        <v>2197</v>
      </c>
    </row>
    <row r="3216" spans="1:12">
      <c r="A3216" s="20" t="s">
        <v>2198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925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937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2199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198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1072</v>
      </c>
      <c r="B3221" s="27" t="s">
        <v>950</v>
      </c>
      <c r="C3221" s="27" t="s">
        <v>1068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1092</v>
      </c>
      <c r="B3222" s="27" t="s">
        <v>972</v>
      </c>
      <c r="C3222" s="27" t="s">
        <v>929</v>
      </c>
      <c r="D3222" s="27" t="s">
        <v>930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2200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2201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1035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273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2202</v>
      </c>
      <c r="B3227" s="27" t="s">
        <v>954</v>
      </c>
      <c r="C3227" s="27" t="s">
        <v>1068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1156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2081</v>
      </c>
      <c r="B3229" s="27" t="s">
        <v>954</v>
      </c>
      <c r="C3229" s="27" t="s">
        <v>1068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925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1292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1099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925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1035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273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2202</v>
      </c>
      <c r="B3236" s="27" t="s">
        <v>950</v>
      </c>
      <c r="C3236" s="27" t="s">
        <v>1068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 t="s">
        <v>942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/>
    </row>
    <row r="3239" spans="1:12">
      <c r="A3239" s="20" t="s">
        <v>2203</v>
      </c>
    </row>
    <row r="3240" spans="1:12">
      <c r="A3240" s="20" t="s">
        <v>1586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2204</v>
      </c>
      <c r="B3241" s="27" t="s">
        <v>947</v>
      </c>
      <c r="C3241" s="27" t="s">
        <v>951</v>
      </c>
      <c r="D3241" s="27" t="s">
        <v>930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937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2205</v>
      </c>
      <c r="B3243" s="27" t="s">
        <v>954</v>
      </c>
      <c r="C3243" s="27" t="s">
        <v>941</v>
      </c>
      <c r="D3243" s="27" t="s">
        <v>930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1022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2119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122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1072</v>
      </c>
      <c r="B3247" s="27" t="s">
        <v>950</v>
      </c>
      <c r="C3247" s="27" t="s">
        <v>1068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942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/>
    </row>
    <row r="3250" spans="1:12">
      <c r="A3250" s="20" t="s">
        <v>2206</v>
      </c>
    </row>
    <row r="3251" spans="1:12">
      <c r="A3251" s="20" t="s">
        <v>1579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 t="s">
        <v>1217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 t="s">
        <v>925</v>
      </c>
      <c r="E3253" s="21">
        <f>IF(D3253="?OLD","!!!","")</f>
        <v/>
      </c>
      <c r="F3253" s="22" t="str">
        <f>IF(OR(E3253="",E3253="!!!"),"",IF(NOT(ISNA(VLOOKUP(E3253,E$1:E3252,1,FALSE()))),"OLD",IF(AND(E3253&lt;&gt;"",E3253&lt;&gt;"!!!"),"NEW","")))</f>
        <v> </v>
      </c>
      <c r="G3253" s="23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4" t="str">
        <f>IF(J3253&lt;&gt;1,"",IF(I3253="SBJ","CB","?"))</f>
        <v> </v>
      </c>
      <c r="I3253" s="25" t="str">
        <f>IF(OR(E3253="",E3253="!!!",F3253="NEW"),"",INDEX(B3252:B$2,-1+SUMPRODUCT(MAX(ROW(E3252:E$2)*(E3253=E3252:E$2)))))</f>
        <v> </v>
      </c>
      <c r="J3253" s="25" t="str">
        <f>IF(OR(E3253="",E3253="!!!",F3253="NEW"),"",COUNTBLANK(OFFSET(A$1,,,SUMPRODUCT(MAX(ROW(E$2:E3253)*(E3253=E$2:E3253)))))-COUNTBLANK(OFFSET(A$1,,,SUMPRODUCT(MAX(ROW(E$1:E3252)*(E2=E$1:E3252))))))</f>
        <v> </v>
      </c>
      <c r="K3253" s="25" t="str">
        <f>IF(OR(E3253="",E3253="!!!",F3253="NEW"),"",INDEX(J$1:J3252,SUMPRODUCT(MAX(ROW(E$1:E3252)*(E3253=E$1:E3252)))))</f>
        <v> </v>
      </c>
      <c r="L3253" s="26"/>
    </row>
    <row r="3254" spans="1:12">
      <c r="A3254" s="20" t="s">
        <v>1217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942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/>
    </row>
    <row r="3257" spans="1:12">
      <c r="A3257" s="20" t="s">
        <v>2207</v>
      </c>
    </row>
    <row r="3258" spans="1:12">
      <c r="A3258" s="20" t="s">
        <v>997</v>
      </c>
      <c r="B3258" s="27" t="s">
        <v>947</v>
      </c>
      <c r="C3258" s="27" t="s">
        <v>929</v>
      </c>
      <c r="D3258" s="27" t="s">
        <v>930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2208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 t="s">
        <v>937</v>
      </c>
      <c r="E3260" s="21">
        <f>IF(D3260="?OLD","!!!","")</f>
        <v/>
      </c>
      <c r="F3260" s="22" t="str">
        <f>IF(OR(E3260="",E3260="!!!"),"",IF(NOT(ISNA(VLOOKUP(E3260,E$1:E3259,1,FALSE()))),"OLD",IF(AND(E3260&lt;&gt;"",E3260&lt;&gt;"!!!"),"NEW","")))</f>
        <v> </v>
      </c>
      <c r="G3260" s="23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4" t="str">
        <f>IF(J3260&lt;&gt;1,"",IF(I3260="SBJ","CB","?"))</f>
        <v> </v>
      </c>
      <c r="I3260" s="25" t="str">
        <f>IF(OR(E3260="",E3260="!!!",F3260="NEW"),"",INDEX(B3259:B$2,-1+SUMPRODUCT(MAX(ROW(E3259:E$2)*(E3260=E3259:E$2)))))</f>
        <v> </v>
      </c>
      <c r="J3260" s="25" t="str">
        <f>IF(OR(E3260="",E3260="!!!",F3260="NEW"),"",COUNTBLANK(OFFSET(A$1,,,SUMPRODUCT(MAX(ROW(E$2:E3260)*(E3260=E$2:E3260)))))-COUNTBLANK(OFFSET(A$1,,,SUMPRODUCT(MAX(ROW(E$1:E3259)*(E2=E$1:E3259))))))</f>
        <v> </v>
      </c>
      <c r="K3260" s="25" t="str">
        <f>IF(OR(E3260="",E3260="!!!",F3260="NEW"),"",INDEX(J$1:J3259,SUMPRODUCT(MAX(ROW(E$1:E3259)*(E3260=E$1:E3259)))))</f>
        <v> </v>
      </c>
      <c r="L3260" s="26"/>
    </row>
    <row r="3261" spans="1:12">
      <c r="A3261" s="20" t="s">
        <v>2209</v>
      </c>
      <c r="E3261" s="21">
        <f>IF(D3261="?OLD","!!!","")</f>
        <v/>
      </c>
      <c r="F3261" s="22" t="str">
        <f>IF(OR(E3261="",E3261="!!!"),"",IF(NOT(ISNA(VLOOKUP(E3261,E$1:E3260,1,FALSE()))),"OLD",IF(AND(E3261&lt;&gt;"",E3261&lt;&gt;"!!!"),"NEW","")))</f>
        <v> </v>
      </c>
      <c r="G3261" s="23" t="str">
        <f>IF(OR(E3261="",E3261="!!!"),"",IF(OR(J3261=0,AND(J3261=1,K3261=1),AND(J3261=1,I3261="SBJ"),AND(J3261=1,I3261=0)),"?IN_FOCUS",IF(J3261&lt;=2,"?ACTIVATED",IF(J3261&lt;&gt;"","?FAMILIAR",IF(F3261="NEW",IF(ISNA(VLOOKUP(E3261,#REF!,1,FALSE())),"?TYPE_IDENTIFIABLE","?REFERENTIAL"),"_")))))</f>
        <v> </v>
      </c>
      <c r="H3261" s="24" t="str">
        <f>IF(J3261&lt;&gt;1,"",IF(I3261="SBJ","CB","?"))</f>
        <v> </v>
      </c>
      <c r="I3261" s="25" t="str">
        <f>IF(OR(E3261="",E3261="!!!",F3261="NEW"),"",INDEX(B3260:B$2,-1+SUMPRODUCT(MAX(ROW(E3260:E$2)*(E3261=E3260:E$2)))))</f>
        <v> </v>
      </c>
      <c r="J3261" s="25" t="str">
        <f>IF(OR(E3261="",E3261="!!!",F3261="NEW"),"",COUNTBLANK(OFFSET(A$1,,,SUMPRODUCT(MAX(ROW(E$2:E3261)*(E3261=E$2:E3261)))))-COUNTBLANK(OFFSET(A$1,,,SUMPRODUCT(MAX(ROW(E$1:E3260)*(E2=E$1:E3260))))))</f>
        <v> </v>
      </c>
      <c r="K3261" s="25" t="str">
        <f>IF(OR(E3261="",E3261="!!!",F3261="NEW"),"",INDEX(J$1:J3260,SUMPRODUCT(MAX(ROW(E$1:E3260)*(E3261=E$1:E3260)))))</f>
        <v> </v>
      </c>
      <c r="L3261" s="26"/>
    </row>
    <row r="3262" spans="1:12">
      <c r="A3262" s="20" t="s">
        <v>925</v>
      </c>
      <c r="E3262" s="21">
        <f>IF(D3262="?OLD","!!!","")</f>
        <v/>
      </c>
      <c r="F3262" s="22" t="str">
        <f>IF(OR(E3262="",E3262="!!!"),"",IF(NOT(ISNA(VLOOKUP(E3262,E$1:E3261,1,FALSE()))),"OLD",IF(AND(E3262&lt;&gt;"",E3262&lt;&gt;"!!!"),"NEW","")))</f>
        <v> </v>
      </c>
      <c r="G3262" s="23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4" t="str">
        <f>IF(J3262&lt;&gt;1,"",IF(I3262="SBJ","CB","?"))</f>
        <v> </v>
      </c>
      <c r="I3262" s="25" t="str">
        <f>IF(OR(E3262="",E3262="!!!",F3262="NEW"),"",INDEX(B3261:B$2,-1+SUMPRODUCT(MAX(ROW(E3261:E$2)*(E3262=E3261:E$2)))))</f>
        <v> </v>
      </c>
      <c r="J3262" s="25" t="str">
        <f>IF(OR(E3262="",E3262="!!!",F3262="NEW"),"",COUNTBLANK(OFFSET(A$1,,,SUMPRODUCT(MAX(ROW(E$2:E3262)*(E3262=E$2:E3262)))))-COUNTBLANK(OFFSET(A$1,,,SUMPRODUCT(MAX(ROW(E$1:E3261)*(E2=E$1:E3261))))))</f>
        <v> </v>
      </c>
      <c r="K3262" s="25" t="str">
        <f>IF(OR(E3262="",E3262="!!!",F3262="NEW"),"",INDEX(J$1:J3261,SUMPRODUCT(MAX(ROW(E$1:E3261)*(E3262=E$1:E3261)))))</f>
        <v> </v>
      </c>
      <c r="L3262" s="26"/>
    </row>
    <row r="3263" spans="1:12">
      <c r="A3263" s="20" t="s">
        <v>1410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774</v>
      </c>
      <c r="B3264" s="27" t="s">
        <v>968</v>
      </c>
      <c r="C3264" s="27" t="s">
        <v>929</v>
      </c>
      <c r="D3264" s="27" t="s">
        <v>930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1784</v>
      </c>
      <c r="B3265" s="27" t="s">
        <v>975</v>
      </c>
      <c r="C3265" s="27" t="s">
        <v>929</v>
      </c>
      <c r="D3265" s="27" t="s">
        <v>930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1143</v>
      </c>
      <c r="B3266" s="27" t="s">
        <v>954</v>
      </c>
      <c r="C3266" s="27" t="s">
        <v>929</v>
      </c>
      <c r="D3266" s="27" t="s">
        <v>930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969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 t="s">
        <v>2210</v>
      </c>
      <c r="E3268" s="21">
        <f>IF(D3268="?OLD","!!!","")</f>
        <v/>
      </c>
      <c r="F3268" s="22" t="str">
        <f>IF(OR(E3268="",E3268="!!!"),"",IF(NOT(ISNA(VLOOKUP(E3268,E$1:E3267,1,FALSE()))),"OLD",IF(AND(E3268&lt;&gt;"",E3268&lt;&gt;"!!!"),"NEW","")))</f>
        <v> </v>
      </c>
      <c r="G3268" s="23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4" t="str">
        <f>IF(J3268&lt;&gt;1,"",IF(I3268="SBJ","CB","?"))</f>
        <v> </v>
      </c>
      <c r="I3268" s="25" t="str">
        <f>IF(OR(E3268="",E3268="!!!",F3268="NEW"),"",INDEX(B3267:B$2,-1+SUMPRODUCT(MAX(ROW(E3267:E$2)*(E3268=E3267:E$2)))))</f>
        <v> </v>
      </c>
      <c r="J3268" s="25" t="str">
        <f>IF(OR(E3268="",E3268="!!!",F3268="NEW"),"",COUNTBLANK(OFFSET(A$1,,,SUMPRODUCT(MAX(ROW(E$2:E3268)*(E3268=E$2:E3268)))))-COUNTBLANK(OFFSET(A$1,,,SUMPRODUCT(MAX(ROW(E$1:E3267)*(E2=E$1:E3267))))))</f>
        <v> </v>
      </c>
      <c r="K3268" s="25" t="str">
        <f>IF(OR(E3268="",E3268="!!!",F3268="NEW"),"",INDEX(J$1:J3267,SUMPRODUCT(MAX(ROW(E$1:E3267)*(E3268=E$1:E3267)))))</f>
        <v> </v>
      </c>
      <c r="L3268" s="26"/>
    </row>
    <row r="3269" spans="1:12">
      <c r="A3269" s="20" t="s">
        <v>942</v>
      </c>
      <c r="E3269" s="21">
        <f>IF(D3269="?OLD","!!!","")</f>
        <v/>
      </c>
      <c r="F3269" s="22" t="str">
        <f>IF(OR(E3269="",E3269="!!!"),"",IF(NOT(ISNA(VLOOKUP(E3269,E$1:E3268,1,FALSE()))),"OLD",IF(AND(E3269&lt;&gt;"",E3269&lt;&gt;"!!!"),"NEW","")))</f>
        <v> </v>
      </c>
      <c r="G3269" s="23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4" t="str">
        <f>IF(J3269&lt;&gt;1,"",IF(I3269="SBJ","CB","?"))</f>
        <v> </v>
      </c>
      <c r="I3269" s="25" t="str">
        <f>IF(OR(E3269="",E3269="!!!",F3269="NEW"),"",INDEX(B3268:B$2,-1+SUMPRODUCT(MAX(ROW(E3268:E$2)*(E3269=E3268:E$2)))))</f>
        <v> </v>
      </c>
      <c r="J3269" s="25" t="str">
        <f>IF(OR(E3269="",E3269="!!!",F3269="NEW"),"",COUNTBLANK(OFFSET(A$1,,,SUMPRODUCT(MAX(ROW(E$2:E3269)*(E3269=E$2:E3269)))))-COUNTBLANK(OFFSET(A$1,,,SUMPRODUCT(MAX(ROW(E$1:E3268)*(E2=E$1:E3268))))))</f>
        <v> </v>
      </c>
      <c r="K3269" s="25" t="str">
        <f>IF(OR(E3269="",E3269="!!!",F3269="NEW"),"",INDEX(J$1:J3268,SUMPRODUCT(MAX(ROW(E$1:E3268)*(E3269=E$1:E3268)))))</f>
        <v> </v>
      </c>
      <c r="L3269" s="26"/>
    </row>
    <row r="3270" spans="1:12">
      <c r="A3270" s="20"/>
    </row>
    <row r="3271" spans="1:12">
      <c r="A3271" s="20" t="s">
        <v>1842</v>
      </c>
    </row>
    <row r="3272" spans="1:12">
      <c r="A3272" s="20" t="s">
        <v>1819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1121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/>
    </row>
    <row r="3275" spans="1:12">
      <c r="A3275" s="20" t="s">
        <v>2211</v>
      </c>
    </row>
    <row r="3276" spans="1:12">
      <c r="A3276" s="20" t="s">
        <v>2212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2213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2214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942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/>
    </row>
    <row r="3281" spans="1:12">
      <c r="A3281" s="20" t="s">
        <v>2215</v>
      </c>
    </row>
    <row r="3282" spans="1:12">
      <c r="A3282" s="20" t="s">
        <v>1046</v>
      </c>
      <c r="B3282" s="27" t="s">
        <v>947</v>
      </c>
      <c r="C3282" s="27" t="s">
        <v>929</v>
      </c>
      <c r="D3282" s="27" t="s">
        <v>930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 t="s">
        <v>969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2157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925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1224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1401</v>
      </c>
      <c r="B3287" s="27" t="s">
        <v>968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2216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1431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 t="s">
        <v>2217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 t="s">
        <v>2218</v>
      </c>
      <c r="B3291" s="27" t="s">
        <v>975</v>
      </c>
      <c r="C3291" s="27" t="s">
        <v>951</v>
      </c>
      <c r="D3291" s="27" t="s">
        <v>930</v>
      </c>
      <c r="E3291" s="21">
        <f>IF(D3291="?OLD","!!!","")</f>
        <v/>
      </c>
      <c r="F3291" s="22" t="str">
        <f>IF(OR(E3291="",E3291="!!!"),"",IF(NOT(ISNA(VLOOKUP(E3291,E$1:E3290,1,FALSE()))),"OLD",IF(AND(E3291&lt;&gt;"",E3291&lt;&gt;"!!!"),"NEW","")))</f>
        <v> </v>
      </c>
      <c r="G3291" s="23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4" t="str">
        <f>IF(J3291&lt;&gt;1,"",IF(I3291="SBJ","CB","?"))</f>
        <v> </v>
      </c>
      <c r="I3291" s="25" t="str">
        <f>IF(OR(E3291="",E3291="!!!",F3291="NEW"),"",INDEX(B3290:B$2,-1+SUMPRODUCT(MAX(ROW(E3290:E$2)*(E3291=E3290:E$2)))))</f>
        <v> </v>
      </c>
      <c r="J3291" s="25" t="str">
        <f>IF(OR(E3291="",E3291="!!!",F3291="NEW"),"",COUNTBLANK(OFFSET(A$1,,,SUMPRODUCT(MAX(ROW(E$2:E3291)*(E3291=E$2:E3291)))))-COUNTBLANK(OFFSET(A$1,,,SUMPRODUCT(MAX(ROW(E$1:E3290)*(E2=E$1:E3290))))))</f>
        <v> </v>
      </c>
      <c r="K3291" s="25" t="str">
        <f>IF(OR(E3291="",E3291="!!!",F3291="NEW"),"",INDEX(J$1:J3290,SUMPRODUCT(MAX(ROW(E$1:E3290)*(E3291=E$1:E3290)))))</f>
        <v> </v>
      </c>
      <c r="L3291" s="26"/>
    </row>
    <row r="3292" spans="1:12">
      <c r="A3292" s="20" t="s">
        <v>1680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2219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942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/>
    </row>
    <row r="3296" spans="1:12">
      <c r="A3296" s="20" t="s">
        <v>2220</v>
      </c>
    </row>
    <row r="3297" spans="1:12">
      <c r="A3297" s="20" t="s">
        <v>2221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2222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2223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2224</v>
      </c>
      <c r="B3300" s="27" t="s">
        <v>947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 t="s">
        <v>1106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942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/>
    </row>
    <row r="3304" spans="1:12">
      <c r="A3304" s="20" t="s">
        <v>2225</v>
      </c>
    </row>
    <row r="3305" spans="1:12">
      <c r="A3305" s="20" t="s">
        <v>1117</v>
      </c>
      <c r="B3305" s="27" t="s">
        <v>947</v>
      </c>
      <c r="C3305" s="27" t="s">
        <v>1013</v>
      </c>
      <c r="D3305" s="27" t="s">
        <v>930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829</v>
      </c>
      <c r="B3306" s="27" t="s">
        <v>950</v>
      </c>
      <c r="C3306" s="27" t="s">
        <v>976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1680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2226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942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/>
    </row>
    <row r="3311" spans="1:12">
      <c r="A3311" s="20" t="s">
        <v>2227</v>
      </c>
    </row>
    <row r="3312" spans="1:12">
      <c r="A3312" s="20" t="s">
        <v>1579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833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2228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942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/>
    </row>
    <row r="3317" spans="1:12">
      <c r="A3317" s="20" t="s">
        <v>2229</v>
      </c>
    </row>
    <row r="3318" spans="1:12">
      <c r="A3318" s="20" t="s">
        <v>2230</v>
      </c>
      <c r="E3318" s="21">
        <f>IF(D3318="?OLD","!!!","")</f>
        <v/>
      </c>
      <c r="F3318" s="22" t="str">
        <f>IF(OR(E3318="",E3318="!!!"),"",IF(NOT(ISNA(VLOOKUP(E3318,E$1:E3317,1,FALSE()))),"OLD",IF(AND(E3318&lt;&gt;"",E3318&lt;&gt;"!!!"),"NEW","")))</f>
        <v> </v>
      </c>
      <c r="G3318" s="23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4" t="str">
        <f>IF(J3318&lt;&gt;1,"",IF(I3318="SBJ","CB","?"))</f>
        <v> </v>
      </c>
      <c r="I3318" s="25" t="str">
        <f>IF(OR(E3318="",E3318="!!!",F3318="NEW"),"",INDEX(B3317:B$2,-1+SUMPRODUCT(MAX(ROW(E3317:E$2)*(E3318=E3317:E$2)))))</f>
        <v> </v>
      </c>
      <c r="J3318" s="25" t="str">
        <f>IF(OR(E3318="",E3318="!!!",F3318="NEW"),"",COUNTBLANK(OFFSET(A$1,,,SUMPRODUCT(MAX(ROW(E$2:E3318)*(E3318=E$2:E3318)))))-COUNTBLANK(OFFSET(A$1,,,SUMPRODUCT(MAX(ROW(E$1:E3317)*(E2=E$1:E3317))))))</f>
        <v> </v>
      </c>
      <c r="K3318" s="25" t="str">
        <f>IF(OR(E3318="",E3318="!!!",F3318="NEW"),"",INDEX(J$1:J3317,SUMPRODUCT(MAX(ROW(E$1:E3317)*(E3318=E$1:E3317)))))</f>
        <v> </v>
      </c>
      <c r="L3318" s="26"/>
    </row>
    <row r="3319" spans="1:12">
      <c r="A3319" s="20" t="s">
        <v>942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/>
    </row>
    <row r="3321" spans="1:12">
      <c r="A3321" s="20" t="s">
        <v>2231</v>
      </c>
    </row>
    <row r="3322" spans="1:12">
      <c r="A3322" s="20" t="s">
        <v>1148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1474</v>
      </c>
      <c r="B3323" s="27" t="s">
        <v>950</v>
      </c>
      <c r="C3323" s="27" t="s">
        <v>929</v>
      </c>
      <c r="D3323" s="27" t="s">
        <v>930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111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2232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2233</v>
      </c>
      <c r="B3326" s="27" t="s">
        <v>947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925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937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1474</v>
      </c>
      <c r="B3329" s="27" t="s">
        <v>954</v>
      </c>
      <c r="C3329" s="27" t="s">
        <v>929</v>
      </c>
      <c r="D3329" s="27" t="s">
        <v>930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111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2234</v>
      </c>
      <c r="B3331" s="27" t="s">
        <v>968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 t="s">
        <v>925</v>
      </c>
      <c r="E3332" s="21">
        <f>IF(D3332="?OLD","!!!","")</f>
        <v/>
      </c>
      <c r="F3332" s="22" t="str">
        <f>IF(OR(E3332="",E3332="!!!"),"",IF(NOT(ISNA(VLOOKUP(E3332,E$1:E3331,1,FALSE()))),"OLD",IF(AND(E3332&lt;&gt;"",E3332&lt;&gt;"!!!"),"NEW","")))</f>
        <v> </v>
      </c>
      <c r="G3332" s="23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4" t="str">
        <f>IF(J3332&lt;&gt;1,"",IF(I3332="SBJ","CB","?"))</f>
        <v> </v>
      </c>
      <c r="I3332" s="25" t="str">
        <f>IF(OR(E3332="",E3332="!!!",F3332="NEW"),"",INDEX(B3331:B$2,-1+SUMPRODUCT(MAX(ROW(E3331:E$2)*(E3332=E3331:E$2)))))</f>
        <v> </v>
      </c>
      <c r="J3332" s="25" t="str">
        <f>IF(OR(E3332="",E3332="!!!",F3332="NEW"),"",COUNTBLANK(OFFSET(A$1,,,SUMPRODUCT(MAX(ROW(E$2:E3332)*(E3332=E$2:E3332)))))-COUNTBLANK(OFFSET(A$1,,,SUMPRODUCT(MAX(ROW(E$1:E3331)*(E2=E$1:E3331))))))</f>
        <v> </v>
      </c>
      <c r="K3332" s="25" t="str">
        <f>IF(OR(E3332="",E3332="!!!",F3332="NEW"),"",INDEX(J$1:J3331,SUMPRODUCT(MAX(ROW(E$1:E3331)*(E3332=E$1:E3331)))))</f>
        <v> </v>
      </c>
      <c r="L3332" s="26"/>
    </row>
    <row r="3333" spans="1:12">
      <c r="A3333" s="20" t="s">
        <v>989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1099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2235</v>
      </c>
      <c r="B3335" s="27" t="s">
        <v>968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2236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2237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2238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1329</v>
      </c>
      <c r="B3339" s="27" t="s">
        <v>1154</v>
      </c>
      <c r="C3339" s="27" t="s">
        <v>929</v>
      </c>
      <c r="D3339" s="27" t="s">
        <v>930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937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2239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942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/>
    </row>
    <row r="3344" spans="1:12">
      <c r="A3344" s="20" t="s">
        <v>2240</v>
      </c>
    </row>
    <row r="3345" spans="1:12">
      <c r="A3345" s="20" t="s">
        <v>945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2241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1401</v>
      </c>
      <c r="B3347" s="27" t="s">
        <v>947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2242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1275</v>
      </c>
      <c r="B3349" s="27" t="s">
        <v>975</v>
      </c>
      <c r="C3349" s="27" t="s">
        <v>929</v>
      </c>
      <c r="D3349" s="27" t="s">
        <v>930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1093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925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963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 t="s">
        <v>969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 t="s">
        <v>2243</v>
      </c>
      <c r="E3354" s="21">
        <f>IF(D3354="?OLD","!!!","")</f>
        <v/>
      </c>
      <c r="F3354" s="22" t="str">
        <f>IF(OR(E3354="",E3354="!!!"),"",IF(NOT(ISNA(VLOOKUP(E3354,E$1:E3353,1,FALSE()))),"OLD",IF(AND(E3354&lt;&gt;"",E3354&lt;&gt;"!!!"),"NEW","")))</f>
        <v> </v>
      </c>
      <c r="G3354" s="23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4" t="str">
        <f>IF(J3354&lt;&gt;1,"",IF(I3354="SBJ","CB","?"))</f>
        <v> </v>
      </c>
      <c r="I3354" s="25" t="str">
        <f>IF(OR(E3354="",E3354="!!!",F3354="NEW"),"",INDEX(B3353:B$2,-1+SUMPRODUCT(MAX(ROW(E3353:E$2)*(E3354=E3353:E$2)))))</f>
        <v> </v>
      </c>
      <c r="J3354" s="25" t="str">
        <f>IF(OR(E3354="",E3354="!!!",F3354="NEW"),"",COUNTBLANK(OFFSET(A$1,,,SUMPRODUCT(MAX(ROW(E$2:E3354)*(E3354=E$2:E3354)))))-COUNTBLANK(OFFSET(A$1,,,SUMPRODUCT(MAX(ROW(E$1:E3353)*(E2=E$1:E3353))))))</f>
        <v> </v>
      </c>
      <c r="K3354" s="25" t="str">
        <f>IF(OR(E3354="",E3354="!!!",F3354="NEW"),"",INDEX(J$1:J3353,SUMPRODUCT(MAX(ROW(E$1:E3353)*(E3354=E$1:E3353)))))</f>
        <v> </v>
      </c>
      <c r="L3354" s="26"/>
    </row>
    <row r="3355" spans="1:12">
      <c r="A3355" s="20" t="s">
        <v>2244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942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/>
    </row>
    <row r="3358" spans="1:12">
      <c r="A3358" s="20" t="s">
        <v>2245</v>
      </c>
    </row>
    <row r="3359" spans="1:12">
      <c r="A3359" s="20" t="s">
        <v>993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2243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847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 t="s">
        <v>925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 t="s">
        <v>989</v>
      </c>
      <c r="E3363" s="21">
        <f>IF(D3363="?OLD","!!!","")</f>
        <v/>
      </c>
      <c r="F3363" s="22" t="str">
        <f>IF(OR(E3363="",E3363="!!!"),"",IF(NOT(ISNA(VLOOKUP(E3363,E$1:E3362,1,FALSE()))),"OLD",IF(AND(E3363&lt;&gt;"",E3363&lt;&gt;"!!!"),"NEW","")))</f>
        <v> </v>
      </c>
      <c r="G3363" s="23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4" t="str">
        <f>IF(J3363&lt;&gt;1,"",IF(I3363="SBJ","CB","?"))</f>
        <v> </v>
      </c>
      <c r="I3363" s="25" t="str">
        <f>IF(OR(E3363="",E3363="!!!",F3363="NEW"),"",INDEX(B3362:B$2,-1+SUMPRODUCT(MAX(ROW(E3362:E$2)*(E3363=E3362:E$2)))))</f>
        <v> </v>
      </c>
      <c r="J3363" s="25" t="str">
        <f>IF(OR(E3363="",E3363="!!!",F3363="NEW"),"",COUNTBLANK(OFFSET(A$1,,,SUMPRODUCT(MAX(ROW(E$2:E3363)*(E3363=E$2:E3363)))))-COUNTBLANK(OFFSET(A$1,,,SUMPRODUCT(MAX(ROW(E$1:E3362)*(E2=E$1:E3362))))))</f>
        <v> </v>
      </c>
      <c r="K3363" s="25" t="str">
        <f>IF(OR(E3363="",E3363="!!!",F3363="NEW"),"",INDEX(J$1:J3362,SUMPRODUCT(MAX(ROW(E$1:E3362)*(E3363=E$1:E3362)))))</f>
        <v> </v>
      </c>
      <c r="L3363" s="26"/>
    </row>
    <row r="3364" spans="1:12">
      <c r="A3364" s="20" t="s">
        <v>1345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500</v>
      </c>
      <c r="B3365" s="27" t="s">
        <v>968</v>
      </c>
      <c r="C3365" s="27" t="s">
        <v>976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1121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/>
    </row>
    <row r="3368" spans="1:12">
      <c r="A3368" s="20" t="s">
        <v>2246</v>
      </c>
    </row>
    <row r="3369" spans="1:12">
      <c r="A3369" s="20" t="s">
        <v>1748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1001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1310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 t="s">
        <v>942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/>
    </row>
    <row r="3374" spans="1:12">
      <c r="A3374" s="20" t="s">
        <v>2247</v>
      </c>
    </row>
    <row r="3375" spans="1:12">
      <c r="A3375" s="20" t="s">
        <v>1117</v>
      </c>
      <c r="B3375" s="27" t="s">
        <v>947</v>
      </c>
      <c r="C3375" s="27" t="s">
        <v>1013</v>
      </c>
      <c r="D3375" s="27" t="s">
        <v>930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925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1336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925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969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2248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855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925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963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1001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 t="s">
        <v>1310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1752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942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/>
    </row>
    <row r="3389" spans="1:12">
      <c r="A3389" s="20" t="s">
        <v>995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 t="s">
        <v>2249</v>
      </c>
    </row>
    <row r="3391" spans="1:12">
      <c r="A3391" s="20" t="s">
        <v>945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1088</v>
      </c>
      <c r="B3392" s="27" t="s">
        <v>947</v>
      </c>
      <c r="C3392" s="27" t="s">
        <v>929</v>
      </c>
      <c r="D3392" s="27" t="s">
        <v>930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925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500</v>
      </c>
      <c r="B3394" s="27" t="s">
        <v>1241</v>
      </c>
      <c r="C3394" s="27" t="s">
        <v>976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980</v>
      </c>
      <c r="B3395" s="27" t="s">
        <v>934</v>
      </c>
      <c r="C3395" s="27" t="s">
        <v>929</v>
      </c>
      <c r="D3395" s="27" t="s">
        <v>930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1555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1115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948</v>
      </c>
      <c r="B3398" s="27" t="s">
        <v>940</v>
      </c>
      <c r="C3398" s="27" t="s">
        <v>1013</v>
      </c>
      <c r="D3398" s="27" t="s">
        <v>930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1027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925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1012</v>
      </c>
      <c r="B3401" s="27" t="s">
        <v>947</v>
      </c>
      <c r="C3401" s="27" t="s">
        <v>1013</v>
      </c>
      <c r="D3401" s="27" t="s">
        <v>930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1005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1933</v>
      </c>
      <c r="B3403" s="27" t="s">
        <v>950</v>
      </c>
      <c r="C3403" s="27" t="s">
        <v>976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774</v>
      </c>
      <c r="B3404" s="27" t="s">
        <v>947</v>
      </c>
      <c r="C3404" s="27" t="s">
        <v>929</v>
      </c>
      <c r="D3404" s="27" t="s">
        <v>930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1368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1318</v>
      </c>
      <c r="B3406" s="27" t="s">
        <v>950</v>
      </c>
      <c r="C3406" s="27" t="s">
        <v>1013</v>
      </c>
      <c r="D3406" s="27" t="s">
        <v>930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2250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 t="s">
        <v>1121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1005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/>
    </row>
    <row r="3411" spans="1:12">
      <c r="A3411" s="20" t="s">
        <v>995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2251</v>
      </c>
    </row>
    <row r="3413" spans="1:12">
      <c r="A3413" s="20" t="s">
        <v>1335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925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2252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2253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1325</v>
      </c>
      <c r="B3417" s="27" t="s">
        <v>972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 t="s">
        <v>1052</v>
      </c>
      <c r="E3418" s="21">
        <f>IF(D3418="?OLD","!!!","")</f>
        <v/>
      </c>
      <c r="F3418" s="22" t="str">
        <f>IF(OR(E3418="",E3418="!!!"),"",IF(NOT(ISNA(VLOOKUP(E3418,E$1:E3417,1,FALSE()))),"OLD",IF(AND(E3418&lt;&gt;"",E3418&lt;&gt;"!!!"),"NEW","")))</f>
        <v> </v>
      </c>
      <c r="G3418" s="23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4" t="str">
        <f>IF(J3418&lt;&gt;1,"",IF(I3418="SBJ","CB","?"))</f>
        <v> </v>
      </c>
      <c r="I3418" s="25" t="str">
        <f>IF(OR(E3418="",E3418="!!!",F3418="NEW"),"",INDEX(B3417:B$2,-1+SUMPRODUCT(MAX(ROW(E3417:E$2)*(E3418=E3417:E$2)))))</f>
        <v> </v>
      </c>
      <c r="J3418" s="25" t="str">
        <f>IF(OR(E3418="",E3418="!!!",F3418="NEW"),"",COUNTBLANK(OFFSET(A$1,,,SUMPRODUCT(MAX(ROW(E$2:E3418)*(E3418=E$2:E3418)))))-COUNTBLANK(OFFSET(A$1,,,SUMPRODUCT(MAX(ROW(E$1:E3417)*(E2=E$1:E3417))))))</f>
        <v> </v>
      </c>
      <c r="K3418" s="25" t="str">
        <f>IF(OR(E3418="",E3418="!!!",F3418="NEW"),"",INDEX(J$1:J3417,SUMPRODUCT(MAX(ROW(E$1:E3417)*(E3418=E$1:E3417)))))</f>
        <v> </v>
      </c>
      <c r="L3418" s="26"/>
    </row>
    <row r="3419" spans="1:12">
      <c r="A3419" s="20" t="s">
        <v>1005</v>
      </c>
      <c r="E3419" s="21">
        <f>IF(D3419="?OLD","!!!","")</f>
        <v/>
      </c>
      <c r="F3419" s="22" t="str">
        <f>IF(OR(E3419="",E3419="!!!"),"",IF(NOT(ISNA(VLOOKUP(E3419,E$1:E3418,1,FALSE()))),"OLD",IF(AND(E3419&lt;&gt;"",E3419&lt;&gt;"!!!"),"NEW","")))</f>
        <v> </v>
      </c>
      <c r="G3419" s="23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4" t="str">
        <f>IF(J3419&lt;&gt;1,"",IF(I3419="SBJ","CB","?"))</f>
        <v> </v>
      </c>
      <c r="I3419" s="25" t="str">
        <f>IF(OR(E3419="",E3419="!!!",F3419="NEW"),"",INDEX(B3418:B$2,-1+SUMPRODUCT(MAX(ROW(E3418:E$2)*(E3419=E3418:E$2)))))</f>
        <v> </v>
      </c>
      <c r="J3419" s="25" t="str">
        <f>IF(OR(E3419="",E3419="!!!",F3419="NEW"),"",COUNTBLANK(OFFSET(A$1,,,SUMPRODUCT(MAX(ROW(E$2:E3419)*(E3419=E$2:E3419)))))-COUNTBLANK(OFFSET(A$1,,,SUMPRODUCT(MAX(ROW(E$1:E3418)*(E2=E$1:E3418))))))</f>
        <v> </v>
      </c>
      <c r="K3419" s="25" t="str">
        <f>IF(OR(E3419="",E3419="!!!",F3419="NEW"),"",INDEX(J$1:J3418,SUMPRODUCT(MAX(ROW(E$1:E3418)*(E3419=E$1:E3418)))))</f>
        <v> </v>
      </c>
      <c r="L3419" s="26"/>
    </row>
    <row r="3420" spans="1:12">
      <c r="A3420" s="20" t="s">
        <v>1933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774</v>
      </c>
      <c r="B3421" s="27" t="s">
        <v>968</v>
      </c>
      <c r="C3421" s="27" t="s">
        <v>929</v>
      </c>
      <c r="D3421" s="27" t="s">
        <v>930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 t="s">
        <v>1368</v>
      </c>
      <c r="E3422" s="21">
        <f>IF(D3422="?OLD","!!!","")</f>
        <v/>
      </c>
      <c r="F3422" s="22" t="str">
        <f>IF(OR(E3422="",E3422="!!!"),"",IF(NOT(ISNA(VLOOKUP(E3422,E$1:E3421,1,FALSE()))),"OLD",IF(AND(E3422&lt;&gt;"",E3422&lt;&gt;"!!!"),"NEW","")))</f>
        <v> </v>
      </c>
      <c r="G3422" s="23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4" t="str">
        <f>IF(J3422&lt;&gt;1,"",IF(I3422="SBJ","CB","?"))</f>
        <v> </v>
      </c>
      <c r="I3422" s="25" t="str">
        <f>IF(OR(E3422="",E3422="!!!",F3422="NEW"),"",INDEX(B3421:B$2,-1+SUMPRODUCT(MAX(ROW(E3421:E$2)*(E3422=E3421:E$2)))))</f>
        <v> </v>
      </c>
      <c r="J3422" s="25" t="str">
        <f>IF(OR(E3422="",E3422="!!!",F3422="NEW"),"",COUNTBLANK(OFFSET(A$1,,,SUMPRODUCT(MAX(ROW(E$2:E3422)*(E3422=E$2:E3422)))))-COUNTBLANK(OFFSET(A$1,,,SUMPRODUCT(MAX(ROW(E$1:E3421)*(E2=E$1:E3421))))))</f>
        <v> </v>
      </c>
      <c r="K3422" s="25" t="str">
        <f>IF(OR(E3422="",E3422="!!!",F3422="NEW"),"",INDEX(J$1:J3421,SUMPRODUCT(MAX(ROW(E$1:E3421)*(E3422=E$1:E3421)))))</f>
        <v> </v>
      </c>
      <c r="L3422" s="26"/>
    </row>
    <row r="3423" spans="1:12">
      <c r="A3423" s="20" t="s">
        <v>1318</v>
      </c>
      <c r="B3423" s="27" t="s">
        <v>954</v>
      </c>
      <c r="C3423" s="27" t="s">
        <v>1013</v>
      </c>
      <c r="D3423" s="27" t="s">
        <v>930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2250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1121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1005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/>
    </row>
    <row r="3428" spans="1:12">
      <c r="A3428" s="20" t="s">
        <v>2254</v>
      </c>
    </row>
    <row r="3429" spans="1:12">
      <c r="A3429" s="20" t="s">
        <v>1046</v>
      </c>
      <c r="B3429" s="27" t="s">
        <v>947</v>
      </c>
      <c r="C3429" s="27" t="s">
        <v>929</v>
      </c>
      <c r="D3429" s="27" t="s">
        <v>930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969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2157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2255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2256</v>
      </c>
      <c r="B3433" s="27" t="s">
        <v>975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1121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/>
    </row>
    <row r="3436" spans="1:12">
      <c r="A3436" s="20" t="s">
        <v>2257</v>
      </c>
    </row>
    <row r="3437" spans="1:12">
      <c r="A3437" s="20" t="s">
        <v>1026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1012</v>
      </c>
      <c r="B3438" s="27" t="s">
        <v>947</v>
      </c>
      <c r="C3438" s="27" t="s">
        <v>1013</v>
      </c>
      <c r="D3438" s="27" t="s">
        <v>930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969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 t="s">
        <v>1337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2258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 t="s">
        <v>1017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2259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2260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942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/>
    </row>
    <row r="3447" spans="1:12">
      <c r="A3447" s="20" t="s">
        <v>2261</v>
      </c>
    </row>
    <row r="3448" spans="1:12">
      <c r="A3448" s="20" t="s">
        <v>1192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2262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942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/>
    </row>
    <row r="3452" spans="1:12">
      <c r="A3452" s="20" t="s">
        <v>2263</v>
      </c>
    </row>
    <row r="3453" spans="1:12">
      <c r="A3453" s="20" t="s">
        <v>993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 t="s">
        <v>1337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2258</v>
      </c>
      <c r="B3455" s="27" t="s">
        <v>947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1017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2264</v>
      </c>
      <c r="B3457" s="27" t="s">
        <v>928</v>
      </c>
      <c r="C3457" s="27" t="s">
        <v>1066</v>
      </c>
      <c r="D3457" s="27" t="s">
        <v>930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2265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 t="s">
        <v>2266</v>
      </c>
      <c r="E3459" s="21">
        <f>IF(D3459="?OLD","!!!","")</f>
        <v/>
      </c>
      <c r="F3459" s="22" t="str">
        <f>IF(OR(E3459="",E3459="!!!"),"",IF(NOT(ISNA(VLOOKUP(E3459,E$1:E3458,1,FALSE()))),"OLD",IF(AND(E3459&lt;&gt;"",E3459&lt;&gt;"!!!"),"NEW","")))</f>
        <v> </v>
      </c>
      <c r="G3459" s="23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4" t="str">
        <f>IF(J3459&lt;&gt;1,"",IF(I3459="SBJ","CB","?"))</f>
        <v> </v>
      </c>
      <c r="I3459" s="25" t="str">
        <f>IF(OR(E3459="",E3459="!!!",F3459="NEW"),"",INDEX(B3458:B$2,-1+SUMPRODUCT(MAX(ROW(E3458:E$2)*(E3459=E3458:E$2)))))</f>
        <v> </v>
      </c>
      <c r="J3459" s="25" t="str">
        <f>IF(OR(E3459="",E3459="!!!",F3459="NEW"),"",COUNTBLANK(OFFSET(A$1,,,SUMPRODUCT(MAX(ROW(E$2:E3459)*(E3459=E$2:E3459)))))-COUNTBLANK(OFFSET(A$1,,,SUMPRODUCT(MAX(ROW(E$1:E3458)*(E2=E$1:E3458))))))</f>
        <v> </v>
      </c>
      <c r="K3459" s="25" t="str">
        <f>IF(OR(E3459="",E3459="!!!",F3459="NEW"),"",INDEX(J$1:J3458,SUMPRODUCT(MAX(ROW(E$1:E3458)*(E3459=E$1:E3458)))))</f>
        <v> </v>
      </c>
      <c r="L3459" s="26"/>
    </row>
    <row r="3460" spans="1:12">
      <c r="A3460" s="20" t="s">
        <v>1017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2267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925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1017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2268</v>
      </c>
      <c r="B3464" s="27" t="s">
        <v>928</v>
      </c>
      <c r="C3464" s="27" t="s">
        <v>1066</v>
      </c>
      <c r="D3464" s="27" t="s">
        <v>930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2269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328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1156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 t="s">
        <v>2270</v>
      </c>
      <c r="B3468" s="27" t="s">
        <v>954</v>
      </c>
      <c r="C3468" s="27" t="s">
        <v>1068</v>
      </c>
      <c r="E3468" s="21">
        <f>IF(D3468="?OLD","!!!","")</f>
        <v/>
      </c>
      <c r="F3468" s="22" t="str">
        <f>IF(OR(E3468="",E3468="!!!"),"",IF(NOT(ISNA(VLOOKUP(E3468,E$1:E3467,1,FALSE()))),"OLD",IF(AND(E3468&lt;&gt;"",E3468&lt;&gt;"!!!"),"NEW","")))</f>
        <v> </v>
      </c>
      <c r="G3468" s="23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4" t="str">
        <f>IF(J3468&lt;&gt;1,"",IF(I3468="SBJ","CB","?"))</f>
        <v> </v>
      </c>
      <c r="I3468" s="25" t="str">
        <f>IF(OR(E3468="",E3468="!!!",F3468="NEW"),"",INDEX(B3467:B$2,-1+SUMPRODUCT(MAX(ROW(E3467:E$2)*(E3468=E3467:E$2)))))</f>
        <v> </v>
      </c>
      <c r="J3468" s="25" t="str">
        <f>IF(OR(E3468="",E3468="!!!",F3468="NEW"),"",COUNTBLANK(OFFSET(A$1,,,SUMPRODUCT(MAX(ROW(E$2:E3468)*(E3468=E$2:E3468)))))-COUNTBLANK(OFFSET(A$1,,,SUMPRODUCT(MAX(ROW(E$1:E3467)*(E2=E$1:E3467))))))</f>
        <v> </v>
      </c>
      <c r="K3468" s="25" t="str">
        <f>IF(OR(E3468="",E3468="!!!",F3468="NEW"),"",INDEX(J$1:J3467,SUMPRODUCT(MAX(ROW(E$1:E3467)*(E3468=E$1:E3467)))))</f>
        <v> </v>
      </c>
      <c r="L3468" s="26"/>
    </row>
    <row r="3469" spans="1:12">
      <c r="A3469" s="20" t="s">
        <v>925</v>
      </c>
      <c r="E3469" s="21">
        <f>IF(D3469="?OLD","!!!","")</f>
        <v/>
      </c>
      <c r="F3469" s="22" t="str">
        <f>IF(OR(E3469="",E3469="!!!"),"",IF(NOT(ISNA(VLOOKUP(E3469,E$1:E3468,1,FALSE()))),"OLD",IF(AND(E3469&lt;&gt;"",E3469&lt;&gt;"!!!"),"NEW","")))</f>
        <v> </v>
      </c>
      <c r="G3469" s="23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4" t="str">
        <f>IF(J3469&lt;&gt;1,"",IF(I3469="SBJ","CB","?"))</f>
        <v> </v>
      </c>
      <c r="I3469" s="25" t="str">
        <f>IF(OR(E3469="",E3469="!!!",F3469="NEW"),"",INDEX(B3468:B$2,-1+SUMPRODUCT(MAX(ROW(E3468:E$2)*(E3469=E3468:E$2)))))</f>
        <v> </v>
      </c>
      <c r="J3469" s="25" t="str">
        <f>IF(OR(E3469="",E3469="!!!",F3469="NEW"),"",COUNTBLANK(OFFSET(A$1,,,SUMPRODUCT(MAX(ROW(E$2:E3469)*(E3469=E$2:E3469)))))-COUNTBLANK(OFFSET(A$1,,,SUMPRODUCT(MAX(ROW(E$1:E3468)*(E2=E$1:E3468))))))</f>
        <v> </v>
      </c>
      <c r="K3469" s="25" t="str">
        <f>IF(OR(E3469="",E3469="!!!",F3469="NEW"),"",INDEX(J$1:J3468,SUMPRODUCT(MAX(ROW(E$1:E3468)*(E3469=E$1:E3468)))))</f>
        <v> </v>
      </c>
      <c r="L3469" s="26"/>
    </row>
    <row r="3470" spans="1:12">
      <c r="A3470" s="20" t="s">
        <v>2271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1257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925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2272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1257</v>
      </c>
      <c r="B3474" s="27" t="s">
        <v>975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 t="s">
        <v>942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/>
    </row>
    <row r="3477" spans="1:12">
      <c r="A3477" s="20" t="s">
        <v>2273</v>
      </c>
    </row>
    <row r="3478" spans="1:12">
      <c r="A3478" s="20" t="s">
        <v>993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1337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 t="s">
        <v>2258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1017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2274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2275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1035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2276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925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1410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1337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1469</v>
      </c>
      <c r="B3489" s="27" t="s">
        <v>975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1017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2277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1263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925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989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1092</v>
      </c>
      <c r="B3495" s="27" t="s">
        <v>975</v>
      </c>
      <c r="C3495" s="27" t="s">
        <v>929</v>
      </c>
      <c r="D3495" s="27" t="s">
        <v>930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2278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1199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 t="s">
        <v>1012</v>
      </c>
      <c r="B3498" s="27" t="s">
        <v>1154</v>
      </c>
      <c r="C3498" s="27" t="s">
        <v>1013</v>
      </c>
      <c r="D3498" s="27" t="s">
        <v>930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 t="s">
        <v>1400</v>
      </c>
      <c r="E3499" s="21">
        <f>IF(D3499="?OLD","!!!","")</f>
        <v/>
      </c>
      <c r="F3499" s="22" t="str">
        <f>IF(OR(E3499="",E3499="!!!"),"",IF(NOT(ISNA(VLOOKUP(E3499,E$1:E3498,1,FALSE()))),"OLD",IF(AND(E3499&lt;&gt;"",E3499&lt;&gt;"!!!"),"NEW","")))</f>
        <v> </v>
      </c>
      <c r="G3499" s="23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4" t="str">
        <f>IF(J3499&lt;&gt;1,"",IF(I3499="SBJ","CB","?"))</f>
        <v> </v>
      </c>
      <c r="I3499" s="25" t="str">
        <f>IF(OR(E3499="",E3499="!!!",F3499="NEW"),"",INDEX(B3498:B$2,-1+SUMPRODUCT(MAX(ROW(E3498:E$2)*(E3499=E3498:E$2)))))</f>
        <v> </v>
      </c>
      <c r="J3499" s="25" t="str">
        <f>IF(OR(E3499="",E3499="!!!",F3499="NEW"),"",COUNTBLANK(OFFSET(A$1,,,SUMPRODUCT(MAX(ROW(E$2:E3499)*(E3499=E$2:E3499)))))-COUNTBLANK(OFFSET(A$1,,,SUMPRODUCT(MAX(ROW(E$1:E3498)*(E2=E$1:E3498))))))</f>
        <v> </v>
      </c>
      <c r="K3499" s="25" t="str">
        <f>IF(OR(E3499="",E3499="!!!",F3499="NEW"),"",INDEX(J$1:J3498,SUMPRODUCT(MAX(ROW(E$1:E3498)*(E3499=E$1:E3498)))))</f>
        <v> </v>
      </c>
      <c r="L3499" s="26"/>
    </row>
    <row r="3500" spans="1:12">
      <c r="A3500" s="20" t="s">
        <v>942</v>
      </c>
      <c r="E3500" s="21">
        <f>IF(D3500="?OLD","!!!","")</f>
        <v/>
      </c>
      <c r="F3500" s="22" t="str">
        <f>IF(OR(E3500="",E3500="!!!"),"",IF(NOT(ISNA(VLOOKUP(E3500,E$1:E3499,1,FALSE()))),"OLD",IF(AND(E3500&lt;&gt;"",E3500&lt;&gt;"!!!"),"NEW","")))</f>
        <v> </v>
      </c>
      <c r="G3500" s="23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4" t="str">
        <f>IF(J3500&lt;&gt;1,"",IF(I3500="SBJ","CB","?"))</f>
        <v> </v>
      </c>
      <c r="I3500" s="25" t="str">
        <f>IF(OR(E3500="",E3500="!!!",F3500="NEW"),"",INDEX(B3499:B$2,-1+SUMPRODUCT(MAX(ROW(E3499:E$2)*(E3500=E3499:E$2)))))</f>
        <v> </v>
      </c>
      <c r="J3500" s="25" t="str">
        <f>IF(OR(E3500="",E3500="!!!",F3500="NEW"),"",COUNTBLANK(OFFSET(A$1,,,SUMPRODUCT(MAX(ROW(E$2:E3500)*(E3500=E$2:E3500)))))-COUNTBLANK(OFFSET(A$1,,,SUMPRODUCT(MAX(ROW(E$1:E3499)*(E2=E$1:E3499))))))</f>
        <v> </v>
      </c>
      <c r="K3500" s="25" t="str">
        <f>IF(OR(E3500="",E3500="!!!",F3500="NEW"),"",INDEX(J$1:J3499,SUMPRODUCT(MAX(ROW(E$1:E3499)*(E3500=E$1:E3499)))))</f>
        <v> </v>
      </c>
      <c r="L3500" s="26"/>
    </row>
    <row r="3501" spans="1:12">
      <c r="A3501" s="20"/>
    </row>
    <row r="3502" spans="1:12">
      <c r="A3502" s="20" t="s">
        <v>2279</v>
      </c>
    </row>
    <row r="3503" spans="1:12">
      <c r="A3503" s="20" t="s">
        <v>1651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500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925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2280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925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1184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774</v>
      </c>
      <c r="B3509" s="27" t="s">
        <v>934</v>
      </c>
      <c r="C3509" s="27" t="s">
        <v>929</v>
      </c>
      <c r="D3509" s="27" t="s">
        <v>930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 t="s">
        <v>969</v>
      </c>
      <c r="E3510" s="21">
        <f>IF(D3510="?OLD","!!!","")</f>
        <v/>
      </c>
      <c r="F3510" s="22" t="str">
        <f>IF(OR(E3510="",E3510="!!!"),"",IF(NOT(ISNA(VLOOKUP(E3510,E$1:E3509,1,FALSE()))),"OLD",IF(AND(E3510&lt;&gt;"",E3510&lt;&gt;"!!!"),"NEW","")))</f>
        <v> </v>
      </c>
      <c r="G3510" s="23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4" t="str">
        <f>IF(J3510&lt;&gt;1,"",IF(I3510="SBJ","CB","?"))</f>
        <v> </v>
      </c>
      <c r="I3510" s="25" t="str">
        <f>IF(OR(E3510="",E3510="!!!",F3510="NEW"),"",INDEX(B3509:B$2,-1+SUMPRODUCT(MAX(ROW(E3509:E$2)*(E3510=E3509:E$2)))))</f>
        <v> </v>
      </c>
      <c r="J3510" s="25" t="str">
        <f>IF(OR(E3510="",E3510="!!!",F3510="NEW"),"",COUNTBLANK(OFFSET(A$1,,,SUMPRODUCT(MAX(ROW(E$2:E3510)*(E3510=E$2:E3510)))))-COUNTBLANK(OFFSET(A$1,,,SUMPRODUCT(MAX(ROW(E$1:E3509)*(E2=E$1:E3509))))))</f>
        <v> </v>
      </c>
      <c r="K3510" s="25" t="str">
        <f>IF(OR(E3510="",E3510="!!!",F3510="NEW"),"",INDEX(J$1:J3509,SUMPRODUCT(MAX(ROW(E$1:E3509)*(E3510=E$1:E3509)))))</f>
        <v> </v>
      </c>
      <c r="L3510" s="26"/>
    </row>
    <row r="3511" spans="1:12">
      <c r="A3511" s="20" t="s">
        <v>2281</v>
      </c>
      <c r="B3511" s="27" t="s">
        <v>954</v>
      </c>
      <c r="C3511" s="27" t="s">
        <v>929</v>
      </c>
      <c r="D3511" s="27" t="s">
        <v>930</v>
      </c>
      <c r="E3511" s="21">
        <f>IF(D3511="?OLD","!!!","")</f>
        <v/>
      </c>
      <c r="F3511" s="22" t="str">
        <f>IF(OR(E3511="",E3511="!!!"),"",IF(NOT(ISNA(VLOOKUP(E3511,E$1:E3510,1,FALSE()))),"OLD",IF(AND(E3511&lt;&gt;"",E3511&lt;&gt;"!!!"),"NEW","")))</f>
        <v> </v>
      </c>
      <c r="G3511" s="23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4" t="str">
        <f>IF(J3511&lt;&gt;1,"",IF(I3511="SBJ","CB","?"))</f>
        <v> </v>
      </c>
      <c r="I3511" s="25" t="str">
        <f>IF(OR(E3511="",E3511="!!!",F3511="NEW"),"",INDEX(B3510:B$2,-1+SUMPRODUCT(MAX(ROW(E3510:E$2)*(E3511=E3510:E$2)))))</f>
        <v> </v>
      </c>
      <c r="J3511" s="25" t="str">
        <f>IF(OR(E3511="",E3511="!!!",F3511="NEW"),"",COUNTBLANK(OFFSET(A$1,,,SUMPRODUCT(MAX(ROW(E$2:E3511)*(E3511=E$2:E3511)))))-COUNTBLANK(OFFSET(A$1,,,SUMPRODUCT(MAX(ROW(E$1:E3510)*(E2=E$1:E3510))))))</f>
        <v> </v>
      </c>
      <c r="K3511" s="25" t="str">
        <f>IF(OR(E3511="",E3511="!!!",F3511="NEW"),"",INDEX(J$1:J3510,SUMPRODUCT(MAX(ROW(E$1:E3510)*(E3511=E$1:E3510)))))</f>
        <v> </v>
      </c>
      <c r="L3511" s="26"/>
    </row>
    <row r="3512" spans="1:12">
      <c r="A3512" s="20" t="s">
        <v>925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1184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774</v>
      </c>
      <c r="B3514" s="27" t="s">
        <v>1003</v>
      </c>
      <c r="C3514" s="27" t="s">
        <v>929</v>
      </c>
      <c r="D3514" s="27" t="s">
        <v>930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2282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2283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1325</v>
      </c>
      <c r="B3517" s="27" t="s">
        <v>1259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95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925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1132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 t="s">
        <v>1293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925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774</v>
      </c>
      <c r="B3523" s="27" t="s">
        <v>947</v>
      </c>
      <c r="C3523" s="27" t="s">
        <v>929</v>
      </c>
      <c r="D3523" s="27" t="s">
        <v>930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2284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2285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2286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937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2287</v>
      </c>
      <c r="B3528" s="27" t="s">
        <v>954</v>
      </c>
      <c r="C3528" s="27" t="s">
        <v>976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 t="s">
        <v>1883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925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937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 t="s">
        <v>2287</v>
      </c>
      <c r="B3532" s="27" t="s">
        <v>954</v>
      </c>
      <c r="C3532" s="27" t="s">
        <v>976</v>
      </c>
      <c r="E3532" s="21">
        <f>IF(D3532="?OLD","!!!","")</f>
        <v/>
      </c>
      <c r="F3532" s="22" t="str">
        <f>IF(OR(E3532="",E3532="!!!"),"",IF(NOT(ISNA(VLOOKUP(E3532,E$1:E3531,1,FALSE()))),"OLD",IF(AND(E3532&lt;&gt;"",E3532&lt;&gt;"!!!"),"NEW","")))</f>
        <v> </v>
      </c>
      <c r="G3532" s="23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4" t="str">
        <f>IF(J3532&lt;&gt;1,"",IF(I3532="SBJ","CB","?"))</f>
        <v> </v>
      </c>
      <c r="I3532" s="25" t="str">
        <f>IF(OR(E3532="",E3532="!!!",F3532="NEW"),"",INDEX(B3531:B$2,-1+SUMPRODUCT(MAX(ROW(E3531:E$2)*(E3532=E3531:E$2)))))</f>
        <v> </v>
      </c>
      <c r="J3532" s="25" t="str">
        <f>IF(OR(E3532="",E3532="!!!",F3532="NEW"),"",COUNTBLANK(OFFSET(A$1,,,SUMPRODUCT(MAX(ROW(E$2:E3532)*(E3532=E$2:E3532)))))-COUNTBLANK(OFFSET(A$1,,,SUMPRODUCT(MAX(ROW(E$1:E3531)*(E2=E$1:E3531))))))</f>
        <v> </v>
      </c>
      <c r="K3532" s="25" t="str">
        <f>IF(OR(E3532="",E3532="!!!",F3532="NEW"),"",INDEX(J$1:J3531,SUMPRODUCT(MAX(ROW(E$1:E3531)*(E3532=E$1:E3531)))))</f>
        <v> </v>
      </c>
      <c r="L3532" s="26"/>
    </row>
    <row r="3533" spans="1:12">
      <c r="A3533" s="20" t="s">
        <v>1618</v>
      </c>
      <c r="B3533" s="27" t="s">
        <v>968</v>
      </c>
      <c r="C3533" s="27" t="s">
        <v>1545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969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2288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 t="s">
        <v>2289</v>
      </c>
      <c r="E3536" s="21">
        <f>IF(D3536="?OLD","!!!","")</f>
        <v/>
      </c>
      <c r="F3536" s="22" t="str">
        <f>IF(OR(E3536="",E3536="!!!"),"",IF(NOT(ISNA(VLOOKUP(E3536,E$1:E3535,1,FALSE()))),"OLD",IF(AND(E3536&lt;&gt;"",E3536&lt;&gt;"!!!"),"NEW","")))</f>
        <v> </v>
      </c>
      <c r="G3536" s="23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4" t="str">
        <f>IF(J3536&lt;&gt;1,"",IF(I3536="SBJ","CB","?"))</f>
        <v> </v>
      </c>
      <c r="I3536" s="25" t="str">
        <f>IF(OR(E3536="",E3536="!!!",F3536="NEW"),"",INDEX(B3535:B$2,-1+SUMPRODUCT(MAX(ROW(E3535:E$2)*(E3536=E3535:E$2)))))</f>
        <v> </v>
      </c>
      <c r="J3536" s="25" t="str">
        <f>IF(OR(E3536="",E3536="!!!",F3536="NEW"),"",COUNTBLANK(OFFSET(A$1,,,SUMPRODUCT(MAX(ROW(E$2:E3536)*(E3536=E$2:E3536)))))-COUNTBLANK(OFFSET(A$1,,,SUMPRODUCT(MAX(ROW(E$1:E3535)*(E2=E$1:E3535))))))</f>
        <v> </v>
      </c>
      <c r="K3536" s="25" t="str">
        <f>IF(OR(E3536="",E3536="!!!",F3536="NEW"),"",INDEX(J$1:J3535,SUMPRODUCT(MAX(ROW(E$1:E3535)*(E3536=E$1:E3535)))))</f>
        <v> </v>
      </c>
      <c r="L3536" s="26"/>
    </row>
    <row r="3537" spans="1:12">
      <c r="A3537" s="20" t="s">
        <v>2290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925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937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2291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2292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942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/>
    </row>
    <row r="3544" spans="1:12">
      <c r="A3544" s="20" t="s">
        <v>2293</v>
      </c>
    </row>
    <row r="3545" spans="1:12">
      <c r="A3545" s="20" t="s">
        <v>2294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 t="s">
        <v>2295</v>
      </c>
      <c r="E3546" s="21">
        <f>IF(D3546="?OLD","!!!","")</f>
        <v/>
      </c>
      <c r="F3546" s="22" t="str">
        <f>IF(OR(E3546="",E3546="!!!"),"",IF(NOT(ISNA(VLOOKUP(E3546,E$1:E3545,1,FALSE()))),"OLD",IF(AND(E3546&lt;&gt;"",E3546&lt;&gt;"!!!"),"NEW","")))</f>
        <v> </v>
      </c>
      <c r="G3546" s="23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4" t="str">
        <f>IF(J3546&lt;&gt;1,"",IF(I3546="SBJ","CB","?"))</f>
        <v> </v>
      </c>
      <c r="I3546" s="25" t="str">
        <f>IF(OR(E3546="",E3546="!!!",F3546="NEW"),"",INDEX(B3545:B$2,-1+SUMPRODUCT(MAX(ROW(E3545:E$2)*(E3546=E3545:E$2)))))</f>
        <v> </v>
      </c>
      <c r="J3546" s="25" t="str">
        <f>IF(OR(E3546="",E3546="!!!",F3546="NEW"),"",COUNTBLANK(OFFSET(A$1,,,SUMPRODUCT(MAX(ROW(E$2:E3546)*(E3546=E$2:E3546)))))-COUNTBLANK(OFFSET(A$1,,,SUMPRODUCT(MAX(ROW(E$1:E3545)*(E2=E$1:E3545))))))</f>
        <v> </v>
      </c>
      <c r="K3546" s="25" t="str">
        <f>IF(OR(E3546="",E3546="!!!",F3546="NEW"),"",INDEX(J$1:J3545,SUMPRODUCT(MAX(ROW(E$1:E3545)*(E3546=E$1:E3545)))))</f>
        <v> </v>
      </c>
      <c r="L3546" s="26"/>
    </row>
    <row r="3547" spans="1:12">
      <c r="A3547" s="20" t="s">
        <v>1012</v>
      </c>
      <c r="B3547" s="27" t="s">
        <v>972</v>
      </c>
      <c r="C3547" s="27" t="s">
        <v>1013</v>
      </c>
      <c r="D3547" s="27" t="s">
        <v>930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 t="s">
        <v>969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 t="s">
        <v>2296</v>
      </c>
      <c r="E3549" s="21">
        <f>IF(D3549="?OLD","!!!","")</f>
        <v/>
      </c>
      <c r="F3549" s="22" t="str">
        <f>IF(OR(E3549="",E3549="!!!"),"",IF(NOT(ISNA(VLOOKUP(E3549,E$1:E3548,1,FALSE()))),"OLD",IF(AND(E3549&lt;&gt;"",E3549&lt;&gt;"!!!"),"NEW","")))</f>
        <v> </v>
      </c>
      <c r="G3549" s="23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4" t="str">
        <f>IF(J3549&lt;&gt;1,"",IF(I3549="SBJ","CB","?"))</f>
        <v> </v>
      </c>
      <c r="I3549" s="25" t="str">
        <f>IF(OR(E3549="",E3549="!!!",F3549="NEW"),"",INDEX(B3548:B$2,-1+SUMPRODUCT(MAX(ROW(E3548:E$2)*(E3549=E3548:E$2)))))</f>
        <v> </v>
      </c>
      <c r="J3549" s="25" t="str">
        <f>IF(OR(E3549="",E3549="!!!",F3549="NEW"),"",COUNTBLANK(OFFSET(A$1,,,SUMPRODUCT(MAX(ROW(E$2:E3549)*(E3549=E$2:E3549)))))-COUNTBLANK(OFFSET(A$1,,,SUMPRODUCT(MAX(ROW(E$1:E3548)*(E2=E$1:E3548))))))</f>
        <v> </v>
      </c>
      <c r="K3549" s="25" t="str">
        <f>IF(OR(E3549="",E3549="!!!",F3549="NEW"),"",INDEX(J$1:J3548,SUMPRODUCT(MAX(ROW(E$1:E3548)*(E3549=E$1:E3548)))))</f>
        <v> </v>
      </c>
      <c r="L3549" s="26"/>
    </row>
    <row r="3550" spans="1:12">
      <c r="A3550" s="20" t="s">
        <v>942</v>
      </c>
      <c r="E3550" s="21">
        <f>IF(D3550="?OLD","!!!","")</f>
        <v/>
      </c>
      <c r="F3550" s="22" t="str">
        <f>IF(OR(E3550="",E3550="!!!"),"",IF(NOT(ISNA(VLOOKUP(E3550,E$1:E3549,1,FALSE()))),"OLD",IF(AND(E3550&lt;&gt;"",E3550&lt;&gt;"!!!"),"NEW","")))</f>
        <v> </v>
      </c>
      <c r="G3550" s="23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4" t="str">
        <f>IF(J3550&lt;&gt;1,"",IF(I3550="SBJ","CB","?"))</f>
        <v> </v>
      </c>
      <c r="I3550" s="25" t="str">
        <f>IF(OR(E3550="",E3550="!!!",F3550="NEW"),"",INDEX(B3549:B$2,-1+SUMPRODUCT(MAX(ROW(E3549:E$2)*(E3550=E3549:E$2)))))</f>
        <v> </v>
      </c>
      <c r="J3550" s="25" t="str">
        <f>IF(OR(E3550="",E3550="!!!",F3550="NEW"),"",COUNTBLANK(OFFSET(A$1,,,SUMPRODUCT(MAX(ROW(E$2:E3550)*(E3550=E$2:E3550)))))-COUNTBLANK(OFFSET(A$1,,,SUMPRODUCT(MAX(ROW(E$1:E3549)*(E2=E$1:E3549))))))</f>
        <v> </v>
      </c>
      <c r="K3550" s="25" t="str">
        <f>IF(OR(E3550="",E3550="!!!",F3550="NEW"),"",INDEX(J$1:J3549,SUMPRODUCT(MAX(ROW(E$1:E3549)*(E3550=E$1:E3549)))))</f>
        <v> </v>
      </c>
      <c r="L3550" s="26"/>
    </row>
    <row r="3551" spans="1:12">
      <c r="A3551" s="20"/>
    </row>
    <row r="3552" spans="1:12">
      <c r="A3552" s="20" t="s">
        <v>2297</v>
      </c>
    </row>
    <row r="3553" spans="1:12">
      <c r="A3553" s="20" t="s">
        <v>1117</v>
      </c>
      <c r="B3553" s="27" t="s">
        <v>947</v>
      </c>
      <c r="C3553" s="27" t="s">
        <v>1013</v>
      </c>
      <c r="D3553" s="27" t="s">
        <v>930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 t="s">
        <v>891</v>
      </c>
      <c r="E3554" s="21">
        <f>IF(D3554="?OLD","!!!","")</f>
        <v/>
      </c>
      <c r="F3554" s="22" t="str">
        <f>IF(OR(E3554="",E3554="!!!"),"",IF(NOT(ISNA(VLOOKUP(E3554,E$1:E3553,1,FALSE()))),"OLD",IF(AND(E3554&lt;&gt;"",E3554&lt;&gt;"!!!"),"NEW","")))</f>
        <v> </v>
      </c>
      <c r="G3554" s="23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4" t="str">
        <f>IF(J3554&lt;&gt;1,"",IF(I3554="SBJ","CB","?"))</f>
        <v> </v>
      </c>
      <c r="I3554" s="25" t="str">
        <f>IF(OR(E3554="",E3554="!!!",F3554="NEW"),"",INDEX(B3553:B$2,-1+SUMPRODUCT(MAX(ROW(E3553:E$2)*(E3554=E3553:E$2)))))</f>
        <v> </v>
      </c>
      <c r="J3554" s="25" t="str">
        <f>IF(OR(E3554="",E3554="!!!",F3554="NEW"),"",COUNTBLANK(OFFSET(A$1,,,SUMPRODUCT(MAX(ROW(E$2:E3554)*(E3554=E$2:E3554)))))-COUNTBLANK(OFFSET(A$1,,,SUMPRODUCT(MAX(ROW(E$1:E3553)*(E2=E$1:E3553))))))</f>
        <v> </v>
      </c>
      <c r="K3554" s="25" t="str">
        <f>IF(OR(E3554="",E3554="!!!",F3554="NEW"),"",INDEX(J$1:J3553,SUMPRODUCT(MAX(ROW(E$1:E3553)*(E3554=E$1:E3553)))))</f>
        <v> </v>
      </c>
      <c r="L3554" s="26"/>
    </row>
    <row r="3555" spans="1:12">
      <c r="A3555" s="20" t="s">
        <v>925</v>
      </c>
      <c r="E3555" s="21">
        <f>IF(D3555="?OLD","!!!","")</f>
        <v/>
      </c>
      <c r="F3555" s="22" t="str">
        <f>IF(OR(E3555="",E3555="!!!"),"",IF(NOT(ISNA(VLOOKUP(E3555,E$1:E3554,1,FALSE()))),"OLD",IF(AND(E3555&lt;&gt;"",E3555&lt;&gt;"!!!"),"NEW","")))</f>
        <v> </v>
      </c>
      <c r="G3555" s="23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4" t="str">
        <f>IF(J3555&lt;&gt;1,"",IF(I3555="SBJ","CB","?"))</f>
        <v> </v>
      </c>
      <c r="I3555" s="25" t="str">
        <f>IF(OR(E3555="",E3555="!!!",F3555="NEW"),"",INDEX(B3554:B$2,-1+SUMPRODUCT(MAX(ROW(E3554:E$2)*(E3555=E3554:E$2)))))</f>
        <v> </v>
      </c>
      <c r="J3555" s="25" t="str">
        <f>IF(OR(E3555="",E3555="!!!",F3555="NEW"),"",COUNTBLANK(OFFSET(A$1,,,SUMPRODUCT(MAX(ROW(E$2:E3555)*(E3555=E$2:E3555)))))-COUNTBLANK(OFFSET(A$1,,,SUMPRODUCT(MAX(ROW(E$1:E3554)*(E2=E$1:E3554))))))</f>
        <v> </v>
      </c>
      <c r="K3555" s="25" t="str">
        <f>IF(OR(E3555="",E3555="!!!",F3555="NEW"),"",INDEX(J$1:J3554,SUMPRODUCT(MAX(ROW(E$1:E3554)*(E3555=E$1:E3554)))))</f>
        <v> </v>
      </c>
      <c r="L3555" s="26"/>
    </row>
    <row r="3556" spans="1:12">
      <c r="A3556" s="20" t="s">
        <v>1012</v>
      </c>
      <c r="B3556" s="27" t="s">
        <v>968</v>
      </c>
      <c r="C3556" s="27" t="s">
        <v>1013</v>
      </c>
      <c r="D3556" s="27" t="s">
        <v>930</v>
      </c>
      <c r="E3556" s="21">
        <f>IF(D3556="?OLD","!!!","")</f>
        <v/>
      </c>
      <c r="F3556" s="22" t="str">
        <f>IF(OR(E3556="",E3556="!!!"),"",IF(NOT(ISNA(VLOOKUP(E3556,E$1:E3555,1,FALSE()))),"OLD",IF(AND(E3556&lt;&gt;"",E3556&lt;&gt;"!!!"),"NEW","")))</f>
        <v> </v>
      </c>
      <c r="G3556" s="23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4" t="str">
        <f>IF(J3556&lt;&gt;1,"",IF(I3556="SBJ","CB","?"))</f>
        <v> </v>
      </c>
      <c r="I3556" s="25" t="str">
        <f>IF(OR(E3556="",E3556="!!!",F3556="NEW"),"",INDEX(B3555:B$2,-1+SUMPRODUCT(MAX(ROW(E3555:E$2)*(E3556=E3555:E$2)))))</f>
        <v> </v>
      </c>
      <c r="J3556" s="25" t="str">
        <f>IF(OR(E3556="",E3556="!!!",F3556="NEW"),"",COUNTBLANK(OFFSET(A$1,,,SUMPRODUCT(MAX(ROW(E$2:E3556)*(E3556=E$2:E3556)))))-COUNTBLANK(OFFSET(A$1,,,SUMPRODUCT(MAX(ROW(E$1:E3555)*(E2=E$1:E3555))))))</f>
        <v> </v>
      </c>
      <c r="K3556" s="25" t="str">
        <f>IF(OR(E3556="",E3556="!!!",F3556="NEW"),"",INDEX(J$1:J3555,SUMPRODUCT(MAX(ROW(E$1:E3555)*(E3556=E$1:E3555)))))</f>
        <v> </v>
      </c>
      <c r="L3556" s="26"/>
    </row>
    <row r="3557" spans="1:12">
      <c r="A3557" s="20" t="s">
        <v>837</v>
      </c>
      <c r="E3557" s="21">
        <f>IF(D3557="?OLD","!!!","")</f>
        <v/>
      </c>
      <c r="F3557" s="22" t="str">
        <f>IF(OR(E3557="",E3557="!!!"),"",IF(NOT(ISNA(VLOOKUP(E3557,E$1:E3556,1,FALSE()))),"OLD",IF(AND(E3557&lt;&gt;"",E3557&lt;&gt;"!!!"),"NEW","")))</f>
        <v> </v>
      </c>
      <c r="G3557" s="23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4" t="str">
        <f>IF(J3557&lt;&gt;1,"",IF(I3557="SBJ","CB","?"))</f>
        <v> </v>
      </c>
      <c r="I3557" s="25" t="str">
        <f>IF(OR(E3557="",E3557="!!!",F3557="NEW"),"",INDEX(B3556:B$2,-1+SUMPRODUCT(MAX(ROW(E3556:E$2)*(E3557=E3556:E$2)))))</f>
        <v> </v>
      </c>
      <c r="J3557" s="25" t="str">
        <f>IF(OR(E3557="",E3557="!!!",F3557="NEW"),"",COUNTBLANK(OFFSET(A$1,,,SUMPRODUCT(MAX(ROW(E$2:E3557)*(E3557=E$2:E3557)))))-COUNTBLANK(OFFSET(A$1,,,SUMPRODUCT(MAX(ROW(E$1:E3556)*(E2=E$1:E3556))))))</f>
        <v> </v>
      </c>
      <c r="K3557" s="25" t="str">
        <f>IF(OR(E3557="",E3557="!!!",F3557="NEW"),"",INDEX(J$1:J3556,SUMPRODUCT(MAX(ROW(E$1:E3556)*(E3557=E$1:E3556)))))</f>
        <v> </v>
      </c>
      <c r="L3557" s="26"/>
    </row>
    <row r="3558" spans="1:12">
      <c r="A3558" s="20" t="s">
        <v>925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1012</v>
      </c>
      <c r="B3559" s="27" t="s">
        <v>968</v>
      </c>
      <c r="C3559" s="27" t="s">
        <v>1013</v>
      </c>
      <c r="D3559" s="27" t="s">
        <v>930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2298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2299</v>
      </c>
      <c r="B3561" s="27" t="s">
        <v>954</v>
      </c>
      <c r="C3561" s="27" t="s">
        <v>1066</v>
      </c>
      <c r="D3561" s="27" t="s">
        <v>930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 t="s">
        <v>2300</v>
      </c>
      <c r="E3562" s="21">
        <f>IF(D3562="?OLD","!!!","")</f>
        <v/>
      </c>
      <c r="F3562" s="22" t="str">
        <f>IF(OR(E3562="",E3562="!!!"),"",IF(NOT(ISNA(VLOOKUP(E3562,E$1:E3561,1,FALSE()))),"OLD",IF(AND(E3562&lt;&gt;"",E3562&lt;&gt;"!!!"),"NEW","")))</f>
        <v> </v>
      </c>
      <c r="G3562" s="23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4" t="str">
        <f>IF(J3562&lt;&gt;1,"",IF(I3562="SBJ","CB","?"))</f>
        <v> </v>
      </c>
      <c r="I3562" s="25" t="str">
        <f>IF(OR(E3562="",E3562="!!!",F3562="NEW"),"",INDEX(B3561:B$2,-1+SUMPRODUCT(MAX(ROW(E3561:E$2)*(E3562=E3561:E$2)))))</f>
        <v> </v>
      </c>
      <c r="J3562" s="25" t="str">
        <f>IF(OR(E3562="",E3562="!!!",F3562="NEW"),"",COUNTBLANK(OFFSET(A$1,,,SUMPRODUCT(MAX(ROW(E$2:E3562)*(E3562=E$2:E3562)))))-COUNTBLANK(OFFSET(A$1,,,SUMPRODUCT(MAX(ROW(E$1:E3561)*(E2=E$1:E3561))))))</f>
        <v> </v>
      </c>
      <c r="K3562" s="25" t="str">
        <f>IF(OR(E3562="",E3562="!!!",F3562="NEW"),"",INDEX(J$1:J3561,SUMPRODUCT(MAX(ROW(E$1:E3561)*(E3562=E$1:E3561)))))</f>
        <v> </v>
      </c>
      <c r="L3562" s="26"/>
    </row>
    <row r="3563" spans="1:12">
      <c r="A3563" s="20" t="s">
        <v>925</v>
      </c>
      <c r="E3563" s="21">
        <f>IF(D3563="?OLD","!!!","")</f>
        <v/>
      </c>
      <c r="F3563" s="22" t="str">
        <f>IF(OR(E3563="",E3563="!!!"),"",IF(NOT(ISNA(VLOOKUP(E3563,E$1:E3562,1,FALSE()))),"OLD",IF(AND(E3563&lt;&gt;"",E3563&lt;&gt;"!!!"),"NEW","")))</f>
        <v> </v>
      </c>
      <c r="G3563" s="23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4" t="str">
        <f>IF(J3563&lt;&gt;1,"",IF(I3563="SBJ","CB","?"))</f>
        <v> </v>
      </c>
      <c r="I3563" s="25" t="str">
        <f>IF(OR(E3563="",E3563="!!!",F3563="NEW"),"",INDEX(B3562:B$2,-1+SUMPRODUCT(MAX(ROW(E3562:E$2)*(E3563=E3562:E$2)))))</f>
        <v> </v>
      </c>
      <c r="J3563" s="25" t="str">
        <f>IF(OR(E3563="",E3563="!!!",F3563="NEW"),"",COUNTBLANK(OFFSET(A$1,,,SUMPRODUCT(MAX(ROW(E$2:E3563)*(E3563=E$2:E3563)))))-COUNTBLANK(OFFSET(A$1,,,SUMPRODUCT(MAX(ROW(E$1:E3562)*(E2=E$1:E3562))))))</f>
        <v> </v>
      </c>
      <c r="K3563" s="25" t="str">
        <f>IF(OR(E3563="",E3563="!!!",F3563="NEW"),"",INDEX(J$1:J3562,SUMPRODUCT(MAX(ROW(E$1:E3562)*(E3563=E$1:E3562)))))</f>
        <v> </v>
      </c>
      <c r="L3563" s="26"/>
    </row>
    <row r="3564" spans="1:12">
      <c r="A3564" s="20" t="s">
        <v>989</v>
      </c>
      <c r="E3564" s="21">
        <f>IF(D3564="?OLD","!!!","")</f>
        <v/>
      </c>
      <c r="F3564" s="22" t="str">
        <f>IF(OR(E3564="",E3564="!!!"),"",IF(NOT(ISNA(VLOOKUP(E3564,E$1:E3563,1,FALSE()))),"OLD",IF(AND(E3564&lt;&gt;"",E3564&lt;&gt;"!!!"),"NEW","")))</f>
        <v> </v>
      </c>
      <c r="G3564" s="23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4" t="str">
        <f>IF(J3564&lt;&gt;1,"",IF(I3564="SBJ","CB","?"))</f>
        <v> </v>
      </c>
      <c r="I3564" s="25" t="str">
        <f>IF(OR(E3564="",E3564="!!!",F3564="NEW"),"",INDEX(B3563:B$2,-1+SUMPRODUCT(MAX(ROW(E3563:E$2)*(E3564=E3563:E$2)))))</f>
        <v> </v>
      </c>
      <c r="J3564" s="25" t="str">
        <f>IF(OR(E3564="",E3564="!!!",F3564="NEW"),"",COUNTBLANK(OFFSET(A$1,,,SUMPRODUCT(MAX(ROW(E$2:E3564)*(E3564=E$2:E3564)))))-COUNTBLANK(OFFSET(A$1,,,SUMPRODUCT(MAX(ROW(E$1:E3563)*(E2=E$1:E3563))))))</f>
        <v> </v>
      </c>
      <c r="K3564" s="25" t="str">
        <f>IF(OR(E3564="",E3564="!!!",F3564="NEW"),"",INDEX(J$1:J3563,SUMPRODUCT(MAX(ROW(E$1:E3563)*(E3564=E$1:E3563)))))</f>
        <v> </v>
      </c>
      <c r="L3564" s="26"/>
    </row>
    <row r="3565" spans="1:12">
      <c r="A3565" s="20" t="s">
        <v>774</v>
      </c>
      <c r="B3565" s="27" t="s">
        <v>968</v>
      </c>
      <c r="C3565" s="27" t="s">
        <v>929</v>
      </c>
      <c r="D3565" s="27" t="s">
        <v>930</v>
      </c>
      <c r="E3565" s="21">
        <f>IF(D3565="?OLD","!!!","")</f>
        <v/>
      </c>
      <c r="F3565" s="22" t="str">
        <f>IF(OR(E3565="",E3565="!!!"),"",IF(NOT(ISNA(VLOOKUP(E3565,E$1:E3564,1,FALSE()))),"OLD",IF(AND(E3565&lt;&gt;"",E3565&lt;&gt;"!!!"),"NEW","")))</f>
        <v> </v>
      </c>
      <c r="G3565" s="23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4" t="str">
        <f>IF(J3565&lt;&gt;1,"",IF(I3565="SBJ","CB","?"))</f>
        <v> </v>
      </c>
      <c r="I3565" s="25" t="str">
        <f>IF(OR(E3565="",E3565="!!!",F3565="NEW"),"",INDEX(B3564:B$2,-1+SUMPRODUCT(MAX(ROW(E3564:E$2)*(E3565=E3564:E$2)))))</f>
        <v> </v>
      </c>
      <c r="J3565" s="25" t="str">
        <f>IF(OR(E3565="",E3565="!!!",F3565="NEW"),"",COUNTBLANK(OFFSET(A$1,,,SUMPRODUCT(MAX(ROW(E$2:E3565)*(E3565=E$2:E3565)))))-COUNTBLANK(OFFSET(A$1,,,SUMPRODUCT(MAX(ROW(E$1:E3564)*(E2=E$1:E3564))))))</f>
        <v> </v>
      </c>
      <c r="K3565" s="25" t="str">
        <f>IF(OR(E3565="",E3565="!!!",F3565="NEW"),"",INDEX(J$1:J3564,SUMPRODUCT(MAX(ROW(E$1:E3564)*(E3565=E$1:E3564)))))</f>
        <v> </v>
      </c>
      <c r="L3565" s="26"/>
    </row>
    <row r="3566" spans="1:12">
      <c r="A3566" s="20" t="s">
        <v>898</v>
      </c>
      <c r="E3566" s="21">
        <f>IF(D3566="?OLD","!!!","")</f>
        <v/>
      </c>
      <c r="F3566" s="22" t="str">
        <f>IF(OR(E3566="",E3566="!!!"),"",IF(NOT(ISNA(VLOOKUP(E3566,E$1:E3565,1,FALSE()))),"OLD",IF(AND(E3566&lt;&gt;"",E3566&lt;&gt;"!!!"),"NEW","")))</f>
        <v> </v>
      </c>
      <c r="G3566" s="23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4" t="str">
        <f>IF(J3566&lt;&gt;1,"",IF(I3566="SBJ","CB","?"))</f>
        <v> </v>
      </c>
      <c r="I3566" s="25" t="str">
        <f>IF(OR(E3566="",E3566="!!!",F3566="NEW"),"",INDEX(B3565:B$2,-1+SUMPRODUCT(MAX(ROW(E3565:E$2)*(E3566=E3565:E$2)))))</f>
        <v> </v>
      </c>
      <c r="J3566" s="25" t="str">
        <f>IF(OR(E3566="",E3566="!!!",F3566="NEW"),"",COUNTBLANK(OFFSET(A$1,,,SUMPRODUCT(MAX(ROW(E$2:E3566)*(E3566=E$2:E3566)))))-COUNTBLANK(OFFSET(A$1,,,SUMPRODUCT(MAX(ROW(E$1:E3565)*(E2=E$1:E3565))))))</f>
        <v> </v>
      </c>
      <c r="K3566" s="25" t="str">
        <f>IF(OR(E3566="",E3566="!!!",F3566="NEW"),"",INDEX(J$1:J3565,SUMPRODUCT(MAX(ROW(E$1:E3565)*(E3566=E$1:E3565)))))</f>
        <v> </v>
      </c>
      <c r="L3566" s="26"/>
    </row>
    <row r="3567" spans="1:12">
      <c r="A3567" s="20" t="s">
        <v>952</v>
      </c>
      <c r="E3567" s="21">
        <f>IF(D3567="?OLD","!!!","")</f>
        <v/>
      </c>
      <c r="F3567" s="22" t="str">
        <f>IF(OR(E3567="",E3567="!!!"),"",IF(NOT(ISNA(VLOOKUP(E3567,E$1:E3566,1,FALSE()))),"OLD",IF(AND(E3567&lt;&gt;"",E3567&lt;&gt;"!!!"),"NEW","")))</f>
        <v> </v>
      </c>
      <c r="G3567" s="23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4" t="str">
        <f>IF(J3567&lt;&gt;1,"",IF(I3567="SBJ","CB","?"))</f>
        <v> </v>
      </c>
      <c r="I3567" s="25" t="str">
        <f>IF(OR(E3567="",E3567="!!!",F3567="NEW"),"",INDEX(B3566:B$2,-1+SUMPRODUCT(MAX(ROW(E3566:E$2)*(E3567=E3566:E$2)))))</f>
        <v> </v>
      </c>
      <c r="J3567" s="25" t="str">
        <f>IF(OR(E3567="",E3567="!!!",F3567="NEW"),"",COUNTBLANK(OFFSET(A$1,,,SUMPRODUCT(MAX(ROW(E$2:E3567)*(E3567=E$2:E3567)))))-COUNTBLANK(OFFSET(A$1,,,SUMPRODUCT(MAX(ROW(E$1:E3566)*(E2=E$1:E3566))))))</f>
        <v> </v>
      </c>
      <c r="K3567" s="25" t="str">
        <f>IF(OR(E3567="",E3567="!!!",F3567="NEW"),"",INDEX(J$1:J3566,SUMPRODUCT(MAX(ROW(E$1:E3566)*(E3567=E$1:E3566)))))</f>
        <v> </v>
      </c>
      <c r="L3567" s="26"/>
    </row>
    <row r="3568" spans="1:12">
      <c r="A3568" s="20" t="s">
        <v>1012</v>
      </c>
      <c r="B3568" s="27" t="s">
        <v>1154</v>
      </c>
      <c r="C3568" s="27" t="s">
        <v>1013</v>
      </c>
      <c r="D3568" s="27" t="s">
        <v>930</v>
      </c>
      <c r="E3568" s="21">
        <f>IF(D3568="?OLD","!!!","")</f>
        <v/>
      </c>
      <c r="F3568" s="22" t="str">
        <f>IF(OR(E3568="",E3568="!!!"),"",IF(NOT(ISNA(VLOOKUP(E3568,E$1:E3567,1,FALSE()))),"OLD",IF(AND(E3568&lt;&gt;"",E3568&lt;&gt;"!!!"),"NEW","")))</f>
        <v> </v>
      </c>
      <c r="G3568" s="23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4" t="str">
        <f>IF(J3568&lt;&gt;1,"",IF(I3568="SBJ","CB","?"))</f>
        <v> </v>
      </c>
      <c r="I3568" s="25" t="str">
        <f>IF(OR(E3568="",E3568="!!!",F3568="NEW"),"",INDEX(B3567:B$2,-1+SUMPRODUCT(MAX(ROW(E3567:E$2)*(E3568=E3567:E$2)))))</f>
        <v> </v>
      </c>
      <c r="J3568" s="25" t="str">
        <f>IF(OR(E3568="",E3568="!!!",F3568="NEW"),"",COUNTBLANK(OFFSET(A$1,,,SUMPRODUCT(MAX(ROW(E$2:E3568)*(E3568=E$2:E3568)))))-COUNTBLANK(OFFSET(A$1,,,SUMPRODUCT(MAX(ROW(E$1:E3567)*(E2=E$1:E3567))))))</f>
        <v> </v>
      </c>
      <c r="K3568" s="25" t="str">
        <f>IF(OR(E3568="",E3568="!!!",F3568="NEW"),"",INDEX(J$1:J3567,SUMPRODUCT(MAX(ROW(E$1:E3567)*(E3568=E$1:E3567)))))</f>
        <v> </v>
      </c>
      <c r="L3568" s="26"/>
    </row>
    <row r="3569" spans="1:12">
      <c r="A3569" s="20" t="s">
        <v>1759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 t="s">
        <v>942</v>
      </c>
      <c r="E3570" s="21">
        <f>IF(D3570="?OLD","!!!","")</f>
        <v/>
      </c>
      <c r="F3570" s="22" t="str">
        <f>IF(OR(E3570="",E3570="!!!"),"",IF(NOT(ISNA(VLOOKUP(E3570,E$1:E3569,1,FALSE()))),"OLD",IF(AND(E3570&lt;&gt;"",E3570&lt;&gt;"!!!"),"NEW","")))</f>
        <v> </v>
      </c>
      <c r="G3570" s="23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4" t="str">
        <f>IF(J3570&lt;&gt;1,"",IF(I3570="SBJ","CB","?"))</f>
        <v> </v>
      </c>
      <c r="I3570" s="25" t="str">
        <f>IF(OR(E3570="",E3570="!!!",F3570="NEW"),"",INDEX(B3569:B$2,-1+SUMPRODUCT(MAX(ROW(E3569:E$2)*(E3570=E3569:E$2)))))</f>
        <v> </v>
      </c>
      <c r="J3570" s="25" t="str">
        <f>IF(OR(E3570="",E3570="!!!",F3570="NEW"),"",COUNTBLANK(OFFSET(A$1,,,SUMPRODUCT(MAX(ROW(E$2:E3570)*(E3570=E$2:E3570)))))-COUNTBLANK(OFFSET(A$1,,,SUMPRODUCT(MAX(ROW(E$1:E3569)*(E2=E$1:E3569))))))</f>
        <v> </v>
      </c>
      <c r="K3570" s="25" t="str">
        <f>IF(OR(E3570="",E3570="!!!",F3570="NEW"),"",INDEX(J$1:J3569,SUMPRODUCT(MAX(ROW(E$1:E3569)*(E3570=E$1:E3569)))))</f>
        <v> </v>
      </c>
      <c r="L3570" s="26"/>
    </row>
    <row r="3571" spans="1:12">
      <c r="A3571" s="20"/>
    </row>
    <row r="3572" spans="1:12">
      <c r="A3572" s="20" t="s">
        <v>995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 t="s">
        <v>2301</v>
      </c>
    </row>
    <row r="3574" spans="1:12">
      <c r="A3574" s="20" t="s">
        <v>1246</v>
      </c>
      <c r="E3574" s="21">
        <f>IF(D3574="?OLD","!!!","")</f>
        <v/>
      </c>
      <c r="F3574" s="22" t="str">
        <f>IF(OR(E3574="",E3574="!!!"),"",IF(NOT(ISNA(VLOOKUP(E3574,E$1:E3573,1,FALSE()))),"OLD",IF(AND(E3574&lt;&gt;"",E3574&lt;&gt;"!!!"),"NEW","")))</f>
        <v> </v>
      </c>
      <c r="G3574" s="23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4" t="str">
        <f>IF(J3574&lt;&gt;1,"",IF(I3574="SBJ","CB","?"))</f>
        <v> </v>
      </c>
      <c r="I3574" s="25" t="str">
        <f>IF(OR(E3574="",E3574="!!!",F3574="NEW"),"",INDEX(B3573:B$2,-1+SUMPRODUCT(MAX(ROW(E3573:E$2)*(E3574=E3573:E$2)))))</f>
        <v> </v>
      </c>
      <c r="J3574" s="25" t="str">
        <f>IF(OR(E3574="",E3574="!!!",F3574="NEW"),"",COUNTBLANK(OFFSET(A$1,,,SUMPRODUCT(MAX(ROW(E$2:E3574)*(E3574=E$2:E3574)))))-COUNTBLANK(OFFSET(A$1,,,SUMPRODUCT(MAX(ROW(E$1:E3573)*(E2=E$1:E3573))))))</f>
        <v> </v>
      </c>
      <c r="K3574" s="25" t="str">
        <f>IF(OR(E3574="",E3574="!!!",F3574="NEW"),"",INDEX(J$1:J3573,SUMPRODUCT(MAX(ROW(E$1:E3573)*(E3574=E$1:E3573)))))</f>
        <v> </v>
      </c>
      <c r="L3574" s="26"/>
    </row>
    <row r="3575" spans="1:12">
      <c r="A3575" s="20" t="s">
        <v>1282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925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 t="s">
        <v>2302</v>
      </c>
      <c r="E3577" s="21">
        <f>IF(D3577="?OLD","!!!","")</f>
        <v/>
      </c>
      <c r="F3577" s="22" t="str">
        <f>IF(OR(E3577="",E3577="!!!"),"",IF(NOT(ISNA(VLOOKUP(E3577,E$1:E3576,1,FALSE()))),"OLD",IF(AND(E3577&lt;&gt;"",E3577&lt;&gt;"!!!"),"NEW","")))</f>
        <v> </v>
      </c>
      <c r="G3577" s="23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4" t="str">
        <f>IF(J3577&lt;&gt;1,"",IF(I3577="SBJ","CB","?"))</f>
        <v> </v>
      </c>
      <c r="I3577" s="25" t="str">
        <f>IF(OR(E3577="",E3577="!!!",F3577="NEW"),"",INDEX(B3576:B$2,-1+SUMPRODUCT(MAX(ROW(E3576:E$2)*(E3577=E3576:E$2)))))</f>
        <v> </v>
      </c>
      <c r="J3577" s="25" t="str">
        <f>IF(OR(E3577="",E3577="!!!",F3577="NEW"),"",COUNTBLANK(OFFSET(A$1,,,SUMPRODUCT(MAX(ROW(E$2:E3577)*(E3577=E$2:E3577)))))-COUNTBLANK(OFFSET(A$1,,,SUMPRODUCT(MAX(ROW(E$1:E3576)*(E2=E$1:E3576))))))</f>
        <v> </v>
      </c>
      <c r="K3577" s="25" t="str">
        <f>IF(OR(E3577="",E3577="!!!",F3577="NEW"),"",INDEX(J$1:J3576,SUMPRODUCT(MAX(ROW(E$1:E3576)*(E3577=E$1:E3576)))))</f>
        <v> </v>
      </c>
      <c r="L3577" s="26"/>
    </row>
    <row r="3578" spans="1:12">
      <c r="A3578" s="20" t="s">
        <v>2303</v>
      </c>
      <c r="E3578" s="21">
        <f>IF(D3578="?OLD","!!!","")</f>
        <v/>
      </c>
      <c r="F3578" s="22" t="str">
        <f>IF(OR(E3578="",E3578="!!!"),"",IF(NOT(ISNA(VLOOKUP(E3578,E$1:E3577,1,FALSE()))),"OLD",IF(AND(E3578&lt;&gt;"",E3578&lt;&gt;"!!!"),"NEW","")))</f>
        <v> </v>
      </c>
      <c r="G3578" s="23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4" t="str">
        <f>IF(J3578&lt;&gt;1,"",IF(I3578="SBJ","CB","?"))</f>
        <v> </v>
      </c>
      <c r="I3578" s="25" t="str">
        <f>IF(OR(E3578="",E3578="!!!",F3578="NEW"),"",INDEX(B3577:B$2,-1+SUMPRODUCT(MAX(ROW(E3577:E$2)*(E3578=E3577:E$2)))))</f>
        <v> </v>
      </c>
      <c r="J3578" s="25" t="str">
        <f>IF(OR(E3578="",E3578="!!!",F3578="NEW"),"",COUNTBLANK(OFFSET(A$1,,,SUMPRODUCT(MAX(ROW(E$2:E3578)*(E3578=E$2:E3578)))))-COUNTBLANK(OFFSET(A$1,,,SUMPRODUCT(MAX(ROW(E$1:E3577)*(E2=E$1:E3577))))))</f>
        <v> </v>
      </c>
      <c r="K3578" s="25" t="str">
        <f>IF(OR(E3578="",E3578="!!!",F3578="NEW"),"",INDEX(J$1:J3577,SUMPRODUCT(MAX(ROW(E$1:E3577)*(E3578=E$1:E3577)))))</f>
        <v> </v>
      </c>
      <c r="L3578" s="26"/>
    </row>
    <row r="3579" spans="1:12">
      <c r="A3579" s="20" t="s">
        <v>2304</v>
      </c>
      <c r="E3579" s="21">
        <f>IF(D3579="?OLD","!!!","")</f>
        <v/>
      </c>
      <c r="F3579" s="22" t="str">
        <f>IF(OR(E3579="",E3579="!!!"),"",IF(NOT(ISNA(VLOOKUP(E3579,E$1:E3578,1,FALSE()))),"OLD",IF(AND(E3579&lt;&gt;"",E3579&lt;&gt;"!!!"),"NEW","")))</f>
        <v> </v>
      </c>
      <c r="G3579" s="23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4" t="str">
        <f>IF(J3579&lt;&gt;1,"",IF(I3579="SBJ","CB","?"))</f>
        <v> </v>
      </c>
      <c r="I3579" s="25" t="str">
        <f>IF(OR(E3579="",E3579="!!!",F3579="NEW"),"",INDEX(B3578:B$2,-1+SUMPRODUCT(MAX(ROW(E3578:E$2)*(E3579=E3578:E$2)))))</f>
        <v> </v>
      </c>
      <c r="J3579" s="25" t="str">
        <f>IF(OR(E3579="",E3579="!!!",F3579="NEW"),"",COUNTBLANK(OFFSET(A$1,,,SUMPRODUCT(MAX(ROW(E$2:E3579)*(E3579=E$2:E3579)))))-COUNTBLANK(OFFSET(A$1,,,SUMPRODUCT(MAX(ROW(E$1:E3578)*(E2=E$1:E3578))))))</f>
        <v> </v>
      </c>
      <c r="K3579" s="25" t="str">
        <f>IF(OR(E3579="",E3579="!!!",F3579="NEW"),"",INDEX(J$1:J3578,SUMPRODUCT(MAX(ROW(E$1:E3578)*(E3579=E$1:E3578)))))</f>
        <v> </v>
      </c>
      <c r="L3579" s="26"/>
    </row>
    <row r="3580" spans="1:12">
      <c r="A3580" s="20" t="s">
        <v>2305</v>
      </c>
      <c r="E3580" s="21">
        <f>IF(D3580="?OLD","!!!","")</f>
        <v/>
      </c>
      <c r="F3580" s="22" t="str">
        <f>IF(OR(E3580="",E3580="!!!"),"",IF(NOT(ISNA(VLOOKUP(E3580,E$1:E3579,1,FALSE()))),"OLD",IF(AND(E3580&lt;&gt;"",E3580&lt;&gt;"!!!"),"NEW","")))</f>
        <v> </v>
      </c>
      <c r="G3580" s="23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4" t="str">
        <f>IF(J3580&lt;&gt;1,"",IF(I3580="SBJ","CB","?"))</f>
        <v> </v>
      </c>
      <c r="I3580" s="25" t="str">
        <f>IF(OR(E3580="",E3580="!!!",F3580="NEW"),"",INDEX(B3579:B$2,-1+SUMPRODUCT(MAX(ROW(E3579:E$2)*(E3580=E3579:E$2)))))</f>
        <v> </v>
      </c>
      <c r="J3580" s="25" t="str">
        <f>IF(OR(E3580="",E3580="!!!",F3580="NEW"),"",COUNTBLANK(OFFSET(A$1,,,SUMPRODUCT(MAX(ROW(E$2:E3580)*(E3580=E$2:E3580)))))-COUNTBLANK(OFFSET(A$1,,,SUMPRODUCT(MAX(ROW(E$1:E3579)*(E2=E$1:E3579))))))</f>
        <v> </v>
      </c>
      <c r="K3580" s="25" t="str">
        <f>IF(OR(E3580="",E3580="!!!",F3580="NEW"),"",INDEX(J$1:J3579,SUMPRODUCT(MAX(ROW(E$1:E3579)*(E3580=E$1:E3579)))))</f>
        <v> </v>
      </c>
      <c r="L3580" s="26"/>
    </row>
    <row r="3581" spans="1:12">
      <c r="A3581" s="20" t="s">
        <v>2306</v>
      </c>
      <c r="B3581" s="27" t="s">
        <v>950</v>
      </c>
      <c r="C3581" s="27" t="s">
        <v>1013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925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967</v>
      </c>
      <c r="B3583" s="27" t="s">
        <v>947</v>
      </c>
      <c r="C3583" s="27" t="s">
        <v>929</v>
      </c>
      <c r="D3583" s="27" t="s">
        <v>930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958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2307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1052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 t="s">
        <v>1005</v>
      </c>
      <c r="E3587" s="21">
        <f>IF(D3587="?OLD","!!!","")</f>
        <v/>
      </c>
      <c r="F3587" s="22" t="str">
        <f>IF(OR(E3587="",E3587="!!!"),"",IF(NOT(ISNA(VLOOKUP(E3587,E$1:E3586,1,FALSE()))),"OLD",IF(AND(E3587&lt;&gt;"",E3587&lt;&gt;"!!!"),"NEW","")))</f>
        <v> </v>
      </c>
      <c r="G3587" s="23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4" t="str">
        <f>IF(J3587&lt;&gt;1,"",IF(I3587="SBJ","CB","?"))</f>
        <v> </v>
      </c>
      <c r="I3587" s="25" t="str">
        <f>IF(OR(E3587="",E3587="!!!",F3587="NEW"),"",INDEX(B3586:B$2,-1+SUMPRODUCT(MAX(ROW(E3586:E$2)*(E3587=E3586:E$2)))))</f>
        <v> </v>
      </c>
      <c r="J3587" s="25" t="str">
        <f>IF(OR(E3587="",E3587="!!!",F3587="NEW"),"",COUNTBLANK(OFFSET(A$1,,,SUMPRODUCT(MAX(ROW(E$2:E3587)*(E3587=E$2:E3587)))))-COUNTBLANK(OFFSET(A$1,,,SUMPRODUCT(MAX(ROW(E$1:E3586)*(E2=E$1:E3586))))))</f>
        <v> </v>
      </c>
      <c r="K3587" s="25" t="str">
        <f>IF(OR(E3587="",E3587="!!!",F3587="NEW"),"",INDEX(J$1:J3586,SUMPRODUCT(MAX(ROW(E$1:E3586)*(E3587=E$1:E3586)))))</f>
        <v> </v>
      </c>
      <c r="L3587" s="26"/>
    </row>
    <row r="3588" spans="1:12">
      <c r="A3588" s="20" t="s">
        <v>1246</v>
      </c>
      <c r="E3588" s="21">
        <f>IF(D3588="?OLD","!!!","")</f>
        <v/>
      </c>
      <c r="F3588" s="22" t="str">
        <f>IF(OR(E3588="",E3588="!!!"),"",IF(NOT(ISNA(VLOOKUP(E3588,E$1:E3587,1,FALSE()))),"OLD",IF(AND(E3588&lt;&gt;"",E3588&lt;&gt;"!!!"),"NEW","")))</f>
        <v> </v>
      </c>
      <c r="G3588" s="23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4" t="str">
        <f>IF(J3588&lt;&gt;1,"",IF(I3588="SBJ","CB","?"))</f>
        <v> </v>
      </c>
      <c r="I3588" s="25" t="str">
        <f>IF(OR(E3588="",E3588="!!!",F3588="NEW"),"",INDEX(B3587:B$2,-1+SUMPRODUCT(MAX(ROW(E3587:E$2)*(E3588=E3587:E$2)))))</f>
        <v> </v>
      </c>
      <c r="J3588" s="25" t="str">
        <f>IF(OR(E3588="",E3588="!!!",F3588="NEW"),"",COUNTBLANK(OFFSET(A$1,,,SUMPRODUCT(MAX(ROW(E$2:E3588)*(E3588=E$2:E3588)))))-COUNTBLANK(OFFSET(A$1,,,SUMPRODUCT(MAX(ROW(E$1:E3587)*(E2=E$1:E3587))))))</f>
        <v> </v>
      </c>
      <c r="K3588" s="25" t="str">
        <f>IF(OR(E3588="",E3588="!!!",F3588="NEW"),"",INDEX(J$1:J3587,SUMPRODUCT(MAX(ROW(E$1:E3587)*(E3588=E$1:E3587)))))</f>
        <v> </v>
      </c>
      <c r="L3588" s="26"/>
    </row>
    <row r="3589" spans="1:12">
      <c r="A3589" s="20" t="s">
        <v>500</v>
      </c>
      <c r="E3589" s="21">
        <f>IF(D3589="?OLD","!!!","")</f>
        <v/>
      </c>
      <c r="F3589" s="22" t="str">
        <f>IF(OR(E3589="",E3589="!!!"),"",IF(NOT(ISNA(VLOOKUP(E3589,E$1:E3588,1,FALSE()))),"OLD",IF(AND(E3589&lt;&gt;"",E3589&lt;&gt;"!!!"),"NEW","")))</f>
        <v> </v>
      </c>
      <c r="G3589" s="23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4" t="str">
        <f>IF(J3589&lt;&gt;1,"",IF(I3589="SBJ","CB","?"))</f>
        <v> </v>
      </c>
      <c r="I3589" s="25" t="str">
        <f>IF(OR(E3589="",E3589="!!!",F3589="NEW"),"",INDEX(B3588:B$2,-1+SUMPRODUCT(MAX(ROW(E3588:E$2)*(E3589=E3588:E$2)))))</f>
        <v> </v>
      </c>
      <c r="J3589" s="25" t="str">
        <f>IF(OR(E3589="",E3589="!!!",F3589="NEW"),"",COUNTBLANK(OFFSET(A$1,,,SUMPRODUCT(MAX(ROW(E$2:E3589)*(E3589=E$2:E3589)))))-COUNTBLANK(OFFSET(A$1,,,SUMPRODUCT(MAX(ROW(E$1:E3588)*(E2=E$1:E3588))))))</f>
        <v> </v>
      </c>
      <c r="K3589" s="25" t="str">
        <f>IF(OR(E3589="",E3589="!!!",F3589="NEW"),"",INDEX(J$1:J3588,SUMPRODUCT(MAX(ROW(E$1:E3588)*(E3589=E$1:E3588)))))</f>
        <v> </v>
      </c>
      <c r="L3589" s="26"/>
    </row>
    <row r="3590" spans="1:12">
      <c r="A3590" s="20" t="s">
        <v>925</v>
      </c>
      <c r="E3590" s="21">
        <f>IF(D3590="?OLD","!!!","")</f>
        <v/>
      </c>
      <c r="F3590" s="22" t="str">
        <f>IF(OR(E3590="",E3590="!!!"),"",IF(NOT(ISNA(VLOOKUP(E3590,E$1:E3589,1,FALSE()))),"OLD",IF(AND(E3590&lt;&gt;"",E3590&lt;&gt;"!!!"),"NEW","")))</f>
        <v> </v>
      </c>
      <c r="G3590" s="23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4" t="str">
        <f>IF(J3590&lt;&gt;1,"",IF(I3590="SBJ","CB","?"))</f>
        <v> </v>
      </c>
      <c r="I3590" s="25" t="str">
        <f>IF(OR(E3590="",E3590="!!!",F3590="NEW"),"",INDEX(B3589:B$2,-1+SUMPRODUCT(MAX(ROW(E3589:E$2)*(E3590=E3589:E$2)))))</f>
        <v> </v>
      </c>
      <c r="J3590" s="25" t="str">
        <f>IF(OR(E3590="",E3590="!!!",F3590="NEW"),"",COUNTBLANK(OFFSET(A$1,,,SUMPRODUCT(MAX(ROW(E$2:E3590)*(E3590=E$2:E3590)))))-COUNTBLANK(OFFSET(A$1,,,SUMPRODUCT(MAX(ROW(E$1:E3589)*(E2=E$1:E3589))))))</f>
        <v> </v>
      </c>
      <c r="K3590" s="25" t="str">
        <f>IF(OR(E3590="",E3590="!!!",F3590="NEW"),"",INDEX(J$1:J3589,SUMPRODUCT(MAX(ROW(E$1:E3589)*(E3590=E$1:E3589)))))</f>
        <v> </v>
      </c>
      <c r="L3590" s="26"/>
    </row>
    <row r="3591" spans="1:12">
      <c r="A3591" s="20" t="s">
        <v>2308</v>
      </c>
      <c r="B3591" s="27" t="s">
        <v>934</v>
      </c>
      <c r="C3591" s="27" t="s">
        <v>929</v>
      </c>
      <c r="D3591" s="27" t="s">
        <v>930</v>
      </c>
      <c r="E3591" s="21">
        <f>IF(D3591="?OLD","!!!","")</f>
        <v/>
      </c>
      <c r="F3591" s="22" t="str">
        <f>IF(OR(E3591="",E3591="!!!"),"",IF(NOT(ISNA(VLOOKUP(E3591,E$1:E3590,1,FALSE()))),"OLD",IF(AND(E3591&lt;&gt;"",E3591&lt;&gt;"!!!"),"NEW","")))</f>
        <v> </v>
      </c>
      <c r="G3591" s="23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4" t="str">
        <f>IF(J3591&lt;&gt;1,"",IF(I3591="SBJ","CB","?"))</f>
        <v> </v>
      </c>
      <c r="I3591" s="25" t="str">
        <f>IF(OR(E3591="",E3591="!!!",F3591="NEW"),"",INDEX(B3590:B$2,-1+SUMPRODUCT(MAX(ROW(E3590:E$2)*(E3591=E3590:E$2)))))</f>
        <v> </v>
      </c>
      <c r="J3591" s="25" t="str">
        <f>IF(OR(E3591="",E3591="!!!",F3591="NEW"),"",COUNTBLANK(OFFSET(A$1,,,SUMPRODUCT(MAX(ROW(E$2:E3591)*(E3591=E$2:E3591)))))-COUNTBLANK(OFFSET(A$1,,,SUMPRODUCT(MAX(ROW(E$1:E3590)*(E2=E$1:E3590))))))</f>
        <v> </v>
      </c>
      <c r="K3591" s="25" t="str">
        <f>IF(OR(E3591="",E3591="!!!",F3591="NEW"),"",INDEX(J$1:J3590,SUMPRODUCT(MAX(ROW(E$1:E3590)*(E3591=E$1:E3590)))))</f>
        <v> </v>
      </c>
      <c r="L3591" s="26"/>
    </row>
    <row r="3592" spans="1:12">
      <c r="A3592" s="20" t="s">
        <v>1070</v>
      </c>
      <c r="E3592" s="21">
        <f>IF(D3592="?OLD","!!!","")</f>
        <v/>
      </c>
      <c r="F3592" s="22" t="str">
        <f>IF(OR(E3592="",E3592="!!!"),"",IF(NOT(ISNA(VLOOKUP(E3592,E$1:E3591,1,FALSE()))),"OLD",IF(AND(E3592&lt;&gt;"",E3592&lt;&gt;"!!!"),"NEW","")))</f>
        <v> </v>
      </c>
      <c r="G3592" s="23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4" t="str">
        <f>IF(J3592&lt;&gt;1,"",IF(I3592="SBJ","CB","?"))</f>
        <v> </v>
      </c>
      <c r="I3592" s="25" t="str">
        <f>IF(OR(E3592="",E3592="!!!",F3592="NEW"),"",INDEX(B3591:B$2,-1+SUMPRODUCT(MAX(ROW(E3591:E$2)*(E3592=E3591:E$2)))))</f>
        <v> </v>
      </c>
      <c r="J3592" s="25" t="str">
        <f>IF(OR(E3592="",E3592="!!!",F3592="NEW"),"",COUNTBLANK(OFFSET(A$1,,,SUMPRODUCT(MAX(ROW(E$2:E3592)*(E3592=E$2:E3592)))))-COUNTBLANK(OFFSET(A$1,,,SUMPRODUCT(MAX(ROW(E$1:E3591)*(E2=E$1:E3591))))))</f>
        <v> </v>
      </c>
      <c r="K3592" s="25" t="str">
        <f>IF(OR(E3592="",E3592="!!!",F3592="NEW"),"",INDEX(J$1:J3591,SUMPRODUCT(MAX(ROW(E$1:E3591)*(E3592=E$1:E3591)))))</f>
        <v> </v>
      </c>
      <c r="L3592" s="26"/>
    </row>
    <row r="3593" spans="1:12">
      <c r="A3593" s="20" t="s">
        <v>2309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955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937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1043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 t="s">
        <v>2310</v>
      </c>
      <c r="E3597" s="21">
        <f>IF(D3597="?OLD","!!!","")</f>
        <v/>
      </c>
      <c r="F3597" s="22" t="str">
        <f>IF(OR(E3597="",E3597="!!!"),"",IF(NOT(ISNA(VLOOKUP(E3597,E$1:E3596,1,FALSE()))),"OLD",IF(AND(E3597&lt;&gt;"",E3597&lt;&gt;"!!!"),"NEW","")))</f>
        <v> </v>
      </c>
      <c r="G3597" s="23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4" t="str">
        <f>IF(J3597&lt;&gt;1,"",IF(I3597="SBJ","CB","?"))</f>
        <v> </v>
      </c>
      <c r="I3597" s="25" t="str">
        <f>IF(OR(E3597="",E3597="!!!",F3597="NEW"),"",INDEX(B3596:B$2,-1+SUMPRODUCT(MAX(ROW(E3596:E$2)*(E3597=E3596:E$2)))))</f>
        <v> </v>
      </c>
      <c r="J3597" s="25" t="str">
        <f>IF(OR(E3597="",E3597="!!!",F3597="NEW"),"",COUNTBLANK(OFFSET(A$1,,,SUMPRODUCT(MAX(ROW(E$2:E3597)*(E3597=E$2:E3597)))))-COUNTBLANK(OFFSET(A$1,,,SUMPRODUCT(MAX(ROW(E$1:E3596)*(E2=E$1:E3596))))))</f>
        <v> </v>
      </c>
      <c r="K3597" s="25" t="str">
        <f>IF(OR(E3597="",E3597="!!!",F3597="NEW"),"",INDEX(J$1:J3596,SUMPRODUCT(MAX(ROW(E$1:E3596)*(E3597=E$1:E3596)))))</f>
        <v> </v>
      </c>
      <c r="L3597" s="26"/>
    </row>
    <row r="3598" spans="1:12">
      <c r="A3598" s="20" t="s">
        <v>1044</v>
      </c>
      <c r="B3598" s="27" t="s">
        <v>940</v>
      </c>
      <c r="C3598" s="27" t="s">
        <v>951</v>
      </c>
      <c r="D3598" s="27" t="s">
        <v>930</v>
      </c>
      <c r="E3598" s="21">
        <f>IF(D3598="?OLD","!!!","")</f>
        <v/>
      </c>
      <c r="F3598" s="22" t="str">
        <f>IF(OR(E3598="",E3598="!!!"),"",IF(NOT(ISNA(VLOOKUP(E3598,E$1:E3597,1,FALSE()))),"OLD",IF(AND(E3598&lt;&gt;"",E3598&lt;&gt;"!!!"),"NEW","")))</f>
        <v> </v>
      </c>
      <c r="G3598" s="23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4" t="str">
        <f>IF(J3598&lt;&gt;1,"",IF(I3598="SBJ","CB","?"))</f>
        <v> </v>
      </c>
      <c r="I3598" s="25" t="str">
        <f>IF(OR(E3598="",E3598="!!!",F3598="NEW"),"",INDEX(B3597:B$2,-1+SUMPRODUCT(MAX(ROW(E3597:E$2)*(E3598=E3597:E$2)))))</f>
        <v> </v>
      </c>
      <c r="J3598" s="25" t="str">
        <f>IF(OR(E3598="",E3598="!!!",F3598="NEW"),"",COUNTBLANK(OFFSET(A$1,,,SUMPRODUCT(MAX(ROW(E$2:E3598)*(E3598=E$2:E3598)))))-COUNTBLANK(OFFSET(A$1,,,SUMPRODUCT(MAX(ROW(E$1:E3597)*(E2=E$1:E3597))))))</f>
        <v> </v>
      </c>
      <c r="K3598" s="25" t="str">
        <f>IF(OR(E3598="",E3598="!!!",F3598="NEW"),"",INDEX(J$1:J3597,SUMPRODUCT(MAX(ROW(E$1:E3597)*(E3598=E$1:E3597)))))</f>
        <v> </v>
      </c>
      <c r="L3598" s="26"/>
    </row>
    <row r="3599" spans="1:12">
      <c r="A3599" s="20" t="s">
        <v>943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989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959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937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962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 t="s">
        <v>1121</v>
      </c>
      <c r="E3604" s="21">
        <f>IF(D3604="?OLD","!!!","")</f>
        <v/>
      </c>
      <c r="F3604" s="22" t="str">
        <f>IF(OR(E3604="",E3604="!!!"),"",IF(NOT(ISNA(VLOOKUP(E3604,E$1:E3603,1,FALSE()))),"OLD",IF(AND(E3604&lt;&gt;"",E3604&lt;&gt;"!!!"),"NEW","")))</f>
        <v> </v>
      </c>
      <c r="G3604" s="23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4" t="str">
        <f>IF(J3604&lt;&gt;1,"",IF(I3604="SBJ","CB","?"))</f>
        <v> </v>
      </c>
      <c r="I3604" s="25" t="str">
        <f>IF(OR(E3604="",E3604="!!!",F3604="NEW"),"",INDEX(B3603:B$2,-1+SUMPRODUCT(MAX(ROW(E3603:E$2)*(E3604=E3603:E$2)))))</f>
        <v> </v>
      </c>
      <c r="J3604" s="25" t="str">
        <f>IF(OR(E3604="",E3604="!!!",F3604="NEW"),"",COUNTBLANK(OFFSET(A$1,,,SUMPRODUCT(MAX(ROW(E$2:E3604)*(E3604=E$2:E3604)))))-COUNTBLANK(OFFSET(A$1,,,SUMPRODUCT(MAX(ROW(E$1:E3603)*(E2=E$1:E3603))))))</f>
        <v> </v>
      </c>
      <c r="K3604" s="25" t="str">
        <f>IF(OR(E3604="",E3604="!!!",F3604="NEW"),"",INDEX(J$1:J3603,SUMPRODUCT(MAX(ROW(E$1:E3603)*(E3604=E$1:E3603)))))</f>
        <v> </v>
      </c>
      <c r="L3604" s="26"/>
    </row>
    <row r="3605" spans="1:12">
      <c r="A3605" s="20" t="s">
        <v>1005</v>
      </c>
      <c r="E3605" s="21">
        <f>IF(D3605="?OLD","!!!","")</f>
        <v/>
      </c>
      <c r="F3605" s="22" t="str">
        <f>IF(OR(E3605="",E3605="!!!"),"",IF(NOT(ISNA(VLOOKUP(E3605,E$1:E3604,1,FALSE()))),"OLD",IF(AND(E3605&lt;&gt;"",E3605&lt;&gt;"!!!"),"NEW","")))</f>
        <v> </v>
      </c>
      <c r="G3605" s="23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4" t="str">
        <f>IF(J3605&lt;&gt;1,"",IF(I3605="SBJ","CB","?"))</f>
        <v> </v>
      </c>
      <c r="I3605" s="25" t="str">
        <f>IF(OR(E3605="",E3605="!!!",F3605="NEW"),"",INDEX(B3604:B$2,-1+SUMPRODUCT(MAX(ROW(E3604:E$2)*(E3605=E3604:E$2)))))</f>
        <v> </v>
      </c>
      <c r="J3605" s="25" t="str">
        <f>IF(OR(E3605="",E3605="!!!",F3605="NEW"),"",COUNTBLANK(OFFSET(A$1,,,SUMPRODUCT(MAX(ROW(E$2:E3605)*(E3605=E$2:E3605)))))-COUNTBLANK(OFFSET(A$1,,,SUMPRODUCT(MAX(ROW(E$1:E3604)*(E2=E$1:E3604))))))</f>
        <v> </v>
      </c>
      <c r="K3605" s="25" t="str">
        <f>IF(OR(E3605="",E3605="!!!",F3605="NEW"),"",INDEX(J$1:J3604,SUMPRODUCT(MAX(ROW(E$1:E3604)*(E3605=E$1:E3604)))))</f>
        <v> </v>
      </c>
      <c r="L3605" s="26"/>
    </row>
    <row r="3606" spans="1:12">
      <c r="A3606" s="20"/>
    </row>
    <row r="3607" spans="1:12">
      <c r="A3607" s="20" t="s">
        <v>2311</v>
      </c>
    </row>
    <row r="3608" spans="1:12">
      <c r="A3608" s="20" t="s">
        <v>1887</v>
      </c>
      <c r="E3608" s="21">
        <f>IF(D3608="?OLD","!!!","")</f>
        <v/>
      </c>
      <c r="F3608" s="22" t="str">
        <f>IF(OR(E3608="",E3608="!!!"),"",IF(NOT(ISNA(VLOOKUP(E3608,E$1:E3607,1,FALSE()))),"OLD",IF(AND(E3608&lt;&gt;"",E3608&lt;&gt;"!!!"),"NEW","")))</f>
        <v> </v>
      </c>
      <c r="G3608" s="23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4" t="str">
        <f>IF(J3608&lt;&gt;1,"",IF(I3608="SBJ","CB","?"))</f>
        <v> </v>
      </c>
      <c r="I3608" s="25" t="str">
        <f>IF(OR(E3608="",E3608="!!!",F3608="NEW"),"",INDEX(B3607:B$2,-1+SUMPRODUCT(MAX(ROW(E3607:E$2)*(E3608=E3607:E$2)))))</f>
        <v> </v>
      </c>
      <c r="J3608" s="25" t="str">
        <f>IF(OR(E3608="",E3608="!!!",F3608="NEW"),"",COUNTBLANK(OFFSET(A$1,,,SUMPRODUCT(MAX(ROW(E$2:E3608)*(E3608=E$2:E3608)))))-COUNTBLANK(OFFSET(A$1,,,SUMPRODUCT(MAX(ROW(E$1:E3607)*(E2=E$1:E3607))))))</f>
        <v> </v>
      </c>
      <c r="K3608" s="25" t="str">
        <f>IF(OR(E3608="",E3608="!!!",F3608="NEW"),"",INDEX(J$1:J3607,SUMPRODUCT(MAX(ROW(E$1:E3607)*(E3608=E$1:E3607)))))</f>
        <v> </v>
      </c>
      <c r="L3608" s="26"/>
    </row>
    <row r="3609" spans="1:12">
      <c r="A3609" s="20" t="s">
        <v>925</v>
      </c>
      <c r="E3609" s="21">
        <f>IF(D3609="?OLD","!!!","")</f>
        <v/>
      </c>
      <c r="F3609" s="22" t="str">
        <f>IF(OR(E3609="",E3609="!!!"),"",IF(NOT(ISNA(VLOOKUP(E3609,E$1:E3608,1,FALSE()))),"OLD",IF(AND(E3609&lt;&gt;"",E3609&lt;&gt;"!!!"),"NEW","")))</f>
        <v> </v>
      </c>
      <c r="G3609" s="23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4" t="str">
        <f>IF(J3609&lt;&gt;1,"",IF(I3609="SBJ","CB","?"))</f>
        <v> </v>
      </c>
      <c r="I3609" s="25" t="str">
        <f>IF(OR(E3609="",E3609="!!!",F3609="NEW"),"",INDEX(B3608:B$2,-1+SUMPRODUCT(MAX(ROW(E3608:E$2)*(E3609=E3608:E$2)))))</f>
        <v> </v>
      </c>
      <c r="J3609" s="25" t="str">
        <f>IF(OR(E3609="",E3609="!!!",F3609="NEW"),"",COUNTBLANK(OFFSET(A$1,,,SUMPRODUCT(MAX(ROW(E$2:E3609)*(E3609=E$2:E3609)))))-COUNTBLANK(OFFSET(A$1,,,SUMPRODUCT(MAX(ROW(E$1:E3608)*(E2=E$1:E3608))))))</f>
        <v> </v>
      </c>
      <c r="K3609" s="25" t="str">
        <f>IF(OR(E3609="",E3609="!!!",F3609="NEW"),"",INDEX(J$1:J3608,SUMPRODUCT(MAX(ROW(E$1:E3608)*(E3609=E$1:E3608)))))</f>
        <v> </v>
      </c>
      <c r="L3609" s="26"/>
    </row>
    <row r="3610" spans="1:12">
      <c r="A3610" s="20" t="s">
        <v>898</v>
      </c>
      <c r="E3610" s="21">
        <f>IF(D3610="?OLD","!!!","")</f>
        <v/>
      </c>
      <c r="F3610" s="22" t="str">
        <f>IF(OR(E3610="",E3610="!!!"),"",IF(NOT(ISNA(VLOOKUP(E3610,E$1:E3609,1,FALSE()))),"OLD",IF(AND(E3610&lt;&gt;"",E3610&lt;&gt;"!!!"),"NEW","")))</f>
        <v> </v>
      </c>
      <c r="G3610" s="23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4" t="str">
        <f>IF(J3610&lt;&gt;1,"",IF(I3610="SBJ","CB","?"))</f>
        <v> </v>
      </c>
      <c r="I3610" s="25" t="str">
        <f>IF(OR(E3610="",E3610="!!!",F3610="NEW"),"",INDEX(B3609:B$2,-1+SUMPRODUCT(MAX(ROW(E3609:E$2)*(E3610=E3609:E$2)))))</f>
        <v> </v>
      </c>
      <c r="J3610" s="25" t="str">
        <f>IF(OR(E3610="",E3610="!!!",F3610="NEW"),"",COUNTBLANK(OFFSET(A$1,,,SUMPRODUCT(MAX(ROW(E$2:E3610)*(E3610=E$2:E3610)))))-COUNTBLANK(OFFSET(A$1,,,SUMPRODUCT(MAX(ROW(E$1:E3609)*(E2=E$1:E3609))))))</f>
        <v> </v>
      </c>
      <c r="K3610" s="25" t="str">
        <f>IF(OR(E3610="",E3610="!!!",F3610="NEW"),"",INDEX(J$1:J3609,SUMPRODUCT(MAX(ROW(E$1:E3609)*(E3610=E$1:E3609)))))</f>
        <v> </v>
      </c>
      <c r="L3610" s="26"/>
    </row>
    <row r="3611" spans="1:12">
      <c r="A3611" s="20" t="s">
        <v>942</v>
      </c>
      <c r="E3611" s="21">
        <f>IF(D3611="?OLD","!!!","")</f>
        <v/>
      </c>
      <c r="F3611" s="22" t="str">
        <f>IF(OR(E3611="",E3611="!!!"),"",IF(NOT(ISNA(VLOOKUP(E3611,E$1:E3610,1,FALSE()))),"OLD",IF(AND(E3611&lt;&gt;"",E3611&lt;&gt;"!!!"),"NEW","")))</f>
        <v> </v>
      </c>
      <c r="G3611" s="23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4" t="str">
        <f>IF(J3611&lt;&gt;1,"",IF(I3611="SBJ","CB","?"))</f>
        <v> </v>
      </c>
      <c r="I3611" s="25" t="str">
        <f>IF(OR(E3611="",E3611="!!!",F3611="NEW"),"",INDEX(B3610:B$2,-1+SUMPRODUCT(MAX(ROW(E3610:E$2)*(E3611=E3610:E$2)))))</f>
        <v> </v>
      </c>
      <c r="J3611" s="25" t="str">
        <f>IF(OR(E3611="",E3611="!!!",F3611="NEW"),"",COUNTBLANK(OFFSET(A$1,,,SUMPRODUCT(MAX(ROW(E$2:E3611)*(E3611=E$2:E3611)))))-COUNTBLANK(OFFSET(A$1,,,SUMPRODUCT(MAX(ROW(E$1:E3610)*(E2=E$1:E3610))))))</f>
        <v> </v>
      </c>
      <c r="K3611" s="25" t="str">
        <f>IF(OR(E3611="",E3611="!!!",F3611="NEW"),"",INDEX(J$1:J3610,SUMPRODUCT(MAX(ROW(E$1:E3610)*(E3611=E$1:E3610)))))</f>
        <v> </v>
      </c>
      <c r="L3611" s="26"/>
    </row>
    <row r="3612" spans="1:12">
      <c r="A3612" s="20"/>
    </row>
    <row r="3613" spans="1:12">
      <c r="A3613" s="20" t="s">
        <v>2312</v>
      </c>
    </row>
    <row r="3614" spans="1:12">
      <c r="A3614" s="20" t="s">
        <v>2313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 t="s">
        <v>1031</v>
      </c>
      <c r="E3615" s="21">
        <f>IF(D3615="?OLD","!!!","")</f>
        <v/>
      </c>
      <c r="F3615" s="22" t="str">
        <f>IF(OR(E3615="",E3615="!!!"),"",IF(NOT(ISNA(VLOOKUP(E3615,E$1:E3614,1,FALSE()))),"OLD",IF(AND(E3615&lt;&gt;"",E3615&lt;&gt;"!!!"),"NEW","")))</f>
        <v> </v>
      </c>
      <c r="G3615" s="23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4" t="str">
        <f>IF(J3615&lt;&gt;1,"",IF(I3615="SBJ","CB","?"))</f>
        <v> </v>
      </c>
      <c r="I3615" s="25" t="str">
        <f>IF(OR(E3615="",E3615="!!!",F3615="NEW"),"",INDEX(B3614:B$2,-1+SUMPRODUCT(MAX(ROW(E3614:E$2)*(E3615=E3614:E$2)))))</f>
        <v> </v>
      </c>
      <c r="J3615" s="25" t="str">
        <f>IF(OR(E3615="",E3615="!!!",F3615="NEW"),"",COUNTBLANK(OFFSET(A$1,,,SUMPRODUCT(MAX(ROW(E$2:E3615)*(E3615=E$2:E3615)))))-COUNTBLANK(OFFSET(A$1,,,SUMPRODUCT(MAX(ROW(E$1:E3614)*(E2=E$1:E3614))))))</f>
        <v> </v>
      </c>
      <c r="K3615" s="25" t="str">
        <f>IF(OR(E3615="",E3615="!!!",F3615="NEW"),"",INDEX(J$1:J3614,SUMPRODUCT(MAX(ROW(E$1:E3614)*(E3615=E$1:E3614)))))</f>
        <v> </v>
      </c>
      <c r="L3615" s="26"/>
    </row>
    <row r="3616" spans="1:12">
      <c r="A3616" s="20" t="s">
        <v>942</v>
      </c>
      <c r="E3616" s="21">
        <f>IF(D3616="?OLD","!!!","")</f>
        <v/>
      </c>
      <c r="F3616" s="22" t="str">
        <f>IF(OR(E3616="",E3616="!!!"),"",IF(NOT(ISNA(VLOOKUP(E3616,E$1:E3615,1,FALSE()))),"OLD",IF(AND(E3616&lt;&gt;"",E3616&lt;&gt;"!!!"),"NEW","")))</f>
        <v> </v>
      </c>
      <c r="G3616" s="23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4" t="str">
        <f>IF(J3616&lt;&gt;1,"",IF(I3616="SBJ","CB","?"))</f>
        <v> </v>
      </c>
      <c r="I3616" s="25" t="str">
        <f>IF(OR(E3616="",E3616="!!!",F3616="NEW"),"",INDEX(B3615:B$2,-1+SUMPRODUCT(MAX(ROW(E3615:E$2)*(E3616=E3615:E$2)))))</f>
        <v> </v>
      </c>
      <c r="J3616" s="25" t="str">
        <f>IF(OR(E3616="",E3616="!!!",F3616="NEW"),"",COUNTBLANK(OFFSET(A$1,,,SUMPRODUCT(MAX(ROW(E$2:E3616)*(E3616=E$2:E3616)))))-COUNTBLANK(OFFSET(A$1,,,SUMPRODUCT(MAX(ROW(E$1:E3615)*(E2=E$1:E3615))))))</f>
        <v> </v>
      </c>
      <c r="K3616" s="25" t="str">
        <f>IF(OR(E3616="",E3616="!!!",F3616="NEW"),"",INDEX(J$1:J3615,SUMPRODUCT(MAX(ROW(E$1:E3615)*(E3616=E$1:E3615)))))</f>
        <v> </v>
      </c>
      <c r="L3616" s="26"/>
    </row>
    <row r="3617" spans="1:12">
      <c r="A3617" s="20"/>
    </row>
    <row r="3618" spans="1:12">
      <c r="A3618" s="20" t="s">
        <v>2314</v>
      </c>
    </row>
    <row r="3619" spans="1:12">
      <c r="A3619" s="20" t="s">
        <v>1128</v>
      </c>
      <c r="B3619" s="27" t="s">
        <v>947</v>
      </c>
      <c r="C3619" s="27" t="s">
        <v>929</v>
      </c>
      <c r="D3619" s="27" t="s">
        <v>930</v>
      </c>
      <c r="E3619" s="21">
        <f>IF(D3619="?OLD","!!!","")</f>
        <v/>
      </c>
      <c r="F3619" s="22" t="str">
        <f>IF(OR(E3619="",E3619="!!!"),"",IF(NOT(ISNA(VLOOKUP(E3619,E$1:E3618,1,FALSE()))),"OLD",IF(AND(E3619&lt;&gt;"",E3619&lt;&gt;"!!!"),"NEW","")))</f>
        <v> </v>
      </c>
      <c r="G3619" s="23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4" t="str">
        <f>IF(J3619&lt;&gt;1,"",IF(I3619="SBJ","CB","?"))</f>
        <v> </v>
      </c>
      <c r="I3619" s="25" t="str">
        <f>IF(OR(E3619="",E3619="!!!",F3619="NEW"),"",INDEX(B3618:B$2,-1+SUMPRODUCT(MAX(ROW(E3618:E$2)*(E3619=E3618:E$2)))))</f>
        <v> </v>
      </c>
      <c r="J3619" s="25" t="str">
        <f>IF(OR(E3619="",E3619="!!!",F3619="NEW"),"",COUNTBLANK(OFFSET(A$1,,,SUMPRODUCT(MAX(ROW(E$2:E3619)*(E3619=E$2:E3619)))))-COUNTBLANK(OFFSET(A$1,,,SUMPRODUCT(MAX(ROW(E$1:E3618)*(E2=E$1:E3618))))))</f>
        <v> </v>
      </c>
      <c r="K3619" s="25" t="str">
        <f>IF(OR(E3619="",E3619="!!!",F3619="NEW"),"",INDEX(J$1:J3618,SUMPRODUCT(MAX(ROW(E$1:E3618)*(E3619=E$1:E3618)))))</f>
        <v> </v>
      </c>
      <c r="L3619" s="26"/>
    </row>
    <row r="3620" spans="1:12">
      <c r="A3620" s="20" t="s">
        <v>2315</v>
      </c>
      <c r="E3620" s="21">
        <f>IF(D3620="?OLD","!!!","")</f>
        <v/>
      </c>
      <c r="F3620" s="22" t="str">
        <f>IF(OR(E3620="",E3620="!!!"),"",IF(NOT(ISNA(VLOOKUP(E3620,E$1:E3619,1,FALSE()))),"OLD",IF(AND(E3620&lt;&gt;"",E3620&lt;&gt;"!!!"),"NEW","")))</f>
        <v> </v>
      </c>
      <c r="G3620" s="23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4" t="str">
        <f>IF(J3620&lt;&gt;1,"",IF(I3620="SBJ","CB","?"))</f>
        <v> </v>
      </c>
      <c r="I3620" s="25" t="str">
        <f>IF(OR(E3620="",E3620="!!!",F3620="NEW"),"",INDEX(B3619:B$2,-1+SUMPRODUCT(MAX(ROW(E3619:E$2)*(E3620=E3619:E$2)))))</f>
        <v> </v>
      </c>
      <c r="J3620" s="25" t="str">
        <f>IF(OR(E3620="",E3620="!!!",F3620="NEW"),"",COUNTBLANK(OFFSET(A$1,,,SUMPRODUCT(MAX(ROW(E$2:E3620)*(E3620=E$2:E3620)))))-COUNTBLANK(OFFSET(A$1,,,SUMPRODUCT(MAX(ROW(E$1:E3619)*(E2=E$1:E3619))))))</f>
        <v> </v>
      </c>
      <c r="K3620" s="25" t="str">
        <f>IF(OR(E3620="",E3620="!!!",F3620="NEW"),"",INDEX(J$1:J3619,SUMPRODUCT(MAX(ROW(E$1:E3619)*(E3620=E$1:E3619)))))</f>
        <v> </v>
      </c>
      <c r="L3620" s="26"/>
    </row>
    <row r="3621" spans="1:12">
      <c r="A3621" s="20" t="s">
        <v>937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965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 t="s">
        <v>925</v>
      </c>
      <c r="E3623" s="21">
        <f>IF(D3623="?OLD","!!!","")</f>
        <v/>
      </c>
      <c r="F3623" s="22" t="str">
        <f>IF(OR(E3623="",E3623="!!!"),"",IF(NOT(ISNA(VLOOKUP(E3623,E$1:E3622,1,FALSE()))),"OLD",IF(AND(E3623&lt;&gt;"",E3623&lt;&gt;"!!!"),"NEW","")))</f>
        <v> </v>
      </c>
      <c r="G3623" s="23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4" t="str">
        <f>IF(J3623&lt;&gt;1,"",IF(I3623="SBJ","CB","?"))</f>
        <v> </v>
      </c>
      <c r="I3623" s="25" t="str">
        <f>IF(OR(E3623="",E3623="!!!",F3623="NEW"),"",INDEX(B3622:B$2,-1+SUMPRODUCT(MAX(ROW(E3622:E$2)*(E3623=E3622:E$2)))))</f>
        <v> </v>
      </c>
      <c r="J3623" s="25" t="str">
        <f>IF(OR(E3623="",E3623="!!!",F3623="NEW"),"",COUNTBLANK(OFFSET(A$1,,,SUMPRODUCT(MAX(ROW(E$2:E3623)*(E3623=E$2:E3623)))))-COUNTBLANK(OFFSET(A$1,,,SUMPRODUCT(MAX(ROW(E$1:E3622)*(E2=E$1:E3622))))))</f>
        <v> </v>
      </c>
      <c r="K3623" s="25" t="str">
        <f>IF(OR(E3623="",E3623="!!!",F3623="NEW"),"",INDEX(J$1:J3622,SUMPRODUCT(MAX(ROW(E$1:E3622)*(E3623=E$1:E3622)))))</f>
        <v> </v>
      </c>
      <c r="L3623" s="26"/>
    </row>
    <row r="3624" spans="1:12">
      <c r="A3624" s="20" t="s">
        <v>963</v>
      </c>
      <c r="E3624" s="21">
        <f>IF(D3624="?OLD","!!!","")</f>
        <v/>
      </c>
      <c r="F3624" s="22" t="str">
        <f>IF(OR(E3624="",E3624="!!!"),"",IF(NOT(ISNA(VLOOKUP(E3624,E$1:E3623,1,FALSE()))),"OLD",IF(AND(E3624&lt;&gt;"",E3624&lt;&gt;"!!!"),"NEW","")))</f>
        <v> </v>
      </c>
      <c r="G3624" s="23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4" t="str">
        <f>IF(J3624&lt;&gt;1,"",IF(I3624="SBJ","CB","?"))</f>
        <v> </v>
      </c>
      <c r="I3624" s="25" t="str">
        <f>IF(OR(E3624="",E3624="!!!",F3624="NEW"),"",INDEX(B3623:B$2,-1+SUMPRODUCT(MAX(ROW(E3623:E$2)*(E3624=E3623:E$2)))))</f>
        <v> </v>
      </c>
      <c r="J3624" s="25" t="str">
        <f>IF(OR(E3624="",E3624="!!!",F3624="NEW"),"",COUNTBLANK(OFFSET(A$1,,,SUMPRODUCT(MAX(ROW(E$2:E3624)*(E3624=E$2:E3624)))))-COUNTBLANK(OFFSET(A$1,,,SUMPRODUCT(MAX(ROW(E$1:E3623)*(E2=E$1:E3623))))))</f>
        <v> </v>
      </c>
      <c r="K3624" s="25" t="str">
        <f>IF(OR(E3624="",E3624="!!!",F3624="NEW"),"",INDEX(J$1:J3623,SUMPRODUCT(MAX(ROW(E$1:E3623)*(E3624=E$1:E3623)))))</f>
        <v> </v>
      </c>
      <c r="L3624" s="26"/>
    </row>
    <row r="3625" spans="1:12">
      <c r="A3625" s="20" t="s">
        <v>1092</v>
      </c>
      <c r="B3625" s="27" t="s">
        <v>975</v>
      </c>
      <c r="C3625" s="27" t="s">
        <v>929</v>
      </c>
      <c r="D3625" s="27" t="s">
        <v>930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 t="s">
        <v>2316</v>
      </c>
      <c r="E3626" s="21">
        <f>IF(D3626="?OLD","!!!","")</f>
        <v/>
      </c>
      <c r="F3626" s="22" t="str">
        <f>IF(OR(E3626="",E3626="!!!"),"",IF(NOT(ISNA(VLOOKUP(E3626,E$1:E3625,1,FALSE()))),"OLD",IF(AND(E3626&lt;&gt;"",E3626&lt;&gt;"!!!"),"NEW","")))</f>
        <v> </v>
      </c>
      <c r="G3626" s="23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4" t="str">
        <f>IF(J3626&lt;&gt;1,"",IF(I3626="SBJ","CB","?"))</f>
        <v> </v>
      </c>
      <c r="I3626" s="25" t="str">
        <f>IF(OR(E3626="",E3626="!!!",F3626="NEW"),"",INDEX(B3625:B$2,-1+SUMPRODUCT(MAX(ROW(E3625:E$2)*(E3626=E3625:E$2)))))</f>
        <v> </v>
      </c>
      <c r="J3626" s="25" t="str">
        <f>IF(OR(E3626="",E3626="!!!",F3626="NEW"),"",COUNTBLANK(OFFSET(A$1,,,SUMPRODUCT(MAX(ROW(E$2:E3626)*(E3626=E$2:E3626)))))-COUNTBLANK(OFFSET(A$1,,,SUMPRODUCT(MAX(ROW(E$1:E3625)*(E2=E$1:E3625))))))</f>
        <v> </v>
      </c>
      <c r="K3626" s="25" t="str">
        <f>IF(OR(E3626="",E3626="!!!",F3626="NEW"),"",INDEX(J$1:J3625,SUMPRODUCT(MAX(ROW(E$1:E3625)*(E3626=E$1:E3625)))))</f>
        <v> </v>
      </c>
      <c r="L3626" s="26"/>
    </row>
    <row r="3627" spans="1:12">
      <c r="A3627" s="20" t="s">
        <v>2317</v>
      </c>
      <c r="E3627" s="21">
        <f>IF(D3627="?OLD","!!!","")</f>
        <v/>
      </c>
      <c r="F3627" s="22" t="str">
        <f>IF(OR(E3627="",E3627="!!!"),"",IF(NOT(ISNA(VLOOKUP(E3627,E$1:E3626,1,FALSE()))),"OLD",IF(AND(E3627&lt;&gt;"",E3627&lt;&gt;"!!!"),"NEW","")))</f>
        <v> </v>
      </c>
      <c r="G3627" s="23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4" t="str">
        <f>IF(J3627&lt;&gt;1,"",IF(I3627="SBJ","CB","?"))</f>
        <v> </v>
      </c>
      <c r="I3627" s="25" t="str">
        <f>IF(OR(E3627="",E3627="!!!",F3627="NEW"),"",INDEX(B3626:B$2,-1+SUMPRODUCT(MAX(ROW(E3626:E$2)*(E3627=E3626:E$2)))))</f>
        <v> </v>
      </c>
      <c r="J3627" s="25" t="str">
        <f>IF(OR(E3627="",E3627="!!!",F3627="NEW"),"",COUNTBLANK(OFFSET(A$1,,,SUMPRODUCT(MAX(ROW(E$2:E3627)*(E3627=E$2:E3627)))))-COUNTBLANK(OFFSET(A$1,,,SUMPRODUCT(MAX(ROW(E$1:E3626)*(E2=E$1:E3626))))))</f>
        <v> </v>
      </c>
      <c r="K3627" s="25" t="str">
        <f>IF(OR(E3627="",E3627="!!!",F3627="NEW"),"",INDEX(J$1:J3626,SUMPRODUCT(MAX(ROW(E$1:E3626)*(E3627=E$1:E3626)))))</f>
        <v> </v>
      </c>
      <c r="L3627" s="26"/>
    </row>
    <row r="3628" spans="1:12">
      <c r="A3628" s="20" t="s">
        <v>2318</v>
      </c>
      <c r="B3628" s="27" t="s">
        <v>968</v>
      </c>
      <c r="E3628" s="21">
        <f>IF(D3628="?OLD","!!!","")</f>
        <v/>
      </c>
      <c r="F3628" s="22" t="str">
        <f>IF(OR(E3628="",E3628="!!!"),"",IF(NOT(ISNA(VLOOKUP(E3628,E$1:E3627,1,FALSE()))),"OLD",IF(AND(E3628&lt;&gt;"",E3628&lt;&gt;"!!!"),"NEW","")))</f>
        <v> </v>
      </c>
      <c r="G3628" s="23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4" t="str">
        <f>IF(J3628&lt;&gt;1,"",IF(I3628="SBJ","CB","?"))</f>
        <v> </v>
      </c>
      <c r="I3628" s="25" t="str">
        <f>IF(OR(E3628="",E3628="!!!",F3628="NEW"),"",INDEX(B3627:B$2,-1+SUMPRODUCT(MAX(ROW(E3627:E$2)*(E3628=E3627:E$2)))))</f>
        <v> </v>
      </c>
      <c r="J3628" s="25" t="str">
        <f>IF(OR(E3628="",E3628="!!!",F3628="NEW"),"",COUNTBLANK(OFFSET(A$1,,,SUMPRODUCT(MAX(ROW(E$2:E3628)*(E3628=E$2:E3628)))))-COUNTBLANK(OFFSET(A$1,,,SUMPRODUCT(MAX(ROW(E$1:E3627)*(E2=E$1:E3627))))))</f>
        <v> </v>
      </c>
      <c r="K3628" s="25" t="str">
        <f>IF(OR(E3628="",E3628="!!!",F3628="NEW"),"",INDEX(J$1:J3627,SUMPRODUCT(MAX(ROW(E$1:E3627)*(E3628=E$1:E3627)))))</f>
        <v> </v>
      </c>
      <c r="L3628" s="26"/>
    </row>
    <row r="3629" spans="1:12">
      <c r="A3629" s="20" t="s">
        <v>942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/>
    </row>
    <row r="3631" spans="1:12">
      <c r="A3631" s="20" t="s">
        <v>2319</v>
      </c>
    </row>
    <row r="3632" spans="1:12">
      <c r="A3632" s="20" t="s">
        <v>1046</v>
      </c>
      <c r="B3632" s="27" t="s">
        <v>947</v>
      </c>
      <c r="C3632" s="27" t="s">
        <v>929</v>
      </c>
      <c r="D3632" s="27" t="s">
        <v>930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 t="s">
        <v>1255</v>
      </c>
      <c r="E3633" s="21">
        <f>IF(D3633="?OLD","!!!","")</f>
        <v/>
      </c>
      <c r="F3633" s="22" t="str">
        <f>IF(OR(E3633="",E3633="!!!"),"",IF(NOT(ISNA(VLOOKUP(E3633,E$1:E3632,1,FALSE()))),"OLD",IF(AND(E3633&lt;&gt;"",E3633&lt;&gt;"!!!"),"NEW","")))</f>
        <v> </v>
      </c>
      <c r="G3633" s="23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4" t="str">
        <f>IF(J3633&lt;&gt;1,"",IF(I3633="SBJ","CB","?"))</f>
        <v> </v>
      </c>
      <c r="I3633" s="25" t="str">
        <f>IF(OR(E3633="",E3633="!!!",F3633="NEW"),"",INDEX(B3632:B$2,-1+SUMPRODUCT(MAX(ROW(E3632:E$2)*(E3633=E3632:E$2)))))</f>
        <v> </v>
      </c>
      <c r="J3633" s="25" t="str">
        <f>IF(OR(E3633="",E3633="!!!",F3633="NEW"),"",COUNTBLANK(OFFSET(A$1,,,SUMPRODUCT(MAX(ROW(E$2:E3633)*(E3633=E$2:E3633)))))-COUNTBLANK(OFFSET(A$1,,,SUMPRODUCT(MAX(ROW(E$1:E3632)*(E2=E$1:E3632))))))</f>
        <v> </v>
      </c>
      <c r="K3633" s="25" t="str">
        <f>IF(OR(E3633="",E3633="!!!",F3633="NEW"),"",INDEX(J$1:J3632,SUMPRODUCT(MAX(ROW(E$1:E3632)*(E3633=E$1:E3632)))))</f>
        <v> </v>
      </c>
      <c r="L3633" s="26"/>
    </row>
    <row r="3634" spans="1:12">
      <c r="A3634" s="20" t="s">
        <v>2320</v>
      </c>
      <c r="E3634" s="21">
        <f>IF(D3634="?OLD","!!!","")</f>
        <v/>
      </c>
      <c r="F3634" s="22" t="str">
        <f>IF(OR(E3634="",E3634="!!!"),"",IF(NOT(ISNA(VLOOKUP(E3634,E$1:E3633,1,FALSE()))),"OLD",IF(AND(E3634&lt;&gt;"",E3634&lt;&gt;"!!!"),"NEW","")))</f>
        <v> </v>
      </c>
      <c r="G3634" s="23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4" t="str">
        <f>IF(J3634&lt;&gt;1,"",IF(I3634="SBJ","CB","?"))</f>
        <v> </v>
      </c>
      <c r="I3634" s="25" t="str">
        <f>IF(OR(E3634="",E3634="!!!",F3634="NEW"),"",INDEX(B3633:B$2,-1+SUMPRODUCT(MAX(ROW(E3633:E$2)*(E3634=E3633:E$2)))))</f>
        <v> </v>
      </c>
      <c r="J3634" s="25" t="str">
        <f>IF(OR(E3634="",E3634="!!!",F3634="NEW"),"",COUNTBLANK(OFFSET(A$1,,,SUMPRODUCT(MAX(ROW(E$2:E3634)*(E3634=E$2:E3634)))))-COUNTBLANK(OFFSET(A$1,,,SUMPRODUCT(MAX(ROW(E$1:E3633)*(E2=E$1:E3633))))))</f>
        <v> </v>
      </c>
      <c r="K3634" s="25" t="str">
        <f>IF(OR(E3634="",E3634="!!!",F3634="NEW"),"",INDEX(J$1:J3633,SUMPRODUCT(MAX(ROW(E$1:E3633)*(E3634=E$1:E3633)))))</f>
        <v> </v>
      </c>
      <c r="L3634" s="26"/>
    </row>
    <row r="3635" spans="1:12">
      <c r="A3635" s="20" t="s">
        <v>1043</v>
      </c>
      <c r="E3635" s="21">
        <f>IF(D3635="?OLD","!!!","")</f>
        <v/>
      </c>
      <c r="F3635" s="22" t="str">
        <f>IF(OR(E3635="",E3635="!!!"),"",IF(NOT(ISNA(VLOOKUP(E3635,E$1:E3634,1,FALSE()))),"OLD",IF(AND(E3635&lt;&gt;"",E3635&lt;&gt;"!!!"),"NEW","")))</f>
        <v> </v>
      </c>
      <c r="G3635" s="23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4" t="str">
        <f>IF(J3635&lt;&gt;1,"",IF(I3635="SBJ","CB","?"))</f>
        <v> </v>
      </c>
      <c r="I3635" s="25" t="str">
        <f>IF(OR(E3635="",E3635="!!!",F3635="NEW"),"",INDEX(B3634:B$2,-1+SUMPRODUCT(MAX(ROW(E3634:E$2)*(E3635=E3634:E$2)))))</f>
        <v> </v>
      </c>
      <c r="J3635" s="25" t="str">
        <f>IF(OR(E3635="",E3635="!!!",F3635="NEW"),"",COUNTBLANK(OFFSET(A$1,,,SUMPRODUCT(MAX(ROW(E$2:E3635)*(E3635=E$2:E3635)))))-COUNTBLANK(OFFSET(A$1,,,SUMPRODUCT(MAX(ROW(E$1:E3634)*(E2=E$1:E3634))))))</f>
        <v> </v>
      </c>
      <c r="K3635" s="25" t="str">
        <f>IF(OR(E3635="",E3635="!!!",F3635="NEW"),"",INDEX(J$1:J3634,SUMPRODUCT(MAX(ROW(E$1:E3634)*(E3635=E$1:E3634)))))</f>
        <v> </v>
      </c>
      <c r="L3635" s="26"/>
    </row>
    <row r="3636" spans="1:12">
      <c r="A3636" s="20" t="s">
        <v>1044</v>
      </c>
      <c r="B3636" s="27" t="s">
        <v>975</v>
      </c>
      <c r="C3636" s="27" t="s">
        <v>951</v>
      </c>
      <c r="D3636" s="27" t="s">
        <v>930</v>
      </c>
      <c r="E3636" s="21">
        <f>IF(D3636="?OLD","!!!","")</f>
        <v/>
      </c>
      <c r="F3636" s="22" t="str">
        <f>IF(OR(E3636="",E3636="!!!"),"",IF(NOT(ISNA(VLOOKUP(E3636,E$1:E3635,1,FALSE()))),"OLD",IF(AND(E3636&lt;&gt;"",E3636&lt;&gt;"!!!"),"NEW","")))</f>
        <v> </v>
      </c>
      <c r="G3636" s="23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4" t="str">
        <f>IF(J3636&lt;&gt;1,"",IF(I3636="SBJ","CB","?"))</f>
        <v> </v>
      </c>
      <c r="I3636" s="25" t="str">
        <f>IF(OR(E3636="",E3636="!!!",F3636="NEW"),"",INDEX(B3635:B$2,-1+SUMPRODUCT(MAX(ROW(E3635:E$2)*(E3636=E3635:E$2)))))</f>
        <v> </v>
      </c>
      <c r="J3636" s="25" t="str">
        <f>IF(OR(E3636="",E3636="!!!",F3636="NEW"),"",COUNTBLANK(OFFSET(A$1,,,SUMPRODUCT(MAX(ROW(E$2:E3636)*(E3636=E$2:E3636)))))-COUNTBLANK(OFFSET(A$1,,,SUMPRODUCT(MAX(ROW(E$1:E3635)*(E2=E$1:E3635))))))</f>
        <v> </v>
      </c>
      <c r="K3636" s="25" t="str">
        <f>IF(OR(E3636="",E3636="!!!",F3636="NEW"),"",INDEX(J$1:J3635,SUMPRODUCT(MAX(ROW(E$1:E3635)*(E3636=E$1:E3635)))))</f>
        <v> </v>
      </c>
      <c r="L3636" s="26"/>
    </row>
    <row r="3637" spans="1:12">
      <c r="A3637" s="20" t="s">
        <v>1965</v>
      </c>
      <c r="E3637" s="21">
        <f>IF(D3637="?OLD","!!!","")</f>
        <v/>
      </c>
      <c r="F3637" s="22" t="str">
        <f>IF(OR(E3637="",E3637="!!!"),"",IF(NOT(ISNA(VLOOKUP(E3637,E$1:E3636,1,FALSE()))),"OLD",IF(AND(E3637&lt;&gt;"",E3637&lt;&gt;"!!!"),"NEW","")))</f>
        <v> </v>
      </c>
      <c r="G3637" s="23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4" t="str">
        <f>IF(J3637&lt;&gt;1,"",IF(I3637="SBJ","CB","?"))</f>
        <v> </v>
      </c>
      <c r="I3637" s="25" t="str">
        <f>IF(OR(E3637="",E3637="!!!",F3637="NEW"),"",INDEX(B3636:B$2,-1+SUMPRODUCT(MAX(ROW(E3636:E$2)*(E3637=E3636:E$2)))))</f>
        <v> </v>
      </c>
      <c r="J3637" s="25" t="str">
        <f>IF(OR(E3637="",E3637="!!!",F3637="NEW"),"",COUNTBLANK(OFFSET(A$1,,,SUMPRODUCT(MAX(ROW(E$2:E3637)*(E3637=E$2:E3637)))))-COUNTBLANK(OFFSET(A$1,,,SUMPRODUCT(MAX(ROW(E$1:E3636)*(E2=E$1:E3636))))))</f>
        <v> </v>
      </c>
      <c r="K3637" s="25" t="str">
        <f>IF(OR(E3637="",E3637="!!!",F3637="NEW"),"",INDEX(J$1:J3636,SUMPRODUCT(MAX(ROW(E$1:E3636)*(E3637=E$1:E3636)))))</f>
        <v> </v>
      </c>
      <c r="L3637" s="26"/>
    </row>
    <row r="3638" spans="1:12">
      <c r="A3638" s="20" t="s">
        <v>2321</v>
      </c>
      <c r="E3638" s="21">
        <f>IF(D3638="?OLD","!!!","")</f>
        <v/>
      </c>
      <c r="F3638" s="22" t="str">
        <f>IF(OR(E3638="",E3638="!!!"),"",IF(NOT(ISNA(VLOOKUP(E3638,E$1:E3637,1,FALSE()))),"OLD",IF(AND(E3638&lt;&gt;"",E3638&lt;&gt;"!!!"),"NEW","")))</f>
        <v> </v>
      </c>
      <c r="G3638" s="23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4" t="str">
        <f>IF(J3638&lt;&gt;1,"",IF(I3638="SBJ","CB","?"))</f>
        <v> </v>
      </c>
      <c r="I3638" s="25" t="str">
        <f>IF(OR(E3638="",E3638="!!!",F3638="NEW"),"",INDEX(B3637:B$2,-1+SUMPRODUCT(MAX(ROW(E3637:E$2)*(E3638=E3637:E$2)))))</f>
        <v> </v>
      </c>
      <c r="J3638" s="25" t="str">
        <f>IF(OR(E3638="",E3638="!!!",F3638="NEW"),"",COUNTBLANK(OFFSET(A$1,,,SUMPRODUCT(MAX(ROW(E$2:E3638)*(E3638=E$2:E3638)))))-COUNTBLANK(OFFSET(A$1,,,SUMPRODUCT(MAX(ROW(E$1:E3637)*(E2=E$1:E3637))))))</f>
        <v> </v>
      </c>
      <c r="K3638" s="25" t="str">
        <f>IF(OR(E3638="",E3638="!!!",F3638="NEW"),"",INDEX(J$1:J3637,SUMPRODUCT(MAX(ROW(E$1:E3637)*(E3638=E$1:E3637)))))</f>
        <v> </v>
      </c>
      <c r="L3638" s="26"/>
    </row>
    <row r="3639" spans="1:12">
      <c r="A3639" s="20" t="s">
        <v>942</v>
      </c>
      <c r="E3639" s="21">
        <f>IF(D3639="?OLD","!!!","")</f>
        <v/>
      </c>
      <c r="F3639" s="22" t="str">
        <f>IF(OR(E3639="",E3639="!!!"),"",IF(NOT(ISNA(VLOOKUP(E3639,E$1:E3638,1,FALSE()))),"OLD",IF(AND(E3639&lt;&gt;"",E3639&lt;&gt;"!!!"),"NEW","")))</f>
        <v> </v>
      </c>
      <c r="G3639" s="23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4" t="str">
        <f>IF(J3639&lt;&gt;1,"",IF(I3639="SBJ","CB","?"))</f>
        <v> </v>
      </c>
      <c r="I3639" s="25" t="str">
        <f>IF(OR(E3639="",E3639="!!!",F3639="NEW"),"",INDEX(B3638:B$2,-1+SUMPRODUCT(MAX(ROW(E3638:E$2)*(E3639=E3638:E$2)))))</f>
        <v> </v>
      </c>
      <c r="J3639" s="25" t="str">
        <f>IF(OR(E3639="",E3639="!!!",F3639="NEW"),"",COUNTBLANK(OFFSET(A$1,,,SUMPRODUCT(MAX(ROW(E$2:E3639)*(E3639=E$2:E3639)))))-COUNTBLANK(OFFSET(A$1,,,SUMPRODUCT(MAX(ROW(E$1:E3638)*(E2=E$1:E3638))))))</f>
        <v> </v>
      </c>
      <c r="K3639" s="25" t="str">
        <f>IF(OR(E3639="",E3639="!!!",F3639="NEW"),"",INDEX(J$1:J3638,SUMPRODUCT(MAX(ROW(E$1:E3638)*(E3639=E$1:E3638)))))</f>
        <v> </v>
      </c>
      <c r="L3639" s="26"/>
    </row>
    <row r="3640" spans="1:12">
      <c r="A3640" s="20"/>
    </row>
    <row r="3641" spans="1:12">
      <c r="A3641" s="20" t="s">
        <v>2322</v>
      </c>
    </row>
    <row r="3642" spans="1:12">
      <c r="A3642" s="20" t="s">
        <v>2323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 t="s">
        <v>925</v>
      </c>
      <c r="E3643" s="21">
        <f>IF(D3643="?OLD","!!!","")</f>
        <v/>
      </c>
      <c r="F3643" s="22" t="str">
        <f>IF(OR(E3643="",E3643="!!!"),"",IF(NOT(ISNA(VLOOKUP(E3643,E$1:E3642,1,FALSE()))),"OLD",IF(AND(E3643&lt;&gt;"",E3643&lt;&gt;"!!!"),"NEW","")))</f>
        <v> </v>
      </c>
      <c r="G3643" s="23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4" t="str">
        <f>IF(J3643&lt;&gt;1,"",IF(I3643="SBJ","CB","?"))</f>
        <v> </v>
      </c>
      <c r="I3643" s="25" t="str">
        <f>IF(OR(E3643="",E3643="!!!",F3643="NEW"),"",INDEX(B3642:B$2,-1+SUMPRODUCT(MAX(ROW(E3642:E$2)*(E3643=E3642:E$2)))))</f>
        <v> </v>
      </c>
      <c r="J3643" s="25" t="str">
        <f>IF(OR(E3643="",E3643="!!!",F3643="NEW"),"",COUNTBLANK(OFFSET(A$1,,,SUMPRODUCT(MAX(ROW(E$2:E3643)*(E3643=E$2:E3643)))))-COUNTBLANK(OFFSET(A$1,,,SUMPRODUCT(MAX(ROW(E$1:E3642)*(E2=E$1:E3642))))))</f>
        <v> </v>
      </c>
      <c r="K3643" s="25" t="str">
        <f>IF(OR(E3643="",E3643="!!!",F3643="NEW"),"",INDEX(J$1:J3642,SUMPRODUCT(MAX(ROW(E$1:E3642)*(E3643=E$1:E3642)))))</f>
        <v> </v>
      </c>
      <c r="L3643" s="26"/>
    </row>
    <row r="3644" spans="1:12">
      <c r="A3644" s="20" t="s">
        <v>1965</v>
      </c>
      <c r="E3644" s="21">
        <f>IF(D3644="?OLD","!!!","")</f>
        <v/>
      </c>
      <c r="F3644" s="22" t="str">
        <f>IF(OR(E3644="",E3644="!!!"),"",IF(NOT(ISNA(VLOOKUP(E3644,E$1:E3643,1,FALSE()))),"OLD",IF(AND(E3644&lt;&gt;"",E3644&lt;&gt;"!!!"),"NEW","")))</f>
        <v> </v>
      </c>
      <c r="G3644" s="23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4" t="str">
        <f>IF(J3644&lt;&gt;1,"",IF(I3644="SBJ","CB","?"))</f>
        <v> </v>
      </c>
      <c r="I3644" s="25" t="str">
        <f>IF(OR(E3644="",E3644="!!!",F3644="NEW"),"",INDEX(B3643:B$2,-1+SUMPRODUCT(MAX(ROW(E3643:E$2)*(E3644=E3643:E$2)))))</f>
        <v> </v>
      </c>
      <c r="J3644" s="25" t="str">
        <f>IF(OR(E3644="",E3644="!!!",F3644="NEW"),"",COUNTBLANK(OFFSET(A$1,,,SUMPRODUCT(MAX(ROW(E$2:E3644)*(E3644=E$2:E3644)))))-COUNTBLANK(OFFSET(A$1,,,SUMPRODUCT(MAX(ROW(E$1:E3643)*(E2=E$1:E3643))))))</f>
        <v> </v>
      </c>
      <c r="K3644" s="25" t="str">
        <f>IF(OR(E3644="",E3644="!!!",F3644="NEW"),"",INDEX(J$1:J3643,SUMPRODUCT(MAX(ROW(E$1:E3643)*(E3644=E$1:E3643)))))</f>
        <v> </v>
      </c>
      <c r="L3644" s="26"/>
    </row>
    <row r="3645" spans="1:12">
      <c r="A3645" s="20" t="s">
        <v>2324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925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989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774</v>
      </c>
      <c r="B3648" s="27" t="s">
        <v>968</v>
      </c>
      <c r="C3648" s="27" t="s">
        <v>929</v>
      </c>
      <c r="D3648" s="27" t="s">
        <v>930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 t="s">
        <v>2325</v>
      </c>
      <c r="E3649" s="21">
        <f>IF(D3649="?OLD","!!!","")</f>
        <v/>
      </c>
      <c r="F3649" s="22" t="str">
        <f>IF(OR(E3649="",E3649="!!!"),"",IF(NOT(ISNA(VLOOKUP(E3649,E$1:E3648,1,FALSE()))),"OLD",IF(AND(E3649&lt;&gt;"",E3649&lt;&gt;"!!!"),"NEW","")))</f>
        <v> </v>
      </c>
      <c r="G3649" s="23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4" t="str">
        <f>IF(J3649&lt;&gt;1,"",IF(I3649="SBJ","CB","?"))</f>
        <v> </v>
      </c>
      <c r="I3649" s="25" t="str">
        <f>IF(OR(E3649="",E3649="!!!",F3649="NEW"),"",INDEX(B3648:B$2,-1+SUMPRODUCT(MAX(ROW(E3648:E$2)*(E3649=E3648:E$2)))))</f>
        <v> </v>
      </c>
      <c r="J3649" s="25" t="str">
        <f>IF(OR(E3649="",E3649="!!!",F3649="NEW"),"",COUNTBLANK(OFFSET(A$1,,,SUMPRODUCT(MAX(ROW(E$2:E3649)*(E3649=E$2:E3649)))))-COUNTBLANK(OFFSET(A$1,,,SUMPRODUCT(MAX(ROW(E$1:E3648)*(E2=E$1:E3648))))))</f>
        <v> </v>
      </c>
      <c r="K3649" s="25" t="str">
        <f>IF(OR(E3649="",E3649="!!!",F3649="NEW"),"",INDEX(J$1:J3648,SUMPRODUCT(MAX(ROW(E$1:E3648)*(E3649=E$1:E3648)))))</f>
        <v> </v>
      </c>
      <c r="L3649" s="26"/>
    </row>
    <row r="3650" spans="1:12">
      <c r="A3650" s="20" t="s">
        <v>2326</v>
      </c>
      <c r="E3650" s="21">
        <f>IF(D3650="?OLD","!!!","")</f>
        <v/>
      </c>
      <c r="F3650" s="22" t="str">
        <f>IF(OR(E3650="",E3650="!!!"),"",IF(NOT(ISNA(VLOOKUP(E3650,E$1:E3649,1,FALSE()))),"OLD",IF(AND(E3650&lt;&gt;"",E3650&lt;&gt;"!!!"),"NEW","")))</f>
        <v> </v>
      </c>
      <c r="G3650" s="23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4" t="str">
        <f>IF(J3650&lt;&gt;1,"",IF(I3650="SBJ","CB","?"))</f>
        <v> </v>
      </c>
      <c r="I3650" s="25" t="str">
        <f>IF(OR(E3650="",E3650="!!!",F3650="NEW"),"",INDEX(B3649:B$2,-1+SUMPRODUCT(MAX(ROW(E3649:E$2)*(E3650=E3649:E$2)))))</f>
        <v> </v>
      </c>
      <c r="J3650" s="25" t="str">
        <f>IF(OR(E3650="",E3650="!!!",F3650="NEW"),"",COUNTBLANK(OFFSET(A$1,,,SUMPRODUCT(MAX(ROW(E$2:E3650)*(E3650=E$2:E3650)))))-COUNTBLANK(OFFSET(A$1,,,SUMPRODUCT(MAX(ROW(E$1:E3649)*(E2=E$1:E3649))))))</f>
        <v> </v>
      </c>
      <c r="K3650" s="25" t="str">
        <f>IF(OR(E3650="",E3650="!!!",F3650="NEW"),"",INDEX(J$1:J3649,SUMPRODUCT(MAX(ROW(E$1:E3649)*(E3650=E$1:E3649)))))</f>
        <v> </v>
      </c>
      <c r="L3650" s="26"/>
    </row>
    <row r="3651" spans="1:12">
      <c r="A3651" s="20" t="s">
        <v>925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 t="s">
        <v>1965</v>
      </c>
      <c r="E3652" s="21">
        <f>IF(D3652="?OLD","!!!","")</f>
        <v/>
      </c>
      <c r="F3652" s="22" t="str">
        <f>IF(OR(E3652="",E3652="!!!"),"",IF(NOT(ISNA(VLOOKUP(E3652,E$1:E3651,1,FALSE()))),"OLD",IF(AND(E3652&lt;&gt;"",E3652&lt;&gt;"!!!"),"NEW","")))</f>
        <v> </v>
      </c>
      <c r="G3652" s="23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4" t="str">
        <f>IF(J3652&lt;&gt;1,"",IF(I3652="SBJ","CB","?"))</f>
        <v> </v>
      </c>
      <c r="I3652" s="25" t="str">
        <f>IF(OR(E3652="",E3652="!!!",F3652="NEW"),"",INDEX(B3651:B$2,-1+SUMPRODUCT(MAX(ROW(E3651:E$2)*(E3652=E3651:E$2)))))</f>
        <v> </v>
      </c>
      <c r="J3652" s="25" t="str">
        <f>IF(OR(E3652="",E3652="!!!",F3652="NEW"),"",COUNTBLANK(OFFSET(A$1,,,SUMPRODUCT(MAX(ROW(E$2:E3652)*(E3652=E$2:E3652)))))-COUNTBLANK(OFFSET(A$1,,,SUMPRODUCT(MAX(ROW(E$1:E3651)*(E2=E$1:E3651))))))</f>
        <v> </v>
      </c>
      <c r="K3652" s="25" t="str">
        <f>IF(OR(E3652="",E3652="!!!",F3652="NEW"),"",INDEX(J$1:J3651,SUMPRODUCT(MAX(ROW(E$1:E3651)*(E3652=E$1:E3651)))))</f>
        <v> </v>
      </c>
      <c r="L3652" s="26"/>
    </row>
    <row r="3653" spans="1:12">
      <c r="A3653" s="20" t="s">
        <v>2324</v>
      </c>
      <c r="E3653" s="21">
        <f>IF(D3653="?OLD","!!!","")</f>
        <v/>
      </c>
      <c r="F3653" s="22" t="str">
        <f>IF(OR(E3653="",E3653="!!!"),"",IF(NOT(ISNA(VLOOKUP(E3653,E$1:E3652,1,FALSE()))),"OLD",IF(AND(E3653&lt;&gt;"",E3653&lt;&gt;"!!!"),"NEW","")))</f>
        <v> </v>
      </c>
      <c r="G3653" s="23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4" t="str">
        <f>IF(J3653&lt;&gt;1,"",IF(I3653="SBJ","CB","?"))</f>
        <v> </v>
      </c>
      <c r="I3653" s="25" t="str">
        <f>IF(OR(E3653="",E3653="!!!",F3653="NEW"),"",INDEX(B3652:B$2,-1+SUMPRODUCT(MAX(ROW(E3652:E$2)*(E3653=E3652:E$2)))))</f>
        <v> </v>
      </c>
      <c r="J3653" s="25" t="str">
        <f>IF(OR(E3653="",E3653="!!!",F3653="NEW"),"",COUNTBLANK(OFFSET(A$1,,,SUMPRODUCT(MAX(ROW(E$2:E3653)*(E3653=E$2:E3653)))))-COUNTBLANK(OFFSET(A$1,,,SUMPRODUCT(MAX(ROW(E$1:E3652)*(E2=E$1:E3652))))))</f>
        <v> </v>
      </c>
      <c r="K3653" s="25" t="str">
        <f>IF(OR(E3653="",E3653="!!!",F3653="NEW"),"",INDEX(J$1:J3652,SUMPRODUCT(MAX(ROW(E$1:E3652)*(E3653=E$1:E3652)))))</f>
        <v> </v>
      </c>
      <c r="L3653" s="26"/>
    </row>
    <row r="3654" spans="1:12">
      <c r="A3654" s="20" t="s">
        <v>942</v>
      </c>
      <c r="E3654" s="21">
        <f>IF(D3654="?OLD","!!!","")</f>
        <v/>
      </c>
      <c r="F3654" s="22" t="str">
        <f>IF(OR(E3654="",E3654="!!!"),"",IF(NOT(ISNA(VLOOKUP(E3654,E$1:E3653,1,FALSE()))),"OLD",IF(AND(E3654&lt;&gt;"",E3654&lt;&gt;"!!!"),"NEW","")))</f>
        <v> </v>
      </c>
      <c r="G3654" s="23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4" t="str">
        <f>IF(J3654&lt;&gt;1,"",IF(I3654="SBJ","CB","?"))</f>
        <v> </v>
      </c>
      <c r="I3654" s="25" t="str">
        <f>IF(OR(E3654="",E3654="!!!",F3654="NEW"),"",INDEX(B3653:B$2,-1+SUMPRODUCT(MAX(ROW(E3653:E$2)*(E3654=E3653:E$2)))))</f>
        <v> </v>
      </c>
      <c r="J3654" s="25" t="str">
        <f>IF(OR(E3654="",E3654="!!!",F3654="NEW"),"",COUNTBLANK(OFFSET(A$1,,,SUMPRODUCT(MAX(ROW(E$2:E3654)*(E3654=E$2:E3654)))))-COUNTBLANK(OFFSET(A$1,,,SUMPRODUCT(MAX(ROW(E$1:E3653)*(E2=E$1:E3653))))))</f>
        <v> </v>
      </c>
      <c r="K3654" s="25" t="str">
        <f>IF(OR(E3654="",E3654="!!!",F3654="NEW"),"",INDEX(J$1:J3653,SUMPRODUCT(MAX(ROW(E$1:E3653)*(E3654=E$1:E3653)))))</f>
        <v> </v>
      </c>
      <c r="L3654" s="26"/>
    </row>
    <row r="3655" spans="1:12">
      <c r="A3655" s="20"/>
    </row>
    <row r="3656" spans="1:12">
      <c r="A3656" s="20" t="s">
        <v>2327</v>
      </c>
    </row>
    <row r="3657" spans="1:12">
      <c r="A3657" s="20" t="s">
        <v>1046</v>
      </c>
      <c r="B3657" s="27" t="s">
        <v>947</v>
      </c>
      <c r="C3657" s="27" t="s">
        <v>929</v>
      </c>
      <c r="D3657" s="27" t="s">
        <v>930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952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 t="s">
        <v>2283</v>
      </c>
      <c r="E3659" s="21">
        <f>IF(D3659="?OLD","!!!","")</f>
        <v/>
      </c>
      <c r="F3659" s="22" t="str">
        <f>IF(OR(E3659="",E3659="!!!"),"",IF(NOT(ISNA(VLOOKUP(E3659,E$1:E3658,1,FALSE()))),"OLD",IF(AND(E3659&lt;&gt;"",E3659&lt;&gt;"!!!"),"NEW","")))</f>
        <v> </v>
      </c>
      <c r="G3659" s="23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4" t="str">
        <f>IF(J3659&lt;&gt;1,"",IF(I3659="SBJ","CB","?"))</f>
        <v> </v>
      </c>
      <c r="I3659" s="25" t="str">
        <f>IF(OR(E3659="",E3659="!!!",F3659="NEW"),"",INDEX(B3658:B$2,-1+SUMPRODUCT(MAX(ROW(E3658:E$2)*(E3659=E3658:E$2)))))</f>
        <v> </v>
      </c>
      <c r="J3659" s="25" t="str">
        <f>IF(OR(E3659="",E3659="!!!",F3659="NEW"),"",COUNTBLANK(OFFSET(A$1,,,SUMPRODUCT(MAX(ROW(E$2:E3659)*(E3659=E$2:E3659)))))-COUNTBLANK(OFFSET(A$1,,,SUMPRODUCT(MAX(ROW(E$1:E3658)*(E2=E$1:E3658))))))</f>
        <v> </v>
      </c>
      <c r="K3659" s="25" t="str">
        <f>IF(OR(E3659="",E3659="!!!",F3659="NEW"),"",INDEX(J$1:J3658,SUMPRODUCT(MAX(ROW(E$1:E3658)*(E3659=E$1:E3658)))))</f>
        <v> </v>
      </c>
      <c r="L3659" s="26"/>
    </row>
    <row r="3660" spans="1:12">
      <c r="A3660" s="20" t="s">
        <v>1456</v>
      </c>
      <c r="E3660" s="21">
        <f>IF(D3660="?OLD","!!!","")</f>
        <v/>
      </c>
      <c r="F3660" s="22" t="str">
        <f>IF(OR(E3660="",E3660="!!!"),"",IF(NOT(ISNA(VLOOKUP(E3660,E$1:E3659,1,FALSE()))),"OLD",IF(AND(E3660&lt;&gt;"",E3660&lt;&gt;"!!!"),"NEW","")))</f>
        <v> </v>
      </c>
      <c r="G3660" s="23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4" t="str">
        <f>IF(J3660&lt;&gt;1,"",IF(I3660="SBJ","CB","?"))</f>
        <v> </v>
      </c>
      <c r="I3660" s="25" t="str">
        <f>IF(OR(E3660="",E3660="!!!",F3660="NEW"),"",INDEX(B3659:B$2,-1+SUMPRODUCT(MAX(ROW(E3659:E$2)*(E3660=E3659:E$2)))))</f>
        <v> </v>
      </c>
      <c r="J3660" s="25" t="str">
        <f>IF(OR(E3660="",E3660="!!!",F3660="NEW"),"",COUNTBLANK(OFFSET(A$1,,,SUMPRODUCT(MAX(ROW(E$2:E3660)*(E3660=E$2:E3660)))))-COUNTBLANK(OFFSET(A$1,,,SUMPRODUCT(MAX(ROW(E$1:E3659)*(E2=E$1:E3659))))))</f>
        <v> </v>
      </c>
      <c r="K3660" s="25" t="str">
        <f>IF(OR(E3660="",E3660="!!!",F3660="NEW"),"",INDEX(J$1:J3659,SUMPRODUCT(MAX(ROW(E$1:E3659)*(E3660=E$1:E3659)))))</f>
        <v> </v>
      </c>
      <c r="L3660" s="26"/>
    </row>
    <row r="3661" spans="1:12">
      <c r="A3661" s="20" t="s">
        <v>2328</v>
      </c>
      <c r="B3661" s="27" t="s">
        <v>975</v>
      </c>
      <c r="C3661" s="27" t="s">
        <v>1013</v>
      </c>
      <c r="E3661" s="21">
        <f>IF(D3661="?OLD","!!!","")</f>
        <v/>
      </c>
      <c r="F3661" s="22" t="str">
        <f>IF(OR(E3661="",E3661="!!!"),"",IF(NOT(ISNA(VLOOKUP(E3661,E$1:E3660,1,FALSE()))),"OLD",IF(AND(E3661&lt;&gt;"",E3661&lt;&gt;"!!!"),"NEW","")))</f>
        <v> </v>
      </c>
      <c r="G3661" s="23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4" t="str">
        <f>IF(J3661&lt;&gt;1,"",IF(I3661="SBJ","CB","?"))</f>
        <v> </v>
      </c>
      <c r="I3661" s="25" t="str">
        <f>IF(OR(E3661="",E3661="!!!",F3661="NEW"),"",INDEX(B3660:B$2,-1+SUMPRODUCT(MAX(ROW(E3660:E$2)*(E3661=E3660:E$2)))))</f>
        <v> </v>
      </c>
      <c r="J3661" s="25" t="str">
        <f>IF(OR(E3661="",E3661="!!!",F3661="NEW"),"",COUNTBLANK(OFFSET(A$1,,,SUMPRODUCT(MAX(ROW(E$2:E3661)*(E3661=E$2:E3661)))))-COUNTBLANK(OFFSET(A$1,,,SUMPRODUCT(MAX(ROW(E$1:E3660)*(E2=E$1:E3660))))))</f>
        <v> </v>
      </c>
      <c r="K3661" s="25" t="str">
        <f>IF(OR(E3661="",E3661="!!!",F3661="NEW"),"",INDEX(J$1:J3660,SUMPRODUCT(MAX(ROW(E$1:E3660)*(E3661=E$1:E3660)))))</f>
        <v> </v>
      </c>
      <c r="L3661" s="26"/>
    </row>
    <row r="3662" spans="1:12">
      <c r="A3662" s="20" t="s">
        <v>925</v>
      </c>
      <c r="E3662" s="21">
        <f>IF(D3662="?OLD","!!!","")</f>
        <v/>
      </c>
      <c r="F3662" s="22" t="str">
        <f>IF(OR(E3662="",E3662="!!!"),"",IF(NOT(ISNA(VLOOKUP(E3662,E$1:E3661,1,FALSE()))),"OLD",IF(AND(E3662&lt;&gt;"",E3662&lt;&gt;"!!!"),"NEW","")))</f>
        <v> </v>
      </c>
      <c r="G3662" s="23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4" t="str">
        <f>IF(J3662&lt;&gt;1,"",IF(I3662="SBJ","CB","?"))</f>
        <v> </v>
      </c>
      <c r="I3662" s="25" t="str">
        <f>IF(OR(E3662="",E3662="!!!",F3662="NEW"),"",INDEX(B3661:B$2,-1+SUMPRODUCT(MAX(ROW(E3661:E$2)*(E3662=E3661:E$2)))))</f>
        <v> </v>
      </c>
      <c r="J3662" s="25" t="str">
        <f>IF(OR(E3662="",E3662="!!!",F3662="NEW"),"",COUNTBLANK(OFFSET(A$1,,,SUMPRODUCT(MAX(ROW(E$2:E3662)*(E3662=E$2:E3662)))))-COUNTBLANK(OFFSET(A$1,,,SUMPRODUCT(MAX(ROW(E$1:E3661)*(E2=E$1:E3661))))))</f>
        <v> </v>
      </c>
      <c r="K3662" s="25" t="str">
        <f>IF(OR(E3662="",E3662="!!!",F3662="NEW"),"",INDEX(J$1:J3661,SUMPRODUCT(MAX(ROW(E$1:E3661)*(E3662=E$1:E3661)))))</f>
        <v> </v>
      </c>
      <c r="L3662" s="26"/>
    </row>
    <row r="3663" spans="1:12">
      <c r="A3663" s="20" t="s">
        <v>989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774</v>
      </c>
      <c r="B3664" s="27" t="s">
        <v>968</v>
      </c>
      <c r="C3664" s="27" t="s">
        <v>929</v>
      </c>
      <c r="D3664" s="27" t="s">
        <v>930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 t="s">
        <v>952</v>
      </c>
      <c r="E3665" s="21">
        <f>IF(D3665="?OLD","!!!","")</f>
        <v/>
      </c>
      <c r="F3665" s="22" t="str">
        <f>IF(OR(E3665="",E3665="!!!"),"",IF(NOT(ISNA(VLOOKUP(E3665,E$1:E3664,1,FALSE()))),"OLD",IF(AND(E3665&lt;&gt;"",E3665&lt;&gt;"!!!"),"NEW","")))</f>
        <v> </v>
      </c>
      <c r="G3665" s="23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4" t="str">
        <f>IF(J3665&lt;&gt;1,"",IF(I3665="SBJ","CB","?"))</f>
        <v> </v>
      </c>
      <c r="I3665" s="25" t="str">
        <f>IF(OR(E3665="",E3665="!!!",F3665="NEW"),"",INDEX(B3664:B$2,-1+SUMPRODUCT(MAX(ROW(E3664:E$2)*(E3665=E3664:E$2)))))</f>
        <v> </v>
      </c>
      <c r="J3665" s="25" t="str">
        <f>IF(OR(E3665="",E3665="!!!",F3665="NEW"),"",COUNTBLANK(OFFSET(A$1,,,SUMPRODUCT(MAX(ROW(E$2:E3665)*(E3665=E$2:E3665)))))-COUNTBLANK(OFFSET(A$1,,,SUMPRODUCT(MAX(ROW(E$1:E3664)*(E2=E$1:E3664))))))</f>
        <v> </v>
      </c>
      <c r="K3665" s="25" t="str">
        <f>IF(OR(E3665="",E3665="!!!",F3665="NEW"),"",INDEX(J$1:J3664,SUMPRODUCT(MAX(ROW(E$1:E3664)*(E3665=E$1:E3664)))))</f>
        <v> </v>
      </c>
      <c r="L3665" s="26"/>
    </row>
    <row r="3666" spans="1:12">
      <c r="A3666" s="20" t="s">
        <v>2329</v>
      </c>
      <c r="E3666" s="21">
        <f>IF(D3666="?OLD","!!!","")</f>
        <v/>
      </c>
      <c r="F3666" s="22" t="str">
        <f>IF(OR(E3666="",E3666="!!!"),"",IF(NOT(ISNA(VLOOKUP(E3666,E$1:E3665,1,FALSE()))),"OLD",IF(AND(E3666&lt;&gt;"",E3666&lt;&gt;"!!!"),"NEW","")))</f>
        <v> </v>
      </c>
      <c r="G3666" s="23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4" t="str">
        <f>IF(J3666&lt;&gt;1,"",IF(I3666="SBJ","CB","?"))</f>
        <v> </v>
      </c>
      <c r="I3666" s="25" t="str">
        <f>IF(OR(E3666="",E3666="!!!",F3666="NEW"),"",INDEX(B3665:B$2,-1+SUMPRODUCT(MAX(ROW(E3665:E$2)*(E3666=E3665:E$2)))))</f>
        <v> </v>
      </c>
      <c r="J3666" s="25" t="str">
        <f>IF(OR(E3666="",E3666="!!!",F3666="NEW"),"",COUNTBLANK(OFFSET(A$1,,,SUMPRODUCT(MAX(ROW(E$2:E3666)*(E3666=E$2:E3666)))))-COUNTBLANK(OFFSET(A$1,,,SUMPRODUCT(MAX(ROW(E$1:E3665)*(E2=E$1:E3665))))))</f>
        <v> </v>
      </c>
      <c r="K3666" s="25" t="str">
        <f>IF(OR(E3666="",E3666="!!!",F3666="NEW"),"",INDEX(J$1:J3665,SUMPRODUCT(MAX(ROW(E$1:E3665)*(E3666=E$1:E3665)))))</f>
        <v> </v>
      </c>
      <c r="L3666" s="26"/>
    </row>
    <row r="3667" spans="1:12">
      <c r="A3667" s="20" t="s">
        <v>925</v>
      </c>
      <c r="E3667" s="21">
        <f>IF(D3667="?OLD","!!!","")</f>
        <v/>
      </c>
      <c r="F3667" s="22" t="str">
        <f>IF(OR(E3667="",E3667="!!!"),"",IF(NOT(ISNA(VLOOKUP(E3667,E$1:E3666,1,FALSE()))),"OLD",IF(AND(E3667&lt;&gt;"",E3667&lt;&gt;"!!!"),"NEW","")))</f>
        <v> </v>
      </c>
      <c r="G3667" s="23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4" t="str">
        <f>IF(J3667&lt;&gt;1,"",IF(I3667="SBJ","CB","?"))</f>
        <v> </v>
      </c>
      <c r="I3667" s="25" t="str">
        <f>IF(OR(E3667="",E3667="!!!",F3667="NEW"),"",INDEX(B3666:B$2,-1+SUMPRODUCT(MAX(ROW(E3666:E$2)*(E3667=E3666:E$2)))))</f>
        <v> </v>
      </c>
      <c r="J3667" s="25" t="str">
        <f>IF(OR(E3667="",E3667="!!!",F3667="NEW"),"",COUNTBLANK(OFFSET(A$1,,,SUMPRODUCT(MAX(ROW(E$2:E3667)*(E3667=E$2:E3667)))))-COUNTBLANK(OFFSET(A$1,,,SUMPRODUCT(MAX(ROW(E$1:E3666)*(E2=E$1:E3666))))))</f>
        <v> </v>
      </c>
      <c r="K3667" s="25" t="str">
        <f>IF(OR(E3667="",E3667="!!!",F3667="NEW"),"",INDEX(J$1:J3666,SUMPRODUCT(MAX(ROW(E$1:E3666)*(E3667=E$1:E3666)))))</f>
        <v> </v>
      </c>
      <c r="L3667" s="26"/>
    </row>
    <row r="3668" spans="1:12">
      <c r="A3668" s="20" t="s">
        <v>963</v>
      </c>
      <c r="E3668" s="21">
        <f>IF(D3668="?OLD","!!!","")</f>
        <v/>
      </c>
      <c r="F3668" s="22" t="str">
        <f>IF(OR(E3668="",E3668="!!!"),"",IF(NOT(ISNA(VLOOKUP(E3668,E$1:E3667,1,FALSE()))),"OLD",IF(AND(E3668&lt;&gt;"",E3668&lt;&gt;"!!!"),"NEW","")))</f>
        <v> </v>
      </c>
      <c r="G3668" s="23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4" t="str">
        <f>IF(J3668&lt;&gt;1,"",IF(I3668="SBJ","CB","?"))</f>
        <v> </v>
      </c>
      <c r="I3668" s="25" t="str">
        <f>IF(OR(E3668="",E3668="!!!",F3668="NEW"),"",INDEX(B3667:B$2,-1+SUMPRODUCT(MAX(ROW(E3667:E$2)*(E3668=E3667:E$2)))))</f>
        <v> </v>
      </c>
      <c r="J3668" s="25" t="str">
        <f>IF(OR(E3668="",E3668="!!!",F3668="NEW"),"",COUNTBLANK(OFFSET(A$1,,,SUMPRODUCT(MAX(ROW(E$2:E3668)*(E3668=E$2:E3668)))))-COUNTBLANK(OFFSET(A$1,,,SUMPRODUCT(MAX(ROW(E$1:E3667)*(E2=E$1:E3667))))))</f>
        <v> </v>
      </c>
      <c r="K3668" s="25" t="str">
        <f>IF(OR(E3668="",E3668="!!!",F3668="NEW"),"",INDEX(J$1:J3667,SUMPRODUCT(MAX(ROW(E$1:E3667)*(E3668=E$1:E3667)))))</f>
        <v> </v>
      </c>
      <c r="L3668" s="26"/>
    </row>
    <row r="3669" spans="1:12">
      <c r="A3669" s="20" t="s">
        <v>1000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774</v>
      </c>
      <c r="B3670" s="27" t="s">
        <v>934</v>
      </c>
      <c r="C3670" s="27" t="s">
        <v>929</v>
      </c>
      <c r="D3670" s="27" t="s">
        <v>930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2330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937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1043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 t="s">
        <v>1044</v>
      </c>
      <c r="B3674" s="27" t="s">
        <v>928</v>
      </c>
      <c r="C3674" s="27" t="s">
        <v>951</v>
      </c>
      <c r="D3674" s="27" t="s">
        <v>930</v>
      </c>
      <c r="E3674" s="21">
        <f>IF(D3674="?OLD","!!!","")</f>
        <v/>
      </c>
      <c r="F3674" s="22" t="str">
        <f>IF(OR(E3674="",E3674="!!!"),"",IF(NOT(ISNA(VLOOKUP(E3674,E$1:E3673,1,FALSE()))),"OLD",IF(AND(E3674&lt;&gt;"",E3674&lt;&gt;"!!!"),"NEW","")))</f>
        <v> </v>
      </c>
      <c r="G3674" s="23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4" t="str">
        <f>IF(J3674&lt;&gt;1,"",IF(I3674="SBJ","CB","?"))</f>
        <v> </v>
      </c>
      <c r="I3674" s="25" t="str">
        <f>IF(OR(E3674="",E3674="!!!",F3674="NEW"),"",INDEX(B3673:B$2,-1+SUMPRODUCT(MAX(ROW(E3673:E$2)*(E3674=E3673:E$2)))))</f>
        <v> </v>
      </c>
      <c r="J3674" s="25" t="str">
        <f>IF(OR(E3674="",E3674="!!!",F3674="NEW"),"",COUNTBLANK(OFFSET(A$1,,,SUMPRODUCT(MAX(ROW(E$2:E3674)*(E3674=E$2:E3674)))))-COUNTBLANK(OFFSET(A$1,,,SUMPRODUCT(MAX(ROW(E$1:E3673)*(E2=E$1:E3673))))))</f>
        <v> </v>
      </c>
      <c r="K3674" s="25" t="str">
        <f>IF(OR(E3674="",E3674="!!!",F3674="NEW"),"",INDEX(J$1:J3673,SUMPRODUCT(MAX(ROW(E$1:E3673)*(E3674=E$1:E3673)))))</f>
        <v> </v>
      </c>
      <c r="L3674" s="26"/>
    </row>
    <row r="3675" spans="1:12">
      <c r="A3675" s="20" t="s">
        <v>989</v>
      </c>
      <c r="E3675" s="21">
        <f>IF(D3675="?OLD","!!!","")</f>
        <v/>
      </c>
      <c r="F3675" s="22" t="str">
        <f>IF(OR(E3675="",E3675="!!!"),"",IF(NOT(ISNA(VLOOKUP(E3675,E$1:E3674,1,FALSE()))),"OLD",IF(AND(E3675&lt;&gt;"",E3675&lt;&gt;"!!!"),"NEW","")))</f>
        <v> </v>
      </c>
      <c r="G3675" s="23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4" t="str">
        <f>IF(J3675&lt;&gt;1,"",IF(I3675="SBJ","CB","?"))</f>
        <v> </v>
      </c>
      <c r="I3675" s="25" t="str">
        <f>IF(OR(E3675="",E3675="!!!",F3675="NEW"),"",INDEX(B3674:B$2,-1+SUMPRODUCT(MAX(ROW(E3674:E$2)*(E3675=E3674:E$2)))))</f>
        <v> </v>
      </c>
      <c r="J3675" s="25" t="str">
        <f>IF(OR(E3675="",E3675="!!!",F3675="NEW"),"",COUNTBLANK(OFFSET(A$1,,,SUMPRODUCT(MAX(ROW(E$2:E3675)*(E3675=E$2:E3675)))))-COUNTBLANK(OFFSET(A$1,,,SUMPRODUCT(MAX(ROW(E$1:E3674)*(E2=E$1:E3674))))))</f>
        <v> </v>
      </c>
      <c r="K3675" s="25" t="str">
        <f>IF(OR(E3675="",E3675="!!!",F3675="NEW"),"",INDEX(J$1:J3674,SUMPRODUCT(MAX(ROW(E$1:E3674)*(E3675=E$1:E3674)))))</f>
        <v> </v>
      </c>
      <c r="L3675" s="26"/>
    </row>
    <row r="3676" spans="1:12">
      <c r="A3676" s="20" t="s">
        <v>2325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937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 t="s">
        <v>962</v>
      </c>
      <c r="E3678" s="21">
        <f>IF(D3678="?OLD","!!!","")</f>
        <v/>
      </c>
      <c r="F3678" s="22" t="str">
        <f>IF(OR(E3678="",E3678="!!!"),"",IF(NOT(ISNA(VLOOKUP(E3678,E$1:E3677,1,FALSE()))),"OLD",IF(AND(E3678&lt;&gt;"",E3678&lt;&gt;"!!!"),"NEW","")))</f>
        <v> </v>
      </c>
      <c r="G3678" s="23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4" t="str">
        <f>IF(J3678&lt;&gt;1,"",IF(I3678="SBJ","CB","?"))</f>
        <v> </v>
      </c>
      <c r="I3678" s="25" t="str">
        <f>IF(OR(E3678="",E3678="!!!",F3678="NEW"),"",INDEX(B3677:B$2,-1+SUMPRODUCT(MAX(ROW(E3677:E$2)*(E3678=E3677:E$2)))))</f>
        <v> </v>
      </c>
      <c r="J3678" s="25" t="str">
        <f>IF(OR(E3678="",E3678="!!!",F3678="NEW"),"",COUNTBLANK(OFFSET(A$1,,,SUMPRODUCT(MAX(ROW(E$2:E3678)*(E3678=E$2:E3678)))))-COUNTBLANK(OFFSET(A$1,,,SUMPRODUCT(MAX(ROW(E$1:E3677)*(E2=E$1:E3677))))))</f>
        <v> </v>
      </c>
      <c r="K3678" s="25" t="str">
        <f>IF(OR(E3678="",E3678="!!!",F3678="NEW"),"",INDEX(J$1:J3677,SUMPRODUCT(MAX(ROW(E$1:E3677)*(E3678=E$1:E3677)))))</f>
        <v> </v>
      </c>
      <c r="L3678" s="26"/>
    </row>
    <row r="3679" spans="1:12">
      <c r="A3679" s="20" t="s">
        <v>925</v>
      </c>
      <c r="E3679" s="21">
        <f>IF(D3679="?OLD","!!!","")</f>
        <v/>
      </c>
      <c r="F3679" s="22" t="str">
        <f>IF(OR(E3679="",E3679="!!!"),"",IF(NOT(ISNA(VLOOKUP(E3679,E$1:E3678,1,FALSE()))),"OLD",IF(AND(E3679&lt;&gt;"",E3679&lt;&gt;"!!!"),"NEW","")))</f>
        <v> </v>
      </c>
      <c r="G3679" s="23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4" t="str">
        <f>IF(J3679&lt;&gt;1,"",IF(I3679="SBJ","CB","?"))</f>
        <v> </v>
      </c>
      <c r="I3679" s="25" t="str">
        <f>IF(OR(E3679="",E3679="!!!",F3679="NEW"),"",INDEX(B3678:B$2,-1+SUMPRODUCT(MAX(ROW(E3678:E$2)*(E3679=E3678:E$2)))))</f>
        <v> </v>
      </c>
      <c r="J3679" s="25" t="str">
        <f>IF(OR(E3679="",E3679="!!!",F3679="NEW"),"",COUNTBLANK(OFFSET(A$1,,,SUMPRODUCT(MAX(ROW(E$2:E3679)*(E3679=E$2:E3679)))))-COUNTBLANK(OFFSET(A$1,,,SUMPRODUCT(MAX(ROW(E$1:E3678)*(E2=E$1:E3678))))))</f>
        <v> </v>
      </c>
      <c r="K3679" s="25" t="str">
        <f>IF(OR(E3679="",E3679="!!!",F3679="NEW"),"",INDEX(J$1:J3678,SUMPRODUCT(MAX(ROW(E$1:E3678)*(E3679=E$1:E3678)))))</f>
        <v> </v>
      </c>
      <c r="L3679" s="26"/>
    </row>
    <row r="3680" spans="1:12">
      <c r="A3680" s="20" t="s">
        <v>774</v>
      </c>
      <c r="B3680" s="27" t="s">
        <v>968</v>
      </c>
      <c r="C3680" s="27" t="s">
        <v>929</v>
      </c>
      <c r="D3680" s="27" t="s">
        <v>930</v>
      </c>
      <c r="E3680" s="21">
        <f>IF(D3680="?OLD","!!!","")</f>
        <v/>
      </c>
      <c r="F3680" s="22" t="str">
        <f>IF(OR(E3680="",E3680="!!!"),"",IF(NOT(ISNA(VLOOKUP(E3680,E$1:E3679,1,FALSE()))),"OLD",IF(AND(E3680&lt;&gt;"",E3680&lt;&gt;"!!!"),"NEW","")))</f>
        <v> </v>
      </c>
      <c r="G3680" s="23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4" t="str">
        <f>IF(J3680&lt;&gt;1,"",IF(I3680="SBJ","CB","?"))</f>
        <v> </v>
      </c>
      <c r="I3680" s="25" t="str">
        <f>IF(OR(E3680="",E3680="!!!",F3680="NEW"),"",INDEX(B3679:B$2,-1+SUMPRODUCT(MAX(ROW(E3679:E$2)*(E3680=E3679:E$2)))))</f>
        <v> </v>
      </c>
      <c r="J3680" s="25" t="str">
        <f>IF(OR(E3680="",E3680="!!!",F3680="NEW"),"",COUNTBLANK(OFFSET(A$1,,,SUMPRODUCT(MAX(ROW(E$2:E3680)*(E3680=E$2:E3680)))))-COUNTBLANK(OFFSET(A$1,,,SUMPRODUCT(MAX(ROW(E$1:E3679)*(E2=E$1:E3679))))))</f>
        <v> </v>
      </c>
      <c r="K3680" s="25" t="str">
        <f>IF(OR(E3680="",E3680="!!!",F3680="NEW"),"",INDEX(J$1:J3679,SUMPRODUCT(MAX(ROW(E$1:E3679)*(E3680=E$1:E3679)))))</f>
        <v> </v>
      </c>
      <c r="L3680" s="26"/>
    </row>
    <row r="3681" spans="1:12">
      <c r="A3681" s="20" t="s">
        <v>2284</v>
      </c>
      <c r="E3681" s="21">
        <f>IF(D3681="?OLD","!!!","")</f>
        <v/>
      </c>
      <c r="F3681" s="22" t="str">
        <f>IF(OR(E3681="",E3681="!!!"),"",IF(NOT(ISNA(VLOOKUP(E3681,E$1:E3680,1,FALSE()))),"OLD",IF(AND(E3681&lt;&gt;"",E3681&lt;&gt;"!!!"),"NEW","")))</f>
        <v> </v>
      </c>
      <c r="G3681" s="23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4" t="str">
        <f>IF(J3681&lt;&gt;1,"",IF(I3681="SBJ","CB","?"))</f>
        <v> </v>
      </c>
      <c r="I3681" s="25" t="str">
        <f>IF(OR(E3681="",E3681="!!!",F3681="NEW"),"",INDEX(B3680:B$2,-1+SUMPRODUCT(MAX(ROW(E3680:E$2)*(E3681=E3680:E$2)))))</f>
        <v> </v>
      </c>
      <c r="J3681" s="25" t="str">
        <f>IF(OR(E3681="",E3681="!!!",F3681="NEW"),"",COUNTBLANK(OFFSET(A$1,,,SUMPRODUCT(MAX(ROW(E$2:E3681)*(E3681=E$2:E3681)))))-COUNTBLANK(OFFSET(A$1,,,SUMPRODUCT(MAX(ROW(E$1:E3680)*(E2=E$1:E3680))))))</f>
        <v> </v>
      </c>
      <c r="K3681" s="25" t="str">
        <f>IF(OR(E3681="",E3681="!!!",F3681="NEW"),"",INDEX(J$1:J3680,SUMPRODUCT(MAX(ROW(E$1:E3680)*(E3681=E$1:E3680)))))</f>
        <v> </v>
      </c>
      <c r="L3681" s="26"/>
    </row>
    <row r="3682" spans="1:12">
      <c r="A3682" s="20" t="s">
        <v>2331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2332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 t="s">
        <v>2333</v>
      </c>
      <c r="B3684" s="27" t="s">
        <v>975</v>
      </c>
      <c r="E3684" s="21">
        <f>IF(D3684="?OLD","!!!","")</f>
        <v/>
      </c>
      <c r="F3684" s="22" t="str">
        <f>IF(OR(E3684="",E3684="!!!"),"",IF(NOT(ISNA(VLOOKUP(E3684,E$1:E3683,1,FALSE()))),"OLD",IF(AND(E3684&lt;&gt;"",E3684&lt;&gt;"!!!"),"NEW","")))</f>
        <v> </v>
      </c>
      <c r="G3684" s="23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4" t="str">
        <f>IF(J3684&lt;&gt;1,"",IF(I3684="SBJ","CB","?"))</f>
        <v> </v>
      </c>
      <c r="I3684" s="25" t="str">
        <f>IF(OR(E3684="",E3684="!!!",F3684="NEW"),"",INDEX(B3683:B$2,-1+SUMPRODUCT(MAX(ROW(E3683:E$2)*(E3684=E3683:E$2)))))</f>
        <v> </v>
      </c>
      <c r="J3684" s="25" t="str">
        <f>IF(OR(E3684="",E3684="!!!",F3684="NEW"),"",COUNTBLANK(OFFSET(A$1,,,SUMPRODUCT(MAX(ROW(E$2:E3684)*(E3684=E$2:E3684)))))-COUNTBLANK(OFFSET(A$1,,,SUMPRODUCT(MAX(ROW(E$1:E3683)*(E2=E$1:E3683))))))</f>
        <v> </v>
      </c>
      <c r="K3684" s="25" t="str">
        <f>IF(OR(E3684="",E3684="!!!",F3684="NEW"),"",INDEX(J$1:J3683,SUMPRODUCT(MAX(ROW(E$1:E3683)*(E3684=E$1:E3683)))))</f>
        <v> </v>
      </c>
      <c r="L3684" s="26"/>
    </row>
    <row r="3685" spans="1:12">
      <c r="A3685" s="20" t="s">
        <v>942</v>
      </c>
      <c r="E3685" s="21">
        <f>IF(D3685="?OLD","!!!","")</f>
        <v/>
      </c>
      <c r="F3685" s="22" t="str">
        <f>IF(OR(E3685="",E3685="!!!"),"",IF(NOT(ISNA(VLOOKUP(E3685,E$1:E3684,1,FALSE()))),"OLD",IF(AND(E3685&lt;&gt;"",E3685&lt;&gt;"!!!"),"NEW","")))</f>
        <v> </v>
      </c>
      <c r="G3685" s="23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4" t="str">
        <f>IF(J3685&lt;&gt;1,"",IF(I3685="SBJ","CB","?"))</f>
        <v> </v>
      </c>
      <c r="I3685" s="25" t="str">
        <f>IF(OR(E3685="",E3685="!!!",F3685="NEW"),"",INDEX(B3684:B$2,-1+SUMPRODUCT(MAX(ROW(E3684:E$2)*(E3685=E3684:E$2)))))</f>
        <v> </v>
      </c>
      <c r="J3685" s="25" t="str">
        <f>IF(OR(E3685="",E3685="!!!",F3685="NEW"),"",COUNTBLANK(OFFSET(A$1,,,SUMPRODUCT(MAX(ROW(E$2:E3685)*(E3685=E$2:E3685)))))-COUNTBLANK(OFFSET(A$1,,,SUMPRODUCT(MAX(ROW(E$1:E3684)*(E2=E$1:E3684))))))</f>
        <v> </v>
      </c>
      <c r="K3685" s="25" t="str">
        <f>IF(OR(E3685="",E3685="!!!",F3685="NEW"),"",INDEX(J$1:J3684,SUMPRODUCT(MAX(ROW(E$1:E3684)*(E3685=E$1:E3684)))))</f>
        <v> </v>
      </c>
      <c r="L3685" s="26"/>
    </row>
    <row r="3686" spans="1:12">
      <c r="A3686" s="20"/>
    </row>
    <row r="3687" spans="1:12">
      <c r="A3687" s="20" t="s">
        <v>2334</v>
      </c>
    </row>
    <row r="3688" spans="1:12">
      <c r="A3688" s="20" t="s">
        <v>1009</v>
      </c>
      <c r="B3688" s="27" t="s">
        <v>947</v>
      </c>
      <c r="C3688" s="27" t="s">
        <v>929</v>
      </c>
      <c r="D3688" s="27" t="s">
        <v>930</v>
      </c>
      <c r="E3688" s="21">
        <f>IF(D3688="?OLD","!!!","")</f>
        <v/>
      </c>
      <c r="F3688" s="22" t="str">
        <f>IF(OR(E3688="",E3688="!!!"),"",IF(NOT(ISNA(VLOOKUP(E3688,E$1:E3687,1,FALSE()))),"OLD",IF(AND(E3688&lt;&gt;"",E3688&lt;&gt;"!!!"),"NEW","")))</f>
        <v> </v>
      </c>
      <c r="G3688" s="23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4" t="str">
        <f>IF(J3688&lt;&gt;1,"",IF(I3688="SBJ","CB","?"))</f>
        <v> </v>
      </c>
      <c r="I3688" s="25" t="str">
        <f>IF(OR(E3688="",E3688="!!!",F3688="NEW"),"",INDEX(B3687:B$2,-1+SUMPRODUCT(MAX(ROW(E3687:E$2)*(E3688=E3687:E$2)))))</f>
        <v> </v>
      </c>
      <c r="J3688" s="25" t="str">
        <f>IF(OR(E3688="",E3688="!!!",F3688="NEW"),"",COUNTBLANK(OFFSET(A$1,,,SUMPRODUCT(MAX(ROW(E$2:E3688)*(E3688=E$2:E3688)))))-COUNTBLANK(OFFSET(A$1,,,SUMPRODUCT(MAX(ROW(E$1:E3687)*(E2=E$1:E3687))))))</f>
        <v> </v>
      </c>
      <c r="K3688" s="25" t="str">
        <f>IF(OR(E3688="",E3688="!!!",F3688="NEW"),"",INDEX(J$1:J3687,SUMPRODUCT(MAX(ROW(E$1:E3687)*(E3688=E$1:E3687)))))</f>
        <v> </v>
      </c>
      <c r="L3688" s="26"/>
    </row>
    <row r="3689" spans="1:12">
      <c r="A3689" s="20" t="s">
        <v>1011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925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500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774</v>
      </c>
      <c r="B3692" s="27" t="s">
        <v>968</v>
      </c>
      <c r="C3692" s="27" t="s">
        <v>929</v>
      </c>
      <c r="D3692" s="27" t="s">
        <v>930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1012</v>
      </c>
      <c r="B3693" s="27" t="s">
        <v>975</v>
      </c>
      <c r="C3693" s="27" t="s">
        <v>1013</v>
      </c>
      <c r="D3693" s="27" t="s">
        <v>930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1247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925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 t="s">
        <v>989</v>
      </c>
      <c r="E3696" s="21">
        <f>IF(D3696="?OLD","!!!","")</f>
        <v/>
      </c>
      <c r="F3696" s="22" t="str">
        <f>IF(OR(E3696="",E3696="!!!"),"",IF(NOT(ISNA(VLOOKUP(E3696,E$1:E3695,1,FALSE()))),"OLD",IF(AND(E3696&lt;&gt;"",E3696&lt;&gt;"!!!"),"NEW","")))</f>
        <v> </v>
      </c>
      <c r="G3696" s="23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4" t="str">
        <f>IF(J3696&lt;&gt;1,"",IF(I3696="SBJ","CB","?"))</f>
        <v> </v>
      </c>
      <c r="I3696" s="25" t="str">
        <f>IF(OR(E3696="",E3696="!!!",F3696="NEW"),"",INDEX(B3695:B$2,-1+SUMPRODUCT(MAX(ROW(E3695:E$2)*(E3696=E3695:E$2)))))</f>
        <v> </v>
      </c>
      <c r="J3696" s="25" t="str">
        <f>IF(OR(E3696="",E3696="!!!",F3696="NEW"),"",COUNTBLANK(OFFSET(A$1,,,SUMPRODUCT(MAX(ROW(E$2:E3696)*(E3696=E$2:E3696)))))-COUNTBLANK(OFFSET(A$1,,,SUMPRODUCT(MAX(ROW(E$1:E3695)*(E2=E$1:E3695))))))</f>
        <v> </v>
      </c>
      <c r="K3696" s="25" t="str">
        <f>IF(OR(E3696="",E3696="!!!",F3696="NEW"),"",INDEX(J$1:J3695,SUMPRODUCT(MAX(ROW(E$1:E3695)*(E3696=E$1:E3695)))))</f>
        <v> </v>
      </c>
      <c r="L3696" s="26"/>
    </row>
    <row r="3697" spans="1:12">
      <c r="A3697" s="20" t="s">
        <v>925</v>
      </c>
      <c r="E3697" s="21">
        <f>IF(D3697="?OLD","!!!","")</f>
        <v/>
      </c>
      <c r="F3697" s="22" t="str">
        <f>IF(OR(E3697="",E3697="!!!"),"",IF(NOT(ISNA(VLOOKUP(E3697,E$1:E3696,1,FALSE()))),"OLD",IF(AND(E3697&lt;&gt;"",E3697&lt;&gt;"!!!"),"NEW","")))</f>
        <v> </v>
      </c>
      <c r="G3697" s="23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4" t="str">
        <f>IF(J3697&lt;&gt;1,"",IF(I3697="SBJ","CB","?"))</f>
        <v> </v>
      </c>
      <c r="I3697" s="25" t="str">
        <f>IF(OR(E3697="",E3697="!!!",F3697="NEW"),"",INDEX(B3696:B$2,-1+SUMPRODUCT(MAX(ROW(E3696:E$2)*(E3697=E3696:E$2)))))</f>
        <v> </v>
      </c>
      <c r="J3697" s="25" t="str">
        <f>IF(OR(E3697="",E3697="!!!",F3697="NEW"),"",COUNTBLANK(OFFSET(A$1,,,SUMPRODUCT(MAX(ROW(E$2:E3697)*(E3697=E$2:E3697)))))-COUNTBLANK(OFFSET(A$1,,,SUMPRODUCT(MAX(ROW(E$1:E3696)*(E2=E$1:E3696))))))</f>
        <v> </v>
      </c>
      <c r="K3697" s="25" t="str">
        <f>IF(OR(E3697="",E3697="!!!",F3697="NEW"),"",INDEX(J$1:J3696,SUMPRODUCT(MAX(ROW(E$1:E3696)*(E3697=E$1:E3696)))))</f>
        <v> </v>
      </c>
      <c r="L3697" s="26"/>
    </row>
    <row r="3698" spans="1:12">
      <c r="A3698" s="20" t="s">
        <v>1049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2335</v>
      </c>
      <c r="B3699" s="27" t="s">
        <v>928</v>
      </c>
      <c r="C3699" s="27" t="s">
        <v>1066</v>
      </c>
      <c r="D3699" s="27" t="s">
        <v>930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2336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 t="s">
        <v>1828</v>
      </c>
      <c r="E3701" s="21">
        <f>IF(D3701="?OLD","!!!","")</f>
        <v/>
      </c>
      <c r="F3701" s="22" t="str">
        <f>IF(OR(E3701="",E3701="!!!"),"",IF(NOT(ISNA(VLOOKUP(E3701,E$1:E3700,1,FALSE()))),"OLD",IF(AND(E3701&lt;&gt;"",E3701&lt;&gt;"!!!"),"NEW","")))</f>
        <v> </v>
      </c>
      <c r="G3701" s="23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4" t="str">
        <f>IF(J3701&lt;&gt;1,"",IF(I3701="SBJ","CB","?"))</f>
        <v> </v>
      </c>
      <c r="I3701" s="25" t="str">
        <f>IF(OR(E3701="",E3701="!!!",F3701="NEW"),"",INDEX(B3700:B$2,-1+SUMPRODUCT(MAX(ROW(E3700:E$2)*(E3701=E3700:E$2)))))</f>
        <v> </v>
      </c>
      <c r="J3701" s="25" t="str">
        <f>IF(OR(E3701="",E3701="!!!",F3701="NEW"),"",COUNTBLANK(OFFSET(A$1,,,SUMPRODUCT(MAX(ROW(E$2:E3701)*(E3701=E$2:E3701)))))-COUNTBLANK(OFFSET(A$1,,,SUMPRODUCT(MAX(ROW(E$1:E3700)*(E2=E$1:E3700))))))</f>
        <v> </v>
      </c>
      <c r="K3701" s="25" t="str">
        <f>IF(OR(E3701="",E3701="!!!",F3701="NEW"),"",INDEX(J$1:J3700,SUMPRODUCT(MAX(ROW(E$1:E3700)*(E3701=E$1:E3700)))))</f>
        <v> </v>
      </c>
      <c r="L3701" s="26"/>
    </row>
    <row r="3702" spans="1:12">
      <c r="A3702" s="20" t="s">
        <v>925</v>
      </c>
      <c r="E3702" s="21">
        <f>IF(D3702="?OLD","!!!","")</f>
        <v/>
      </c>
      <c r="F3702" s="22" t="str">
        <f>IF(OR(E3702="",E3702="!!!"),"",IF(NOT(ISNA(VLOOKUP(E3702,E$1:E3701,1,FALSE()))),"OLD",IF(AND(E3702&lt;&gt;"",E3702&lt;&gt;"!!!"),"NEW","")))</f>
        <v> </v>
      </c>
      <c r="G3702" s="23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4" t="str">
        <f>IF(J3702&lt;&gt;1,"",IF(I3702="SBJ","CB","?"))</f>
        <v> </v>
      </c>
      <c r="I3702" s="25" t="str">
        <f>IF(OR(E3702="",E3702="!!!",F3702="NEW"),"",INDEX(B3701:B$2,-1+SUMPRODUCT(MAX(ROW(E3701:E$2)*(E3702=E3701:E$2)))))</f>
        <v> </v>
      </c>
      <c r="J3702" s="25" t="str">
        <f>IF(OR(E3702="",E3702="!!!",F3702="NEW"),"",COUNTBLANK(OFFSET(A$1,,,SUMPRODUCT(MAX(ROW(E$2:E3702)*(E3702=E$2:E3702)))))-COUNTBLANK(OFFSET(A$1,,,SUMPRODUCT(MAX(ROW(E$1:E3701)*(E2=E$1:E3701))))))</f>
        <v> </v>
      </c>
      <c r="K3702" s="25" t="str">
        <f>IF(OR(E3702="",E3702="!!!",F3702="NEW"),"",INDEX(J$1:J3701,SUMPRODUCT(MAX(ROW(E$1:E3701)*(E3702=E$1:E3701)))))</f>
        <v> </v>
      </c>
      <c r="L3702" s="26"/>
    </row>
    <row r="3703" spans="1:12">
      <c r="A3703" s="20" t="s">
        <v>1787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1012</v>
      </c>
      <c r="B3704" s="27" t="s">
        <v>968</v>
      </c>
      <c r="C3704" s="27" t="s">
        <v>1013</v>
      </c>
      <c r="D3704" s="27" t="s">
        <v>930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1099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2337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 t="s">
        <v>1669</v>
      </c>
      <c r="B3707" s="27" t="s">
        <v>975</v>
      </c>
      <c r="E3707" s="21">
        <f>IF(D3707="?OLD","!!!","")</f>
        <v/>
      </c>
      <c r="F3707" s="22" t="str">
        <f>IF(OR(E3707="",E3707="!!!"),"",IF(NOT(ISNA(VLOOKUP(E3707,E$1:E3706,1,FALSE()))),"OLD",IF(AND(E3707&lt;&gt;"",E3707&lt;&gt;"!!!"),"NEW","")))</f>
        <v> </v>
      </c>
      <c r="G3707" s="23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4" t="str">
        <f>IF(J3707&lt;&gt;1,"",IF(I3707="SBJ","CB","?"))</f>
        <v> </v>
      </c>
      <c r="I3707" s="25" t="str">
        <f>IF(OR(E3707="",E3707="!!!",F3707="NEW"),"",INDEX(B3706:B$2,-1+SUMPRODUCT(MAX(ROW(E3706:E$2)*(E3707=E3706:E$2)))))</f>
        <v> </v>
      </c>
      <c r="J3707" s="25" t="str">
        <f>IF(OR(E3707="",E3707="!!!",F3707="NEW"),"",COUNTBLANK(OFFSET(A$1,,,SUMPRODUCT(MAX(ROW(E$2:E3707)*(E3707=E$2:E3707)))))-COUNTBLANK(OFFSET(A$1,,,SUMPRODUCT(MAX(ROW(E$1:E3706)*(E2=E$1:E3706))))))</f>
        <v> </v>
      </c>
      <c r="K3707" s="25" t="str">
        <f>IF(OR(E3707="",E3707="!!!",F3707="NEW"),"",INDEX(J$1:J3706,SUMPRODUCT(MAX(ROW(E$1:E3706)*(E3707=E$1:E3706)))))</f>
        <v> </v>
      </c>
      <c r="L3707" s="26"/>
    </row>
    <row r="3708" spans="1:12">
      <c r="A3708" s="20" t="s">
        <v>942</v>
      </c>
      <c r="E3708" s="21">
        <f>IF(D3708="?OLD","!!!","")</f>
        <v/>
      </c>
      <c r="F3708" s="22" t="str">
        <f>IF(OR(E3708="",E3708="!!!"),"",IF(NOT(ISNA(VLOOKUP(E3708,E$1:E3707,1,FALSE()))),"OLD",IF(AND(E3708&lt;&gt;"",E3708&lt;&gt;"!!!"),"NEW","")))</f>
        <v> </v>
      </c>
      <c r="G3708" s="23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4" t="str">
        <f>IF(J3708&lt;&gt;1,"",IF(I3708="SBJ","CB","?"))</f>
        <v> </v>
      </c>
      <c r="I3708" s="25" t="str">
        <f>IF(OR(E3708="",E3708="!!!",F3708="NEW"),"",INDEX(B3707:B$2,-1+SUMPRODUCT(MAX(ROW(E3707:E$2)*(E3708=E3707:E$2)))))</f>
        <v> </v>
      </c>
      <c r="J3708" s="25" t="str">
        <f>IF(OR(E3708="",E3708="!!!",F3708="NEW"),"",COUNTBLANK(OFFSET(A$1,,,SUMPRODUCT(MAX(ROW(E$2:E3708)*(E3708=E$2:E3708)))))-COUNTBLANK(OFFSET(A$1,,,SUMPRODUCT(MAX(ROW(E$1:E3707)*(E2=E$1:E3707))))))</f>
        <v> </v>
      </c>
      <c r="K3708" s="25" t="str">
        <f>IF(OR(E3708="",E3708="!!!",F3708="NEW"),"",INDEX(J$1:J3707,SUMPRODUCT(MAX(ROW(E$1:E3707)*(E3708=E$1:E3707)))))</f>
        <v> </v>
      </c>
      <c r="L3708" s="26"/>
    </row>
    <row r="3709" spans="1:12">
      <c r="A3709" s="20"/>
    </row>
    <row r="3710" spans="1:12">
      <c r="A3710" s="20" t="s">
        <v>2338</v>
      </c>
    </row>
    <row r="3711" spans="1:12">
      <c r="A3711" s="20" t="s">
        <v>2339</v>
      </c>
      <c r="E3711" s="21">
        <f>IF(D3711="?OLD","!!!","")</f>
        <v/>
      </c>
      <c r="F3711" s="22" t="str">
        <f>IF(OR(E3711="",E3711="!!!"),"",IF(NOT(ISNA(VLOOKUP(E3711,E$1:E3710,1,FALSE()))),"OLD",IF(AND(E3711&lt;&gt;"",E3711&lt;&gt;"!!!"),"NEW","")))</f>
        <v> </v>
      </c>
      <c r="G3711" s="23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4" t="str">
        <f>IF(J3711&lt;&gt;1,"",IF(I3711="SBJ","CB","?"))</f>
        <v> </v>
      </c>
      <c r="I3711" s="25" t="str">
        <f>IF(OR(E3711="",E3711="!!!",F3711="NEW"),"",INDEX(B3710:B$2,-1+SUMPRODUCT(MAX(ROW(E3710:E$2)*(E3711=E3710:E$2)))))</f>
        <v> </v>
      </c>
      <c r="J3711" s="25" t="str">
        <f>IF(OR(E3711="",E3711="!!!",F3711="NEW"),"",COUNTBLANK(OFFSET(A$1,,,SUMPRODUCT(MAX(ROW(E$2:E3711)*(E3711=E$2:E3711)))))-COUNTBLANK(OFFSET(A$1,,,SUMPRODUCT(MAX(ROW(E$1:E3710)*(E2=E$1:E3710))))))</f>
        <v> </v>
      </c>
      <c r="K3711" s="25" t="str">
        <f>IF(OR(E3711="",E3711="!!!",F3711="NEW"),"",INDEX(J$1:J3710,SUMPRODUCT(MAX(ROW(E$1:E3710)*(E3711=E$1:E3710)))))</f>
        <v> </v>
      </c>
      <c r="L3711" s="26"/>
    </row>
    <row r="3712" spans="1:12">
      <c r="A3712" s="20" t="s">
        <v>942</v>
      </c>
      <c r="E3712" s="21">
        <f>IF(D3712="?OLD","!!!","")</f>
        <v/>
      </c>
      <c r="F3712" s="22" t="str">
        <f>IF(OR(E3712="",E3712="!!!"),"",IF(NOT(ISNA(VLOOKUP(E3712,E$1:E3711,1,FALSE()))),"OLD",IF(AND(E3712&lt;&gt;"",E3712&lt;&gt;"!!!"),"NEW","")))</f>
        <v> </v>
      </c>
      <c r="G3712" s="23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4" t="str">
        <f>IF(J3712&lt;&gt;1,"",IF(I3712="SBJ","CB","?"))</f>
        <v> </v>
      </c>
      <c r="I3712" s="25" t="str">
        <f>IF(OR(E3712="",E3712="!!!",F3712="NEW"),"",INDEX(B3711:B$2,-1+SUMPRODUCT(MAX(ROW(E3711:E$2)*(E3712=E3711:E$2)))))</f>
        <v> </v>
      </c>
      <c r="J3712" s="25" t="str">
        <f>IF(OR(E3712="",E3712="!!!",F3712="NEW"),"",COUNTBLANK(OFFSET(A$1,,,SUMPRODUCT(MAX(ROW(E$2:E3712)*(E3712=E$2:E3712)))))-COUNTBLANK(OFFSET(A$1,,,SUMPRODUCT(MAX(ROW(E$1:E3711)*(E2=E$1:E3711))))))</f>
        <v> </v>
      </c>
      <c r="K3712" s="25" t="str">
        <f>IF(OR(E3712="",E3712="!!!",F3712="NEW"),"",INDEX(J$1:J3711,SUMPRODUCT(MAX(ROW(E$1:E3711)*(E3712=E$1:E3711)))))</f>
        <v> </v>
      </c>
      <c r="L3712" s="26"/>
    </row>
    <row r="3713" spans="1:1">
      <c r="A3713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2024-07-05T04:32:53Z</dcterms:created>
  <dcterms:modified xsi:type="dcterms:W3CDTF">2024-07-05T04:32:53Z</dcterms:modified>
</cp:coreProperties>
</file>