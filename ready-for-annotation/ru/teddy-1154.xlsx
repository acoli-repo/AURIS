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<sst xmlns="http://schemas.openxmlformats.org/spreadsheetml/2006/main" count="5695" uniqueCount="2088">
  <si>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</si>
  <si>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</si>
  <si>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</si>
  <si>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</si>
  <si>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</si>
  <si>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</si>
  <si>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</si>
  <si>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</si>
  <si>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</si>
  <si>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</si>
  <si>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</si>
  <si>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</si>
  <si>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</si>
  <si>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хотеть</t>
  </si>
  <si>
    <t>Я хотела бы поделиться с вами открытием , которое я сделала несколько месяцев назад , во время работы над статьёй для журнала Italian Wired .</t>
  </si>
  <si>
    <t>file://conllu/ru/teddy-1154.conllu#s1_0</t>
  </si>
  <si>
    <t>9</t>
  </si>
  <si>
    <t>рука</t>
  </si>
  <si>
    <t>Когда я пишу , у меня всегда под рукой словарь синонимов и ассоциаций .</t>
  </si>
  <si>
    <t>file://conllu/ru/teddy-1154.conllu#s2_0</t>
  </si>
  <si>
    <t>3</t>
  </si>
  <si>
    <t>заканчивать</t>
  </si>
  <si>
    <t>Я уже заканчивала просмотр последнего варианта , как вдруг подумала , что я ни разу в жизни не поинтересовалась , как словарь определяет слово «нетрудоспособный» .</t>
  </si>
  <si>
    <t>file://conllu/ru/teddy-1154.conllu#s3_0</t>
  </si>
  <si>
    <t>4</t>
  </si>
  <si>
    <t>зачитывать</t>
  </si>
  <si>
    <t>Зачитываю из словаря ассоциаций : «Нетрудоспособный ( прилагательное ) – покалеченный , беспомощный , бесполезный , разбитый , застопоренный , изуродованный , раненный , изуродованный , хромой , изувеченный , истощённый , измученный , ослабленный , немощный , выхолощенный , парализованный , неполноценный , слабоумный , дряхлый , лежачий , утомлённый , обречённый , измождённый , разбитый , выбывший ; смотри также : больной , бесполезный , слабый .</t>
  </si>
  <si>
    <t>file://conllu/ru/teddy-1154.conllu#s4_0</t>
  </si>
  <si>
    <t>5</t>
  </si>
  <si>
    <t>Антонимый</t>
  </si>
  <si>
    <t>Антонимы : здоровый , сильный , способный» .</t>
  </si>
  <si>
    <t>file://conllu/ru/teddy-1154.conllu#s5_0</t>
  </si>
  <si>
    <t>6</t>
  </si>
  <si>
    <t>Я зачитывала подруге этот список вслух и , по началу , смеялась – настолько это было нелепо .</t>
  </si>
  <si>
    <t>file://conllu/ru/teddy-1154.conllu#s6_0</t>
  </si>
  <si>
    <t>7</t>
  </si>
  <si>
    <t>10</t>
  </si>
  <si>
    <t>падать</t>
  </si>
  <si>
    <t>Но когда я дошла до «изуродованный» , мой голос упал , и я вынуждена была остановиться , чтобы оправиться от эмоционального шока и удара , вызванного шквалом таких слов .</t>
  </si>
  <si>
    <t>file://conllu/ru/teddy-1154.conllu#s7_0</t>
  </si>
  <si>
    <t>8</t>
  </si>
  <si>
    <t>словарь</t>
  </si>
  <si>
    <t>«Так это ведь мой истрёпанный старый словарь .» Я начинаю подозревать , что всё дело в слишком старой дате издания .</t>
  </si>
  <si>
    <t>file://conllu/ru/teddy-1154.conllu#s8_0</t>
  </si>
  <si>
    <t>Однако?</t>
  </si>
  <si>
    <t>быть (быть начало)</t>
  </si>
  <si>
    <t>Однако , издание было начала 80-х годов .</t>
  </si>
  <si>
    <t>file://conllu/ru/teddy-1154.conllu#s9_0</t>
  </si>
  <si>
    <t>период</t>
  </si>
  <si>
    <t>Как раз тот период , когда я пошла в школу и я начинала видеть себя глазами окружающих за пределами нашей семьи , глазами других детей , окружающего мира .</t>
  </si>
  <si>
    <t>file://conllu/ru/teddy-1154.conllu#s10_0</t>
  </si>
  <si>
    <t>11</t>
  </si>
  <si>
    <t>стоить</t>
  </si>
  <si>
    <t>Не стоит и говорить , что я благодарна Богу , что я не пользовалась тогда словарём .</t>
  </si>
  <si>
    <t>file://conllu/ru/teddy-1154.conllu#s11_0</t>
  </si>
  <si>
    <t>12</t>
  </si>
  <si>
    <t>мочь</t>
  </si>
  <si>
    <t>Ведь , исходя их этого списка , я могла бы подумать , что родилась в мире , который не имеет для таких , как я , ни одного позитивного термина .</t>
  </si>
  <si>
    <t>file://conllu/ru/teddy-1154.conllu#s12_0</t>
  </si>
  <si>
    <t>13</t>
  </si>
  <si>
    <t>чествовать</t>
  </si>
  <si>
    <t>А ведь сегодня меня фактически чествуют за успехи и события , которые мне принесла моя жизнь .</t>
  </si>
  <si>
    <t>file://conllu/ru/teddy-1154.conllu#s13_0</t>
  </si>
  <si>
    <t>14</t>
  </si>
  <si>
    <t>открыть</t>
  </si>
  <si>
    <t>Поэтому я немедленно открыла онлайновое издание 2009 года , ожидая увидеть достойную редакцию .</t>
  </si>
  <si>
    <t>file://conllu/ru/teddy-1154.conllu#s14_0</t>
  </si>
  <si>
    <t>15</t>
  </si>
  <si>
    <t>редакция</t>
  </si>
  <si>
    <t>Вот обновлённая редакция этого слова .</t>
  </si>
  <si>
    <t>file://conllu/ru/teddy-1154.conllu#s15_0</t>
  </si>
  <si>
    <t>16</t>
  </si>
  <si>
    <t>хороший</t>
  </si>
  <si>
    <t>К сожалению , не намного лучше .</t>
  </si>
  <si>
    <t>file://conllu/ru/teddy-1154.conllu#s16_0</t>
  </si>
  <si>
    <t>17</t>
  </si>
  <si>
    <t>беспокоить</t>
  </si>
  <si>
    <t>Меня особенно беспокоят последние два слова под рубрикой «Близкие антонимы» : «целостный» и «порядочный» .</t>
  </si>
  <si>
    <t>file://conllu/ru/teddy-1154.conllu#s17_0</t>
  </si>
  <si>
    <t>18</t>
  </si>
  <si>
    <t>слово</t>
  </si>
  <si>
    <t>Значит , дело не просто в словах , а в том , что ожидается от человека , которого называют этими словами .</t>
  </si>
  <si>
    <t>file://conllu/ru/teddy-1154.conllu#s18_0</t>
  </si>
  <si>
    <t>19</t>
  </si>
  <si>
    <t>дело</t>
  </si>
  <si>
    <t>Дело – в ценностях , скрытых за словами и в том , как создаются эти ценности .</t>
  </si>
  <si>
    <t>file://conllu/ru/teddy-1154.conllu#s19_0</t>
  </si>
  <si>
    <t>20</t>
  </si>
  <si>
    <t>влиять</t>
  </si>
  <si>
    <t>Язык влияет на наше мышление и восприятие мира , на наше восприятие окружающих .</t>
  </si>
  <si>
    <t>file://conllu/ru/teddy-1154.conllu#s20_0</t>
  </si>
  <si>
    <t>21</t>
  </si>
  <si>
    <t>Потому?</t>
  </si>
  <si>
    <t>сказать (сказать верить)</t>
  </si>
  <si>
    <t>Люди древности , включая греков и римлян , верили в большую силу высказанного проклятия , потому что сказать что-то вслух – значит вызвать это к жизни .</t>
  </si>
  <si>
    <t>file://conllu/ru/teddy-1154.conllu#s21_0</t>
  </si>
  <si>
    <t>22</t>
  </si>
  <si>
    <t>вопрос</t>
  </si>
  <si>
    <t>А тогда вопрос : какую реальность мы хотим вызвать к жизни – человека ограниченного или полномочного ?</t>
  </si>
  <si>
    <t>file://conllu/ru/teddy-1154.conllu#s22_0</t>
  </si>
  <si>
    <t>23</t>
  </si>
  <si>
    <t>можно</t>
  </si>
  <si>
    <t>Без особых раздумий , просто дав имя человеку , ребёнку , можно ограничить и опутать его силы .</t>
  </si>
  <si>
    <t>file://conllu/ru/teddy-1154.conllu#s23_0</t>
  </si>
  <si>
    <t>24</t>
  </si>
  <si>
    <t>открыть (открыть хотеть)</t>
  </si>
  <si>
    <t>Не хотим ли мы вместо этого открыть ему двери ?</t>
  </si>
  <si>
    <t>file://conllu/ru/teddy-1154.conllu#s24_0</t>
  </si>
  <si>
    <t>25</t>
  </si>
  <si>
    <t>быть (быть врач)</t>
  </si>
  <si>
    <t>Один из тех , кто открыл двери мне , был мой детский врач из Института Дюпона города Уилмингтон , штат Делавэр .</t>
  </si>
  <si>
    <t>file://conllu/ru/teddy-1154.conllu#s25_0</t>
  </si>
  <si>
    <t>26</t>
  </si>
  <si>
    <t>имя</t>
  </si>
  <si>
    <t>Его имя – г-н Пиццутилло .</t>
  </si>
  <si>
    <t>file://conllu/ru/teddy-1154.conllu#s26_0</t>
  </si>
  <si>
    <t>27</t>
  </si>
  <si>
    <t>быть (быть трудный)</t>
  </si>
  <si>
    <t>Американец итальянского происхождения , чьё имя , по-видимому , для большинства американцев было слишком трудно произносить , звался просто Доктор Пи .</t>
  </si>
  <si>
    <t>file://conllu/ru/teddy-1154.conllu#s27_0</t>
  </si>
  <si>
    <t>28</t>
  </si>
  <si>
    <t>носить</t>
  </si>
  <si>
    <t>Доктор Пи всегда носил очень красочные бабочки и всегда был исключительно расположен работать с детьми .</t>
  </si>
  <si>
    <t>file://conllu/ru/teddy-1154.conllu#s28_0</t>
  </si>
  <si>
    <t>29</t>
  </si>
  <si>
    <t>обожать</t>
  </si>
  <si>
    <t>Почти всё , что было связано с моим пребыванием в этой больнице , я обожала , за исключением уроков физической терапии .</t>
  </si>
  <si>
    <t>file://conllu/ru/teddy-1154.conllu#s29_0</t>
  </si>
  <si>
    <t>30</t>
  </si>
  <si>
    <t>приходиться</t>
  </si>
  <si>
    <t>Мне приходилось делать , казалось бесконечную , серию упражнений с разноцветными толстыми резиновыми лентами для укрепления мускулов на ногах .</t>
  </si>
  <si>
    <t>file://conllu/ru/teddy-1154.conllu#s30_0</t>
  </si>
  <si>
    <t>31</t>
  </si>
  <si>
    <t>ненавидеть</t>
  </si>
  <si>
    <t>Я ненавидела эти резиновые ленты больше всего на свете .</t>
  </si>
  <si>
    <t>file://conllu/ru/teddy-1154.conllu#s31_0</t>
  </si>
  <si>
    <t>32</t>
  </si>
  <si>
    <t>Я их ненавидела , я их обзывала , чем могла .</t>
  </si>
  <si>
    <t>file://conllu/ru/teddy-1154.conllu#s32_0</t>
  </si>
  <si>
    <t>33</t>
  </si>
  <si>
    <t>торговаться</t>
  </si>
  <si>
    <t>И , несмотря на 5-летний возраст , я уже торговалась , конечно же , безуспешно , с доктором Пи о том , чтобы он не назначал мне упражнения .</t>
  </si>
  <si>
    <t>file://conllu/ru/teddy-1154.conllu#s33_0</t>
  </si>
  <si>
    <t>34</t>
  </si>
  <si>
    <t>заходить</t>
  </si>
  <si>
    <t>И вот однажды он заходит во время занятий – какие это были изнуряющие и беспощадные занятия ! – и говорит : «Вот это да !</t>
  </si>
  <si>
    <t>file://conllu/ru/teddy-1154.conllu#s34_0</t>
  </si>
  <si>
    <t>35</t>
  </si>
  <si>
    <t>Эй</t>
  </si>
  <si>
    <t>Эйми , да ведь ты такая сильная , энергичная девочка , что я боюсь , ты возьмёшь и порвёшь одну из лент .</t>
  </si>
  <si>
    <t>file://conllu/ru/teddy-1154.conllu#s35_0</t>
  </si>
  <si>
    <t>36</t>
  </si>
  <si>
    <t>дать</t>
  </si>
  <si>
    <t>Если и в самом деле ты сможешь порвать , я дам тебе 100 долларов» .</t>
  </si>
  <si>
    <t>file://conllu/ru/teddy-1154.conllu#s36_0</t>
  </si>
  <si>
    <t>37</t>
  </si>
  <si>
    <t>быть (быть уловка)</t>
  </si>
  <si>
    <t>Конечно же , со стороны доктора Пи это была простая уловка , чтобы я , делая ненавистные мне упражнения , имела соблазнительную перспективу стать самым богатым 5-летним ребёнком среди палат второго этажа .</t>
  </si>
  <si>
    <t>file://conllu/ru/teddy-1154.conllu#s37_0</t>
  </si>
  <si>
    <t>38</t>
  </si>
  <si>
    <t>превратить</t>
  </si>
  <si>
    <t>Но этим самым он фактически превратил ужасную ежедневную рутину в новое и многообещающее для меня увлечение .</t>
  </si>
  <si>
    <t>file://conllu/ru/teddy-1154.conllu#s38_0</t>
  </si>
  <si>
    <t>39</t>
  </si>
  <si>
    <t>думать</t>
  </si>
  <si>
    <t>И сегодня я думаю , насколько его видение меня и заявление , что я сильная и энергичная девочка , сформировало надолго вперёд моё восприятие самой себя , как от природы сильной , энергичной , атлетической девушки .</t>
  </si>
  <si>
    <t>file://conllu/ru/teddy-1154.conllu#s39_0</t>
  </si>
  <si>
    <t>40</t>
  </si>
  <si>
    <t>Вот пример того , как взрослые , используя своё влияние , могут зажечь энергию в ребёнке .</t>
  </si>
  <si>
    <t>file://conllu/ru/teddy-1154.conllu#s40_0</t>
  </si>
  <si>
    <t>41</t>
  </si>
  <si>
    <t>позволять</t>
  </si>
  <si>
    <t>Однако в показанных мною словарных примерах язык не позволяет нам превратить в реальность то , что мы все хотели бы : дать человеку возможность почувствовать свои способности .</t>
  </si>
  <si>
    <t>file://conllu/ru/teddy-1154.conllu#s41_0</t>
  </si>
  <si>
    <t>42</t>
  </si>
  <si>
    <t>поспевать</t>
  </si>
  <si>
    <t>Язык не поспевает за изменениями в нашем обществе , многие из которых вызваны развитием техники .</t>
  </si>
  <si>
    <t>file://conllu/ru/teddy-1154.conllu#s42_0</t>
  </si>
  <si>
    <t>43</t>
  </si>
  <si>
    <t>использовать (использовать давать)</t>
  </si>
  <si>
    <t>Конечно , с точки зрения достижений медицины , мои ноги , лазерная операция улучшения зрения , коленная чашечка из титана , замена бедра стареющего организма – всё это даёт возможность , используя способности человека , более полно вывести его деятельность за пределы , налагаемые на него природой , не говоря уже о системе социальных сетей ( social networking ) , которые позволяют человеку самому определить себя , настаивать на собственном описании себя и присоединяться к глобальным группам по собственному выбору .</t>
  </si>
  <si>
    <t>file://conllu/ru/teddy-1154.conllu#s43_0</t>
  </si>
  <si>
    <t>44</t>
  </si>
  <si>
    <t>раскрывать</t>
  </si>
  <si>
    <t>Значит , в настоящее время техника раскрывает нам то , что всегда оставалось истиной : что у каждого есть что-то редкое и сильное , представляющее интерес для нашего общества , и что нашим важнейшим достоянием является человеческая способность к адаптации .</t>
  </si>
  <si>
    <t>file://conllu/ru/teddy-1154.conllu#s44_0</t>
  </si>
  <si>
    <t>45</t>
  </si>
  <si>
    <t>штука</t>
  </si>
  <si>
    <t>Эта человеческая способность к адаптации – очень интересная штука , потому что окружающие постоянно хотели говорить со мной о преодолении неблагоприятных обстоятельств , и тут я должна сделать признание .</t>
  </si>
  <si>
    <t>file://conllu/ru/teddy-1154.conllu#s45_0</t>
  </si>
  <si>
    <t>46</t>
  </si>
  <si>
    <t>нравиться</t>
  </si>
  <si>
    <t>Мне никогда это выражение не нравилось , мне всегда было неловко , когда я пыталась отвечать на вопросы по этому поводу , и теперь , мне кажется , я понимаю отчего .</t>
  </si>
  <si>
    <t>file://conllu/ru/teddy-1154.conllu#s46_0</t>
  </si>
  <si>
    <t>47</t>
  </si>
  <si>
    <t>присутствовать</t>
  </si>
  <si>
    <t>В выражении «преодолеть неблагоприятные обстоятельства» скрыто присутствует мысль об успехе и счастье , о преодолении трудного периода целым и невредимым так , чтобы неблагоприятные обстоятельства не оставили следа .</t>
  </si>
  <si>
    <t>file://conllu/ru/teddy-1154.conllu#s47_0</t>
  </si>
  <si>
    <t>48</t>
  </si>
  <si>
    <t>зиждиться</t>
  </si>
  <si>
    <t>Как если мой успех в жизни зиждется на моей способности обойти или уклониться от естественных опасностей протезной жизни , или от других предполагаемых причин моей нетрудоспособности .</t>
  </si>
  <si>
    <t>file://conllu/ru/teddy-1154.conllu#s48_0</t>
  </si>
  <si>
    <t>49</t>
  </si>
  <si>
    <t>изменяться</t>
  </si>
  <si>
    <t>На самом же деле , мы изменяемся .</t>
  </si>
  <si>
    <t>file://conllu/ru/teddy-1154.conllu#s49_0</t>
  </si>
  <si>
    <t>50</t>
  </si>
  <si>
    <t>оставлять</t>
  </si>
  <si>
    <t>Трудные обстоятельства , безусловно , оставляют следы – физические , эмоциональные , а то и оба .</t>
  </si>
  <si>
    <t>file://conllu/ru/teddy-1154.conllu#s50_0</t>
  </si>
  <si>
    <t>51</t>
  </si>
  <si>
    <t>утверждать</t>
  </si>
  <si>
    <t>И я утверждаю , что это – хорошо .</t>
  </si>
  <si>
    <t>file://conllu/ru/teddy-1154.conllu#s51_0</t>
  </si>
  <si>
    <t>52</t>
  </si>
  <si>
    <t>помеха</t>
  </si>
  <si>
    <t>Неблагоприятные обстоятельства – это не помеха , которую надо обойти стороной , чтобы восстановить нормальную жизнь .</t>
  </si>
  <si>
    <t>file://conllu/ru/teddy-1154.conllu#s52_0</t>
  </si>
  <si>
    <t>53</t>
  </si>
  <si>
    <t>часть</t>
  </si>
  <si>
    <t>Это – часть нашей жизни .</t>
  </si>
  <si>
    <t>file://conllu/ru/teddy-1154.conllu#s53_0</t>
  </si>
  <si>
    <t>54</t>
  </si>
  <si>
    <t>воспринимать</t>
  </si>
  <si>
    <t>Я воспринимаю эти обстоятельства , как собственную тень .</t>
  </si>
  <si>
    <t>file://conllu/ru/teddy-1154.conllu#s54_0</t>
  </si>
  <si>
    <t>55</t>
  </si>
  <si>
    <t>видеть</t>
  </si>
  <si>
    <t>Иногда я вижу , что она длинная , иногда , что совсем короткая , но она всегда со мной .</t>
  </si>
  <si>
    <t>file://conllu/ru/teddy-1154.conllu#s55_0</t>
  </si>
  <si>
    <t>56</t>
  </si>
  <si>
    <t>пытаться</t>
  </si>
  <si>
    <t>Я не пытаюсь , конечно же , умалить тяжесть борьбы с обстоятельствами и её эффект .</t>
  </si>
  <si>
    <t>file://conllu/ru/teddy-1154.conllu#s56_0</t>
  </si>
  <si>
    <t>57</t>
  </si>
  <si>
    <t>полный</t>
  </si>
  <si>
    <t>Жизнь полна неблагоприятных обстоятельств , и в каждом случае они весьма реальны и конкретны .</t>
  </si>
  <si>
    <t>file://conllu/ru/teddy-1154.conllu#s57_0</t>
  </si>
  <si>
    <t>58</t>
  </si>
  <si>
    <t>то</t>
  </si>
  <si>
    <t>Вопрос не в том , встретитесь ли вы с неблагоприятными обстоятельствами , а в том , как вы с ними встретитесь .</t>
  </si>
  <si>
    <t>file://conllu/ru/teddy-1154.conllu#s58_0</t>
  </si>
  <si>
    <t>59</t>
  </si>
  <si>
    <t>Значит , наша ответственность перед близким человеком не в том , чтобы его просто уберечь , а в том , чтобы подготовить его к достойному ответу на обстоятельства .</t>
  </si>
  <si>
    <t>file://conllu/ru/teddy-1154.conllu#s59_0</t>
  </si>
  <si>
    <t>60</t>
  </si>
  <si>
    <t>оказывать</t>
  </si>
  <si>
    <t>Мы оказываем плохую услугу детям , если внушаем им чувство неподготовленности к адаптациям .</t>
  </si>
  <si>
    <t>file://conllu/ru/teddy-1154.conllu#s60_0</t>
  </si>
  <si>
    <t>61</t>
  </si>
  <si>
    <t>быть</t>
  </si>
  <si>
    <t>Есть большое и важное различие между объективным медицинским фактом того , что мои ноги ампутированы , и субъективным мнением общества о том , что я неполноценный человек .</t>
  </si>
  <si>
    <t>file://conllu/ru/teddy-1154.conllu#s61_0</t>
  </si>
  <si>
    <t>62</t>
  </si>
  <si>
    <t>говорить (говорить состоять)</t>
  </si>
  <si>
    <t>Честно говоря , единственная реальная и стойкая неполноценность , с которой я сталкиваюсь , состоит в том , что люди продолжают думать и говорить обо мне в терминах , которые я вам показала .</t>
  </si>
  <si>
    <t>file://conllu/ru/teddy-1154.conllu#s62_0</t>
  </si>
  <si>
    <t>63</t>
  </si>
  <si>
    <t>Вместе?</t>
  </si>
  <si>
    <t>защитить</t>
  </si>
  <si>
    <t>При всём желании защитить близкого человека , мы обязаны , вместе с сообщением ему холодной и жестокой правды медицинского прогноза , а то и прогноза о характере его дальнейшей жизни , мы обязаны позаботиться о том , чтобы тем самым не положить первый кирпич в стену , которая сделает его действительно неполноценным .</t>
  </si>
  <si>
    <t>file://conllu/ru/teddy-1154.conllu#s63_0</t>
  </si>
  <si>
    <t>64</t>
  </si>
  <si>
    <t>способствовать</t>
  </si>
  <si>
    <t>Возможно , обычные действия – установить нефункционирующий орган и попытаться исправить его – больше способствуют неполноценности человека , чем сама болезнь или травма .</t>
  </si>
  <si>
    <t>file://conllu/ru/teddy-1154.conllu#s64_0</t>
  </si>
  <si>
    <t>65</t>
  </si>
  <si>
    <t>потенциал</t>
  </si>
  <si>
    <t>Пренебрежением целостностью человека , игнорированием заложенного в нём потенциала , создаётся ещё один нездоровый очаг сверх того естественного препятствия , с которым ему приходится бороться .</t>
  </si>
  <si>
    <t>file://conllu/ru/teddy-1154.conllu#s65_0</t>
  </si>
  <si>
    <t>66</t>
  </si>
  <si>
    <t>выносить</t>
  </si>
  <si>
    <t>Тем самым , в сущности , выносится оценка ценности человека для сообщества .</t>
  </si>
  <si>
    <t>file://conllu/ru/teddy-1154.conllu#s66_0</t>
  </si>
  <si>
    <t>67</t>
  </si>
  <si>
    <t>необходимый</t>
  </si>
  <si>
    <t>А потому нам необходимо смотреть глубже , чем болезнь или травма , и увидеть весь спектр человеческих возможностей .</t>
  </si>
  <si>
    <t>file://conllu/ru/teddy-1154.conllu#s67_0</t>
  </si>
  <si>
    <t>68</t>
  </si>
  <si>
    <t>главное</t>
  </si>
  <si>
    <t>Самое главное .</t>
  </si>
  <si>
    <t>file://conllu/ru/teddy-1154.conllu#s68_0</t>
  </si>
  <si>
    <t>69</t>
  </si>
  <si>
    <t>Есть согласованная связь между нашими так называемыми дефектами и недостатками и нашими величайшими творческими способностями .</t>
  </si>
  <si>
    <t>file://conllu/ru/teddy-1154.conllu#s69_0</t>
  </si>
  <si>
    <t>70</t>
  </si>
  <si>
    <t>должен</t>
  </si>
  <si>
    <t>Значит , речь должна идти не о том , что надо списать , отрицать , или стыдливо скрывать трудности , а о том , что надо выискивать новые возможности , скрытые внутри неблагоприятных обстоятельств .</t>
  </si>
  <si>
    <t>file://conllu/ru/teddy-1154.conllu#s70_0</t>
  </si>
  <si>
    <t>71</t>
  </si>
  <si>
    <t>Попытаюсь точнее выразить свою мысль : неблагоприятные обстоятельства не столько надо преодолевать , сколько раскрыться им наперекор , обхватить их , сцепиться с ними , пользуясь борцовским термином , может даже потанцевать с ними .</t>
  </si>
  <si>
    <t>file://conllu/ru/teddy-1154.conllu#s71_0</t>
  </si>
  <si>
    <t>72</t>
  </si>
  <si>
    <t>стать</t>
  </si>
  <si>
    <t>Если мы станем смотреть на неблагоприятные обстоятельства как на естественный , устойчивый и полезный ход событий , возможно , они не будут так на нас давить .</t>
  </si>
  <si>
    <t>file://conllu/ru/teddy-1154.conllu#s72_0</t>
  </si>
  <si>
    <t>73</t>
  </si>
  <si>
    <t>праздновать</t>
  </si>
  <si>
    <t>В этом году празднуется 200-летие со дня рождения Чарльза Дарвина , который 150 лет назад в своих трудах по эволюции раскрыл , я думаю , истину о человеческом характере .</t>
  </si>
  <si>
    <t>file://conllu/ru/teddy-1154.conllu#s73_0</t>
  </si>
  <si>
    <t>74</t>
  </si>
  <si>
    <t>выживать</t>
  </si>
  <si>
    <t>Если перефразировать его , то выживает не сильнейший , и не умнейший , а имеющий наилучшие способности адаптироваться .</t>
  </si>
  <si>
    <t>file://conllu/ru/teddy-1154.conllu#s74_0</t>
  </si>
  <si>
    <t>75</t>
  </si>
  <si>
    <t>конфликт</t>
  </si>
  <si>
    <t>Конфликт – зарождение созидания .</t>
  </si>
  <si>
    <t>file://conllu/ru/teddy-1154.conllu#s75_0</t>
  </si>
  <si>
    <t>76</t>
  </si>
  <si>
    <t>знать</t>
  </si>
  <si>
    <t>Благодаря Дарвину и другим исследователям мы знаем , что человеческая способность выживать и процветать движется борьбой человеческого духа через конфликт к трансформации .</t>
  </si>
  <si>
    <t>file://conllu/ru/teddy-1154.conllu#s76_0</t>
  </si>
  <si>
    <t>77</t>
  </si>
  <si>
    <t>способность</t>
  </si>
  <si>
    <t>Значит , опять-таки , трансформация , адаптация – наши величайшие человеческие способности .</t>
  </si>
  <si>
    <t>file://conllu/ru/teddy-1154.conllu#s77_0</t>
  </si>
  <si>
    <t>78</t>
  </si>
  <si>
    <t>Пока?</t>
  </si>
  <si>
    <t>узнать</t>
  </si>
  <si>
    <t>И , возможно , пока не проверишь на прочность , не узнаешь , из чего человек сделан .</t>
  </si>
  <si>
    <t>file://conllu/ru/teddy-1154.conllu#s78_0</t>
  </si>
  <si>
    <t>79</t>
  </si>
  <si>
    <t>давать</t>
  </si>
  <si>
    <t>Может , именно это и дают нам неблагоприятные обстоятельства : чувство самого себя , чувство собственной силы .</t>
  </si>
  <si>
    <t>file://conllu/ru/teddy-1154.conllu#s79_0</t>
  </si>
  <si>
    <t>80</t>
  </si>
  <si>
    <t>Тогда давайте сделаем себе подарок .</t>
  </si>
  <si>
    <t>file://conllu/ru/teddy-1154.conllu#s80_0</t>
  </si>
  <si>
    <t>81</t>
  </si>
  <si>
    <t>Пересмотреть</t>
  </si>
  <si>
    <t>Пересмотрим подход и будем считать неблагоприятные обстоятельства нечто большим , чем просто трудным периодом .</t>
  </si>
  <si>
    <t>file://conllu/ru/teddy-1154.conllu#s81_0</t>
  </si>
  <si>
    <t>82</t>
  </si>
  <si>
    <t>Можно рассматривать их , как перемену .</t>
  </si>
  <si>
    <t>file://conllu/ru/teddy-1154.conllu#s82_0</t>
  </si>
  <si>
    <t>83</t>
  </si>
  <si>
    <t>перемена</t>
  </si>
  <si>
    <t>Неблагоприятные обстоятельства – это перемена , к которой мы ещё не подготовлены .</t>
  </si>
  <si>
    <t>file://conllu/ru/teddy-1154.conllu#s83_0</t>
  </si>
  <si>
    <t>84</t>
  </si>
  <si>
    <t>считать</t>
  </si>
  <si>
    <t>Я считаю , что самое неблагоприятное обстоятельство , которое мы создали сами себе – это понятие «нормального» человека .</t>
  </si>
  <si>
    <t>file://conllu/ru/teddy-1154.conllu#s84_0</t>
  </si>
  <si>
    <t>85</t>
  </si>
  <si>
    <t>Кто?</t>
  </si>
  <si>
    <t>спрашивать</t>
  </si>
  <si>
    <t>Спрашивается , кто «нормальный» ?</t>
  </si>
  <si>
    <t>file://conllu/ru/teddy-1154.conllu#s85_0</t>
  </si>
  <si>
    <t>86</t>
  </si>
  <si>
    <t>нет</t>
  </si>
  <si>
    <t>Нормальных людей нет .</t>
  </si>
  <si>
    <t>file://conllu/ru/teddy-1154.conllu#s86_0</t>
  </si>
  <si>
    <t>87</t>
  </si>
  <si>
    <t>Есть обычные люди .</t>
  </si>
  <si>
    <t>file://conllu/ru/teddy-1154.conllu#s87_0</t>
  </si>
  <si>
    <t>88</t>
  </si>
  <si>
    <t>Есть типичные .</t>
  </si>
  <si>
    <t>file://conllu/ru/teddy-1154.conllu#s88_0</t>
  </si>
  <si>
    <t>89</t>
  </si>
  <si>
    <t>Нормальных нет .</t>
  </si>
  <si>
    <t>file://conllu/ru/teddy-1154.conllu#s89_0</t>
  </si>
  <si>
    <t>90</t>
  </si>
  <si>
    <t>А если и есть такой средненький человечек , хотели бы вы с ним познакомиться ?</t>
  </si>
  <si>
    <t>file://conllu/ru/teddy-1154.conllu#s90_0</t>
  </si>
  <si>
    <t>91</t>
  </si>
  <si>
    <t>( Смех ) Не думаю .</t>
  </si>
  <si>
    <t>file://conllu/ru/teddy-1154.conllu#s91_0</t>
  </si>
  <si>
    <t>92</t>
  </si>
  <si>
    <t>удаться</t>
  </si>
  <si>
    <t>Если отойти от стандартной ориентации на нормальность к раскрытию возможностей и потенциала , даже если это несколько опасно , то удастся высвободить энергию намного большего числа детей , и привлечь их редкие и ценные качества на пользу сообществу .</t>
  </si>
  <si>
    <t>file://conllu/ru/teddy-1154.conllu#s92_0</t>
  </si>
  <si>
    <t>93</t>
  </si>
  <si>
    <t>требовать (требовать установить)</t>
  </si>
  <si>
    <t>Антропология установила , что человек всегда требовал от членов сообщества одну вещь – быть полезными , быть способными сделать вклад в сообщество .</t>
  </si>
  <si>
    <t>file://conllu/ru/teddy-1154.conllu#s93_0</t>
  </si>
  <si>
    <t>94</t>
  </si>
  <si>
    <t>подтверждать</t>
  </si>
  <si>
    <t>Исследования подтверждают , что 60 тысяч лет назад неандертальцы носили на себе престарелых и калек .</t>
  </si>
  <si>
    <t>file://conllu/ru/teddy-1154.conllu#s94_0</t>
  </si>
  <si>
    <t>95</t>
  </si>
  <si>
    <t>Возможно , оттого , что приобретённый этими людьми опыт выживания был ценным для сообщества , они не считались сломленными и бесполезными , и на них смотрели как на редкость и ценность .</t>
  </si>
  <si>
    <t>file://conllu/ru/teddy-1154.conllu#s95_0</t>
  </si>
  <si>
    <t>96</t>
  </si>
  <si>
    <t>быть (быть рынок)</t>
  </si>
  <si>
    <t>Пару лет назад я была на рынке в городке , где я родилась , в красной зоне на северо-востоке Пенсильвании .</t>
  </si>
  <si>
    <t>file://conllu/ru/teddy-1154.conllu#s96_0</t>
  </si>
  <si>
    <t>97</t>
  </si>
  <si>
    <t>выбирать</t>
  </si>
  <si>
    <t>Стою , выбираю помидоры .</t>
  </si>
  <si>
    <t>file://conllu/ru/teddy-1154.conllu#s97_0</t>
  </si>
  <si>
    <t>98</t>
  </si>
  <si>
    <t>лето</t>
  </si>
  <si>
    <t>Лето .</t>
  </si>
  <si>
    <t>file://conllu/ru/teddy-1154.conllu#s98_0</t>
  </si>
  <si>
    <t>99</t>
  </si>
  <si>
    <t>шорта</t>
  </si>
  <si>
    <t>Я в шортах .</t>
  </si>
  <si>
    <t>file://conllu/ru/teddy-1154.conllu#s99_0</t>
  </si>
  <si>
    <t>100</t>
  </si>
  <si>
    <t>слышать</t>
  </si>
  <si>
    <t>Тут слышу сзади голос : «Да это не иначе , как Эйми Муллинз ! » Поворачиваюсь , вижу престарелого человека .</t>
  </si>
  <si>
    <t>file://conllu/ru/teddy-1154.conllu#s100_0</t>
  </si>
  <si>
    <t>101</t>
  </si>
  <si>
    <t>понятие</t>
  </si>
  <si>
    <t>Без понятия , кто он .</t>
  </si>
  <si>
    <t>file://conllu/ru/teddy-1154.conllu#s101_0</t>
  </si>
  <si>
    <t>102</t>
  </si>
  <si>
    <t>говорить</t>
  </si>
  <si>
    <t>Говорю : «Простите , сэр , мы с вами знакомы ?</t>
  </si>
  <si>
    <t>file://conllu/ru/teddy-1154.conllu#s102_0</t>
  </si>
  <si>
    <t>103</t>
  </si>
  <si>
    <t>припоминать</t>
  </si>
  <si>
    <t>Я что-то не припоминаю … » А он мне : «А вы и не можете помнить меня .</t>
  </si>
  <si>
    <t>file://conllu/ru/teddy-1154.conllu#s103_0</t>
  </si>
  <si>
    <t>104</t>
  </si>
  <si>
    <t>встретиться</t>
  </si>
  <si>
    <t>Потому что мы встретились , когда я принимал роды у вашей мамочки» .</t>
  </si>
  <si>
    <t>file://conllu/ru/teddy-1154.conllu#s104_0</t>
  </si>
  <si>
    <t>105</t>
  </si>
  <si>
    <t>он</t>
  </si>
  <si>
    <t>Ах , это он !</t>
  </si>
  <si>
    <t>file://conllu/ru/teddy-1154.conllu#s105_0</t>
  </si>
  <si>
    <t>106</t>
  </si>
  <si>
    <t>работать</t>
  </si>
  <si>
    <t>А потом , конечно , в мозгу сработала связь : это тот самый доктор Кин , о котором я слышала по рассказам моей мамы о том самом дне .</t>
  </si>
  <si>
    <t>file://conllu/ru/teddy-1154.conllu#s106_0</t>
  </si>
  <si>
    <t>107</t>
  </si>
  <si>
    <t>выйти</t>
  </si>
  <si>
    <t>Потому что с рождением я опоздала – ну что можно от меня ожидать ? – на две недели , врач , которая вела мою маму , вышла в отпуск , так что , в конце концов , роды принимал совершенно незнакомый нам врач .</t>
  </si>
  <si>
    <t>file://conllu/ru/teddy-1154.conllu#s107_0</t>
  </si>
  <si>
    <t>108</t>
  </si>
  <si>
    <t>рождаться</t>
  </si>
  <si>
    <t>А поскольку я родилась без малоберцовой кости , и ножки были ввёрнуты , и пара пальцев на каждой ноге , этот незнакомец должен был доставить печальную новость .</t>
  </si>
  <si>
    <t>file://conllu/ru/teddy-1154.conllu#s108_0</t>
  </si>
  <si>
    <t>109</t>
  </si>
  <si>
    <t>Он мне говорит : «Я обязан был описать вашим родителям медицинский прогноз о том , что вы никогда не будете ходить , и что у вас никогда не будет степень свободы движений , как у других детей , и что вы не сможете вести сколь-нибудь независимую жизнь .</t>
  </si>
  <si>
    <t>file://conllu/ru/teddy-1154.conllu#s109_0</t>
  </si>
  <si>
    <t>110</t>
  </si>
  <si>
    <t>доказать</t>
  </si>
  <si>
    <t>Начиная с того времени , вы систематически доказывали , что я – лжец .» ( Аплодисменты ) А вот что необычного он мне сообщил : всё время , пока я росла , он сохранял вырезки из газет , сообщавших о моей победе в соревновании по английскому языку во втором классе , об участии в мероприятиях девочек скаутов , о параде на Хэллоуине , о стипендии на обучение в университете , обо всех моих спортивных победах , и он использовал это в процессе обучения студентов медиков в медицинских школах Hahnemann и Hershey .</t>
  </si>
  <si>
    <t>file://conllu/ru/teddy-1154.conllu#s110_0</t>
  </si>
  <si>
    <t>111</t>
  </si>
  <si>
    <t>назвать</t>
  </si>
  <si>
    <t>Эту часть курса он назвал X-Factor [ «Секрет Успеха» ] , потенциал силы воли .</t>
  </si>
  <si>
    <t>file://conllu/ru/teddy-1154.conllu#s111_0</t>
  </si>
  <si>
    <t>112</t>
  </si>
  <si>
    <t>мощность</t>
  </si>
  <si>
    <t>Мощность фактора Х и его влияние на качество жизни человека не в состоянии учесть никакой медицинский прогноз .</t>
  </si>
  <si>
    <t>file://conllu/ru/teddy-1154.conllu#s112_0</t>
  </si>
  <si>
    <t>113</t>
  </si>
  <si>
    <t>говорить (говорить добавить)</t>
  </si>
  <si>
    <t>И доктор Кин добавил : «Весь опыт моей работы говорит о том , что ребёнок может добиться всего , если только не твердить ему о невозможности , и если оказать ему просто минимальную поддержку .</t>
  </si>
  <si>
    <t>file://conllu/ru/teddy-1154.conllu#s113_0</t>
  </si>
  <si>
    <t>114</t>
  </si>
  <si>
    <t>обратить</t>
  </si>
  <si>
    <t>» Обратите внимание : доктор Кин пересмотрел свой подход .</t>
  </si>
  <si>
    <t>file://conllu/ru/teddy-1154.conllu#s114_0</t>
  </si>
  <si>
    <t>115</t>
  </si>
  <si>
    <t>понять</t>
  </si>
  <si>
    <t>Он понял , что есть большая разница между самим медицинским фактом и тем , что человек может сделать , исходя из него .</t>
  </si>
  <si>
    <t>file://conllu/ru/teddy-1154.conllu#s115_0</t>
  </si>
  <si>
    <t>116</t>
  </si>
  <si>
    <t>произойти</t>
  </si>
  <si>
    <t>В моем подходе тоже с течением времени произошли изменения .</t>
  </si>
  <si>
    <t>file://conllu/ru/teddy-1154.conllu#s116_0</t>
  </si>
  <si>
    <t>117</t>
  </si>
  <si>
    <t>колебаться</t>
  </si>
  <si>
    <t>Если , когда мне было 15 лет , меня спросили бы , готова ли я поменять протезы на ноги из плоти и кости , я не колебалась бы ни секунды .</t>
  </si>
  <si>
    <t>file://conllu/ru/teddy-1154.conllu#s117_0</t>
  </si>
  <si>
    <t>118</t>
  </si>
  <si>
    <t>стремиться</t>
  </si>
  <si>
    <t>В то время я стремилась к той самой «нормальности» .</t>
  </si>
  <si>
    <t>file://conllu/ru/teddy-1154.conllu#s118_0</t>
  </si>
  <si>
    <t>119</t>
  </si>
  <si>
    <t>сказать (сказать спросить)</t>
  </si>
  <si>
    <t>Спросите меня сегодня , и я вам скажу , что я не совсем уверена , хочу ли я этого .</t>
  </si>
  <si>
    <t>file://conllu/ru/teddy-1154.conllu#s119_0</t>
  </si>
  <si>
    <t>120</t>
  </si>
  <si>
    <t>событие</t>
  </si>
  <si>
    <t>И это благодаря событиям , выпавшим на мою жизнь с протезами , а не невзирая на события , выпавшие на мою жизнь с протезами .</t>
  </si>
  <si>
    <t>file://conllu/ru/teddy-1154.conllu#s120_0</t>
  </si>
  <si>
    <t>121</t>
  </si>
  <si>
    <t>Возможно , этот переход произошёл во мне оттого , что мне довелось встретить больше тех , кто открывали мне двери , чем тех , кто ставили мне ограничения и ставили меня в тень .</t>
  </si>
  <si>
    <t>file://conllu/ru/teddy-1154.conllu#s121_0</t>
  </si>
  <si>
    <t>122</t>
  </si>
  <si>
    <t>все</t>
  </si>
  <si>
    <t>Всё , что человеку нужно – это чтобы кто-то один помог бы озарить , показав собственную мощь , а дальше человек полетит сам .</t>
  </si>
  <si>
    <t>file://conllu/ru/teddy-1154.conllu#s122_0</t>
  </si>
  <si>
    <t>123</t>
  </si>
  <si>
    <t>Это означает?</t>
  </si>
  <si>
    <t>означать</t>
  </si>
  <si>
    <t>Если вы можете кому-то вручить ключ к его собственной энергии – ведь душа человека настолько восприимчива – и открыть кому-то дверь в критический для него момент , то это означает дать ему образование в лучшем смысле этого слова .</t>
  </si>
  <si>
    <t>file://conllu/ru/teddy-1154.conllu#s123_0</t>
  </si>
  <si>
    <t>124</t>
  </si>
  <si>
    <t>научиться</t>
  </si>
  <si>
    <t>Ведь тогда человек научится открывать себе двери сам .</t>
  </si>
  <si>
    <t>file://conllu/ru/teddy-1154.conllu#s124_0</t>
  </si>
  <si>
    <t>125</t>
  </si>
  <si>
    <t>происходить</t>
  </si>
  <si>
    <t>И вообще , точное значение слова образование [ education ] происходит от корня &amp;quot; educe . &amp;quot;</t>
  </si>
  <si>
    <t>file://conllu/ru/teddy-1154.conllu#s125_0</t>
  </si>
  <si>
    <t>126</t>
  </si>
  <si>
    <t>Он означает «вызвать на поверхность заложенное внутри» , «дать возможность раскрыть потенциал» .</t>
  </si>
  <si>
    <t>file://conllu/ru/teddy-1154.conllu#s126_0</t>
  </si>
  <si>
    <t>127</t>
  </si>
  <si>
    <t>раскрыть (раскрыть хотеть спросить)</t>
  </si>
  <si>
    <t>А тогда спросим заново : какой потенциал хотим мы раскрыть ?</t>
  </si>
  <si>
    <t>file://conllu/ru/teddy-1154.conllu#s127_0</t>
  </si>
  <si>
    <t>128</t>
  </si>
  <si>
    <t>провести</t>
  </si>
  <si>
    <t>В 1960-х годах в Великобритании провели исследование , связанное с переходом на новую систему образования .</t>
  </si>
  <si>
    <t>file://conllu/ru/teddy-1154.conllu#s128_0</t>
  </si>
  <si>
    <t>129</t>
  </si>
  <si>
    <t>называться</t>
  </si>
  <si>
    <t>Там это называется «послойные испытания» , у нас здесь , в США – «прослеживание» .</t>
  </si>
  <si>
    <t>file://conllu/ru/teddy-1154.conllu#s129_0</t>
  </si>
  <si>
    <t>130</t>
  </si>
  <si>
    <t>разделяться</t>
  </si>
  <si>
    <t>Учащиеся разделяются по успеваемости , после чего у отличников больше нагрузки , лучше учителя и т. д .</t>
  </si>
  <si>
    <t>file://conllu/ru/teddy-1154.conllu#s130_0</t>
  </si>
  <si>
    <t>131</t>
  </si>
  <si>
    <t>ставить</t>
  </si>
  <si>
    <t>Так вот , в качестве трёхмесячного эксперимента , группе троечников поставили пятёрки , сказали им , что они отличники и что они умные .</t>
  </si>
  <si>
    <t>file://conllu/ru/teddy-1154.conllu#s131_0</t>
  </si>
  <si>
    <t>132</t>
  </si>
  <si>
    <t>показывать</t>
  </si>
  <si>
    <t>Через три месяца они показывали отличные результаты , они стали получать пятёрки .</t>
  </si>
  <si>
    <t>file://conllu/ru/teddy-1154.conllu#s132_0</t>
  </si>
  <si>
    <t>133</t>
  </si>
  <si>
    <t>сторона</t>
  </si>
  <si>
    <t>Самое ужасное – оборотная сторона медали в этом же эксперименте : отличникам сказали , что они троечники .</t>
  </si>
  <si>
    <t>file://conllu/ru/teddy-1154.conllu#s133_0</t>
  </si>
  <si>
    <t>134</t>
  </si>
  <si>
    <t>оказаться</t>
  </si>
  <si>
    <t>И вот что оказалось в конце трёх месяцев .</t>
  </si>
  <si>
    <t>file://conllu/ru/teddy-1154.conllu#s134_0</t>
  </si>
  <si>
    <t>135</t>
  </si>
  <si>
    <t>бросать</t>
  </si>
  <si>
    <t>С теми , кто ещё продолжал учёбу , потому некоторые бросили школу .</t>
  </si>
  <si>
    <t>file://conllu/ru/teddy-1154.conllu#s135_0</t>
  </si>
  <si>
    <t>136</t>
  </si>
  <si>
    <t>оставить</t>
  </si>
  <si>
    <t>Главное в этом эксперименте – учителей тоже оставили в неведении .</t>
  </si>
  <si>
    <t>file://conllu/ru/teddy-1154.conllu#s136_0</t>
  </si>
  <si>
    <t>137</t>
  </si>
  <si>
    <t>быть (быть курс)</t>
  </si>
  <si>
    <t>Учителя не были в курсе того , что произошла замена .</t>
  </si>
  <si>
    <t>file://conllu/ru/teddy-1154.conllu#s137_0</t>
  </si>
  <si>
    <t>138</t>
  </si>
  <si>
    <t>сказать</t>
  </si>
  <si>
    <t>Им просто сказали , «вот – отличники , вот – троечники» .</t>
  </si>
  <si>
    <t>file://conllu/ru/teddy-1154.conllu#s138_0</t>
  </si>
  <si>
    <t>139</t>
  </si>
  <si>
    <t>обучать</t>
  </si>
  <si>
    <t>И они обучали и относились к ним соответственно .</t>
  </si>
  <si>
    <t>file://conllu/ru/teddy-1154.conllu#s139_0</t>
  </si>
  <si>
    <t>140</t>
  </si>
  <si>
    <t>Так вот , я думаю , что единственная настоящая неполноценность – это подавленный дух , сокрушённый дух не имеет надежды .</t>
  </si>
  <si>
    <t>file://conllu/ru/teddy-1154.conllu#s140_0</t>
  </si>
  <si>
    <t>141</t>
  </si>
  <si>
    <t>Он не видит красоты .</t>
  </si>
  <si>
    <t>file://conllu/ru/teddy-1154.conllu#s141_0</t>
  </si>
  <si>
    <t>142</t>
  </si>
  <si>
    <t>иметь</t>
  </si>
  <si>
    <t>Он более не имеет той естественной , детской любознательности , той врожденной способности воображать .</t>
  </si>
  <si>
    <t>file://conllu/ru/teddy-1154.conllu#s142_0</t>
  </si>
  <si>
    <t>143</t>
  </si>
  <si>
    <t>использовать (использовать видеть)</t>
  </si>
  <si>
    <t>Если же , наоборот , поднять человеку дух , чтобы он имел надежду , видел красоту в себе и в других , был любознательным и полным воображения , то мы по-настоящему хорошо используем нашу силу .</t>
  </si>
  <si>
    <t>file://conllu/ru/teddy-1154.conllu#s143_0</t>
  </si>
  <si>
    <t>144</t>
  </si>
  <si>
    <t>Если человек обладает этими качествами , то мы можем создавать новую реальность , новый способ существования .</t>
  </si>
  <si>
    <t>file://conllu/ru/teddy-1154.conllu#s144_0</t>
  </si>
  <si>
    <t>145</t>
  </si>
  <si>
    <t>читать (читать хотеть)</t>
  </si>
  <si>
    <t>Я хотела бы напоследок зачитать вам стихи персидского поэта 14-го века Хафиза , о котором мне рассказал мой друг Жак Дамбуа .</t>
  </si>
  <si>
    <t>file://conllu/ru/teddy-1154.conllu#s145_0</t>
  </si>
  <si>
    <t>146</t>
  </si>
  <si>
    <t>Поэма называется «Бог , знающий лишь четыре слова» .</t>
  </si>
  <si>
    <t>file://conllu/ru/teddy-1154.conllu#s146_0</t>
  </si>
  <si>
    <t>147</t>
  </si>
  <si>
    <t>знакомый</t>
  </si>
  <si>
    <t>«Каждому ребёнку знаком Бог , не Бог имен , не Бог запретов , а Бог , знающий лишь четыре слова и повторяющий : потанцуй со мною вместе .» Так потанцуйте же со мною вместе .</t>
  </si>
  <si>
    <t>file://conllu/ru/teddy-1154.conllu#s147_0</t>
  </si>
  <si>
    <t>148</t>
  </si>
  <si>
    <t>Благодарить</t>
  </si>
  <si>
    <t>Благодарю вас .</t>
  </si>
  <si>
    <t>file://conllu/ru/teddy-1154.conllu#s148_0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</si>
  <si>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</si>
  <si>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</si>
  <si>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</si>
  <si>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</si>
  <si>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</si>
  <si>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</si>
  <si>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</si>
  <si>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</si>
  <si>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</si>
  <si>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</si>
  <si>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</si>
  <si>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Я хотела бы поделиться с вами открытием, которое я сделала несколько месяцев назад, во время работы над статьёй для журнала Italian Wired.</t>
  </si>
  <si>
    <t>Я</t>
  </si>
  <si>
    <t>SBJ</t>
  </si>
  <si>
    <t>pron</t>
  </si>
  <si>
    <t>?OLD</t>
  </si>
  <si>
    <t>хотела</t>
  </si>
  <si>
    <t>бы</t>
  </si>
  <si>
    <t>поделиться</t>
  </si>
  <si>
    <t>с</t>
  </si>
  <si>
    <t>вами</t>
  </si>
  <si>
    <t>other_2</t>
  </si>
  <si>
    <t>открытием</t>
  </si>
  <si>
    <t>,</t>
  </si>
  <si>
    <t>которое</t>
  </si>
  <si>
    <t>OBJ_4</t>
  </si>
  <si>
    <t>pron.pint</t>
  </si>
  <si>
    <t>я</t>
  </si>
  <si>
    <t>SBJ_4</t>
  </si>
  <si>
    <t>сделала</t>
  </si>
  <si>
    <t>несколько</t>
  </si>
  <si>
    <t>месяцев</t>
  </si>
  <si>
    <t>other_4</t>
  </si>
  <si>
    <t>indef-np.quant</t>
  </si>
  <si>
    <t>назад</t>
  </si>
  <si>
    <t>во</t>
  </si>
  <si>
    <t>время</t>
  </si>
  <si>
    <t>работы</t>
  </si>
  <si>
    <t>над</t>
  </si>
  <si>
    <t>статьёй</t>
  </si>
  <si>
    <t>для</t>
  </si>
  <si>
    <t>журнала</t>
  </si>
  <si>
    <t>Italian</t>
  </si>
  <si>
    <t>ne</t>
  </si>
  <si>
    <t>Wired</t>
  </si>
  <si>
    <t>.</t>
  </si>
  <si>
    <t># text = Когда я пишу, у меня всегда под рукой словарь синонимов и ассоциаций.</t>
  </si>
  <si>
    <t>Когда</t>
  </si>
  <si>
    <t>SBJ_2</t>
  </si>
  <si>
    <t>пишу</t>
  </si>
  <si>
    <t>у</t>
  </si>
  <si>
    <t>меня</t>
  </si>
  <si>
    <t>other</t>
  </si>
  <si>
    <t>всегда</t>
  </si>
  <si>
    <t>под</t>
  </si>
  <si>
    <t>рукой</t>
  </si>
  <si>
    <t>def-np.poss</t>
  </si>
  <si>
    <t>синонимов</t>
  </si>
  <si>
    <t>и</t>
  </si>
  <si>
    <t>ассоциаций</t>
  </si>
  <si>
    <t># text = Я уже заканчивала просмотр последнего варианта, как вдруг подумала, что я ни разу в жизни не поинтересовалась, как словарь определяет слово «нетрудоспособный».</t>
  </si>
  <si>
    <t>уже</t>
  </si>
  <si>
    <t>заканчивала</t>
  </si>
  <si>
    <t>просмотр</t>
  </si>
  <si>
    <t>OBJ</t>
  </si>
  <si>
    <t>последнего</t>
  </si>
  <si>
    <t>варианта</t>
  </si>
  <si>
    <t>как</t>
  </si>
  <si>
    <t>вдруг</t>
  </si>
  <si>
    <t>подумала</t>
  </si>
  <si>
    <t>что</t>
  </si>
  <si>
    <t>SBJ_3</t>
  </si>
  <si>
    <t>ни</t>
  </si>
  <si>
    <t>разу</t>
  </si>
  <si>
    <t>в</t>
  </si>
  <si>
    <t>жизни</t>
  </si>
  <si>
    <t>не</t>
  </si>
  <si>
    <t>поинтересовалась</t>
  </si>
  <si>
    <t>определяет</t>
  </si>
  <si>
    <t>«нетрудоспособный»</t>
  </si>
  <si>
    <t># text = Зачитываю из словаря ассоциаций: «Нетрудоспособный (прилагательное) – покалеченный, беспомощный, бесполезный, разбитый, застопоренный, изуродованный, раненный, изуродованный, хромой, изувеченный, истощённый, измученный, ослабленный, немощный, выхолощенный, парализованный, неполноценный, слабоумный, дряхлый, лежачий, утомлённый, обречённый, измождённый, разбитый, выбывший; смотри также: больной, бесполезный, слабый.</t>
  </si>
  <si>
    <t>Зачитываю</t>
  </si>
  <si>
    <t>из</t>
  </si>
  <si>
    <t>словаря</t>
  </si>
  <si>
    <t>:</t>
  </si>
  <si>
    <t>«Нетрудоспособный</t>
  </si>
  <si>
    <t>(</t>
  </si>
  <si>
    <t>прилагательное</t>
  </si>
  <si>
    <t>)</t>
  </si>
  <si>
    <t>–</t>
  </si>
  <si>
    <t>покалеченный</t>
  </si>
  <si>
    <t>беспомощный</t>
  </si>
  <si>
    <t>бесполезный</t>
  </si>
  <si>
    <t>разбитый</t>
  </si>
  <si>
    <t>застопоренный</t>
  </si>
  <si>
    <t>изуродованный</t>
  </si>
  <si>
    <t>раненный</t>
  </si>
  <si>
    <t>хромой</t>
  </si>
  <si>
    <t>изувеченный</t>
  </si>
  <si>
    <t>истощённый</t>
  </si>
  <si>
    <t>измученный</t>
  </si>
  <si>
    <t>ослабленный</t>
  </si>
  <si>
    <t>немощный</t>
  </si>
  <si>
    <t>выхолощенный</t>
  </si>
  <si>
    <t>парализованный</t>
  </si>
  <si>
    <t>неполноценный</t>
  </si>
  <si>
    <t>слабоумный</t>
  </si>
  <si>
    <t>дряхлый</t>
  </si>
  <si>
    <t>лежачий</t>
  </si>
  <si>
    <t>утомлённый</t>
  </si>
  <si>
    <t>обречённый</t>
  </si>
  <si>
    <t>измождённый</t>
  </si>
  <si>
    <t>выбывший</t>
  </si>
  <si>
    <t>;</t>
  </si>
  <si>
    <t>смотри</t>
  </si>
  <si>
    <t>также</t>
  </si>
  <si>
    <t>больной</t>
  </si>
  <si>
    <t>слабый</t>
  </si>
  <si>
    <t># text = Антонимы: здоровый, сильный, способный».</t>
  </si>
  <si>
    <t>Антонимы</t>
  </si>
  <si>
    <t>здоровый</t>
  </si>
  <si>
    <t>сильный</t>
  </si>
  <si>
    <t>способный»</t>
  </si>
  <si>
    <t># text = Я зачитывала подруге этот список вслух и, по началу, смеялась – настолько это было нелепо.</t>
  </si>
  <si>
    <t>зачитывала</t>
  </si>
  <si>
    <t>подруге</t>
  </si>
  <si>
    <t>этот</t>
  </si>
  <si>
    <t>список</t>
  </si>
  <si>
    <t>def-np.dem</t>
  </si>
  <si>
    <t>вслух</t>
  </si>
  <si>
    <t>по</t>
  </si>
  <si>
    <t>началу</t>
  </si>
  <si>
    <t>смеялась</t>
  </si>
  <si>
    <t>настолько</t>
  </si>
  <si>
    <t>это</t>
  </si>
  <si>
    <t>pron.pds</t>
  </si>
  <si>
    <t>было</t>
  </si>
  <si>
    <t>нелепо</t>
  </si>
  <si>
    <t># text = Но когда я дошла до «изуродованный», мой голос упал, и я вынуждена была остановиться, чтобы оправиться от эмоционального шока и удара, вызванного шквалом таких слов.</t>
  </si>
  <si>
    <t>Но</t>
  </si>
  <si>
    <t>когда</t>
  </si>
  <si>
    <t>дошла</t>
  </si>
  <si>
    <t>до</t>
  </si>
  <si>
    <t>«изуродованный»</t>
  </si>
  <si>
    <t>мой</t>
  </si>
  <si>
    <t>pron.ppos</t>
  </si>
  <si>
    <t>голос</t>
  </si>
  <si>
    <t>упал</t>
  </si>
  <si>
    <t>вынуждена</t>
  </si>
  <si>
    <t>была</t>
  </si>
  <si>
    <t>остановиться</t>
  </si>
  <si>
    <t>чтобы</t>
  </si>
  <si>
    <t>оправиться</t>
  </si>
  <si>
    <t>от</t>
  </si>
  <si>
    <t>эмоционального</t>
  </si>
  <si>
    <t>шока</t>
  </si>
  <si>
    <t>удара</t>
  </si>
  <si>
    <t>вызванного</t>
  </si>
  <si>
    <t>шквалом</t>
  </si>
  <si>
    <t>таких</t>
  </si>
  <si>
    <t>слов</t>
  </si>
  <si>
    <t>other_7</t>
  </si>
  <si>
    <t># text = «Так это ведь мой истрёпанный старый словарь.» Я начинаю подозревать, что всё дело в слишком старой дате издания.</t>
  </si>
  <si>
    <t>«Так</t>
  </si>
  <si>
    <t>ведь</t>
  </si>
  <si>
    <t>истрёпанный</t>
  </si>
  <si>
    <t>старый</t>
  </si>
  <si>
    <t>.»</t>
  </si>
  <si>
    <t>начинаю</t>
  </si>
  <si>
    <t>подозревать</t>
  </si>
  <si>
    <t>всё</t>
  </si>
  <si>
    <t>слишком</t>
  </si>
  <si>
    <t>старой</t>
  </si>
  <si>
    <t>дате</t>
  </si>
  <si>
    <t>издания</t>
  </si>
  <si>
    <t># text = Однако, издание было начала 80-х годов.</t>
  </si>
  <si>
    <t>Однако</t>
  </si>
  <si>
    <t>издание</t>
  </si>
  <si>
    <t>начала</t>
  </si>
  <si>
    <t>80-х</t>
  </si>
  <si>
    <t>годов</t>
  </si>
  <si>
    <t># text = Как раз тот период, когда я пошла в школу и я начинала видеть себя глазами окружающих за пределами нашей семьи, глазами других детей, окружающего мира.</t>
  </si>
  <si>
    <t>Как</t>
  </si>
  <si>
    <t>раз</t>
  </si>
  <si>
    <t>тот</t>
  </si>
  <si>
    <t>пошла</t>
  </si>
  <si>
    <t>школу</t>
  </si>
  <si>
    <t>начинала</t>
  </si>
  <si>
    <t>себя</t>
  </si>
  <si>
    <t>глазами</t>
  </si>
  <si>
    <t>окружающих</t>
  </si>
  <si>
    <t>за</t>
  </si>
  <si>
    <t>пределами</t>
  </si>
  <si>
    <t>нашей</t>
  </si>
  <si>
    <t>other_8</t>
  </si>
  <si>
    <t>семьи</t>
  </si>
  <si>
    <t>других</t>
  </si>
  <si>
    <t>детей</t>
  </si>
  <si>
    <t>окружающего</t>
  </si>
  <si>
    <t>мира</t>
  </si>
  <si>
    <t># text = Не стоит и говорить, что я благодарна Богу, что я не пользовалась тогда словарём.</t>
  </si>
  <si>
    <t>Не</t>
  </si>
  <si>
    <t>стоит</t>
  </si>
  <si>
    <t>благодарна</t>
  </si>
  <si>
    <t>Богу</t>
  </si>
  <si>
    <t>OBJ_3</t>
  </si>
  <si>
    <t>пользовалась</t>
  </si>
  <si>
    <t>тогда</t>
  </si>
  <si>
    <t>словарём</t>
  </si>
  <si>
    <t># text = Ведь, исходя их этого списка, я могла бы подумать, что родилась в мире, который не имеет для таких, как я, ни одного позитивного термина.</t>
  </si>
  <si>
    <t>Ведь</t>
  </si>
  <si>
    <t>исходя</t>
  </si>
  <si>
    <t>их</t>
  </si>
  <si>
    <t>OBJ_2</t>
  </si>
  <si>
    <t>этого</t>
  </si>
  <si>
    <t>списка</t>
  </si>
  <si>
    <t>other_3</t>
  </si>
  <si>
    <t>могла</t>
  </si>
  <si>
    <t>подумать</t>
  </si>
  <si>
    <t>родилась</t>
  </si>
  <si>
    <t>мире</t>
  </si>
  <si>
    <t>который</t>
  </si>
  <si>
    <t>SBJ_5</t>
  </si>
  <si>
    <t>имеет</t>
  </si>
  <si>
    <t>одного</t>
  </si>
  <si>
    <t>позитивного</t>
  </si>
  <si>
    <t>термина</t>
  </si>
  <si>
    <t>other_5</t>
  </si>
  <si>
    <t># text = А ведь сегодня меня фактически чествуют за успехи и события, которые мне принесла моя жизнь.</t>
  </si>
  <si>
    <t>А</t>
  </si>
  <si>
    <t>сегодня</t>
  </si>
  <si>
    <t>фактически</t>
  </si>
  <si>
    <t>чествуют</t>
  </si>
  <si>
    <t>успехи</t>
  </si>
  <si>
    <t>события</t>
  </si>
  <si>
    <t>которые</t>
  </si>
  <si>
    <t>мне</t>
  </si>
  <si>
    <t>принесла</t>
  </si>
  <si>
    <t>моя</t>
  </si>
  <si>
    <t>жизнь</t>
  </si>
  <si>
    <t># text = Поэтому я немедленно открыла онлайновое издание 2009 года, ожидая увидеть достойную редакцию.</t>
  </si>
  <si>
    <t>Поэтому</t>
  </si>
  <si>
    <t>немедленно</t>
  </si>
  <si>
    <t>открыла</t>
  </si>
  <si>
    <t>онлайновое</t>
  </si>
  <si>
    <t>2009</t>
  </si>
  <si>
    <t>года</t>
  </si>
  <si>
    <t>ожидая</t>
  </si>
  <si>
    <t>увидеть</t>
  </si>
  <si>
    <t>достойную</t>
  </si>
  <si>
    <t>редакцию</t>
  </si>
  <si>
    <t># text = Вот обновлённая редакция этого слова.</t>
  </si>
  <si>
    <t>Вот</t>
  </si>
  <si>
    <t>обновлённая</t>
  </si>
  <si>
    <t>слова</t>
  </si>
  <si>
    <t># text = К сожалению, не намного лучше.</t>
  </si>
  <si>
    <t>К</t>
  </si>
  <si>
    <t>сожалению</t>
  </si>
  <si>
    <t>намного</t>
  </si>
  <si>
    <t>лучше</t>
  </si>
  <si>
    <t># text = Меня особенно беспокоят последние два слова под рубрикой «Близкие антонимы»: «целостный» и «порядочный».</t>
  </si>
  <si>
    <t>Меня</t>
  </si>
  <si>
    <t>особенно</t>
  </si>
  <si>
    <t>беспокоят</t>
  </si>
  <si>
    <t>последние</t>
  </si>
  <si>
    <t>два</t>
  </si>
  <si>
    <t>рубрикой</t>
  </si>
  <si>
    <t>«Близкие</t>
  </si>
  <si>
    <t>антонимы»</t>
  </si>
  <si>
    <t>«целостный»</t>
  </si>
  <si>
    <t>«порядочный»</t>
  </si>
  <si>
    <t># text = Значит, дело не просто в словах, а в том, что ожидается от человека, которого называют этими словами.</t>
  </si>
  <si>
    <t>Значит</t>
  </si>
  <si>
    <t>просто</t>
  </si>
  <si>
    <t>словах</t>
  </si>
  <si>
    <t>а</t>
  </si>
  <si>
    <t>том</t>
  </si>
  <si>
    <t>ожидается</t>
  </si>
  <si>
    <t>человека</t>
  </si>
  <si>
    <t>которого</t>
  </si>
  <si>
    <t>OBJ_5</t>
  </si>
  <si>
    <t>называют</t>
  </si>
  <si>
    <t>этими</t>
  </si>
  <si>
    <t>словами</t>
  </si>
  <si>
    <t># text = Дело – в ценностях, скрытых за словами и в том, как создаются эти ценности.</t>
  </si>
  <si>
    <t>Дело</t>
  </si>
  <si>
    <t>ценностях</t>
  </si>
  <si>
    <t>скрытых</t>
  </si>
  <si>
    <t>создаются</t>
  </si>
  <si>
    <t>эти</t>
  </si>
  <si>
    <t>ценности</t>
  </si>
  <si>
    <t>SBJ_6</t>
  </si>
  <si>
    <t># text = Язык влияет на наше мышление и восприятие мира, на наше восприятие окружающих.</t>
  </si>
  <si>
    <t>Язык</t>
  </si>
  <si>
    <t>влияет</t>
  </si>
  <si>
    <t>на</t>
  </si>
  <si>
    <t>наше</t>
  </si>
  <si>
    <t>мышление</t>
  </si>
  <si>
    <t>восприятие</t>
  </si>
  <si>
    <t># text = Люди древности, включая греков и римлян, верили в большую силу высказанного проклятия, потому что сказать что-то вслух – значит вызвать это к жизни.</t>
  </si>
  <si>
    <t>Люди</t>
  </si>
  <si>
    <t>древности</t>
  </si>
  <si>
    <t>включая</t>
  </si>
  <si>
    <t>греков</t>
  </si>
  <si>
    <t>римлян</t>
  </si>
  <si>
    <t>верили</t>
  </si>
  <si>
    <t>большую</t>
  </si>
  <si>
    <t>силу</t>
  </si>
  <si>
    <t>высказанного</t>
  </si>
  <si>
    <t>проклятия</t>
  </si>
  <si>
    <t>потому</t>
  </si>
  <si>
    <t>что-то</t>
  </si>
  <si>
    <t>значит</t>
  </si>
  <si>
    <t>вызвать</t>
  </si>
  <si>
    <t>к</t>
  </si>
  <si>
    <t># text = А тогда вопрос: какую реальность мы хотим вызвать к жизни – человека ограниченного или полномочного?</t>
  </si>
  <si>
    <t>какую</t>
  </si>
  <si>
    <t>реальность</t>
  </si>
  <si>
    <t>indef-np</t>
  </si>
  <si>
    <t>мы</t>
  </si>
  <si>
    <t>хотим</t>
  </si>
  <si>
    <t>ограниченного</t>
  </si>
  <si>
    <t>или</t>
  </si>
  <si>
    <t>полномочного</t>
  </si>
  <si>
    <t>?</t>
  </si>
  <si>
    <t># text = Без особых раздумий, просто дав имя человеку, ребёнку, можно ограничить и опутать его силы.</t>
  </si>
  <si>
    <t>Без</t>
  </si>
  <si>
    <t>особых</t>
  </si>
  <si>
    <t>раздумий</t>
  </si>
  <si>
    <t>дав</t>
  </si>
  <si>
    <t>человеку</t>
  </si>
  <si>
    <t>ребёнку</t>
  </si>
  <si>
    <t>ограничить</t>
  </si>
  <si>
    <t>опутать</t>
  </si>
  <si>
    <t>его</t>
  </si>
  <si>
    <t>силы</t>
  </si>
  <si>
    <t># text = Не хотим ли мы вместо этого открыть ему двери?</t>
  </si>
  <si>
    <t>ли</t>
  </si>
  <si>
    <t>вместо</t>
  </si>
  <si>
    <t>ему</t>
  </si>
  <si>
    <t>двери</t>
  </si>
  <si>
    <t># text = Один из тех, кто открыл двери мне, был мой детский врач из Института Дюпона города Уилмингтон, штат Делавэр.</t>
  </si>
  <si>
    <t>Один</t>
  </si>
  <si>
    <t>тех</t>
  </si>
  <si>
    <t>кто</t>
  </si>
  <si>
    <t>открыл</t>
  </si>
  <si>
    <t>был</t>
  </si>
  <si>
    <t>детский</t>
  </si>
  <si>
    <t>врач</t>
  </si>
  <si>
    <t>Института</t>
  </si>
  <si>
    <t>Дюпона</t>
  </si>
  <si>
    <t>города</t>
  </si>
  <si>
    <t>Уилмингтон</t>
  </si>
  <si>
    <t>штат</t>
  </si>
  <si>
    <t>Делавэр</t>
  </si>
  <si>
    <t># text = Его имя – г-н Пиццутилло.</t>
  </si>
  <si>
    <t>Его</t>
  </si>
  <si>
    <t>г-н</t>
  </si>
  <si>
    <t>Пиццутилло</t>
  </si>
  <si>
    <t># text = Американец итальянского происхождения, чьё имя, по-видимому, для большинства американцев было слишком трудно произносить, звался просто Доктор Пи.</t>
  </si>
  <si>
    <t>Американец</t>
  </si>
  <si>
    <t>итальянского</t>
  </si>
  <si>
    <t>происхождения</t>
  </si>
  <si>
    <t>чьё</t>
  </si>
  <si>
    <t>по-видимому</t>
  </si>
  <si>
    <t>большинства</t>
  </si>
  <si>
    <t>американцев</t>
  </si>
  <si>
    <t>трудно</t>
  </si>
  <si>
    <t>произносить</t>
  </si>
  <si>
    <t>звался</t>
  </si>
  <si>
    <t>Доктор</t>
  </si>
  <si>
    <t>Пи</t>
  </si>
  <si>
    <t># text = Доктор Пи всегда носил очень красочные бабочки и всегда был исключительно расположен работать с детьми.</t>
  </si>
  <si>
    <t>носил</t>
  </si>
  <si>
    <t>очень</t>
  </si>
  <si>
    <t>красочные</t>
  </si>
  <si>
    <t>бабочки</t>
  </si>
  <si>
    <t>исключительно</t>
  </si>
  <si>
    <t>расположен</t>
  </si>
  <si>
    <t>детьми</t>
  </si>
  <si>
    <t># text = Почти всё, что было связано с моим пребыванием в этой больнице, я обожала, за исключением уроков физической терапии.</t>
  </si>
  <si>
    <t>Почти</t>
  </si>
  <si>
    <t>связано</t>
  </si>
  <si>
    <t>моим</t>
  </si>
  <si>
    <t>пребыванием</t>
  </si>
  <si>
    <t>этой</t>
  </si>
  <si>
    <t>больнице</t>
  </si>
  <si>
    <t>обожала</t>
  </si>
  <si>
    <t>исключением</t>
  </si>
  <si>
    <t>уроков</t>
  </si>
  <si>
    <t>физической</t>
  </si>
  <si>
    <t>терапии</t>
  </si>
  <si>
    <t># text = Мне приходилось делать, казалось бесконечную, серию упражнений с разноцветными толстыми резиновыми лентами для укрепления мускулов на ногах.</t>
  </si>
  <si>
    <t>Мне</t>
  </si>
  <si>
    <t>приходилось</t>
  </si>
  <si>
    <t>делать</t>
  </si>
  <si>
    <t>казалось</t>
  </si>
  <si>
    <t>бесконечную</t>
  </si>
  <si>
    <t>серию</t>
  </si>
  <si>
    <t>упражнений</t>
  </si>
  <si>
    <t>разноцветными</t>
  </si>
  <si>
    <t>толстыми</t>
  </si>
  <si>
    <t>резиновыми</t>
  </si>
  <si>
    <t>лентами</t>
  </si>
  <si>
    <t>укрепления</t>
  </si>
  <si>
    <t>мускулов</t>
  </si>
  <si>
    <t>ногах</t>
  </si>
  <si>
    <t># text = Я ненавидела эти резиновые ленты больше всего на свете.</t>
  </si>
  <si>
    <t>ненавидела</t>
  </si>
  <si>
    <t>резиновые</t>
  </si>
  <si>
    <t>ленты</t>
  </si>
  <si>
    <t>больше</t>
  </si>
  <si>
    <t>всего</t>
  </si>
  <si>
    <t>свете</t>
  </si>
  <si>
    <t># text = Я их ненавидела, я их обзывала, чем могла.</t>
  </si>
  <si>
    <t>обзывала</t>
  </si>
  <si>
    <t>чем</t>
  </si>
  <si>
    <t># text = И, несмотря на 5-летний возраст, я уже торговалась, конечно же, безуспешно, с доктором Пи о том, чтобы он не назначал мне упражнения.</t>
  </si>
  <si>
    <t>И</t>
  </si>
  <si>
    <t>несмотря</t>
  </si>
  <si>
    <t>5-летний</t>
  </si>
  <si>
    <t>возраст</t>
  </si>
  <si>
    <t>торговалась</t>
  </si>
  <si>
    <t>конечно</t>
  </si>
  <si>
    <t>же</t>
  </si>
  <si>
    <t>безуспешно</t>
  </si>
  <si>
    <t>доктором</t>
  </si>
  <si>
    <t>о</t>
  </si>
  <si>
    <t>назначал</t>
  </si>
  <si>
    <t>упражнения</t>
  </si>
  <si>
    <t># text = И вот однажды он заходит во время занятий – какие это были изнуряющие и беспощадные занятия! – и говорит: «Вот это да!</t>
  </si>
  <si>
    <t>вот</t>
  </si>
  <si>
    <t>однажды</t>
  </si>
  <si>
    <t>заходит</t>
  </si>
  <si>
    <t>занятий</t>
  </si>
  <si>
    <t>какие</t>
  </si>
  <si>
    <t>были</t>
  </si>
  <si>
    <t>изнуряющие</t>
  </si>
  <si>
    <t>беспощадные</t>
  </si>
  <si>
    <t>занятия</t>
  </si>
  <si>
    <t>!</t>
  </si>
  <si>
    <t>говорит</t>
  </si>
  <si>
    <t>«Вот</t>
  </si>
  <si>
    <t>да</t>
  </si>
  <si>
    <t># text = Эйми, да ведь ты такая сильная, энергичная девочка, что я боюсь, ты возьмёшь и порвёшь одну из лент.</t>
  </si>
  <si>
    <t>Эйми</t>
  </si>
  <si>
    <t>ты</t>
  </si>
  <si>
    <t>такая</t>
  </si>
  <si>
    <t>сильная</t>
  </si>
  <si>
    <t>энергичная</t>
  </si>
  <si>
    <t>девочка</t>
  </si>
  <si>
    <t>боюсь</t>
  </si>
  <si>
    <t>возьмёшь</t>
  </si>
  <si>
    <t>порвёшь</t>
  </si>
  <si>
    <t>одну</t>
  </si>
  <si>
    <t>лент</t>
  </si>
  <si>
    <t># text = Если и в самом деле ты сможешь порвать, я дам тебе 100 долларов».</t>
  </si>
  <si>
    <t>Если</t>
  </si>
  <si>
    <t>самом</t>
  </si>
  <si>
    <t>деле</t>
  </si>
  <si>
    <t>сможешь</t>
  </si>
  <si>
    <t>порвать</t>
  </si>
  <si>
    <t>дам</t>
  </si>
  <si>
    <t>тебе</t>
  </si>
  <si>
    <t>долларов»</t>
  </si>
  <si>
    <t># text = Конечно же, со стороны доктора Пи это была простая уловка, чтобы я, делая ненавистные мне упражнения, имела соблазнительную перспективу стать самым богатым 5-летним ребёнком среди палат второго этажа.</t>
  </si>
  <si>
    <t>Конечно</t>
  </si>
  <si>
    <t>со</t>
  </si>
  <si>
    <t>стороны</t>
  </si>
  <si>
    <t>доктора</t>
  </si>
  <si>
    <t>простая</t>
  </si>
  <si>
    <t>уловка</t>
  </si>
  <si>
    <t>делая</t>
  </si>
  <si>
    <t>ненавистные</t>
  </si>
  <si>
    <t>имела</t>
  </si>
  <si>
    <t>соблазнительную</t>
  </si>
  <si>
    <t>перспективу</t>
  </si>
  <si>
    <t>самым</t>
  </si>
  <si>
    <t>богатым</t>
  </si>
  <si>
    <t>5-летним</t>
  </si>
  <si>
    <t>ребёнком</t>
  </si>
  <si>
    <t>среди</t>
  </si>
  <si>
    <t>палат</t>
  </si>
  <si>
    <t>второго</t>
  </si>
  <si>
    <t>этажа</t>
  </si>
  <si>
    <t># text = Но этим самым он фактически превратил ужасную ежедневную рутину в новое и многообещающее для меня увлечение.</t>
  </si>
  <si>
    <t>этим</t>
  </si>
  <si>
    <t>превратил</t>
  </si>
  <si>
    <t>ужасную</t>
  </si>
  <si>
    <t>ежедневную</t>
  </si>
  <si>
    <t>рутину</t>
  </si>
  <si>
    <t>новое</t>
  </si>
  <si>
    <t>многообещающее</t>
  </si>
  <si>
    <t>увлечение</t>
  </si>
  <si>
    <t># text = И сегодня я думаю, насколько его видение меня и заявление, что я сильная и энергичная девочка, сформировало надолго вперёд моё восприятие самой себя, как от природы сильной, энергичной, атлетической девушки.</t>
  </si>
  <si>
    <t>думаю</t>
  </si>
  <si>
    <t>насколько</t>
  </si>
  <si>
    <t>видение</t>
  </si>
  <si>
    <t>заявление</t>
  </si>
  <si>
    <t>сформировало</t>
  </si>
  <si>
    <t>надолго</t>
  </si>
  <si>
    <t>вперёд</t>
  </si>
  <si>
    <t>моё</t>
  </si>
  <si>
    <t>самой</t>
  </si>
  <si>
    <t>природы</t>
  </si>
  <si>
    <t>сильной</t>
  </si>
  <si>
    <t>энергичной</t>
  </si>
  <si>
    <t>атлетической</t>
  </si>
  <si>
    <t>девушки</t>
  </si>
  <si>
    <t># text = Вот пример того, как взрослые, используя своё влияние, могут зажечь энергию в ребёнке.</t>
  </si>
  <si>
    <t>пример</t>
  </si>
  <si>
    <t>того</t>
  </si>
  <si>
    <t>взрослые</t>
  </si>
  <si>
    <t>используя</t>
  </si>
  <si>
    <t>своё</t>
  </si>
  <si>
    <t>влияние</t>
  </si>
  <si>
    <t>могут</t>
  </si>
  <si>
    <t>зажечь</t>
  </si>
  <si>
    <t>энергию</t>
  </si>
  <si>
    <t>ребёнке</t>
  </si>
  <si>
    <t># text = Однако в показанных мною словарных примерах язык не позволяет нам превратить в реальность то, что мы все хотели бы: дать человеку возможность почувствовать свои способности.</t>
  </si>
  <si>
    <t>показанных</t>
  </si>
  <si>
    <t>мною</t>
  </si>
  <si>
    <t>словарных</t>
  </si>
  <si>
    <t>примерах</t>
  </si>
  <si>
    <t>язык</t>
  </si>
  <si>
    <t>позволяет</t>
  </si>
  <si>
    <t>нам</t>
  </si>
  <si>
    <t>хотели</t>
  </si>
  <si>
    <t>возможность</t>
  </si>
  <si>
    <t>почувствовать</t>
  </si>
  <si>
    <t>свои</t>
  </si>
  <si>
    <t>способности</t>
  </si>
  <si>
    <t>OBJ_7</t>
  </si>
  <si>
    <t># text = Язык не поспевает за изменениями в нашем обществе, многие из которых вызваны развитием техники.</t>
  </si>
  <si>
    <t>поспевает</t>
  </si>
  <si>
    <t>изменениями</t>
  </si>
  <si>
    <t>нашем</t>
  </si>
  <si>
    <t>обществе</t>
  </si>
  <si>
    <t>многие</t>
  </si>
  <si>
    <t>которых</t>
  </si>
  <si>
    <t>вызваны</t>
  </si>
  <si>
    <t>развитием</t>
  </si>
  <si>
    <t>техники</t>
  </si>
  <si>
    <t># text = Конечно, с точки зрения достижений медицины, мои ноги, лазерная операция улучшения зрения, коленная чашечка из титана, замена бедра стареющего организма – всё это даёт возможность, используя способности человека, более полно вывести его деятельность за пределы, налагаемые на него природой, не говоря уже о системе социальных сетей (social networking), которые позволяют человеку самому определить себя, настаивать на собственном описании себя и присоединяться к глобальным группам по собственному выбору.</t>
  </si>
  <si>
    <t>точки</t>
  </si>
  <si>
    <t>зрения</t>
  </si>
  <si>
    <t>достижений</t>
  </si>
  <si>
    <t>медицины</t>
  </si>
  <si>
    <t>мои</t>
  </si>
  <si>
    <t>ноги</t>
  </si>
  <si>
    <t>лазерная</t>
  </si>
  <si>
    <t>операция</t>
  </si>
  <si>
    <t>улучшения</t>
  </si>
  <si>
    <t>коленная</t>
  </si>
  <si>
    <t>чашечка</t>
  </si>
  <si>
    <t>титана</t>
  </si>
  <si>
    <t>замена</t>
  </si>
  <si>
    <t>бедра</t>
  </si>
  <si>
    <t>стареющего</t>
  </si>
  <si>
    <t>организма</t>
  </si>
  <si>
    <t>даёт</t>
  </si>
  <si>
    <t>более</t>
  </si>
  <si>
    <t>полно</t>
  </si>
  <si>
    <t>вывести</t>
  </si>
  <si>
    <t>деятельность</t>
  </si>
  <si>
    <t>пределы</t>
  </si>
  <si>
    <t>налагаемые</t>
  </si>
  <si>
    <t>него</t>
  </si>
  <si>
    <t>природой</t>
  </si>
  <si>
    <t>говоря</t>
  </si>
  <si>
    <t>системе</t>
  </si>
  <si>
    <t>социальных</t>
  </si>
  <si>
    <t>сетей</t>
  </si>
  <si>
    <t>social</t>
  </si>
  <si>
    <t>networking</t>
  </si>
  <si>
    <t>позволяют</t>
  </si>
  <si>
    <t>OBJ_6</t>
  </si>
  <si>
    <t>самому</t>
  </si>
  <si>
    <t>определить</t>
  </si>
  <si>
    <t>настаивать</t>
  </si>
  <si>
    <t>собственном</t>
  </si>
  <si>
    <t>описании</t>
  </si>
  <si>
    <t>присоединяться</t>
  </si>
  <si>
    <t>глобальным</t>
  </si>
  <si>
    <t>группам</t>
  </si>
  <si>
    <t>собственному</t>
  </si>
  <si>
    <t>выбору</t>
  </si>
  <si>
    <t># text = Значит, в настоящее время техника раскрывает нам то, что всегда оставалось истиной: что у каждого есть что-то редкое и сильное, представляющее интерес для нашего общества, и что нашим важнейшим достоянием является человеческая способность к адаптации.</t>
  </si>
  <si>
    <t>настоящее</t>
  </si>
  <si>
    <t>техника</t>
  </si>
  <si>
    <t>раскрывает</t>
  </si>
  <si>
    <t>оставалось</t>
  </si>
  <si>
    <t>истиной</t>
  </si>
  <si>
    <t>каждого</t>
  </si>
  <si>
    <t>есть</t>
  </si>
  <si>
    <t>редкое</t>
  </si>
  <si>
    <t>сильное</t>
  </si>
  <si>
    <t>представляющее</t>
  </si>
  <si>
    <t>интерес</t>
  </si>
  <si>
    <t>OBJ_8</t>
  </si>
  <si>
    <t>нашего</t>
  </si>
  <si>
    <t>other_10</t>
  </si>
  <si>
    <t>общества</t>
  </si>
  <si>
    <t>нашим</t>
  </si>
  <si>
    <t>важнейшим</t>
  </si>
  <si>
    <t>достоянием</t>
  </si>
  <si>
    <t>является</t>
  </si>
  <si>
    <t>человеческая</t>
  </si>
  <si>
    <t>SBJ_9</t>
  </si>
  <si>
    <t>адаптации</t>
  </si>
  <si>
    <t># text = Эта человеческая способность к адаптации – очень интересная штука, потому что окружающие постоянно хотели говорить со мной о преодолении неблагоприятных обстоятельств, и тут я должна сделать признание.</t>
  </si>
  <si>
    <t>Эта</t>
  </si>
  <si>
    <t>интересная</t>
  </si>
  <si>
    <t>окружающие</t>
  </si>
  <si>
    <t>постоянно</t>
  </si>
  <si>
    <t>мной</t>
  </si>
  <si>
    <t>преодолении</t>
  </si>
  <si>
    <t>неблагоприятных</t>
  </si>
  <si>
    <t>обстоятельств</t>
  </si>
  <si>
    <t>тут</t>
  </si>
  <si>
    <t>должна</t>
  </si>
  <si>
    <t>сделать</t>
  </si>
  <si>
    <t>признание</t>
  </si>
  <si>
    <t># text = Мне никогда это выражение не нравилось, мне всегда было неловко, когда я пыталась отвечать на вопросы по этому поводу, и теперь, мне кажется, я понимаю отчего.</t>
  </si>
  <si>
    <t>никогда</t>
  </si>
  <si>
    <t>выражение</t>
  </si>
  <si>
    <t>нравилось</t>
  </si>
  <si>
    <t>неловко</t>
  </si>
  <si>
    <t>пыталась</t>
  </si>
  <si>
    <t>отвечать</t>
  </si>
  <si>
    <t>вопросы</t>
  </si>
  <si>
    <t>этому</t>
  </si>
  <si>
    <t>поводу</t>
  </si>
  <si>
    <t>теперь</t>
  </si>
  <si>
    <t>кажется</t>
  </si>
  <si>
    <t>понимаю</t>
  </si>
  <si>
    <t>отчего</t>
  </si>
  <si>
    <t># text = В выражении «преодолеть неблагоприятные обстоятельства» скрыто присутствует мысль об успехе и счастье, о преодолении трудного периода целым и невредимым так, чтобы неблагоприятные обстоятельства не оставили следа.</t>
  </si>
  <si>
    <t>В</t>
  </si>
  <si>
    <t>выражении</t>
  </si>
  <si>
    <t>«преодолеть</t>
  </si>
  <si>
    <t>неблагоприятные</t>
  </si>
  <si>
    <t>обстоятельства»</t>
  </si>
  <si>
    <t>скрыто</t>
  </si>
  <si>
    <t>присутствует</t>
  </si>
  <si>
    <t>мысль</t>
  </si>
  <si>
    <t>об</t>
  </si>
  <si>
    <t>успехе</t>
  </si>
  <si>
    <t>счастье</t>
  </si>
  <si>
    <t>трудного</t>
  </si>
  <si>
    <t>периода</t>
  </si>
  <si>
    <t>целым</t>
  </si>
  <si>
    <t>невредимым</t>
  </si>
  <si>
    <t>так</t>
  </si>
  <si>
    <t>обстоятельства</t>
  </si>
  <si>
    <t>SBJ_8</t>
  </si>
  <si>
    <t>оставили</t>
  </si>
  <si>
    <t>следа</t>
  </si>
  <si>
    <t># text = Как если мой успех в жизни зиждется на моей способности обойти или уклониться от естественных опасностей протезной жизни, или от других предполагаемых причин моей нетрудоспособности.</t>
  </si>
  <si>
    <t>если</t>
  </si>
  <si>
    <t>успех</t>
  </si>
  <si>
    <t>зиждется</t>
  </si>
  <si>
    <t>моей</t>
  </si>
  <si>
    <t>обойти</t>
  </si>
  <si>
    <t>уклониться</t>
  </si>
  <si>
    <t>естественных</t>
  </si>
  <si>
    <t>опасностей</t>
  </si>
  <si>
    <t>протезной</t>
  </si>
  <si>
    <t>предполагаемых</t>
  </si>
  <si>
    <t>причин</t>
  </si>
  <si>
    <t>нетрудоспособности</t>
  </si>
  <si>
    <t># text = На самом же деле, мы изменяемся.</t>
  </si>
  <si>
    <t>На</t>
  </si>
  <si>
    <t>изменяемся</t>
  </si>
  <si>
    <t># text = Трудные обстоятельства, безусловно, оставляют следы – физические, эмоциональные, а то и оба.</t>
  </si>
  <si>
    <t>Трудные</t>
  </si>
  <si>
    <t>безусловно</t>
  </si>
  <si>
    <t>оставляют</t>
  </si>
  <si>
    <t>следы</t>
  </si>
  <si>
    <t>физические</t>
  </si>
  <si>
    <t>эмоциональные</t>
  </si>
  <si>
    <t>оба</t>
  </si>
  <si>
    <t># text = И я утверждаю, что это – хорошо.</t>
  </si>
  <si>
    <t>утверждаю</t>
  </si>
  <si>
    <t>хорошо</t>
  </si>
  <si>
    <t># text = Неблагоприятные обстоятельства – это не помеха, которую надо обойти стороной, чтобы восстановить нормальную жизнь.</t>
  </si>
  <si>
    <t>Неблагоприятные</t>
  </si>
  <si>
    <t>которую</t>
  </si>
  <si>
    <t>надо</t>
  </si>
  <si>
    <t>стороной</t>
  </si>
  <si>
    <t>восстановить</t>
  </si>
  <si>
    <t>нормальную</t>
  </si>
  <si>
    <t># text = Это – часть нашей жизни.</t>
  </si>
  <si>
    <t>Это</t>
  </si>
  <si>
    <t># text = Я воспринимаю эти обстоятельства, как собственную тень.</t>
  </si>
  <si>
    <t>воспринимаю</t>
  </si>
  <si>
    <t>собственную</t>
  </si>
  <si>
    <t>тень</t>
  </si>
  <si>
    <t># text = Иногда я вижу, что она длинная, иногда, что совсем короткая, но она всегда со мной.</t>
  </si>
  <si>
    <t>Иногда</t>
  </si>
  <si>
    <t>вижу</t>
  </si>
  <si>
    <t>она</t>
  </si>
  <si>
    <t>длинная</t>
  </si>
  <si>
    <t>иногда</t>
  </si>
  <si>
    <t>совсем</t>
  </si>
  <si>
    <t>короткая</t>
  </si>
  <si>
    <t>но</t>
  </si>
  <si>
    <t># text = Я не пытаюсь, конечно же, умалить тяжесть борьбы с обстоятельствами и её эффект.</t>
  </si>
  <si>
    <t>пытаюсь</t>
  </si>
  <si>
    <t>умалить</t>
  </si>
  <si>
    <t>тяжесть</t>
  </si>
  <si>
    <t>борьбы</t>
  </si>
  <si>
    <t>обстоятельствами</t>
  </si>
  <si>
    <t>её</t>
  </si>
  <si>
    <t>эффект</t>
  </si>
  <si>
    <t># text = Жизнь полна неблагоприятных обстоятельств, и в каждом случае они весьма реальны и конкретны.</t>
  </si>
  <si>
    <t>Жизнь</t>
  </si>
  <si>
    <t>полна</t>
  </si>
  <si>
    <t>каждом</t>
  </si>
  <si>
    <t>случае</t>
  </si>
  <si>
    <t>они</t>
  </si>
  <si>
    <t>весьма</t>
  </si>
  <si>
    <t>реальны</t>
  </si>
  <si>
    <t>конкретны</t>
  </si>
  <si>
    <t># text = Вопрос не в том, встретитесь ли вы с неблагоприятными обстоятельствами, а в том, как вы с ними встретитесь.</t>
  </si>
  <si>
    <t>Вопрос</t>
  </si>
  <si>
    <t>встретитесь</t>
  </si>
  <si>
    <t>вы</t>
  </si>
  <si>
    <t>неблагоприятными</t>
  </si>
  <si>
    <t>ними</t>
  </si>
  <si>
    <t># text = Значит, наша ответственность перед близким человеком не в том, чтобы его просто уберечь, а в том, чтобы подготовить его к достойному ответу на обстоятельства.</t>
  </si>
  <si>
    <t>наша</t>
  </si>
  <si>
    <t>ответственность</t>
  </si>
  <si>
    <t>перед</t>
  </si>
  <si>
    <t>близким</t>
  </si>
  <si>
    <t>человеком</t>
  </si>
  <si>
    <t>уберечь</t>
  </si>
  <si>
    <t>подготовить</t>
  </si>
  <si>
    <t>достойному</t>
  </si>
  <si>
    <t>ответу</t>
  </si>
  <si>
    <t># text = Мы оказываем плохую услугу детям, если внушаем им чувство неподготовленности к адаптациям.</t>
  </si>
  <si>
    <t>Мы</t>
  </si>
  <si>
    <t>оказываем</t>
  </si>
  <si>
    <t>плохую</t>
  </si>
  <si>
    <t>услугу</t>
  </si>
  <si>
    <t>детям</t>
  </si>
  <si>
    <t>внушаем</t>
  </si>
  <si>
    <t>им</t>
  </si>
  <si>
    <t>чувство</t>
  </si>
  <si>
    <t>неподготовленности</t>
  </si>
  <si>
    <t>адаптациям</t>
  </si>
  <si>
    <t># text = Есть большое и важное различие между объективным медицинским фактом того, что мои ноги ампутированы, и субъективным мнением общества о том, что я неполноценный человек.</t>
  </si>
  <si>
    <t>Есть</t>
  </si>
  <si>
    <t>большое</t>
  </si>
  <si>
    <t>важное</t>
  </si>
  <si>
    <t>различие</t>
  </si>
  <si>
    <t>между</t>
  </si>
  <si>
    <t>объективным</t>
  </si>
  <si>
    <t>медицинским</t>
  </si>
  <si>
    <t>фактом</t>
  </si>
  <si>
    <t>other_6</t>
  </si>
  <si>
    <t>ампутированы</t>
  </si>
  <si>
    <t>субъективным</t>
  </si>
  <si>
    <t>мнением</t>
  </si>
  <si>
    <t>человек</t>
  </si>
  <si>
    <t># text = Честно говоря, единственная реальная и стойкая неполноценность, с которой я сталкиваюсь, состоит в том, что люди продолжают думать и говорить обо мне в терминах, которые я вам показала.</t>
  </si>
  <si>
    <t>Честно</t>
  </si>
  <si>
    <t>единственная</t>
  </si>
  <si>
    <t>реальная</t>
  </si>
  <si>
    <t>стойкая</t>
  </si>
  <si>
    <t>неполноценность</t>
  </si>
  <si>
    <t>которой</t>
  </si>
  <si>
    <t>сталкиваюсь</t>
  </si>
  <si>
    <t>состоит</t>
  </si>
  <si>
    <t>люди</t>
  </si>
  <si>
    <t>продолжают</t>
  </si>
  <si>
    <t>обо</t>
  </si>
  <si>
    <t>терминах</t>
  </si>
  <si>
    <t>SBJ_7</t>
  </si>
  <si>
    <t>вам</t>
  </si>
  <si>
    <t>показала</t>
  </si>
  <si>
    <t># text = При всём желании защитить близкого человека, мы обязаны, вместе с сообщением ему холодной и жестокой правды медицинского прогноза, а то и прогноза о характере его дальнейшей жизни, мы обязаны позаботиться о том, чтобы тем самым не положить первый кирпич в стену, которая сделает его действительно неполноценным.</t>
  </si>
  <si>
    <t>При</t>
  </si>
  <si>
    <t>всём</t>
  </si>
  <si>
    <t>желании</t>
  </si>
  <si>
    <t>близкого</t>
  </si>
  <si>
    <t>обязаны</t>
  </si>
  <si>
    <t>вместе</t>
  </si>
  <si>
    <t>сообщением</t>
  </si>
  <si>
    <t>холодной</t>
  </si>
  <si>
    <t>жестокой</t>
  </si>
  <si>
    <t>правды</t>
  </si>
  <si>
    <t>медицинского</t>
  </si>
  <si>
    <t>прогноза</t>
  </si>
  <si>
    <t>характере</t>
  </si>
  <si>
    <t>дальнейшей</t>
  </si>
  <si>
    <t>позаботиться</t>
  </si>
  <si>
    <t>тем</t>
  </si>
  <si>
    <t>положить</t>
  </si>
  <si>
    <t>первый</t>
  </si>
  <si>
    <t>кирпич</t>
  </si>
  <si>
    <t>стену</t>
  </si>
  <si>
    <t>которая</t>
  </si>
  <si>
    <t>сделает</t>
  </si>
  <si>
    <t>действительно</t>
  </si>
  <si>
    <t>неполноценным</t>
  </si>
  <si>
    <t># text = Возможно, обычные действия – установить нефункционирующий орган и попытаться исправить его – больше способствуют неполноценности человека, чем сама болезнь или травма.</t>
  </si>
  <si>
    <t>Возможно</t>
  </si>
  <si>
    <t>обычные</t>
  </si>
  <si>
    <t>действия</t>
  </si>
  <si>
    <t>установить</t>
  </si>
  <si>
    <t>нефункционирующий</t>
  </si>
  <si>
    <t>орган</t>
  </si>
  <si>
    <t>попытаться</t>
  </si>
  <si>
    <t>исправить</t>
  </si>
  <si>
    <t>способствуют</t>
  </si>
  <si>
    <t>неполноценности</t>
  </si>
  <si>
    <t>сама</t>
  </si>
  <si>
    <t>болезнь</t>
  </si>
  <si>
    <t>травма</t>
  </si>
  <si>
    <t># text = Пренебрежением целостностью человека, игнорированием заложенного в нём потенциала, создаётся ещё один нездоровый очаг сверх того естественного препятствия, с которым ему приходится бороться.</t>
  </si>
  <si>
    <t>Пренебрежением</t>
  </si>
  <si>
    <t>целостностью</t>
  </si>
  <si>
    <t>игнорированием</t>
  </si>
  <si>
    <t>заложенного</t>
  </si>
  <si>
    <t>нём</t>
  </si>
  <si>
    <t>потенциала</t>
  </si>
  <si>
    <t>создаётся</t>
  </si>
  <si>
    <t>ещё</t>
  </si>
  <si>
    <t>один</t>
  </si>
  <si>
    <t>нездоровый</t>
  </si>
  <si>
    <t>очаг</t>
  </si>
  <si>
    <t>сверх</t>
  </si>
  <si>
    <t>естественного</t>
  </si>
  <si>
    <t>препятствия</t>
  </si>
  <si>
    <t>которым</t>
  </si>
  <si>
    <t>приходится</t>
  </si>
  <si>
    <t>бороться</t>
  </si>
  <si>
    <t># text = Тем самым, в сущности, выносится оценка ценности человека для сообщества.</t>
  </si>
  <si>
    <t>Тем</t>
  </si>
  <si>
    <t>сущности</t>
  </si>
  <si>
    <t>выносится</t>
  </si>
  <si>
    <t>оценка</t>
  </si>
  <si>
    <t>сообщества</t>
  </si>
  <si>
    <t># text = А потому нам необходимо смотреть глубже, чем болезнь или травма, и увидеть весь спектр человеческих возможностей.</t>
  </si>
  <si>
    <t>необходимо</t>
  </si>
  <si>
    <t>смотреть</t>
  </si>
  <si>
    <t>глубже</t>
  </si>
  <si>
    <t>весь</t>
  </si>
  <si>
    <t>спектр</t>
  </si>
  <si>
    <t>человеческих</t>
  </si>
  <si>
    <t>возможностей</t>
  </si>
  <si>
    <t># text = Самое главное.</t>
  </si>
  <si>
    <t>Самое</t>
  </si>
  <si>
    <t># text = Есть согласованная связь между нашими так называемыми дефектами и недостатками и нашими величайшими творческими способностями.</t>
  </si>
  <si>
    <t>согласованная</t>
  </si>
  <si>
    <t>связь</t>
  </si>
  <si>
    <t>нашими</t>
  </si>
  <si>
    <t>называемыми</t>
  </si>
  <si>
    <t>дефектами</t>
  </si>
  <si>
    <t>недостатками</t>
  </si>
  <si>
    <t>величайшими</t>
  </si>
  <si>
    <t>творческими</t>
  </si>
  <si>
    <t>способностями</t>
  </si>
  <si>
    <t># text = Значит, речь должна идти не о том, что надо списать, отрицать, или стыдливо скрывать трудности, а о том, что надо выискивать новые возможности, скрытые внутри неблагоприятных обстоятельств.</t>
  </si>
  <si>
    <t>речь</t>
  </si>
  <si>
    <t>идти</t>
  </si>
  <si>
    <t>списать</t>
  </si>
  <si>
    <t>отрицать</t>
  </si>
  <si>
    <t>стыдливо</t>
  </si>
  <si>
    <t>скрывать</t>
  </si>
  <si>
    <t>трудности</t>
  </si>
  <si>
    <t>выискивать</t>
  </si>
  <si>
    <t>новые</t>
  </si>
  <si>
    <t>возможности</t>
  </si>
  <si>
    <t>OBJ_10</t>
  </si>
  <si>
    <t>скрытые</t>
  </si>
  <si>
    <t>внутри</t>
  </si>
  <si>
    <t># text = Попытаюсь точнее выразить свою мысль: неблагоприятные обстоятельства не столько надо преодолевать, сколько раскрыться им наперекор, обхватить их, сцепиться с ними, пользуясь борцовским термином, может даже потанцевать с ними.</t>
  </si>
  <si>
    <t>Попытаюсь</t>
  </si>
  <si>
    <t>точнее</t>
  </si>
  <si>
    <t>выразить</t>
  </si>
  <si>
    <t>свою</t>
  </si>
  <si>
    <t>столько</t>
  </si>
  <si>
    <t>преодолевать</t>
  </si>
  <si>
    <t>сколько</t>
  </si>
  <si>
    <t>раскрыться</t>
  </si>
  <si>
    <t>наперекор</t>
  </si>
  <si>
    <t>обхватить</t>
  </si>
  <si>
    <t>сцепиться</t>
  </si>
  <si>
    <t>пользуясь</t>
  </si>
  <si>
    <t>борцовским</t>
  </si>
  <si>
    <t>термином</t>
  </si>
  <si>
    <t>может</t>
  </si>
  <si>
    <t>даже</t>
  </si>
  <si>
    <t>потанцевать</t>
  </si>
  <si>
    <t># text = Если мы станем смотреть на неблагоприятные обстоятельства как на естественный, устойчивый и полезный ход событий, возможно, они не будут так на нас давить.</t>
  </si>
  <si>
    <t>станем</t>
  </si>
  <si>
    <t>естественный</t>
  </si>
  <si>
    <t>устойчивый</t>
  </si>
  <si>
    <t>полезный</t>
  </si>
  <si>
    <t>ход</t>
  </si>
  <si>
    <t>событий</t>
  </si>
  <si>
    <t>возможно</t>
  </si>
  <si>
    <t>будут</t>
  </si>
  <si>
    <t>нас</t>
  </si>
  <si>
    <t>давить</t>
  </si>
  <si>
    <t># text = В этом году празднуется 200-летие со дня рождения Чарльза Дарвина, который 150 лет назад в своих трудах по эволюции раскрыл, я думаю, истину о человеческом характере.</t>
  </si>
  <si>
    <t>этом</t>
  </si>
  <si>
    <t>году</t>
  </si>
  <si>
    <t>празднуется</t>
  </si>
  <si>
    <t>200-летие</t>
  </si>
  <si>
    <t>дня</t>
  </si>
  <si>
    <t>рождения</t>
  </si>
  <si>
    <t>Чарльза</t>
  </si>
  <si>
    <t>Дарвина</t>
  </si>
  <si>
    <t>150</t>
  </si>
  <si>
    <t>лет</t>
  </si>
  <si>
    <t>своих</t>
  </si>
  <si>
    <t>трудах</t>
  </si>
  <si>
    <t>эволюции</t>
  </si>
  <si>
    <t>раскрыл</t>
  </si>
  <si>
    <t>истину</t>
  </si>
  <si>
    <t>человеческом</t>
  </si>
  <si>
    <t># text = Если перефразировать его, то выживает не сильнейший, и не умнейший, а имеющий наилучшие способности адаптироваться.</t>
  </si>
  <si>
    <t>перефразировать</t>
  </si>
  <si>
    <t>выживает</t>
  </si>
  <si>
    <t>сильнейший</t>
  </si>
  <si>
    <t>умнейший</t>
  </si>
  <si>
    <t>имеющий</t>
  </si>
  <si>
    <t>наилучшие</t>
  </si>
  <si>
    <t>адаптироваться</t>
  </si>
  <si>
    <t># text = Конфликт – зарождение созидания.</t>
  </si>
  <si>
    <t>Конфликт</t>
  </si>
  <si>
    <t>зарождение</t>
  </si>
  <si>
    <t>созидания</t>
  </si>
  <si>
    <t># text = Благодаря Дарвину и другим исследователям мы знаем, что человеческая способность выживать и процветать движется борьбой человеческого духа через конфликт к трансформации.</t>
  </si>
  <si>
    <t>Благодаря</t>
  </si>
  <si>
    <t>Дарвину</t>
  </si>
  <si>
    <t>другим</t>
  </si>
  <si>
    <t>исследователям</t>
  </si>
  <si>
    <t>знаем</t>
  </si>
  <si>
    <t>процветать</t>
  </si>
  <si>
    <t>движется</t>
  </si>
  <si>
    <t>борьбой</t>
  </si>
  <si>
    <t>человеческого</t>
  </si>
  <si>
    <t>духа</t>
  </si>
  <si>
    <t>через</t>
  </si>
  <si>
    <t>трансформации</t>
  </si>
  <si>
    <t># text = Значит, опять-таки, трансформация, адаптация – наши величайшие человеческие способности.</t>
  </si>
  <si>
    <t>опять-таки</t>
  </si>
  <si>
    <t>трансформация</t>
  </si>
  <si>
    <t>адаптация</t>
  </si>
  <si>
    <t>наши</t>
  </si>
  <si>
    <t>величайшие</t>
  </si>
  <si>
    <t>человеческие</t>
  </si>
  <si>
    <t># text = И, возможно, пока не проверишь на прочность, не узнаешь, из чего человек сделан.</t>
  </si>
  <si>
    <t>пока</t>
  </si>
  <si>
    <t>проверишь</t>
  </si>
  <si>
    <t>прочность</t>
  </si>
  <si>
    <t>узнаешь</t>
  </si>
  <si>
    <t>чего</t>
  </si>
  <si>
    <t>сделан</t>
  </si>
  <si>
    <t># text = Может, именно это и дают нам неблагоприятные обстоятельства: чувство самого себя, чувство собственной силы.</t>
  </si>
  <si>
    <t>Может</t>
  </si>
  <si>
    <t>именно</t>
  </si>
  <si>
    <t>дают</t>
  </si>
  <si>
    <t>самого</t>
  </si>
  <si>
    <t>собственной</t>
  </si>
  <si>
    <t># text = Тогда давайте сделаем себе подарок.</t>
  </si>
  <si>
    <t>Тогда</t>
  </si>
  <si>
    <t>давайте</t>
  </si>
  <si>
    <t>сделаем</t>
  </si>
  <si>
    <t>себе</t>
  </si>
  <si>
    <t>подарок</t>
  </si>
  <si>
    <t># text = Пересмотрим подход и будем считать неблагоприятные обстоятельства нечто большим, чем просто трудным периодом.</t>
  </si>
  <si>
    <t>Пересмотрим</t>
  </si>
  <si>
    <t>подход</t>
  </si>
  <si>
    <t>будем</t>
  </si>
  <si>
    <t>нечто</t>
  </si>
  <si>
    <t>большим</t>
  </si>
  <si>
    <t>трудным</t>
  </si>
  <si>
    <t>периодом</t>
  </si>
  <si>
    <t># text = Можно рассматривать их, как перемену.</t>
  </si>
  <si>
    <t>Можно</t>
  </si>
  <si>
    <t>рассматривать</t>
  </si>
  <si>
    <t>перемену</t>
  </si>
  <si>
    <t># text = Неблагоприятные обстоятельства – это перемена, к которой мы ещё не подготовлены.</t>
  </si>
  <si>
    <t>подготовлены</t>
  </si>
  <si>
    <t># text = Я считаю, что самое неблагоприятное обстоятельство, которое мы создали сами себе – это понятие «нормального» человека.</t>
  </si>
  <si>
    <t>считаю</t>
  </si>
  <si>
    <t>самое</t>
  </si>
  <si>
    <t>неблагоприятное</t>
  </si>
  <si>
    <t>обстоятельство</t>
  </si>
  <si>
    <t>создали</t>
  </si>
  <si>
    <t>сами</t>
  </si>
  <si>
    <t>«нормального»</t>
  </si>
  <si>
    <t># text = Спрашивается, кто «нормальный»?</t>
  </si>
  <si>
    <t>Спрашивается</t>
  </si>
  <si>
    <t>«нормальный»</t>
  </si>
  <si>
    <t># text = Нормальных людей нет.</t>
  </si>
  <si>
    <t>Нормальных</t>
  </si>
  <si>
    <t>людей</t>
  </si>
  <si>
    <t># text = Есть обычные люди.</t>
  </si>
  <si>
    <t># text = Есть типичные.</t>
  </si>
  <si>
    <t>типичные</t>
  </si>
  <si>
    <t># text = Нормальных нет.</t>
  </si>
  <si>
    <t># text = А если и есть такой средненький человечек, хотели бы вы с ним познакомиться?</t>
  </si>
  <si>
    <t>такой</t>
  </si>
  <si>
    <t>средненький</t>
  </si>
  <si>
    <t>человечек</t>
  </si>
  <si>
    <t>ним</t>
  </si>
  <si>
    <t>познакомиться</t>
  </si>
  <si>
    <t># text = (Смех) Не думаю.</t>
  </si>
  <si>
    <t>Смех</t>
  </si>
  <si>
    <t># text = Если отойти от стандартной ориентации на нормальность к раскрытию возможностей и потенциала, даже если это несколько опасно, то удастся высвободить энергию намного большего числа детей, и привлечь их редкие и ценные качества на пользу сообществу.</t>
  </si>
  <si>
    <t>отойти</t>
  </si>
  <si>
    <t>стандартной</t>
  </si>
  <si>
    <t>ориентации</t>
  </si>
  <si>
    <t>нормальность</t>
  </si>
  <si>
    <t>раскрытию</t>
  </si>
  <si>
    <t>опасно</t>
  </si>
  <si>
    <t>удастся</t>
  </si>
  <si>
    <t>высвободить</t>
  </si>
  <si>
    <t>большего</t>
  </si>
  <si>
    <t>числа</t>
  </si>
  <si>
    <t>привлечь</t>
  </si>
  <si>
    <t>редкие</t>
  </si>
  <si>
    <t>ценные</t>
  </si>
  <si>
    <t>качества</t>
  </si>
  <si>
    <t>пользу</t>
  </si>
  <si>
    <t>сообществу</t>
  </si>
  <si>
    <t># text = Антропология установила, что человек всегда требовал от членов сообщества одну вещь – быть полезными, быть способными сделать вклад в сообщество.</t>
  </si>
  <si>
    <t>Антропология</t>
  </si>
  <si>
    <t>установила</t>
  </si>
  <si>
    <t>требовал</t>
  </si>
  <si>
    <t>членов</t>
  </si>
  <si>
    <t>вещь</t>
  </si>
  <si>
    <t>полезными</t>
  </si>
  <si>
    <t>способными</t>
  </si>
  <si>
    <t>вклад</t>
  </si>
  <si>
    <t>сообщество</t>
  </si>
  <si>
    <t># text = Исследования подтверждают, что 60 тысяч лет назад неандертальцы носили на себе престарелых и калек.</t>
  </si>
  <si>
    <t>Исследования</t>
  </si>
  <si>
    <t>подтверждают</t>
  </si>
  <si>
    <t>тысяч</t>
  </si>
  <si>
    <t>неандертальцы</t>
  </si>
  <si>
    <t>носили</t>
  </si>
  <si>
    <t>престарелых</t>
  </si>
  <si>
    <t>калек</t>
  </si>
  <si>
    <t># text = Возможно, оттого, что приобретённый этими людьми опыт выживания был ценным для сообщества, они не считались сломленными и бесполезными, и на них смотрели как на редкость и ценность.</t>
  </si>
  <si>
    <t>оттого</t>
  </si>
  <si>
    <t>приобретённый</t>
  </si>
  <si>
    <t>людьми</t>
  </si>
  <si>
    <t>опыт</t>
  </si>
  <si>
    <t>выживания</t>
  </si>
  <si>
    <t>ценным</t>
  </si>
  <si>
    <t>считались</t>
  </si>
  <si>
    <t>сломленными</t>
  </si>
  <si>
    <t>бесполезными</t>
  </si>
  <si>
    <t>них</t>
  </si>
  <si>
    <t>смотрели</t>
  </si>
  <si>
    <t>редкость</t>
  </si>
  <si>
    <t>ценность</t>
  </si>
  <si>
    <t># text = Пару лет назад я была на рынке в городке, где я родилась, в красной зоне на северо-востоке Пенсильвании.</t>
  </si>
  <si>
    <t>Пару</t>
  </si>
  <si>
    <t>рынке</t>
  </si>
  <si>
    <t>городке</t>
  </si>
  <si>
    <t>где</t>
  </si>
  <si>
    <t>красной</t>
  </si>
  <si>
    <t>зоне</t>
  </si>
  <si>
    <t>северо-востоке</t>
  </si>
  <si>
    <t>Пенсильвании</t>
  </si>
  <si>
    <t># text = Стою, выбираю помидоры.</t>
  </si>
  <si>
    <t>Стою</t>
  </si>
  <si>
    <t>выбираю</t>
  </si>
  <si>
    <t>помидоры</t>
  </si>
  <si>
    <t># text = Лето.</t>
  </si>
  <si>
    <t>Лето</t>
  </si>
  <si>
    <t># text = Я в шортах.</t>
  </si>
  <si>
    <t>шортах</t>
  </si>
  <si>
    <t># text = Тут слышу сзади голос: «Да это не иначе, как Эйми Муллинз!» Поворачиваюсь, вижу престарелого человека.</t>
  </si>
  <si>
    <t>Тут</t>
  </si>
  <si>
    <t>слышу</t>
  </si>
  <si>
    <t>сзади</t>
  </si>
  <si>
    <t>«Да</t>
  </si>
  <si>
    <t>иначе</t>
  </si>
  <si>
    <t>Муллинз</t>
  </si>
  <si>
    <t>»</t>
  </si>
  <si>
    <t>Поворачиваюсь</t>
  </si>
  <si>
    <t>престарелого</t>
  </si>
  <si>
    <t># text = Без понятия, кто он.</t>
  </si>
  <si>
    <t>понятия</t>
  </si>
  <si>
    <t># text = Говорю: «Простите, сэр, мы с вами знакомы?</t>
  </si>
  <si>
    <t>Говорю</t>
  </si>
  <si>
    <t>«Простите</t>
  </si>
  <si>
    <t>сэр</t>
  </si>
  <si>
    <t>знакомы</t>
  </si>
  <si>
    <t># text = Я что-то не припоминаю…» А он мне: «А вы и не можете помнить меня.</t>
  </si>
  <si>
    <t>припоминаю</t>
  </si>
  <si>
    <t>…</t>
  </si>
  <si>
    <t>«А</t>
  </si>
  <si>
    <t>можете</t>
  </si>
  <si>
    <t>помнить</t>
  </si>
  <si>
    <t># text = Потому что мы встретились, когда я принимал роды у вашей мамочки».</t>
  </si>
  <si>
    <t>Потому</t>
  </si>
  <si>
    <t>встретились</t>
  </si>
  <si>
    <t>принимал</t>
  </si>
  <si>
    <t>роды</t>
  </si>
  <si>
    <t>вашей</t>
  </si>
  <si>
    <t>мамочки»</t>
  </si>
  <si>
    <t># text = Ах, это он!</t>
  </si>
  <si>
    <t>Ах</t>
  </si>
  <si>
    <t># text = А потом, конечно, в мозгу сработала связь: это тот самый доктор Кин, о котором я слышала по рассказам моей мамы о том самом дне.</t>
  </si>
  <si>
    <t>потом</t>
  </si>
  <si>
    <t>мозгу</t>
  </si>
  <si>
    <t>сработала</t>
  </si>
  <si>
    <t>самый</t>
  </si>
  <si>
    <t>доктор</t>
  </si>
  <si>
    <t>Кин</t>
  </si>
  <si>
    <t>котором</t>
  </si>
  <si>
    <t>слышала</t>
  </si>
  <si>
    <t>рассказам</t>
  </si>
  <si>
    <t>мамы</t>
  </si>
  <si>
    <t>дне</t>
  </si>
  <si>
    <t># text = Потому что с рождением я опоздала – ну что можно от меня ожидать? – на две недели, врач, которая вела мою маму, вышла в отпуск, так что, в конце концов, роды принимал совершенно незнакомый нам врач.</t>
  </si>
  <si>
    <t>рождением</t>
  </si>
  <si>
    <t>опоздала</t>
  </si>
  <si>
    <t>ну</t>
  </si>
  <si>
    <t>ожидать</t>
  </si>
  <si>
    <t>две</t>
  </si>
  <si>
    <t>недели</t>
  </si>
  <si>
    <t>вела</t>
  </si>
  <si>
    <t>мою</t>
  </si>
  <si>
    <t>маму</t>
  </si>
  <si>
    <t>вышла</t>
  </si>
  <si>
    <t>отпуск</t>
  </si>
  <si>
    <t>конце</t>
  </si>
  <si>
    <t>концов</t>
  </si>
  <si>
    <t>совершенно</t>
  </si>
  <si>
    <t>незнакомый</t>
  </si>
  <si>
    <t># text = А поскольку я родилась без малоберцовой кости, и ножки были ввёрнуты, и пара пальцев на каждой ноге, этот незнакомец должен был доставить печальную новость.</t>
  </si>
  <si>
    <t>поскольку</t>
  </si>
  <si>
    <t>без</t>
  </si>
  <si>
    <t>малоберцовой</t>
  </si>
  <si>
    <t>кости</t>
  </si>
  <si>
    <t>ножки</t>
  </si>
  <si>
    <t>ввёрнуты</t>
  </si>
  <si>
    <t>пара</t>
  </si>
  <si>
    <t>пальцев</t>
  </si>
  <si>
    <t>каждой</t>
  </si>
  <si>
    <t>ноге</t>
  </si>
  <si>
    <t>незнакомец</t>
  </si>
  <si>
    <t>доставить</t>
  </si>
  <si>
    <t>печальную</t>
  </si>
  <si>
    <t>новость</t>
  </si>
  <si>
    <t># text = Он мне говорит: «Я обязан был описать вашим родителям медицинский прогноз о том, что вы никогда не будете ходить, и что у вас никогда не будет степень свободы движений, как у других детей, и что вы не сможете вести сколь-нибудь независимую жизнь.</t>
  </si>
  <si>
    <t>Он</t>
  </si>
  <si>
    <t>«Я</t>
  </si>
  <si>
    <t>обязан</t>
  </si>
  <si>
    <t>описать</t>
  </si>
  <si>
    <t>вашим</t>
  </si>
  <si>
    <t>родителям</t>
  </si>
  <si>
    <t>медицинский</t>
  </si>
  <si>
    <t>прогноз</t>
  </si>
  <si>
    <t>будете</t>
  </si>
  <si>
    <t>ходить</t>
  </si>
  <si>
    <t>вас</t>
  </si>
  <si>
    <t>будет</t>
  </si>
  <si>
    <t>степень</t>
  </si>
  <si>
    <t>свободы</t>
  </si>
  <si>
    <t>движений</t>
  </si>
  <si>
    <t>сможете</t>
  </si>
  <si>
    <t>вести</t>
  </si>
  <si>
    <t>сколь-нибудь</t>
  </si>
  <si>
    <t>независимую</t>
  </si>
  <si>
    <t># text = Начиная с того времени, вы систематически доказывали, что я – лжец.» (Аплодисменты) А вот что необычного он мне сообщил: всё время, пока я росла, он сохранял вырезки из газет, сообщавших о моей победе в соревновании по английскому языку во втором классе, об участии в мероприятиях девочек-скаутов, о параде на Хэллоуине, о стипендии на обучение в университете, обо всех моих спортивных победах, и он использовал это в процессе обучения студентов-медиков в медицинских школах Hahnemann и Hershey.</t>
  </si>
  <si>
    <t>Начиная</t>
  </si>
  <si>
    <t>времени</t>
  </si>
  <si>
    <t>систематически</t>
  </si>
  <si>
    <t>доказывали</t>
  </si>
  <si>
    <t>лжец</t>
  </si>
  <si>
    <t>Аплодисменты</t>
  </si>
  <si>
    <t>необычного</t>
  </si>
  <si>
    <t>сообщил</t>
  </si>
  <si>
    <t>росла</t>
  </si>
  <si>
    <t>сохранял</t>
  </si>
  <si>
    <t>вырезки</t>
  </si>
  <si>
    <t>газет</t>
  </si>
  <si>
    <t>сообщавших</t>
  </si>
  <si>
    <t>победе</t>
  </si>
  <si>
    <t>соревновании</t>
  </si>
  <si>
    <t>английскому</t>
  </si>
  <si>
    <t>языку</t>
  </si>
  <si>
    <t>втором</t>
  </si>
  <si>
    <t>классе</t>
  </si>
  <si>
    <t>участии</t>
  </si>
  <si>
    <t>мероприятиях</t>
  </si>
  <si>
    <t>девочек</t>
  </si>
  <si>
    <t>скаутов</t>
  </si>
  <si>
    <t>параде</t>
  </si>
  <si>
    <t>Хэллоуине</t>
  </si>
  <si>
    <t>стипендии</t>
  </si>
  <si>
    <t>обучение</t>
  </si>
  <si>
    <t>университете</t>
  </si>
  <si>
    <t>всех</t>
  </si>
  <si>
    <t>моих</t>
  </si>
  <si>
    <t>спортивных</t>
  </si>
  <si>
    <t>победах</t>
  </si>
  <si>
    <t>использовал</t>
  </si>
  <si>
    <t>процессе</t>
  </si>
  <si>
    <t>обучения</t>
  </si>
  <si>
    <t>студентов</t>
  </si>
  <si>
    <t>медиков</t>
  </si>
  <si>
    <t>медицинских</t>
  </si>
  <si>
    <t>школах</t>
  </si>
  <si>
    <t>Hahnemann</t>
  </si>
  <si>
    <t>Hershey</t>
  </si>
  <si>
    <t># text = Эту часть курса он назвал X-Factor [«Секрет Успеха»], потенциал силы воли.</t>
  </si>
  <si>
    <t>Эту</t>
  </si>
  <si>
    <t>курса</t>
  </si>
  <si>
    <t>назвал</t>
  </si>
  <si>
    <t>X-Factor</t>
  </si>
  <si>
    <t>[</t>
  </si>
  <si>
    <t>«Секрет</t>
  </si>
  <si>
    <t>Успеха»</t>
  </si>
  <si>
    <t>]</t>
  </si>
  <si>
    <t>воли</t>
  </si>
  <si>
    <t># text = Мощность фактора Х и его влияние на качество жизни человека не в состоянии учесть никакой медицинский прогноз.</t>
  </si>
  <si>
    <t>Мощность</t>
  </si>
  <si>
    <t>фактора</t>
  </si>
  <si>
    <t>Х</t>
  </si>
  <si>
    <t>качество</t>
  </si>
  <si>
    <t>состоянии</t>
  </si>
  <si>
    <t>учесть</t>
  </si>
  <si>
    <t>никакой</t>
  </si>
  <si>
    <t># text = И доктор Кин добавил: «Весь опыт моей работы говорит о том, что ребёнок может добиться всего, если только не твердить ему о невозможности, и если оказать ему просто минимальную поддержку.</t>
  </si>
  <si>
    <t>добавил</t>
  </si>
  <si>
    <t>«Весь</t>
  </si>
  <si>
    <t>ребёнок</t>
  </si>
  <si>
    <t>добиться</t>
  </si>
  <si>
    <t>только</t>
  </si>
  <si>
    <t>твердить</t>
  </si>
  <si>
    <t>невозможности</t>
  </si>
  <si>
    <t>оказать</t>
  </si>
  <si>
    <t>минимальную</t>
  </si>
  <si>
    <t>поддержку</t>
  </si>
  <si>
    <t># text = » Обратите внимание: доктор Кин пересмотрел свой подход.</t>
  </si>
  <si>
    <t>Обратите</t>
  </si>
  <si>
    <t>внимание</t>
  </si>
  <si>
    <t>пересмотрел</t>
  </si>
  <si>
    <t>свой</t>
  </si>
  <si>
    <t># text = Он понял, что есть большая разница между самим медицинским фактом и тем, что человек может сделать, исходя из него.</t>
  </si>
  <si>
    <t>понял</t>
  </si>
  <si>
    <t>большая</t>
  </si>
  <si>
    <t>разница</t>
  </si>
  <si>
    <t>самим</t>
  </si>
  <si>
    <t># text = В моем подходе тоже с течением времени произошли изменения.</t>
  </si>
  <si>
    <t>моем</t>
  </si>
  <si>
    <t>подходе</t>
  </si>
  <si>
    <t>тоже</t>
  </si>
  <si>
    <t>течением</t>
  </si>
  <si>
    <t>произошли</t>
  </si>
  <si>
    <t>изменения</t>
  </si>
  <si>
    <t># text = Если, когда мне было 15 лет, меня спросили бы, готова ли я поменять протезы на ноги из плоти и кости, я не колебалась бы ни секунды.</t>
  </si>
  <si>
    <t>спросили</t>
  </si>
  <si>
    <t>готова</t>
  </si>
  <si>
    <t>поменять</t>
  </si>
  <si>
    <t>протезы</t>
  </si>
  <si>
    <t>плоти</t>
  </si>
  <si>
    <t>колебалась</t>
  </si>
  <si>
    <t>секунды</t>
  </si>
  <si>
    <t># text = В то время я стремилась к той самой «нормальности».</t>
  </si>
  <si>
    <t>стремилась</t>
  </si>
  <si>
    <t>той</t>
  </si>
  <si>
    <t>«нормальности»</t>
  </si>
  <si>
    <t># text = Спросите меня сегодня, и я вам скажу, что я не совсем уверена, хочу ли я этого.</t>
  </si>
  <si>
    <t>Спросите</t>
  </si>
  <si>
    <t>скажу</t>
  </si>
  <si>
    <t>уверена</t>
  </si>
  <si>
    <t>хочу</t>
  </si>
  <si>
    <t># text = И это благодаря событиям, выпавшим на мою жизнь с протезами, а не невзирая на события, выпавшие на мою жизнь с протезами.</t>
  </si>
  <si>
    <t>благодаря</t>
  </si>
  <si>
    <t>событиям</t>
  </si>
  <si>
    <t>выпавшим</t>
  </si>
  <si>
    <t>протезами</t>
  </si>
  <si>
    <t>невзирая</t>
  </si>
  <si>
    <t>выпавшие</t>
  </si>
  <si>
    <t># text = Возможно, этот переход произошёл во мне оттого, что мне довелось встретить больше тех, кто открывали мне двери, чем тех, кто ставили мне ограничения и ставили меня в тень.</t>
  </si>
  <si>
    <t>переход</t>
  </si>
  <si>
    <t>произошёл</t>
  </si>
  <si>
    <t>довелось</t>
  </si>
  <si>
    <t>встретить</t>
  </si>
  <si>
    <t>открывали</t>
  </si>
  <si>
    <t>SBJ_10</t>
  </si>
  <si>
    <t>ставили</t>
  </si>
  <si>
    <t>ограничения</t>
  </si>
  <si>
    <t>OBJ_11</t>
  </si>
  <si>
    <t># text = Всё, что человеку нужно – это чтобы кто-то один помог бы озарить, показав собственную мощь, а дальше человек полетит сам.</t>
  </si>
  <si>
    <t>Всё</t>
  </si>
  <si>
    <t>нужно</t>
  </si>
  <si>
    <t>кто-то</t>
  </si>
  <si>
    <t>помог</t>
  </si>
  <si>
    <t>озарить</t>
  </si>
  <si>
    <t>показав</t>
  </si>
  <si>
    <t>мощь</t>
  </si>
  <si>
    <t>дальше</t>
  </si>
  <si>
    <t>полетит</t>
  </si>
  <si>
    <t>сам</t>
  </si>
  <si>
    <t># text = Если вы можете кому-то вручить ключ к его собственной энергии – ведь душа человека настолько восприимчива – и открыть кому-то дверь в критический для него момент, то это означает дать ему образование в лучшем смысле этого слова.</t>
  </si>
  <si>
    <t>кому-то</t>
  </si>
  <si>
    <t>вручить</t>
  </si>
  <si>
    <t>ключ</t>
  </si>
  <si>
    <t>энергии</t>
  </si>
  <si>
    <t>душа</t>
  </si>
  <si>
    <t>восприимчива</t>
  </si>
  <si>
    <t>дверь</t>
  </si>
  <si>
    <t>критический</t>
  </si>
  <si>
    <t>момент</t>
  </si>
  <si>
    <t>означает</t>
  </si>
  <si>
    <t>образование</t>
  </si>
  <si>
    <t>лучшем</t>
  </si>
  <si>
    <t>смысле</t>
  </si>
  <si>
    <t># text = Ведь тогда человек научится открывать себе двери сам.</t>
  </si>
  <si>
    <t>научится</t>
  </si>
  <si>
    <t>открывать</t>
  </si>
  <si>
    <t>--</t>
  </si>
  <si>
    <t># text = И вообще, точное значение слова образование [education] происходит от корня "educe."</t>
  </si>
  <si>
    <t>вообще</t>
  </si>
  <si>
    <t>точное</t>
  </si>
  <si>
    <t>значение</t>
  </si>
  <si>
    <t>education</t>
  </si>
  <si>
    <t>происходит</t>
  </si>
  <si>
    <t>корня</t>
  </si>
  <si>
    <t>&amp;quot;</t>
  </si>
  <si>
    <t>educe</t>
  </si>
  <si>
    <t># text = Он означает «вызвать на поверхность заложенное внутри», «дать возможность раскрыть потенциал».</t>
  </si>
  <si>
    <t>«вызвать</t>
  </si>
  <si>
    <t>поверхность</t>
  </si>
  <si>
    <t>заложенное</t>
  </si>
  <si>
    <t>внутри»</t>
  </si>
  <si>
    <t>«дать</t>
  </si>
  <si>
    <t>раскрыть</t>
  </si>
  <si>
    <t>потенциал»</t>
  </si>
  <si>
    <t># text = А тогда спросим заново: какой потенциал хотим мы раскрыть?</t>
  </si>
  <si>
    <t>спросим</t>
  </si>
  <si>
    <t>заново</t>
  </si>
  <si>
    <t>какой</t>
  </si>
  <si>
    <t># text = В 1960-х годах в Великобритании провели исследование, связанное с переходом на новую систему образования.</t>
  </si>
  <si>
    <t>1960-х</t>
  </si>
  <si>
    <t>годах</t>
  </si>
  <si>
    <t>Великобритании</t>
  </si>
  <si>
    <t>провели</t>
  </si>
  <si>
    <t>исследование</t>
  </si>
  <si>
    <t>связанное</t>
  </si>
  <si>
    <t>переходом</t>
  </si>
  <si>
    <t>новую</t>
  </si>
  <si>
    <t>систему</t>
  </si>
  <si>
    <t>образования</t>
  </si>
  <si>
    <t># text = Там это называется «послойные испытания», у нас здесь, в США – «прослеживание».</t>
  </si>
  <si>
    <t>Там</t>
  </si>
  <si>
    <t>называется</t>
  </si>
  <si>
    <t>«послойные</t>
  </si>
  <si>
    <t>испытания»</t>
  </si>
  <si>
    <t>здесь</t>
  </si>
  <si>
    <t>США</t>
  </si>
  <si>
    <t>«прослеживание»</t>
  </si>
  <si>
    <t># text = Учащиеся разделяются по успеваемости, после чего у отличников больше нагрузки, лучше учителя и т.д.</t>
  </si>
  <si>
    <t>Учащиеся</t>
  </si>
  <si>
    <t>разделяются</t>
  </si>
  <si>
    <t>успеваемости</t>
  </si>
  <si>
    <t>после</t>
  </si>
  <si>
    <t>отличников</t>
  </si>
  <si>
    <t>нагрузки</t>
  </si>
  <si>
    <t>учителя</t>
  </si>
  <si>
    <t>т.</t>
  </si>
  <si>
    <t>д</t>
  </si>
  <si>
    <t># text = Так вот, в качестве трёхмесячного эксперимента, группе троечников поставили пятёрки, сказали им, что они отличники и что они умные.</t>
  </si>
  <si>
    <t>Так</t>
  </si>
  <si>
    <t>качестве</t>
  </si>
  <si>
    <t>трёхмесячного</t>
  </si>
  <si>
    <t>эксперимента</t>
  </si>
  <si>
    <t>группе</t>
  </si>
  <si>
    <t>троечников</t>
  </si>
  <si>
    <t>поставили</t>
  </si>
  <si>
    <t>пятёрки</t>
  </si>
  <si>
    <t>сказали</t>
  </si>
  <si>
    <t>отличники</t>
  </si>
  <si>
    <t>умные</t>
  </si>
  <si>
    <t># text = Через три месяца они показывали отличные результаты, они стали получать пятёрки.</t>
  </si>
  <si>
    <t>Через</t>
  </si>
  <si>
    <t>три</t>
  </si>
  <si>
    <t>месяца</t>
  </si>
  <si>
    <t>показывали</t>
  </si>
  <si>
    <t>отличные</t>
  </si>
  <si>
    <t>результаты</t>
  </si>
  <si>
    <t>стали</t>
  </si>
  <si>
    <t>получать</t>
  </si>
  <si>
    <t># text = Самое ужасное – оборотная сторона медали в этом же эксперименте: отличникам сказали, что они троечники.</t>
  </si>
  <si>
    <t>ужасное</t>
  </si>
  <si>
    <t>оборотная</t>
  </si>
  <si>
    <t>медали</t>
  </si>
  <si>
    <t>эксперименте</t>
  </si>
  <si>
    <t>отличникам</t>
  </si>
  <si>
    <t>троечники</t>
  </si>
  <si>
    <t># text = И вот что оказалось в конце трёх месяцев.</t>
  </si>
  <si>
    <t>оказалось</t>
  </si>
  <si>
    <t>трёх</t>
  </si>
  <si>
    <t># text = С теми, кто ещё продолжал учёбу, потому некоторые бросили школу.</t>
  </si>
  <si>
    <t>С</t>
  </si>
  <si>
    <t>теми</t>
  </si>
  <si>
    <t>продолжал</t>
  </si>
  <si>
    <t>учёбу</t>
  </si>
  <si>
    <t>некоторые</t>
  </si>
  <si>
    <t>бросили</t>
  </si>
  <si>
    <t># text = Главное в этом эксперименте – учителей тоже оставили в неведении.</t>
  </si>
  <si>
    <t>Главное</t>
  </si>
  <si>
    <t>учителей</t>
  </si>
  <si>
    <t>неведении</t>
  </si>
  <si>
    <t># text = Учителя не были в курсе того, что произошла замена.</t>
  </si>
  <si>
    <t>Учителя</t>
  </si>
  <si>
    <t>курсе</t>
  </si>
  <si>
    <t>произошла</t>
  </si>
  <si>
    <t># text = Им просто сказали, «вот – отличники, вот – троечники».</t>
  </si>
  <si>
    <t>Им</t>
  </si>
  <si>
    <t>«вот</t>
  </si>
  <si>
    <t>троечники»</t>
  </si>
  <si>
    <t># text = И они обучали и относились к ним соответственно.</t>
  </si>
  <si>
    <t>обучали</t>
  </si>
  <si>
    <t>относились</t>
  </si>
  <si>
    <t>соответственно</t>
  </si>
  <si>
    <t># text = Так вот, я думаю, что единственная настоящая неполноценность – это подавленный дух, сокрушённый дух не имеет надежды.</t>
  </si>
  <si>
    <t>настоящая</t>
  </si>
  <si>
    <t>подавленный</t>
  </si>
  <si>
    <t>дух</t>
  </si>
  <si>
    <t>сокрушённый</t>
  </si>
  <si>
    <t>надежды</t>
  </si>
  <si>
    <t># text = Он не видит красоты.</t>
  </si>
  <si>
    <t>видит</t>
  </si>
  <si>
    <t>красоты</t>
  </si>
  <si>
    <t># text = Он более не имеет той естественной, детской любознательности, той врожденной способности воображать.</t>
  </si>
  <si>
    <t>естественной</t>
  </si>
  <si>
    <t>детской</t>
  </si>
  <si>
    <t>любознательности</t>
  </si>
  <si>
    <t>врожденной</t>
  </si>
  <si>
    <t>воображать</t>
  </si>
  <si>
    <t># text = Если же, наоборот, поднять человеку дух, чтобы он имел надежду, видел красоту в себе и в других, был любознательным и полным воображения, то мы по-настоящему хорошо используем нашу силу.</t>
  </si>
  <si>
    <t>наоборот</t>
  </si>
  <si>
    <t>поднять</t>
  </si>
  <si>
    <t>имел</t>
  </si>
  <si>
    <t>надежду</t>
  </si>
  <si>
    <t>видел</t>
  </si>
  <si>
    <t>красоту</t>
  </si>
  <si>
    <t>любознательным</t>
  </si>
  <si>
    <t>полным</t>
  </si>
  <si>
    <t>воображения</t>
  </si>
  <si>
    <t>по-настоящему</t>
  </si>
  <si>
    <t>используем</t>
  </si>
  <si>
    <t>нашу</t>
  </si>
  <si>
    <t># text = Если человек обладает этими качествами, то мы можем создавать новую реальность, новый способ существования.</t>
  </si>
  <si>
    <t>обладает</t>
  </si>
  <si>
    <t>качествами</t>
  </si>
  <si>
    <t>можем</t>
  </si>
  <si>
    <t>создавать</t>
  </si>
  <si>
    <t>новый</t>
  </si>
  <si>
    <t>способ</t>
  </si>
  <si>
    <t>существования</t>
  </si>
  <si>
    <t># text = Я хотела бы напоследок зачитать вам стихи персидского поэта 14-го века Хафиза, о котором мне рассказал мой друг Жак Дамбуа.</t>
  </si>
  <si>
    <t>напоследок</t>
  </si>
  <si>
    <t>зачитать</t>
  </si>
  <si>
    <t>стихи</t>
  </si>
  <si>
    <t>персидского</t>
  </si>
  <si>
    <t>поэта</t>
  </si>
  <si>
    <t>14-го</t>
  </si>
  <si>
    <t>века</t>
  </si>
  <si>
    <t>Хафиза</t>
  </si>
  <si>
    <t>рассказал</t>
  </si>
  <si>
    <t>друг</t>
  </si>
  <si>
    <t>Жак</t>
  </si>
  <si>
    <t>Дамбуа</t>
  </si>
  <si>
    <t>other_9</t>
  </si>
  <si>
    <t># text = Поэма называется «Бог, знающий лишь четыре слова».</t>
  </si>
  <si>
    <t>Поэма</t>
  </si>
  <si>
    <t>«Бог</t>
  </si>
  <si>
    <t>знающий</t>
  </si>
  <si>
    <t>лишь</t>
  </si>
  <si>
    <t>четыре</t>
  </si>
  <si>
    <t>слова»</t>
  </si>
  <si>
    <t># text = «Каждому ребёнку знаком Бог, не Бог имен, не Бог запретов, а Бог, знающий лишь четыре слова и повторяющий: потанцуй со мною вместе.» Так потанцуйте же со мною вместе.</t>
  </si>
  <si>
    <t>«Каждому</t>
  </si>
  <si>
    <t>знаком</t>
  </si>
  <si>
    <t>Бог</t>
  </si>
  <si>
    <t>имен</t>
  </si>
  <si>
    <t>запретов</t>
  </si>
  <si>
    <t>повторяющий</t>
  </si>
  <si>
    <t>потанцуй</t>
  </si>
  <si>
    <t>потанцуйте</t>
  </si>
  <si>
    <t># text = Благодарю вас.</t>
  </si>
  <si>
    <t>Благодарю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</si>
</sst>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10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11</v>
      </c>
      <c r="C7" s="6" t="s">
        <v>12</v>
      </c>
      <c r="D7" s="7" t="s">
        <v>25</v>
      </c>
      <c r="E7" s="8" t="s">
        <v>33</v>
      </c>
      <c r="F7" s="6" t="s">
        <v>34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36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35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16</v>
      </c>
      <c r="B10" s="6" t="s">
        <v>24</v>
      </c>
      <c r="C10" s="6" t="s">
        <v>44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36</v>
      </c>
      <c r="B11" s="6" t="s">
        <v>24</v>
      </c>
      <c r="C11" s="6" t="s">
        <v>12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11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16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32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24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20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32</v>
      </c>
      <c r="C17" s="6" t="s">
        <v>12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20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35</v>
      </c>
      <c r="C19" s="6" t="s">
        <v>12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10</v>
      </c>
      <c r="C20" s="6" t="s">
        <v>12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11</v>
      </c>
      <c r="C21" s="6" t="s">
        <v>12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79</v>
      </c>
      <c r="C22" s="6" t="s">
        <v>92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20</v>
      </c>
      <c r="C23" s="6" t="s">
        <v>12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55</v>
      </c>
      <c r="C24" s="6" t="s">
        <v>12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35</v>
      </c>
      <c r="C25" s="6" t="s">
        <v>12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36</v>
      </c>
      <c r="C26" s="6" t="s">
        <v>12</v>
      </c>
      <c r="D26" s="7" t="s">
        <v>109</v>
      </c>
      <c r="E26" s="8" t="s">
        <v>110</v>
      </c>
      <c r="F26" s="6" t="s">
        <v>111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112</v>
      </c>
      <c r="B27" s="6" t="s">
        <v>11</v>
      </c>
      <c r="C27" s="6" t="s">
        <v>12</v>
      </c>
      <c r="D27" s="7" t="s">
        <v>113</v>
      </c>
      <c r="E27" s="8" t="s">
        <v>114</v>
      </c>
      <c r="F27" s="6" t="s">
        <v>115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116</v>
      </c>
      <c r="B28" s="6" t="s">
        <v>59</v>
      </c>
      <c r="C28" s="6" t="s">
        <v>12</v>
      </c>
      <c r="D28" s="7" t="s">
        <v>117</v>
      </c>
      <c r="E28" s="8" t="s">
        <v>118</v>
      </c>
      <c r="F28" s="6" t="s">
        <v>119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120</v>
      </c>
      <c r="B29" s="6" t="s">
        <v>24</v>
      </c>
      <c r="C29" s="6" t="s">
        <v>12</v>
      </c>
      <c r="D29" s="7" t="s">
        <v>121</v>
      </c>
      <c r="E29" s="8" t="s">
        <v>122</v>
      </c>
      <c r="F29" s="6" t="s">
        <v>123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67</v>
      </c>
      <c r="C30" s="6" t="s">
        <v>12</v>
      </c>
      <c r="D30" s="7" t="s">
        <v>125</v>
      </c>
      <c r="E30" s="8" t="s">
        <v>126</v>
      </c>
      <c r="F30" s="6" t="s">
        <v>127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11</v>
      </c>
      <c r="C31" s="6" t="s">
        <v>12</v>
      </c>
      <c r="D31" s="7" t="s">
        <v>129</v>
      </c>
      <c r="E31" s="8" t="s">
        <v>130</v>
      </c>
      <c r="F31" s="6" t="s">
        <v>131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132</v>
      </c>
      <c r="B32" s="6" t="s">
        <v>11</v>
      </c>
      <c r="C32" s="6" t="s">
        <v>12</v>
      </c>
      <c r="D32" s="7" t="s">
        <v>133</v>
      </c>
      <c r="E32" s="8" t="s">
        <v>134</v>
      </c>
      <c r="F32" s="6" t="s">
        <v>135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136</v>
      </c>
      <c r="B33" s="6" t="s">
        <v>20</v>
      </c>
      <c r="C33" s="6" t="s">
        <v>12</v>
      </c>
      <c r="D33" s="7" t="s">
        <v>133</v>
      </c>
      <c r="E33" s="8" t="s">
        <v>137</v>
      </c>
      <c r="F33" s="6" t="s">
        <v>138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139</v>
      </c>
      <c r="B34" s="6" t="s">
        <v>36</v>
      </c>
      <c r="C34" s="6" t="s">
        <v>12</v>
      </c>
      <c r="D34" s="7" t="s">
        <v>140</v>
      </c>
      <c r="E34" s="8" t="s">
        <v>141</v>
      </c>
      <c r="F34" s="6" t="s">
        <v>142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143</v>
      </c>
      <c r="B35" s="6" t="s">
        <v>28</v>
      </c>
      <c r="C35" s="6" t="s">
        <v>12</v>
      </c>
      <c r="D35" s="7" t="s">
        <v>144</v>
      </c>
      <c r="E35" s="8" t="s">
        <v>145</v>
      </c>
      <c r="F35" s="6" t="s">
        <v>146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147</v>
      </c>
      <c r="B36" s="6" t="s">
        <v>10</v>
      </c>
      <c r="C36" s="6" t="s">
        <v>12</v>
      </c>
      <c r="D36" s="7" t="s">
        <v>148</v>
      </c>
      <c r="E36" s="8" t="s">
        <v>149</v>
      </c>
      <c r="F36" s="6" t="s">
        <v>150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151</v>
      </c>
      <c r="B37" s="6" t="s">
        <v>51</v>
      </c>
      <c r="C37" s="6" t="s">
        <v>12</v>
      </c>
      <c r="D37" s="7" t="s">
        <v>152</v>
      </c>
      <c r="E37" s="8" t="s">
        <v>153</v>
      </c>
      <c r="F37" s="6" t="s">
        <v>154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155</v>
      </c>
      <c r="B38" s="6" t="s">
        <v>16</v>
      </c>
      <c r="C38" s="6" t="s">
        <v>12</v>
      </c>
      <c r="D38" s="7" t="s">
        <v>156</v>
      </c>
      <c r="E38" s="8" t="s">
        <v>157</v>
      </c>
      <c r="F38" s="6" t="s">
        <v>158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159</v>
      </c>
      <c r="B39" s="6" t="s">
        <v>32</v>
      </c>
      <c r="C39" s="6" t="s">
        <v>12</v>
      </c>
      <c r="D39" s="7" t="s">
        <v>160</v>
      </c>
      <c r="E39" s="8" t="s">
        <v>161</v>
      </c>
      <c r="F39" s="6" t="s">
        <v>162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163</v>
      </c>
      <c r="B40" s="6" t="s">
        <v>24</v>
      </c>
      <c r="C40" s="6" t="s">
        <v>12</v>
      </c>
      <c r="D40" s="7" t="s">
        <v>164</v>
      </c>
      <c r="E40" s="8" t="s">
        <v>165</v>
      </c>
      <c r="F40" s="6" t="s">
        <v>166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167</v>
      </c>
      <c r="B41" s="6" t="s">
        <v>55</v>
      </c>
      <c r="C41" s="6" t="s">
        <v>12</v>
      </c>
      <c r="D41" s="7" t="s">
        <v>56</v>
      </c>
      <c r="E41" s="8" t="s">
        <v>168</v>
      </c>
      <c r="F41" s="6" t="s">
        <v>169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170</v>
      </c>
      <c r="B42" s="6" t="s">
        <v>16</v>
      </c>
      <c r="C42" s="6" t="s">
        <v>44</v>
      </c>
      <c r="D42" s="7" t="s">
        <v>171</v>
      </c>
      <c r="E42" s="8" t="s">
        <v>172</v>
      </c>
      <c r="F42" s="6" t="s">
        <v>173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174</v>
      </c>
      <c r="B43" s="6" t="s">
        <v>20</v>
      </c>
      <c r="C43" s="6" t="s">
        <v>12</v>
      </c>
      <c r="D43" s="7" t="s">
        <v>175</v>
      </c>
      <c r="E43" s="8" t="s">
        <v>176</v>
      </c>
      <c r="F43" s="6" t="s">
        <v>177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178</v>
      </c>
      <c r="B44" s="6" t="s">
        <v>136</v>
      </c>
      <c r="C44" s="6" t="s">
        <v>12</v>
      </c>
      <c r="D44" s="7" t="s">
        <v>179</v>
      </c>
      <c r="E44" s="8" t="s">
        <v>180</v>
      </c>
      <c r="F44" s="6" t="s">
        <v>181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182</v>
      </c>
      <c r="B45" s="6" t="s">
        <v>35</v>
      </c>
      <c r="C45" s="6" t="s">
        <v>12</v>
      </c>
      <c r="D45" s="7" t="s">
        <v>183</v>
      </c>
      <c r="E45" s="8" t="s">
        <v>184</v>
      </c>
      <c r="F45" s="6" t="s">
        <v>185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186</v>
      </c>
      <c r="B46" s="6" t="s">
        <v>16</v>
      </c>
      <c r="C46" s="6" t="s">
        <v>92</v>
      </c>
      <c r="D46" s="7" t="s">
        <v>187</v>
      </c>
      <c r="E46" s="8" t="s">
        <v>188</v>
      </c>
      <c r="F46" s="6" t="s">
        <v>189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190</v>
      </c>
      <c r="B47" s="6" t="s">
        <v>32</v>
      </c>
      <c r="C47" s="6" t="s">
        <v>12</v>
      </c>
      <c r="D47" s="7" t="s">
        <v>191</v>
      </c>
      <c r="E47" s="8" t="s">
        <v>192</v>
      </c>
      <c r="F47" s="6" t="s">
        <v>193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194</v>
      </c>
      <c r="B48" s="6" t="s">
        <v>35</v>
      </c>
      <c r="C48" s="6" t="s">
        <v>12</v>
      </c>
      <c r="D48" s="7" t="s">
        <v>195</v>
      </c>
      <c r="E48" s="8" t="s">
        <v>196</v>
      </c>
      <c r="F48" s="6" t="s">
        <v>197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198</v>
      </c>
      <c r="B49" s="6" t="s">
        <v>35</v>
      </c>
      <c r="C49" s="6" t="s">
        <v>12</v>
      </c>
      <c r="D49" s="7" t="s">
        <v>199</v>
      </c>
      <c r="E49" s="8" t="s">
        <v>200</v>
      </c>
      <c r="F49" s="6" t="s">
        <v>201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202</v>
      </c>
      <c r="B50" s="6" t="s">
        <v>35</v>
      </c>
      <c r="C50" s="6" t="s">
        <v>12</v>
      </c>
      <c r="D50" s="7" t="s">
        <v>203</v>
      </c>
      <c r="E50" s="8" t="s">
        <v>204</v>
      </c>
      <c r="F50" s="6" t="s">
        <v>205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206</v>
      </c>
      <c r="B51" s="6" t="s">
        <v>32</v>
      </c>
      <c r="C51" s="6" t="s">
        <v>12</v>
      </c>
      <c r="D51" s="7" t="s">
        <v>207</v>
      </c>
      <c r="E51" s="8" t="s">
        <v>208</v>
      </c>
      <c r="F51" s="6" t="s">
        <v>209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210</v>
      </c>
      <c r="B52" s="6" t="s">
        <v>20</v>
      </c>
      <c r="C52" s="6" t="s">
        <v>12</v>
      </c>
      <c r="D52" s="7" t="s">
        <v>211</v>
      </c>
      <c r="E52" s="8" t="s">
        <v>212</v>
      </c>
      <c r="F52" s="6" t="s">
        <v>213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214</v>
      </c>
      <c r="B53" s="6" t="s">
        <v>32</v>
      </c>
      <c r="C53" s="6" t="s">
        <v>12</v>
      </c>
      <c r="D53" s="7" t="s">
        <v>215</v>
      </c>
      <c r="E53" s="8" t="s">
        <v>216</v>
      </c>
      <c r="F53" s="6" t="s">
        <v>217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218</v>
      </c>
      <c r="B54" s="6" t="s">
        <v>20</v>
      </c>
      <c r="C54" s="6" t="s">
        <v>12</v>
      </c>
      <c r="D54" s="7" t="s">
        <v>219</v>
      </c>
      <c r="E54" s="8" t="s">
        <v>220</v>
      </c>
      <c r="F54" s="6" t="s">
        <v>221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222</v>
      </c>
      <c r="B55" s="6" t="s">
        <v>11</v>
      </c>
      <c r="C55" s="6" t="s">
        <v>12</v>
      </c>
      <c r="D55" s="7" t="s">
        <v>223</v>
      </c>
      <c r="E55" s="8" t="s">
        <v>224</v>
      </c>
      <c r="F55" s="6" t="s">
        <v>225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226</v>
      </c>
      <c r="B56" s="6" t="s">
        <v>20</v>
      </c>
      <c r="C56" s="6" t="s">
        <v>12</v>
      </c>
      <c r="D56" s="7" t="s">
        <v>227</v>
      </c>
      <c r="E56" s="8" t="s">
        <v>228</v>
      </c>
      <c r="F56" s="6" t="s">
        <v>229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230</v>
      </c>
      <c r="B57" s="6" t="s">
        <v>20</v>
      </c>
      <c r="C57" s="6" t="s">
        <v>12</v>
      </c>
      <c r="D57" s="7" t="s">
        <v>231</v>
      </c>
      <c r="E57" s="8" t="s">
        <v>232</v>
      </c>
      <c r="F57" s="6" t="s">
        <v>233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234</v>
      </c>
      <c r="B58" s="6" t="s">
        <v>11</v>
      </c>
      <c r="C58" s="6" t="s">
        <v>12</v>
      </c>
      <c r="D58" s="7" t="s">
        <v>235</v>
      </c>
      <c r="E58" s="8" t="s">
        <v>236</v>
      </c>
      <c r="F58" s="6" t="s">
        <v>237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238</v>
      </c>
      <c r="B59" s="6" t="s">
        <v>24</v>
      </c>
      <c r="C59" s="6" t="s">
        <v>12</v>
      </c>
      <c r="D59" s="7" t="s">
        <v>239</v>
      </c>
      <c r="E59" s="8" t="s">
        <v>240</v>
      </c>
      <c r="F59" s="6" t="s">
        <v>241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242</v>
      </c>
      <c r="B60" s="6" t="s">
        <v>36</v>
      </c>
      <c r="C60" s="6" t="s">
        <v>12</v>
      </c>
      <c r="D60" s="7" t="s">
        <v>239</v>
      </c>
      <c r="E60" s="8" t="s">
        <v>243</v>
      </c>
      <c r="F60" s="6" t="s">
        <v>244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245</v>
      </c>
      <c r="B61" s="6" t="s">
        <v>11</v>
      </c>
      <c r="C61" s="6" t="s">
        <v>12</v>
      </c>
      <c r="D61" s="7" t="s">
        <v>246</v>
      </c>
      <c r="E61" s="8" t="s">
        <v>247</v>
      </c>
      <c r="F61" s="6" t="s">
        <v>248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249</v>
      </c>
      <c r="B62" s="6" t="s">
        <v>10</v>
      </c>
      <c r="C62" s="6" t="s">
        <v>12</v>
      </c>
      <c r="D62" s="7" t="s">
        <v>250</v>
      </c>
      <c r="E62" s="8" t="s">
        <v>251</v>
      </c>
      <c r="F62" s="6" t="s">
        <v>252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253</v>
      </c>
      <c r="B63" s="6" t="s">
        <v>11</v>
      </c>
      <c r="C63" s="6" t="s">
        <v>12</v>
      </c>
      <c r="D63" s="7" t="s">
        <v>254</v>
      </c>
      <c r="E63" s="8" t="s">
        <v>255</v>
      </c>
      <c r="F63" s="6" t="s">
        <v>256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257</v>
      </c>
      <c r="B64" s="6" t="s">
        <v>24</v>
      </c>
      <c r="C64" s="6" t="s">
        <v>258</v>
      </c>
      <c r="D64" s="7" t="s">
        <v>259</v>
      </c>
      <c r="E64" s="8" t="s">
        <v>260</v>
      </c>
      <c r="F64" s="6" t="s">
        <v>261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262</v>
      </c>
      <c r="B65" s="6" t="s">
        <v>67</v>
      </c>
      <c r="C65" s="6" t="s">
        <v>12</v>
      </c>
      <c r="D65" s="7" t="s">
        <v>263</v>
      </c>
      <c r="E65" s="8" t="s">
        <v>264</v>
      </c>
      <c r="F65" s="6" t="s">
        <v>265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266</v>
      </c>
      <c r="B66" s="6" t="s">
        <v>16</v>
      </c>
      <c r="C66" s="6" t="s">
        <v>12</v>
      </c>
      <c r="D66" s="7" t="s">
        <v>267</v>
      </c>
      <c r="E66" s="8" t="s">
        <v>268</v>
      </c>
      <c r="F66" s="6" t="s">
        <v>269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270</v>
      </c>
      <c r="B67" s="6" t="s">
        <v>35</v>
      </c>
      <c r="C67" s="6" t="s">
        <v>12</v>
      </c>
      <c r="D67" s="7" t="s">
        <v>271</v>
      </c>
      <c r="E67" s="8" t="s">
        <v>272</v>
      </c>
      <c r="F67" s="6" t="s">
        <v>273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274</v>
      </c>
      <c r="B68" s="6" t="s">
        <v>24</v>
      </c>
      <c r="C68" s="6" t="s">
        <v>92</v>
      </c>
      <c r="D68" s="7" t="s">
        <v>275</v>
      </c>
      <c r="E68" s="8" t="s">
        <v>276</v>
      </c>
      <c r="F68" s="6" t="s">
        <v>277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278</v>
      </c>
      <c r="B69" s="6" t="s">
        <v>11</v>
      </c>
      <c r="C69" s="6" t="s">
        <v>12</v>
      </c>
      <c r="D69" s="7" t="s">
        <v>279</v>
      </c>
      <c r="E69" s="8" t="s">
        <v>280</v>
      </c>
      <c r="F69" s="6" t="s">
        <v>281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282</v>
      </c>
      <c r="B70" s="6" t="s">
        <v>10</v>
      </c>
      <c r="C70" s="6" t="s">
        <v>12</v>
      </c>
      <c r="D70" s="7" t="s">
        <v>250</v>
      </c>
      <c r="E70" s="8" t="s">
        <v>283</v>
      </c>
      <c r="F70" s="6" t="s">
        <v>284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285</v>
      </c>
      <c r="B71" s="6" t="s">
        <v>24</v>
      </c>
      <c r="C71" s="6" t="s">
        <v>12</v>
      </c>
      <c r="D71" s="7" t="s">
        <v>286</v>
      </c>
      <c r="E71" s="8" t="s">
        <v>287</v>
      </c>
      <c r="F71" s="6" t="s">
        <v>288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289</v>
      </c>
      <c r="B72" s="6" t="s">
        <v>10</v>
      </c>
      <c r="C72" s="6" t="s">
        <v>12</v>
      </c>
      <c r="D72" s="7" t="s">
        <v>231</v>
      </c>
      <c r="E72" s="8" t="s">
        <v>290</v>
      </c>
      <c r="F72" s="6" t="s">
        <v>291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292</v>
      </c>
      <c r="B73" s="6" t="s">
        <v>20</v>
      </c>
      <c r="C73" s="6" t="s">
        <v>12</v>
      </c>
      <c r="D73" s="7" t="s">
        <v>293</v>
      </c>
      <c r="E73" s="8" t="s">
        <v>294</v>
      </c>
      <c r="F73" s="6" t="s">
        <v>295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296</v>
      </c>
      <c r="B74" s="6" t="s">
        <v>24</v>
      </c>
      <c r="C74" s="6" t="s">
        <v>12</v>
      </c>
      <c r="D74" s="7" t="s">
        <v>297</v>
      </c>
      <c r="E74" s="8" t="s">
        <v>298</v>
      </c>
      <c r="F74" s="6" t="s">
        <v>299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300</v>
      </c>
      <c r="B75" s="6" t="s">
        <v>32</v>
      </c>
      <c r="C75" s="6" t="s">
        <v>12</v>
      </c>
      <c r="D75" s="7" t="s">
        <v>301</v>
      </c>
      <c r="E75" s="8" t="s">
        <v>302</v>
      </c>
      <c r="F75" s="6" t="s">
        <v>303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304</v>
      </c>
      <c r="B76" s="6" t="s">
        <v>10</v>
      </c>
      <c r="C76" s="6" t="s">
        <v>12</v>
      </c>
      <c r="D76" s="7" t="s">
        <v>305</v>
      </c>
      <c r="E76" s="8" t="s">
        <v>306</v>
      </c>
      <c r="F76" s="6" t="s">
        <v>307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308</v>
      </c>
      <c r="B77" s="6" t="s">
        <v>35</v>
      </c>
      <c r="C77" s="6" t="s">
        <v>12</v>
      </c>
      <c r="D77" s="7" t="s">
        <v>309</v>
      </c>
      <c r="E77" s="8" t="s">
        <v>310</v>
      </c>
      <c r="F77" s="6" t="s">
        <v>311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312</v>
      </c>
      <c r="B78" s="6" t="s">
        <v>55</v>
      </c>
      <c r="C78" s="6" t="s">
        <v>12</v>
      </c>
      <c r="D78" s="7" t="s">
        <v>313</v>
      </c>
      <c r="E78" s="8" t="s">
        <v>314</v>
      </c>
      <c r="F78" s="6" t="s">
        <v>315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316</v>
      </c>
      <c r="B79" s="6" t="s">
        <v>55</v>
      </c>
      <c r="C79" s="6" t="s">
        <v>317</v>
      </c>
      <c r="D79" s="7" t="s">
        <v>318</v>
      </c>
      <c r="E79" s="8" t="s">
        <v>319</v>
      </c>
      <c r="F79" s="6" t="s">
        <v>320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321</v>
      </c>
      <c r="B80" s="6" t="s">
        <v>32</v>
      </c>
      <c r="C80" s="6" t="s">
        <v>12</v>
      </c>
      <c r="D80" s="7" t="s">
        <v>322</v>
      </c>
      <c r="E80" s="8" t="s">
        <v>323</v>
      </c>
      <c r="F80" s="6" t="s">
        <v>324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325</v>
      </c>
      <c r="B81" s="6" t="s">
        <v>11</v>
      </c>
      <c r="C81" s="6" t="s">
        <v>12</v>
      </c>
      <c r="D81" s="7" t="s">
        <v>322</v>
      </c>
      <c r="E81" s="8" t="s">
        <v>326</v>
      </c>
      <c r="F81" s="6" t="s">
        <v>327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328</v>
      </c>
      <c r="B82" s="6" t="s">
        <v>10</v>
      </c>
      <c r="C82" s="6" t="s">
        <v>12</v>
      </c>
      <c r="D82" s="7" t="s">
        <v>329</v>
      </c>
      <c r="E82" s="8" t="s">
        <v>330</v>
      </c>
      <c r="F82" s="6" t="s">
        <v>331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332</v>
      </c>
      <c r="B83" s="6" t="s">
        <v>10</v>
      </c>
      <c r="C83" s="6" t="s">
        <v>12</v>
      </c>
      <c r="D83" s="7" t="s">
        <v>101</v>
      </c>
      <c r="E83" s="8" t="s">
        <v>333</v>
      </c>
      <c r="F83" s="6" t="s">
        <v>334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335</v>
      </c>
      <c r="B84" s="6" t="s">
        <v>28</v>
      </c>
      <c r="C84" s="6" t="s">
        <v>12</v>
      </c>
      <c r="D84" s="7" t="s">
        <v>336</v>
      </c>
      <c r="E84" s="8" t="s">
        <v>337</v>
      </c>
      <c r="F84" s="6" t="s">
        <v>338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339</v>
      </c>
      <c r="B85" s="6" t="s">
        <v>11</v>
      </c>
      <c r="C85" s="6" t="s">
        <v>12</v>
      </c>
      <c r="D85" s="7" t="s">
        <v>340</v>
      </c>
      <c r="E85" s="8" t="s">
        <v>341</v>
      </c>
      <c r="F85" s="6" t="s">
        <v>342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343</v>
      </c>
      <c r="B86" s="6" t="s">
        <v>10</v>
      </c>
      <c r="C86" s="6" t="s">
        <v>344</v>
      </c>
      <c r="D86" s="7" t="s">
        <v>345</v>
      </c>
      <c r="E86" s="8" t="s">
        <v>346</v>
      </c>
      <c r="F86" s="6" t="s">
        <v>347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348</v>
      </c>
      <c r="B87" s="6" t="s">
        <v>20</v>
      </c>
      <c r="C87" s="6" t="s">
        <v>12</v>
      </c>
      <c r="D87" s="7" t="s">
        <v>349</v>
      </c>
      <c r="E87" s="8" t="s">
        <v>350</v>
      </c>
      <c r="F87" s="6" t="s">
        <v>351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352</v>
      </c>
      <c r="B88" s="6" t="s">
        <v>10</v>
      </c>
      <c r="C88" s="6" t="s">
        <v>12</v>
      </c>
      <c r="D88" s="7" t="s">
        <v>250</v>
      </c>
      <c r="E88" s="8" t="s">
        <v>353</v>
      </c>
      <c r="F88" s="6" t="s">
        <v>354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355</v>
      </c>
      <c r="B89" s="6" t="s">
        <v>10</v>
      </c>
      <c r="C89" s="6" t="s">
        <v>12</v>
      </c>
      <c r="D89" s="7" t="s">
        <v>250</v>
      </c>
      <c r="E89" s="8" t="s">
        <v>356</v>
      </c>
      <c r="F89" s="6" t="s">
        <v>357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358</v>
      </c>
      <c r="B90" s="6" t="s">
        <v>11</v>
      </c>
      <c r="C90" s="6" t="s">
        <v>12</v>
      </c>
      <c r="D90" s="7" t="s">
        <v>349</v>
      </c>
      <c r="E90" s="8" t="s">
        <v>359</v>
      </c>
      <c r="F90" s="6" t="s">
        <v>360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361</v>
      </c>
      <c r="B91" s="6" t="s">
        <v>16</v>
      </c>
      <c r="C91" s="6" t="s">
        <v>12</v>
      </c>
      <c r="D91" s="7" t="s">
        <v>13</v>
      </c>
      <c r="E91" s="8" t="s">
        <v>362</v>
      </c>
      <c r="F91" s="6" t="s">
        <v>363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364</v>
      </c>
      <c r="B92" s="6" t="s">
        <v>28</v>
      </c>
      <c r="C92" s="6" t="s">
        <v>12</v>
      </c>
      <c r="D92" s="7" t="s">
        <v>164</v>
      </c>
      <c r="E92" s="8" t="s">
        <v>365</v>
      </c>
      <c r="F92" s="6" t="s">
        <v>366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367</v>
      </c>
      <c r="B93" s="6" t="s">
        <v>91</v>
      </c>
      <c r="C93" s="6" t="s">
        <v>12</v>
      </c>
      <c r="D93" s="7" t="s">
        <v>368</v>
      </c>
      <c r="E93" s="8" t="s">
        <v>369</v>
      </c>
      <c r="F93" s="6" t="s">
        <v>370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371</v>
      </c>
      <c r="B94" s="6" t="s">
        <v>35</v>
      </c>
      <c r="C94" s="6" t="s">
        <v>12</v>
      </c>
      <c r="D94" s="7" t="s">
        <v>372</v>
      </c>
      <c r="E94" s="8" t="s">
        <v>373</v>
      </c>
      <c r="F94" s="6" t="s">
        <v>374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375</v>
      </c>
      <c r="B95" s="6" t="s">
        <v>11</v>
      </c>
      <c r="C95" s="6" t="s">
        <v>12</v>
      </c>
      <c r="D95" s="7" t="s">
        <v>376</v>
      </c>
      <c r="E95" s="8" t="s">
        <v>377</v>
      </c>
      <c r="F95" s="6" t="s">
        <v>378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379</v>
      </c>
      <c r="B96" s="6" t="s">
        <v>79</v>
      </c>
      <c r="C96" s="6" t="s">
        <v>12</v>
      </c>
      <c r="D96" s="7" t="s">
        <v>340</v>
      </c>
      <c r="E96" s="8" t="s">
        <v>380</v>
      </c>
      <c r="F96" s="6" t="s">
        <v>381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382</v>
      </c>
      <c r="B97" s="6" t="s">
        <v>28</v>
      </c>
      <c r="C97" s="6" t="s">
        <v>12</v>
      </c>
      <c r="D97" s="7" t="s">
        <v>383</v>
      </c>
      <c r="E97" s="8" t="s">
        <v>384</v>
      </c>
      <c r="F97" s="6" t="s">
        <v>385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386</v>
      </c>
      <c r="B98" s="6" t="s">
        <v>20</v>
      </c>
      <c r="C98" s="6" t="s">
        <v>12</v>
      </c>
      <c r="D98" s="7" t="s">
        <v>387</v>
      </c>
      <c r="E98" s="8" t="s">
        <v>388</v>
      </c>
      <c r="F98" s="6" t="s">
        <v>389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390</v>
      </c>
      <c r="B99" s="6" t="s">
        <v>10</v>
      </c>
      <c r="C99" s="6" t="s">
        <v>12</v>
      </c>
      <c r="D99" s="7" t="s">
        <v>391</v>
      </c>
      <c r="E99" s="8" t="s">
        <v>392</v>
      </c>
      <c r="F99" s="6" t="s">
        <v>393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394</v>
      </c>
      <c r="B100" s="6" t="s">
        <v>20</v>
      </c>
      <c r="C100" s="6" t="s">
        <v>12</v>
      </c>
      <c r="D100" s="7" t="s">
        <v>395</v>
      </c>
      <c r="E100" s="8" t="s">
        <v>396</v>
      </c>
      <c r="F100" s="6" t="s">
        <v>397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398</v>
      </c>
      <c r="B101" s="6" t="s">
        <v>11</v>
      </c>
      <c r="C101" s="6" t="s">
        <v>12</v>
      </c>
      <c r="D101" s="7" t="s">
        <v>399</v>
      </c>
      <c r="E101" s="8" t="s">
        <v>400</v>
      </c>
      <c r="F101" s="6" t="s">
        <v>401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402</v>
      </c>
      <c r="B102" s="6" t="s">
        <v>11</v>
      </c>
      <c r="C102" s="6" t="s">
        <v>344</v>
      </c>
      <c r="D102" s="7" t="s">
        <v>403</v>
      </c>
      <c r="E102" s="8" t="s">
        <v>404</v>
      </c>
      <c r="F102" s="6" t="s">
        <v>405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406</v>
      </c>
      <c r="B103" s="6" t="s">
        <v>10</v>
      </c>
      <c r="C103" s="6" t="s">
        <v>12</v>
      </c>
      <c r="D103" s="7" t="s">
        <v>407</v>
      </c>
      <c r="E103" s="8" t="s">
        <v>408</v>
      </c>
      <c r="F103" s="6" t="s">
        <v>409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410</v>
      </c>
      <c r="B104" s="6" t="s">
        <v>24</v>
      </c>
      <c r="C104" s="6" t="s">
        <v>12</v>
      </c>
      <c r="D104" s="7" t="s">
        <v>411</v>
      </c>
      <c r="E104" s="8" t="s">
        <v>412</v>
      </c>
      <c r="F104" s="6" t="s">
        <v>413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414</v>
      </c>
      <c r="B105" s="6" t="s">
        <v>24</v>
      </c>
      <c r="C105" s="6" t="s">
        <v>92</v>
      </c>
      <c r="D105" s="7" t="s">
        <v>415</v>
      </c>
      <c r="E105" s="8" t="s">
        <v>416</v>
      </c>
      <c r="F105" s="6" t="s">
        <v>417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418</v>
      </c>
      <c r="B106" s="6" t="s">
        <v>24</v>
      </c>
      <c r="C106" s="6" t="s">
        <v>12</v>
      </c>
      <c r="D106" s="7" t="s">
        <v>419</v>
      </c>
      <c r="E106" s="8" t="s">
        <v>420</v>
      </c>
      <c r="F106" s="6" t="s">
        <v>421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422</v>
      </c>
      <c r="B107" s="6" t="s">
        <v>40</v>
      </c>
      <c r="C107" s="6" t="s">
        <v>12</v>
      </c>
      <c r="D107" s="7" t="s">
        <v>423</v>
      </c>
      <c r="E107" s="8" t="s">
        <v>424</v>
      </c>
      <c r="F107" s="6" t="s">
        <v>425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426</v>
      </c>
      <c r="B108" s="6" t="s">
        <v>116</v>
      </c>
      <c r="C108" s="6" t="s">
        <v>92</v>
      </c>
      <c r="D108" s="7" t="s">
        <v>427</v>
      </c>
      <c r="E108" s="8" t="s">
        <v>428</v>
      </c>
      <c r="F108" s="6" t="s">
        <v>429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430</v>
      </c>
      <c r="B109" s="6" t="s">
        <v>24</v>
      </c>
      <c r="C109" s="6" t="s">
        <v>12</v>
      </c>
      <c r="D109" s="7" t="s">
        <v>431</v>
      </c>
      <c r="E109" s="8" t="s">
        <v>432</v>
      </c>
      <c r="F109" s="6" t="s">
        <v>433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434</v>
      </c>
      <c r="B110" s="6" t="s">
        <v>20</v>
      </c>
      <c r="C110" s="6" t="s">
        <v>12</v>
      </c>
      <c r="D110" s="7" t="s">
        <v>407</v>
      </c>
      <c r="E110" s="8" t="s">
        <v>435</v>
      </c>
      <c r="F110" s="6" t="s">
        <v>436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437</v>
      </c>
      <c r="B111" s="6" t="s">
        <v>40</v>
      </c>
      <c r="C111" s="6" t="s">
        <v>12</v>
      </c>
      <c r="D111" s="7" t="s">
        <v>438</v>
      </c>
      <c r="E111" s="8" t="s">
        <v>439</v>
      </c>
      <c r="F111" s="6" t="s">
        <v>440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441</v>
      </c>
      <c r="B112" s="6" t="s">
        <v>28</v>
      </c>
      <c r="C112" s="6" t="s">
        <v>12</v>
      </c>
      <c r="D112" s="7" t="s">
        <v>442</v>
      </c>
      <c r="E112" s="8" t="s">
        <v>443</v>
      </c>
      <c r="F112" s="6" t="s">
        <v>444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445</v>
      </c>
      <c r="B113" s="6" t="s">
        <v>10</v>
      </c>
      <c r="C113" s="6" t="s">
        <v>12</v>
      </c>
      <c r="D113" s="7" t="s">
        <v>446</v>
      </c>
      <c r="E113" s="8" t="s">
        <v>447</v>
      </c>
      <c r="F113" s="6" t="s">
        <v>448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449</v>
      </c>
      <c r="B114" s="6" t="s">
        <v>36</v>
      </c>
      <c r="C114" s="6" t="s">
        <v>12</v>
      </c>
      <c r="D114" s="7" t="s">
        <v>450</v>
      </c>
      <c r="E114" s="8" t="s">
        <v>451</v>
      </c>
      <c r="F114" s="6" t="s">
        <v>452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453</v>
      </c>
      <c r="B115" s="6" t="s">
        <v>11</v>
      </c>
      <c r="C115" s="6" t="s">
        <v>12</v>
      </c>
      <c r="D115" s="7" t="s">
        <v>454</v>
      </c>
      <c r="E115" s="8" t="s">
        <v>455</v>
      </c>
      <c r="F115" s="6" t="s">
        <v>456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457</v>
      </c>
      <c r="B116" s="6" t="s">
        <v>11</v>
      </c>
      <c r="C116" s="6" t="s">
        <v>12</v>
      </c>
      <c r="D116" s="7" t="s">
        <v>458</v>
      </c>
      <c r="E116" s="8" t="s">
        <v>459</v>
      </c>
      <c r="F116" s="6" t="s">
        <v>460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461</v>
      </c>
      <c r="B117" s="6" t="s">
        <v>40</v>
      </c>
      <c r="C117" s="6" t="s">
        <v>12</v>
      </c>
      <c r="D117" s="7" t="s">
        <v>462</v>
      </c>
      <c r="E117" s="8" t="s">
        <v>463</v>
      </c>
      <c r="F117" s="6" t="s">
        <v>464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465</v>
      </c>
      <c r="B118" s="6" t="s">
        <v>116</v>
      </c>
      <c r="C118" s="6" t="s">
        <v>12</v>
      </c>
      <c r="D118" s="7" t="s">
        <v>466</v>
      </c>
      <c r="E118" s="8" t="s">
        <v>467</v>
      </c>
      <c r="F118" s="6" t="s">
        <v>468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469</v>
      </c>
      <c r="B119" s="6" t="s">
        <v>28</v>
      </c>
      <c r="C119" s="6" t="s">
        <v>12</v>
      </c>
      <c r="D119" s="7" t="s">
        <v>470</v>
      </c>
      <c r="E119" s="8" t="s">
        <v>471</v>
      </c>
      <c r="F119" s="6" t="s">
        <v>472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473</v>
      </c>
      <c r="B120" s="6" t="s">
        <v>40</v>
      </c>
      <c r="C120" s="6" t="s">
        <v>12</v>
      </c>
      <c r="D120" s="7" t="s">
        <v>474</v>
      </c>
      <c r="E120" s="8" t="s">
        <v>475</v>
      </c>
      <c r="F120" s="6" t="s">
        <v>476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477</v>
      </c>
      <c r="B121" s="6" t="s">
        <v>24</v>
      </c>
      <c r="C121" s="6" t="s">
        <v>12</v>
      </c>
      <c r="D121" s="7" t="s">
        <v>478</v>
      </c>
      <c r="E121" s="8" t="s">
        <v>479</v>
      </c>
      <c r="F121" s="6" t="s">
        <v>480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481</v>
      </c>
      <c r="B122" s="6" t="s">
        <v>28</v>
      </c>
      <c r="C122" s="6" t="s">
        <v>12</v>
      </c>
      <c r="D122" s="7" t="s">
        <v>462</v>
      </c>
      <c r="E122" s="8" t="s">
        <v>482</v>
      </c>
      <c r="F122" s="6" t="s">
        <v>483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484</v>
      </c>
      <c r="B123" s="6" t="s">
        <v>10</v>
      </c>
      <c r="C123" s="6" t="s">
        <v>12</v>
      </c>
      <c r="D123" s="7" t="s">
        <v>485</v>
      </c>
      <c r="E123" s="8" t="s">
        <v>486</v>
      </c>
      <c r="F123" s="6" t="s">
        <v>487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488</v>
      </c>
      <c r="B124" s="6" t="s">
        <v>128</v>
      </c>
      <c r="C124" s="6" t="s">
        <v>489</v>
      </c>
      <c r="D124" s="7" t="s">
        <v>490</v>
      </c>
      <c r="E124" s="8" t="s">
        <v>491</v>
      </c>
      <c r="F124" s="6" t="s">
        <v>492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493</v>
      </c>
      <c r="B125" s="6" t="s">
        <v>24</v>
      </c>
      <c r="C125" s="6" t="s">
        <v>12</v>
      </c>
      <c r="D125" s="7" t="s">
        <v>494</v>
      </c>
      <c r="E125" s="8" t="s">
        <v>495</v>
      </c>
      <c r="F125" s="6" t="s">
        <v>496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497</v>
      </c>
      <c r="B126" s="6" t="s">
        <v>51</v>
      </c>
      <c r="C126" s="6" t="s">
        <v>12</v>
      </c>
      <c r="D126" s="7" t="s">
        <v>498</v>
      </c>
      <c r="E126" s="8" t="s">
        <v>499</v>
      </c>
      <c r="F126" s="6" t="s">
        <v>500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501</v>
      </c>
      <c r="B127" s="6" t="s">
        <v>11</v>
      </c>
      <c r="C127" s="6" t="s">
        <v>12</v>
      </c>
      <c r="D127" s="7" t="s">
        <v>490</v>
      </c>
      <c r="E127" s="8" t="s">
        <v>502</v>
      </c>
      <c r="F127" s="6" t="s">
        <v>503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504</v>
      </c>
      <c r="B128" s="6" t="s">
        <v>36</v>
      </c>
      <c r="C128" s="6" t="s">
        <v>12</v>
      </c>
      <c r="D128" s="7" t="s">
        <v>505</v>
      </c>
      <c r="E128" s="8" t="s">
        <v>506</v>
      </c>
      <c r="F128" s="6" t="s">
        <v>507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508</v>
      </c>
      <c r="B129" s="6" t="s">
        <v>32</v>
      </c>
      <c r="C129" s="6" t="s">
        <v>12</v>
      </c>
      <c r="D129" s="7" t="s">
        <v>509</v>
      </c>
      <c r="E129" s="8" t="s">
        <v>510</v>
      </c>
      <c r="F129" s="6" t="s">
        <v>511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512</v>
      </c>
      <c r="B130" s="6" t="s">
        <v>20</v>
      </c>
      <c r="C130" s="6" t="s">
        <v>12</v>
      </c>
      <c r="D130" s="7" t="s">
        <v>513</v>
      </c>
      <c r="E130" s="8" t="s">
        <v>514</v>
      </c>
      <c r="F130" s="6" t="s">
        <v>515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516</v>
      </c>
      <c r="B131" s="6" t="s">
        <v>11</v>
      </c>
      <c r="C131" s="6" t="s">
        <v>12</v>
      </c>
      <c r="D131" s="7" t="s">
        <v>517</v>
      </c>
      <c r="E131" s="8" t="s">
        <v>518</v>
      </c>
      <c r="F131" s="6" t="s">
        <v>519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520</v>
      </c>
      <c r="B132" s="6" t="s">
        <v>51</v>
      </c>
      <c r="C132" s="6" t="s">
        <v>12</v>
      </c>
      <c r="D132" s="7" t="s">
        <v>521</v>
      </c>
      <c r="E132" s="8" t="s">
        <v>522</v>
      </c>
      <c r="F132" s="6" t="s">
        <v>523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524</v>
      </c>
      <c r="B133" s="6" t="s">
        <v>28</v>
      </c>
      <c r="C133" s="6" t="s">
        <v>12</v>
      </c>
      <c r="D133" s="7" t="s">
        <v>525</v>
      </c>
      <c r="E133" s="8" t="s">
        <v>526</v>
      </c>
      <c r="F133" s="6" t="s">
        <v>527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528</v>
      </c>
      <c r="B134" s="6" t="s">
        <v>28</v>
      </c>
      <c r="C134" s="6" t="s">
        <v>12</v>
      </c>
      <c r="D134" s="7" t="s">
        <v>529</v>
      </c>
      <c r="E134" s="8" t="s">
        <v>530</v>
      </c>
      <c r="F134" s="6" t="s">
        <v>531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532</v>
      </c>
      <c r="B135" s="6" t="s">
        <v>24</v>
      </c>
      <c r="C135" s="6" t="s">
        <v>12</v>
      </c>
      <c r="D135" s="7" t="s">
        <v>533</v>
      </c>
      <c r="E135" s="8" t="s">
        <v>534</v>
      </c>
      <c r="F135" s="6" t="s">
        <v>535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536</v>
      </c>
      <c r="B136" s="6" t="s">
        <v>51</v>
      </c>
      <c r="C136" s="6" t="s">
        <v>92</v>
      </c>
      <c r="D136" s="7" t="s">
        <v>537</v>
      </c>
      <c r="E136" s="8" t="s">
        <v>538</v>
      </c>
      <c r="F136" s="6" t="s">
        <v>539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540</v>
      </c>
      <c r="B137" s="6" t="s">
        <v>40</v>
      </c>
      <c r="C137" s="6" t="s">
        <v>12</v>
      </c>
      <c r="D137" s="7" t="s">
        <v>541</v>
      </c>
      <c r="E137" s="8" t="s">
        <v>542</v>
      </c>
      <c r="F137" s="6" t="s">
        <v>543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544</v>
      </c>
      <c r="B138" s="6" t="s">
        <v>20</v>
      </c>
      <c r="C138" s="6" t="s">
        <v>12</v>
      </c>
      <c r="D138" s="7" t="s">
        <v>545</v>
      </c>
      <c r="E138" s="8" t="s">
        <v>546</v>
      </c>
      <c r="F138" s="6" t="s">
        <v>547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548</v>
      </c>
      <c r="B139" s="6" t="s">
        <v>20</v>
      </c>
      <c r="C139" s="6" t="s">
        <v>12</v>
      </c>
      <c r="D139" s="7" t="s">
        <v>549</v>
      </c>
      <c r="E139" s="8" t="s">
        <v>550</v>
      </c>
      <c r="F139" s="6" t="s">
        <v>551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552</v>
      </c>
      <c r="B140" s="6" t="s">
        <v>20</v>
      </c>
      <c r="C140" s="6" t="s">
        <v>12</v>
      </c>
      <c r="D140" s="7" t="s">
        <v>553</v>
      </c>
      <c r="E140" s="8" t="s">
        <v>554</v>
      </c>
      <c r="F140" s="6" t="s">
        <v>555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556</v>
      </c>
      <c r="B141" s="6" t="s">
        <v>28</v>
      </c>
      <c r="C141" s="6" t="s">
        <v>12</v>
      </c>
      <c r="D141" s="7" t="s">
        <v>164</v>
      </c>
      <c r="E141" s="8" t="s">
        <v>557</v>
      </c>
      <c r="F141" s="6" t="s">
        <v>558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559</v>
      </c>
      <c r="B142" s="6" t="s">
        <v>20</v>
      </c>
      <c r="C142" s="6" t="s">
        <v>12</v>
      </c>
      <c r="D142" s="7" t="s">
        <v>227</v>
      </c>
      <c r="E142" s="8" t="s">
        <v>560</v>
      </c>
      <c r="F142" s="6" t="s">
        <v>561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562</v>
      </c>
      <c r="B143" s="6" t="s">
        <v>24</v>
      </c>
      <c r="C143" s="6" t="s">
        <v>12</v>
      </c>
      <c r="D143" s="7" t="s">
        <v>563</v>
      </c>
      <c r="E143" s="8" t="s">
        <v>564</v>
      </c>
      <c r="F143" s="6" t="s">
        <v>565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566</v>
      </c>
      <c r="B144" s="6" t="s">
        <v>139</v>
      </c>
      <c r="C144" s="6" t="s">
        <v>12</v>
      </c>
      <c r="D144" s="7" t="s">
        <v>567</v>
      </c>
      <c r="E144" s="8" t="s">
        <v>568</v>
      </c>
      <c r="F144" s="6" t="s">
        <v>569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570</v>
      </c>
      <c r="B145" s="6" t="s">
        <v>16</v>
      </c>
      <c r="C145" s="6" t="s">
        <v>12</v>
      </c>
      <c r="D145" s="7" t="s">
        <v>56</v>
      </c>
      <c r="E145" s="8" t="s">
        <v>571</v>
      </c>
      <c r="F145" s="6" t="s">
        <v>572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573</v>
      </c>
      <c r="B146" s="6" t="s">
        <v>28</v>
      </c>
      <c r="C146" s="6" t="s">
        <v>12</v>
      </c>
      <c r="D146" s="7" t="s">
        <v>574</v>
      </c>
      <c r="E146" s="8" t="s">
        <v>575</v>
      </c>
      <c r="F146" s="6" t="s">
        <v>576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577</v>
      </c>
      <c r="B147" s="6" t="s">
        <v>11</v>
      </c>
      <c r="C147" s="6" t="s">
        <v>12</v>
      </c>
      <c r="D147" s="7" t="s">
        <v>513</v>
      </c>
      <c r="E147" s="8" t="s">
        <v>578</v>
      </c>
      <c r="F147" s="6" t="s">
        <v>579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580</v>
      </c>
      <c r="B148" s="6" t="s">
        <v>20</v>
      </c>
      <c r="C148" s="6" t="s">
        <v>12</v>
      </c>
      <c r="D148" s="7" t="s">
        <v>581</v>
      </c>
      <c r="E148" s="8" t="s">
        <v>582</v>
      </c>
      <c r="F148" s="6" t="s">
        <v>583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584</v>
      </c>
      <c r="B149" s="6" t="s">
        <v>10</v>
      </c>
      <c r="C149" s="6" t="s">
        <v>12</v>
      </c>
      <c r="D149" s="7" t="s">
        <v>585</v>
      </c>
      <c r="E149" s="8" t="s">
        <v>586</v>
      </c>
      <c r="F149" s="6" t="s">
        <v>587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2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588</v>
      </c>
      <c r="B1" s="13" t="s">
        <v>589</v>
      </c>
      <c r="C1" s="13" t="s">
        <v>590</v>
      </c>
      <c r="D1" s="13" t="s">
        <v>591</v>
      </c>
      <c r="E1" s="14" t="s">
        <v>592</v>
      </c>
      <c r="F1" s="15" t="s">
        <v>593</v>
      </c>
      <c r="G1" s="16" t="s">
        <v>594</v>
      </c>
      <c r="H1" s="17" t="s">
        <v>595</v>
      </c>
      <c r="I1" s="18" t="s">
        <v>596</v>
      </c>
      <c r="J1" s="18" t="s">
        <v>597</v>
      </c>
      <c r="K1" s="18" t="s">
        <v>598</v>
      </c>
      <c r="L1" s="19" t="s">
        <v>9</v>
      </c>
    </row>
    <row r="2" spans="1:12">
      <c r="A2" s="20" t="s">
        <v>599</v>
      </c>
    </row>
    <row r="3" spans="1:12">
      <c r="A3" s="20" t="s">
        <v>600</v>
      </c>
      <c r="B3" s="21" t="s">
        <v>601</v>
      </c>
      <c r="C3" s="21" t="s">
        <v>602</v>
      </c>
      <c r="D3" s="21" t="s">
        <v>603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604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605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606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607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608</v>
      </c>
      <c r="B8" s="21" t="s">
        <v>609</v>
      </c>
      <c r="C8" s="21" t="s">
        <v>602</v>
      </c>
      <c r="D8" s="21" t="s">
        <v>603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610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611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612</v>
      </c>
      <c r="B11" s="21" t="s">
        <v>613</v>
      </c>
      <c r="C11" s="21" t="s">
        <v>614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615</v>
      </c>
      <c r="B12" s="21" t="s">
        <v>616</v>
      </c>
      <c r="C12" s="21" t="s">
        <v>602</v>
      </c>
      <c r="D12" s="21" t="s">
        <v>603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617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618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619</v>
      </c>
      <c r="B15" s="21" t="s">
        <v>620</v>
      </c>
      <c r="C15" s="21" t="s">
        <v>621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622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611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623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624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625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626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627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628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629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630</v>
      </c>
      <c r="B25" s="21" t="s">
        <v>620</v>
      </c>
      <c r="C25" s="21" t="s">
        <v>631</v>
      </c>
      <c r="D25" s="21" t="s">
        <v>603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632</v>
      </c>
      <c r="B26" s="21" t="s">
        <v>620</v>
      </c>
      <c r="C26" s="21" t="s">
        <v>631</v>
      </c>
      <c r="D26" s="21" t="s">
        <v>603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633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/>
    </row>
    <row r="29" spans="1:12">
      <c r="A29" s="20" t="s">
        <v>634</v>
      </c>
    </row>
    <row r="30" spans="1:12">
      <c r="A30" s="20" t="s">
        <v>635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615</v>
      </c>
      <c r="B31" s="21" t="s">
        <v>636</v>
      </c>
      <c r="C31" s="21" t="s">
        <v>602</v>
      </c>
      <c r="D31" s="21" t="s">
        <v>603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637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611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638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639</v>
      </c>
      <c r="B35" s="21" t="s">
        <v>640</v>
      </c>
      <c r="C35" s="21" t="s">
        <v>602</v>
      </c>
      <c r="D35" s="21" t="s">
        <v>603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641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642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643</v>
      </c>
      <c r="B38" s="21" t="s">
        <v>640</v>
      </c>
      <c r="C38" s="21" t="s">
        <v>644</v>
      </c>
      <c r="D38" s="21" t="s">
        <v>603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41</v>
      </c>
      <c r="B39" s="21" t="s">
        <v>601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645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646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647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633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/>
    </row>
    <row r="45" spans="1:12">
      <c r="A45" s="20" t="s">
        <v>648</v>
      </c>
    </row>
    <row r="46" spans="1:12">
      <c r="A46" s="20" t="s">
        <v>600</v>
      </c>
      <c r="B46" s="21" t="s">
        <v>601</v>
      </c>
      <c r="C46" s="21" t="s">
        <v>602</v>
      </c>
      <c r="D46" s="21" t="s">
        <v>603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649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650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651</v>
      </c>
      <c r="B49" s="21" t="s">
        <v>652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653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654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611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655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656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657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611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658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615</v>
      </c>
      <c r="B58" s="21" t="s">
        <v>659</v>
      </c>
      <c r="C58" s="21" t="s">
        <v>602</v>
      </c>
      <c r="D58" s="21" t="s">
        <v>603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660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661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662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663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664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665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611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655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41</v>
      </c>
      <c r="B67" s="21" t="s">
        <v>616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666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80</v>
      </c>
      <c r="B69" s="21" t="s">
        <v>613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667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633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/>
    </row>
    <row r="73" spans="1:12">
      <c r="A73" s="20" t="s">
        <v>668</v>
      </c>
    </row>
    <row r="74" spans="1:12">
      <c r="A74" s="20" t="s">
        <v>669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670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671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647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672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673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674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675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676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677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678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611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679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611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680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611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681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611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682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611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683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611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684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611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683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611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685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611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686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611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687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611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688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611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689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611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690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611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691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611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692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611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693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611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694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611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695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611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696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611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697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611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698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611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699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611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681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611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700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701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702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703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672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704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611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680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611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705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633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/>
    </row>
    <row r="144" spans="1:12">
      <c r="A144" s="20" t="s">
        <v>706</v>
      </c>
    </row>
    <row r="145" spans="1:12">
      <c r="A145" s="20" t="s">
        <v>707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672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708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611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709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611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710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633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/>
    </row>
    <row r="154" spans="1:12">
      <c r="A154" s="20" t="s">
        <v>711</v>
      </c>
    </row>
    <row r="155" spans="1:12">
      <c r="A155" s="20" t="s">
        <v>600</v>
      </c>
      <c r="B155" s="21" t="s">
        <v>601</v>
      </c>
      <c r="C155" s="21" t="s">
        <v>602</v>
      </c>
      <c r="D155" s="21" t="s">
        <v>603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712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713</v>
      </c>
      <c r="B157" s="21" t="s">
        <v>652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714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715</v>
      </c>
      <c r="B159" s="21" t="s">
        <v>652</v>
      </c>
      <c r="C159" s="21" t="s">
        <v>716</v>
      </c>
      <c r="D159" s="21" t="s">
        <v>603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717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646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611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718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719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611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720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677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721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722</v>
      </c>
      <c r="B169" s="21" t="s">
        <v>636</v>
      </c>
      <c r="C169" s="21" t="s">
        <v>723</v>
      </c>
      <c r="D169" s="21" t="s">
        <v>603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724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725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633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/>
    </row>
    <row r="174" spans="1:12">
      <c r="A174" s="20" t="s">
        <v>726</v>
      </c>
    </row>
    <row r="175" spans="1:12">
      <c r="A175" s="20" t="s">
        <v>727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728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615</v>
      </c>
      <c r="B177" s="21" t="s">
        <v>636</v>
      </c>
      <c r="C177" s="21" t="s">
        <v>602</v>
      </c>
      <c r="D177" s="21" t="s">
        <v>603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729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730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731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611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732</v>
      </c>
      <c r="B182" s="21" t="s">
        <v>609</v>
      </c>
      <c r="C182" s="21" t="s">
        <v>733</v>
      </c>
      <c r="D182" s="21" t="s">
        <v>603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734</v>
      </c>
      <c r="B183" s="21" t="s">
        <v>601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735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611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646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615</v>
      </c>
      <c r="B187" s="21" t="s">
        <v>636</v>
      </c>
      <c r="C187" s="21" t="s">
        <v>602</v>
      </c>
      <c r="D187" s="21" t="s">
        <v>603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736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737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738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611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739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740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741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742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743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646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744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611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745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746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747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748</v>
      </c>
      <c r="B203" s="21" t="s">
        <v>749</v>
      </c>
      <c r="C203" s="21" t="s">
        <v>723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633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/>
    </row>
    <row r="206" spans="1:12">
      <c r="A206" s="20" t="s">
        <v>750</v>
      </c>
    </row>
    <row r="207" spans="1:12">
      <c r="A207" s="20" t="s">
        <v>751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722</v>
      </c>
      <c r="B208" s="21" t="s">
        <v>601</v>
      </c>
      <c r="C208" s="21" t="s">
        <v>723</v>
      </c>
      <c r="D208" s="21" t="s">
        <v>603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752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732</v>
      </c>
      <c r="B210" s="21" t="s">
        <v>640</v>
      </c>
      <c r="C210" s="21" t="s">
        <v>733</v>
      </c>
      <c r="D210" s="21" t="s">
        <v>603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753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754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41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755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600</v>
      </c>
      <c r="B215" s="21" t="s">
        <v>636</v>
      </c>
      <c r="C215" s="21" t="s">
        <v>602</v>
      </c>
      <c r="D215" s="21" t="s">
        <v>603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756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757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611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658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758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84</v>
      </c>
      <c r="B221" s="21" t="s">
        <v>616</v>
      </c>
      <c r="C221" s="21" t="s">
        <v>621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662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759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760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761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762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633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/>
    </row>
    <row r="229" spans="1:12">
      <c r="A229" s="20" t="s">
        <v>763</v>
      </c>
    </row>
    <row r="230" spans="1:12">
      <c r="A230" s="20" t="s">
        <v>764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611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765</v>
      </c>
      <c r="B232" s="21" t="s">
        <v>601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724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766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767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768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633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/>
    </row>
    <row r="239" spans="1:12">
      <c r="A239" s="20" t="s">
        <v>769</v>
      </c>
    </row>
    <row r="240" spans="1:12">
      <c r="A240" s="20" t="s">
        <v>770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771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772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48</v>
      </c>
      <c r="B243" s="21" t="s">
        <v>640</v>
      </c>
      <c r="C243" s="21" t="s">
        <v>716</v>
      </c>
      <c r="D243" s="21" t="s">
        <v>603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611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728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615</v>
      </c>
      <c r="B246" s="21" t="s">
        <v>636</v>
      </c>
      <c r="C246" s="21" t="s">
        <v>602</v>
      </c>
      <c r="D246" s="21" t="s">
        <v>603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773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662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774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646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615</v>
      </c>
      <c r="B251" s="21" t="s">
        <v>659</v>
      </c>
      <c r="C251" s="21" t="s">
        <v>602</v>
      </c>
      <c r="D251" s="21" t="s">
        <v>603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775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227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776</v>
      </c>
      <c r="B254" s="21" t="s">
        <v>613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777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778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779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780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781</v>
      </c>
      <c r="B259" s="21" t="s">
        <v>782</v>
      </c>
      <c r="C259" s="21" t="s">
        <v>733</v>
      </c>
      <c r="D259" s="21" t="s">
        <v>603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783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611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777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784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785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611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786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787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633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/>
    </row>
    <row r="270" spans="1:12">
      <c r="A270" s="20" t="s">
        <v>788</v>
      </c>
    </row>
    <row r="271" spans="1:12">
      <c r="A271" s="20" t="s">
        <v>789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790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646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407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611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658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615</v>
      </c>
      <c r="B277" s="21" t="s">
        <v>659</v>
      </c>
      <c r="C277" s="21" t="s">
        <v>602</v>
      </c>
      <c r="D277" s="21" t="s">
        <v>603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791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792</v>
      </c>
      <c r="B279" s="21" t="s">
        <v>793</v>
      </c>
      <c r="C279" s="21" t="s">
        <v>631</v>
      </c>
      <c r="D279" s="21" t="s">
        <v>603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611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658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615</v>
      </c>
      <c r="B282" s="21" t="s">
        <v>616</v>
      </c>
      <c r="C282" s="21" t="s">
        <v>602</v>
      </c>
      <c r="D282" s="21" t="s">
        <v>603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664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794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795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796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633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/>
    </row>
    <row r="289" spans="1:12">
      <c r="A289" s="20" t="s">
        <v>797</v>
      </c>
    </row>
    <row r="290" spans="1:12">
      <c r="A290" s="20" t="s">
        <v>798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611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799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800</v>
      </c>
      <c r="B293" s="21" t="s">
        <v>801</v>
      </c>
      <c r="C293" s="21" t="s">
        <v>602</v>
      </c>
      <c r="D293" s="21" t="s">
        <v>603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802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803</v>
      </c>
      <c r="B295" s="21" t="s">
        <v>804</v>
      </c>
      <c r="C295" s="21" t="s">
        <v>716</v>
      </c>
      <c r="D295" s="21" t="s">
        <v>603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611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615</v>
      </c>
      <c r="B297" s="21" t="s">
        <v>601</v>
      </c>
      <c r="C297" s="21" t="s">
        <v>602</v>
      </c>
      <c r="D297" s="21" t="s">
        <v>603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805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605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806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611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658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807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662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808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611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809</v>
      </c>
      <c r="B307" s="21" t="s">
        <v>810</v>
      </c>
      <c r="C307" s="21" t="s">
        <v>614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664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811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628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747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611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655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615</v>
      </c>
      <c r="B314" s="21" t="s">
        <v>749</v>
      </c>
      <c r="C314" s="21" t="s">
        <v>602</v>
      </c>
      <c r="D314" s="21" t="s">
        <v>603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611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660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812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813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814</v>
      </c>
      <c r="B319" s="21" t="s">
        <v>815</v>
      </c>
      <c r="C319" s="21" t="s">
        <v>723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633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/>
    </row>
    <row r="322" spans="1:12">
      <c r="A322" s="20" t="s">
        <v>816</v>
      </c>
    </row>
    <row r="323" spans="1:12">
      <c r="A323" s="20" t="s">
        <v>817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752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818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639</v>
      </c>
      <c r="B326" s="21" t="s">
        <v>652</v>
      </c>
      <c r="C326" s="21" t="s">
        <v>602</v>
      </c>
      <c r="D326" s="21" t="s">
        <v>603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819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820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779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821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646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822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611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823</v>
      </c>
      <c r="B334" s="21" t="s">
        <v>613</v>
      </c>
      <c r="C334" s="21" t="s">
        <v>614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824</v>
      </c>
      <c r="B335" s="21" t="s">
        <v>613</v>
      </c>
      <c r="C335" s="21" t="s">
        <v>602</v>
      </c>
      <c r="D335" s="21" t="s">
        <v>603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825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826</v>
      </c>
      <c r="B337" s="21" t="s">
        <v>815</v>
      </c>
      <c r="C337" s="21" t="s">
        <v>733</v>
      </c>
      <c r="D337" s="21" t="s">
        <v>603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827</v>
      </c>
      <c r="B338" s="21" t="s">
        <v>616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633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/>
    </row>
    <row r="341" spans="1:12">
      <c r="A341" s="20" t="s">
        <v>828</v>
      </c>
    </row>
    <row r="342" spans="1:12">
      <c r="A342" s="20" t="s">
        <v>829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615</v>
      </c>
      <c r="B343" s="21" t="s">
        <v>601</v>
      </c>
      <c r="C343" s="21" t="s">
        <v>602</v>
      </c>
      <c r="D343" s="21" t="s">
        <v>603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830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831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832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765</v>
      </c>
      <c r="B347" s="21" t="s">
        <v>652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833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834</v>
      </c>
      <c r="B349" s="21" t="s">
        <v>609</v>
      </c>
      <c r="C349" s="21" t="s">
        <v>621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611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835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836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837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838</v>
      </c>
      <c r="B354" s="21" t="s">
        <v>793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633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/>
    </row>
    <row r="357" spans="1:12">
      <c r="A357" s="20" t="s">
        <v>839</v>
      </c>
    </row>
    <row r="358" spans="1:12">
      <c r="A358" s="20" t="s">
        <v>840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841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68</v>
      </c>
      <c r="B360" s="21" t="s">
        <v>640</v>
      </c>
      <c r="C360" s="21" t="s">
        <v>644</v>
      </c>
      <c r="D360" s="21" t="s">
        <v>603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802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842</v>
      </c>
      <c r="B362" s="21" t="s">
        <v>640</v>
      </c>
      <c r="C362" s="21" t="s">
        <v>716</v>
      </c>
      <c r="D362" s="21" t="s">
        <v>603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633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/>
    </row>
    <row r="365" spans="1:12">
      <c r="A365" s="20" t="s">
        <v>843</v>
      </c>
    </row>
    <row r="366" spans="1:12">
      <c r="A366" s="20" t="s">
        <v>844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845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611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664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846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847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633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/>
    </row>
    <row r="374" spans="1:12">
      <c r="A374" s="20" t="s">
        <v>848</v>
      </c>
    </row>
    <row r="375" spans="1:12">
      <c r="A375" s="20" t="s">
        <v>849</v>
      </c>
      <c r="B375" s="21" t="s">
        <v>652</v>
      </c>
      <c r="C375" s="21" t="s">
        <v>602</v>
      </c>
      <c r="D375" s="21" t="s">
        <v>603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850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851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852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853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842</v>
      </c>
      <c r="B380" s="21" t="s">
        <v>640</v>
      </c>
      <c r="C380" s="21" t="s">
        <v>621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642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854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855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856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672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857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646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858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633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/>
    </row>
    <row r="391" spans="1:12">
      <c r="A391" s="20" t="s">
        <v>859</v>
      </c>
    </row>
    <row r="392" spans="1:12">
      <c r="A392" s="20" t="s">
        <v>860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611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84</v>
      </c>
      <c r="B394" s="21" t="s">
        <v>601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664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861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662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862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611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863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662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864</v>
      </c>
      <c r="B402" s="21" t="s">
        <v>640</v>
      </c>
      <c r="C402" s="21" t="s">
        <v>723</v>
      </c>
      <c r="D402" s="21" t="s">
        <v>603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611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658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865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741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866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611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867</v>
      </c>
      <c r="B409" s="21" t="s">
        <v>868</v>
      </c>
      <c r="C409" s="21" t="s">
        <v>614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869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870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871</v>
      </c>
      <c r="B412" s="21" t="s">
        <v>815</v>
      </c>
      <c r="C412" s="21" t="s">
        <v>716</v>
      </c>
      <c r="D412" s="21" t="s">
        <v>603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633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/>
    </row>
    <row r="415" spans="1:12">
      <c r="A415" s="20" t="s">
        <v>872</v>
      </c>
    </row>
    <row r="416" spans="1:12">
      <c r="A416" s="20" t="s">
        <v>873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677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662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874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611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875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779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871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646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662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864</v>
      </c>
      <c r="B426" s="21" t="s">
        <v>620</v>
      </c>
      <c r="C426" s="21" t="s">
        <v>723</v>
      </c>
      <c r="D426" s="21" t="s">
        <v>603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611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655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876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877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878</v>
      </c>
      <c r="B431" s="21" t="s">
        <v>879</v>
      </c>
      <c r="C431" s="21" t="s">
        <v>716</v>
      </c>
      <c r="D431" s="21" t="s">
        <v>603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633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/>
    </row>
    <row r="434" spans="1:12">
      <c r="A434" s="20" t="s">
        <v>880</v>
      </c>
    </row>
    <row r="435" spans="1:12">
      <c r="A435" s="20" t="s">
        <v>881</v>
      </c>
      <c r="B435" s="21" t="s">
        <v>601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882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883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884</v>
      </c>
      <c r="B438" s="21" t="s">
        <v>609</v>
      </c>
      <c r="C438" s="21" t="s">
        <v>733</v>
      </c>
      <c r="D438" s="21" t="s">
        <v>603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885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646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886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787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611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883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884</v>
      </c>
      <c r="B445" s="21" t="s">
        <v>804</v>
      </c>
      <c r="C445" s="21" t="s">
        <v>733</v>
      </c>
      <c r="D445" s="21" t="s">
        <v>603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886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778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633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/>
    </row>
    <row r="450" spans="1:12">
      <c r="A450" s="20" t="s">
        <v>887</v>
      </c>
    </row>
    <row r="451" spans="1:12">
      <c r="A451" s="20" t="s">
        <v>888</v>
      </c>
      <c r="B451" s="21" t="s">
        <v>601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889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611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890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891</v>
      </c>
      <c r="B455" s="21" t="s">
        <v>793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646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892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611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893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662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894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895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896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897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611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898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658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549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899</v>
      </c>
      <c r="B469" s="21" t="s">
        <v>801</v>
      </c>
      <c r="C469" s="21" t="s">
        <v>614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717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677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900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901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722</v>
      </c>
      <c r="B474" s="21" t="s">
        <v>613</v>
      </c>
      <c r="C474" s="21" t="s">
        <v>723</v>
      </c>
      <c r="D474" s="21" t="s">
        <v>603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902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663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633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/>
    </row>
    <row r="479" spans="1:12">
      <c r="A479" s="20" t="s">
        <v>903</v>
      </c>
    </row>
    <row r="480" spans="1:12">
      <c r="A480" s="20" t="s">
        <v>817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795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97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672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904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905</v>
      </c>
      <c r="B485" s="21" t="s">
        <v>793</v>
      </c>
      <c r="C485" s="21" t="s">
        <v>906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907</v>
      </c>
      <c r="B486" s="21" t="s">
        <v>636</v>
      </c>
      <c r="C486" s="21" t="s">
        <v>602</v>
      </c>
      <c r="D486" s="21" t="s">
        <v>603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908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901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902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663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677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866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909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910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911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912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/>
    </row>
    <row r="498" spans="1:12">
      <c r="A498" s="20" t="s">
        <v>913</v>
      </c>
    </row>
    <row r="499" spans="1:12">
      <c r="A499" s="20" t="s">
        <v>914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915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916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611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861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917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113</v>
      </c>
      <c r="B505" s="21" t="s">
        <v>801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918</v>
      </c>
      <c r="B506" s="21" t="s">
        <v>801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611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919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611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101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920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646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921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922</v>
      </c>
      <c r="B514" s="21" t="s">
        <v>793</v>
      </c>
      <c r="C514" s="21" t="s">
        <v>602</v>
      </c>
      <c r="D514" s="21" t="s">
        <v>603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923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633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/>
    </row>
    <row r="518" spans="1:12">
      <c r="A518" s="20" t="s">
        <v>924</v>
      </c>
    </row>
    <row r="519" spans="1:12">
      <c r="A519" s="20" t="s">
        <v>789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908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925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907</v>
      </c>
      <c r="B522" s="21" t="s">
        <v>601</v>
      </c>
      <c r="C522" s="21" t="s">
        <v>602</v>
      </c>
      <c r="D522" s="21" t="s">
        <v>603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926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802</v>
      </c>
      <c r="B524" s="21" t="s">
        <v>609</v>
      </c>
      <c r="C524" s="21" t="s">
        <v>723</v>
      </c>
      <c r="D524" s="21" t="s">
        <v>603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64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927</v>
      </c>
      <c r="B526" s="21" t="s">
        <v>801</v>
      </c>
      <c r="C526" s="21" t="s">
        <v>602</v>
      </c>
      <c r="D526" s="21" t="s">
        <v>603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928</v>
      </c>
      <c r="B527" s="21" t="s">
        <v>801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912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/>
    </row>
    <row r="530" spans="1:12">
      <c r="A530" s="20" t="s">
        <v>929</v>
      </c>
    </row>
    <row r="531" spans="1:12">
      <c r="A531" s="20" t="s">
        <v>930</v>
      </c>
      <c r="B531" s="21" t="s">
        <v>601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670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931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611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932</v>
      </c>
      <c r="B535" s="21" t="s">
        <v>616</v>
      </c>
      <c r="C535" s="21" t="s">
        <v>614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933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928</v>
      </c>
      <c r="B537" s="21" t="s">
        <v>613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824</v>
      </c>
      <c r="B538" s="21" t="s">
        <v>613</v>
      </c>
      <c r="C538" s="21" t="s">
        <v>602</v>
      </c>
      <c r="D538" s="21" t="s">
        <v>603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611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934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732</v>
      </c>
      <c r="B541" s="21" t="s">
        <v>640</v>
      </c>
      <c r="C541" s="21" t="s">
        <v>733</v>
      </c>
      <c r="D541" s="21" t="s">
        <v>603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935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936</v>
      </c>
      <c r="B543" s="21" t="s">
        <v>640</v>
      </c>
      <c r="C543" s="21" t="s">
        <v>644</v>
      </c>
      <c r="D543" s="21" t="s">
        <v>603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670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937</v>
      </c>
      <c r="B545" s="21" t="s">
        <v>640</v>
      </c>
      <c r="C545" s="21" t="s">
        <v>631</v>
      </c>
      <c r="D545" s="21" t="s">
        <v>603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938</v>
      </c>
      <c r="B546" s="21" t="s">
        <v>609</v>
      </c>
      <c r="C546" s="21" t="s">
        <v>631</v>
      </c>
      <c r="D546" s="21" t="s">
        <v>603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939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940</v>
      </c>
      <c r="B548" s="21" t="s">
        <v>804</v>
      </c>
      <c r="C548" s="21" t="s">
        <v>631</v>
      </c>
      <c r="D548" s="21" t="s">
        <v>603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611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941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942</v>
      </c>
      <c r="B551" s="21" t="s">
        <v>620</v>
      </c>
      <c r="C551" s="21" t="s">
        <v>631</v>
      </c>
      <c r="D551" s="21" t="s">
        <v>603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633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/>
    </row>
    <row r="554" spans="1:12">
      <c r="A554" s="20" t="s">
        <v>943</v>
      </c>
    </row>
    <row r="555" spans="1:12">
      <c r="A555" s="20" t="s">
        <v>944</v>
      </c>
      <c r="B555" s="21" t="s">
        <v>640</v>
      </c>
      <c r="C555" s="21" t="s">
        <v>733</v>
      </c>
      <c r="D555" s="21" t="s">
        <v>603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113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677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945</v>
      </c>
      <c r="B558" s="21" t="s">
        <v>601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946</v>
      </c>
      <c r="B559" s="21" t="s">
        <v>609</v>
      </c>
      <c r="C559" s="21" t="s">
        <v>631</v>
      </c>
      <c r="D559" s="21" t="s">
        <v>603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633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/>
    </row>
    <row r="562" spans="1:12">
      <c r="A562" s="20" t="s">
        <v>947</v>
      </c>
    </row>
    <row r="563" spans="1:12">
      <c r="A563" s="20" t="s">
        <v>948</v>
      </c>
      <c r="B563" s="21" t="s">
        <v>601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949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950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611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951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113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611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952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611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628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953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954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724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759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955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956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611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957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861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958</v>
      </c>
      <c r="B582" s="21" t="s">
        <v>636</v>
      </c>
      <c r="C582" s="21" t="s">
        <v>631</v>
      </c>
      <c r="D582" s="21" t="s">
        <v>603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959</v>
      </c>
      <c r="B583" s="21" t="s">
        <v>804</v>
      </c>
      <c r="C583" s="21" t="s">
        <v>631</v>
      </c>
      <c r="D583" s="21" t="s">
        <v>603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633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/>
    </row>
    <row r="586" spans="1:12">
      <c r="A586" s="20" t="s">
        <v>960</v>
      </c>
    </row>
    <row r="587" spans="1:12">
      <c r="A587" s="20" t="s">
        <v>958</v>
      </c>
      <c r="B587" s="21" t="s">
        <v>601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959</v>
      </c>
      <c r="B588" s="21" t="s">
        <v>609</v>
      </c>
      <c r="C588" s="21" t="s">
        <v>631</v>
      </c>
      <c r="D588" s="21" t="s">
        <v>603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641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961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962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963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964</v>
      </c>
      <c r="B593" s="21" t="s">
        <v>652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646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641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934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965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966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423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607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967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633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/>
    </row>
    <row r="604" spans="1:12">
      <c r="A604" s="20" t="s">
        <v>968</v>
      </c>
    </row>
    <row r="605" spans="1:12">
      <c r="A605" s="20" t="s">
        <v>969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758</v>
      </c>
      <c r="B606" s="21" t="s">
        <v>652</v>
      </c>
      <c r="C606" s="21" t="s">
        <v>602</v>
      </c>
      <c r="D606" s="21" t="s">
        <v>603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611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658</v>
      </c>
      <c r="B608" s="21" t="s">
        <v>659</v>
      </c>
      <c r="C608" s="21" t="s">
        <v>614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724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970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607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971</v>
      </c>
      <c r="B612" s="21" t="s">
        <v>620</v>
      </c>
      <c r="C612" s="21" t="s">
        <v>733</v>
      </c>
      <c r="D612" s="21" t="s">
        <v>603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972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662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973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974</v>
      </c>
      <c r="B616" s="21" t="s">
        <v>620</v>
      </c>
      <c r="C616" s="21" t="s">
        <v>716</v>
      </c>
      <c r="D616" s="21" t="s">
        <v>603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611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615</v>
      </c>
      <c r="B618" s="21" t="s">
        <v>601</v>
      </c>
      <c r="C618" s="21" t="s">
        <v>602</v>
      </c>
      <c r="D618" s="21" t="s">
        <v>603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975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611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779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976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977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978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979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633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/>
    </row>
    <row r="628" spans="1:12">
      <c r="A628" s="20" t="s">
        <v>980</v>
      </c>
    </row>
    <row r="629" spans="1:12">
      <c r="A629" s="20" t="s">
        <v>981</v>
      </c>
      <c r="B629" s="21" t="s">
        <v>652</v>
      </c>
      <c r="C629" s="21" t="s">
        <v>602</v>
      </c>
      <c r="D629" s="21" t="s">
        <v>603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982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983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611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984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985</v>
      </c>
      <c r="B634" s="21" t="s">
        <v>801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611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986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987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607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988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989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990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991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628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992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993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883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994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633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/>
    </row>
    <row r="650" spans="1:12">
      <c r="A650" s="20" t="s">
        <v>995</v>
      </c>
    </row>
    <row r="651" spans="1:12">
      <c r="A651" s="20" t="s">
        <v>600</v>
      </c>
      <c r="B651" s="21" t="s">
        <v>601</v>
      </c>
      <c r="C651" s="21" t="s">
        <v>602</v>
      </c>
      <c r="D651" s="21" t="s">
        <v>603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996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877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997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998</v>
      </c>
      <c r="B655" s="21" t="s">
        <v>652</v>
      </c>
      <c r="C655" s="21" t="s">
        <v>716</v>
      </c>
      <c r="D655" s="21" t="s">
        <v>603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999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1000</v>
      </c>
      <c r="B657" s="21" t="s">
        <v>640</v>
      </c>
      <c r="C657" s="21" t="s">
        <v>602</v>
      </c>
      <c r="D657" s="21" t="s">
        <v>603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883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1001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633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/>
    </row>
    <row r="662" spans="1:12">
      <c r="A662" s="20" t="s">
        <v>1002</v>
      </c>
    </row>
    <row r="663" spans="1:12">
      <c r="A663" s="20" t="s">
        <v>600</v>
      </c>
      <c r="B663" s="21" t="s">
        <v>601</v>
      </c>
      <c r="C663" s="21" t="s">
        <v>602</v>
      </c>
      <c r="D663" s="21" t="s">
        <v>603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800</v>
      </c>
      <c r="B664" s="21" t="s">
        <v>652</v>
      </c>
      <c r="C664" s="21" t="s">
        <v>602</v>
      </c>
      <c r="D664" s="21" t="s">
        <v>603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996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611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615</v>
      </c>
      <c r="B667" s="21" t="s">
        <v>636</v>
      </c>
      <c r="C667" s="21" t="s">
        <v>602</v>
      </c>
      <c r="D667" s="21" t="s">
        <v>603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800</v>
      </c>
      <c r="B668" s="21" t="s">
        <v>801</v>
      </c>
      <c r="C668" s="21" t="s">
        <v>602</v>
      </c>
      <c r="D668" s="21" t="s">
        <v>603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1003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611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1004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805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633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/>
    </row>
    <row r="675" spans="1:12">
      <c r="A675" s="20" t="s">
        <v>1005</v>
      </c>
    </row>
    <row r="676" spans="1:12">
      <c r="A676" s="20" t="s">
        <v>1006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611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1007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883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1008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1009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611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615</v>
      </c>
      <c r="B683" s="21" t="s">
        <v>601</v>
      </c>
      <c r="C683" s="21" t="s">
        <v>602</v>
      </c>
      <c r="D683" s="21" t="s">
        <v>603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649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1010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611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1011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1012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611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1013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611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607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1014</v>
      </c>
      <c r="B693" s="21" t="s">
        <v>640</v>
      </c>
      <c r="C693" s="21" t="s">
        <v>644</v>
      </c>
      <c r="D693" s="21" t="s">
        <v>603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959</v>
      </c>
      <c r="B694" s="21" t="s">
        <v>609</v>
      </c>
      <c r="C694" s="21" t="s">
        <v>631</v>
      </c>
      <c r="D694" s="21" t="s">
        <v>603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1015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864</v>
      </c>
      <c r="B696" s="21" t="s">
        <v>609</v>
      </c>
      <c r="C696" s="21" t="s">
        <v>723</v>
      </c>
      <c r="D696" s="21" t="s">
        <v>603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611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739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419</v>
      </c>
      <c r="B699" s="21" t="s">
        <v>616</v>
      </c>
      <c r="C699" s="21" t="s">
        <v>602</v>
      </c>
      <c r="D699" s="21" t="s">
        <v>603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664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1016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824</v>
      </c>
      <c r="B702" s="21" t="s">
        <v>613</v>
      </c>
      <c r="C702" s="21" t="s">
        <v>602</v>
      </c>
      <c r="D702" s="21" t="s">
        <v>603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1017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633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/>
    </row>
    <row r="706" spans="1:12">
      <c r="A706" s="20" t="s">
        <v>1018</v>
      </c>
    </row>
    <row r="707" spans="1:12">
      <c r="A707" s="20" t="s">
        <v>1006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1019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1020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419</v>
      </c>
      <c r="B710" s="21" t="s">
        <v>601</v>
      </c>
      <c r="C710" s="21" t="s">
        <v>602</v>
      </c>
      <c r="D710" s="21" t="s">
        <v>603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1021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623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624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1022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677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1023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722</v>
      </c>
      <c r="B717" s="21" t="s">
        <v>636</v>
      </c>
      <c r="C717" s="21" t="s">
        <v>723</v>
      </c>
      <c r="D717" s="21" t="s">
        <v>603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1024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1025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646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1026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1027</v>
      </c>
      <c r="B722" s="21" t="s">
        <v>613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1028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677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646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1029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672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1030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722</v>
      </c>
      <c r="B729" s="21" t="s">
        <v>616</v>
      </c>
      <c r="C729" s="21" t="s">
        <v>723</v>
      </c>
      <c r="D729" s="21" t="s">
        <v>603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1031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1028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/>
    </row>
    <row r="733" spans="1:12">
      <c r="A733" s="20" t="s">
        <v>1032</v>
      </c>
    </row>
    <row r="734" spans="1:12">
      <c r="A734" s="20" t="s">
        <v>1033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611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1031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752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1034</v>
      </c>
      <c r="B738" s="21" t="s">
        <v>636</v>
      </c>
      <c r="C738" s="21" t="s">
        <v>602</v>
      </c>
      <c r="D738" s="21" t="s">
        <v>603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1035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1036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611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1037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1038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611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658</v>
      </c>
      <c r="B745" s="21" t="s">
        <v>793</v>
      </c>
      <c r="C745" s="21" t="s">
        <v>614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615</v>
      </c>
      <c r="B746" s="21" t="s">
        <v>659</v>
      </c>
      <c r="C746" s="21" t="s">
        <v>602</v>
      </c>
      <c r="D746" s="21" t="s">
        <v>603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1039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611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1034</v>
      </c>
      <c r="B749" s="21" t="s">
        <v>616</v>
      </c>
      <c r="C749" s="21" t="s">
        <v>602</v>
      </c>
      <c r="D749" s="21" t="s">
        <v>603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1040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646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1041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1042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670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1043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633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/>
    </row>
    <row r="758" spans="1:12">
      <c r="A758" s="20" t="s">
        <v>1044</v>
      </c>
    </row>
    <row r="759" spans="1:12">
      <c r="A759" s="20" t="s">
        <v>1045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646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662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1046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1047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1034</v>
      </c>
      <c r="B764" s="21" t="s">
        <v>636</v>
      </c>
      <c r="C764" s="21" t="s">
        <v>602</v>
      </c>
      <c r="D764" s="21" t="s">
        <v>603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1048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1049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611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615</v>
      </c>
      <c r="B768" s="21" t="s">
        <v>601</v>
      </c>
      <c r="C768" s="21" t="s">
        <v>602</v>
      </c>
      <c r="D768" s="21" t="s">
        <v>603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1050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1051</v>
      </c>
      <c r="B770" s="21" t="s">
        <v>652</v>
      </c>
      <c r="C770" s="21" t="s">
        <v>602</v>
      </c>
      <c r="D770" s="21" t="s">
        <v>603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398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1052</v>
      </c>
      <c r="B772" s="21" t="s">
        <v>640</v>
      </c>
      <c r="C772" s="21" t="s">
        <v>621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633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/>
    </row>
    <row r="775" spans="1:12">
      <c r="A775" s="20" t="s">
        <v>1053</v>
      </c>
    </row>
    <row r="776" spans="1:12">
      <c r="A776" s="20" t="s">
        <v>1054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1012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611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1055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1056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1057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959</v>
      </c>
      <c r="B782" s="21" t="s">
        <v>609</v>
      </c>
      <c r="C782" s="21" t="s">
        <v>631</v>
      </c>
      <c r="D782" s="21" t="s">
        <v>603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722</v>
      </c>
      <c r="B783" s="21" t="s">
        <v>601</v>
      </c>
      <c r="C783" s="21" t="s">
        <v>723</v>
      </c>
      <c r="D783" s="21" t="s">
        <v>603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737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1058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1059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611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739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615</v>
      </c>
      <c r="B789" s="21" t="s">
        <v>636</v>
      </c>
      <c r="C789" s="21" t="s">
        <v>602</v>
      </c>
      <c r="D789" s="21" t="s">
        <v>603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611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1060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1061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824</v>
      </c>
      <c r="B793" s="21" t="s">
        <v>868</v>
      </c>
      <c r="C793" s="21" t="s">
        <v>602</v>
      </c>
      <c r="D793" s="21" t="s">
        <v>603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1017</v>
      </c>
      <c r="B794" s="21" t="s">
        <v>793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611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1062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1063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1064</v>
      </c>
      <c r="B798" s="21" t="s">
        <v>801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293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1065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1066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1067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1068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1069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1070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1071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1072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633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/>
    </row>
    <row r="810" spans="1:12">
      <c r="A810" s="20" t="s">
        <v>1073</v>
      </c>
    </row>
    <row r="811" spans="1:12">
      <c r="A811" s="20" t="s">
        <v>727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1074</v>
      </c>
      <c r="B812" s="21" t="s">
        <v>640</v>
      </c>
      <c r="C812" s="21" t="s">
        <v>723</v>
      </c>
      <c r="D812" s="21" t="s">
        <v>603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1065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419</v>
      </c>
      <c r="B814" s="21" t="s">
        <v>601</v>
      </c>
      <c r="C814" s="21" t="s">
        <v>602</v>
      </c>
      <c r="D814" s="21" t="s">
        <v>603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819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1075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1076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1077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1078</v>
      </c>
      <c r="B819" s="21" t="s">
        <v>652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662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1079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646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1080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628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639</v>
      </c>
      <c r="B825" s="21" t="s">
        <v>620</v>
      </c>
      <c r="C825" s="21" t="s">
        <v>602</v>
      </c>
      <c r="D825" s="21" t="s">
        <v>603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1081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633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/>
    </row>
    <row r="829" spans="1:12">
      <c r="A829" s="20" t="s">
        <v>1082</v>
      </c>
    </row>
    <row r="830" spans="1:12">
      <c r="A830" s="20" t="s">
        <v>1006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818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615</v>
      </c>
      <c r="B832" s="21" t="s">
        <v>601</v>
      </c>
      <c r="C832" s="21" t="s">
        <v>602</v>
      </c>
      <c r="D832" s="21" t="s">
        <v>603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1083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611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1084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922</v>
      </c>
      <c r="B836" s="21" t="s">
        <v>804</v>
      </c>
      <c r="C836" s="21" t="s">
        <v>733</v>
      </c>
      <c r="D836" s="21" t="s">
        <v>603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1085</v>
      </c>
      <c r="B837" s="21" t="s">
        <v>636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639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646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1086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611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658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615</v>
      </c>
      <c r="B843" s="21" t="s">
        <v>810</v>
      </c>
      <c r="C843" s="21" t="s">
        <v>602</v>
      </c>
      <c r="D843" s="21" t="s">
        <v>603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1036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646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1037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1038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611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1087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1088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1089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1090</v>
      </c>
      <c r="B852" s="21" t="s">
        <v>804</v>
      </c>
      <c r="C852" s="21" t="s">
        <v>733</v>
      </c>
      <c r="D852" s="21" t="s">
        <v>603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886</v>
      </c>
      <c r="B853" s="21" t="s">
        <v>801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1091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776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611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655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741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1092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1093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611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1094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611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1095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1096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633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/>
    </row>
    <row r="868" spans="1:12">
      <c r="A868" s="20" t="s">
        <v>1097</v>
      </c>
    </row>
    <row r="869" spans="1:12">
      <c r="A869" s="20" t="s">
        <v>840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1098</v>
      </c>
      <c r="B870" s="21" t="s">
        <v>601</v>
      </c>
      <c r="C870" s="21" t="s">
        <v>644</v>
      </c>
      <c r="D870" s="21" t="s">
        <v>603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1099</v>
      </c>
      <c r="B871" s="21" t="s">
        <v>609</v>
      </c>
      <c r="C871" s="21" t="s">
        <v>723</v>
      </c>
      <c r="D871" s="21" t="s">
        <v>603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611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655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1100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611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1101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1102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1103</v>
      </c>
      <c r="B878" s="21" t="s">
        <v>868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611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1104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1105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1106</v>
      </c>
      <c r="B882" s="21" t="s">
        <v>801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662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1107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633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/>
    </row>
    <row r="887" spans="1:12">
      <c r="A887" s="20" t="s">
        <v>1108</v>
      </c>
    </row>
    <row r="888" spans="1:12">
      <c r="A888" s="20" t="s">
        <v>764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662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1109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1110</v>
      </c>
      <c r="B891" s="21" t="s">
        <v>804</v>
      </c>
      <c r="C891" s="21" t="s">
        <v>602</v>
      </c>
      <c r="D891" s="21" t="s">
        <v>603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1111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1112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1113</v>
      </c>
      <c r="B894" s="21" t="s">
        <v>601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664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1114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1115</v>
      </c>
      <c r="B897" s="21" t="s">
        <v>652</v>
      </c>
      <c r="C897" s="21" t="s">
        <v>602</v>
      </c>
      <c r="D897" s="21" t="s">
        <v>603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160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662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905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239</v>
      </c>
      <c r="B901" s="21" t="s">
        <v>801</v>
      </c>
      <c r="C901" s="21" t="s">
        <v>723</v>
      </c>
      <c r="D901" s="21" t="s">
        <v>603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611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658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907</v>
      </c>
      <c r="B904" s="21" t="s">
        <v>616</v>
      </c>
      <c r="C904" s="21" t="s">
        <v>602</v>
      </c>
      <c r="D904" s="21" t="s">
        <v>603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485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1116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605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672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152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 t="s">
        <v>918</v>
      </c>
      <c r="B910" s="21" t="s">
        <v>868</v>
      </c>
      <c r="E910" s="22">
        <f>IF(D910="?OLD","!!!","")</f>
        <v/>
      </c>
      <c r="F910" s="23" t="str">
        <f>IF(OR(E910="",E910="!!!"),"",IF(NOT(ISNA(VLOOKUP(E910,E$1:E909,1,FALSE()))),"OLD",IF(AND(E910&lt;&gt;"",E910&lt;&gt;"!!!"),"NEW","")))</f>
        <v> </v>
      </c>
      <c r="G910" s="24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5" t="str">
        <f>IF(J910&lt;&gt;1,"",IF(I910="SBJ","CB","?"))</f>
        <v> </v>
      </c>
      <c r="I910" s="26" t="str">
        <f>IF(OR(E910="",E910="!!!",F910="NEW"),"",INDEX(B909:B$2,-1+SUMPRODUCT(MAX(ROW(E909:E$2)*(E910=E909:E$2)))))</f>
        <v> </v>
      </c>
      <c r="J910" s="26" t="str">
        <f>IF(OR(E910="",E910="!!!",F910="NEW"),"",COUNTBLANK(OFFSET(A$1,,,SUMPRODUCT(MAX(ROW(E$2:E910)*(E910=E$2:E910)))))-COUNTBLANK(OFFSET(A$1,,,SUMPRODUCT(MAX(ROW(E$1:E909)*(E2=E$1:E909))))))</f>
        <v> </v>
      </c>
      <c r="K910" s="26" t="str">
        <f>IF(OR(E910="",E910="!!!",F910="NEW"),"",INDEX(J$1:J909,SUMPRODUCT(MAX(ROW(E$1:E909)*(E910=E$1:E909)))))</f>
        <v> </v>
      </c>
      <c r="L910" s="27"/>
    </row>
    <row r="911" spans="1:12">
      <c r="A911" s="20" t="s">
        <v>1117</v>
      </c>
      <c r="B911" s="21" t="s">
        <v>868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1118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1119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1120</v>
      </c>
      <c r="B914" s="21" t="s">
        <v>1121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633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/>
    </row>
    <row r="917" spans="1:12">
      <c r="A917" s="20" t="s">
        <v>1122</v>
      </c>
    </row>
    <row r="918" spans="1:12">
      <c r="A918" s="20" t="s">
        <v>881</v>
      </c>
      <c r="B918" s="21" t="s">
        <v>601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664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1123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779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1124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662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1125</v>
      </c>
      <c r="B924" s="21" t="s">
        <v>804</v>
      </c>
      <c r="C924" s="21" t="s">
        <v>733</v>
      </c>
      <c r="D924" s="21" t="s">
        <v>603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1126</v>
      </c>
      <c r="E925" s="22">
        <f>IF(D925="?OLD","!!!","")</f>
        <v/>
      </c>
      <c r="F925" s="23" t="str">
        <f>IF(OR(E925="",E925="!!!"),"",IF(NOT(ISNA(VLOOKUP(E925,E$1:E924,1,FALSE()))),"OLD",IF(AND(E925&lt;&gt;"",E925&lt;&gt;"!!!"),"NEW","")))</f>
        <v> </v>
      </c>
      <c r="G925" s="24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5" t="str">
        <f>IF(J925&lt;&gt;1,"",IF(I925="SBJ","CB","?"))</f>
        <v> </v>
      </c>
      <c r="I925" s="26" t="str">
        <f>IF(OR(E925="",E925="!!!",F925="NEW"),"",INDEX(B924:B$2,-1+SUMPRODUCT(MAX(ROW(E924:E$2)*(E925=E924:E$2)))))</f>
        <v> </v>
      </c>
      <c r="J925" s="26" t="str">
        <f>IF(OR(E925="",E925="!!!",F925="NEW"),"",COUNTBLANK(OFFSET(A$1,,,SUMPRODUCT(MAX(ROW(E$2:E925)*(E925=E$2:E925)))))-COUNTBLANK(OFFSET(A$1,,,SUMPRODUCT(MAX(ROW(E$1:E924)*(E2=E$1:E924))))))</f>
        <v> </v>
      </c>
      <c r="K925" s="26" t="str">
        <f>IF(OR(E925="",E925="!!!",F925="NEW"),"",INDEX(J$1:J924,SUMPRODUCT(MAX(ROW(E$1:E924)*(E925=E$1:E924)))))</f>
        <v> </v>
      </c>
      <c r="L925" s="27"/>
    </row>
    <row r="926" spans="1:12">
      <c r="A926" s="20" t="s">
        <v>611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1127</v>
      </c>
      <c r="B927" s="21" t="s">
        <v>636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670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1128</v>
      </c>
      <c r="B929" s="21" t="s">
        <v>804</v>
      </c>
      <c r="C929" s="21" t="s">
        <v>614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1129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1130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1131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633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/>
    </row>
    <row r="935" spans="1:12">
      <c r="A935" s="20" t="s">
        <v>1132</v>
      </c>
    </row>
    <row r="936" spans="1:12">
      <c r="A936" s="20" t="s">
        <v>1054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611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607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1133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 t="s">
        <v>1134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1135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1136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611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1137</v>
      </c>
      <c r="B944" s="21" t="s">
        <v>609</v>
      </c>
      <c r="C944" s="21" t="s">
        <v>733</v>
      </c>
      <c r="D944" s="21" t="s">
        <v>603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1138</v>
      </c>
      <c r="B945" s="21" t="s">
        <v>601</v>
      </c>
      <c r="C945" s="21" t="s">
        <v>621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611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1139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1140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1141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1134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611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1142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1143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670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1144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611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 t="s">
        <v>1145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1146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1147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1148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677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758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722</v>
      </c>
      <c r="B963" s="21" t="s">
        <v>601</v>
      </c>
      <c r="C963" s="21" t="s">
        <v>723</v>
      </c>
      <c r="D963" s="21" t="s">
        <v>603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1149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1117</v>
      </c>
      <c r="B965" s="21" t="s">
        <v>652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611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1101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1120</v>
      </c>
      <c r="B968" s="21" t="s">
        <v>801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866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611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1150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1151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1152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922</v>
      </c>
      <c r="B974" s="21" t="s">
        <v>620</v>
      </c>
      <c r="C974" s="21" t="s">
        <v>733</v>
      </c>
      <c r="D974" s="21" t="s">
        <v>603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1153</v>
      </c>
      <c r="B975" s="21" t="s">
        <v>793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779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1154</v>
      </c>
      <c r="E977" s="22">
        <f>IF(D977="?OLD","!!!","")</f>
        <v/>
      </c>
      <c r="F977" s="23" t="str">
        <f>IF(OR(E977="",E977="!!!"),"",IF(NOT(ISNA(VLOOKUP(E977,E$1:E976,1,FALSE()))),"OLD",IF(AND(E977&lt;&gt;"",E977&lt;&gt;"!!!"),"NEW","")))</f>
        <v> </v>
      </c>
      <c r="G977" s="24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5" t="str">
        <f>IF(J977&lt;&gt;1,"",IF(I977="SBJ","CB","?"))</f>
        <v> </v>
      </c>
      <c r="I977" s="26" t="str">
        <f>IF(OR(E977="",E977="!!!",F977="NEW"),"",INDEX(B976:B$2,-1+SUMPRODUCT(MAX(ROW(E976:E$2)*(E977=E976:E$2)))))</f>
        <v> </v>
      </c>
      <c r="J977" s="26" t="str">
        <f>IF(OR(E977="",E977="!!!",F977="NEW"),"",COUNTBLANK(OFFSET(A$1,,,SUMPRODUCT(MAX(ROW(E$2:E977)*(E977=E$2:E977)))))-COUNTBLANK(OFFSET(A$1,,,SUMPRODUCT(MAX(ROW(E$1:E976)*(E2=E$1:E976))))))</f>
        <v> </v>
      </c>
      <c r="K977" s="26" t="str">
        <f>IF(OR(E977="",E977="!!!",F977="NEW"),"",INDEX(J$1:J976,SUMPRODUCT(MAX(ROW(E$1:E976)*(E977=E$1:E976)))))</f>
        <v> </v>
      </c>
      <c r="L977" s="27"/>
    </row>
    <row r="978" spans="1:12">
      <c r="A978" s="20" t="s">
        <v>611</v>
      </c>
      <c r="E978" s="22">
        <f>IF(D978="?OLD","!!!","")</f>
        <v/>
      </c>
      <c r="F978" s="23" t="str">
        <f>IF(OR(E978="",E978="!!!"),"",IF(NOT(ISNA(VLOOKUP(E978,E$1:E977,1,FALSE()))),"OLD",IF(AND(E978&lt;&gt;"",E978&lt;&gt;"!!!"),"NEW","")))</f>
        <v> </v>
      </c>
      <c r="G978" s="24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5" t="str">
        <f>IF(J978&lt;&gt;1,"",IF(I978="SBJ","CB","?"))</f>
        <v> </v>
      </c>
      <c r="I978" s="26" t="str">
        <f>IF(OR(E978="",E978="!!!",F978="NEW"),"",INDEX(B977:B$2,-1+SUMPRODUCT(MAX(ROW(E977:E$2)*(E978=E977:E$2)))))</f>
        <v> </v>
      </c>
      <c r="J978" s="26" t="str">
        <f>IF(OR(E978="",E978="!!!",F978="NEW"),"",COUNTBLANK(OFFSET(A$1,,,SUMPRODUCT(MAX(ROW(E$2:E978)*(E978=E$2:E978)))))-COUNTBLANK(OFFSET(A$1,,,SUMPRODUCT(MAX(ROW(E$1:E977)*(E2=E$1:E977))))))</f>
        <v> </v>
      </c>
      <c r="K978" s="26" t="str">
        <f>IF(OR(E978="",E978="!!!",F978="NEW"),"",INDEX(J$1:J977,SUMPRODUCT(MAX(ROW(E$1:E977)*(E978=E$1:E977)))))</f>
        <v> </v>
      </c>
      <c r="L978" s="27"/>
    </row>
    <row r="979" spans="1:12">
      <c r="A979" s="20" t="s">
        <v>1155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883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1156</v>
      </c>
      <c r="B981" s="21" t="s">
        <v>815</v>
      </c>
      <c r="C981" s="21" t="s">
        <v>602</v>
      </c>
      <c r="D981" s="21" t="s">
        <v>603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1157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611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664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 t="s">
        <v>1158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649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1015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1159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1160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1161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674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1162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1163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676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611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823</v>
      </c>
      <c r="B996" s="21" t="s">
        <v>879</v>
      </c>
      <c r="C996" s="21" t="s">
        <v>614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1164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 t="s">
        <v>918</v>
      </c>
      <c r="B998" s="21" t="s">
        <v>1165</v>
      </c>
      <c r="E998" s="22">
        <f>IF(D998="?OLD","!!!","")</f>
        <v/>
      </c>
      <c r="F998" s="23" t="str">
        <f>IF(OR(E998="",E998="!!!"),"",IF(NOT(ISNA(VLOOKUP(E998,E$1:E997,1,FALSE()))),"OLD",IF(AND(E998&lt;&gt;"",E998&lt;&gt;"!!!"),"NEW","")))</f>
        <v> </v>
      </c>
      <c r="G998" s="24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5" t="str">
        <f>IF(J998&lt;&gt;1,"",IF(I998="SBJ","CB","?"))</f>
        <v> </v>
      </c>
      <c r="I998" s="26" t="str">
        <f>IF(OR(E998="",E998="!!!",F998="NEW"),"",INDEX(B997:B$2,-1+SUMPRODUCT(MAX(ROW(E997:E$2)*(E998=E997:E$2)))))</f>
        <v> </v>
      </c>
      <c r="J998" s="26" t="str">
        <f>IF(OR(E998="",E998="!!!",F998="NEW"),"",COUNTBLANK(OFFSET(A$1,,,SUMPRODUCT(MAX(ROW(E$2:E998)*(E998=E$2:E998)))))-COUNTBLANK(OFFSET(A$1,,,SUMPRODUCT(MAX(ROW(E$1:E997)*(E2=E$1:E997))))))</f>
        <v> </v>
      </c>
      <c r="K998" s="26" t="str">
        <f>IF(OR(E998="",E998="!!!",F998="NEW"),"",INDEX(J$1:J997,SUMPRODUCT(MAX(ROW(E$1:E997)*(E998=E$1:E997)))))</f>
        <v> </v>
      </c>
      <c r="L998" s="27"/>
    </row>
    <row r="999" spans="1:12">
      <c r="A999" s="20" t="s">
        <v>1166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1167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776</v>
      </c>
      <c r="B1001" s="21" t="s">
        <v>1121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611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1168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883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1169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1170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776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646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1171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902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1172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1173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718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1174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1175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633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/>
    </row>
    <row r="1018" spans="1:12">
      <c r="A1018" s="20" t="s">
        <v>1176</v>
      </c>
    </row>
    <row r="1019" spans="1:12">
      <c r="A1019" s="20" t="s">
        <v>860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611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662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1177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624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1178</v>
      </c>
      <c r="B1024" s="21" t="s">
        <v>601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1179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1115</v>
      </c>
      <c r="B1026" s="21" t="s">
        <v>652</v>
      </c>
      <c r="C1026" s="21" t="s">
        <v>602</v>
      </c>
      <c r="D1026" s="21" t="s">
        <v>603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239</v>
      </c>
      <c r="B1027" s="21" t="s">
        <v>652</v>
      </c>
      <c r="C1027" s="21" t="s">
        <v>723</v>
      </c>
      <c r="D1027" s="21" t="s">
        <v>603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611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658</v>
      </c>
      <c r="B1029" s="21" t="s">
        <v>659</v>
      </c>
      <c r="C1029" s="21" t="s">
        <v>614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641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1180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1181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672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658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638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 t="s">
        <v>1182</v>
      </c>
      <c r="E1036" s="22">
        <f>IF(D1036="?OLD","!!!","")</f>
        <v/>
      </c>
      <c r="F1036" s="23" t="str">
        <f>IF(OR(E1036="",E1036="!!!"),"",IF(NOT(ISNA(VLOOKUP(E1036,E$1:E1035,1,FALSE()))),"OLD",IF(AND(E1036&lt;&gt;"",E1036&lt;&gt;"!!!"),"NEW","")))</f>
        <v> </v>
      </c>
      <c r="G1036" s="24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5" t="str">
        <f>IF(J1036&lt;&gt;1,"",IF(I1036="SBJ","CB","?"))</f>
        <v> </v>
      </c>
      <c r="I1036" s="26" t="str">
        <f>IF(OR(E1036="",E1036="!!!",F1036="NEW"),"",INDEX(B1035:B$2,-1+SUMPRODUCT(MAX(ROW(E1035:E$2)*(E1036=E1035:E$2)))))</f>
        <v> </v>
      </c>
      <c r="J1036" s="26" t="str">
        <f>IF(OR(E1036="",E1036="!!!",F1036="NEW"),"",COUNTBLANK(OFFSET(A$1,,,SUMPRODUCT(MAX(ROW(E$2:E1036)*(E1036=E$2:E1036)))))-COUNTBLANK(OFFSET(A$1,,,SUMPRODUCT(MAX(ROW(E$1:E1035)*(E2=E$1:E1035))))))</f>
        <v> </v>
      </c>
      <c r="K1036" s="26" t="str">
        <f>IF(OR(E1036="",E1036="!!!",F1036="NEW"),"",INDEX(J$1:J1035,SUMPRODUCT(MAX(ROW(E$1:E1035)*(E1036=E$1:E1035)))))</f>
        <v> </v>
      </c>
      <c r="L1036" s="27"/>
    </row>
    <row r="1037" spans="1:12">
      <c r="A1037" s="20" t="s">
        <v>1183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899</v>
      </c>
      <c r="B1038" s="21" t="s">
        <v>616</v>
      </c>
      <c r="C1038" s="21" t="s">
        <v>614</v>
      </c>
      <c r="E1038" s="22">
        <f>IF(D1038="?OLD","!!!","")</f>
        <v/>
      </c>
      <c r="F1038" s="23" t="str">
        <f>IF(OR(E1038="",E1038="!!!"),"",IF(NOT(ISNA(VLOOKUP(E1038,E$1:E1037,1,FALSE()))),"OLD",IF(AND(E1038&lt;&gt;"",E1038&lt;&gt;"!!!"),"NEW","")))</f>
        <v> </v>
      </c>
      <c r="G1038" s="24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5" t="str">
        <f>IF(J1038&lt;&gt;1,"",IF(I1038="SBJ","CB","?"))</f>
        <v> </v>
      </c>
      <c r="I1038" s="26" t="str">
        <f>IF(OR(E1038="",E1038="!!!",F1038="NEW"),"",INDEX(B1037:B$2,-1+SUMPRODUCT(MAX(ROW(E1037:E$2)*(E1038=E1037:E$2)))))</f>
        <v> </v>
      </c>
      <c r="J1038" s="26" t="str">
        <f>IF(OR(E1038="",E1038="!!!",F1038="NEW"),"",COUNTBLANK(OFFSET(A$1,,,SUMPRODUCT(MAX(ROW(E$2:E1038)*(E1038=E$2:E1038)))))-COUNTBLANK(OFFSET(A$1,,,SUMPRODUCT(MAX(ROW(E$1:E1037)*(E2=E$1:E1037))))))</f>
        <v> </v>
      </c>
      <c r="K1038" s="26" t="str">
        <f>IF(OR(E1038="",E1038="!!!",F1038="NEW"),"",INDEX(J$1:J1037,SUMPRODUCT(MAX(ROW(E$1:E1037)*(E1038=E$1:E1037)))))</f>
        <v> </v>
      </c>
      <c r="L1038" s="27"/>
    </row>
    <row r="1039" spans="1:12">
      <c r="A1039" s="20" t="s">
        <v>1184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 t="s">
        <v>646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 t="s">
        <v>1185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 t="s">
        <v>611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1186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 t="s">
        <v>1187</v>
      </c>
      <c r="B1044" s="21" t="s">
        <v>1188</v>
      </c>
      <c r="E1044" s="22">
        <f>IF(D1044="?OLD","!!!","")</f>
        <v/>
      </c>
      <c r="F1044" s="23" t="str">
        <f>IF(OR(E1044="",E1044="!!!"),"",IF(NOT(ISNA(VLOOKUP(E1044,E$1:E1043,1,FALSE()))),"OLD",IF(AND(E1044&lt;&gt;"",E1044&lt;&gt;"!!!"),"NEW","")))</f>
        <v> </v>
      </c>
      <c r="G1044" s="24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5" t="str">
        <f>IF(J1044&lt;&gt;1,"",IF(I1044="SBJ","CB","?"))</f>
        <v> </v>
      </c>
      <c r="I1044" s="26" t="str">
        <f>IF(OR(E1044="",E1044="!!!",F1044="NEW"),"",INDEX(B1043:B$2,-1+SUMPRODUCT(MAX(ROW(E1043:E$2)*(E1044=E1043:E$2)))))</f>
        <v> </v>
      </c>
      <c r="J1044" s="26" t="str">
        <f>IF(OR(E1044="",E1044="!!!",F1044="NEW"),"",COUNTBLANK(OFFSET(A$1,,,SUMPRODUCT(MAX(ROW(E$2:E1044)*(E1044=E$2:E1044)))))-COUNTBLANK(OFFSET(A$1,,,SUMPRODUCT(MAX(ROW(E$1:E1043)*(E2=E$1:E1043))))))</f>
        <v> </v>
      </c>
      <c r="K1044" s="26" t="str">
        <f>IF(OR(E1044="",E1044="!!!",F1044="NEW"),"",INDEX(J$1:J1043,SUMPRODUCT(MAX(ROW(E$1:E1043)*(E1044=E$1:E1043)))))</f>
        <v> </v>
      </c>
      <c r="L1044" s="27"/>
    </row>
    <row r="1045" spans="1:12">
      <c r="A1045" s="20" t="s">
        <v>628</v>
      </c>
      <c r="E1045" s="22">
        <f>IF(D1045="?OLD","!!!","")</f>
        <v/>
      </c>
      <c r="F1045" s="23" t="str">
        <f>IF(OR(E1045="",E1045="!!!"),"",IF(NOT(ISNA(VLOOKUP(E1045,E$1:E1044,1,FALSE()))),"OLD",IF(AND(E1045&lt;&gt;"",E1045&lt;&gt;"!!!"),"NEW","")))</f>
        <v> </v>
      </c>
      <c r="G1045" s="24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5" t="str">
        <f>IF(J1045&lt;&gt;1,"",IF(I1045="SBJ","CB","?"))</f>
        <v> </v>
      </c>
      <c r="I1045" s="26" t="str">
        <f>IF(OR(E1045="",E1045="!!!",F1045="NEW"),"",INDEX(B1044:B$2,-1+SUMPRODUCT(MAX(ROW(E1044:E$2)*(E1045=E1044:E$2)))))</f>
        <v> </v>
      </c>
      <c r="J1045" s="26" t="str">
        <f>IF(OR(E1045="",E1045="!!!",F1045="NEW"),"",COUNTBLANK(OFFSET(A$1,,,SUMPRODUCT(MAX(ROW(E$2:E1045)*(E1045=E$2:E1045)))))-COUNTBLANK(OFFSET(A$1,,,SUMPRODUCT(MAX(ROW(E$1:E1044)*(E2=E$1:E1044))))))</f>
        <v> </v>
      </c>
      <c r="K1045" s="26" t="str">
        <f>IF(OR(E1045="",E1045="!!!",F1045="NEW"),"",INDEX(J$1:J1044,SUMPRODUCT(MAX(ROW(E$1:E1044)*(E1045=E$1:E1044)))))</f>
        <v> </v>
      </c>
      <c r="L1045" s="27"/>
    </row>
    <row r="1046" spans="1:12">
      <c r="A1046" s="20" t="s">
        <v>1189</v>
      </c>
      <c r="B1046" s="21" t="s">
        <v>1190</v>
      </c>
      <c r="C1046" s="21" t="s">
        <v>733</v>
      </c>
      <c r="D1046" s="21" t="s">
        <v>603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1191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611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646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658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1192</v>
      </c>
      <c r="B1051" s="21" t="s">
        <v>1190</v>
      </c>
      <c r="C1051" s="21" t="s">
        <v>733</v>
      </c>
      <c r="D1051" s="21" t="s">
        <v>603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1193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1194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1195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1196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313</v>
      </c>
      <c r="B1056" s="21" t="s">
        <v>1197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902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1198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633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/>
    </row>
    <row r="1061" spans="1:12">
      <c r="A1061" s="20" t="s">
        <v>1199</v>
      </c>
    </row>
    <row r="1062" spans="1:12">
      <c r="A1062" s="20" t="s">
        <v>1200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1196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 t="s">
        <v>313</v>
      </c>
      <c r="B1064" s="21" t="s">
        <v>601</v>
      </c>
      <c r="C1064" s="21" t="s">
        <v>716</v>
      </c>
      <c r="D1064" s="21" t="s">
        <v>603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902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1198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677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962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1201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 t="s">
        <v>187</v>
      </c>
      <c r="E1070" s="22">
        <f>IF(D1070="?OLD","!!!","")</f>
        <v/>
      </c>
      <c r="F1070" s="23" t="str">
        <f>IF(OR(E1070="",E1070="!!!"),"",IF(NOT(ISNA(VLOOKUP(E1070,E$1:E1069,1,FALSE()))),"OLD",IF(AND(E1070&lt;&gt;"",E1070&lt;&gt;"!!!"),"NEW","")))</f>
        <v> </v>
      </c>
      <c r="G1070" s="24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5" t="str">
        <f>IF(J1070&lt;&gt;1,"",IF(I1070="SBJ","CB","?"))</f>
        <v> </v>
      </c>
      <c r="I1070" s="26" t="str">
        <f>IF(OR(E1070="",E1070="!!!",F1070="NEW"),"",INDEX(B1069:B$2,-1+SUMPRODUCT(MAX(ROW(E1069:E$2)*(E1070=E1069:E$2)))))</f>
        <v> </v>
      </c>
      <c r="J1070" s="26" t="str">
        <f>IF(OR(E1070="",E1070="!!!",F1070="NEW"),"",COUNTBLANK(OFFSET(A$1,,,SUMPRODUCT(MAX(ROW(E$2:E1070)*(E1070=E$2:E1070)))))-COUNTBLANK(OFFSET(A$1,,,SUMPRODUCT(MAX(ROW(E$1:E1069)*(E2=E$1:E1069))))))</f>
        <v> </v>
      </c>
      <c r="K1070" s="26" t="str">
        <f>IF(OR(E1070="",E1070="!!!",F1070="NEW"),"",INDEX(J$1:J1069,SUMPRODUCT(MAX(ROW(E$1:E1069)*(E1070=E$1:E1069)))))</f>
        <v> </v>
      </c>
      <c r="L1070" s="27"/>
    </row>
    <row r="1071" spans="1:12">
      <c r="A1071" s="20" t="s">
        <v>611</v>
      </c>
      <c r="E1071" s="22">
        <f>IF(D1071="?OLD","!!!","")</f>
        <v/>
      </c>
      <c r="F1071" s="23" t="str">
        <f>IF(OR(E1071="",E1071="!!!"),"",IF(NOT(ISNA(VLOOKUP(E1071,E$1:E1070,1,FALSE()))),"OLD",IF(AND(E1071&lt;&gt;"",E1071&lt;&gt;"!!!"),"NEW","")))</f>
        <v> </v>
      </c>
      <c r="G1071" s="24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5" t="str">
        <f>IF(J1071&lt;&gt;1,"",IF(I1071="SBJ","CB","?"))</f>
        <v> </v>
      </c>
      <c r="I1071" s="26" t="str">
        <f>IF(OR(E1071="",E1071="!!!",F1071="NEW"),"",INDEX(B1070:B$2,-1+SUMPRODUCT(MAX(ROW(E1070:E$2)*(E1071=E1070:E$2)))))</f>
        <v> </v>
      </c>
      <c r="J1071" s="26" t="str">
        <f>IF(OR(E1071="",E1071="!!!",F1071="NEW"),"",COUNTBLANK(OFFSET(A$1,,,SUMPRODUCT(MAX(ROW(E$2:E1071)*(E1071=E$2:E1071)))))-COUNTBLANK(OFFSET(A$1,,,SUMPRODUCT(MAX(ROW(E$1:E1070)*(E2=E$1:E1070))))))</f>
        <v> </v>
      </c>
      <c r="K1071" s="26" t="str">
        <f>IF(OR(E1071="",E1071="!!!",F1071="NEW"),"",INDEX(J$1:J1070,SUMPRODUCT(MAX(ROW(E$1:E1070)*(E1071=E$1:E1070)))))</f>
        <v> </v>
      </c>
      <c r="L1071" s="27"/>
    </row>
    <row r="1072" spans="1:12">
      <c r="A1072" s="20" t="s">
        <v>898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658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1202</v>
      </c>
      <c r="B1074" s="21" t="s">
        <v>636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1203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1116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407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1055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1204</v>
      </c>
      <c r="B1079" s="21" t="s">
        <v>804</v>
      </c>
      <c r="C1079" s="21" t="s">
        <v>602</v>
      </c>
      <c r="D1079" s="21" t="s">
        <v>603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1015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1205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1206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1207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611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646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1208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615</v>
      </c>
      <c r="B1087" s="21" t="s">
        <v>636</v>
      </c>
      <c r="C1087" s="21" t="s">
        <v>602</v>
      </c>
      <c r="D1087" s="21" t="s">
        <v>603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1209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1210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 t="s">
        <v>1211</v>
      </c>
      <c r="B1090" s="21" t="s">
        <v>793</v>
      </c>
      <c r="E1090" s="22">
        <f>IF(D1090="?OLD","!!!","")</f>
        <v/>
      </c>
      <c r="F1090" s="23" t="str">
        <f>IF(OR(E1090="",E1090="!!!"),"",IF(NOT(ISNA(VLOOKUP(E1090,E$1:E1089,1,FALSE()))),"OLD",IF(AND(E1090&lt;&gt;"",E1090&lt;&gt;"!!!"),"NEW","")))</f>
        <v> </v>
      </c>
      <c r="G1090" s="24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5" t="str">
        <f>IF(J1090&lt;&gt;1,"",IF(I1090="SBJ","CB","?"))</f>
        <v> </v>
      </c>
      <c r="I1090" s="26" t="str">
        <f>IF(OR(E1090="",E1090="!!!",F1090="NEW"),"",INDEX(B1089:B$2,-1+SUMPRODUCT(MAX(ROW(E1089:E$2)*(E1090=E1089:E$2)))))</f>
        <v> </v>
      </c>
      <c r="J1090" s="26" t="str">
        <f>IF(OR(E1090="",E1090="!!!",F1090="NEW"),"",COUNTBLANK(OFFSET(A$1,,,SUMPRODUCT(MAX(ROW(E$2:E1090)*(E1090=E$2:E1090)))))-COUNTBLANK(OFFSET(A$1,,,SUMPRODUCT(MAX(ROW(E$1:E1089)*(E2=E$1:E1089))))))</f>
        <v> </v>
      </c>
      <c r="K1090" s="26" t="str">
        <f>IF(OR(E1090="",E1090="!!!",F1090="NEW"),"",INDEX(J$1:J1089,SUMPRODUCT(MAX(ROW(E$1:E1089)*(E1090=E$1:E1089)))))</f>
        <v> </v>
      </c>
      <c r="L1090" s="27"/>
    </row>
    <row r="1091" spans="1:12">
      <c r="A1091" s="20" t="s">
        <v>633</v>
      </c>
      <c r="E1091" s="22">
        <f>IF(D1091="?OLD","!!!","")</f>
        <v/>
      </c>
      <c r="F1091" s="23" t="str">
        <f>IF(OR(E1091="",E1091="!!!"),"",IF(NOT(ISNA(VLOOKUP(E1091,E$1:E1090,1,FALSE()))),"OLD",IF(AND(E1091&lt;&gt;"",E1091&lt;&gt;"!!!"),"NEW","")))</f>
        <v> </v>
      </c>
      <c r="G1091" s="24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5" t="str">
        <f>IF(J1091&lt;&gt;1,"",IF(I1091="SBJ","CB","?"))</f>
        <v> </v>
      </c>
      <c r="I1091" s="26" t="str">
        <f>IF(OR(E1091="",E1091="!!!",F1091="NEW"),"",INDEX(B1090:B$2,-1+SUMPRODUCT(MAX(ROW(E1090:E$2)*(E1091=E1090:E$2)))))</f>
        <v> </v>
      </c>
      <c r="J1091" s="26" t="str">
        <f>IF(OR(E1091="",E1091="!!!",F1091="NEW"),"",COUNTBLANK(OFFSET(A$1,,,SUMPRODUCT(MAX(ROW(E$2:E1091)*(E1091=E$2:E1091)))))-COUNTBLANK(OFFSET(A$1,,,SUMPRODUCT(MAX(ROW(E$1:E1090)*(E2=E$1:E1090))))))</f>
        <v> </v>
      </c>
      <c r="K1091" s="26" t="str">
        <f>IF(OR(E1091="",E1091="!!!",F1091="NEW"),"",INDEX(J$1:J1090,SUMPRODUCT(MAX(ROW(E$1:E1090)*(E1091=E$1:E1090)))))</f>
        <v> </v>
      </c>
      <c r="L1091" s="27"/>
    </row>
    <row r="1092" spans="1:12">
      <c r="A1092" s="20"/>
    </row>
    <row r="1093" spans="1:12">
      <c r="A1093" s="20" t="s">
        <v>1212</v>
      </c>
    </row>
    <row r="1094" spans="1:12">
      <c r="A1094" s="20" t="s">
        <v>981</v>
      </c>
      <c r="B1094" s="21" t="s">
        <v>652</v>
      </c>
      <c r="C1094" s="21" t="s">
        <v>602</v>
      </c>
      <c r="D1094" s="21" t="s">
        <v>603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1213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722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1214</v>
      </c>
      <c r="B1097" s="21" t="s">
        <v>601</v>
      </c>
      <c r="C1097" s="21" t="s">
        <v>716</v>
      </c>
      <c r="D1097" s="21" t="s">
        <v>603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664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1215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 t="s">
        <v>611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 t="s">
        <v>824</v>
      </c>
      <c r="B1101" s="21" t="s">
        <v>801</v>
      </c>
      <c r="C1101" s="21" t="s">
        <v>602</v>
      </c>
      <c r="D1101" s="21" t="s">
        <v>603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641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724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 t="s">
        <v>1216</v>
      </c>
      <c r="E1104" s="22">
        <f>IF(D1104="?OLD","!!!","")</f>
        <v/>
      </c>
      <c r="F1104" s="23" t="str">
        <f>IF(OR(E1104="",E1104="!!!"),"",IF(NOT(ISNA(VLOOKUP(E1104,E$1:E1103,1,FALSE()))),"OLD",IF(AND(E1104&lt;&gt;"",E1104&lt;&gt;"!!!"),"NEW","")))</f>
        <v> </v>
      </c>
      <c r="G1104" s="24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5" t="str">
        <f>IF(J1104&lt;&gt;1,"",IF(I1104="SBJ","CB","?"))</f>
        <v> </v>
      </c>
      <c r="I1104" s="26" t="str">
        <f>IF(OR(E1104="",E1104="!!!",F1104="NEW"),"",INDEX(B1103:B$2,-1+SUMPRODUCT(MAX(ROW(E1103:E$2)*(E1104=E1103:E$2)))))</f>
        <v> </v>
      </c>
      <c r="J1104" s="26" t="str">
        <f>IF(OR(E1104="",E1104="!!!",F1104="NEW"),"",COUNTBLANK(OFFSET(A$1,,,SUMPRODUCT(MAX(ROW(E$2:E1104)*(E1104=E$2:E1104)))))-COUNTBLANK(OFFSET(A$1,,,SUMPRODUCT(MAX(ROW(E$1:E1103)*(E2=E$1:E1103))))))</f>
        <v> </v>
      </c>
      <c r="K1104" s="26" t="str">
        <f>IF(OR(E1104="",E1104="!!!",F1104="NEW"),"",INDEX(J$1:J1103,SUMPRODUCT(MAX(ROW(E$1:E1103)*(E1104=E$1:E1103)))))</f>
        <v> </v>
      </c>
      <c r="L1104" s="27"/>
    </row>
    <row r="1105" spans="1:12">
      <c r="A1105" s="20" t="s">
        <v>611</v>
      </c>
      <c r="E1105" s="22">
        <f>IF(D1105="?OLD","!!!","")</f>
        <v/>
      </c>
      <c r="F1105" s="23" t="str">
        <f>IF(OR(E1105="",E1105="!!!"),"",IF(NOT(ISNA(VLOOKUP(E1105,E$1:E1104,1,FALSE()))),"OLD",IF(AND(E1105&lt;&gt;"",E1105&lt;&gt;"!!!"),"NEW","")))</f>
        <v> </v>
      </c>
      <c r="G1105" s="24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5" t="str">
        <f>IF(J1105&lt;&gt;1,"",IF(I1105="SBJ","CB","?"))</f>
        <v> </v>
      </c>
      <c r="I1105" s="26" t="str">
        <f>IF(OR(E1105="",E1105="!!!",F1105="NEW"),"",INDEX(B1104:B$2,-1+SUMPRODUCT(MAX(ROW(E1104:E$2)*(E1105=E1104:E$2)))))</f>
        <v> </v>
      </c>
      <c r="J1105" s="26" t="str">
        <f>IF(OR(E1105="",E1105="!!!",F1105="NEW"),"",COUNTBLANK(OFFSET(A$1,,,SUMPRODUCT(MAX(ROW(E$2:E1105)*(E1105=E$2:E1105)))))-COUNTBLANK(OFFSET(A$1,,,SUMPRODUCT(MAX(ROW(E$1:E1104)*(E2=E$1:E1104))))))</f>
        <v> </v>
      </c>
      <c r="K1105" s="26" t="str">
        <f>IF(OR(E1105="",E1105="!!!",F1105="NEW"),"",INDEX(J$1:J1104,SUMPRODUCT(MAX(ROW(E$1:E1104)*(E1105=E$1:E1104)))))</f>
        <v> </v>
      </c>
      <c r="L1105" s="27"/>
    </row>
    <row r="1106" spans="1:12">
      <c r="A1106" s="20" t="s">
        <v>728</v>
      </c>
      <c r="E1106" s="22">
        <f>IF(D1106="?OLD","!!!","")</f>
        <v/>
      </c>
      <c r="F1106" s="23" t="str">
        <f>IF(OR(E1106="",E1106="!!!"),"",IF(NOT(ISNA(VLOOKUP(E1106,E$1:E1105,1,FALSE()))),"OLD",IF(AND(E1106&lt;&gt;"",E1106&lt;&gt;"!!!"),"NEW","")))</f>
        <v> </v>
      </c>
      <c r="G1106" s="24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5" t="str">
        <f>IF(J1106&lt;&gt;1,"",IF(I1106="SBJ","CB","?"))</f>
        <v> </v>
      </c>
      <c r="I1106" s="26" t="str">
        <f>IF(OR(E1106="",E1106="!!!",F1106="NEW"),"",INDEX(B1105:B$2,-1+SUMPRODUCT(MAX(ROW(E1105:E$2)*(E1106=E1105:E$2)))))</f>
        <v> </v>
      </c>
      <c r="J1106" s="26" t="str">
        <f>IF(OR(E1106="",E1106="!!!",F1106="NEW"),"",COUNTBLANK(OFFSET(A$1,,,SUMPRODUCT(MAX(ROW(E$2:E1106)*(E1106=E$2:E1106)))))-COUNTBLANK(OFFSET(A$1,,,SUMPRODUCT(MAX(ROW(E$1:E1105)*(E2=E$1:E1105))))))</f>
        <v> </v>
      </c>
      <c r="K1106" s="26" t="str">
        <f>IF(OR(E1106="",E1106="!!!",F1106="NEW"),"",INDEX(J$1:J1105,SUMPRODUCT(MAX(ROW(E$1:E1105)*(E1106=E$1:E1105)))))</f>
        <v> </v>
      </c>
      <c r="L1106" s="27"/>
    </row>
    <row r="1107" spans="1:12">
      <c r="A1107" s="20" t="s">
        <v>615</v>
      </c>
      <c r="B1107" s="21" t="s">
        <v>659</v>
      </c>
      <c r="C1107" s="21" t="s">
        <v>602</v>
      </c>
      <c r="D1107" s="21" t="s">
        <v>603</v>
      </c>
      <c r="E1107" s="22">
        <f>IF(D1107="?OLD","!!!","")</f>
        <v/>
      </c>
      <c r="F1107" s="23" t="str">
        <f>IF(OR(E1107="",E1107="!!!"),"",IF(NOT(ISNA(VLOOKUP(E1107,E$1:E1106,1,FALSE()))),"OLD",IF(AND(E1107&lt;&gt;"",E1107&lt;&gt;"!!!"),"NEW","")))</f>
        <v> </v>
      </c>
      <c r="G1107" s="24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5" t="str">
        <f>IF(J1107&lt;&gt;1,"",IF(I1107="SBJ","CB","?"))</f>
        <v> </v>
      </c>
      <c r="I1107" s="26" t="str">
        <f>IF(OR(E1107="",E1107="!!!",F1107="NEW"),"",INDEX(B1106:B$2,-1+SUMPRODUCT(MAX(ROW(E1106:E$2)*(E1107=E1106:E$2)))))</f>
        <v> </v>
      </c>
      <c r="J1107" s="26" t="str">
        <f>IF(OR(E1107="",E1107="!!!",F1107="NEW"),"",COUNTBLANK(OFFSET(A$1,,,SUMPRODUCT(MAX(ROW(E$2:E1107)*(E1107=E$2:E1107)))))-COUNTBLANK(OFFSET(A$1,,,SUMPRODUCT(MAX(ROW(E$1:E1106)*(E2=E$1:E1106))))))</f>
        <v> </v>
      </c>
      <c r="K1107" s="26" t="str">
        <f>IF(OR(E1107="",E1107="!!!",F1107="NEW"),"",INDEX(J$1:J1106,SUMPRODUCT(MAX(ROW(E$1:E1106)*(E1107=E$1:E1106)))))</f>
        <v> </v>
      </c>
      <c r="L1107" s="27"/>
    </row>
    <row r="1108" spans="1:12">
      <c r="A1108" s="20" t="s">
        <v>1217</v>
      </c>
      <c r="E1108" s="22">
        <f>IF(D1108="?OLD","!!!","")</f>
        <v/>
      </c>
      <c r="F1108" s="23" t="str">
        <f>IF(OR(E1108="",E1108="!!!"),"",IF(NOT(ISNA(VLOOKUP(E1108,E$1:E1107,1,FALSE()))),"OLD",IF(AND(E1108&lt;&gt;"",E1108&lt;&gt;"!!!"),"NEW","")))</f>
        <v> </v>
      </c>
      <c r="G1108" s="24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5" t="str">
        <f>IF(J1108&lt;&gt;1,"",IF(I1108="SBJ","CB","?"))</f>
        <v> </v>
      </c>
      <c r="I1108" s="26" t="str">
        <f>IF(OR(E1108="",E1108="!!!",F1108="NEW"),"",INDEX(B1107:B$2,-1+SUMPRODUCT(MAX(ROW(E1107:E$2)*(E1108=E1107:E$2)))))</f>
        <v> </v>
      </c>
      <c r="J1108" s="26" t="str">
        <f>IF(OR(E1108="",E1108="!!!",F1108="NEW"),"",COUNTBLANK(OFFSET(A$1,,,SUMPRODUCT(MAX(ROW(E$2:E1108)*(E1108=E$2:E1108)))))-COUNTBLANK(OFFSET(A$1,,,SUMPRODUCT(MAX(ROW(E$1:E1107)*(E2=E$1:E1107))))))</f>
        <v> </v>
      </c>
      <c r="K1108" s="26" t="str">
        <f>IF(OR(E1108="",E1108="!!!",F1108="NEW"),"",INDEX(J$1:J1107,SUMPRODUCT(MAX(ROW(E$1:E1107)*(E1108=E$1:E1107)))))</f>
        <v> </v>
      </c>
      <c r="L1108" s="27"/>
    </row>
    <row r="1109" spans="1:12">
      <c r="A1109" s="20" t="s">
        <v>1218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 t="s">
        <v>883</v>
      </c>
      <c r="E1110" s="22">
        <f>IF(D1110="?OLD","!!!","")</f>
        <v/>
      </c>
      <c r="F1110" s="23" t="str">
        <f>IF(OR(E1110="",E1110="!!!"),"",IF(NOT(ISNA(VLOOKUP(E1110,E$1:E1109,1,FALSE()))),"OLD",IF(AND(E1110&lt;&gt;"",E1110&lt;&gt;"!!!"),"NEW","")))</f>
        <v> </v>
      </c>
      <c r="G1110" s="24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5" t="str">
        <f>IF(J1110&lt;&gt;1,"",IF(I1110="SBJ","CB","?"))</f>
        <v> </v>
      </c>
      <c r="I1110" s="26" t="str">
        <f>IF(OR(E1110="",E1110="!!!",F1110="NEW"),"",INDEX(B1109:B$2,-1+SUMPRODUCT(MAX(ROW(E1109:E$2)*(E1110=E1109:E$2)))))</f>
        <v> </v>
      </c>
      <c r="J1110" s="26" t="str">
        <f>IF(OR(E1110="",E1110="!!!",F1110="NEW"),"",COUNTBLANK(OFFSET(A$1,,,SUMPRODUCT(MAX(ROW(E$2:E1110)*(E1110=E$2:E1110)))))-COUNTBLANK(OFFSET(A$1,,,SUMPRODUCT(MAX(ROW(E$1:E1109)*(E2=E$1:E1109))))))</f>
        <v> </v>
      </c>
      <c r="K1110" s="26" t="str">
        <f>IF(OR(E1110="",E1110="!!!",F1110="NEW"),"",INDEX(J$1:J1109,SUMPRODUCT(MAX(ROW(E$1:E1109)*(E1110=E$1:E1109)))))</f>
        <v> </v>
      </c>
      <c r="L1110" s="27"/>
    </row>
    <row r="1111" spans="1:12">
      <c r="A1111" s="20" t="s">
        <v>1219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 t="s">
        <v>718</v>
      </c>
      <c r="E1112" s="22">
        <f>IF(D1112="?OLD","!!!","")</f>
        <v/>
      </c>
      <c r="F1112" s="23" t="str">
        <f>IF(OR(E1112="",E1112="!!!"),"",IF(NOT(ISNA(VLOOKUP(E1112,E$1:E1111,1,FALSE()))),"OLD",IF(AND(E1112&lt;&gt;"",E1112&lt;&gt;"!!!"),"NEW","")))</f>
        <v> </v>
      </c>
      <c r="G1112" s="24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5" t="str">
        <f>IF(J1112&lt;&gt;1,"",IF(I1112="SBJ","CB","?"))</f>
        <v> </v>
      </c>
      <c r="I1112" s="26" t="str">
        <f>IF(OR(E1112="",E1112="!!!",F1112="NEW"),"",INDEX(B1111:B$2,-1+SUMPRODUCT(MAX(ROW(E1111:E$2)*(E1112=E1111:E$2)))))</f>
        <v> </v>
      </c>
      <c r="J1112" s="26" t="str">
        <f>IF(OR(E1112="",E1112="!!!",F1112="NEW"),"",COUNTBLANK(OFFSET(A$1,,,SUMPRODUCT(MAX(ROW(E$2:E1112)*(E1112=E$2:E1112)))))-COUNTBLANK(OFFSET(A$1,,,SUMPRODUCT(MAX(ROW(E$1:E1111)*(E2=E$1:E1111))))))</f>
        <v> </v>
      </c>
      <c r="K1112" s="26" t="str">
        <f>IF(OR(E1112="",E1112="!!!",F1112="NEW"),"",INDEX(J$1:J1111,SUMPRODUCT(MAX(ROW(E$1:E1111)*(E1112=E$1:E1111)))))</f>
        <v> </v>
      </c>
      <c r="L1112" s="27"/>
    </row>
    <row r="1113" spans="1:12">
      <c r="A1113" s="20" t="s">
        <v>1220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 t="s">
        <v>1221</v>
      </c>
      <c r="B1114" s="21" t="s">
        <v>620</v>
      </c>
      <c r="C1114" s="21" t="s">
        <v>716</v>
      </c>
      <c r="D1114" s="21" t="s">
        <v>603</v>
      </c>
      <c r="E1114" s="22">
        <f>IF(D1114="?OLD","!!!","")</f>
        <v/>
      </c>
      <c r="F1114" s="23" t="str">
        <f>IF(OR(E1114="",E1114="!!!"),"",IF(NOT(ISNA(VLOOKUP(E1114,E$1:E1113,1,FALSE()))),"OLD",IF(AND(E1114&lt;&gt;"",E1114&lt;&gt;"!!!"),"NEW","")))</f>
        <v> </v>
      </c>
      <c r="G1114" s="24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5" t="str">
        <f>IF(J1114&lt;&gt;1,"",IF(I1114="SBJ","CB","?"))</f>
        <v> </v>
      </c>
      <c r="I1114" s="26" t="str">
        <f>IF(OR(E1114="",E1114="!!!",F1114="NEW"),"",INDEX(B1113:B$2,-1+SUMPRODUCT(MAX(ROW(E1113:E$2)*(E1114=E1113:E$2)))))</f>
        <v> </v>
      </c>
      <c r="J1114" s="26" t="str">
        <f>IF(OR(E1114="",E1114="!!!",F1114="NEW"),"",COUNTBLANK(OFFSET(A$1,,,SUMPRODUCT(MAX(ROW(E$2:E1114)*(E1114=E$2:E1114)))))-COUNTBLANK(OFFSET(A$1,,,SUMPRODUCT(MAX(ROW(E$1:E1113)*(E2=E$1:E1113))))))</f>
        <v> </v>
      </c>
      <c r="K1114" s="26" t="str">
        <f>IF(OR(E1114="",E1114="!!!",F1114="NEW"),"",INDEX(J$1:J1113,SUMPRODUCT(MAX(ROW(E$1:E1113)*(E1114=E$1:E1113)))))</f>
        <v> </v>
      </c>
      <c r="L1114" s="27"/>
    </row>
    <row r="1115" spans="1:12">
      <c r="A1115" s="20" t="s">
        <v>611</v>
      </c>
      <c r="E1115" s="22">
        <f>IF(D1115="?OLD","!!!","")</f>
        <v/>
      </c>
      <c r="F1115" s="23" t="str">
        <f>IF(OR(E1115="",E1115="!!!"),"",IF(NOT(ISNA(VLOOKUP(E1115,E$1:E1114,1,FALSE()))),"OLD",IF(AND(E1115&lt;&gt;"",E1115&lt;&gt;"!!!"),"NEW","")))</f>
        <v> </v>
      </c>
      <c r="G1115" s="24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5" t="str">
        <f>IF(J1115&lt;&gt;1,"",IF(I1115="SBJ","CB","?"))</f>
        <v> </v>
      </c>
      <c r="I1115" s="26" t="str">
        <f>IF(OR(E1115="",E1115="!!!",F1115="NEW"),"",INDEX(B1114:B$2,-1+SUMPRODUCT(MAX(ROW(E1114:E$2)*(E1115=E1114:E$2)))))</f>
        <v> </v>
      </c>
      <c r="J1115" s="26" t="str">
        <f>IF(OR(E1115="",E1115="!!!",F1115="NEW"),"",COUNTBLANK(OFFSET(A$1,,,SUMPRODUCT(MAX(ROW(E$2:E1115)*(E1115=E$2:E1115)))))-COUNTBLANK(OFFSET(A$1,,,SUMPRODUCT(MAX(ROW(E$1:E1114)*(E2=E$1:E1114))))))</f>
        <v> </v>
      </c>
      <c r="K1115" s="26" t="str">
        <f>IF(OR(E1115="",E1115="!!!",F1115="NEW"),"",INDEX(J$1:J1114,SUMPRODUCT(MAX(ROW(E$1:E1114)*(E1115=E$1:E1114)))))</f>
        <v> </v>
      </c>
      <c r="L1115" s="27"/>
    </row>
    <row r="1116" spans="1:12">
      <c r="A1116" s="20" t="s">
        <v>646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1222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611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824</v>
      </c>
      <c r="B1119" s="21" t="s">
        <v>793</v>
      </c>
      <c r="C1119" s="21" t="s">
        <v>602</v>
      </c>
      <c r="D1119" s="21" t="s">
        <v>603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1223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611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615</v>
      </c>
      <c r="B1122" s="21" t="s">
        <v>636</v>
      </c>
      <c r="C1122" s="21" t="s">
        <v>602</v>
      </c>
      <c r="D1122" s="21" t="s">
        <v>603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1224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 t="s">
        <v>1225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 t="s">
        <v>633</v>
      </c>
      <c r="E1125" s="22">
        <f>IF(D1125="?OLD","!!!","")</f>
        <v/>
      </c>
      <c r="F1125" s="23" t="str">
        <f>IF(OR(E1125="",E1125="!!!"),"",IF(NOT(ISNA(VLOOKUP(E1125,E$1:E1124,1,FALSE()))),"OLD",IF(AND(E1125&lt;&gt;"",E1125&lt;&gt;"!!!"),"NEW","")))</f>
        <v> </v>
      </c>
      <c r="G1125" s="24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5" t="str">
        <f>IF(J1125&lt;&gt;1,"",IF(I1125="SBJ","CB","?"))</f>
        <v> </v>
      </c>
      <c r="I1125" s="26" t="str">
        <f>IF(OR(E1125="",E1125="!!!",F1125="NEW"),"",INDEX(B1124:B$2,-1+SUMPRODUCT(MAX(ROW(E1124:E$2)*(E1125=E1124:E$2)))))</f>
        <v> </v>
      </c>
      <c r="J1125" s="26" t="str">
        <f>IF(OR(E1125="",E1125="!!!",F1125="NEW"),"",COUNTBLANK(OFFSET(A$1,,,SUMPRODUCT(MAX(ROW(E$2:E1125)*(E1125=E$2:E1125)))))-COUNTBLANK(OFFSET(A$1,,,SUMPRODUCT(MAX(ROW(E$1:E1124)*(E2=E$1:E1124))))))</f>
        <v> </v>
      </c>
      <c r="K1125" s="26" t="str">
        <f>IF(OR(E1125="",E1125="!!!",F1125="NEW"),"",INDEX(J$1:J1124,SUMPRODUCT(MAX(ROW(E$1:E1124)*(E1125=E$1:E1124)))))</f>
        <v> </v>
      </c>
      <c r="L1125" s="27"/>
    </row>
    <row r="1126" spans="1:12">
      <c r="A1126" s="20"/>
    </row>
    <row r="1127" spans="1:12">
      <c r="A1127" s="20" t="s">
        <v>1226</v>
      </c>
    </row>
    <row r="1128" spans="1:12">
      <c r="A1128" s="20" t="s">
        <v>1227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1228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1229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1230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 t="s">
        <v>1231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 t="s">
        <v>1232</v>
      </c>
      <c r="E1133" s="22">
        <f>IF(D1133="?OLD","!!!","")</f>
        <v/>
      </c>
      <c r="F1133" s="23" t="str">
        <f>IF(OR(E1133="",E1133="!!!"),"",IF(NOT(ISNA(VLOOKUP(E1133,E$1:E1132,1,FALSE()))),"OLD",IF(AND(E1133&lt;&gt;"",E1133&lt;&gt;"!!!"),"NEW","")))</f>
        <v> </v>
      </c>
      <c r="G1133" s="24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5" t="str">
        <f>IF(J1133&lt;&gt;1,"",IF(I1133="SBJ","CB","?"))</f>
        <v> </v>
      </c>
      <c r="I1133" s="26" t="str">
        <f>IF(OR(E1133="",E1133="!!!",F1133="NEW"),"",INDEX(B1132:B$2,-1+SUMPRODUCT(MAX(ROW(E1132:E$2)*(E1133=E1132:E$2)))))</f>
        <v> </v>
      </c>
      <c r="J1133" s="26" t="str">
        <f>IF(OR(E1133="",E1133="!!!",F1133="NEW"),"",COUNTBLANK(OFFSET(A$1,,,SUMPRODUCT(MAX(ROW(E$2:E1133)*(E1133=E$2:E1133)))))-COUNTBLANK(OFFSET(A$1,,,SUMPRODUCT(MAX(ROW(E$1:E1132)*(E2=E$1:E1132))))))</f>
        <v> </v>
      </c>
      <c r="K1133" s="26" t="str">
        <f>IF(OR(E1133="",E1133="!!!",F1133="NEW"),"",INDEX(J$1:J1132,SUMPRODUCT(MAX(ROW(E$1:E1132)*(E1133=E$1:E1132)))))</f>
        <v> </v>
      </c>
      <c r="L1133" s="27"/>
    </row>
    <row r="1134" spans="1:12">
      <c r="A1134" s="20" t="s">
        <v>1233</v>
      </c>
      <c r="E1134" s="22">
        <f>IF(D1134="?OLD","!!!","")</f>
        <v/>
      </c>
      <c r="F1134" s="23" t="str">
        <f>IF(OR(E1134="",E1134="!!!"),"",IF(NOT(ISNA(VLOOKUP(E1134,E$1:E1133,1,FALSE()))),"OLD",IF(AND(E1134&lt;&gt;"",E1134&lt;&gt;"!!!"),"NEW","")))</f>
        <v> </v>
      </c>
      <c r="G1134" s="24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5" t="str">
        <f>IF(J1134&lt;&gt;1,"",IF(I1134="SBJ","CB","?"))</f>
        <v> </v>
      </c>
      <c r="I1134" s="26" t="str">
        <f>IF(OR(E1134="",E1134="!!!",F1134="NEW"),"",INDEX(B1133:B$2,-1+SUMPRODUCT(MAX(ROW(E1133:E$2)*(E1134=E1133:E$2)))))</f>
        <v> </v>
      </c>
      <c r="J1134" s="26" t="str">
        <f>IF(OR(E1134="",E1134="!!!",F1134="NEW"),"",COUNTBLANK(OFFSET(A$1,,,SUMPRODUCT(MAX(ROW(E$2:E1134)*(E1134=E$2:E1134)))))-COUNTBLANK(OFFSET(A$1,,,SUMPRODUCT(MAX(ROW(E$1:E1133)*(E2=E$1:E1133))))))</f>
        <v> </v>
      </c>
      <c r="K1134" s="26" t="str">
        <f>IF(OR(E1134="",E1134="!!!",F1134="NEW"),"",INDEX(J$1:J1133,SUMPRODUCT(MAX(ROW(E$1:E1133)*(E1134=E$1:E1133)))))</f>
        <v> </v>
      </c>
      <c r="L1134" s="27"/>
    </row>
    <row r="1135" spans="1:12">
      <c r="A1135" s="20" t="s">
        <v>1234</v>
      </c>
      <c r="B1135" s="21" t="s">
        <v>652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1235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 t="s">
        <v>1236</v>
      </c>
      <c r="E1137" s="22">
        <f>IF(D1137="?OLD","!!!","")</f>
        <v/>
      </c>
      <c r="F1137" s="23" t="str">
        <f>IF(OR(E1137="",E1137="!!!"),"",IF(NOT(ISNA(VLOOKUP(E1137,E$1:E1136,1,FALSE()))),"OLD",IF(AND(E1137&lt;&gt;"",E1137&lt;&gt;"!!!"),"NEW","")))</f>
        <v> </v>
      </c>
      <c r="G1137" s="24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5" t="str">
        <f>IF(J1137&lt;&gt;1,"",IF(I1137="SBJ","CB","?"))</f>
        <v> </v>
      </c>
      <c r="I1137" s="26" t="str">
        <f>IF(OR(E1137="",E1137="!!!",F1137="NEW"),"",INDEX(B1136:B$2,-1+SUMPRODUCT(MAX(ROW(E1136:E$2)*(E1137=E1136:E$2)))))</f>
        <v> </v>
      </c>
      <c r="J1137" s="26" t="str">
        <f>IF(OR(E1137="",E1137="!!!",F1137="NEW"),"",COUNTBLANK(OFFSET(A$1,,,SUMPRODUCT(MAX(ROW(E$2:E1137)*(E1137=E$2:E1137)))))-COUNTBLANK(OFFSET(A$1,,,SUMPRODUCT(MAX(ROW(E$1:E1136)*(E2=E$1:E1136))))))</f>
        <v> </v>
      </c>
      <c r="K1137" s="26" t="str">
        <f>IF(OR(E1137="",E1137="!!!",F1137="NEW"),"",INDEX(J$1:J1136,SUMPRODUCT(MAX(ROW(E$1:E1136)*(E1137=E$1:E1136)))))</f>
        <v> </v>
      </c>
      <c r="L1137" s="27"/>
    </row>
    <row r="1138" spans="1:12">
      <c r="A1138" s="20" t="s">
        <v>646</v>
      </c>
      <c r="E1138" s="22">
        <f>IF(D1138="?OLD","!!!","")</f>
        <v/>
      </c>
      <c r="F1138" s="23" t="str">
        <f>IF(OR(E1138="",E1138="!!!"),"",IF(NOT(ISNA(VLOOKUP(E1138,E$1:E1137,1,FALSE()))),"OLD",IF(AND(E1138&lt;&gt;"",E1138&lt;&gt;"!!!"),"NEW","")))</f>
        <v> </v>
      </c>
      <c r="G1138" s="24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5" t="str">
        <f>IF(J1138&lt;&gt;1,"",IF(I1138="SBJ","CB","?"))</f>
        <v> </v>
      </c>
      <c r="I1138" s="26" t="str">
        <f>IF(OR(E1138="",E1138="!!!",F1138="NEW"),"",INDEX(B1137:B$2,-1+SUMPRODUCT(MAX(ROW(E1137:E$2)*(E1138=E1137:E$2)))))</f>
        <v> </v>
      </c>
      <c r="J1138" s="26" t="str">
        <f>IF(OR(E1138="",E1138="!!!",F1138="NEW"),"",COUNTBLANK(OFFSET(A$1,,,SUMPRODUCT(MAX(ROW(E$2:E1138)*(E1138=E$2:E1138)))))-COUNTBLANK(OFFSET(A$1,,,SUMPRODUCT(MAX(ROW(E$1:E1137)*(E2=E$1:E1137))))))</f>
        <v> </v>
      </c>
      <c r="K1138" s="26" t="str">
        <f>IF(OR(E1138="",E1138="!!!",F1138="NEW"),"",INDEX(J$1:J1137,SUMPRODUCT(MAX(ROW(E$1:E1137)*(E1138=E$1:E1137)))))</f>
        <v> </v>
      </c>
      <c r="L1138" s="27"/>
    </row>
    <row r="1139" spans="1:12">
      <c r="A1139" s="20" t="s">
        <v>1237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 t="s">
        <v>611</v>
      </c>
      <c r="E1140" s="22">
        <f>IF(D1140="?OLD","!!!","")</f>
        <v/>
      </c>
      <c r="F1140" s="23" t="str">
        <f>IF(OR(E1140="",E1140="!!!"),"",IF(NOT(ISNA(VLOOKUP(E1140,E$1:E1139,1,FALSE()))),"OLD",IF(AND(E1140&lt;&gt;"",E1140&lt;&gt;"!!!"),"NEW","")))</f>
        <v> </v>
      </c>
      <c r="G1140" s="24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5" t="str">
        <f>IF(J1140&lt;&gt;1,"",IF(I1140="SBJ","CB","?"))</f>
        <v> </v>
      </c>
      <c r="I1140" s="26" t="str">
        <f>IF(OR(E1140="",E1140="!!!",F1140="NEW"),"",INDEX(B1139:B$2,-1+SUMPRODUCT(MAX(ROW(E1139:E$2)*(E1140=E1139:E$2)))))</f>
        <v> </v>
      </c>
      <c r="J1140" s="26" t="str">
        <f>IF(OR(E1140="",E1140="!!!",F1140="NEW"),"",COUNTBLANK(OFFSET(A$1,,,SUMPRODUCT(MAX(ROW(E$2:E1140)*(E1140=E$2:E1140)))))-COUNTBLANK(OFFSET(A$1,,,SUMPRODUCT(MAX(ROW(E$1:E1139)*(E2=E$1:E1139))))))</f>
        <v> </v>
      </c>
      <c r="K1140" s="26" t="str">
        <f>IF(OR(E1140="",E1140="!!!",F1140="NEW"),"",INDEX(J$1:J1139,SUMPRODUCT(MAX(ROW(E$1:E1139)*(E1140=E$1:E1139)))))</f>
        <v> </v>
      </c>
      <c r="L1140" s="27"/>
    </row>
    <row r="1141" spans="1:12">
      <c r="A1141" s="20" t="s">
        <v>1015</v>
      </c>
      <c r="E1141" s="22">
        <f>IF(D1141="?OLD","!!!","")</f>
        <v/>
      </c>
      <c r="F1141" s="23" t="str">
        <f>IF(OR(E1141="",E1141="!!!"),"",IF(NOT(ISNA(VLOOKUP(E1141,E$1:E1140,1,FALSE()))),"OLD",IF(AND(E1141&lt;&gt;"",E1141&lt;&gt;"!!!"),"NEW","")))</f>
        <v> </v>
      </c>
      <c r="G1141" s="24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5" t="str">
        <f>IF(J1141&lt;&gt;1,"",IF(I1141="SBJ","CB","?"))</f>
        <v> </v>
      </c>
      <c r="I1141" s="26" t="str">
        <f>IF(OR(E1141="",E1141="!!!",F1141="NEW"),"",INDEX(B1140:B$2,-1+SUMPRODUCT(MAX(ROW(E1140:E$2)*(E1141=E1140:E$2)))))</f>
        <v> </v>
      </c>
      <c r="J1141" s="26" t="str">
        <f>IF(OR(E1141="",E1141="!!!",F1141="NEW"),"",COUNTBLANK(OFFSET(A$1,,,SUMPRODUCT(MAX(ROW(E$2:E1141)*(E1141=E$2:E1141)))))-COUNTBLANK(OFFSET(A$1,,,SUMPRODUCT(MAX(ROW(E$1:E1140)*(E2=E$1:E1140))))))</f>
        <v> </v>
      </c>
      <c r="K1141" s="26" t="str">
        <f>IF(OR(E1141="",E1141="!!!",F1141="NEW"),"",INDEX(J$1:J1140,SUMPRODUCT(MAX(ROW(E$1:E1140)*(E1141=E$1:E1140)))))</f>
        <v> </v>
      </c>
      <c r="L1141" s="27"/>
    </row>
    <row r="1142" spans="1:12">
      <c r="A1142" s="20" t="s">
        <v>1205</v>
      </c>
      <c r="E1142" s="22">
        <f>IF(D1142="?OLD","!!!","")</f>
        <v/>
      </c>
      <c r="F1142" s="23" t="str">
        <f>IF(OR(E1142="",E1142="!!!"),"",IF(NOT(ISNA(VLOOKUP(E1142,E$1:E1141,1,FALSE()))),"OLD",IF(AND(E1142&lt;&gt;"",E1142&lt;&gt;"!!!"),"NEW","")))</f>
        <v> </v>
      </c>
      <c r="G1142" s="24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5" t="str">
        <f>IF(J1142&lt;&gt;1,"",IF(I1142="SBJ","CB","?"))</f>
        <v> </v>
      </c>
      <c r="I1142" s="26" t="str">
        <f>IF(OR(E1142="",E1142="!!!",F1142="NEW"),"",INDEX(B1141:B$2,-1+SUMPRODUCT(MAX(ROW(E1141:E$2)*(E1142=E1141:E$2)))))</f>
        <v> </v>
      </c>
      <c r="J1142" s="26" t="str">
        <f>IF(OR(E1142="",E1142="!!!",F1142="NEW"),"",COUNTBLANK(OFFSET(A$1,,,SUMPRODUCT(MAX(ROW(E$2:E1142)*(E1142=E$2:E1142)))))-COUNTBLANK(OFFSET(A$1,,,SUMPRODUCT(MAX(ROW(E$1:E1141)*(E2=E$1:E1141))))))</f>
        <v> </v>
      </c>
      <c r="K1142" s="26" t="str">
        <f>IF(OR(E1142="",E1142="!!!",F1142="NEW"),"",INDEX(J$1:J1141,SUMPRODUCT(MAX(ROW(E$1:E1141)*(E1142=E$1:E1141)))))</f>
        <v> </v>
      </c>
      <c r="L1142" s="27"/>
    </row>
    <row r="1143" spans="1:12">
      <c r="A1143" s="20" t="s">
        <v>1238</v>
      </c>
      <c r="E1143" s="22">
        <f>IF(D1143="?OLD","!!!","")</f>
        <v/>
      </c>
      <c r="F1143" s="23" t="str">
        <f>IF(OR(E1143="",E1143="!!!"),"",IF(NOT(ISNA(VLOOKUP(E1143,E$1:E1142,1,FALSE()))),"OLD",IF(AND(E1143&lt;&gt;"",E1143&lt;&gt;"!!!"),"NEW","")))</f>
        <v> </v>
      </c>
      <c r="G1143" s="24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5" t="str">
        <f>IF(J1143&lt;&gt;1,"",IF(I1143="SBJ","CB","?"))</f>
        <v> </v>
      </c>
      <c r="I1143" s="26" t="str">
        <f>IF(OR(E1143="",E1143="!!!",F1143="NEW"),"",INDEX(B1142:B$2,-1+SUMPRODUCT(MAX(ROW(E1142:E$2)*(E1143=E1142:E$2)))))</f>
        <v> </v>
      </c>
      <c r="J1143" s="26" t="str">
        <f>IF(OR(E1143="",E1143="!!!",F1143="NEW"),"",COUNTBLANK(OFFSET(A$1,,,SUMPRODUCT(MAX(ROW(E$2:E1143)*(E1143=E$2:E1143)))))-COUNTBLANK(OFFSET(A$1,,,SUMPRODUCT(MAX(ROW(E$1:E1142)*(E2=E$1:E1142))))))</f>
        <v> </v>
      </c>
      <c r="K1143" s="26" t="str">
        <f>IF(OR(E1143="",E1143="!!!",F1143="NEW"),"",INDEX(J$1:J1142,SUMPRODUCT(MAX(ROW(E$1:E1142)*(E1143=E$1:E1142)))))</f>
        <v> </v>
      </c>
      <c r="L1143" s="27"/>
    </row>
    <row r="1144" spans="1:12">
      <c r="A1144" s="20" t="s">
        <v>1239</v>
      </c>
      <c r="E1144" s="22">
        <f>IF(D1144="?OLD","!!!","")</f>
        <v/>
      </c>
      <c r="F1144" s="23" t="str">
        <f>IF(OR(E1144="",E1144="!!!"),"",IF(NOT(ISNA(VLOOKUP(E1144,E$1:E1143,1,FALSE()))),"OLD",IF(AND(E1144&lt;&gt;"",E1144&lt;&gt;"!!!"),"NEW","")))</f>
        <v> </v>
      </c>
      <c r="G1144" s="24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5" t="str">
        <f>IF(J1144&lt;&gt;1,"",IF(I1144="SBJ","CB","?"))</f>
        <v> </v>
      </c>
      <c r="I1144" s="26" t="str">
        <f>IF(OR(E1144="",E1144="!!!",F1144="NEW"),"",INDEX(B1143:B$2,-1+SUMPRODUCT(MAX(ROW(E1143:E$2)*(E1144=E1143:E$2)))))</f>
        <v> </v>
      </c>
      <c r="J1144" s="26" t="str">
        <f>IF(OR(E1144="",E1144="!!!",F1144="NEW"),"",COUNTBLANK(OFFSET(A$1,,,SUMPRODUCT(MAX(ROW(E$2:E1144)*(E1144=E$2:E1144)))))-COUNTBLANK(OFFSET(A$1,,,SUMPRODUCT(MAX(ROW(E$1:E1143)*(E2=E$1:E1143))))))</f>
        <v> </v>
      </c>
      <c r="K1144" s="26" t="str">
        <f>IF(OR(E1144="",E1144="!!!",F1144="NEW"),"",INDEX(J$1:J1143,SUMPRODUCT(MAX(ROW(E$1:E1143)*(E1144=E$1:E1143)))))</f>
        <v> </v>
      </c>
      <c r="L1144" s="27"/>
    </row>
    <row r="1145" spans="1:12">
      <c r="A1145" s="20" t="s">
        <v>1240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646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 t="s">
        <v>1241</v>
      </c>
      <c r="E1147" s="22">
        <f>IF(D1147="?OLD","!!!","")</f>
        <v/>
      </c>
      <c r="F1147" s="23" t="str">
        <f>IF(OR(E1147="",E1147="!!!"),"",IF(NOT(ISNA(VLOOKUP(E1147,E$1:E1146,1,FALSE()))),"OLD",IF(AND(E1147&lt;&gt;"",E1147&lt;&gt;"!!!"),"NEW","")))</f>
        <v> </v>
      </c>
      <c r="G1147" s="24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5" t="str">
        <f>IF(J1147&lt;&gt;1,"",IF(I1147="SBJ","CB","?"))</f>
        <v> </v>
      </c>
      <c r="I1147" s="26" t="str">
        <f>IF(OR(E1147="",E1147="!!!",F1147="NEW"),"",INDEX(B1146:B$2,-1+SUMPRODUCT(MAX(ROW(E1146:E$2)*(E1147=E1146:E$2)))))</f>
        <v> </v>
      </c>
      <c r="J1147" s="26" t="str">
        <f>IF(OR(E1147="",E1147="!!!",F1147="NEW"),"",COUNTBLANK(OFFSET(A$1,,,SUMPRODUCT(MAX(ROW(E$2:E1147)*(E1147=E$2:E1147)))))-COUNTBLANK(OFFSET(A$1,,,SUMPRODUCT(MAX(ROW(E$1:E1146)*(E2=E$1:E1146))))))</f>
        <v> </v>
      </c>
      <c r="K1147" s="26" t="str">
        <f>IF(OR(E1147="",E1147="!!!",F1147="NEW"),"",INDEX(J$1:J1146,SUMPRODUCT(MAX(ROW(E$1:E1146)*(E1147=E$1:E1146)))))</f>
        <v> </v>
      </c>
      <c r="L1147" s="27"/>
    </row>
    <row r="1148" spans="1:12">
      <c r="A1148" s="20" t="s">
        <v>1242</v>
      </c>
      <c r="E1148" s="22">
        <f>IF(D1148="?OLD","!!!","")</f>
        <v/>
      </c>
      <c r="F1148" s="23" t="str">
        <f>IF(OR(E1148="",E1148="!!!"),"",IF(NOT(ISNA(VLOOKUP(E1148,E$1:E1147,1,FALSE()))),"OLD",IF(AND(E1148&lt;&gt;"",E1148&lt;&gt;"!!!"),"NEW","")))</f>
        <v> </v>
      </c>
      <c r="G1148" s="24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5" t="str">
        <f>IF(J1148&lt;&gt;1,"",IF(I1148="SBJ","CB","?"))</f>
        <v> </v>
      </c>
      <c r="I1148" s="26" t="str">
        <f>IF(OR(E1148="",E1148="!!!",F1148="NEW"),"",INDEX(B1147:B$2,-1+SUMPRODUCT(MAX(ROW(E1147:E$2)*(E1148=E1147:E$2)))))</f>
        <v> </v>
      </c>
      <c r="J1148" s="26" t="str">
        <f>IF(OR(E1148="",E1148="!!!",F1148="NEW"),"",COUNTBLANK(OFFSET(A$1,,,SUMPRODUCT(MAX(ROW(E$2:E1148)*(E1148=E$2:E1148)))))-COUNTBLANK(OFFSET(A$1,,,SUMPRODUCT(MAX(ROW(E$1:E1147)*(E2=E$1:E1147))))))</f>
        <v> </v>
      </c>
      <c r="K1148" s="26" t="str">
        <f>IF(OR(E1148="",E1148="!!!",F1148="NEW"),"",INDEX(J$1:J1147,SUMPRODUCT(MAX(ROW(E$1:E1147)*(E1148=E$1:E1147)))))</f>
        <v> </v>
      </c>
      <c r="L1148" s="27"/>
    </row>
    <row r="1149" spans="1:12">
      <c r="A1149" s="20" t="s">
        <v>611</v>
      </c>
      <c r="E1149" s="22">
        <f>IF(D1149="?OLD","!!!","")</f>
        <v/>
      </c>
      <c r="F1149" s="23" t="str">
        <f>IF(OR(E1149="",E1149="!!!"),"",IF(NOT(ISNA(VLOOKUP(E1149,E$1:E1148,1,FALSE()))),"OLD",IF(AND(E1149&lt;&gt;"",E1149&lt;&gt;"!!!"),"NEW","")))</f>
        <v> </v>
      </c>
      <c r="G1149" s="24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5" t="str">
        <f>IF(J1149&lt;&gt;1,"",IF(I1149="SBJ","CB","?"))</f>
        <v> </v>
      </c>
      <c r="I1149" s="26" t="str">
        <f>IF(OR(E1149="",E1149="!!!",F1149="NEW"),"",INDEX(B1148:B$2,-1+SUMPRODUCT(MAX(ROW(E1148:E$2)*(E1149=E1148:E$2)))))</f>
        <v> </v>
      </c>
      <c r="J1149" s="26" t="str">
        <f>IF(OR(E1149="",E1149="!!!",F1149="NEW"),"",COUNTBLANK(OFFSET(A$1,,,SUMPRODUCT(MAX(ROW(E$2:E1149)*(E1149=E$2:E1149)))))-COUNTBLANK(OFFSET(A$1,,,SUMPRODUCT(MAX(ROW(E$1:E1148)*(E2=E$1:E1148))))))</f>
        <v> </v>
      </c>
      <c r="K1149" s="26" t="str">
        <f>IF(OR(E1149="",E1149="!!!",F1149="NEW"),"",INDEX(J$1:J1148,SUMPRODUCT(MAX(ROW(E$1:E1148)*(E1149=E$1:E1148)))))</f>
        <v> </v>
      </c>
      <c r="L1149" s="27"/>
    </row>
    <row r="1150" spans="1:12">
      <c r="A1150" s="20" t="s">
        <v>739</v>
      </c>
      <c r="E1150" s="22">
        <f>IF(D1150="?OLD","!!!","")</f>
        <v/>
      </c>
      <c r="F1150" s="23" t="str">
        <f>IF(OR(E1150="",E1150="!!!"),"",IF(NOT(ISNA(VLOOKUP(E1150,E$1:E1149,1,FALSE()))),"OLD",IF(AND(E1150&lt;&gt;"",E1150&lt;&gt;"!!!"),"NEW","")))</f>
        <v> </v>
      </c>
      <c r="G1150" s="24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5" t="str">
        <f>IF(J1150&lt;&gt;1,"",IF(I1150="SBJ","CB","?"))</f>
        <v> </v>
      </c>
      <c r="I1150" s="26" t="str">
        <f>IF(OR(E1150="",E1150="!!!",F1150="NEW"),"",INDEX(B1149:B$2,-1+SUMPRODUCT(MAX(ROW(E1149:E$2)*(E1150=E1149:E$2)))))</f>
        <v> </v>
      </c>
      <c r="J1150" s="26" t="str">
        <f>IF(OR(E1150="",E1150="!!!",F1150="NEW"),"",COUNTBLANK(OFFSET(A$1,,,SUMPRODUCT(MAX(ROW(E$2:E1150)*(E1150=E$2:E1150)))))-COUNTBLANK(OFFSET(A$1,,,SUMPRODUCT(MAX(ROW(E$1:E1149)*(E2=E$1:E1149))))))</f>
        <v> </v>
      </c>
      <c r="K1150" s="26" t="str">
        <f>IF(OR(E1150="",E1150="!!!",F1150="NEW"),"",INDEX(J$1:J1149,SUMPRODUCT(MAX(ROW(E$1:E1149)*(E1150=E$1:E1149)))))</f>
        <v> </v>
      </c>
      <c r="L1150" s="27"/>
    </row>
    <row r="1151" spans="1:12">
      <c r="A1151" s="20" t="s">
        <v>1230</v>
      </c>
      <c r="E1151" s="22">
        <f>IF(D1151="?OLD","!!!","")</f>
        <v/>
      </c>
      <c r="F1151" s="23" t="str">
        <f>IF(OR(E1151="",E1151="!!!"),"",IF(NOT(ISNA(VLOOKUP(E1151,E$1:E1150,1,FALSE()))),"OLD",IF(AND(E1151&lt;&gt;"",E1151&lt;&gt;"!!!"),"NEW","")))</f>
        <v> </v>
      </c>
      <c r="G1151" s="24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5" t="str">
        <f>IF(J1151&lt;&gt;1,"",IF(I1151="SBJ","CB","?"))</f>
        <v> </v>
      </c>
      <c r="I1151" s="26" t="str">
        <f>IF(OR(E1151="",E1151="!!!",F1151="NEW"),"",INDEX(B1150:B$2,-1+SUMPRODUCT(MAX(ROW(E1150:E$2)*(E1151=E1150:E$2)))))</f>
        <v> </v>
      </c>
      <c r="J1151" s="26" t="str">
        <f>IF(OR(E1151="",E1151="!!!",F1151="NEW"),"",COUNTBLANK(OFFSET(A$1,,,SUMPRODUCT(MAX(ROW(E$2:E1151)*(E1151=E$2:E1151)))))-COUNTBLANK(OFFSET(A$1,,,SUMPRODUCT(MAX(ROW(E$1:E1150)*(E2=E$1:E1150))))))</f>
        <v> </v>
      </c>
      <c r="K1151" s="26" t="str">
        <f>IF(OR(E1151="",E1151="!!!",F1151="NEW"),"",INDEX(J$1:J1150,SUMPRODUCT(MAX(ROW(E$1:E1150)*(E1151=E$1:E1150)))))</f>
        <v> </v>
      </c>
      <c r="L1151" s="27"/>
    </row>
    <row r="1152" spans="1:12">
      <c r="A1152" s="20" t="s">
        <v>1243</v>
      </c>
      <c r="B1152" s="21" t="s">
        <v>1244</v>
      </c>
      <c r="E1152" s="22">
        <f>IF(D1152="?OLD","!!!","")</f>
        <v/>
      </c>
      <c r="F1152" s="23" t="str">
        <f>IF(OR(E1152="",E1152="!!!"),"",IF(NOT(ISNA(VLOOKUP(E1152,E$1:E1151,1,FALSE()))),"OLD",IF(AND(E1152&lt;&gt;"",E1152&lt;&gt;"!!!"),"NEW","")))</f>
        <v> </v>
      </c>
      <c r="G1152" s="24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5" t="str">
        <f>IF(J1152&lt;&gt;1,"",IF(I1152="SBJ","CB","?"))</f>
        <v> </v>
      </c>
      <c r="I1152" s="26" t="str">
        <f>IF(OR(E1152="",E1152="!!!",F1152="NEW"),"",INDEX(B1151:B$2,-1+SUMPRODUCT(MAX(ROW(E1151:E$2)*(E1152=E1151:E$2)))))</f>
        <v> </v>
      </c>
      <c r="J1152" s="26" t="str">
        <f>IF(OR(E1152="",E1152="!!!",F1152="NEW"),"",COUNTBLANK(OFFSET(A$1,,,SUMPRODUCT(MAX(ROW(E$2:E1152)*(E1152=E$2:E1152)))))-COUNTBLANK(OFFSET(A$1,,,SUMPRODUCT(MAX(ROW(E$1:E1151)*(E2=E$1:E1151))))))</f>
        <v> </v>
      </c>
      <c r="K1152" s="26" t="str">
        <f>IF(OR(E1152="",E1152="!!!",F1152="NEW"),"",INDEX(J$1:J1151,SUMPRODUCT(MAX(ROW(E$1:E1151)*(E1152=E$1:E1151)))))</f>
        <v> </v>
      </c>
      <c r="L1152" s="27"/>
    </row>
    <row r="1153" spans="1:12">
      <c r="A1153" s="20" t="s">
        <v>664</v>
      </c>
      <c r="E1153" s="22">
        <f>IF(D1153="?OLD","!!!","")</f>
        <v/>
      </c>
      <c r="F1153" s="23" t="str">
        <f>IF(OR(E1153="",E1153="!!!"),"",IF(NOT(ISNA(VLOOKUP(E1153,E$1:E1152,1,FALSE()))),"OLD",IF(AND(E1153&lt;&gt;"",E1153&lt;&gt;"!!!"),"NEW","")))</f>
        <v> </v>
      </c>
      <c r="G1153" s="24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5" t="str">
        <f>IF(J1153&lt;&gt;1,"",IF(I1153="SBJ","CB","?"))</f>
        <v> </v>
      </c>
      <c r="I1153" s="26" t="str">
        <f>IF(OR(E1153="",E1153="!!!",F1153="NEW"),"",INDEX(B1152:B$2,-1+SUMPRODUCT(MAX(ROW(E1152:E$2)*(E1153=E1152:E$2)))))</f>
        <v> </v>
      </c>
      <c r="J1153" s="26" t="str">
        <f>IF(OR(E1153="",E1153="!!!",F1153="NEW"),"",COUNTBLANK(OFFSET(A$1,,,SUMPRODUCT(MAX(ROW(E$2:E1153)*(E1153=E$2:E1153)))))-COUNTBLANK(OFFSET(A$1,,,SUMPRODUCT(MAX(ROW(E$1:E1152)*(E2=E$1:E1152))))))</f>
        <v> </v>
      </c>
      <c r="K1153" s="26" t="str">
        <f>IF(OR(E1153="",E1153="!!!",F1153="NEW"),"",INDEX(J$1:J1152,SUMPRODUCT(MAX(ROW(E$1:E1152)*(E1153=E$1:E1152)))))</f>
        <v> </v>
      </c>
      <c r="L1153" s="27"/>
    </row>
    <row r="1154" spans="1:12">
      <c r="A1154" s="20" t="s">
        <v>1245</v>
      </c>
      <c r="E1154" s="22">
        <f>IF(D1154="?OLD","!!!","")</f>
        <v/>
      </c>
      <c r="F1154" s="23" t="str">
        <f>IF(OR(E1154="",E1154="!!!"),"",IF(NOT(ISNA(VLOOKUP(E1154,E$1:E1153,1,FALSE()))),"OLD",IF(AND(E1154&lt;&gt;"",E1154&lt;&gt;"!!!"),"NEW","")))</f>
        <v> </v>
      </c>
      <c r="G1154" s="24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5" t="str">
        <f>IF(J1154&lt;&gt;1,"",IF(I1154="SBJ","CB","?"))</f>
        <v> </v>
      </c>
      <c r="I1154" s="26" t="str">
        <f>IF(OR(E1154="",E1154="!!!",F1154="NEW"),"",INDEX(B1153:B$2,-1+SUMPRODUCT(MAX(ROW(E1153:E$2)*(E1154=E1153:E$2)))))</f>
        <v> </v>
      </c>
      <c r="J1154" s="26" t="str">
        <f>IF(OR(E1154="",E1154="!!!",F1154="NEW"),"",COUNTBLANK(OFFSET(A$1,,,SUMPRODUCT(MAX(ROW(E$2:E1154)*(E1154=E$2:E1154)))))-COUNTBLANK(OFFSET(A$1,,,SUMPRODUCT(MAX(ROW(E$1:E1153)*(E2=E$1:E1153))))))</f>
        <v> </v>
      </c>
      <c r="K1154" s="26" t="str">
        <f>IF(OR(E1154="",E1154="!!!",F1154="NEW"),"",INDEX(J$1:J1153,SUMPRODUCT(MAX(ROW(E$1:E1153)*(E1154=E$1:E1153)))))</f>
        <v> </v>
      </c>
      <c r="L1154" s="27"/>
    </row>
    <row r="1155" spans="1:12">
      <c r="A1155" s="20" t="s">
        <v>1246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 t="s">
        <v>633</v>
      </c>
      <c r="E1156" s="22">
        <f>IF(D1156="?OLD","!!!","")</f>
        <v/>
      </c>
      <c r="F1156" s="23" t="str">
        <f>IF(OR(E1156="",E1156="!!!"),"",IF(NOT(ISNA(VLOOKUP(E1156,E$1:E1155,1,FALSE()))),"OLD",IF(AND(E1156&lt;&gt;"",E1156&lt;&gt;"!!!"),"NEW","")))</f>
        <v> </v>
      </c>
      <c r="G1156" s="24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5" t="str">
        <f>IF(J1156&lt;&gt;1,"",IF(I1156="SBJ","CB","?"))</f>
        <v> </v>
      </c>
      <c r="I1156" s="26" t="str">
        <f>IF(OR(E1156="",E1156="!!!",F1156="NEW"),"",INDEX(B1155:B$2,-1+SUMPRODUCT(MAX(ROW(E1155:E$2)*(E1156=E1155:E$2)))))</f>
        <v> </v>
      </c>
      <c r="J1156" s="26" t="str">
        <f>IF(OR(E1156="",E1156="!!!",F1156="NEW"),"",COUNTBLANK(OFFSET(A$1,,,SUMPRODUCT(MAX(ROW(E$2:E1156)*(E1156=E$2:E1156)))))-COUNTBLANK(OFFSET(A$1,,,SUMPRODUCT(MAX(ROW(E$1:E1155)*(E2=E$1:E1155))))))</f>
        <v> </v>
      </c>
      <c r="K1156" s="26" t="str">
        <f>IF(OR(E1156="",E1156="!!!",F1156="NEW"),"",INDEX(J$1:J1155,SUMPRODUCT(MAX(ROW(E$1:E1155)*(E1156=E$1:E1155)))))</f>
        <v> </v>
      </c>
      <c r="L1156" s="27"/>
    </row>
    <row r="1157" spans="1:12">
      <c r="A1157" s="20"/>
    </row>
    <row r="1158" spans="1:12">
      <c r="A1158" s="20" t="s">
        <v>1247</v>
      </c>
    </row>
    <row r="1159" spans="1:12">
      <c r="A1159" s="20" t="s">
        <v>770</v>
      </c>
      <c r="E1159" s="22">
        <f>IF(D1159="?OLD","!!!","")</f>
        <v/>
      </c>
      <c r="F1159" s="23" t="str">
        <f>IF(OR(E1159="",E1159="!!!"),"",IF(NOT(ISNA(VLOOKUP(E1159,E$1:E1158,1,FALSE()))),"OLD",IF(AND(E1159&lt;&gt;"",E1159&lt;&gt;"!!!"),"NEW","")))</f>
        <v> </v>
      </c>
      <c r="G1159" s="24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5" t="str">
        <f>IF(J1159&lt;&gt;1,"",IF(I1159="SBJ","CB","?"))</f>
        <v> </v>
      </c>
      <c r="I1159" s="26" t="str">
        <f>IF(OR(E1159="",E1159="!!!",F1159="NEW"),"",INDEX(B1158:B$2,-1+SUMPRODUCT(MAX(ROW(E1158:E$2)*(E1159=E1158:E$2)))))</f>
        <v> </v>
      </c>
      <c r="J1159" s="26" t="str">
        <f>IF(OR(E1159="",E1159="!!!",F1159="NEW"),"",COUNTBLANK(OFFSET(A$1,,,SUMPRODUCT(MAX(ROW(E$2:E1159)*(E1159=E$2:E1159)))))-COUNTBLANK(OFFSET(A$1,,,SUMPRODUCT(MAX(ROW(E$1:E1158)*(E2=E$1:E1158))))))</f>
        <v> </v>
      </c>
      <c r="K1159" s="26" t="str">
        <f>IF(OR(E1159="",E1159="!!!",F1159="NEW"),"",INDEX(J$1:J1158,SUMPRODUCT(MAX(ROW(E$1:E1158)*(E1159=E$1:E1158)))))</f>
        <v> </v>
      </c>
      <c r="L1159" s="27"/>
    </row>
    <row r="1160" spans="1:12">
      <c r="A1160" s="20" t="s">
        <v>1248</v>
      </c>
      <c r="E1160" s="22">
        <f>IF(D1160="?OLD","!!!","")</f>
        <v/>
      </c>
      <c r="F1160" s="23" t="str">
        <f>IF(OR(E1160="",E1160="!!!"),"",IF(NOT(ISNA(VLOOKUP(E1160,E$1:E1159,1,FALSE()))),"OLD",IF(AND(E1160&lt;&gt;"",E1160&lt;&gt;"!!!"),"NEW","")))</f>
        <v> </v>
      </c>
      <c r="G1160" s="24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5" t="str">
        <f>IF(J1160&lt;&gt;1,"",IF(I1160="SBJ","CB","?"))</f>
        <v> </v>
      </c>
      <c r="I1160" s="26" t="str">
        <f>IF(OR(E1160="",E1160="!!!",F1160="NEW"),"",INDEX(B1159:B$2,-1+SUMPRODUCT(MAX(ROW(E1159:E$2)*(E1160=E1159:E$2)))))</f>
        <v> </v>
      </c>
      <c r="J1160" s="26" t="str">
        <f>IF(OR(E1160="",E1160="!!!",F1160="NEW"),"",COUNTBLANK(OFFSET(A$1,,,SUMPRODUCT(MAX(ROW(E$2:E1160)*(E1160=E$2:E1160)))))-COUNTBLANK(OFFSET(A$1,,,SUMPRODUCT(MAX(ROW(E$1:E1159)*(E2=E$1:E1159))))))</f>
        <v> </v>
      </c>
      <c r="K1160" s="26" t="str">
        <f>IF(OR(E1160="",E1160="!!!",F1160="NEW"),"",INDEX(J$1:J1159,SUMPRODUCT(MAX(ROW(E$1:E1159)*(E1160=E$1:E1159)))))</f>
        <v> </v>
      </c>
      <c r="L1160" s="27"/>
    </row>
    <row r="1161" spans="1:12">
      <c r="A1161" s="20" t="s">
        <v>732</v>
      </c>
      <c r="B1161" s="21" t="s">
        <v>609</v>
      </c>
      <c r="C1161" s="21" t="s">
        <v>733</v>
      </c>
      <c r="D1161" s="21" t="s">
        <v>603</v>
      </c>
      <c r="E1161" s="22">
        <f>IF(D1161="?OLD","!!!","")</f>
        <v/>
      </c>
      <c r="F1161" s="23" t="str">
        <f>IF(OR(E1161="",E1161="!!!"),"",IF(NOT(ISNA(VLOOKUP(E1161,E$1:E1160,1,FALSE()))),"OLD",IF(AND(E1161&lt;&gt;"",E1161&lt;&gt;"!!!"),"NEW","")))</f>
        <v> </v>
      </c>
      <c r="G1161" s="24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5" t="str">
        <f>IF(J1161&lt;&gt;1,"",IF(I1161="SBJ","CB","?"))</f>
        <v> </v>
      </c>
      <c r="I1161" s="26" t="str">
        <f>IF(OR(E1161="",E1161="!!!",F1161="NEW"),"",INDEX(B1160:B$2,-1+SUMPRODUCT(MAX(ROW(E1160:E$2)*(E1161=E1160:E$2)))))</f>
        <v> </v>
      </c>
      <c r="J1161" s="26" t="str">
        <f>IF(OR(E1161="",E1161="!!!",F1161="NEW"),"",COUNTBLANK(OFFSET(A$1,,,SUMPRODUCT(MAX(ROW(E$2:E1161)*(E1161=E$2:E1161)))))-COUNTBLANK(OFFSET(A$1,,,SUMPRODUCT(MAX(ROW(E$1:E1160)*(E2=E$1:E1160))))))</f>
        <v> </v>
      </c>
      <c r="K1161" s="26" t="str">
        <f>IF(OR(E1161="",E1161="!!!",F1161="NEW"),"",INDEX(J$1:J1160,SUMPRODUCT(MAX(ROW(E$1:E1160)*(E1161=E$1:E1160)))))</f>
        <v> </v>
      </c>
      <c r="L1161" s="27"/>
    </row>
    <row r="1162" spans="1:12">
      <c r="A1162" s="20" t="s">
        <v>1249</v>
      </c>
      <c r="B1162" s="21" t="s">
        <v>601</v>
      </c>
      <c r="E1162" s="22">
        <f>IF(D1162="?OLD","!!!","")</f>
        <v/>
      </c>
      <c r="F1162" s="23" t="str">
        <f>IF(OR(E1162="",E1162="!!!"),"",IF(NOT(ISNA(VLOOKUP(E1162,E$1:E1161,1,FALSE()))),"OLD",IF(AND(E1162&lt;&gt;"",E1162&lt;&gt;"!!!"),"NEW","")))</f>
        <v> </v>
      </c>
      <c r="G1162" s="24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5" t="str">
        <f>IF(J1162&lt;&gt;1,"",IF(I1162="SBJ","CB","?"))</f>
        <v> </v>
      </c>
      <c r="I1162" s="26" t="str">
        <f>IF(OR(E1162="",E1162="!!!",F1162="NEW"),"",INDEX(B1161:B$2,-1+SUMPRODUCT(MAX(ROW(E1161:E$2)*(E1162=E1161:E$2)))))</f>
        <v> </v>
      </c>
      <c r="J1162" s="26" t="str">
        <f>IF(OR(E1162="",E1162="!!!",F1162="NEW"),"",COUNTBLANK(OFFSET(A$1,,,SUMPRODUCT(MAX(ROW(E$2:E1162)*(E1162=E$2:E1162)))))-COUNTBLANK(OFFSET(A$1,,,SUMPRODUCT(MAX(ROW(E$1:E1161)*(E2=E$1:E1161))))))</f>
        <v> </v>
      </c>
      <c r="K1162" s="26" t="str">
        <f>IF(OR(E1162="",E1162="!!!",F1162="NEW"),"",INDEX(J$1:J1161,SUMPRODUCT(MAX(ROW(E$1:E1161)*(E1162=E$1:E1161)))))</f>
        <v> </v>
      </c>
      <c r="L1162" s="27"/>
    </row>
    <row r="1163" spans="1:12">
      <c r="A1163" s="20" t="s">
        <v>662</v>
      </c>
      <c r="E1163" s="22">
        <f>IF(D1163="?OLD","!!!","")</f>
        <v/>
      </c>
      <c r="F1163" s="23" t="str">
        <f>IF(OR(E1163="",E1163="!!!"),"",IF(NOT(ISNA(VLOOKUP(E1163,E$1:E1162,1,FALSE()))),"OLD",IF(AND(E1163&lt;&gt;"",E1163&lt;&gt;"!!!"),"NEW","")))</f>
        <v> </v>
      </c>
      <c r="G1163" s="24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5" t="str">
        <f>IF(J1163&lt;&gt;1,"",IF(I1163="SBJ","CB","?"))</f>
        <v> </v>
      </c>
      <c r="I1163" s="26" t="str">
        <f>IF(OR(E1163="",E1163="!!!",F1163="NEW"),"",INDEX(B1162:B$2,-1+SUMPRODUCT(MAX(ROW(E1162:E$2)*(E1163=E1162:E$2)))))</f>
        <v> </v>
      </c>
      <c r="J1163" s="26" t="str">
        <f>IF(OR(E1163="",E1163="!!!",F1163="NEW"),"",COUNTBLANK(OFFSET(A$1,,,SUMPRODUCT(MAX(ROW(E$2:E1163)*(E1163=E$2:E1163)))))-COUNTBLANK(OFFSET(A$1,,,SUMPRODUCT(MAX(ROW(E$1:E1162)*(E2=E$1:E1162))))))</f>
        <v> </v>
      </c>
      <c r="K1163" s="26" t="str">
        <f>IF(OR(E1163="",E1163="!!!",F1163="NEW"),"",INDEX(J$1:J1162,SUMPRODUCT(MAX(ROW(E$1:E1162)*(E1163=E$1:E1162)))))</f>
        <v> </v>
      </c>
      <c r="L1163" s="27"/>
    </row>
    <row r="1164" spans="1:12">
      <c r="A1164" s="20" t="s">
        <v>663</v>
      </c>
      <c r="E1164" s="22">
        <f>IF(D1164="?OLD","!!!","")</f>
        <v/>
      </c>
      <c r="F1164" s="23" t="str">
        <f>IF(OR(E1164="",E1164="!!!"),"",IF(NOT(ISNA(VLOOKUP(E1164,E$1:E1163,1,FALSE()))),"OLD",IF(AND(E1164&lt;&gt;"",E1164&lt;&gt;"!!!"),"NEW","")))</f>
        <v> </v>
      </c>
      <c r="G1164" s="24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5" t="str">
        <f>IF(J1164&lt;&gt;1,"",IF(I1164="SBJ","CB","?"))</f>
        <v> </v>
      </c>
      <c r="I1164" s="26" t="str">
        <f>IF(OR(E1164="",E1164="!!!",F1164="NEW"),"",INDEX(B1163:B$2,-1+SUMPRODUCT(MAX(ROW(E1163:E$2)*(E1164=E1163:E$2)))))</f>
        <v> </v>
      </c>
      <c r="J1164" s="26" t="str">
        <f>IF(OR(E1164="",E1164="!!!",F1164="NEW"),"",COUNTBLANK(OFFSET(A$1,,,SUMPRODUCT(MAX(ROW(E$2:E1164)*(E1164=E$2:E1164)))))-COUNTBLANK(OFFSET(A$1,,,SUMPRODUCT(MAX(ROW(E$1:E1163)*(E2=E$1:E1163))))))</f>
        <v> </v>
      </c>
      <c r="K1164" s="26" t="str">
        <f>IF(OR(E1164="",E1164="!!!",F1164="NEW"),"",INDEX(J$1:J1163,SUMPRODUCT(MAX(ROW(E$1:E1163)*(E1164=E$1:E1163)))))</f>
        <v> </v>
      </c>
      <c r="L1164" s="27"/>
    </row>
    <row r="1165" spans="1:12">
      <c r="A1165" s="20" t="s">
        <v>1250</v>
      </c>
      <c r="E1165" s="22">
        <f>IF(D1165="?OLD","!!!","")</f>
        <v/>
      </c>
      <c r="F1165" s="23" t="str">
        <f>IF(OR(E1165="",E1165="!!!"),"",IF(NOT(ISNA(VLOOKUP(E1165,E$1:E1164,1,FALSE()))),"OLD",IF(AND(E1165&lt;&gt;"",E1165&lt;&gt;"!!!"),"NEW","")))</f>
        <v> </v>
      </c>
      <c r="G1165" s="24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5" t="str">
        <f>IF(J1165&lt;&gt;1,"",IF(I1165="SBJ","CB","?"))</f>
        <v> </v>
      </c>
      <c r="I1165" s="26" t="str">
        <f>IF(OR(E1165="",E1165="!!!",F1165="NEW"),"",INDEX(B1164:B$2,-1+SUMPRODUCT(MAX(ROW(E1164:E$2)*(E1165=E1164:E$2)))))</f>
        <v> </v>
      </c>
      <c r="J1165" s="26" t="str">
        <f>IF(OR(E1165="",E1165="!!!",F1165="NEW"),"",COUNTBLANK(OFFSET(A$1,,,SUMPRODUCT(MAX(ROW(E$2:E1165)*(E1165=E$2:E1165)))))-COUNTBLANK(OFFSET(A$1,,,SUMPRODUCT(MAX(ROW(E$1:E1164)*(E2=E$1:E1164))))))</f>
        <v> </v>
      </c>
      <c r="K1165" s="26" t="str">
        <f>IF(OR(E1165="",E1165="!!!",F1165="NEW"),"",INDEX(J$1:J1164,SUMPRODUCT(MAX(ROW(E$1:E1164)*(E1165=E$1:E1164)))))</f>
        <v> </v>
      </c>
      <c r="L1165" s="27"/>
    </row>
    <row r="1166" spans="1:12">
      <c r="A1166" s="20" t="s">
        <v>883</v>
      </c>
      <c r="E1166" s="22">
        <f>IF(D1166="?OLD","!!!","")</f>
        <v/>
      </c>
      <c r="F1166" s="23" t="str">
        <f>IF(OR(E1166="",E1166="!!!"),"",IF(NOT(ISNA(VLOOKUP(E1166,E$1:E1165,1,FALSE()))),"OLD",IF(AND(E1166&lt;&gt;"",E1166&lt;&gt;"!!!"),"NEW","")))</f>
        <v> </v>
      </c>
      <c r="G1166" s="24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5" t="str">
        <f>IF(J1166&lt;&gt;1,"",IF(I1166="SBJ","CB","?"))</f>
        <v> </v>
      </c>
      <c r="I1166" s="26" t="str">
        <f>IF(OR(E1166="",E1166="!!!",F1166="NEW"),"",INDEX(B1165:B$2,-1+SUMPRODUCT(MAX(ROW(E1165:E$2)*(E1166=E1165:E$2)))))</f>
        <v> </v>
      </c>
      <c r="J1166" s="26" t="str">
        <f>IF(OR(E1166="",E1166="!!!",F1166="NEW"),"",COUNTBLANK(OFFSET(A$1,,,SUMPRODUCT(MAX(ROW(E$2:E1166)*(E1166=E$2:E1166)))))-COUNTBLANK(OFFSET(A$1,,,SUMPRODUCT(MAX(ROW(E$1:E1165)*(E2=E$1:E1165))))))</f>
        <v> </v>
      </c>
      <c r="K1166" s="26" t="str">
        <f>IF(OR(E1166="",E1166="!!!",F1166="NEW"),"",INDEX(J$1:J1165,SUMPRODUCT(MAX(ROW(E$1:E1165)*(E1166=E$1:E1165)))))</f>
        <v> </v>
      </c>
      <c r="L1166" s="27"/>
    </row>
    <row r="1167" spans="1:12">
      <c r="A1167" s="20" t="s">
        <v>1251</v>
      </c>
      <c r="B1167" s="21" t="s">
        <v>609</v>
      </c>
      <c r="C1167" s="21" t="s">
        <v>733</v>
      </c>
      <c r="D1167" s="21" t="s">
        <v>603</v>
      </c>
      <c r="E1167" s="22">
        <f>IF(D1167="?OLD","!!!","")</f>
        <v/>
      </c>
      <c r="F1167" s="23" t="str">
        <f>IF(OR(E1167="",E1167="!!!"),"",IF(NOT(ISNA(VLOOKUP(E1167,E$1:E1166,1,FALSE()))),"OLD",IF(AND(E1167&lt;&gt;"",E1167&lt;&gt;"!!!"),"NEW","")))</f>
        <v> </v>
      </c>
      <c r="G1167" s="24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5" t="str">
        <f>IF(J1167&lt;&gt;1,"",IF(I1167="SBJ","CB","?"))</f>
        <v> </v>
      </c>
      <c r="I1167" s="26" t="str">
        <f>IF(OR(E1167="",E1167="!!!",F1167="NEW"),"",INDEX(B1166:B$2,-1+SUMPRODUCT(MAX(ROW(E1166:E$2)*(E1167=E1166:E$2)))))</f>
        <v> </v>
      </c>
      <c r="J1167" s="26" t="str">
        <f>IF(OR(E1167="",E1167="!!!",F1167="NEW"),"",COUNTBLANK(OFFSET(A$1,,,SUMPRODUCT(MAX(ROW(E$2:E1167)*(E1167=E$2:E1167)))))-COUNTBLANK(OFFSET(A$1,,,SUMPRODUCT(MAX(ROW(E$1:E1166)*(E2=E$1:E1166))))))</f>
        <v> </v>
      </c>
      <c r="K1167" s="26" t="str">
        <f>IF(OR(E1167="",E1167="!!!",F1167="NEW"),"",INDEX(J$1:J1166,SUMPRODUCT(MAX(ROW(E$1:E1166)*(E1167=E$1:E1166)))))</f>
        <v> </v>
      </c>
      <c r="L1167" s="27"/>
    </row>
    <row r="1168" spans="1:12">
      <c r="A1168" s="20" t="s">
        <v>1120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1252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 t="s">
        <v>910</v>
      </c>
      <c r="E1170" s="22">
        <f>IF(D1170="?OLD","!!!","")</f>
        <v/>
      </c>
      <c r="F1170" s="23" t="str">
        <f>IF(OR(E1170="",E1170="!!!"),"",IF(NOT(ISNA(VLOOKUP(E1170,E$1:E1169,1,FALSE()))),"OLD",IF(AND(E1170&lt;&gt;"",E1170&lt;&gt;"!!!"),"NEW","")))</f>
        <v> </v>
      </c>
      <c r="G1170" s="24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5" t="str">
        <f>IF(J1170&lt;&gt;1,"",IF(I1170="SBJ","CB","?"))</f>
        <v> </v>
      </c>
      <c r="I1170" s="26" t="str">
        <f>IF(OR(E1170="",E1170="!!!",F1170="NEW"),"",INDEX(B1169:B$2,-1+SUMPRODUCT(MAX(ROW(E1169:E$2)*(E1170=E1169:E$2)))))</f>
        <v> </v>
      </c>
      <c r="J1170" s="26" t="str">
        <f>IF(OR(E1170="",E1170="!!!",F1170="NEW"),"",COUNTBLANK(OFFSET(A$1,,,SUMPRODUCT(MAX(ROW(E$2:E1170)*(E1170=E$2:E1170)))))-COUNTBLANK(OFFSET(A$1,,,SUMPRODUCT(MAX(ROW(E$1:E1169)*(E2=E$1:E1169))))))</f>
        <v> </v>
      </c>
      <c r="K1170" s="26" t="str">
        <f>IF(OR(E1170="",E1170="!!!",F1170="NEW"),"",INDEX(J$1:J1169,SUMPRODUCT(MAX(ROW(E$1:E1169)*(E1170=E$1:E1169)))))</f>
        <v> </v>
      </c>
      <c r="L1170" s="27"/>
    </row>
    <row r="1171" spans="1:12">
      <c r="A1171" s="20" t="s">
        <v>1253</v>
      </c>
      <c r="E1171" s="22">
        <f>IF(D1171="?OLD","!!!","")</f>
        <v/>
      </c>
      <c r="F1171" s="23" t="str">
        <f>IF(OR(E1171="",E1171="!!!"),"",IF(NOT(ISNA(VLOOKUP(E1171,E$1:E1170,1,FALSE()))),"OLD",IF(AND(E1171&lt;&gt;"",E1171&lt;&gt;"!!!"),"NEW","")))</f>
        <v> </v>
      </c>
      <c r="G1171" s="24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5" t="str">
        <f>IF(J1171&lt;&gt;1,"",IF(I1171="SBJ","CB","?"))</f>
        <v> </v>
      </c>
      <c r="I1171" s="26" t="str">
        <f>IF(OR(E1171="",E1171="!!!",F1171="NEW"),"",INDEX(B1170:B$2,-1+SUMPRODUCT(MAX(ROW(E1170:E$2)*(E1171=E1170:E$2)))))</f>
        <v> </v>
      </c>
      <c r="J1171" s="26" t="str">
        <f>IF(OR(E1171="",E1171="!!!",F1171="NEW"),"",COUNTBLANK(OFFSET(A$1,,,SUMPRODUCT(MAX(ROW(E$2:E1171)*(E1171=E$2:E1171)))))-COUNTBLANK(OFFSET(A$1,,,SUMPRODUCT(MAX(ROW(E$1:E1170)*(E2=E$1:E1170))))))</f>
        <v> </v>
      </c>
      <c r="K1171" s="26" t="str">
        <f>IF(OR(E1171="",E1171="!!!",F1171="NEW"),"",INDEX(J$1:J1170,SUMPRODUCT(MAX(ROW(E$1:E1170)*(E1171=E$1:E1170)))))</f>
        <v> </v>
      </c>
      <c r="L1171" s="27"/>
    </row>
    <row r="1172" spans="1:12">
      <c r="A1172" s="20" t="s">
        <v>741</v>
      </c>
      <c r="E1172" s="22">
        <f>IF(D1172="?OLD","!!!","")</f>
        <v/>
      </c>
      <c r="F1172" s="23" t="str">
        <f>IF(OR(E1172="",E1172="!!!"),"",IF(NOT(ISNA(VLOOKUP(E1172,E$1:E1171,1,FALSE()))),"OLD",IF(AND(E1172&lt;&gt;"",E1172&lt;&gt;"!!!"),"NEW","")))</f>
        <v> </v>
      </c>
      <c r="G1172" s="24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5" t="str">
        <f>IF(J1172&lt;&gt;1,"",IF(I1172="SBJ","CB","?"))</f>
        <v> </v>
      </c>
      <c r="I1172" s="26" t="str">
        <f>IF(OR(E1172="",E1172="!!!",F1172="NEW"),"",INDEX(B1171:B$2,-1+SUMPRODUCT(MAX(ROW(E1171:E$2)*(E1172=E1171:E$2)))))</f>
        <v> </v>
      </c>
      <c r="J1172" s="26" t="str">
        <f>IF(OR(E1172="",E1172="!!!",F1172="NEW"),"",COUNTBLANK(OFFSET(A$1,,,SUMPRODUCT(MAX(ROW(E$2:E1172)*(E1172=E$2:E1172)))))-COUNTBLANK(OFFSET(A$1,,,SUMPRODUCT(MAX(ROW(E$1:E1171)*(E2=E$1:E1171))))))</f>
        <v> </v>
      </c>
      <c r="K1172" s="26" t="str">
        <f>IF(OR(E1172="",E1172="!!!",F1172="NEW"),"",INDEX(J$1:J1171,SUMPRODUCT(MAX(ROW(E$1:E1171)*(E1172=E$1:E1171)))))</f>
        <v> </v>
      </c>
      <c r="L1172" s="27"/>
    </row>
    <row r="1173" spans="1:12">
      <c r="A1173" s="20" t="s">
        <v>1254</v>
      </c>
      <c r="E1173" s="22">
        <f>IF(D1173="?OLD","!!!","")</f>
        <v/>
      </c>
      <c r="F1173" s="23" t="str">
        <f>IF(OR(E1173="",E1173="!!!"),"",IF(NOT(ISNA(VLOOKUP(E1173,E$1:E1172,1,FALSE()))),"OLD",IF(AND(E1173&lt;&gt;"",E1173&lt;&gt;"!!!"),"NEW","")))</f>
        <v> </v>
      </c>
      <c r="G1173" s="24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5" t="str">
        <f>IF(J1173&lt;&gt;1,"",IF(I1173="SBJ","CB","?"))</f>
        <v> </v>
      </c>
      <c r="I1173" s="26" t="str">
        <f>IF(OR(E1173="",E1173="!!!",F1173="NEW"),"",INDEX(B1172:B$2,-1+SUMPRODUCT(MAX(ROW(E1172:E$2)*(E1173=E1172:E$2)))))</f>
        <v> </v>
      </c>
      <c r="J1173" s="26" t="str">
        <f>IF(OR(E1173="",E1173="!!!",F1173="NEW"),"",COUNTBLANK(OFFSET(A$1,,,SUMPRODUCT(MAX(ROW(E$2:E1173)*(E1173=E$2:E1173)))))-COUNTBLANK(OFFSET(A$1,,,SUMPRODUCT(MAX(ROW(E$1:E1172)*(E2=E$1:E1172))))))</f>
        <v> </v>
      </c>
      <c r="K1173" s="26" t="str">
        <f>IF(OR(E1173="",E1173="!!!",F1173="NEW"),"",INDEX(J$1:J1172,SUMPRODUCT(MAX(ROW(E$1:E1172)*(E1173=E$1:E1172)))))</f>
        <v> </v>
      </c>
      <c r="L1173" s="27"/>
    </row>
    <row r="1174" spans="1:12">
      <c r="A1174" s="20" t="s">
        <v>1255</v>
      </c>
      <c r="E1174" s="22">
        <f>IF(D1174="?OLD","!!!","")</f>
        <v/>
      </c>
      <c r="F1174" s="23" t="str">
        <f>IF(OR(E1174="",E1174="!!!"),"",IF(NOT(ISNA(VLOOKUP(E1174,E$1:E1173,1,FALSE()))),"OLD",IF(AND(E1174&lt;&gt;"",E1174&lt;&gt;"!!!"),"NEW","")))</f>
        <v> </v>
      </c>
      <c r="G1174" s="24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5" t="str">
        <f>IF(J1174&lt;&gt;1,"",IF(I1174="SBJ","CB","?"))</f>
        <v> </v>
      </c>
      <c r="I1174" s="26" t="str">
        <f>IF(OR(E1174="",E1174="!!!",F1174="NEW"),"",INDEX(B1173:B$2,-1+SUMPRODUCT(MAX(ROW(E1173:E$2)*(E1174=E1173:E$2)))))</f>
        <v> </v>
      </c>
      <c r="J1174" s="26" t="str">
        <f>IF(OR(E1174="",E1174="!!!",F1174="NEW"),"",COUNTBLANK(OFFSET(A$1,,,SUMPRODUCT(MAX(ROW(E$2:E1174)*(E1174=E$2:E1174)))))-COUNTBLANK(OFFSET(A$1,,,SUMPRODUCT(MAX(ROW(E$1:E1173)*(E2=E$1:E1173))))))</f>
        <v> </v>
      </c>
      <c r="K1174" s="26" t="str">
        <f>IF(OR(E1174="",E1174="!!!",F1174="NEW"),"",INDEX(J$1:J1173,SUMPRODUCT(MAX(ROW(E$1:E1173)*(E1174=E$1:E1173)))))</f>
        <v> </v>
      </c>
      <c r="L1174" s="27"/>
    </row>
    <row r="1175" spans="1:12">
      <c r="A1175" s="20" t="s">
        <v>1256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 t="s">
        <v>663</v>
      </c>
      <c r="E1176" s="22">
        <f>IF(D1176="?OLD","!!!","")</f>
        <v/>
      </c>
      <c r="F1176" s="23" t="str">
        <f>IF(OR(E1176="",E1176="!!!"),"",IF(NOT(ISNA(VLOOKUP(E1176,E$1:E1175,1,FALSE()))),"OLD",IF(AND(E1176&lt;&gt;"",E1176&lt;&gt;"!!!"),"NEW","")))</f>
        <v> </v>
      </c>
      <c r="G1176" s="24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5" t="str">
        <f>IF(J1176&lt;&gt;1,"",IF(I1176="SBJ","CB","?"))</f>
        <v> </v>
      </c>
      <c r="I1176" s="26" t="str">
        <f>IF(OR(E1176="",E1176="!!!",F1176="NEW"),"",INDEX(B1175:B$2,-1+SUMPRODUCT(MAX(ROW(E1175:E$2)*(E1176=E1175:E$2)))))</f>
        <v> </v>
      </c>
      <c r="J1176" s="26" t="str">
        <f>IF(OR(E1176="",E1176="!!!",F1176="NEW"),"",COUNTBLANK(OFFSET(A$1,,,SUMPRODUCT(MAX(ROW(E$2:E1176)*(E1176=E$2:E1176)))))-COUNTBLANK(OFFSET(A$1,,,SUMPRODUCT(MAX(ROW(E$1:E1175)*(E2=E$1:E1175))))))</f>
        <v> </v>
      </c>
      <c r="K1176" s="26" t="str">
        <f>IF(OR(E1176="",E1176="!!!",F1176="NEW"),"",INDEX(J$1:J1175,SUMPRODUCT(MAX(ROW(E$1:E1175)*(E1176=E$1:E1175)))))</f>
        <v> </v>
      </c>
      <c r="L1176" s="27"/>
    </row>
    <row r="1177" spans="1:12">
      <c r="A1177" s="20" t="s">
        <v>611</v>
      </c>
      <c r="E1177" s="22">
        <f>IF(D1177="?OLD","!!!","")</f>
        <v/>
      </c>
      <c r="F1177" s="23" t="str">
        <f>IF(OR(E1177="",E1177="!!!"),"",IF(NOT(ISNA(VLOOKUP(E1177,E$1:E1176,1,FALSE()))),"OLD",IF(AND(E1177&lt;&gt;"",E1177&lt;&gt;"!!!"),"NEW","")))</f>
        <v> </v>
      </c>
      <c r="G1177" s="24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5" t="str">
        <f>IF(J1177&lt;&gt;1,"",IF(I1177="SBJ","CB","?"))</f>
        <v> </v>
      </c>
      <c r="I1177" s="26" t="str">
        <f>IF(OR(E1177="",E1177="!!!",F1177="NEW"),"",INDEX(B1176:B$2,-1+SUMPRODUCT(MAX(ROW(E1176:E$2)*(E1177=E1176:E$2)))))</f>
        <v> </v>
      </c>
      <c r="J1177" s="26" t="str">
        <f>IF(OR(E1177="",E1177="!!!",F1177="NEW"),"",COUNTBLANK(OFFSET(A$1,,,SUMPRODUCT(MAX(ROW(E$2:E1177)*(E1177=E$2:E1177)))))-COUNTBLANK(OFFSET(A$1,,,SUMPRODUCT(MAX(ROW(E$1:E1176)*(E2=E$1:E1176))))))</f>
        <v> </v>
      </c>
      <c r="K1177" s="26" t="str">
        <f>IF(OR(E1177="",E1177="!!!",F1177="NEW"),"",INDEX(J$1:J1176,SUMPRODUCT(MAX(ROW(E$1:E1176)*(E1177=E$1:E1176)))))</f>
        <v> </v>
      </c>
      <c r="L1177" s="27"/>
    </row>
    <row r="1178" spans="1:12">
      <c r="A1178" s="20" t="s">
        <v>910</v>
      </c>
      <c r="E1178" s="22">
        <f>IF(D1178="?OLD","!!!","")</f>
        <v/>
      </c>
      <c r="F1178" s="23" t="str">
        <f>IF(OR(E1178="",E1178="!!!"),"",IF(NOT(ISNA(VLOOKUP(E1178,E$1:E1177,1,FALSE()))),"OLD",IF(AND(E1178&lt;&gt;"",E1178&lt;&gt;"!!!"),"NEW","")))</f>
        <v> </v>
      </c>
      <c r="G1178" s="24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5" t="str">
        <f>IF(J1178&lt;&gt;1,"",IF(I1178="SBJ","CB","?"))</f>
        <v> </v>
      </c>
      <c r="I1178" s="26" t="str">
        <f>IF(OR(E1178="",E1178="!!!",F1178="NEW"),"",INDEX(B1177:B$2,-1+SUMPRODUCT(MAX(ROW(E1177:E$2)*(E1178=E1177:E$2)))))</f>
        <v> </v>
      </c>
      <c r="J1178" s="26" t="str">
        <f>IF(OR(E1178="",E1178="!!!",F1178="NEW"),"",COUNTBLANK(OFFSET(A$1,,,SUMPRODUCT(MAX(ROW(E$2:E1178)*(E1178=E$2:E1178)))))-COUNTBLANK(OFFSET(A$1,,,SUMPRODUCT(MAX(ROW(E$1:E1177)*(E2=E$1:E1177))))))</f>
        <v> </v>
      </c>
      <c r="K1178" s="26" t="str">
        <f>IF(OR(E1178="",E1178="!!!",F1178="NEW"),"",INDEX(J$1:J1177,SUMPRODUCT(MAX(ROW(E$1:E1177)*(E1178=E$1:E1177)))))</f>
        <v> </v>
      </c>
      <c r="L1178" s="27"/>
    </row>
    <row r="1179" spans="1:12">
      <c r="A1179" s="20" t="s">
        <v>741</v>
      </c>
      <c r="E1179" s="22">
        <f>IF(D1179="?OLD","!!!","")</f>
        <v/>
      </c>
      <c r="F1179" s="23" t="str">
        <f>IF(OR(E1179="",E1179="!!!"),"",IF(NOT(ISNA(VLOOKUP(E1179,E$1:E1178,1,FALSE()))),"OLD",IF(AND(E1179&lt;&gt;"",E1179&lt;&gt;"!!!"),"NEW","")))</f>
        <v> </v>
      </c>
      <c r="G1179" s="24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5" t="str">
        <f>IF(J1179&lt;&gt;1,"",IF(I1179="SBJ","CB","?"))</f>
        <v> </v>
      </c>
      <c r="I1179" s="26" t="str">
        <f>IF(OR(E1179="",E1179="!!!",F1179="NEW"),"",INDEX(B1178:B$2,-1+SUMPRODUCT(MAX(ROW(E1178:E$2)*(E1179=E1178:E$2)))))</f>
        <v> </v>
      </c>
      <c r="J1179" s="26" t="str">
        <f>IF(OR(E1179="",E1179="!!!",F1179="NEW"),"",COUNTBLANK(OFFSET(A$1,,,SUMPRODUCT(MAX(ROW(E$2:E1179)*(E1179=E$2:E1179)))))-COUNTBLANK(OFFSET(A$1,,,SUMPRODUCT(MAX(ROW(E$1:E1178)*(E2=E$1:E1178))))))</f>
        <v> </v>
      </c>
      <c r="K1179" s="26" t="str">
        <f>IF(OR(E1179="",E1179="!!!",F1179="NEW"),"",INDEX(J$1:J1178,SUMPRODUCT(MAX(ROW(E$1:E1178)*(E1179=E$1:E1178)))))</f>
        <v> </v>
      </c>
      <c r="L1179" s="27"/>
    </row>
    <row r="1180" spans="1:12">
      <c r="A1180" s="20" t="s">
        <v>784</v>
      </c>
      <c r="E1180" s="22">
        <f>IF(D1180="?OLD","!!!","")</f>
        <v/>
      </c>
      <c r="F1180" s="23" t="str">
        <f>IF(OR(E1180="",E1180="!!!"),"",IF(NOT(ISNA(VLOOKUP(E1180,E$1:E1179,1,FALSE()))),"OLD",IF(AND(E1180&lt;&gt;"",E1180&lt;&gt;"!!!"),"NEW","")))</f>
        <v> </v>
      </c>
      <c r="G1180" s="24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5" t="str">
        <f>IF(J1180&lt;&gt;1,"",IF(I1180="SBJ","CB","?"))</f>
        <v> </v>
      </c>
      <c r="I1180" s="26" t="str">
        <f>IF(OR(E1180="",E1180="!!!",F1180="NEW"),"",INDEX(B1179:B$2,-1+SUMPRODUCT(MAX(ROW(E1179:E$2)*(E1180=E1179:E$2)))))</f>
        <v> </v>
      </c>
      <c r="J1180" s="26" t="str">
        <f>IF(OR(E1180="",E1180="!!!",F1180="NEW"),"",COUNTBLANK(OFFSET(A$1,,,SUMPRODUCT(MAX(ROW(E$2:E1180)*(E1180=E$2:E1180)))))-COUNTBLANK(OFFSET(A$1,,,SUMPRODUCT(MAX(ROW(E$1:E1179)*(E2=E$1:E1179))))))</f>
        <v> </v>
      </c>
      <c r="K1180" s="26" t="str">
        <f>IF(OR(E1180="",E1180="!!!",F1180="NEW"),"",INDEX(J$1:J1179,SUMPRODUCT(MAX(ROW(E$1:E1179)*(E1180=E$1:E1179)))))</f>
        <v> </v>
      </c>
      <c r="L1180" s="27"/>
    </row>
    <row r="1181" spans="1:12">
      <c r="A1181" s="20" t="s">
        <v>1257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 t="s">
        <v>1258</v>
      </c>
      <c r="E1182" s="22">
        <f>IF(D1182="?OLD","!!!","")</f>
        <v/>
      </c>
      <c r="F1182" s="23" t="str">
        <f>IF(OR(E1182="",E1182="!!!"),"",IF(NOT(ISNA(VLOOKUP(E1182,E$1:E1181,1,FALSE()))),"OLD",IF(AND(E1182&lt;&gt;"",E1182&lt;&gt;"!!!"),"NEW","")))</f>
        <v> </v>
      </c>
      <c r="G1182" s="24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5" t="str">
        <f>IF(J1182&lt;&gt;1,"",IF(I1182="SBJ","CB","?"))</f>
        <v> </v>
      </c>
      <c r="I1182" s="26" t="str">
        <f>IF(OR(E1182="",E1182="!!!",F1182="NEW"),"",INDEX(B1181:B$2,-1+SUMPRODUCT(MAX(ROW(E1181:E$2)*(E1182=E1181:E$2)))))</f>
        <v> </v>
      </c>
      <c r="J1182" s="26" t="str">
        <f>IF(OR(E1182="",E1182="!!!",F1182="NEW"),"",COUNTBLANK(OFFSET(A$1,,,SUMPRODUCT(MAX(ROW(E$2:E1182)*(E1182=E$2:E1182)))))-COUNTBLANK(OFFSET(A$1,,,SUMPRODUCT(MAX(ROW(E$1:E1181)*(E2=E$1:E1181))))))</f>
        <v> </v>
      </c>
      <c r="K1182" s="26" t="str">
        <f>IF(OR(E1182="",E1182="!!!",F1182="NEW"),"",INDEX(J$1:J1181,SUMPRODUCT(MAX(ROW(E$1:E1181)*(E1182=E$1:E1181)))))</f>
        <v> </v>
      </c>
      <c r="L1182" s="27"/>
    </row>
    <row r="1183" spans="1:12">
      <c r="A1183" s="20" t="s">
        <v>1251</v>
      </c>
      <c r="B1183" s="21" t="s">
        <v>804</v>
      </c>
      <c r="C1183" s="21" t="s">
        <v>733</v>
      </c>
      <c r="D1183" s="21" t="s">
        <v>603</v>
      </c>
      <c r="E1183" s="22">
        <f>IF(D1183="?OLD","!!!","")</f>
        <v/>
      </c>
      <c r="F1183" s="23" t="str">
        <f>IF(OR(E1183="",E1183="!!!"),"",IF(NOT(ISNA(VLOOKUP(E1183,E$1:E1182,1,FALSE()))),"OLD",IF(AND(E1183&lt;&gt;"",E1183&lt;&gt;"!!!"),"NEW","")))</f>
        <v> </v>
      </c>
      <c r="G1183" s="24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5" t="str">
        <f>IF(J1183&lt;&gt;1,"",IF(I1183="SBJ","CB","?"))</f>
        <v> </v>
      </c>
      <c r="I1183" s="26" t="str">
        <f>IF(OR(E1183="",E1183="!!!",F1183="NEW"),"",INDEX(B1182:B$2,-1+SUMPRODUCT(MAX(ROW(E1182:E$2)*(E1183=E1182:E$2)))))</f>
        <v> </v>
      </c>
      <c r="J1183" s="26" t="str">
        <f>IF(OR(E1183="",E1183="!!!",F1183="NEW"),"",COUNTBLANK(OFFSET(A$1,,,SUMPRODUCT(MAX(ROW(E$2:E1183)*(E1183=E$2:E1183)))))-COUNTBLANK(OFFSET(A$1,,,SUMPRODUCT(MAX(ROW(E$1:E1182)*(E2=E$1:E1182))))))</f>
        <v> </v>
      </c>
      <c r="K1183" s="26" t="str">
        <f>IF(OR(E1183="",E1183="!!!",F1183="NEW"),"",INDEX(J$1:J1182,SUMPRODUCT(MAX(ROW(E$1:E1182)*(E1183=E$1:E1182)))))</f>
        <v> </v>
      </c>
      <c r="L1183" s="27"/>
    </row>
    <row r="1184" spans="1:12">
      <c r="A1184" s="20" t="s">
        <v>1259</v>
      </c>
      <c r="E1184" s="22">
        <f>IF(D1184="?OLD","!!!","")</f>
        <v/>
      </c>
      <c r="F1184" s="23" t="str">
        <f>IF(OR(E1184="",E1184="!!!"),"",IF(NOT(ISNA(VLOOKUP(E1184,E$1:E1183,1,FALSE()))),"OLD",IF(AND(E1184&lt;&gt;"",E1184&lt;&gt;"!!!"),"NEW","")))</f>
        <v> </v>
      </c>
      <c r="G1184" s="24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5" t="str">
        <f>IF(J1184&lt;&gt;1,"",IF(I1184="SBJ","CB","?"))</f>
        <v> </v>
      </c>
      <c r="I1184" s="26" t="str">
        <f>IF(OR(E1184="",E1184="!!!",F1184="NEW"),"",INDEX(B1183:B$2,-1+SUMPRODUCT(MAX(ROW(E1183:E$2)*(E1184=E1183:E$2)))))</f>
        <v> </v>
      </c>
      <c r="J1184" s="26" t="str">
        <f>IF(OR(E1184="",E1184="!!!",F1184="NEW"),"",COUNTBLANK(OFFSET(A$1,,,SUMPRODUCT(MAX(ROW(E$2:E1184)*(E1184=E$2:E1184)))))-COUNTBLANK(OFFSET(A$1,,,SUMPRODUCT(MAX(ROW(E$1:E1183)*(E2=E$1:E1183))))))</f>
        <v> </v>
      </c>
      <c r="K1184" s="26" t="str">
        <f>IF(OR(E1184="",E1184="!!!",F1184="NEW"),"",INDEX(J$1:J1183,SUMPRODUCT(MAX(ROW(E$1:E1183)*(E1184=E$1:E1183)))))</f>
        <v> </v>
      </c>
      <c r="L1184" s="27"/>
    </row>
    <row r="1185" spans="1:12">
      <c r="A1185" s="20" t="s">
        <v>633</v>
      </c>
      <c r="E1185" s="22">
        <f>IF(D1185="?OLD","!!!","")</f>
        <v/>
      </c>
      <c r="F1185" s="23" t="str">
        <f>IF(OR(E1185="",E1185="!!!"),"",IF(NOT(ISNA(VLOOKUP(E1185,E$1:E1184,1,FALSE()))),"OLD",IF(AND(E1185&lt;&gt;"",E1185&lt;&gt;"!!!"),"NEW","")))</f>
        <v> </v>
      </c>
      <c r="G1185" s="24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5" t="str">
        <f>IF(J1185&lt;&gt;1,"",IF(I1185="SBJ","CB","?"))</f>
        <v> </v>
      </c>
      <c r="I1185" s="26" t="str">
        <f>IF(OR(E1185="",E1185="!!!",F1185="NEW"),"",INDEX(B1184:B$2,-1+SUMPRODUCT(MAX(ROW(E1184:E$2)*(E1185=E1184:E$2)))))</f>
        <v> </v>
      </c>
      <c r="J1185" s="26" t="str">
        <f>IF(OR(E1185="",E1185="!!!",F1185="NEW"),"",COUNTBLANK(OFFSET(A$1,,,SUMPRODUCT(MAX(ROW(E$2:E1185)*(E1185=E$2:E1185)))))-COUNTBLANK(OFFSET(A$1,,,SUMPRODUCT(MAX(ROW(E$1:E1184)*(E2=E$1:E1184))))))</f>
        <v> </v>
      </c>
      <c r="K1185" s="26" t="str">
        <f>IF(OR(E1185="",E1185="!!!",F1185="NEW"),"",INDEX(J$1:J1184,SUMPRODUCT(MAX(ROW(E$1:E1184)*(E1185=E$1:E1184)))))</f>
        <v> </v>
      </c>
      <c r="L1185" s="27"/>
    </row>
    <row r="1186" spans="1:12">
      <c r="A1186" s="20"/>
    </row>
    <row r="1187" spans="1:12">
      <c r="A1187" s="20" t="s">
        <v>1260</v>
      </c>
    </row>
    <row r="1188" spans="1:12">
      <c r="A1188" s="20" t="s">
        <v>1261</v>
      </c>
      <c r="E1188" s="22">
        <f>IF(D1188="?OLD","!!!","")</f>
        <v/>
      </c>
      <c r="F1188" s="23" t="str">
        <f>IF(OR(E1188="",E1188="!!!"),"",IF(NOT(ISNA(VLOOKUP(E1188,E$1:E1187,1,FALSE()))),"OLD",IF(AND(E1188&lt;&gt;"",E1188&lt;&gt;"!!!"),"NEW","")))</f>
        <v> </v>
      </c>
      <c r="G1188" s="24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5" t="str">
        <f>IF(J1188&lt;&gt;1,"",IF(I1188="SBJ","CB","?"))</f>
        <v> </v>
      </c>
      <c r="I1188" s="26" t="str">
        <f>IF(OR(E1188="",E1188="!!!",F1188="NEW"),"",INDEX(B1187:B$2,-1+SUMPRODUCT(MAX(ROW(E1187:E$2)*(E1188=E1187:E$2)))))</f>
        <v> </v>
      </c>
      <c r="J1188" s="26" t="str">
        <f>IF(OR(E1188="",E1188="!!!",F1188="NEW"),"",COUNTBLANK(OFFSET(A$1,,,SUMPRODUCT(MAX(ROW(E$2:E1188)*(E1188=E$2:E1188)))))-COUNTBLANK(OFFSET(A$1,,,SUMPRODUCT(MAX(ROW(E$1:E1187)*(E2=E$1:E1187))))))</f>
        <v> </v>
      </c>
      <c r="K1188" s="26" t="str">
        <f>IF(OR(E1188="",E1188="!!!",F1188="NEW"),"",INDEX(J$1:J1187,SUMPRODUCT(MAX(ROW(E$1:E1187)*(E1188=E$1:E1187)))))</f>
        <v> </v>
      </c>
      <c r="L1188" s="27"/>
    </row>
    <row r="1189" spans="1:12">
      <c r="A1189" s="20" t="s">
        <v>1046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 t="s">
        <v>1012</v>
      </c>
      <c r="E1190" s="22">
        <f>IF(D1190="?OLD","!!!","")</f>
        <v/>
      </c>
      <c r="F1190" s="23" t="str">
        <f>IF(OR(E1190="",E1190="!!!"),"",IF(NOT(ISNA(VLOOKUP(E1190,E$1:E1189,1,FALSE()))),"OLD",IF(AND(E1190&lt;&gt;"",E1190&lt;&gt;"!!!"),"NEW","")))</f>
        <v> </v>
      </c>
      <c r="G1190" s="24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5" t="str">
        <f>IF(J1190&lt;&gt;1,"",IF(I1190="SBJ","CB","?"))</f>
        <v> </v>
      </c>
      <c r="I1190" s="26" t="str">
        <f>IF(OR(E1190="",E1190="!!!",F1190="NEW"),"",INDEX(B1189:B$2,-1+SUMPRODUCT(MAX(ROW(E1189:E$2)*(E1190=E1189:E$2)))))</f>
        <v> </v>
      </c>
      <c r="J1190" s="26" t="str">
        <f>IF(OR(E1190="",E1190="!!!",F1190="NEW"),"",COUNTBLANK(OFFSET(A$1,,,SUMPRODUCT(MAX(ROW(E$2:E1190)*(E1190=E$2:E1190)))))-COUNTBLANK(OFFSET(A$1,,,SUMPRODUCT(MAX(ROW(E$1:E1189)*(E2=E$1:E1189))))))</f>
        <v> </v>
      </c>
      <c r="K1190" s="26" t="str">
        <f>IF(OR(E1190="",E1190="!!!",F1190="NEW"),"",INDEX(J$1:J1189,SUMPRODUCT(MAX(ROW(E$1:E1189)*(E1190=E$1:E1189)))))</f>
        <v> </v>
      </c>
      <c r="L1190" s="27"/>
    </row>
    <row r="1191" spans="1:12">
      <c r="A1191" s="20" t="s">
        <v>1047</v>
      </c>
      <c r="E1191" s="22">
        <f>IF(D1191="?OLD","!!!","")</f>
        <v/>
      </c>
      <c r="F1191" s="23" t="str">
        <f>IF(OR(E1191="",E1191="!!!"),"",IF(NOT(ISNA(VLOOKUP(E1191,E$1:E1190,1,FALSE()))),"OLD",IF(AND(E1191&lt;&gt;"",E1191&lt;&gt;"!!!"),"NEW","")))</f>
        <v> </v>
      </c>
      <c r="G1191" s="24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5" t="str">
        <f>IF(J1191&lt;&gt;1,"",IF(I1191="SBJ","CB","?"))</f>
        <v> </v>
      </c>
      <c r="I1191" s="26" t="str">
        <f>IF(OR(E1191="",E1191="!!!",F1191="NEW"),"",INDEX(B1190:B$2,-1+SUMPRODUCT(MAX(ROW(E1190:E$2)*(E1191=E1190:E$2)))))</f>
        <v> </v>
      </c>
      <c r="J1191" s="26" t="str">
        <f>IF(OR(E1191="",E1191="!!!",F1191="NEW"),"",COUNTBLANK(OFFSET(A$1,,,SUMPRODUCT(MAX(ROW(E$2:E1191)*(E1191=E$2:E1191)))))-COUNTBLANK(OFFSET(A$1,,,SUMPRODUCT(MAX(ROW(E$1:E1190)*(E2=E$1:E1190))))))</f>
        <v> </v>
      </c>
      <c r="K1191" s="26" t="str">
        <f>IF(OR(E1191="",E1191="!!!",F1191="NEW"),"",INDEX(J$1:J1190,SUMPRODUCT(MAX(ROW(E$1:E1190)*(E1191=E$1:E1190)))))</f>
        <v> </v>
      </c>
      <c r="L1191" s="27"/>
    </row>
    <row r="1192" spans="1:12">
      <c r="A1192" s="20" t="s">
        <v>611</v>
      </c>
      <c r="E1192" s="22">
        <f>IF(D1192="?OLD","!!!","")</f>
        <v/>
      </c>
      <c r="F1192" s="23" t="str">
        <f>IF(OR(E1192="",E1192="!!!"),"",IF(NOT(ISNA(VLOOKUP(E1192,E$1:E1191,1,FALSE()))),"OLD",IF(AND(E1192&lt;&gt;"",E1192&lt;&gt;"!!!"),"NEW","")))</f>
        <v> </v>
      </c>
      <c r="G1192" s="24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5" t="str">
        <f>IF(J1192&lt;&gt;1,"",IF(I1192="SBJ","CB","?"))</f>
        <v> </v>
      </c>
      <c r="I1192" s="26" t="str">
        <f>IF(OR(E1192="",E1192="!!!",F1192="NEW"),"",INDEX(B1191:B$2,-1+SUMPRODUCT(MAX(ROW(E1191:E$2)*(E1192=E1191:E$2)))))</f>
        <v> </v>
      </c>
      <c r="J1192" s="26" t="str">
        <f>IF(OR(E1192="",E1192="!!!",F1192="NEW"),"",COUNTBLANK(OFFSET(A$1,,,SUMPRODUCT(MAX(ROW(E$2:E1192)*(E1192=E$2:E1192)))))-COUNTBLANK(OFFSET(A$1,,,SUMPRODUCT(MAX(ROW(E$1:E1191)*(E2=E$1:E1191))))))</f>
        <v> </v>
      </c>
      <c r="K1192" s="26" t="str">
        <f>IF(OR(E1192="",E1192="!!!",F1192="NEW"),"",INDEX(J$1:J1191,SUMPRODUCT(MAX(ROW(E$1:E1191)*(E1192=E$1:E1191)))))</f>
        <v> </v>
      </c>
      <c r="L1192" s="27"/>
    </row>
    <row r="1193" spans="1:12">
      <c r="A1193" s="20" t="s">
        <v>907</v>
      </c>
      <c r="B1193" s="21" t="s">
        <v>601</v>
      </c>
      <c r="C1193" s="21" t="s">
        <v>602</v>
      </c>
      <c r="D1193" s="21" t="s">
        <v>603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 t="s">
        <v>1262</v>
      </c>
      <c r="E1194" s="22">
        <f>IF(D1194="?OLD","!!!","")</f>
        <v/>
      </c>
      <c r="F1194" s="23" t="str">
        <f>IF(OR(E1194="",E1194="!!!"),"",IF(NOT(ISNA(VLOOKUP(E1194,E$1:E1193,1,FALSE()))),"OLD",IF(AND(E1194&lt;&gt;"",E1194&lt;&gt;"!!!"),"NEW","")))</f>
        <v> </v>
      </c>
      <c r="G1194" s="24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5" t="str">
        <f>IF(J1194&lt;&gt;1,"",IF(I1194="SBJ","CB","?"))</f>
        <v> </v>
      </c>
      <c r="I1194" s="26" t="str">
        <f>IF(OR(E1194="",E1194="!!!",F1194="NEW"),"",INDEX(B1193:B$2,-1+SUMPRODUCT(MAX(ROW(E1193:E$2)*(E1194=E1193:E$2)))))</f>
        <v> </v>
      </c>
      <c r="J1194" s="26" t="str">
        <f>IF(OR(E1194="",E1194="!!!",F1194="NEW"),"",COUNTBLANK(OFFSET(A$1,,,SUMPRODUCT(MAX(ROW(E$2:E1194)*(E1194=E$2:E1194)))))-COUNTBLANK(OFFSET(A$1,,,SUMPRODUCT(MAX(ROW(E$1:E1193)*(E2=E$1:E1193))))))</f>
        <v> </v>
      </c>
      <c r="K1194" s="26" t="str">
        <f>IF(OR(E1194="",E1194="!!!",F1194="NEW"),"",INDEX(J$1:J1193,SUMPRODUCT(MAX(ROW(E$1:E1193)*(E1194=E$1:E1193)))))</f>
        <v> </v>
      </c>
      <c r="L1194" s="27"/>
    </row>
    <row r="1195" spans="1:12">
      <c r="A1195" s="20" t="s">
        <v>633</v>
      </c>
      <c r="E1195" s="22">
        <f>IF(D1195="?OLD","!!!","")</f>
        <v/>
      </c>
      <c r="F1195" s="23" t="str">
        <f>IF(OR(E1195="",E1195="!!!"),"",IF(NOT(ISNA(VLOOKUP(E1195,E$1:E1194,1,FALSE()))),"OLD",IF(AND(E1195&lt;&gt;"",E1195&lt;&gt;"!!!"),"NEW","")))</f>
        <v> </v>
      </c>
      <c r="G1195" s="24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5" t="str">
        <f>IF(J1195&lt;&gt;1,"",IF(I1195="SBJ","CB","?"))</f>
        <v> </v>
      </c>
      <c r="I1195" s="26" t="str">
        <f>IF(OR(E1195="",E1195="!!!",F1195="NEW"),"",INDEX(B1194:B$2,-1+SUMPRODUCT(MAX(ROW(E1194:E$2)*(E1195=E1194:E$2)))))</f>
        <v> </v>
      </c>
      <c r="J1195" s="26" t="str">
        <f>IF(OR(E1195="",E1195="!!!",F1195="NEW"),"",COUNTBLANK(OFFSET(A$1,,,SUMPRODUCT(MAX(ROW(E$2:E1195)*(E1195=E$2:E1195)))))-COUNTBLANK(OFFSET(A$1,,,SUMPRODUCT(MAX(ROW(E$1:E1194)*(E2=E$1:E1194))))))</f>
        <v> </v>
      </c>
      <c r="K1195" s="26" t="str">
        <f>IF(OR(E1195="",E1195="!!!",F1195="NEW"),"",INDEX(J$1:J1194,SUMPRODUCT(MAX(ROW(E$1:E1194)*(E1195=E$1:E1194)))))</f>
        <v> </v>
      </c>
      <c r="L1195" s="27"/>
    </row>
    <row r="1196" spans="1:12">
      <c r="A1196" s="20"/>
    </row>
    <row r="1197" spans="1:12">
      <c r="A1197" s="20" t="s">
        <v>1263</v>
      </c>
    </row>
    <row r="1198" spans="1:12">
      <c r="A1198" s="20" t="s">
        <v>1264</v>
      </c>
      <c r="E1198" s="22">
        <f>IF(D1198="?OLD","!!!","")</f>
        <v/>
      </c>
      <c r="F1198" s="23" t="str">
        <f>IF(OR(E1198="",E1198="!!!"),"",IF(NOT(ISNA(VLOOKUP(E1198,E$1:E1197,1,FALSE()))),"OLD",IF(AND(E1198&lt;&gt;"",E1198&lt;&gt;"!!!"),"NEW","")))</f>
        <v> </v>
      </c>
      <c r="G1198" s="24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5" t="str">
        <f>IF(J1198&lt;&gt;1,"",IF(I1198="SBJ","CB","?"))</f>
        <v> </v>
      </c>
      <c r="I1198" s="26" t="str">
        <f>IF(OR(E1198="",E1198="!!!",F1198="NEW"),"",INDEX(B1197:B$2,-1+SUMPRODUCT(MAX(ROW(E1197:E$2)*(E1198=E1197:E$2)))))</f>
        <v> </v>
      </c>
      <c r="J1198" s="26" t="str">
        <f>IF(OR(E1198="",E1198="!!!",F1198="NEW"),"",COUNTBLANK(OFFSET(A$1,,,SUMPRODUCT(MAX(ROW(E$2:E1198)*(E1198=E$2:E1198)))))-COUNTBLANK(OFFSET(A$1,,,SUMPRODUCT(MAX(ROW(E$1:E1197)*(E2=E$1:E1197))))))</f>
        <v> </v>
      </c>
      <c r="K1198" s="26" t="str">
        <f>IF(OR(E1198="",E1198="!!!",F1198="NEW"),"",INDEX(J$1:J1197,SUMPRODUCT(MAX(ROW(E$1:E1197)*(E1198=E$1:E1197)))))</f>
        <v> </v>
      </c>
      <c r="L1198" s="27"/>
    </row>
    <row r="1199" spans="1:12">
      <c r="A1199" s="20" t="s">
        <v>1243</v>
      </c>
      <c r="B1199" s="21" t="s">
        <v>601</v>
      </c>
      <c r="E1199" s="22">
        <f>IF(D1199="?OLD","!!!","")</f>
        <v/>
      </c>
      <c r="F1199" s="23" t="str">
        <f>IF(OR(E1199="",E1199="!!!"),"",IF(NOT(ISNA(VLOOKUP(E1199,E$1:E1198,1,FALSE()))),"OLD",IF(AND(E1199&lt;&gt;"",E1199&lt;&gt;"!!!"),"NEW","")))</f>
        <v> </v>
      </c>
      <c r="G1199" s="24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5" t="str">
        <f>IF(J1199&lt;&gt;1,"",IF(I1199="SBJ","CB","?"))</f>
        <v> </v>
      </c>
      <c r="I1199" s="26" t="str">
        <f>IF(OR(E1199="",E1199="!!!",F1199="NEW"),"",INDEX(B1198:B$2,-1+SUMPRODUCT(MAX(ROW(E1198:E$2)*(E1199=E1198:E$2)))))</f>
        <v> </v>
      </c>
      <c r="J1199" s="26" t="str">
        <f>IF(OR(E1199="",E1199="!!!",F1199="NEW"),"",COUNTBLANK(OFFSET(A$1,,,SUMPRODUCT(MAX(ROW(E$2:E1199)*(E1199=E$2:E1199)))))-COUNTBLANK(OFFSET(A$1,,,SUMPRODUCT(MAX(ROW(E$1:E1198)*(E2=E$1:E1198))))))</f>
        <v> </v>
      </c>
      <c r="K1199" s="26" t="str">
        <f>IF(OR(E1199="",E1199="!!!",F1199="NEW"),"",INDEX(J$1:J1198,SUMPRODUCT(MAX(ROW(E$1:E1198)*(E1199=E$1:E1198)))))</f>
        <v> </v>
      </c>
      <c r="L1199" s="27"/>
    </row>
    <row r="1200" spans="1:12">
      <c r="A1200" s="20" t="s">
        <v>611</v>
      </c>
      <c r="E1200" s="22">
        <f>IF(D1200="?OLD","!!!","")</f>
        <v/>
      </c>
      <c r="F1200" s="23" t="str">
        <f>IF(OR(E1200="",E1200="!!!"),"",IF(NOT(ISNA(VLOOKUP(E1200,E$1:E1199,1,FALSE()))),"OLD",IF(AND(E1200&lt;&gt;"",E1200&lt;&gt;"!!!"),"NEW","")))</f>
        <v> </v>
      </c>
      <c r="G1200" s="24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5" t="str">
        <f>IF(J1200&lt;&gt;1,"",IF(I1200="SBJ","CB","?"))</f>
        <v> </v>
      </c>
      <c r="I1200" s="26" t="str">
        <f>IF(OR(E1200="",E1200="!!!",F1200="NEW"),"",INDEX(B1199:B$2,-1+SUMPRODUCT(MAX(ROW(E1199:E$2)*(E1200=E1199:E$2)))))</f>
        <v> </v>
      </c>
      <c r="J1200" s="26" t="str">
        <f>IF(OR(E1200="",E1200="!!!",F1200="NEW"),"",COUNTBLANK(OFFSET(A$1,,,SUMPRODUCT(MAX(ROW(E$2:E1200)*(E1200=E$2:E1200)))))-COUNTBLANK(OFFSET(A$1,,,SUMPRODUCT(MAX(ROW(E$1:E1199)*(E2=E$1:E1199))))))</f>
        <v> </v>
      </c>
      <c r="K1200" s="26" t="str">
        <f>IF(OR(E1200="",E1200="!!!",F1200="NEW"),"",INDEX(J$1:J1199,SUMPRODUCT(MAX(ROW(E$1:E1199)*(E1200=E$1:E1199)))))</f>
        <v> </v>
      </c>
      <c r="L1200" s="27"/>
    </row>
    <row r="1201" spans="1:12">
      <c r="A1201" s="20" t="s">
        <v>1265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 t="s">
        <v>611</v>
      </c>
      <c r="E1202" s="22">
        <f>IF(D1202="?OLD","!!!","")</f>
        <v/>
      </c>
      <c r="F1202" s="23" t="str">
        <f>IF(OR(E1202="",E1202="!!!"),"",IF(NOT(ISNA(VLOOKUP(E1202,E$1:E1201,1,FALSE()))),"OLD",IF(AND(E1202&lt;&gt;"",E1202&lt;&gt;"!!!"),"NEW","")))</f>
        <v> </v>
      </c>
      <c r="G1202" s="24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5" t="str">
        <f>IF(J1202&lt;&gt;1,"",IF(I1202="SBJ","CB","?"))</f>
        <v> </v>
      </c>
      <c r="I1202" s="26" t="str">
        <f>IF(OR(E1202="",E1202="!!!",F1202="NEW"),"",INDEX(B1201:B$2,-1+SUMPRODUCT(MAX(ROW(E1201:E$2)*(E1202=E1201:E$2)))))</f>
        <v> </v>
      </c>
      <c r="J1202" s="26" t="str">
        <f>IF(OR(E1202="",E1202="!!!",F1202="NEW"),"",COUNTBLANK(OFFSET(A$1,,,SUMPRODUCT(MAX(ROW(E$2:E1202)*(E1202=E$2:E1202)))))-COUNTBLANK(OFFSET(A$1,,,SUMPRODUCT(MAX(ROW(E$1:E1201)*(E2=E$1:E1201))))))</f>
        <v> </v>
      </c>
      <c r="K1202" s="26" t="str">
        <f>IF(OR(E1202="",E1202="!!!",F1202="NEW"),"",INDEX(J$1:J1201,SUMPRODUCT(MAX(ROW(E$1:E1201)*(E1202=E$1:E1201)))))</f>
        <v> </v>
      </c>
      <c r="L1202" s="27"/>
    </row>
    <row r="1203" spans="1:12">
      <c r="A1203" s="20" t="s">
        <v>1266</v>
      </c>
      <c r="E1203" s="22">
        <f>IF(D1203="?OLD","!!!","")</f>
        <v/>
      </c>
      <c r="F1203" s="23" t="str">
        <f>IF(OR(E1203="",E1203="!!!"),"",IF(NOT(ISNA(VLOOKUP(E1203,E$1:E1202,1,FALSE()))),"OLD",IF(AND(E1203&lt;&gt;"",E1203&lt;&gt;"!!!"),"NEW","")))</f>
        <v> </v>
      </c>
      <c r="G1203" s="24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5" t="str">
        <f>IF(J1203&lt;&gt;1,"",IF(I1203="SBJ","CB","?"))</f>
        <v> </v>
      </c>
      <c r="I1203" s="26" t="str">
        <f>IF(OR(E1203="",E1203="!!!",F1203="NEW"),"",INDEX(B1202:B$2,-1+SUMPRODUCT(MAX(ROW(E1202:E$2)*(E1203=E1202:E$2)))))</f>
        <v> </v>
      </c>
      <c r="J1203" s="26" t="str">
        <f>IF(OR(E1203="",E1203="!!!",F1203="NEW"),"",COUNTBLANK(OFFSET(A$1,,,SUMPRODUCT(MAX(ROW(E$2:E1203)*(E1203=E$2:E1203)))))-COUNTBLANK(OFFSET(A$1,,,SUMPRODUCT(MAX(ROW(E$1:E1202)*(E2=E$1:E1202))))))</f>
        <v> </v>
      </c>
      <c r="K1203" s="26" t="str">
        <f>IF(OR(E1203="",E1203="!!!",F1203="NEW"),"",INDEX(J$1:J1202,SUMPRODUCT(MAX(ROW(E$1:E1202)*(E1203=E$1:E1202)))))</f>
        <v> </v>
      </c>
      <c r="L1203" s="27"/>
    </row>
    <row r="1204" spans="1:12">
      <c r="A1204" s="20" t="s">
        <v>1267</v>
      </c>
      <c r="B1204" s="21" t="s">
        <v>652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 t="s">
        <v>677</v>
      </c>
      <c r="E1205" s="22">
        <f>IF(D1205="?OLD","!!!","")</f>
        <v/>
      </c>
      <c r="F1205" s="23" t="str">
        <f>IF(OR(E1205="",E1205="!!!"),"",IF(NOT(ISNA(VLOOKUP(E1205,E$1:E1204,1,FALSE()))),"OLD",IF(AND(E1205&lt;&gt;"",E1205&lt;&gt;"!!!"),"NEW","")))</f>
        <v> </v>
      </c>
      <c r="G1205" s="24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5" t="str">
        <f>IF(J1205&lt;&gt;1,"",IF(I1205="SBJ","CB","?"))</f>
        <v> </v>
      </c>
      <c r="I1205" s="26" t="str">
        <f>IF(OR(E1205="",E1205="!!!",F1205="NEW"),"",INDEX(B1204:B$2,-1+SUMPRODUCT(MAX(ROW(E1204:E$2)*(E1205=E1204:E$2)))))</f>
        <v> </v>
      </c>
      <c r="J1205" s="26" t="str">
        <f>IF(OR(E1205="",E1205="!!!",F1205="NEW"),"",COUNTBLANK(OFFSET(A$1,,,SUMPRODUCT(MAX(ROW(E$2:E1205)*(E1205=E$2:E1205)))))-COUNTBLANK(OFFSET(A$1,,,SUMPRODUCT(MAX(ROW(E$1:E1204)*(E2=E$1:E1204))))))</f>
        <v> </v>
      </c>
      <c r="K1205" s="26" t="str">
        <f>IF(OR(E1205="",E1205="!!!",F1205="NEW"),"",INDEX(J$1:J1204,SUMPRODUCT(MAX(ROW(E$1:E1204)*(E1205=E$1:E1204)))))</f>
        <v> </v>
      </c>
      <c r="L1205" s="27"/>
    </row>
    <row r="1206" spans="1:12">
      <c r="A1206" s="20" t="s">
        <v>1268</v>
      </c>
      <c r="E1206" s="22">
        <f>IF(D1206="?OLD","!!!","")</f>
        <v/>
      </c>
      <c r="F1206" s="23" t="str">
        <f>IF(OR(E1206="",E1206="!!!"),"",IF(NOT(ISNA(VLOOKUP(E1206,E$1:E1205,1,FALSE()))),"OLD",IF(AND(E1206&lt;&gt;"",E1206&lt;&gt;"!!!"),"NEW","")))</f>
        <v> </v>
      </c>
      <c r="G1206" s="24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5" t="str">
        <f>IF(J1206&lt;&gt;1,"",IF(I1206="SBJ","CB","?"))</f>
        <v> </v>
      </c>
      <c r="I1206" s="26" t="str">
        <f>IF(OR(E1206="",E1206="!!!",F1206="NEW"),"",INDEX(B1205:B$2,-1+SUMPRODUCT(MAX(ROW(E1205:E$2)*(E1206=E1205:E$2)))))</f>
        <v> </v>
      </c>
      <c r="J1206" s="26" t="str">
        <f>IF(OR(E1206="",E1206="!!!",F1206="NEW"),"",COUNTBLANK(OFFSET(A$1,,,SUMPRODUCT(MAX(ROW(E$2:E1206)*(E1206=E$2:E1206)))))-COUNTBLANK(OFFSET(A$1,,,SUMPRODUCT(MAX(ROW(E$1:E1205)*(E2=E$1:E1205))))))</f>
        <v> </v>
      </c>
      <c r="K1206" s="26" t="str">
        <f>IF(OR(E1206="",E1206="!!!",F1206="NEW"),"",INDEX(J$1:J1205,SUMPRODUCT(MAX(ROW(E$1:E1205)*(E1206=E$1:E1205)))))</f>
        <v> </v>
      </c>
      <c r="L1206" s="27"/>
    </row>
    <row r="1207" spans="1:12">
      <c r="A1207" s="20" t="s">
        <v>611</v>
      </c>
      <c r="E1207" s="22">
        <f>IF(D1207="?OLD","!!!","")</f>
        <v/>
      </c>
      <c r="F1207" s="23" t="str">
        <f>IF(OR(E1207="",E1207="!!!"),"",IF(NOT(ISNA(VLOOKUP(E1207,E$1:E1206,1,FALSE()))),"OLD",IF(AND(E1207&lt;&gt;"",E1207&lt;&gt;"!!!"),"NEW","")))</f>
        <v> </v>
      </c>
      <c r="G1207" s="24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5" t="str">
        <f>IF(J1207&lt;&gt;1,"",IF(I1207="SBJ","CB","?"))</f>
        <v> </v>
      </c>
      <c r="I1207" s="26" t="str">
        <f>IF(OR(E1207="",E1207="!!!",F1207="NEW"),"",INDEX(B1206:B$2,-1+SUMPRODUCT(MAX(ROW(E1206:E$2)*(E1207=E1206:E$2)))))</f>
        <v> </v>
      </c>
      <c r="J1207" s="26" t="str">
        <f>IF(OR(E1207="",E1207="!!!",F1207="NEW"),"",COUNTBLANK(OFFSET(A$1,,,SUMPRODUCT(MAX(ROW(E$2:E1207)*(E1207=E$2:E1207)))))-COUNTBLANK(OFFSET(A$1,,,SUMPRODUCT(MAX(ROW(E$1:E1206)*(E2=E$1:E1206))))))</f>
        <v> </v>
      </c>
      <c r="K1207" s="26" t="str">
        <f>IF(OR(E1207="",E1207="!!!",F1207="NEW"),"",INDEX(J$1:J1206,SUMPRODUCT(MAX(ROW(E$1:E1206)*(E1207=E$1:E1206)))))</f>
        <v> </v>
      </c>
      <c r="L1207" s="27"/>
    </row>
    <row r="1208" spans="1:12">
      <c r="A1208" s="20" t="s">
        <v>1269</v>
      </c>
      <c r="E1208" s="22">
        <f>IF(D1208="?OLD","!!!","")</f>
        <v/>
      </c>
      <c r="F1208" s="23" t="str">
        <f>IF(OR(E1208="",E1208="!!!"),"",IF(NOT(ISNA(VLOOKUP(E1208,E$1:E1207,1,FALSE()))),"OLD",IF(AND(E1208&lt;&gt;"",E1208&lt;&gt;"!!!"),"NEW","")))</f>
        <v> </v>
      </c>
      <c r="G1208" s="24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5" t="str">
        <f>IF(J1208&lt;&gt;1,"",IF(I1208="SBJ","CB","?"))</f>
        <v> </v>
      </c>
      <c r="I1208" s="26" t="str">
        <f>IF(OR(E1208="",E1208="!!!",F1208="NEW"),"",INDEX(B1207:B$2,-1+SUMPRODUCT(MAX(ROW(E1207:E$2)*(E1208=E1207:E$2)))))</f>
        <v> </v>
      </c>
      <c r="J1208" s="26" t="str">
        <f>IF(OR(E1208="",E1208="!!!",F1208="NEW"),"",COUNTBLANK(OFFSET(A$1,,,SUMPRODUCT(MAX(ROW(E$2:E1208)*(E1208=E$2:E1208)))))-COUNTBLANK(OFFSET(A$1,,,SUMPRODUCT(MAX(ROW(E$1:E1207)*(E2=E$1:E1207))))))</f>
        <v> </v>
      </c>
      <c r="K1208" s="26" t="str">
        <f>IF(OR(E1208="",E1208="!!!",F1208="NEW"),"",INDEX(J$1:J1207,SUMPRODUCT(MAX(ROW(E$1:E1207)*(E1208=E$1:E1207)))))</f>
        <v> </v>
      </c>
      <c r="L1208" s="27"/>
    </row>
    <row r="1209" spans="1:12">
      <c r="A1209" s="20" t="s">
        <v>611</v>
      </c>
      <c r="E1209" s="22">
        <f>IF(D1209="?OLD","!!!","")</f>
        <v/>
      </c>
      <c r="F1209" s="23" t="str">
        <f>IF(OR(E1209="",E1209="!!!"),"",IF(NOT(ISNA(VLOOKUP(E1209,E$1:E1208,1,FALSE()))),"OLD",IF(AND(E1209&lt;&gt;"",E1209&lt;&gt;"!!!"),"NEW","")))</f>
        <v> </v>
      </c>
      <c r="G1209" s="24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5" t="str">
        <f>IF(J1209&lt;&gt;1,"",IF(I1209="SBJ","CB","?"))</f>
        <v> </v>
      </c>
      <c r="I1209" s="26" t="str">
        <f>IF(OR(E1209="",E1209="!!!",F1209="NEW"),"",INDEX(B1208:B$2,-1+SUMPRODUCT(MAX(ROW(E1208:E$2)*(E1209=E1208:E$2)))))</f>
        <v> </v>
      </c>
      <c r="J1209" s="26" t="str">
        <f>IF(OR(E1209="",E1209="!!!",F1209="NEW"),"",COUNTBLANK(OFFSET(A$1,,,SUMPRODUCT(MAX(ROW(E$2:E1209)*(E1209=E$2:E1209)))))-COUNTBLANK(OFFSET(A$1,,,SUMPRODUCT(MAX(ROW(E$1:E1208)*(E2=E$1:E1208))))))</f>
        <v> </v>
      </c>
      <c r="K1209" s="26" t="str">
        <f>IF(OR(E1209="",E1209="!!!",F1209="NEW"),"",INDEX(J$1:J1208,SUMPRODUCT(MAX(ROW(E$1:E1208)*(E1209=E$1:E1208)))))</f>
        <v> </v>
      </c>
      <c r="L1209" s="27"/>
    </row>
    <row r="1210" spans="1:12">
      <c r="A1210" s="20" t="s">
        <v>863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239</v>
      </c>
      <c r="B1211" s="21" t="s">
        <v>620</v>
      </c>
      <c r="C1211" s="21" t="s">
        <v>723</v>
      </c>
      <c r="D1211" s="21" t="s">
        <v>603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646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1270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 t="s">
        <v>633</v>
      </c>
      <c r="E1214" s="22">
        <f>IF(D1214="?OLD","!!!","")</f>
        <v/>
      </c>
      <c r="F1214" s="23" t="str">
        <f>IF(OR(E1214="",E1214="!!!"),"",IF(NOT(ISNA(VLOOKUP(E1214,E$1:E1213,1,FALSE()))),"OLD",IF(AND(E1214&lt;&gt;"",E1214&lt;&gt;"!!!"),"NEW","")))</f>
        <v> </v>
      </c>
      <c r="G1214" s="24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5" t="str">
        <f>IF(J1214&lt;&gt;1,"",IF(I1214="SBJ","CB","?"))</f>
        <v> </v>
      </c>
      <c r="I1214" s="26" t="str">
        <f>IF(OR(E1214="",E1214="!!!",F1214="NEW"),"",INDEX(B1213:B$2,-1+SUMPRODUCT(MAX(ROW(E1213:E$2)*(E1214=E1213:E$2)))))</f>
        <v> </v>
      </c>
      <c r="J1214" s="26" t="str">
        <f>IF(OR(E1214="",E1214="!!!",F1214="NEW"),"",COUNTBLANK(OFFSET(A$1,,,SUMPRODUCT(MAX(ROW(E$2:E1214)*(E1214=E$2:E1214)))))-COUNTBLANK(OFFSET(A$1,,,SUMPRODUCT(MAX(ROW(E$1:E1213)*(E2=E$1:E1213))))))</f>
        <v> </v>
      </c>
      <c r="K1214" s="26" t="str">
        <f>IF(OR(E1214="",E1214="!!!",F1214="NEW"),"",INDEX(J$1:J1213,SUMPRODUCT(MAX(ROW(E$1:E1213)*(E1214=E$1:E1213)))))</f>
        <v> </v>
      </c>
      <c r="L1214" s="27"/>
    </row>
    <row r="1215" spans="1:12">
      <c r="A1215" s="20"/>
    </row>
    <row r="1216" spans="1:12">
      <c r="A1216" s="20" t="s">
        <v>1271</v>
      </c>
    </row>
    <row r="1217" spans="1:12">
      <c r="A1217" s="20" t="s">
        <v>1006</v>
      </c>
      <c r="E1217" s="22">
        <f>IF(D1217="?OLD","!!!","")</f>
        <v/>
      </c>
      <c r="F1217" s="23" t="str">
        <f>IF(OR(E1217="",E1217="!!!"),"",IF(NOT(ISNA(VLOOKUP(E1217,E$1:E1216,1,FALSE()))),"OLD",IF(AND(E1217&lt;&gt;"",E1217&lt;&gt;"!!!"),"NEW","")))</f>
        <v> </v>
      </c>
      <c r="G1217" s="24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5" t="str">
        <f>IF(J1217&lt;&gt;1,"",IF(I1217="SBJ","CB","?"))</f>
        <v> </v>
      </c>
      <c r="I1217" s="26" t="str">
        <f>IF(OR(E1217="",E1217="!!!",F1217="NEW"),"",INDEX(B1216:B$2,-1+SUMPRODUCT(MAX(ROW(E1216:E$2)*(E1217=E1216:E$2)))))</f>
        <v> </v>
      </c>
      <c r="J1217" s="26" t="str">
        <f>IF(OR(E1217="",E1217="!!!",F1217="NEW"),"",COUNTBLANK(OFFSET(A$1,,,SUMPRODUCT(MAX(ROW(E$2:E1217)*(E1217=E$2:E1217)))))-COUNTBLANK(OFFSET(A$1,,,SUMPRODUCT(MAX(ROW(E$1:E1216)*(E2=E$1:E1216))))))</f>
        <v> </v>
      </c>
      <c r="K1217" s="26" t="str">
        <f>IF(OR(E1217="",E1217="!!!",F1217="NEW"),"",INDEX(J$1:J1216,SUMPRODUCT(MAX(ROW(E$1:E1216)*(E1217=E$1:E1216)))))</f>
        <v> </v>
      </c>
      <c r="L1217" s="27"/>
    </row>
    <row r="1218" spans="1:12">
      <c r="A1218" s="20" t="s">
        <v>615</v>
      </c>
      <c r="B1218" s="21" t="s">
        <v>601</v>
      </c>
      <c r="C1218" s="21" t="s">
        <v>602</v>
      </c>
      <c r="D1218" s="21" t="s">
        <v>603</v>
      </c>
      <c r="E1218" s="22">
        <f>IF(D1218="?OLD","!!!","")</f>
        <v/>
      </c>
      <c r="F1218" s="23" t="str">
        <f>IF(OR(E1218="",E1218="!!!"),"",IF(NOT(ISNA(VLOOKUP(E1218,E$1:E1217,1,FALSE()))),"OLD",IF(AND(E1218&lt;&gt;"",E1218&lt;&gt;"!!!"),"NEW","")))</f>
        <v> </v>
      </c>
      <c r="G1218" s="24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5" t="str">
        <f>IF(J1218&lt;&gt;1,"",IF(I1218="SBJ","CB","?"))</f>
        <v> </v>
      </c>
      <c r="I1218" s="26" t="str">
        <f>IF(OR(E1218="",E1218="!!!",F1218="NEW"),"",INDEX(B1217:B$2,-1+SUMPRODUCT(MAX(ROW(E1217:E$2)*(E1218=E1217:E$2)))))</f>
        <v> </v>
      </c>
      <c r="J1218" s="26" t="str">
        <f>IF(OR(E1218="",E1218="!!!",F1218="NEW"),"",COUNTBLANK(OFFSET(A$1,,,SUMPRODUCT(MAX(ROW(E$2:E1218)*(E1218=E$2:E1218)))))-COUNTBLANK(OFFSET(A$1,,,SUMPRODUCT(MAX(ROW(E$1:E1217)*(E2=E$1:E1217))))))</f>
        <v> </v>
      </c>
      <c r="K1218" s="26" t="str">
        <f>IF(OR(E1218="",E1218="!!!",F1218="NEW"),"",INDEX(J$1:J1217,SUMPRODUCT(MAX(ROW(E$1:E1217)*(E1218=E$1:E1217)))))</f>
        <v> </v>
      </c>
      <c r="L1218" s="27"/>
    </row>
    <row r="1219" spans="1:12">
      <c r="A1219" s="20" t="s">
        <v>1272</v>
      </c>
      <c r="E1219" s="22">
        <f>IF(D1219="?OLD","!!!","")</f>
        <v/>
      </c>
      <c r="F1219" s="23" t="str">
        <f>IF(OR(E1219="",E1219="!!!"),"",IF(NOT(ISNA(VLOOKUP(E1219,E$1:E1218,1,FALSE()))),"OLD",IF(AND(E1219&lt;&gt;"",E1219&lt;&gt;"!!!"),"NEW","")))</f>
        <v> </v>
      </c>
      <c r="G1219" s="24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5" t="str">
        <f>IF(J1219&lt;&gt;1,"",IF(I1219="SBJ","CB","?"))</f>
        <v> </v>
      </c>
      <c r="I1219" s="26" t="str">
        <f>IF(OR(E1219="",E1219="!!!",F1219="NEW"),"",INDEX(B1218:B$2,-1+SUMPRODUCT(MAX(ROW(E1218:E$2)*(E1219=E1218:E$2)))))</f>
        <v> </v>
      </c>
      <c r="J1219" s="26" t="str">
        <f>IF(OR(E1219="",E1219="!!!",F1219="NEW"),"",COUNTBLANK(OFFSET(A$1,,,SUMPRODUCT(MAX(ROW(E$2:E1219)*(E1219=E$2:E1219)))))-COUNTBLANK(OFFSET(A$1,,,SUMPRODUCT(MAX(ROW(E$1:E1218)*(E2=E$1:E1218))))))</f>
        <v> </v>
      </c>
      <c r="K1219" s="26" t="str">
        <f>IF(OR(E1219="",E1219="!!!",F1219="NEW"),"",INDEX(J$1:J1218,SUMPRODUCT(MAX(ROW(E$1:E1218)*(E1219=E$1:E1218)))))</f>
        <v> </v>
      </c>
      <c r="L1219" s="27"/>
    </row>
    <row r="1220" spans="1:12">
      <c r="A1220" s="20" t="s">
        <v>611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658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722</v>
      </c>
      <c r="B1222" s="21" t="s">
        <v>636</v>
      </c>
      <c r="C1222" s="21" t="s">
        <v>723</v>
      </c>
      <c r="D1222" s="21" t="s">
        <v>603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 t="s">
        <v>677</v>
      </c>
      <c r="E1223" s="22">
        <f>IF(D1223="?OLD","!!!","")</f>
        <v/>
      </c>
      <c r="F1223" s="23" t="str">
        <f>IF(OR(E1223="",E1223="!!!"),"",IF(NOT(ISNA(VLOOKUP(E1223,E$1:E1222,1,FALSE()))),"OLD",IF(AND(E1223&lt;&gt;"",E1223&lt;&gt;"!!!"),"NEW","")))</f>
        <v> </v>
      </c>
      <c r="G1223" s="24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5" t="str">
        <f>IF(J1223&lt;&gt;1,"",IF(I1223="SBJ","CB","?"))</f>
        <v> </v>
      </c>
      <c r="I1223" s="26" t="str">
        <f>IF(OR(E1223="",E1223="!!!",F1223="NEW"),"",INDEX(B1222:B$2,-1+SUMPRODUCT(MAX(ROW(E1222:E$2)*(E1223=E1222:E$2)))))</f>
        <v> </v>
      </c>
      <c r="J1223" s="26" t="str">
        <f>IF(OR(E1223="",E1223="!!!",F1223="NEW"),"",COUNTBLANK(OFFSET(A$1,,,SUMPRODUCT(MAX(ROW(E$2:E1223)*(E1223=E$2:E1223)))))-COUNTBLANK(OFFSET(A$1,,,SUMPRODUCT(MAX(ROW(E$1:E1222)*(E2=E$1:E1222))))))</f>
        <v> </v>
      </c>
      <c r="K1223" s="26" t="str">
        <f>IF(OR(E1223="",E1223="!!!",F1223="NEW"),"",INDEX(J$1:J1222,SUMPRODUCT(MAX(ROW(E$1:E1222)*(E1223=E$1:E1222)))))</f>
        <v> </v>
      </c>
      <c r="L1223" s="27"/>
    </row>
    <row r="1224" spans="1:12">
      <c r="A1224" s="20" t="s">
        <v>1273</v>
      </c>
      <c r="E1224" s="22">
        <f>IF(D1224="?OLD","!!!","")</f>
        <v/>
      </c>
      <c r="F1224" s="23" t="str">
        <f>IF(OR(E1224="",E1224="!!!"),"",IF(NOT(ISNA(VLOOKUP(E1224,E$1:E1223,1,FALSE()))),"OLD",IF(AND(E1224&lt;&gt;"",E1224&lt;&gt;"!!!"),"NEW","")))</f>
        <v> </v>
      </c>
      <c r="G1224" s="24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5" t="str">
        <f>IF(J1224&lt;&gt;1,"",IF(I1224="SBJ","CB","?"))</f>
        <v> </v>
      </c>
      <c r="I1224" s="26" t="str">
        <f>IF(OR(E1224="",E1224="!!!",F1224="NEW"),"",INDEX(B1223:B$2,-1+SUMPRODUCT(MAX(ROW(E1223:E$2)*(E1224=E1223:E$2)))))</f>
        <v> </v>
      </c>
      <c r="J1224" s="26" t="str">
        <f>IF(OR(E1224="",E1224="!!!",F1224="NEW"),"",COUNTBLANK(OFFSET(A$1,,,SUMPRODUCT(MAX(ROW(E$2:E1224)*(E1224=E$2:E1224)))))-COUNTBLANK(OFFSET(A$1,,,SUMPRODUCT(MAX(ROW(E$1:E1223)*(E2=E$1:E1223))))))</f>
        <v> </v>
      </c>
      <c r="K1224" s="26" t="str">
        <f>IF(OR(E1224="",E1224="!!!",F1224="NEW"),"",INDEX(J$1:J1223,SUMPRODUCT(MAX(ROW(E$1:E1223)*(E1224=E$1:E1223)))))</f>
        <v> </v>
      </c>
      <c r="L1224" s="27"/>
    </row>
    <row r="1225" spans="1:12">
      <c r="A1225" s="20" t="s">
        <v>633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/>
    </row>
    <row r="1227" spans="1:12">
      <c r="A1227" s="20" t="s">
        <v>1274</v>
      </c>
    </row>
    <row r="1228" spans="1:12">
      <c r="A1228" s="20" t="s">
        <v>1275</v>
      </c>
      <c r="E1228" s="22">
        <f>IF(D1228="?OLD","!!!","")</f>
        <v/>
      </c>
      <c r="F1228" s="23" t="str">
        <f>IF(OR(E1228="",E1228="!!!"),"",IF(NOT(ISNA(VLOOKUP(E1228,E$1:E1227,1,FALSE()))),"OLD",IF(AND(E1228&lt;&gt;"",E1228&lt;&gt;"!!!"),"NEW","")))</f>
        <v> </v>
      </c>
      <c r="G1228" s="24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5" t="str">
        <f>IF(J1228&lt;&gt;1,"",IF(I1228="SBJ","CB","?"))</f>
        <v> </v>
      </c>
      <c r="I1228" s="26" t="str">
        <f>IF(OR(E1228="",E1228="!!!",F1228="NEW"),"",INDEX(B1227:B$2,-1+SUMPRODUCT(MAX(ROW(E1227:E$2)*(E1228=E1227:E$2)))))</f>
        <v> </v>
      </c>
      <c r="J1228" s="26" t="str">
        <f>IF(OR(E1228="",E1228="!!!",F1228="NEW"),"",COUNTBLANK(OFFSET(A$1,,,SUMPRODUCT(MAX(ROW(E$2:E1228)*(E1228=E$2:E1228)))))-COUNTBLANK(OFFSET(A$1,,,SUMPRODUCT(MAX(ROW(E$1:E1227)*(E2=E$1:E1227))))))</f>
        <v> </v>
      </c>
      <c r="K1228" s="26" t="str">
        <f>IF(OR(E1228="",E1228="!!!",F1228="NEW"),"",INDEX(J$1:J1227,SUMPRODUCT(MAX(ROW(E$1:E1227)*(E1228=E$1:E1227)))))</f>
        <v> </v>
      </c>
      <c r="L1228" s="27"/>
    </row>
    <row r="1229" spans="1:12">
      <c r="A1229" s="20" t="s">
        <v>1243</v>
      </c>
      <c r="B1229" s="21" t="s">
        <v>601</v>
      </c>
      <c r="E1229" s="22">
        <f>IF(D1229="?OLD","!!!","")</f>
        <v/>
      </c>
      <c r="F1229" s="23" t="str">
        <f>IF(OR(E1229="",E1229="!!!"),"",IF(NOT(ISNA(VLOOKUP(E1229,E$1:E1228,1,FALSE()))),"OLD",IF(AND(E1229&lt;&gt;"",E1229&lt;&gt;"!!!"),"NEW","")))</f>
        <v> </v>
      </c>
      <c r="G1229" s="24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5" t="str">
        <f>IF(J1229&lt;&gt;1,"",IF(I1229="SBJ","CB","?"))</f>
        <v> </v>
      </c>
      <c r="I1229" s="26" t="str">
        <f>IF(OR(E1229="",E1229="!!!",F1229="NEW"),"",INDEX(B1228:B$2,-1+SUMPRODUCT(MAX(ROW(E1228:E$2)*(E1229=E1228:E$2)))))</f>
        <v> </v>
      </c>
      <c r="J1229" s="26" t="str">
        <f>IF(OR(E1229="",E1229="!!!",F1229="NEW"),"",COUNTBLANK(OFFSET(A$1,,,SUMPRODUCT(MAX(ROW(E$2:E1229)*(E1229=E$2:E1229)))))-COUNTBLANK(OFFSET(A$1,,,SUMPRODUCT(MAX(ROW(E$1:E1228)*(E2=E$1:E1228))))))</f>
        <v> </v>
      </c>
      <c r="K1229" s="26" t="str">
        <f>IF(OR(E1229="",E1229="!!!",F1229="NEW"),"",INDEX(J$1:J1228,SUMPRODUCT(MAX(ROW(E$1:E1228)*(E1229=E$1:E1228)))))</f>
        <v> </v>
      </c>
      <c r="L1229" s="27"/>
    </row>
    <row r="1230" spans="1:12">
      <c r="A1230" s="20" t="s">
        <v>677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 t="s">
        <v>722</v>
      </c>
      <c r="B1231" s="21" t="s">
        <v>601</v>
      </c>
      <c r="C1231" s="21" t="s">
        <v>723</v>
      </c>
      <c r="D1231" s="21" t="s">
        <v>603</v>
      </c>
      <c r="E1231" s="22">
        <f>IF(D1231="?OLD","!!!","")</f>
        <v/>
      </c>
      <c r="F1231" s="23" t="str">
        <f>IF(OR(E1231="",E1231="!!!"),"",IF(NOT(ISNA(VLOOKUP(E1231,E$1:E1230,1,FALSE()))),"OLD",IF(AND(E1231&lt;&gt;"",E1231&lt;&gt;"!!!"),"NEW","")))</f>
        <v> </v>
      </c>
      <c r="G1231" s="24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5" t="str">
        <f>IF(J1231&lt;&gt;1,"",IF(I1231="SBJ","CB","?"))</f>
        <v> </v>
      </c>
      <c r="I1231" s="26" t="str">
        <f>IF(OR(E1231="",E1231="!!!",F1231="NEW"),"",INDEX(B1230:B$2,-1+SUMPRODUCT(MAX(ROW(E1230:E$2)*(E1231=E1230:E$2)))))</f>
        <v> </v>
      </c>
      <c r="J1231" s="26" t="str">
        <f>IF(OR(E1231="",E1231="!!!",F1231="NEW"),"",COUNTBLANK(OFFSET(A$1,,,SUMPRODUCT(MAX(ROW(E$2:E1231)*(E1231=E$2:E1231)))))-COUNTBLANK(OFFSET(A$1,,,SUMPRODUCT(MAX(ROW(E$1:E1230)*(E2=E$1:E1230))))))</f>
        <v> </v>
      </c>
      <c r="K1231" s="26" t="str">
        <f>IF(OR(E1231="",E1231="!!!",F1231="NEW"),"",INDEX(J$1:J1230,SUMPRODUCT(MAX(ROW(E$1:E1230)*(E1231=E$1:E1230)))))</f>
        <v> </v>
      </c>
      <c r="L1231" s="27"/>
    </row>
    <row r="1232" spans="1:12">
      <c r="A1232" s="20" t="s">
        <v>664</v>
      </c>
      <c r="E1232" s="22">
        <f>IF(D1232="?OLD","!!!","")</f>
        <v/>
      </c>
      <c r="F1232" s="23" t="str">
        <f>IF(OR(E1232="",E1232="!!!"),"",IF(NOT(ISNA(VLOOKUP(E1232,E$1:E1231,1,FALSE()))),"OLD",IF(AND(E1232&lt;&gt;"",E1232&lt;&gt;"!!!"),"NEW","")))</f>
        <v> </v>
      </c>
      <c r="G1232" s="24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5" t="str">
        <f>IF(J1232&lt;&gt;1,"",IF(I1232="SBJ","CB","?"))</f>
        <v> </v>
      </c>
      <c r="I1232" s="26" t="str">
        <f>IF(OR(E1232="",E1232="!!!",F1232="NEW"),"",INDEX(B1231:B$2,-1+SUMPRODUCT(MAX(ROW(E1231:E$2)*(E1232=E1231:E$2)))))</f>
        <v> </v>
      </c>
      <c r="J1232" s="26" t="str">
        <f>IF(OR(E1232="",E1232="!!!",F1232="NEW"),"",COUNTBLANK(OFFSET(A$1,,,SUMPRODUCT(MAX(ROW(E$2:E1232)*(E1232=E$2:E1232)))))-COUNTBLANK(OFFSET(A$1,,,SUMPRODUCT(MAX(ROW(E$1:E1231)*(E2=E$1:E1231))))))</f>
        <v> </v>
      </c>
      <c r="K1232" s="26" t="str">
        <f>IF(OR(E1232="",E1232="!!!",F1232="NEW"),"",INDEX(J$1:J1231,SUMPRODUCT(MAX(ROW(E$1:E1231)*(E1232=E$1:E1231)))))</f>
        <v> </v>
      </c>
      <c r="L1232" s="27"/>
    </row>
    <row r="1233" spans="1:12">
      <c r="A1233" s="20" t="s">
        <v>215</v>
      </c>
      <c r="E1233" s="22">
        <f>IF(D1233="?OLD","!!!","")</f>
        <v/>
      </c>
      <c r="F1233" s="23" t="str">
        <f>IF(OR(E1233="",E1233="!!!"),"",IF(NOT(ISNA(VLOOKUP(E1233,E$1:E1232,1,FALSE()))),"OLD",IF(AND(E1233&lt;&gt;"",E1233&lt;&gt;"!!!"),"NEW","")))</f>
        <v> </v>
      </c>
      <c r="G1233" s="24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5" t="str">
        <f>IF(J1233&lt;&gt;1,"",IF(I1233="SBJ","CB","?"))</f>
        <v> </v>
      </c>
      <c r="I1233" s="26" t="str">
        <f>IF(OR(E1233="",E1233="!!!",F1233="NEW"),"",INDEX(B1232:B$2,-1+SUMPRODUCT(MAX(ROW(E1232:E$2)*(E1233=E1232:E$2)))))</f>
        <v> </v>
      </c>
      <c r="J1233" s="26" t="str">
        <f>IF(OR(E1233="",E1233="!!!",F1233="NEW"),"",COUNTBLANK(OFFSET(A$1,,,SUMPRODUCT(MAX(ROW(E$2:E1233)*(E1233=E$2:E1233)))))-COUNTBLANK(OFFSET(A$1,,,SUMPRODUCT(MAX(ROW(E$1:E1232)*(E2=E$1:E1232))))))</f>
        <v> </v>
      </c>
      <c r="K1233" s="26" t="str">
        <f>IF(OR(E1233="",E1233="!!!",F1233="NEW"),"",INDEX(J$1:J1232,SUMPRODUCT(MAX(ROW(E$1:E1232)*(E1233=E$1:E1232)))))</f>
        <v> </v>
      </c>
      <c r="L1233" s="27"/>
    </row>
    <row r="1234" spans="1:12">
      <c r="A1234" s="20" t="s">
        <v>611</v>
      </c>
      <c r="E1234" s="22">
        <f>IF(D1234="?OLD","!!!","")</f>
        <v/>
      </c>
      <c r="F1234" s="23" t="str">
        <f>IF(OR(E1234="",E1234="!!!"),"",IF(NOT(ISNA(VLOOKUP(E1234,E$1:E1233,1,FALSE()))),"OLD",IF(AND(E1234&lt;&gt;"",E1234&lt;&gt;"!!!"),"NEW","")))</f>
        <v> </v>
      </c>
      <c r="G1234" s="24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5" t="str">
        <f>IF(J1234&lt;&gt;1,"",IF(I1234="SBJ","CB","?"))</f>
        <v> </v>
      </c>
      <c r="I1234" s="26" t="str">
        <f>IF(OR(E1234="",E1234="!!!",F1234="NEW"),"",INDEX(B1233:B$2,-1+SUMPRODUCT(MAX(ROW(E1233:E$2)*(E1234=E1233:E$2)))))</f>
        <v> </v>
      </c>
      <c r="J1234" s="26" t="str">
        <f>IF(OR(E1234="",E1234="!!!",F1234="NEW"),"",COUNTBLANK(OFFSET(A$1,,,SUMPRODUCT(MAX(ROW(E$2:E1234)*(E1234=E$2:E1234)))))-COUNTBLANK(OFFSET(A$1,,,SUMPRODUCT(MAX(ROW(E$1:E1233)*(E2=E$1:E1233))))))</f>
        <v> </v>
      </c>
      <c r="K1234" s="26" t="str">
        <f>IF(OR(E1234="",E1234="!!!",F1234="NEW"),"",INDEX(J$1:J1233,SUMPRODUCT(MAX(ROW(E$1:E1233)*(E1234=E$1:E1233)))))</f>
        <v> </v>
      </c>
      <c r="L1234" s="27"/>
    </row>
    <row r="1235" spans="1:12">
      <c r="A1235" s="20" t="s">
        <v>1276</v>
      </c>
      <c r="B1235" s="21" t="s">
        <v>793</v>
      </c>
      <c r="C1235" s="21" t="s">
        <v>614</v>
      </c>
      <c r="E1235" s="22">
        <f>IF(D1235="?OLD","!!!","")</f>
        <v/>
      </c>
      <c r="F1235" s="23" t="str">
        <f>IF(OR(E1235="",E1235="!!!"),"",IF(NOT(ISNA(VLOOKUP(E1235,E$1:E1234,1,FALSE()))),"OLD",IF(AND(E1235&lt;&gt;"",E1235&lt;&gt;"!!!"),"NEW","")))</f>
        <v> </v>
      </c>
      <c r="G1235" s="24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5" t="str">
        <f>IF(J1235&lt;&gt;1,"",IF(I1235="SBJ","CB","?"))</f>
        <v> </v>
      </c>
      <c r="I1235" s="26" t="str">
        <f>IF(OR(E1235="",E1235="!!!",F1235="NEW"),"",INDEX(B1234:B$2,-1+SUMPRODUCT(MAX(ROW(E1234:E$2)*(E1235=E1234:E$2)))))</f>
        <v> </v>
      </c>
      <c r="J1235" s="26" t="str">
        <f>IF(OR(E1235="",E1235="!!!",F1235="NEW"),"",COUNTBLANK(OFFSET(A$1,,,SUMPRODUCT(MAX(ROW(E$2:E1235)*(E1235=E$2:E1235)))))-COUNTBLANK(OFFSET(A$1,,,SUMPRODUCT(MAX(ROW(E$1:E1234)*(E2=E$1:E1234))))))</f>
        <v> </v>
      </c>
      <c r="K1235" s="26" t="str">
        <f>IF(OR(E1235="",E1235="!!!",F1235="NEW"),"",INDEX(J$1:J1234,SUMPRODUCT(MAX(ROW(E$1:E1234)*(E1235=E$1:E1234)))))</f>
        <v> </v>
      </c>
      <c r="L1235" s="27"/>
    </row>
    <row r="1236" spans="1:12">
      <c r="A1236" s="20" t="s">
        <v>1277</v>
      </c>
      <c r="E1236" s="22">
        <f>IF(D1236="?OLD","!!!","")</f>
        <v/>
      </c>
      <c r="F1236" s="23" t="str">
        <f>IF(OR(E1236="",E1236="!!!"),"",IF(NOT(ISNA(VLOOKUP(E1236,E$1:E1235,1,FALSE()))),"OLD",IF(AND(E1236&lt;&gt;"",E1236&lt;&gt;"!!!"),"NEW","")))</f>
        <v> </v>
      </c>
      <c r="G1236" s="24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5" t="str">
        <f>IF(J1236&lt;&gt;1,"",IF(I1236="SBJ","CB","?"))</f>
        <v> </v>
      </c>
      <c r="I1236" s="26" t="str">
        <f>IF(OR(E1236="",E1236="!!!",F1236="NEW"),"",INDEX(B1235:B$2,-1+SUMPRODUCT(MAX(ROW(E1235:E$2)*(E1236=E1235:E$2)))))</f>
        <v> </v>
      </c>
      <c r="J1236" s="26" t="str">
        <f>IF(OR(E1236="",E1236="!!!",F1236="NEW"),"",COUNTBLANK(OFFSET(A$1,,,SUMPRODUCT(MAX(ROW(E$2:E1236)*(E1236=E$2:E1236)))))-COUNTBLANK(OFFSET(A$1,,,SUMPRODUCT(MAX(ROW(E$1:E1235)*(E2=E$1:E1235))))))</f>
        <v> </v>
      </c>
      <c r="K1236" s="26" t="str">
        <f>IF(OR(E1236="",E1236="!!!",F1236="NEW"),"",INDEX(J$1:J1235,SUMPRODUCT(MAX(ROW(E$1:E1235)*(E1236=E$1:E1235)))))</f>
        <v> </v>
      </c>
      <c r="L1236" s="27"/>
    </row>
    <row r="1237" spans="1:12">
      <c r="A1237" s="20" t="s">
        <v>1252</v>
      </c>
      <c r="E1237" s="22">
        <f>IF(D1237="?OLD","!!!","")</f>
        <v/>
      </c>
      <c r="F1237" s="23" t="str">
        <f>IF(OR(E1237="",E1237="!!!"),"",IF(NOT(ISNA(VLOOKUP(E1237,E$1:E1236,1,FALSE()))),"OLD",IF(AND(E1237&lt;&gt;"",E1237&lt;&gt;"!!!"),"NEW","")))</f>
        <v> </v>
      </c>
      <c r="G1237" s="24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5" t="str">
        <f>IF(J1237&lt;&gt;1,"",IF(I1237="SBJ","CB","?"))</f>
        <v> </v>
      </c>
      <c r="I1237" s="26" t="str">
        <f>IF(OR(E1237="",E1237="!!!",F1237="NEW"),"",INDEX(B1236:B$2,-1+SUMPRODUCT(MAX(ROW(E1236:E$2)*(E1237=E1236:E$2)))))</f>
        <v> </v>
      </c>
      <c r="J1237" s="26" t="str">
        <f>IF(OR(E1237="",E1237="!!!",F1237="NEW"),"",COUNTBLANK(OFFSET(A$1,,,SUMPRODUCT(MAX(ROW(E$2:E1237)*(E1237=E$2:E1237)))))-COUNTBLANK(OFFSET(A$1,,,SUMPRODUCT(MAX(ROW(E$1:E1236)*(E2=E$1:E1236))))))</f>
        <v> </v>
      </c>
      <c r="K1237" s="26" t="str">
        <f>IF(OR(E1237="",E1237="!!!",F1237="NEW"),"",INDEX(J$1:J1236,SUMPRODUCT(MAX(ROW(E$1:E1236)*(E1237=E$1:E1236)))))</f>
        <v> </v>
      </c>
      <c r="L1237" s="27"/>
    </row>
    <row r="1238" spans="1:12">
      <c r="A1238" s="20" t="s">
        <v>1278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611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 t="s">
        <v>739</v>
      </c>
      <c r="E1240" s="22">
        <f>IF(D1240="?OLD","!!!","")</f>
        <v/>
      </c>
      <c r="F1240" s="23" t="str">
        <f>IF(OR(E1240="",E1240="!!!"),"",IF(NOT(ISNA(VLOOKUP(E1240,E$1:E1239,1,FALSE()))),"OLD",IF(AND(E1240&lt;&gt;"",E1240&lt;&gt;"!!!"),"NEW","")))</f>
        <v> </v>
      </c>
      <c r="G1240" s="24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5" t="str">
        <f>IF(J1240&lt;&gt;1,"",IF(I1240="SBJ","CB","?"))</f>
        <v> </v>
      </c>
      <c r="I1240" s="26" t="str">
        <f>IF(OR(E1240="",E1240="!!!",F1240="NEW"),"",INDEX(B1239:B$2,-1+SUMPRODUCT(MAX(ROW(E1239:E$2)*(E1240=E1239:E$2)))))</f>
        <v> </v>
      </c>
      <c r="J1240" s="26" t="str">
        <f>IF(OR(E1240="",E1240="!!!",F1240="NEW"),"",COUNTBLANK(OFFSET(A$1,,,SUMPRODUCT(MAX(ROW(E$2:E1240)*(E1240=E$2:E1240)))))-COUNTBLANK(OFFSET(A$1,,,SUMPRODUCT(MAX(ROW(E$1:E1239)*(E2=E$1:E1239))))))</f>
        <v> </v>
      </c>
      <c r="K1240" s="26" t="str">
        <f>IF(OR(E1240="",E1240="!!!",F1240="NEW"),"",INDEX(J$1:J1239,SUMPRODUCT(MAX(ROW(E$1:E1239)*(E1240=E$1:E1239)))))</f>
        <v> </v>
      </c>
      <c r="L1240" s="27"/>
    </row>
    <row r="1241" spans="1:12">
      <c r="A1241" s="20" t="s">
        <v>1279</v>
      </c>
      <c r="E1241" s="22">
        <f>IF(D1241="?OLD","!!!","")</f>
        <v/>
      </c>
      <c r="F1241" s="23" t="str">
        <f>IF(OR(E1241="",E1241="!!!"),"",IF(NOT(ISNA(VLOOKUP(E1241,E$1:E1240,1,FALSE()))),"OLD",IF(AND(E1241&lt;&gt;"",E1241&lt;&gt;"!!!"),"NEW","")))</f>
        <v> </v>
      </c>
      <c r="G1241" s="24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5" t="str">
        <f>IF(J1241&lt;&gt;1,"",IF(I1241="SBJ","CB","?"))</f>
        <v> </v>
      </c>
      <c r="I1241" s="26" t="str">
        <f>IF(OR(E1241="",E1241="!!!",F1241="NEW"),"",INDEX(B1240:B$2,-1+SUMPRODUCT(MAX(ROW(E1240:E$2)*(E1241=E1240:E$2)))))</f>
        <v> </v>
      </c>
      <c r="J1241" s="26" t="str">
        <f>IF(OR(E1241="",E1241="!!!",F1241="NEW"),"",COUNTBLANK(OFFSET(A$1,,,SUMPRODUCT(MAX(ROW(E$2:E1241)*(E1241=E$2:E1241)))))-COUNTBLANK(OFFSET(A$1,,,SUMPRODUCT(MAX(ROW(E$1:E1240)*(E2=E$1:E1240))))))</f>
        <v> </v>
      </c>
      <c r="K1241" s="26" t="str">
        <f>IF(OR(E1241="",E1241="!!!",F1241="NEW"),"",INDEX(J$1:J1240,SUMPRODUCT(MAX(ROW(E$1:E1240)*(E1241=E$1:E1240)))))</f>
        <v> </v>
      </c>
      <c r="L1241" s="27"/>
    </row>
    <row r="1242" spans="1:12">
      <c r="A1242" s="20" t="s">
        <v>1280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827</v>
      </c>
      <c r="B1243" s="21" t="s">
        <v>793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633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/>
    </row>
    <row r="1246" spans="1:12">
      <c r="A1246" s="20" t="s">
        <v>1281</v>
      </c>
    </row>
    <row r="1247" spans="1:12">
      <c r="A1247" s="20" t="s">
        <v>1282</v>
      </c>
      <c r="B1247" s="21" t="s">
        <v>601</v>
      </c>
      <c r="C1247" s="21" t="s">
        <v>723</v>
      </c>
      <c r="D1247" s="21" t="s">
        <v>603</v>
      </c>
      <c r="E1247" s="22">
        <f>IF(D1247="?OLD","!!!","")</f>
        <v/>
      </c>
      <c r="F1247" s="23" t="str">
        <f>IF(OR(E1247="",E1247="!!!"),"",IF(NOT(ISNA(VLOOKUP(E1247,E$1:E1246,1,FALSE()))),"OLD",IF(AND(E1247&lt;&gt;"",E1247&lt;&gt;"!!!"),"NEW","")))</f>
        <v> </v>
      </c>
      <c r="G1247" s="24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5" t="str">
        <f>IF(J1247&lt;&gt;1,"",IF(I1247="SBJ","CB","?"))</f>
        <v> </v>
      </c>
      <c r="I1247" s="26" t="str">
        <f>IF(OR(E1247="",E1247="!!!",F1247="NEW"),"",INDEX(B1246:B$2,-1+SUMPRODUCT(MAX(ROW(E1246:E$2)*(E1247=E1246:E$2)))))</f>
        <v> </v>
      </c>
      <c r="J1247" s="26" t="str">
        <f>IF(OR(E1247="",E1247="!!!",F1247="NEW"),"",COUNTBLANK(OFFSET(A$1,,,SUMPRODUCT(MAX(ROW(E$2:E1247)*(E1247=E$2:E1247)))))-COUNTBLANK(OFFSET(A$1,,,SUMPRODUCT(MAX(ROW(E$1:E1246)*(E2=E$1:E1246))))))</f>
        <v> </v>
      </c>
      <c r="K1247" s="26" t="str">
        <f>IF(OR(E1247="",E1247="!!!",F1247="NEW"),"",INDEX(J$1:J1246,SUMPRODUCT(MAX(ROW(E$1:E1246)*(E1247=E$1:E1246)))))</f>
        <v> </v>
      </c>
      <c r="L1247" s="27"/>
    </row>
    <row r="1248" spans="1:12">
      <c r="A1248" s="20" t="s">
        <v>677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 t="s">
        <v>219</v>
      </c>
      <c r="E1249" s="22">
        <f>IF(D1249="?OLD","!!!","")</f>
        <v/>
      </c>
      <c r="F1249" s="23" t="str">
        <f>IF(OR(E1249="",E1249="!!!"),"",IF(NOT(ISNA(VLOOKUP(E1249,E$1:E1248,1,FALSE()))),"OLD",IF(AND(E1249&lt;&gt;"",E1249&lt;&gt;"!!!"),"NEW","")))</f>
        <v> </v>
      </c>
      <c r="G1249" s="24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5" t="str">
        <f>IF(J1249&lt;&gt;1,"",IF(I1249="SBJ","CB","?"))</f>
        <v> </v>
      </c>
      <c r="I1249" s="26" t="str">
        <f>IF(OR(E1249="",E1249="!!!",F1249="NEW"),"",INDEX(B1248:B$2,-1+SUMPRODUCT(MAX(ROW(E1248:E$2)*(E1249=E1248:E$2)))))</f>
        <v> </v>
      </c>
      <c r="J1249" s="26" t="str">
        <f>IF(OR(E1249="",E1249="!!!",F1249="NEW"),"",COUNTBLANK(OFFSET(A$1,,,SUMPRODUCT(MAX(ROW(E$2:E1249)*(E1249=E$2:E1249)))))-COUNTBLANK(OFFSET(A$1,,,SUMPRODUCT(MAX(ROW(E$1:E1248)*(E2=E$1:E1248))))))</f>
        <v> </v>
      </c>
      <c r="K1249" s="26" t="str">
        <f>IF(OR(E1249="",E1249="!!!",F1249="NEW"),"",INDEX(J$1:J1248,SUMPRODUCT(MAX(ROW(E$1:E1248)*(E1249=E$1:E1248)))))</f>
        <v> </v>
      </c>
      <c r="L1249" s="27"/>
    </row>
    <row r="1250" spans="1:12">
      <c r="A1250" s="20" t="s">
        <v>781</v>
      </c>
      <c r="B1250" s="21" t="s">
        <v>609</v>
      </c>
      <c r="C1250" s="21" t="s">
        <v>733</v>
      </c>
      <c r="D1250" s="21" t="s">
        <v>603</v>
      </c>
      <c r="E1250" s="22">
        <f>IF(D1250="?OLD","!!!","")</f>
        <v/>
      </c>
      <c r="F1250" s="23" t="str">
        <f>IF(OR(E1250="",E1250="!!!"),"",IF(NOT(ISNA(VLOOKUP(E1250,E$1:E1249,1,FALSE()))),"OLD",IF(AND(E1250&lt;&gt;"",E1250&lt;&gt;"!!!"),"NEW","")))</f>
        <v> </v>
      </c>
      <c r="G1250" s="24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5" t="str">
        <f>IF(J1250&lt;&gt;1,"",IF(I1250="SBJ","CB","?"))</f>
        <v> </v>
      </c>
      <c r="I1250" s="26" t="str">
        <f>IF(OR(E1250="",E1250="!!!",F1250="NEW"),"",INDEX(B1249:B$2,-1+SUMPRODUCT(MAX(ROW(E1249:E$2)*(E1250=E1249:E$2)))))</f>
        <v> </v>
      </c>
      <c r="J1250" s="26" t="str">
        <f>IF(OR(E1250="",E1250="!!!",F1250="NEW"),"",COUNTBLANK(OFFSET(A$1,,,SUMPRODUCT(MAX(ROW(E$2:E1250)*(E1250=E$2:E1250)))))-COUNTBLANK(OFFSET(A$1,,,SUMPRODUCT(MAX(ROW(E$1:E1249)*(E2=E$1:E1249))))))</f>
        <v> </v>
      </c>
      <c r="K1250" s="26" t="str">
        <f>IF(OR(E1250="",E1250="!!!",F1250="NEW"),"",INDEX(J$1:J1249,SUMPRODUCT(MAX(ROW(E$1:E1249)*(E1250=E$1:E1249)))))</f>
        <v> </v>
      </c>
      <c r="L1250" s="27"/>
    </row>
    <row r="1251" spans="1:12">
      <c r="A1251" s="20" t="s">
        <v>663</v>
      </c>
      <c r="E1251" s="22">
        <f>IF(D1251="?OLD","!!!","")</f>
        <v/>
      </c>
      <c r="F1251" s="23" t="str">
        <f>IF(OR(E1251="",E1251="!!!"),"",IF(NOT(ISNA(VLOOKUP(E1251,E$1:E1250,1,FALSE()))),"OLD",IF(AND(E1251&lt;&gt;"",E1251&lt;&gt;"!!!"),"NEW","")))</f>
        <v> </v>
      </c>
      <c r="G1251" s="24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5" t="str">
        <f>IF(J1251&lt;&gt;1,"",IF(I1251="SBJ","CB","?"))</f>
        <v> </v>
      </c>
      <c r="I1251" s="26" t="str">
        <f>IF(OR(E1251="",E1251="!!!",F1251="NEW"),"",INDEX(B1250:B$2,-1+SUMPRODUCT(MAX(ROW(E1250:E$2)*(E1251=E1250:E$2)))))</f>
        <v> </v>
      </c>
      <c r="J1251" s="26" t="str">
        <f>IF(OR(E1251="",E1251="!!!",F1251="NEW"),"",COUNTBLANK(OFFSET(A$1,,,SUMPRODUCT(MAX(ROW(E$2:E1251)*(E1251=E$2:E1251)))))-COUNTBLANK(OFFSET(A$1,,,SUMPRODUCT(MAX(ROW(E$1:E1250)*(E2=E$1:E1250))))))</f>
        <v> </v>
      </c>
      <c r="K1251" s="26" t="str">
        <f>IF(OR(E1251="",E1251="!!!",F1251="NEW"),"",INDEX(J$1:J1250,SUMPRODUCT(MAX(ROW(E$1:E1250)*(E1251=E$1:E1250)))))</f>
        <v> </v>
      </c>
      <c r="L1251" s="27"/>
    </row>
    <row r="1252" spans="1:12">
      <c r="A1252" s="20" t="s">
        <v>633</v>
      </c>
      <c r="E1252" s="22">
        <f>IF(D1252="?OLD","!!!","")</f>
        <v/>
      </c>
      <c r="F1252" s="23" t="str">
        <f>IF(OR(E1252="",E1252="!!!"),"",IF(NOT(ISNA(VLOOKUP(E1252,E$1:E1251,1,FALSE()))),"OLD",IF(AND(E1252&lt;&gt;"",E1252&lt;&gt;"!!!"),"NEW","")))</f>
        <v> </v>
      </c>
      <c r="G1252" s="24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5" t="str">
        <f>IF(J1252&lt;&gt;1,"",IF(I1252="SBJ","CB","?"))</f>
        <v> </v>
      </c>
      <c r="I1252" s="26" t="str">
        <f>IF(OR(E1252="",E1252="!!!",F1252="NEW"),"",INDEX(B1251:B$2,-1+SUMPRODUCT(MAX(ROW(E1251:E$2)*(E1252=E1251:E$2)))))</f>
        <v> </v>
      </c>
      <c r="J1252" s="26" t="str">
        <f>IF(OR(E1252="",E1252="!!!",F1252="NEW"),"",COUNTBLANK(OFFSET(A$1,,,SUMPRODUCT(MAX(ROW(E$2:E1252)*(E1252=E$2:E1252)))))-COUNTBLANK(OFFSET(A$1,,,SUMPRODUCT(MAX(ROW(E$1:E1251)*(E2=E$1:E1251))))))</f>
        <v> </v>
      </c>
      <c r="K1252" s="26" t="str">
        <f>IF(OR(E1252="",E1252="!!!",F1252="NEW"),"",INDEX(J$1:J1251,SUMPRODUCT(MAX(ROW(E$1:E1251)*(E1252=E$1:E1251)))))</f>
        <v> </v>
      </c>
      <c r="L1252" s="27"/>
    </row>
    <row r="1253" spans="1:12">
      <c r="A1253" s="20"/>
    </row>
    <row r="1254" spans="1:12">
      <c r="A1254" s="20" t="s">
        <v>1283</v>
      </c>
    </row>
    <row r="1255" spans="1:12">
      <c r="A1255" s="20" t="s">
        <v>600</v>
      </c>
      <c r="B1255" s="21" t="s">
        <v>601</v>
      </c>
      <c r="C1255" s="21" t="s">
        <v>602</v>
      </c>
      <c r="D1255" s="21" t="s">
        <v>603</v>
      </c>
      <c r="E1255" s="22">
        <f>IF(D1255="?OLD","!!!","")</f>
        <v/>
      </c>
      <c r="F1255" s="23" t="str">
        <f>IF(OR(E1255="",E1255="!!!"),"",IF(NOT(ISNA(VLOOKUP(E1255,E$1:E1254,1,FALSE()))),"OLD",IF(AND(E1255&lt;&gt;"",E1255&lt;&gt;"!!!"),"NEW","")))</f>
        <v> </v>
      </c>
      <c r="G1255" s="24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5" t="str">
        <f>IF(J1255&lt;&gt;1,"",IF(I1255="SBJ","CB","?"))</f>
        <v> </v>
      </c>
      <c r="I1255" s="26" t="str">
        <f>IF(OR(E1255="",E1255="!!!",F1255="NEW"),"",INDEX(B1254:B$2,-1+SUMPRODUCT(MAX(ROW(E1254:E$2)*(E1255=E1254:E$2)))))</f>
        <v> </v>
      </c>
      <c r="J1255" s="26" t="str">
        <f>IF(OR(E1255="",E1255="!!!",F1255="NEW"),"",COUNTBLANK(OFFSET(A$1,,,SUMPRODUCT(MAX(ROW(E$2:E1255)*(E1255=E$2:E1255)))))-COUNTBLANK(OFFSET(A$1,,,SUMPRODUCT(MAX(ROW(E$1:E1254)*(E2=E$1:E1254))))))</f>
        <v> </v>
      </c>
      <c r="K1255" s="26" t="str">
        <f>IF(OR(E1255="",E1255="!!!",F1255="NEW"),"",INDEX(J$1:J1254,SUMPRODUCT(MAX(ROW(E$1:E1254)*(E1255=E$1:E1254)))))</f>
        <v> </v>
      </c>
      <c r="L1255" s="27"/>
    </row>
    <row r="1256" spans="1:12">
      <c r="A1256" s="20" t="s">
        <v>1284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877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1243</v>
      </c>
      <c r="B1258" s="21" t="s">
        <v>652</v>
      </c>
      <c r="C1258" s="21" t="s">
        <v>716</v>
      </c>
      <c r="D1258" s="21" t="s">
        <v>603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 t="s">
        <v>611</v>
      </c>
      <c r="E1259" s="22">
        <f>IF(D1259="?OLD","!!!","")</f>
        <v/>
      </c>
      <c r="F1259" s="23" t="str">
        <f>IF(OR(E1259="",E1259="!!!"),"",IF(NOT(ISNA(VLOOKUP(E1259,E$1:E1258,1,FALSE()))),"OLD",IF(AND(E1259&lt;&gt;"",E1259&lt;&gt;"!!!"),"NEW","")))</f>
        <v> </v>
      </c>
      <c r="G1259" s="24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5" t="str">
        <f>IF(J1259&lt;&gt;1,"",IF(I1259="SBJ","CB","?"))</f>
        <v> </v>
      </c>
      <c r="I1259" s="26" t="str">
        <f>IF(OR(E1259="",E1259="!!!",F1259="NEW"),"",INDEX(B1258:B$2,-1+SUMPRODUCT(MAX(ROW(E1258:E$2)*(E1259=E1258:E$2)))))</f>
        <v> </v>
      </c>
      <c r="J1259" s="26" t="str">
        <f>IF(OR(E1259="",E1259="!!!",F1259="NEW"),"",COUNTBLANK(OFFSET(A$1,,,SUMPRODUCT(MAX(ROW(E$2:E1259)*(E1259=E$2:E1259)))))-COUNTBLANK(OFFSET(A$1,,,SUMPRODUCT(MAX(ROW(E$1:E1258)*(E2=E$1:E1258))))))</f>
        <v> </v>
      </c>
      <c r="K1259" s="26" t="str">
        <f>IF(OR(E1259="",E1259="!!!",F1259="NEW"),"",INDEX(J$1:J1258,SUMPRODUCT(MAX(ROW(E$1:E1258)*(E1259=E$1:E1258)))))</f>
        <v> </v>
      </c>
      <c r="L1259" s="27"/>
    </row>
    <row r="1260" spans="1:12">
      <c r="A1260" s="20" t="s">
        <v>655</v>
      </c>
      <c r="E1260" s="22">
        <f>IF(D1260="?OLD","!!!","")</f>
        <v/>
      </c>
      <c r="F1260" s="23" t="str">
        <f>IF(OR(E1260="",E1260="!!!"),"",IF(NOT(ISNA(VLOOKUP(E1260,E$1:E1259,1,FALSE()))),"OLD",IF(AND(E1260&lt;&gt;"",E1260&lt;&gt;"!!!"),"NEW","")))</f>
        <v> </v>
      </c>
      <c r="G1260" s="24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5" t="str">
        <f>IF(J1260&lt;&gt;1,"",IF(I1260="SBJ","CB","?"))</f>
        <v> </v>
      </c>
      <c r="I1260" s="26" t="str">
        <f>IF(OR(E1260="",E1260="!!!",F1260="NEW"),"",INDEX(B1259:B$2,-1+SUMPRODUCT(MAX(ROW(E1259:E$2)*(E1260=E1259:E$2)))))</f>
        <v> </v>
      </c>
      <c r="J1260" s="26" t="str">
        <f>IF(OR(E1260="",E1260="!!!",F1260="NEW"),"",COUNTBLANK(OFFSET(A$1,,,SUMPRODUCT(MAX(ROW(E$2:E1260)*(E1260=E$2:E1260)))))-COUNTBLANK(OFFSET(A$1,,,SUMPRODUCT(MAX(ROW(E$1:E1259)*(E2=E$1:E1259))))))</f>
        <v> </v>
      </c>
      <c r="K1260" s="26" t="str">
        <f>IF(OR(E1260="",E1260="!!!",F1260="NEW"),"",INDEX(J$1:J1259,SUMPRODUCT(MAX(ROW(E$1:E1259)*(E1260=E$1:E1259)))))</f>
        <v> </v>
      </c>
      <c r="L1260" s="27"/>
    </row>
    <row r="1261" spans="1:12">
      <c r="A1261" s="20" t="s">
        <v>1285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1286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 t="s">
        <v>633</v>
      </c>
      <c r="E1263" s="22">
        <f>IF(D1263="?OLD","!!!","")</f>
        <v/>
      </c>
      <c r="F1263" s="23" t="str">
        <f>IF(OR(E1263="",E1263="!!!"),"",IF(NOT(ISNA(VLOOKUP(E1263,E$1:E1262,1,FALSE()))),"OLD",IF(AND(E1263&lt;&gt;"",E1263&lt;&gt;"!!!"),"NEW","")))</f>
        <v> </v>
      </c>
      <c r="G1263" s="24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5" t="str">
        <f>IF(J1263&lt;&gt;1,"",IF(I1263="SBJ","CB","?"))</f>
        <v> </v>
      </c>
      <c r="I1263" s="26" t="str">
        <f>IF(OR(E1263="",E1263="!!!",F1263="NEW"),"",INDEX(B1262:B$2,-1+SUMPRODUCT(MAX(ROW(E1262:E$2)*(E1263=E1262:E$2)))))</f>
        <v> </v>
      </c>
      <c r="J1263" s="26" t="str">
        <f>IF(OR(E1263="",E1263="!!!",F1263="NEW"),"",COUNTBLANK(OFFSET(A$1,,,SUMPRODUCT(MAX(ROW(E$2:E1263)*(E1263=E$2:E1263)))))-COUNTBLANK(OFFSET(A$1,,,SUMPRODUCT(MAX(ROW(E$1:E1262)*(E2=E$1:E1262))))))</f>
        <v> </v>
      </c>
      <c r="K1263" s="26" t="str">
        <f>IF(OR(E1263="",E1263="!!!",F1263="NEW"),"",INDEX(J$1:J1262,SUMPRODUCT(MAX(ROW(E$1:E1262)*(E1263=E$1:E1262)))))</f>
        <v> </v>
      </c>
      <c r="L1263" s="27"/>
    </row>
    <row r="1264" spans="1:12">
      <c r="A1264" s="20"/>
    </row>
    <row r="1265" spans="1:12">
      <c r="A1265" s="20" t="s">
        <v>1287</v>
      </c>
    </row>
    <row r="1266" spans="1:12">
      <c r="A1266" s="20" t="s">
        <v>1288</v>
      </c>
      <c r="E1266" s="22">
        <f>IF(D1266="?OLD","!!!","")</f>
        <v/>
      </c>
      <c r="F1266" s="23" t="str">
        <f>IF(OR(E1266="",E1266="!!!"),"",IF(NOT(ISNA(VLOOKUP(E1266,E$1:E1265,1,FALSE()))),"OLD",IF(AND(E1266&lt;&gt;"",E1266&lt;&gt;"!!!"),"NEW","")))</f>
        <v> </v>
      </c>
      <c r="G1266" s="24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5" t="str">
        <f>IF(J1266&lt;&gt;1,"",IF(I1266="SBJ","CB","?"))</f>
        <v> </v>
      </c>
      <c r="I1266" s="26" t="str">
        <f>IF(OR(E1266="",E1266="!!!",F1266="NEW"),"",INDEX(B1265:B$2,-1+SUMPRODUCT(MAX(ROW(E1265:E$2)*(E1266=E1265:E$2)))))</f>
        <v> </v>
      </c>
      <c r="J1266" s="26" t="str">
        <f>IF(OR(E1266="",E1266="!!!",F1266="NEW"),"",COUNTBLANK(OFFSET(A$1,,,SUMPRODUCT(MAX(ROW(E$2:E1266)*(E1266=E$2:E1266)))))-COUNTBLANK(OFFSET(A$1,,,SUMPRODUCT(MAX(ROW(E$1:E1265)*(E2=E$1:E1265))))))</f>
        <v> </v>
      </c>
      <c r="K1266" s="26" t="str">
        <f>IF(OR(E1266="",E1266="!!!",F1266="NEW"),"",INDEX(J$1:J1265,SUMPRODUCT(MAX(ROW(E$1:E1265)*(E1266=E$1:E1265)))))</f>
        <v> </v>
      </c>
      <c r="L1266" s="27"/>
    </row>
    <row r="1267" spans="1:12">
      <c r="A1267" s="20" t="s">
        <v>615</v>
      </c>
      <c r="B1267" s="21" t="s">
        <v>601</v>
      </c>
      <c r="C1267" s="21" t="s">
        <v>602</v>
      </c>
      <c r="D1267" s="21" t="s">
        <v>603</v>
      </c>
      <c r="E1267" s="22">
        <f>IF(D1267="?OLD","!!!","")</f>
        <v/>
      </c>
      <c r="F1267" s="23" t="str">
        <f>IF(OR(E1267="",E1267="!!!"),"",IF(NOT(ISNA(VLOOKUP(E1267,E$1:E1266,1,FALSE()))),"OLD",IF(AND(E1267&lt;&gt;"",E1267&lt;&gt;"!!!"),"NEW","")))</f>
        <v> </v>
      </c>
      <c r="G1267" s="24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5" t="str">
        <f>IF(J1267&lt;&gt;1,"",IF(I1267="SBJ","CB","?"))</f>
        <v> </v>
      </c>
      <c r="I1267" s="26" t="str">
        <f>IF(OR(E1267="",E1267="!!!",F1267="NEW"),"",INDEX(B1266:B$2,-1+SUMPRODUCT(MAX(ROW(E1266:E$2)*(E1267=E1266:E$2)))))</f>
        <v> </v>
      </c>
      <c r="J1267" s="26" t="str">
        <f>IF(OR(E1267="",E1267="!!!",F1267="NEW"),"",COUNTBLANK(OFFSET(A$1,,,SUMPRODUCT(MAX(ROW(E$2:E1267)*(E1267=E$2:E1267)))))-COUNTBLANK(OFFSET(A$1,,,SUMPRODUCT(MAX(ROW(E$1:E1266)*(E2=E$1:E1266))))))</f>
        <v> </v>
      </c>
      <c r="K1267" s="26" t="str">
        <f>IF(OR(E1267="",E1267="!!!",F1267="NEW"),"",INDEX(J$1:J1266,SUMPRODUCT(MAX(ROW(E$1:E1266)*(E1267=E$1:E1266)))))</f>
        <v> </v>
      </c>
      <c r="L1267" s="27"/>
    </row>
    <row r="1268" spans="1:12">
      <c r="A1268" s="20" t="s">
        <v>1289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 t="s">
        <v>611</v>
      </c>
      <c r="E1269" s="22">
        <f>IF(D1269="?OLD","!!!","")</f>
        <v/>
      </c>
      <c r="F1269" s="23" t="str">
        <f>IF(OR(E1269="",E1269="!!!"),"",IF(NOT(ISNA(VLOOKUP(E1269,E$1:E1268,1,FALSE()))),"OLD",IF(AND(E1269&lt;&gt;"",E1269&lt;&gt;"!!!"),"NEW","")))</f>
        <v> </v>
      </c>
      <c r="G1269" s="24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5" t="str">
        <f>IF(J1269&lt;&gt;1,"",IF(I1269="SBJ","CB","?"))</f>
        <v> </v>
      </c>
      <c r="I1269" s="26" t="str">
        <f>IF(OR(E1269="",E1269="!!!",F1269="NEW"),"",INDEX(B1268:B$2,-1+SUMPRODUCT(MAX(ROW(E1268:E$2)*(E1269=E1268:E$2)))))</f>
        <v> </v>
      </c>
      <c r="J1269" s="26" t="str">
        <f>IF(OR(E1269="",E1269="!!!",F1269="NEW"),"",COUNTBLANK(OFFSET(A$1,,,SUMPRODUCT(MAX(ROW(E$2:E1269)*(E1269=E$2:E1269)))))-COUNTBLANK(OFFSET(A$1,,,SUMPRODUCT(MAX(ROW(E$1:E1268)*(E2=E$1:E1268))))))</f>
        <v> </v>
      </c>
      <c r="K1269" s="26" t="str">
        <f>IF(OR(E1269="",E1269="!!!",F1269="NEW"),"",INDEX(J$1:J1268,SUMPRODUCT(MAX(ROW(E$1:E1268)*(E1269=E$1:E1268)))))</f>
        <v> </v>
      </c>
      <c r="L1269" s="27"/>
    </row>
    <row r="1270" spans="1:12">
      <c r="A1270" s="20" t="s">
        <v>658</v>
      </c>
      <c r="E1270" s="22">
        <f>IF(D1270="?OLD","!!!","")</f>
        <v/>
      </c>
      <c r="F1270" s="23" t="str">
        <f>IF(OR(E1270="",E1270="!!!"),"",IF(NOT(ISNA(VLOOKUP(E1270,E$1:E1269,1,FALSE()))),"OLD",IF(AND(E1270&lt;&gt;"",E1270&lt;&gt;"!!!"),"NEW","")))</f>
        <v> </v>
      </c>
      <c r="G1270" s="24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5" t="str">
        <f>IF(J1270&lt;&gt;1,"",IF(I1270="SBJ","CB","?"))</f>
        <v> </v>
      </c>
      <c r="I1270" s="26" t="str">
        <f>IF(OR(E1270="",E1270="!!!",F1270="NEW"),"",INDEX(B1269:B$2,-1+SUMPRODUCT(MAX(ROW(E1269:E$2)*(E1270=E1269:E$2)))))</f>
        <v> </v>
      </c>
      <c r="J1270" s="26" t="str">
        <f>IF(OR(E1270="",E1270="!!!",F1270="NEW"),"",COUNTBLANK(OFFSET(A$1,,,SUMPRODUCT(MAX(ROW(E$2:E1270)*(E1270=E$2:E1270)))))-COUNTBLANK(OFFSET(A$1,,,SUMPRODUCT(MAX(ROW(E$1:E1269)*(E2=E$1:E1269))))))</f>
        <v> </v>
      </c>
      <c r="K1270" s="26" t="str">
        <f>IF(OR(E1270="",E1270="!!!",F1270="NEW"),"",INDEX(J$1:J1269,SUMPRODUCT(MAX(ROW(E$1:E1269)*(E1270=E$1:E1269)))))</f>
        <v> </v>
      </c>
      <c r="L1270" s="27"/>
    </row>
    <row r="1271" spans="1:12">
      <c r="A1271" s="20" t="s">
        <v>1290</v>
      </c>
      <c r="B1271" s="21" t="s">
        <v>636</v>
      </c>
      <c r="C1271" s="21" t="s">
        <v>602</v>
      </c>
      <c r="D1271" s="21" t="s">
        <v>603</v>
      </c>
      <c r="E1271" s="22">
        <f>IF(D1271="?OLD","!!!","")</f>
        <v/>
      </c>
      <c r="F1271" s="23" t="str">
        <f>IF(OR(E1271="",E1271="!!!"),"",IF(NOT(ISNA(VLOOKUP(E1271,E$1:E1270,1,FALSE()))),"OLD",IF(AND(E1271&lt;&gt;"",E1271&lt;&gt;"!!!"),"NEW","")))</f>
        <v> </v>
      </c>
      <c r="G1271" s="24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5" t="str">
        <f>IF(J1271&lt;&gt;1,"",IF(I1271="SBJ","CB","?"))</f>
        <v> </v>
      </c>
      <c r="I1271" s="26" t="str">
        <f>IF(OR(E1271="",E1271="!!!",F1271="NEW"),"",INDEX(B1270:B$2,-1+SUMPRODUCT(MAX(ROW(E1270:E$2)*(E1271=E1270:E$2)))))</f>
        <v> </v>
      </c>
      <c r="J1271" s="26" t="str">
        <f>IF(OR(E1271="",E1271="!!!",F1271="NEW"),"",COUNTBLANK(OFFSET(A$1,,,SUMPRODUCT(MAX(ROW(E$2:E1271)*(E1271=E$2:E1271)))))-COUNTBLANK(OFFSET(A$1,,,SUMPRODUCT(MAX(ROW(E$1:E1270)*(E2=E$1:E1270))))))</f>
        <v> </v>
      </c>
      <c r="K1271" s="26" t="str">
        <f>IF(OR(E1271="",E1271="!!!",F1271="NEW"),"",INDEX(J$1:J1270,SUMPRODUCT(MAX(ROW(E$1:E1270)*(E1271=E$1:E1270)))))</f>
        <v> </v>
      </c>
      <c r="L1271" s="27"/>
    </row>
    <row r="1272" spans="1:12">
      <c r="A1272" s="20" t="s">
        <v>1291</v>
      </c>
      <c r="E1272" s="22">
        <f>IF(D1272="?OLD","!!!","")</f>
        <v/>
      </c>
      <c r="F1272" s="23" t="str">
        <f>IF(OR(E1272="",E1272="!!!"),"",IF(NOT(ISNA(VLOOKUP(E1272,E$1:E1271,1,FALSE()))),"OLD",IF(AND(E1272&lt;&gt;"",E1272&lt;&gt;"!!!"),"NEW","")))</f>
        <v> </v>
      </c>
      <c r="G1272" s="24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5" t="str">
        <f>IF(J1272&lt;&gt;1,"",IF(I1272="SBJ","CB","?"))</f>
        <v> </v>
      </c>
      <c r="I1272" s="26" t="str">
        <f>IF(OR(E1272="",E1272="!!!",F1272="NEW"),"",INDEX(B1271:B$2,-1+SUMPRODUCT(MAX(ROW(E1271:E$2)*(E1272=E1271:E$2)))))</f>
        <v> </v>
      </c>
      <c r="J1272" s="26" t="str">
        <f>IF(OR(E1272="",E1272="!!!",F1272="NEW"),"",COUNTBLANK(OFFSET(A$1,,,SUMPRODUCT(MAX(ROW(E$2:E1272)*(E1272=E$2:E1272)))))-COUNTBLANK(OFFSET(A$1,,,SUMPRODUCT(MAX(ROW(E$1:E1271)*(E2=E$1:E1271))))))</f>
        <v> </v>
      </c>
      <c r="K1272" s="26" t="str">
        <f>IF(OR(E1272="",E1272="!!!",F1272="NEW"),"",INDEX(J$1:J1271,SUMPRODUCT(MAX(ROW(E$1:E1271)*(E1272=E$1:E1271)))))</f>
        <v> </v>
      </c>
      <c r="L1272" s="27"/>
    </row>
    <row r="1273" spans="1:12">
      <c r="A1273" s="20" t="s">
        <v>611</v>
      </c>
      <c r="E1273" s="22">
        <f>IF(D1273="?OLD","!!!","")</f>
        <v/>
      </c>
      <c r="F1273" s="23" t="str">
        <f>IF(OR(E1273="",E1273="!!!"),"",IF(NOT(ISNA(VLOOKUP(E1273,E$1:E1272,1,FALSE()))),"OLD",IF(AND(E1273&lt;&gt;"",E1273&lt;&gt;"!!!"),"NEW","")))</f>
        <v> </v>
      </c>
      <c r="G1273" s="24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5" t="str">
        <f>IF(J1273&lt;&gt;1,"",IF(I1273="SBJ","CB","?"))</f>
        <v> </v>
      </c>
      <c r="I1273" s="26" t="str">
        <f>IF(OR(E1273="",E1273="!!!",F1273="NEW"),"",INDEX(B1272:B$2,-1+SUMPRODUCT(MAX(ROW(E1272:E$2)*(E1273=E1272:E$2)))))</f>
        <v> </v>
      </c>
      <c r="J1273" s="26" t="str">
        <f>IF(OR(E1273="",E1273="!!!",F1273="NEW"),"",COUNTBLANK(OFFSET(A$1,,,SUMPRODUCT(MAX(ROW(E$2:E1273)*(E1273=E$2:E1273)))))-COUNTBLANK(OFFSET(A$1,,,SUMPRODUCT(MAX(ROW(E$1:E1272)*(E2=E$1:E1272))))))</f>
        <v> </v>
      </c>
      <c r="K1273" s="26" t="str">
        <f>IF(OR(E1273="",E1273="!!!",F1273="NEW"),"",INDEX(J$1:J1272,SUMPRODUCT(MAX(ROW(E$1:E1272)*(E1273=E$1:E1272)))))</f>
        <v> </v>
      </c>
      <c r="L1273" s="27"/>
    </row>
    <row r="1274" spans="1:12">
      <c r="A1274" s="20" t="s">
        <v>1292</v>
      </c>
      <c r="E1274" s="22">
        <f>IF(D1274="?OLD","!!!","")</f>
        <v/>
      </c>
      <c r="F1274" s="23" t="str">
        <f>IF(OR(E1274="",E1274="!!!"),"",IF(NOT(ISNA(VLOOKUP(E1274,E$1:E1273,1,FALSE()))),"OLD",IF(AND(E1274&lt;&gt;"",E1274&lt;&gt;"!!!"),"NEW","")))</f>
        <v> </v>
      </c>
      <c r="G1274" s="24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5" t="str">
        <f>IF(J1274&lt;&gt;1,"",IF(I1274="SBJ","CB","?"))</f>
        <v> </v>
      </c>
      <c r="I1274" s="26" t="str">
        <f>IF(OR(E1274="",E1274="!!!",F1274="NEW"),"",INDEX(B1273:B$2,-1+SUMPRODUCT(MAX(ROW(E1273:E$2)*(E1274=E1273:E$2)))))</f>
        <v> </v>
      </c>
      <c r="J1274" s="26" t="str">
        <f>IF(OR(E1274="",E1274="!!!",F1274="NEW"),"",COUNTBLANK(OFFSET(A$1,,,SUMPRODUCT(MAX(ROW(E$2:E1274)*(E1274=E$2:E1274)))))-COUNTBLANK(OFFSET(A$1,,,SUMPRODUCT(MAX(ROW(E$1:E1273)*(E2=E$1:E1273))))))</f>
        <v> </v>
      </c>
      <c r="K1274" s="26" t="str">
        <f>IF(OR(E1274="",E1274="!!!",F1274="NEW"),"",INDEX(J$1:J1273,SUMPRODUCT(MAX(ROW(E$1:E1273)*(E1274=E$1:E1273)))))</f>
        <v> </v>
      </c>
      <c r="L1274" s="27"/>
    </row>
    <row r="1275" spans="1:12">
      <c r="A1275" s="20" t="s">
        <v>611</v>
      </c>
      <c r="E1275" s="22">
        <f>IF(D1275="?OLD","!!!","")</f>
        <v/>
      </c>
      <c r="F1275" s="23" t="str">
        <f>IF(OR(E1275="",E1275="!!!"),"",IF(NOT(ISNA(VLOOKUP(E1275,E$1:E1274,1,FALSE()))),"OLD",IF(AND(E1275&lt;&gt;"",E1275&lt;&gt;"!!!"),"NEW","")))</f>
        <v> </v>
      </c>
      <c r="G1275" s="24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5" t="str">
        <f>IF(J1275&lt;&gt;1,"",IF(I1275="SBJ","CB","?"))</f>
        <v> </v>
      </c>
      <c r="I1275" s="26" t="str">
        <f>IF(OR(E1275="",E1275="!!!",F1275="NEW"),"",INDEX(B1274:B$2,-1+SUMPRODUCT(MAX(ROW(E1274:E$2)*(E1275=E1274:E$2)))))</f>
        <v> </v>
      </c>
      <c r="J1275" s="26" t="str">
        <f>IF(OR(E1275="",E1275="!!!",F1275="NEW"),"",COUNTBLANK(OFFSET(A$1,,,SUMPRODUCT(MAX(ROW(E$2:E1275)*(E1275=E$2:E1275)))))-COUNTBLANK(OFFSET(A$1,,,SUMPRODUCT(MAX(ROW(E$1:E1274)*(E2=E$1:E1274))))))</f>
        <v> </v>
      </c>
      <c r="K1275" s="26" t="str">
        <f>IF(OR(E1275="",E1275="!!!",F1275="NEW"),"",INDEX(J$1:J1274,SUMPRODUCT(MAX(ROW(E$1:E1274)*(E1275=E$1:E1274)))))</f>
        <v> </v>
      </c>
      <c r="L1275" s="27"/>
    </row>
    <row r="1276" spans="1:12">
      <c r="A1276" s="20" t="s">
        <v>658</v>
      </c>
      <c r="B1276" s="21" t="s">
        <v>659</v>
      </c>
      <c r="E1276" s="22">
        <f>IF(D1276="?OLD","!!!","")</f>
        <v/>
      </c>
      <c r="F1276" s="23" t="str">
        <f>IF(OR(E1276="",E1276="!!!"),"",IF(NOT(ISNA(VLOOKUP(E1276,E$1:E1275,1,FALSE()))),"OLD",IF(AND(E1276&lt;&gt;"",E1276&lt;&gt;"!!!"),"NEW","")))</f>
        <v> </v>
      </c>
      <c r="G1276" s="24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5" t="str">
        <f>IF(J1276&lt;&gt;1,"",IF(I1276="SBJ","CB","?"))</f>
        <v> </v>
      </c>
      <c r="I1276" s="26" t="str">
        <f>IF(OR(E1276="",E1276="!!!",F1276="NEW"),"",INDEX(B1275:B$2,-1+SUMPRODUCT(MAX(ROW(E1275:E$2)*(E1276=E1275:E$2)))))</f>
        <v> </v>
      </c>
      <c r="J1276" s="26" t="str">
        <f>IF(OR(E1276="",E1276="!!!",F1276="NEW"),"",COUNTBLANK(OFFSET(A$1,,,SUMPRODUCT(MAX(ROW(E$2:E1276)*(E1276=E$2:E1276)))))-COUNTBLANK(OFFSET(A$1,,,SUMPRODUCT(MAX(ROW(E$1:E1275)*(E2=E$1:E1275))))))</f>
        <v> </v>
      </c>
      <c r="K1276" s="26" t="str">
        <f>IF(OR(E1276="",E1276="!!!",F1276="NEW"),"",INDEX(J$1:J1275,SUMPRODUCT(MAX(ROW(E$1:E1275)*(E1276=E$1:E1275)))))</f>
        <v> </v>
      </c>
      <c r="L1276" s="27"/>
    </row>
    <row r="1277" spans="1:12">
      <c r="A1277" s="20" t="s">
        <v>1293</v>
      </c>
      <c r="E1277" s="22">
        <f>IF(D1277="?OLD","!!!","")</f>
        <v/>
      </c>
      <c r="F1277" s="23" t="str">
        <f>IF(OR(E1277="",E1277="!!!"),"",IF(NOT(ISNA(VLOOKUP(E1277,E$1:E1276,1,FALSE()))),"OLD",IF(AND(E1277&lt;&gt;"",E1277&lt;&gt;"!!!"),"NEW","")))</f>
        <v> </v>
      </c>
      <c r="G1277" s="24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5" t="str">
        <f>IF(J1277&lt;&gt;1,"",IF(I1277="SBJ","CB","?"))</f>
        <v> </v>
      </c>
      <c r="I1277" s="26" t="str">
        <f>IF(OR(E1277="",E1277="!!!",F1277="NEW"),"",INDEX(B1276:B$2,-1+SUMPRODUCT(MAX(ROW(E1276:E$2)*(E1277=E1276:E$2)))))</f>
        <v> </v>
      </c>
      <c r="J1277" s="26" t="str">
        <f>IF(OR(E1277="",E1277="!!!",F1277="NEW"),"",COUNTBLANK(OFFSET(A$1,,,SUMPRODUCT(MAX(ROW(E$2:E1277)*(E1277=E$2:E1277)))))-COUNTBLANK(OFFSET(A$1,,,SUMPRODUCT(MAX(ROW(E$1:E1276)*(E2=E$1:E1276))))))</f>
        <v> </v>
      </c>
      <c r="K1277" s="26" t="str">
        <f>IF(OR(E1277="",E1277="!!!",F1277="NEW"),"",INDEX(J$1:J1276,SUMPRODUCT(MAX(ROW(E$1:E1276)*(E1277=E$1:E1276)))))</f>
        <v> </v>
      </c>
      <c r="L1277" s="27"/>
    </row>
    <row r="1278" spans="1:12">
      <c r="A1278" s="20" t="s">
        <v>1294</v>
      </c>
      <c r="E1278" s="22">
        <f>IF(D1278="?OLD","!!!","")</f>
        <v/>
      </c>
      <c r="F1278" s="23" t="str">
        <f>IF(OR(E1278="",E1278="!!!"),"",IF(NOT(ISNA(VLOOKUP(E1278,E$1:E1277,1,FALSE()))),"OLD",IF(AND(E1278&lt;&gt;"",E1278&lt;&gt;"!!!"),"NEW","")))</f>
        <v> </v>
      </c>
      <c r="G1278" s="24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5" t="str">
        <f>IF(J1278&lt;&gt;1,"",IF(I1278="SBJ","CB","?"))</f>
        <v> </v>
      </c>
      <c r="I1278" s="26" t="str">
        <f>IF(OR(E1278="",E1278="!!!",F1278="NEW"),"",INDEX(B1277:B$2,-1+SUMPRODUCT(MAX(ROW(E1277:E$2)*(E1278=E1277:E$2)))))</f>
        <v> </v>
      </c>
      <c r="J1278" s="26" t="str">
        <f>IF(OR(E1278="",E1278="!!!",F1278="NEW"),"",COUNTBLANK(OFFSET(A$1,,,SUMPRODUCT(MAX(ROW(E$2:E1278)*(E1278=E$2:E1278)))))-COUNTBLANK(OFFSET(A$1,,,SUMPRODUCT(MAX(ROW(E$1:E1277)*(E2=E$1:E1277))))))</f>
        <v> </v>
      </c>
      <c r="K1278" s="26" t="str">
        <f>IF(OR(E1278="",E1278="!!!",F1278="NEW"),"",INDEX(J$1:J1277,SUMPRODUCT(MAX(ROW(E$1:E1277)*(E1278=E$1:E1277)))))</f>
        <v> </v>
      </c>
      <c r="L1278" s="27"/>
    </row>
    <row r="1279" spans="1:12">
      <c r="A1279" s="20" t="s">
        <v>611</v>
      </c>
      <c r="E1279" s="22">
        <f>IF(D1279="?OLD","!!!","")</f>
        <v/>
      </c>
      <c r="F1279" s="23" t="str">
        <f>IF(OR(E1279="",E1279="!!!"),"",IF(NOT(ISNA(VLOOKUP(E1279,E$1:E1278,1,FALSE()))),"OLD",IF(AND(E1279&lt;&gt;"",E1279&lt;&gt;"!!!"),"NEW","")))</f>
        <v> </v>
      </c>
      <c r="G1279" s="24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5" t="str">
        <f>IF(J1279&lt;&gt;1,"",IF(I1279="SBJ","CB","?"))</f>
        <v> </v>
      </c>
      <c r="I1279" s="26" t="str">
        <f>IF(OR(E1279="",E1279="!!!",F1279="NEW"),"",INDEX(B1278:B$2,-1+SUMPRODUCT(MAX(ROW(E1278:E$2)*(E1279=E1278:E$2)))))</f>
        <v> </v>
      </c>
      <c r="J1279" s="26" t="str">
        <f>IF(OR(E1279="",E1279="!!!",F1279="NEW"),"",COUNTBLANK(OFFSET(A$1,,,SUMPRODUCT(MAX(ROW(E$2:E1279)*(E1279=E$2:E1279)))))-COUNTBLANK(OFFSET(A$1,,,SUMPRODUCT(MAX(ROW(E$1:E1278)*(E2=E$1:E1278))))))</f>
        <v> </v>
      </c>
      <c r="K1279" s="26" t="str">
        <f>IF(OR(E1279="",E1279="!!!",F1279="NEW"),"",INDEX(J$1:J1278,SUMPRODUCT(MAX(ROW(E$1:E1278)*(E1279=E$1:E1278)))))</f>
        <v> </v>
      </c>
      <c r="L1279" s="27"/>
    </row>
    <row r="1280" spans="1:12">
      <c r="A1280" s="20" t="s">
        <v>1295</v>
      </c>
      <c r="E1280" s="22">
        <f>IF(D1280="?OLD","!!!","")</f>
        <v/>
      </c>
      <c r="F1280" s="23" t="str">
        <f>IF(OR(E1280="",E1280="!!!"),"",IF(NOT(ISNA(VLOOKUP(E1280,E$1:E1279,1,FALSE()))),"OLD",IF(AND(E1280&lt;&gt;"",E1280&lt;&gt;"!!!"),"NEW","")))</f>
        <v> </v>
      </c>
      <c r="G1280" s="24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5" t="str">
        <f>IF(J1280&lt;&gt;1,"",IF(I1280="SBJ","CB","?"))</f>
        <v> </v>
      </c>
      <c r="I1280" s="26" t="str">
        <f>IF(OR(E1280="",E1280="!!!",F1280="NEW"),"",INDEX(B1279:B$2,-1+SUMPRODUCT(MAX(ROW(E1279:E$2)*(E1280=E1279:E$2)))))</f>
        <v> </v>
      </c>
      <c r="J1280" s="26" t="str">
        <f>IF(OR(E1280="",E1280="!!!",F1280="NEW"),"",COUNTBLANK(OFFSET(A$1,,,SUMPRODUCT(MAX(ROW(E$2:E1280)*(E1280=E$2:E1280)))))-COUNTBLANK(OFFSET(A$1,,,SUMPRODUCT(MAX(ROW(E$1:E1279)*(E2=E$1:E1279))))))</f>
        <v> </v>
      </c>
      <c r="K1280" s="26" t="str">
        <f>IF(OR(E1280="",E1280="!!!",F1280="NEW"),"",INDEX(J$1:J1279,SUMPRODUCT(MAX(ROW(E$1:E1279)*(E1280=E$1:E1279)))))</f>
        <v> </v>
      </c>
      <c r="L1280" s="27"/>
    </row>
    <row r="1281" spans="1:12">
      <c r="A1281" s="20" t="s">
        <v>1290</v>
      </c>
      <c r="B1281" s="21" t="s">
        <v>636</v>
      </c>
      <c r="C1281" s="21" t="s">
        <v>602</v>
      </c>
      <c r="D1281" s="21" t="s">
        <v>603</v>
      </c>
      <c r="E1281" s="22">
        <f>IF(D1281="?OLD","!!!","")</f>
        <v/>
      </c>
      <c r="F1281" s="23" t="str">
        <f>IF(OR(E1281="",E1281="!!!"),"",IF(NOT(ISNA(VLOOKUP(E1281,E$1:E1280,1,FALSE()))),"OLD",IF(AND(E1281&lt;&gt;"",E1281&lt;&gt;"!!!"),"NEW","")))</f>
        <v> </v>
      </c>
      <c r="G1281" s="24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5" t="str">
        <f>IF(J1281&lt;&gt;1,"",IF(I1281="SBJ","CB","?"))</f>
        <v> </v>
      </c>
      <c r="I1281" s="26" t="str">
        <f>IF(OR(E1281="",E1281="!!!",F1281="NEW"),"",INDEX(B1280:B$2,-1+SUMPRODUCT(MAX(ROW(E1280:E$2)*(E1281=E1280:E$2)))))</f>
        <v> </v>
      </c>
      <c r="J1281" s="26" t="str">
        <f>IF(OR(E1281="",E1281="!!!",F1281="NEW"),"",COUNTBLANK(OFFSET(A$1,,,SUMPRODUCT(MAX(ROW(E$2:E1281)*(E1281=E$2:E1281)))))-COUNTBLANK(OFFSET(A$1,,,SUMPRODUCT(MAX(ROW(E$1:E1280)*(E2=E$1:E1280))))))</f>
        <v> </v>
      </c>
      <c r="K1281" s="26" t="str">
        <f>IF(OR(E1281="",E1281="!!!",F1281="NEW"),"",INDEX(J$1:J1280,SUMPRODUCT(MAX(ROW(E$1:E1280)*(E1281=E$1:E1280)))))</f>
        <v> </v>
      </c>
      <c r="L1281" s="27"/>
    </row>
    <row r="1282" spans="1:12">
      <c r="A1282" s="20" t="s">
        <v>641</v>
      </c>
      <c r="E1282" s="22">
        <f>IF(D1282="?OLD","!!!","")</f>
        <v/>
      </c>
      <c r="F1282" s="23" t="str">
        <f>IF(OR(E1282="",E1282="!!!"),"",IF(NOT(ISNA(VLOOKUP(E1282,E$1:E1281,1,FALSE()))),"OLD",IF(AND(E1282&lt;&gt;"",E1282&lt;&gt;"!!!"),"NEW","")))</f>
        <v> </v>
      </c>
      <c r="G1282" s="24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5" t="str">
        <f>IF(J1282&lt;&gt;1,"",IF(I1282="SBJ","CB","?"))</f>
        <v> </v>
      </c>
      <c r="I1282" s="26" t="str">
        <f>IF(OR(E1282="",E1282="!!!",F1282="NEW"),"",INDEX(B1281:B$2,-1+SUMPRODUCT(MAX(ROW(E1281:E$2)*(E1282=E1281:E$2)))))</f>
        <v> </v>
      </c>
      <c r="J1282" s="26" t="str">
        <f>IF(OR(E1282="",E1282="!!!",F1282="NEW"),"",COUNTBLANK(OFFSET(A$1,,,SUMPRODUCT(MAX(ROW(E$2:E1282)*(E1282=E$2:E1282)))))-COUNTBLANK(OFFSET(A$1,,,SUMPRODUCT(MAX(ROW(E$1:E1281)*(E2=E$1:E1281))))))</f>
        <v> </v>
      </c>
      <c r="K1282" s="26" t="str">
        <f>IF(OR(E1282="",E1282="!!!",F1282="NEW"),"",INDEX(J$1:J1281,SUMPRODUCT(MAX(ROW(E$1:E1281)*(E1282=E$1:E1281)))))</f>
        <v> </v>
      </c>
      <c r="L1282" s="27"/>
    </row>
    <row r="1283" spans="1:12">
      <c r="A1283" s="20" t="s">
        <v>1055</v>
      </c>
      <c r="E1283" s="22">
        <f>IF(D1283="?OLD","!!!","")</f>
        <v/>
      </c>
      <c r="F1283" s="23" t="str">
        <f>IF(OR(E1283="",E1283="!!!"),"",IF(NOT(ISNA(VLOOKUP(E1283,E$1:E1282,1,FALSE()))),"OLD",IF(AND(E1283&lt;&gt;"",E1283&lt;&gt;"!!!"),"NEW","")))</f>
        <v> </v>
      </c>
      <c r="G1283" s="24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5" t="str">
        <f>IF(J1283&lt;&gt;1,"",IF(I1283="SBJ","CB","?"))</f>
        <v> </v>
      </c>
      <c r="I1283" s="26" t="str">
        <f>IF(OR(E1283="",E1283="!!!",F1283="NEW"),"",INDEX(B1282:B$2,-1+SUMPRODUCT(MAX(ROW(E1282:E$2)*(E1283=E1282:E$2)))))</f>
        <v> </v>
      </c>
      <c r="J1283" s="26" t="str">
        <f>IF(OR(E1283="",E1283="!!!",F1283="NEW"),"",COUNTBLANK(OFFSET(A$1,,,SUMPRODUCT(MAX(ROW(E$2:E1283)*(E1283=E$2:E1283)))))-COUNTBLANK(OFFSET(A$1,,,SUMPRODUCT(MAX(ROW(E$1:E1282)*(E2=E$1:E1282))))))</f>
        <v> </v>
      </c>
      <c r="K1283" s="26" t="str">
        <f>IF(OR(E1283="",E1283="!!!",F1283="NEW"),"",INDEX(J$1:J1282,SUMPRODUCT(MAX(ROW(E$1:E1282)*(E1283=E$1:E1282)))))</f>
        <v> </v>
      </c>
      <c r="L1283" s="27"/>
    </row>
    <row r="1284" spans="1:12">
      <c r="A1284" s="20" t="s">
        <v>1204</v>
      </c>
      <c r="B1284" s="21" t="s">
        <v>609</v>
      </c>
      <c r="C1284" s="21" t="s">
        <v>602</v>
      </c>
      <c r="D1284" s="21" t="s">
        <v>603</v>
      </c>
      <c r="E1284" s="22">
        <f>IF(D1284="?OLD","!!!","")</f>
        <v/>
      </c>
      <c r="F1284" s="23" t="str">
        <f>IF(OR(E1284="",E1284="!!!"),"",IF(NOT(ISNA(VLOOKUP(E1284,E$1:E1283,1,FALSE()))),"OLD",IF(AND(E1284&lt;&gt;"",E1284&lt;&gt;"!!!"),"NEW","")))</f>
        <v> </v>
      </c>
      <c r="G1284" s="24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5" t="str">
        <f>IF(J1284&lt;&gt;1,"",IF(I1284="SBJ","CB","?"))</f>
        <v> </v>
      </c>
      <c r="I1284" s="26" t="str">
        <f>IF(OR(E1284="",E1284="!!!",F1284="NEW"),"",INDEX(B1283:B$2,-1+SUMPRODUCT(MAX(ROW(E1283:E$2)*(E1284=E1283:E$2)))))</f>
        <v> </v>
      </c>
      <c r="J1284" s="26" t="str">
        <f>IF(OR(E1284="",E1284="!!!",F1284="NEW"),"",COUNTBLANK(OFFSET(A$1,,,SUMPRODUCT(MAX(ROW(E$2:E1284)*(E1284=E$2:E1284)))))-COUNTBLANK(OFFSET(A$1,,,SUMPRODUCT(MAX(ROW(E$1:E1283)*(E2=E$1:E1283))))))</f>
        <v> </v>
      </c>
      <c r="K1284" s="26" t="str">
        <f>IF(OR(E1284="",E1284="!!!",F1284="NEW"),"",INDEX(J$1:J1283,SUMPRODUCT(MAX(ROW(E$1:E1283)*(E1284=E$1:E1283)))))</f>
        <v> </v>
      </c>
      <c r="L1284" s="27"/>
    </row>
    <row r="1285" spans="1:12">
      <c r="A1285" s="20" t="s">
        <v>633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/>
    </row>
    <row r="1287" spans="1:12">
      <c r="A1287" s="20" t="s">
        <v>1296</v>
      </c>
    </row>
    <row r="1288" spans="1:12">
      <c r="A1288" s="20" t="s">
        <v>600</v>
      </c>
      <c r="B1288" s="21" t="s">
        <v>601</v>
      </c>
      <c r="C1288" s="21" t="s">
        <v>602</v>
      </c>
      <c r="D1288" s="21" t="s">
        <v>603</v>
      </c>
      <c r="E1288" s="22">
        <f>IF(D1288="?OLD","!!!","")</f>
        <v/>
      </c>
      <c r="F1288" s="23" t="str">
        <f>IF(OR(E1288="",E1288="!!!"),"",IF(NOT(ISNA(VLOOKUP(E1288,E$1:E1287,1,FALSE()))),"OLD",IF(AND(E1288&lt;&gt;"",E1288&lt;&gt;"!!!"),"NEW","")))</f>
        <v> </v>
      </c>
      <c r="G1288" s="24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5" t="str">
        <f>IF(J1288&lt;&gt;1,"",IF(I1288="SBJ","CB","?"))</f>
        <v> </v>
      </c>
      <c r="I1288" s="26" t="str">
        <f>IF(OR(E1288="",E1288="!!!",F1288="NEW"),"",INDEX(B1287:B$2,-1+SUMPRODUCT(MAX(ROW(E1287:E$2)*(E1288=E1287:E$2)))))</f>
        <v> </v>
      </c>
      <c r="J1288" s="26" t="str">
        <f>IF(OR(E1288="",E1288="!!!",F1288="NEW"),"",COUNTBLANK(OFFSET(A$1,,,SUMPRODUCT(MAX(ROW(E$2:E1288)*(E1288=E$2:E1288)))))-COUNTBLANK(OFFSET(A$1,,,SUMPRODUCT(MAX(ROW(E$1:E1287)*(E2=E$1:E1287))))))</f>
        <v> </v>
      </c>
      <c r="K1288" s="26" t="str">
        <f>IF(OR(E1288="",E1288="!!!",F1288="NEW"),"",INDEX(J$1:J1287,SUMPRODUCT(MAX(ROW(E$1:E1287)*(E1288=E$1:E1287)))))</f>
        <v> </v>
      </c>
      <c r="L1288" s="27"/>
    </row>
    <row r="1289" spans="1:12">
      <c r="A1289" s="20" t="s">
        <v>664</v>
      </c>
      <c r="E1289" s="22">
        <f>IF(D1289="?OLD","!!!","")</f>
        <v/>
      </c>
      <c r="F1289" s="23" t="str">
        <f>IF(OR(E1289="",E1289="!!!"),"",IF(NOT(ISNA(VLOOKUP(E1289,E$1:E1288,1,FALSE()))),"OLD",IF(AND(E1289&lt;&gt;"",E1289&lt;&gt;"!!!"),"NEW","")))</f>
        <v> </v>
      </c>
      <c r="G1289" s="24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5" t="str">
        <f>IF(J1289&lt;&gt;1,"",IF(I1289="SBJ","CB","?"))</f>
        <v> </v>
      </c>
      <c r="I1289" s="26" t="str">
        <f>IF(OR(E1289="",E1289="!!!",F1289="NEW"),"",INDEX(B1288:B$2,-1+SUMPRODUCT(MAX(ROW(E1288:E$2)*(E1289=E1288:E$2)))))</f>
        <v> </v>
      </c>
      <c r="J1289" s="26" t="str">
        <f>IF(OR(E1289="",E1289="!!!",F1289="NEW"),"",COUNTBLANK(OFFSET(A$1,,,SUMPRODUCT(MAX(ROW(E$2:E1289)*(E1289=E$2:E1289)))))-COUNTBLANK(OFFSET(A$1,,,SUMPRODUCT(MAX(ROW(E$1:E1288)*(E2=E$1:E1288))))))</f>
        <v> </v>
      </c>
      <c r="K1289" s="26" t="str">
        <f>IF(OR(E1289="",E1289="!!!",F1289="NEW"),"",INDEX(J$1:J1288,SUMPRODUCT(MAX(ROW(E$1:E1288)*(E1289=E$1:E1288)))))</f>
        <v> </v>
      </c>
      <c r="L1289" s="27"/>
    </row>
    <row r="1290" spans="1:12">
      <c r="A1290" s="20" t="s">
        <v>1297</v>
      </c>
      <c r="E1290" s="22">
        <f>IF(D1290="?OLD","!!!","")</f>
        <v/>
      </c>
      <c r="F1290" s="23" t="str">
        <f>IF(OR(E1290="",E1290="!!!"),"",IF(NOT(ISNA(VLOOKUP(E1290,E$1:E1289,1,FALSE()))),"OLD",IF(AND(E1290&lt;&gt;"",E1290&lt;&gt;"!!!"),"NEW","")))</f>
        <v> </v>
      </c>
      <c r="G1290" s="24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5" t="str">
        <f>IF(J1290&lt;&gt;1,"",IF(I1290="SBJ","CB","?"))</f>
        <v> </v>
      </c>
      <c r="I1290" s="26" t="str">
        <f>IF(OR(E1290="",E1290="!!!",F1290="NEW"),"",INDEX(B1289:B$2,-1+SUMPRODUCT(MAX(ROW(E1289:E$2)*(E1290=E1289:E$2)))))</f>
        <v> </v>
      </c>
      <c r="J1290" s="26" t="str">
        <f>IF(OR(E1290="",E1290="!!!",F1290="NEW"),"",COUNTBLANK(OFFSET(A$1,,,SUMPRODUCT(MAX(ROW(E$2:E1290)*(E1290=E$2:E1290)))))-COUNTBLANK(OFFSET(A$1,,,SUMPRODUCT(MAX(ROW(E$1:E1289)*(E2=E$1:E1289))))))</f>
        <v> </v>
      </c>
      <c r="K1290" s="26" t="str">
        <f>IF(OR(E1290="",E1290="!!!",F1290="NEW"),"",INDEX(J$1:J1289,SUMPRODUCT(MAX(ROW(E$1:E1289)*(E1290=E$1:E1289)))))</f>
        <v> </v>
      </c>
      <c r="L1290" s="27"/>
    </row>
    <row r="1291" spans="1:12">
      <c r="A1291" s="20" t="s">
        <v>611</v>
      </c>
      <c r="E1291" s="22">
        <f>IF(D1291="?OLD","!!!","")</f>
        <v/>
      </c>
      <c r="F1291" s="23" t="str">
        <f>IF(OR(E1291="",E1291="!!!"),"",IF(NOT(ISNA(VLOOKUP(E1291,E$1:E1290,1,FALSE()))),"OLD",IF(AND(E1291&lt;&gt;"",E1291&lt;&gt;"!!!"),"NEW","")))</f>
        <v> </v>
      </c>
      <c r="G1291" s="24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5" t="str">
        <f>IF(J1291&lt;&gt;1,"",IF(I1291="SBJ","CB","?"))</f>
        <v> </v>
      </c>
      <c r="I1291" s="26" t="str">
        <f>IF(OR(E1291="",E1291="!!!",F1291="NEW"),"",INDEX(B1290:B$2,-1+SUMPRODUCT(MAX(ROW(E1290:E$2)*(E1291=E1290:E$2)))))</f>
        <v> </v>
      </c>
      <c r="J1291" s="26" t="str">
        <f>IF(OR(E1291="",E1291="!!!",F1291="NEW"),"",COUNTBLANK(OFFSET(A$1,,,SUMPRODUCT(MAX(ROW(E$2:E1291)*(E1291=E$2:E1291)))))-COUNTBLANK(OFFSET(A$1,,,SUMPRODUCT(MAX(ROW(E$1:E1290)*(E2=E$1:E1290))))))</f>
        <v> </v>
      </c>
      <c r="K1291" s="26" t="str">
        <f>IF(OR(E1291="",E1291="!!!",F1291="NEW"),"",INDEX(J$1:J1290,SUMPRODUCT(MAX(ROW(E$1:E1290)*(E1291=E$1:E1290)))))</f>
        <v> </v>
      </c>
      <c r="L1291" s="27"/>
    </row>
    <row r="1292" spans="1:12">
      <c r="A1292" s="20" t="s">
        <v>1011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1012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611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 t="s">
        <v>1298</v>
      </c>
      <c r="E1295" s="22">
        <f>IF(D1295="?OLD","!!!","")</f>
        <v/>
      </c>
      <c r="F1295" s="23" t="str">
        <f>IF(OR(E1295="",E1295="!!!"),"",IF(NOT(ISNA(VLOOKUP(E1295,E$1:E1294,1,FALSE()))),"OLD",IF(AND(E1295&lt;&gt;"",E1295&lt;&gt;"!!!"),"NEW","")))</f>
        <v> </v>
      </c>
      <c r="G1295" s="24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5" t="str">
        <f>IF(J1295&lt;&gt;1,"",IF(I1295="SBJ","CB","?"))</f>
        <v> </v>
      </c>
      <c r="I1295" s="26" t="str">
        <f>IF(OR(E1295="",E1295="!!!",F1295="NEW"),"",INDEX(B1294:B$2,-1+SUMPRODUCT(MAX(ROW(E1294:E$2)*(E1295=E1294:E$2)))))</f>
        <v> </v>
      </c>
      <c r="J1295" s="26" t="str">
        <f>IF(OR(E1295="",E1295="!!!",F1295="NEW"),"",COUNTBLANK(OFFSET(A$1,,,SUMPRODUCT(MAX(ROW(E$2:E1295)*(E1295=E$2:E1295)))))-COUNTBLANK(OFFSET(A$1,,,SUMPRODUCT(MAX(ROW(E$1:E1294)*(E2=E$1:E1294))))))</f>
        <v> </v>
      </c>
      <c r="K1295" s="26" t="str">
        <f>IF(OR(E1295="",E1295="!!!",F1295="NEW"),"",INDEX(J$1:J1294,SUMPRODUCT(MAX(ROW(E$1:E1294)*(E1295=E$1:E1294)))))</f>
        <v> </v>
      </c>
      <c r="L1295" s="27"/>
    </row>
    <row r="1296" spans="1:12">
      <c r="A1296" s="20" t="s">
        <v>1299</v>
      </c>
      <c r="B1296" s="21" t="s">
        <v>801</v>
      </c>
      <c r="E1296" s="22">
        <f>IF(D1296="?OLD","!!!","")</f>
        <v/>
      </c>
      <c r="F1296" s="23" t="str">
        <f>IF(OR(E1296="",E1296="!!!"),"",IF(NOT(ISNA(VLOOKUP(E1296,E$1:E1295,1,FALSE()))),"OLD",IF(AND(E1296&lt;&gt;"",E1296&lt;&gt;"!!!"),"NEW","")))</f>
        <v> </v>
      </c>
      <c r="G1296" s="24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5" t="str">
        <f>IF(J1296&lt;&gt;1,"",IF(I1296="SBJ","CB","?"))</f>
        <v> </v>
      </c>
      <c r="I1296" s="26" t="str">
        <f>IF(OR(E1296="",E1296="!!!",F1296="NEW"),"",INDEX(B1295:B$2,-1+SUMPRODUCT(MAX(ROW(E1295:E$2)*(E1296=E1295:E$2)))))</f>
        <v> </v>
      </c>
      <c r="J1296" s="26" t="str">
        <f>IF(OR(E1296="",E1296="!!!",F1296="NEW"),"",COUNTBLANK(OFFSET(A$1,,,SUMPRODUCT(MAX(ROW(E$2:E1296)*(E1296=E$2:E1296)))))-COUNTBLANK(OFFSET(A$1,,,SUMPRODUCT(MAX(ROW(E$1:E1295)*(E2=E$1:E1295))))))</f>
        <v> </v>
      </c>
      <c r="K1296" s="26" t="str">
        <f>IF(OR(E1296="",E1296="!!!",F1296="NEW"),"",INDEX(J$1:J1295,SUMPRODUCT(MAX(ROW(E$1:E1295)*(E1296=E$1:E1295)))))</f>
        <v> </v>
      </c>
      <c r="L1296" s="27"/>
    </row>
    <row r="1297" spans="1:12">
      <c r="A1297" s="20" t="s">
        <v>1300</v>
      </c>
      <c r="E1297" s="22">
        <f>IF(D1297="?OLD","!!!","")</f>
        <v/>
      </c>
      <c r="F1297" s="23" t="str">
        <f>IF(OR(E1297="",E1297="!!!"),"",IF(NOT(ISNA(VLOOKUP(E1297,E$1:E1296,1,FALSE()))),"OLD",IF(AND(E1297&lt;&gt;"",E1297&lt;&gt;"!!!"),"NEW","")))</f>
        <v> </v>
      </c>
      <c r="G1297" s="24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5" t="str">
        <f>IF(J1297&lt;&gt;1,"",IF(I1297="SBJ","CB","?"))</f>
        <v> </v>
      </c>
      <c r="I1297" s="26" t="str">
        <f>IF(OR(E1297="",E1297="!!!",F1297="NEW"),"",INDEX(B1296:B$2,-1+SUMPRODUCT(MAX(ROW(E1296:E$2)*(E1297=E1296:E$2)))))</f>
        <v> </v>
      </c>
      <c r="J1297" s="26" t="str">
        <f>IF(OR(E1297="",E1297="!!!",F1297="NEW"),"",COUNTBLANK(OFFSET(A$1,,,SUMPRODUCT(MAX(ROW(E$2:E1297)*(E1297=E$2:E1297)))))-COUNTBLANK(OFFSET(A$1,,,SUMPRODUCT(MAX(ROW(E$1:E1296)*(E2=E$1:E1296))))))</f>
        <v> </v>
      </c>
      <c r="K1297" s="26" t="str">
        <f>IF(OR(E1297="",E1297="!!!",F1297="NEW"),"",INDEX(J$1:J1296,SUMPRODUCT(MAX(ROW(E$1:E1296)*(E1297=E$1:E1296)))))</f>
        <v> </v>
      </c>
      <c r="L1297" s="27"/>
    </row>
    <row r="1298" spans="1:12">
      <c r="A1298" s="20" t="s">
        <v>607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1301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 t="s">
        <v>646</v>
      </c>
      <c r="E1300" s="22">
        <f>IF(D1300="?OLD","!!!","")</f>
        <v/>
      </c>
      <c r="F1300" s="23" t="str">
        <f>IF(OR(E1300="",E1300="!!!"),"",IF(NOT(ISNA(VLOOKUP(E1300,E$1:E1299,1,FALSE()))),"OLD",IF(AND(E1300&lt;&gt;"",E1300&lt;&gt;"!!!"),"NEW","")))</f>
        <v> </v>
      </c>
      <c r="G1300" s="24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5" t="str">
        <f>IF(J1300&lt;&gt;1,"",IF(I1300="SBJ","CB","?"))</f>
        <v> </v>
      </c>
      <c r="I1300" s="26" t="str">
        <f>IF(OR(E1300="",E1300="!!!",F1300="NEW"),"",INDEX(B1299:B$2,-1+SUMPRODUCT(MAX(ROW(E1299:E$2)*(E1300=E1299:E$2)))))</f>
        <v> </v>
      </c>
      <c r="J1300" s="26" t="str">
        <f>IF(OR(E1300="",E1300="!!!",F1300="NEW"),"",COUNTBLANK(OFFSET(A$1,,,SUMPRODUCT(MAX(ROW(E$2:E1300)*(E1300=E$2:E1300)))))-COUNTBLANK(OFFSET(A$1,,,SUMPRODUCT(MAX(ROW(E$1:E1299)*(E2=E$1:E1299))))))</f>
        <v> </v>
      </c>
      <c r="K1300" s="26" t="str">
        <f>IF(OR(E1300="",E1300="!!!",F1300="NEW"),"",INDEX(J$1:J1299,SUMPRODUCT(MAX(ROW(E$1:E1299)*(E1300=E$1:E1299)))))</f>
        <v> </v>
      </c>
      <c r="L1300" s="27"/>
    </row>
    <row r="1301" spans="1:12">
      <c r="A1301" s="20" t="s">
        <v>1302</v>
      </c>
      <c r="E1301" s="22">
        <f>IF(D1301="?OLD","!!!","")</f>
        <v/>
      </c>
      <c r="F1301" s="23" t="str">
        <f>IF(OR(E1301="",E1301="!!!"),"",IF(NOT(ISNA(VLOOKUP(E1301,E$1:E1300,1,FALSE()))),"OLD",IF(AND(E1301&lt;&gt;"",E1301&lt;&gt;"!!!"),"NEW","")))</f>
        <v> </v>
      </c>
      <c r="G1301" s="24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5" t="str">
        <f>IF(J1301&lt;&gt;1,"",IF(I1301="SBJ","CB","?"))</f>
        <v> </v>
      </c>
      <c r="I1301" s="26" t="str">
        <f>IF(OR(E1301="",E1301="!!!",F1301="NEW"),"",INDEX(B1300:B$2,-1+SUMPRODUCT(MAX(ROW(E1300:E$2)*(E1301=E1300:E$2)))))</f>
        <v> </v>
      </c>
      <c r="J1301" s="26" t="str">
        <f>IF(OR(E1301="",E1301="!!!",F1301="NEW"),"",COUNTBLANK(OFFSET(A$1,,,SUMPRODUCT(MAX(ROW(E$2:E1301)*(E1301=E$2:E1301)))))-COUNTBLANK(OFFSET(A$1,,,SUMPRODUCT(MAX(ROW(E$1:E1300)*(E2=E$1:E1300))))))</f>
        <v> </v>
      </c>
      <c r="K1301" s="26" t="str">
        <f>IF(OR(E1301="",E1301="!!!",F1301="NEW"),"",INDEX(J$1:J1300,SUMPRODUCT(MAX(ROW(E$1:E1300)*(E1301=E$1:E1300)))))</f>
        <v> </v>
      </c>
      <c r="L1301" s="27"/>
    </row>
    <row r="1302" spans="1:12">
      <c r="A1302" s="20" t="s">
        <v>1303</v>
      </c>
      <c r="E1302" s="22">
        <f>IF(D1302="?OLD","!!!","")</f>
        <v/>
      </c>
      <c r="F1302" s="23" t="str">
        <f>IF(OR(E1302="",E1302="!!!"),"",IF(NOT(ISNA(VLOOKUP(E1302,E$1:E1301,1,FALSE()))),"OLD",IF(AND(E1302&lt;&gt;"",E1302&lt;&gt;"!!!"),"NEW","")))</f>
        <v> </v>
      </c>
      <c r="G1302" s="24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5" t="str">
        <f>IF(J1302&lt;&gt;1,"",IF(I1302="SBJ","CB","?"))</f>
        <v> </v>
      </c>
      <c r="I1302" s="26" t="str">
        <f>IF(OR(E1302="",E1302="!!!",F1302="NEW"),"",INDEX(B1301:B$2,-1+SUMPRODUCT(MAX(ROW(E1301:E$2)*(E1302=E1301:E$2)))))</f>
        <v> </v>
      </c>
      <c r="J1302" s="26" t="str">
        <f>IF(OR(E1302="",E1302="!!!",F1302="NEW"),"",COUNTBLANK(OFFSET(A$1,,,SUMPRODUCT(MAX(ROW(E$2:E1302)*(E1302=E$2:E1302)))))-COUNTBLANK(OFFSET(A$1,,,SUMPRODUCT(MAX(ROW(E$1:E1301)*(E2=E$1:E1301))))))</f>
        <v> </v>
      </c>
      <c r="K1302" s="26" t="str">
        <f>IF(OR(E1302="",E1302="!!!",F1302="NEW"),"",INDEX(J$1:J1301,SUMPRODUCT(MAX(ROW(E$1:E1301)*(E1302=E$1:E1301)))))</f>
        <v> </v>
      </c>
      <c r="L1302" s="27"/>
    </row>
    <row r="1303" spans="1:12">
      <c r="A1303" s="20" t="s">
        <v>633</v>
      </c>
      <c r="E1303" s="22">
        <f>IF(D1303="?OLD","!!!","")</f>
        <v/>
      </c>
      <c r="F1303" s="23" t="str">
        <f>IF(OR(E1303="",E1303="!!!"),"",IF(NOT(ISNA(VLOOKUP(E1303,E$1:E1302,1,FALSE()))),"OLD",IF(AND(E1303&lt;&gt;"",E1303&lt;&gt;"!!!"),"NEW","")))</f>
        <v> </v>
      </c>
      <c r="G1303" s="24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5" t="str">
        <f>IF(J1303&lt;&gt;1,"",IF(I1303="SBJ","CB","?"))</f>
        <v> </v>
      </c>
      <c r="I1303" s="26" t="str">
        <f>IF(OR(E1303="",E1303="!!!",F1303="NEW"),"",INDEX(B1302:B$2,-1+SUMPRODUCT(MAX(ROW(E1302:E$2)*(E1303=E1302:E$2)))))</f>
        <v> </v>
      </c>
      <c r="J1303" s="26" t="str">
        <f>IF(OR(E1303="",E1303="!!!",F1303="NEW"),"",COUNTBLANK(OFFSET(A$1,,,SUMPRODUCT(MAX(ROW(E$2:E1303)*(E1303=E$2:E1303)))))-COUNTBLANK(OFFSET(A$1,,,SUMPRODUCT(MAX(ROW(E$1:E1302)*(E2=E$1:E1302))))))</f>
        <v> </v>
      </c>
      <c r="K1303" s="26" t="str">
        <f>IF(OR(E1303="",E1303="!!!",F1303="NEW"),"",INDEX(J$1:J1302,SUMPRODUCT(MAX(ROW(E$1:E1302)*(E1303=E$1:E1302)))))</f>
        <v> </v>
      </c>
      <c r="L1303" s="27"/>
    </row>
    <row r="1304" spans="1:12">
      <c r="A1304" s="20"/>
    </row>
    <row r="1305" spans="1:12">
      <c r="A1305" s="20" t="s">
        <v>1304</v>
      </c>
    </row>
    <row r="1306" spans="1:12">
      <c r="A1306" s="20" t="s">
        <v>1305</v>
      </c>
      <c r="B1306" s="21" t="s">
        <v>601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1306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1206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 t="s">
        <v>1207</v>
      </c>
      <c r="E1309" s="22">
        <f>IF(D1309="?OLD","!!!","")</f>
        <v/>
      </c>
      <c r="F1309" s="23" t="str">
        <f>IF(OR(E1309="",E1309="!!!"),"",IF(NOT(ISNA(VLOOKUP(E1309,E$1:E1308,1,FALSE()))),"OLD",IF(AND(E1309&lt;&gt;"",E1309&lt;&gt;"!!!"),"NEW","")))</f>
        <v> </v>
      </c>
      <c r="G1309" s="24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5" t="str">
        <f>IF(J1309&lt;&gt;1,"",IF(I1309="SBJ","CB","?"))</f>
        <v> </v>
      </c>
      <c r="I1309" s="26" t="str">
        <f>IF(OR(E1309="",E1309="!!!",F1309="NEW"),"",INDEX(B1308:B$2,-1+SUMPRODUCT(MAX(ROW(E1308:E$2)*(E1309=E1308:E$2)))))</f>
        <v> </v>
      </c>
      <c r="J1309" s="26" t="str">
        <f>IF(OR(E1309="",E1309="!!!",F1309="NEW"),"",COUNTBLANK(OFFSET(A$1,,,SUMPRODUCT(MAX(ROW(E$2:E1309)*(E1309=E$2:E1309)))))-COUNTBLANK(OFFSET(A$1,,,SUMPRODUCT(MAX(ROW(E$1:E1308)*(E2=E$1:E1308))))))</f>
        <v> </v>
      </c>
      <c r="K1309" s="26" t="str">
        <f>IF(OR(E1309="",E1309="!!!",F1309="NEW"),"",INDEX(J$1:J1308,SUMPRODUCT(MAX(ROW(E$1:E1308)*(E1309=E$1:E1308)))))</f>
        <v> </v>
      </c>
      <c r="L1309" s="27"/>
    </row>
    <row r="1310" spans="1:12">
      <c r="A1310" s="20" t="s">
        <v>611</v>
      </c>
      <c r="E1310" s="22">
        <f>IF(D1310="?OLD","!!!","")</f>
        <v/>
      </c>
      <c r="F1310" s="23" t="str">
        <f>IF(OR(E1310="",E1310="!!!"),"",IF(NOT(ISNA(VLOOKUP(E1310,E$1:E1309,1,FALSE()))),"OLD",IF(AND(E1310&lt;&gt;"",E1310&lt;&gt;"!!!"),"NEW","")))</f>
        <v> </v>
      </c>
      <c r="G1310" s="24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5" t="str">
        <f>IF(J1310&lt;&gt;1,"",IF(I1310="SBJ","CB","?"))</f>
        <v> </v>
      </c>
      <c r="I1310" s="26" t="str">
        <f>IF(OR(E1310="",E1310="!!!",F1310="NEW"),"",INDEX(B1309:B$2,-1+SUMPRODUCT(MAX(ROW(E1309:E$2)*(E1310=E1309:E$2)))))</f>
        <v> </v>
      </c>
      <c r="J1310" s="26" t="str">
        <f>IF(OR(E1310="",E1310="!!!",F1310="NEW"),"",COUNTBLANK(OFFSET(A$1,,,SUMPRODUCT(MAX(ROW(E$2:E1310)*(E1310=E$2:E1310)))))-COUNTBLANK(OFFSET(A$1,,,SUMPRODUCT(MAX(ROW(E$1:E1309)*(E2=E$1:E1309))))))</f>
        <v> </v>
      </c>
      <c r="K1310" s="26" t="str">
        <f>IF(OR(E1310="",E1310="!!!",F1310="NEW"),"",INDEX(J$1:J1309,SUMPRODUCT(MAX(ROW(E$1:E1309)*(E1310=E$1:E1309)))))</f>
        <v> </v>
      </c>
      <c r="L1310" s="27"/>
    </row>
    <row r="1311" spans="1:12">
      <c r="A1311" s="20" t="s">
        <v>646</v>
      </c>
      <c r="E1311" s="22">
        <f>IF(D1311="?OLD","!!!","")</f>
        <v/>
      </c>
      <c r="F1311" s="23" t="str">
        <f>IF(OR(E1311="",E1311="!!!"),"",IF(NOT(ISNA(VLOOKUP(E1311,E$1:E1310,1,FALSE()))),"OLD",IF(AND(E1311&lt;&gt;"",E1311&lt;&gt;"!!!"),"NEW","")))</f>
        <v> </v>
      </c>
      <c r="G1311" s="24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5" t="str">
        <f>IF(J1311&lt;&gt;1,"",IF(I1311="SBJ","CB","?"))</f>
        <v> </v>
      </c>
      <c r="I1311" s="26" t="str">
        <f>IF(OR(E1311="",E1311="!!!",F1311="NEW"),"",INDEX(B1310:B$2,-1+SUMPRODUCT(MAX(ROW(E1310:E$2)*(E1311=E1310:E$2)))))</f>
        <v> </v>
      </c>
      <c r="J1311" s="26" t="str">
        <f>IF(OR(E1311="",E1311="!!!",F1311="NEW"),"",COUNTBLANK(OFFSET(A$1,,,SUMPRODUCT(MAX(ROW(E$2:E1311)*(E1311=E$2:E1311)))))-COUNTBLANK(OFFSET(A$1,,,SUMPRODUCT(MAX(ROW(E$1:E1310)*(E2=E$1:E1310))))))</f>
        <v> </v>
      </c>
      <c r="K1311" s="26" t="str">
        <f>IF(OR(E1311="",E1311="!!!",F1311="NEW"),"",INDEX(J$1:J1310,SUMPRODUCT(MAX(ROW(E$1:E1310)*(E1311=E$1:E1310)))))</f>
        <v> </v>
      </c>
      <c r="L1311" s="27"/>
    </row>
    <row r="1312" spans="1:12">
      <c r="A1312" s="20" t="s">
        <v>662</v>
      </c>
      <c r="E1312" s="22">
        <f>IF(D1312="?OLD","!!!","")</f>
        <v/>
      </c>
      <c r="F1312" s="23" t="str">
        <f>IF(OR(E1312="",E1312="!!!"),"",IF(NOT(ISNA(VLOOKUP(E1312,E$1:E1311,1,FALSE()))),"OLD",IF(AND(E1312&lt;&gt;"",E1312&lt;&gt;"!!!"),"NEW","")))</f>
        <v> </v>
      </c>
      <c r="G1312" s="24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5" t="str">
        <f>IF(J1312&lt;&gt;1,"",IF(I1312="SBJ","CB","?"))</f>
        <v> </v>
      </c>
      <c r="I1312" s="26" t="str">
        <f>IF(OR(E1312="",E1312="!!!",F1312="NEW"),"",INDEX(B1311:B$2,-1+SUMPRODUCT(MAX(ROW(E1311:E$2)*(E1312=E1311:E$2)))))</f>
        <v> </v>
      </c>
      <c r="J1312" s="26" t="str">
        <f>IF(OR(E1312="",E1312="!!!",F1312="NEW"),"",COUNTBLANK(OFFSET(A$1,,,SUMPRODUCT(MAX(ROW(E$2:E1312)*(E1312=E$2:E1312)))))-COUNTBLANK(OFFSET(A$1,,,SUMPRODUCT(MAX(ROW(E$1:E1311)*(E2=E$1:E1311))))))</f>
        <v> </v>
      </c>
      <c r="K1312" s="26" t="str">
        <f>IF(OR(E1312="",E1312="!!!",F1312="NEW"),"",INDEX(J$1:J1311,SUMPRODUCT(MAX(ROW(E$1:E1311)*(E1312=E$1:E1311)))))</f>
        <v> </v>
      </c>
      <c r="L1312" s="27"/>
    </row>
    <row r="1313" spans="1:12">
      <c r="A1313" s="20" t="s">
        <v>1307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1308</v>
      </c>
      <c r="B1314" s="21" t="s">
        <v>609</v>
      </c>
      <c r="C1314" s="21" t="s">
        <v>621</v>
      </c>
      <c r="E1314" s="22">
        <f>IF(D1314="?OLD","!!!","")</f>
        <v/>
      </c>
      <c r="F1314" s="23" t="str">
        <f>IF(OR(E1314="",E1314="!!!"),"",IF(NOT(ISNA(VLOOKUP(E1314,E$1:E1313,1,FALSE()))),"OLD",IF(AND(E1314&lt;&gt;"",E1314&lt;&gt;"!!!"),"NEW","")))</f>
        <v> </v>
      </c>
      <c r="G1314" s="24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5" t="str">
        <f>IF(J1314&lt;&gt;1,"",IF(I1314="SBJ","CB","?"))</f>
        <v> </v>
      </c>
      <c r="I1314" s="26" t="str">
        <f>IF(OR(E1314="",E1314="!!!",F1314="NEW"),"",INDEX(B1313:B$2,-1+SUMPRODUCT(MAX(ROW(E1313:E$2)*(E1314=E1313:E$2)))))</f>
        <v> </v>
      </c>
      <c r="J1314" s="26" t="str">
        <f>IF(OR(E1314="",E1314="!!!",F1314="NEW"),"",COUNTBLANK(OFFSET(A$1,,,SUMPRODUCT(MAX(ROW(E$2:E1314)*(E1314=E$2:E1314)))))-COUNTBLANK(OFFSET(A$1,,,SUMPRODUCT(MAX(ROW(E$1:E1313)*(E2=E$1:E1313))))))</f>
        <v> </v>
      </c>
      <c r="K1314" s="26" t="str">
        <f>IF(OR(E1314="",E1314="!!!",F1314="NEW"),"",INDEX(J$1:J1313,SUMPRODUCT(MAX(ROW(E$1:E1313)*(E1314=E$1:E1313)))))</f>
        <v> </v>
      </c>
      <c r="L1314" s="27"/>
    </row>
    <row r="1315" spans="1:12">
      <c r="A1315" s="20" t="s">
        <v>1309</v>
      </c>
      <c r="B1315" s="21" t="s">
        <v>636</v>
      </c>
      <c r="C1315" s="21" t="s">
        <v>602</v>
      </c>
      <c r="D1315" s="21" t="s">
        <v>603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 t="s">
        <v>1310</v>
      </c>
      <c r="E1316" s="22">
        <f>IF(D1316="?OLD","!!!","")</f>
        <v/>
      </c>
      <c r="F1316" s="23" t="str">
        <f>IF(OR(E1316="",E1316="!!!"),"",IF(NOT(ISNA(VLOOKUP(E1316,E$1:E1315,1,FALSE()))),"OLD",IF(AND(E1316&lt;&gt;"",E1316&lt;&gt;"!!!"),"NEW","")))</f>
        <v> </v>
      </c>
      <c r="G1316" s="24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5" t="str">
        <f>IF(J1316&lt;&gt;1,"",IF(I1316="SBJ","CB","?"))</f>
        <v> </v>
      </c>
      <c r="I1316" s="26" t="str">
        <f>IF(OR(E1316="",E1316="!!!",F1316="NEW"),"",INDEX(B1315:B$2,-1+SUMPRODUCT(MAX(ROW(E1315:E$2)*(E1316=E1315:E$2)))))</f>
        <v> </v>
      </c>
      <c r="J1316" s="26" t="str">
        <f>IF(OR(E1316="",E1316="!!!",F1316="NEW"),"",COUNTBLANK(OFFSET(A$1,,,SUMPRODUCT(MAX(ROW(E$2:E1316)*(E1316=E$2:E1316)))))-COUNTBLANK(OFFSET(A$1,,,SUMPRODUCT(MAX(ROW(E$1:E1315)*(E2=E$1:E1315))))))</f>
        <v> </v>
      </c>
      <c r="K1316" s="26" t="str">
        <f>IF(OR(E1316="",E1316="!!!",F1316="NEW"),"",INDEX(J$1:J1315,SUMPRODUCT(MAX(ROW(E$1:E1315)*(E1316=E$1:E1315)))))</f>
        <v> </v>
      </c>
      <c r="L1316" s="27"/>
    </row>
    <row r="1317" spans="1:12">
      <c r="A1317" s="20" t="s">
        <v>1311</v>
      </c>
      <c r="E1317" s="22">
        <f>IF(D1317="?OLD","!!!","")</f>
        <v/>
      </c>
      <c r="F1317" s="23" t="str">
        <f>IF(OR(E1317="",E1317="!!!"),"",IF(NOT(ISNA(VLOOKUP(E1317,E$1:E1316,1,FALSE()))),"OLD",IF(AND(E1317&lt;&gt;"",E1317&lt;&gt;"!!!"),"NEW","")))</f>
        <v> </v>
      </c>
      <c r="G1317" s="24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5" t="str">
        <f>IF(J1317&lt;&gt;1,"",IF(I1317="SBJ","CB","?"))</f>
        <v> </v>
      </c>
      <c r="I1317" s="26" t="str">
        <f>IF(OR(E1317="",E1317="!!!",F1317="NEW"),"",INDEX(B1316:B$2,-1+SUMPRODUCT(MAX(ROW(E1316:E$2)*(E1317=E1316:E$2)))))</f>
        <v> </v>
      </c>
      <c r="J1317" s="26" t="str">
        <f>IF(OR(E1317="",E1317="!!!",F1317="NEW"),"",COUNTBLANK(OFFSET(A$1,,,SUMPRODUCT(MAX(ROW(E$2:E1317)*(E1317=E$2:E1317)))))-COUNTBLANK(OFFSET(A$1,,,SUMPRODUCT(MAX(ROW(E$1:E1316)*(E2=E$1:E1316))))))</f>
        <v> </v>
      </c>
      <c r="K1317" s="26" t="str">
        <f>IF(OR(E1317="",E1317="!!!",F1317="NEW"),"",INDEX(J$1:J1316,SUMPRODUCT(MAX(ROW(E$1:E1316)*(E1317=E$1:E1316)))))</f>
        <v> </v>
      </c>
      <c r="L1317" s="27"/>
    </row>
    <row r="1318" spans="1:12">
      <c r="A1318" s="20" t="s">
        <v>646</v>
      </c>
      <c r="E1318" s="22">
        <f>IF(D1318="?OLD","!!!","")</f>
        <v/>
      </c>
      <c r="F1318" s="23" t="str">
        <f>IF(OR(E1318="",E1318="!!!"),"",IF(NOT(ISNA(VLOOKUP(E1318,E$1:E1317,1,FALSE()))),"OLD",IF(AND(E1318&lt;&gt;"",E1318&lt;&gt;"!!!"),"NEW","")))</f>
        <v> </v>
      </c>
      <c r="G1318" s="24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5" t="str">
        <f>IF(J1318&lt;&gt;1,"",IF(I1318="SBJ","CB","?"))</f>
        <v> </v>
      </c>
      <c r="I1318" s="26" t="str">
        <f>IF(OR(E1318="",E1318="!!!",F1318="NEW"),"",INDEX(B1317:B$2,-1+SUMPRODUCT(MAX(ROW(E1317:E$2)*(E1318=E1317:E$2)))))</f>
        <v> </v>
      </c>
      <c r="J1318" s="26" t="str">
        <f>IF(OR(E1318="",E1318="!!!",F1318="NEW"),"",COUNTBLANK(OFFSET(A$1,,,SUMPRODUCT(MAX(ROW(E$2:E1318)*(E1318=E$2:E1318)))))-COUNTBLANK(OFFSET(A$1,,,SUMPRODUCT(MAX(ROW(E$1:E1317)*(E2=E$1:E1317))))))</f>
        <v> </v>
      </c>
      <c r="K1318" s="26" t="str">
        <f>IF(OR(E1318="",E1318="!!!",F1318="NEW"),"",INDEX(J$1:J1317,SUMPRODUCT(MAX(ROW(E$1:E1317)*(E1318=E$1:E1317)))))</f>
        <v> </v>
      </c>
      <c r="L1318" s="27"/>
    </row>
    <row r="1319" spans="1:12">
      <c r="A1319" s="20" t="s">
        <v>1312</v>
      </c>
      <c r="E1319" s="22">
        <f>IF(D1319="?OLD","!!!","")</f>
        <v/>
      </c>
      <c r="F1319" s="23" t="str">
        <f>IF(OR(E1319="",E1319="!!!"),"",IF(NOT(ISNA(VLOOKUP(E1319,E$1:E1318,1,FALSE()))),"OLD",IF(AND(E1319&lt;&gt;"",E1319&lt;&gt;"!!!"),"NEW","")))</f>
        <v> </v>
      </c>
      <c r="G1319" s="24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5" t="str">
        <f>IF(J1319&lt;&gt;1,"",IF(I1319="SBJ","CB","?"))</f>
        <v> </v>
      </c>
      <c r="I1319" s="26" t="str">
        <f>IF(OR(E1319="",E1319="!!!",F1319="NEW"),"",INDEX(B1318:B$2,-1+SUMPRODUCT(MAX(ROW(E1318:E$2)*(E1319=E1318:E$2)))))</f>
        <v> </v>
      </c>
      <c r="J1319" s="26" t="str">
        <f>IF(OR(E1319="",E1319="!!!",F1319="NEW"),"",COUNTBLANK(OFFSET(A$1,,,SUMPRODUCT(MAX(ROW(E$2:E1319)*(E1319=E$2:E1319)))))-COUNTBLANK(OFFSET(A$1,,,SUMPRODUCT(MAX(ROW(E$1:E1318)*(E2=E$1:E1318))))))</f>
        <v> </v>
      </c>
      <c r="K1319" s="26" t="str">
        <f>IF(OR(E1319="",E1319="!!!",F1319="NEW"),"",INDEX(J$1:J1318,SUMPRODUCT(MAX(ROW(E$1:E1318)*(E1319=E$1:E1318)))))</f>
        <v> </v>
      </c>
      <c r="L1319" s="27"/>
    </row>
    <row r="1320" spans="1:12">
      <c r="A1320" s="20" t="s">
        <v>633</v>
      </c>
      <c r="E1320" s="22">
        <f>IF(D1320="?OLD","!!!","")</f>
        <v/>
      </c>
      <c r="F1320" s="23" t="str">
        <f>IF(OR(E1320="",E1320="!!!"),"",IF(NOT(ISNA(VLOOKUP(E1320,E$1:E1319,1,FALSE()))),"OLD",IF(AND(E1320&lt;&gt;"",E1320&lt;&gt;"!!!"),"NEW","")))</f>
        <v> </v>
      </c>
      <c r="G1320" s="24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5" t="str">
        <f>IF(J1320&lt;&gt;1,"",IF(I1320="SBJ","CB","?"))</f>
        <v> </v>
      </c>
      <c r="I1320" s="26" t="str">
        <f>IF(OR(E1320="",E1320="!!!",F1320="NEW"),"",INDEX(B1319:B$2,-1+SUMPRODUCT(MAX(ROW(E1319:E$2)*(E1320=E1319:E$2)))))</f>
        <v> </v>
      </c>
      <c r="J1320" s="26" t="str">
        <f>IF(OR(E1320="",E1320="!!!",F1320="NEW"),"",COUNTBLANK(OFFSET(A$1,,,SUMPRODUCT(MAX(ROW(E$2:E1320)*(E1320=E$2:E1320)))))-COUNTBLANK(OFFSET(A$1,,,SUMPRODUCT(MAX(ROW(E$1:E1319)*(E2=E$1:E1319))))))</f>
        <v> </v>
      </c>
      <c r="K1320" s="26" t="str">
        <f>IF(OR(E1320="",E1320="!!!",F1320="NEW"),"",INDEX(J$1:J1319,SUMPRODUCT(MAX(ROW(E$1:E1319)*(E1320=E$1:E1319)))))</f>
        <v> </v>
      </c>
      <c r="L1320" s="27"/>
    </row>
    <row r="1321" spans="1:12">
      <c r="A1321" s="20"/>
    </row>
    <row r="1322" spans="1:12">
      <c r="A1322" s="20" t="s">
        <v>1313</v>
      </c>
    </row>
    <row r="1323" spans="1:12">
      <c r="A1323" s="20" t="s">
        <v>1314</v>
      </c>
      <c r="B1323" s="21" t="s">
        <v>601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 t="s">
        <v>664</v>
      </c>
      <c r="E1324" s="22">
        <f>IF(D1324="?OLD","!!!","")</f>
        <v/>
      </c>
      <c r="F1324" s="23" t="str">
        <f>IF(OR(E1324="",E1324="!!!"),"",IF(NOT(ISNA(VLOOKUP(E1324,E$1:E1323,1,FALSE()))),"OLD",IF(AND(E1324&lt;&gt;"",E1324&lt;&gt;"!!!"),"NEW","")))</f>
        <v> </v>
      </c>
      <c r="G1324" s="24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5" t="str">
        <f>IF(J1324&lt;&gt;1,"",IF(I1324="SBJ","CB","?"))</f>
        <v> </v>
      </c>
      <c r="I1324" s="26" t="str">
        <f>IF(OR(E1324="",E1324="!!!",F1324="NEW"),"",INDEX(B1323:B$2,-1+SUMPRODUCT(MAX(ROW(E1323:E$2)*(E1324=E1323:E$2)))))</f>
        <v> </v>
      </c>
      <c r="J1324" s="26" t="str">
        <f>IF(OR(E1324="",E1324="!!!",F1324="NEW"),"",COUNTBLANK(OFFSET(A$1,,,SUMPRODUCT(MAX(ROW(E$2:E1324)*(E1324=E$2:E1324)))))-COUNTBLANK(OFFSET(A$1,,,SUMPRODUCT(MAX(ROW(E$1:E1323)*(E2=E$1:E1323))))))</f>
        <v> </v>
      </c>
      <c r="K1324" s="26" t="str">
        <f>IF(OR(E1324="",E1324="!!!",F1324="NEW"),"",INDEX(J$1:J1323,SUMPRODUCT(MAX(ROW(E$1:E1323)*(E1324=E$1:E1323)))))</f>
        <v> </v>
      </c>
      <c r="L1324" s="27"/>
    </row>
    <row r="1325" spans="1:12">
      <c r="A1325" s="20" t="s">
        <v>662</v>
      </c>
      <c r="E1325" s="22">
        <f>IF(D1325="?OLD","!!!","")</f>
        <v/>
      </c>
      <c r="F1325" s="23" t="str">
        <f>IF(OR(E1325="",E1325="!!!"),"",IF(NOT(ISNA(VLOOKUP(E1325,E$1:E1324,1,FALSE()))),"OLD",IF(AND(E1325&lt;&gt;"",E1325&lt;&gt;"!!!"),"NEW","")))</f>
        <v> </v>
      </c>
      <c r="G1325" s="24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5" t="str">
        <f>IF(J1325&lt;&gt;1,"",IF(I1325="SBJ","CB","?"))</f>
        <v> </v>
      </c>
      <c r="I1325" s="26" t="str">
        <f>IF(OR(E1325="",E1325="!!!",F1325="NEW"),"",INDEX(B1324:B$2,-1+SUMPRODUCT(MAX(ROW(E1324:E$2)*(E1325=E1324:E$2)))))</f>
        <v> </v>
      </c>
      <c r="J1325" s="26" t="str">
        <f>IF(OR(E1325="",E1325="!!!",F1325="NEW"),"",COUNTBLANK(OFFSET(A$1,,,SUMPRODUCT(MAX(ROW(E$2:E1325)*(E1325=E$2:E1325)))))-COUNTBLANK(OFFSET(A$1,,,SUMPRODUCT(MAX(ROW(E$1:E1324)*(E2=E$1:E1324))))))</f>
        <v> </v>
      </c>
      <c r="K1325" s="26" t="str">
        <f>IF(OR(E1325="",E1325="!!!",F1325="NEW"),"",INDEX(J$1:J1324,SUMPRODUCT(MAX(ROW(E$1:E1324)*(E1325=E$1:E1324)))))</f>
        <v> </v>
      </c>
      <c r="L1325" s="27"/>
    </row>
    <row r="1326" spans="1:12">
      <c r="A1326" s="20" t="s">
        <v>864</v>
      </c>
      <c r="B1326" s="21" t="s">
        <v>640</v>
      </c>
      <c r="C1326" s="21" t="s">
        <v>723</v>
      </c>
      <c r="D1326" s="21" t="s">
        <v>603</v>
      </c>
      <c r="E1326" s="22">
        <f>IF(D1326="?OLD","!!!","")</f>
        <v/>
      </c>
      <c r="F1326" s="23" t="str">
        <f>IF(OR(E1326="",E1326="!!!"),"",IF(NOT(ISNA(VLOOKUP(E1326,E$1:E1325,1,FALSE()))),"OLD",IF(AND(E1326&lt;&gt;"",E1326&lt;&gt;"!!!"),"NEW","")))</f>
        <v> </v>
      </c>
      <c r="G1326" s="24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5" t="str">
        <f>IF(J1326&lt;&gt;1,"",IF(I1326="SBJ","CB","?"))</f>
        <v> </v>
      </c>
      <c r="I1326" s="26" t="str">
        <f>IF(OR(E1326="",E1326="!!!",F1326="NEW"),"",INDEX(B1325:B$2,-1+SUMPRODUCT(MAX(ROW(E1325:E$2)*(E1326=E1325:E$2)))))</f>
        <v> </v>
      </c>
      <c r="J1326" s="26" t="str">
        <f>IF(OR(E1326="",E1326="!!!",F1326="NEW"),"",COUNTBLANK(OFFSET(A$1,,,SUMPRODUCT(MAX(ROW(E$2:E1326)*(E1326=E$2:E1326)))))-COUNTBLANK(OFFSET(A$1,,,SUMPRODUCT(MAX(ROW(E$1:E1325)*(E2=E$1:E1325))))))</f>
        <v> </v>
      </c>
      <c r="K1326" s="26" t="str">
        <f>IF(OR(E1326="",E1326="!!!",F1326="NEW"),"",INDEX(J$1:J1325,SUMPRODUCT(MAX(ROW(E$1:E1325)*(E1326=E$1:E1325)))))</f>
        <v> </v>
      </c>
      <c r="L1326" s="27"/>
    </row>
    <row r="1327" spans="1:12">
      <c r="A1327" s="20" t="s">
        <v>611</v>
      </c>
      <c r="E1327" s="22">
        <f>IF(D1327="?OLD","!!!","")</f>
        <v/>
      </c>
      <c r="F1327" s="23" t="str">
        <f>IF(OR(E1327="",E1327="!!!"),"",IF(NOT(ISNA(VLOOKUP(E1327,E$1:E1326,1,FALSE()))),"OLD",IF(AND(E1327&lt;&gt;"",E1327&lt;&gt;"!!!"),"NEW","")))</f>
        <v> </v>
      </c>
      <c r="G1327" s="24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5" t="str">
        <f>IF(J1327&lt;&gt;1,"",IF(I1327="SBJ","CB","?"))</f>
        <v> </v>
      </c>
      <c r="I1327" s="26" t="str">
        <f>IF(OR(E1327="",E1327="!!!",F1327="NEW"),"",INDEX(B1326:B$2,-1+SUMPRODUCT(MAX(ROW(E1326:E$2)*(E1327=E1326:E$2)))))</f>
        <v> </v>
      </c>
      <c r="J1327" s="26" t="str">
        <f>IF(OR(E1327="",E1327="!!!",F1327="NEW"),"",COUNTBLANK(OFFSET(A$1,,,SUMPRODUCT(MAX(ROW(E$2:E1327)*(E1327=E$2:E1327)))))-COUNTBLANK(OFFSET(A$1,,,SUMPRODUCT(MAX(ROW(E$1:E1326)*(E2=E$1:E1326))))))</f>
        <v> </v>
      </c>
      <c r="K1327" s="26" t="str">
        <f>IF(OR(E1327="",E1327="!!!",F1327="NEW"),"",INDEX(J$1:J1326,SUMPRODUCT(MAX(ROW(E$1:E1326)*(E1327=E$1:E1326)))))</f>
        <v> </v>
      </c>
      <c r="L1327" s="27"/>
    </row>
    <row r="1328" spans="1:12">
      <c r="A1328" s="20" t="s">
        <v>1315</v>
      </c>
      <c r="E1328" s="22">
        <f>IF(D1328="?OLD","!!!","")</f>
        <v/>
      </c>
      <c r="F1328" s="23" t="str">
        <f>IF(OR(E1328="",E1328="!!!"),"",IF(NOT(ISNA(VLOOKUP(E1328,E$1:E1327,1,FALSE()))),"OLD",IF(AND(E1328&lt;&gt;"",E1328&lt;&gt;"!!!"),"NEW","")))</f>
        <v> </v>
      </c>
      <c r="G1328" s="24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5" t="str">
        <f>IF(J1328&lt;&gt;1,"",IF(I1328="SBJ","CB","?"))</f>
        <v> </v>
      </c>
      <c r="I1328" s="26" t="str">
        <f>IF(OR(E1328="",E1328="!!!",F1328="NEW"),"",INDEX(B1327:B$2,-1+SUMPRODUCT(MAX(ROW(E1327:E$2)*(E1328=E1327:E$2)))))</f>
        <v> </v>
      </c>
      <c r="J1328" s="26" t="str">
        <f>IF(OR(E1328="",E1328="!!!",F1328="NEW"),"",COUNTBLANK(OFFSET(A$1,,,SUMPRODUCT(MAX(ROW(E$2:E1328)*(E1328=E$2:E1328)))))-COUNTBLANK(OFFSET(A$1,,,SUMPRODUCT(MAX(ROW(E$1:E1327)*(E2=E$1:E1327))))))</f>
        <v> </v>
      </c>
      <c r="K1328" s="26" t="str">
        <f>IF(OR(E1328="",E1328="!!!",F1328="NEW"),"",INDEX(J$1:J1327,SUMPRODUCT(MAX(ROW(E$1:E1327)*(E1328=E$1:E1327)))))</f>
        <v> </v>
      </c>
      <c r="L1328" s="27"/>
    </row>
    <row r="1329" spans="1:12">
      <c r="A1329" s="20" t="s">
        <v>925</v>
      </c>
      <c r="E1329" s="22">
        <f>IF(D1329="?OLD","!!!","")</f>
        <v/>
      </c>
      <c r="F1329" s="23" t="str">
        <f>IF(OR(E1329="",E1329="!!!"),"",IF(NOT(ISNA(VLOOKUP(E1329,E$1:E1328,1,FALSE()))),"OLD",IF(AND(E1329&lt;&gt;"",E1329&lt;&gt;"!!!"),"NEW","")))</f>
        <v> </v>
      </c>
      <c r="G1329" s="24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5" t="str">
        <f>IF(J1329&lt;&gt;1,"",IF(I1329="SBJ","CB","?"))</f>
        <v> </v>
      </c>
      <c r="I1329" s="26" t="str">
        <f>IF(OR(E1329="",E1329="!!!",F1329="NEW"),"",INDEX(B1328:B$2,-1+SUMPRODUCT(MAX(ROW(E1328:E$2)*(E1329=E1328:E$2)))))</f>
        <v> </v>
      </c>
      <c r="J1329" s="26" t="str">
        <f>IF(OR(E1329="",E1329="!!!",F1329="NEW"),"",COUNTBLANK(OFFSET(A$1,,,SUMPRODUCT(MAX(ROW(E$2:E1329)*(E1329=E$2:E1329)))))-COUNTBLANK(OFFSET(A$1,,,SUMPRODUCT(MAX(ROW(E$1:E1328)*(E2=E$1:E1328))))))</f>
        <v> </v>
      </c>
      <c r="K1329" s="26" t="str">
        <f>IF(OR(E1329="",E1329="!!!",F1329="NEW"),"",INDEX(J$1:J1328,SUMPRODUCT(MAX(ROW(E$1:E1328)*(E1329=E$1:E1328)))))</f>
        <v> </v>
      </c>
      <c r="L1329" s="27"/>
    </row>
    <row r="1330" spans="1:12">
      <c r="A1330" s="20" t="s">
        <v>1316</v>
      </c>
      <c r="B1330" s="21" t="s">
        <v>636</v>
      </c>
      <c r="C1330" s="21" t="s">
        <v>602</v>
      </c>
      <c r="D1330" s="21" t="s">
        <v>603</v>
      </c>
      <c r="E1330" s="22">
        <f>IF(D1330="?OLD","!!!","")</f>
        <v/>
      </c>
      <c r="F1330" s="23" t="str">
        <f>IF(OR(E1330="",E1330="!!!"),"",IF(NOT(ISNA(VLOOKUP(E1330,E$1:E1329,1,FALSE()))),"OLD",IF(AND(E1330&lt;&gt;"",E1330&lt;&gt;"!!!"),"NEW","")))</f>
        <v> </v>
      </c>
      <c r="G1330" s="24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5" t="str">
        <f>IF(J1330&lt;&gt;1,"",IF(I1330="SBJ","CB","?"))</f>
        <v> </v>
      </c>
      <c r="I1330" s="26" t="str">
        <f>IF(OR(E1330="",E1330="!!!",F1330="NEW"),"",INDEX(B1329:B$2,-1+SUMPRODUCT(MAX(ROW(E1329:E$2)*(E1330=E1329:E$2)))))</f>
        <v> </v>
      </c>
      <c r="J1330" s="26" t="str">
        <f>IF(OR(E1330="",E1330="!!!",F1330="NEW"),"",COUNTBLANK(OFFSET(A$1,,,SUMPRODUCT(MAX(ROW(E$2:E1330)*(E1330=E$2:E1330)))))-COUNTBLANK(OFFSET(A$1,,,SUMPRODUCT(MAX(ROW(E$1:E1329)*(E2=E$1:E1329))))))</f>
        <v> </v>
      </c>
      <c r="K1330" s="26" t="str">
        <f>IF(OR(E1330="",E1330="!!!",F1330="NEW"),"",INDEX(J$1:J1329,SUMPRODUCT(MAX(ROW(E$1:E1329)*(E1330=E$1:E1329)))))</f>
        <v> </v>
      </c>
      <c r="L1330" s="27"/>
    </row>
    <row r="1331" spans="1:12">
      <c r="A1331" s="20" t="s">
        <v>607</v>
      </c>
      <c r="E1331" s="22">
        <f>IF(D1331="?OLD","!!!","")</f>
        <v/>
      </c>
      <c r="F1331" s="23" t="str">
        <f>IF(OR(E1331="",E1331="!!!"),"",IF(NOT(ISNA(VLOOKUP(E1331,E$1:E1330,1,FALSE()))),"OLD",IF(AND(E1331&lt;&gt;"",E1331&lt;&gt;"!!!"),"NEW","")))</f>
        <v> </v>
      </c>
      <c r="G1331" s="24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5" t="str">
        <f>IF(J1331&lt;&gt;1,"",IF(I1331="SBJ","CB","?"))</f>
        <v> </v>
      </c>
      <c r="I1331" s="26" t="str">
        <f>IF(OR(E1331="",E1331="!!!",F1331="NEW"),"",INDEX(B1330:B$2,-1+SUMPRODUCT(MAX(ROW(E1330:E$2)*(E1331=E1330:E$2)))))</f>
        <v> </v>
      </c>
      <c r="J1331" s="26" t="str">
        <f>IF(OR(E1331="",E1331="!!!",F1331="NEW"),"",COUNTBLANK(OFFSET(A$1,,,SUMPRODUCT(MAX(ROW(E$2:E1331)*(E1331=E$2:E1331)))))-COUNTBLANK(OFFSET(A$1,,,SUMPRODUCT(MAX(ROW(E$1:E1330)*(E2=E$1:E1330))))))</f>
        <v> </v>
      </c>
      <c r="K1331" s="26" t="str">
        <f>IF(OR(E1331="",E1331="!!!",F1331="NEW"),"",INDEX(J$1:J1330,SUMPRODUCT(MAX(ROW(E$1:E1330)*(E1331=E$1:E1330)))))</f>
        <v> </v>
      </c>
      <c r="L1331" s="27"/>
    </row>
    <row r="1332" spans="1:12">
      <c r="A1332" s="20" t="s">
        <v>1317</v>
      </c>
      <c r="E1332" s="22">
        <f>IF(D1332="?OLD","!!!","")</f>
        <v/>
      </c>
      <c r="F1332" s="23" t="str">
        <f>IF(OR(E1332="",E1332="!!!"),"",IF(NOT(ISNA(VLOOKUP(E1332,E$1:E1331,1,FALSE()))),"OLD",IF(AND(E1332&lt;&gt;"",E1332&lt;&gt;"!!!"),"NEW","")))</f>
        <v> </v>
      </c>
      <c r="G1332" s="24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5" t="str">
        <f>IF(J1332&lt;&gt;1,"",IF(I1332="SBJ","CB","?"))</f>
        <v> </v>
      </c>
      <c r="I1332" s="26" t="str">
        <f>IF(OR(E1332="",E1332="!!!",F1332="NEW"),"",INDEX(B1331:B$2,-1+SUMPRODUCT(MAX(ROW(E1331:E$2)*(E1332=E1331:E$2)))))</f>
        <v> </v>
      </c>
      <c r="J1332" s="26" t="str">
        <f>IF(OR(E1332="",E1332="!!!",F1332="NEW"),"",COUNTBLANK(OFFSET(A$1,,,SUMPRODUCT(MAX(ROW(E$2:E1332)*(E1332=E$2:E1332)))))-COUNTBLANK(OFFSET(A$1,,,SUMPRODUCT(MAX(ROW(E$1:E1331)*(E2=E$1:E1331))))))</f>
        <v> </v>
      </c>
      <c r="K1332" s="26" t="str">
        <f>IF(OR(E1332="",E1332="!!!",F1332="NEW"),"",INDEX(J$1:J1331,SUMPRODUCT(MAX(ROW(E$1:E1331)*(E1332=E$1:E1331)))))</f>
        <v> </v>
      </c>
      <c r="L1332" s="27"/>
    </row>
    <row r="1333" spans="1:12">
      <c r="A1333" s="20" t="s">
        <v>1301</v>
      </c>
      <c r="E1333" s="22">
        <f>IF(D1333="?OLD","!!!","")</f>
        <v/>
      </c>
      <c r="F1333" s="23" t="str">
        <f>IF(OR(E1333="",E1333="!!!"),"",IF(NOT(ISNA(VLOOKUP(E1333,E$1:E1332,1,FALSE()))),"OLD",IF(AND(E1333&lt;&gt;"",E1333&lt;&gt;"!!!"),"NEW","")))</f>
        <v> </v>
      </c>
      <c r="G1333" s="24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5" t="str">
        <f>IF(J1333&lt;&gt;1,"",IF(I1333="SBJ","CB","?"))</f>
        <v> </v>
      </c>
      <c r="I1333" s="26" t="str">
        <f>IF(OR(E1333="",E1333="!!!",F1333="NEW"),"",INDEX(B1332:B$2,-1+SUMPRODUCT(MAX(ROW(E1332:E$2)*(E1333=E1332:E$2)))))</f>
        <v> </v>
      </c>
      <c r="J1333" s="26" t="str">
        <f>IF(OR(E1333="",E1333="!!!",F1333="NEW"),"",COUNTBLANK(OFFSET(A$1,,,SUMPRODUCT(MAX(ROW(E$2:E1333)*(E1333=E$2:E1333)))))-COUNTBLANK(OFFSET(A$1,,,SUMPRODUCT(MAX(ROW(E$1:E1332)*(E2=E$1:E1332))))))</f>
        <v> </v>
      </c>
      <c r="K1333" s="26" t="str">
        <f>IF(OR(E1333="",E1333="!!!",F1333="NEW"),"",INDEX(J$1:J1332,SUMPRODUCT(MAX(ROW(E$1:E1332)*(E1333=E$1:E1332)))))</f>
        <v> </v>
      </c>
      <c r="L1333" s="27"/>
    </row>
    <row r="1334" spans="1:12">
      <c r="A1334" s="20" t="s">
        <v>611</v>
      </c>
      <c r="E1334" s="22">
        <f>IF(D1334="?OLD","!!!","")</f>
        <v/>
      </c>
      <c r="F1334" s="23" t="str">
        <f>IF(OR(E1334="",E1334="!!!"),"",IF(NOT(ISNA(VLOOKUP(E1334,E$1:E1333,1,FALSE()))),"OLD",IF(AND(E1334&lt;&gt;"",E1334&lt;&gt;"!!!"),"NEW","")))</f>
        <v> </v>
      </c>
      <c r="G1334" s="24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5" t="str">
        <f>IF(J1334&lt;&gt;1,"",IF(I1334="SBJ","CB","?"))</f>
        <v> </v>
      </c>
      <c r="I1334" s="26" t="str">
        <f>IF(OR(E1334="",E1334="!!!",F1334="NEW"),"",INDEX(B1333:B$2,-1+SUMPRODUCT(MAX(ROW(E1333:E$2)*(E1334=E1333:E$2)))))</f>
        <v> </v>
      </c>
      <c r="J1334" s="26" t="str">
        <f>IF(OR(E1334="",E1334="!!!",F1334="NEW"),"",COUNTBLANK(OFFSET(A$1,,,SUMPRODUCT(MAX(ROW(E$2:E1334)*(E1334=E$2:E1334)))))-COUNTBLANK(OFFSET(A$1,,,SUMPRODUCT(MAX(ROW(E$1:E1333)*(E2=E$1:E1333))))))</f>
        <v> </v>
      </c>
      <c r="K1334" s="26" t="str">
        <f>IF(OR(E1334="",E1334="!!!",F1334="NEW"),"",INDEX(J$1:J1333,SUMPRODUCT(MAX(ROW(E$1:E1333)*(E1334=E$1:E1333)))))</f>
        <v> </v>
      </c>
      <c r="L1334" s="27"/>
    </row>
    <row r="1335" spans="1:12">
      <c r="A1335" s="20" t="s">
        <v>863</v>
      </c>
      <c r="E1335" s="22">
        <f>IF(D1335="?OLD","!!!","")</f>
        <v/>
      </c>
      <c r="F1335" s="23" t="str">
        <f>IF(OR(E1335="",E1335="!!!"),"",IF(NOT(ISNA(VLOOKUP(E1335,E$1:E1334,1,FALSE()))),"OLD",IF(AND(E1335&lt;&gt;"",E1335&lt;&gt;"!!!"),"NEW","")))</f>
        <v> </v>
      </c>
      <c r="G1335" s="24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5" t="str">
        <f>IF(J1335&lt;&gt;1,"",IF(I1335="SBJ","CB","?"))</f>
        <v> </v>
      </c>
      <c r="I1335" s="26" t="str">
        <f>IF(OR(E1335="",E1335="!!!",F1335="NEW"),"",INDEX(B1334:B$2,-1+SUMPRODUCT(MAX(ROW(E1334:E$2)*(E1335=E1334:E$2)))))</f>
        <v> </v>
      </c>
      <c r="J1335" s="26" t="str">
        <f>IF(OR(E1335="",E1335="!!!",F1335="NEW"),"",COUNTBLANK(OFFSET(A$1,,,SUMPRODUCT(MAX(ROW(E$2:E1335)*(E1335=E$2:E1335)))))-COUNTBLANK(OFFSET(A$1,,,SUMPRODUCT(MAX(ROW(E$1:E1334)*(E2=E$1:E1334))))))</f>
        <v> </v>
      </c>
      <c r="K1335" s="26" t="str">
        <f>IF(OR(E1335="",E1335="!!!",F1335="NEW"),"",INDEX(J$1:J1334,SUMPRODUCT(MAX(ROW(E$1:E1334)*(E1335=E$1:E1334)))))</f>
        <v> </v>
      </c>
      <c r="L1335" s="27"/>
    </row>
    <row r="1336" spans="1:12">
      <c r="A1336" s="20" t="s">
        <v>662</v>
      </c>
      <c r="E1336" s="22">
        <f>IF(D1336="?OLD","!!!","")</f>
        <v/>
      </c>
      <c r="F1336" s="23" t="str">
        <f>IF(OR(E1336="",E1336="!!!"),"",IF(NOT(ISNA(VLOOKUP(E1336,E$1:E1335,1,FALSE()))),"OLD",IF(AND(E1336&lt;&gt;"",E1336&lt;&gt;"!!!"),"NEW","")))</f>
        <v> </v>
      </c>
      <c r="G1336" s="24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5" t="str">
        <f>IF(J1336&lt;&gt;1,"",IF(I1336="SBJ","CB","?"))</f>
        <v> </v>
      </c>
      <c r="I1336" s="26" t="str">
        <f>IF(OR(E1336="",E1336="!!!",F1336="NEW"),"",INDEX(B1335:B$2,-1+SUMPRODUCT(MAX(ROW(E1335:E$2)*(E1336=E1335:E$2)))))</f>
        <v> </v>
      </c>
      <c r="J1336" s="26" t="str">
        <f>IF(OR(E1336="",E1336="!!!",F1336="NEW"),"",COUNTBLANK(OFFSET(A$1,,,SUMPRODUCT(MAX(ROW(E$2:E1336)*(E1336=E$2:E1336)))))-COUNTBLANK(OFFSET(A$1,,,SUMPRODUCT(MAX(ROW(E$1:E1335)*(E2=E$1:E1335))))))</f>
        <v> </v>
      </c>
      <c r="K1336" s="26" t="str">
        <f>IF(OR(E1336="",E1336="!!!",F1336="NEW"),"",INDEX(J$1:J1335,SUMPRODUCT(MAX(ROW(E$1:E1335)*(E1336=E$1:E1335)))))</f>
        <v> </v>
      </c>
      <c r="L1336" s="27"/>
    </row>
    <row r="1337" spans="1:12">
      <c r="A1337" s="20" t="s">
        <v>864</v>
      </c>
      <c r="B1337" s="21" t="s">
        <v>640</v>
      </c>
      <c r="C1337" s="21" t="s">
        <v>723</v>
      </c>
      <c r="D1337" s="21" t="s">
        <v>603</v>
      </c>
      <c r="E1337" s="22">
        <f>IF(D1337="?OLD","!!!","")</f>
        <v/>
      </c>
      <c r="F1337" s="23" t="str">
        <f>IF(OR(E1337="",E1337="!!!"),"",IF(NOT(ISNA(VLOOKUP(E1337,E$1:E1336,1,FALSE()))),"OLD",IF(AND(E1337&lt;&gt;"",E1337&lt;&gt;"!!!"),"NEW","")))</f>
        <v> </v>
      </c>
      <c r="G1337" s="24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5" t="str">
        <f>IF(J1337&lt;&gt;1,"",IF(I1337="SBJ","CB","?"))</f>
        <v> </v>
      </c>
      <c r="I1337" s="26" t="str">
        <f>IF(OR(E1337="",E1337="!!!",F1337="NEW"),"",INDEX(B1336:B$2,-1+SUMPRODUCT(MAX(ROW(E1336:E$2)*(E1337=E1336:E$2)))))</f>
        <v> </v>
      </c>
      <c r="J1337" s="26" t="str">
        <f>IF(OR(E1337="",E1337="!!!",F1337="NEW"),"",COUNTBLANK(OFFSET(A$1,,,SUMPRODUCT(MAX(ROW(E$2:E1337)*(E1337=E$2:E1337)))))-COUNTBLANK(OFFSET(A$1,,,SUMPRODUCT(MAX(ROW(E$1:E1336)*(E2=E$1:E1336))))))</f>
        <v> </v>
      </c>
      <c r="K1337" s="26" t="str">
        <f>IF(OR(E1337="",E1337="!!!",F1337="NEW"),"",INDEX(J$1:J1336,SUMPRODUCT(MAX(ROW(E$1:E1336)*(E1337=E$1:E1336)))))</f>
        <v> </v>
      </c>
      <c r="L1337" s="27"/>
    </row>
    <row r="1338" spans="1:12">
      <c r="A1338" s="20" t="s">
        <v>611</v>
      </c>
      <c r="E1338" s="22">
        <f>IF(D1338="?OLD","!!!","")</f>
        <v/>
      </c>
      <c r="F1338" s="23" t="str">
        <f>IF(OR(E1338="",E1338="!!!"),"",IF(NOT(ISNA(VLOOKUP(E1338,E$1:E1337,1,FALSE()))),"OLD",IF(AND(E1338&lt;&gt;"",E1338&lt;&gt;"!!!"),"NEW","")))</f>
        <v> </v>
      </c>
      <c r="G1338" s="24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5" t="str">
        <f>IF(J1338&lt;&gt;1,"",IF(I1338="SBJ","CB","?"))</f>
        <v> </v>
      </c>
      <c r="I1338" s="26" t="str">
        <f>IF(OR(E1338="",E1338="!!!",F1338="NEW"),"",INDEX(B1337:B$2,-1+SUMPRODUCT(MAX(ROW(E1337:E$2)*(E1338=E1337:E$2)))))</f>
        <v> </v>
      </c>
      <c r="J1338" s="26" t="str">
        <f>IF(OR(E1338="",E1338="!!!",F1338="NEW"),"",COUNTBLANK(OFFSET(A$1,,,SUMPRODUCT(MAX(ROW(E$2:E1338)*(E1338=E$2:E1338)))))-COUNTBLANK(OFFSET(A$1,,,SUMPRODUCT(MAX(ROW(E$1:E1337)*(E2=E$1:E1337))))))</f>
        <v> </v>
      </c>
      <c r="K1338" s="26" t="str">
        <f>IF(OR(E1338="",E1338="!!!",F1338="NEW"),"",INDEX(J$1:J1337,SUMPRODUCT(MAX(ROW(E$1:E1337)*(E1338=E$1:E1337)))))</f>
        <v> </v>
      </c>
      <c r="L1338" s="27"/>
    </row>
    <row r="1339" spans="1:12">
      <c r="A1339" s="20" t="s">
        <v>655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1316</v>
      </c>
      <c r="B1340" s="21" t="s">
        <v>659</v>
      </c>
      <c r="C1340" s="21" t="s">
        <v>602</v>
      </c>
      <c r="D1340" s="21" t="s">
        <v>603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607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 t="s">
        <v>1318</v>
      </c>
      <c r="B1342" s="21" t="s">
        <v>804</v>
      </c>
      <c r="C1342" s="21" t="s">
        <v>602</v>
      </c>
      <c r="D1342" s="21" t="s">
        <v>603</v>
      </c>
      <c r="E1342" s="22">
        <f>IF(D1342="?OLD","!!!","")</f>
        <v/>
      </c>
      <c r="F1342" s="23" t="str">
        <f>IF(OR(E1342="",E1342="!!!"),"",IF(NOT(ISNA(VLOOKUP(E1342,E$1:E1341,1,FALSE()))),"OLD",IF(AND(E1342&lt;&gt;"",E1342&lt;&gt;"!!!"),"NEW","")))</f>
        <v> </v>
      </c>
      <c r="G1342" s="24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5" t="str">
        <f>IF(J1342&lt;&gt;1,"",IF(I1342="SBJ","CB","?"))</f>
        <v> </v>
      </c>
      <c r="I1342" s="26" t="str">
        <f>IF(OR(E1342="",E1342="!!!",F1342="NEW"),"",INDEX(B1341:B$2,-1+SUMPRODUCT(MAX(ROW(E1341:E$2)*(E1342=E1341:E$2)))))</f>
        <v> </v>
      </c>
      <c r="J1342" s="26" t="str">
        <f>IF(OR(E1342="",E1342="!!!",F1342="NEW"),"",COUNTBLANK(OFFSET(A$1,,,SUMPRODUCT(MAX(ROW(E$2:E1342)*(E1342=E$2:E1342)))))-COUNTBLANK(OFFSET(A$1,,,SUMPRODUCT(MAX(ROW(E$1:E1341)*(E2=E$1:E1341))))))</f>
        <v> </v>
      </c>
      <c r="K1342" s="26" t="str">
        <f>IF(OR(E1342="",E1342="!!!",F1342="NEW"),"",INDEX(J$1:J1341,SUMPRODUCT(MAX(ROW(E$1:E1341)*(E1342=E$1:E1341)))))</f>
        <v> </v>
      </c>
      <c r="L1342" s="27"/>
    </row>
    <row r="1343" spans="1:12">
      <c r="A1343" s="20" t="s">
        <v>1315</v>
      </c>
      <c r="E1343" s="22">
        <f>IF(D1343="?OLD","!!!","")</f>
        <v/>
      </c>
      <c r="F1343" s="23" t="str">
        <f>IF(OR(E1343="",E1343="!!!"),"",IF(NOT(ISNA(VLOOKUP(E1343,E$1:E1342,1,FALSE()))),"OLD",IF(AND(E1343&lt;&gt;"",E1343&lt;&gt;"!!!"),"NEW","")))</f>
        <v> </v>
      </c>
      <c r="G1343" s="24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5" t="str">
        <f>IF(J1343&lt;&gt;1,"",IF(I1343="SBJ","CB","?"))</f>
        <v> </v>
      </c>
      <c r="I1343" s="26" t="str">
        <f>IF(OR(E1343="",E1343="!!!",F1343="NEW"),"",INDEX(B1342:B$2,-1+SUMPRODUCT(MAX(ROW(E1342:E$2)*(E1343=E1342:E$2)))))</f>
        <v> </v>
      </c>
      <c r="J1343" s="26" t="str">
        <f>IF(OR(E1343="",E1343="!!!",F1343="NEW"),"",COUNTBLANK(OFFSET(A$1,,,SUMPRODUCT(MAX(ROW(E$2:E1343)*(E1343=E$2:E1343)))))-COUNTBLANK(OFFSET(A$1,,,SUMPRODUCT(MAX(ROW(E$1:E1342)*(E2=E$1:E1342))))))</f>
        <v> </v>
      </c>
      <c r="K1343" s="26" t="str">
        <f>IF(OR(E1343="",E1343="!!!",F1343="NEW"),"",INDEX(J$1:J1342,SUMPRODUCT(MAX(ROW(E$1:E1342)*(E1343=E$1:E1342)))))</f>
        <v> </v>
      </c>
      <c r="L1343" s="27"/>
    </row>
    <row r="1344" spans="1:12">
      <c r="A1344" s="20" t="s">
        <v>633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/>
    </row>
    <row r="1346" spans="1:12">
      <c r="A1346" s="20" t="s">
        <v>1319</v>
      </c>
    </row>
    <row r="1347" spans="1:12">
      <c r="A1347" s="20" t="s">
        <v>860</v>
      </c>
      <c r="E1347" s="22">
        <f>IF(D1347="?OLD","!!!","")</f>
        <v/>
      </c>
      <c r="F1347" s="23" t="str">
        <f>IF(OR(E1347="",E1347="!!!"),"",IF(NOT(ISNA(VLOOKUP(E1347,E$1:E1346,1,FALSE()))),"OLD",IF(AND(E1347&lt;&gt;"",E1347&lt;&gt;"!!!"),"NEW","")))</f>
        <v> </v>
      </c>
      <c r="G1347" s="24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5" t="str">
        <f>IF(J1347&lt;&gt;1,"",IF(I1347="SBJ","CB","?"))</f>
        <v> </v>
      </c>
      <c r="I1347" s="26" t="str">
        <f>IF(OR(E1347="",E1347="!!!",F1347="NEW"),"",INDEX(B1346:B$2,-1+SUMPRODUCT(MAX(ROW(E1346:E$2)*(E1347=E1346:E$2)))))</f>
        <v> </v>
      </c>
      <c r="J1347" s="26" t="str">
        <f>IF(OR(E1347="",E1347="!!!",F1347="NEW"),"",COUNTBLANK(OFFSET(A$1,,,SUMPRODUCT(MAX(ROW(E$2:E1347)*(E1347=E$2:E1347)))))-COUNTBLANK(OFFSET(A$1,,,SUMPRODUCT(MAX(ROW(E$1:E1346)*(E2=E$1:E1346))))))</f>
        <v> </v>
      </c>
      <c r="K1347" s="26" t="str">
        <f>IF(OR(E1347="",E1347="!!!",F1347="NEW"),"",INDEX(J$1:J1346,SUMPRODUCT(MAX(ROW(E$1:E1346)*(E1347=E$1:E1346)))))</f>
        <v> </v>
      </c>
      <c r="L1347" s="27"/>
    </row>
    <row r="1348" spans="1:12">
      <c r="A1348" s="20" t="s">
        <v>611</v>
      </c>
      <c r="E1348" s="22">
        <f>IF(D1348="?OLD","!!!","")</f>
        <v/>
      </c>
      <c r="F1348" s="23" t="str">
        <f>IF(OR(E1348="",E1348="!!!"),"",IF(NOT(ISNA(VLOOKUP(E1348,E$1:E1347,1,FALSE()))),"OLD",IF(AND(E1348&lt;&gt;"",E1348&lt;&gt;"!!!"),"NEW","")))</f>
        <v> </v>
      </c>
      <c r="G1348" s="24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5" t="str">
        <f>IF(J1348&lt;&gt;1,"",IF(I1348="SBJ","CB","?"))</f>
        <v> </v>
      </c>
      <c r="I1348" s="26" t="str">
        <f>IF(OR(E1348="",E1348="!!!",F1348="NEW"),"",INDEX(B1347:B$2,-1+SUMPRODUCT(MAX(ROW(E1347:E$2)*(E1348=E1347:E$2)))))</f>
        <v> </v>
      </c>
      <c r="J1348" s="26" t="str">
        <f>IF(OR(E1348="",E1348="!!!",F1348="NEW"),"",COUNTBLANK(OFFSET(A$1,,,SUMPRODUCT(MAX(ROW(E$2:E1348)*(E1348=E$2:E1348)))))-COUNTBLANK(OFFSET(A$1,,,SUMPRODUCT(MAX(ROW(E$1:E1347)*(E2=E$1:E1347))))))</f>
        <v> </v>
      </c>
      <c r="K1348" s="26" t="str">
        <f>IF(OR(E1348="",E1348="!!!",F1348="NEW"),"",INDEX(J$1:J1347,SUMPRODUCT(MAX(ROW(E$1:E1347)*(E1348=E$1:E1347)))))</f>
        <v> </v>
      </c>
      <c r="L1348" s="27"/>
    </row>
    <row r="1349" spans="1:12">
      <c r="A1349" s="20" t="s">
        <v>1320</v>
      </c>
      <c r="B1349" s="21" t="s">
        <v>609</v>
      </c>
      <c r="C1349" s="21" t="s">
        <v>733</v>
      </c>
      <c r="D1349" s="21" t="s">
        <v>603</v>
      </c>
      <c r="E1349" s="22">
        <f>IF(D1349="?OLD","!!!","")</f>
        <v/>
      </c>
      <c r="F1349" s="23" t="str">
        <f>IF(OR(E1349="",E1349="!!!"),"",IF(NOT(ISNA(VLOOKUP(E1349,E$1:E1348,1,FALSE()))),"OLD",IF(AND(E1349&lt;&gt;"",E1349&lt;&gt;"!!!"),"NEW","")))</f>
        <v> </v>
      </c>
      <c r="G1349" s="24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5" t="str">
        <f>IF(J1349&lt;&gt;1,"",IF(I1349="SBJ","CB","?"))</f>
        <v> </v>
      </c>
      <c r="I1349" s="26" t="str">
        <f>IF(OR(E1349="",E1349="!!!",F1349="NEW"),"",INDEX(B1348:B$2,-1+SUMPRODUCT(MAX(ROW(E1348:E$2)*(E1349=E1348:E$2)))))</f>
        <v> </v>
      </c>
      <c r="J1349" s="26" t="str">
        <f>IF(OR(E1349="",E1349="!!!",F1349="NEW"),"",COUNTBLANK(OFFSET(A$1,,,SUMPRODUCT(MAX(ROW(E$2:E1349)*(E1349=E$2:E1349)))))-COUNTBLANK(OFFSET(A$1,,,SUMPRODUCT(MAX(ROW(E$1:E1348)*(E2=E$1:E1348))))))</f>
        <v> </v>
      </c>
      <c r="K1349" s="26" t="str">
        <f>IF(OR(E1349="",E1349="!!!",F1349="NEW"),"",INDEX(J$1:J1348,SUMPRODUCT(MAX(ROW(E$1:E1348)*(E1349=E$1:E1348)))))</f>
        <v> </v>
      </c>
      <c r="L1349" s="27"/>
    </row>
    <row r="1350" spans="1:12">
      <c r="A1350" s="20" t="s">
        <v>1321</v>
      </c>
      <c r="B1350" s="21" t="s">
        <v>601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 t="s">
        <v>1322</v>
      </c>
      <c r="E1351" s="22">
        <f>IF(D1351="?OLD","!!!","")</f>
        <v/>
      </c>
      <c r="F1351" s="23" t="str">
        <f>IF(OR(E1351="",E1351="!!!"),"",IF(NOT(ISNA(VLOOKUP(E1351,E$1:E1350,1,FALSE()))),"OLD",IF(AND(E1351&lt;&gt;"",E1351&lt;&gt;"!!!"),"NEW","")))</f>
        <v> </v>
      </c>
      <c r="G1351" s="24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5" t="str">
        <f>IF(J1351&lt;&gt;1,"",IF(I1351="SBJ","CB","?"))</f>
        <v> </v>
      </c>
      <c r="I1351" s="26" t="str">
        <f>IF(OR(E1351="",E1351="!!!",F1351="NEW"),"",INDEX(B1350:B$2,-1+SUMPRODUCT(MAX(ROW(E1350:E$2)*(E1351=E1350:E$2)))))</f>
        <v> </v>
      </c>
      <c r="J1351" s="26" t="str">
        <f>IF(OR(E1351="",E1351="!!!",F1351="NEW"),"",COUNTBLANK(OFFSET(A$1,,,SUMPRODUCT(MAX(ROW(E$2:E1351)*(E1351=E$2:E1351)))))-COUNTBLANK(OFFSET(A$1,,,SUMPRODUCT(MAX(ROW(E$1:E1350)*(E2=E$1:E1350))))))</f>
        <v> </v>
      </c>
      <c r="K1351" s="26" t="str">
        <f>IF(OR(E1351="",E1351="!!!",F1351="NEW"),"",INDEX(J$1:J1350,SUMPRODUCT(MAX(ROW(E$1:E1350)*(E1351=E$1:E1350)))))</f>
        <v> </v>
      </c>
      <c r="L1351" s="27"/>
    </row>
    <row r="1352" spans="1:12">
      <c r="A1352" s="20" t="s">
        <v>1323</v>
      </c>
      <c r="E1352" s="22">
        <f>IF(D1352="?OLD","!!!","")</f>
        <v/>
      </c>
      <c r="F1352" s="23" t="str">
        <f>IF(OR(E1352="",E1352="!!!"),"",IF(NOT(ISNA(VLOOKUP(E1352,E$1:E1351,1,FALSE()))),"OLD",IF(AND(E1352&lt;&gt;"",E1352&lt;&gt;"!!!"),"NEW","")))</f>
        <v> </v>
      </c>
      <c r="G1352" s="24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5" t="str">
        <f>IF(J1352&lt;&gt;1,"",IF(I1352="SBJ","CB","?"))</f>
        <v> </v>
      </c>
      <c r="I1352" s="26" t="str">
        <f>IF(OR(E1352="",E1352="!!!",F1352="NEW"),"",INDEX(B1351:B$2,-1+SUMPRODUCT(MAX(ROW(E1351:E$2)*(E1352=E1351:E$2)))))</f>
        <v> </v>
      </c>
      <c r="J1352" s="26" t="str">
        <f>IF(OR(E1352="",E1352="!!!",F1352="NEW"),"",COUNTBLANK(OFFSET(A$1,,,SUMPRODUCT(MAX(ROW(E$2:E1352)*(E1352=E$2:E1352)))))-COUNTBLANK(OFFSET(A$1,,,SUMPRODUCT(MAX(ROW(E$1:E1351)*(E2=E$1:E1351))))))</f>
        <v> </v>
      </c>
      <c r="K1352" s="26" t="str">
        <f>IF(OR(E1352="",E1352="!!!",F1352="NEW"),"",INDEX(J$1:J1351,SUMPRODUCT(MAX(ROW(E$1:E1351)*(E1352=E$1:E1351)))))</f>
        <v> </v>
      </c>
      <c r="L1352" s="27"/>
    </row>
    <row r="1353" spans="1:12">
      <c r="A1353" s="20" t="s">
        <v>1324</v>
      </c>
      <c r="E1353" s="22">
        <f>IF(D1353="?OLD","!!!","")</f>
        <v/>
      </c>
      <c r="F1353" s="23" t="str">
        <f>IF(OR(E1353="",E1353="!!!"),"",IF(NOT(ISNA(VLOOKUP(E1353,E$1:E1352,1,FALSE()))),"OLD",IF(AND(E1353&lt;&gt;"",E1353&lt;&gt;"!!!"),"NEW","")))</f>
        <v> </v>
      </c>
      <c r="G1353" s="24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5" t="str">
        <f>IF(J1353&lt;&gt;1,"",IF(I1353="SBJ","CB","?"))</f>
        <v> </v>
      </c>
      <c r="I1353" s="26" t="str">
        <f>IF(OR(E1353="",E1353="!!!",F1353="NEW"),"",INDEX(B1352:B$2,-1+SUMPRODUCT(MAX(ROW(E1352:E$2)*(E1353=E1352:E$2)))))</f>
        <v> </v>
      </c>
      <c r="J1353" s="26" t="str">
        <f>IF(OR(E1353="",E1353="!!!",F1353="NEW"),"",COUNTBLANK(OFFSET(A$1,,,SUMPRODUCT(MAX(ROW(E$2:E1353)*(E1353=E$2:E1353)))))-COUNTBLANK(OFFSET(A$1,,,SUMPRODUCT(MAX(ROW(E$1:E1352)*(E2=E$1:E1352))))))</f>
        <v> </v>
      </c>
      <c r="K1353" s="26" t="str">
        <f>IF(OR(E1353="",E1353="!!!",F1353="NEW"),"",INDEX(J$1:J1352,SUMPRODUCT(MAX(ROW(E$1:E1352)*(E1353=E$1:E1352)))))</f>
        <v> </v>
      </c>
      <c r="L1353" s="27"/>
    </row>
    <row r="1354" spans="1:12">
      <c r="A1354" s="20" t="s">
        <v>664</v>
      </c>
      <c r="E1354" s="22">
        <f>IF(D1354="?OLD","!!!","")</f>
        <v/>
      </c>
      <c r="F1354" s="23" t="str">
        <f>IF(OR(E1354="",E1354="!!!"),"",IF(NOT(ISNA(VLOOKUP(E1354,E$1:E1353,1,FALSE()))),"OLD",IF(AND(E1354&lt;&gt;"",E1354&lt;&gt;"!!!"),"NEW","")))</f>
        <v> </v>
      </c>
      <c r="G1354" s="24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5" t="str">
        <f>IF(J1354&lt;&gt;1,"",IF(I1354="SBJ","CB","?"))</f>
        <v> </v>
      </c>
      <c r="I1354" s="26" t="str">
        <f>IF(OR(E1354="",E1354="!!!",F1354="NEW"),"",INDEX(B1353:B$2,-1+SUMPRODUCT(MAX(ROW(E1353:E$2)*(E1354=E1353:E$2)))))</f>
        <v> </v>
      </c>
      <c r="J1354" s="26" t="str">
        <f>IF(OR(E1354="",E1354="!!!",F1354="NEW"),"",COUNTBLANK(OFFSET(A$1,,,SUMPRODUCT(MAX(ROW(E$2:E1354)*(E1354=E$2:E1354)))))-COUNTBLANK(OFFSET(A$1,,,SUMPRODUCT(MAX(ROW(E$1:E1353)*(E2=E$1:E1353))))))</f>
        <v> </v>
      </c>
      <c r="K1354" s="26" t="str">
        <f>IF(OR(E1354="",E1354="!!!",F1354="NEW"),"",INDEX(J$1:J1353,SUMPRODUCT(MAX(ROW(E$1:E1353)*(E1354=E$1:E1353)))))</f>
        <v> </v>
      </c>
      <c r="L1354" s="27"/>
    </row>
    <row r="1355" spans="1:12">
      <c r="A1355" s="20" t="s">
        <v>662</v>
      </c>
      <c r="E1355" s="22">
        <f>IF(D1355="?OLD","!!!","")</f>
        <v/>
      </c>
      <c r="F1355" s="23" t="str">
        <f>IF(OR(E1355="",E1355="!!!"),"",IF(NOT(ISNA(VLOOKUP(E1355,E$1:E1354,1,FALSE()))),"OLD",IF(AND(E1355&lt;&gt;"",E1355&lt;&gt;"!!!"),"NEW","")))</f>
        <v> </v>
      </c>
      <c r="G1355" s="24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5" t="str">
        <f>IF(J1355&lt;&gt;1,"",IF(I1355="SBJ","CB","?"))</f>
        <v> </v>
      </c>
      <c r="I1355" s="26" t="str">
        <f>IF(OR(E1355="",E1355="!!!",F1355="NEW"),"",INDEX(B1354:B$2,-1+SUMPRODUCT(MAX(ROW(E1354:E$2)*(E1355=E1354:E$2)))))</f>
        <v> </v>
      </c>
      <c r="J1355" s="26" t="str">
        <f>IF(OR(E1355="",E1355="!!!",F1355="NEW"),"",COUNTBLANK(OFFSET(A$1,,,SUMPRODUCT(MAX(ROW(E$2:E1355)*(E1355=E$2:E1355)))))-COUNTBLANK(OFFSET(A$1,,,SUMPRODUCT(MAX(ROW(E$1:E1354)*(E2=E$1:E1354))))))</f>
        <v> </v>
      </c>
      <c r="K1355" s="26" t="str">
        <f>IF(OR(E1355="",E1355="!!!",F1355="NEW"),"",INDEX(J$1:J1354,SUMPRODUCT(MAX(ROW(E$1:E1354)*(E1355=E$1:E1354)))))</f>
        <v> </v>
      </c>
      <c r="L1355" s="27"/>
    </row>
    <row r="1356" spans="1:12">
      <c r="A1356" s="20" t="s">
        <v>864</v>
      </c>
      <c r="B1356" s="21" t="s">
        <v>640</v>
      </c>
      <c r="C1356" s="21" t="s">
        <v>723</v>
      </c>
      <c r="D1356" s="21" t="s">
        <v>603</v>
      </c>
      <c r="E1356" s="22">
        <f>IF(D1356="?OLD","!!!","")</f>
        <v/>
      </c>
      <c r="F1356" s="23" t="str">
        <f>IF(OR(E1356="",E1356="!!!"),"",IF(NOT(ISNA(VLOOKUP(E1356,E$1:E1355,1,FALSE()))),"OLD",IF(AND(E1356&lt;&gt;"",E1356&lt;&gt;"!!!"),"NEW","")))</f>
        <v> </v>
      </c>
      <c r="G1356" s="24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5" t="str">
        <f>IF(J1356&lt;&gt;1,"",IF(I1356="SBJ","CB","?"))</f>
        <v> </v>
      </c>
      <c r="I1356" s="26" t="str">
        <f>IF(OR(E1356="",E1356="!!!",F1356="NEW"),"",INDEX(B1355:B$2,-1+SUMPRODUCT(MAX(ROW(E1355:E$2)*(E1356=E1355:E$2)))))</f>
        <v> </v>
      </c>
      <c r="J1356" s="26" t="str">
        <f>IF(OR(E1356="",E1356="!!!",F1356="NEW"),"",COUNTBLANK(OFFSET(A$1,,,SUMPRODUCT(MAX(ROW(E$2:E1356)*(E1356=E$2:E1356)))))-COUNTBLANK(OFFSET(A$1,,,SUMPRODUCT(MAX(ROW(E$1:E1355)*(E2=E$1:E1355))))))</f>
        <v> </v>
      </c>
      <c r="K1356" s="26" t="str">
        <f>IF(OR(E1356="",E1356="!!!",F1356="NEW"),"",INDEX(J$1:J1355,SUMPRODUCT(MAX(ROW(E$1:E1355)*(E1356=E$1:E1355)))))</f>
        <v> </v>
      </c>
      <c r="L1356" s="27"/>
    </row>
    <row r="1357" spans="1:12">
      <c r="A1357" s="20" t="s">
        <v>611</v>
      </c>
      <c r="E1357" s="22">
        <f>IF(D1357="?OLD","!!!","")</f>
        <v/>
      </c>
      <c r="F1357" s="23" t="str">
        <f>IF(OR(E1357="",E1357="!!!"),"",IF(NOT(ISNA(VLOOKUP(E1357,E$1:E1356,1,FALSE()))),"OLD",IF(AND(E1357&lt;&gt;"",E1357&lt;&gt;"!!!"),"NEW","")))</f>
        <v> </v>
      </c>
      <c r="G1357" s="24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5" t="str">
        <f>IF(J1357&lt;&gt;1,"",IF(I1357="SBJ","CB","?"))</f>
        <v> </v>
      </c>
      <c r="I1357" s="26" t="str">
        <f>IF(OR(E1357="",E1357="!!!",F1357="NEW"),"",INDEX(B1356:B$2,-1+SUMPRODUCT(MAX(ROW(E1356:E$2)*(E1357=E1356:E$2)))))</f>
        <v> </v>
      </c>
      <c r="J1357" s="26" t="str">
        <f>IF(OR(E1357="",E1357="!!!",F1357="NEW"),"",COUNTBLANK(OFFSET(A$1,,,SUMPRODUCT(MAX(ROW(E$2:E1357)*(E1357=E$2:E1357)))))-COUNTBLANK(OFFSET(A$1,,,SUMPRODUCT(MAX(ROW(E$1:E1356)*(E2=E$1:E1356))))))</f>
        <v> </v>
      </c>
      <c r="K1357" s="26" t="str">
        <f>IF(OR(E1357="",E1357="!!!",F1357="NEW"),"",INDEX(J$1:J1356,SUMPRODUCT(MAX(ROW(E$1:E1356)*(E1357=E$1:E1356)))))</f>
        <v> </v>
      </c>
      <c r="L1357" s="27"/>
    </row>
    <row r="1358" spans="1:12">
      <c r="A1358" s="20" t="s">
        <v>739</v>
      </c>
      <c r="E1358" s="22">
        <f>IF(D1358="?OLD","!!!","")</f>
        <v/>
      </c>
      <c r="F1358" s="23" t="str">
        <f>IF(OR(E1358="",E1358="!!!"),"",IF(NOT(ISNA(VLOOKUP(E1358,E$1:E1357,1,FALSE()))),"OLD",IF(AND(E1358&lt;&gt;"",E1358&lt;&gt;"!!!"),"NEW","")))</f>
        <v> </v>
      </c>
      <c r="G1358" s="24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5" t="str">
        <f>IF(J1358&lt;&gt;1,"",IF(I1358="SBJ","CB","?"))</f>
        <v> </v>
      </c>
      <c r="I1358" s="26" t="str">
        <f>IF(OR(E1358="",E1358="!!!",F1358="NEW"),"",INDEX(B1357:B$2,-1+SUMPRODUCT(MAX(ROW(E1357:E$2)*(E1358=E1357:E$2)))))</f>
        <v> </v>
      </c>
      <c r="J1358" s="26" t="str">
        <f>IF(OR(E1358="",E1358="!!!",F1358="NEW"),"",COUNTBLANK(OFFSET(A$1,,,SUMPRODUCT(MAX(ROW(E$2:E1358)*(E1358=E$2:E1358)))))-COUNTBLANK(OFFSET(A$1,,,SUMPRODUCT(MAX(ROW(E$1:E1357)*(E2=E$1:E1357))))))</f>
        <v> </v>
      </c>
      <c r="K1358" s="26" t="str">
        <f>IF(OR(E1358="",E1358="!!!",F1358="NEW"),"",INDEX(J$1:J1357,SUMPRODUCT(MAX(ROW(E$1:E1357)*(E1358=E$1:E1357)))))</f>
        <v> </v>
      </c>
      <c r="L1358" s="27"/>
    </row>
    <row r="1359" spans="1:12">
      <c r="A1359" s="20" t="s">
        <v>922</v>
      </c>
      <c r="B1359" s="21" t="s">
        <v>801</v>
      </c>
      <c r="C1359" s="21" t="s">
        <v>602</v>
      </c>
      <c r="D1359" s="21" t="s">
        <v>603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861</v>
      </c>
      <c r="E1360" s="22">
        <f>IF(D1360="?OLD","!!!","")</f>
        <v/>
      </c>
      <c r="F1360" s="23" t="str">
        <f>IF(OR(E1360="",E1360="!!!"),"",IF(NOT(ISNA(VLOOKUP(E1360,E$1:E1359,1,FALSE()))),"OLD",IF(AND(E1360&lt;&gt;"",E1360&lt;&gt;"!!!"),"NEW","")))</f>
        <v> </v>
      </c>
      <c r="G1360" s="24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5" t="str">
        <f>IF(J1360&lt;&gt;1,"",IF(I1360="SBJ","CB","?"))</f>
        <v> </v>
      </c>
      <c r="I1360" s="26" t="str">
        <f>IF(OR(E1360="",E1360="!!!",F1360="NEW"),"",INDEX(B1359:B$2,-1+SUMPRODUCT(MAX(ROW(E1359:E$2)*(E1360=E1359:E$2)))))</f>
        <v> </v>
      </c>
      <c r="J1360" s="26" t="str">
        <f>IF(OR(E1360="",E1360="!!!",F1360="NEW"),"",COUNTBLANK(OFFSET(A$1,,,SUMPRODUCT(MAX(ROW(E$2:E1360)*(E1360=E$2:E1360)))))-COUNTBLANK(OFFSET(A$1,,,SUMPRODUCT(MAX(ROW(E$1:E1359)*(E2=E$1:E1359))))))</f>
        <v> </v>
      </c>
      <c r="K1360" s="26" t="str">
        <f>IF(OR(E1360="",E1360="!!!",F1360="NEW"),"",INDEX(J$1:J1359,SUMPRODUCT(MAX(ROW(E$1:E1359)*(E1360=E$1:E1359)))))</f>
        <v> </v>
      </c>
      <c r="L1360" s="27"/>
    </row>
    <row r="1361" spans="1:12">
      <c r="A1361" s="20" t="s">
        <v>1325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 t="s">
        <v>611</v>
      </c>
      <c r="E1362" s="22">
        <f>IF(D1362="?OLD","!!!","")</f>
        <v/>
      </c>
      <c r="F1362" s="23" t="str">
        <f>IF(OR(E1362="",E1362="!!!"),"",IF(NOT(ISNA(VLOOKUP(E1362,E$1:E1361,1,FALSE()))),"OLD",IF(AND(E1362&lt;&gt;"",E1362&lt;&gt;"!!!"),"NEW","")))</f>
        <v> </v>
      </c>
      <c r="G1362" s="24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5" t="str">
        <f>IF(J1362&lt;&gt;1,"",IF(I1362="SBJ","CB","?"))</f>
        <v> </v>
      </c>
      <c r="I1362" s="26" t="str">
        <f>IF(OR(E1362="",E1362="!!!",F1362="NEW"),"",INDEX(B1361:B$2,-1+SUMPRODUCT(MAX(ROW(E1361:E$2)*(E1362=E1361:E$2)))))</f>
        <v> </v>
      </c>
      <c r="J1362" s="26" t="str">
        <f>IF(OR(E1362="",E1362="!!!",F1362="NEW"),"",COUNTBLANK(OFFSET(A$1,,,SUMPRODUCT(MAX(ROW(E$2:E1362)*(E1362=E$2:E1362)))))-COUNTBLANK(OFFSET(A$1,,,SUMPRODUCT(MAX(ROW(E$1:E1361)*(E2=E$1:E1361))))))</f>
        <v> </v>
      </c>
      <c r="K1362" s="26" t="str">
        <f>IF(OR(E1362="",E1362="!!!",F1362="NEW"),"",INDEX(J$1:J1361,SUMPRODUCT(MAX(ROW(E$1:E1361)*(E1362=E$1:E1361)))))</f>
        <v> </v>
      </c>
      <c r="L1362" s="27"/>
    </row>
    <row r="1363" spans="1:12">
      <c r="A1363" s="20" t="s">
        <v>863</v>
      </c>
      <c r="E1363" s="22">
        <f>IF(D1363="?OLD","!!!","")</f>
        <v/>
      </c>
      <c r="F1363" s="23" t="str">
        <f>IF(OR(E1363="",E1363="!!!"),"",IF(NOT(ISNA(VLOOKUP(E1363,E$1:E1362,1,FALSE()))),"OLD",IF(AND(E1363&lt;&gt;"",E1363&lt;&gt;"!!!"),"NEW","")))</f>
        <v> </v>
      </c>
      <c r="G1363" s="24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5" t="str">
        <f>IF(J1363&lt;&gt;1,"",IF(I1363="SBJ","CB","?"))</f>
        <v> </v>
      </c>
      <c r="I1363" s="26" t="str">
        <f>IF(OR(E1363="",E1363="!!!",F1363="NEW"),"",INDEX(B1362:B$2,-1+SUMPRODUCT(MAX(ROW(E1362:E$2)*(E1363=E1362:E$2)))))</f>
        <v> </v>
      </c>
      <c r="J1363" s="26" t="str">
        <f>IF(OR(E1363="",E1363="!!!",F1363="NEW"),"",COUNTBLANK(OFFSET(A$1,,,SUMPRODUCT(MAX(ROW(E$2:E1363)*(E1363=E$2:E1363)))))-COUNTBLANK(OFFSET(A$1,,,SUMPRODUCT(MAX(ROW(E$1:E1362)*(E2=E$1:E1362))))))</f>
        <v> </v>
      </c>
      <c r="K1363" s="26" t="str">
        <f>IF(OR(E1363="",E1363="!!!",F1363="NEW"),"",INDEX(J$1:J1362,SUMPRODUCT(MAX(ROW(E$1:E1362)*(E1363=E$1:E1362)))))</f>
        <v> </v>
      </c>
      <c r="L1363" s="27"/>
    </row>
    <row r="1364" spans="1:12">
      <c r="A1364" s="20" t="s">
        <v>662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 t="s">
        <v>864</v>
      </c>
      <c r="B1365" s="21" t="s">
        <v>640</v>
      </c>
      <c r="C1365" s="21" t="s">
        <v>723</v>
      </c>
      <c r="D1365" s="21" t="s">
        <v>603</v>
      </c>
      <c r="E1365" s="22">
        <f>IF(D1365="?OLD","!!!","")</f>
        <v/>
      </c>
      <c r="F1365" s="23" t="str">
        <f>IF(OR(E1365="",E1365="!!!"),"",IF(NOT(ISNA(VLOOKUP(E1365,E$1:E1364,1,FALSE()))),"OLD",IF(AND(E1365&lt;&gt;"",E1365&lt;&gt;"!!!"),"NEW","")))</f>
        <v> </v>
      </c>
      <c r="G1365" s="24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5" t="str">
        <f>IF(J1365&lt;&gt;1,"",IF(I1365="SBJ","CB","?"))</f>
        <v> </v>
      </c>
      <c r="I1365" s="26" t="str">
        <f>IF(OR(E1365="",E1365="!!!",F1365="NEW"),"",INDEX(B1364:B$2,-1+SUMPRODUCT(MAX(ROW(E1364:E$2)*(E1365=E1364:E$2)))))</f>
        <v> </v>
      </c>
      <c r="J1365" s="26" t="str">
        <f>IF(OR(E1365="",E1365="!!!",F1365="NEW"),"",COUNTBLANK(OFFSET(A$1,,,SUMPRODUCT(MAX(ROW(E$2:E1365)*(E1365=E$2:E1365)))))-COUNTBLANK(OFFSET(A$1,,,SUMPRODUCT(MAX(ROW(E$1:E1364)*(E2=E$1:E1364))))))</f>
        <v> </v>
      </c>
      <c r="K1365" s="26" t="str">
        <f>IF(OR(E1365="",E1365="!!!",F1365="NEW"),"",INDEX(J$1:J1364,SUMPRODUCT(MAX(ROW(E$1:E1364)*(E1365=E$1:E1364)))))</f>
        <v> </v>
      </c>
      <c r="L1365" s="27"/>
    </row>
    <row r="1366" spans="1:12">
      <c r="A1366" s="20" t="s">
        <v>611</v>
      </c>
      <c r="E1366" s="22">
        <f>IF(D1366="?OLD","!!!","")</f>
        <v/>
      </c>
      <c r="F1366" s="23" t="str">
        <f>IF(OR(E1366="",E1366="!!!"),"",IF(NOT(ISNA(VLOOKUP(E1366,E$1:E1365,1,FALSE()))),"OLD",IF(AND(E1366&lt;&gt;"",E1366&lt;&gt;"!!!"),"NEW","")))</f>
        <v> </v>
      </c>
      <c r="G1366" s="24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5" t="str">
        <f>IF(J1366&lt;&gt;1,"",IF(I1366="SBJ","CB","?"))</f>
        <v> </v>
      </c>
      <c r="I1366" s="26" t="str">
        <f>IF(OR(E1366="",E1366="!!!",F1366="NEW"),"",INDEX(B1365:B$2,-1+SUMPRODUCT(MAX(ROW(E1365:E$2)*(E1366=E1365:E$2)))))</f>
        <v> </v>
      </c>
      <c r="J1366" s="26" t="str">
        <f>IF(OR(E1366="",E1366="!!!",F1366="NEW"),"",COUNTBLANK(OFFSET(A$1,,,SUMPRODUCT(MAX(ROW(E$2:E1366)*(E1366=E$2:E1366)))))-COUNTBLANK(OFFSET(A$1,,,SUMPRODUCT(MAX(ROW(E$1:E1365)*(E2=E$1:E1365))))))</f>
        <v> </v>
      </c>
      <c r="K1366" s="26" t="str">
        <f>IF(OR(E1366="",E1366="!!!",F1366="NEW"),"",INDEX(J$1:J1365,SUMPRODUCT(MAX(ROW(E$1:E1365)*(E1366=E$1:E1365)))))</f>
        <v> </v>
      </c>
      <c r="L1366" s="27"/>
    </row>
    <row r="1367" spans="1:12">
      <c r="A1367" s="20" t="s">
        <v>739</v>
      </c>
      <c r="E1367" s="22">
        <f>IF(D1367="?OLD","!!!","")</f>
        <v/>
      </c>
      <c r="F1367" s="23" t="str">
        <f>IF(OR(E1367="",E1367="!!!"),"",IF(NOT(ISNA(VLOOKUP(E1367,E$1:E1366,1,FALSE()))),"OLD",IF(AND(E1367&lt;&gt;"",E1367&lt;&gt;"!!!"),"NEW","")))</f>
        <v> </v>
      </c>
      <c r="G1367" s="24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5" t="str">
        <f>IF(J1367&lt;&gt;1,"",IF(I1367="SBJ","CB","?"))</f>
        <v> </v>
      </c>
      <c r="I1367" s="26" t="str">
        <f>IF(OR(E1367="",E1367="!!!",F1367="NEW"),"",INDEX(B1366:B$2,-1+SUMPRODUCT(MAX(ROW(E1366:E$2)*(E1367=E1366:E$2)))))</f>
        <v> </v>
      </c>
      <c r="J1367" s="26" t="str">
        <f>IF(OR(E1367="",E1367="!!!",F1367="NEW"),"",COUNTBLANK(OFFSET(A$1,,,SUMPRODUCT(MAX(ROW(E$2:E1367)*(E1367=E$2:E1367)))))-COUNTBLANK(OFFSET(A$1,,,SUMPRODUCT(MAX(ROW(E$1:E1366)*(E2=E$1:E1366))))))</f>
        <v> </v>
      </c>
      <c r="K1367" s="26" t="str">
        <f>IF(OR(E1367="",E1367="!!!",F1367="NEW"),"",INDEX(J$1:J1366,SUMPRODUCT(MAX(ROW(E$1:E1366)*(E1367=E$1:E1366)))))</f>
        <v> </v>
      </c>
      <c r="L1367" s="27"/>
    </row>
    <row r="1368" spans="1:12">
      <c r="A1368" s="20" t="s">
        <v>1326</v>
      </c>
      <c r="E1368" s="22">
        <f>IF(D1368="?OLD","!!!","")</f>
        <v/>
      </c>
      <c r="F1368" s="23" t="str">
        <f>IF(OR(E1368="",E1368="!!!"),"",IF(NOT(ISNA(VLOOKUP(E1368,E$1:E1367,1,FALSE()))),"OLD",IF(AND(E1368&lt;&gt;"",E1368&lt;&gt;"!!!"),"NEW","")))</f>
        <v> </v>
      </c>
      <c r="G1368" s="24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5" t="str">
        <f>IF(J1368&lt;&gt;1,"",IF(I1368="SBJ","CB","?"))</f>
        <v> </v>
      </c>
      <c r="I1368" s="26" t="str">
        <f>IF(OR(E1368="",E1368="!!!",F1368="NEW"),"",INDEX(B1367:B$2,-1+SUMPRODUCT(MAX(ROW(E1367:E$2)*(E1368=E1367:E$2)))))</f>
        <v> </v>
      </c>
      <c r="J1368" s="26" t="str">
        <f>IF(OR(E1368="",E1368="!!!",F1368="NEW"),"",COUNTBLANK(OFFSET(A$1,,,SUMPRODUCT(MAX(ROW(E$2:E1368)*(E1368=E$2:E1368)))))-COUNTBLANK(OFFSET(A$1,,,SUMPRODUCT(MAX(ROW(E$1:E1367)*(E2=E$1:E1367))))))</f>
        <v> </v>
      </c>
      <c r="K1368" s="26" t="str">
        <f>IF(OR(E1368="",E1368="!!!",F1368="NEW"),"",INDEX(J$1:J1367,SUMPRODUCT(MAX(ROW(E$1:E1367)*(E1368=E$1:E1367)))))</f>
        <v> </v>
      </c>
      <c r="L1368" s="27"/>
    </row>
    <row r="1369" spans="1:12">
      <c r="A1369" s="20" t="s">
        <v>922</v>
      </c>
      <c r="B1369" s="21" t="s">
        <v>793</v>
      </c>
      <c r="C1369" s="21" t="s">
        <v>602</v>
      </c>
      <c r="D1369" s="21" t="s">
        <v>603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902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1327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 t="s">
        <v>1328</v>
      </c>
      <c r="E1372" s="22">
        <f>IF(D1372="?OLD","!!!","")</f>
        <v/>
      </c>
      <c r="F1372" s="23" t="str">
        <f>IF(OR(E1372="",E1372="!!!"),"",IF(NOT(ISNA(VLOOKUP(E1372,E$1:E1371,1,FALSE()))),"OLD",IF(AND(E1372&lt;&gt;"",E1372&lt;&gt;"!!!"),"NEW","")))</f>
        <v> </v>
      </c>
      <c r="G1372" s="24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5" t="str">
        <f>IF(J1372&lt;&gt;1,"",IF(I1372="SBJ","CB","?"))</f>
        <v> </v>
      </c>
      <c r="I1372" s="26" t="str">
        <f>IF(OR(E1372="",E1372="!!!",F1372="NEW"),"",INDEX(B1371:B$2,-1+SUMPRODUCT(MAX(ROW(E1371:E$2)*(E1372=E1371:E$2)))))</f>
        <v> </v>
      </c>
      <c r="J1372" s="26" t="str">
        <f>IF(OR(E1372="",E1372="!!!",F1372="NEW"),"",COUNTBLANK(OFFSET(A$1,,,SUMPRODUCT(MAX(ROW(E$2:E1372)*(E1372=E$2:E1372)))))-COUNTBLANK(OFFSET(A$1,,,SUMPRODUCT(MAX(ROW(E$1:E1371)*(E2=E$1:E1371))))))</f>
        <v> </v>
      </c>
      <c r="K1372" s="26" t="str">
        <f>IF(OR(E1372="",E1372="!!!",F1372="NEW"),"",INDEX(J$1:J1371,SUMPRODUCT(MAX(ROW(E$1:E1371)*(E1372=E$1:E1371)))))</f>
        <v> </v>
      </c>
      <c r="L1372" s="27"/>
    </row>
    <row r="1373" spans="1:12">
      <c r="A1373" s="20" t="s">
        <v>883</v>
      </c>
      <c r="E1373" s="22">
        <f>IF(D1373="?OLD","!!!","")</f>
        <v/>
      </c>
      <c r="F1373" s="23" t="str">
        <f>IF(OR(E1373="",E1373="!!!"),"",IF(NOT(ISNA(VLOOKUP(E1373,E$1:E1372,1,FALSE()))),"OLD",IF(AND(E1373&lt;&gt;"",E1373&lt;&gt;"!!!"),"NEW","")))</f>
        <v> </v>
      </c>
      <c r="G1373" s="24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5" t="str">
        <f>IF(J1373&lt;&gt;1,"",IF(I1373="SBJ","CB","?"))</f>
        <v> </v>
      </c>
      <c r="I1373" s="26" t="str">
        <f>IF(OR(E1373="",E1373="!!!",F1373="NEW"),"",INDEX(B1372:B$2,-1+SUMPRODUCT(MAX(ROW(E1372:E$2)*(E1373=E1372:E$2)))))</f>
        <v> </v>
      </c>
      <c r="J1373" s="26" t="str">
        <f>IF(OR(E1373="",E1373="!!!",F1373="NEW"),"",COUNTBLANK(OFFSET(A$1,,,SUMPRODUCT(MAX(ROW(E$2:E1373)*(E1373=E$2:E1373)))))-COUNTBLANK(OFFSET(A$1,,,SUMPRODUCT(MAX(ROW(E$1:E1372)*(E2=E$1:E1372))))))</f>
        <v> </v>
      </c>
      <c r="K1373" s="26" t="str">
        <f>IF(OR(E1373="",E1373="!!!",F1373="NEW"),"",INDEX(J$1:J1372,SUMPRODUCT(MAX(ROW(E$1:E1372)*(E1373=E$1:E1372)))))</f>
        <v> </v>
      </c>
      <c r="L1373" s="27"/>
    </row>
    <row r="1374" spans="1:12">
      <c r="A1374" s="20" t="s">
        <v>1243</v>
      </c>
      <c r="E1374" s="22">
        <f>IF(D1374="?OLD","!!!","")</f>
        <v/>
      </c>
      <c r="F1374" s="23" t="str">
        <f>IF(OR(E1374="",E1374="!!!"),"",IF(NOT(ISNA(VLOOKUP(E1374,E$1:E1373,1,FALSE()))),"OLD",IF(AND(E1374&lt;&gt;"",E1374&lt;&gt;"!!!"),"NEW","")))</f>
        <v> </v>
      </c>
      <c r="G1374" s="24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5" t="str">
        <f>IF(J1374&lt;&gt;1,"",IF(I1374="SBJ","CB","?"))</f>
        <v> </v>
      </c>
      <c r="I1374" s="26" t="str">
        <f>IF(OR(E1374="",E1374="!!!",F1374="NEW"),"",INDEX(B1373:B$2,-1+SUMPRODUCT(MAX(ROW(E1373:E$2)*(E1374=E1373:E$2)))))</f>
        <v> </v>
      </c>
      <c r="J1374" s="26" t="str">
        <f>IF(OR(E1374="",E1374="!!!",F1374="NEW"),"",COUNTBLANK(OFFSET(A$1,,,SUMPRODUCT(MAX(ROW(E$2:E1374)*(E1374=E$2:E1374)))))-COUNTBLANK(OFFSET(A$1,,,SUMPRODUCT(MAX(ROW(E$1:E1373)*(E2=E$1:E1373))))))</f>
        <v> </v>
      </c>
      <c r="K1374" s="26" t="str">
        <f>IF(OR(E1374="",E1374="!!!",F1374="NEW"),"",INDEX(J$1:J1373,SUMPRODUCT(MAX(ROW(E$1:E1373)*(E1374=E$1:E1373)))))</f>
        <v> </v>
      </c>
      <c r="L1374" s="27"/>
    </row>
    <row r="1375" spans="1:12">
      <c r="A1375" s="20" t="s">
        <v>633</v>
      </c>
      <c r="E1375" s="22">
        <f>IF(D1375="?OLD","!!!","")</f>
        <v/>
      </c>
      <c r="F1375" s="23" t="str">
        <f>IF(OR(E1375="",E1375="!!!"),"",IF(NOT(ISNA(VLOOKUP(E1375,E$1:E1374,1,FALSE()))),"OLD",IF(AND(E1375&lt;&gt;"",E1375&lt;&gt;"!!!"),"NEW","")))</f>
        <v> </v>
      </c>
      <c r="G1375" s="24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5" t="str">
        <f>IF(J1375&lt;&gt;1,"",IF(I1375="SBJ","CB","?"))</f>
        <v> </v>
      </c>
      <c r="I1375" s="26" t="str">
        <f>IF(OR(E1375="",E1375="!!!",F1375="NEW"),"",INDEX(B1374:B$2,-1+SUMPRODUCT(MAX(ROW(E1374:E$2)*(E1375=E1374:E$2)))))</f>
        <v> </v>
      </c>
      <c r="J1375" s="26" t="str">
        <f>IF(OR(E1375="",E1375="!!!",F1375="NEW"),"",COUNTBLANK(OFFSET(A$1,,,SUMPRODUCT(MAX(ROW(E$2:E1375)*(E1375=E$2:E1375)))))-COUNTBLANK(OFFSET(A$1,,,SUMPRODUCT(MAX(ROW(E$1:E1374)*(E2=E$1:E1374))))))</f>
        <v> </v>
      </c>
      <c r="K1375" s="26" t="str">
        <f>IF(OR(E1375="",E1375="!!!",F1375="NEW"),"",INDEX(J$1:J1374,SUMPRODUCT(MAX(ROW(E$1:E1374)*(E1375=E$1:E1374)))))</f>
        <v> </v>
      </c>
      <c r="L1375" s="27"/>
    </row>
    <row r="1376" spans="1:12">
      <c r="A1376" s="20"/>
    </row>
    <row r="1377" spans="1:12">
      <c r="A1377" s="20" t="s">
        <v>1329</v>
      </c>
    </row>
    <row r="1378" spans="1:12">
      <c r="A1378" s="20" t="s">
        <v>1330</v>
      </c>
      <c r="B1378" s="21" t="s">
        <v>601</v>
      </c>
      <c r="C1378" s="21" t="s">
        <v>602</v>
      </c>
      <c r="D1378" s="21" t="s">
        <v>603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1331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1332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1333</v>
      </c>
      <c r="B1381" s="21" t="s">
        <v>652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 t="s">
        <v>1334</v>
      </c>
      <c r="B1382" s="21" t="s">
        <v>652</v>
      </c>
      <c r="E1382" s="22">
        <f>IF(D1382="?OLD","!!!","")</f>
        <v/>
      </c>
      <c r="F1382" s="23" t="str">
        <f>IF(OR(E1382="",E1382="!!!"),"",IF(NOT(ISNA(VLOOKUP(E1382,E$1:E1381,1,FALSE()))),"OLD",IF(AND(E1382&lt;&gt;"",E1382&lt;&gt;"!!!"),"NEW","")))</f>
        <v> </v>
      </c>
      <c r="G1382" s="24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5" t="str">
        <f>IF(J1382&lt;&gt;1,"",IF(I1382="SBJ","CB","?"))</f>
        <v> </v>
      </c>
      <c r="I1382" s="26" t="str">
        <f>IF(OR(E1382="",E1382="!!!",F1382="NEW"),"",INDEX(B1381:B$2,-1+SUMPRODUCT(MAX(ROW(E1381:E$2)*(E1382=E1381:E$2)))))</f>
        <v> </v>
      </c>
      <c r="J1382" s="26" t="str">
        <f>IF(OR(E1382="",E1382="!!!",F1382="NEW"),"",COUNTBLANK(OFFSET(A$1,,,SUMPRODUCT(MAX(ROW(E$2:E1382)*(E1382=E$2:E1382)))))-COUNTBLANK(OFFSET(A$1,,,SUMPRODUCT(MAX(ROW(E$1:E1381)*(E2=E$1:E1381))))))</f>
        <v> </v>
      </c>
      <c r="K1382" s="26" t="str">
        <f>IF(OR(E1382="",E1382="!!!",F1382="NEW"),"",INDEX(J$1:J1381,SUMPRODUCT(MAX(ROW(E$1:E1381)*(E1382=E$1:E1381)))))</f>
        <v> </v>
      </c>
      <c r="L1382" s="27"/>
    </row>
    <row r="1383" spans="1:12">
      <c r="A1383" s="20" t="s">
        <v>611</v>
      </c>
      <c r="E1383" s="22">
        <f>IF(D1383="?OLD","!!!","")</f>
        <v/>
      </c>
      <c r="F1383" s="23" t="str">
        <f>IF(OR(E1383="",E1383="!!!"),"",IF(NOT(ISNA(VLOOKUP(E1383,E$1:E1382,1,FALSE()))),"OLD",IF(AND(E1383&lt;&gt;"",E1383&lt;&gt;"!!!"),"NEW","")))</f>
        <v> </v>
      </c>
      <c r="G1383" s="24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5" t="str">
        <f>IF(J1383&lt;&gt;1,"",IF(I1383="SBJ","CB","?"))</f>
        <v> </v>
      </c>
      <c r="I1383" s="26" t="str">
        <f>IF(OR(E1383="",E1383="!!!",F1383="NEW"),"",INDEX(B1382:B$2,-1+SUMPRODUCT(MAX(ROW(E1382:E$2)*(E1383=E1382:E$2)))))</f>
        <v> </v>
      </c>
      <c r="J1383" s="26" t="str">
        <f>IF(OR(E1383="",E1383="!!!",F1383="NEW"),"",COUNTBLANK(OFFSET(A$1,,,SUMPRODUCT(MAX(ROW(E$2:E1383)*(E1383=E$2:E1383)))))-COUNTBLANK(OFFSET(A$1,,,SUMPRODUCT(MAX(ROW(E$1:E1382)*(E2=E$1:E1382))))))</f>
        <v> </v>
      </c>
      <c r="K1383" s="26" t="str">
        <f>IF(OR(E1383="",E1383="!!!",F1383="NEW"),"",INDEX(J$1:J1382,SUMPRODUCT(MAX(ROW(E$1:E1382)*(E1383=E$1:E1382)))))</f>
        <v> </v>
      </c>
      <c r="L1383" s="27"/>
    </row>
    <row r="1384" spans="1:12">
      <c r="A1384" s="20" t="s">
        <v>1248</v>
      </c>
      <c r="E1384" s="22">
        <f>IF(D1384="?OLD","!!!","")</f>
        <v/>
      </c>
      <c r="F1384" s="23" t="str">
        <f>IF(OR(E1384="",E1384="!!!"),"",IF(NOT(ISNA(VLOOKUP(E1384,E$1:E1383,1,FALSE()))),"OLD",IF(AND(E1384&lt;&gt;"",E1384&lt;&gt;"!!!"),"NEW","")))</f>
        <v> </v>
      </c>
      <c r="G1384" s="24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5" t="str">
        <f>IF(J1384&lt;&gt;1,"",IF(I1384="SBJ","CB","?"))</f>
        <v> </v>
      </c>
      <c r="I1384" s="26" t="str">
        <f>IF(OR(E1384="",E1384="!!!",F1384="NEW"),"",INDEX(B1383:B$2,-1+SUMPRODUCT(MAX(ROW(E1383:E$2)*(E1384=E1383:E$2)))))</f>
        <v> </v>
      </c>
      <c r="J1384" s="26" t="str">
        <f>IF(OR(E1384="",E1384="!!!",F1384="NEW"),"",COUNTBLANK(OFFSET(A$1,,,SUMPRODUCT(MAX(ROW(E$2:E1384)*(E1384=E$2:E1384)))))-COUNTBLANK(OFFSET(A$1,,,SUMPRODUCT(MAX(ROW(E$1:E1383)*(E2=E$1:E1383))))))</f>
        <v> </v>
      </c>
      <c r="K1384" s="26" t="str">
        <f>IF(OR(E1384="",E1384="!!!",F1384="NEW"),"",INDEX(J$1:J1383,SUMPRODUCT(MAX(ROW(E$1:E1383)*(E1384=E$1:E1383)))))</f>
        <v> </v>
      </c>
      <c r="L1384" s="27"/>
    </row>
    <row r="1385" spans="1:12">
      <c r="A1385" s="20" t="s">
        <v>1335</v>
      </c>
      <c r="E1385" s="22">
        <f>IF(D1385="?OLD","!!!","")</f>
        <v/>
      </c>
      <c r="F1385" s="23" t="str">
        <f>IF(OR(E1385="",E1385="!!!"),"",IF(NOT(ISNA(VLOOKUP(E1385,E$1:E1384,1,FALSE()))),"OLD",IF(AND(E1385&lt;&gt;"",E1385&lt;&gt;"!!!"),"NEW","")))</f>
        <v> </v>
      </c>
      <c r="G1385" s="24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5" t="str">
        <f>IF(J1385&lt;&gt;1,"",IF(I1385="SBJ","CB","?"))</f>
        <v> </v>
      </c>
      <c r="I1385" s="26" t="str">
        <f>IF(OR(E1385="",E1385="!!!",F1385="NEW"),"",INDEX(B1384:B$2,-1+SUMPRODUCT(MAX(ROW(E1384:E$2)*(E1385=E1384:E$2)))))</f>
        <v> </v>
      </c>
      <c r="J1385" s="26" t="str">
        <f>IF(OR(E1385="",E1385="!!!",F1385="NEW"),"",COUNTBLANK(OFFSET(A$1,,,SUMPRODUCT(MAX(ROW(E$2:E1385)*(E1385=E$2:E1385)))))-COUNTBLANK(OFFSET(A$1,,,SUMPRODUCT(MAX(ROW(E$1:E1384)*(E2=E$1:E1384))))))</f>
        <v> </v>
      </c>
      <c r="K1385" s="26" t="str">
        <f>IF(OR(E1385="",E1385="!!!",F1385="NEW"),"",INDEX(J$1:J1384,SUMPRODUCT(MAX(ROW(E$1:E1384)*(E1385=E$1:E1384)))))</f>
        <v> </v>
      </c>
      <c r="L1385" s="27"/>
    </row>
    <row r="1386" spans="1:12">
      <c r="A1386" s="20" t="s">
        <v>1336</v>
      </c>
      <c r="B1386" s="21" t="s">
        <v>801</v>
      </c>
      <c r="C1386" s="21" t="s">
        <v>602</v>
      </c>
      <c r="D1386" s="21" t="s">
        <v>603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 t="s">
        <v>1337</v>
      </c>
      <c r="B1387" s="21" t="s">
        <v>801</v>
      </c>
      <c r="E1387" s="22">
        <f>IF(D1387="?OLD","!!!","")</f>
        <v/>
      </c>
      <c r="F1387" s="23" t="str">
        <f>IF(OR(E1387="",E1387="!!!"),"",IF(NOT(ISNA(VLOOKUP(E1387,E$1:E1386,1,FALSE()))),"OLD",IF(AND(E1387&lt;&gt;"",E1387&lt;&gt;"!!!"),"NEW","")))</f>
        <v> </v>
      </c>
      <c r="G1387" s="24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5" t="str">
        <f>IF(J1387&lt;&gt;1,"",IF(I1387="SBJ","CB","?"))</f>
        <v> </v>
      </c>
      <c r="I1387" s="26" t="str">
        <f>IF(OR(E1387="",E1387="!!!",F1387="NEW"),"",INDEX(B1386:B$2,-1+SUMPRODUCT(MAX(ROW(E1386:E$2)*(E1387=E1386:E$2)))))</f>
        <v> </v>
      </c>
      <c r="J1387" s="26" t="str">
        <f>IF(OR(E1387="",E1387="!!!",F1387="NEW"),"",COUNTBLANK(OFFSET(A$1,,,SUMPRODUCT(MAX(ROW(E$2:E1387)*(E1387=E$2:E1387)))))-COUNTBLANK(OFFSET(A$1,,,SUMPRODUCT(MAX(ROW(E$1:E1386)*(E2=E$1:E1386))))))</f>
        <v> </v>
      </c>
      <c r="K1387" s="26" t="str">
        <f>IF(OR(E1387="",E1387="!!!",F1387="NEW"),"",INDEX(J$1:J1386,SUMPRODUCT(MAX(ROW(E$1:E1386)*(E1387=E$1:E1386)))))</f>
        <v> </v>
      </c>
      <c r="L1387" s="27"/>
    </row>
    <row r="1388" spans="1:12">
      <c r="A1388" s="20" t="s">
        <v>1338</v>
      </c>
      <c r="E1388" s="22">
        <f>IF(D1388="?OLD","!!!","")</f>
        <v/>
      </c>
      <c r="F1388" s="23" t="str">
        <f>IF(OR(E1388="",E1388="!!!"),"",IF(NOT(ISNA(VLOOKUP(E1388,E$1:E1387,1,FALSE()))),"OLD",IF(AND(E1388&lt;&gt;"",E1388&lt;&gt;"!!!"),"NEW","")))</f>
        <v> </v>
      </c>
      <c r="G1388" s="24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5" t="str">
        <f>IF(J1388&lt;&gt;1,"",IF(I1388="SBJ","CB","?"))</f>
        <v> </v>
      </c>
      <c r="I1388" s="26" t="str">
        <f>IF(OR(E1388="",E1388="!!!",F1388="NEW"),"",INDEX(B1387:B$2,-1+SUMPRODUCT(MAX(ROW(E1387:E$2)*(E1388=E1387:E$2)))))</f>
        <v> </v>
      </c>
      <c r="J1388" s="26" t="str">
        <f>IF(OR(E1388="",E1388="!!!",F1388="NEW"),"",COUNTBLANK(OFFSET(A$1,,,SUMPRODUCT(MAX(ROW(E$2:E1388)*(E1388=E$2:E1388)))))-COUNTBLANK(OFFSET(A$1,,,SUMPRODUCT(MAX(ROW(E$1:E1387)*(E2=E$1:E1387))))))</f>
        <v> </v>
      </c>
      <c r="K1388" s="26" t="str">
        <f>IF(OR(E1388="",E1388="!!!",F1388="NEW"),"",INDEX(J$1:J1387,SUMPRODUCT(MAX(ROW(E$1:E1387)*(E1388=E$1:E1387)))))</f>
        <v> </v>
      </c>
      <c r="L1388" s="27"/>
    </row>
    <row r="1389" spans="1:12">
      <c r="A1389" s="20" t="s">
        <v>902</v>
      </c>
      <c r="E1389" s="22">
        <f>IF(D1389="?OLD","!!!","")</f>
        <v/>
      </c>
      <c r="F1389" s="23" t="str">
        <f>IF(OR(E1389="",E1389="!!!"),"",IF(NOT(ISNA(VLOOKUP(E1389,E$1:E1388,1,FALSE()))),"OLD",IF(AND(E1389&lt;&gt;"",E1389&lt;&gt;"!!!"),"NEW","")))</f>
        <v> </v>
      </c>
      <c r="G1389" s="24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5" t="str">
        <f>IF(J1389&lt;&gt;1,"",IF(I1389="SBJ","CB","?"))</f>
        <v> </v>
      </c>
      <c r="I1389" s="26" t="str">
        <f>IF(OR(E1389="",E1389="!!!",F1389="NEW"),"",INDEX(B1388:B$2,-1+SUMPRODUCT(MAX(ROW(E1388:E$2)*(E1389=E1388:E$2)))))</f>
        <v> </v>
      </c>
      <c r="J1389" s="26" t="str">
        <f>IF(OR(E1389="",E1389="!!!",F1389="NEW"),"",COUNTBLANK(OFFSET(A$1,,,SUMPRODUCT(MAX(ROW(E$2:E1389)*(E1389=E$2:E1389)))))-COUNTBLANK(OFFSET(A$1,,,SUMPRODUCT(MAX(ROW(E$1:E1388)*(E2=E$1:E1388))))))</f>
        <v> </v>
      </c>
      <c r="K1389" s="26" t="str">
        <f>IF(OR(E1389="",E1389="!!!",F1389="NEW"),"",INDEX(J$1:J1388,SUMPRODUCT(MAX(ROW(E$1:E1388)*(E1389=E$1:E1388)))))</f>
        <v> </v>
      </c>
      <c r="L1389" s="27"/>
    </row>
    <row r="1390" spans="1:12">
      <c r="A1390" s="20" t="s">
        <v>1339</v>
      </c>
      <c r="E1390" s="22">
        <f>IF(D1390="?OLD","!!!","")</f>
        <v/>
      </c>
      <c r="F1390" s="23" t="str">
        <f>IF(OR(E1390="",E1390="!!!"),"",IF(NOT(ISNA(VLOOKUP(E1390,E$1:E1389,1,FALSE()))),"OLD",IF(AND(E1390&lt;&gt;"",E1390&lt;&gt;"!!!"),"NEW","")))</f>
        <v> </v>
      </c>
      <c r="G1390" s="24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5" t="str">
        <f>IF(J1390&lt;&gt;1,"",IF(I1390="SBJ","CB","?"))</f>
        <v> </v>
      </c>
      <c r="I1390" s="26" t="str">
        <f>IF(OR(E1390="",E1390="!!!",F1390="NEW"),"",INDEX(B1389:B$2,-1+SUMPRODUCT(MAX(ROW(E1389:E$2)*(E1390=E1389:E$2)))))</f>
        <v> </v>
      </c>
      <c r="J1390" s="26" t="str">
        <f>IF(OR(E1390="",E1390="!!!",F1390="NEW"),"",COUNTBLANK(OFFSET(A$1,,,SUMPRODUCT(MAX(ROW(E$2:E1390)*(E1390=E$2:E1390)))))-COUNTBLANK(OFFSET(A$1,,,SUMPRODUCT(MAX(ROW(E$1:E1389)*(E2=E$1:E1389))))))</f>
        <v> </v>
      </c>
      <c r="K1390" s="26" t="str">
        <f>IF(OR(E1390="",E1390="!!!",F1390="NEW"),"",INDEX(J$1:J1389,SUMPRODUCT(MAX(ROW(E$1:E1389)*(E1390=E$1:E1389)))))</f>
        <v> </v>
      </c>
      <c r="L1390" s="27"/>
    </row>
    <row r="1391" spans="1:12">
      <c r="A1391" s="20" t="s">
        <v>633</v>
      </c>
      <c r="E1391" s="22">
        <f>IF(D1391="?OLD","!!!","")</f>
        <v/>
      </c>
      <c r="F1391" s="23" t="str">
        <f>IF(OR(E1391="",E1391="!!!"),"",IF(NOT(ISNA(VLOOKUP(E1391,E$1:E1390,1,FALSE()))),"OLD",IF(AND(E1391&lt;&gt;"",E1391&lt;&gt;"!!!"),"NEW","")))</f>
        <v> </v>
      </c>
      <c r="G1391" s="24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5" t="str">
        <f>IF(J1391&lt;&gt;1,"",IF(I1391="SBJ","CB","?"))</f>
        <v> </v>
      </c>
      <c r="I1391" s="26" t="str">
        <f>IF(OR(E1391="",E1391="!!!",F1391="NEW"),"",INDEX(B1390:B$2,-1+SUMPRODUCT(MAX(ROW(E1390:E$2)*(E1391=E1390:E$2)))))</f>
        <v> </v>
      </c>
      <c r="J1391" s="26" t="str">
        <f>IF(OR(E1391="",E1391="!!!",F1391="NEW"),"",COUNTBLANK(OFFSET(A$1,,,SUMPRODUCT(MAX(ROW(E$2:E1391)*(E1391=E$2:E1391)))))-COUNTBLANK(OFFSET(A$1,,,SUMPRODUCT(MAX(ROW(E$1:E1390)*(E2=E$1:E1390))))))</f>
        <v> </v>
      </c>
      <c r="K1391" s="26" t="str">
        <f>IF(OR(E1391="",E1391="!!!",F1391="NEW"),"",INDEX(J$1:J1390,SUMPRODUCT(MAX(ROW(E$1:E1390)*(E1391=E$1:E1390)))))</f>
        <v> </v>
      </c>
      <c r="L1391" s="27"/>
    </row>
    <row r="1392" spans="1:12">
      <c r="A1392" s="20"/>
    </row>
    <row r="1393" spans="1:12">
      <c r="A1393" s="20" t="s">
        <v>1340</v>
      </c>
    </row>
    <row r="1394" spans="1:12">
      <c r="A1394" s="20" t="s">
        <v>1341</v>
      </c>
      <c r="E1394" s="22">
        <f>IF(D1394="?OLD","!!!","")</f>
        <v/>
      </c>
      <c r="F1394" s="23" t="str">
        <f>IF(OR(E1394="",E1394="!!!"),"",IF(NOT(ISNA(VLOOKUP(E1394,E$1:E1393,1,FALSE()))),"OLD",IF(AND(E1394&lt;&gt;"",E1394&lt;&gt;"!!!"),"NEW","")))</f>
        <v> </v>
      </c>
      <c r="G1394" s="24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5" t="str">
        <f>IF(J1394&lt;&gt;1,"",IF(I1394="SBJ","CB","?"))</f>
        <v> </v>
      </c>
      <c r="I1394" s="26" t="str">
        <f>IF(OR(E1394="",E1394="!!!",F1394="NEW"),"",INDEX(B1393:B$2,-1+SUMPRODUCT(MAX(ROW(E1393:E$2)*(E1394=E1393:E$2)))))</f>
        <v> </v>
      </c>
      <c r="J1394" s="26" t="str">
        <f>IF(OR(E1394="",E1394="!!!",F1394="NEW"),"",COUNTBLANK(OFFSET(A$1,,,SUMPRODUCT(MAX(ROW(E$2:E1394)*(E1394=E$2:E1394)))))-COUNTBLANK(OFFSET(A$1,,,SUMPRODUCT(MAX(ROW(E$1:E1393)*(E2=E$1:E1393))))))</f>
        <v> </v>
      </c>
      <c r="K1394" s="26" t="str">
        <f>IF(OR(E1394="",E1394="!!!",F1394="NEW"),"",INDEX(J$1:J1393,SUMPRODUCT(MAX(ROW(E$1:E1393)*(E1394=E$1:E1393)))))</f>
        <v> </v>
      </c>
      <c r="L1394" s="27"/>
    </row>
    <row r="1395" spans="1:12">
      <c r="A1395" s="20" t="s">
        <v>1342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 t="s">
        <v>646</v>
      </c>
      <c r="E1396" s="22">
        <f>IF(D1396="?OLD","!!!","")</f>
        <v/>
      </c>
      <c r="F1396" s="23" t="str">
        <f>IF(OR(E1396="",E1396="!!!"),"",IF(NOT(ISNA(VLOOKUP(E1396,E$1:E1395,1,FALSE()))),"OLD",IF(AND(E1396&lt;&gt;"",E1396&lt;&gt;"!!!"),"NEW","")))</f>
        <v> </v>
      </c>
      <c r="G1396" s="24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5" t="str">
        <f>IF(J1396&lt;&gt;1,"",IF(I1396="SBJ","CB","?"))</f>
        <v> </v>
      </c>
      <c r="I1396" s="26" t="str">
        <f>IF(OR(E1396="",E1396="!!!",F1396="NEW"),"",INDEX(B1395:B$2,-1+SUMPRODUCT(MAX(ROW(E1395:E$2)*(E1396=E1395:E$2)))))</f>
        <v> </v>
      </c>
      <c r="J1396" s="26" t="str">
        <f>IF(OR(E1396="",E1396="!!!",F1396="NEW"),"",COUNTBLANK(OFFSET(A$1,,,SUMPRODUCT(MAX(ROW(E$2:E1396)*(E1396=E$2:E1396)))))-COUNTBLANK(OFFSET(A$1,,,SUMPRODUCT(MAX(ROW(E$1:E1395)*(E2=E$1:E1395))))))</f>
        <v> </v>
      </c>
      <c r="K1396" s="26" t="str">
        <f>IF(OR(E1396="",E1396="!!!",F1396="NEW"),"",INDEX(J$1:J1395,SUMPRODUCT(MAX(ROW(E$1:E1395)*(E1396=E$1:E1395)))))</f>
        <v> </v>
      </c>
      <c r="L1396" s="27"/>
    </row>
    <row r="1397" spans="1:12">
      <c r="A1397" s="20" t="s">
        <v>1343</v>
      </c>
      <c r="E1397" s="22">
        <f>IF(D1397="?OLD","!!!","")</f>
        <v/>
      </c>
      <c r="F1397" s="23" t="str">
        <f>IF(OR(E1397="",E1397="!!!"),"",IF(NOT(ISNA(VLOOKUP(E1397,E$1:E1396,1,FALSE()))),"OLD",IF(AND(E1397&lt;&gt;"",E1397&lt;&gt;"!!!"),"NEW","")))</f>
        <v> </v>
      </c>
      <c r="G1397" s="24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5" t="str">
        <f>IF(J1397&lt;&gt;1,"",IF(I1397="SBJ","CB","?"))</f>
        <v> </v>
      </c>
      <c r="I1397" s="26" t="str">
        <f>IF(OR(E1397="",E1397="!!!",F1397="NEW"),"",INDEX(B1396:B$2,-1+SUMPRODUCT(MAX(ROW(E1396:E$2)*(E1397=E1396:E$2)))))</f>
        <v> </v>
      </c>
      <c r="J1397" s="26" t="str">
        <f>IF(OR(E1397="",E1397="!!!",F1397="NEW"),"",COUNTBLANK(OFFSET(A$1,,,SUMPRODUCT(MAX(ROW(E$2:E1397)*(E1397=E$2:E1397)))))-COUNTBLANK(OFFSET(A$1,,,SUMPRODUCT(MAX(ROW(E$1:E1396)*(E2=E$1:E1396))))))</f>
        <v> </v>
      </c>
      <c r="K1397" s="26" t="str">
        <f>IF(OR(E1397="",E1397="!!!",F1397="NEW"),"",INDEX(J$1:J1396,SUMPRODUCT(MAX(ROW(E$1:E1396)*(E1397=E$1:E1396)))))</f>
        <v> </v>
      </c>
      <c r="L1397" s="27"/>
    </row>
    <row r="1398" spans="1:12">
      <c r="A1398" s="20" t="s">
        <v>1344</v>
      </c>
      <c r="B1398" s="21" t="s">
        <v>601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 t="s">
        <v>1345</v>
      </c>
      <c r="E1399" s="22">
        <f>IF(D1399="?OLD","!!!","")</f>
        <v/>
      </c>
      <c r="F1399" s="23" t="str">
        <f>IF(OR(E1399="",E1399="!!!"),"",IF(NOT(ISNA(VLOOKUP(E1399,E$1:E1398,1,FALSE()))),"OLD",IF(AND(E1399&lt;&gt;"",E1399&lt;&gt;"!!!"),"NEW","")))</f>
        <v> </v>
      </c>
      <c r="G1399" s="24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5" t="str">
        <f>IF(J1399&lt;&gt;1,"",IF(I1399="SBJ","CB","?"))</f>
        <v> </v>
      </c>
      <c r="I1399" s="26" t="str">
        <f>IF(OR(E1399="",E1399="!!!",F1399="NEW"),"",INDEX(B1398:B$2,-1+SUMPRODUCT(MAX(ROW(E1398:E$2)*(E1399=E1398:E$2)))))</f>
        <v> </v>
      </c>
      <c r="J1399" s="26" t="str">
        <f>IF(OR(E1399="",E1399="!!!",F1399="NEW"),"",COUNTBLANK(OFFSET(A$1,,,SUMPRODUCT(MAX(ROW(E$2:E1399)*(E1399=E$2:E1399)))))-COUNTBLANK(OFFSET(A$1,,,SUMPRODUCT(MAX(ROW(E$1:E1398)*(E2=E$1:E1398))))))</f>
        <v> </v>
      </c>
      <c r="K1399" s="26" t="str">
        <f>IF(OR(E1399="",E1399="!!!",F1399="NEW"),"",INDEX(J$1:J1398,SUMPRODUCT(MAX(ROW(E$1:E1398)*(E1399=E$1:E1398)))))</f>
        <v> </v>
      </c>
      <c r="L1399" s="27"/>
    </row>
    <row r="1400" spans="1:12">
      <c r="A1400" s="20" t="s">
        <v>1346</v>
      </c>
      <c r="E1400" s="22">
        <f>IF(D1400="?OLD","!!!","")</f>
        <v/>
      </c>
      <c r="F1400" s="23" t="str">
        <f>IF(OR(E1400="",E1400="!!!"),"",IF(NOT(ISNA(VLOOKUP(E1400,E$1:E1399,1,FALSE()))),"OLD",IF(AND(E1400&lt;&gt;"",E1400&lt;&gt;"!!!"),"NEW","")))</f>
        <v> </v>
      </c>
      <c r="G1400" s="24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5" t="str">
        <f>IF(J1400&lt;&gt;1,"",IF(I1400="SBJ","CB","?"))</f>
        <v> </v>
      </c>
      <c r="I1400" s="26" t="str">
        <f>IF(OR(E1400="",E1400="!!!",F1400="NEW"),"",INDEX(B1399:B$2,-1+SUMPRODUCT(MAX(ROW(E1399:E$2)*(E1400=E1399:E$2)))))</f>
        <v> </v>
      </c>
      <c r="J1400" s="26" t="str">
        <f>IF(OR(E1400="",E1400="!!!",F1400="NEW"),"",COUNTBLANK(OFFSET(A$1,,,SUMPRODUCT(MAX(ROW(E$2:E1400)*(E1400=E$2:E1400)))))-COUNTBLANK(OFFSET(A$1,,,SUMPRODUCT(MAX(ROW(E$1:E1399)*(E2=E$1:E1399))))))</f>
        <v> </v>
      </c>
      <c r="K1400" s="26" t="str">
        <f>IF(OR(E1400="",E1400="!!!",F1400="NEW"),"",INDEX(J$1:J1399,SUMPRODUCT(MAX(ROW(E$1:E1399)*(E1400=E$1:E1399)))))</f>
        <v> </v>
      </c>
      <c r="L1400" s="27"/>
    </row>
    <row r="1401" spans="1:12">
      <c r="A1401" s="20" t="s">
        <v>1347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 t="s">
        <v>1348</v>
      </c>
      <c r="B1402" s="21" t="s">
        <v>609</v>
      </c>
      <c r="C1402" s="21" t="s">
        <v>644</v>
      </c>
      <c r="D1402" s="21" t="s">
        <v>603</v>
      </c>
      <c r="E1402" s="22">
        <f>IF(D1402="?OLD","!!!","")</f>
        <v/>
      </c>
      <c r="F1402" s="23" t="str">
        <f>IF(OR(E1402="",E1402="!!!"),"",IF(NOT(ISNA(VLOOKUP(E1402,E$1:E1401,1,FALSE()))),"OLD",IF(AND(E1402&lt;&gt;"",E1402&lt;&gt;"!!!"),"NEW","")))</f>
        <v> </v>
      </c>
      <c r="G1402" s="24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5" t="str">
        <f>IF(J1402&lt;&gt;1,"",IF(I1402="SBJ","CB","?"))</f>
        <v> </v>
      </c>
      <c r="I1402" s="26" t="str">
        <f>IF(OR(E1402="",E1402="!!!",F1402="NEW"),"",INDEX(B1401:B$2,-1+SUMPRODUCT(MAX(ROW(E1401:E$2)*(E1402=E1401:E$2)))))</f>
        <v> </v>
      </c>
      <c r="J1402" s="26" t="str">
        <f>IF(OR(E1402="",E1402="!!!",F1402="NEW"),"",COUNTBLANK(OFFSET(A$1,,,SUMPRODUCT(MAX(ROW(E$2:E1402)*(E1402=E$2:E1402)))))-COUNTBLANK(OFFSET(A$1,,,SUMPRODUCT(MAX(ROW(E$1:E1401)*(E2=E$1:E1401))))))</f>
        <v> </v>
      </c>
      <c r="K1402" s="26" t="str">
        <f>IF(OR(E1402="",E1402="!!!",F1402="NEW"),"",INDEX(J$1:J1401,SUMPRODUCT(MAX(ROW(E$1:E1401)*(E1402=E$1:E1401)))))</f>
        <v> </v>
      </c>
      <c r="L1402" s="27"/>
    </row>
    <row r="1403" spans="1:12">
      <c r="A1403" s="20" t="s">
        <v>1099</v>
      </c>
      <c r="B1403" s="21" t="s">
        <v>804</v>
      </c>
      <c r="C1403" s="21" t="s">
        <v>723</v>
      </c>
      <c r="D1403" s="21" t="s">
        <v>603</v>
      </c>
      <c r="E1403" s="22">
        <f>IF(D1403="?OLD","!!!","")</f>
        <v/>
      </c>
      <c r="F1403" s="23" t="str">
        <f>IF(OR(E1403="",E1403="!!!"),"",IF(NOT(ISNA(VLOOKUP(E1403,E$1:E1402,1,FALSE()))),"OLD",IF(AND(E1403&lt;&gt;"",E1403&lt;&gt;"!!!"),"NEW","")))</f>
        <v> </v>
      </c>
      <c r="G1403" s="24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5" t="str">
        <f>IF(J1403&lt;&gt;1,"",IF(I1403="SBJ","CB","?"))</f>
        <v> </v>
      </c>
      <c r="I1403" s="26" t="str">
        <f>IF(OR(E1403="",E1403="!!!",F1403="NEW"),"",INDEX(B1402:B$2,-1+SUMPRODUCT(MAX(ROW(E1402:E$2)*(E1403=E1402:E$2)))))</f>
        <v> </v>
      </c>
      <c r="J1403" s="26" t="str">
        <f>IF(OR(E1403="",E1403="!!!",F1403="NEW"),"",COUNTBLANK(OFFSET(A$1,,,SUMPRODUCT(MAX(ROW(E$2:E1403)*(E1403=E$2:E1403)))))-COUNTBLANK(OFFSET(A$1,,,SUMPRODUCT(MAX(ROW(E$1:E1402)*(E2=E$1:E1402))))))</f>
        <v> </v>
      </c>
      <c r="K1403" s="26" t="str">
        <f>IF(OR(E1403="",E1403="!!!",F1403="NEW"),"",INDEX(J$1:J1402,SUMPRODUCT(MAX(ROW(E$1:E1402)*(E1403=E$1:E1402)))))</f>
        <v> </v>
      </c>
      <c r="L1403" s="27"/>
    </row>
    <row r="1404" spans="1:12">
      <c r="A1404" s="20" t="s">
        <v>611</v>
      </c>
      <c r="E1404" s="22">
        <f>IF(D1404="?OLD","!!!","")</f>
        <v/>
      </c>
      <c r="F1404" s="23" t="str">
        <f>IF(OR(E1404="",E1404="!!!"),"",IF(NOT(ISNA(VLOOKUP(E1404,E$1:E1403,1,FALSE()))),"OLD",IF(AND(E1404&lt;&gt;"",E1404&lt;&gt;"!!!"),"NEW","")))</f>
        <v> </v>
      </c>
      <c r="G1404" s="24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5" t="str">
        <f>IF(J1404&lt;&gt;1,"",IF(I1404="SBJ","CB","?"))</f>
        <v> </v>
      </c>
      <c r="I1404" s="26" t="str">
        <f>IF(OR(E1404="",E1404="!!!",F1404="NEW"),"",INDEX(B1403:B$2,-1+SUMPRODUCT(MAX(ROW(E1403:E$2)*(E1404=E1403:E$2)))))</f>
        <v> </v>
      </c>
      <c r="J1404" s="26" t="str">
        <f>IF(OR(E1404="",E1404="!!!",F1404="NEW"),"",COUNTBLANK(OFFSET(A$1,,,SUMPRODUCT(MAX(ROW(E$2:E1404)*(E1404=E$2:E1404)))))-COUNTBLANK(OFFSET(A$1,,,SUMPRODUCT(MAX(ROW(E$1:E1403)*(E2=E$1:E1403))))))</f>
        <v> </v>
      </c>
      <c r="K1404" s="26" t="str">
        <f>IF(OR(E1404="",E1404="!!!",F1404="NEW"),"",INDEX(J$1:J1403,SUMPRODUCT(MAX(ROW(E$1:E1403)*(E1404=E$1:E1403)))))</f>
        <v> </v>
      </c>
      <c r="L1404" s="27"/>
    </row>
    <row r="1405" spans="1:12">
      <c r="A1405" s="20" t="s">
        <v>658</v>
      </c>
      <c r="E1405" s="22">
        <f>IF(D1405="?OLD","!!!","")</f>
        <v/>
      </c>
      <c r="F1405" s="23" t="str">
        <f>IF(OR(E1405="",E1405="!!!"),"",IF(NOT(ISNA(VLOOKUP(E1405,E$1:E1404,1,FALSE()))),"OLD",IF(AND(E1405&lt;&gt;"",E1405&lt;&gt;"!!!"),"NEW","")))</f>
        <v> </v>
      </c>
      <c r="G1405" s="24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5" t="str">
        <f>IF(J1405&lt;&gt;1,"",IF(I1405="SBJ","CB","?"))</f>
        <v> </v>
      </c>
      <c r="I1405" s="26" t="str">
        <f>IF(OR(E1405="",E1405="!!!",F1405="NEW"),"",INDEX(B1404:B$2,-1+SUMPRODUCT(MAX(ROW(E1404:E$2)*(E1405=E1404:E$2)))))</f>
        <v> </v>
      </c>
      <c r="J1405" s="26" t="str">
        <f>IF(OR(E1405="",E1405="!!!",F1405="NEW"),"",COUNTBLANK(OFFSET(A$1,,,SUMPRODUCT(MAX(ROW(E$2:E1405)*(E1405=E$2:E1405)))))-COUNTBLANK(OFFSET(A$1,,,SUMPRODUCT(MAX(ROW(E$1:E1404)*(E2=E$1:E1404))))))</f>
        <v> </v>
      </c>
      <c r="K1405" s="26" t="str">
        <f>IF(OR(E1405="",E1405="!!!",F1405="NEW"),"",INDEX(J$1:J1404,SUMPRODUCT(MAX(ROW(E$1:E1404)*(E1405=E$1:E1404)))))</f>
        <v> </v>
      </c>
      <c r="L1405" s="27"/>
    </row>
    <row r="1406" spans="1:12">
      <c r="A1406" s="20" t="s">
        <v>1137</v>
      </c>
      <c r="B1406" s="21" t="s">
        <v>1349</v>
      </c>
      <c r="C1406" s="21" t="s">
        <v>733</v>
      </c>
      <c r="D1406" s="21" t="s">
        <v>603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 t="s">
        <v>1138</v>
      </c>
      <c r="B1407" s="21" t="s">
        <v>810</v>
      </c>
      <c r="E1407" s="22">
        <f>IF(D1407="?OLD","!!!","")</f>
        <v/>
      </c>
      <c r="F1407" s="23" t="str">
        <f>IF(OR(E1407="",E1407="!!!"),"",IF(NOT(ISNA(VLOOKUP(E1407,E$1:E1406,1,FALSE()))),"OLD",IF(AND(E1407&lt;&gt;"",E1407&lt;&gt;"!!!"),"NEW","")))</f>
        <v> </v>
      </c>
      <c r="G1407" s="24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5" t="str">
        <f>IF(J1407&lt;&gt;1,"",IF(I1407="SBJ","CB","?"))</f>
        <v> </v>
      </c>
      <c r="I1407" s="26" t="str">
        <f>IF(OR(E1407="",E1407="!!!",F1407="NEW"),"",INDEX(B1406:B$2,-1+SUMPRODUCT(MAX(ROW(E1406:E$2)*(E1407=E1406:E$2)))))</f>
        <v> </v>
      </c>
      <c r="J1407" s="26" t="str">
        <f>IF(OR(E1407="",E1407="!!!",F1407="NEW"),"",COUNTBLANK(OFFSET(A$1,,,SUMPRODUCT(MAX(ROW(E$2:E1407)*(E1407=E$2:E1407)))))-COUNTBLANK(OFFSET(A$1,,,SUMPRODUCT(MAX(ROW(E$1:E1406)*(E2=E$1:E1406))))))</f>
        <v> </v>
      </c>
      <c r="K1407" s="26" t="str">
        <f>IF(OR(E1407="",E1407="!!!",F1407="NEW"),"",INDEX(J$1:J1406,SUMPRODUCT(MAX(ROW(E$1:E1406)*(E1407=E$1:E1406)))))</f>
        <v> </v>
      </c>
      <c r="L1407" s="27"/>
    </row>
    <row r="1408" spans="1:12">
      <c r="A1408" s="20" t="s">
        <v>1350</v>
      </c>
      <c r="E1408" s="22">
        <f>IF(D1408="?OLD","!!!","")</f>
        <v/>
      </c>
      <c r="F1408" s="23" t="str">
        <f>IF(OR(E1408="",E1408="!!!"),"",IF(NOT(ISNA(VLOOKUP(E1408,E$1:E1407,1,FALSE()))),"OLD",IF(AND(E1408&lt;&gt;"",E1408&lt;&gt;"!!!"),"NEW","")))</f>
        <v> </v>
      </c>
      <c r="G1408" s="24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5" t="str">
        <f>IF(J1408&lt;&gt;1,"",IF(I1408="SBJ","CB","?"))</f>
        <v> </v>
      </c>
      <c r="I1408" s="26" t="str">
        <f>IF(OR(E1408="",E1408="!!!",F1408="NEW"),"",INDEX(B1407:B$2,-1+SUMPRODUCT(MAX(ROW(E1407:E$2)*(E1408=E1407:E$2)))))</f>
        <v> </v>
      </c>
      <c r="J1408" s="26" t="str">
        <f>IF(OR(E1408="",E1408="!!!",F1408="NEW"),"",COUNTBLANK(OFFSET(A$1,,,SUMPRODUCT(MAX(ROW(E$2:E1408)*(E1408=E$2:E1408)))))-COUNTBLANK(OFFSET(A$1,,,SUMPRODUCT(MAX(ROW(E$1:E1407)*(E2=E$1:E1407))))))</f>
        <v> </v>
      </c>
      <c r="K1408" s="26" t="str">
        <f>IF(OR(E1408="",E1408="!!!",F1408="NEW"),"",INDEX(J$1:J1407,SUMPRODUCT(MAX(ROW(E$1:E1407)*(E1408=E$1:E1407)))))</f>
        <v> </v>
      </c>
      <c r="L1408" s="27"/>
    </row>
    <row r="1409" spans="1:12">
      <c r="A1409" s="20" t="s">
        <v>611</v>
      </c>
      <c r="E1409" s="22">
        <f>IF(D1409="?OLD","!!!","")</f>
        <v/>
      </c>
      <c r="F1409" s="23" t="str">
        <f>IF(OR(E1409="",E1409="!!!"),"",IF(NOT(ISNA(VLOOKUP(E1409,E$1:E1408,1,FALSE()))),"OLD",IF(AND(E1409&lt;&gt;"",E1409&lt;&gt;"!!!"),"NEW","")))</f>
        <v> </v>
      </c>
      <c r="G1409" s="24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5" t="str">
        <f>IF(J1409&lt;&gt;1,"",IF(I1409="SBJ","CB","?"))</f>
        <v> </v>
      </c>
      <c r="I1409" s="26" t="str">
        <f>IF(OR(E1409="",E1409="!!!",F1409="NEW"),"",INDEX(B1408:B$2,-1+SUMPRODUCT(MAX(ROW(E1408:E$2)*(E1409=E1408:E$2)))))</f>
        <v> </v>
      </c>
      <c r="J1409" s="26" t="str">
        <f>IF(OR(E1409="",E1409="!!!",F1409="NEW"),"",COUNTBLANK(OFFSET(A$1,,,SUMPRODUCT(MAX(ROW(E$2:E1409)*(E1409=E$2:E1409)))))-COUNTBLANK(OFFSET(A$1,,,SUMPRODUCT(MAX(ROW(E$1:E1408)*(E2=E$1:E1408))))))</f>
        <v> </v>
      </c>
      <c r="K1409" s="26" t="str">
        <f>IF(OR(E1409="",E1409="!!!",F1409="NEW"),"",INDEX(J$1:J1408,SUMPRODUCT(MAX(ROW(E$1:E1408)*(E1409=E$1:E1408)))))</f>
        <v> </v>
      </c>
      <c r="L1409" s="27"/>
    </row>
    <row r="1410" spans="1:12">
      <c r="A1410" s="20" t="s">
        <v>646</v>
      </c>
      <c r="E1410" s="22">
        <f>IF(D1410="?OLD","!!!","")</f>
        <v/>
      </c>
      <c r="F1410" s="23" t="str">
        <f>IF(OR(E1410="",E1410="!!!"),"",IF(NOT(ISNA(VLOOKUP(E1410,E$1:E1409,1,FALSE()))),"OLD",IF(AND(E1410&lt;&gt;"",E1410&lt;&gt;"!!!"),"NEW","")))</f>
        <v> </v>
      </c>
      <c r="G1410" s="24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5" t="str">
        <f>IF(J1410&lt;&gt;1,"",IF(I1410="SBJ","CB","?"))</f>
        <v> </v>
      </c>
      <c r="I1410" s="26" t="str">
        <f>IF(OR(E1410="",E1410="!!!",F1410="NEW"),"",INDEX(B1409:B$2,-1+SUMPRODUCT(MAX(ROW(E1409:E$2)*(E1410=E1409:E$2)))))</f>
        <v> </v>
      </c>
      <c r="J1410" s="26" t="str">
        <f>IF(OR(E1410="",E1410="!!!",F1410="NEW"),"",COUNTBLANK(OFFSET(A$1,,,SUMPRODUCT(MAX(ROW(E$2:E1410)*(E1410=E$2:E1410)))))-COUNTBLANK(OFFSET(A$1,,,SUMPRODUCT(MAX(ROW(E$1:E1409)*(E2=E$1:E1409))))))</f>
        <v> </v>
      </c>
      <c r="K1410" s="26" t="str">
        <f>IF(OR(E1410="",E1410="!!!",F1410="NEW"),"",INDEX(J$1:J1409,SUMPRODUCT(MAX(ROW(E$1:E1409)*(E1410=E$1:E1409)))))</f>
        <v> </v>
      </c>
      <c r="L1410" s="27"/>
    </row>
    <row r="1411" spans="1:12">
      <c r="A1411" s="20" t="s">
        <v>1351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1352</v>
      </c>
      <c r="B1412" s="21" t="s">
        <v>815</v>
      </c>
      <c r="C1412" s="21" t="s">
        <v>644</v>
      </c>
      <c r="D1412" s="21" t="s">
        <v>603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1191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 t="s">
        <v>1015</v>
      </c>
      <c r="E1414" s="22">
        <f>IF(D1414="?OLD","!!!","")</f>
        <v/>
      </c>
      <c r="F1414" s="23" t="str">
        <f>IF(OR(E1414="",E1414="!!!"),"",IF(NOT(ISNA(VLOOKUP(E1414,E$1:E1413,1,FALSE()))),"OLD",IF(AND(E1414&lt;&gt;"",E1414&lt;&gt;"!!!"),"NEW","")))</f>
        <v> </v>
      </c>
      <c r="G1414" s="24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5" t="str">
        <f>IF(J1414&lt;&gt;1,"",IF(I1414="SBJ","CB","?"))</f>
        <v> </v>
      </c>
      <c r="I1414" s="26" t="str">
        <f>IF(OR(E1414="",E1414="!!!",F1414="NEW"),"",INDEX(B1413:B$2,-1+SUMPRODUCT(MAX(ROW(E1413:E$2)*(E1414=E1413:E$2)))))</f>
        <v> </v>
      </c>
      <c r="J1414" s="26" t="str">
        <f>IF(OR(E1414="",E1414="!!!",F1414="NEW"),"",COUNTBLANK(OFFSET(A$1,,,SUMPRODUCT(MAX(ROW(E$2:E1414)*(E1414=E$2:E1414)))))-COUNTBLANK(OFFSET(A$1,,,SUMPRODUCT(MAX(ROW(E$1:E1413)*(E2=E$1:E1413))))))</f>
        <v> </v>
      </c>
      <c r="K1414" s="26" t="str">
        <f>IF(OR(E1414="",E1414="!!!",F1414="NEW"),"",INDEX(J$1:J1413,SUMPRODUCT(MAX(ROW(E$1:E1413)*(E1414=E$1:E1413)))))</f>
        <v> </v>
      </c>
      <c r="L1414" s="27"/>
    </row>
    <row r="1415" spans="1:12">
      <c r="A1415" s="20" t="s">
        <v>864</v>
      </c>
      <c r="B1415" s="21" t="s">
        <v>1349</v>
      </c>
      <c r="C1415" s="21" t="s">
        <v>723</v>
      </c>
      <c r="D1415" s="21" t="s">
        <v>603</v>
      </c>
      <c r="E1415" s="22">
        <f>IF(D1415="?OLD","!!!","")</f>
        <v/>
      </c>
      <c r="F1415" s="23" t="str">
        <f>IF(OR(E1415="",E1415="!!!"),"",IF(NOT(ISNA(VLOOKUP(E1415,E$1:E1414,1,FALSE()))),"OLD",IF(AND(E1415&lt;&gt;"",E1415&lt;&gt;"!!!"),"NEW","")))</f>
        <v> </v>
      </c>
      <c r="G1415" s="24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5" t="str">
        <f>IF(J1415&lt;&gt;1,"",IF(I1415="SBJ","CB","?"))</f>
        <v> </v>
      </c>
      <c r="I1415" s="26" t="str">
        <f>IF(OR(E1415="",E1415="!!!",F1415="NEW"),"",INDEX(B1414:B$2,-1+SUMPRODUCT(MAX(ROW(E1414:E$2)*(E1415=E1414:E$2)))))</f>
        <v> </v>
      </c>
      <c r="J1415" s="26" t="str">
        <f>IF(OR(E1415="",E1415="!!!",F1415="NEW"),"",COUNTBLANK(OFFSET(A$1,,,SUMPRODUCT(MAX(ROW(E$2:E1415)*(E1415=E$2:E1415)))))-COUNTBLANK(OFFSET(A$1,,,SUMPRODUCT(MAX(ROW(E$1:E1414)*(E2=E$1:E1414))))))</f>
        <v> </v>
      </c>
      <c r="K1415" s="26" t="str">
        <f>IF(OR(E1415="",E1415="!!!",F1415="NEW"),"",INDEX(J$1:J1414,SUMPRODUCT(MAX(ROW(E$1:E1414)*(E1415=E$1:E1414)))))</f>
        <v> </v>
      </c>
      <c r="L1415" s="27"/>
    </row>
    <row r="1416" spans="1:12">
      <c r="A1416" s="20" t="s">
        <v>611</v>
      </c>
      <c r="E1416" s="22">
        <f>IF(D1416="?OLD","!!!","")</f>
        <v/>
      </c>
      <c r="F1416" s="23" t="str">
        <f>IF(OR(E1416="",E1416="!!!"),"",IF(NOT(ISNA(VLOOKUP(E1416,E$1:E1415,1,FALSE()))),"OLD",IF(AND(E1416&lt;&gt;"",E1416&lt;&gt;"!!!"),"NEW","")))</f>
        <v> </v>
      </c>
      <c r="G1416" s="24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5" t="str">
        <f>IF(J1416&lt;&gt;1,"",IF(I1416="SBJ","CB","?"))</f>
        <v> </v>
      </c>
      <c r="I1416" s="26" t="str">
        <f>IF(OR(E1416="",E1416="!!!",F1416="NEW"),"",INDEX(B1415:B$2,-1+SUMPRODUCT(MAX(ROW(E1415:E$2)*(E1416=E1415:E$2)))))</f>
        <v> </v>
      </c>
      <c r="J1416" s="26" t="str">
        <f>IF(OR(E1416="",E1416="!!!",F1416="NEW"),"",COUNTBLANK(OFFSET(A$1,,,SUMPRODUCT(MAX(ROW(E$2:E1416)*(E1416=E$2:E1416)))))-COUNTBLANK(OFFSET(A$1,,,SUMPRODUCT(MAX(ROW(E$1:E1415)*(E2=E$1:E1415))))))</f>
        <v> </v>
      </c>
      <c r="K1416" s="26" t="str">
        <f>IF(OR(E1416="",E1416="!!!",F1416="NEW"),"",INDEX(J$1:J1415,SUMPRODUCT(MAX(ROW(E$1:E1415)*(E1416=E$1:E1415)))))</f>
        <v> </v>
      </c>
      <c r="L1416" s="27"/>
    </row>
    <row r="1417" spans="1:12">
      <c r="A1417" s="20" t="s">
        <v>658</v>
      </c>
      <c r="E1417" s="22">
        <f>IF(D1417="?OLD","!!!","")</f>
        <v/>
      </c>
      <c r="F1417" s="23" t="str">
        <f>IF(OR(E1417="",E1417="!!!"),"",IF(NOT(ISNA(VLOOKUP(E1417,E$1:E1416,1,FALSE()))),"OLD",IF(AND(E1417&lt;&gt;"",E1417&lt;&gt;"!!!"),"NEW","")))</f>
        <v> </v>
      </c>
      <c r="G1417" s="24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5" t="str">
        <f>IF(J1417&lt;&gt;1,"",IF(I1417="SBJ","CB","?"))</f>
        <v> </v>
      </c>
      <c r="I1417" s="26" t="str">
        <f>IF(OR(E1417="",E1417="!!!",F1417="NEW"),"",INDEX(B1416:B$2,-1+SUMPRODUCT(MAX(ROW(E1416:E$2)*(E1417=E1416:E$2)))))</f>
        <v> </v>
      </c>
      <c r="J1417" s="26" t="str">
        <f>IF(OR(E1417="",E1417="!!!",F1417="NEW"),"",COUNTBLANK(OFFSET(A$1,,,SUMPRODUCT(MAX(ROW(E$2:E1417)*(E1417=E$2:E1417)))))-COUNTBLANK(OFFSET(A$1,,,SUMPRODUCT(MAX(ROW(E$1:E1416)*(E2=E$1:E1416))))))</f>
        <v> </v>
      </c>
      <c r="K1417" s="26" t="str">
        <f>IF(OR(E1417="",E1417="!!!",F1417="NEW"),"",INDEX(J$1:J1416,SUMPRODUCT(MAX(ROW(E$1:E1416)*(E1417=E$1:E1416)))))</f>
        <v> </v>
      </c>
      <c r="L1417" s="27"/>
    </row>
    <row r="1418" spans="1:12">
      <c r="A1418" s="20" t="s">
        <v>615</v>
      </c>
      <c r="B1418" s="21" t="s">
        <v>1244</v>
      </c>
      <c r="C1418" s="21" t="s">
        <v>602</v>
      </c>
      <c r="D1418" s="21" t="s">
        <v>603</v>
      </c>
      <c r="E1418" s="22">
        <f>IF(D1418="?OLD","!!!","")</f>
        <v/>
      </c>
      <c r="F1418" s="23" t="str">
        <f>IF(OR(E1418="",E1418="!!!"),"",IF(NOT(ISNA(VLOOKUP(E1418,E$1:E1417,1,FALSE()))),"OLD",IF(AND(E1418&lt;&gt;"",E1418&lt;&gt;"!!!"),"NEW","")))</f>
        <v> </v>
      </c>
      <c r="G1418" s="24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5" t="str">
        <f>IF(J1418&lt;&gt;1,"",IF(I1418="SBJ","CB","?"))</f>
        <v> </v>
      </c>
      <c r="I1418" s="26" t="str">
        <f>IF(OR(E1418="",E1418="!!!",F1418="NEW"),"",INDEX(B1417:B$2,-1+SUMPRODUCT(MAX(ROW(E1417:E$2)*(E1418=E1417:E$2)))))</f>
        <v> </v>
      </c>
      <c r="J1418" s="26" t="str">
        <f>IF(OR(E1418="",E1418="!!!",F1418="NEW"),"",COUNTBLANK(OFFSET(A$1,,,SUMPRODUCT(MAX(ROW(E$2:E1418)*(E1418=E$2:E1418)))))-COUNTBLANK(OFFSET(A$1,,,SUMPRODUCT(MAX(ROW(E$1:E1417)*(E2=E$1:E1417))))))</f>
        <v> </v>
      </c>
      <c r="K1418" s="26" t="str">
        <f>IF(OR(E1418="",E1418="!!!",F1418="NEW"),"",INDEX(J$1:J1417,SUMPRODUCT(MAX(ROW(E$1:E1417)*(E1418=E$1:E1417)))))</f>
        <v> </v>
      </c>
      <c r="L1418" s="27"/>
    </row>
    <row r="1419" spans="1:12">
      <c r="A1419" s="20" t="s">
        <v>693</v>
      </c>
      <c r="E1419" s="22">
        <f>IF(D1419="?OLD","!!!","")</f>
        <v/>
      </c>
      <c r="F1419" s="23" t="str">
        <f>IF(OR(E1419="",E1419="!!!"),"",IF(NOT(ISNA(VLOOKUP(E1419,E$1:E1418,1,FALSE()))),"OLD",IF(AND(E1419&lt;&gt;"",E1419&lt;&gt;"!!!"),"NEW","")))</f>
        <v> </v>
      </c>
      <c r="G1419" s="24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5" t="str">
        <f>IF(J1419&lt;&gt;1,"",IF(I1419="SBJ","CB","?"))</f>
        <v> </v>
      </c>
      <c r="I1419" s="26" t="str">
        <f>IF(OR(E1419="",E1419="!!!",F1419="NEW"),"",INDEX(B1418:B$2,-1+SUMPRODUCT(MAX(ROW(E1418:E$2)*(E1419=E1418:E$2)))))</f>
        <v> </v>
      </c>
      <c r="J1419" s="26" t="str">
        <f>IF(OR(E1419="",E1419="!!!",F1419="NEW"),"",COUNTBLANK(OFFSET(A$1,,,SUMPRODUCT(MAX(ROW(E$2:E1419)*(E1419=E$2:E1419)))))-COUNTBLANK(OFFSET(A$1,,,SUMPRODUCT(MAX(ROW(E$1:E1418)*(E2=E$1:E1418))))))</f>
        <v> </v>
      </c>
      <c r="K1419" s="26" t="str">
        <f>IF(OR(E1419="",E1419="!!!",F1419="NEW"),"",INDEX(J$1:J1418,SUMPRODUCT(MAX(ROW(E$1:E1418)*(E1419=E$1:E1418)))))</f>
        <v> </v>
      </c>
      <c r="L1419" s="27"/>
    </row>
    <row r="1420" spans="1:12">
      <c r="A1420" s="20" t="s">
        <v>1353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633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/>
    </row>
    <row r="1423" spans="1:12">
      <c r="A1423" s="20" t="s">
        <v>1354</v>
      </c>
    </row>
    <row r="1424" spans="1:12">
      <c r="A1424" s="20" t="s">
        <v>1355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 t="s">
        <v>1158</v>
      </c>
      <c r="E1425" s="22">
        <f>IF(D1425="?OLD","!!!","")</f>
        <v/>
      </c>
      <c r="F1425" s="23" t="str">
        <f>IF(OR(E1425="",E1425="!!!"),"",IF(NOT(ISNA(VLOOKUP(E1425,E$1:E1424,1,FALSE()))),"OLD",IF(AND(E1425&lt;&gt;"",E1425&lt;&gt;"!!!"),"NEW","")))</f>
        <v> </v>
      </c>
      <c r="G1425" s="24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5" t="str">
        <f>IF(J1425&lt;&gt;1,"",IF(I1425="SBJ","CB","?"))</f>
        <v> </v>
      </c>
      <c r="I1425" s="26" t="str">
        <f>IF(OR(E1425="",E1425="!!!",F1425="NEW"),"",INDEX(B1424:B$2,-1+SUMPRODUCT(MAX(ROW(E1424:E$2)*(E1425=E1424:E$2)))))</f>
        <v> </v>
      </c>
      <c r="J1425" s="26" t="str">
        <f>IF(OR(E1425="",E1425="!!!",F1425="NEW"),"",COUNTBLANK(OFFSET(A$1,,,SUMPRODUCT(MAX(ROW(E$2:E1425)*(E1425=E$2:E1425)))))-COUNTBLANK(OFFSET(A$1,,,SUMPRODUCT(MAX(ROW(E$1:E1424)*(E2=E$1:E1424))))))</f>
        <v> </v>
      </c>
      <c r="K1425" s="26" t="str">
        <f>IF(OR(E1425="",E1425="!!!",F1425="NEW"),"",INDEX(J$1:J1424,SUMPRODUCT(MAX(ROW(E$1:E1424)*(E1425=E$1:E1424)))))</f>
        <v> </v>
      </c>
      <c r="L1425" s="27"/>
    </row>
    <row r="1426" spans="1:12">
      <c r="A1426" s="20" t="s">
        <v>611</v>
      </c>
      <c r="E1426" s="22">
        <f>IF(D1426="?OLD","!!!","")</f>
        <v/>
      </c>
      <c r="F1426" s="23" t="str">
        <f>IF(OR(E1426="",E1426="!!!"),"",IF(NOT(ISNA(VLOOKUP(E1426,E$1:E1425,1,FALSE()))),"OLD",IF(AND(E1426&lt;&gt;"",E1426&lt;&gt;"!!!"),"NEW","")))</f>
        <v> </v>
      </c>
      <c r="G1426" s="24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5" t="str">
        <f>IF(J1426&lt;&gt;1,"",IF(I1426="SBJ","CB","?"))</f>
        <v> </v>
      </c>
      <c r="I1426" s="26" t="str">
        <f>IF(OR(E1426="",E1426="!!!",F1426="NEW"),"",INDEX(B1425:B$2,-1+SUMPRODUCT(MAX(ROW(E1425:E$2)*(E1426=E1425:E$2)))))</f>
        <v> </v>
      </c>
      <c r="J1426" s="26" t="str">
        <f>IF(OR(E1426="",E1426="!!!",F1426="NEW"),"",COUNTBLANK(OFFSET(A$1,,,SUMPRODUCT(MAX(ROW(E$2:E1426)*(E1426=E$2:E1426)))))-COUNTBLANK(OFFSET(A$1,,,SUMPRODUCT(MAX(ROW(E$1:E1425)*(E2=E$1:E1425))))))</f>
        <v> </v>
      </c>
      <c r="K1426" s="26" t="str">
        <f>IF(OR(E1426="",E1426="!!!",F1426="NEW"),"",INDEX(J$1:J1425,SUMPRODUCT(MAX(ROW(E$1:E1425)*(E1426=E$1:E1425)))))</f>
        <v> </v>
      </c>
      <c r="L1426" s="27"/>
    </row>
    <row r="1427" spans="1:12">
      <c r="A1427" s="20" t="s">
        <v>1356</v>
      </c>
      <c r="E1427" s="22">
        <f>IF(D1427="?OLD","!!!","")</f>
        <v/>
      </c>
      <c r="F1427" s="23" t="str">
        <f>IF(OR(E1427="",E1427="!!!"),"",IF(NOT(ISNA(VLOOKUP(E1427,E$1:E1426,1,FALSE()))),"OLD",IF(AND(E1427&lt;&gt;"",E1427&lt;&gt;"!!!"),"NEW","")))</f>
        <v> </v>
      </c>
      <c r="G1427" s="24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5" t="str">
        <f>IF(J1427&lt;&gt;1,"",IF(I1427="SBJ","CB","?"))</f>
        <v> </v>
      </c>
      <c r="I1427" s="26" t="str">
        <f>IF(OR(E1427="",E1427="!!!",F1427="NEW"),"",INDEX(B1426:B$2,-1+SUMPRODUCT(MAX(ROW(E1426:E$2)*(E1427=E1426:E$2)))))</f>
        <v> </v>
      </c>
      <c r="J1427" s="26" t="str">
        <f>IF(OR(E1427="",E1427="!!!",F1427="NEW"),"",COUNTBLANK(OFFSET(A$1,,,SUMPRODUCT(MAX(ROW(E$2:E1427)*(E1427=E$2:E1427)))))-COUNTBLANK(OFFSET(A$1,,,SUMPRODUCT(MAX(ROW(E$1:E1426)*(E2=E$1:E1426))))))</f>
        <v> </v>
      </c>
      <c r="K1427" s="26" t="str">
        <f>IF(OR(E1427="",E1427="!!!",F1427="NEW"),"",INDEX(J$1:J1426,SUMPRODUCT(MAX(ROW(E$1:E1426)*(E1427=E$1:E1426)))))</f>
        <v> </v>
      </c>
      <c r="L1427" s="27"/>
    </row>
    <row r="1428" spans="1:12">
      <c r="A1428" s="20" t="s">
        <v>1357</v>
      </c>
      <c r="E1428" s="22">
        <f>IF(D1428="?OLD","!!!","")</f>
        <v/>
      </c>
      <c r="F1428" s="23" t="str">
        <f>IF(OR(E1428="",E1428="!!!"),"",IF(NOT(ISNA(VLOOKUP(E1428,E$1:E1427,1,FALSE()))),"OLD",IF(AND(E1428&lt;&gt;"",E1428&lt;&gt;"!!!"),"NEW","")))</f>
        <v> </v>
      </c>
      <c r="G1428" s="24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5" t="str">
        <f>IF(J1428&lt;&gt;1,"",IF(I1428="SBJ","CB","?"))</f>
        <v> </v>
      </c>
      <c r="I1428" s="26" t="str">
        <f>IF(OR(E1428="",E1428="!!!",F1428="NEW"),"",INDEX(B1427:B$2,-1+SUMPRODUCT(MAX(ROW(E1427:E$2)*(E1428=E1427:E$2)))))</f>
        <v> </v>
      </c>
      <c r="J1428" s="26" t="str">
        <f>IF(OR(E1428="",E1428="!!!",F1428="NEW"),"",COUNTBLANK(OFFSET(A$1,,,SUMPRODUCT(MAX(ROW(E$2:E1428)*(E1428=E$2:E1428)))))-COUNTBLANK(OFFSET(A$1,,,SUMPRODUCT(MAX(ROW(E$1:E1427)*(E2=E$1:E1427))))))</f>
        <v> </v>
      </c>
      <c r="K1428" s="26" t="str">
        <f>IF(OR(E1428="",E1428="!!!",F1428="NEW"),"",INDEX(J$1:J1427,SUMPRODUCT(MAX(ROW(E$1:E1427)*(E1428=E$1:E1427)))))</f>
        <v> </v>
      </c>
      <c r="L1428" s="27"/>
    </row>
    <row r="1429" spans="1:12">
      <c r="A1429" s="20" t="s">
        <v>646</v>
      </c>
      <c r="E1429" s="22">
        <f>IF(D1429="?OLD","!!!","")</f>
        <v/>
      </c>
      <c r="F1429" s="23" t="str">
        <f>IF(OR(E1429="",E1429="!!!"),"",IF(NOT(ISNA(VLOOKUP(E1429,E$1:E1428,1,FALSE()))),"OLD",IF(AND(E1429&lt;&gt;"",E1429&lt;&gt;"!!!"),"NEW","")))</f>
        <v> </v>
      </c>
      <c r="G1429" s="24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5" t="str">
        <f>IF(J1429&lt;&gt;1,"",IF(I1429="SBJ","CB","?"))</f>
        <v> </v>
      </c>
      <c r="I1429" s="26" t="str">
        <f>IF(OR(E1429="",E1429="!!!",F1429="NEW"),"",INDEX(B1428:B$2,-1+SUMPRODUCT(MAX(ROW(E1428:E$2)*(E1429=E1428:E$2)))))</f>
        <v> </v>
      </c>
      <c r="J1429" s="26" t="str">
        <f>IF(OR(E1429="",E1429="!!!",F1429="NEW"),"",COUNTBLANK(OFFSET(A$1,,,SUMPRODUCT(MAX(ROW(E$2:E1429)*(E1429=E$2:E1429)))))-COUNTBLANK(OFFSET(A$1,,,SUMPRODUCT(MAX(ROW(E$1:E1428)*(E2=E$1:E1428))))))</f>
        <v> </v>
      </c>
      <c r="K1429" s="26" t="str">
        <f>IF(OR(E1429="",E1429="!!!",F1429="NEW"),"",INDEX(J$1:J1428,SUMPRODUCT(MAX(ROW(E$1:E1428)*(E1429=E$1:E1428)))))</f>
        <v> </v>
      </c>
      <c r="L1429" s="27"/>
    </row>
    <row r="1430" spans="1:12">
      <c r="A1430" s="20" t="s">
        <v>1358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1359</v>
      </c>
      <c r="B1431" s="21" t="s">
        <v>601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611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607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 t="s">
        <v>1360</v>
      </c>
      <c r="B1434" s="21" t="s">
        <v>804</v>
      </c>
      <c r="C1434" s="21" t="s">
        <v>614</v>
      </c>
      <c r="E1434" s="22">
        <f>IF(D1434="?OLD","!!!","")</f>
        <v/>
      </c>
      <c r="F1434" s="23" t="str">
        <f>IF(OR(E1434="",E1434="!!!"),"",IF(NOT(ISNA(VLOOKUP(E1434,E$1:E1433,1,FALSE()))),"OLD",IF(AND(E1434&lt;&gt;"",E1434&lt;&gt;"!!!"),"NEW","")))</f>
        <v> </v>
      </c>
      <c r="G1434" s="24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5" t="str">
        <f>IF(J1434&lt;&gt;1,"",IF(I1434="SBJ","CB","?"))</f>
        <v> </v>
      </c>
      <c r="I1434" s="26" t="str">
        <f>IF(OR(E1434="",E1434="!!!",F1434="NEW"),"",INDEX(B1433:B$2,-1+SUMPRODUCT(MAX(ROW(E1433:E$2)*(E1434=E1433:E$2)))))</f>
        <v> </v>
      </c>
      <c r="J1434" s="26" t="str">
        <f>IF(OR(E1434="",E1434="!!!",F1434="NEW"),"",COUNTBLANK(OFFSET(A$1,,,SUMPRODUCT(MAX(ROW(E$2:E1434)*(E1434=E$2:E1434)))))-COUNTBLANK(OFFSET(A$1,,,SUMPRODUCT(MAX(ROW(E$1:E1433)*(E2=E$1:E1433))))))</f>
        <v> </v>
      </c>
      <c r="K1434" s="26" t="str">
        <f>IF(OR(E1434="",E1434="!!!",F1434="NEW"),"",INDEX(J$1:J1433,SUMPRODUCT(MAX(ROW(E$1:E1433)*(E1434=E$1:E1433)))))</f>
        <v> </v>
      </c>
      <c r="L1434" s="27"/>
    </row>
    <row r="1435" spans="1:12">
      <c r="A1435" s="20" t="s">
        <v>615</v>
      </c>
      <c r="B1435" s="21" t="s">
        <v>659</v>
      </c>
      <c r="C1435" s="21" t="s">
        <v>602</v>
      </c>
      <c r="D1435" s="21" t="s">
        <v>603</v>
      </c>
      <c r="E1435" s="22">
        <f>IF(D1435="?OLD","!!!","")</f>
        <v/>
      </c>
      <c r="F1435" s="23" t="str">
        <f>IF(OR(E1435="",E1435="!!!"),"",IF(NOT(ISNA(VLOOKUP(E1435,E$1:E1434,1,FALSE()))),"OLD",IF(AND(E1435&lt;&gt;"",E1435&lt;&gt;"!!!"),"NEW","")))</f>
        <v> </v>
      </c>
      <c r="G1435" s="24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5" t="str">
        <f>IF(J1435&lt;&gt;1,"",IF(I1435="SBJ","CB","?"))</f>
        <v> </v>
      </c>
      <c r="I1435" s="26" t="str">
        <f>IF(OR(E1435="",E1435="!!!",F1435="NEW"),"",INDEX(B1434:B$2,-1+SUMPRODUCT(MAX(ROW(E1434:E$2)*(E1435=E1434:E$2)))))</f>
        <v> </v>
      </c>
      <c r="J1435" s="26" t="str">
        <f>IF(OR(E1435="",E1435="!!!",F1435="NEW"),"",COUNTBLANK(OFFSET(A$1,,,SUMPRODUCT(MAX(ROW(E$2:E1435)*(E1435=E$2:E1435)))))-COUNTBLANK(OFFSET(A$1,,,SUMPRODUCT(MAX(ROW(E$1:E1434)*(E2=E$1:E1434))))))</f>
        <v> </v>
      </c>
      <c r="K1435" s="26" t="str">
        <f>IF(OR(E1435="",E1435="!!!",F1435="NEW"),"",INDEX(J$1:J1434,SUMPRODUCT(MAX(ROW(E$1:E1434)*(E1435=E$1:E1434)))))</f>
        <v> </v>
      </c>
      <c r="L1435" s="27"/>
    </row>
    <row r="1436" spans="1:12">
      <c r="A1436" s="20" t="s">
        <v>1361</v>
      </c>
      <c r="E1436" s="22">
        <f>IF(D1436="?OLD","!!!","")</f>
        <v/>
      </c>
      <c r="F1436" s="23" t="str">
        <f>IF(OR(E1436="",E1436="!!!"),"",IF(NOT(ISNA(VLOOKUP(E1436,E$1:E1435,1,FALSE()))),"OLD",IF(AND(E1436&lt;&gt;"",E1436&lt;&gt;"!!!"),"NEW","")))</f>
        <v> </v>
      </c>
      <c r="G1436" s="24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5" t="str">
        <f>IF(J1436&lt;&gt;1,"",IF(I1436="SBJ","CB","?"))</f>
        <v> </v>
      </c>
      <c r="I1436" s="26" t="str">
        <f>IF(OR(E1436="",E1436="!!!",F1436="NEW"),"",INDEX(B1435:B$2,-1+SUMPRODUCT(MAX(ROW(E1435:E$2)*(E1436=E1435:E$2)))))</f>
        <v> </v>
      </c>
      <c r="J1436" s="26" t="str">
        <f>IF(OR(E1436="",E1436="!!!",F1436="NEW"),"",COUNTBLANK(OFFSET(A$1,,,SUMPRODUCT(MAX(ROW(E$2:E1436)*(E1436=E$2:E1436)))))-COUNTBLANK(OFFSET(A$1,,,SUMPRODUCT(MAX(ROW(E$1:E1435)*(E2=E$1:E1435))))))</f>
        <v> </v>
      </c>
      <c r="K1436" s="26" t="str">
        <f>IF(OR(E1436="",E1436="!!!",F1436="NEW"),"",INDEX(J$1:J1435,SUMPRODUCT(MAX(ROW(E$1:E1435)*(E1436=E$1:E1435)))))</f>
        <v> </v>
      </c>
      <c r="L1436" s="27"/>
    </row>
    <row r="1437" spans="1:12">
      <c r="A1437" s="20" t="s">
        <v>611</v>
      </c>
      <c r="E1437" s="22">
        <f>IF(D1437="?OLD","!!!","")</f>
        <v/>
      </c>
      <c r="F1437" s="23" t="str">
        <f>IF(OR(E1437="",E1437="!!!"),"",IF(NOT(ISNA(VLOOKUP(E1437,E$1:E1436,1,FALSE()))),"OLD",IF(AND(E1437&lt;&gt;"",E1437&lt;&gt;"!!!"),"NEW","")))</f>
        <v> </v>
      </c>
      <c r="G1437" s="24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5" t="str">
        <f>IF(J1437&lt;&gt;1,"",IF(I1437="SBJ","CB","?"))</f>
        <v> </v>
      </c>
      <c r="I1437" s="26" t="str">
        <f>IF(OR(E1437="",E1437="!!!",F1437="NEW"),"",INDEX(B1436:B$2,-1+SUMPRODUCT(MAX(ROW(E1436:E$2)*(E1437=E1436:E$2)))))</f>
        <v> </v>
      </c>
      <c r="J1437" s="26" t="str">
        <f>IF(OR(E1437="",E1437="!!!",F1437="NEW"),"",COUNTBLANK(OFFSET(A$1,,,SUMPRODUCT(MAX(ROW(E$2:E1437)*(E1437=E$2:E1437)))))-COUNTBLANK(OFFSET(A$1,,,SUMPRODUCT(MAX(ROW(E$1:E1436)*(E2=E$1:E1436))))))</f>
        <v> </v>
      </c>
      <c r="K1437" s="26" t="str">
        <f>IF(OR(E1437="",E1437="!!!",F1437="NEW"),"",INDEX(J$1:J1436,SUMPRODUCT(MAX(ROW(E$1:E1436)*(E1437=E$1:E1436)))))</f>
        <v> </v>
      </c>
      <c r="L1437" s="27"/>
    </row>
    <row r="1438" spans="1:12">
      <c r="A1438" s="20" t="s">
        <v>1362</v>
      </c>
      <c r="E1438" s="22">
        <f>IF(D1438="?OLD","!!!","")</f>
        <v/>
      </c>
      <c r="F1438" s="23" t="str">
        <f>IF(OR(E1438="",E1438="!!!"),"",IF(NOT(ISNA(VLOOKUP(E1438,E$1:E1437,1,FALSE()))),"OLD",IF(AND(E1438&lt;&gt;"",E1438&lt;&gt;"!!!"),"NEW","")))</f>
        <v> </v>
      </c>
      <c r="G1438" s="24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5" t="str">
        <f>IF(J1438&lt;&gt;1,"",IF(I1438="SBJ","CB","?"))</f>
        <v> </v>
      </c>
      <c r="I1438" s="26" t="str">
        <f>IF(OR(E1438="",E1438="!!!",F1438="NEW"),"",INDEX(B1437:B$2,-1+SUMPRODUCT(MAX(ROW(E1437:E$2)*(E1438=E1437:E$2)))))</f>
        <v> </v>
      </c>
      <c r="J1438" s="26" t="str">
        <f>IF(OR(E1438="",E1438="!!!",F1438="NEW"),"",COUNTBLANK(OFFSET(A$1,,,SUMPRODUCT(MAX(ROW(E$2:E1438)*(E1438=E$2:E1438)))))-COUNTBLANK(OFFSET(A$1,,,SUMPRODUCT(MAX(ROW(E$1:E1437)*(E2=E$1:E1437))))))</f>
        <v> </v>
      </c>
      <c r="K1438" s="26" t="str">
        <f>IF(OR(E1438="",E1438="!!!",F1438="NEW"),"",INDEX(J$1:J1437,SUMPRODUCT(MAX(ROW(E$1:E1437)*(E1438=E$1:E1437)))))</f>
        <v> </v>
      </c>
      <c r="L1438" s="27"/>
    </row>
    <row r="1439" spans="1:12">
      <c r="A1439" s="20" t="s">
        <v>662</v>
      </c>
      <c r="E1439" s="22">
        <f>IF(D1439="?OLD","!!!","")</f>
        <v/>
      </c>
      <c r="F1439" s="23" t="str">
        <f>IF(OR(E1439="",E1439="!!!"),"",IF(NOT(ISNA(VLOOKUP(E1439,E$1:E1438,1,FALSE()))),"OLD",IF(AND(E1439&lt;&gt;"",E1439&lt;&gt;"!!!"),"NEW","")))</f>
        <v> </v>
      </c>
      <c r="G1439" s="24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5" t="str">
        <f>IF(J1439&lt;&gt;1,"",IF(I1439="SBJ","CB","?"))</f>
        <v> </v>
      </c>
      <c r="I1439" s="26" t="str">
        <f>IF(OR(E1439="",E1439="!!!",F1439="NEW"),"",INDEX(B1438:B$2,-1+SUMPRODUCT(MAX(ROW(E1438:E$2)*(E1439=E1438:E$2)))))</f>
        <v> </v>
      </c>
      <c r="J1439" s="26" t="str">
        <f>IF(OR(E1439="",E1439="!!!",F1439="NEW"),"",COUNTBLANK(OFFSET(A$1,,,SUMPRODUCT(MAX(ROW(E$2:E1439)*(E1439=E$2:E1439)))))-COUNTBLANK(OFFSET(A$1,,,SUMPRODUCT(MAX(ROW(E$1:E1438)*(E2=E$1:E1438))))))</f>
        <v> </v>
      </c>
      <c r="K1439" s="26" t="str">
        <f>IF(OR(E1439="",E1439="!!!",F1439="NEW"),"",INDEX(J$1:J1438,SUMPRODUCT(MAX(ROW(E$1:E1438)*(E1439=E$1:E1438)))))</f>
        <v> </v>
      </c>
      <c r="L1439" s="27"/>
    </row>
    <row r="1440" spans="1:12">
      <c r="A1440" s="20" t="s">
        <v>864</v>
      </c>
      <c r="B1440" s="21" t="s">
        <v>640</v>
      </c>
      <c r="C1440" s="21" t="s">
        <v>723</v>
      </c>
      <c r="D1440" s="21" t="s">
        <v>603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611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 t="s">
        <v>658</v>
      </c>
      <c r="E1442" s="22">
        <f>IF(D1442="?OLD","!!!","")</f>
        <v/>
      </c>
      <c r="F1442" s="23" t="str">
        <f>IF(OR(E1442="",E1442="!!!"),"",IF(NOT(ISNA(VLOOKUP(E1442,E$1:E1441,1,FALSE()))),"OLD",IF(AND(E1442&lt;&gt;"",E1442&lt;&gt;"!!!"),"NEW","")))</f>
        <v> </v>
      </c>
      <c r="G1442" s="24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5" t="str">
        <f>IF(J1442&lt;&gt;1,"",IF(I1442="SBJ","CB","?"))</f>
        <v> </v>
      </c>
      <c r="I1442" s="26" t="str">
        <f>IF(OR(E1442="",E1442="!!!",F1442="NEW"),"",INDEX(B1441:B$2,-1+SUMPRODUCT(MAX(ROW(E1441:E$2)*(E1442=E1441:E$2)))))</f>
        <v> </v>
      </c>
      <c r="J1442" s="26" t="str">
        <f>IF(OR(E1442="",E1442="!!!",F1442="NEW"),"",COUNTBLANK(OFFSET(A$1,,,SUMPRODUCT(MAX(ROW(E$2:E1442)*(E1442=E$2:E1442)))))-COUNTBLANK(OFFSET(A$1,,,SUMPRODUCT(MAX(ROW(E$1:E1441)*(E2=E$1:E1441))))))</f>
        <v> </v>
      </c>
      <c r="K1442" s="26" t="str">
        <f>IF(OR(E1442="",E1442="!!!",F1442="NEW"),"",INDEX(J$1:J1441,SUMPRODUCT(MAX(ROW(E$1:E1441)*(E1442=E$1:E1441)))))</f>
        <v> </v>
      </c>
      <c r="L1442" s="27"/>
    </row>
    <row r="1443" spans="1:12">
      <c r="A1443" s="20" t="s">
        <v>1363</v>
      </c>
      <c r="B1443" s="21" t="s">
        <v>659</v>
      </c>
      <c r="E1443" s="22">
        <f>IF(D1443="?OLD","!!!","")</f>
        <v/>
      </c>
      <c r="F1443" s="23" t="str">
        <f>IF(OR(E1443="",E1443="!!!"),"",IF(NOT(ISNA(VLOOKUP(E1443,E$1:E1442,1,FALSE()))),"OLD",IF(AND(E1443&lt;&gt;"",E1443&lt;&gt;"!!!"),"NEW","")))</f>
        <v> </v>
      </c>
      <c r="G1443" s="24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5" t="str">
        <f>IF(J1443&lt;&gt;1,"",IF(I1443="SBJ","CB","?"))</f>
        <v> </v>
      </c>
      <c r="I1443" s="26" t="str">
        <f>IF(OR(E1443="",E1443="!!!",F1443="NEW"),"",INDEX(B1442:B$2,-1+SUMPRODUCT(MAX(ROW(E1442:E$2)*(E1443=E1442:E$2)))))</f>
        <v> </v>
      </c>
      <c r="J1443" s="26" t="str">
        <f>IF(OR(E1443="",E1443="!!!",F1443="NEW"),"",COUNTBLANK(OFFSET(A$1,,,SUMPRODUCT(MAX(ROW(E$2:E1443)*(E1443=E$2:E1443)))))-COUNTBLANK(OFFSET(A$1,,,SUMPRODUCT(MAX(ROW(E$1:E1442)*(E2=E$1:E1442))))))</f>
        <v> </v>
      </c>
      <c r="K1443" s="26" t="str">
        <f>IF(OR(E1443="",E1443="!!!",F1443="NEW"),"",INDEX(J$1:J1442,SUMPRODUCT(MAX(ROW(E$1:E1442)*(E1443=E$1:E1442)))))</f>
        <v> </v>
      </c>
      <c r="L1443" s="27"/>
    </row>
    <row r="1444" spans="1:12">
      <c r="A1444" s="20" t="s">
        <v>1364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 t="s">
        <v>164</v>
      </c>
      <c r="E1445" s="22">
        <f>IF(D1445="?OLD","!!!","")</f>
        <v/>
      </c>
      <c r="F1445" s="23" t="str">
        <f>IF(OR(E1445="",E1445="!!!"),"",IF(NOT(ISNA(VLOOKUP(E1445,E$1:E1444,1,FALSE()))),"OLD",IF(AND(E1445&lt;&gt;"",E1445&lt;&gt;"!!!"),"NEW","")))</f>
        <v> </v>
      </c>
      <c r="G1445" s="24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5" t="str">
        <f>IF(J1445&lt;&gt;1,"",IF(I1445="SBJ","CB","?"))</f>
        <v> </v>
      </c>
      <c r="I1445" s="26" t="str">
        <f>IF(OR(E1445="",E1445="!!!",F1445="NEW"),"",INDEX(B1444:B$2,-1+SUMPRODUCT(MAX(ROW(E1444:E$2)*(E1445=E1444:E$2)))))</f>
        <v> </v>
      </c>
      <c r="J1445" s="26" t="str">
        <f>IF(OR(E1445="",E1445="!!!",F1445="NEW"),"",COUNTBLANK(OFFSET(A$1,,,SUMPRODUCT(MAX(ROW(E$2:E1445)*(E1445=E$2:E1445)))))-COUNTBLANK(OFFSET(A$1,,,SUMPRODUCT(MAX(ROW(E$1:E1444)*(E2=E$1:E1444))))))</f>
        <v> </v>
      </c>
      <c r="K1445" s="26" t="str">
        <f>IF(OR(E1445="",E1445="!!!",F1445="NEW"),"",INDEX(J$1:J1444,SUMPRODUCT(MAX(ROW(E$1:E1444)*(E1445=E$1:E1444)))))</f>
        <v> </v>
      </c>
      <c r="L1445" s="27"/>
    </row>
    <row r="1446" spans="1:12">
      <c r="A1446" s="20" t="s">
        <v>646</v>
      </c>
      <c r="E1446" s="22">
        <f>IF(D1446="?OLD","!!!","")</f>
        <v/>
      </c>
      <c r="F1446" s="23" t="str">
        <f>IF(OR(E1446="",E1446="!!!"),"",IF(NOT(ISNA(VLOOKUP(E1446,E$1:E1445,1,FALSE()))),"OLD",IF(AND(E1446&lt;&gt;"",E1446&lt;&gt;"!!!"),"NEW","")))</f>
        <v> </v>
      </c>
      <c r="G1446" s="24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5" t="str">
        <f>IF(J1446&lt;&gt;1,"",IF(I1446="SBJ","CB","?"))</f>
        <v> </v>
      </c>
      <c r="I1446" s="26" t="str">
        <f>IF(OR(E1446="",E1446="!!!",F1446="NEW"),"",INDEX(B1445:B$2,-1+SUMPRODUCT(MAX(ROW(E1445:E$2)*(E1446=E1445:E$2)))))</f>
        <v> </v>
      </c>
      <c r="J1446" s="26" t="str">
        <f>IF(OR(E1446="",E1446="!!!",F1446="NEW"),"",COUNTBLANK(OFFSET(A$1,,,SUMPRODUCT(MAX(ROW(E$2:E1446)*(E1446=E$2:E1446)))))-COUNTBLANK(OFFSET(A$1,,,SUMPRODUCT(MAX(ROW(E$1:E1445)*(E2=E$1:E1445))))))</f>
        <v> </v>
      </c>
      <c r="K1446" s="26" t="str">
        <f>IF(OR(E1446="",E1446="!!!",F1446="NEW"),"",INDEX(J$1:J1445,SUMPRODUCT(MAX(ROW(E$1:E1445)*(E1446=E$1:E1445)))))</f>
        <v> </v>
      </c>
      <c r="L1446" s="27"/>
    </row>
    <row r="1447" spans="1:12">
      <c r="A1447" s="20" t="s">
        <v>407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 t="s">
        <v>1365</v>
      </c>
      <c r="E1448" s="22">
        <f>IF(D1448="?OLD","!!!","")</f>
        <v/>
      </c>
      <c r="F1448" s="23" t="str">
        <f>IF(OR(E1448="",E1448="!!!"),"",IF(NOT(ISNA(VLOOKUP(E1448,E$1:E1447,1,FALSE()))),"OLD",IF(AND(E1448&lt;&gt;"",E1448&lt;&gt;"!!!"),"NEW","")))</f>
        <v> </v>
      </c>
      <c r="G1448" s="24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5" t="str">
        <f>IF(J1448&lt;&gt;1,"",IF(I1448="SBJ","CB","?"))</f>
        <v> </v>
      </c>
      <c r="I1448" s="26" t="str">
        <f>IF(OR(E1448="",E1448="!!!",F1448="NEW"),"",INDEX(B1447:B$2,-1+SUMPRODUCT(MAX(ROW(E1447:E$2)*(E1448=E1447:E$2)))))</f>
        <v> </v>
      </c>
      <c r="J1448" s="26" t="str">
        <f>IF(OR(E1448="",E1448="!!!",F1448="NEW"),"",COUNTBLANK(OFFSET(A$1,,,SUMPRODUCT(MAX(ROW(E$2:E1448)*(E1448=E$2:E1448)))))-COUNTBLANK(OFFSET(A$1,,,SUMPRODUCT(MAX(ROW(E$1:E1447)*(E2=E$1:E1447))))))</f>
        <v> </v>
      </c>
      <c r="K1448" s="26" t="str">
        <f>IF(OR(E1448="",E1448="!!!",F1448="NEW"),"",INDEX(J$1:J1447,SUMPRODUCT(MAX(ROW(E$1:E1447)*(E1448=E$1:E1447)))))</f>
        <v> </v>
      </c>
      <c r="L1448" s="27"/>
    </row>
    <row r="1449" spans="1:12">
      <c r="A1449" s="20" t="s">
        <v>824</v>
      </c>
      <c r="B1449" s="21" t="s">
        <v>815</v>
      </c>
      <c r="C1449" s="21" t="s">
        <v>602</v>
      </c>
      <c r="D1449" s="21" t="s">
        <v>603</v>
      </c>
      <c r="E1449" s="22">
        <f>IF(D1449="?OLD","!!!","")</f>
        <v/>
      </c>
      <c r="F1449" s="23" t="str">
        <f>IF(OR(E1449="",E1449="!!!"),"",IF(NOT(ISNA(VLOOKUP(E1449,E$1:E1448,1,FALSE()))),"OLD",IF(AND(E1449&lt;&gt;"",E1449&lt;&gt;"!!!"),"NEW","")))</f>
        <v> </v>
      </c>
      <c r="G1449" s="24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5" t="str">
        <f>IF(J1449&lt;&gt;1,"",IF(I1449="SBJ","CB","?"))</f>
        <v> </v>
      </c>
      <c r="I1449" s="26" t="str">
        <f>IF(OR(E1449="",E1449="!!!",F1449="NEW"),"",INDEX(B1448:B$2,-1+SUMPRODUCT(MAX(ROW(E1448:E$2)*(E1449=E1448:E$2)))))</f>
        <v> </v>
      </c>
      <c r="J1449" s="26" t="str">
        <f>IF(OR(E1449="",E1449="!!!",F1449="NEW"),"",COUNTBLANK(OFFSET(A$1,,,SUMPRODUCT(MAX(ROW(E$2:E1449)*(E1449=E$2:E1449)))))-COUNTBLANK(OFFSET(A$1,,,SUMPRODUCT(MAX(ROW(E$1:E1448)*(E2=E$1:E1448))))))</f>
        <v> </v>
      </c>
      <c r="K1449" s="26" t="str">
        <f>IF(OR(E1449="",E1449="!!!",F1449="NEW"),"",INDEX(J$1:J1448,SUMPRODUCT(MAX(ROW(E$1:E1448)*(E1449=E$1:E1448)))))</f>
        <v> </v>
      </c>
      <c r="L1449" s="27"/>
    </row>
    <row r="1450" spans="1:12">
      <c r="A1450" s="20" t="s">
        <v>662</v>
      </c>
      <c r="E1450" s="22">
        <f>IF(D1450="?OLD","!!!","")</f>
        <v/>
      </c>
      <c r="F1450" s="23" t="str">
        <f>IF(OR(E1450="",E1450="!!!"),"",IF(NOT(ISNA(VLOOKUP(E1450,E$1:E1449,1,FALSE()))),"OLD",IF(AND(E1450&lt;&gt;"",E1450&lt;&gt;"!!!"),"NEW","")))</f>
        <v> </v>
      </c>
      <c r="G1450" s="24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5" t="str">
        <f>IF(J1450&lt;&gt;1,"",IF(I1450="SBJ","CB","?"))</f>
        <v> </v>
      </c>
      <c r="I1450" s="26" t="str">
        <f>IF(OR(E1450="",E1450="!!!",F1450="NEW"),"",INDEX(B1449:B$2,-1+SUMPRODUCT(MAX(ROW(E1449:E$2)*(E1450=E1449:E$2)))))</f>
        <v> </v>
      </c>
      <c r="J1450" s="26" t="str">
        <f>IF(OR(E1450="",E1450="!!!",F1450="NEW"),"",COUNTBLANK(OFFSET(A$1,,,SUMPRODUCT(MAX(ROW(E$2:E1450)*(E1450=E$2:E1450)))))-COUNTBLANK(OFFSET(A$1,,,SUMPRODUCT(MAX(ROW(E$1:E1449)*(E2=E$1:E1449))))))</f>
        <v> </v>
      </c>
      <c r="K1450" s="26" t="str">
        <f>IF(OR(E1450="",E1450="!!!",F1450="NEW"),"",INDEX(J$1:J1449,SUMPRODUCT(MAX(ROW(E$1:E1449)*(E1450=E$1:E1449)))))</f>
        <v> </v>
      </c>
      <c r="L1450" s="27"/>
    </row>
    <row r="1451" spans="1:12">
      <c r="A1451" s="20" t="s">
        <v>1366</v>
      </c>
      <c r="E1451" s="22">
        <f>IF(D1451="?OLD","!!!","")</f>
        <v/>
      </c>
      <c r="F1451" s="23" t="str">
        <f>IF(OR(E1451="",E1451="!!!"),"",IF(NOT(ISNA(VLOOKUP(E1451,E$1:E1450,1,FALSE()))),"OLD",IF(AND(E1451&lt;&gt;"",E1451&lt;&gt;"!!!"),"NEW","")))</f>
        <v> </v>
      </c>
      <c r="G1451" s="24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5" t="str">
        <f>IF(J1451&lt;&gt;1,"",IF(I1451="SBJ","CB","?"))</f>
        <v> </v>
      </c>
      <c r="I1451" s="26" t="str">
        <f>IF(OR(E1451="",E1451="!!!",F1451="NEW"),"",INDEX(B1450:B$2,-1+SUMPRODUCT(MAX(ROW(E1450:E$2)*(E1451=E1450:E$2)))))</f>
        <v> </v>
      </c>
      <c r="J1451" s="26" t="str">
        <f>IF(OR(E1451="",E1451="!!!",F1451="NEW"),"",COUNTBLANK(OFFSET(A$1,,,SUMPRODUCT(MAX(ROW(E$2:E1451)*(E1451=E$2:E1451)))))-COUNTBLANK(OFFSET(A$1,,,SUMPRODUCT(MAX(ROW(E$1:E1450)*(E2=E$1:E1450))))))</f>
        <v> </v>
      </c>
      <c r="K1451" s="26" t="str">
        <f>IF(OR(E1451="",E1451="!!!",F1451="NEW"),"",INDEX(J$1:J1450,SUMPRODUCT(MAX(ROW(E$1:E1450)*(E1451=E$1:E1450)))))</f>
        <v> </v>
      </c>
      <c r="L1451" s="27"/>
    </row>
    <row r="1452" spans="1:12">
      <c r="A1452" s="20" t="s">
        <v>611</v>
      </c>
      <c r="E1452" s="22">
        <f>IF(D1452="?OLD","!!!","")</f>
        <v/>
      </c>
      <c r="F1452" s="23" t="str">
        <f>IF(OR(E1452="",E1452="!!!"),"",IF(NOT(ISNA(VLOOKUP(E1452,E$1:E1451,1,FALSE()))),"OLD",IF(AND(E1452&lt;&gt;"",E1452&lt;&gt;"!!!"),"NEW","")))</f>
        <v> </v>
      </c>
      <c r="G1452" s="24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5" t="str">
        <f>IF(J1452&lt;&gt;1,"",IF(I1452="SBJ","CB","?"))</f>
        <v> </v>
      </c>
      <c r="I1452" s="26" t="str">
        <f>IF(OR(E1452="",E1452="!!!",F1452="NEW"),"",INDEX(B1451:B$2,-1+SUMPRODUCT(MAX(ROW(E1451:E$2)*(E1452=E1451:E$2)))))</f>
        <v> </v>
      </c>
      <c r="J1452" s="26" t="str">
        <f>IF(OR(E1452="",E1452="!!!",F1452="NEW"),"",COUNTBLANK(OFFSET(A$1,,,SUMPRODUCT(MAX(ROW(E$2:E1452)*(E1452=E$2:E1452)))))-COUNTBLANK(OFFSET(A$1,,,SUMPRODUCT(MAX(ROW(E$1:E1451)*(E2=E$1:E1451))))))</f>
        <v> </v>
      </c>
      <c r="K1452" s="26" t="str">
        <f>IF(OR(E1452="",E1452="!!!",F1452="NEW"),"",INDEX(J$1:J1451,SUMPRODUCT(MAX(ROW(E$1:E1451)*(E1452=E$1:E1451)))))</f>
        <v> </v>
      </c>
      <c r="L1452" s="27"/>
    </row>
    <row r="1453" spans="1:12">
      <c r="A1453" s="20" t="s">
        <v>823</v>
      </c>
      <c r="B1453" s="21" t="s">
        <v>1121</v>
      </c>
      <c r="C1453" s="21" t="s">
        <v>614</v>
      </c>
      <c r="E1453" s="22">
        <f>IF(D1453="?OLD","!!!","")</f>
        <v/>
      </c>
      <c r="F1453" s="23" t="str">
        <f>IF(OR(E1453="",E1453="!!!"),"",IF(NOT(ISNA(VLOOKUP(E1453,E$1:E1452,1,FALSE()))),"OLD",IF(AND(E1453&lt;&gt;"",E1453&lt;&gt;"!!!"),"NEW","")))</f>
        <v> </v>
      </c>
      <c r="G1453" s="24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5" t="str">
        <f>IF(J1453&lt;&gt;1,"",IF(I1453="SBJ","CB","?"))</f>
        <v> </v>
      </c>
      <c r="I1453" s="26" t="str">
        <f>IF(OR(E1453="",E1453="!!!",F1453="NEW"),"",INDEX(B1452:B$2,-1+SUMPRODUCT(MAX(ROW(E1452:E$2)*(E1453=E1452:E$2)))))</f>
        <v> </v>
      </c>
      <c r="J1453" s="26" t="str">
        <f>IF(OR(E1453="",E1453="!!!",F1453="NEW"),"",COUNTBLANK(OFFSET(A$1,,,SUMPRODUCT(MAX(ROW(E$2:E1453)*(E1453=E$2:E1453)))))-COUNTBLANK(OFFSET(A$1,,,SUMPRODUCT(MAX(ROW(E$1:E1452)*(E2=E$1:E1452))))))</f>
        <v> </v>
      </c>
      <c r="K1453" s="26" t="str">
        <f>IF(OR(E1453="",E1453="!!!",F1453="NEW"),"",INDEX(J$1:J1452,SUMPRODUCT(MAX(ROW(E$1:E1452)*(E1453=E$1:E1452)))))</f>
        <v> </v>
      </c>
      <c r="L1453" s="27"/>
    </row>
    <row r="1454" spans="1:12">
      <c r="A1454" s="20" t="s">
        <v>615</v>
      </c>
      <c r="B1454" s="21" t="s">
        <v>1367</v>
      </c>
      <c r="C1454" s="21" t="s">
        <v>602</v>
      </c>
      <c r="D1454" s="21" t="s">
        <v>603</v>
      </c>
      <c r="E1454" s="22">
        <f>IF(D1454="?OLD","!!!","")</f>
        <v/>
      </c>
      <c r="F1454" s="23" t="str">
        <f>IF(OR(E1454="",E1454="!!!"),"",IF(NOT(ISNA(VLOOKUP(E1454,E$1:E1453,1,FALSE()))),"OLD",IF(AND(E1454&lt;&gt;"",E1454&lt;&gt;"!!!"),"NEW","")))</f>
        <v> </v>
      </c>
      <c r="G1454" s="24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5" t="str">
        <f>IF(J1454&lt;&gt;1,"",IF(I1454="SBJ","CB","?"))</f>
        <v> </v>
      </c>
      <c r="I1454" s="26" t="str">
        <f>IF(OR(E1454="",E1454="!!!",F1454="NEW"),"",INDEX(B1453:B$2,-1+SUMPRODUCT(MAX(ROW(E1453:E$2)*(E1454=E1453:E$2)))))</f>
        <v> </v>
      </c>
      <c r="J1454" s="26" t="str">
        <f>IF(OR(E1454="",E1454="!!!",F1454="NEW"),"",COUNTBLANK(OFFSET(A$1,,,SUMPRODUCT(MAX(ROW(E$2:E1454)*(E1454=E$2:E1454)))))-COUNTBLANK(OFFSET(A$1,,,SUMPRODUCT(MAX(ROW(E$1:E1453)*(E2=E$1:E1453))))))</f>
        <v> </v>
      </c>
      <c r="K1454" s="26" t="str">
        <f>IF(OR(E1454="",E1454="!!!",F1454="NEW"),"",INDEX(J$1:J1453,SUMPRODUCT(MAX(ROW(E$1:E1453)*(E1454=E$1:E1453)))))</f>
        <v> </v>
      </c>
      <c r="L1454" s="27"/>
    </row>
    <row r="1455" spans="1:12">
      <c r="A1455" s="20" t="s">
        <v>1368</v>
      </c>
      <c r="B1455" s="21" t="s">
        <v>1121</v>
      </c>
      <c r="C1455" s="21" t="s">
        <v>602</v>
      </c>
      <c r="D1455" s="21" t="s">
        <v>603</v>
      </c>
      <c r="E1455" s="22">
        <f>IF(D1455="?OLD","!!!","")</f>
        <v/>
      </c>
      <c r="F1455" s="23" t="str">
        <f>IF(OR(E1455="",E1455="!!!"),"",IF(NOT(ISNA(VLOOKUP(E1455,E$1:E1454,1,FALSE()))),"OLD",IF(AND(E1455&lt;&gt;"",E1455&lt;&gt;"!!!"),"NEW","")))</f>
        <v> </v>
      </c>
      <c r="G1455" s="24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5" t="str">
        <f>IF(J1455&lt;&gt;1,"",IF(I1455="SBJ","CB","?"))</f>
        <v> </v>
      </c>
      <c r="I1455" s="26" t="str">
        <f>IF(OR(E1455="",E1455="!!!",F1455="NEW"),"",INDEX(B1454:B$2,-1+SUMPRODUCT(MAX(ROW(E1454:E$2)*(E1455=E1454:E$2)))))</f>
        <v> </v>
      </c>
      <c r="J1455" s="26" t="str">
        <f>IF(OR(E1455="",E1455="!!!",F1455="NEW"),"",COUNTBLANK(OFFSET(A$1,,,SUMPRODUCT(MAX(ROW(E$2:E1455)*(E1455=E$2:E1455)))))-COUNTBLANK(OFFSET(A$1,,,SUMPRODUCT(MAX(ROW(E$1:E1454)*(E2=E$1:E1454))))))</f>
        <v> </v>
      </c>
      <c r="K1455" s="26" t="str">
        <f>IF(OR(E1455="",E1455="!!!",F1455="NEW"),"",INDEX(J$1:J1454,SUMPRODUCT(MAX(ROW(E$1:E1454)*(E1455=E$1:E1454)))))</f>
        <v> </v>
      </c>
      <c r="L1455" s="27"/>
    </row>
    <row r="1456" spans="1:12">
      <c r="A1456" s="20" t="s">
        <v>1369</v>
      </c>
      <c r="E1456" s="22">
        <f>IF(D1456="?OLD","!!!","")</f>
        <v/>
      </c>
      <c r="F1456" s="23" t="str">
        <f>IF(OR(E1456="",E1456="!!!"),"",IF(NOT(ISNA(VLOOKUP(E1456,E$1:E1455,1,FALSE()))),"OLD",IF(AND(E1456&lt;&gt;"",E1456&lt;&gt;"!!!"),"NEW","")))</f>
        <v> </v>
      </c>
      <c r="G1456" s="24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5" t="str">
        <f>IF(J1456&lt;&gt;1,"",IF(I1456="SBJ","CB","?"))</f>
        <v> </v>
      </c>
      <c r="I1456" s="26" t="str">
        <f>IF(OR(E1456="",E1456="!!!",F1456="NEW"),"",INDEX(B1455:B$2,-1+SUMPRODUCT(MAX(ROW(E1455:E$2)*(E1456=E1455:E$2)))))</f>
        <v> </v>
      </c>
      <c r="J1456" s="26" t="str">
        <f>IF(OR(E1456="",E1456="!!!",F1456="NEW"),"",COUNTBLANK(OFFSET(A$1,,,SUMPRODUCT(MAX(ROW(E$2:E1456)*(E1456=E$2:E1456)))))-COUNTBLANK(OFFSET(A$1,,,SUMPRODUCT(MAX(ROW(E$1:E1455)*(E2=E$1:E1455))))))</f>
        <v> </v>
      </c>
      <c r="K1456" s="26" t="str">
        <f>IF(OR(E1456="",E1456="!!!",F1456="NEW"),"",INDEX(J$1:J1455,SUMPRODUCT(MAX(ROW(E$1:E1455)*(E1456=E$1:E1455)))))</f>
        <v> </v>
      </c>
      <c r="L1456" s="27"/>
    </row>
    <row r="1457" spans="1:12">
      <c r="A1457" s="20" t="s">
        <v>633</v>
      </c>
      <c r="E1457" s="22">
        <f>IF(D1457="?OLD","!!!","")</f>
        <v/>
      </c>
      <c r="F1457" s="23" t="str">
        <f>IF(OR(E1457="",E1457="!!!"),"",IF(NOT(ISNA(VLOOKUP(E1457,E$1:E1456,1,FALSE()))),"OLD",IF(AND(E1457&lt;&gt;"",E1457&lt;&gt;"!!!"),"NEW","")))</f>
        <v> </v>
      </c>
      <c r="G1457" s="24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5" t="str">
        <f>IF(J1457&lt;&gt;1,"",IF(I1457="SBJ","CB","?"))</f>
        <v> </v>
      </c>
      <c r="I1457" s="26" t="str">
        <f>IF(OR(E1457="",E1457="!!!",F1457="NEW"),"",INDEX(B1456:B$2,-1+SUMPRODUCT(MAX(ROW(E1456:E$2)*(E1457=E1456:E$2)))))</f>
        <v> </v>
      </c>
      <c r="J1457" s="26" t="str">
        <f>IF(OR(E1457="",E1457="!!!",F1457="NEW"),"",COUNTBLANK(OFFSET(A$1,,,SUMPRODUCT(MAX(ROW(E$2:E1457)*(E1457=E$2:E1457)))))-COUNTBLANK(OFFSET(A$1,,,SUMPRODUCT(MAX(ROW(E$1:E1456)*(E2=E$1:E1456))))))</f>
        <v> </v>
      </c>
      <c r="K1457" s="26" t="str">
        <f>IF(OR(E1457="",E1457="!!!",F1457="NEW"),"",INDEX(J$1:J1456,SUMPRODUCT(MAX(ROW(E$1:E1456)*(E1457=E$1:E1456)))))</f>
        <v> </v>
      </c>
      <c r="L1457" s="27"/>
    </row>
    <row r="1458" spans="1:12">
      <c r="A1458" s="20"/>
    </row>
    <row r="1459" spans="1:12">
      <c r="A1459" s="20" t="s">
        <v>1370</v>
      </c>
    </row>
    <row r="1460" spans="1:12">
      <c r="A1460" s="20" t="s">
        <v>1371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1372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1373</v>
      </c>
      <c r="B1462" s="21" t="s">
        <v>640</v>
      </c>
      <c r="C1462" s="21" t="s">
        <v>621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 t="s">
        <v>259</v>
      </c>
      <c r="E1463" s="22">
        <f>IF(D1463="?OLD","!!!","")</f>
        <v/>
      </c>
      <c r="F1463" s="23" t="str">
        <f>IF(OR(E1463="",E1463="!!!"),"",IF(NOT(ISNA(VLOOKUP(E1463,E$1:E1462,1,FALSE()))),"OLD",IF(AND(E1463&lt;&gt;"",E1463&lt;&gt;"!!!"),"NEW","")))</f>
        <v> </v>
      </c>
      <c r="G1463" s="24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5" t="str">
        <f>IF(J1463&lt;&gt;1,"",IF(I1463="SBJ","CB","?"))</f>
        <v> </v>
      </c>
      <c r="I1463" s="26" t="str">
        <f>IF(OR(E1463="",E1463="!!!",F1463="NEW"),"",INDEX(B1462:B$2,-1+SUMPRODUCT(MAX(ROW(E1462:E$2)*(E1463=E1462:E$2)))))</f>
        <v> </v>
      </c>
      <c r="J1463" s="26" t="str">
        <f>IF(OR(E1463="",E1463="!!!",F1463="NEW"),"",COUNTBLANK(OFFSET(A$1,,,SUMPRODUCT(MAX(ROW(E$2:E1463)*(E1463=E$2:E1463)))))-COUNTBLANK(OFFSET(A$1,,,SUMPRODUCT(MAX(ROW(E$1:E1462)*(E2=E$1:E1462))))))</f>
        <v> </v>
      </c>
      <c r="K1463" s="26" t="str">
        <f>IF(OR(E1463="",E1463="!!!",F1463="NEW"),"",INDEX(J$1:J1462,SUMPRODUCT(MAX(ROW(E$1:E1462)*(E1463=E$1:E1462)))))</f>
        <v> </v>
      </c>
      <c r="L1463" s="27"/>
    </row>
    <row r="1464" spans="1:12">
      <c r="A1464" s="20" t="s">
        <v>1374</v>
      </c>
      <c r="E1464" s="22">
        <f>IF(D1464="?OLD","!!!","")</f>
        <v/>
      </c>
      <c r="F1464" s="23" t="str">
        <f>IF(OR(E1464="",E1464="!!!"),"",IF(NOT(ISNA(VLOOKUP(E1464,E$1:E1463,1,FALSE()))),"OLD",IF(AND(E1464&lt;&gt;"",E1464&lt;&gt;"!!!"),"NEW","")))</f>
        <v> </v>
      </c>
      <c r="G1464" s="24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5" t="str">
        <f>IF(J1464&lt;&gt;1,"",IF(I1464="SBJ","CB","?"))</f>
        <v> </v>
      </c>
      <c r="I1464" s="26" t="str">
        <f>IF(OR(E1464="",E1464="!!!",F1464="NEW"),"",INDEX(B1463:B$2,-1+SUMPRODUCT(MAX(ROW(E1463:E$2)*(E1464=E1463:E$2)))))</f>
        <v> </v>
      </c>
      <c r="J1464" s="26" t="str">
        <f>IF(OR(E1464="",E1464="!!!",F1464="NEW"),"",COUNTBLANK(OFFSET(A$1,,,SUMPRODUCT(MAX(ROW(E$2:E1464)*(E1464=E$2:E1464)))))-COUNTBLANK(OFFSET(A$1,,,SUMPRODUCT(MAX(ROW(E$1:E1463)*(E2=E$1:E1463))))))</f>
        <v> </v>
      </c>
      <c r="K1464" s="26" t="str">
        <f>IF(OR(E1464="",E1464="!!!",F1464="NEW"),"",INDEX(J$1:J1463,SUMPRODUCT(MAX(ROW(E$1:E1463)*(E1464=E$1:E1463)))))</f>
        <v> </v>
      </c>
      <c r="L1464" s="27"/>
    </row>
    <row r="1465" spans="1:12">
      <c r="A1465" s="20" t="s">
        <v>866</v>
      </c>
      <c r="B1465" s="21" t="s">
        <v>652</v>
      </c>
      <c r="E1465" s="22">
        <f>IF(D1465="?OLD","!!!","")</f>
        <v/>
      </c>
      <c r="F1465" s="23" t="str">
        <f>IF(OR(E1465="",E1465="!!!"),"",IF(NOT(ISNA(VLOOKUP(E1465,E$1:E1464,1,FALSE()))),"OLD",IF(AND(E1465&lt;&gt;"",E1465&lt;&gt;"!!!"),"NEW","")))</f>
        <v> </v>
      </c>
      <c r="G1465" s="24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5" t="str">
        <f>IF(J1465&lt;&gt;1,"",IF(I1465="SBJ","CB","?"))</f>
        <v> </v>
      </c>
      <c r="I1465" s="26" t="str">
        <f>IF(OR(E1465="",E1465="!!!",F1465="NEW"),"",INDEX(B1464:B$2,-1+SUMPRODUCT(MAX(ROW(E1464:E$2)*(E1465=E1464:E$2)))))</f>
        <v> </v>
      </c>
      <c r="J1465" s="26" t="str">
        <f>IF(OR(E1465="",E1465="!!!",F1465="NEW"),"",COUNTBLANK(OFFSET(A$1,,,SUMPRODUCT(MAX(ROW(E$2:E1465)*(E1465=E$2:E1465)))))-COUNTBLANK(OFFSET(A$1,,,SUMPRODUCT(MAX(ROW(E$1:E1464)*(E2=E$1:E1464))))))</f>
        <v> </v>
      </c>
      <c r="K1465" s="26" t="str">
        <f>IF(OR(E1465="",E1465="!!!",F1465="NEW"),"",INDEX(J$1:J1464,SUMPRODUCT(MAX(ROW(E$1:E1464)*(E1465=E$1:E1464)))))</f>
        <v> </v>
      </c>
      <c r="L1465" s="27"/>
    </row>
    <row r="1466" spans="1:12">
      <c r="A1466" s="20" t="s">
        <v>611</v>
      </c>
      <c r="E1466" s="22">
        <f>IF(D1466="?OLD","!!!","")</f>
        <v/>
      </c>
      <c r="F1466" s="23" t="str">
        <f>IF(OR(E1466="",E1466="!!!"),"",IF(NOT(ISNA(VLOOKUP(E1466,E$1:E1465,1,FALSE()))),"OLD",IF(AND(E1466&lt;&gt;"",E1466&lt;&gt;"!!!"),"NEW","")))</f>
        <v> </v>
      </c>
      <c r="G1466" s="24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5" t="str">
        <f>IF(J1466&lt;&gt;1,"",IF(I1466="SBJ","CB","?"))</f>
        <v> </v>
      </c>
      <c r="I1466" s="26" t="str">
        <f>IF(OR(E1466="",E1466="!!!",F1466="NEW"),"",INDEX(B1465:B$2,-1+SUMPRODUCT(MAX(ROW(E1465:E$2)*(E1466=E1465:E$2)))))</f>
        <v> </v>
      </c>
      <c r="J1466" s="26" t="str">
        <f>IF(OR(E1466="",E1466="!!!",F1466="NEW"),"",COUNTBLANK(OFFSET(A$1,,,SUMPRODUCT(MAX(ROW(E$2:E1466)*(E1466=E$2:E1466)))))-COUNTBLANK(OFFSET(A$1,,,SUMPRODUCT(MAX(ROW(E$1:E1465)*(E2=E$1:E1465))))))</f>
        <v> </v>
      </c>
      <c r="K1466" s="26" t="str">
        <f>IF(OR(E1466="",E1466="!!!",F1466="NEW"),"",INDEX(J$1:J1465,SUMPRODUCT(MAX(ROW(E$1:E1465)*(E1466=E$1:E1465)))))</f>
        <v> </v>
      </c>
      <c r="L1466" s="27"/>
    </row>
    <row r="1467" spans="1:12">
      <c r="A1467" s="20" t="s">
        <v>907</v>
      </c>
      <c r="B1467" s="21" t="s">
        <v>636</v>
      </c>
      <c r="C1467" s="21" t="s">
        <v>602</v>
      </c>
      <c r="D1467" s="21" t="s">
        <v>603</v>
      </c>
      <c r="E1467" s="22">
        <f>IF(D1467="?OLD","!!!","")</f>
        <v/>
      </c>
      <c r="F1467" s="23" t="str">
        <f>IF(OR(E1467="",E1467="!!!"),"",IF(NOT(ISNA(VLOOKUP(E1467,E$1:E1466,1,FALSE()))),"OLD",IF(AND(E1467&lt;&gt;"",E1467&lt;&gt;"!!!"),"NEW","")))</f>
        <v> </v>
      </c>
      <c r="G1467" s="24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5" t="str">
        <f>IF(J1467&lt;&gt;1,"",IF(I1467="SBJ","CB","?"))</f>
        <v> </v>
      </c>
      <c r="I1467" s="26" t="str">
        <f>IF(OR(E1467="",E1467="!!!",F1467="NEW"),"",INDEX(B1466:B$2,-1+SUMPRODUCT(MAX(ROW(E1466:E$2)*(E1467=E1466:E$2)))))</f>
        <v> </v>
      </c>
      <c r="J1467" s="26" t="str">
        <f>IF(OR(E1467="",E1467="!!!",F1467="NEW"),"",COUNTBLANK(OFFSET(A$1,,,SUMPRODUCT(MAX(ROW(E$2:E1467)*(E1467=E$2:E1467)))))-COUNTBLANK(OFFSET(A$1,,,SUMPRODUCT(MAX(ROW(E$1:E1466)*(E2=E$1:E1466))))))</f>
        <v> </v>
      </c>
      <c r="K1467" s="26" t="str">
        <f>IF(OR(E1467="",E1467="!!!",F1467="NEW"),"",INDEX(J$1:J1466,SUMPRODUCT(MAX(ROW(E$1:E1466)*(E1467=E$1:E1466)))))</f>
        <v> </v>
      </c>
      <c r="L1467" s="27"/>
    </row>
    <row r="1468" spans="1:12">
      <c r="A1468" s="20" t="s">
        <v>1375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 t="s">
        <v>611</v>
      </c>
      <c r="E1469" s="22">
        <f>IF(D1469="?OLD","!!!","")</f>
        <v/>
      </c>
      <c r="F1469" s="23" t="str">
        <f>IF(OR(E1469="",E1469="!!!"),"",IF(NOT(ISNA(VLOOKUP(E1469,E$1:E1468,1,FALSE()))),"OLD",IF(AND(E1469&lt;&gt;"",E1469&lt;&gt;"!!!"),"NEW","")))</f>
        <v> </v>
      </c>
      <c r="G1469" s="24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5" t="str">
        <f>IF(J1469&lt;&gt;1,"",IF(I1469="SBJ","CB","?"))</f>
        <v> </v>
      </c>
      <c r="I1469" s="26" t="str">
        <f>IF(OR(E1469="",E1469="!!!",F1469="NEW"),"",INDEX(B1468:B$2,-1+SUMPRODUCT(MAX(ROW(E1468:E$2)*(E1469=E1468:E$2)))))</f>
        <v> </v>
      </c>
      <c r="J1469" s="26" t="str">
        <f>IF(OR(E1469="",E1469="!!!",F1469="NEW"),"",COUNTBLANK(OFFSET(A$1,,,SUMPRODUCT(MAX(ROW(E$2:E1469)*(E1469=E$2:E1469)))))-COUNTBLANK(OFFSET(A$1,,,SUMPRODUCT(MAX(ROW(E$1:E1468)*(E2=E$1:E1468))))))</f>
        <v> </v>
      </c>
      <c r="K1469" s="26" t="str">
        <f>IF(OR(E1469="",E1469="!!!",F1469="NEW"),"",INDEX(J$1:J1468,SUMPRODUCT(MAX(ROW(E$1:E1468)*(E1469=E$1:E1468)))))</f>
        <v> </v>
      </c>
      <c r="L1469" s="27"/>
    </row>
    <row r="1470" spans="1:12">
      <c r="A1470" s="20" t="s">
        <v>1376</v>
      </c>
      <c r="E1470" s="22">
        <f>IF(D1470="?OLD","!!!","")</f>
        <v/>
      </c>
      <c r="F1470" s="23" t="str">
        <f>IF(OR(E1470="",E1470="!!!"),"",IF(NOT(ISNA(VLOOKUP(E1470,E$1:E1469,1,FALSE()))),"OLD",IF(AND(E1470&lt;&gt;"",E1470&lt;&gt;"!!!"),"NEW","")))</f>
        <v> </v>
      </c>
      <c r="G1470" s="24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5" t="str">
        <f>IF(J1470&lt;&gt;1,"",IF(I1470="SBJ","CB","?"))</f>
        <v> </v>
      </c>
      <c r="I1470" s="26" t="str">
        <f>IF(OR(E1470="",E1470="!!!",F1470="NEW"),"",INDEX(B1469:B$2,-1+SUMPRODUCT(MAX(ROW(E1469:E$2)*(E1470=E1469:E$2)))))</f>
        <v> </v>
      </c>
      <c r="J1470" s="26" t="str">
        <f>IF(OR(E1470="",E1470="!!!",F1470="NEW"),"",COUNTBLANK(OFFSET(A$1,,,SUMPRODUCT(MAX(ROW(E$2:E1470)*(E1470=E$2:E1470)))))-COUNTBLANK(OFFSET(A$1,,,SUMPRODUCT(MAX(ROW(E$1:E1469)*(E2=E$1:E1469))))))</f>
        <v> </v>
      </c>
      <c r="K1470" s="26" t="str">
        <f>IF(OR(E1470="",E1470="!!!",F1470="NEW"),"",INDEX(J$1:J1469,SUMPRODUCT(MAX(ROW(E$1:E1469)*(E1470=E$1:E1469)))))</f>
        <v> </v>
      </c>
      <c r="L1470" s="27"/>
    </row>
    <row r="1471" spans="1:12">
      <c r="A1471" s="20" t="s">
        <v>607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 t="s">
        <v>1377</v>
      </c>
      <c r="E1472" s="22">
        <f>IF(D1472="?OLD","!!!","")</f>
        <v/>
      </c>
      <c r="F1472" s="23" t="str">
        <f>IF(OR(E1472="",E1472="!!!"),"",IF(NOT(ISNA(VLOOKUP(E1472,E$1:E1471,1,FALSE()))),"OLD",IF(AND(E1472&lt;&gt;"",E1472&lt;&gt;"!!!"),"NEW","")))</f>
        <v> </v>
      </c>
      <c r="G1472" s="24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5" t="str">
        <f>IF(J1472&lt;&gt;1,"",IF(I1472="SBJ","CB","?"))</f>
        <v> </v>
      </c>
      <c r="I1472" s="26" t="str">
        <f>IF(OR(E1472="",E1472="!!!",F1472="NEW"),"",INDEX(B1471:B$2,-1+SUMPRODUCT(MAX(ROW(E1471:E$2)*(E1472=E1471:E$2)))))</f>
        <v> </v>
      </c>
      <c r="J1472" s="26" t="str">
        <f>IF(OR(E1472="",E1472="!!!",F1472="NEW"),"",COUNTBLANK(OFFSET(A$1,,,SUMPRODUCT(MAX(ROW(E$2:E1472)*(E1472=E$2:E1472)))))-COUNTBLANK(OFFSET(A$1,,,SUMPRODUCT(MAX(ROW(E$1:E1471)*(E2=E$1:E1471))))))</f>
        <v> </v>
      </c>
      <c r="K1472" s="26" t="str">
        <f>IF(OR(E1472="",E1472="!!!",F1472="NEW"),"",INDEX(J$1:J1471,SUMPRODUCT(MAX(ROW(E$1:E1471)*(E1472=E$1:E1471)))))</f>
        <v> </v>
      </c>
      <c r="L1472" s="27"/>
    </row>
    <row r="1473" spans="1:12">
      <c r="A1473" s="20" t="s">
        <v>927</v>
      </c>
      <c r="B1473" s="21" t="s">
        <v>801</v>
      </c>
      <c r="C1473" s="21" t="s">
        <v>602</v>
      </c>
      <c r="D1473" s="21" t="s">
        <v>603</v>
      </c>
      <c r="E1473" s="22">
        <f>IF(D1473="?OLD","!!!","")</f>
        <v/>
      </c>
      <c r="F1473" s="23" t="str">
        <f>IF(OR(E1473="",E1473="!!!"),"",IF(NOT(ISNA(VLOOKUP(E1473,E$1:E1472,1,FALSE()))),"OLD",IF(AND(E1473&lt;&gt;"",E1473&lt;&gt;"!!!"),"NEW","")))</f>
        <v> </v>
      </c>
      <c r="G1473" s="24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5" t="str">
        <f>IF(J1473&lt;&gt;1,"",IF(I1473="SBJ","CB","?"))</f>
        <v> </v>
      </c>
      <c r="I1473" s="26" t="str">
        <f>IF(OR(E1473="",E1473="!!!",F1473="NEW"),"",INDEX(B1472:B$2,-1+SUMPRODUCT(MAX(ROW(E1472:E$2)*(E1473=E1472:E$2)))))</f>
        <v> </v>
      </c>
      <c r="J1473" s="26" t="str">
        <f>IF(OR(E1473="",E1473="!!!",F1473="NEW"),"",COUNTBLANK(OFFSET(A$1,,,SUMPRODUCT(MAX(ROW(E$2:E1473)*(E1473=E$2:E1473)))))-COUNTBLANK(OFFSET(A$1,,,SUMPRODUCT(MAX(ROW(E$1:E1472)*(E2=E$1:E1472))))))</f>
        <v> </v>
      </c>
      <c r="K1473" s="26" t="str">
        <f>IF(OR(E1473="",E1473="!!!",F1473="NEW"),"",INDEX(J$1:J1472,SUMPRODUCT(MAX(ROW(E$1:E1472)*(E1473=E$1:E1472)))))</f>
        <v> </v>
      </c>
      <c r="L1473" s="27"/>
    </row>
    <row r="1474" spans="1:12">
      <c r="A1474" s="20" t="s">
        <v>1378</v>
      </c>
      <c r="E1474" s="22">
        <f>IF(D1474="?OLD","!!!","")</f>
        <v/>
      </c>
      <c r="F1474" s="23" t="str">
        <f>IF(OR(E1474="",E1474="!!!"),"",IF(NOT(ISNA(VLOOKUP(E1474,E$1:E1473,1,FALSE()))),"OLD",IF(AND(E1474&lt;&gt;"",E1474&lt;&gt;"!!!"),"NEW","")))</f>
        <v> </v>
      </c>
      <c r="G1474" s="24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5" t="str">
        <f>IF(J1474&lt;&gt;1,"",IF(I1474="SBJ","CB","?"))</f>
        <v> </v>
      </c>
      <c r="I1474" s="26" t="str">
        <f>IF(OR(E1474="",E1474="!!!",F1474="NEW"),"",INDEX(B1473:B$2,-1+SUMPRODUCT(MAX(ROW(E1473:E$2)*(E1474=E1473:E$2)))))</f>
        <v> </v>
      </c>
      <c r="J1474" s="26" t="str">
        <f>IF(OR(E1474="",E1474="!!!",F1474="NEW"),"",COUNTBLANK(OFFSET(A$1,,,SUMPRODUCT(MAX(ROW(E$2:E1474)*(E1474=E$2:E1474)))))-COUNTBLANK(OFFSET(A$1,,,SUMPRODUCT(MAX(ROW(E$1:E1473)*(E2=E$1:E1473))))))</f>
        <v> </v>
      </c>
      <c r="K1474" s="26" t="str">
        <f>IF(OR(E1474="",E1474="!!!",F1474="NEW"),"",INDEX(J$1:J1473,SUMPRODUCT(MAX(ROW(E$1:E1473)*(E1474=E$1:E1473)))))</f>
        <v> </v>
      </c>
      <c r="L1474" s="27"/>
    </row>
    <row r="1475" spans="1:12">
      <c r="A1475" s="20" t="s">
        <v>646</v>
      </c>
      <c r="E1475" s="22">
        <f>IF(D1475="?OLD","!!!","")</f>
        <v/>
      </c>
      <c r="F1475" s="23" t="str">
        <f>IF(OR(E1475="",E1475="!!!"),"",IF(NOT(ISNA(VLOOKUP(E1475,E$1:E1474,1,FALSE()))),"OLD",IF(AND(E1475&lt;&gt;"",E1475&lt;&gt;"!!!"),"NEW","")))</f>
        <v> </v>
      </c>
      <c r="G1475" s="24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5" t="str">
        <f>IF(J1475&lt;&gt;1,"",IF(I1475="SBJ","CB","?"))</f>
        <v> </v>
      </c>
      <c r="I1475" s="26" t="str">
        <f>IF(OR(E1475="",E1475="!!!",F1475="NEW"),"",INDEX(B1474:B$2,-1+SUMPRODUCT(MAX(ROW(E1474:E$2)*(E1475=E1474:E$2)))))</f>
        <v> </v>
      </c>
      <c r="J1475" s="26" t="str">
        <f>IF(OR(E1475="",E1475="!!!",F1475="NEW"),"",COUNTBLANK(OFFSET(A$1,,,SUMPRODUCT(MAX(ROW(E$2:E1475)*(E1475=E$2:E1475)))))-COUNTBLANK(OFFSET(A$1,,,SUMPRODUCT(MAX(ROW(E$1:E1474)*(E2=E$1:E1474))))))</f>
        <v> </v>
      </c>
      <c r="K1475" s="26" t="str">
        <f>IF(OR(E1475="",E1475="!!!",F1475="NEW"),"",INDEX(J$1:J1474,SUMPRODUCT(MAX(ROW(E$1:E1474)*(E1475=E$1:E1474)))))</f>
        <v> </v>
      </c>
      <c r="L1475" s="27"/>
    </row>
    <row r="1476" spans="1:12">
      <c r="A1476" s="20" t="s">
        <v>1379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1380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 t="s">
        <v>1381</v>
      </c>
      <c r="E1478" s="22">
        <f>IF(D1478="?OLD","!!!","")</f>
        <v/>
      </c>
      <c r="F1478" s="23" t="str">
        <f>IF(OR(E1478="",E1478="!!!"),"",IF(NOT(ISNA(VLOOKUP(E1478,E$1:E1477,1,FALSE()))),"OLD",IF(AND(E1478&lt;&gt;"",E1478&lt;&gt;"!!!"),"NEW","")))</f>
        <v> </v>
      </c>
      <c r="G1478" s="24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5" t="str">
        <f>IF(J1478&lt;&gt;1,"",IF(I1478="SBJ","CB","?"))</f>
        <v> </v>
      </c>
      <c r="I1478" s="26" t="str">
        <f>IF(OR(E1478="",E1478="!!!",F1478="NEW"),"",INDEX(B1477:B$2,-1+SUMPRODUCT(MAX(ROW(E1477:E$2)*(E1478=E1477:E$2)))))</f>
        <v> </v>
      </c>
      <c r="J1478" s="26" t="str">
        <f>IF(OR(E1478="",E1478="!!!",F1478="NEW"),"",COUNTBLANK(OFFSET(A$1,,,SUMPRODUCT(MAX(ROW(E$2:E1478)*(E1478=E$2:E1478)))))-COUNTBLANK(OFFSET(A$1,,,SUMPRODUCT(MAX(ROW(E$1:E1477)*(E2=E$1:E1477))))))</f>
        <v> </v>
      </c>
      <c r="K1478" s="26" t="str">
        <f>IF(OR(E1478="",E1478="!!!",F1478="NEW"),"",INDEX(J$1:J1477,SUMPRODUCT(MAX(ROW(E$1:E1477)*(E1478=E$1:E1477)))))</f>
        <v> </v>
      </c>
      <c r="L1478" s="27"/>
    </row>
    <row r="1479" spans="1:12">
      <c r="A1479" s="20" t="s">
        <v>1382</v>
      </c>
      <c r="E1479" s="22">
        <f>IF(D1479="?OLD","!!!","")</f>
        <v/>
      </c>
      <c r="F1479" s="23" t="str">
        <f>IF(OR(E1479="",E1479="!!!"),"",IF(NOT(ISNA(VLOOKUP(E1479,E$1:E1478,1,FALSE()))),"OLD",IF(AND(E1479&lt;&gt;"",E1479&lt;&gt;"!!!"),"NEW","")))</f>
        <v> </v>
      </c>
      <c r="G1479" s="24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5" t="str">
        <f>IF(J1479&lt;&gt;1,"",IF(I1479="SBJ","CB","?"))</f>
        <v> </v>
      </c>
      <c r="I1479" s="26" t="str">
        <f>IF(OR(E1479="",E1479="!!!",F1479="NEW"),"",INDEX(B1478:B$2,-1+SUMPRODUCT(MAX(ROW(E1478:E$2)*(E1479=E1478:E$2)))))</f>
        <v> </v>
      </c>
      <c r="J1479" s="26" t="str">
        <f>IF(OR(E1479="",E1479="!!!",F1479="NEW"),"",COUNTBLANK(OFFSET(A$1,,,SUMPRODUCT(MAX(ROW(E$2:E1479)*(E1479=E$2:E1479)))))-COUNTBLANK(OFFSET(A$1,,,SUMPRODUCT(MAX(ROW(E$1:E1478)*(E2=E$1:E1478))))))</f>
        <v> </v>
      </c>
      <c r="K1479" s="26" t="str">
        <f>IF(OR(E1479="",E1479="!!!",F1479="NEW"),"",INDEX(J$1:J1478,SUMPRODUCT(MAX(ROW(E$1:E1478)*(E1479=E$1:E1478)))))</f>
        <v> </v>
      </c>
      <c r="L1479" s="27"/>
    </row>
    <row r="1480" spans="1:12">
      <c r="A1480" s="20" t="s">
        <v>611</v>
      </c>
      <c r="E1480" s="22">
        <f>IF(D1480="?OLD","!!!","")</f>
        <v/>
      </c>
      <c r="F1480" s="23" t="str">
        <f>IF(OR(E1480="",E1480="!!!"),"",IF(NOT(ISNA(VLOOKUP(E1480,E$1:E1479,1,FALSE()))),"OLD",IF(AND(E1480&lt;&gt;"",E1480&lt;&gt;"!!!"),"NEW","")))</f>
        <v> </v>
      </c>
      <c r="G1480" s="24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5" t="str">
        <f>IF(J1480&lt;&gt;1,"",IF(I1480="SBJ","CB","?"))</f>
        <v> </v>
      </c>
      <c r="I1480" s="26" t="str">
        <f>IF(OR(E1480="",E1480="!!!",F1480="NEW"),"",INDEX(B1479:B$2,-1+SUMPRODUCT(MAX(ROW(E1479:E$2)*(E1480=E1479:E$2)))))</f>
        <v> </v>
      </c>
      <c r="J1480" s="26" t="str">
        <f>IF(OR(E1480="",E1480="!!!",F1480="NEW"),"",COUNTBLANK(OFFSET(A$1,,,SUMPRODUCT(MAX(ROW(E$2:E1480)*(E1480=E$2:E1480)))))-COUNTBLANK(OFFSET(A$1,,,SUMPRODUCT(MAX(ROW(E$1:E1479)*(E2=E$1:E1479))))))</f>
        <v> </v>
      </c>
      <c r="K1480" s="26" t="str">
        <f>IF(OR(E1480="",E1480="!!!",F1480="NEW"),"",INDEX(J$1:J1479,SUMPRODUCT(MAX(ROW(E$1:E1479)*(E1480=E$1:E1479)))))</f>
        <v> </v>
      </c>
      <c r="L1480" s="27"/>
    </row>
    <row r="1481" spans="1:12">
      <c r="A1481" s="20" t="s">
        <v>863</v>
      </c>
      <c r="E1481" s="22">
        <f>IF(D1481="?OLD","!!!","")</f>
        <v/>
      </c>
      <c r="F1481" s="23" t="str">
        <f>IF(OR(E1481="",E1481="!!!"),"",IF(NOT(ISNA(VLOOKUP(E1481,E$1:E1480,1,FALSE()))),"OLD",IF(AND(E1481&lt;&gt;"",E1481&lt;&gt;"!!!"),"NEW","")))</f>
        <v> </v>
      </c>
      <c r="G1481" s="24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5" t="str">
        <f>IF(J1481&lt;&gt;1,"",IF(I1481="SBJ","CB","?"))</f>
        <v> </v>
      </c>
      <c r="I1481" s="26" t="str">
        <f>IF(OR(E1481="",E1481="!!!",F1481="NEW"),"",INDEX(B1480:B$2,-1+SUMPRODUCT(MAX(ROW(E1480:E$2)*(E1481=E1480:E$2)))))</f>
        <v> </v>
      </c>
      <c r="J1481" s="26" t="str">
        <f>IF(OR(E1481="",E1481="!!!",F1481="NEW"),"",COUNTBLANK(OFFSET(A$1,,,SUMPRODUCT(MAX(ROW(E$2:E1481)*(E1481=E$2:E1481)))))-COUNTBLANK(OFFSET(A$1,,,SUMPRODUCT(MAX(ROW(E$1:E1480)*(E2=E$1:E1480))))))</f>
        <v> </v>
      </c>
      <c r="K1481" s="26" t="str">
        <f>IF(OR(E1481="",E1481="!!!",F1481="NEW"),"",INDEX(J$1:J1480,SUMPRODUCT(MAX(ROW(E$1:E1480)*(E1481=E$1:E1480)))))</f>
        <v> </v>
      </c>
      <c r="L1481" s="27"/>
    </row>
    <row r="1482" spans="1:12">
      <c r="A1482" s="20" t="s">
        <v>239</v>
      </c>
      <c r="B1482" s="21" t="s">
        <v>804</v>
      </c>
      <c r="C1482" s="21" t="s">
        <v>723</v>
      </c>
      <c r="D1482" s="21" t="s">
        <v>603</v>
      </c>
      <c r="E1482" s="22">
        <f>IF(D1482="?OLD","!!!","")</f>
        <v/>
      </c>
      <c r="F1482" s="23" t="str">
        <f>IF(OR(E1482="",E1482="!!!"),"",IF(NOT(ISNA(VLOOKUP(E1482,E$1:E1481,1,FALSE()))),"OLD",IF(AND(E1482&lt;&gt;"",E1482&lt;&gt;"!!!"),"NEW","")))</f>
        <v> </v>
      </c>
      <c r="G1482" s="24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5" t="str">
        <f>IF(J1482&lt;&gt;1,"",IF(I1482="SBJ","CB","?"))</f>
        <v> </v>
      </c>
      <c r="I1482" s="26" t="str">
        <f>IF(OR(E1482="",E1482="!!!",F1482="NEW"),"",INDEX(B1481:B$2,-1+SUMPRODUCT(MAX(ROW(E1481:E$2)*(E1482=E1481:E$2)))))</f>
        <v> </v>
      </c>
      <c r="J1482" s="26" t="str">
        <f>IF(OR(E1482="",E1482="!!!",F1482="NEW"),"",COUNTBLANK(OFFSET(A$1,,,SUMPRODUCT(MAX(ROW(E$2:E1482)*(E1482=E$2:E1482)))))-COUNTBLANK(OFFSET(A$1,,,SUMPRODUCT(MAX(ROW(E$1:E1481)*(E2=E$1:E1481))))))</f>
        <v> </v>
      </c>
      <c r="K1482" s="26" t="str">
        <f>IF(OR(E1482="",E1482="!!!",F1482="NEW"),"",INDEX(J$1:J1481,SUMPRODUCT(MAX(ROW(E$1:E1481)*(E1482=E$1:E1481)))))</f>
        <v> </v>
      </c>
      <c r="L1482" s="27"/>
    </row>
    <row r="1483" spans="1:12">
      <c r="A1483" s="20" t="s">
        <v>646</v>
      </c>
      <c r="E1483" s="22">
        <f>IF(D1483="?OLD","!!!","")</f>
        <v/>
      </c>
      <c r="F1483" s="23" t="str">
        <f>IF(OR(E1483="",E1483="!!!"),"",IF(NOT(ISNA(VLOOKUP(E1483,E$1:E1482,1,FALSE()))),"OLD",IF(AND(E1483&lt;&gt;"",E1483&lt;&gt;"!!!"),"NEW","")))</f>
        <v> </v>
      </c>
      <c r="G1483" s="24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5" t="str">
        <f>IF(J1483&lt;&gt;1,"",IF(I1483="SBJ","CB","?"))</f>
        <v> </v>
      </c>
      <c r="I1483" s="26" t="str">
        <f>IF(OR(E1483="",E1483="!!!",F1483="NEW"),"",INDEX(B1482:B$2,-1+SUMPRODUCT(MAX(ROW(E1482:E$2)*(E1483=E1482:E$2)))))</f>
        <v> </v>
      </c>
      <c r="J1483" s="26" t="str">
        <f>IF(OR(E1483="",E1483="!!!",F1483="NEW"),"",COUNTBLANK(OFFSET(A$1,,,SUMPRODUCT(MAX(ROW(E$2:E1483)*(E1483=E$2:E1483)))))-COUNTBLANK(OFFSET(A$1,,,SUMPRODUCT(MAX(ROW(E$1:E1482)*(E2=E$1:E1482))))))</f>
        <v> </v>
      </c>
      <c r="K1483" s="26" t="str">
        <f>IF(OR(E1483="",E1483="!!!",F1483="NEW"),"",INDEX(J$1:J1482,SUMPRODUCT(MAX(ROW(E$1:E1482)*(E1483=E$1:E1482)))))</f>
        <v> </v>
      </c>
      <c r="L1483" s="27"/>
    </row>
    <row r="1484" spans="1:12">
      <c r="A1484" s="20" t="s">
        <v>1382</v>
      </c>
      <c r="E1484" s="22">
        <f>IF(D1484="?OLD","!!!","")</f>
        <v/>
      </c>
      <c r="F1484" s="23" t="str">
        <f>IF(OR(E1484="",E1484="!!!"),"",IF(NOT(ISNA(VLOOKUP(E1484,E$1:E1483,1,FALSE()))),"OLD",IF(AND(E1484&lt;&gt;"",E1484&lt;&gt;"!!!"),"NEW","")))</f>
        <v> </v>
      </c>
      <c r="G1484" s="24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5" t="str">
        <f>IF(J1484&lt;&gt;1,"",IF(I1484="SBJ","CB","?"))</f>
        <v> </v>
      </c>
      <c r="I1484" s="26" t="str">
        <f>IF(OR(E1484="",E1484="!!!",F1484="NEW"),"",INDEX(B1483:B$2,-1+SUMPRODUCT(MAX(ROW(E1483:E$2)*(E1484=E1483:E$2)))))</f>
        <v> </v>
      </c>
      <c r="J1484" s="26" t="str">
        <f>IF(OR(E1484="",E1484="!!!",F1484="NEW"),"",COUNTBLANK(OFFSET(A$1,,,SUMPRODUCT(MAX(ROW(E$2:E1484)*(E1484=E$2:E1484)))))-COUNTBLANK(OFFSET(A$1,,,SUMPRODUCT(MAX(ROW(E$1:E1483)*(E2=E$1:E1483))))))</f>
        <v> </v>
      </c>
      <c r="K1484" s="26" t="str">
        <f>IF(OR(E1484="",E1484="!!!",F1484="NEW"),"",INDEX(J$1:J1483,SUMPRODUCT(MAX(ROW(E$1:E1483)*(E1484=E$1:E1483)))))</f>
        <v> </v>
      </c>
      <c r="L1484" s="27"/>
    </row>
    <row r="1485" spans="1:12">
      <c r="A1485" s="20" t="s">
        <v>1015</v>
      </c>
      <c r="E1485" s="22">
        <f>IF(D1485="?OLD","!!!","")</f>
        <v/>
      </c>
      <c r="F1485" s="23" t="str">
        <f>IF(OR(E1485="",E1485="!!!"),"",IF(NOT(ISNA(VLOOKUP(E1485,E$1:E1484,1,FALSE()))),"OLD",IF(AND(E1485&lt;&gt;"",E1485&lt;&gt;"!!!"),"NEW","")))</f>
        <v> </v>
      </c>
      <c r="G1485" s="24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5" t="str">
        <f>IF(J1485&lt;&gt;1,"",IF(I1485="SBJ","CB","?"))</f>
        <v> </v>
      </c>
      <c r="I1485" s="26" t="str">
        <f>IF(OR(E1485="",E1485="!!!",F1485="NEW"),"",INDEX(B1484:B$2,-1+SUMPRODUCT(MAX(ROW(E1484:E$2)*(E1485=E1484:E$2)))))</f>
        <v> </v>
      </c>
      <c r="J1485" s="26" t="str">
        <f>IF(OR(E1485="",E1485="!!!",F1485="NEW"),"",COUNTBLANK(OFFSET(A$1,,,SUMPRODUCT(MAX(ROW(E$2:E1485)*(E1485=E$2:E1485)))))-COUNTBLANK(OFFSET(A$1,,,SUMPRODUCT(MAX(ROW(E$1:E1484)*(E2=E$1:E1484))))))</f>
        <v> </v>
      </c>
      <c r="K1485" s="26" t="str">
        <f>IF(OR(E1485="",E1485="!!!",F1485="NEW"),"",INDEX(J$1:J1484,SUMPRODUCT(MAX(ROW(E$1:E1484)*(E1485=E$1:E1484)))))</f>
        <v> </v>
      </c>
      <c r="L1485" s="27"/>
    </row>
    <row r="1486" spans="1:12">
      <c r="A1486" s="20" t="s">
        <v>1383</v>
      </c>
      <c r="E1486" s="22">
        <f>IF(D1486="?OLD","!!!","")</f>
        <v/>
      </c>
      <c r="F1486" s="23" t="str">
        <f>IF(OR(E1486="",E1486="!!!"),"",IF(NOT(ISNA(VLOOKUP(E1486,E$1:E1485,1,FALSE()))),"OLD",IF(AND(E1486&lt;&gt;"",E1486&lt;&gt;"!!!"),"NEW","")))</f>
        <v> </v>
      </c>
      <c r="G1486" s="24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5" t="str">
        <f>IF(J1486&lt;&gt;1,"",IF(I1486="SBJ","CB","?"))</f>
        <v> </v>
      </c>
      <c r="I1486" s="26" t="str">
        <f>IF(OR(E1486="",E1486="!!!",F1486="NEW"),"",INDEX(B1485:B$2,-1+SUMPRODUCT(MAX(ROW(E1485:E$2)*(E1486=E1485:E$2)))))</f>
        <v> </v>
      </c>
      <c r="J1486" s="26" t="str">
        <f>IF(OR(E1486="",E1486="!!!",F1486="NEW"),"",COUNTBLANK(OFFSET(A$1,,,SUMPRODUCT(MAX(ROW(E$2:E1486)*(E1486=E$2:E1486)))))-COUNTBLANK(OFFSET(A$1,,,SUMPRODUCT(MAX(ROW(E$1:E1485)*(E2=E$1:E1485))))))</f>
        <v> </v>
      </c>
      <c r="K1486" s="26" t="str">
        <f>IF(OR(E1486="",E1486="!!!",F1486="NEW"),"",INDEX(J$1:J1485,SUMPRODUCT(MAX(ROW(E$1:E1485)*(E1486=E$1:E1485)))))</f>
        <v> </v>
      </c>
      <c r="L1486" s="27"/>
    </row>
    <row r="1487" spans="1:12">
      <c r="A1487" s="20" t="s">
        <v>922</v>
      </c>
      <c r="B1487" s="21" t="s">
        <v>620</v>
      </c>
      <c r="C1487" s="21" t="s">
        <v>733</v>
      </c>
      <c r="D1487" s="21" t="s">
        <v>603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1384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 t="s">
        <v>663</v>
      </c>
      <c r="E1489" s="22">
        <f>IF(D1489="?OLD","!!!","")</f>
        <v/>
      </c>
      <c r="F1489" s="23" t="str">
        <f>IF(OR(E1489="",E1489="!!!"),"",IF(NOT(ISNA(VLOOKUP(E1489,E$1:E1488,1,FALSE()))),"OLD",IF(AND(E1489&lt;&gt;"",E1489&lt;&gt;"!!!"),"NEW","")))</f>
        <v> </v>
      </c>
      <c r="G1489" s="24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5" t="str">
        <f>IF(J1489&lt;&gt;1,"",IF(I1489="SBJ","CB","?"))</f>
        <v> </v>
      </c>
      <c r="I1489" s="26" t="str">
        <f>IF(OR(E1489="",E1489="!!!",F1489="NEW"),"",INDEX(B1488:B$2,-1+SUMPRODUCT(MAX(ROW(E1488:E$2)*(E1489=E1488:E$2)))))</f>
        <v> </v>
      </c>
      <c r="J1489" s="26" t="str">
        <f>IF(OR(E1489="",E1489="!!!",F1489="NEW"),"",COUNTBLANK(OFFSET(A$1,,,SUMPRODUCT(MAX(ROW(E$2:E1489)*(E1489=E$2:E1489)))))-COUNTBLANK(OFFSET(A$1,,,SUMPRODUCT(MAX(ROW(E$1:E1488)*(E2=E$1:E1488))))))</f>
        <v> </v>
      </c>
      <c r="K1489" s="26" t="str">
        <f>IF(OR(E1489="",E1489="!!!",F1489="NEW"),"",INDEX(J$1:J1488,SUMPRODUCT(MAX(ROW(E$1:E1488)*(E1489=E$1:E1488)))))</f>
        <v> </v>
      </c>
      <c r="L1489" s="27"/>
    </row>
    <row r="1490" spans="1:12">
      <c r="A1490" s="20" t="s">
        <v>611</v>
      </c>
      <c r="E1490" s="22">
        <f>IF(D1490="?OLD","!!!","")</f>
        <v/>
      </c>
      <c r="F1490" s="23" t="str">
        <f>IF(OR(E1490="",E1490="!!!"),"",IF(NOT(ISNA(VLOOKUP(E1490,E$1:E1489,1,FALSE()))),"OLD",IF(AND(E1490&lt;&gt;"",E1490&lt;&gt;"!!!"),"NEW","")))</f>
        <v> </v>
      </c>
      <c r="G1490" s="24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5" t="str">
        <f>IF(J1490&lt;&gt;1,"",IF(I1490="SBJ","CB","?"))</f>
        <v> </v>
      </c>
      <c r="I1490" s="26" t="str">
        <f>IF(OR(E1490="",E1490="!!!",F1490="NEW"),"",INDEX(B1489:B$2,-1+SUMPRODUCT(MAX(ROW(E1489:E$2)*(E1490=E1489:E$2)))))</f>
        <v> </v>
      </c>
      <c r="J1490" s="26" t="str">
        <f>IF(OR(E1490="",E1490="!!!",F1490="NEW"),"",COUNTBLANK(OFFSET(A$1,,,SUMPRODUCT(MAX(ROW(E$2:E1490)*(E1490=E$2:E1490)))))-COUNTBLANK(OFFSET(A$1,,,SUMPRODUCT(MAX(ROW(E$1:E1489)*(E2=E$1:E1489))))))</f>
        <v> </v>
      </c>
      <c r="K1490" s="26" t="str">
        <f>IF(OR(E1490="",E1490="!!!",F1490="NEW"),"",INDEX(J$1:J1489,SUMPRODUCT(MAX(ROW(E$1:E1489)*(E1490=E$1:E1489)))))</f>
        <v> </v>
      </c>
      <c r="L1490" s="27"/>
    </row>
    <row r="1491" spans="1:12">
      <c r="A1491" s="20" t="s">
        <v>907</v>
      </c>
      <c r="B1491" s="21" t="s">
        <v>636</v>
      </c>
      <c r="C1491" s="21" t="s">
        <v>602</v>
      </c>
      <c r="D1491" s="21" t="s">
        <v>603</v>
      </c>
      <c r="E1491" s="22">
        <f>IF(D1491="?OLD","!!!","")</f>
        <v/>
      </c>
      <c r="F1491" s="23" t="str">
        <f>IF(OR(E1491="",E1491="!!!"),"",IF(NOT(ISNA(VLOOKUP(E1491,E$1:E1490,1,FALSE()))),"OLD",IF(AND(E1491&lt;&gt;"",E1491&lt;&gt;"!!!"),"NEW","")))</f>
        <v> </v>
      </c>
      <c r="G1491" s="24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5" t="str">
        <f>IF(J1491&lt;&gt;1,"",IF(I1491="SBJ","CB","?"))</f>
        <v> </v>
      </c>
      <c r="I1491" s="26" t="str">
        <f>IF(OR(E1491="",E1491="!!!",F1491="NEW"),"",INDEX(B1490:B$2,-1+SUMPRODUCT(MAX(ROW(E1490:E$2)*(E1491=E1490:E$2)))))</f>
        <v> </v>
      </c>
      <c r="J1491" s="26" t="str">
        <f>IF(OR(E1491="",E1491="!!!",F1491="NEW"),"",COUNTBLANK(OFFSET(A$1,,,SUMPRODUCT(MAX(ROW(E$2:E1491)*(E1491=E$2:E1491)))))-COUNTBLANK(OFFSET(A$1,,,SUMPRODUCT(MAX(ROW(E$1:E1490)*(E2=E$1:E1490))))))</f>
        <v> </v>
      </c>
      <c r="K1491" s="26" t="str">
        <f>IF(OR(E1491="",E1491="!!!",F1491="NEW"),"",INDEX(J$1:J1490,SUMPRODUCT(MAX(ROW(E$1:E1490)*(E1491=E$1:E1490)))))</f>
        <v> </v>
      </c>
      <c r="L1491" s="27"/>
    </row>
    <row r="1492" spans="1:12">
      <c r="A1492" s="20" t="s">
        <v>1375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1385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1015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864</v>
      </c>
      <c r="B1495" s="21" t="s">
        <v>804</v>
      </c>
      <c r="C1495" s="21" t="s">
        <v>723</v>
      </c>
      <c r="D1495" s="21" t="s">
        <v>603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 t="s">
        <v>611</v>
      </c>
      <c r="E1496" s="22">
        <f>IF(D1496="?OLD","!!!","")</f>
        <v/>
      </c>
      <c r="F1496" s="23" t="str">
        <f>IF(OR(E1496="",E1496="!!!"),"",IF(NOT(ISNA(VLOOKUP(E1496,E$1:E1495,1,FALSE()))),"OLD",IF(AND(E1496&lt;&gt;"",E1496&lt;&gt;"!!!"),"NEW","")))</f>
        <v> </v>
      </c>
      <c r="G1496" s="24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5" t="str">
        <f>IF(J1496&lt;&gt;1,"",IF(I1496="SBJ","CB","?"))</f>
        <v> </v>
      </c>
      <c r="I1496" s="26" t="str">
        <f>IF(OR(E1496="",E1496="!!!",F1496="NEW"),"",INDEX(B1495:B$2,-1+SUMPRODUCT(MAX(ROW(E1495:E$2)*(E1496=E1495:E$2)))))</f>
        <v> </v>
      </c>
      <c r="J1496" s="26" t="str">
        <f>IF(OR(E1496="",E1496="!!!",F1496="NEW"),"",COUNTBLANK(OFFSET(A$1,,,SUMPRODUCT(MAX(ROW(E$2:E1496)*(E1496=E$2:E1496)))))-COUNTBLANK(OFFSET(A$1,,,SUMPRODUCT(MAX(ROW(E$1:E1495)*(E2=E$1:E1495))))))</f>
        <v> </v>
      </c>
      <c r="K1496" s="26" t="str">
        <f>IF(OR(E1496="",E1496="!!!",F1496="NEW"),"",INDEX(J$1:J1495,SUMPRODUCT(MAX(ROW(E$1:E1495)*(E1496=E$1:E1495)))))</f>
        <v> </v>
      </c>
      <c r="L1496" s="27"/>
    </row>
    <row r="1497" spans="1:12">
      <c r="A1497" s="20" t="s">
        <v>739</v>
      </c>
      <c r="E1497" s="22">
        <f>IF(D1497="?OLD","!!!","")</f>
        <v/>
      </c>
      <c r="F1497" s="23" t="str">
        <f>IF(OR(E1497="",E1497="!!!"),"",IF(NOT(ISNA(VLOOKUP(E1497,E$1:E1496,1,FALSE()))),"OLD",IF(AND(E1497&lt;&gt;"",E1497&lt;&gt;"!!!"),"NEW","")))</f>
        <v> </v>
      </c>
      <c r="G1497" s="24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5" t="str">
        <f>IF(J1497&lt;&gt;1,"",IF(I1497="SBJ","CB","?"))</f>
        <v> </v>
      </c>
      <c r="I1497" s="26" t="str">
        <f>IF(OR(E1497="",E1497="!!!",F1497="NEW"),"",INDEX(B1496:B$2,-1+SUMPRODUCT(MAX(ROW(E1496:E$2)*(E1497=E1496:E$2)))))</f>
        <v> </v>
      </c>
      <c r="J1497" s="26" t="str">
        <f>IF(OR(E1497="",E1497="!!!",F1497="NEW"),"",COUNTBLANK(OFFSET(A$1,,,SUMPRODUCT(MAX(ROW(E$2:E1497)*(E1497=E$2:E1497)))))-COUNTBLANK(OFFSET(A$1,,,SUMPRODUCT(MAX(ROW(E$1:E1496)*(E2=E$1:E1496))))))</f>
        <v> </v>
      </c>
      <c r="K1497" s="26" t="str">
        <f>IF(OR(E1497="",E1497="!!!",F1497="NEW"),"",INDEX(J$1:J1496,SUMPRODUCT(MAX(ROW(E$1:E1496)*(E1497=E$1:E1496)))))</f>
        <v> </v>
      </c>
      <c r="L1497" s="27"/>
    </row>
    <row r="1498" spans="1:12">
      <c r="A1498" s="20" t="s">
        <v>1386</v>
      </c>
      <c r="B1498" s="21" t="s">
        <v>815</v>
      </c>
      <c r="C1498" s="21" t="s">
        <v>723</v>
      </c>
      <c r="D1498" s="21" t="s">
        <v>603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 t="s">
        <v>1065</v>
      </c>
      <c r="E1499" s="22">
        <f>IF(D1499="?OLD","!!!","")</f>
        <v/>
      </c>
      <c r="F1499" s="23" t="str">
        <f>IF(OR(E1499="",E1499="!!!"),"",IF(NOT(ISNA(VLOOKUP(E1499,E$1:E1498,1,FALSE()))),"OLD",IF(AND(E1499&lt;&gt;"",E1499&lt;&gt;"!!!"),"NEW","")))</f>
        <v> </v>
      </c>
      <c r="G1499" s="24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5" t="str">
        <f>IF(J1499&lt;&gt;1,"",IF(I1499="SBJ","CB","?"))</f>
        <v> </v>
      </c>
      <c r="I1499" s="26" t="str">
        <f>IF(OR(E1499="",E1499="!!!",F1499="NEW"),"",INDEX(B1498:B$2,-1+SUMPRODUCT(MAX(ROW(E1498:E$2)*(E1499=E1498:E$2)))))</f>
        <v> </v>
      </c>
      <c r="J1499" s="26" t="str">
        <f>IF(OR(E1499="",E1499="!!!",F1499="NEW"),"",COUNTBLANK(OFFSET(A$1,,,SUMPRODUCT(MAX(ROW(E$2:E1499)*(E1499=E$2:E1499)))))-COUNTBLANK(OFFSET(A$1,,,SUMPRODUCT(MAX(ROW(E$1:E1498)*(E2=E$1:E1498))))))</f>
        <v> </v>
      </c>
      <c r="K1499" s="26" t="str">
        <f>IF(OR(E1499="",E1499="!!!",F1499="NEW"),"",INDEX(J$1:J1498,SUMPRODUCT(MAX(ROW(E$1:E1498)*(E1499=E$1:E1498)))))</f>
        <v> </v>
      </c>
      <c r="L1499" s="27"/>
    </row>
    <row r="1500" spans="1:12">
      <c r="A1500" s="20" t="s">
        <v>664</v>
      </c>
      <c r="E1500" s="22">
        <f>IF(D1500="?OLD","!!!","")</f>
        <v/>
      </c>
      <c r="F1500" s="23" t="str">
        <f>IF(OR(E1500="",E1500="!!!"),"",IF(NOT(ISNA(VLOOKUP(E1500,E$1:E1499,1,FALSE()))),"OLD",IF(AND(E1500&lt;&gt;"",E1500&lt;&gt;"!!!"),"NEW","")))</f>
        <v> </v>
      </c>
      <c r="G1500" s="24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5" t="str">
        <f>IF(J1500&lt;&gt;1,"",IF(I1500="SBJ","CB","?"))</f>
        <v> </v>
      </c>
      <c r="I1500" s="26" t="str">
        <f>IF(OR(E1500="",E1500="!!!",F1500="NEW"),"",INDEX(B1499:B$2,-1+SUMPRODUCT(MAX(ROW(E1499:E$2)*(E1500=E1499:E$2)))))</f>
        <v> </v>
      </c>
      <c r="J1500" s="26" t="str">
        <f>IF(OR(E1500="",E1500="!!!",F1500="NEW"),"",COUNTBLANK(OFFSET(A$1,,,SUMPRODUCT(MAX(ROW(E$2:E1500)*(E1500=E$2:E1500)))))-COUNTBLANK(OFFSET(A$1,,,SUMPRODUCT(MAX(ROW(E$1:E1499)*(E2=E$1:E1499))))))</f>
        <v> </v>
      </c>
      <c r="K1500" s="26" t="str">
        <f>IF(OR(E1500="",E1500="!!!",F1500="NEW"),"",INDEX(J$1:J1499,SUMPRODUCT(MAX(ROW(E$1:E1499)*(E1500=E$1:E1499)))))</f>
        <v> </v>
      </c>
      <c r="L1500" s="27"/>
    </row>
    <row r="1501" spans="1:12">
      <c r="A1501" s="20" t="s">
        <v>1387</v>
      </c>
      <c r="E1501" s="22">
        <f>IF(D1501="?OLD","!!!","")</f>
        <v/>
      </c>
      <c r="F1501" s="23" t="str">
        <f>IF(OR(E1501="",E1501="!!!"),"",IF(NOT(ISNA(VLOOKUP(E1501,E$1:E1500,1,FALSE()))),"OLD",IF(AND(E1501&lt;&gt;"",E1501&lt;&gt;"!!!"),"NEW","")))</f>
        <v> </v>
      </c>
      <c r="G1501" s="24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5" t="str">
        <f>IF(J1501&lt;&gt;1,"",IF(I1501="SBJ","CB","?"))</f>
        <v> </v>
      </c>
      <c r="I1501" s="26" t="str">
        <f>IF(OR(E1501="",E1501="!!!",F1501="NEW"),"",INDEX(B1500:B$2,-1+SUMPRODUCT(MAX(ROW(E1500:E$2)*(E1501=E1500:E$2)))))</f>
        <v> </v>
      </c>
      <c r="J1501" s="26" t="str">
        <f>IF(OR(E1501="",E1501="!!!",F1501="NEW"),"",COUNTBLANK(OFFSET(A$1,,,SUMPRODUCT(MAX(ROW(E$2:E1501)*(E1501=E$2:E1501)))))-COUNTBLANK(OFFSET(A$1,,,SUMPRODUCT(MAX(ROW(E$1:E1500)*(E2=E$1:E1500))))))</f>
        <v> </v>
      </c>
      <c r="K1501" s="26" t="str">
        <f>IF(OR(E1501="",E1501="!!!",F1501="NEW"),"",INDEX(J$1:J1500,SUMPRODUCT(MAX(ROW(E$1:E1500)*(E1501=E$1:E1500)))))</f>
        <v> </v>
      </c>
      <c r="L1501" s="27"/>
    </row>
    <row r="1502" spans="1:12">
      <c r="A1502" s="20" t="s">
        <v>1388</v>
      </c>
      <c r="E1502" s="22">
        <f>IF(D1502="?OLD","!!!","")</f>
        <v/>
      </c>
      <c r="F1502" s="23" t="str">
        <f>IF(OR(E1502="",E1502="!!!"),"",IF(NOT(ISNA(VLOOKUP(E1502,E$1:E1501,1,FALSE()))),"OLD",IF(AND(E1502&lt;&gt;"",E1502&lt;&gt;"!!!"),"NEW","")))</f>
        <v> </v>
      </c>
      <c r="G1502" s="24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5" t="str">
        <f>IF(J1502&lt;&gt;1,"",IF(I1502="SBJ","CB","?"))</f>
        <v> </v>
      </c>
      <c r="I1502" s="26" t="str">
        <f>IF(OR(E1502="",E1502="!!!",F1502="NEW"),"",INDEX(B1501:B$2,-1+SUMPRODUCT(MAX(ROW(E1501:E$2)*(E1502=E1501:E$2)))))</f>
        <v> </v>
      </c>
      <c r="J1502" s="26" t="str">
        <f>IF(OR(E1502="",E1502="!!!",F1502="NEW"),"",COUNTBLANK(OFFSET(A$1,,,SUMPRODUCT(MAX(ROW(E$2:E1502)*(E1502=E$2:E1502)))))-COUNTBLANK(OFFSET(A$1,,,SUMPRODUCT(MAX(ROW(E$1:E1501)*(E2=E$1:E1501))))))</f>
        <v> </v>
      </c>
      <c r="K1502" s="26" t="str">
        <f>IF(OR(E1502="",E1502="!!!",F1502="NEW"),"",INDEX(J$1:J1501,SUMPRODUCT(MAX(ROW(E$1:E1501)*(E1502=E$1:E1501)))))</f>
        <v> </v>
      </c>
      <c r="L1502" s="27"/>
    </row>
    <row r="1503" spans="1:12">
      <c r="A1503" s="20" t="s">
        <v>1389</v>
      </c>
      <c r="B1503" s="21" t="s">
        <v>868</v>
      </c>
      <c r="C1503" s="21" t="s">
        <v>631</v>
      </c>
      <c r="D1503" s="21" t="s">
        <v>603</v>
      </c>
      <c r="E1503" s="22">
        <f>IF(D1503="?OLD","!!!","")</f>
        <v/>
      </c>
      <c r="F1503" s="23" t="str">
        <f>IF(OR(E1503="",E1503="!!!"),"",IF(NOT(ISNA(VLOOKUP(E1503,E$1:E1502,1,FALSE()))),"OLD",IF(AND(E1503&lt;&gt;"",E1503&lt;&gt;"!!!"),"NEW","")))</f>
        <v> </v>
      </c>
      <c r="G1503" s="24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5" t="str">
        <f>IF(J1503&lt;&gt;1,"",IF(I1503="SBJ","CB","?"))</f>
        <v> </v>
      </c>
      <c r="I1503" s="26" t="str">
        <f>IF(OR(E1503="",E1503="!!!",F1503="NEW"),"",INDEX(B1502:B$2,-1+SUMPRODUCT(MAX(ROW(E1502:E$2)*(E1503=E1502:E$2)))))</f>
        <v> </v>
      </c>
      <c r="J1503" s="26" t="str">
        <f>IF(OR(E1503="",E1503="!!!",F1503="NEW"),"",COUNTBLANK(OFFSET(A$1,,,SUMPRODUCT(MAX(ROW(E$2:E1503)*(E1503=E$2:E1503)))))-COUNTBLANK(OFFSET(A$1,,,SUMPRODUCT(MAX(ROW(E$1:E1502)*(E2=E$1:E1502))))))</f>
        <v> </v>
      </c>
      <c r="K1503" s="26" t="str">
        <f>IF(OR(E1503="",E1503="!!!",F1503="NEW"),"",INDEX(J$1:J1502,SUMPRODUCT(MAX(ROW(E$1:E1502)*(E1503=E$1:E1502)))))</f>
        <v> </v>
      </c>
      <c r="L1503" s="27"/>
    </row>
    <row r="1504" spans="1:12">
      <c r="A1504" s="20" t="s">
        <v>662</v>
      </c>
      <c r="E1504" s="22">
        <f>IF(D1504="?OLD","!!!","")</f>
        <v/>
      </c>
      <c r="F1504" s="23" t="str">
        <f>IF(OR(E1504="",E1504="!!!"),"",IF(NOT(ISNA(VLOOKUP(E1504,E$1:E1503,1,FALSE()))),"OLD",IF(AND(E1504&lt;&gt;"",E1504&lt;&gt;"!!!"),"NEW","")))</f>
        <v> </v>
      </c>
      <c r="G1504" s="24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5" t="str">
        <f>IF(J1504&lt;&gt;1,"",IF(I1504="SBJ","CB","?"))</f>
        <v> </v>
      </c>
      <c r="I1504" s="26" t="str">
        <f>IF(OR(E1504="",E1504="!!!",F1504="NEW"),"",INDEX(B1503:B$2,-1+SUMPRODUCT(MAX(ROW(E1503:E$2)*(E1504=E1503:E$2)))))</f>
        <v> </v>
      </c>
      <c r="J1504" s="26" t="str">
        <f>IF(OR(E1504="",E1504="!!!",F1504="NEW"),"",COUNTBLANK(OFFSET(A$1,,,SUMPRODUCT(MAX(ROW(E$2:E1504)*(E1504=E$2:E1504)))))-COUNTBLANK(OFFSET(A$1,,,SUMPRODUCT(MAX(ROW(E$1:E1503)*(E2=E$1:E1503))))))</f>
        <v> </v>
      </c>
      <c r="K1504" s="26" t="str">
        <f>IF(OR(E1504="",E1504="!!!",F1504="NEW"),"",INDEX(J$1:J1503,SUMPRODUCT(MAX(ROW(E$1:E1503)*(E1504=E$1:E1503)))))</f>
        <v> </v>
      </c>
      <c r="L1504" s="27"/>
    </row>
    <row r="1505" spans="1:12">
      <c r="A1505" s="20" t="s">
        <v>1390</v>
      </c>
      <c r="E1505" s="22">
        <f>IF(D1505="?OLD","!!!","")</f>
        <v/>
      </c>
      <c r="F1505" s="23" t="str">
        <f>IF(OR(E1505="",E1505="!!!"),"",IF(NOT(ISNA(VLOOKUP(E1505,E$1:E1504,1,FALSE()))),"OLD",IF(AND(E1505&lt;&gt;"",E1505&lt;&gt;"!!!"),"NEW","")))</f>
        <v> </v>
      </c>
      <c r="G1505" s="24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5" t="str">
        <f>IF(J1505&lt;&gt;1,"",IF(I1505="SBJ","CB","?"))</f>
        <v> </v>
      </c>
      <c r="I1505" s="26" t="str">
        <f>IF(OR(E1505="",E1505="!!!",F1505="NEW"),"",INDEX(B1504:B$2,-1+SUMPRODUCT(MAX(ROW(E1504:E$2)*(E1505=E1504:E$2)))))</f>
        <v> </v>
      </c>
      <c r="J1505" s="26" t="str">
        <f>IF(OR(E1505="",E1505="!!!",F1505="NEW"),"",COUNTBLANK(OFFSET(A$1,,,SUMPRODUCT(MAX(ROW(E$2:E1505)*(E1505=E$2:E1505)))))-COUNTBLANK(OFFSET(A$1,,,SUMPRODUCT(MAX(ROW(E$1:E1504)*(E2=E$1:E1504))))))</f>
        <v> </v>
      </c>
      <c r="K1505" s="26" t="str">
        <f>IF(OR(E1505="",E1505="!!!",F1505="NEW"),"",INDEX(J$1:J1504,SUMPRODUCT(MAX(ROW(E$1:E1504)*(E1505=E$1:E1504)))))</f>
        <v> </v>
      </c>
      <c r="L1505" s="27"/>
    </row>
    <row r="1506" spans="1:12">
      <c r="A1506" s="20" t="s">
        <v>611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1391</v>
      </c>
      <c r="B1507" s="21" t="s">
        <v>1367</v>
      </c>
      <c r="C1507" s="21" t="s">
        <v>614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1392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 t="s">
        <v>922</v>
      </c>
      <c r="B1509" s="21" t="s">
        <v>1121</v>
      </c>
      <c r="C1509" s="21" t="s">
        <v>602</v>
      </c>
      <c r="D1509" s="21" t="s">
        <v>603</v>
      </c>
      <c r="E1509" s="22">
        <f>IF(D1509="?OLD","!!!","")</f>
        <v/>
      </c>
      <c r="F1509" s="23" t="str">
        <f>IF(OR(E1509="",E1509="!!!"),"",IF(NOT(ISNA(VLOOKUP(E1509,E$1:E1508,1,FALSE()))),"OLD",IF(AND(E1509&lt;&gt;"",E1509&lt;&gt;"!!!"),"NEW","")))</f>
        <v> </v>
      </c>
      <c r="G1509" s="24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5" t="str">
        <f>IF(J1509&lt;&gt;1,"",IF(I1509="SBJ","CB","?"))</f>
        <v> </v>
      </c>
      <c r="I1509" s="26" t="str">
        <f>IF(OR(E1509="",E1509="!!!",F1509="NEW"),"",INDEX(B1508:B$2,-1+SUMPRODUCT(MAX(ROW(E1508:E$2)*(E1509=E1508:E$2)))))</f>
        <v> </v>
      </c>
      <c r="J1509" s="26" t="str">
        <f>IF(OR(E1509="",E1509="!!!",F1509="NEW"),"",COUNTBLANK(OFFSET(A$1,,,SUMPRODUCT(MAX(ROW(E$2:E1509)*(E1509=E$2:E1509)))))-COUNTBLANK(OFFSET(A$1,,,SUMPRODUCT(MAX(ROW(E$1:E1508)*(E2=E$1:E1508))))))</f>
        <v> </v>
      </c>
      <c r="K1509" s="26" t="str">
        <f>IF(OR(E1509="",E1509="!!!",F1509="NEW"),"",INDEX(J$1:J1508,SUMPRODUCT(MAX(ROW(E$1:E1508)*(E1509=E$1:E1508)))))</f>
        <v> </v>
      </c>
      <c r="L1509" s="27"/>
    </row>
    <row r="1510" spans="1:12">
      <c r="A1510" s="20" t="s">
        <v>1393</v>
      </c>
      <c r="E1510" s="22">
        <f>IF(D1510="?OLD","!!!","")</f>
        <v/>
      </c>
      <c r="F1510" s="23" t="str">
        <f>IF(OR(E1510="",E1510="!!!"),"",IF(NOT(ISNA(VLOOKUP(E1510,E$1:E1509,1,FALSE()))),"OLD",IF(AND(E1510&lt;&gt;"",E1510&lt;&gt;"!!!"),"NEW","")))</f>
        <v> </v>
      </c>
      <c r="G1510" s="24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5" t="str">
        <f>IF(J1510&lt;&gt;1,"",IF(I1510="SBJ","CB","?"))</f>
        <v> </v>
      </c>
      <c r="I1510" s="26" t="str">
        <f>IF(OR(E1510="",E1510="!!!",F1510="NEW"),"",INDEX(B1509:B$2,-1+SUMPRODUCT(MAX(ROW(E1509:E$2)*(E1510=E1509:E$2)))))</f>
        <v> </v>
      </c>
      <c r="J1510" s="26" t="str">
        <f>IF(OR(E1510="",E1510="!!!",F1510="NEW"),"",COUNTBLANK(OFFSET(A$1,,,SUMPRODUCT(MAX(ROW(E$2:E1510)*(E1510=E$2:E1510)))))-COUNTBLANK(OFFSET(A$1,,,SUMPRODUCT(MAX(ROW(E$1:E1509)*(E2=E$1:E1509))))))</f>
        <v> </v>
      </c>
      <c r="K1510" s="26" t="str">
        <f>IF(OR(E1510="",E1510="!!!",F1510="NEW"),"",INDEX(J$1:J1509,SUMPRODUCT(MAX(ROW(E$1:E1509)*(E1510=E$1:E1509)))))</f>
        <v> </v>
      </c>
      <c r="L1510" s="27"/>
    </row>
    <row r="1511" spans="1:12">
      <c r="A1511" s="20" t="s">
        <v>1394</v>
      </c>
      <c r="E1511" s="22">
        <f>IF(D1511="?OLD","!!!","")</f>
        <v/>
      </c>
      <c r="F1511" s="23" t="str">
        <f>IF(OR(E1511="",E1511="!!!"),"",IF(NOT(ISNA(VLOOKUP(E1511,E$1:E1510,1,FALSE()))),"OLD",IF(AND(E1511&lt;&gt;"",E1511&lt;&gt;"!!!"),"NEW","")))</f>
        <v> </v>
      </c>
      <c r="G1511" s="24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5" t="str">
        <f>IF(J1511&lt;&gt;1,"",IF(I1511="SBJ","CB","?"))</f>
        <v> </v>
      </c>
      <c r="I1511" s="26" t="str">
        <f>IF(OR(E1511="",E1511="!!!",F1511="NEW"),"",INDEX(B1510:B$2,-1+SUMPRODUCT(MAX(ROW(E1510:E$2)*(E1511=E1510:E$2)))))</f>
        <v> </v>
      </c>
      <c r="J1511" s="26" t="str">
        <f>IF(OR(E1511="",E1511="!!!",F1511="NEW"),"",COUNTBLANK(OFFSET(A$1,,,SUMPRODUCT(MAX(ROW(E$2:E1511)*(E1511=E$2:E1511)))))-COUNTBLANK(OFFSET(A$1,,,SUMPRODUCT(MAX(ROW(E$1:E1510)*(E2=E$1:E1510))))))</f>
        <v> </v>
      </c>
      <c r="K1511" s="26" t="str">
        <f>IF(OR(E1511="",E1511="!!!",F1511="NEW"),"",INDEX(J$1:J1510,SUMPRODUCT(MAX(ROW(E$1:E1510)*(E1511=E$1:E1510)))))</f>
        <v> </v>
      </c>
      <c r="L1511" s="27"/>
    </row>
    <row r="1512" spans="1:12">
      <c r="A1512" s="20" t="s">
        <v>633</v>
      </c>
      <c r="E1512" s="22">
        <f>IF(D1512="?OLD","!!!","")</f>
        <v/>
      </c>
      <c r="F1512" s="23" t="str">
        <f>IF(OR(E1512="",E1512="!!!"),"",IF(NOT(ISNA(VLOOKUP(E1512,E$1:E1511,1,FALSE()))),"OLD",IF(AND(E1512&lt;&gt;"",E1512&lt;&gt;"!!!"),"NEW","")))</f>
        <v> </v>
      </c>
      <c r="G1512" s="24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5" t="str">
        <f>IF(J1512&lt;&gt;1,"",IF(I1512="SBJ","CB","?"))</f>
        <v> </v>
      </c>
      <c r="I1512" s="26" t="str">
        <f>IF(OR(E1512="",E1512="!!!",F1512="NEW"),"",INDEX(B1511:B$2,-1+SUMPRODUCT(MAX(ROW(E1511:E$2)*(E1512=E1511:E$2)))))</f>
        <v> </v>
      </c>
      <c r="J1512" s="26" t="str">
        <f>IF(OR(E1512="",E1512="!!!",F1512="NEW"),"",COUNTBLANK(OFFSET(A$1,,,SUMPRODUCT(MAX(ROW(E$2:E1512)*(E1512=E$2:E1512)))))-COUNTBLANK(OFFSET(A$1,,,SUMPRODUCT(MAX(ROW(E$1:E1511)*(E2=E$1:E1511))))))</f>
        <v> </v>
      </c>
      <c r="K1512" s="26" t="str">
        <f>IF(OR(E1512="",E1512="!!!",F1512="NEW"),"",INDEX(J$1:J1511,SUMPRODUCT(MAX(ROW(E$1:E1511)*(E1512=E$1:E1511)))))</f>
        <v> </v>
      </c>
      <c r="L1512" s="27"/>
    </row>
    <row r="1513" spans="1:12">
      <c r="A1513" s="20"/>
    </row>
    <row r="1514" spans="1:12">
      <c r="A1514" s="20" t="s">
        <v>1395</v>
      </c>
    </row>
    <row r="1515" spans="1:12">
      <c r="A1515" s="20" t="s">
        <v>1396</v>
      </c>
      <c r="E1515" s="22">
        <f>IF(D1515="?OLD","!!!","")</f>
        <v/>
      </c>
      <c r="F1515" s="23" t="str">
        <f>IF(OR(E1515="",E1515="!!!"),"",IF(NOT(ISNA(VLOOKUP(E1515,E$1:E1514,1,FALSE()))),"OLD",IF(AND(E1515&lt;&gt;"",E1515&lt;&gt;"!!!"),"NEW","")))</f>
        <v> </v>
      </c>
      <c r="G1515" s="24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5" t="str">
        <f>IF(J1515&lt;&gt;1,"",IF(I1515="SBJ","CB","?"))</f>
        <v> </v>
      </c>
      <c r="I1515" s="26" t="str">
        <f>IF(OR(E1515="",E1515="!!!",F1515="NEW"),"",INDEX(B1514:B$2,-1+SUMPRODUCT(MAX(ROW(E1514:E$2)*(E1515=E1514:E$2)))))</f>
        <v> </v>
      </c>
      <c r="J1515" s="26" t="str">
        <f>IF(OR(E1515="",E1515="!!!",F1515="NEW"),"",COUNTBLANK(OFFSET(A$1,,,SUMPRODUCT(MAX(ROW(E$2:E1515)*(E1515=E$2:E1515)))))-COUNTBLANK(OFFSET(A$1,,,SUMPRODUCT(MAX(ROW(E$1:E1514)*(E2=E$1:E1514))))))</f>
        <v> </v>
      </c>
      <c r="K1515" s="26" t="str">
        <f>IF(OR(E1515="",E1515="!!!",F1515="NEW"),"",INDEX(J$1:J1514,SUMPRODUCT(MAX(ROW(E$1:E1514)*(E1515=E$1:E1514)))))</f>
        <v> </v>
      </c>
      <c r="L1515" s="27"/>
    </row>
    <row r="1516" spans="1:12">
      <c r="A1516" s="20" t="s">
        <v>611</v>
      </c>
      <c r="E1516" s="22">
        <f>IF(D1516="?OLD","!!!","")</f>
        <v/>
      </c>
      <c r="F1516" s="23" t="str">
        <f>IF(OR(E1516="",E1516="!!!"),"",IF(NOT(ISNA(VLOOKUP(E1516,E$1:E1515,1,FALSE()))),"OLD",IF(AND(E1516&lt;&gt;"",E1516&lt;&gt;"!!!"),"NEW","")))</f>
        <v> </v>
      </c>
      <c r="G1516" s="24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5" t="str">
        <f>IF(J1516&lt;&gt;1,"",IF(I1516="SBJ","CB","?"))</f>
        <v> </v>
      </c>
      <c r="I1516" s="26" t="str">
        <f>IF(OR(E1516="",E1516="!!!",F1516="NEW"),"",INDEX(B1515:B$2,-1+SUMPRODUCT(MAX(ROW(E1515:E$2)*(E1516=E1515:E$2)))))</f>
        <v> </v>
      </c>
      <c r="J1516" s="26" t="str">
        <f>IF(OR(E1516="",E1516="!!!",F1516="NEW"),"",COUNTBLANK(OFFSET(A$1,,,SUMPRODUCT(MAX(ROW(E$2:E1516)*(E1516=E$2:E1516)))))-COUNTBLANK(OFFSET(A$1,,,SUMPRODUCT(MAX(ROW(E$1:E1515)*(E2=E$1:E1515))))))</f>
        <v> </v>
      </c>
      <c r="K1516" s="26" t="str">
        <f>IF(OR(E1516="",E1516="!!!",F1516="NEW"),"",INDEX(J$1:J1515,SUMPRODUCT(MAX(ROW(E$1:E1515)*(E1516=E$1:E1515)))))</f>
        <v> </v>
      </c>
      <c r="L1516" s="27"/>
    </row>
    <row r="1517" spans="1:12">
      <c r="A1517" s="20" t="s">
        <v>1397</v>
      </c>
      <c r="E1517" s="22">
        <f>IF(D1517="?OLD","!!!","")</f>
        <v/>
      </c>
      <c r="F1517" s="23" t="str">
        <f>IF(OR(E1517="",E1517="!!!"),"",IF(NOT(ISNA(VLOOKUP(E1517,E$1:E1516,1,FALSE()))),"OLD",IF(AND(E1517&lt;&gt;"",E1517&lt;&gt;"!!!"),"NEW","")))</f>
        <v> </v>
      </c>
      <c r="G1517" s="24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5" t="str">
        <f>IF(J1517&lt;&gt;1,"",IF(I1517="SBJ","CB","?"))</f>
        <v> </v>
      </c>
      <c r="I1517" s="26" t="str">
        <f>IF(OR(E1517="",E1517="!!!",F1517="NEW"),"",INDEX(B1516:B$2,-1+SUMPRODUCT(MAX(ROW(E1516:E$2)*(E1517=E1516:E$2)))))</f>
        <v> </v>
      </c>
      <c r="J1517" s="26" t="str">
        <f>IF(OR(E1517="",E1517="!!!",F1517="NEW"),"",COUNTBLANK(OFFSET(A$1,,,SUMPRODUCT(MAX(ROW(E$2:E1517)*(E1517=E$2:E1517)))))-COUNTBLANK(OFFSET(A$1,,,SUMPRODUCT(MAX(ROW(E$1:E1516)*(E2=E$1:E1516))))))</f>
        <v> </v>
      </c>
      <c r="K1517" s="26" t="str">
        <f>IF(OR(E1517="",E1517="!!!",F1517="NEW"),"",INDEX(J$1:J1516,SUMPRODUCT(MAX(ROW(E$1:E1516)*(E1517=E$1:E1516)))))</f>
        <v> </v>
      </c>
      <c r="L1517" s="27"/>
    </row>
    <row r="1518" spans="1:12">
      <c r="A1518" s="20" t="s">
        <v>1398</v>
      </c>
      <c r="B1518" s="21" t="s">
        <v>601</v>
      </c>
      <c r="E1518" s="22">
        <f>IF(D1518="?OLD","!!!","")</f>
        <v/>
      </c>
      <c r="F1518" s="23" t="str">
        <f>IF(OR(E1518="",E1518="!!!"),"",IF(NOT(ISNA(VLOOKUP(E1518,E$1:E1517,1,FALSE()))),"OLD",IF(AND(E1518&lt;&gt;"",E1518&lt;&gt;"!!!"),"NEW","")))</f>
        <v> </v>
      </c>
      <c r="G1518" s="24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5" t="str">
        <f>IF(J1518&lt;&gt;1,"",IF(I1518="SBJ","CB","?"))</f>
        <v> </v>
      </c>
      <c r="I1518" s="26" t="str">
        <f>IF(OR(E1518="",E1518="!!!",F1518="NEW"),"",INDEX(B1517:B$2,-1+SUMPRODUCT(MAX(ROW(E1517:E$2)*(E1518=E1517:E$2)))))</f>
        <v> </v>
      </c>
      <c r="J1518" s="26" t="str">
        <f>IF(OR(E1518="",E1518="!!!",F1518="NEW"),"",COUNTBLANK(OFFSET(A$1,,,SUMPRODUCT(MAX(ROW(E$2:E1518)*(E1518=E$2:E1518)))))-COUNTBLANK(OFFSET(A$1,,,SUMPRODUCT(MAX(ROW(E$1:E1517)*(E2=E$1:E1517))))))</f>
        <v> </v>
      </c>
      <c r="K1518" s="26" t="str">
        <f>IF(OR(E1518="",E1518="!!!",F1518="NEW"),"",INDEX(J$1:J1517,SUMPRODUCT(MAX(ROW(E$1:E1517)*(E1518=E$1:E1517)))))</f>
        <v> </v>
      </c>
      <c r="L1518" s="27"/>
    </row>
    <row r="1519" spans="1:12">
      <c r="A1519" s="20" t="s">
        <v>677</v>
      </c>
      <c r="E1519" s="22">
        <f>IF(D1519="?OLD","!!!","")</f>
        <v/>
      </c>
      <c r="F1519" s="23" t="str">
        <f>IF(OR(E1519="",E1519="!!!"),"",IF(NOT(ISNA(VLOOKUP(E1519,E$1:E1518,1,FALSE()))),"OLD",IF(AND(E1519&lt;&gt;"",E1519&lt;&gt;"!!!"),"NEW","")))</f>
        <v> </v>
      </c>
      <c r="G1519" s="24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5" t="str">
        <f>IF(J1519&lt;&gt;1,"",IF(I1519="SBJ","CB","?"))</f>
        <v> </v>
      </c>
      <c r="I1519" s="26" t="str">
        <f>IF(OR(E1519="",E1519="!!!",F1519="NEW"),"",INDEX(B1518:B$2,-1+SUMPRODUCT(MAX(ROW(E1518:E$2)*(E1519=E1518:E$2)))))</f>
        <v> </v>
      </c>
      <c r="J1519" s="26" t="str">
        <f>IF(OR(E1519="",E1519="!!!",F1519="NEW"),"",COUNTBLANK(OFFSET(A$1,,,SUMPRODUCT(MAX(ROW(E$2:E1519)*(E1519=E$2:E1519)))))-COUNTBLANK(OFFSET(A$1,,,SUMPRODUCT(MAX(ROW(E$1:E1518)*(E2=E$1:E1518))))))</f>
        <v> </v>
      </c>
      <c r="K1519" s="26" t="str">
        <f>IF(OR(E1519="",E1519="!!!",F1519="NEW"),"",INDEX(J$1:J1518,SUMPRODUCT(MAX(ROW(E$1:E1518)*(E1519=E$1:E1518)))))</f>
        <v> </v>
      </c>
      <c r="L1519" s="27"/>
    </row>
    <row r="1520" spans="1:12">
      <c r="A1520" s="20" t="s">
        <v>1399</v>
      </c>
      <c r="E1520" s="22">
        <f>IF(D1520="?OLD","!!!","")</f>
        <v/>
      </c>
      <c r="F1520" s="23" t="str">
        <f>IF(OR(E1520="",E1520="!!!"),"",IF(NOT(ISNA(VLOOKUP(E1520,E$1:E1519,1,FALSE()))),"OLD",IF(AND(E1520&lt;&gt;"",E1520&lt;&gt;"!!!"),"NEW","")))</f>
        <v> </v>
      </c>
      <c r="G1520" s="24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5" t="str">
        <f>IF(J1520&lt;&gt;1,"",IF(I1520="SBJ","CB","?"))</f>
        <v> </v>
      </c>
      <c r="I1520" s="26" t="str">
        <f>IF(OR(E1520="",E1520="!!!",F1520="NEW"),"",INDEX(B1519:B$2,-1+SUMPRODUCT(MAX(ROW(E1519:E$2)*(E1520=E1519:E$2)))))</f>
        <v> </v>
      </c>
      <c r="J1520" s="26" t="str">
        <f>IF(OR(E1520="",E1520="!!!",F1520="NEW"),"",COUNTBLANK(OFFSET(A$1,,,SUMPRODUCT(MAX(ROW(E$2:E1520)*(E1520=E$2:E1520)))))-COUNTBLANK(OFFSET(A$1,,,SUMPRODUCT(MAX(ROW(E$1:E1519)*(E2=E$1:E1519))))))</f>
        <v> </v>
      </c>
      <c r="K1520" s="26" t="str">
        <f>IF(OR(E1520="",E1520="!!!",F1520="NEW"),"",INDEX(J$1:J1519,SUMPRODUCT(MAX(ROW(E$1:E1519)*(E1520=E$1:E1519)))))</f>
        <v> </v>
      </c>
      <c r="L1520" s="27"/>
    </row>
    <row r="1521" spans="1:12">
      <c r="A1521" s="20" t="s">
        <v>1400</v>
      </c>
      <c r="E1521" s="22">
        <f>IF(D1521="?OLD","!!!","")</f>
        <v/>
      </c>
      <c r="F1521" s="23" t="str">
        <f>IF(OR(E1521="",E1521="!!!"),"",IF(NOT(ISNA(VLOOKUP(E1521,E$1:E1520,1,FALSE()))),"OLD",IF(AND(E1521&lt;&gt;"",E1521&lt;&gt;"!!!"),"NEW","")))</f>
        <v> </v>
      </c>
      <c r="G1521" s="24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5" t="str">
        <f>IF(J1521&lt;&gt;1,"",IF(I1521="SBJ","CB","?"))</f>
        <v> </v>
      </c>
      <c r="I1521" s="26" t="str">
        <f>IF(OR(E1521="",E1521="!!!",F1521="NEW"),"",INDEX(B1520:B$2,-1+SUMPRODUCT(MAX(ROW(E1520:E$2)*(E1521=E1520:E$2)))))</f>
        <v> </v>
      </c>
      <c r="J1521" s="26" t="str">
        <f>IF(OR(E1521="",E1521="!!!",F1521="NEW"),"",COUNTBLANK(OFFSET(A$1,,,SUMPRODUCT(MAX(ROW(E$2:E1521)*(E1521=E$2:E1521)))))-COUNTBLANK(OFFSET(A$1,,,SUMPRODUCT(MAX(ROW(E$1:E1520)*(E2=E$1:E1520))))))</f>
        <v> </v>
      </c>
      <c r="K1521" s="26" t="str">
        <f>IF(OR(E1521="",E1521="!!!",F1521="NEW"),"",INDEX(J$1:J1520,SUMPRODUCT(MAX(ROW(E$1:E1520)*(E1521=E$1:E1520)))))</f>
        <v> </v>
      </c>
      <c r="L1521" s="27"/>
    </row>
    <row r="1522" spans="1:12">
      <c r="A1522" s="20" t="s">
        <v>1401</v>
      </c>
      <c r="B1522" s="21" t="s">
        <v>801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646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1402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1403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 t="s">
        <v>922</v>
      </c>
      <c r="B1526" s="21" t="s">
        <v>613</v>
      </c>
      <c r="C1526" s="21" t="s">
        <v>602</v>
      </c>
      <c r="D1526" s="21" t="s">
        <v>603</v>
      </c>
      <c r="E1526" s="22">
        <f>IF(D1526="?OLD","!!!","")</f>
        <v/>
      </c>
      <c r="F1526" s="23" t="str">
        <f>IF(OR(E1526="",E1526="!!!"),"",IF(NOT(ISNA(VLOOKUP(E1526,E$1:E1525,1,FALSE()))),"OLD",IF(AND(E1526&lt;&gt;"",E1526&lt;&gt;"!!!"),"NEW","")))</f>
        <v> </v>
      </c>
      <c r="G1526" s="24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5" t="str">
        <f>IF(J1526&lt;&gt;1,"",IF(I1526="SBJ","CB","?"))</f>
        <v> </v>
      </c>
      <c r="I1526" s="26" t="str">
        <f>IF(OR(E1526="",E1526="!!!",F1526="NEW"),"",INDEX(B1525:B$2,-1+SUMPRODUCT(MAX(ROW(E1525:E$2)*(E1526=E1525:E$2)))))</f>
        <v> </v>
      </c>
      <c r="J1526" s="26" t="str">
        <f>IF(OR(E1526="",E1526="!!!",F1526="NEW"),"",COUNTBLANK(OFFSET(A$1,,,SUMPRODUCT(MAX(ROW(E$2:E1526)*(E1526=E$2:E1526)))))-COUNTBLANK(OFFSET(A$1,,,SUMPRODUCT(MAX(ROW(E$1:E1525)*(E2=E$1:E1525))))))</f>
        <v> </v>
      </c>
      <c r="K1526" s="26" t="str">
        <f>IF(OR(E1526="",E1526="!!!",F1526="NEW"),"",INDEX(J$1:J1525,SUMPRODUCT(MAX(ROW(E$1:E1525)*(E1526=E$1:E1525)))))</f>
        <v> </v>
      </c>
      <c r="L1526" s="27"/>
    </row>
    <row r="1527" spans="1:12">
      <c r="A1527" s="20" t="s">
        <v>677</v>
      </c>
      <c r="E1527" s="22">
        <f>IF(D1527="?OLD","!!!","")</f>
        <v/>
      </c>
      <c r="F1527" s="23" t="str">
        <f>IF(OR(E1527="",E1527="!!!"),"",IF(NOT(ISNA(VLOOKUP(E1527,E$1:E1526,1,FALSE()))),"OLD",IF(AND(E1527&lt;&gt;"",E1527&lt;&gt;"!!!"),"NEW","")))</f>
        <v> </v>
      </c>
      <c r="G1527" s="24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5" t="str">
        <f>IF(J1527&lt;&gt;1,"",IF(I1527="SBJ","CB","?"))</f>
        <v> </v>
      </c>
      <c r="I1527" s="26" t="str">
        <f>IF(OR(E1527="",E1527="!!!",F1527="NEW"),"",INDEX(B1526:B$2,-1+SUMPRODUCT(MAX(ROW(E1526:E$2)*(E1527=E1526:E$2)))))</f>
        <v> </v>
      </c>
      <c r="J1527" s="26" t="str">
        <f>IF(OR(E1527="",E1527="!!!",F1527="NEW"),"",COUNTBLANK(OFFSET(A$1,,,SUMPRODUCT(MAX(ROW(E$2:E1527)*(E1527=E$2:E1527)))))-COUNTBLANK(OFFSET(A$1,,,SUMPRODUCT(MAX(ROW(E$1:E1526)*(E2=E$1:E1526))))))</f>
        <v> </v>
      </c>
      <c r="K1527" s="26" t="str">
        <f>IF(OR(E1527="",E1527="!!!",F1527="NEW"),"",INDEX(J$1:J1526,SUMPRODUCT(MAX(ROW(E$1:E1526)*(E1527=E$1:E1526)))))</f>
        <v> </v>
      </c>
      <c r="L1527" s="27"/>
    </row>
    <row r="1528" spans="1:12">
      <c r="A1528" s="20" t="s">
        <v>999</v>
      </c>
      <c r="E1528" s="22">
        <f>IF(D1528="?OLD","!!!","")</f>
        <v/>
      </c>
      <c r="F1528" s="23" t="str">
        <f>IF(OR(E1528="",E1528="!!!"),"",IF(NOT(ISNA(VLOOKUP(E1528,E$1:E1527,1,FALSE()))),"OLD",IF(AND(E1528&lt;&gt;"",E1528&lt;&gt;"!!!"),"NEW","")))</f>
        <v> </v>
      </c>
      <c r="G1528" s="24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5" t="str">
        <f>IF(J1528&lt;&gt;1,"",IF(I1528="SBJ","CB","?"))</f>
        <v> </v>
      </c>
      <c r="I1528" s="26" t="str">
        <f>IF(OR(E1528="",E1528="!!!",F1528="NEW"),"",INDEX(B1527:B$2,-1+SUMPRODUCT(MAX(ROW(E1527:E$2)*(E1528=E1527:E$2)))))</f>
        <v> </v>
      </c>
      <c r="J1528" s="26" t="str">
        <f>IF(OR(E1528="",E1528="!!!",F1528="NEW"),"",COUNTBLANK(OFFSET(A$1,,,SUMPRODUCT(MAX(ROW(E$2:E1528)*(E1528=E$2:E1528)))))-COUNTBLANK(OFFSET(A$1,,,SUMPRODUCT(MAX(ROW(E$1:E1527)*(E2=E$1:E1527))))))</f>
        <v> </v>
      </c>
      <c r="K1528" s="26" t="str">
        <f>IF(OR(E1528="",E1528="!!!",F1528="NEW"),"",INDEX(J$1:J1527,SUMPRODUCT(MAX(ROW(E$1:E1527)*(E1528=E$1:E1527)))))</f>
        <v> </v>
      </c>
      <c r="L1528" s="27"/>
    </row>
    <row r="1529" spans="1:12">
      <c r="A1529" s="20" t="s">
        <v>1404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1405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 t="s">
        <v>866</v>
      </c>
      <c r="E1531" s="22">
        <f>IF(D1531="?OLD","!!!","")</f>
        <v/>
      </c>
      <c r="F1531" s="23" t="str">
        <f>IF(OR(E1531="",E1531="!!!"),"",IF(NOT(ISNA(VLOOKUP(E1531,E$1:E1530,1,FALSE()))),"OLD",IF(AND(E1531&lt;&gt;"",E1531&lt;&gt;"!!!"),"NEW","")))</f>
        <v> </v>
      </c>
      <c r="G1531" s="24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5" t="str">
        <f>IF(J1531&lt;&gt;1,"",IF(I1531="SBJ","CB","?"))</f>
        <v> </v>
      </c>
      <c r="I1531" s="26" t="str">
        <f>IF(OR(E1531="",E1531="!!!",F1531="NEW"),"",INDEX(B1530:B$2,-1+SUMPRODUCT(MAX(ROW(E1530:E$2)*(E1531=E1530:E$2)))))</f>
        <v> </v>
      </c>
      <c r="J1531" s="26" t="str">
        <f>IF(OR(E1531="",E1531="!!!",F1531="NEW"),"",COUNTBLANK(OFFSET(A$1,,,SUMPRODUCT(MAX(ROW(E$2:E1531)*(E1531=E$2:E1531)))))-COUNTBLANK(OFFSET(A$1,,,SUMPRODUCT(MAX(ROW(E$1:E1530)*(E2=E$1:E1530))))))</f>
        <v> </v>
      </c>
      <c r="K1531" s="26" t="str">
        <f>IF(OR(E1531="",E1531="!!!",F1531="NEW"),"",INDEX(J$1:J1530,SUMPRODUCT(MAX(ROW(E$1:E1530)*(E1531=E$1:E1530)))))</f>
        <v> </v>
      </c>
      <c r="L1531" s="27"/>
    </row>
    <row r="1532" spans="1:12">
      <c r="A1532" s="20" t="s">
        <v>611</v>
      </c>
      <c r="E1532" s="22">
        <f>IF(D1532="?OLD","!!!","")</f>
        <v/>
      </c>
      <c r="F1532" s="23" t="str">
        <f>IF(OR(E1532="",E1532="!!!"),"",IF(NOT(ISNA(VLOOKUP(E1532,E$1:E1531,1,FALSE()))),"OLD",IF(AND(E1532&lt;&gt;"",E1532&lt;&gt;"!!!"),"NEW","")))</f>
        <v> </v>
      </c>
      <c r="G1532" s="24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5" t="str">
        <f>IF(J1532&lt;&gt;1,"",IF(I1532="SBJ","CB","?"))</f>
        <v> </v>
      </c>
      <c r="I1532" s="26" t="str">
        <f>IF(OR(E1532="",E1532="!!!",F1532="NEW"),"",INDEX(B1531:B$2,-1+SUMPRODUCT(MAX(ROW(E1531:E$2)*(E1532=E1531:E$2)))))</f>
        <v> </v>
      </c>
      <c r="J1532" s="26" t="str">
        <f>IF(OR(E1532="",E1532="!!!",F1532="NEW"),"",COUNTBLANK(OFFSET(A$1,,,SUMPRODUCT(MAX(ROW(E$2:E1532)*(E1532=E$2:E1532)))))-COUNTBLANK(OFFSET(A$1,,,SUMPRODUCT(MAX(ROW(E$1:E1531)*(E2=E$1:E1531))))))</f>
        <v> </v>
      </c>
      <c r="K1532" s="26" t="str">
        <f>IF(OR(E1532="",E1532="!!!",F1532="NEW"),"",INDEX(J$1:J1531,SUMPRODUCT(MAX(ROW(E$1:E1531)*(E1532=E$1:E1531)))))</f>
        <v> </v>
      </c>
      <c r="L1532" s="27"/>
    </row>
    <row r="1533" spans="1:12">
      <c r="A1533" s="20" t="s">
        <v>1004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 t="s">
        <v>1406</v>
      </c>
      <c r="E1534" s="22">
        <f>IF(D1534="?OLD","!!!","")</f>
        <v/>
      </c>
      <c r="F1534" s="23" t="str">
        <f>IF(OR(E1534="",E1534="!!!"),"",IF(NOT(ISNA(VLOOKUP(E1534,E$1:E1533,1,FALSE()))),"OLD",IF(AND(E1534&lt;&gt;"",E1534&lt;&gt;"!!!"),"NEW","")))</f>
        <v> </v>
      </c>
      <c r="G1534" s="24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5" t="str">
        <f>IF(J1534&lt;&gt;1,"",IF(I1534="SBJ","CB","?"))</f>
        <v> </v>
      </c>
      <c r="I1534" s="26" t="str">
        <f>IF(OR(E1534="",E1534="!!!",F1534="NEW"),"",INDEX(B1533:B$2,-1+SUMPRODUCT(MAX(ROW(E1533:E$2)*(E1534=E1533:E$2)))))</f>
        <v> </v>
      </c>
      <c r="J1534" s="26" t="str">
        <f>IF(OR(E1534="",E1534="!!!",F1534="NEW"),"",COUNTBLANK(OFFSET(A$1,,,SUMPRODUCT(MAX(ROW(E$2:E1534)*(E1534=E$2:E1534)))))-COUNTBLANK(OFFSET(A$1,,,SUMPRODUCT(MAX(ROW(E$1:E1533)*(E2=E$1:E1533))))))</f>
        <v> </v>
      </c>
      <c r="K1534" s="26" t="str">
        <f>IF(OR(E1534="",E1534="!!!",F1534="NEW"),"",INDEX(J$1:J1533,SUMPRODUCT(MAX(ROW(E$1:E1533)*(E1534=E$1:E1533)))))</f>
        <v> </v>
      </c>
      <c r="L1534" s="27"/>
    </row>
    <row r="1535" spans="1:12">
      <c r="A1535" s="20" t="s">
        <v>1407</v>
      </c>
      <c r="B1535" s="21" t="s">
        <v>601</v>
      </c>
      <c r="E1535" s="22">
        <f>IF(D1535="?OLD","!!!","")</f>
        <v/>
      </c>
      <c r="F1535" s="23" t="str">
        <f>IF(OR(E1535="",E1535="!!!"),"",IF(NOT(ISNA(VLOOKUP(E1535,E$1:E1534,1,FALSE()))),"OLD",IF(AND(E1535&lt;&gt;"",E1535&lt;&gt;"!!!"),"NEW","")))</f>
        <v> </v>
      </c>
      <c r="G1535" s="24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5" t="str">
        <f>IF(J1535&lt;&gt;1,"",IF(I1535="SBJ","CB","?"))</f>
        <v> </v>
      </c>
      <c r="I1535" s="26" t="str">
        <f>IF(OR(E1535="",E1535="!!!",F1535="NEW"),"",INDEX(B1534:B$2,-1+SUMPRODUCT(MAX(ROW(E1534:E$2)*(E1535=E1534:E$2)))))</f>
        <v> </v>
      </c>
      <c r="J1535" s="26" t="str">
        <f>IF(OR(E1535="",E1535="!!!",F1535="NEW"),"",COUNTBLANK(OFFSET(A$1,,,SUMPRODUCT(MAX(ROW(E$2:E1535)*(E1535=E$2:E1535)))))-COUNTBLANK(OFFSET(A$1,,,SUMPRODUCT(MAX(ROW(E$1:E1534)*(E2=E$1:E1534))))))</f>
        <v> </v>
      </c>
      <c r="K1535" s="26" t="str">
        <f>IF(OR(E1535="",E1535="!!!",F1535="NEW"),"",INDEX(J$1:J1534,SUMPRODUCT(MAX(ROW(E$1:E1534)*(E1535=E$1:E1534)))))</f>
        <v> </v>
      </c>
      <c r="L1535" s="27"/>
    </row>
    <row r="1536" spans="1:12">
      <c r="A1536" s="20" t="s">
        <v>910</v>
      </c>
      <c r="E1536" s="22">
        <f>IF(D1536="?OLD","!!!","")</f>
        <v/>
      </c>
      <c r="F1536" s="23" t="str">
        <f>IF(OR(E1536="",E1536="!!!"),"",IF(NOT(ISNA(VLOOKUP(E1536,E$1:E1535,1,FALSE()))),"OLD",IF(AND(E1536&lt;&gt;"",E1536&lt;&gt;"!!!"),"NEW","")))</f>
        <v> </v>
      </c>
      <c r="G1536" s="24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5" t="str">
        <f>IF(J1536&lt;&gt;1,"",IF(I1536="SBJ","CB","?"))</f>
        <v> </v>
      </c>
      <c r="I1536" s="26" t="str">
        <f>IF(OR(E1536="",E1536="!!!",F1536="NEW"),"",INDEX(B1535:B$2,-1+SUMPRODUCT(MAX(ROW(E1535:E$2)*(E1536=E1535:E$2)))))</f>
        <v> </v>
      </c>
      <c r="J1536" s="26" t="str">
        <f>IF(OR(E1536="",E1536="!!!",F1536="NEW"),"",COUNTBLANK(OFFSET(A$1,,,SUMPRODUCT(MAX(ROW(E$2:E1536)*(E1536=E$2:E1536)))))-COUNTBLANK(OFFSET(A$1,,,SUMPRODUCT(MAX(ROW(E$1:E1535)*(E2=E$1:E1535))))))</f>
        <v> </v>
      </c>
      <c r="K1536" s="26" t="str">
        <f>IF(OR(E1536="",E1536="!!!",F1536="NEW"),"",INDEX(J$1:J1535,SUMPRODUCT(MAX(ROW(E$1:E1535)*(E1536=E$1:E1535)))))</f>
        <v> </v>
      </c>
      <c r="L1536" s="27"/>
    </row>
    <row r="1537" spans="1:12">
      <c r="A1537" s="20" t="s">
        <v>1408</v>
      </c>
      <c r="E1537" s="22">
        <f>IF(D1537="?OLD","!!!","")</f>
        <v/>
      </c>
      <c r="F1537" s="23" t="str">
        <f>IF(OR(E1537="",E1537="!!!"),"",IF(NOT(ISNA(VLOOKUP(E1537,E$1:E1536,1,FALSE()))),"OLD",IF(AND(E1537&lt;&gt;"",E1537&lt;&gt;"!!!"),"NEW","")))</f>
        <v> </v>
      </c>
      <c r="G1537" s="24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5" t="str">
        <f>IF(J1537&lt;&gt;1,"",IF(I1537="SBJ","CB","?"))</f>
        <v> </v>
      </c>
      <c r="I1537" s="26" t="str">
        <f>IF(OR(E1537="",E1537="!!!",F1537="NEW"),"",INDEX(B1536:B$2,-1+SUMPRODUCT(MAX(ROW(E1536:E$2)*(E1537=E1536:E$2)))))</f>
        <v> </v>
      </c>
      <c r="J1537" s="26" t="str">
        <f>IF(OR(E1537="",E1537="!!!",F1537="NEW"),"",COUNTBLANK(OFFSET(A$1,,,SUMPRODUCT(MAX(ROW(E$2:E1537)*(E1537=E$2:E1537)))))-COUNTBLANK(OFFSET(A$1,,,SUMPRODUCT(MAX(ROW(E$1:E1536)*(E2=E$1:E1536))))))</f>
        <v> </v>
      </c>
      <c r="K1537" s="26" t="str">
        <f>IF(OR(E1537="",E1537="!!!",F1537="NEW"),"",INDEX(J$1:J1536,SUMPRODUCT(MAX(ROW(E$1:E1536)*(E1537=E$1:E1536)))))</f>
        <v> </v>
      </c>
      <c r="L1537" s="27"/>
    </row>
    <row r="1538" spans="1:12">
      <c r="A1538" s="20" t="s">
        <v>633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/>
    </row>
    <row r="1540" spans="1:12">
      <c r="A1540" s="20" t="s">
        <v>1409</v>
      </c>
    </row>
    <row r="1541" spans="1:12">
      <c r="A1541" s="20" t="s">
        <v>1410</v>
      </c>
      <c r="E1541" s="22">
        <f>IF(D1541="?OLD","!!!","")</f>
        <v/>
      </c>
      <c r="F1541" s="23" t="str">
        <f>IF(OR(E1541="",E1541="!!!"),"",IF(NOT(ISNA(VLOOKUP(E1541,E$1:E1540,1,FALSE()))),"OLD",IF(AND(E1541&lt;&gt;"",E1541&lt;&gt;"!!!"),"NEW","")))</f>
        <v> </v>
      </c>
      <c r="G1541" s="24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5" t="str">
        <f>IF(J1541&lt;&gt;1,"",IF(I1541="SBJ","CB","?"))</f>
        <v> </v>
      </c>
      <c r="I1541" s="26" t="str">
        <f>IF(OR(E1541="",E1541="!!!",F1541="NEW"),"",INDEX(B1540:B$2,-1+SUMPRODUCT(MAX(ROW(E1540:E$2)*(E1541=E1540:E$2)))))</f>
        <v> </v>
      </c>
      <c r="J1541" s="26" t="str">
        <f>IF(OR(E1541="",E1541="!!!",F1541="NEW"),"",COUNTBLANK(OFFSET(A$1,,,SUMPRODUCT(MAX(ROW(E$2:E1541)*(E1541=E$2:E1541)))))-COUNTBLANK(OFFSET(A$1,,,SUMPRODUCT(MAX(ROW(E$1:E1540)*(E2=E$1:E1540))))))</f>
        <v> </v>
      </c>
      <c r="K1541" s="26" t="str">
        <f>IF(OR(E1541="",E1541="!!!",F1541="NEW"),"",INDEX(J$1:J1540,SUMPRODUCT(MAX(ROW(E$1:E1540)*(E1541=E$1:E1540)))))</f>
        <v> </v>
      </c>
      <c r="L1541" s="27"/>
    </row>
    <row r="1542" spans="1:12">
      <c r="A1542" s="20" t="s">
        <v>1411</v>
      </c>
      <c r="E1542" s="22">
        <f>IF(D1542="?OLD","!!!","")</f>
        <v/>
      </c>
      <c r="F1542" s="23" t="str">
        <f>IF(OR(E1542="",E1542="!!!"),"",IF(NOT(ISNA(VLOOKUP(E1542,E$1:E1541,1,FALSE()))),"OLD",IF(AND(E1542&lt;&gt;"",E1542&lt;&gt;"!!!"),"NEW","")))</f>
        <v> </v>
      </c>
      <c r="G1542" s="24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5" t="str">
        <f>IF(J1542&lt;&gt;1,"",IF(I1542="SBJ","CB","?"))</f>
        <v> </v>
      </c>
      <c r="I1542" s="26" t="str">
        <f>IF(OR(E1542="",E1542="!!!",F1542="NEW"),"",INDEX(B1541:B$2,-1+SUMPRODUCT(MAX(ROW(E1541:E$2)*(E1542=E1541:E$2)))))</f>
        <v> </v>
      </c>
      <c r="J1542" s="26" t="str">
        <f>IF(OR(E1542="",E1542="!!!",F1542="NEW"),"",COUNTBLANK(OFFSET(A$1,,,SUMPRODUCT(MAX(ROW(E$2:E1542)*(E1542=E$2:E1542)))))-COUNTBLANK(OFFSET(A$1,,,SUMPRODUCT(MAX(ROW(E$1:E1541)*(E2=E$1:E1541))))))</f>
        <v> </v>
      </c>
      <c r="K1542" s="26" t="str">
        <f>IF(OR(E1542="",E1542="!!!",F1542="NEW"),"",INDEX(J$1:J1541,SUMPRODUCT(MAX(ROW(E$1:E1541)*(E1542=E$1:E1541)))))</f>
        <v> </v>
      </c>
      <c r="L1542" s="27"/>
    </row>
    <row r="1543" spans="1:12">
      <c r="A1543" s="20" t="s">
        <v>866</v>
      </c>
      <c r="E1543" s="22">
        <f>IF(D1543="?OLD","!!!","")</f>
        <v/>
      </c>
      <c r="F1543" s="23" t="str">
        <f>IF(OR(E1543="",E1543="!!!"),"",IF(NOT(ISNA(VLOOKUP(E1543,E$1:E1542,1,FALSE()))),"OLD",IF(AND(E1543&lt;&gt;"",E1543&lt;&gt;"!!!"),"NEW","")))</f>
        <v> </v>
      </c>
      <c r="G1543" s="24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5" t="str">
        <f>IF(J1543&lt;&gt;1,"",IF(I1543="SBJ","CB","?"))</f>
        <v> </v>
      </c>
      <c r="I1543" s="26" t="str">
        <f>IF(OR(E1543="",E1543="!!!",F1543="NEW"),"",INDEX(B1542:B$2,-1+SUMPRODUCT(MAX(ROW(E1542:E$2)*(E1543=E1542:E$2)))))</f>
        <v> </v>
      </c>
      <c r="J1543" s="26" t="str">
        <f>IF(OR(E1543="",E1543="!!!",F1543="NEW"),"",COUNTBLANK(OFFSET(A$1,,,SUMPRODUCT(MAX(ROW(E$2:E1543)*(E1543=E$2:E1543)))))-COUNTBLANK(OFFSET(A$1,,,SUMPRODUCT(MAX(ROW(E$1:E1542)*(E2=E$1:E1542))))))</f>
        <v> </v>
      </c>
      <c r="K1543" s="26" t="str">
        <f>IF(OR(E1543="",E1543="!!!",F1543="NEW"),"",INDEX(J$1:J1542,SUMPRODUCT(MAX(ROW(E$1:E1542)*(E1543=E$1:E1542)))))</f>
        <v> </v>
      </c>
      <c r="L1543" s="27"/>
    </row>
    <row r="1544" spans="1:12">
      <c r="A1544" s="20" t="s">
        <v>611</v>
      </c>
      <c r="E1544" s="22">
        <f>IF(D1544="?OLD","!!!","")</f>
        <v/>
      </c>
      <c r="F1544" s="23" t="str">
        <f>IF(OR(E1544="",E1544="!!!"),"",IF(NOT(ISNA(VLOOKUP(E1544,E$1:E1543,1,FALSE()))),"OLD",IF(AND(E1544&lt;&gt;"",E1544&lt;&gt;"!!!"),"NEW","")))</f>
        <v> </v>
      </c>
      <c r="G1544" s="24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5" t="str">
        <f>IF(J1544&lt;&gt;1,"",IF(I1544="SBJ","CB","?"))</f>
        <v> </v>
      </c>
      <c r="I1544" s="26" t="str">
        <f>IF(OR(E1544="",E1544="!!!",F1544="NEW"),"",INDEX(B1543:B$2,-1+SUMPRODUCT(MAX(ROW(E1543:E$2)*(E1544=E1543:E$2)))))</f>
        <v> </v>
      </c>
      <c r="J1544" s="26" t="str">
        <f>IF(OR(E1544="",E1544="!!!",F1544="NEW"),"",COUNTBLANK(OFFSET(A$1,,,SUMPRODUCT(MAX(ROW(E$2:E1544)*(E1544=E$2:E1544)))))-COUNTBLANK(OFFSET(A$1,,,SUMPRODUCT(MAX(ROW(E$1:E1543)*(E2=E$1:E1543))))))</f>
        <v> </v>
      </c>
      <c r="K1544" s="26" t="str">
        <f>IF(OR(E1544="",E1544="!!!",F1544="NEW"),"",INDEX(J$1:J1543,SUMPRODUCT(MAX(ROW(E$1:E1543)*(E1544=E$1:E1543)))))</f>
        <v> </v>
      </c>
      <c r="L1544" s="27"/>
    </row>
    <row r="1545" spans="1:12">
      <c r="A1545" s="20" t="s">
        <v>1412</v>
      </c>
      <c r="E1545" s="22">
        <f>IF(D1545="?OLD","!!!","")</f>
        <v/>
      </c>
      <c r="F1545" s="23" t="str">
        <f>IF(OR(E1545="",E1545="!!!"),"",IF(NOT(ISNA(VLOOKUP(E1545,E$1:E1544,1,FALSE()))),"OLD",IF(AND(E1545&lt;&gt;"",E1545&lt;&gt;"!!!"),"NEW","")))</f>
        <v> </v>
      </c>
      <c r="G1545" s="24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5" t="str">
        <f>IF(J1545&lt;&gt;1,"",IF(I1545="SBJ","CB","?"))</f>
        <v> </v>
      </c>
      <c r="I1545" s="26" t="str">
        <f>IF(OR(E1545="",E1545="!!!",F1545="NEW"),"",INDEX(B1544:B$2,-1+SUMPRODUCT(MAX(ROW(E1544:E$2)*(E1545=E1544:E$2)))))</f>
        <v> </v>
      </c>
      <c r="J1545" s="26" t="str">
        <f>IF(OR(E1545="",E1545="!!!",F1545="NEW"),"",COUNTBLANK(OFFSET(A$1,,,SUMPRODUCT(MAX(ROW(E$2:E1545)*(E1545=E$2:E1545)))))-COUNTBLANK(OFFSET(A$1,,,SUMPRODUCT(MAX(ROW(E$1:E1544)*(E2=E$1:E1544))))))</f>
        <v> </v>
      </c>
      <c r="K1545" s="26" t="str">
        <f>IF(OR(E1545="",E1545="!!!",F1545="NEW"),"",INDEX(J$1:J1544,SUMPRODUCT(MAX(ROW(E$1:E1544)*(E1545=E$1:E1544)))))</f>
        <v> </v>
      </c>
      <c r="L1545" s="27"/>
    </row>
    <row r="1546" spans="1:12">
      <c r="A1546" s="20" t="s">
        <v>1413</v>
      </c>
      <c r="E1546" s="22">
        <f>IF(D1546="?OLD","!!!","")</f>
        <v/>
      </c>
      <c r="F1546" s="23" t="str">
        <f>IF(OR(E1546="",E1546="!!!"),"",IF(NOT(ISNA(VLOOKUP(E1546,E$1:E1545,1,FALSE()))),"OLD",IF(AND(E1546&lt;&gt;"",E1546&lt;&gt;"!!!"),"NEW","")))</f>
        <v> </v>
      </c>
      <c r="G1546" s="24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5" t="str">
        <f>IF(J1546&lt;&gt;1,"",IF(I1546="SBJ","CB","?"))</f>
        <v> </v>
      </c>
      <c r="I1546" s="26" t="str">
        <f>IF(OR(E1546="",E1546="!!!",F1546="NEW"),"",INDEX(B1545:B$2,-1+SUMPRODUCT(MAX(ROW(E1545:E$2)*(E1546=E1545:E$2)))))</f>
        <v> </v>
      </c>
      <c r="J1546" s="26" t="str">
        <f>IF(OR(E1546="",E1546="!!!",F1546="NEW"),"",COUNTBLANK(OFFSET(A$1,,,SUMPRODUCT(MAX(ROW(E$2:E1546)*(E1546=E$2:E1546)))))-COUNTBLANK(OFFSET(A$1,,,SUMPRODUCT(MAX(ROW(E$1:E1545)*(E2=E$1:E1545))))))</f>
        <v> </v>
      </c>
      <c r="K1546" s="26" t="str">
        <f>IF(OR(E1546="",E1546="!!!",F1546="NEW"),"",INDEX(J$1:J1545,SUMPRODUCT(MAX(ROW(E$1:E1545)*(E1546=E$1:E1545)))))</f>
        <v> </v>
      </c>
      <c r="L1546" s="27"/>
    </row>
    <row r="1547" spans="1:12">
      <c r="A1547" s="20" t="s">
        <v>662</v>
      </c>
      <c r="E1547" s="22">
        <f>IF(D1547="?OLD","!!!","")</f>
        <v/>
      </c>
      <c r="F1547" s="23" t="str">
        <f>IF(OR(E1547="",E1547="!!!"),"",IF(NOT(ISNA(VLOOKUP(E1547,E$1:E1546,1,FALSE()))),"OLD",IF(AND(E1547&lt;&gt;"",E1547&lt;&gt;"!!!"),"NEW","")))</f>
        <v> </v>
      </c>
      <c r="G1547" s="24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5" t="str">
        <f>IF(J1547&lt;&gt;1,"",IF(I1547="SBJ","CB","?"))</f>
        <v> </v>
      </c>
      <c r="I1547" s="26" t="str">
        <f>IF(OR(E1547="",E1547="!!!",F1547="NEW"),"",INDEX(B1546:B$2,-1+SUMPRODUCT(MAX(ROW(E1546:E$2)*(E1547=E1546:E$2)))))</f>
        <v> </v>
      </c>
      <c r="J1547" s="26" t="str">
        <f>IF(OR(E1547="",E1547="!!!",F1547="NEW"),"",COUNTBLANK(OFFSET(A$1,,,SUMPRODUCT(MAX(ROW(E$2:E1547)*(E1547=E$2:E1547)))))-COUNTBLANK(OFFSET(A$1,,,SUMPRODUCT(MAX(ROW(E$1:E1546)*(E2=E$1:E1546))))))</f>
        <v> </v>
      </c>
      <c r="K1547" s="26" t="str">
        <f>IF(OR(E1547="",E1547="!!!",F1547="NEW"),"",INDEX(J$1:J1546,SUMPRODUCT(MAX(ROW(E$1:E1546)*(E1547=E$1:E1546)))))</f>
        <v> </v>
      </c>
      <c r="L1547" s="27"/>
    </row>
    <row r="1548" spans="1:12">
      <c r="A1548" s="20" t="s">
        <v>1414</v>
      </c>
      <c r="B1548" s="21" t="s">
        <v>609</v>
      </c>
      <c r="C1548" s="21" t="s">
        <v>602</v>
      </c>
      <c r="D1548" s="21" t="s">
        <v>603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1415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611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 t="s">
        <v>1416</v>
      </c>
      <c r="E1551" s="22">
        <f>IF(D1551="?OLD","!!!","")</f>
        <v/>
      </c>
      <c r="F1551" s="23" t="str">
        <f>IF(OR(E1551="",E1551="!!!"),"",IF(NOT(ISNA(VLOOKUP(E1551,E$1:E1550,1,FALSE()))),"OLD",IF(AND(E1551&lt;&gt;"",E1551&lt;&gt;"!!!"),"NEW","")))</f>
        <v> </v>
      </c>
      <c r="G1551" s="24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5" t="str">
        <f>IF(J1551&lt;&gt;1,"",IF(I1551="SBJ","CB","?"))</f>
        <v> </v>
      </c>
      <c r="I1551" s="26" t="str">
        <f>IF(OR(E1551="",E1551="!!!",F1551="NEW"),"",INDEX(B1550:B$2,-1+SUMPRODUCT(MAX(ROW(E1550:E$2)*(E1551=E1550:E$2)))))</f>
        <v> </v>
      </c>
      <c r="J1551" s="26" t="str">
        <f>IF(OR(E1551="",E1551="!!!",F1551="NEW"),"",COUNTBLANK(OFFSET(A$1,,,SUMPRODUCT(MAX(ROW(E$2:E1551)*(E1551=E$2:E1551)))))-COUNTBLANK(OFFSET(A$1,,,SUMPRODUCT(MAX(ROW(E$1:E1550)*(E2=E$1:E1550))))))</f>
        <v> </v>
      </c>
      <c r="K1551" s="26" t="str">
        <f>IF(OR(E1551="",E1551="!!!",F1551="NEW"),"",INDEX(J$1:J1550,SUMPRODUCT(MAX(ROW(E$1:E1550)*(E1551=E$1:E1550)))))</f>
        <v> </v>
      </c>
      <c r="L1551" s="27"/>
    </row>
    <row r="1552" spans="1:12">
      <c r="A1552" s="20" t="s">
        <v>1417</v>
      </c>
      <c r="E1552" s="22">
        <f>IF(D1552="?OLD","!!!","")</f>
        <v/>
      </c>
      <c r="F1552" s="23" t="str">
        <f>IF(OR(E1552="",E1552="!!!"),"",IF(NOT(ISNA(VLOOKUP(E1552,E$1:E1551,1,FALSE()))),"OLD",IF(AND(E1552&lt;&gt;"",E1552&lt;&gt;"!!!"),"NEW","")))</f>
        <v> </v>
      </c>
      <c r="G1552" s="24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5" t="str">
        <f>IF(J1552&lt;&gt;1,"",IF(I1552="SBJ","CB","?"))</f>
        <v> </v>
      </c>
      <c r="I1552" s="26" t="str">
        <f>IF(OR(E1552="",E1552="!!!",F1552="NEW"),"",INDEX(B1551:B$2,-1+SUMPRODUCT(MAX(ROW(E1551:E$2)*(E1552=E1551:E$2)))))</f>
        <v> </v>
      </c>
      <c r="J1552" s="26" t="str">
        <f>IF(OR(E1552="",E1552="!!!",F1552="NEW"),"",COUNTBLANK(OFFSET(A$1,,,SUMPRODUCT(MAX(ROW(E$2:E1552)*(E1552=E$2:E1552)))))-COUNTBLANK(OFFSET(A$1,,,SUMPRODUCT(MAX(ROW(E$1:E1551)*(E2=E$1:E1551))))))</f>
        <v> </v>
      </c>
      <c r="K1552" s="26" t="str">
        <f>IF(OR(E1552="",E1552="!!!",F1552="NEW"),"",INDEX(J$1:J1551,SUMPRODUCT(MAX(ROW(E$1:E1551)*(E1552=E$1:E1551)))))</f>
        <v> </v>
      </c>
      <c r="L1552" s="27"/>
    </row>
    <row r="1553" spans="1:12">
      <c r="A1553" s="20" t="s">
        <v>1418</v>
      </c>
      <c r="E1553" s="22">
        <f>IF(D1553="?OLD","!!!","")</f>
        <v/>
      </c>
      <c r="F1553" s="23" t="str">
        <f>IF(OR(E1553="",E1553="!!!"),"",IF(NOT(ISNA(VLOOKUP(E1553,E$1:E1552,1,FALSE()))),"OLD",IF(AND(E1553&lt;&gt;"",E1553&lt;&gt;"!!!"),"NEW","")))</f>
        <v> </v>
      </c>
      <c r="G1553" s="24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5" t="str">
        <f>IF(J1553&lt;&gt;1,"",IF(I1553="SBJ","CB","?"))</f>
        <v> </v>
      </c>
      <c r="I1553" s="26" t="str">
        <f>IF(OR(E1553="",E1553="!!!",F1553="NEW"),"",INDEX(B1552:B$2,-1+SUMPRODUCT(MAX(ROW(E1552:E$2)*(E1553=E1552:E$2)))))</f>
        <v> </v>
      </c>
      <c r="J1553" s="26" t="str">
        <f>IF(OR(E1553="",E1553="!!!",F1553="NEW"),"",COUNTBLANK(OFFSET(A$1,,,SUMPRODUCT(MAX(ROW(E$2:E1553)*(E1553=E$2:E1553)))))-COUNTBLANK(OFFSET(A$1,,,SUMPRODUCT(MAX(ROW(E$1:E1552)*(E2=E$1:E1552))))))</f>
        <v> </v>
      </c>
      <c r="K1553" s="26" t="str">
        <f>IF(OR(E1553="",E1553="!!!",F1553="NEW"),"",INDEX(J$1:J1552,SUMPRODUCT(MAX(ROW(E$1:E1552)*(E1553=E$1:E1552)))))</f>
        <v> </v>
      </c>
      <c r="L1553" s="27"/>
    </row>
    <row r="1554" spans="1:12">
      <c r="A1554" s="20" t="s">
        <v>1419</v>
      </c>
      <c r="E1554" s="22">
        <f>IF(D1554="?OLD","!!!","")</f>
        <v/>
      </c>
      <c r="F1554" s="23" t="str">
        <f>IF(OR(E1554="",E1554="!!!"),"",IF(NOT(ISNA(VLOOKUP(E1554,E$1:E1553,1,FALSE()))),"OLD",IF(AND(E1554&lt;&gt;"",E1554&lt;&gt;"!!!"),"NEW","")))</f>
        <v> </v>
      </c>
      <c r="G1554" s="24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5" t="str">
        <f>IF(J1554&lt;&gt;1,"",IF(I1554="SBJ","CB","?"))</f>
        <v> </v>
      </c>
      <c r="I1554" s="26" t="str">
        <f>IF(OR(E1554="",E1554="!!!",F1554="NEW"),"",INDEX(B1553:B$2,-1+SUMPRODUCT(MAX(ROW(E1553:E$2)*(E1554=E1553:E$2)))))</f>
        <v> </v>
      </c>
      <c r="J1554" s="26" t="str">
        <f>IF(OR(E1554="",E1554="!!!",F1554="NEW"),"",COUNTBLANK(OFFSET(A$1,,,SUMPRODUCT(MAX(ROW(E$2:E1554)*(E1554=E$2:E1554)))))-COUNTBLANK(OFFSET(A$1,,,SUMPRODUCT(MAX(ROW(E$1:E1553)*(E2=E$1:E1553))))))</f>
        <v> </v>
      </c>
      <c r="K1554" s="26" t="str">
        <f>IF(OR(E1554="",E1554="!!!",F1554="NEW"),"",INDEX(J$1:J1553,SUMPRODUCT(MAX(ROW(E$1:E1553)*(E1554=E$1:E1553)))))</f>
        <v> </v>
      </c>
      <c r="L1554" s="27"/>
    </row>
    <row r="1555" spans="1:12">
      <c r="A1555" s="20" t="s">
        <v>1420</v>
      </c>
      <c r="B1555" s="21" t="s">
        <v>636</v>
      </c>
      <c r="C1555" s="21" t="s">
        <v>644</v>
      </c>
      <c r="D1555" s="21" t="s">
        <v>603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 t="s">
        <v>1421</v>
      </c>
      <c r="E1556" s="22">
        <f>IF(D1556="?OLD","!!!","")</f>
        <v/>
      </c>
      <c r="F1556" s="23" t="str">
        <f>IF(OR(E1556="",E1556="!!!"),"",IF(NOT(ISNA(VLOOKUP(E1556,E$1:E1555,1,FALSE()))),"OLD",IF(AND(E1556&lt;&gt;"",E1556&lt;&gt;"!!!"),"NEW","")))</f>
        <v> </v>
      </c>
      <c r="G1556" s="24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5" t="str">
        <f>IF(J1556&lt;&gt;1,"",IF(I1556="SBJ","CB","?"))</f>
        <v> </v>
      </c>
      <c r="I1556" s="26" t="str">
        <f>IF(OR(E1556="",E1556="!!!",F1556="NEW"),"",INDEX(B1555:B$2,-1+SUMPRODUCT(MAX(ROW(E1555:E$2)*(E1556=E1555:E$2)))))</f>
        <v> </v>
      </c>
      <c r="J1556" s="26" t="str">
        <f>IF(OR(E1556="",E1556="!!!",F1556="NEW"),"",COUNTBLANK(OFFSET(A$1,,,SUMPRODUCT(MAX(ROW(E$2:E1556)*(E1556=E$2:E1556)))))-COUNTBLANK(OFFSET(A$1,,,SUMPRODUCT(MAX(ROW(E$1:E1555)*(E2=E$1:E1555))))))</f>
        <v> </v>
      </c>
      <c r="K1556" s="26" t="str">
        <f>IF(OR(E1556="",E1556="!!!",F1556="NEW"),"",INDEX(J$1:J1555,SUMPRODUCT(MAX(ROW(E$1:E1555)*(E1556=E$1:E1555)))))</f>
        <v> </v>
      </c>
      <c r="L1556" s="27"/>
    </row>
    <row r="1557" spans="1:12">
      <c r="A1557" s="20" t="s">
        <v>1099</v>
      </c>
      <c r="E1557" s="22">
        <f>IF(D1557="?OLD","!!!","")</f>
        <v/>
      </c>
      <c r="F1557" s="23" t="str">
        <f>IF(OR(E1557="",E1557="!!!"),"",IF(NOT(ISNA(VLOOKUP(E1557,E$1:E1556,1,FALSE()))),"OLD",IF(AND(E1557&lt;&gt;"",E1557&lt;&gt;"!!!"),"NEW","")))</f>
        <v> </v>
      </c>
      <c r="G1557" s="24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5" t="str">
        <f>IF(J1557&lt;&gt;1,"",IF(I1557="SBJ","CB","?"))</f>
        <v> </v>
      </c>
      <c r="I1557" s="26" t="str">
        <f>IF(OR(E1557="",E1557="!!!",F1557="NEW"),"",INDEX(B1556:B$2,-1+SUMPRODUCT(MAX(ROW(E1556:E$2)*(E1557=E1556:E$2)))))</f>
        <v> </v>
      </c>
      <c r="J1557" s="26" t="str">
        <f>IF(OR(E1557="",E1557="!!!",F1557="NEW"),"",COUNTBLANK(OFFSET(A$1,,,SUMPRODUCT(MAX(ROW(E$2:E1557)*(E1557=E$2:E1557)))))-COUNTBLANK(OFFSET(A$1,,,SUMPRODUCT(MAX(ROW(E$1:E1556)*(E2=E$1:E1556))))))</f>
        <v> </v>
      </c>
      <c r="K1557" s="26" t="str">
        <f>IF(OR(E1557="",E1557="!!!",F1557="NEW"),"",INDEX(J$1:J1556,SUMPRODUCT(MAX(ROW(E$1:E1556)*(E1557=E$1:E1556)))))</f>
        <v> </v>
      </c>
      <c r="L1557" s="27"/>
    </row>
    <row r="1558" spans="1:12">
      <c r="A1558" s="20" t="s">
        <v>1422</v>
      </c>
      <c r="E1558" s="22">
        <f>IF(D1558="?OLD","!!!","")</f>
        <v/>
      </c>
      <c r="F1558" s="23" t="str">
        <f>IF(OR(E1558="",E1558="!!!"),"",IF(NOT(ISNA(VLOOKUP(E1558,E$1:E1557,1,FALSE()))),"OLD",IF(AND(E1558&lt;&gt;"",E1558&lt;&gt;"!!!"),"NEW","")))</f>
        <v> </v>
      </c>
      <c r="G1558" s="24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5" t="str">
        <f>IF(J1558&lt;&gt;1,"",IF(I1558="SBJ","CB","?"))</f>
        <v> </v>
      </c>
      <c r="I1558" s="26" t="str">
        <f>IF(OR(E1558="",E1558="!!!",F1558="NEW"),"",INDEX(B1557:B$2,-1+SUMPRODUCT(MAX(ROW(E1557:E$2)*(E1558=E1557:E$2)))))</f>
        <v> </v>
      </c>
      <c r="J1558" s="26" t="str">
        <f>IF(OR(E1558="",E1558="!!!",F1558="NEW"),"",COUNTBLANK(OFFSET(A$1,,,SUMPRODUCT(MAX(ROW(E$2:E1558)*(E1558=E$2:E1558)))))-COUNTBLANK(OFFSET(A$1,,,SUMPRODUCT(MAX(ROW(E$1:E1557)*(E2=E$1:E1557))))))</f>
        <v> </v>
      </c>
      <c r="K1558" s="26" t="str">
        <f>IF(OR(E1558="",E1558="!!!",F1558="NEW"),"",INDEX(J$1:J1557,SUMPRODUCT(MAX(ROW(E$1:E1557)*(E1558=E$1:E1557)))))</f>
        <v> </v>
      </c>
      <c r="L1558" s="27"/>
    </row>
    <row r="1559" spans="1:12">
      <c r="A1559" s="20" t="s">
        <v>1423</v>
      </c>
      <c r="B1559" s="21" t="s">
        <v>804</v>
      </c>
      <c r="C1559" s="21" t="s">
        <v>716</v>
      </c>
      <c r="D1559" s="21" t="s">
        <v>603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611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607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 t="s">
        <v>1424</v>
      </c>
      <c r="B1562" s="21" t="s">
        <v>1349</v>
      </c>
      <c r="C1562" s="21" t="s">
        <v>614</v>
      </c>
      <c r="E1562" s="22">
        <f>IF(D1562="?OLD","!!!","")</f>
        <v/>
      </c>
      <c r="F1562" s="23" t="str">
        <f>IF(OR(E1562="",E1562="!!!"),"",IF(NOT(ISNA(VLOOKUP(E1562,E$1:E1561,1,FALSE()))),"OLD",IF(AND(E1562&lt;&gt;"",E1562&lt;&gt;"!!!"),"NEW","")))</f>
        <v> </v>
      </c>
      <c r="G1562" s="24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5" t="str">
        <f>IF(J1562&lt;&gt;1,"",IF(I1562="SBJ","CB","?"))</f>
        <v> </v>
      </c>
      <c r="I1562" s="26" t="str">
        <f>IF(OR(E1562="",E1562="!!!",F1562="NEW"),"",INDEX(B1561:B$2,-1+SUMPRODUCT(MAX(ROW(E1561:E$2)*(E1562=E1561:E$2)))))</f>
        <v> </v>
      </c>
      <c r="J1562" s="26" t="str">
        <f>IF(OR(E1562="",E1562="!!!",F1562="NEW"),"",COUNTBLANK(OFFSET(A$1,,,SUMPRODUCT(MAX(ROW(E$2:E1562)*(E1562=E$2:E1562)))))-COUNTBLANK(OFFSET(A$1,,,SUMPRODUCT(MAX(ROW(E$1:E1561)*(E2=E$1:E1561))))))</f>
        <v> </v>
      </c>
      <c r="K1562" s="26" t="str">
        <f>IF(OR(E1562="",E1562="!!!",F1562="NEW"),"",INDEX(J$1:J1561,SUMPRODUCT(MAX(ROW(E$1:E1561)*(E1562=E$1:E1561)))))</f>
        <v> </v>
      </c>
      <c r="L1562" s="27"/>
    </row>
    <row r="1563" spans="1:12">
      <c r="A1563" s="20" t="s">
        <v>927</v>
      </c>
      <c r="B1563" s="21" t="s">
        <v>868</v>
      </c>
      <c r="C1563" s="21" t="s">
        <v>602</v>
      </c>
      <c r="D1563" s="21" t="s">
        <v>603</v>
      </c>
      <c r="E1563" s="22">
        <f>IF(D1563="?OLD","!!!","")</f>
        <v/>
      </c>
      <c r="F1563" s="23" t="str">
        <f>IF(OR(E1563="",E1563="!!!"),"",IF(NOT(ISNA(VLOOKUP(E1563,E$1:E1562,1,FALSE()))),"OLD",IF(AND(E1563&lt;&gt;"",E1563&lt;&gt;"!!!"),"NEW","")))</f>
        <v> </v>
      </c>
      <c r="G1563" s="24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5" t="str">
        <f>IF(J1563&lt;&gt;1,"",IF(I1563="SBJ","CB","?"))</f>
        <v> </v>
      </c>
      <c r="I1563" s="26" t="str">
        <f>IF(OR(E1563="",E1563="!!!",F1563="NEW"),"",INDEX(B1562:B$2,-1+SUMPRODUCT(MAX(ROW(E1562:E$2)*(E1563=E1562:E$2)))))</f>
        <v> </v>
      </c>
      <c r="J1563" s="26" t="str">
        <f>IF(OR(E1563="",E1563="!!!",F1563="NEW"),"",COUNTBLANK(OFFSET(A$1,,,SUMPRODUCT(MAX(ROW(E$2:E1563)*(E1563=E$2:E1563)))))-COUNTBLANK(OFFSET(A$1,,,SUMPRODUCT(MAX(ROW(E$1:E1562)*(E2=E$1:E1562))))))</f>
        <v> </v>
      </c>
      <c r="K1563" s="26" t="str">
        <f>IF(OR(E1563="",E1563="!!!",F1563="NEW"),"",INDEX(J$1:J1562,SUMPRODUCT(MAX(ROW(E$1:E1562)*(E1563=E$1:E1562)))))</f>
        <v> </v>
      </c>
      <c r="L1563" s="27"/>
    </row>
    <row r="1564" spans="1:12">
      <c r="A1564" s="20" t="s">
        <v>1425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 t="s">
        <v>1426</v>
      </c>
      <c r="E1565" s="22">
        <f>IF(D1565="?OLD","!!!","")</f>
        <v/>
      </c>
      <c r="F1565" s="23" t="str">
        <f>IF(OR(E1565="",E1565="!!!"),"",IF(NOT(ISNA(VLOOKUP(E1565,E$1:E1564,1,FALSE()))),"OLD",IF(AND(E1565&lt;&gt;"",E1565&lt;&gt;"!!!"),"NEW","")))</f>
        <v> </v>
      </c>
      <c r="G1565" s="24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5" t="str">
        <f>IF(J1565&lt;&gt;1,"",IF(I1565="SBJ","CB","?"))</f>
        <v> </v>
      </c>
      <c r="I1565" s="26" t="str">
        <f>IF(OR(E1565="",E1565="!!!",F1565="NEW"),"",INDEX(B1564:B$2,-1+SUMPRODUCT(MAX(ROW(E1564:E$2)*(E1565=E1564:E$2)))))</f>
        <v> </v>
      </c>
      <c r="J1565" s="26" t="str">
        <f>IF(OR(E1565="",E1565="!!!",F1565="NEW"),"",COUNTBLANK(OFFSET(A$1,,,SUMPRODUCT(MAX(ROW(E$2:E1565)*(E1565=E$2:E1565)))))-COUNTBLANK(OFFSET(A$1,,,SUMPRODUCT(MAX(ROW(E$1:E1564)*(E2=E$1:E1564))))))</f>
        <v> </v>
      </c>
      <c r="K1565" s="26" t="str">
        <f>IF(OR(E1565="",E1565="!!!",F1565="NEW"),"",INDEX(J$1:J1564,SUMPRODUCT(MAX(ROW(E$1:E1564)*(E1565=E$1:E1564)))))</f>
        <v> </v>
      </c>
      <c r="L1565" s="27"/>
    </row>
    <row r="1566" spans="1:12">
      <c r="A1566" s="20" t="s">
        <v>633</v>
      </c>
      <c r="E1566" s="22">
        <f>IF(D1566="?OLD","!!!","")</f>
        <v/>
      </c>
      <c r="F1566" s="23" t="str">
        <f>IF(OR(E1566="",E1566="!!!"),"",IF(NOT(ISNA(VLOOKUP(E1566,E$1:E1565,1,FALSE()))),"OLD",IF(AND(E1566&lt;&gt;"",E1566&lt;&gt;"!!!"),"NEW","")))</f>
        <v> </v>
      </c>
      <c r="G1566" s="24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5" t="str">
        <f>IF(J1566&lt;&gt;1,"",IF(I1566="SBJ","CB","?"))</f>
        <v> </v>
      </c>
      <c r="I1566" s="26" t="str">
        <f>IF(OR(E1566="",E1566="!!!",F1566="NEW"),"",INDEX(B1565:B$2,-1+SUMPRODUCT(MAX(ROW(E1565:E$2)*(E1566=E1565:E$2)))))</f>
        <v> </v>
      </c>
      <c r="J1566" s="26" t="str">
        <f>IF(OR(E1566="",E1566="!!!",F1566="NEW"),"",COUNTBLANK(OFFSET(A$1,,,SUMPRODUCT(MAX(ROW(E$2:E1566)*(E1566=E$2:E1566)))))-COUNTBLANK(OFFSET(A$1,,,SUMPRODUCT(MAX(ROW(E$1:E1565)*(E2=E$1:E1565))))))</f>
        <v> </v>
      </c>
      <c r="K1566" s="26" t="str">
        <f>IF(OR(E1566="",E1566="!!!",F1566="NEW"),"",INDEX(J$1:J1565,SUMPRODUCT(MAX(ROW(E$1:E1565)*(E1566=E$1:E1565)))))</f>
        <v> </v>
      </c>
      <c r="L1566" s="27"/>
    </row>
    <row r="1567" spans="1:12">
      <c r="A1567" s="20"/>
    </row>
    <row r="1568" spans="1:12">
      <c r="A1568" s="20" t="s">
        <v>1427</v>
      </c>
    </row>
    <row r="1569" spans="1:12">
      <c r="A1569" s="20" t="s">
        <v>1428</v>
      </c>
      <c r="B1569" s="21" t="s">
        <v>640</v>
      </c>
      <c r="C1569" s="21" t="s">
        <v>723</v>
      </c>
      <c r="D1569" s="21" t="s">
        <v>603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1065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611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 t="s">
        <v>662</v>
      </c>
      <c r="E1572" s="22">
        <f>IF(D1572="?OLD","!!!","")</f>
        <v/>
      </c>
      <c r="F1572" s="23" t="str">
        <f>IF(OR(E1572="",E1572="!!!"),"",IF(NOT(ISNA(VLOOKUP(E1572,E$1:E1571,1,FALSE()))),"OLD",IF(AND(E1572&lt;&gt;"",E1572&lt;&gt;"!!!"),"NEW","")))</f>
        <v> </v>
      </c>
      <c r="G1572" s="24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5" t="str">
        <f>IF(J1572&lt;&gt;1,"",IF(I1572="SBJ","CB","?"))</f>
        <v> </v>
      </c>
      <c r="I1572" s="26" t="str">
        <f>IF(OR(E1572="",E1572="!!!",F1572="NEW"),"",INDEX(B1571:B$2,-1+SUMPRODUCT(MAX(ROW(E1571:E$2)*(E1572=E1571:E$2)))))</f>
        <v> </v>
      </c>
      <c r="J1572" s="26" t="str">
        <f>IF(OR(E1572="",E1572="!!!",F1572="NEW"),"",COUNTBLANK(OFFSET(A$1,,,SUMPRODUCT(MAX(ROW(E$2:E1572)*(E1572=E$2:E1572)))))-COUNTBLANK(OFFSET(A$1,,,SUMPRODUCT(MAX(ROW(E$1:E1571)*(E2=E$1:E1571))))))</f>
        <v> </v>
      </c>
      <c r="K1572" s="26" t="str">
        <f>IF(OR(E1572="",E1572="!!!",F1572="NEW"),"",INDEX(J$1:J1571,SUMPRODUCT(MAX(ROW(E$1:E1571)*(E1572=E$1:E1571)))))</f>
        <v> </v>
      </c>
      <c r="L1572" s="27"/>
    </row>
    <row r="1573" spans="1:12">
      <c r="A1573" s="20" t="s">
        <v>1429</v>
      </c>
      <c r="E1573" s="22">
        <f>IF(D1573="?OLD","!!!","")</f>
        <v/>
      </c>
      <c r="F1573" s="23" t="str">
        <f>IF(OR(E1573="",E1573="!!!"),"",IF(NOT(ISNA(VLOOKUP(E1573,E$1:E1572,1,FALSE()))),"OLD",IF(AND(E1573&lt;&gt;"",E1573&lt;&gt;"!!!"),"NEW","")))</f>
        <v> </v>
      </c>
      <c r="G1573" s="24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5" t="str">
        <f>IF(J1573&lt;&gt;1,"",IF(I1573="SBJ","CB","?"))</f>
        <v> </v>
      </c>
      <c r="I1573" s="26" t="str">
        <f>IF(OR(E1573="",E1573="!!!",F1573="NEW"),"",INDEX(B1572:B$2,-1+SUMPRODUCT(MAX(ROW(E1572:E$2)*(E1573=E1572:E$2)))))</f>
        <v> </v>
      </c>
      <c r="J1573" s="26" t="str">
        <f>IF(OR(E1573="",E1573="!!!",F1573="NEW"),"",COUNTBLANK(OFFSET(A$1,,,SUMPRODUCT(MAX(ROW(E$2:E1573)*(E1573=E$2:E1573)))))-COUNTBLANK(OFFSET(A$1,,,SUMPRODUCT(MAX(ROW(E$1:E1572)*(E2=E$1:E1572))))))</f>
        <v> </v>
      </c>
      <c r="K1573" s="26" t="str">
        <f>IF(OR(E1573="",E1573="!!!",F1573="NEW"),"",INDEX(J$1:J1572,SUMPRODUCT(MAX(ROW(E$1:E1572)*(E1573=E$1:E1572)))))</f>
        <v> </v>
      </c>
      <c r="L1573" s="27"/>
    </row>
    <row r="1574" spans="1:12">
      <c r="A1574" s="20" t="s">
        <v>611</v>
      </c>
      <c r="E1574" s="22">
        <f>IF(D1574="?OLD","!!!","")</f>
        <v/>
      </c>
      <c r="F1574" s="23" t="str">
        <f>IF(OR(E1574="",E1574="!!!"),"",IF(NOT(ISNA(VLOOKUP(E1574,E$1:E1573,1,FALSE()))),"OLD",IF(AND(E1574&lt;&gt;"",E1574&lt;&gt;"!!!"),"NEW","")))</f>
        <v> </v>
      </c>
      <c r="G1574" s="24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5" t="str">
        <f>IF(J1574&lt;&gt;1,"",IF(I1574="SBJ","CB","?"))</f>
        <v> </v>
      </c>
      <c r="I1574" s="26" t="str">
        <f>IF(OR(E1574="",E1574="!!!",F1574="NEW"),"",INDEX(B1573:B$2,-1+SUMPRODUCT(MAX(ROW(E1573:E$2)*(E1574=E1573:E$2)))))</f>
        <v> </v>
      </c>
      <c r="J1574" s="26" t="str">
        <f>IF(OR(E1574="",E1574="!!!",F1574="NEW"),"",COUNTBLANK(OFFSET(A$1,,,SUMPRODUCT(MAX(ROW(E$2:E1574)*(E1574=E$2:E1574)))))-COUNTBLANK(OFFSET(A$1,,,SUMPRODUCT(MAX(ROW(E$1:E1573)*(E2=E$1:E1573))))))</f>
        <v> </v>
      </c>
      <c r="K1574" s="26" t="str">
        <f>IF(OR(E1574="",E1574="!!!",F1574="NEW"),"",INDEX(J$1:J1573,SUMPRODUCT(MAX(ROW(E$1:E1573)*(E1574=E$1:E1573)))))</f>
        <v> </v>
      </c>
      <c r="L1574" s="27"/>
    </row>
    <row r="1575" spans="1:12">
      <c r="A1575" s="20" t="s">
        <v>1430</v>
      </c>
      <c r="E1575" s="22">
        <f>IF(D1575="?OLD","!!!","")</f>
        <v/>
      </c>
      <c r="F1575" s="23" t="str">
        <f>IF(OR(E1575="",E1575="!!!"),"",IF(NOT(ISNA(VLOOKUP(E1575,E$1:E1574,1,FALSE()))),"OLD",IF(AND(E1575&lt;&gt;"",E1575&lt;&gt;"!!!"),"NEW","")))</f>
        <v> </v>
      </c>
      <c r="G1575" s="24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5" t="str">
        <f>IF(J1575&lt;&gt;1,"",IF(I1575="SBJ","CB","?"))</f>
        <v> </v>
      </c>
      <c r="I1575" s="26" t="str">
        <f>IF(OR(E1575="",E1575="!!!",F1575="NEW"),"",INDEX(B1574:B$2,-1+SUMPRODUCT(MAX(ROW(E1574:E$2)*(E1575=E1574:E$2)))))</f>
        <v> </v>
      </c>
      <c r="J1575" s="26" t="str">
        <f>IF(OR(E1575="",E1575="!!!",F1575="NEW"),"",COUNTBLANK(OFFSET(A$1,,,SUMPRODUCT(MAX(ROW(E$2:E1575)*(E1575=E$2:E1575)))))-COUNTBLANK(OFFSET(A$1,,,SUMPRODUCT(MAX(ROW(E$1:E1574)*(E2=E$1:E1574))))))</f>
        <v> </v>
      </c>
      <c r="K1575" s="26" t="str">
        <f>IF(OR(E1575="",E1575="!!!",F1575="NEW"),"",INDEX(J$1:J1574,SUMPRODUCT(MAX(ROW(E$1:E1574)*(E1575=E$1:E1574)))))</f>
        <v> </v>
      </c>
      <c r="L1575" s="27"/>
    </row>
    <row r="1576" spans="1:12">
      <c r="A1576" s="20" t="s">
        <v>1431</v>
      </c>
      <c r="B1576" s="21" t="s">
        <v>601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878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 t="s">
        <v>866</v>
      </c>
      <c r="E1578" s="22">
        <f>IF(D1578="?OLD","!!!","")</f>
        <v/>
      </c>
      <c r="F1578" s="23" t="str">
        <f>IF(OR(E1578="",E1578="!!!"),"",IF(NOT(ISNA(VLOOKUP(E1578,E$1:E1577,1,FALSE()))),"OLD",IF(AND(E1578&lt;&gt;"",E1578&lt;&gt;"!!!"),"NEW","")))</f>
        <v> </v>
      </c>
      <c r="G1578" s="24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5" t="str">
        <f>IF(J1578&lt;&gt;1,"",IF(I1578="SBJ","CB","?"))</f>
        <v> </v>
      </c>
      <c r="I1578" s="26" t="str">
        <f>IF(OR(E1578="",E1578="!!!",F1578="NEW"),"",INDEX(B1577:B$2,-1+SUMPRODUCT(MAX(ROW(E1577:E$2)*(E1578=E1577:E$2)))))</f>
        <v> </v>
      </c>
      <c r="J1578" s="26" t="str">
        <f>IF(OR(E1578="",E1578="!!!",F1578="NEW"),"",COUNTBLANK(OFFSET(A$1,,,SUMPRODUCT(MAX(ROW(E$2:E1578)*(E1578=E$2:E1578)))))-COUNTBLANK(OFFSET(A$1,,,SUMPRODUCT(MAX(ROW(E$1:E1577)*(E2=E$1:E1577))))))</f>
        <v> </v>
      </c>
      <c r="K1578" s="26" t="str">
        <f>IF(OR(E1578="",E1578="!!!",F1578="NEW"),"",INDEX(J$1:J1577,SUMPRODUCT(MAX(ROW(E$1:E1577)*(E1578=E$1:E1577)))))</f>
        <v> </v>
      </c>
      <c r="L1578" s="27"/>
    </row>
    <row r="1579" spans="1:12">
      <c r="A1579" s="20" t="s">
        <v>628</v>
      </c>
      <c r="E1579" s="22">
        <f>IF(D1579="?OLD","!!!","")</f>
        <v/>
      </c>
      <c r="F1579" s="23" t="str">
        <f>IF(OR(E1579="",E1579="!!!"),"",IF(NOT(ISNA(VLOOKUP(E1579,E$1:E1578,1,FALSE()))),"OLD",IF(AND(E1579&lt;&gt;"",E1579&lt;&gt;"!!!"),"NEW","")))</f>
        <v> </v>
      </c>
      <c r="G1579" s="24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5" t="str">
        <f>IF(J1579&lt;&gt;1,"",IF(I1579="SBJ","CB","?"))</f>
        <v> </v>
      </c>
      <c r="I1579" s="26" t="str">
        <f>IF(OR(E1579="",E1579="!!!",F1579="NEW"),"",INDEX(B1578:B$2,-1+SUMPRODUCT(MAX(ROW(E1578:E$2)*(E1579=E1578:E$2)))))</f>
        <v> </v>
      </c>
      <c r="J1579" s="26" t="str">
        <f>IF(OR(E1579="",E1579="!!!",F1579="NEW"),"",COUNTBLANK(OFFSET(A$1,,,SUMPRODUCT(MAX(ROW(E$2:E1579)*(E1579=E$2:E1579)))))-COUNTBLANK(OFFSET(A$1,,,SUMPRODUCT(MAX(ROW(E$1:E1578)*(E2=E$1:E1578))))))</f>
        <v> </v>
      </c>
      <c r="K1579" s="26" t="str">
        <f>IF(OR(E1579="",E1579="!!!",F1579="NEW"),"",INDEX(J$1:J1578,SUMPRODUCT(MAX(ROW(E$1:E1578)*(E1579=E$1:E1578)))))</f>
        <v> </v>
      </c>
      <c r="L1579" s="27"/>
    </row>
    <row r="1580" spans="1:12">
      <c r="A1580" s="20" t="s">
        <v>1432</v>
      </c>
      <c r="E1580" s="22">
        <f>IF(D1580="?OLD","!!!","")</f>
        <v/>
      </c>
      <c r="F1580" s="23" t="str">
        <f>IF(OR(E1580="",E1580="!!!"),"",IF(NOT(ISNA(VLOOKUP(E1580,E$1:E1579,1,FALSE()))),"OLD",IF(AND(E1580&lt;&gt;"",E1580&lt;&gt;"!!!"),"NEW","")))</f>
        <v> </v>
      </c>
      <c r="G1580" s="24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5" t="str">
        <f>IF(J1580&lt;&gt;1,"",IF(I1580="SBJ","CB","?"))</f>
        <v> </v>
      </c>
      <c r="I1580" s="26" t="str">
        <f>IF(OR(E1580="",E1580="!!!",F1580="NEW"),"",INDEX(B1579:B$2,-1+SUMPRODUCT(MAX(ROW(E1579:E$2)*(E1580=E1579:E$2)))))</f>
        <v> </v>
      </c>
      <c r="J1580" s="26" t="str">
        <f>IF(OR(E1580="",E1580="!!!",F1580="NEW"),"",COUNTBLANK(OFFSET(A$1,,,SUMPRODUCT(MAX(ROW(E$2:E1580)*(E1580=E$2:E1580)))))-COUNTBLANK(OFFSET(A$1,,,SUMPRODUCT(MAX(ROW(E$1:E1579)*(E2=E$1:E1579))))))</f>
        <v> </v>
      </c>
      <c r="K1580" s="26" t="str">
        <f>IF(OR(E1580="",E1580="!!!",F1580="NEW"),"",INDEX(J$1:J1579,SUMPRODUCT(MAX(ROW(E$1:E1579)*(E1580=E$1:E1579)))))</f>
        <v> </v>
      </c>
      <c r="L1580" s="27"/>
    </row>
    <row r="1581" spans="1:12">
      <c r="A1581" s="20" t="s">
        <v>633</v>
      </c>
      <c r="E1581" s="22">
        <f>IF(D1581="?OLD","!!!","")</f>
        <v/>
      </c>
      <c r="F1581" s="23" t="str">
        <f>IF(OR(E1581="",E1581="!!!"),"",IF(NOT(ISNA(VLOOKUP(E1581,E$1:E1580,1,FALSE()))),"OLD",IF(AND(E1581&lt;&gt;"",E1581&lt;&gt;"!!!"),"NEW","")))</f>
        <v> </v>
      </c>
      <c r="G1581" s="24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5" t="str">
        <f>IF(J1581&lt;&gt;1,"",IF(I1581="SBJ","CB","?"))</f>
        <v> </v>
      </c>
      <c r="I1581" s="26" t="str">
        <f>IF(OR(E1581="",E1581="!!!",F1581="NEW"),"",INDEX(B1580:B$2,-1+SUMPRODUCT(MAX(ROW(E1580:E$2)*(E1581=E1580:E$2)))))</f>
        <v> </v>
      </c>
      <c r="J1581" s="26" t="str">
        <f>IF(OR(E1581="",E1581="!!!",F1581="NEW"),"",COUNTBLANK(OFFSET(A$1,,,SUMPRODUCT(MAX(ROW(E$2:E1581)*(E1581=E$2:E1581)))))-COUNTBLANK(OFFSET(A$1,,,SUMPRODUCT(MAX(ROW(E$1:E1580)*(E2=E$1:E1580))))))</f>
        <v> </v>
      </c>
      <c r="K1581" s="26" t="str">
        <f>IF(OR(E1581="",E1581="!!!",F1581="NEW"),"",INDEX(J$1:J1580,SUMPRODUCT(MAX(ROW(E$1:E1580)*(E1581=E$1:E1580)))))</f>
        <v> </v>
      </c>
      <c r="L1581" s="27"/>
    </row>
    <row r="1582" spans="1:12">
      <c r="A1582" s="20"/>
    </row>
    <row r="1583" spans="1:12">
      <c r="A1583" s="20" t="s">
        <v>1433</v>
      </c>
    </row>
    <row r="1584" spans="1:12">
      <c r="A1584" s="20" t="s">
        <v>817</v>
      </c>
      <c r="E1584" s="22">
        <f>IF(D1584="?OLD","!!!","")</f>
        <v/>
      </c>
      <c r="F1584" s="23" t="str">
        <f>IF(OR(E1584="",E1584="!!!"),"",IF(NOT(ISNA(VLOOKUP(E1584,E$1:E1583,1,FALSE()))),"OLD",IF(AND(E1584&lt;&gt;"",E1584&lt;&gt;"!!!"),"NEW","")))</f>
        <v> </v>
      </c>
      <c r="G1584" s="24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5" t="str">
        <f>IF(J1584&lt;&gt;1,"",IF(I1584="SBJ","CB","?"))</f>
        <v> </v>
      </c>
      <c r="I1584" s="26" t="str">
        <f>IF(OR(E1584="",E1584="!!!",F1584="NEW"),"",INDEX(B1583:B$2,-1+SUMPRODUCT(MAX(ROW(E1583:E$2)*(E1584=E1583:E$2)))))</f>
        <v> </v>
      </c>
      <c r="J1584" s="26" t="str">
        <f>IF(OR(E1584="",E1584="!!!",F1584="NEW"),"",COUNTBLANK(OFFSET(A$1,,,SUMPRODUCT(MAX(ROW(E$2:E1584)*(E1584=E$2:E1584)))))-COUNTBLANK(OFFSET(A$1,,,SUMPRODUCT(MAX(ROW(E$1:E1583)*(E2=E$1:E1583))))))</f>
        <v> </v>
      </c>
      <c r="K1584" s="26" t="str">
        <f>IF(OR(E1584="",E1584="!!!",F1584="NEW"),"",INDEX(J$1:J1583,SUMPRODUCT(MAX(ROW(E$1:E1583)*(E1584=E$1:E1583)))))</f>
        <v> </v>
      </c>
      <c r="L1584" s="27"/>
    </row>
    <row r="1585" spans="1:12">
      <c r="A1585" s="20" t="s">
        <v>898</v>
      </c>
      <c r="E1585" s="22">
        <f>IF(D1585="?OLD","!!!","")</f>
        <v/>
      </c>
      <c r="F1585" s="23" t="str">
        <f>IF(OR(E1585="",E1585="!!!"),"",IF(NOT(ISNA(VLOOKUP(E1585,E$1:E1584,1,FALSE()))),"OLD",IF(AND(E1585&lt;&gt;"",E1585&lt;&gt;"!!!"),"NEW","")))</f>
        <v> </v>
      </c>
      <c r="G1585" s="24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5" t="str">
        <f>IF(J1585&lt;&gt;1,"",IF(I1585="SBJ","CB","?"))</f>
        <v> </v>
      </c>
      <c r="I1585" s="26" t="str">
        <f>IF(OR(E1585="",E1585="!!!",F1585="NEW"),"",INDEX(B1584:B$2,-1+SUMPRODUCT(MAX(ROW(E1584:E$2)*(E1585=E1584:E$2)))))</f>
        <v> </v>
      </c>
      <c r="J1585" s="26" t="str">
        <f>IF(OR(E1585="",E1585="!!!",F1585="NEW"),"",COUNTBLANK(OFFSET(A$1,,,SUMPRODUCT(MAX(ROW(E$2:E1585)*(E1585=E$2:E1585)))))-COUNTBLANK(OFFSET(A$1,,,SUMPRODUCT(MAX(ROW(E$1:E1584)*(E2=E$1:E1584))))))</f>
        <v> </v>
      </c>
      <c r="K1585" s="26" t="str">
        <f>IF(OR(E1585="",E1585="!!!",F1585="NEW"),"",INDEX(J$1:J1584,SUMPRODUCT(MAX(ROW(E$1:E1584)*(E1585=E$1:E1584)))))</f>
        <v> </v>
      </c>
      <c r="L1585" s="27"/>
    </row>
    <row r="1586" spans="1:12">
      <c r="A1586" s="20" t="s">
        <v>1115</v>
      </c>
      <c r="B1586" s="21" t="s">
        <v>652</v>
      </c>
      <c r="C1586" s="21" t="s">
        <v>602</v>
      </c>
      <c r="D1586" s="21" t="s">
        <v>603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1434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1435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1436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 t="s">
        <v>611</v>
      </c>
      <c r="E1590" s="22">
        <f>IF(D1590="?OLD","!!!","")</f>
        <v/>
      </c>
      <c r="F1590" s="23" t="str">
        <f>IF(OR(E1590="",E1590="!!!"),"",IF(NOT(ISNA(VLOOKUP(E1590,E$1:E1589,1,FALSE()))),"OLD",IF(AND(E1590&lt;&gt;"",E1590&lt;&gt;"!!!"),"NEW","")))</f>
        <v> </v>
      </c>
      <c r="G1590" s="24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5" t="str">
        <f>IF(J1590&lt;&gt;1,"",IF(I1590="SBJ","CB","?"))</f>
        <v> </v>
      </c>
      <c r="I1590" s="26" t="str">
        <f>IF(OR(E1590="",E1590="!!!",F1590="NEW"),"",INDEX(B1589:B$2,-1+SUMPRODUCT(MAX(ROW(E1589:E$2)*(E1590=E1589:E$2)))))</f>
        <v> </v>
      </c>
      <c r="J1590" s="26" t="str">
        <f>IF(OR(E1590="",E1590="!!!",F1590="NEW"),"",COUNTBLANK(OFFSET(A$1,,,SUMPRODUCT(MAX(ROW(E$2:E1590)*(E1590=E$2:E1590)))))-COUNTBLANK(OFFSET(A$1,,,SUMPRODUCT(MAX(ROW(E$1:E1589)*(E2=E$1:E1589))))))</f>
        <v> </v>
      </c>
      <c r="K1590" s="26" t="str">
        <f>IF(OR(E1590="",E1590="!!!",F1590="NEW"),"",INDEX(J$1:J1589,SUMPRODUCT(MAX(ROW(E$1:E1589)*(E1590=E$1:E1589)))))</f>
        <v> </v>
      </c>
      <c r="L1590" s="27"/>
    </row>
    <row r="1591" spans="1:12">
      <c r="A1591" s="20" t="s">
        <v>1004</v>
      </c>
      <c r="E1591" s="22">
        <f>IF(D1591="?OLD","!!!","")</f>
        <v/>
      </c>
      <c r="F1591" s="23" t="str">
        <f>IF(OR(E1591="",E1591="!!!"),"",IF(NOT(ISNA(VLOOKUP(E1591,E$1:E1590,1,FALSE()))),"OLD",IF(AND(E1591&lt;&gt;"",E1591&lt;&gt;"!!!"),"NEW","")))</f>
        <v> </v>
      </c>
      <c r="G1591" s="24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5" t="str">
        <f>IF(J1591&lt;&gt;1,"",IF(I1591="SBJ","CB","?"))</f>
        <v> </v>
      </c>
      <c r="I1591" s="26" t="str">
        <f>IF(OR(E1591="",E1591="!!!",F1591="NEW"),"",INDEX(B1590:B$2,-1+SUMPRODUCT(MAX(ROW(E1590:E$2)*(E1591=E1590:E$2)))))</f>
        <v> </v>
      </c>
      <c r="J1591" s="26" t="str">
        <f>IF(OR(E1591="",E1591="!!!",F1591="NEW"),"",COUNTBLANK(OFFSET(A$1,,,SUMPRODUCT(MAX(ROW(E$2:E1591)*(E1591=E$2:E1591)))))-COUNTBLANK(OFFSET(A$1,,,SUMPRODUCT(MAX(ROW(E$1:E1590)*(E2=E$1:E1590))))))</f>
        <v> </v>
      </c>
      <c r="K1591" s="26" t="str">
        <f>IF(OR(E1591="",E1591="!!!",F1591="NEW"),"",INDEX(J$1:J1590,SUMPRODUCT(MAX(ROW(E$1:E1590)*(E1591=E$1:E1590)))))</f>
        <v> </v>
      </c>
      <c r="L1591" s="27"/>
    </row>
    <row r="1592" spans="1:12">
      <c r="A1592" s="20" t="s">
        <v>1407</v>
      </c>
      <c r="E1592" s="22">
        <f>IF(D1592="?OLD","!!!","")</f>
        <v/>
      </c>
      <c r="F1592" s="23" t="str">
        <f>IF(OR(E1592="",E1592="!!!"),"",IF(NOT(ISNA(VLOOKUP(E1592,E$1:E1591,1,FALSE()))),"OLD",IF(AND(E1592&lt;&gt;"",E1592&lt;&gt;"!!!"),"NEW","")))</f>
        <v> </v>
      </c>
      <c r="G1592" s="24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5" t="str">
        <f>IF(J1592&lt;&gt;1,"",IF(I1592="SBJ","CB","?"))</f>
        <v> </v>
      </c>
      <c r="I1592" s="26" t="str">
        <f>IF(OR(E1592="",E1592="!!!",F1592="NEW"),"",INDEX(B1591:B$2,-1+SUMPRODUCT(MAX(ROW(E1591:E$2)*(E1592=E1591:E$2)))))</f>
        <v> </v>
      </c>
      <c r="J1592" s="26" t="str">
        <f>IF(OR(E1592="",E1592="!!!",F1592="NEW"),"",COUNTBLANK(OFFSET(A$1,,,SUMPRODUCT(MAX(ROW(E$2:E1592)*(E1592=E$2:E1592)))))-COUNTBLANK(OFFSET(A$1,,,SUMPRODUCT(MAX(ROW(E$1:E1591)*(E2=E$1:E1591))))))</f>
        <v> </v>
      </c>
      <c r="K1592" s="26" t="str">
        <f>IF(OR(E1592="",E1592="!!!",F1592="NEW"),"",INDEX(J$1:J1591,SUMPRODUCT(MAX(ROW(E$1:E1591)*(E1592=E$1:E1591)))))</f>
        <v> </v>
      </c>
      <c r="L1592" s="27"/>
    </row>
    <row r="1593" spans="1:12">
      <c r="A1593" s="20" t="s">
        <v>910</v>
      </c>
      <c r="E1593" s="22">
        <f>IF(D1593="?OLD","!!!","")</f>
        <v/>
      </c>
      <c r="F1593" s="23" t="str">
        <f>IF(OR(E1593="",E1593="!!!"),"",IF(NOT(ISNA(VLOOKUP(E1593,E$1:E1592,1,FALSE()))),"OLD",IF(AND(E1593&lt;&gt;"",E1593&lt;&gt;"!!!"),"NEW","")))</f>
        <v> </v>
      </c>
      <c r="G1593" s="24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5" t="str">
        <f>IF(J1593&lt;&gt;1,"",IF(I1593="SBJ","CB","?"))</f>
        <v> </v>
      </c>
      <c r="I1593" s="26" t="str">
        <f>IF(OR(E1593="",E1593="!!!",F1593="NEW"),"",INDEX(B1592:B$2,-1+SUMPRODUCT(MAX(ROW(E1592:E$2)*(E1593=E1592:E$2)))))</f>
        <v> </v>
      </c>
      <c r="J1593" s="26" t="str">
        <f>IF(OR(E1593="",E1593="!!!",F1593="NEW"),"",COUNTBLANK(OFFSET(A$1,,,SUMPRODUCT(MAX(ROW(E$2:E1593)*(E1593=E$2:E1593)))))-COUNTBLANK(OFFSET(A$1,,,SUMPRODUCT(MAX(ROW(E$1:E1592)*(E2=E$1:E1592))))))</f>
        <v> </v>
      </c>
      <c r="K1593" s="26" t="str">
        <f>IF(OR(E1593="",E1593="!!!",F1593="NEW"),"",INDEX(J$1:J1592,SUMPRODUCT(MAX(ROW(E$1:E1592)*(E1593=E$1:E1592)))))</f>
        <v> </v>
      </c>
      <c r="L1593" s="27"/>
    </row>
    <row r="1594" spans="1:12">
      <c r="A1594" s="20" t="s">
        <v>1408</v>
      </c>
      <c r="E1594" s="22">
        <f>IF(D1594="?OLD","!!!","")</f>
        <v/>
      </c>
      <c r="F1594" s="23" t="str">
        <f>IF(OR(E1594="",E1594="!!!"),"",IF(NOT(ISNA(VLOOKUP(E1594,E$1:E1593,1,FALSE()))),"OLD",IF(AND(E1594&lt;&gt;"",E1594&lt;&gt;"!!!"),"NEW","")))</f>
        <v> </v>
      </c>
      <c r="G1594" s="24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5" t="str">
        <f>IF(J1594&lt;&gt;1,"",IF(I1594="SBJ","CB","?"))</f>
        <v> </v>
      </c>
      <c r="I1594" s="26" t="str">
        <f>IF(OR(E1594="",E1594="!!!",F1594="NEW"),"",INDEX(B1593:B$2,-1+SUMPRODUCT(MAX(ROW(E1593:E$2)*(E1594=E1593:E$2)))))</f>
        <v> </v>
      </c>
      <c r="J1594" s="26" t="str">
        <f>IF(OR(E1594="",E1594="!!!",F1594="NEW"),"",COUNTBLANK(OFFSET(A$1,,,SUMPRODUCT(MAX(ROW(E$2:E1594)*(E1594=E$2:E1594)))))-COUNTBLANK(OFFSET(A$1,,,SUMPRODUCT(MAX(ROW(E$1:E1593)*(E2=E$1:E1593))))))</f>
        <v> </v>
      </c>
      <c r="K1594" s="26" t="str">
        <f>IF(OR(E1594="",E1594="!!!",F1594="NEW"),"",INDEX(J$1:J1593,SUMPRODUCT(MAX(ROW(E$1:E1593)*(E1594=E$1:E1593)))))</f>
        <v> </v>
      </c>
      <c r="L1594" s="27"/>
    </row>
    <row r="1595" spans="1:12">
      <c r="A1595" s="20" t="s">
        <v>611</v>
      </c>
      <c r="E1595" s="22">
        <f>IF(D1595="?OLD","!!!","")</f>
        <v/>
      </c>
      <c r="F1595" s="23" t="str">
        <f>IF(OR(E1595="",E1595="!!!"),"",IF(NOT(ISNA(VLOOKUP(E1595,E$1:E1594,1,FALSE()))),"OLD",IF(AND(E1595&lt;&gt;"",E1595&lt;&gt;"!!!"),"NEW","")))</f>
        <v> </v>
      </c>
      <c r="G1595" s="24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5" t="str">
        <f>IF(J1595&lt;&gt;1,"",IF(I1595="SBJ","CB","?"))</f>
        <v> </v>
      </c>
      <c r="I1595" s="26" t="str">
        <f>IF(OR(E1595="",E1595="!!!",F1595="NEW"),"",INDEX(B1594:B$2,-1+SUMPRODUCT(MAX(ROW(E1594:E$2)*(E1595=E1594:E$2)))))</f>
        <v> </v>
      </c>
      <c r="J1595" s="26" t="str">
        <f>IF(OR(E1595="",E1595="!!!",F1595="NEW"),"",COUNTBLANK(OFFSET(A$1,,,SUMPRODUCT(MAX(ROW(E$2:E1595)*(E1595=E$2:E1595)))))-COUNTBLANK(OFFSET(A$1,,,SUMPRODUCT(MAX(ROW(E$1:E1594)*(E2=E$1:E1594))))))</f>
        <v> </v>
      </c>
      <c r="K1595" s="26" t="str">
        <f>IF(OR(E1595="",E1595="!!!",F1595="NEW"),"",INDEX(J$1:J1594,SUMPRODUCT(MAX(ROW(E$1:E1594)*(E1595=E$1:E1594)))))</f>
        <v> </v>
      </c>
      <c r="L1595" s="27"/>
    </row>
    <row r="1596" spans="1:12">
      <c r="A1596" s="20" t="s">
        <v>646</v>
      </c>
      <c r="E1596" s="22">
        <f>IF(D1596="?OLD","!!!","")</f>
        <v/>
      </c>
      <c r="F1596" s="23" t="str">
        <f>IF(OR(E1596="",E1596="!!!"),"",IF(NOT(ISNA(VLOOKUP(E1596,E$1:E1595,1,FALSE()))),"OLD",IF(AND(E1596&lt;&gt;"",E1596&lt;&gt;"!!!"),"NEW","")))</f>
        <v> </v>
      </c>
      <c r="G1596" s="24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5" t="str">
        <f>IF(J1596&lt;&gt;1,"",IF(I1596="SBJ","CB","?"))</f>
        <v> </v>
      </c>
      <c r="I1596" s="26" t="str">
        <f>IF(OR(E1596="",E1596="!!!",F1596="NEW"),"",INDEX(B1595:B$2,-1+SUMPRODUCT(MAX(ROW(E1595:E$2)*(E1596=E1595:E$2)))))</f>
        <v> </v>
      </c>
      <c r="J1596" s="26" t="str">
        <f>IF(OR(E1596="",E1596="!!!",F1596="NEW"),"",COUNTBLANK(OFFSET(A$1,,,SUMPRODUCT(MAX(ROW(E$2:E1596)*(E1596=E$2:E1596)))))-COUNTBLANK(OFFSET(A$1,,,SUMPRODUCT(MAX(ROW(E$1:E1595)*(E2=E$1:E1595))))))</f>
        <v> </v>
      </c>
      <c r="K1596" s="26" t="str">
        <f>IF(OR(E1596="",E1596="!!!",F1596="NEW"),"",INDEX(J$1:J1595,SUMPRODUCT(MAX(ROW(E$1:E1595)*(E1596=E$1:E1595)))))</f>
        <v> </v>
      </c>
      <c r="L1596" s="27"/>
    </row>
    <row r="1597" spans="1:12">
      <c r="A1597" s="20" t="s">
        <v>836</v>
      </c>
      <c r="E1597" s="22">
        <f>IF(D1597="?OLD","!!!","")</f>
        <v/>
      </c>
      <c r="F1597" s="23" t="str">
        <f>IF(OR(E1597="",E1597="!!!"),"",IF(NOT(ISNA(VLOOKUP(E1597,E$1:E1596,1,FALSE()))),"OLD",IF(AND(E1597&lt;&gt;"",E1597&lt;&gt;"!!!"),"NEW","")))</f>
        <v> </v>
      </c>
      <c r="G1597" s="24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5" t="str">
        <f>IF(J1597&lt;&gt;1,"",IF(I1597="SBJ","CB","?"))</f>
        <v> </v>
      </c>
      <c r="I1597" s="26" t="str">
        <f>IF(OR(E1597="",E1597="!!!",F1597="NEW"),"",INDEX(B1596:B$2,-1+SUMPRODUCT(MAX(ROW(E1596:E$2)*(E1597=E1596:E$2)))))</f>
        <v> </v>
      </c>
      <c r="J1597" s="26" t="str">
        <f>IF(OR(E1597="",E1597="!!!",F1597="NEW"),"",COUNTBLANK(OFFSET(A$1,,,SUMPRODUCT(MAX(ROW(E$2:E1597)*(E1597=E$2:E1597)))))-COUNTBLANK(OFFSET(A$1,,,SUMPRODUCT(MAX(ROW(E$1:E1596)*(E2=E$1:E1596))))))</f>
        <v> </v>
      </c>
      <c r="K1597" s="26" t="str">
        <f>IF(OR(E1597="",E1597="!!!",F1597="NEW"),"",INDEX(J$1:J1596,SUMPRODUCT(MAX(ROW(E$1:E1596)*(E1597=E$1:E1596)))))</f>
        <v> </v>
      </c>
      <c r="L1597" s="27"/>
    </row>
    <row r="1598" spans="1:12">
      <c r="A1598" s="20" t="s">
        <v>1437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1438</v>
      </c>
      <c r="B1599" s="21" t="s">
        <v>793</v>
      </c>
      <c r="C1599" s="21" t="s">
        <v>621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1439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1440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633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/>
    </row>
    <row r="1604" spans="1:12">
      <c r="A1604" s="20" t="s">
        <v>1441</v>
      </c>
    </row>
    <row r="1605" spans="1:12">
      <c r="A1605" s="20" t="s">
        <v>1442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279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 t="s">
        <v>633</v>
      </c>
      <c r="E1607" s="22">
        <f>IF(D1607="?OLD","!!!","")</f>
        <v/>
      </c>
      <c r="F1607" s="23" t="str">
        <f>IF(OR(E1607="",E1607="!!!"),"",IF(NOT(ISNA(VLOOKUP(E1607,E$1:E1606,1,FALSE()))),"OLD",IF(AND(E1607&lt;&gt;"",E1607&lt;&gt;"!!!"),"NEW","")))</f>
        <v> </v>
      </c>
      <c r="G1607" s="24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5" t="str">
        <f>IF(J1607&lt;&gt;1,"",IF(I1607="SBJ","CB","?"))</f>
        <v> </v>
      </c>
      <c r="I1607" s="26" t="str">
        <f>IF(OR(E1607="",E1607="!!!",F1607="NEW"),"",INDEX(B1606:B$2,-1+SUMPRODUCT(MAX(ROW(E1606:E$2)*(E1607=E1606:E$2)))))</f>
        <v> </v>
      </c>
      <c r="J1607" s="26" t="str">
        <f>IF(OR(E1607="",E1607="!!!",F1607="NEW"),"",COUNTBLANK(OFFSET(A$1,,,SUMPRODUCT(MAX(ROW(E$2:E1607)*(E1607=E$2:E1607)))))-COUNTBLANK(OFFSET(A$1,,,SUMPRODUCT(MAX(ROW(E$1:E1606)*(E2=E$1:E1606))))))</f>
        <v> </v>
      </c>
      <c r="K1607" s="26" t="str">
        <f>IF(OR(E1607="",E1607="!!!",F1607="NEW"),"",INDEX(J$1:J1606,SUMPRODUCT(MAX(ROW(E$1:E1606)*(E1607=E$1:E1606)))))</f>
        <v> </v>
      </c>
      <c r="L1607" s="27"/>
    </row>
    <row r="1608" spans="1:12">
      <c r="A1608" s="20"/>
    </row>
    <row r="1609" spans="1:12">
      <c r="A1609" s="20" t="s">
        <v>1443</v>
      </c>
    </row>
    <row r="1610" spans="1:12">
      <c r="A1610" s="20" t="s">
        <v>1341</v>
      </c>
      <c r="E1610" s="22">
        <f>IF(D1610="?OLD","!!!","")</f>
        <v/>
      </c>
      <c r="F1610" s="23" t="str">
        <f>IF(OR(E1610="",E1610="!!!"),"",IF(NOT(ISNA(VLOOKUP(E1610,E$1:E1609,1,FALSE()))),"OLD",IF(AND(E1610&lt;&gt;"",E1610&lt;&gt;"!!!"),"NEW","")))</f>
        <v> </v>
      </c>
      <c r="G1610" s="24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5" t="str">
        <f>IF(J1610&lt;&gt;1,"",IF(I1610="SBJ","CB","?"))</f>
        <v> </v>
      </c>
      <c r="I1610" s="26" t="str">
        <f>IF(OR(E1610="",E1610="!!!",F1610="NEW"),"",INDEX(B1609:B$2,-1+SUMPRODUCT(MAX(ROW(E1609:E$2)*(E1610=E1609:E$2)))))</f>
        <v> </v>
      </c>
      <c r="J1610" s="26" t="str">
        <f>IF(OR(E1610="",E1610="!!!",F1610="NEW"),"",COUNTBLANK(OFFSET(A$1,,,SUMPRODUCT(MAX(ROW(E$2:E1610)*(E1610=E$2:E1610)))))-COUNTBLANK(OFFSET(A$1,,,SUMPRODUCT(MAX(ROW(E$1:E1609)*(E2=E$1:E1609))))))</f>
        <v> </v>
      </c>
      <c r="K1610" s="26" t="str">
        <f>IF(OR(E1610="",E1610="!!!",F1610="NEW"),"",INDEX(J$1:J1609,SUMPRODUCT(MAX(ROW(E$1:E1609)*(E1610=E$1:E1609)))))</f>
        <v> </v>
      </c>
      <c r="L1610" s="27"/>
    </row>
    <row r="1611" spans="1:12">
      <c r="A1611" s="20" t="s">
        <v>1444</v>
      </c>
      <c r="E1611" s="22">
        <f>IF(D1611="?OLD","!!!","")</f>
        <v/>
      </c>
      <c r="F1611" s="23" t="str">
        <f>IF(OR(E1611="",E1611="!!!"),"",IF(NOT(ISNA(VLOOKUP(E1611,E$1:E1610,1,FALSE()))),"OLD",IF(AND(E1611&lt;&gt;"",E1611&lt;&gt;"!!!"),"NEW","")))</f>
        <v> </v>
      </c>
      <c r="G1611" s="24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5" t="str">
        <f>IF(J1611&lt;&gt;1,"",IF(I1611="SBJ","CB","?"))</f>
        <v> </v>
      </c>
      <c r="I1611" s="26" t="str">
        <f>IF(OR(E1611="",E1611="!!!",F1611="NEW"),"",INDEX(B1610:B$2,-1+SUMPRODUCT(MAX(ROW(E1610:E$2)*(E1611=E1610:E$2)))))</f>
        <v> </v>
      </c>
      <c r="J1611" s="26" t="str">
        <f>IF(OR(E1611="",E1611="!!!",F1611="NEW"),"",COUNTBLANK(OFFSET(A$1,,,SUMPRODUCT(MAX(ROW(E$2:E1611)*(E1611=E$2:E1611)))))-COUNTBLANK(OFFSET(A$1,,,SUMPRODUCT(MAX(ROW(E$1:E1610)*(E2=E$1:E1610))))))</f>
        <v> </v>
      </c>
      <c r="K1611" s="26" t="str">
        <f>IF(OR(E1611="",E1611="!!!",F1611="NEW"),"",INDEX(J$1:J1610,SUMPRODUCT(MAX(ROW(E$1:E1610)*(E1611=E$1:E1610)))))</f>
        <v> </v>
      </c>
      <c r="L1611" s="27"/>
    </row>
    <row r="1612" spans="1:12">
      <c r="A1612" s="20" t="s">
        <v>1445</v>
      </c>
      <c r="B1612" s="21" t="s">
        <v>601</v>
      </c>
      <c r="E1612" s="22">
        <f>IF(D1612="?OLD","!!!","")</f>
        <v/>
      </c>
      <c r="F1612" s="23" t="str">
        <f>IF(OR(E1612="",E1612="!!!"),"",IF(NOT(ISNA(VLOOKUP(E1612,E$1:E1611,1,FALSE()))),"OLD",IF(AND(E1612&lt;&gt;"",E1612&lt;&gt;"!!!"),"NEW","")))</f>
        <v> </v>
      </c>
      <c r="G1612" s="24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5" t="str">
        <f>IF(J1612&lt;&gt;1,"",IF(I1612="SBJ","CB","?"))</f>
        <v> </v>
      </c>
      <c r="I1612" s="26" t="str">
        <f>IF(OR(E1612="",E1612="!!!",F1612="NEW"),"",INDEX(B1611:B$2,-1+SUMPRODUCT(MAX(ROW(E1611:E$2)*(E1612=E1611:E$2)))))</f>
        <v> </v>
      </c>
      <c r="J1612" s="26" t="str">
        <f>IF(OR(E1612="",E1612="!!!",F1612="NEW"),"",COUNTBLANK(OFFSET(A$1,,,SUMPRODUCT(MAX(ROW(E$2:E1612)*(E1612=E$2:E1612)))))-COUNTBLANK(OFFSET(A$1,,,SUMPRODUCT(MAX(ROW(E$1:E1611)*(E2=E$1:E1611))))))</f>
        <v> </v>
      </c>
      <c r="K1612" s="26" t="str">
        <f>IF(OR(E1612="",E1612="!!!",F1612="NEW"),"",INDEX(J$1:J1611,SUMPRODUCT(MAX(ROW(E$1:E1611)*(E1612=E$1:E1611)))))</f>
        <v> </v>
      </c>
      <c r="L1612" s="27"/>
    </row>
    <row r="1613" spans="1:12">
      <c r="A1613" s="20" t="s">
        <v>1345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1446</v>
      </c>
      <c r="B1614" s="21" t="s">
        <v>804</v>
      </c>
      <c r="C1614" s="21" t="s">
        <v>733</v>
      </c>
      <c r="D1614" s="21" t="s">
        <v>603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1242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1447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1448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646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1449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646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 t="s">
        <v>1446</v>
      </c>
      <c r="B1621" s="21" t="s">
        <v>620</v>
      </c>
      <c r="C1621" s="21" t="s">
        <v>733</v>
      </c>
      <c r="D1621" s="21" t="s">
        <v>603</v>
      </c>
      <c r="E1621" s="22">
        <f>IF(D1621="?OLD","!!!","")</f>
        <v/>
      </c>
      <c r="F1621" s="23" t="str">
        <f>IF(OR(E1621="",E1621="!!!"),"",IF(NOT(ISNA(VLOOKUP(E1621,E$1:E1620,1,FALSE()))),"OLD",IF(AND(E1621&lt;&gt;"",E1621&lt;&gt;"!!!"),"NEW","")))</f>
        <v> </v>
      </c>
      <c r="G1621" s="24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5" t="str">
        <f>IF(J1621&lt;&gt;1,"",IF(I1621="SBJ","CB","?"))</f>
        <v> </v>
      </c>
      <c r="I1621" s="26" t="str">
        <f>IF(OR(E1621="",E1621="!!!",F1621="NEW"),"",INDEX(B1620:B$2,-1+SUMPRODUCT(MAX(ROW(E1620:E$2)*(E1621=E1620:E$2)))))</f>
        <v> </v>
      </c>
      <c r="J1621" s="26" t="str">
        <f>IF(OR(E1621="",E1621="!!!",F1621="NEW"),"",COUNTBLANK(OFFSET(A$1,,,SUMPRODUCT(MAX(ROW(E$2:E1621)*(E1621=E$2:E1621)))))-COUNTBLANK(OFFSET(A$1,,,SUMPRODUCT(MAX(ROW(E$1:E1620)*(E2=E$1:E1620))))))</f>
        <v> </v>
      </c>
      <c r="K1621" s="26" t="str">
        <f>IF(OR(E1621="",E1621="!!!",F1621="NEW"),"",INDEX(J$1:J1620,SUMPRODUCT(MAX(ROW(E$1:E1620)*(E1621=E$1:E1620)))))</f>
        <v> </v>
      </c>
      <c r="L1621" s="27"/>
    </row>
    <row r="1622" spans="1:12">
      <c r="A1622" s="20" t="s">
        <v>1450</v>
      </c>
      <c r="E1622" s="22">
        <f>IF(D1622="?OLD","!!!","")</f>
        <v/>
      </c>
      <c r="F1622" s="23" t="str">
        <f>IF(OR(E1622="",E1622="!!!"),"",IF(NOT(ISNA(VLOOKUP(E1622,E$1:E1621,1,FALSE()))),"OLD",IF(AND(E1622&lt;&gt;"",E1622&lt;&gt;"!!!"),"NEW","")))</f>
        <v> </v>
      </c>
      <c r="G1622" s="24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5" t="str">
        <f>IF(J1622&lt;&gt;1,"",IF(I1622="SBJ","CB","?"))</f>
        <v> </v>
      </c>
      <c r="I1622" s="26" t="str">
        <f>IF(OR(E1622="",E1622="!!!",F1622="NEW"),"",INDEX(B1621:B$2,-1+SUMPRODUCT(MAX(ROW(E1621:E$2)*(E1622=E1621:E$2)))))</f>
        <v> </v>
      </c>
      <c r="J1622" s="26" t="str">
        <f>IF(OR(E1622="",E1622="!!!",F1622="NEW"),"",COUNTBLANK(OFFSET(A$1,,,SUMPRODUCT(MAX(ROW(E$2:E1622)*(E1622=E$2:E1622)))))-COUNTBLANK(OFFSET(A$1,,,SUMPRODUCT(MAX(ROW(E$1:E1621)*(E2=E$1:E1621))))))</f>
        <v> </v>
      </c>
      <c r="K1622" s="26" t="str">
        <f>IF(OR(E1622="",E1622="!!!",F1622="NEW"),"",INDEX(J$1:J1621,SUMPRODUCT(MAX(ROW(E$1:E1621)*(E1622=E$1:E1621)))))</f>
        <v> </v>
      </c>
      <c r="L1622" s="27"/>
    </row>
    <row r="1623" spans="1:12">
      <c r="A1623" s="20" t="s">
        <v>1451</v>
      </c>
      <c r="E1623" s="22">
        <f>IF(D1623="?OLD","!!!","")</f>
        <v/>
      </c>
      <c r="F1623" s="23" t="str">
        <f>IF(OR(E1623="",E1623="!!!"),"",IF(NOT(ISNA(VLOOKUP(E1623,E$1:E1622,1,FALSE()))),"OLD",IF(AND(E1623&lt;&gt;"",E1623&lt;&gt;"!!!"),"NEW","")))</f>
        <v> </v>
      </c>
      <c r="G1623" s="24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5" t="str">
        <f>IF(J1623&lt;&gt;1,"",IF(I1623="SBJ","CB","?"))</f>
        <v> </v>
      </c>
      <c r="I1623" s="26" t="str">
        <f>IF(OR(E1623="",E1623="!!!",F1623="NEW"),"",INDEX(B1622:B$2,-1+SUMPRODUCT(MAX(ROW(E1622:E$2)*(E1623=E1622:E$2)))))</f>
        <v> </v>
      </c>
      <c r="J1623" s="26" t="str">
        <f>IF(OR(E1623="",E1623="!!!",F1623="NEW"),"",COUNTBLANK(OFFSET(A$1,,,SUMPRODUCT(MAX(ROW(E$2:E1623)*(E1623=E$2:E1623)))))-COUNTBLANK(OFFSET(A$1,,,SUMPRODUCT(MAX(ROW(E$1:E1622)*(E2=E$1:E1622))))))</f>
        <v> </v>
      </c>
      <c r="K1623" s="26" t="str">
        <f>IF(OR(E1623="",E1623="!!!",F1623="NEW"),"",INDEX(J$1:J1622,SUMPRODUCT(MAX(ROW(E$1:E1622)*(E1623=E$1:E1622)))))</f>
        <v> </v>
      </c>
      <c r="L1623" s="27"/>
    </row>
    <row r="1624" spans="1:12">
      <c r="A1624" s="20" t="s">
        <v>1452</v>
      </c>
      <c r="E1624" s="22">
        <f>IF(D1624="?OLD","!!!","")</f>
        <v/>
      </c>
      <c r="F1624" s="23" t="str">
        <f>IF(OR(E1624="",E1624="!!!"),"",IF(NOT(ISNA(VLOOKUP(E1624,E$1:E1623,1,FALSE()))),"OLD",IF(AND(E1624&lt;&gt;"",E1624&lt;&gt;"!!!"),"NEW","")))</f>
        <v> </v>
      </c>
      <c r="G1624" s="24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5" t="str">
        <f>IF(J1624&lt;&gt;1,"",IF(I1624="SBJ","CB","?"))</f>
        <v> </v>
      </c>
      <c r="I1624" s="26" t="str">
        <f>IF(OR(E1624="",E1624="!!!",F1624="NEW"),"",INDEX(B1623:B$2,-1+SUMPRODUCT(MAX(ROW(E1623:E$2)*(E1624=E1623:E$2)))))</f>
        <v> </v>
      </c>
      <c r="J1624" s="26" t="str">
        <f>IF(OR(E1624="",E1624="!!!",F1624="NEW"),"",COUNTBLANK(OFFSET(A$1,,,SUMPRODUCT(MAX(ROW(E$2:E1624)*(E1624=E$2:E1624)))))-COUNTBLANK(OFFSET(A$1,,,SUMPRODUCT(MAX(ROW(E$1:E1623)*(E2=E$1:E1623))))))</f>
        <v> </v>
      </c>
      <c r="K1624" s="26" t="str">
        <f>IF(OR(E1624="",E1624="!!!",F1624="NEW"),"",INDEX(J$1:J1623,SUMPRODUCT(MAX(ROW(E$1:E1623)*(E1624=E$1:E1623)))))</f>
        <v> </v>
      </c>
      <c r="L1624" s="27"/>
    </row>
    <row r="1625" spans="1:12">
      <c r="A1625" s="20" t="s">
        <v>633</v>
      </c>
      <c r="E1625" s="22">
        <f>IF(D1625="?OLD","!!!","")</f>
        <v/>
      </c>
      <c r="F1625" s="23" t="str">
        <f>IF(OR(E1625="",E1625="!!!"),"",IF(NOT(ISNA(VLOOKUP(E1625,E$1:E1624,1,FALSE()))),"OLD",IF(AND(E1625&lt;&gt;"",E1625&lt;&gt;"!!!"),"NEW","")))</f>
        <v> </v>
      </c>
      <c r="G1625" s="24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5" t="str">
        <f>IF(J1625&lt;&gt;1,"",IF(I1625="SBJ","CB","?"))</f>
        <v> </v>
      </c>
      <c r="I1625" s="26" t="str">
        <f>IF(OR(E1625="",E1625="!!!",F1625="NEW"),"",INDEX(B1624:B$2,-1+SUMPRODUCT(MAX(ROW(E1624:E$2)*(E1625=E1624:E$2)))))</f>
        <v> </v>
      </c>
      <c r="J1625" s="26" t="str">
        <f>IF(OR(E1625="",E1625="!!!",F1625="NEW"),"",COUNTBLANK(OFFSET(A$1,,,SUMPRODUCT(MAX(ROW(E$2:E1625)*(E1625=E$2:E1625)))))-COUNTBLANK(OFFSET(A$1,,,SUMPRODUCT(MAX(ROW(E$1:E1624)*(E2=E$1:E1624))))))</f>
        <v> </v>
      </c>
      <c r="K1625" s="26" t="str">
        <f>IF(OR(E1625="",E1625="!!!",F1625="NEW"),"",INDEX(J$1:J1624,SUMPRODUCT(MAX(ROW(E$1:E1624)*(E1625=E$1:E1624)))))</f>
        <v> </v>
      </c>
      <c r="L1625" s="27"/>
    </row>
    <row r="1626" spans="1:12">
      <c r="A1626" s="20"/>
    </row>
    <row r="1627" spans="1:12">
      <c r="A1627" s="20" t="s">
        <v>1453</v>
      </c>
    </row>
    <row r="1628" spans="1:12">
      <c r="A1628" s="20" t="s">
        <v>860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 t="s">
        <v>611</v>
      </c>
      <c r="E1629" s="22">
        <f>IF(D1629="?OLD","!!!","")</f>
        <v/>
      </c>
      <c r="F1629" s="23" t="str">
        <f>IF(OR(E1629="",E1629="!!!"),"",IF(NOT(ISNA(VLOOKUP(E1629,E$1:E1628,1,FALSE()))),"OLD",IF(AND(E1629&lt;&gt;"",E1629&lt;&gt;"!!!"),"NEW","")))</f>
        <v> </v>
      </c>
      <c r="G1629" s="24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5" t="str">
        <f>IF(J1629&lt;&gt;1,"",IF(I1629="SBJ","CB","?"))</f>
        <v> </v>
      </c>
      <c r="I1629" s="26" t="str">
        <f>IF(OR(E1629="",E1629="!!!",F1629="NEW"),"",INDEX(B1628:B$2,-1+SUMPRODUCT(MAX(ROW(E1628:E$2)*(E1629=E1628:E$2)))))</f>
        <v> </v>
      </c>
      <c r="J1629" s="26" t="str">
        <f>IF(OR(E1629="",E1629="!!!",F1629="NEW"),"",COUNTBLANK(OFFSET(A$1,,,SUMPRODUCT(MAX(ROW(E$2:E1629)*(E1629=E$2:E1629)))))-COUNTBLANK(OFFSET(A$1,,,SUMPRODUCT(MAX(ROW(E$1:E1628)*(E2=E$1:E1628))))))</f>
        <v> </v>
      </c>
      <c r="K1629" s="26" t="str">
        <f>IF(OR(E1629="",E1629="!!!",F1629="NEW"),"",INDEX(J$1:J1628,SUMPRODUCT(MAX(ROW(E$1:E1628)*(E1629=E$1:E1628)))))</f>
        <v> </v>
      </c>
      <c r="L1629" s="27"/>
    </row>
    <row r="1630" spans="1:12">
      <c r="A1630" s="20" t="s">
        <v>1454</v>
      </c>
      <c r="B1630" s="21" t="s">
        <v>601</v>
      </c>
      <c r="E1630" s="22">
        <f>IF(D1630="?OLD","!!!","")</f>
        <v/>
      </c>
      <c r="F1630" s="23" t="str">
        <f>IF(OR(E1630="",E1630="!!!"),"",IF(NOT(ISNA(VLOOKUP(E1630,E$1:E1629,1,FALSE()))),"OLD",IF(AND(E1630&lt;&gt;"",E1630&lt;&gt;"!!!"),"NEW","")))</f>
        <v> </v>
      </c>
      <c r="G1630" s="24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5" t="str">
        <f>IF(J1630&lt;&gt;1,"",IF(I1630="SBJ","CB","?"))</f>
        <v> </v>
      </c>
      <c r="I1630" s="26" t="str">
        <f>IF(OR(E1630="",E1630="!!!",F1630="NEW"),"",INDEX(B1629:B$2,-1+SUMPRODUCT(MAX(ROW(E1629:E$2)*(E1630=E1629:E$2)))))</f>
        <v> </v>
      </c>
      <c r="J1630" s="26" t="str">
        <f>IF(OR(E1630="",E1630="!!!",F1630="NEW"),"",COUNTBLANK(OFFSET(A$1,,,SUMPRODUCT(MAX(ROW(E$2:E1630)*(E1630=E$2:E1630)))))-COUNTBLANK(OFFSET(A$1,,,SUMPRODUCT(MAX(ROW(E$1:E1629)*(E2=E$1:E1629))))))</f>
        <v> </v>
      </c>
      <c r="K1630" s="26" t="str">
        <f>IF(OR(E1630="",E1630="!!!",F1630="NEW"),"",INDEX(J$1:J1629,SUMPRODUCT(MAX(ROW(E$1:E1629)*(E1630=E$1:E1629)))))</f>
        <v> </v>
      </c>
      <c r="L1630" s="27"/>
    </row>
    <row r="1631" spans="1:12">
      <c r="A1631" s="20" t="s">
        <v>1209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1455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664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 t="s">
        <v>1015</v>
      </c>
      <c r="E1634" s="22">
        <f>IF(D1634="?OLD","!!!","")</f>
        <v/>
      </c>
      <c r="F1634" s="23" t="str">
        <f>IF(OR(E1634="",E1634="!!!"),"",IF(NOT(ISNA(VLOOKUP(E1634,E$1:E1633,1,FALSE()))),"OLD",IF(AND(E1634&lt;&gt;"",E1634&lt;&gt;"!!!"),"NEW","")))</f>
        <v> </v>
      </c>
      <c r="G1634" s="24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5" t="str">
        <f>IF(J1634&lt;&gt;1,"",IF(I1634="SBJ","CB","?"))</f>
        <v> </v>
      </c>
      <c r="I1634" s="26" t="str">
        <f>IF(OR(E1634="",E1634="!!!",F1634="NEW"),"",INDEX(B1633:B$2,-1+SUMPRODUCT(MAX(ROW(E1633:E$2)*(E1634=E1633:E$2)))))</f>
        <v> </v>
      </c>
      <c r="J1634" s="26" t="str">
        <f>IF(OR(E1634="",E1634="!!!",F1634="NEW"),"",COUNTBLANK(OFFSET(A$1,,,SUMPRODUCT(MAX(ROW(E$2:E1634)*(E1634=E$2:E1634)))))-COUNTBLANK(OFFSET(A$1,,,SUMPRODUCT(MAX(ROW(E$1:E1633)*(E2=E$1:E1633))))))</f>
        <v> </v>
      </c>
      <c r="K1634" s="26" t="str">
        <f>IF(OR(E1634="",E1634="!!!",F1634="NEW"),"",INDEX(J$1:J1633,SUMPRODUCT(MAX(ROW(E$1:E1633)*(E1634=E$1:E1633)))))</f>
        <v> </v>
      </c>
      <c r="L1634" s="27"/>
    </row>
    <row r="1635" spans="1:12">
      <c r="A1635" s="20" t="s">
        <v>864</v>
      </c>
      <c r="B1635" s="21" t="s">
        <v>609</v>
      </c>
      <c r="C1635" s="21" t="s">
        <v>723</v>
      </c>
      <c r="D1635" s="21" t="s">
        <v>603</v>
      </c>
      <c r="E1635" s="22">
        <f>IF(D1635="?OLD","!!!","")</f>
        <v/>
      </c>
      <c r="F1635" s="23" t="str">
        <f>IF(OR(E1635="",E1635="!!!"),"",IF(NOT(ISNA(VLOOKUP(E1635,E$1:E1634,1,FALSE()))),"OLD",IF(AND(E1635&lt;&gt;"",E1635&lt;&gt;"!!!"),"NEW","")))</f>
        <v> </v>
      </c>
      <c r="G1635" s="24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5" t="str">
        <f>IF(J1635&lt;&gt;1,"",IF(I1635="SBJ","CB","?"))</f>
        <v> </v>
      </c>
      <c r="I1635" s="26" t="str">
        <f>IF(OR(E1635="",E1635="!!!",F1635="NEW"),"",INDEX(B1634:B$2,-1+SUMPRODUCT(MAX(ROW(E1634:E$2)*(E1635=E1634:E$2)))))</f>
        <v> </v>
      </c>
      <c r="J1635" s="26" t="str">
        <f>IF(OR(E1635="",E1635="!!!",F1635="NEW"),"",COUNTBLANK(OFFSET(A$1,,,SUMPRODUCT(MAX(ROW(E$2:E1635)*(E1635=E$2:E1635)))))-COUNTBLANK(OFFSET(A$1,,,SUMPRODUCT(MAX(ROW(E$1:E1634)*(E2=E$1:E1634))))))</f>
        <v> </v>
      </c>
      <c r="K1635" s="26" t="str">
        <f>IF(OR(E1635="",E1635="!!!",F1635="NEW"),"",INDEX(J$1:J1634,SUMPRODUCT(MAX(ROW(E$1:E1634)*(E1635=E$1:E1634)))))</f>
        <v> </v>
      </c>
      <c r="L1635" s="27"/>
    </row>
    <row r="1636" spans="1:12">
      <c r="A1636" s="20" t="s">
        <v>611</v>
      </c>
      <c r="E1636" s="22">
        <f>IF(D1636="?OLD","!!!","")</f>
        <v/>
      </c>
      <c r="F1636" s="23" t="str">
        <f>IF(OR(E1636="",E1636="!!!"),"",IF(NOT(ISNA(VLOOKUP(E1636,E$1:E1635,1,FALSE()))),"OLD",IF(AND(E1636&lt;&gt;"",E1636&lt;&gt;"!!!"),"NEW","")))</f>
        <v> </v>
      </c>
      <c r="G1636" s="24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5" t="str">
        <f>IF(J1636&lt;&gt;1,"",IF(I1636="SBJ","CB","?"))</f>
        <v> </v>
      </c>
      <c r="I1636" s="26" t="str">
        <f>IF(OR(E1636="",E1636="!!!",F1636="NEW"),"",INDEX(B1635:B$2,-1+SUMPRODUCT(MAX(ROW(E1635:E$2)*(E1636=E1635:E$2)))))</f>
        <v> </v>
      </c>
      <c r="J1636" s="26" t="str">
        <f>IF(OR(E1636="",E1636="!!!",F1636="NEW"),"",COUNTBLANK(OFFSET(A$1,,,SUMPRODUCT(MAX(ROW(E$2:E1636)*(E1636=E$2:E1636)))))-COUNTBLANK(OFFSET(A$1,,,SUMPRODUCT(MAX(ROW(E$1:E1635)*(E2=E$1:E1635))))))</f>
        <v> </v>
      </c>
      <c r="K1636" s="26" t="str">
        <f>IF(OR(E1636="",E1636="!!!",F1636="NEW"),"",INDEX(J$1:J1635,SUMPRODUCT(MAX(ROW(E$1:E1635)*(E1636=E$1:E1635)))))</f>
        <v> </v>
      </c>
      <c r="L1636" s="27"/>
    </row>
    <row r="1637" spans="1:12">
      <c r="A1637" s="20" t="s">
        <v>658</v>
      </c>
      <c r="E1637" s="22">
        <f>IF(D1637="?OLD","!!!","")</f>
        <v/>
      </c>
      <c r="F1637" s="23" t="str">
        <f>IF(OR(E1637="",E1637="!!!"),"",IF(NOT(ISNA(VLOOKUP(E1637,E$1:E1636,1,FALSE()))),"OLD",IF(AND(E1637&lt;&gt;"",E1637&lt;&gt;"!!!"),"NEW","")))</f>
        <v> </v>
      </c>
      <c r="G1637" s="24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5" t="str">
        <f>IF(J1637&lt;&gt;1,"",IF(I1637="SBJ","CB","?"))</f>
        <v> </v>
      </c>
      <c r="I1637" s="26" t="str">
        <f>IF(OR(E1637="",E1637="!!!",F1637="NEW"),"",INDEX(B1636:B$2,-1+SUMPRODUCT(MAX(ROW(E1636:E$2)*(E1637=E1636:E$2)))))</f>
        <v> </v>
      </c>
      <c r="J1637" s="26" t="str">
        <f>IF(OR(E1637="",E1637="!!!",F1637="NEW"),"",COUNTBLANK(OFFSET(A$1,,,SUMPRODUCT(MAX(ROW(E$2:E1637)*(E1637=E$2:E1637)))))-COUNTBLANK(OFFSET(A$1,,,SUMPRODUCT(MAX(ROW(E$1:E1636)*(E2=E$1:E1636))))))</f>
        <v> </v>
      </c>
      <c r="K1637" s="26" t="str">
        <f>IF(OR(E1637="",E1637="!!!",F1637="NEW"),"",INDEX(J$1:J1636,SUMPRODUCT(MAX(ROW(E$1:E1636)*(E1637=E$1:E1636)))))</f>
        <v> </v>
      </c>
      <c r="L1637" s="27"/>
    </row>
    <row r="1638" spans="1:12">
      <c r="A1638" s="20" t="s">
        <v>1277</v>
      </c>
      <c r="E1638" s="22">
        <f>IF(D1638="?OLD","!!!","")</f>
        <v/>
      </c>
      <c r="F1638" s="23" t="str">
        <f>IF(OR(E1638="",E1638="!!!"),"",IF(NOT(ISNA(VLOOKUP(E1638,E$1:E1637,1,FALSE()))),"OLD",IF(AND(E1638&lt;&gt;"",E1638&lt;&gt;"!!!"),"NEW","")))</f>
        <v> </v>
      </c>
      <c r="G1638" s="24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5" t="str">
        <f>IF(J1638&lt;&gt;1,"",IF(I1638="SBJ","CB","?"))</f>
        <v> </v>
      </c>
      <c r="I1638" s="26" t="str">
        <f>IF(OR(E1638="",E1638="!!!",F1638="NEW"),"",INDEX(B1637:B$2,-1+SUMPRODUCT(MAX(ROW(E1637:E$2)*(E1638=E1637:E$2)))))</f>
        <v> </v>
      </c>
      <c r="J1638" s="26" t="str">
        <f>IF(OR(E1638="",E1638="!!!",F1638="NEW"),"",COUNTBLANK(OFFSET(A$1,,,SUMPRODUCT(MAX(ROW(E$2:E1638)*(E1638=E$2:E1638)))))-COUNTBLANK(OFFSET(A$1,,,SUMPRODUCT(MAX(ROW(E$1:E1637)*(E2=E$1:E1637))))))</f>
        <v> </v>
      </c>
      <c r="K1638" s="26" t="str">
        <f>IF(OR(E1638="",E1638="!!!",F1638="NEW"),"",INDEX(J$1:J1637,SUMPRODUCT(MAX(ROW(E$1:E1637)*(E1638=E$1:E1637)))))</f>
        <v> </v>
      </c>
      <c r="L1638" s="27"/>
    </row>
    <row r="1639" spans="1:12">
      <c r="A1639" s="20" t="s">
        <v>1456</v>
      </c>
      <c r="E1639" s="22">
        <f>IF(D1639="?OLD","!!!","")</f>
        <v/>
      </c>
      <c r="F1639" s="23" t="str">
        <f>IF(OR(E1639="",E1639="!!!"),"",IF(NOT(ISNA(VLOOKUP(E1639,E$1:E1638,1,FALSE()))),"OLD",IF(AND(E1639&lt;&gt;"",E1639&lt;&gt;"!!!"),"NEW","")))</f>
        <v> </v>
      </c>
      <c r="G1639" s="24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5" t="str">
        <f>IF(J1639&lt;&gt;1,"",IF(I1639="SBJ","CB","?"))</f>
        <v> </v>
      </c>
      <c r="I1639" s="26" t="str">
        <f>IF(OR(E1639="",E1639="!!!",F1639="NEW"),"",INDEX(B1638:B$2,-1+SUMPRODUCT(MAX(ROW(E1638:E$2)*(E1639=E1638:E$2)))))</f>
        <v> </v>
      </c>
      <c r="J1639" s="26" t="str">
        <f>IF(OR(E1639="",E1639="!!!",F1639="NEW"),"",COUNTBLANK(OFFSET(A$1,,,SUMPRODUCT(MAX(ROW(E$2:E1639)*(E1639=E$2:E1639)))))-COUNTBLANK(OFFSET(A$1,,,SUMPRODUCT(MAX(ROW(E$1:E1638)*(E2=E$1:E1638))))))</f>
        <v> </v>
      </c>
      <c r="K1639" s="26" t="str">
        <f>IF(OR(E1639="",E1639="!!!",F1639="NEW"),"",INDEX(J$1:J1638,SUMPRODUCT(MAX(ROW(E$1:E1638)*(E1639=E$1:E1638)))))</f>
        <v> </v>
      </c>
      <c r="L1639" s="27"/>
    </row>
    <row r="1640" spans="1:12">
      <c r="A1640" s="20" t="s">
        <v>611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1457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611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 t="s">
        <v>910</v>
      </c>
      <c r="E1643" s="22">
        <f>IF(D1643="?OLD","!!!","")</f>
        <v/>
      </c>
      <c r="F1643" s="23" t="str">
        <f>IF(OR(E1643="",E1643="!!!"),"",IF(NOT(ISNA(VLOOKUP(E1643,E$1:E1642,1,FALSE()))),"OLD",IF(AND(E1643&lt;&gt;"",E1643&lt;&gt;"!!!"),"NEW","")))</f>
        <v> </v>
      </c>
      <c r="G1643" s="24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5" t="str">
        <f>IF(J1643&lt;&gt;1,"",IF(I1643="SBJ","CB","?"))</f>
        <v> </v>
      </c>
      <c r="I1643" s="26" t="str">
        <f>IF(OR(E1643="",E1643="!!!",F1643="NEW"),"",INDEX(B1642:B$2,-1+SUMPRODUCT(MAX(ROW(E1642:E$2)*(E1643=E1642:E$2)))))</f>
        <v> </v>
      </c>
      <c r="J1643" s="26" t="str">
        <f>IF(OR(E1643="",E1643="!!!",F1643="NEW"),"",COUNTBLANK(OFFSET(A$1,,,SUMPRODUCT(MAX(ROW(E$2:E1643)*(E1643=E$2:E1643)))))-COUNTBLANK(OFFSET(A$1,,,SUMPRODUCT(MAX(ROW(E$1:E1642)*(E2=E$1:E1642))))))</f>
        <v> </v>
      </c>
      <c r="K1643" s="26" t="str">
        <f>IF(OR(E1643="",E1643="!!!",F1643="NEW"),"",INDEX(J$1:J1642,SUMPRODUCT(MAX(ROW(E$1:E1642)*(E1643=E$1:E1642)))))</f>
        <v> </v>
      </c>
      <c r="L1643" s="27"/>
    </row>
    <row r="1644" spans="1:12">
      <c r="A1644" s="20" t="s">
        <v>1458</v>
      </c>
      <c r="E1644" s="22">
        <f>IF(D1644="?OLD","!!!","")</f>
        <v/>
      </c>
      <c r="F1644" s="23" t="str">
        <f>IF(OR(E1644="",E1644="!!!"),"",IF(NOT(ISNA(VLOOKUP(E1644,E$1:E1643,1,FALSE()))),"OLD",IF(AND(E1644&lt;&gt;"",E1644&lt;&gt;"!!!"),"NEW","")))</f>
        <v> </v>
      </c>
      <c r="G1644" s="24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5" t="str">
        <f>IF(J1644&lt;&gt;1,"",IF(I1644="SBJ","CB","?"))</f>
        <v> </v>
      </c>
      <c r="I1644" s="26" t="str">
        <f>IF(OR(E1644="",E1644="!!!",F1644="NEW"),"",INDEX(B1643:B$2,-1+SUMPRODUCT(MAX(ROW(E1643:E$2)*(E1644=E1643:E$2)))))</f>
        <v> </v>
      </c>
      <c r="J1644" s="26" t="str">
        <f>IF(OR(E1644="",E1644="!!!",F1644="NEW"),"",COUNTBLANK(OFFSET(A$1,,,SUMPRODUCT(MAX(ROW(E$2:E1644)*(E1644=E$2:E1644)))))-COUNTBLANK(OFFSET(A$1,,,SUMPRODUCT(MAX(ROW(E$1:E1643)*(E2=E$1:E1643))))))</f>
        <v> </v>
      </c>
      <c r="K1644" s="26" t="str">
        <f>IF(OR(E1644="",E1644="!!!",F1644="NEW"),"",INDEX(J$1:J1643,SUMPRODUCT(MAX(ROW(E$1:E1643)*(E1644=E$1:E1643)))))</f>
        <v> </v>
      </c>
      <c r="L1644" s="27"/>
    </row>
    <row r="1645" spans="1:12">
      <c r="A1645" s="20" t="s">
        <v>1459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1460</v>
      </c>
      <c r="B1646" s="21" t="s">
        <v>1165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611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863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1015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864</v>
      </c>
      <c r="B1650" s="21" t="s">
        <v>749</v>
      </c>
      <c r="C1650" s="21" t="s">
        <v>723</v>
      </c>
      <c r="D1650" s="21" t="s">
        <v>603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 t="s">
        <v>611</v>
      </c>
      <c r="E1651" s="22">
        <f>IF(D1651="?OLD","!!!","")</f>
        <v/>
      </c>
      <c r="F1651" s="23" t="str">
        <f>IF(OR(E1651="",E1651="!!!"),"",IF(NOT(ISNA(VLOOKUP(E1651,E$1:E1650,1,FALSE()))),"OLD",IF(AND(E1651&lt;&gt;"",E1651&lt;&gt;"!!!"),"NEW","")))</f>
        <v> </v>
      </c>
      <c r="G1651" s="24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5" t="str">
        <f>IF(J1651&lt;&gt;1,"",IF(I1651="SBJ","CB","?"))</f>
        <v> </v>
      </c>
      <c r="I1651" s="26" t="str">
        <f>IF(OR(E1651="",E1651="!!!",F1651="NEW"),"",INDEX(B1650:B$2,-1+SUMPRODUCT(MAX(ROW(E1650:E$2)*(E1651=E1650:E$2)))))</f>
        <v> </v>
      </c>
      <c r="J1651" s="26" t="str">
        <f>IF(OR(E1651="",E1651="!!!",F1651="NEW"),"",COUNTBLANK(OFFSET(A$1,,,SUMPRODUCT(MAX(ROW(E$2:E1651)*(E1651=E$2:E1651)))))-COUNTBLANK(OFFSET(A$1,,,SUMPRODUCT(MAX(ROW(E$1:E1650)*(E2=E$1:E1650))))))</f>
        <v> </v>
      </c>
      <c r="K1651" s="26" t="str">
        <f>IF(OR(E1651="",E1651="!!!",F1651="NEW"),"",INDEX(J$1:J1650,SUMPRODUCT(MAX(ROW(E$1:E1650)*(E1651=E$1:E1650)))))</f>
        <v> </v>
      </c>
      <c r="L1651" s="27"/>
    </row>
    <row r="1652" spans="1:12">
      <c r="A1652" s="20" t="s">
        <v>658</v>
      </c>
      <c r="E1652" s="22">
        <f>IF(D1652="?OLD","!!!","")</f>
        <v/>
      </c>
      <c r="F1652" s="23" t="str">
        <f>IF(OR(E1652="",E1652="!!!"),"",IF(NOT(ISNA(VLOOKUP(E1652,E$1:E1651,1,FALSE()))),"OLD",IF(AND(E1652&lt;&gt;"",E1652&lt;&gt;"!!!"),"NEW","")))</f>
        <v> </v>
      </c>
      <c r="G1652" s="24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5" t="str">
        <f>IF(J1652&lt;&gt;1,"",IF(I1652="SBJ","CB","?"))</f>
        <v> </v>
      </c>
      <c r="I1652" s="26" t="str">
        <f>IF(OR(E1652="",E1652="!!!",F1652="NEW"),"",INDEX(B1651:B$2,-1+SUMPRODUCT(MAX(ROW(E1651:E$2)*(E1652=E1651:E$2)))))</f>
        <v> </v>
      </c>
      <c r="J1652" s="26" t="str">
        <f>IF(OR(E1652="",E1652="!!!",F1652="NEW"),"",COUNTBLANK(OFFSET(A$1,,,SUMPRODUCT(MAX(ROW(E$2:E1652)*(E1652=E$2:E1652)))))-COUNTBLANK(OFFSET(A$1,,,SUMPRODUCT(MAX(ROW(E$1:E1651)*(E2=E$1:E1651))))))</f>
        <v> </v>
      </c>
      <c r="K1652" s="26" t="str">
        <f>IF(OR(E1652="",E1652="!!!",F1652="NEW"),"",INDEX(J$1:J1651,SUMPRODUCT(MAX(ROW(E$1:E1651)*(E1652=E$1:E1651)))))</f>
        <v> </v>
      </c>
      <c r="L1652" s="27"/>
    </row>
    <row r="1653" spans="1:12">
      <c r="A1653" s="20" t="s">
        <v>1277</v>
      </c>
      <c r="E1653" s="22">
        <f>IF(D1653="?OLD","!!!","")</f>
        <v/>
      </c>
      <c r="F1653" s="23" t="str">
        <f>IF(OR(E1653="",E1653="!!!"),"",IF(NOT(ISNA(VLOOKUP(E1653,E$1:E1652,1,FALSE()))),"OLD",IF(AND(E1653&lt;&gt;"",E1653&lt;&gt;"!!!"),"NEW","")))</f>
        <v> </v>
      </c>
      <c r="G1653" s="24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5" t="str">
        <f>IF(J1653&lt;&gt;1,"",IF(I1653="SBJ","CB","?"))</f>
        <v> </v>
      </c>
      <c r="I1653" s="26" t="str">
        <f>IF(OR(E1653="",E1653="!!!",F1653="NEW"),"",INDEX(B1652:B$2,-1+SUMPRODUCT(MAX(ROW(E1652:E$2)*(E1653=E1652:E$2)))))</f>
        <v> </v>
      </c>
      <c r="J1653" s="26" t="str">
        <f>IF(OR(E1653="",E1653="!!!",F1653="NEW"),"",COUNTBLANK(OFFSET(A$1,,,SUMPRODUCT(MAX(ROW(E$2:E1653)*(E1653=E$2:E1653)))))-COUNTBLANK(OFFSET(A$1,,,SUMPRODUCT(MAX(ROW(E$1:E1652)*(E2=E$1:E1652))))))</f>
        <v> </v>
      </c>
      <c r="K1653" s="26" t="str">
        <f>IF(OR(E1653="",E1653="!!!",F1653="NEW"),"",INDEX(J$1:J1652,SUMPRODUCT(MAX(ROW(E$1:E1652)*(E1653=E$1:E1652)))))</f>
        <v> </v>
      </c>
      <c r="L1653" s="27"/>
    </row>
    <row r="1654" spans="1:12">
      <c r="A1654" s="20" t="s">
        <v>1461</v>
      </c>
      <c r="E1654" s="22">
        <f>IF(D1654="?OLD","!!!","")</f>
        <v/>
      </c>
      <c r="F1654" s="23" t="str">
        <f>IF(OR(E1654="",E1654="!!!"),"",IF(NOT(ISNA(VLOOKUP(E1654,E$1:E1653,1,FALSE()))),"OLD",IF(AND(E1654&lt;&gt;"",E1654&lt;&gt;"!!!"),"NEW","")))</f>
        <v> </v>
      </c>
      <c r="G1654" s="24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5" t="str">
        <f>IF(J1654&lt;&gt;1,"",IF(I1654="SBJ","CB","?"))</f>
        <v> </v>
      </c>
      <c r="I1654" s="26" t="str">
        <f>IF(OR(E1654="",E1654="!!!",F1654="NEW"),"",INDEX(B1653:B$2,-1+SUMPRODUCT(MAX(ROW(E1653:E$2)*(E1654=E1653:E$2)))))</f>
        <v> </v>
      </c>
      <c r="J1654" s="26" t="str">
        <f>IF(OR(E1654="",E1654="!!!",F1654="NEW"),"",COUNTBLANK(OFFSET(A$1,,,SUMPRODUCT(MAX(ROW(E$2:E1654)*(E1654=E$2:E1654)))))-COUNTBLANK(OFFSET(A$1,,,SUMPRODUCT(MAX(ROW(E$1:E1653)*(E2=E$1:E1653))))))</f>
        <v> </v>
      </c>
      <c r="K1654" s="26" t="str">
        <f>IF(OR(E1654="",E1654="!!!",F1654="NEW"),"",INDEX(J$1:J1653,SUMPRODUCT(MAX(ROW(E$1:E1653)*(E1654=E$1:E1653)))))</f>
        <v> </v>
      </c>
      <c r="L1654" s="27"/>
    </row>
    <row r="1655" spans="1:12">
      <c r="A1655" s="20" t="s">
        <v>1462</v>
      </c>
      <c r="E1655" s="22">
        <f>IF(D1655="?OLD","!!!","")</f>
        <v/>
      </c>
      <c r="F1655" s="23" t="str">
        <f>IF(OR(E1655="",E1655="!!!"),"",IF(NOT(ISNA(VLOOKUP(E1655,E$1:E1654,1,FALSE()))),"OLD",IF(AND(E1655&lt;&gt;"",E1655&lt;&gt;"!!!"),"NEW","")))</f>
        <v> </v>
      </c>
      <c r="G1655" s="24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5" t="str">
        <f>IF(J1655&lt;&gt;1,"",IF(I1655="SBJ","CB","?"))</f>
        <v> </v>
      </c>
      <c r="I1655" s="26" t="str">
        <f>IF(OR(E1655="",E1655="!!!",F1655="NEW"),"",INDEX(B1654:B$2,-1+SUMPRODUCT(MAX(ROW(E1654:E$2)*(E1655=E1654:E$2)))))</f>
        <v> </v>
      </c>
      <c r="J1655" s="26" t="str">
        <f>IF(OR(E1655="",E1655="!!!",F1655="NEW"),"",COUNTBLANK(OFFSET(A$1,,,SUMPRODUCT(MAX(ROW(E$2:E1655)*(E1655=E$2:E1655)))))-COUNTBLANK(OFFSET(A$1,,,SUMPRODUCT(MAX(ROW(E$1:E1654)*(E2=E$1:E1654))))))</f>
        <v> </v>
      </c>
      <c r="K1655" s="26" t="str">
        <f>IF(OR(E1655="",E1655="!!!",F1655="NEW"),"",INDEX(J$1:J1654,SUMPRODUCT(MAX(ROW(E$1:E1654)*(E1655=E$1:E1654)))))</f>
        <v> </v>
      </c>
      <c r="L1655" s="27"/>
    </row>
    <row r="1656" spans="1:12">
      <c r="A1656" s="20" t="s">
        <v>1463</v>
      </c>
      <c r="B1656" s="21" t="s">
        <v>1464</v>
      </c>
      <c r="E1656" s="22">
        <f>IF(D1656="?OLD","!!!","")</f>
        <v/>
      </c>
      <c r="F1656" s="23" t="str">
        <f>IF(OR(E1656="",E1656="!!!"),"",IF(NOT(ISNA(VLOOKUP(E1656,E$1:E1655,1,FALSE()))),"OLD",IF(AND(E1656&lt;&gt;"",E1656&lt;&gt;"!!!"),"NEW","")))</f>
        <v> </v>
      </c>
      <c r="G1656" s="24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5" t="str">
        <f>IF(J1656&lt;&gt;1,"",IF(I1656="SBJ","CB","?"))</f>
        <v> </v>
      </c>
      <c r="I1656" s="26" t="str">
        <f>IF(OR(E1656="",E1656="!!!",F1656="NEW"),"",INDEX(B1655:B$2,-1+SUMPRODUCT(MAX(ROW(E1655:E$2)*(E1656=E1655:E$2)))))</f>
        <v> </v>
      </c>
      <c r="J1656" s="26" t="str">
        <f>IF(OR(E1656="",E1656="!!!",F1656="NEW"),"",COUNTBLANK(OFFSET(A$1,,,SUMPRODUCT(MAX(ROW(E$2:E1656)*(E1656=E$2:E1656)))))-COUNTBLANK(OFFSET(A$1,,,SUMPRODUCT(MAX(ROW(E$1:E1655)*(E2=E$1:E1655))))))</f>
        <v> </v>
      </c>
      <c r="K1656" s="26" t="str">
        <f>IF(OR(E1656="",E1656="!!!",F1656="NEW"),"",INDEX(J$1:J1655,SUMPRODUCT(MAX(ROW(E$1:E1655)*(E1656=E$1:E1655)))))</f>
        <v> </v>
      </c>
      <c r="L1656" s="27"/>
    </row>
    <row r="1657" spans="1:12">
      <c r="A1657" s="20" t="s">
        <v>611</v>
      </c>
      <c r="E1657" s="22">
        <f>IF(D1657="?OLD","!!!","")</f>
        <v/>
      </c>
      <c r="F1657" s="23" t="str">
        <f>IF(OR(E1657="",E1657="!!!"),"",IF(NOT(ISNA(VLOOKUP(E1657,E$1:E1656,1,FALSE()))),"OLD",IF(AND(E1657&lt;&gt;"",E1657&lt;&gt;"!!!"),"NEW","")))</f>
        <v> </v>
      </c>
      <c r="G1657" s="24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5" t="str">
        <f>IF(J1657&lt;&gt;1,"",IF(I1657="SBJ","CB","?"))</f>
        <v> </v>
      </c>
      <c r="I1657" s="26" t="str">
        <f>IF(OR(E1657="",E1657="!!!",F1657="NEW"),"",INDEX(B1656:B$2,-1+SUMPRODUCT(MAX(ROW(E1656:E$2)*(E1657=E1656:E$2)))))</f>
        <v> </v>
      </c>
      <c r="J1657" s="26" t="str">
        <f>IF(OR(E1657="",E1657="!!!",F1657="NEW"),"",COUNTBLANK(OFFSET(A$1,,,SUMPRODUCT(MAX(ROW(E$2:E1657)*(E1657=E$2:E1657)))))-COUNTBLANK(OFFSET(A$1,,,SUMPRODUCT(MAX(ROW(E$1:E1656)*(E2=E$1:E1656))))))</f>
        <v> </v>
      </c>
      <c r="K1657" s="26" t="str">
        <f>IF(OR(E1657="",E1657="!!!",F1657="NEW"),"",INDEX(J$1:J1656,SUMPRODUCT(MAX(ROW(E$1:E1656)*(E1657=E$1:E1656)))))</f>
        <v> </v>
      </c>
      <c r="L1657" s="27"/>
    </row>
    <row r="1658" spans="1:12">
      <c r="A1658" s="20" t="s">
        <v>1465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 t="s">
        <v>1466</v>
      </c>
      <c r="E1659" s="22">
        <f>IF(D1659="?OLD","!!!","")</f>
        <v/>
      </c>
      <c r="F1659" s="23" t="str">
        <f>IF(OR(E1659="",E1659="!!!"),"",IF(NOT(ISNA(VLOOKUP(E1659,E$1:E1658,1,FALSE()))),"OLD",IF(AND(E1659&lt;&gt;"",E1659&lt;&gt;"!!!"),"NEW","")))</f>
        <v> </v>
      </c>
      <c r="G1659" s="24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5" t="str">
        <f>IF(J1659&lt;&gt;1,"",IF(I1659="SBJ","CB","?"))</f>
        <v> </v>
      </c>
      <c r="I1659" s="26" t="str">
        <f>IF(OR(E1659="",E1659="!!!",F1659="NEW"),"",INDEX(B1658:B$2,-1+SUMPRODUCT(MAX(ROW(E1658:E$2)*(E1659=E1658:E$2)))))</f>
        <v> </v>
      </c>
      <c r="J1659" s="26" t="str">
        <f>IF(OR(E1659="",E1659="!!!",F1659="NEW"),"",COUNTBLANK(OFFSET(A$1,,,SUMPRODUCT(MAX(ROW(E$2:E1659)*(E1659=E$2:E1659)))))-COUNTBLANK(OFFSET(A$1,,,SUMPRODUCT(MAX(ROW(E$1:E1658)*(E2=E$1:E1658))))))</f>
        <v> </v>
      </c>
      <c r="K1659" s="26" t="str">
        <f>IF(OR(E1659="",E1659="!!!",F1659="NEW"),"",INDEX(J$1:J1658,SUMPRODUCT(MAX(ROW(E$1:E1658)*(E1659=E$1:E1658)))))</f>
        <v> </v>
      </c>
      <c r="L1659" s="27"/>
    </row>
    <row r="1660" spans="1:12">
      <c r="A1660" s="20" t="s">
        <v>1206</v>
      </c>
      <c r="E1660" s="22">
        <f>IF(D1660="?OLD","!!!","")</f>
        <v/>
      </c>
      <c r="F1660" s="23" t="str">
        <f>IF(OR(E1660="",E1660="!!!"),"",IF(NOT(ISNA(VLOOKUP(E1660,E$1:E1659,1,FALSE()))),"OLD",IF(AND(E1660&lt;&gt;"",E1660&lt;&gt;"!!!"),"NEW","")))</f>
        <v> </v>
      </c>
      <c r="G1660" s="24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5" t="str">
        <f>IF(J1660&lt;&gt;1,"",IF(I1660="SBJ","CB","?"))</f>
        <v> </v>
      </c>
      <c r="I1660" s="26" t="str">
        <f>IF(OR(E1660="",E1660="!!!",F1660="NEW"),"",INDEX(B1659:B$2,-1+SUMPRODUCT(MAX(ROW(E1659:E$2)*(E1660=E1659:E$2)))))</f>
        <v> </v>
      </c>
      <c r="J1660" s="26" t="str">
        <f>IF(OR(E1660="",E1660="!!!",F1660="NEW"),"",COUNTBLANK(OFFSET(A$1,,,SUMPRODUCT(MAX(ROW(E$2:E1660)*(E1660=E$2:E1660)))))-COUNTBLANK(OFFSET(A$1,,,SUMPRODUCT(MAX(ROW(E$1:E1659)*(E2=E$1:E1659))))))</f>
        <v> </v>
      </c>
      <c r="K1660" s="26" t="str">
        <f>IF(OR(E1660="",E1660="!!!",F1660="NEW"),"",INDEX(J$1:J1659,SUMPRODUCT(MAX(ROW(E$1:E1659)*(E1660=E$1:E1659)))))</f>
        <v> </v>
      </c>
      <c r="L1660" s="27"/>
    </row>
    <row r="1661" spans="1:12">
      <c r="A1661" s="20" t="s">
        <v>1207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633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/>
    </row>
    <row r="1664" spans="1:12">
      <c r="A1664" s="20" t="s">
        <v>1467</v>
      </c>
    </row>
    <row r="1665" spans="1:12">
      <c r="A1665" s="20" t="s">
        <v>1468</v>
      </c>
      <c r="E1665" s="22">
        <f>IF(D1665="?OLD","!!!","")</f>
        <v/>
      </c>
      <c r="F1665" s="23" t="str">
        <f>IF(OR(E1665="",E1665="!!!"),"",IF(NOT(ISNA(VLOOKUP(E1665,E$1:E1664,1,FALSE()))),"OLD",IF(AND(E1665&lt;&gt;"",E1665&lt;&gt;"!!!"),"NEW","")))</f>
        <v> </v>
      </c>
      <c r="G1665" s="24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5" t="str">
        <f>IF(J1665&lt;&gt;1,"",IF(I1665="SBJ","CB","?"))</f>
        <v> </v>
      </c>
      <c r="I1665" s="26" t="str">
        <f>IF(OR(E1665="",E1665="!!!",F1665="NEW"),"",INDEX(B1664:B$2,-1+SUMPRODUCT(MAX(ROW(E1664:E$2)*(E1665=E1664:E$2)))))</f>
        <v> </v>
      </c>
      <c r="J1665" s="26" t="str">
        <f>IF(OR(E1665="",E1665="!!!",F1665="NEW"),"",COUNTBLANK(OFFSET(A$1,,,SUMPRODUCT(MAX(ROW(E$2:E1665)*(E1665=E$2:E1665)))))-COUNTBLANK(OFFSET(A$1,,,SUMPRODUCT(MAX(ROW(E$1:E1664)*(E2=E$1:E1664))))))</f>
        <v> </v>
      </c>
      <c r="K1665" s="26" t="str">
        <f>IF(OR(E1665="",E1665="!!!",F1665="NEW"),"",INDEX(J$1:J1664,SUMPRODUCT(MAX(ROW(E$1:E1664)*(E1665=E$1:E1664)))))</f>
        <v> </v>
      </c>
      <c r="L1665" s="27"/>
    </row>
    <row r="1666" spans="1:12">
      <c r="A1666" s="20" t="s">
        <v>1469</v>
      </c>
      <c r="E1666" s="22">
        <f>IF(D1666="?OLD","!!!","")</f>
        <v/>
      </c>
      <c r="F1666" s="23" t="str">
        <f>IF(OR(E1666="",E1666="!!!"),"",IF(NOT(ISNA(VLOOKUP(E1666,E$1:E1665,1,FALSE()))),"OLD",IF(AND(E1666&lt;&gt;"",E1666&lt;&gt;"!!!"),"NEW","")))</f>
        <v> </v>
      </c>
      <c r="G1666" s="24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5" t="str">
        <f>IF(J1666&lt;&gt;1,"",IF(I1666="SBJ","CB","?"))</f>
        <v> </v>
      </c>
      <c r="I1666" s="26" t="str">
        <f>IF(OR(E1666="",E1666="!!!",F1666="NEW"),"",INDEX(B1665:B$2,-1+SUMPRODUCT(MAX(ROW(E1665:E$2)*(E1666=E1665:E$2)))))</f>
        <v> </v>
      </c>
      <c r="J1666" s="26" t="str">
        <f>IF(OR(E1666="",E1666="!!!",F1666="NEW"),"",COUNTBLANK(OFFSET(A$1,,,SUMPRODUCT(MAX(ROW(E$2:E1666)*(E1666=E$2:E1666)))))-COUNTBLANK(OFFSET(A$1,,,SUMPRODUCT(MAX(ROW(E$1:E1665)*(E2=E$1:E1665))))))</f>
        <v> </v>
      </c>
      <c r="K1666" s="26" t="str">
        <f>IF(OR(E1666="",E1666="!!!",F1666="NEW"),"",INDEX(J$1:J1665,SUMPRODUCT(MAX(ROW(E$1:E1665)*(E1666=E$1:E1665)))))</f>
        <v> </v>
      </c>
      <c r="L1666" s="27"/>
    </row>
    <row r="1667" spans="1:12">
      <c r="A1667" s="20" t="s">
        <v>1470</v>
      </c>
      <c r="E1667" s="22">
        <f>IF(D1667="?OLD","!!!","")</f>
        <v/>
      </c>
      <c r="F1667" s="23" t="str">
        <f>IF(OR(E1667="",E1667="!!!"),"",IF(NOT(ISNA(VLOOKUP(E1667,E$1:E1666,1,FALSE()))),"OLD",IF(AND(E1667&lt;&gt;"",E1667&lt;&gt;"!!!"),"NEW","")))</f>
        <v> </v>
      </c>
      <c r="G1667" s="24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5" t="str">
        <f>IF(J1667&lt;&gt;1,"",IF(I1667="SBJ","CB","?"))</f>
        <v> </v>
      </c>
      <c r="I1667" s="26" t="str">
        <f>IF(OR(E1667="",E1667="!!!",F1667="NEW"),"",INDEX(B1666:B$2,-1+SUMPRODUCT(MAX(ROW(E1666:E$2)*(E1667=E1666:E$2)))))</f>
        <v> </v>
      </c>
      <c r="J1667" s="26" t="str">
        <f>IF(OR(E1667="",E1667="!!!",F1667="NEW"),"",COUNTBLANK(OFFSET(A$1,,,SUMPRODUCT(MAX(ROW(E$2:E1667)*(E1667=E$2:E1667)))))-COUNTBLANK(OFFSET(A$1,,,SUMPRODUCT(MAX(ROW(E$1:E1666)*(E2=E$1:E1666))))))</f>
        <v> </v>
      </c>
      <c r="K1667" s="26" t="str">
        <f>IF(OR(E1667="",E1667="!!!",F1667="NEW"),"",INDEX(J$1:J1666,SUMPRODUCT(MAX(ROW(E$1:E1666)*(E1667=E$1:E1666)))))</f>
        <v> </v>
      </c>
      <c r="L1667" s="27"/>
    </row>
    <row r="1668" spans="1:12">
      <c r="A1668" s="20" t="s">
        <v>1471</v>
      </c>
      <c r="E1668" s="22">
        <f>IF(D1668="?OLD","!!!","")</f>
        <v/>
      </c>
      <c r="F1668" s="23" t="str">
        <f>IF(OR(E1668="",E1668="!!!"),"",IF(NOT(ISNA(VLOOKUP(E1668,E$1:E1667,1,FALSE()))),"OLD",IF(AND(E1668&lt;&gt;"",E1668&lt;&gt;"!!!"),"NEW","")))</f>
        <v> </v>
      </c>
      <c r="G1668" s="24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5" t="str">
        <f>IF(J1668&lt;&gt;1,"",IF(I1668="SBJ","CB","?"))</f>
        <v> </v>
      </c>
      <c r="I1668" s="26" t="str">
        <f>IF(OR(E1668="",E1668="!!!",F1668="NEW"),"",INDEX(B1667:B$2,-1+SUMPRODUCT(MAX(ROW(E1667:E$2)*(E1668=E1667:E$2)))))</f>
        <v> </v>
      </c>
      <c r="J1668" s="26" t="str">
        <f>IF(OR(E1668="",E1668="!!!",F1668="NEW"),"",COUNTBLANK(OFFSET(A$1,,,SUMPRODUCT(MAX(ROW(E$2:E1668)*(E1668=E$2:E1668)))))-COUNTBLANK(OFFSET(A$1,,,SUMPRODUCT(MAX(ROW(E$1:E1667)*(E2=E$1:E1667))))))</f>
        <v> </v>
      </c>
      <c r="K1668" s="26" t="str">
        <f>IF(OR(E1668="",E1668="!!!",F1668="NEW"),"",INDEX(J$1:J1667,SUMPRODUCT(MAX(ROW(E$1:E1667)*(E1668=E$1:E1667)))))</f>
        <v> </v>
      </c>
      <c r="L1668" s="27"/>
    </row>
    <row r="1669" spans="1:12">
      <c r="A1669" s="20" t="s">
        <v>1234</v>
      </c>
      <c r="B1669" s="21" t="s">
        <v>801</v>
      </c>
      <c r="E1669" s="22">
        <f>IF(D1669="?OLD","!!!","")</f>
        <v/>
      </c>
      <c r="F1669" s="23" t="str">
        <f>IF(OR(E1669="",E1669="!!!"),"",IF(NOT(ISNA(VLOOKUP(E1669,E$1:E1668,1,FALSE()))),"OLD",IF(AND(E1669&lt;&gt;"",E1669&lt;&gt;"!!!"),"NEW","")))</f>
        <v> </v>
      </c>
      <c r="G1669" s="24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5" t="str">
        <f>IF(J1669&lt;&gt;1,"",IF(I1669="SBJ","CB","?"))</f>
        <v> </v>
      </c>
      <c r="I1669" s="26" t="str">
        <f>IF(OR(E1669="",E1669="!!!",F1669="NEW"),"",INDEX(B1668:B$2,-1+SUMPRODUCT(MAX(ROW(E1668:E$2)*(E1669=E1668:E$2)))))</f>
        <v> </v>
      </c>
      <c r="J1669" s="26" t="str">
        <f>IF(OR(E1669="",E1669="!!!",F1669="NEW"),"",COUNTBLANK(OFFSET(A$1,,,SUMPRODUCT(MAX(ROW(E$2:E1669)*(E1669=E$2:E1669)))))-COUNTBLANK(OFFSET(A$1,,,SUMPRODUCT(MAX(ROW(E$1:E1668)*(E2=E$1:E1668))))))</f>
        <v> </v>
      </c>
      <c r="K1669" s="26" t="str">
        <f>IF(OR(E1669="",E1669="!!!",F1669="NEW"),"",INDEX(J$1:J1668,SUMPRODUCT(MAX(ROW(E$1:E1668)*(E1669=E$1:E1668)))))</f>
        <v> </v>
      </c>
      <c r="L1669" s="27"/>
    </row>
    <row r="1670" spans="1:12">
      <c r="A1670" s="20" t="s">
        <v>672</v>
      </c>
      <c r="E1670" s="22">
        <f>IF(D1670="?OLD","!!!","")</f>
        <v/>
      </c>
      <c r="F1670" s="23" t="str">
        <f>IF(OR(E1670="",E1670="!!!"),"",IF(NOT(ISNA(VLOOKUP(E1670,E$1:E1669,1,FALSE()))),"OLD",IF(AND(E1670&lt;&gt;"",E1670&lt;&gt;"!!!"),"NEW","")))</f>
        <v> </v>
      </c>
      <c r="G1670" s="24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5" t="str">
        <f>IF(J1670&lt;&gt;1,"",IF(I1670="SBJ","CB","?"))</f>
        <v> </v>
      </c>
      <c r="I1670" s="26" t="str">
        <f>IF(OR(E1670="",E1670="!!!",F1670="NEW"),"",INDEX(B1669:B$2,-1+SUMPRODUCT(MAX(ROW(E1669:E$2)*(E1670=E1669:E$2)))))</f>
        <v> </v>
      </c>
      <c r="J1670" s="26" t="str">
        <f>IF(OR(E1670="",E1670="!!!",F1670="NEW"),"",COUNTBLANK(OFFSET(A$1,,,SUMPRODUCT(MAX(ROW(E$2:E1670)*(E1670=E$2:E1670)))))-COUNTBLANK(OFFSET(A$1,,,SUMPRODUCT(MAX(ROW(E$1:E1669)*(E2=E$1:E1669))))))</f>
        <v> </v>
      </c>
      <c r="K1670" s="26" t="str">
        <f>IF(OR(E1670="",E1670="!!!",F1670="NEW"),"",INDEX(J$1:J1669,SUMPRODUCT(MAX(ROW(E$1:E1669)*(E1670=E$1:E1669)))))</f>
        <v> </v>
      </c>
      <c r="L1670" s="27"/>
    </row>
    <row r="1671" spans="1:12">
      <c r="A1671" s="20" t="s">
        <v>1230</v>
      </c>
      <c r="E1671" s="22">
        <f>IF(D1671="?OLD","!!!","")</f>
        <v/>
      </c>
      <c r="F1671" s="23" t="str">
        <f>IF(OR(E1671="",E1671="!!!"),"",IF(NOT(ISNA(VLOOKUP(E1671,E$1:E1670,1,FALSE()))),"OLD",IF(AND(E1671&lt;&gt;"",E1671&lt;&gt;"!!!"),"NEW","")))</f>
        <v> </v>
      </c>
      <c r="G1671" s="24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5" t="str">
        <f>IF(J1671&lt;&gt;1,"",IF(I1671="SBJ","CB","?"))</f>
        <v> </v>
      </c>
      <c r="I1671" s="26" t="str">
        <f>IF(OR(E1671="",E1671="!!!",F1671="NEW"),"",INDEX(B1670:B$2,-1+SUMPRODUCT(MAX(ROW(E1670:E$2)*(E1671=E1670:E$2)))))</f>
        <v> </v>
      </c>
      <c r="J1671" s="26" t="str">
        <f>IF(OR(E1671="",E1671="!!!",F1671="NEW"),"",COUNTBLANK(OFFSET(A$1,,,SUMPRODUCT(MAX(ROW(E$2:E1671)*(E1671=E$2:E1671)))))-COUNTBLANK(OFFSET(A$1,,,SUMPRODUCT(MAX(ROW(E$1:E1670)*(E2=E$1:E1670))))))</f>
        <v> </v>
      </c>
      <c r="K1671" s="26" t="str">
        <f>IF(OR(E1671="",E1671="!!!",F1671="NEW"),"",INDEX(J$1:J1670,SUMPRODUCT(MAX(ROW(E$1:E1670)*(E1671=E$1:E1670)))))</f>
        <v> </v>
      </c>
      <c r="L1671" s="27"/>
    </row>
    <row r="1672" spans="1:12">
      <c r="A1672" s="20" t="s">
        <v>1243</v>
      </c>
      <c r="E1672" s="22">
        <f>IF(D1672="?OLD","!!!","")</f>
        <v/>
      </c>
      <c r="F1672" s="23" t="str">
        <f>IF(OR(E1672="",E1672="!!!"),"",IF(NOT(ISNA(VLOOKUP(E1672,E$1:E1671,1,FALSE()))),"OLD",IF(AND(E1672&lt;&gt;"",E1672&lt;&gt;"!!!"),"NEW","")))</f>
        <v> </v>
      </c>
      <c r="G1672" s="24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5" t="str">
        <f>IF(J1672&lt;&gt;1,"",IF(I1672="SBJ","CB","?"))</f>
        <v> </v>
      </c>
      <c r="I1672" s="26" t="str">
        <f>IF(OR(E1672="",E1672="!!!",F1672="NEW"),"",INDEX(B1671:B$2,-1+SUMPRODUCT(MAX(ROW(E1671:E$2)*(E1672=E1671:E$2)))))</f>
        <v> </v>
      </c>
      <c r="J1672" s="26" t="str">
        <f>IF(OR(E1672="",E1672="!!!",F1672="NEW"),"",COUNTBLANK(OFFSET(A$1,,,SUMPRODUCT(MAX(ROW(E$2:E1672)*(E1672=E$2:E1672)))))-COUNTBLANK(OFFSET(A$1,,,SUMPRODUCT(MAX(ROW(E$1:E1671)*(E2=E$1:E1671))))))</f>
        <v> </v>
      </c>
      <c r="K1672" s="26" t="str">
        <f>IF(OR(E1672="",E1672="!!!",F1672="NEW"),"",INDEX(J$1:J1671,SUMPRODUCT(MAX(ROW(E$1:E1671)*(E1672=E$1:E1671)))))</f>
        <v> </v>
      </c>
      <c r="L1672" s="27"/>
    </row>
    <row r="1673" spans="1:12">
      <c r="A1673" s="20" t="s">
        <v>664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1472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1277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1473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 t="s">
        <v>611</v>
      </c>
      <c r="E1677" s="22">
        <f>IF(D1677="?OLD","!!!","")</f>
        <v/>
      </c>
      <c r="F1677" s="23" t="str">
        <f>IF(OR(E1677="",E1677="!!!"),"",IF(NOT(ISNA(VLOOKUP(E1677,E$1:E1676,1,FALSE()))),"OLD",IF(AND(E1677&lt;&gt;"",E1677&lt;&gt;"!!!"),"NEW","")))</f>
        <v> </v>
      </c>
      <c r="G1677" s="24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5" t="str">
        <f>IF(J1677&lt;&gt;1,"",IF(I1677="SBJ","CB","?"))</f>
        <v> </v>
      </c>
      <c r="I1677" s="26" t="str">
        <f>IF(OR(E1677="",E1677="!!!",F1677="NEW"),"",INDEX(B1676:B$2,-1+SUMPRODUCT(MAX(ROW(E1676:E$2)*(E1677=E1676:E$2)))))</f>
        <v> </v>
      </c>
      <c r="J1677" s="26" t="str">
        <f>IF(OR(E1677="",E1677="!!!",F1677="NEW"),"",COUNTBLANK(OFFSET(A$1,,,SUMPRODUCT(MAX(ROW(E$2:E1677)*(E1677=E$2:E1677)))))-COUNTBLANK(OFFSET(A$1,,,SUMPRODUCT(MAX(ROW(E$1:E1676)*(E2=E$1:E1676))))))</f>
        <v> </v>
      </c>
      <c r="K1677" s="26" t="str">
        <f>IF(OR(E1677="",E1677="!!!",F1677="NEW"),"",INDEX(J$1:J1676,SUMPRODUCT(MAX(ROW(E$1:E1676)*(E1677=E$1:E1676)))))</f>
        <v> </v>
      </c>
      <c r="L1677" s="27"/>
    </row>
    <row r="1678" spans="1:12">
      <c r="A1678" s="20" t="s">
        <v>1474</v>
      </c>
      <c r="E1678" s="22">
        <f>IF(D1678="?OLD","!!!","")</f>
        <v/>
      </c>
      <c r="F1678" s="23" t="str">
        <f>IF(OR(E1678="",E1678="!!!"),"",IF(NOT(ISNA(VLOOKUP(E1678,E$1:E1677,1,FALSE()))),"OLD",IF(AND(E1678&lt;&gt;"",E1678&lt;&gt;"!!!"),"NEW","")))</f>
        <v> </v>
      </c>
      <c r="G1678" s="24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5" t="str">
        <f>IF(J1678&lt;&gt;1,"",IF(I1678="SBJ","CB","?"))</f>
        <v> </v>
      </c>
      <c r="I1678" s="26" t="str">
        <f>IF(OR(E1678="",E1678="!!!",F1678="NEW"),"",INDEX(B1677:B$2,-1+SUMPRODUCT(MAX(ROW(E1677:E$2)*(E1678=E1677:E$2)))))</f>
        <v> </v>
      </c>
      <c r="J1678" s="26" t="str">
        <f>IF(OR(E1678="",E1678="!!!",F1678="NEW"),"",COUNTBLANK(OFFSET(A$1,,,SUMPRODUCT(MAX(ROW(E$2:E1678)*(E1678=E$2:E1678)))))-COUNTBLANK(OFFSET(A$1,,,SUMPRODUCT(MAX(ROW(E$1:E1677)*(E2=E$1:E1677))))))</f>
        <v> </v>
      </c>
      <c r="K1678" s="26" t="str">
        <f>IF(OR(E1678="",E1678="!!!",F1678="NEW"),"",INDEX(J$1:J1677,SUMPRODUCT(MAX(ROW(E$1:E1677)*(E1678=E$1:E1677)))))</f>
        <v> </v>
      </c>
      <c r="L1678" s="27"/>
    </row>
    <row r="1679" spans="1:12">
      <c r="A1679" s="20" t="s">
        <v>1475</v>
      </c>
      <c r="E1679" s="22">
        <f>IF(D1679="?OLD","!!!","")</f>
        <v/>
      </c>
      <c r="F1679" s="23" t="str">
        <f>IF(OR(E1679="",E1679="!!!"),"",IF(NOT(ISNA(VLOOKUP(E1679,E$1:E1678,1,FALSE()))),"OLD",IF(AND(E1679&lt;&gt;"",E1679&lt;&gt;"!!!"),"NEW","")))</f>
        <v> </v>
      </c>
      <c r="G1679" s="24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5" t="str">
        <f>IF(J1679&lt;&gt;1,"",IF(I1679="SBJ","CB","?"))</f>
        <v> </v>
      </c>
      <c r="I1679" s="26" t="str">
        <f>IF(OR(E1679="",E1679="!!!",F1679="NEW"),"",INDEX(B1678:B$2,-1+SUMPRODUCT(MAX(ROW(E1678:E$2)*(E1679=E1678:E$2)))))</f>
        <v> </v>
      </c>
      <c r="J1679" s="26" t="str">
        <f>IF(OR(E1679="",E1679="!!!",F1679="NEW"),"",COUNTBLANK(OFFSET(A$1,,,SUMPRODUCT(MAX(ROW(E$2:E1679)*(E1679=E$2:E1679)))))-COUNTBLANK(OFFSET(A$1,,,SUMPRODUCT(MAX(ROW(E$1:E1678)*(E2=E$1:E1678))))))</f>
        <v> </v>
      </c>
      <c r="K1679" s="26" t="str">
        <f>IF(OR(E1679="",E1679="!!!",F1679="NEW"),"",INDEX(J$1:J1678,SUMPRODUCT(MAX(ROW(E$1:E1678)*(E1679=E$1:E1678)))))</f>
        <v> </v>
      </c>
      <c r="L1679" s="27"/>
    </row>
    <row r="1680" spans="1:12">
      <c r="A1680" s="20" t="s">
        <v>1336</v>
      </c>
      <c r="B1680" s="21" t="s">
        <v>782</v>
      </c>
      <c r="C1680" s="21" t="s">
        <v>602</v>
      </c>
      <c r="D1680" s="21" t="s">
        <v>603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1476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 t="s">
        <v>611</v>
      </c>
      <c r="E1682" s="22">
        <f>IF(D1682="?OLD","!!!","")</f>
        <v/>
      </c>
      <c r="F1682" s="23" t="str">
        <f>IF(OR(E1682="",E1682="!!!"),"",IF(NOT(ISNA(VLOOKUP(E1682,E$1:E1681,1,FALSE()))),"OLD",IF(AND(E1682&lt;&gt;"",E1682&lt;&gt;"!!!"),"NEW","")))</f>
        <v> </v>
      </c>
      <c r="G1682" s="24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5" t="str">
        <f>IF(J1682&lt;&gt;1,"",IF(I1682="SBJ","CB","?"))</f>
        <v> </v>
      </c>
      <c r="I1682" s="26" t="str">
        <f>IF(OR(E1682="",E1682="!!!",F1682="NEW"),"",INDEX(B1681:B$2,-1+SUMPRODUCT(MAX(ROW(E1681:E$2)*(E1682=E1681:E$2)))))</f>
        <v> </v>
      </c>
      <c r="J1682" s="26" t="str">
        <f>IF(OR(E1682="",E1682="!!!",F1682="NEW"),"",COUNTBLANK(OFFSET(A$1,,,SUMPRODUCT(MAX(ROW(E$2:E1682)*(E1682=E$2:E1682)))))-COUNTBLANK(OFFSET(A$1,,,SUMPRODUCT(MAX(ROW(E$1:E1681)*(E2=E$1:E1681))))))</f>
        <v> </v>
      </c>
      <c r="K1682" s="26" t="str">
        <f>IF(OR(E1682="",E1682="!!!",F1682="NEW"),"",INDEX(J$1:J1681,SUMPRODUCT(MAX(ROW(E$1:E1681)*(E1682=E$1:E1681)))))</f>
        <v> </v>
      </c>
      <c r="L1682" s="27"/>
    </row>
    <row r="1683" spans="1:12">
      <c r="A1683" s="20" t="s">
        <v>1477</v>
      </c>
      <c r="E1683" s="22">
        <f>IF(D1683="?OLD","!!!","")</f>
        <v/>
      </c>
      <c r="F1683" s="23" t="str">
        <f>IF(OR(E1683="",E1683="!!!"),"",IF(NOT(ISNA(VLOOKUP(E1683,E$1:E1682,1,FALSE()))),"OLD",IF(AND(E1683&lt;&gt;"",E1683&lt;&gt;"!!!"),"NEW","")))</f>
        <v> </v>
      </c>
      <c r="G1683" s="24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5" t="str">
        <f>IF(J1683&lt;&gt;1,"",IF(I1683="SBJ","CB","?"))</f>
        <v> </v>
      </c>
      <c r="I1683" s="26" t="str">
        <f>IF(OR(E1683="",E1683="!!!",F1683="NEW"),"",INDEX(B1682:B$2,-1+SUMPRODUCT(MAX(ROW(E1682:E$2)*(E1683=E1682:E$2)))))</f>
        <v> </v>
      </c>
      <c r="J1683" s="26" t="str">
        <f>IF(OR(E1683="",E1683="!!!",F1683="NEW"),"",COUNTBLANK(OFFSET(A$1,,,SUMPRODUCT(MAX(ROW(E$2:E1683)*(E1683=E$2:E1683)))))-COUNTBLANK(OFFSET(A$1,,,SUMPRODUCT(MAX(ROW(E$1:E1682)*(E2=E$1:E1682))))))</f>
        <v> </v>
      </c>
      <c r="K1683" s="26" t="str">
        <f>IF(OR(E1683="",E1683="!!!",F1683="NEW"),"",INDEX(J$1:J1682,SUMPRODUCT(MAX(ROW(E$1:E1682)*(E1683=E$1:E1682)))))</f>
        <v> </v>
      </c>
      <c r="L1683" s="27"/>
    </row>
    <row r="1684" spans="1:12">
      <c r="A1684" s="20" t="s">
        <v>800</v>
      </c>
      <c r="B1684" s="21" t="s">
        <v>1188</v>
      </c>
      <c r="C1684" s="21" t="s">
        <v>602</v>
      </c>
      <c r="D1684" s="21" t="s">
        <v>603</v>
      </c>
      <c r="E1684" s="22">
        <f>IF(D1684="?OLD","!!!","")</f>
        <v/>
      </c>
      <c r="F1684" s="23" t="str">
        <f>IF(OR(E1684="",E1684="!!!"),"",IF(NOT(ISNA(VLOOKUP(E1684,E$1:E1683,1,FALSE()))),"OLD",IF(AND(E1684&lt;&gt;"",E1684&lt;&gt;"!!!"),"NEW","")))</f>
        <v> </v>
      </c>
      <c r="G1684" s="24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5" t="str">
        <f>IF(J1684&lt;&gt;1,"",IF(I1684="SBJ","CB","?"))</f>
        <v> </v>
      </c>
      <c r="I1684" s="26" t="str">
        <f>IF(OR(E1684="",E1684="!!!",F1684="NEW"),"",INDEX(B1683:B$2,-1+SUMPRODUCT(MAX(ROW(E1683:E$2)*(E1684=E1683:E$2)))))</f>
        <v> </v>
      </c>
      <c r="J1684" s="26" t="str">
        <f>IF(OR(E1684="",E1684="!!!",F1684="NEW"),"",COUNTBLANK(OFFSET(A$1,,,SUMPRODUCT(MAX(ROW(E$2:E1684)*(E1684=E$2:E1684)))))-COUNTBLANK(OFFSET(A$1,,,SUMPRODUCT(MAX(ROW(E$1:E1683)*(E2=E$1:E1683))))))</f>
        <v> </v>
      </c>
      <c r="K1684" s="26" t="str">
        <f>IF(OR(E1684="",E1684="!!!",F1684="NEW"),"",INDEX(J$1:J1683,SUMPRODUCT(MAX(ROW(E$1:E1683)*(E1684=E$1:E1683)))))</f>
        <v> </v>
      </c>
      <c r="L1684" s="27"/>
    </row>
    <row r="1685" spans="1:12">
      <c r="A1685" s="20" t="s">
        <v>611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1478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607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 t="s">
        <v>1318</v>
      </c>
      <c r="B1688" s="21" t="s">
        <v>782</v>
      </c>
      <c r="C1688" s="21" t="s">
        <v>602</v>
      </c>
      <c r="D1688" s="21" t="s">
        <v>603</v>
      </c>
      <c r="E1688" s="22">
        <f>IF(D1688="?OLD","!!!","")</f>
        <v/>
      </c>
      <c r="F1688" s="23" t="str">
        <f>IF(OR(E1688="",E1688="!!!"),"",IF(NOT(ISNA(VLOOKUP(E1688,E$1:E1687,1,FALSE()))),"OLD",IF(AND(E1688&lt;&gt;"",E1688&lt;&gt;"!!!"),"NEW","")))</f>
        <v> </v>
      </c>
      <c r="G1688" s="24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5" t="str">
        <f>IF(J1688&lt;&gt;1,"",IF(I1688="SBJ","CB","?"))</f>
        <v> </v>
      </c>
      <c r="I1688" s="26" t="str">
        <f>IF(OR(E1688="",E1688="!!!",F1688="NEW"),"",INDEX(B1687:B$2,-1+SUMPRODUCT(MAX(ROW(E1687:E$2)*(E1688=E1687:E$2)))))</f>
        <v> </v>
      </c>
      <c r="J1688" s="26" t="str">
        <f>IF(OR(E1688="",E1688="!!!",F1688="NEW"),"",COUNTBLANK(OFFSET(A$1,,,SUMPRODUCT(MAX(ROW(E$2:E1688)*(E1688=E$2:E1688)))))-COUNTBLANK(OFFSET(A$1,,,SUMPRODUCT(MAX(ROW(E$1:E1687)*(E2=E$1:E1687))))))</f>
        <v> </v>
      </c>
      <c r="K1688" s="26" t="str">
        <f>IF(OR(E1688="",E1688="!!!",F1688="NEW"),"",INDEX(J$1:J1687,SUMPRODUCT(MAX(ROW(E$1:E1687)*(E1688=E$1:E1687)))))</f>
        <v> </v>
      </c>
      <c r="L1688" s="27"/>
    </row>
    <row r="1689" spans="1:12">
      <c r="A1689" s="20" t="s">
        <v>611</v>
      </c>
      <c r="E1689" s="22">
        <f>IF(D1689="?OLD","!!!","")</f>
        <v/>
      </c>
      <c r="F1689" s="23" t="str">
        <f>IF(OR(E1689="",E1689="!!!"),"",IF(NOT(ISNA(VLOOKUP(E1689,E$1:E1688,1,FALSE()))),"OLD",IF(AND(E1689&lt;&gt;"",E1689&lt;&gt;"!!!"),"NEW","")))</f>
        <v> </v>
      </c>
      <c r="G1689" s="24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5" t="str">
        <f>IF(J1689&lt;&gt;1,"",IF(I1689="SBJ","CB","?"))</f>
        <v> </v>
      </c>
      <c r="I1689" s="26" t="str">
        <f>IF(OR(E1689="",E1689="!!!",F1689="NEW"),"",INDEX(B1688:B$2,-1+SUMPRODUCT(MAX(ROW(E1688:E$2)*(E1689=E1688:E$2)))))</f>
        <v> </v>
      </c>
      <c r="J1689" s="26" t="str">
        <f>IF(OR(E1689="",E1689="!!!",F1689="NEW"),"",COUNTBLANK(OFFSET(A$1,,,SUMPRODUCT(MAX(ROW(E$2:E1689)*(E1689=E$2:E1689)))))-COUNTBLANK(OFFSET(A$1,,,SUMPRODUCT(MAX(ROW(E$1:E1688)*(E2=E$1:E1688))))))</f>
        <v> </v>
      </c>
      <c r="K1689" s="26" t="str">
        <f>IF(OR(E1689="",E1689="!!!",F1689="NEW"),"",INDEX(J$1:J1688,SUMPRODUCT(MAX(ROW(E$1:E1688)*(E1689=E$1:E1688)))))</f>
        <v> </v>
      </c>
      <c r="L1689" s="27"/>
    </row>
    <row r="1690" spans="1:12">
      <c r="A1690" s="20" t="s">
        <v>1479</v>
      </c>
      <c r="E1690" s="22">
        <f>IF(D1690="?OLD","!!!","")</f>
        <v/>
      </c>
      <c r="F1690" s="23" t="str">
        <f>IF(OR(E1690="",E1690="!!!"),"",IF(NOT(ISNA(VLOOKUP(E1690,E$1:E1689,1,FALSE()))),"OLD",IF(AND(E1690&lt;&gt;"",E1690&lt;&gt;"!!!"),"NEW","")))</f>
        <v> </v>
      </c>
      <c r="G1690" s="24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5" t="str">
        <f>IF(J1690&lt;&gt;1,"",IF(I1690="SBJ","CB","?"))</f>
        <v> </v>
      </c>
      <c r="I1690" s="26" t="str">
        <f>IF(OR(E1690="",E1690="!!!",F1690="NEW"),"",INDEX(B1689:B$2,-1+SUMPRODUCT(MAX(ROW(E1689:E$2)*(E1690=E1689:E$2)))))</f>
        <v> </v>
      </c>
      <c r="J1690" s="26" t="str">
        <f>IF(OR(E1690="",E1690="!!!",F1690="NEW"),"",COUNTBLANK(OFFSET(A$1,,,SUMPRODUCT(MAX(ROW(E$2:E1690)*(E1690=E$2:E1690)))))-COUNTBLANK(OFFSET(A$1,,,SUMPRODUCT(MAX(ROW(E$1:E1689)*(E2=E$1:E1689))))))</f>
        <v> </v>
      </c>
      <c r="K1690" s="26" t="str">
        <f>IF(OR(E1690="",E1690="!!!",F1690="NEW"),"",INDEX(J$1:J1689,SUMPRODUCT(MAX(ROW(E$1:E1689)*(E1690=E$1:E1689)))))</f>
        <v> </v>
      </c>
      <c r="L1690" s="27"/>
    </row>
    <row r="1691" spans="1:12">
      <c r="A1691" s="20" t="s">
        <v>1480</v>
      </c>
      <c r="E1691" s="22">
        <f>IF(D1691="?OLD","!!!","")</f>
        <v/>
      </c>
      <c r="F1691" s="23" t="str">
        <f>IF(OR(E1691="",E1691="!!!"),"",IF(NOT(ISNA(VLOOKUP(E1691,E$1:E1690,1,FALSE()))),"OLD",IF(AND(E1691&lt;&gt;"",E1691&lt;&gt;"!!!"),"NEW","")))</f>
        <v> </v>
      </c>
      <c r="G1691" s="24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5" t="str">
        <f>IF(J1691&lt;&gt;1,"",IF(I1691="SBJ","CB","?"))</f>
        <v> </v>
      </c>
      <c r="I1691" s="26" t="str">
        <f>IF(OR(E1691="",E1691="!!!",F1691="NEW"),"",INDEX(B1690:B$2,-1+SUMPRODUCT(MAX(ROW(E1690:E$2)*(E1691=E1690:E$2)))))</f>
        <v> </v>
      </c>
      <c r="J1691" s="26" t="str">
        <f>IF(OR(E1691="",E1691="!!!",F1691="NEW"),"",COUNTBLANK(OFFSET(A$1,,,SUMPRODUCT(MAX(ROW(E$2:E1691)*(E1691=E$2:E1691)))))-COUNTBLANK(OFFSET(A$1,,,SUMPRODUCT(MAX(ROW(E$1:E1690)*(E2=E$1:E1690))))))</f>
        <v> </v>
      </c>
      <c r="K1691" s="26" t="str">
        <f>IF(OR(E1691="",E1691="!!!",F1691="NEW"),"",INDEX(J$1:J1690,SUMPRODUCT(MAX(ROW(E$1:E1690)*(E1691=E$1:E1690)))))</f>
        <v> </v>
      </c>
      <c r="L1691" s="27"/>
    </row>
    <row r="1692" spans="1:12">
      <c r="A1692" s="20" t="s">
        <v>1481</v>
      </c>
      <c r="E1692" s="22">
        <f>IF(D1692="?OLD","!!!","")</f>
        <v/>
      </c>
      <c r="F1692" s="23" t="str">
        <f>IF(OR(E1692="",E1692="!!!"),"",IF(NOT(ISNA(VLOOKUP(E1692,E$1:E1691,1,FALSE()))),"OLD",IF(AND(E1692&lt;&gt;"",E1692&lt;&gt;"!!!"),"NEW","")))</f>
        <v> </v>
      </c>
      <c r="G1692" s="24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5" t="str">
        <f>IF(J1692&lt;&gt;1,"",IF(I1692="SBJ","CB","?"))</f>
        <v> </v>
      </c>
      <c r="I1692" s="26" t="str">
        <f>IF(OR(E1692="",E1692="!!!",F1692="NEW"),"",INDEX(B1691:B$2,-1+SUMPRODUCT(MAX(ROW(E1691:E$2)*(E1692=E1691:E$2)))))</f>
        <v> </v>
      </c>
      <c r="J1692" s="26" t="str">
        <f>IF(OR(E1692="",E1692="!!!",F1692="NEW"),"",COUNTBLANK(OFFSET(A$1,,,SUMPRODUCT(MAX(ROW(E$2:E1692)*(E1692=E$2:E1692)))))-COUNTBLANK(OFFSET(A$1,,,SUMPRODUCT(MAX(ROW(E$1:E1691)*(E2=E$1:E1691))))))</f>
        <v> </v>
      </c>
      <c r="K1692" s="26" t="str">
        <f>IF(OR(E1692="",E1692="!!!",F1692="NEW"),"",INDEX(J$1:J1691,SUMPRODUCT(MAX(ROW(E$1:E1691)*(E1692=E$1:E1691)))))</f>
        <v> </v>
      </c>
      <c r="L1692" s="27"/>
    </row>
    <row r="1693" spans="1:12">
      <c r="A1693" s="20" t="s">
        <v>611</v>
      </c>
      <c r="E1693" s="22">
        <f>IF(D1693="?OLD","!!!","")</f>
        <v/>
      </c>
      <c r="F1693" s="23" t="str">
        <f>IF(OR(E1693="",E1693="!!!"),"",IF(NOT(ISNA(VLOOKUP(E1693,E$1:E1692,1,FALSE()))),"OLD",IF(AND(E1693&lt;&gt;"",E1693&lt;&gt;"!!!"),"NEW","")))</f>
        <v> </v>
      </c>
      <c r="G1693" s="24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5" t="str">
        <f>IF(J1693&lt;&gt;1,"",IF(I1693="SBJ","CB","?"))</f>
        <v> </v>
      </c>
      <c r="I1693" s="26" t="str">
        <f>IF(OR(E1693="",E1693="!!!",F1693="NEW"),"",INDEX(B1692:B$2,-1+SUMPRODUCT(MAX(ROW(E1692:E$2)*(E1693=E1692:E$2)))))</f>
        <v> </v>
      </c>
      <c r="J1693" s="26" t="str">
        <f>IF(OR(E1693="",E1693="!!!",F1693="NEW"),"",COUNTBLANK(OFFSET(A$1,,,SUMPRODUCT(MAX(ROW(E$2:E1693)*(E1693=E$2:E1693)))))-COUNTBLANK(OFFSET(A$1,,,SUMPRODUCT(MAX(ROW(E$1:E1692)*(E2=E$1:E1692))))))</f>
        <v> </v>
      </c>
      <c r="K1693" s="26" t="str">
        <f>IF(OR(E1693="",E1693="!!!",F1693="NEW"),"",INDEX(J$1:J1692,SUMPRODUCT(MAX(ROW(E$1:E1692)*(E1693=E$1:E1692)))))</f>
        <v> </v>
      </c>
      <c r="L1693" s="27"/>
    </row>
    <row r="1694" spans="1:12">
      <c r="A1694" s="20" t="s">
        <v>1482</v>
      </c>
      <c r="E1694" s="22">
        <f>IF(D1694="?OLD","!!!","")</f>
        <v/>
      </c>
      <c r="F1694" s="23" t="str">
        <f>IF(OR(E1694="",E1694="!!!"),"",IF(NOT(ISNA(VLOOKUP(E1694,E$1:E1693,1,FALSE()))),"OLD",IF(AND(E1694&lt;&gt;"",E1694&lt;&gt;"!!!"),"NEW","")))</f>
        <v> </v>
      </c>
      <c r="G1694" s="24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5" t="str">
        <f>IF(J1694&lt;&gt;1,"",IF(I1694="SBJ","CB","?"))</f>
        <v> </v>
      </c>
      <c r="I1694" s="26" t="str">
        <f>IF(OR(E1694="",E1694="!!!",F1694="NEW"),"",INDEX(B1693:B$2,-1+SUMPRODUCT(MAX(ROW(E1693:E$2)*(E1694=E1693:E$2)))))</f>
        <v> </v>
      </c>
      <c r="J1694" s="26" t="str">
        <f>IF(OR(E1694="",E1694="!!!",F1694="NEW"),"",COUNTBLANK(OFFSET(A$1,,,SUMPRODUCT(MAX(ROW(E$2:E1694)*(E1694=E$2:E1694)))))-COUNTBLANK(OFFSET(A$1,,,SUMPRODUCT(MAX(ROW(E$1:E1693)*(E2=E$1:E1693))))))</f>
        <v> </v>
      </c>
      <c r="K1694" s="26" t="str">
        <f>IF(OR(E1694="",E1694="!!!",F1694="NEW"),"",INDEX(J$1:J1693,SUMPRODUCT(MAX(ROW(E$1:E1693)*(E1694=E$1:E1693)))))</f>
        <v> </v>
      </c>
      <c r="L1694" s="27"/>
    </row>
    <row r="1695" spans="1:12">
      <c r="A1695" s="20" t="s">
        <v>1483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 t="s">
        <v>1484</v>
      </c>
      <c r="E1696" s="22">
        <f>IF(D1696="?OLD","!!!","")</f>
        <v/>
      </c>
      <c r="F1696" s="23" t="str">
        <f>IF(OR(E1696="",E1696="!!!"),"",IF(NOT(ISNA(VLOOKUP(E1696,E$1:E1695,1,FALSE()))),"OLD",IF(AND(E1696&lt;&gt;"",E1696&lt;&gt;"!!!"),"NEW","")))</f>
        <v> </v>
      </c>
      <c r="G1696" s="24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5" t="str">
        <f>IF(J1696&lt;&gt;1,"",IF(I1696="SBJ","CB","?"))</f>
        <v> </v>
      </c>
      <c r="I1696" s="26" t="str">
        <f>IF(OR(E1696="",E1696="!!!",F1696="NEW"),"",INDEX(B1695:B$2,-1+SUMPRODUCT(MAX(ROW(E1695:E$2)*(E1696=E1695:E$2)))))</f>
        <v> </v>
      </c>
      <c r="J1696" s="26" t="str">
        <f>IF(OR(E1696="",E1696="!!!",F1696="NEW"),"",COUNTBLANK(OFFSET(A$1,,,SUMPRODUCT(MAX(ROW(E$2:E1696)*(E1696=E$2:E1696)))))-COUNTBLANK(OFFSET(A$1,,,SUMPRODUCT(MAX(ROW(E$1:E1695)*(E2=E$1:E1695))))))</f>
        <v> </v>
      </c>
      <c r="K1696" s="26" t="str">
        <f>IF(OR(E1696="",E1696="!!!",F1696="NEW"),"",INDEX(J$1:J1695,SUMPRODUCT(MAX(ROW(E$1:E1695)*(E1696=E$1:E1695)))))</f>
        <v> </v>
      </c>
      <c r="L1696" s="27"/>
    </row>
    <row r="1697" spans="1:12">
      <c r="A1697" s="20" t="s">
        <v>607</v>
      </c>
      <c r="E1697" s="22">
        <f>IF(D1697="?OLD","!!!","")</f>
        <v/>
      </c>
      <c r="F1697" s="23" t="str">
        <f>IF(OR(E1697="",E1697="!!!"),"",IF(NOT(ISNA(VLOOKUP(E1697,E$1:E1696,1,FALSE()))),"OLD",IF(AND(E1697&lt;&gt;"",E1697&lt;&gt;"!!!"),"NEW","")))</f>
        <v> </v>
      </c>
      <c r="G1697" s="24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5" t="str">
        <f>IF(J1697&lt;&gt;1,"",IF(I1697="SBJ","CB","?"))</f>
        <v> </v>
      </c>
      <c r="I1697" s="26" t="str">
        <f>IF(OR(E1697="",E1697="!!!",F1697="NEW"),"",INDEX(B1696:B$2,-1+SUMPRODUCT(MAX(ROW(E1696:E$2)*(E1697=E1696:E$2)))))</f>
        <v> </v>
      </c>
      <c r="J1697" s="26" t="str">
        <f>IF(OR(E1697="",E1697="!!!",F1697="NEW"),"",COUNTBLANK(OFFSET(A$1,,,SUMPRODUCT(MAX(ROW(E$2:E1697)*(E1697=E$2:E1697)))))-COUNTBLANK(OFFSET(A$1,,,SUMPRODUCT(MAX(ROW(E$1:E1696)*(E2=E$1:E1696))))))</f>
        <v> </v>
      </c>
      <c r="K1697" s="26" t="str">
        <f>IF(OR(E1697="",E1697="!!!",F1697="NEW"),"",INDEX(J$1:J1696,SUMPRODUCT(MAX(ROW(E$1:E1696)*(E1697=E$1:E1696)))))</f>
        <v> </v>
      </c>
      <c r="L1697" s="27"/>
    </row>
    <row r="1698" spans="1:12">
      <c r="A1698" s="20" t="s">
        <v>1318</v>
      </c>
      <c r="B1698" s="21" t="s">
        <v>749</v>
      </c>
      <c r="C1698" s="21" t="s">
        <v>602</v>
      </c>
      <c r="D1698" s="21" t="s">
        <v>603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 t="s">
        <v>633</v>
      </c>
      <c r="E1699" s="22">
        <f>IF(D1699="?OLD","!!!","")</f>
        <v/>
      </c>
      <c r="F1699" s="23" t="str">
        <f>IF(OR(E1699="",E1699="!!!"),"",IF(NOT(ISNA(VLOOKUP(E1699,E$1:E1698,1,FALSE()))),"OLD",IF(AND(E1699&lt;&gt;"",E1699&lt;&gt;"!!!"),"NEW","")))</f>
        <v> </v>
      </c>
      <c r="G1699" s="24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5" t="str">
        <f>IF(J1699&lt;&gt;1,"",IF(I1699="SBJ","CB","?"))</f>
        <v> </v>
      </c>
      <c r="I1699" s="26" t="str">
        <f>IF(OR(E1699="",E1699="!!!",F1699="NEW"),"",INDEX(B1698:B$2,-1+SUMPRODUCT(MAX(ROW(E1698:E$2)*(E1699=E1698:E$2)))))</f>
        <v> </v>
      </c>
      <c r="J1699" s="26" t="str">
        <f>IF(OR(E1699="",E1699="!!!",F1699="NEW"),"",COUNTBLANK(OFFSET(A$1,,,SUMPRODUCT(MAX(ROW(E$2:E1699)*(E1699=E$2:E1699)))))-COUNTBLANK(OFFSET(A$1,,,SUMPRODUCT(MAX(ROW(E$1:E1698)*(E2=E$1:E1698))))))</f>
        <v> </v>
      </c>
      <c r="K1699" s="26" t="str">
        <f>IF(OR(E1699="",E1699="!!!",F1699="NEW"),"",INDEX(J$1:J1698,SUMPRODUCT(MAX(ROW(E$1:E1698)*(E1699=E$1:E1698)))))</f>
        <v> </v>
      </c>
      <c r="L1699" s="27"/>
    </row>
    <row r="1700" spans="1:12">
      <c r="A1700" s="20"/>
    </row>
    <row r="1701" spans="1:12">
      <c r="A1701" s="20" t="s">
        <v>1485</v>
      </c>
    </row>
    <row r="1702" spans="1:12">
      <c r="A1702" s="20" t="s">
        <v>1045</v>
      </c>
      <c r="E1702" s="22">
        <f>IF(D1702="?OLD","!!!","")</f>
        <v/>
      </c>
      <c r="F1702" s="23" t="str">
        <f>IF(OR(E1702="",E1702="!!!"),"",IF(NOT(ISNA(VLOOKUP(E1702,E$1:E1701,1,FALSE()))),"OLD",IF(AND(E1702&lt;&gt;"",E1702&lt;&gt;"!!!"),"NEW","")))</f>
        <v> </v>
      </c>
      <c r="G1702" s="24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5" t="str">
        <f>IF(J1702&lt;&gt;1,"",IF(I1702="SBJ","CB","?"))</f>
        <v> </v>
      </c>
      <c r="I1702" s="26" t="str">
        <f>IF(OR(E1702="",E1702="!!!",F1702="NEW"),"",INDEX(B1701:B$2,-1+SUMPRODUCT(MAX(ROW(E1701:E$2)*(E1702=E1701:E$2)))))</f>
        <v> </v>
      </c>
      <c r="J1702" s="26" t="str">
        <f>IF(OR(E1702="",E1702="!!!",F1702="NEW"),"",COUNTBLANK(OFFSET(A$1,,,SUMPRODUCT(MAX(ROW(E$2:E1702)*(E1702=E$2:E1702)))))-COUNTBLANK(OFFSET(A$1,,,SUMPRODUCT(MAX(ROW(E$1:E1701)*(E2=E$1:E1701))))))</f>
        <v> </v>
      </c>
      <c r="K1702" s="26" t="str">
        <f>IF(OR(E1702="",E1702="!!!",F1702="NEW"),"",INDEX(J$1:J1701,SUMPRODUCT(MAX(ROW(E$1:E1701)*(E1702=E$1:E1701)))))</f>
        <v> </v>
      </c>
      <c r="L1702" s="27"/>
    </row>
    <row r="1703" spans="1:12">
      <c r="A1703" s="20" t="s">
        <v>907</v>
      </c>
      <c r="B1703" s="21" t="s">
        <v>601</v>
      </c>
      <c r="C1703" s="21" t="s">
        <v>602</v>
      </c>
      <c r="D1703" s="21" t="s">
        <v>603</v>
      </c>
      <c r="E1703" s="22">
        <f>IF(D1703="?OLD","!!!","")</f>
        <v/>
      </c>
      <c r="F1703" s="23" t="str">
        <f>IF(OR(E1703="",E1703="!!!"),"",IF(NOT(ISNA(VLOOKUP(E1703,E$1:E1702,1,FALSE()))),"OLD",IF(AND(E1703&lt;&gt;"",E1703&lt;&gt;"!!!"),"NEW","")))</f>
        <v> </v>
      </c>
      <c r="G1703" s="24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5" t="str">
        <f>IF(J1703&lt;&gt;1,"",IF(I1703="SBJ","CB","?"))</f>
        <v> </v>
      </c>
      <c r="I1703" s="26" t="str">
        <f>IF(OR(E1703="",E1703="!!!",F1703="NEW"),"",INDEX(B1702:B$2,-1+SUMPRODUCT(MAX(ROW(E1702:E$2)*(E1703=E1702:E$2)))))</f>
        <v> </v>
      </c>
      <c r="J1703" s="26" t="str">
        <f>IF(OR(E1703="",E1703="!!!",F1703="NEW"),"",COUNTBLANK(OFFSET(A$1,,,SUMPRODUCT(MAX(ROW(E$2:E1703)*(E1703=E$2:E1703)))))-COUNTBLANK(OFFSET(A$1,,,SUMPRODUCT(MAX(ROW(E$1:E1702)*(E2=E$1:E1702))))))</f>
        <v> </v>
      </c>
      <c r="K1703" s="26" t="str">
        <f>IF(OR(E1703="",E1703="!!!",F1703="NEW"),"",INDEX(J$1:J1702,SUMPRODUCT(MAX(ROW(E$1:E1702)*(E1703=E$1:E1702)))))</f>
        <v> </v>
      </c>
      <c r="L1703" s="27"/>
    </row>
    <row r="1704" spans="1:12">
      <c r="A1704" s="20" t="s">
        <v>1486</v>
      </c>
      <c r="E1704" s="22">
        <f>IF(D1704="?OLD","!!!","")</f>
        <v/>
      </c>
      <c r="F1704" s="23" t="str">
        <f>IF(OR(E1704="",E1704="!!!"),"",IF(NOT(ISNA(VLOOKUP(E1704,E$1:E1703,1,FALSE()))),"OLD",IF(AND(E1704&lt;&gt;"",E1704&lt;&gt;"!!!"),"NEW","")))</f>
        <v> </v>
      </c>
      <c r="G1704" s="24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5" t="str">
        <f>IF(J1704&lt;&gt;1,"",IF(I1704="SBJ","CB","?"))</f>
        <v> </v>
      </c>
      <c r="I1704" s="26" t="str">
        <f>IF(OR(E1704="",E1704="!!!",F1704="NEW"),"",INDEX(B1703:B$2,-1+SUMPRODUCT(MAX(ROW(E1703:E$2)*(E1704=E1703:E$2)))))</f>
        <v> </v>
      </c>
      <c r="J1704" s="26" t="str">
        <f>IF(OR(E1704="",E1704="!!!",F1704="NEW"),"",COUNTBLANK(OFFSET(A$1,,,SUMPRODUCT(MAX(ROW(E$2:E1704)*(E1704=E$2:E1704)))))-COUNTBLANK(OFFSET(A$1,,,SUMPRODUCT(MAX(ROW(E$1:E1703)*(E2=E$1:E1703))))))</f>
        <v> </v>
      </c>
      <c r="K1704" s="26" t="str">
        <f>IF(OR(E1704="",E1704="!!!",F1704="NEW"),"",INDEX(J$1:J1703,SUMPRODUCT(MAX(ROW(E$1:E1703)*(E1704=E$1:E1703)))))</f>
        <v> </v>
      </c>
      <c r="L1704" s="27"/>
    </row>
    <row r="1705" spans="1:12">
      <c r="A1705" s="20" t="s">
        <v>1435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883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1230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1243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655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883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 t="s">
        <v>1487</v>
      </c>
      <c r="E1711" s="22">
        <f>IF(D1711="?OLD","!!!","")</f>
        <v/>
      </c>
      <c r="F1711" s="23" t="str">
        <f>IF(OR(E1711="",E1711="!!!"),"",IF(NOT(ISNA(VLOOKUP(E1711,E$1:E1710,1,FALSE()))),"OLD",IF(AND(E1711&lt;&gt;"",E1711&lt;&gt;"!!!"),"NEW","")))</f>
        <v> </v>
      </c>
      <c r="G1711" s="24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5" t="str">
        <f>IF(J1711&lt;&gt;1,"",IF(I1711="SBJ","CB","?"))</f>
        <v> </v>
      </c>
      <c r="I1711" s="26" t="str">
        <f>IF(OR(E1711="",E1711="!!!",F1711="NEW"),"",INDEX(B1710:B$2,-1+SUMPRODUCT(MAX(ROW(E1710:E$2)*(E1711=E1710:E$2)))))</f>
        <v> </v>
      </c>
      <c r="J1711" s="26" t="str">
        <f>IF(OR(E1711="",E1711="!!!",F1711="NEW"),"",COUNTBLANK(OFFSET(A$1,,,SUMPRODUCT(MAX(ROW(E$2:E1711)*(E1711=E$2:E1711)))))-COUNTBLANK(OFFSET(A$1,,,SUMPRODUCT(MAX(ROW(E$1:E1710)*(E2=E$1:E1710))))))</f>
        <v> </v>
      </c>
      <c r="K1711" s="26" t="str">
        <f>IF(OR(E1711="",E1711="!!!",F1711="NEW"),"",INDEX(J$1:J1710,SUMPRODUCT(MAX(ROW(E$1:E1710)*(E1711=E$1:E1710)))))</f>
        <v> </v>
      </c>
      <c r="L1711" s="27"/>
    </row>
    <row r="1712" spans="1:12">
      <c r="A1712" s="20" t="s">
        <v>611</v>
      </c>
      <c r="E1712" s="22">
        <f>IF(D1712="?OLD","!!!","")</f>
        <v/>
      </c>
      <c r="F1712" s="23" t="str">
        <f>IF(OR(E1712="",E1712="!!!"),"",IF(NOT(ISNA(VLOOKUP(E1712,E$1:E1711,1,FALSE()))),"OLD",IF(AND(E1712&lt;&gt;"",E1712&lt;&gt;"!!!"),"NEW","")))</f>
        <v> </v>
      </c>
      <c r="G1712" s="24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5" t="str">
        <f>IF(J1712&lt;&gt;1,"",IF(I1712="SBJ","CB","?"))</f>
        <v> </v>
      </c>
      <c r="I1712" s="26" t="str">
        <f>IF(OR(E1712="",E1712="!!!",F1712="NEW"),"",INDEX(B1711:B$2,-1+SUMPRODUCT(MAX(ROW(E1711:E$2)*(E1712=E1711:E$2)))))</f>
        <v> </v>
      </c>
      <c r="J1712" s="26" t="str">
        <f>IF(OR(E1712="",E1712="!!!",F1712="NEW"),"",COUNTBLANK(OFFSET(A$1,,,SUMPRODUCT(MAX(ROW(E$2:E1712)*(E1712=E$2:E1712)))))-COUNTBLANK(OFFSET(A$1,,,SUMPRODUCT(MAX(ROW(E$1:E1711)*(E2=E$1:E1711))))))</f>
        <v> </v>
      </c>
      <c r="K1712" s="26" t="str">
        <f>IF(OR(E1712="",E1712="!!!",F1712="NEW"),"",INDEX(J$1:J1711,SUMPRODUCT(MAX(ROW(E$1:E1711)*(E1712=E$1:E1711)))))</f>
        <v> </v>
      </c>
      <c r="L1712" s="27"/>
    </row>
    <row r="1713" spans="1:12">
      <c r="A1713" s="20" t="s">
        <v>1488</v>
      </c>
      <c r="E1713" s="22">
        <f>IF(D1713="?OLD","!!!","")</f>
        <v/>
      </c>
      <c r="F1713" s="23" t="str">
        <f>IF(OR(E1713="",E1713="!!!"),"",IF(NOT(ISNA(VLOOKUP(E1713,E$1:E1712,1,FALSE()))),"OLD",IF(AND(E1713&lt;&gt;"",E1713&lt;&gt;"!!!"),"NEW","")))</f>
        <v> </v>
      </c>
      <c r="G1713" s="24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5" t="str">
        <f>IF(J1713&lt;&gt;1,"",IF(I1713="SBJ","CB","?"))</f>
        <v> </v>
      </c>
      <c r="I1713" s="26" t="str">
        <f>IF(OR(E1713="",E1713="!!!",F1713="NEW"),"",INDEX(B1712:B$2,-1+SUMPRODUCT(MAX(ROW(E1712:E$2)*(E1713=E1712:E$2)))))</f>
        <v> </v>
      </c>
      <c r="J1713" s="26" t="str">
        <f>IF(OR(E1713="",E1713="!!!",F1713="NEW"),"",COUNTBLANK(OFFSET(A$1,,,SUMPRODUCT(MAX(ROW(E$2:E1713)*(E1713=E$2:E1713)))))-COUNTBLANK(OFFSET(A$1,,,SUMPRODUCT(MAX(ROW(E$1:E1712)*(E2=E$1:E1712))))))</f>
        <v> </v>
      </c>
      <c r="K1713" s="26" t="str">
        <f>IF(OR(E1713="",E1713="!!!",F1713="NEW"),"",INDEX(J$1:J1712,SUMPRODUCT(MAX(ROW(E$1:E1712)*(E1713=E$1:E1712)))))</f>
        <v> </v>
      </c>
      <c r="L1713" s="27"/>
    </row>
    <row r="1714" spans="1:12">
      <c r="A1714" s="20" t="s">
        <v>646</v>
      </c>
      <c r="E1714" s="22">
        <f>IF(D1714="?OLD","!!!","")</f>
        <v/>
      </c>
      <c r="F1714" s="23" t="str">
        <f>IF(OR(E1714="",E1714="!!!"),"",IF(NOT(ISNA(VLOOKUP(E1714,E$1:E1713,1,FALSE()))),"OLD",IF(AND(E1714&lt;&gt;"",E1714&lt;&gt;"!!!"),"NEW","")))</f>
        <v> </v>
      </c>
      <c r="G1714" s="24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5" t="str">
        <f>IF(J1714&lt;&gt;1,"",IF(I1714="SBJ","CB","?"))</f>
        <v> </v>
      </c>
      <c r="I1714" s="26" t="str">
        <f>IF(OR(E1714="",E1714="!!!",F1714="NEW"),"",INDEX(B1713:B$2,-1+SUMPRODUCT(MAX(ROW(E1713:E$2)*(E1714=E1713:E$2)))))</f>
        <v> </v>
      </c>
      <c r="J1714" s="26" t="str">
        <f>IF(OR(E1714="",E1714="!!!",F1714="NEW"),"",COUNTBLANK(OFFSET(A$1,,,SUMPRODUCT(MAX(ROW(E$2:E1714)*(E1714=E$2:E1714)))))-COUNTBLANK(OFFSET(A$1,,,SUMPRODUCT(MAX(ROW(E$1:E1713)*(E2=E$1:E1713))))))</f>
        <v> </v>
      </c>
      <c r="K1714" s="26" t="str">
        <f>IF(OR(E1714="",E1714="!!!",F1714="NEW"),"",INDEX(J$1:J1713,SUMPRODUCT(MAX(ROW(E$1:E1713)*(E1714=E$1:E1713)))))</f>
        <v> </v>
      </c>
      <c r="L1714" s="27"/>
    </row>
    <row r="1715" spans="1:12">
      <c r="A1715" s="20" t="s">
        <v>1489</v>
      </c>
      <c r="E1715" s="22">
        <f>IF(D1715="?OLD","!!!","")</f>
        <v/>
      </c>
      <c r="F1715" s="23" t="str">
        <f>IF(OR(E1715="",E1715="!!!"),"",IF(NOT(ISNA(VLOOKUP(E1715,E$1:E1714,1,FALSE()))),"OLD",IF(AND(E1715&lt;&gt;"",E1715&lt;&gt;"!!!"),"NEW","")))</f>
        <v> </v>
      </c>
      <c r="G1715" s="24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5" t="str">
        <f>IF(J1715&lt;&gt;1,"",IF(I1715="SBJ","CB","?"))</f>
        <v> </v>
      </c>
      <c r="I1715" s="26" t="str">
        <f>IF(OR(E1715="",E1715="!!!",F1715="NEW"),"",INDEX(B1714:B$2,-1+SUMPRODUCT(MAX(ROW(E1714:E$2)*(E1715=E1714:E$2)))))</f>
        <v> </v>
      </c>
      <c r="J1715" s="26" t="str">
        <f>IF(OR(E1715="",E1715="!!!",F1715="NEW"),"",COUNTBLANK(OFFSET(A$1,,,SUMPRODUCT(MAX(ROW(E$2:E1715)*(E1715=E$2:E1715)))))-COUNTBLANK(OFFSET(A$1,,,SUMPRODUCT(MAX(ROW(E$1:E1714)*(E2=E$1:E1714))))))</f>
        <v> </v>
      </c>
      <c r="K1715" s="26" t="str">
        <f>IF(OR(E1715="",E1715="!!!",F1715="NEW"),"",INDEX(J$1:J1714,SUMPRODUCT(MAX(ROW(E$1:E1714)*(E1715=E$1:E1714)))))</f>
        <v> </v>
      </c>
      <c r="L1715" s="27"/>
    </row>
    <row r="1716" spans="1:12">
      <c r="A1716" s="20" t="s">
        <v>1490</v>
      </c>
      <c r="E1716" s="22">
        <f>IF(D1716="?OLD","!!!","")</f>
        <v/>
      </c>
      <c r="F1716" s="23" t="str">
        <f>IF(OR(E1716="",E1716="!!!"),"",IF(NOT(ISNA(VLOOKUP(E1716,E$1:E1715,1,FALSE()))),"OLD",IF(AND(E1716&lt;&gt;"",E1716&lt;&gt;"!!!"),"NEW","")))</f>
        <v> </v>
      </c>
      <c r="G1716" s="24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5" t="str">
        <f>IF(J1716&lt;&gt;1,"",IF(I1716="SBJ","CB","?"))</f>
        <v> </v>
      </c>
      <c r="I1716" s="26" t="str">
        <f>IF(OR(E1716="",E1716="!!!",F1716="NEW"),"",INDEX(B1715:B$2,-1+SUMPRODUCT(MAX(ROW(E1715:E$2)*(E1716=E1715:E$2)))))</f>
        <v> </v>
      </c>
      <c r="J1716" s="26" t="str">
        <f>IF(OR(E1716="",E1716="!!!",F1716="NEW"),"",COUNTBLANK(OFFSET(A$1,,,SUMPRODUCT(MAX(ROW(E$2:E1716)*(E1716=E$2:E1716)))))-COUNTBLANK(OFFSET(A$1,,,SUMPRODUCT(MAX(ROW(E$1:E1715)*(E2=E$1:E1715))))))</f>
        <v> </v>
      </c>
      <c r="K1716" s="26" t="str">
        <f>IF(OR(E1716="",E1716="!!!",F1716="NEW"),"",INDEX(J$1:J1715,SUMPRODUCT(MAX(ROW(E$1:E1715)*(E1716=E$1:E1715)))))</f>
        <v> </v>
      </c>
      <c r="L1716" s="27"/>
    </row>
    <row r="1717" spans="1:12">
      <c r="A1717" s="20" t="s">
        <v>1491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 t="s">
        <v>611</v>
      </c>
      <c r="E1718" s="22">
        <f>IF(D1718="?OLD","!!!","")</f>
        <v/>
      </c>
      <c r="F1718" s="23" t="str">
        <f>IF(OR(E1718="",E1718="!!!"),"",IF(NOT(ISNA(VLOOKUP(E1718,E$1:E1717,1,FALSE()))),"OLD",IF(AND(E1718&lt;&gt;"",E1718&lt;&gt;"!!!"),"NEW","")))</f>
        <v> </v>
      </c>
      <c r="G1718" s="24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5" t="str">
        <f>IF(J1718&lt;&gt;1,"",IF(I1718="SBJ","CB","?"))</f>
        <v> </v>
      </c>
      <c r="I1718" s="26" t="str">
        <f>IF(OR(E1718="",E1718="!!!",F1718="NEW"),"",INDEX(B1717:B$2,-1+SUMPRODUCT(MAX(ROW(E1717:E$2)*(E1718=E1717:E$2)))))</f>
        <v> </v>
      </c>
      <c r="J1718" s="26" t="str">
        <f>IF(OR(E1718="",E1718="!!!",F1718="NEW"),"",COUNTBLANK(OFFSET(A$1,,,SUMPRODUCT(MAX(ROW(E$2:E1718)*(E1718=E$2:E1718)))))-COUNTBLANK(OFFSET(A$1,,,SUMPRODUCT(MAX(ROW(E$1:E1717)*(E2=E$1:E1717))))))</f>
        <v> </v>
      </c>
      <c r="K1718" s="26" t="str">
        <f>IF(OR(E1718="",E1718="!!!",F1718="NEW"),"",INDEX(J$1:J1717,SUMPRODUCT(MAX(ROW(E$1:E1717)*(E1718=E$1:E1717)))))</f>
        <v> </v>
      </c>
      <c r="L1718" s="27"/>
    </row>
    <row r="1719" spans="1:12">
      <c r="A1719" s="20" t="s">
        <v>1492</v>
      </c>
      <c r="E1719" s="22">
        <f>IF(D1719="?OLD","!!!","")</f>
        <v/>
      </c>
      <c r="F1719" s="23" t="str">
        <f>IF(OR(E1719="",E1719="!!!"),"",IF(NOT(ISNA(VLOOKUP(E1719,E$1:E1718,1,FALSE()))),"OLD",IF(AND(E1719&lt;&gt;"",E1719&lt;&gt;"!!!"),"NEW","")))</f>
        <v> </v>
      </c>
      <c r="G1719" s="24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5" t="str">
        <f>IF(J1719&lt;&gt;1,"",IF(I1719="SBJ","CB","?"))</f>
        <v> </v>
      </c>
      <c r="I1719" s="26" t="str">
        <f>IF(OR(E1719="",E1719="!!!",F1719="NEW"),"",INDEX(B1718:B$2,-1+SUMPRODUCT(MAX(ROW(E1718:E$2)*(E1719=E1718:E$2)))))</f>
        <v> </v>
      </c>
      <c r="J1719" s="26" t="str">
        <f>IF(OR(E1719="",E1719="!!!",F1719="NEW"),"",COUNTBLANK(OFFSET(A$1,,,SUMPRODUCT(MAX(ROW(E$2:E1719)*(E1719=E$2:E1719)))))-COUNTBLANK(OFFSET(A$1,,,SUMPRODUCT(MAX(ROW(E$1:E1718)*(E2=E$1:E1718))))))</f>
        <v> </v>
      </c>
      <c r="K1719" s="26" t="str">
        <f>IF(OR(E1719="",E1719="!!!",F1719="NEW"),"",INDEX(J$1:J1718,SUMPRODUCT(MAX(ROW(E$1:E1718)*(E1719=E$1:E1718)))))</f>
        <v> </v>
      </c>
      <c r="L1719" s="27"/>
    </row>
    <row r="1720" spans="1:12">
      <c r="A1720" s="20" t="s">
        <v>611</v>
      </c>
      <c r="E1720" s="22">
        <f>IF(D1720="?OLD","!!!","")</f>
        <v/>
      </c>
      <c r="F1720" s="23" t="str">
        <f>IF(OR(E1720="",E1720="!!!"),"",IF(NOT(ISNA(VLOOKUP(E1720,E$1:E1719,1,FALSE()))),"OLD",IF(AND(E1720&lt;&gt;"",E1720&lt;&gt;"!!!"),"NEW","")))</f>
        <v> </v>
      </c>
      <c r="G1720" s="24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5" t="str">
        <f>IF(J1720&lt;&gt;1,"",IF(I1720="SBJ","CB","?"))</f>
        <v> </v>
      </c>
      <c r="I1720" s="26" t="str">
        <f>IF(OR(E1720="",E1720="!!!",F1720="NEW"),"",INDEX(B1719:B$2,-1+SUMPRODUCT(MAX(ROW(E1719:E$2)*(E1720=E1719:E$2)))))</f>
        <v> </v>
      </c>
      <c r="J1720" s="26" t="str">
        <f>IF(OR(E1720="",E1720="!!!",F1720="NEW"),"",COUNTBLANK(OFFSET(A$1,,,SUMPRODUCT(MAX(ROW(E$2:E1720)*(E1720=E$2:E1720)))))-COUNTBLANK(OFFSET(A$1,,,SUMPRODUCT(MAX(ROW(E$1:E1719)*(E2=E$1:E1719))))))</f>
        <v> </v>
      </c>
      <c r="K1720" s="26" t="str">
        <f>IF(OR(E1720="",E1720="!!!",F1720="NEW"),"",INDEX(J$1:J1719,SUMPRODUCT(MAX(ROW(E$1:E1719)*(E1720=E$1:E1719)))))</f>
        <v> </v>
      </c>
      <c r="L1720" s="27"/>
    </row>
    <row r="1721" spans="1:12">
      <c r="A1721" s="20" t="s">
        <v>1309</v>
      </c>
      <c r="B1721" s="21" t="s">
        <v>659</v>
      </c>
      <c r="C1721" s="21" t="s">
        <v>602</v>
      </c>
      <c r="D1721" s="21" t="s">
        <v>603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 t="s">
        <v>664</v>
      </c>
      <c r="E1722" s="22">
        <f>IF(D1722="?OLD","!!!","")</f>
        <v/>
      </c>
      <c r="F1722" s="23" t="str">
        <f>IF(OR(E1722="",E1722="!!!"),"",IF(NOT(ISNA(VLOOKUP(E1722,E$1:E1721,1,FALSE()))),"OLD",IF(AND(E1722&lt;&gt;"",E1722&lt;&gt;"!!!"),"NEW","")))</f>
        <v> </v>
      </c>
      <c r="G1722" s="24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5" t="str">
        <f>IF(J1722&lt;&gt;1,"",IF(I1722="SBJ","CB","?"))</f>
        <v> </v>
      </c>
      <c r="I1722" s="26" t="str">
        <f>IF(OR(E1722="",E1722="!!!",F1722="NEW"),"",INDEX(B1721:B$2,-1+SUMPRODUCT(MAX(ROW(E1721:E$2)*(E1722=E1721:E$2)))))</f>
        <v> </v>
      </c>
      <c r="J1722" s="26" t="str">
        <f>IF(OR(E1722="",E1722="!!!",F1722="NEW"),"",COUNTBLANK(OFFSET(A$1,,,SUMPRODUCT(MAX(ROW(E$2:E1722)*(E1722=E$2:E1722)))))-COUNTBLANK(OFFSET(A$1,,,SUMPRODUCT(MAX(ROW(E$1:E1721)*(E2=E$1:E1721))))))</f>
        <v> </v>
      </c>
      <c r="K1722" s="26" t="str">
        <f>IF(OR(E1722="",E1722="!!!",F1722="NEW"),"",INDEX(J$1:J1721,SUMPRODUCT(MAX(ROW(E$1:E1721)*(E1722=E$1:E1721)))))</f>
        <v> </v>
      </c>
      <c r="L1722" s="27"/>
    </row>
    <row r="1723" spans="1:12">
      <c r="A1723" s="20" t="s">
        <v>1493</v>
      </c>
      <c r="E1723" s="22">
        <f>IF(D1723="?OLD","!!!","")</f>
        <v/>
      </c>
      <c r="F1723" s="23" t="str">
        <f>IF(OR(E1723="",E1723="!!!"),"",IF(NOT(ISNA(VLOOKUP(E1723,E$1:E1722,1,FALSE()))),"OLD",IF(AND(E1723&lt;&gt;"",E1723&lt;&gt;"!!!"),"NEW","")))</f>
        <v> </v>
      </c>
      <c r="G1723" s="24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5" t="str">
        <f>IF(J1723&lt;&gt;1,"",IF(I1723="SBJ","CB","?"))</f>
        <v> </v>
      </c>
      <c r="I1723" s="26" t="str">
        <f>IF(OR(E1723="",E1723="!!!",F1723="NEW"),"",INDEX(B1722:B$2,-1+SUMPRODUCT(MAX(ROW(E1722:E$2)*(E1723=E1722:E$2)))))</f>
        <v> </v>
      </c>
      <c r="J1723" s="26" t="str">
        <f>IF(OR(E1723="",E1723="!!!",F1723="NEW"),"",COUNTBLANK(OFFSET(A$1,,,SUMPRODUCT(MAX(ROW(E$2:E1723)*(E1723=E$2:E1723)))))-COUNTBLANK(OFFSET(A$1,,,SUMPRODUCT(MAX(ROW(E$1:E1722)*(E2=E$1:E1722))))))</f>
        <v> </v>
      </c>
      <c r="K1723" s="26" t="str">
        <f>IF(OR(E1723="",E1723="!!!",F1723="NEW"),"",INDEX(J$1:J1722,SUMPRODUCT(MAX(ROW(E$1:E1722)*(E1723=E$1:E1722)))))</f>
        <v> </v>
      </c>
      <c r="L1723" s="27"/>
    </row>
    <row r="1724" spans="1:12">
      <c r="A1724" s="20" t="s">
        <v>1242</v>
      </c>
      <c r="E1724" s="22">
        <f>IF(D1724="?OLD","!!!","")</f>
        <v/>
      </c>
      <c r="F1724" s="23" t="str">
        <f>IF(OR(E1724="",E1724="!!!"),"",IF(NOT(ISNA(VLOOKUP(E1724,E$1:E1723,1,FALSE()))),"OLD",IF(AND(E1724&lt;&gt;"",E1724&lt;&gt;"!!!"),"NEW","")))</f>
        <v> </v>
      </c>
      <c r="G1724" s="24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5" t="str">
        <f>IF(J1724&lt;&gt;1,"",IF(I1724="SBJ","CB","?"))</f>
        <v> </v>
      </c>
      <c r="I1724" s="26" t="str">
        <f>IF(OR(E1724="",E1724="!!!",F1724="NEW"),"",INDEX(B1723:B$2,-1+SUMPRODUCT(MAX(ROW(E1723:E$2)*(E1724=E1723:E$2)))))</f>
        <v> </v>
      </c>
      <c r="J1724" s="26" t="str">
        <f>IF(OR(E1724="",E1724="!!!",F1724="NEW"),"",COUNTBLANK(OFFSET(A$1,,,SUMPRODUCT(MAX(ROW(E$2:E1724)*(E1724=E$2:E1724)))))-COUNTBLANK(OFFSET(A$1,,,SUMPRODUCT(MAX(ROW(E$1:E1723)*(E2=E$1:E1723))))))</f>
        <v> </v>
      </c>
      <c r="K1724" s="26" t="str">
        <f>IF(OR(E1724="",E1724="!!!",F1724="NEW"),"",INDEX(J$1:J1723,SUMPRODUCT(MAX(ROW(E$1:E1723)*(E1724=E$1:E1723)))))</f>
        <v> </v>
      </c>
      <c r="L1724" s="27"/>
    </row>
    <row r="1725" spans="1:12">
      <c r="A1725" s="20" t="s">
        <v>883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 t="s">
        <v>1494</v>
      </c>
      <c r="B1726" s="21" t="s">
        <v>804</v>
      </c>
      <c r="C1726" s="21" t="s">
        <v>602</v>
      </c>
      <c r="D1726" s="21" t="s">
        <v>603</v>
      </c>
      <c r="E1726" s="22">
        <f>IF(D1726="?OLD","!!!","")</f>
        <v/>
      </c>
      <c r="F1726" s="23" t="str">
        <f>IF(OR(E1726="",E1726="!!!"),"",IF(NOT(ISNA(VLOOKUP(E1726,E$1:E1725,1,FALSE()))),"OLD",IF(AND(E1726&lt;&gt;"",E1726&lt;&gt;"!!!"),"NEW","")))</f>
        <v> </v>
      </c>
      <c r="G1726" s="24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5" t="str">
        <f>IF(J1726&lt;&gt;1,"",IF(I1726="SBJ","CB","?"))</f>
        <v> </v>
      </c>
      <c r="I1726" s="26" t="str">
        <f>IF(OR(E1726="",E1726="!!!",F1726="NEW"),"",INDEX(B1725:B$2,-1+SUMPRODUCT(MAX(ROW(E1725:E$2)*(E1726=E1725:E$2)))))</f>
        <v> </v>
      </c>
      <c r="J1726" s="26" t="str">
        <f>IF(OR(E1726="",E1726="!!!",F1726="NEW"),"",COUNTBLANK(OFFSET(A$1,,,SUMPRODUCT(MAX(ROW(E$2:E1726)*(E1726=E$2:E1726)))))-COUNTBLANK(OFFSET(A$1,,,SUMPRODUCT(MAX(ROW(E$1:E1725)*(E2=E$1:E1725))))))</f>
        <v> </v>
      </c>
      <c r="K1726" s="26" t="str">
        <f>IF(OR(E1726="",E1726="!!!",F1726="NEW"),"",INDEX(J$1:J1725,SUMPRODUCT(MAX(ROW(E$1:E1725)*(E1726=E$1:E1725)))))</f>
        <v> </v>
      </c>
      <c r="L1726" s="27"/>
    </row>
    <row r="1727" spans="1:12">
      <c r="A1727" s="20" t="s">
        <v>1495</v>
      </c>
      <c r="E1727" s="22">
        <f>IF(D1727="?OLD","!!!","")</f>
        <v/>
      </c>
      <c r="F1727" s="23" t="str">
        <f>IF(OR(E1727="",E1727="!!!"),"",IF(NOT(ISNA(VLOOKUP(E1727,E$1:E1726,1,FALSE()))),"OLD",IF(AND(E1727&lt;&gt;"",E1727&lt;&gt;"!!!"),"NEW","")))</f>
        <v> </v>
      </c>
      <c r="G1727" s="24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5" t="str">
        <f>IF(J1727&lt;&gt;1,"",IF(I1727="SBJ","CB","?"))</f>
        <v> </v>
      </c>
      <c r="I1727" s="26" t="str">
        <f>IF(OR(E1727="",E1727="!!!",F1727="NEW"),"",INDEX(B1726:B$2,-1+SUMPRODUCT(MAX(ROW(E1726:E$2)*(E1727=E1726:E$2)))))</f>
        <v> </v>
      </c>
      <c r="J1727" s="26" t="str">
        <f>IF(OR(E1727="",E1727="!!!",F1727="NEW"),"",COUNTBLANK(OFFSET(A$1,,,SUMPRODUCT(MAX(ROW(E$2:E1727)*(E1727=E$2:E1727)))))-COUNTBLANK(OFFSET(A$1,,,SUMPRODUCT(MAX(ROW(E$1:E1726)*(E2=E$1:E1726))))))</f>
        <v> </v>
      </c>
      <c r="K1727" s="26" t="str">
        <f>IF(OR(E1727="",E1727="!!!",F1727="NEW"),"",INDEX(J$1:J1726,SUMPRODUCT(MAX(ROW(E$1:E1726)*(E1727=E$1:E1726)))))</f>
        <v> </v>
      </c>
      <c r="L1727" s="27"/>
    </row>
    <row r="1728" spans="1:12">
      <c r="A1728" s="20" t="s">
        <v>633</v>
      </c>
      <c r="E1728" s="22">
        <f>IF(D1728="?OLD","!!!","")</f>
        <v/>
      </c>
      <c r="F1728" s="23" t="str">
        <f>IF(OR(E1728="",E1728="!!!"),"",IF(NOT(ISNA(VLOOKUP(E1728,E$1:E1727,1,FALSE()))),"OLD",IF(AND(E1728&lt;&gt;"",E1728&lt;&gt;"!!!"),"NEW","")))</f>
        <v> </v>
      </c>
      <c r="G1728" s="24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5" t="str">
        <f>IF(J1728&lt;&gt;1,"",IF(I1728="SBJ","CB","?"))</f>
        <v> </v>
      </c>
      <c r="I1728" s="26" t="str">
        <f>IF(OR(E1728="",E1728="!!!",F1728="NEW"),"",INDEX(B1727:B$2,-1+SUMPRODUCT(MAX(ROW(E1727:E$2)*(E1728=E1727:E$2)))))</f>
        <v> </v>
      </c>
      <c r="J1728" s="26" t="str">
        <f>IF(OR(E1728="",E1728="!!!",F1728="NEW"),"",COUNTBLANK(OFFSET(A$1,,,SUMPRODUCT(MAX(ROW(E$2:E1728)*(E1728=E$2:E1728)))))-COUNTBLANK(OFFSET(A$1,,,SUMPRODUCT(MAX(ROW(E$1:E1727)*(E2=E$1:E1727))))))</f>
        <v> </v>
      </c>
      <c r="K1728" s="26" t="str">
        <f>IF(OR(E1728="",E1728="!!!",F1728="NEW"),"",INDEX(J$1:J1727,SUMPRODUCT(MAX(ROW(E$1:E1727)*(E1728=E$1:E1727)))))</f>
        <v> </v>
      </c>
      <c r="L1728" s="27"/>
    </row>
    <row r="1729" spans="1:12">
      <c r="A1729" s="20"/>
    </row>
    <row r="1730" spans="1:12">
      <c r="A1730" s="20" t="s">
        <v>1496</v>
      </c>
    </row>
    <row r="1731" spans="1:12">
      <c r="A1731" s="20" t="s">
        <v>1227</v>
      </c>
      <c r="E1731" s="22">
        <f>IF(D1731="?OLD","!!!","")</f>
        <v/>
      </c>
      <c r="F1731" s="23" t="str">
        <f>IF(OR(E1731="",E1731="!!!"),"",IF(NOT(ISNA(VLOOKUP(E1731,E$1:E1730,1,FALSE()))),"OLD",IF(AND(E1731&lt;&gt;"",E1731&lt;&gt;"!!!"),"NEW","")))</f>
        <v> </v>
      </c>
      <c r="G1731" s="24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5" t="str">
        <f>IF(J1731&lt;&gt;1,"",IF(I1731="SBJ","CB","?"))</f>
        <v> </v>
      </c>
      <c r="I1731" s="26" t="str">
        <f>IF(OR(E1731="",E1731="!!!",F1731="NEW"),"",INDEX(B1730:B$2,-1+SUMPRODUCT(MAX(ROW(E1730:E$2)*(E1731=E1730:E$2)))))</f>
        <v> </v>
      </c>
      <c r="J1731" s="26" t="str">
        <f>IF(OR(E1731="",E1731="!!!",F1731="NEW"),"",COUNTBLANK(OFFSET(A$1,,,SUMPRODUCT(MAX(ROW(E$2:E1731)*(E1731=E$2:E1731)))))-COUNTBLANK(OFFSET(A$1,,,SUMPRODUCT(MAX(ROW(E$1:E1730)*(E2=E$1:E1730))))))</f>
        <v> </v>
      </c>
      <c r="K1731" s="26" t="str">
        <f>IF(OR(E1731="",E1731="!!!",F1731="NEW"),"",INDEX(J$1:J1730,SUMPRODUCT(MAX(ROW(E$1:E1730)*(E1731=E$1:E1730)))))</f>
        <v> </v>
      </c>
      <c r="L1731" s="27"/>
    </row>
    <row r="1732" spans="1:12">
      <c r="A1732" s="20" t="s">
        <v>1497</v>
      </c>
      <c r="E1732" s="22">
        <f>IF(D1732="?OLD","!!!","")</f>
        <v/>
      </c>
      <c r="F1732" s="23" t="str">
        <f>IF(OR(E1732="",E1732="!!!"),"",IF(NOT(ISNA(VLOOKUP(E1732,E$1:E1731,1,FALSE()))),"OLD",IF(AND(E1732&lt;&gt;"",E1732&lt;&gt;"!!!"),"NEW","")))</f>
        <v> </v>
      </c>
      <c r="G1732" s="24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5" t="str">
        <f>IF(J1732&lt;&gt;1,"",IF(I1732="SBJ","CB","?"))</f>
        <v> </v>
      </c>
      <c r="I1732" s="26" t="str">
        <f>IF(OR(E1732="",E1732="!!!",F1732="NEW"),"",INDEX(B1731:B$2,-1+SUMPRODUCT(MAX(ROW(E1731:E$2)*(E1732=E1731:E$2)))))</f>
        <v> </v>
      </c>
      <c r="J1732" s="26" t="str">
        <f>IF(OR(E1732="",E1732="!!!",F1732="NEW"),"",COUNTBLANK(OFFSET(A$1,,,SUMPRODUCT(MAX(ROW(E$2:E1732)*(E1732=E$2:E1732)))))-COUNTBLANK(OFFSET(A$1,,,SUMPRODUCT(MAX(ROW(E$1:E1731)*(E2=E$1:E1731))))))</f>
        <v> </v>
      </c>
      <c r="K1732" s="26" t="str">
        <f>IF(OR(E1732="",E1732="!!!",F1732="NEW"),"",INDEX(J$1:J1731,SUMPRODUCT(MAX(ROW(E$1:E1731)*(E1732=E$1:E1731)))))</f>
        <v> </v>
      </c>
      <c r="L1732" s="27"/>
    </row>
    <row r="1733" spans="1:12">
      <c r="A1733" s="20" t="s">
        <v>1498</v>
      </c>
      <c r="B1733" s="21" t="s">
        <v>640</v>
      </c>
      <c r="C1733" s="21" t="s">
        <v>716</v>
      </c>
      <c r="D1733" s="21" t="s">
        <v>603</v>
      </c>
      <c r="E1733" s="22">
        <f>IF(D1733="?OLD","!!!","")</f>
        <v/>
      </c>
      <c r="F1733" s="23" t="str">
        <f>IF(OR(E1733="",E1733="!!!"),"",IF(NOT(ISNA(VLOOKUP(E1733,E$1:E1732,1,FALSE()))),"OLD",IF(AND(E1733&lt;&gt;"",E1733&lt;&gt;"!!!"),"NEW","")))</f>
        <v> </v>
      </c>
      <c r="G1733" s="24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5" t="str">
        <f>IF(J1733&lt;&gt;1,"",IF(I1733="SBJ","CB","?"))</f>
        <v> </v>
      </c>
      <c r="I1733" s="26" t="str">
        <f>IF(OR(E1733="",E1733="!!!",F1733="NEW"),"",INDEX(B1732:B$2,-1+SUMPRODUCT(MAX(ROW(E1732:E$2)*(E1733=E1732:E$2)))))</f>
        <v> </v>
      </c>
      <c r="J1733" s="26" t="str">
        <f>IF(OR(E1733="",E1733="!!!",F1733="NEW"),"",COUNTBLANK(OFFSET(A$1,,,SUMPRODUCT(MAX(ROW(E$2:E1733)*(E1733=E$2:E1733)))))-COUNTBLANK(OFFSET(A$1,,,SUMPRODUCT(MAX(ROW(E$1:E1732)*(E2=E$1:E1732))))))</f>
        <v> </v>
      </c>
      <c r="K1733" s="26" t="str">
        <f>IF(OR(E1733="",E1733="!!!",F1733="NEW"),"",INDEX(J$1:J1732,SUMPRODUCT(MAX(ROW(E$1:E1732)*(E1733=E$1:E1732)))))</f>
        <v> </v>
      </c>
      <c r="L1733" s="27"/>
    </row>
    <row r="1734" spans="1:12">
      <c r="A1734" s="20" t="s">
        <v>1499</v>
      </c>
      <c r="E1734" s="22">
        <f>IF(D1734="?OLD","!!!","")</f>
        <v/>
      </c>
      <c r="F1734" s="23" t="str">
        <f>IF(OR(E1734="",E1734="!!!"),"",IF(NOT(ISNA(VLOOKUP(E1734,E$1:E1733,1,FALSE()))),"OLD",IF(AND(E1734&lt;&gt;"",E1734&lt;&gt;"!!!"),"NEW","")))</f>
        <v> </v>
      </c>
      <c r="G1734" s="24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5" t="str">
        <f>IF(J1734&lt;&gt;1,"",IF(I1734="SBJ","CB","?"))</f>
        <v> </v>
      </c>
      <c r="I1734" s="26" t="str">
        <f>IF(OR(E1734="",E1734="!!!",F1734="NEW"),"",INDEX(B1733:B$2,-1+SUMPRODUCT(MAX(ROW(E1733:E$2)*(E1734=E1733:E$2)))))</f>
        <v> </v>
      </c>
      <c r="J1734" s="26" t="str">
        <f>IF(OR(E1734="",E1734="!!!",F1734="NEW"),"",COUNTBLANK(OFFSET(A$1,,,SUMPRODUCT(MAX(ROW(E$2:E1734)*(E1734=E$2:E1734)))))-COUNTBLANK(OFFSET(A$1,,,SUMPRODUCT(MAX(ROW(E$1:E1733)*(E2=E$1:E1733))))))</f>
        <v> </v>
      </c>
      <c r="K1734" s="26" t="str">
        <f>IF(OR(E1734="",E1734="!!!",F1734="NEW"),"",INDEX(J$1:J1733,SUMPRODUCT(MAX(ROW(E$1:E1733)*(E1734=E$1:E1733)))))</f>
        <v> </v>
      </c>
      <c r="L1734" s="27"/>
    </row>
    <row r="1735" spans="1:12">
      <c r="A1735" s="20" t="s">
        <v>1500</v>
      </c>
      <c r="B1735" s="21" t="s">
        <v>601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 t="s">
        <v>1055</v>
      </c>
      <c r="E1736" s="22">
        <f>IF(D1736="?OLD","!!!","")</f>
        <v/>
      </c>
      <c r="F1736" s="23" t="str">
        <f>IF(OR(E1736="",E1736="!!!"),"",IF(NOT(ISNA(VLOOKUP(E1736,E$1:E1735,1,FALSE()))),"OLD",IF(AND(E1736&lt;&gt;"",E1736&lt;&gt;"!!!"),"NEW","")))</f>
        <v> </v>
      </c>
      <c r="G1736" s="24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5" t="str">
        <f>IF(J1736&lt;&gt;1,"",IF(I1736="SBJ","CB","?"))</f>
        <v> </v>
      </c>
      <c r="I1736" s="26" t="str">
        <f>IF(OR(E1736="",E1736="!!!",F1736="NEW"),"",INDEX(B1735:B$2,-1+SUMPRODUCT(MAX(ROW(E1735:E$2)*(E1736=E1735:E$2)))))</f>
        <v> </v>
      </c>
      <c r="J1736" s="26" t="str">
        <f>IF(OR(E1736="",E1736="!!!",F1736="NEW"),"",COUNTBLANK(OFFSET(A$1,,,SUMPRODUCT(MAX(ROW(E$2:E1736)*(E1736=E$2:E1736)))))-COUNTBLANK(OFFSET(A$1,,,SUMPRODUCT(MAX(ROW(E$1:E1735)*(E2=E$1:E1735))))))</f>
        <v> </v>
      </c>
      <c r="K1736" s="26" t="str">
        <f>IF(OR(E1736="",E1736="!!!",F1736="NEW"),"",INDEX(J$1:J1735,SUMPRODUCT(MAX(ROW(E$1:E1735)*(E1736=E$1:E1735)))))</f>
        <v> </v>
      </c>
      <c r="L1736" s="27"/>
    </row>
    <row r="1737" spans="1:12">
      <c r="A1737" s="20" t="s">
        <v>1501</v>
      </c>
      <c r="E1737" s="22">
        <f>IF(D1737="?OLD","!!!","")</f>
        <v/>
      </c>
      <c r="F1737" s="23" t="str">
        <f>IF(OR(E1737="",E1737="!!!"),"",IF(NOT(ISNA(VLOOKUP(E1737,E$1:E1736,1,FALSE()))),"OLD",IF(AND(E1737&lt;&gt;"",E1737&lt;&gt;"!!!"),"NEW","")))</f>
        <v> </v>
      </c>
      <c r="G1737" s="24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5" t="str">
        <f>IF(J1737&lt;&gt;1,"",IF(I1737="SBJ","CB","?"))</f>
        <v> </v>
      </c>
      <c r="I1737" s="26" t="str">
        <f>IF(OR(E1737="",E1737="!!!",F1737="NEW"),"",INDEX(B1736:B$2,-1+SUMPRODUCT(MAX(ROW(E1736:E$2)*(E1737=E1736:E$2)))))</f>
        <v> </v>
      </c>
      <c r="J1737" s="26" t="str">
        <f>IF(OR(E1737="",E1737="!!!",F1737="NEW"),"",COUNTBLANK(OFFSET(A$1,,,SUMPRODUCT(MAX(ROW(E$2:E1737)*(E1737=E$2:E1737)))))-COUNTBLANK(OFFSET(A$1,,,SUMPRODUCT(MAX(ROW(E$1:E1736)*(E2=E$1:E1736))))))</f>
        <v> </v>
      </c>
      <c r="K1737" s="26" t="str">
        <f>IF(OR(E1737="",E1737="!!!",F1737="NEW"),"",INDEX(J$1:J1736,SUMPRODUCT(MAX(ROW(E$1:E1736)*(E1737=E$1:E1736)))))</f>
        <v> </v>
      </c>
      <c r="L1737" s="27"/>
    </row>
    <row r="1738" spans="1:12">
      <c r="A1738" s="20" t="s">
        <v>1502</v>
      </c>
      <c r="B1738" s="21" t="s">
        <v>804</v>
      </c>
      <c r="C1738" s="21" t="s">
        <v>644</v>
      </c>
      <c r="D1738" s="21" t="s">
        <v>603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1503</v>
      </c>
      <c r="B1739" s="21" t="s">
        <v>620</v>
      </c>
      <c r="C1739" s="21" t="s">
        <v>631</v>
      </c>
      <c r="D1739" s="21" t="s">
        <v>603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1504</v>
      </c>
      <c r="B1740" s="21" t="s">
        <v>815</v>
      </c>
      <c r="C1740" s="21" t="s">
        <v>631</v>
      </c>
      <c r="D1740" s="21" t="s">
        <v>603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 t="s">
        <v>611</v>
      </c>
      <c r="E1741" s="22">
        <f>IF(D1741="?OLD","!!!","")</f>
        <v/>
      </c>
      <c r="F1741" s="23" t="str">
        <f>IF(OR(E1741="",E1741="!!!"),"",IF(NOT(ISNA(VLOOKUP(E1741,E$1:E1740,1,FALSE()))),"OLD",IF(AND(E1741&lt;&gt;"",E1741&lt;&gt;"!!!"),"NEW","")))</f>
        <v> </v>
      </c>
      <c r="G1741" s="24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5" t="str">
        <f>IF(J1741&lt;&gt;1,"",IF(I1741="SBJ","CB","?"))</f>
        <v> </v>
      </c>
      <c r="I1741" s="26" t="str">
        <f>IF(OR(E1741="",E1741="!!!",F1741="NEW"),"",INDEX(B1740:B$2,-1+SUMPRODUCT(MAX(ROW(E1740:E$2)*(E1741=E1740:E$2)))))</f>
        <v> </v>
      </c>
      <c r="J1741" s="26" t="str">
        <f>IF(OR(E1741="",E1741="!!!",F1741="NEW"),"",COUNTBLANK(OFFSET(A$1,,,SUMPRODUCT(MAX(ROW(E$2:E1741)*(E1741=E$2:E1741)))))-COUNTBLANK(OFFSET(A$1,,,SUMPRODUCT(MAX(ROW(E$1:E1740)*(E2=E$1:E1740))))))</f>
        <v> </v>
      </c>
      <c r="K1741" s="26" t="str">
        <f>IF(OR(E1741="",E1741="!!!",F1741="NEW"),"",INDEX(J$1:J1740,SUMPRODUCT(MAX(ROW(E$1:E1740)*(E1741=E$1:E1740)))))</f>
        <v> </v>
      </c>
      <c r="L1741" s="27"/>
    </row>
    <row r="1742" spans="1:12">
      <c r="A1742" s="20" t="s">
        <v>809</v>
      </c>
      <c r="B1742" s="21" t="s">
        <v>616</v>
      </c>
      <c r="C1742" s="21" t="s">
        <v>614</v>
      </c>
      <c r="E1742" s="22">
        <f>IF(D1742="?OLD","!!!","")</f>
        <v/>
      </c>
      <c r="F1742" s="23" t="str">
        <f>IF(OR(E1742="",E1742="!!!"),"",IF(NOT(ISNA(VLOOKUP(E1742,E$1:E1741,1,FALSE()))),"OLD",IF(AND(E1742&lt;&gt;"",E1742&lt;&gt;"!!!"),"NEW","")))</f>
        <v> </v>
      </c>
      <c r="G1742" s="24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5" t="str">
        <f>IF(J1742&lt;&gt;1,"",IF(I1742="SBJ","CB","?"))</f>
        <v> </v>
      </c>
      <c r="I1742" s="26" t="str">
        <f>IF(OR(E1742="",E1742="!!!",F1742="NEW"),"",INDEX(B1741:B$2,-1+SUMPRODUCT(MAX(ROW(E1741:E$2)*(E1742=E1741:E$2)))))</f>
        <v> </v>
      </c>
      <c r="J1742" s="26" t="str">
        <f>IF(OR(E1742="",E1742="!!!",F1742="NEW"),"",COUNTBLANK(OFFSET(A$1,,,SUMPRODUCT(MAX(ROW(E$2:E1742)*(E1742=E$2:E1742)))))-COUNTBLANK(OFFSET(A$1,,,SUMPRODUCT(MAX(ROW(E$1:E1741)*(E2=E$1:E1741))))))</f>
        <v> </v>
      </c>
      <c r="K1742" s="26" t="str">
        <f>IF(OR(E1742="",E1742="!!!",F1742="NEW"),"",INDEX(J$1:J1741,SUMPRODUCT(MAX(ROW(E$1:E1741)*(E1742=E$1:E1741)))))</f>
        <v> </v>
      </c>
      <c r="L1742" s="27"/>
    </row>
    <row r="1743" spans="1:12">
      <c r="A1743" s="20" t="s">
        <v>1505</v>
      </c>
      <c r="E1743" s="22">
        <f>IF(D1743="?OLD","!!!","")</f>
        <v/>
      </c>
      <c r="F1743" s="23" t="str">
        <f>IF(OR(E1743="",E1743="!!!"),"",IF(NOT(ISNA(VLOOKUP(E1743,E$1:E1742,1,FALSE()))),"OLD",IF(AND(E1743&lt;&gt;"",E1743&lt;&gt;"!!!"),"NEW","")))</f>
        <v> </v>
      </c>
      <c r="G1743" s="24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5" t="str">
        <f>IF(J1743&lt;&gt;1,"",IF(I1743="SBJ","CB","?"))</f>
        <v> </v>
      </c>
      <c r="I1743" s="26" t="str">
        <f>IF(OR(E1743="",E1743="!!!",F1743="NEW"),"",INDEX(B1742:B$2,-1+SUMPRODUCT(MAX(ROW(E1742:E$2)*(E1743=E1742:E$2)))))</f>
        <v> </v>
      </c>
      <c r="J1743" s="26" t="str">
        <f>IF(OR(E1743="",E1743="!!!",F1743="NEW"),"",COUNTBLANK(OFFSET(A$1,,,SUMPRODUCT(MAX(ROW(E$2:E1743)*(E1743=E$2:E1743)))))-COUNTBLANK(OFFSET(A$1,,,SUMPRODUCT(MAX(ROW(E$1:E1742)*(E2=E$1:E1742))))))</f>
        <v> </v>
      </c>
      <c r="K1743" s="26" t="str">
        <f>IF(OR(E1743="",E1743="!!!",F1743="NEW"),"",INDEX(J$1:J1742,SUMPRODUCT(MAX(ROW(E$1:E1742)*(E1743=E$1:E1742)))))</f>
        <v> </v>
      </c>
      <c r="L1743" s="27"/>
    </row>
    <row r="1744" spans="1:12">
      <c r="A1744" s="20" t="s">
        <v>1506</v>
      </c>
      <c r="B1744" s="21" t="s">
        <v>620</v>
      </c>
      <c r="C1744" s="21" t="s">
        <v>621</v>
      </c>
      <c r="E1744" s="22">
        <f>IF(D1744="?OLD","!!!","")</f>
        <v/>
      </c>
      <c r="F1744" s="23" t="str">
        <f>IF(OR(E1744="",E1744="!!!"),"",IF(NOT(ISNA(VLOOKUP(E1744,E$1:E1743,1,FALSE()))),"OLD",IF(AND(E1744&lt;&gt;"",E1744&lt;&gt;"!!!"),"NEW","")))</f>
        <v> </v>
      </c>
      <c r="G1744" s="24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5" t="str">
        <f>IF(J1744&lt;&gt;1,"",IF(I1744="SBJ","CB","?"))</f>
        <v> </v>
      </c>
      <c r="I1744" s="26" t="str">
        <f>IF(OR(E1744="",E1744="!!!",F1744="NEW"),"",INDEX(B1743:B$2,-1+SUMPRODUCT(MAX(ROW(E1743:E$2)*(E1744=E1743:E$2)))))</f>
        <v> </v>
      </c>
      <c r="J1744" s="26" t="str">
        <f>IF(OR(E1744="",E1744="!!!",F1744="NEW"),"",COUNTBLANK(OFFSET(A$1,,,SUMPRODUCT(MAX(ROW(E$2:E1744)*(E1744=E$2:E1744)))))-COUNTBLANK(OFFSET(A$1,,,SUMPRODUCT(MAX(ROW(E$1:E1743)*(E2=E$1:E1743))))))</f>
        <v> </v>
      </c>
      <c r="K1744" s="26" t="str">
        <f>IF(OR(E1744="",E1744="!!!",F1744="NEW"),"",INDEX(J$1:J1743,SUMPRODUCT(MAX(ROW(E$1:E1743)*(E1744=E$1:E1743)))))</f>
        <v> </v>
      </c>
      <c r="L1744" s="27"/>
    </row>
    <row r="1745" spans="1:12">
      <c r="A1745" s="20" t="s">
        <v>622</v>
      </c>
      <c r="E1745" s="22">
        <f>IF(D1745="?OLD","!!!","")</f>
        <v/>
      </c>
      <c r="F1745" s="23" t="str">
        <f>IF(OR(E1745="",E1745="!!!"),"",IF(NOT(ISNA(VLOOKUP(E1745,E$1:E1744,1,FALSE()))),"OLD",IF(AND(E1745&lt;&gt;"",E1745&lt;&gt;"!!!"),"NEW","")))</f>
        <v> </v>
      </c>
      <c r="G1745" s="24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5" t="str">
        <f>IF(J1745&lt;&gt;1,"",IF(I1745="SBJ","CB","?"))</f>
        <v> </v>
      </c>
      <c r="I1745" s="26" t="str">
        <f>IF(OR(E1745="",E1745="!!!",F1745="NEW"),"",INDEX(B1744:B$2,-1+SUMPRODUCT(MAX(ROW(E1744:E$2)*(E1745=E1744:E$2)))))</f>
        <v> </v>
      </c>
      <c r="J1745" s="26" t="str">
        <f>IF(OR(E1745="",E1745="!!!",F1745="NEW"),"",COUNTBLANK(OFFSET(A$1,,,SUMPRODUCT(MAX(ROW(E$2:E1745)*(E1745=E$2:E1745)))))-COUNTBLANK(OFFSET(A$1,,,SUMPRODUCT(MAX(ROW(E$1:E1744)*(E2=E$1:E1744))))))</f>
        <v> </v>
      </c>
      <c r="K1745" s="26" t="str">
        <f>IF(OR(E1745="",E1745="!!!",F1745="NEW"),"",INDEX(J$1:J1744,SUMPRODUCT(MAX(ROW(E$1:E1744)*(E1745=E$1:E1744)))))</f>
        <v> </v>
      </c>
      <c r="L1745" s="27"/>
    </row>
    <row r="1746" spans="1:12">
      <c r="A1746" s="20" t="s">
        <v>662</v>
      </c>
      <c r="E1746" s="22">
        <f>IF(D1746="?OLD","!!!","")</f>
        <v/>
      </c>
      <c r="F1746" s="23" t="str">
        <f>IF(OR(E1746="",E1746="!!!"),"",IF(NOT(ISNA(VLOOKUP(E1746,E$1:E1745,1,FALSE()))),"OLD",IF(AND(E1746&lt;&gt;"",E1746&lt;&gt;"!!!"),"NEW","")))</f>
        <v> </v>
      </c>
      <c r="G1746" s="24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5" t="str">
        <f>IF(J1746&lt;&gt;1,"",IF(I1746="SBJ","CB","?"))</f>
        <v> </v>
      </c>
      <c r="I1746" s="26" t="str">
        <f>IF(OR(E1746="",E1746="!!!",F1746="NEW"),"",INDEX(B1745:B$2,-1+SUMPRODUCT(MAX(ROW(E1745:E$2)*(E1746=E1745:E$2)))))</f>
        <v> </v>
      </c>
      <c r="J1746" s="26" t="str">
        <f>IF(OR(E1746="",E1746="!!!",F1746="NEW"),"",COUNTBLANK(OFFSET(A$1,,,SUMPRODUCT(MAX(ROW(E$2:E1746)*(E1746=E$2:E1746)))))-COUNTBLANK(OFFSET(A$1,,,SUMPRODUCT(MAX(ROW(E$1:E1745)*(E2=E$1:E1745))))))</f>
        <v> </v>
      </c>
      <c r="K1746" s="26" t="str">
        <f>IF(OR(E1746="",E1746="!!!",F1746="NEW"),"",INDEX(J$1:J1745,SUMPRODUCT(MAX(ROW(E$1:E1745)*(E1746=E$1:E1745)))))</f>
        <v> </v>
      </c>
      <c r="L1746" s="27"/>
    </row>
    <row r="1747" spans="1:12">
      <c r="A1747" s="20" t="s">
        <v>1507</v>
      </c>
      <c r="E1747" s="22">
        <f>IF(D1747="?OLD","!!!","")</f>
        <v/>
      </c>
      <c r="F1747" s="23" t="str">
        <f>IF(OR(E1747="",E1747="!!!"),"",IF(NOT(ISNA(VLOOKUP(E1747,E$1:E1746,1,FALSE()))),"OLD",IF(AND(E1747&lt;&gt;"",E1747&lt;&gt;"!!!"),"NEW","")))</f>
        <v> </v>
      </c>
      <c r="G1747" s="24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5" t="str">
        <f>IF(J1747&lt;&gt;1,"",IF(I1747="SBJ","CB","?"))</f>
        <v> </v>
      </c>
      <c r="I1747" s="26" t="str">
        <f>IF(OR(E1747="",E1747="!!!",F1747="NEW"),"",INDEX(B1746:B$2,-1+SUMPRODUCT(MAX(ROW(E1746:E$2)*(E1747=E1746:E$2)))))</f>
        <v> </v>
      </c>
      <c r="J1747" s="26" t="str">
        <f>IF(OR(E1747="",E1747="!!!",F1747="NEW"),"",COUNTBLANK(OFFSET(A$1,,,SUMPRODUCT(MAX(ROW(E$2:E1747)*(E1747=E$2:E1747)))))-COUNTBLANK(OFFSET(A$1,,,SUMPRODUCT(MAX(ROW(E$1:E1746)*(E2=E$1:E1746))))))</f>
        <v> </v>
      </c>
      <c r="K1747" s="26" t="str">
        <f>IF(OR(E1747="",E1747="!!!",F1747="NEW"),"",INDEX(J$1:J1746,SUMPRODUCT(MAX(ROW(E$1:E1746)*(E1747=E$1:E1746)))))</f>
        <v> </v>
      </c>
      <c r="L1747" s="27"/>
    </row>
    <row r="1748" spans="1:12">
      <c r="A1748" s="20" t="s">
        <v>1508</v>
      </c>
      <c r="E1748" s="22">
        <f>IF(D1748="?OLD","!!!","")</f>
        <v/>
      </c>
      <c r="F1748" s="23" t="str">
        <f>IF(OR(E1748="",E1748="!!!"),"",IF(NOT(ISNA(VLOOKUP(E1748,E$1:E1747,1,FALSE()))),"OLD",IF(AND(E1748&lt;&gt;"",E1748&lt;&gt;"!!!"),"NEW","")))</f>
        <v> </v>
      </c>
      <c r="G1748" s="24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5" t="str">
        <f>IF(J1748&lt;&gt;1,"",IF(I1748="SBJ","CB","?"))</f>
        <v> </v>
      </c>
      <c r="I1748" s="26" t="str">
        <f>IF(OR(E1748="",E1748="!!!",F1748="NEW"),"",INDEX(B1747:B$2,-1+SUMPRODUCT(MAX(ROW(E1747:E$2)*(E1748=E1747:E$2)))))</f>
        <v> </v>
      </c>
      <c r="J1748" s="26" t="str">
        <f>IF(OR(E1748="",E1748="!!!",F1748="NEW"),"",COUNTBLANK(OFFSET(A$1,,,SUMPRODUCT(MAX(ROW(E$2:E1748)*(E1748=E$2:E1748)))))-COUNTBLANK(OFFSET(A$1,,,SUMPRODUCT(MAX(ROW(E$1:E1747)*(E2=E$1:E1747))))))</f>
        <v> </v>
      </c>
      <c r="K1748" s="26" t="str">
        <f>IF(OR(E1748="",E1748="!!!",F1748="NEW"),"",INDEX(J$1:J1747,SUMPRODUCT(MAX(ROW(E$1:E1747)*(E1748=E$1:E1747)))))</f>
        <v> </v>
      </c>
      <c r="L1748" s="27"/>
    </row>
    <row r="1749" spans="1:12">
      <c r="A1749" s="20" t="s">
        <v>718</v>
      </c>
      <c r="E1749" s="22">
        <f>IF(D1749="?OLD","!!!","")</f>
        <v/>
      </c>
      <c r="F1749" s="23" t="str">
        <f>IF(OR(E1749="",E1749="!!!"),"",IF(NOT(ISNA(VLOOKUP(E1749,E$1:E1748,1,FALSE()))),"OLD",IF(AND(E1749&lt;&gt;"",E1749&lt;&gt;"!!!"),"NEW","")))</f>
        <v> </v>
      </c>
      <c r="G1749" s="24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5" t="str">
        <f>IF(J1749&lt;&gt;1,"",IF(I1749="SBJ","CB","?"))</f>
        <v> </v>
      </c>
      <c r="I1749" s="26" t="str">
        <f>IF(OR(E1749="",E1749="!!!",F1749="NEW"),"",INDEX(B1748:B$2,-1+SUMPRODUCT(MAX(ROW(E1748:E$2)*(E1749=E1748:E$2)))))</f>
        <v> </v>
      </c>
      <c r="J1749" s="26" t="str">
        <f>IF(OR(E1749="",E1749="!!!",F1749="NEW"),"",COUNTBLANK(OFFSET(A$1,,,SUMPRODUCT(MAX(ROW(E$2:E1749)*(E1749=E$2:E1749)))))-COUNTBLANK(OFFSET(A$1,,,SUMPRODUCT(MAX(ROW(E$1:E1748)*(E2=E$1:E1748))))))</f>
        <v> </v>
      </c>
      <c r="K1749" s="26" t="str">
        <f>IF(OR(E1749="",E1749="!!!",F1749="NEW"),"",INDEX(J$1:J1748,SUMPRODUCT(MAX(ROW(E$1:E1748)*(E1749=E$1:E1748)))))</f>
        <v> </v>
      </c>
      <c r="L1749" s="27"/>
    </row>
    <row r="1750" spans="1:12">
      <c r="A1750" s="20" t="s">
        <v>1509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1510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611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 t="s">
        <v>615</v>
      </c>
      <c r="B1753" s="21" t="s">
        <v>636</v>
      </c>
      <c r="C1753" s="21" t="s">
        <v>602</v>
      </c>
      <c r="D1753" s="21" t="s">
        <v>603</v>
      </c>
      <c r="E1753" s="22">
        <f>IF(D1753="?OLD","!!!","")</f>
        <v/>
      </c>
      <c r="F1753" s="23" t="str">
        <f>IF(OR(E1753="",E1753="!!!"),"",IF(NOT(ISNA(VLOOKUP(E1753,E$1:E1752,1,FALSE()))),"OLD",IF(AND(E1753&lt;&gt;"",E1753&lt;&gt;"!!!"),"NEW","")))</f>
        <v> </v>
      </c>
      <c r="G1753" s="24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5" t="str">
        <f>IF(J1753&lt;&gt;1,"",IF(I1753="SBJ","CB","?"))</f>
        <v> </v>
      </c>
      <c r="I1753" s="26" t="str">
        <f>IF(OR(E1753="",E1753="!!!",F1753="NEW"),"",INDEX(B1752:B$2,-1+SUMPRODUCT(MAX(ROW(E1752:E$2)*(E1753=E1752:E$2)))))</f>
        <v> </v>
      </c>
      <c r="J1753" s="26" t="str">
        <f>IF(OR(E1753="",E1753="!!!",F1753="NEW"),"",COUNTBLANK(OFFSET(A$1,,,SUMPRODUCT(MAX(ROW(E$2:E1753)*(E1753=E$2:E1753)))))-COUNTBLANK(OFFSET(A$1,,,SUMPRODUCT(MAX(ROW(E$1:E1752)*(E2=E$1:E1752))))))</f>
        <v> </v>
      </c>
      <c r="K1753" s="26" t="str">
        <f>IF(OR(E1753="",E1753="!!!",F1753="NEW"),"",INDEX(J$1:J1752,SUMPRODUCT(MAX(ROW(E$1:E1752)*(E1753=E$1:E1752)))))</f>
        <v> </v>
      </c>
      <c r="L1753" s="27"/>
    </row>
    <row r="1754" spans="1:12">
      <c r="A1754" s="20" t="s">
        <v>1083</v>
      </c>
      <c r="E1754" s="22">
        <f>IF(D1754="?OLD","!!!","")</f>
        <v/>
      </c>
      <c r="F1754" s="23" t="str">
        <f>IF(OR(E1754="",E1754="!!!"),"",IF(NOT(ISNA(VLOOKUP(E1754,E$1:E1753,1,FALSE()))),"OLD",IF(AND(E1754&lt;&gt;"",E1754&lt;&gt;"!!!"),"NEW","")))</f>
        <v> </v>
      </c>
      <c r="G1754" s="24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5" t="str">
        <f>IF(J1754&lt;&gt;1,"",IF(I1754="SBJ","CB","?"))</f>
        <v> </v>
      </c>
      <c r="I1754" s="26" t="str">
        <f>IF(OR(E1754="",E1754="!!!",F1754="NEW"),"",INDEX(B1753:B$2,-1+SUMPRODUCT(MAX(ROW(E1753:E$2)*(E1754=E1753:E$2)))))</f>
        <v> </v>
      </c>
      <c r="J1754" s="26" t="str">
        <f>IF(OR(E1754="",E1754="!!!",F1754="NEW"),"",COUNTBLANK(OFFSET(A$1,,,SUMPRODUCT(MAX(ROW(E$2:E1754)*(E1754=E$2:E1754)))))-COUNTBLANK(OFFSET(A$1,,,SUMPRODUCT(MAX(ROW(E$1:E1753)*(E2=E$1:E1753))))))</f>
        <v> </v>
      </c>
      <c r="K1754" s="26" t="str">
        <f>IF(OR(E1754="",E1754="!!!",F1754="NEW"),"",INDEX(J$1:J1753,SUMPRODUCT(MAX(ROW(E$1:E1753)*(E1754=E$1:E1753)))))</f>
        <v> </v>
      </c>
      <c r="L1754" s="27"/>
    </row>
    <row r="1755" spans="1:12">
      <c r="A1755" s="20" t="s">
        <v>611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1511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 t="s">
        <v>1015</v>
      </c>
      <c r="E1757" s="22">
        <f>IF(D1757="?OLD","!!!","")</f>
        <v/>
      </c>
      <c r="F1757" s="23" t="str">
        <f>IF(OR(E1757="",E1757="!!!"),"",IF(NOT(ISNA(VLOOKUP(E1757,E$1:E1756,1,FALSE()))),"OLD",IF(AND(E1757&lt;&gt;"",E1757&lt;&gt;"!!!"),"NEW","")))</f>
        <v> </v>
      </c>
      <c r="G1757" s="24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5" t="str">
        <f>IF(J1757&lt;&gt;1,"",IF(I1757="SBJ","CB","?"))</f>
        <v> </v>
      </c>
      <c r="I1757" s="26" t="str">
        <f>IF(OR(E1757="",E1757="!!!",F1757="NEW"),"",INDEX(B1756:B$2,-1+SUMPRODUCT(MAX(ROW(E1756:E$2)*(E1757=E1756:E$2)))))</f>
        <v> </v>
      </c>
      <c r="J1757" s="26" t="str">
        <f>IF(OR(E1757="",E1757="!!!",F1757="NEW"),"",COUNTBLANK(OFFSET(A$1,,,SUMPRODUCT(MAX(ROW(E$2:E1757)*(E1757=E$2:E1757)))))-COUNTBLANK(OFFSET(A$1,,,SUMPRODUCT(MAX(ROW(E$1:E1756)*(E2=E$1:E1756))))))</f>
        <v> </v>
      </c>
      <c r="K1757" s="26" t="str">
        <f>IF(OR(E1757="",E1757="!!!",F1757="NEW"),"",INDEX(J$1:J1756,SUMPRODUCT(MAX(ROW(E$1:E1756)*(E1757=E$1:E1756)))))</f>
        <v> </v>
      </c>
      <c r="L1757" s="27"/>
    </row>
    <row r="1758" spans="1:12">
      <c r="A1758" s="20" t="s">
        <v>1512</v>
      </c>
      <c r="E1758" s="22">
        <f>IF(D1758="?OLD","!!!","")</f>
        <v/>
      </c>
      <c r="F1758" s="23" t="str">
        <f>IF(OR(E1758="",E1758="!!!"),"",IF(NOT(ISNA(VLOOKUP(E1758,E$1:E1757,1,FALSE()))),"OLD",IF(AND(E1758&lt;&gt;"",E1758&lt;&gt;"!!!"),"NEW","")))</f>
        <v> </v>
      </c>
      <c r="G1758" s="24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5" t="str">
        <f>IF(J1758&lt;&gt;1,"",IF(I1758="SBJ","CB","?"))</f>
        <v> </v>
      </c>
      <c r="I1758" s="26" t="str">
        <f>IF(OR(E1758="",E1758="!!!",F1758="NEW"),"",INDEX(B1757:B$2,-1+SUMPRODUCT(MAX(ROW(E1757:E$2)*(E1758=E1757:E$2)))))</f>
        <v> </v>
      </c>
      <c r="J1758" s="26" t="str">
        <f>IF(OR(E1758="",E1758="!!!",F1758="NEW"),"",COUNTBLANK(OFFSET(A$1,,,SUMPRODUCT(MAX(ROW(E$2:E1758)*(E1758=E$2:E1758)))))-COUNTBLANK(OFFSET(A$1,,,SUMPRODUCT(MAX(ROW(E$1:E1757)*(E2=E$1:E1757))))))</f>
        <v> </v>
      </c>
      <c r="K1758" s="26" t="str">
        <f>IF(OR(E1758="",E1758="!!!",F1758="NEW"),"",INDEX(J$1:J1757,SUMPRODUCT(MAX(ROW(E$1:E1757)*(E1758=E$1:E1757)))))</f>
        <v> </v>
      </c>
      <c r="L1758" s="27"/>
    </row>
    <row r="1759" spans="1:12">
      <c r="A1759" s="20" t="s">
        <v>1383</v>
      </c>
      <c r="E1759" s="22">
        <f>IF(D1759="?OLD","!!!","")</f>
        <v/>
      </c>
      <c r="F1759" s="23" t="str">
        <f>IF(OR(E1759="",E1759="!!!"),"",IF(NOT(ISNA(VLOOKUP(E1759,E$1:E1758,1,FALSE()))),"OLD",IF(AND(E1759&lt;&gt;"",E1759&lt;&gt;"!!!"),"NEW","")))</f>
        <v> </v>
      </c>
      <c r="G1759" s="24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5" t="str">
        <f>IF(J1759&lt;&gt;1,"",IF(I1759="SBJ","CB","?"))</f>
        <v> </v>
      </c>
      <c r="I1759" s="26" t="str">
        <f>IF(OR(E1759="",E1759="!!!",F1759="NEW"),"",INDEX(B1758:B$2,-1+SUMPRODUCT(MAX(ROW(E1758:E$2)*(E1759=E1758:E$2)))))</f>
        <v> </v>
      </c>
      <c r="J1759" s="26" t="str">
        <f>IF(OR(E1759="",E1759="!!!",F1759="NEW"),"",COUNTBLANK(OFFSET(A$1,,,SUMPRODUCT(MAX(ROW(E$2:E1759)*(E1759=E$2:E1759)))))-COUNTBLANK(OFFSET(A$1,,,SUMPRODUCT(MAX(ROW(E$1:E1758)*(E2=E$1:E1758))))))</f>
        <v> </v>
      </c>
      <c r="K1759" s="26" t="str">
        <f>IF(OR(E1759="",E1759="!!!",F1759="NEW"),"",INDEX(J$1:J1758,SUMPRODUCT(MAX(ROW(E$1:E1758)*(E1759=E$1:E1758)))))</f>
        <v> </v>
      </c>
      <c r="L1759" s="27"/>
    </row>
    <row r="1760" spans="1:12">
      <c r="A1760" s="20" t="s">
        <v>633</v>
      </c>
      <c r="E1760" s="22">
        <f>IF(D1760="?OLD","!!!","")</f>
        <v/>
      </c>
      <c r="F1760" s="23" t="str">
        <f>IF(OR(E1760="",E1760="!!!"),"",IF(NOT(ISNA(VLOOKUP(E1760,E$1:E1759,1,FALSE()))),"OLD",IF(AND(E1760&lt;&gt;"",E1760&lt;&gt;"!!!"),"NEW","")))</f>
        <v> </v>
      </c>
      <c r="G1760" s="24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5" t="str">
        <f>IF(J1760&lt;&gt;1,"",IF(I1760="SBJ","CB","?"))</f>
        <v> </v>
      </c>
      <c r="I1760" s="26" t="str">
        <f>IF(OR(E1760="",E1760="!!!",F1760="NEW"),"",INDEX(B1759:B$2,-1+SUMPRODUCT(MAX(ROW(E1759:E$2)*(E1760=E1759:E$2)))))</f>
        <v> </v>
      </c>
      <c r="J1760" s="26" t="str">
        <f>IF(OR(E1760="",E1760="!!!",F1760="NEW"),"",COUNTBLANK(OFFSET(A$1,,,SUMPRODUCT(MAX(ROW(E$2:E1760)*(E1760=E$2:E1760)))))-COUNTBLANK(OFFSET(A$1,,,SUMPRODUCT(MAX(ROW(E$1:E1759)*(E2=E$1:E1759))))))</f>
        <v> </v>
      </c>
      <c r="K1760" s="26" t="str">
        <f>IF(OR(E1760="",E1760="!!!",F1760="NEW"),"",INDEX(J$1:J1759,SUMPRODUCT(MAX(ROW(E$1:E1759)*(E1760=E$1:E1759)))))</f>
        <v> </v>
      </c>
      <c r="L1760" s="27"/>
    </row>
    <row r="1761" spans="1:12">
      <c r="A1761" s="20"/>
    </row>
    <row r="1762" spans="1:12">
      <c r="A1762" s="20" t="s">
        <v>1513</v>
      </c>
    </row>
    <row r="1763" spans="1:12">
      <c r="A1763" s="20" t="s">
        <v>1045</v>
      </c>
      <c r="E1763" s="22">
        <f>IF(D1763="?OLD","!!!","")</f>
        <v/>
      </c>
      <c r="F1763" s="23" t="str">
        <f>IF(OR(E1763="",E1763="!!!"),"",IF(NOT(ISNA(VLOOKUP(E1763,E$1:E1762,1,FALSE()))),"OLD",IF(AND(E1763&lt;&gt;"",E1763&lt;&gt;"!!!"),"NEW","")))</f>
        <v> </v>
      </c>
      <c r="G1763" s="24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5" t="str">
        <f>IF(J1763&lt;&gt;1,"",IF(I1763="SBJ","CB","?"))</f>
        <v> </v>
      </c>
      <c r="I1763" s="26" t="str">
        <f>IF(OR(E1763="",E1763="!!!",F1763="NEW"),"",INDEX(B1762:B$2,-1+SUMPRODUCT(MAX(ROW(E1762:E$2)*(E1763=E1762:E$2)))))</f>
        <v> </v>
      </c>
      <c r="J1763" s="26" t="str">
        <f>IF(OR(E1763="",E1763="!!!",F1763="NEW"),"",COUNTBLANK(OFFSET(A$1,,,SUMPRODUCT(MAX(ROW(E$2:E1763)*(E1763=E$2:E1763)))))-COUNTBLANK(OFFSET(A$1,,,SUMPRODUCT(MAX(ROW(E$1:E1762)*(E2=E$1:E1762))))))</f>
        <v> </v>
      </c>
      <c r="K1763" s="26" t="str">
        <f>IF(OR(E1763="",E1763="!!!",F1763="NEW"),"",INDEX(J$1:J1762,SUMPRODUCT(MAX(ROW(E$1:E1762)*(E1763=E$1:E1762)))))</f>
        <v> </v>
      </c>
      <c r="L1763" s="27"/>
    </row>
    <row r="1764" spans="1:12">
      <c r="A1764" s="20" t="s">
        <v>1514</v>
      </c>
      <c r="E1764" s="22">
        <f>IF(D1764="?OLD","!!!","")</f>
        <v/>
      </c>
      <c r="F1764" s="23" t="str">
        <f>IF(OR(E1764="",E1764="!!!"),"",IF(NOT(ISNA(VLOOKUP(E1764,E$1:E1763,1,FALSE()))),"OLD",IF(AND(E1764&lt;&gt;"",E1764&lt;&gt;"!!!"),"NEW","")))</f>
        <v> </v>
      </c>
      <c r="G1764" s="24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5" t="str">
        <f>IF(J1764&lt;&gt;1,"",IF(I1764="SBJ","CB","?"))</f>
        <v> </v>
      </c>
      <c r="I1764" s="26" t="str">
        <f>IF(OR(E1764="",E1764="!!!",F1764="NEW"),"",INDEX(B1763:B$2,-1+SUMPRODUCT(MAX(ROW(E1763:E$2)*(E1764=E1763:E$2)))))</f>
        <v> </v>
      </c>
      <c r="J1764" s="26" t="str">
        <f>IF(OR(E1764="",E1764="!!!",F1764="NEW"),"",COUNTBLANK(OFFSET(A$1,,,SUMPRODUCT(MAX(ROW(E$2:E1764)*(E1764=E$2:E1764)))))-COUNTBLANK(OFFSET(A$1,,,SUMPRODUCT(MAX(ROW(E$1:E1763)*(E2=E$1:E1763))))))</f>
        <v> </v>
      </c>
      <c r="K1764" s="26" t="str">
        <f>IF(OR(E1764="",E1764="!!!",F1764="NEW"),"",INDEX(J$1:J1763,SUMPRODUCT(MAX(ROW(E$1:E1763)*(E1764=E$1:E1763)))))</f>
        <v> </v>
      </c>
      <c r="L1764" s="27"/>
    </row>
    <row r="1765" spans="1:12">
      <c r="A1765" s="20" t="s">
        <v>922</v>
      </c>
      <c r="B1765" s="21" t="s">
        <v>801</v>
      </c>
      <c r="C1765" s="21" t="s">
        <v>602</v>
      </c>
      <c r="D1765" s="21" t="s">
        <v>603</v>
      </c>
      <c r="E1765" s="22">
        <f>IF(D1765="?OLD","!!!","")</f>
        <v/>
      </c>
      <c r="F1765" s="23" t="str">
        <f>IF(OR(E1765="",E1765="!!!"),"",IF(NOT(ISNA(VLOOKUP(E1765,E$1:E1764,1,FALSE()))),"OLD",IF(AND(E1765&lt;&gt;"",E1765&lt;&gt;"!!!"),"NEW","")))</f>
        <v> </v>
      </c>
      <c r="G1765" s="24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5" t="str">
        <f>IF(J1765&lt;&gt;1,"",IF(I1765="SBJ","CB","?"))</f>
        <v> </v>
      </c>
      <c r="I1765" s="26" t="str">
        <f>IF(OR(E1765="",E1765="!!!",F1765="NEW"),"",INDEX(B1764:B$2,-1+SUMPRODUCT(MAX(ROW(E1764:E$2)*(E1765=E1764:E$2)))))</f>
        <v> </v>
      </c>
      <c r="J1765" s="26" t="str">
        <f>IF(OR(E1765="",E1765="!!!",F1765="NEW"),"",COUNTBLANK(OFFSET(A$1,,,SUMPRODUCT(MAX(ROW(E$2:E1765)*(E1765=E$2:E1765)))))-COUNTBLANK(OFFSET(A$1,,,SUMPRODUCT(MAX(ROW(E$1:E1764)*(E2=E$1:E1764))))))</f>
        <v> </v>
      </c>
      <c r="K1765" s="26" t="str">
        <f>IF(OR(E1765="",E1765="!!!",F1765="NEW"),"",INDEX(J$1:J1764,SUMPRODUCT(MAX(ROW(E$1:E1764)*(E1765=E$1:E1764)))))</f>
        <v> </v>
      </c>
      <c r="L1765" s="27"/>
    </row>
    <row r="1766" spans="1:12">
      <c r="A1766" s="20" t="s">
        <v>611</v>
      </c>
      <c r="E1766" s="22">
        <f>IF(D1766="?OLD","!!!","")</f>
        <v/>
      </c>
      <c r="F1766" s="23" t="str">
        <f>IF(OR(E1766="",E1766="!!!"),"",IF(NOT(ISNA(VLOOKUP(E1766,E$1:E1765,1,FALSE()))),"OLD",IF(AND(E1766&lt;&gt;"",E1766&lt;&gt;"!!!"),"NEW","")))</f>
        <v> </v>
      </c>
      <c r="G1766" s="24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5" t="str">
        <f>IF(J1766&lt;&gt;1,"",IF(I1766="SBJ","CB","?"))</f>
        <v> </v>
      </c>
      <c r="I1766" s="26" t="str">
        <f>IF(OR(E1766="",E1766="!!!",F1766="NEW"),"",INDEX(B1765:B$2,-1+SUMPRODUCT(MAX(ROW(E1765:E$2)*(E1766=E1765:E$2)))))</f>
        <v> </v>
      </c>
      <c r="J1766" s="26" t="str">
        <f>IF(OR(E1766="",E1766="!!!",F1766="NEW"),"",COUNTBLANK(OFFSET(A$1,,,SUMPRODUCT(MAX(ROW(E$2:E1766)*(E1766=E$2:E1766)))))-COUNTBLANK(OFFSET(A$1,,,SUMPRODUCT(MAX(ROW(E$1:E1765)*(E2=E$1:E1765))))))</f>
        <v> </v>
      </c>
      <c r="K1766" s="26" t="str">
        <f>IF(OR(E1766="",E1766="!!!",F1766="NEW"),"",INDEX(J$1:J1765,SUMPRODUCT(MAX(ROW(E$1:E1765)*(E1766=E$1:E1765)))))</f>
        <v> </v>
      </c>
      <c r="L1766" s="27"/>
    </row>
    <row r="1767" spans="1:12">
      <c r="A1767" s="20" t="s">
        <v>239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1515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664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 t="s">
        <v>1516</v>
      </c>
      <c r="B1770" s="21" t="s">
        <v>601</v>
      </c>
      <c r="E1770" s="22">
        <f>IF(D1770="?OLD","!!!","")</f>
        <v/>
      </c>
      <c r="F1770" s="23" t="str">
        <f>IF(OR(E1770="",E1770="!!!"),"",IF(NOT(ISNA(VLOOKUP(E1770,E$1:E1769,1,FALSE()))),"OLD",IF(AND(E1770&lt;&gt;"",E1770&lt;&gt;"!!!"),"NEW","")))</f>
        <v> </v>
      </c>
      <c r="G1770" s="24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5" t="str">
        <f>IF(J1770&lt;&gt;1,"",IF(I1770="SBJ","CB","?"))</f>
        <v> </v>
      </c>
      <c r="I1770" s="26" t="str">
        <f>IF(OR(E1770="",E1770="!!!",F1770="NEW"),"",INDEX(B1769:B$2,-1+SUMPRODUCT(MAX(ROW(E1769:E$2)*(E1770=E1769:E$2)))))</f>
        <v> </v>
      </c>
      <c r="J1770" s="26" t="str">
        <f>IF(OR(E1770="",E1770="!!!",F1770="NEW"),"",COUNTBLANK(OFFSET(A$1,,,SUMPRODUCT(MAX(ROW(E$2:E1770)*(E1770=E$2:E1770)))))-COUNTBLANK(OFFSET(A$1,,,SUMPRODUCT(MAX(ROW(E$1:E1769)*(E2=E$1:E1769))))))</f>
        <v> </v>
      </c>
      <c r="K1770" s="26" t="str">
        <f>IF(OR(E1770="",E1770="!!!",F1770="NEW"),"",INDEX(J$1:J1769,SUMPRODUCT(MAX(ROW(E$1:E1769)*(E1770=E$1:E1769)))))</f>
        <v> </v>
      </c>
      <c r="L1770" s="27"/>
    </row>
    <row r="1771" spans="1:12">
      <c r="A1771" s="20" t="s">
        <v>611</v>
      </c>
      <c r="E1771" s="22">
        <f>IF(D1771="?OLD","!!!","")</f>
        <v/>
      </c>
      <c r="F1771" s="23" t="str">
        <f>IF(OR(E1771="",E1771="!!!"),"",IF(NOT(ISNA(VLOOKUP(E1771,E$1:E1770,1,FALSE()))),"OLD",IF(AND(E1771&lt;&gt;"",E1771&lt;&gt;"!!!"),"NEW","")))</f>
        <v> </v>
      </c>
      <c r="G1771" s="24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5" t="str">
        <f>IF(J1771&lt;&gt;1,"",IF(I1771="SBJ","CB","?"))</f>
        <v> </v>
      </c>
      <c r="I1771" s="26" t="str">
        <f>IF(OR(E1771="",E1771="!!!",F1771="NEW"),"",INDEX(B1770:B$2,-1+SUMPRODUCT(MAX(ROW(E1770:E$2)*(E1771=E1770:E$2)))))</f>
        <v> </v>
      </c>
      <c r="J1771" s="26" t="str">
        <f>IF(OR(E1771="",E1771="!!!",F1771="NEW"),"",COUNTBLANK(OFFSET(A$1,,,SUMPRODUCT(MAX(ROW(E$2:E1771)*(E1771=E$2:E1771)))))-COUNTBLANK(OFFSET(A$1,,,SUMPRODUCT(MAX(ROW(E$1:E1770)*(E2=E$1:E1770))))))</f>
        <v> </v>
      </c>
      <c r="K1771" s="26" t="str">
        <f>IF(OR(E1771="",E1771="!!!",F1771="NEW"),"",INDEX(J$1:J1770,SUMPRODUCT(MAX(ROW(E$1:E1770)*(E1771=E$1:E1770)))))</f>
        <v> </v>
      </c>
      <c r="L1771" s="27"/>
    </row>
    <row r="1772" spans="1:12">
      <c r="A1772" s="20" t="s">
        <v>646</v>
      </c>
      <c r="E1772" s="22">
        <f>IF(D1772="?OLD","!!!","")</f>
        <v/>
      </c>
      <c r="F1772" s="23" t="str">
        <f>IF(OR(E1772="",E1772="!!!"),"",IF(NOT(ISNA(VLOOKUP(E1772,E$1:E1771,1,FALSE()))),"OLD",IF(AND(E1772&lt;&gt;"",E1772&lt;&gt;"!!!"),"NEW","")))</f>
        <v> </v>
      </c>
      <c r="G1772" s="24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5" t="str">
        <f>IF(J1772&lt;&gt;1,"",IF(I1772="SBJ","CB","?"))</f>
        <v> </v>
      </c>
      <c r="I1772" s="26" t="str">
        <f>IF(OR(E1772="",E1772="!!!",F1772="NEW"),"",INDEX(B1771:B$2,-1+SUMPRODUCT(MAX(ROW(E1771:E$2)*(E1772=E1771:E$2)))))</f>
        <v> </v>
      </c>
      <c r="J1772" s="26" t="str">
        <f>IF(OR(E1772="",E1772="!!!",F1772="NEW"),"",COUNTBLANK(OFFSET(A$1,,,SUMPRODUCT(MAX(ROW(E$2:E1772)*(E1772=E$2:E1772)))))-COUNTBLANK(OFFSET(A$1,,,SUMPRODUCT(MAX(ROW(E$1:E1771)*(E2=E$1:E1771))))))</f>
        <v> </v>
      </c>
      <c r="K1772" s="26" t="str">
        <f>IF(OR(E1772="",E1772="!!!",F1772="NEW"),"",INDEX(J$1:J1771,SUMPRODUCT(MAX(ROW(E$1:E1771)*(E1772=E$1:E1771)))))</f>
        <v> </v>
      </c>
      <c r="L1772" s="27"/>
    </row>
    <row r="1773" spans="1:12">
      <c r="A1773" s="20" t="s">
        <v>664</v>
      </c>
      <c r="E1773" s="22">
        <f>IF(D1773="?OLD","!!!","")</f>
        <v/>
      </c>
      <c r="F1773" s="23" t="str">
        <f>IF(OR(E1773="",E1773="!!!"),"",IF(NOT(ISNA(VLOOKUP(E1773,E$1:E1772,1,FALSE()))),"OLD",IF(AND(E1773&lt;&gt;"",E1773&lt;&gt;"!!!"),"NEW","")))</f>
        <v> </v>
      </c>
      <c r="G1773" s="24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5" t="str">
        <f>IF(J1773&lt;&gt;1,"",IF(I1773="SBJ","CB","?"))</f>
        <v> </v>
      </c>
      <c r="I1773" s="26" t="str">
        <f>IF(OR(E1773="",E1773="!!!",F1773="NEW"),"",INDEX(B1772:B$2,-1+SUMPRODUCT(MAX(ROW(E1772:E$2)*(E1773=E1772:E$2)))))</f>
        <v> </v>
      </c>
      <c r="J1773" s="26" t="str">
        <f>IF(OR(E1773="",E1773="!!!",F1773="NEW"),"",COUNTBLANK(OFFSET(A$1,,,SUMPRODUCT(MAX(ROW(E$2:E1773)*(E1773=E$2:E1773)))))-COUNTBLANK(OFFSET(A$1,,,SUMPRODUCT(MAX(ROW(E$1:E1772)*(E2=E$1:E1772))))))</f>
        <v> </v>
      </c>
      <c r="K1773" s="26" t="str">
        <f>IF(OR(E1773="",E1773="!!!",F1773="NEW"),"",INDEX(J$1:J1772,SUMPRODUCT(MAX(ROW(E$1:E1772)*(E1773=E$1:E1772)))))</f>
        <v> </v>
      </c>
      <c r="L1773" s="27"/>
    </row>
    <row r="1774" spans="1:12">
      <c r="A1774" s="20" t="s">
        <v>1517</v>
      </c>
      <c r="E1774" s="22">
        <f>IF(D1774="?OLD","!!!","")</f>
        <v/>
      </c>
      <c r="F1774" s="23" t="str">
        <f>IF(OR(E1774="",E1774="!!!"),"",IF(NOT(ISNA(VLOOKUP(E1774,E$1:E1773,1,FALSE()))),"OLD",IF(AND(E1774&lt;&gt;"",E1774&lt;&gt;"!!!"),"NEW","")))</f>
        <v> </v>
      </c>
      <c r="G1774" s="24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5" t="str">
        <f>IF(J1774&lt;&gt;1,"",IF(I1774="SBJ","CB","?"))</f>
        <v> </v>
      </c>
      <c r="I1774" s="26" t="str">
        <f>IF(OR(E1774="",E1774="!!!",F1774="NEW"),"",INDEX(B1773:B$2,-1+SUMPRODUCT(MAX(ROW(E1773:E$2)*(E1774=E1773:E$2)))))</f>
        <v> </v>
      </c>
      <c r="J1774" s="26" t="str">
        <f>IF(OR(E1774="",E1774="!!!",F1774="NEW"),"",COUNTBLANK(OFFSET(A$1,,,SUMPRODUCT(MAX(ROW(E$2:E1774)*(E1774=E$2:E1774)))))-COUNTBLANK(OFFSET(A$1,,,SUMPRODUCT(MAX(ROW(E$1:E1773)*(E2=E$1:E1773))))))</f>
        <v> </v>
      </c>
      <c r="K1774" s="26" t="str">
        <f>IF(OR(E1774="",E1774="!!!",F1774="NEW"),"",INDEX(J$1:J1773,SUMPRODUCT(MAX(ROW(E$1:E1773)*(E1774=E$1:E1773)))))</f>
        <v> </v>
      </c>
      <c r="L1774" s="27"/>
    </row>
    <row r="1775" spans="1:12">
      <c r="A1775" s="20" t="s">
        <v>611</v>
      </c>
      <c r="E1775" s="22">
        <f>IF(D1775="?OLD","!!!","")</f>
        <v/>
      </c>
      <c r="F1775" s="23" t="str">
        <f>IF(OR(E1775="",E1775="!!!"),"",IF(NOT(ISNA(VLOOKUP(E1775,E$1:E1774,1,FALSE()))),"OLD",IF(AND(E1775&lt;&gt;"",E1775&lt;&gt;"!!!"),"NEW","")))</f>
        <v> </v>
      </c>
      <c r="G1775" s="24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5" t="str">
        <f>IF(J1775&lt;&gt;1,"",IF(I1775="SBJ","CB","?"))</f>
        <v> </v>
      </c>
      <c r="I1775" s="26" t="str">
        <f>IF(OR(E1775="",E1775="!!!",F1775="NEW"),"",INDEX(B1774:B$2,-1+SUMPRODUCT(MAX(ROW(E1774:E$2)*(E1775=E1774:E$2)))))</f>
        <v> </v>
      </c>
      <c r="J1775" s="26" t="str">
        <f>IF(OR(E1775="",E1775="!!!",F1775="NEW"),"",COUNTBLANK(OFFSET(A$1,,,SUMPRODUCT(MAX(ROW(E$2:E1775)*(E1775=E$2:E1775)))))-COUNTBLANK(OFFSET(A$1,,,SUMPRODUCT(MAX(ROW(E$1:E1774)*(E2=E$1:E1774))))))</f>
        <v> </v>
      </c>
      <c r="K1775" s="26" t="str">
        <f>IF(OR(E1775="",E1775="!!!",F1775="NEW"),"",INDEX(J$1:J1774,SUMPRODUCT(MAX(ROW(E$1:E1774)*(E1775=E$1:E1774)))))</f>
        <v> </v>
      </c>
      <c r="L1775" s="27"/>
    </row>
    <row r="1776" spans="1:12">
      <c r="A1776" s="20" t="s">
        <v>863</v>
      </c>
      <c r="E1776" s="22">
        <f>IF(D1776="?OLD","!!!","")</f>
        <v/>
      </c>
      <c r="F1776" s="23" t="str">
        <f>IF(OR(E1776="",E1776="!!!"),"",IF(NOT(ISNA(VLOOKUP(E1776,E$1:E1775,1,FALSE()))),"OLD",IF(AND(E1776&lt;&gt;"",E1776&lt;&gt;"!!!"),"NEW","")))</f>
        <v> </v>
      </c>
      <c r="G1776" s="24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5" t="str">
        <f>IF(J1776&lt;&gt;1,"",IF(I1776="SBJ","CB","?"))</f>
        <v> </v>
      </c>
      <c r="I1776" s="26" t="str">
        <f>IF(OR(E1776="",E1776="!!!",F1776="NEW"),"",INDEX(B1775:B$2,-1+SUMPRODUCT(MAX(ROW(E1775:E$2)*(E1776=E1775:E$2)))))</f>
        <v> </v>
      </c>
      <c r="J1776" s="26" t="str">
        <f>IF(OR(E1776="",E1776="!!!",F1776="NEW"),"",COUNTBLANK(OFFSET(A$1,,,SUMPRODUCT(MAX(ROW(E$2:E1776)*(E1776=E$2:E1776)))))-COUNTBLANK(OFFSET(A$1,,,SUMPRODUCT(MAX(ROW(E$1:E1775)*(E2=E$1:E1775))))))</f>
        <v> </v>
      </c>
      <c r="K1776" s="26" t="str">
        <f>IF(OR(E1776="",E1776="!!!",F1776="NEW"),"",INDEX(J$1:J1775,SUMPRODUCT(MAX(ROW(E$1:E1775)*(E1776=E$1:E1775)))))</f>
        <v> </v>
      </c>
      <c r="L1776" s="27"/>
    </row>
    <row r="1777" spans="1:12">
      <c r="A1777" s="20" t="s">
        <v>1518</v>
      </c>
      <c r="E1777" s="22">
        <f>IF(D1777="?OLD","!!!","")</f>
        <v/>
      </c>
      <c r="F1777" s="23" t="str">
        <f>IF(OR(E1777="",E1777="!!!"),"",IF(NOT(ISNA(VLOOKUP(E1777,E$1:E1776,1,FALSE()))),"OLD",IF(AND(E1777&lt;&gt;"",E1777&lt;&gt;"!!!"),"NEW","")))</f>
        <v> </v>
      </c>
      <c r="G1777" s="24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5" t="str">
        <f>IF(J1777&lt;&gt;1,"",IF(I1777="SBJ","CB","?"))</f>
        <v> </v>
      </c>
      <c r="I1777" s="26" t="str">
        <f>IF(OR(E1777="",E1777="!!!",F1777="NEW"),"",INDEX(B1776:B$2,-1+SUMPRODUCT(MAX(ROW(E1776:E$2)*(E1777=E1776:E$2)))))</f>
        <v> </v>
      </c>
      <c r="J1777" s="26" t="str">
        <f>IF(OR(E1777="",E1777="!!!",F1777="NEW"),"",COUNTBLANK(OFFSET(A$1,,,SUMPRODUCT(MAX(ROW(E$2:E1777)*(E1777=E$2:E1777)))))-COUNTBLANK(OFFSET(A$1,,,SUMPRODUCT(MAX(ROW(E$1:E1776)*(E2=E$1:E1776))))))</f>
        <v> </v>
      </c>
      <c r="K1777" s="26" t="str">
        <f>IF(OR(E1777="",E1777="!!!",F1777="NEW"),"",INDEX(J$1:J1776,SUMPRODUCT(MAX(ROW(E$1:E1776)*(E1777=E$1:E1776)))))</f>
        <v> </v>
      </c>
      <c r="L1777" s="27"/>
    </row>
    <row r="1778" spans="1:12">
      <c r="A1778" s="20" t="s">
        <v>1519</v>
      </c>
      <c r="E1778" s="22">
        <f>IF(D1778="?OLD","!!!","")</f>
        <v/>
      </c>
      <c r="F1778" s="23" t="str">
        <f>IF(OR(E1778="",E1778="!!!"),"",IF(NOT(ISNA(VLOOKUP(E1778,E$1:E1777,1,FALSE()))),"OLD",IF(AND(E1778&lt;&gt;"",E1778&lt;&gt;"!!!"),"NEW","")))</f>
        <v> </v>
      </c>
      <c r="G1778" s="24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5" t="str">
        <f>IF(J1778&lt;&gt;1,"",IF(I1778="SBJ","CB","?"))</f>
        <v> </v>
      </c>
      <c r="I1778" s="26" t="str">
        <f>IF(OR(E1778="",E1778="!!!",F1778="NEW"),"",INDEX(B1777:B$2,-1+SUMPRODUCT(MAX(ROW(E1777:E$2)*(E1778=E1777:E$2)))))</f>
        <v> </v>
      </c>
      <c r="J1778" s="26" t="str">
        <f>IF(OR(E1778="",E1778="!!!",F1778="NEW"),"",COUNTBLANK(OFFSET(A$1,,,SUMPRODUCT(MAX(ROW(E$2:E1778)*(E1778=E$2:E1778)))))-COUNTBLANK(OFFSET(A$1,,,SUMPRODUCT(MAX(ROW(E$1:E1777)*(E2=E$1:E1777))))))</f>
        <v> </v>
      </c>
      <c r="K1778" s="26" t="str">
        <f>IF(OR(E1778="",E1778="!!!",F1778="NEW"),"",INDEX(J$1:J1777,SUMPRODUCT(MAX(ROW(E$1:E1777)*(E1778=E$1:E1777)))))</f>
        <v> </v>
      </c>
      <c r="L1778" s="27"/>
    </row>
    <row r="1779" spans="1:12">
      <c r="A1779" s="20" t="s">
        <v>1120</v>
      </c>
      <c r="B1779" s="21" t="s">
        <v>793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1520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633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/>
    </row>
    <row r="1783" spans="1:12">
      <c r="A1783" s="20" t="s">
        <v>1521</v>
      </c>
    </row>
    <row r="1784" spans="1:12">
      <c r="A1784" s="20" t="s">
        <v>1522</v>
      </c>
      <c r="E1784" s="22">
        <f>IF(D1784="?OLD","!!!","")</f>
        <v/>
      </c>
      <c r="F1784" s="23" t="str">
        <f>IF(OR(E1784="",E1784="!!!"),"",IF(NOT(ISNA(VLOOKUP(E1784,E$1:E1783,1,FALSE()))),"OLD",IF(AND(E1784&lt;&gt;"",E1784&lt;&gt;"!!!"),"NEW","")))</f>
        <v> </v>
      </c>
      <c r="G1784" s="24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5" t="str">
        <f>IF(J1784&lt;&gt;1,"",IF(I1784="SBJ","CB","?"))</f>
        <v> </v>
      </c>
      <c r="I1784" s="26" t="str">
        <f>IF(OR(E1784="",E1784="!!!",F1784="NEW"),"",INDEX(B1783:B$2,-1+SUMPRODUCT(MAX(ROW(E1783:E$2)*(E1784=E1783:E$2)))))</f>
        <v> </v>
      </c>
      <c r="J1784" s="26" t="str">
        <f>IF(OR(E1784="",E1784="!!!",F1784="NEW"),"",COUNTBLANK(OFFSET(A$1,,,SUMPRODUCT(MAX(ROW(E$2:E1784)*(E1784=E$2:E1784)))))-COUNTBLANK(OFFSET(A$1,,,SUMPRODUCT(MAX(ROW(E$1:E1783)*(E2=E$1:E1783))))))</f>
        <v> </v>
      </c>
      <c r="K1784" s="26" t="str">
        <f>IF(OR(E1784="",E1784="!!!",F1784="NEW"),"",INDEX(J$1:J1783,SUMPRODUCT(MAX(ROW(E$1:E1783)*(E1784=E$1:E1783)))))</f>
        <v> </v>
      </c>
      <c r="L1784" s="27"/>
    </row>
    <row r="1785" spans="1:12">
      <c r="A1785" s="20" t="s">
        <v>677</v>
      </c>
      <c r="E1785" s="22">
        <f>IF(D1785="?OLD","!!!","")</f>
        <v/>
      </c>
      <c r="F1785" s="23" t="str">
        <f>IF(OR(E1785="",E1785="!!!"),"",IF(NOT(ISNA(VLOOKUP(E1785,E$1:E1784,1,FALSE()))),"OLD",IF(AND(E1785&lt;&gt;"",E1785&lt;&gt;"!!!"),"NEW","")))</f>
        <v> </v>
      </c>
      <c r="G1785" s="24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5" t="str">
        <f>IF(J1785&lt;&gt;1,"",IF(I1785="SBJ","CB","?"))</f>
        <v> </v>
      </c>
      <c r="I1785" s="26" t="str">
        <f>IF(OR(E1785="",E1785="!!!",F1785="NEW"),"",INDEX(B1784:B$2,-1+SUMPRODUCT(MAX(ROW(E1784:E$2)*(E1785=E1784:E$2)))))</f>
        <v> </v>
      </c>
      <c r="J1785" s="26" t="str">
        <f>IF(OR(E1785="",E1785="!!!",F1785="NEW"),"",COUNTBLANK(OFFSET(A$1,,,SUMPRODUCT(MAX(ROW(E$2:E1785)*(E1785=E$2:E1785)))))-COUNTBLANK(OFFSET(A$1,,,SUMPRODUCT(MAX(ROW(E$1:E1784)*(E2=E$1:E1784))))))</f>
        <v> </v>
      </c>
      <c r="K1785" s="26" t="str">
        <f>IF(OR(E1785="",E1785="!!!",F1785="NEW"),"",INDEX(J$1:J1784,SUMPRODUCT(MAX(ROW(E$1:E1784)*(E1785=E$1:E1784)))))</f>
        <v> </v>
      </c>
      <c r="L1785" s="27"/>
    </row>
    <row r="1786" spans="1:12">
      <c r="A1786" s="20" t="s">
        <v>1523</v>
      </c>
      <c r="B1786" s="21" t="s">
        <v>601</v>
      </c>
      <c r="E1786" s="22">
        <f>IF(D1786="?OLD","!!!","")</f>
        <v/>
      </c>
      <c r="F1786" s="23" t="str">
        <f>IF(OR(E1786="",E1786="!!!"),"",IF(NOT(ISNA(VLOOKUP(E1786,E$1:E1785,1,FALSE()))),"OLD",IF(AND(E1786&lt;&gt;"",E1786&lt;&gt;"!!!"),"NEW","")))</f>
        <v> </v>
      </c>
      <c r="G1786" s="24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5" t="str">
        <f>IF(J1786&lt;&gt;1,"",IF(I1786="SBJ","CB","?"))</f>
        <v> </v>
      </c>
      <c r="I1786" s="26" t="str">
        <f>IF(OR(E1786="",E1786="!!!",F1786="NEW"),"",INDEX(B1785:B$2,-1+SUMPRODUCT(MAX(ROW(E1785:E$2)*(E1786=E1785:E$2)))))</f>
        <v> </v>
      </c>
      <c r="J1786" s="26" t="str">
        <f>IF(OR(E1786="",E1786="!!!",F1786="NEW"),"",COUNTBLANK(OFFSET(A$1,,,SUMPRODUCT(MAX(ROW(E$2:E1786)*(E1786=E$2:E1786)))))-COUNTBLANK(OFFSET(A$1,,,SUMPRODUCT(MAX(ROW(E$1:E1785)*(E2=E$1:E1785))))))</f>
        <v> </v>
      </c>
      <c r="K1786" s="26" t="str">
        <f>IF(OR(E1786="",E1786="!!!",F1786="NEW"),"",INDEX(J$1:J1785,SUMPRODUCT(MAX(ROW(E$1:E1785)*(E1786=E$1:E1785)))))</f>
        <v> </v>
      </c>
      <c r="L1786" s="27"/>
    </row>
    <row r="1787" spans="1:12">
      <c r="A1787" s="20" t="s">
        <v>1524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 t="s">
        <v>633</v>
      </c>
      <c r="E1788" s="22">
        <f>IF(D1788="?OLD","!!!","")</f>
        <v/>
      </c>
      <c r="F1788" s="23" t="str">
        <f>IF(OR(E1788="",E1788="!!!"),"",IF(NOT(ISNA(VLOOKUP(E1788,E$1:E1787,1,FALSE()))),"OLD",IF(AND(E1788&lt;&gt;"",E1788&lt;&gt;"!!!"),"NEW","")))</f>
        <v> </v>
      </c>
      <c r="G1788" s="24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5" t="str">
        <f>IF(J1788&lt;&gt;1,"",IF(I1788="SBJ","CB","?"))</f>
        <v> </v>
      </c>
      <c r="I1788" s="26" t="str">
        <f>IF(OR(E1788="",E1788="!!!",F1788="NEW"),"",INDEX(B1787:B$2,-1+SUMPRODUCT(MAX(ROW(E1787:E$2)*(E1788=E1787:E$2)))))</f>
        <v> </v>
      </c>
      <c r="J1788" s="26" t="str">
        <f>IF(OR(E1788="",E1788="!!!",F1788="NEW"),"",COUNTBLANK(OFFSET(A$1,,,SUMPRODUCT(MAX(ROW(E$2:E1788)*(E1788=E$2:E1788)))))-COUNTBLANK(OFFSET(A$1,,,SUMPRODUCT(MAX(ROW(E$1:E1787)*(E2=E$1:E1787))))))</f>
        <v> </v>
      </c>
      <c r="K1788" s="26" t="str">
        <f>IF(OR(E1788="",E1788="!!!",F1788="NEW"),"",INDEX(J$1:J1787,SUMPRODUCT(MAX(ROW(E$1:E1787)*(E1788=E$1:E1787)))))</f>
        <v> </v>
      </c>
      <c r="L1788" s="27"/>
    </row>
    <row r="1789" spans="1:12">
      <c r="A1789" s="20"/>
    </row>
    <row r="1790" spans="1:12">
      <c r="A1790" s="20" t="s">
        <v>1525</v>
      </c>
    </row>
    <row r="1791" spans="1:12">
      <c r="A1791" s="20" t="s">
        <v>1526</v>
      </c>
      <c r="E1791" s="22">
        <f>IF(D1791="?OLD","!!!","")</f>
        <v/>
      </c>
      <c r="F1791" s="23" t="str">
        <f>IF(OR(E1791="",E1791="!!!"),"",IF(NOT(ISNA(VLOOKUP(E1791,E$1:E1790,1,FALSE()))),"OLD",IF(AND(E1791&lt;&gt;"",E1791&lt;&gt;"!!!"),"NEW","")))</f>
        <v> </v>
      </c>
      <c r="G1791" s="24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5" t="str">
        <f>IF(J1791&lt;&gt;1,"",IF(I1791="SBJ","CB","?"))</f>
        <v> </v>
      </c>
      <c r="I1791" s="26" t="str">
        <f>IF(OR(E1791="",E1791="!!!",F1791="NEW"),"",INDEX(B1790:B$2,-1+SUMPRODUCT(MAX(ROW(E1790:E$2)*(E1791=E1790:E$2)))))</f>
        <v> </v>
      </c>
      <c r="J1791" s="26" t="str">
        <f>IF(OR(E1791="",E1791="!!!",F1791="NEW"),"",COUNTBLANK(OFFSET(A$1,,,SUMPRODUCT(MAX(ROW(E$2:E1791)*(E1791=E$2:E1791)))))-COUNTBLANK(OFFSET(A$1,,,SUMPRODUCT(MAX(ROW(E$1:E1790)*(E2=E$1:E1790))))))</f>
        <v> </v>
      </c>
      <c r="K1791" s="26" t="str">
        <f>IF(OR(E1791="",E1791="!!!",F1791="NEW"),"",INDEX(J$1:J1790,SUMPRODUCT(MAX(ROW(E$1:E1790)*(E1791=E$1:E1790)))))</f>
        <v> </v>
      </c>
      <c r="L1791" s="27"/>
    </row>
    <row r="1792" spans="1:12">
      <c r="A1792" s="20" t="s">
        <v>1527</v>
      </c>
      <c r="B1792" s="21" t="s">
        <v>640</v>
      </c>
      <c r="C1792" s="21" t="s">
        <v>631</v>
      </c>
      <c r="D1792" s="21" t="s">
        <v>603</v>
      </c>
      <c r="E1792" s="22">
        <f>IF(D1792="?OLD","!!!","")</f>
        <v/>
      </c>
      <c r="F1792" s="23" t="str">
        <f>IF(OR(E1792="",E1792="!!!"),"",IF(NOT(ISNA(VLOOKUP(E1792,E$1:E1791,1,FALSE()))),"OLD",IF(AND(E1792&lt;&gt;"",E1792&lt;&gt;"!!!"),"NEW","")))</f>
        <v> </v>
      </c>
      <c r="G1792" s="24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5" t="str">
        <f>IF(J1792&lt;&gt;1,"",IF(I1792="SBJ","CB","?"))</f>
        <v> </v>
      </c>
      <c r="I1792" s="26" t="str">
        <f>IF(OR(E1792="",E1792="!!!",F1792="NEW"),"",INDEX(B1791:B$2,-1+SUMPRODUCT(MAX(ROW(E1791:E$2)*(E1792=E1791:E$2)))))</f>
        <v> </v>
      </c>
      <c r="J1792" s="26" t="str">
        <f>IF(OR(E1792="",E1792="!!!",F1792="NEW"),"",COUNTBLANK(OFFSET(A$1,,,SUMPRODUCT(MAX(ROW(E$2:E1792)*(E1792=E$2:E1792)))))-COUNTBLANK(OFFSET(A$1,,,SUMPRODUCT(MAX(ROW(E$1:E1791)*(E2=E$1:E1791))))))</f>
        <v> </v>
      </c>
      <c r="K1792" s="26" t="str">
        <f>IF(OR(E1792="",E1792="!!!",F1792="NEW"),"",INDEX(J$1:J1791,SUMPRODUCT(MAX(ROW(E$1:E1791)*(E1792=E$1:E1791)))))</f>
        <v> </v>
      </c>
      <c r="L1792" s="27"/>
    </row>
    <row r="1793" spans="1:12">
      <c r="A1793" s="20" t="s">
        <v>646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1528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1529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907</v>
      </c>
      <c r="B1796" s="21" t="s">
        <v>601</v>
      </c>
      <c r="C1796" s="21" t="s">
        <v>602</v>
      </c>
      <c r="D1796" s="21" t="s">
        <v>603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 t="s">
        <v>1530</v>
      </c>
      <c r="E1797" s="22">
        <f>IF(D1797="?OLD","!!!","")</f>
        <v/>
      </c>
      <c r="F1797" s="23" t="str">
        <f>IF(OR(E1797="",E1797="!!!"),"",IF(NOT(ISNA(VLOOKUP(E1797,E$1:E1796,1,FALSE()))),"OLD",IF(AND(E1797&lt;&gt;"",E1797&lt;&gt;"!!!"),"NEW","")))</f>
        <v> </v>
      </c>
      <c r="G1797" s="24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5" t="str">
        <f>IF(J1797&lt;&gt;1,"",IF(I1797="SBJ","CB","?"))</f>
        <v> </v>
      </c>
      <c r="I1797" s="26" t="str">
        <f>IF(OR(E1797="",E1797="!!!",F1797="NEW"),"",INDEX(B1796:B$2,-1+SUMPRODUCT(MAX(ROW(E1796:E$2)*(E1797=E1796:E$2)))))</f>
        <v> </v>
      </c>
      <c r="J1797" s="26" t="str">
        <f>IF(OR(E1797="",E1797="!!!",F1797="NEW"),"",COUNTBLANK(OFFSET(A$1,,,SUMPRODUCT(MAX(ROW(E$2:E1797)*(E1797=E$2:E1797)))))-COUNTBLANK(OFFSET(A$1,,,SUMPRODUCT(MAX(ROW(E$1:E1796)*(E2=E$1:E1796))))))</f>
        <v> </v>
      </c>
      <c r="K1797" s="26" t="str">
        <f>IF(OR(E1797="",E1797="!!!",F1797="NEW"),"",INDEX(J$1:J1796,SUMPRODUCT(MAX(ROW(E$1:E1796)*(E1797=E$1:E1796)))))</f>
        <v> </v>
      </c>
      <c r="L1797" s="27"/>
    </row>
    <row r="1798" spans="1:12">
      <c r="A1798" s="20" t="s">
        <v>611</v>
      </c>
      <c r="E1798" s="22">
        <f>IF(D1798="?OLD","!!!","")</f>
        <v/>
      </c>
      <c r="F1798" s="23" t="str">
        <f>IF(OR(E1798="",E1798="!!!"),"",IF(NOT(ISNA(VLOOKUP(E1798,E$1:E1797,1,FALSE()))),"OLD",IF(AND(E1798&lt;&gt;"",E1798&lt;&gt;"!!!"),"NEW","")))</f>
        <v> </v>
      </c>
      <c r="G1798" s="24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5" t="str">
        <f>IF(J1798&lt;&gt;1,"",IF(I1798="SBJ","CB","?"))</f>
        <v> </v>
      </c>
      <c r="I1798" s="26" t="str">
        <f>IF(OR(E1798="",E1798="!!!",F1798="NEW"),"",INDEX(B1797:B$2,-1+SUMPRODUCT(MAX(ROW(E1797:E$2)*(E1798=E1797:E$2)))))</f>
        <v> </v>
      </c>
      <c r="J1798" s="26" t="str">
        <f>IF(OR(E1798="",E1798="!!!",F1798="NEW"),"",COUNTBLANK(OFFSET(A$1,,,SUMPRODUCT(MAX(ROW(E$2:E1798)*(E1798=E$2:E1798)))))-COUNTBLANK(OFFSET(A$1,,,SUMPRODUCT(MAX(ROW(E$1:E1797)*(E2=E$1:E1797))))))</f>
        <v> </v>
      </c>
      <c r="K1798" s="26" t="str">
        <f>IF(OR(E1798="",E1798="!!!",F1798="NEW"),"",INDEX(J$1:J1797,SUMPRODUCT(MAX(ROW(E$1:E1797)*(E1798=E$1:E1797)))))</f>
        <v> </v>
      </c>
      <c r="L1798" s="27"/>
    </row>
    <row r="1799" spans="1:12">
      <c r="A1799" s="20" t="s">
        <v>658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1196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313</v>
      </c>
      <c r="B1801" s="21" t="s">
        <v>636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 t="s">
        <v>301</v>
      </c>
      <c r="E1802" s="22">
        <f>IF(D1802="?OLD","!!!","")</f>
        <v/>
      </c>
      <c r="F1802" s="23" t="str">
        <f>IF(OR(E1802="",E1802="!!!"),"",IF(NOT(ISNA(VLOOKUP(E1802,E$1:E1801,1,FALSE()))),"OLD",IF(AND(E1802&lt;&gt;"",E1802&lt;&gt;"!!!"),"NEW","")))</f>
        <v> </v>
      </c>
      <c r="G1802" s="24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5" t="str">
        <f>IF(J1802&lt;&gt;1,"",IF(I1802="SBJ","CB","?"))</f>
        <v> </v>
      </c>
      <c r="I1802" s="26" t="str">
        <f>IF(OR(E1802="",E1802="!!!",F1802="NEW"),"",INDEX(B1801:B$2,-1+SUMPRODUCT(MAX(ROW(E1801:E$2)*(E1802=E1801:E$2)))))</f>
        <v> </v>
      </c>
      <c r="J1802" s="26" t="str">
        <f>IF(OR(E1802="",E1802="!!!",F1802="NEW"),"",COUNTBLANK(OFFSET(A$1,,,SUMPRODUCT(MAX(ROW(E$2:E1802)*(E1802=E$2:E1802)))))-COUNTBLANK(OFFSET(A$1,,,SUMPRODUCT(MAX(ROW(E$1:E1801)*(E2=E$1:E1801))))))</f>
        <v> </v>
      </c>
      <c r="K1802" s="26" t="str">
        <f>IF(OR(E1802="",E1802="!!!",F1802="NEW"),"",INDEX(J$1:J1801,SUMPRODUCT(MAX(ROW(E$1:E1801)*(E1802=E$1:E1801)))))</f>
        <v> </v>
      </c>
      <c r="L1802" s="27"/>
    </row>
    <row r="1803" spans="1:12">
      <c r="A1803" s="20" t="s">
        <v>646</v>
      </c>
      <c r="E1803" s="22">
        <f>IF(D1803="?OLD","!!!","")</f>
        <v/>
      </c>
      <c r="F1803" s="23" t="str">
        <f>IF(OR(E1803="",E1803="!!!"),"",IF(NOT(ISNA(VLOOKUP(E1803,E$1:E1802,1,FALSE()))),"OLD",IF(AND(E1803&lt;&gt;"",E1803&lt;&gt;"!!!"),"NEW","")))</f>
        <v> </v>
      </c>
      <c r="G1803" s="24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5" t="str">
        <f>IF(J1803&lt;&gt;1,"",IF(I1803="SBJ","CB","?"))</f>
        <v> </v>
      </c>
      <c r="I1803" s="26" t="str">
        <f>IF(OR(E1803="",E1803="!!!",F1803="NEW"),"",INDEX(B1802:B$2,-1+SUMPRODUCT(MAX(ROW(E1802:E$2)*(E1803=E1802:E$2)))))</f>
        <v> </v>
      </c>
      <c r="J1803" s="26" t="str">
        <f>IF(OR(E1803="",E1803="!!!",F1803="NEW"),"",COUNTBLANK(OFFSET(A$1,,,SUMPRODUCT(MAX(ROW(E$2:E1803)*(E1803=E$2:E1803)))))-COUNTBLANK(OFFSET(A$1,,,SUMPRODUCT(MAX(ROW(E$1:E1802)*(E2=E$1:E1802))))))</f>
        <v> </v>
      </c>
      <c r="K1803" s="26" t="str">
        <f>IF(OR(E1803="",E1803="!!!",F1803="NEW"),"",INDEX(J$1:J1802,SUMPRODUCT(MAX(ROW(E$1:E1802)*(E1803=E$1:E1802)))))</f>
        <v> </v>
      </c>
      <c r="L1803" s="27"/>
    </row>
    <row r="1804" spans="1:12">
      <c r="A1804" s="20" t="s">
        <v>1531</v>
      </c>
      <c r="E1804" s="22">
        <f>IF(D1804="?OLD","!!!","")</f>
        <v/>
      </c>
      <c r="F1804" s="23" t="str">
        <f>IF(OR(E1804="",E1804="!!!"),"",IF(NOT(ISNA(VLOOKUP(E1804,E$1:E1803,1,FALSE()))),"OLD",IF(AND(E1804&lt;&gt;"",E1804&lt;&gt;"!!!"),"NEW","")))</f>
        <v> </v>
      </c>
      <c r="G1804" s="24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5" t="str">
        <f>IF(J1804&lt;&gt;1,"",IF(I1804="SBJ","CB","?"))</f>
        <v> </v>
      </c>
      <c r="I1804" s="26" t="str">
        <f>IF(OR(E1804="",E1804="!!!",F1804="NEW"),"",INDEX(B1803:B$2,-1+SUMPRODUCT(MAX(ROW(E1803:E$2)*(E1804=E1803:E$2)))))</f>
        <v> </v>
      </c>
      <c r="J1804" s="26" t="str">
        <f>IF(OR(E1804="",E1804="!!!",F1804="NEW"),"",COUNTBLANK(OFFSET(A$1,,,SUMPRODUCT(MAX(ROW(E$2:E1804)*(E1804=E$2:E1804)))))-COUNTBLANK(OFFSET(A$1,,,SUMPRODUCT(MAX(ROW(E$1:E1803)*(E2=E$1:E1803))))))</f>
        <v> </v>
      </c>
      <c r="K1804" s="26" t="str">
        <f>IF(OR(E1804="",E1804="!!!",F1804="NEW"),"",INDEX(J$1:J1803,SUMPRODUCT(MAX(ROW(E$1:E1803)*(E1804=E$1:E1803)))))</f>
        <v> </v>
      </c>
      <c r="L1804" s="27"/>
    </row>
    <row r="1805" spans="1:12">
      <c r="A1805" s="20" t="s">
        <v>1532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1533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1534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1535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1536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 t="s">
        <v>305</v>
      </c>
      <c r="E1810" s="22">
        <f>IF(D1810="?OLD","!!!","")</f>
        <v/>
      </c>
      <c r="F1810" s="23" t="str">
        <f>IF(OR(E1810="",E1810="!!!"),"",IF(NOT(ISNA(VLOOKUP(E1810,E$1:E1809,1,FALSE()))),"OLD",IF(AND(E1810&lt;&gt;"",E1810&lt;&gt;"!!!"),"NEW","")))</f>
        <v> </v>
      </c>
      <c r="G1810" s="24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5" t="str">
        <f>IF(J1810&lt;&gt;1,"",IF(I1810="SBJ","CB","?"))</f>
        <v> </v>
      </c>
      <c r="I1810" s="26" t="str">
        <f>IF(OR(E1810="",E1810="!!!",F1810="NEW"),"",INDEX(B1809:B$2,-1+SUMPRODUCT(MAX(ROW(E1809:E$2)*(E1810=E1809:E$2)))))</f>
        <v> </v>
      </c>
      <c r="J1810" s="26" t="str">
        <f>IF(OR(E1810="",E1810="!!!",F1810="NEW"),"",COUNTBLANK(OFFSET(A$1,,,SUMPRODUCT(MAX(ROW(E$2:E1810)*(E1810=E$2:E1810)))))-COUNTBLANK(OFFSET(A$1,,,SUMPRODUCT(MAX(ROW(E$1:E1809)*(E2=E$1:E1809))))))</f>
        <v> </v>
      </c>
      <c r="K1810" s="26" t="str">
        <f>IF(OR(E1810="",E1810="!!!",F1810="NEW"),"",INDEX(J$1:J1809,SUMPRODUCT(MAX(ROW(E$1:E1809)*(E1810=E$1:E1809)))))</f>
        <v> </v>
      </c>
      <c r="L1810" s="27"/>
    </row>
    <row r="1811" spans="1:12">
      <c r="A1811" s="20" t="s">
        <v>902</v>
      </c>
      <c r="E1811" s="22">
        <f>IF(D1811="?OLD","!!!","")</f>
        <v/>
      </c>
      <c r="F1811" s="23" t="str">
        <f>IF(OR(E1811="",E1811="!!!"),"",IF(NOT(ISNA(VLOOKUP(E1811,E$1:E1810,1,FALSE()))),"OLD",IF(AND(E1811&lt;&gt;"",E1811&lt;&gt;"!!!"),"NEW","")))</f>
        <v> </v>
      </c>
      <c r="G1811" s="24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5" t="str">
        <f>IF(J1811&lt;&gt;1,"",IF(I1811="SBJ","CB","?"))</f>
        <v> </v>
      </c>
      <c r="I1811" s="26" t="str">
        <f>IF(OR(E1811="",E1811="!!!",F1811="NEW"),"",INDEX(B1810:B$2,-1+SUMPRODUCT(MAX(ROW(E1810:E$2)*(E1811=E1810:E$2)))))</f>
        <v> </v>
      </c>
      <c r="J1811" s="26" t="str">
        <f>IF(OR(E1811="",E1811="!!!",F1811="NEW"),"",COUNTBLANK(OFFSET(A$1,,,SUMPRODUCT(MAX(ROW(E$2:E1811)*(E1811=E$2:E1811)))))-COUNTBLANK(OFFSET(A$1,,,SUMPRODUCT(MAX(ROW(E$1:E1810)*(E2=E$1:E1810))))))</f>
        <v> </v>
      </c>
      <c r="K1811" s="26" t="str">
        <f>IF(OR(E1811="",E1811="!!!",F1811="NEW"),"",INDEX(J$1:J1810,SUMPRODUCT(MAX(ROW(E$1:E1810)*(E1811=E$1:E1810)))))</f>
        <v> </v>
      </c>
      <c r="L1811" s="27"/>
    </row>
    <row r="1812" spans="1:12">
      <c r="A1812" s="20" t="s">
        <v>1537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 t="s">
        <v>633</v>
      </c>
      <c r="E1813" s="22">
        <f>IF(D1813="?OLD","!!!","")</f>
        <v/>
      </c>
      <c r="F1813" s="23" t="str">
        <f>IF(OR(E1813="",E1813="!!!"),"",IF(NOT(ISNA(VLOOKUP(E1813,E$1:E1812,1,FALSE()))),"OLD",IF(AND(E1813&lt;&gt;"",E1813&lt;&gt;"!!!"),"NEW","")))</f>
        <v> </v>
      </c>
      <c r="G1813" s="24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5" t="str">
        <f>IF(J1813&lt;&gt;1,"",IF(I1813="SBJ","CB","?"))</f>
        <v> </v>
      </c>
      <c r="I1813" s="26" t="str">
        <f>IF(OR(E1813="",E1813="!!!",F1813="NEW"),"",INDEX(B1812:B$2,-1+SUMPRODUCT(MAX(ROW(E1812:E$2)*(E1813=E1812:E$2)))))</f>
        <v> </v>
      </c>
      <c r="J1813" s="26" t="str">
        <f>IF(OR(E1813="",E1813="!!!",F1813="NEW"),"",COUNTBLANK(OFFSET(A$1,,,SUMPRODUCT(MAX(ROW(E$2:E1813)*(E1813=E$2:E1813)))))-COUNTBLANK(OFFSET(A$1,,,SUMPRODUCT(MAX(ROW(E$1:E1812)*(E2=E$1:E1812))))))</f>
        <v> </v>
      </c>
      <c r="K1813" s="26" t="str">
        <f>IF(OR(E1813="",E1813="!!!",F1813="NEW"),"",INDEX(J$1:J1812,SUMPRODUCT(MAX(ROW(E$1:E1812)*(E1813=E$1:E1812)))))</f>
        <v> </v>
      </c>
      <c r="L1813" s="27"/>
    </row>
    <row r="1814" spans="1:12">
      <c r="A1814" s="20"/>
    </row>
    <row r="1815" spans="1:12">
      <c r="A1815" s="20" t="s">
        <v>1538</v>
      </c>
    </row>
    <row r="1816" spans="1:12">
      <c r="A1816" s="20" t="s">
        <v>860</v>
      </c>
      <c r="E1816" s="22">
        <f>IF(D1816="?OLD","!!!","")</f>
        <v/>
      </c>
      <c r="F1816" s="23" t="str">
        <f>IF(OR(E1816="",E1816="!!!"),"",IF(NOT(ISNA(VLOOKUP(E1816,E$1:E1815,1,FALSE()))),"OLD",IF(AND(E1816&lt;&gt;"",E1816&lt;&gt;"!!!"),"NEW","")))</f>
        <v> </v>
      </c>
      <c r="G1816" s="24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5" t="str">
        <f>IF(J1816&lt;&gt;1,"",IF(I1816="SBJ","CB","?"))</f>
        <v> </v>
      </c>
      <c r="I1816" s="26" t="str">
        <f>IF(OR(E1816="",E1816="!!!",F1816="NEW"),"",INDEX(B1815:B$2,-1+SUMPRODUCT(MAX(ROW(E1815:E$2)*(E1816=E1815:E$2)))))</f>
        <v> </v>
      </c>
      <c r="J1816" s="26" t="str">
        <f>IF(OR(E1816="",E1816="!!!",F1816="NEW"),"",COUNTBLANK(OFFSET(A$1,,,SUMPRODUCT(MAX(ROW(E$2:E1816)*(E1816=E$2:E1816)))))-COUNTBLANK(OFFSET(A$1,,,SUMPRODUCT(MAX(ROW(E$1:E1815)*(E2=E$1:E1815))))))</f>
        <v> </v>
      </c>
      <c r="K1816" s="26" t="str">
        <f>IF(OR(E1816="",E1816="!!!",F1816="NEW"),"",INDEX(J$1:J1815,SUMPRODUCT(MAX(ROW(E$1:E1815)*(E1816=E$1:E1815)))))</f>
        <v> </v>
      </c>
      <c r="L1816" s="27"/>
    </row>
    <row r="1817" spans="1:12">
      <c r="A1817" s="20" t="s">
        <v>611</v>
      </c>
      <c r="E1817" s="22">
        <f>IF(D1817="?OLD","!!!","")</f>
        <v/>
      </c>
      <c r="F1817" s="23" t="str">
        <f>IF(OR(E1817="",E1817="!!!"),"",IF(NOT(ISNA(VLOOKUP(E1817,E$1:E1816,1,FALSE()))),"OLD",IF(AND(E1817&lt;&gt;"",E1817&lt;&gt;"!!!"),"NEW","")))</f>
        <v> </v>
      </c>
      <c r="G1817" s="24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5" t="str">
        <f>IF(J1817&lt;&gt;1,"",IF(I1817="SBJ","CB","?"))</f>
        <v> </v>
      </c>
      <c r="I1817" s="26" t="str">
        <f>IF(OR(E1817="",E1817="!!!",F1817="NEW"),"",INDEX(B1816:B$2,-1+SUMPRODUCT(MAX(ROW(E1816:E$2)*(E1817=E1816:E$2)))))</f>
        <v> </v>
      </c>
      <c r="J1817" s="26" t="str">
        <f>IF(OR(E1817="",E1817="!!!",F1817="NEW"),"",COUNTBLANK(OFFSET(A$1,,,SUMPRODUCT(MAX(ROW(E$2:E1817)*(E1817=E$2:E1817)))))-COUNTBLANK(OFFSET(A$1,,,SUMPRODUCT(MAX(ROW(E$1:E1816)*(E2=E$1:E1816))))))</f>
        <v> </v>
      </c>
      <c r="K1817" s="26" t="str">
        <f>IF(OR(E1817="",E1817="!!!",F1817="NEW"),"",INDEX(J$1:J1816,SUMPRODUCT(MAX(ROW(E$1:E1816)*(E1817=E$1:E1816)))))</f>
        <v> </v>
      </c>
      <c r="L1817" s="27"/>
    </row>
    <row r="1818" spans="1:12">
      <c r="A1818" s="20" t="s">
        <v>1539</v>
      </c>
      <c r="E1818" s="22">
        <f>IF(D1818="?OLD","!!!","")</f>
        <v/>
      </c>
      <c r="F1818" s="23" t="str">
        <f>IF(OR(E1818="",E1818="!!!"),"",IF(NOT(ISNA(VLOOKUP(E1818,E$1:E1817,1,FALSE()))),"OLD",IF(AND(E1818&lt;&gt;"",E1818&lt;&gt;"!!!"),"NEW","")))</f>
        <v> </v>
      </c>
      <c r="G1818" s="24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5" t="str">
        <f>IF(J1818&lt;&gt;1,"",IF(I1818="SBJ","CB","?"))</f>
        <v> </v>
      </c>
      <c r="I1818" s="26" t="str">
        <f>IF(OR(E1818="",E1818="!!!",F1818="NEW"),"",INDEX(B1817:B$2,-1+SUMPRODUCT(MAX(ROW(E1817:E$2)*(E1818=E1817:E$2)))))</f>
        <v> </v>
      </c>
      <c r="J1818" s="26" t="str">
        <f>IF(OR(E1818="",E1818="!!!",F1818="NEW"),"",COUNTBLANK(OFFSET(A$1,,,SUMPRODUCT(MAX(ROW(E$2:E1818)*(E1818=E$2:E1818)))))-COUNTBLANK(OFFSET(A$1,,,SUMPRODUCT(MAX(ROW(E$1:E1817)*(E2=E$1:E1817))))))</f>
        <v> </v>
      </c>
      <c r="K1818" s="26" t="str">
        <f>IF(OR(E1818="",E1818="!!!",F1818="NEW"),"",INDEX(J$1:J1817,SUMPRODUCT(MAX(ROW(E$1:E1817)*(E1818=E$1:E1817)))))</f>
        <v> </v>
      </c>
      <c r="L1818" s="27"/>
    </row>
    <row r="1819" spans="1:12">
      <c r="A1819" s="20" t="s">
        <v>611</v>
      </c>
      <c r="E1819" s="22">
        <f>IF(D1819="?OLD","!!!","")</f>
        <v/>
      </c>
      <c r="F1819" s="23" t="str">
        <f>IF(OR(E1819="",E1819="!!!"),"",IF(NOT(ISNA(VLOOKUP(E1819,E$1:E1818,1,FALSE()))),"OLD",IF(AND(E1819&lt;&gt;"",E1819&lt;&gt;"!!!"),"NEW","")))</f>
        <v> </v>
      </c>
      <c r="G1819" s="24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5" t="str">
        <f>IF(J1819&lt;&gt;1,"",IF(I1819="SBJ","CB","?"))</f>
        <v> </v>
      </c>
      <c r="I1819" s="26" t="str">
        <f>IF(OR(E1819="",E1819="!!!",F1819="NEW"),"",INDEX(B1818:B$2,-1+SUMPRODUCT(MAX(ROW(E1818:E$2)*(E1819=E1818:E$2)))))</f>
        <v> </v>
      </c>
      <c r="J1819" s="26" t="str">
        <f>IF(OR(E1819="",E1819="!!!",F1819="NEW"),"",COUNTBLANK(OFFSET(A$1,,,SUMPRODUCT(MAX(ROW(E$2:E1819)*(E1819=E$2:E1819)))))-COUNTBLANK(OFFSET(A$1,,,SUMPRODUCT(MAX(ROW(E$1:E1818)*(E2=E$1:E1818))))))</f>
        <v> </v>
      </c>
      <c r="K1819" s="26" t="str">
        <f>IF(OR(E1819="",E1819="!!!",F1819="NEW"),"",INDEX(J$1:J1818,SUMPRODUCT(MAX(ROW(E$1:E1818)*(E1819=E$1:E1818)))))</f>
        <v> </v>
      </c>
      <c r="L1819" s="27"/>
    </row>
    <row r="1820" spans="1:12">
      <c r="A1820" s="20" t="s">
        <v>1540</v>
      </c>
      <c r="B1820" s="21" t="s">
        <v>601</v>
      </c>
      <c r="E1820" s="22">
        <f>IF(D1820="?OLD","!!!","")</f>
        <v/>
      </c>
      <c r="F1820" s="23" t="str">
        <f>IF(OR(E1820="",E1820="!!!"),"",IF(NOT(ISNA(VLOOKUP(E1820,E$1:E1819,1,FALSE()))),"OLD",IF(AND(E1820&lt;&gt;"",E1820&lt;&gt;"!!!"),"NEW","")))</f>
        <v> </v>
      </c>
      <c r="G1820" s="24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5" t="str">
        <f>IF(J1820&lt;&gt;1,"",IF(I1820="SBJ","CB","?"))</f>
        <v> </v>
      </c>
      <c r="I1820" s="26" t="str">
        <f>IF(OR(E1820="",E1820="!!!",F1820="NEW"),"",INDEX(B1819:B$2,-1+SUMPRODUCT(MAX(ROW(E1819:E$2)*(E1820=E1819:E$2)))))</f>
        <v> </v>
      </c>
      <c r="J1820" s="26" t="str">
        <f>IF(OR(E1820="",E1820="!!!",F1820="NEW"),"",COUNTBLANK(OFFSET(A$1,,,SUMPRODUCT(MAX(ROW(E$2:E1820)*(E1820=E$2:E1820)))))-COUNTBLANK(OFFSET(A$1,,,SUMPRODUCT(MAX(ROW(E$1:E1819)*(E2=E$1:E1819))))))</f>
        <v> </v>
      </c>
      <c r="K1820" s="26" t="str">
        <f>IF(OR(E1820="",E1820="!!!",F1820="NEW"),"",INDEX(J$1:J1819,SUMPRODUCT(MAX(ROW(E$1:E1819)*(E1820=E$1:E1819)))))</f>
        <v> </v>
      </c>
      <c r="L1820" s="27"/>
    </row>
    <row r="1821" spans="1:12">
      <c r="A1821" s="20" t="s">
        <v>611</v>
      </c>
      <c r="E1821" s="22">
        <f>IF(D1821="?OLD","!!!","")</f>
        <v/>
      </c>
      <c r="F1821" s="23" t="str">
        <f>IF(OR(E1821="",E1821="!!!"),"",IF(NOT(ISNA(VLOOKUP(E1821,E$1:E1820,1,FALSE()))),"OLD",IF(AND(E1821&lt;&gt;"",E1821&lt;&gt;"!!!"),"NEW","")))</f>
        <v> </v>
      </c>
      <c r="G1821" s="24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5" t="str">
        <f>IF(J1821&lt;&gt;1,"",IF(I1821="SBJ","CB","?"))</f>
        <v> </v>
      </c>
      <c r="I1821" s="26" t="str">
        <f>IF(OR(E1821="",E1821="!!!",F1821="NEW"),"",INDEX(B1820:B$2,-1+SUMPRODUCT(MAX(ROW(E1820:E$2)*(E1821=E1820:E$2)))))</f>
        <v> </v>
      </c>
      <c r="J1821" s="26" t="str">
        <f>IF(OR(E1821="",E1821="!!!",F1821="NEW"),"",COUNTBLANK(OFFSET(A$1,,,SUMPRODUCT(MAX(ROW(E$2:E1821)*(E1821=E$2:E1821)))))-COUNTBLANK(OFFSET(A$1,,,SUMPRODUCT(MAX(ROW(E$1:E1820)*(E2=E$1:E1820))))))</f>
        <v> </v>
      </c>
      <c r="K1821" s="26" t="str">
        <f>IF(OR(E1821="",E1821="!!!",F1821="NEW"),"",INDEX(J$1:J1820,SUMPRODUCT(MAX(ROW(E$1:E1820)*(E1821=E$1:E1820)))))</f>
        <v> </v>
      </c>
      <c r="L1821" s="27"/>
    </row>
    <row r="1822" spans="1:12">
      <c r="A1822" s="20" t="s">
        <v>1541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 t="s">
        <v>677</v>
      </c>
      <c r="E1823" s="22">
        <f>IF(D1823="?OLD","!!!","")</f>
        <v/>
      </c>
      <c r="F1823" s="23" t="str">
        <f>IF(OR(E1823="",E1823="!!!"),"",IF(NOT(ISNA(VLOOKUP(E1823,E$1:E1822,1,FALSE()))),"OLD",IF(AND(E1823&lt;&gt;"",E1823&lt;&gt;"!!!"),"NEW","")))</f>
        <v> </v>
      </c>
      <c r="G1823" s="24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5" t="str">
        <f>IF(J1823&lt;&gt;1,"",IF(I1823="SBJ","CB","?"))</f>
        <v> </v>
      </c>
      <c r="I1823" s="26" t="str">
        <f>IF(OR(E1823="",E1823="!!!",F1823="NEW"),"",INDEX(B1822:B$2,-1+SUMPRODUCT(MAX(ROW(E1822:E$2)*(E1823=E1822:E$2)))))</f>
        <v> </v>
      </c>
      <c r="J1823" s="26" t="str">
        <f>IF(OR(E1823="",E1823="!!!",F1823="NEW"),"",COUNTBLANK(OFFSET(A$1,,,SUMPRODUCT(MAX(ROW(E$2:E1823)*(E1823=E$2:E1823)))))-COUNTBLANK(OFFSET(A$1,,,SUMPRODUCT(MAX(ROW(E$1:E1822)*(E2=E$1:E1822))))))</f>
        <v> </v>
      </c>
      <c r="K1823" s="26" t="str">
        <f>IF(OR(E1823="",E1823="!!!",F1823="NEW"),"",INDEX(J$1:J1822,SUMPRODUCT(MAX(ROW(E$1:E1822)*(E1823=E$1:E1822)))))</f>
        <v> </v>
      </c>
      <c r="L1823" s="27"/>
    </row>
    <row r="1824" spans="1:12">
      <c r="A1824" s="20" t="s">
        <v>1542</v>
      </c>
      <c r="B1824" s="21" t="s">
        <v>640</v>
      </c>
      <c r="C1824" s="21" t="s">
        <v>733</v>
      </c>
      <c r="D1824" s="21" t="s">
        <v>603</v>
      </c>
      <c r="E1824" s="22">
        <f>IF(D1824="?OLD","!!!","")</f>
        <v/>
      </c>
      <c r="F1824" s="23" t="str">
        <f>IF(OR(E1824="",E1824="!!!"),"",IF(NOT(ISNA(VLOOKUP(E1824,E$1:E1823,1,FALSE()))),"OLD",IF(AND(E1824&lt;&gt;"",E1824&lt;&gt;"!!!"),"NEW","")))</f>
        <v> </v>
      </c>
      <c r="G1824" s="24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5" t="str">
        <f>IF(J1824&lt;&gt;1,"",IF(I1824="SBJ","CB","?"))</f>
        <v> </v>
      </c>
      <c r="I1824" s="26" t="str">
        <f>IF(OR(E1824="",E1824="!!!",F1824="NEW"),"",INDEX(B1823:B$2,-1+SUMPRODUCT(MAX(ROW(E1823:E$2)*(E1824=E1823:E$2)))))</f>
        <v> </v>
      </c>
      <c r="J1824" s="26" t="str">
        <f>IF(OR(E1824="",E1824="!!!",F1824="NEW"),"",COUNTBLANK(OFFSET(A$1,,,SUMPRODUCT(MAX(ROW(E$2:E1824)*(E1824=E$2:E1824)))))-COUNTBLANK(OFFSET(A$1,,,SUMPRODUCT(MAX(ROW(E$1:E1823)*(E2=E$1:E1823))))))</f>
        <v> </v>
      </c>
      <c r="K1824" s="26" t="str">
        <f>IF(OR(E1824="",E1824="!!!",F1824="NEW"),"",INDEX(J$1:J1823,SUMPRODUCT(MAX(ROW(E$1:E1823)*(E1824=E$1:E1823)))))</f>
        <v> </v>
      </c>
      <c r="L1824" s="27"/>
    </row>
    <row r="1825" spans="1:12">
      <c r="A1825" s="20" t="s">
        <v>1543</v>
      </c>
      <c r="E1825" s="22">
        <f>IF(D1825="?OLD","!!!","")</f>
        <v/>
      </c>
      <c r="F1825" s="23" t="str">
        <f>IF(OR(E1825="",E1825="!!!"),"",IF(NOT(ISNA(VLOOKUP(E1825,E$1:E1824,1,FALSE()))),"OLD",IF(AND(E1825&lt;&gt;"",E1825&lt;&gt;"!!!"),"NEW","")))</f>
        <v> </v>
      </c>
      <c r="G1825" s="24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5" t="str">
        <f>IF(J1825&lt;&gt;1,"",IF(I1825="SBJ","CB","?"))</f>
        <v> </v>
      </c>
      <c r="I1825" s="26" t="str">
        <f>IF(OR(E1825="",E1825="!!!",F1825="NEW"),"",INDEX(B1824:B$2,-1+SUMPRODUCT(MAX(ROW(E1824:E$2)*(E1825=E1824:E$2)))))</f>
        <v> </v>
      </c>
      <c r="J1825" s="26" t="str">
        <f>IF(OR(E1825="",E1825="!!!",F1825="NEW"),"",COUNTBLANK(OFFSET(A$1,,,SUMPRODUCT(MAX(ROW(E$2:E1825)*(E1825=E$2:E1825)))))-COUNTBLANK(OFFSET(A$1,,,SUMPRODUCT(MAX(ROW(E$1:E1824)*(E2=E$1:E1824))))))</f>
        <v> </v>
      </c>
      <c r="K1825" s="26" t="str">
        <f>IF(OR(E1825="",E1825="!!!",F1825="NEW"),"",INDEX(J$1:J1824,SUMPRODUCT(MAX(ROW(E$1:E1824)*(E1825=E$1:E1824)))))</f>
        <v> </v>
      </c>
      <c r="L1825" s="27"/>
    </row>
    <row r="1826" spans="1:12">
      <c r="A1826" s="20" t="s">
        <v>1544</v>
      </c>
      <c r="E1826" s="22">
        <f>IF(D1826="?OLD","!!!","")</f>
        <v/>
      </c>
      <c r="F1826" s="23" t="str">
        <f>IF(OR(E1826="",E1826="!!!"),"",IF(NOT(ISNA(VLOOKUP(E1826,E$1:E1825,1,FALSE()))),"OLD",IF(AND(E1826&lt;&gt;"",E1826&lt;&gt;"!!!"),"NEW","")))</f>
        <v> </v>
      </c>
      <c r="G1826" s="24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5" t="str">
        <f>IF(J1826&lt;&gt;1,"",IF(I1826="SBJ","CB","?"))</f>
        <v> </v>
      </c>
      <c r="I1826" s="26" t="str">
        <f>IF(OR(E1826="",E1826="!!!",F1826="NEW"),"",INDEX(B1825:B$2,-1+SUMPRODUCT(MAX(ROW(E1825:E$2)*(E1826=E1825:E$2)))))</f>
        <v> </v>
      </c>
      <c r="J1826" s="26" t="str">
        <f>IF(OR(E1826="",E1826="!!!",F1826="NEW"),"",COUNTBLANK(OFFSET(A$1,,,SUMPRODUCT(MAX(ROW(E$2:E1826)*(E1826=E$2:E1826)))))-COUNTBLANK(OFFSET(A$1,,,SUMPRODUCT(MAX(ROW(E$1:E1825)*(E2=E$1:E1825))))))</f>
        <v> </v>
      </c>
      <c r="K1826" s="26" t="str">
        <f>IF(OR(E1826="",E1826="!!!",F1826="NEW"),"",INDEX(J$1:J1825,SUMPRODUCT(MAX(ROW(E$1:E1825)*(E1826=E$1:E1825)))))</f>
        <v> </v>
      </c>
      <c r="L1826" s="27"/>
    </row>
    <row r="1827" spans="1:12">
      <c r="A1827" s="20" t="s">
        <v>1120</v>
      </c>
      <c r="E1827" s="22">
        <f>IF(D1827="?OLD","!!!","")</f>
        <v/>
      </c>
      <c r="F1827" s="23" t="str">
        <f>IF(OR(E1827="",E1827="!!!"),"",IF(NOT(ISNA(VLOOKUP(E1827,E$1:E1826,1,FALSE()))),"OLD",IF(AND(E1827&lt;&gt;"",E1827&lt;&gt;"!!!"),"NEW","")))</f>
        <v> </v>
      </c>
      <c r="G1827" s="24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5" t="str">
        <f>IF(J1827&lt;&gt;1,"",IF(I1827="SBJ","CB","?"))</f>
        <v> </v>
      </c>
      <c r="I1827" s="26" t="str">
        <f>IF(OR(E1827="",E1827="!!!",F1827="NEW"),"",INDEX(B1826:B$2,-1+SUMPRODUCT(MAX(ROW(E1826:E$2)*(E1827=E1826:E$2)))))</f>
        <v> </v>
      </c>
      <c r="J1827" s="26" t="str">
        <f>IF(OR(E1827="",E1827="!!!",F1827="NEW"),"",COUNTBLANK(OFFSET(A$1,,,SUMPRODUCT(MAX(ROW(E$2:E1827)*(E1827=E$2:E1827)))))-COUNTBLANK(OFFSET(A$1,,,SUMPRODUCT(MAX(ROW(E$1:E1826)*(E2=E$1:E1826))))))</f>
        <v> </v>
      </c>
      <c r="K1827" s="26" t="str">
        <f>IF(OR(E1827="",E1827="!!!",F1827="NEW"),"",INDEX(J$1:J1826,SUMPRODUCT(MAX(ROW(E$1:E1826)*(E1827=E$1:E1826)))))</f>
        <v> </v>
      </c>
      <c r="L1827" s="27"/>
    </row>
    <row r="1828" spans="1:12">
      <c r="A1828" s="20" t="s">
        <v>633</v>
      </c>
      <c r="E1828" s="22">
        <f>IF(D1828="?OLD","!!!","")</f>
        <v/>
      </c>
      <c r="F1828" s="23" t="str">
        <f>IF(OR(E1828="",E1828="!!!"),"",IF(NOT(ISNA(VLOOKUP(E1828,E$1:E1827,1,FALSE()))),"OLD",IF(AND(E1828&lt;&gt;"",E1828&lt;&gt;"!!!"),"NEW","")))</f>
        <v> </v>
      </c>
      <c r="G1828" s="24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5" t="str">
        <f>IF(J1828&lt;&gt;1,"",IF(I1828="SBJ","CB","?"))</f>
        <v> </v>
      </c>
      <c r="I1828" s="26" t="str">
        <f>IF(OR(E1828="",E1828="!!!",F1828="NEW"),"",INDEX(B1827:B$2,-1+SUMPRODUCT(MAX(ROW(E1827:E$2)*(E1828=E1827:E$2)))))</f>
        <v> </v>
      </c>
      <c r="J1828" s="26" t="str">
        <f>IF(OR(E1828="",E1828="!!!",F1828="NEW"),"",COUNTBLANK(OFFSET(A$1,,,SUMPRODUCT(MAX(ROW(E$2:E1828)*(E1828=E$2:E1828)))))-COUNTBLANK(OFFSET(A$1,,,SUMPRODUCT(MAX(ROW(E$1:E1827)*(E2=E$1:E1827))))))</f>
        <v> </v>
      </c>
      <c r="K1828" s="26" t="str">
        <f>IF(OR(E1828="",E1828="!!!",F1828="NEW"),"",INDEX(J$1:J1827,SUMPRODUCT(MAX(ROW(E$1:E1827)*(E1828=E$1:E1827)))))</f>
        <v> </v>
      </c>
      <c r="L1828" s="27"/>
    </row>
    <row r="1829" spans="1:12">
      <c r="A1829" s="20"/>
    </row>
    <row r="1830" spans="1:12">
      <c r="A1830" s="20" t="s">
        <v>1545</v>
      </c>
    </row>
    <row r="1831" spans="1:12">
      <c r="A1831" s="20" t="s">
        <v>1006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611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 t="s">
        <v>1492</v>
      </c>
      <c r="E1833" s="22">
        <f>IF(D1833="?OLD","!!!","")</f>
        <v/>
      </c>
      <c r="F1833" s="23" t="str">
        <f>IF(OR(E1833="",E1833="!!!"),"",IF(NOT(ISNA(VLOOKUP(E1833,E$1:E1832,1,FALSE()))),"OLD",IF(AND(E1833&lt;&gt;"",E1833&lt;&gt;"!!!"),"NEW","")))</f>
        <v> </v>
      </c>
      <c r="G1833" s="24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5" t="str">
        <f>IF(J1833&lt;&gt;1,"",IF(I1833="SBJ","CB","?"))</f>
        <v> </v>
      </c>
      <c r="I1833" s="26" t="str">
        <f>IF(OR(E1833="",E1833="!!!",F1833="NEW"),"",INDEX(B1832:B$2,-1+SUMPRODUCT(MAX(ROW(E1832:E$2)*(E1833=E1832:E$2)))))</f>
        <v> </v>
      </c>
      <c r="J1833" s="26" t="str">
        <f>IF(OR(E1833="",E1833="!!!",F1833="NEW"),"",COUNTBLANK(OFFSET(A$1,,,SUMPRODUCT(MAX(ROW(E$2:E1833)*(E1833=E$2:E1833)))))-COUNTBLANK(OFFSET(A$1,,,SUMPRODUCT(MAX(ROW(E$1:E1832)*(E2=E$1:E1832))))))</f>
        <v> </v>
      </c>
      <c r="K1833" s="26" t="str">
        <f>IF(OR(E1833="",E1833="!!!",F1833="NEW"),"",INDEX(J$1:J1832,SUMPRODUCT(MAX(ROW(E$1:E1832)*(E1833=E$1:E1832)))))</f>
        <v> </v>
      </c>
      <c r="L1833" s="27"/>
    </row>
    <row r="1834" spans="1:12">
      <c r="A1834" s="20" t="s">
        <v>611</v>
      </c>
      <c r="E1834" s="22">
        <f>IF(D1834="?OLD","!!!","")</f>
        <v/>
      </c>
      <c r="F1834" s="23" t="str">
        <f>IF(OR(E1834="",E1834="!!!"),"",IF(NOT(ISNA(VLOOKUP(E1834,E$1:E1833,1,FALSE()))),"OLD",IF(AND(E1834&lt;&gt;"",E1834&lt;&gt;"!!!"),"NEW","")))</f>
        <v> </v>
      </c>
      <c r="G1834" s="24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5" t="str">
        <f>IF(J1834&lt;&gt;1,"",IF(I1834="SBJ","CB","?"))</f>
        <v> </v>
      </c>
      <c r="I1834" s="26" t="str">
        <f>IF(OR(E1834="",E1834="!!!",F1834="NEW"),"",INDEX(B1833:B$2,-1+SUMPRODUCT(MAX(ROW(E1833:E$2)*(E1834=E1833:E$2)))))</f>
        <v> </v>
      </c>
      <c r="J1834" s="26" t="str">
        <f>IF(OR(E1834="",E1834="!!!",F1834="NEW"),"",COUNTBLANK(OFFSET(A$1,,,SUMPRODUCT(MAX(ROW(E$2:E1834)*(E1834=E$2:E1834)))))-COUNTBLANK(OFFSET(A$1,,,SUMPRODUCT(MAX(ROW(E$1:E1833)*(E2=E$1:E1833))))))</f>
        <v> </v>
      </c>
      <c r="K1834" s="26" t="str">
        <f>IF(OR(E1834="",E1834="!!!",F1834="NEW"),"",INDEX(J$1:J1833,SUMPRODUCT(MAX(ROW(E$1:E1833)*(E1834=E$1:E1833)))))</f>
        <v> </v>
      </c>
      <c r="L1834" s="27"/>
    </row>
    <row r="1835" spans="1:12">
      <c r="A1835" s="20" t="s">
        <v>1546</v>
      </c>
      <c r="E1835" s="22">
        <f>IF(D1835="?OLD","!!!","")</f>
        <v/>
      </c>
      <c r="F1835" s="23" t="str">
        <f>IF(OR(E1835="",E1835="!!!"),"",IF(NOT(ISNA(VLOOKUP(E1835,E$1:E1834,1,FALSE()))),"OLD",IF(AND(E1835&lt;&gt;"",E1835&lt;&gt;"!!!"),"NEW","")))</f>
        <v> </v>
      </c>
      <c r="G1835" s="24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5" t="str">
        <f>IF(J1835&lt;&gt;1,"",IF(I1835="SBJ","CB","?"))</f>
        <v> </v>
      </c>
      <c r="I1835" s="26" t="str">
        <f>IF(OR(E1835="",E1835="!!!",F1835="NEW"),"",INDEX(B1834:B$2,-1+SUMPRODUCT(MAX(ROW(E1834:E$2)*(E1835=E1834:E$2)))))</f>
        <v> </v>
      </c>
      <c r="J1835" s="26" t="str">
        <f>IF(OR(E1835="",E1835="!!!",F1835="NEW"),"",COUNTBLANK(OFFSET(A$1,,,SUMPRODUCT(MAX(ROW(E$2:E1835)*(E1835=E$2:E1835)))))-COUNTBLANK(OFFSET(A$1,,,SUMPRODUCT(MAX(ROW(E$1:E1834)*(E2=E$1:E1834))))))</f>
        <v> </v>
      </c>
      <c r="K1835" s="26" t="str">
        <f>IF(OR(E1835="",E1835="!!!",F1835="NEW"),"",INDEX(J$1:J1834,SUMPRODUCT(MAX(ROW(E$1:E1834)*(E1835=E$1:E1834)))))</f>
        <v> </v>
      </c>
      <c r="L1835" s="27"/>
    </row>
    <row r="1836" spans="1:12">
      <c r="A1836" s="20" t="s">
        <v>664</v>
      </c>
      <c r="E1836" s="22">
        <f>IF(D1836="?OLD","!!!","")</f>
        <v/>
      </c>
      <c r="F1836" s="23" t="str">
        <f>IF(OR(E1836="",E1836="!!!"),"",IF(NOT(ISNA(VLOOKUP(E1836,E$1:E1835,1,FALSE()))),"OLD",IF(AND(E1836&lt;&gt;"",E1836&lt;&gt;"!!!"),"NEW","")))</f>
        <v> </v>
      </c>
      <c r="G1836" s="24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5" t="str">
        <f>IF(J1836&lt;&gt;1,"",IF(I1836="SBJ","CB","?"))</f>
        <v> </v>
      </c>
      <c r="I1836" s="26" t="str">
        <f>IF(OR(E1836="",E1836="!!!",F1836="NEW"),"",INDEX(B1835:B$2,-1+SUMPRODUCT(MAX(ROW(E1835:E$2)*(E1836=E1835:E$2)))))</f>
        <v> </v>
      </c>
      <c r="J1836" s="26" t="str">
        <f>IF(OR(E1836="",E1836="!!!",F1836="NEW"),"",COUNTBLANK(OFFSET(A$1,,,SUMPRODUCT(MAX(ROW(E$2:E1836)*(E1836=E$2:E1836)))))-COUNTBLANK(OFFSET(A$1,,,SUMPRODUCT(MAX(ROW(E$1:E1835)*(E2=E$1:E1835))))))</f>
        <v> </v>
      </c>
      <c r="K1836" s="26" t="str">
        <f>IF(OR(E1836="",E1836="!!!",F1836="NEW"),"",INDEX(J$1:J1835,SUMPRODUCT(MAX(ROW(E$1:E1835)*(E1836=E$1:E1835)))))</f>
        <v> </v>
      </c>
      <c r="L1836" s="27"/>
    </row>
    <row r="1837" spans="1:12">
      <c r="A1837" s="20" t="s">
        <v>1547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883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1548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611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664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 t="s">
        <v>1549</v>
      </c>
      <c r="E1842" s="22">
        <f>IF(D1842="?OLD","!!!","")</f>
        <v/>
      </c>
      <c r="F1842" s="23" t="str">
        <f>IF(OR(E1842="",E1842="!!!"),"",IF(NOT(ISNA(VLOOKUP(E1842,E$1:E1841,1,FALSE()))),"OLD",IF(AND(E1842&lt;&gt;"",E1842&lt;&gt;"!!!"),"NEW","")))</f>
        <v> </v>
      </c>
      <c r="G1842" s="24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5" t="str">
        <f>IF(J1842&lt;&gt;1,"",IF(I1842="SBJ","CB","?"))</f>
        <v> </v>
      </c>
      <c r="I1842" s="26" t="str">
        <f>IF(OR(E1842="",E1842="!!!",F1842="NEW"),"",INDEX(B1841:B$2,-1+SUMPRODUCT(MAX(ROW(E1841:E$2)*(E1842=E1841:E$2)))))</f>
        <v> </v>
      </c>
      <c r="J1842" s="26" t="str">
        <f>IF(OR(E1842="",E1842="!!!",F1842="NEW"),"",COUNTBLANK(OFFSET(A$1,,,SUMPRODUCT(MAX(ROW(E$2:E1842)*(E1842=E$2:E1842)))))-COUNTBLANK(OFFSET(A$1,,,SUMPRODUCT(MAX(ROW(E$1:E1841)*(E2=E$1:E1841))))))</f>
        <v> </v>
      </c>
      <c r="K1842" s="26" t="str">
        <f>IF(OR(E1842="",E1842="!!!",F1842="NEW"),"",INDEX(J$1:J1841,SUMPRODUCT(MAX(ROW(E$1:E1841)*(E1842=E$1:E1841)))))</f>
        <v> </v>
      </c>
      <c r="L1842" s="27"/>
    </row>
    <row r="1843" spans="1:12">
      <c r="A1843" s="20" t="s">
        <v>611</v>
      </c>
      <c r="E1843" s="22">
        <f>IF(D1843="?OLD","!!!","")</f>
        <v/>
      </c>
      <c r="F1843" s="23" t="str">
        <f>IF(OR(E1843="",E1843="!!!"),"",IF(NOT(ISNA(VLOOKUP(E1843,E$1:E1842,1,FALSE()))),"OLD",IF(AND(E1843&lt;&gt;"",E1843&lt;&gt;"!!!"),"NEW","")))</f>
        <v> </v>
      </c>
      <c r="G1843" s="24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5" t="str">
        <f>IF(J1843&lt;&gt;1,"",IF(I1843="SBJ","CB","?"))</f>
        <v> </v>
      </c>
      <c r="I1843" s="26" t="str">
        <f>IF(OR(E1843="",E1843="!!!",F1843="NEW"),"",INDEX(B1842:B$2,-1+SUMPRODUCT(MAX(ROW(E1842:E$2)*(E1843=E1842:E$2)))))</f>
        <v> </v>
      </c>
      <c r="J1843" s="26" t="str">
        <f>IF(OR(E1843="",E1843="!!!",F1843="NEW"),"",COUNTBLANK(OFFSET(A$1,,,SUMPRODUCT(MAX(ROW(E$2:E1843)*(E1843=E$2:E1843)))))-COUNTBLANK(OFFSET(A$1,,,SUMPRODUCT(MAX(ROW(E$1:E1842)*(E2=E$1:E1842))))))</f>
        <v> </v>
      </c>
      <c r="K1843" s="26" t="str">
        <f>IF(OR(E1843="",E1843="!!!",F1843="NEW"),"",INDEX(J$1:J1842,SUMPRODUCT(MAX(ROW(E$1:E1842)*(E1843=E$1:E1842)))))</f>
        <v> </v>
      </c>
      <c r="L1843" s="27"/>
    </row>
    <row r="1844" spans="1:12">
      <c r="A1844" s="20" t="s">
        <v>670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 t="s">
        <v>1550</v>
      </c>
      <c r="B1845" s="21" t="s">
        <v>609</v>
      </c>
      <c r="C1845" s="21" t="s">
        <v>614</v>
      </c>
      <c r="E1845" s="22">
        <f>IF(D1845="?OLD","!!!","")</f>
        <v/>
      </c>
      <c r="F1845" s="23" t="str">
        <f>IF(OR(E1845="",E1845="!!!"),"",IF(NOT(ISNA(VLOOKUP(E1845,E$1:E1844,1,FALSE()))),"OLD",IF(AND(E1845&lt;&gt;"",E1845&lt;&gt;"!!!"),"NEW","")))</f>
        <v> </v>
      </c>
      <c r="G1845" s="24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5" t="str">
        <f>IF(J1845&lt;&gt;1,"",IF(I1845="SBJ","CB","?"))</f>
        <v> </v>
      </c>
      <c r="I1845" s="26" t="str">
        <f>IF(OR(E1845="",E1845="!!!",F1845="NEW"),"",INDEX(B1844:B$2,-1+SUMPRODUCT(MAX(ROW(E1844:E$2)*(E1845=E1844:E$2)))))</f>
        <v> </v>
      </c>
      <c r="J1845" s="26" t="str">
        <f>IF(OR(E1845="",E1845="!!!",F1845="NEW"),"",COUNTBLANK(OFFSET(A$1,,,SUMPRODUCT(MAX(ROW(E$2:E1845)*(E1845=E$2:E1845)))))-COUNTBLANK(OFFSET(A$1,,,SUMPRODUCT(MAX(ROW(E$1:E1844)*(E2=E$1:E1844))))))</f>
        <v> </v>
      </c>
      <c r="K1845" s="26" t="str">
        <f>IF(OR(E1845="",E1845="!!!",F1845="NEW"),"",INDEX(J$1:J1844,SUMPRODUCT(MAX(ROW(E$1:E1844)*(E1845=E$1:E1844)))))</f>
        <v> </v>
      </c>
      <c r="L1845" s="27"/>
    </row>
    <row r="1846" spans="1:12">
      <c r="A1846" s="20" t="s">
        <v>1353</v>
      </c>
      <c r="B1846" s="21" t="s">
        <v>636</v>
      </c>
      <c r="E1846" s="22">
        <f>IF(D1846="?OLD","!!!","")</f>
        <v/>
      </c>
      <c r="F1846" s="23" t="str">
        <f>IF(OR(E1846="",E1846="!!!"),"",IF(NOT(ISNA(VLOOKUP(E1846,E$1:E1845,1,FALSE()))),"OLD",IF(AND(E1846&lt;&gt;"",E1846&lt;&gt;"!!!"),"NEW","")))</f>
        <v> </v>
      </c>
      <c r="G1846" s="24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5" t="str">
        <f>IF(J1846&lt;&gt;1,"",IF(I1846="SBJ","CB","?"))</f>
        <v> </v>
      </c>
      <c r="I1846" s="26" t="str">
        <f>IF(OR(E1846="",E1846="!!!",F1846="NEW"),"",INDEX(B1845:B$2,-1+SUMPRODUCT(MAX(ROW(E1845:E$2)*(E1846=E1845:E$2)))))</f>
        <v> </v>
      </c>
      <c r="J1846" s="26" t="str">
        <f>IF(OR(E1846="",E1846="!!!",F1846="NEW"),"",COUNTBLANK(OFFSET(A$1,,,SUMPRODUCT(MAX(ROW(E$2:E1846)*(E1846=E$2:E1846)))))-COUNTBLANK(OFFSET(A$1,,,SUMPRODUCT(MAX(ROW(E$1:E1845)*(E2=E$1:E1845))))))</f>
        <v> </v>
      </c>
      <c r="K1846" s="26" t="str">
        <f>IF(OR(E1846="",E1846="!!!",F1846="NEW"),"",INDEX(J$1:J1845,SUMPRODUCT(MAX(ROW(E$1:E1845)*(E1846=E$1:E1845)))))</f>
        <v> </v>
      </c>
      <c r="L1846" s="27"/>
    </row>
    <row r="1847" spans="1:12">
      <c r="A1847" s="20" t="s">
        <v>1551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633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/>
    </row>
    <row r="1850" spans="1:12">
      <c r="A1850" s="20" t="s">
        <v>1552</v>
      </c>
    </row>
    <row r="1851" spans="1:12">
      <c r="A1851" s="20" t="s">
        <v>1553</v>
      </c>
      <c r="E1851" s="22">
        <f>IF(D1851="?OLD","!!!","")</f>
        <v/>
      </c>
      <c r="F1851" s="23" t="str">
        <f>IF(OR(E1851="",E1851="!!!"),"",IF(NOT(ISNA(VLOOKUP(E1851,E$1:E1850,1,FALSE()))),"OLD",IF(AND(E1851&lt;&gt;"",E1851&lt;&gt;"!!!"),"NEW","")))</f>
        <v> </v>
      </c>
      <c r="G1851" s="24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5" t="str">
        <f>IF(J1851&lt;&gt;1,"",IF(I1851="SBJ","CB","?"))</f>
        <v> </v>
      </c>
      <c r="I1851" s="26" t="str">
        <f>IF(OR(E1851="",E1851="!!!",F1851="NEW"),"",INDEX(B1850:B$2,-1+SUMPRODUCT(MAX(ROW(E1850:E$2)*(E1851=E1850:E$2)))))</f>
        <v> </v>
      </c>
      <c r="J1851" s="26" t="str">
        <f>IF(OR(E1851="",E1851="!!!",F1851="NEW"),"",COUNTBLANK(OFFSET(A$1,,,SUMPRODUCT(MAX(ROW(E$2:E1851)*(E1851=E$2:E1851)))))-COUNTBLANK(OFFSET(A$1,,,SUMPRODUCT(MAX(ROW(E$1:E1850)*(E2=E$1:E1850))))))</f>
        <v> </v>
      </c>
      <c r="K1851" s="26" t="str">
        <f>IF(OR(E1851="",E1851="!!!",F1851="NEW"),"",INDEX(J$1:J1850,SUMPRODUCT(MAX(ROW(E$1:E1850)*(E1851=E$1:E1850)))))</f>
        <v> </v>
      </c>
      <c r="L1851" s="27"/>
    </row>
    <row r="1852" spans="1:12">
      <c r="A1852" s="20" t="s">
        <v>611</v>
      </c>
      <c r="E1852" s="22">
        <f>IF(D1852="?OLD","!!!","")</f>
        <v/>
      </c>
      <c r="F1852" s="23" t="str">
        <f>IF(OR(E1852="",E1852="!!!"),"",IF(NOT(ISNA(VLOOKUP(E1852,E$1:E1851,1,FALSE()))),"OLD",IF(AND(E1852&lt;&gt;"",E1852&lt;&gt;"!!!"),"NEW","")))</f>
        <v> </v>
      </c>
      <c r="G1852" s="24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5" t="str">
        <f>IF(J1852&lt;&gt;1,"",IF(I1852="SBJ","CB","?"))</f>
        <v> </v>
      </c>
      <c r="I1852" s="26" t="str">
        <f>IF(OR(E1852="",E1852="!!!",F1852="NEW"),"",INDEX(B1851:B$2,-1+SUMPRODUCT(MAX(ROW(E1851:E$2)*(E1852=E1851:E$2)))))</f>
        <v> </v>
      </c>
      <c r="J1852" s="26" t="str">
        <f>IF(OR(E1852="",E1852="!!!",F1852="NEW"),"",COUNTBLANK(OFFSET(A$1,,,SUMPRODUCT(MAX(ROW(E$2:E1852)*(E1852=E$2:E1852)))))-COUNTBLANK(OFFSET(A$1,,,SUMPRODUCT(MAX(ROW(E$1:E1851)*(E2=E$1:E1851))))))</f>
        <v> </v>
      </c>
      <c r="K1852" s="26" t="str">
        <f>IF(OR(E1852="",E1852="!!!",F1852="NEW"),"",INDEX(J$1:J1851,SUMPRODUCT(MAX(ROW(E$1:E1851)*(E1852=E$1:E1851)))))</f>
        <v> </v>
      </c>
      <c r="L1852" s="27"/>
    </row>
    <row r="1853" spans="1:12">
      <c r="A1853" s="20" t="s">
        <v>1554</v>
      </c>
      <c r="E1853" s="22">
        <f>IF(D1853="?OLD","!!!","")</f>
        <v/>
      </c>
      <c r="F1853" s="23" t="str">
        <f>IF(OR(E1853="",E1853="!!!"),"",IF(NOT(ISNA(VLOOKUP(E1853,E$1:E1852,1,FALSE()))),"OLD",IF(AND(E1853&lt;&gt;"",E1853&lt;&gt;"!!!"),"NEW","")))</f>
        <v> </v>
      </c>
      <c r="G1853" s="24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5" t="str">
        <f>IF(J1853&lt;&gt;1,"",IF(I1853="SBJ","CB","?"))</f>
        <v> </v>
      </c>
      <c r="I1853" s="26" t="str">
        <f>IF(OR(E1853="",E1853="!!!",F1853="NEW"),"",INDEX(B1852:B$2,-1+SUMPRODUCT(MAX(ROW(E1852:E$2)*(E1853=E1852:E$2)))))</f>
        <v> </v>
      </c>
      <c r="J1853" s="26" t="str">
        <f>IF(OR(E1853="",E1853="!!!",F1853="NEW"),"",COUNTBLANK(OFFSET(A$1,,,SUMPRODUCT(MAX(ROW(E$2:E1853)*(E1853=E$2:E1853)))))-COUNTBLANK(OFFSET(A$1,,,SUMPRODUCT(MAX(ROW(E$1:E1852)*(E2=E$1:E1852))))))</f>
        <v> </v>
      </c>
      <c r="K1853" s="26" t="str">
        <f>IF(OR(E1853="",E1853="!!!",F1853="NEW"),"",INDEX(J$1:J1852,SUMPRODUCT(MAX(ROW(E$1:E1852)*(E1853=E$1:E1852)))))</f>
        <v> </v>
      </c>
      <c r="L1853" s="27"/>
    </row>
    <row r="1854" spans="1:12">
      <c r="A1854" s="20" t="s">
        <v>722</v>
      </c>
      <c r="B1854" s="21" t="s">
        <v>652</v>
      </c>
      <c r="C1854" s="21" t="s">
        <v>723</v>
      </c>
      <c r="D1854" s="21" t="s">
        <v>603</v>
      </c>
      <c r="E1854" s="22">
        <f>IF(D1854="?OLD","!!!","")</f>
        <v/>
      </c>
      <c r="F1854" s="23" t="str">
        <f>IF(OR(E1854="",E1854="!!!"),"",IF(NOT(ISNA(VLOOKUP(E1854,E$1:E1853,1,FALSE()))),"OLD",IF(AND(E1854&lt;&gt;"",E1854&lt;&gt;"!!!"),"NEW","")))</f>
        <v> </v>
      </c>
      <c r="G1854" s="24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5" t="str">
        <f>IF(J1854&lt;&gt;1,"",IF(I1854="SBJ","CB","?"))</f>
        <v> </v>
      </c>
      <c r="I1854" s="26" t="str">
        <f>IF(OR(E1854="",E1854="!!!",F1854="NEW"),"",INDEX(B1853:B$2,-1+SUMPRODUCT(MAX(ROW(E1853:E$2)*(E1854=E1853:E$2)))))</f>
        <v> </v>
      </c>
      <c r="J1854" s="26" t="str">
        <f>IF(OR(E1854="",E1854="!!!",F1854="NEW"),"",COUNTBLANK(OFFSET(A$1,,,SUMPRODUCT(MAX(ROW(E$2:E1854)*(E1854=E$2:E1854)))))-COUNTBLANK(OFFSET(A$1,,,SUMPRODUCT(MAX(ROW(E$1:E1853)*(E2=E$1:E1853))))))</f>
        <v> </v>
      </c>
      <c r="K1854" s="26" t="str">
        <f>IF(OR(E1854="",E1854="!!!",F1854="NEW"),"",INDEX(J$1:J1853,SUMPRODUCT(MAX(ROW(E$1:E1853)*(E1854=E$1:E1853)))))</f>
        <v> </v>
      </c>
      <c r="L1854" s="27"/>
    </row>
    <row r="1855" spans="1:12">
      <c r="A1855" s="20" t="s">
        <v>646</v>
      </c>
      <c r="E1855" s="22">
        <f>IF(D1855="?OLD","!!!","")</f>
        <v/>
      </c>
      <c r="F1855" s="23" t="str">
        <f>IF(OR(E1855="",E1855="!!!"),"",IF(NOT(ISNA(VLOOKUP(E1855,E$1:E1854,1,FALSE()))),"OLD",IF(AND(E1855&lt;&gt;"",E1855&lt;&gt;"!!!"),"NEW","")))</f>
        <v> </v>
      </c>
      <c r="G1855" s="24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5" t="str">
        <f>IF(J1855&lt;&gt;1,"",IF(I1855="SBJ","CB","?"))</f>
        <v> </v>
      </c>
      <c r="I1855" s="26" t="str">
        <f>IF(OR(E1855="",E1855="!!!",F1855="NEW"),"",INDEX(B1854:B$2,-1+SUMPRODUCT(MAX(ROW(E1854:E$2)*(E1855=E1854:E$2)))))</f>
        <v> </v>
      </c>
      <c r="J1855" s="26" t="str">
        <f>IF(OR(E1855="",E1855="!!!",F1855="NEW"),"",COUNTBLANK(OFFSET(A$1,,,SUMPRODUCT(MAX(ROW(E$2:E1855)*(E1855=E$2:E1855)))))-COUNTBLANK(OFFSET(A$1,,,SUMPRODUCT(MAX(ROW(E$1:E1854)*(E2=E$1:E1854))))))</f>
        <v> </v>
      </c>
      <c r="K1855" s="26" t="str">
        <f>IF(OR(E1855="",E1855="!!!",F1855="NEW"),"",INDEX(J$1:J1854,SUMPRODUCT(MAX(ROW(E$1:E1854)*(E1855=E$1:E1854)))))</f>
        <v> </v>
      </c>
      <c r="L1855" s="27"/>
    </row>
    <row r="1856" spans="1:12">
      <c r="A1856" s="20" t="s">
        <v>1555</v>
      </c>
      <c r="E1856" s="22">
        <f>IF(D1856="?OLD","!!!","")</f>
        <v/>
      </c>
      <c r="F1856" s="23" t="str">
        <f>IF(OR(E1856="",E1856="!!!"),"",IF(NOT(ISNA(VLOOKUP(E1856,E$1:E1855,1,FALSE()))),"OLD",IF(AND(E1856&lt;&gt;"",E1856&lt;&gt;"!!!"),"NEW","")))</f>
        <v> </v>
      </c>
      <c r="G1856" s="24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5" t="str">
        <f>IF(J1856&lt;&gt;1,"",IF(I1856="SBJ","CB","?"))</f>
        <v> </v>
      </c>
      <c r="I1856" s="26" t="str">
        <f>IF(OR(E1856="",E1856="!!!",F1856="NEW"),"",INDEX(B1855:B$2,-1+SUMPRODUCT(MAX(ROW(E1855:E$2)*(E1856=E1855:E$2)))))</f>
        <v> </v>
      </c>
      <c r="J1856" s="26" t="str">
        <f>IF(OR(E1856="",E1856="!!!",F1856="NEW"),"",COUNTBLANK(OFFSET(A$1,,,SUMPRODUCT(MAX(ROW(E$2:E1856)*(E1856=E$2:E1856)))))-COUNTBLANK(OFFSET(A$1,,,SUMPRODUCT(MAX(ROW(E$1:E1855)*(E2=E$1:E1855))))))</f>
        <v> </v>
      </c>
      <c r="K1856" s="26" t="str">
        <f>IF(OR(E1856="",E1856="!!!",F1856="NEW"),"",INDEX(J$1:J1855,SUMPRODUCT(MAX(ROW(E$1:E1855)*(E1856=E$1:E1855)))))</f>
        <v> </v>
      </c>
      <c r="L1856" s="27"/>
    </row>
    <row r="1857" spans="1:12">
      <c r="A1857" s="20" t="s">
        <v>1115</v>
      </c>
      <c r="B1857" s="21" t="s">
        <v>652</v>
      </c>
      <c r="C1857" s="21" t="s">
        <v>602</v>
      </c>
      <c r="D1857" s="21" t="s">
        <v>603</v>
      </c>
      <c r="E1857" s="22">
        <f>IF(D1857="?OLD","!!!","")</f>
        <v/>
      </c>
      <c r="F1857" s="23" t="str">
        <f>IF(OR(E1857="",E1857="!!!"),"",IF(NOT(ISNA(VLOOKUP(E1857,E$1:E1856,1,FALSE()))),"OLD",IF(AND(E1857&lt;&gt;"",E1857&lt;&gt;"!!!"),"NEW","")))</f>
        <v> </v>
      </c>
      <c r="G1857" s="24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5" t="str">
        <f>IF(J1857&lt;&gt;1,"",IF(I1857="SBJ","CB","?"))</f>
        <v> </v>
      </c>
      <c r="I1857" s="26" t="str">
        <f>IF(OR(E1857="",E1857="!!!",F1857="NEW"),"",INDEX(B1856:B$2,-1+SUMPRODUCT(MAX(ROW(E1856:E$2)*(E1857=E1856:E$2)))))</f>
        <v> </v>
      </c>
      <c r="J1857" s="26" t="str">
        <f>IF(OR(E1857="",E1857="!!!",F1857="NEW"),"",COUNTBLANK(OFFSET(A$1,,,SUMPRODUCT(MAX(ROW(E$2:E1857)*(E1857=E$2:E1857)))))-COUNTBLANK(OFFSET(A$1,,,SUMPRODUCT(MAX(ROW(E$1:E1856)*(E2=E$1:E1856))))))</f>
        <v> </v>
      </c>
      <c r="K1857" s="26" t="str">
        <f>IF(OR(E1857="",E1857="!!!",F1857="NEW"),"",INDEX(J$1:J1856,SUMPRODUCT(MAX(ROW(E$1:E1856)*(E1857=E$1:E1856)))))</f>
        <v> </v>
      </c>
      <c r="L1857" s="27"/>
    </row>
    <row r="1858" spans="1:12">
      <c r="A1858" s="20" t="s">
        <v>1230</v>
      </c>
      <c r="E1858" s="22">
        <f>IF(D1858="?OLD","!!!","")</f>
        <v/>
      </c>
      <c r="F1858" s="23" t="str">
        <f>IF(OR(E1858="",E1858="!!!"),"",IF(NOT(ISNA(VLOOKUP(E1858,E$1:E1857,1,FALSE()))),"OLD",IF(AND(E1858&lt;&gt;"",E1858&lt;&gt;"!!!"),"NEW","")))</f>
        <v> </v>
      </c>
      <c r="G1858" s="24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5" t="str">
        <f>IF(J1858&lt;&gt;1,"",IF(I1858="SBJ","CB","?"))</f>
        <v> </v>
      </c>
      <c r="I1858" s="26" t="str">
        <f>IF(OR(E1858="",E1858="!!!",F1858="NEW"),"",INDEX(B1857:B$2,-1+SUMPRODUCT(MAX(ROW(E1857:E$2)*(E1858=E1857:E$2)))))</f>
        <v> </v>
      </c>
      <c r="J1858" s="26" t="str">
        <f>IF(OR(E1858="",E1858="!!!",F1858="NEW"),"",COUNTBLANK(OFFSET(A$1,,,SUMPRODUCT(MAX(ROW(E$2:E1858)*(E1858=E$2:E1858)))))-COUNTBLANK(OFFSET(A$1,,,SUMPRODUCT(MAX(ROW(E$1:E1857)*(E2=E$1:E1857))))))</f>
        <v> </v>
      </c>
      <c r="K1858" s="26" t="str">
        <f>IF(OR(E1858="",E1858="!!!",F1858="NEW"),"",INDEX(J$1:J1857,SUMPRODUCT(MAX(ROW(E$1:E1857)*(E1858=E$1:E1857)))))</f>
        <v> </v>
      </c>
      <c r="L1858" s="27"/>
    </row>
    <row r="1859" spans="1:12">
      <c r="A1859" s="20" t="s">
        <v>1243</v>
      </c>
      <c r="B1859" s="21" t="s">
        <v>601</v>
      </c>
      <c r="E1859" s="22">
        <f>IF(D1859="?OLD","!!!","")</f>
        <v/>
      </c>
      <c r="F1859" s="23" t="str">
        <f>IF(OR(E1859="",E1859="!!!"),"",IF(NOT(ISNA(VLOOKUP(E1859,E$1:E1858,1,FALSE()))),"OLD",IF(AND(E1859&lt;&gt;"",E1859&lt;&gt;"!!!"),"NEW","")))</f>
        <v> </v>
      </c>
      <c r="G1859" s="24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5" t="str">
        <f>IF(J1859&lt;&gt;1,"",IF(I1859="SBJ","CB","?"))</f>
        <v> </v>
      </c>
      <c r="I1859" s="26" t="str">
        <f>IF(OR(E1859="",E1859="!!!",F1859="NEW"),"",INDEX(B1858:B$2,-1+SUMPRODUCT(MAX(ROW(E1858:E$2)*(E1859=E1858:E$2)))))</f>
        <v> </v>
      </c>
      <c r="J1859" s="26" t="str">
        <f>IF(OR(E1859="",E1859="!!!",F1859="NEW"),"",COUNTBLANK(OFFSET(A$1,,,SUMPRODUCT(MAX(ROW(E$2:E1859)*(E1859=E$2:E1859)))))-COUNTBLANK(OFFSET(A$1,,,SUMPRODUCT(MAX(ROW(E$1:E1858)*(E2=E$1:E1858))))))</f>
        <v> </v>
      </c>
      <c r="K1859" s="26" t="str">
        <f>IF(OR(E1859="",E1859="!!!",F1859="NEW"),"",INDEX(J$1:J1858,SUMPRODUCT(MAX(ROW(E$1:E1858)*(E1859=E$1:E1858)))))</f>
        <v> </v>
      </c>
      <c r="L1859" s="27"/>
    </row>
    <row r="1860" spans="1:12">
      <c r="A1860" s="20" t="s">
        <v>672</v>
      </c>
      <c r="E1860" s="22">
        <f>IF(D1860="?OLD","!!!","")</f>
        <v/>
      </c>
      <c r="F1860" s="23" t="str">
        <f>IF(OR(E1860="",E1860="!!!"),"",IF(NOT(ISNA(VLOOKUP(E1860,E$1:E1859,1,FALSE()))),"OLD",IF(AND(E1860&lt;&gt;"",E1860&lt;&gt;"!!!"),"NEW","")))</f>
        <v> </v>
      </c>
      <c r="G1860" s="24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5" t="str">
        <f>IF(J1860&lt;&gt;1,"",IF(I1860="SBJ","CB","?"))</f>
        <v> </v>
      </c>
      <c r="I1860" s="26" t="str">
        <f>IF(OR(E1860="",E1860="!!!",F1860="NEW"),"",INDEX(B1859:B$2,-1+SUMPRODUCT(MAX(ROW(E1859:E$2)*(E1860=E1859:E$2)))))</f>
        <v> </v>
      </c>
      <c r="J1860" s="26" t="str">
        <f>IF(OR(E1860="",E1860="!!!",F1860="NEW"),"",COUNTBLANK(OFFSET(A$1,,,SUMPRODUCT(MAX(ROW(E$2:E1860)*(E1860=E$2:E1860)))))-COUNTBLANK(OFFSET(A$1,,,SUMPRODUCT(MAX(ROW(E$1:E1859)*(E2=E$1:E1859))))))</f>
        <v> </v>
      </c>
      <c r="K1860" s="26" t="str">
        <f>IF(OR(E1860="",E1860="!!!",F1860="NEW"),"",INDEX(J$1:J1859,SUMPRODUCT(MAX(ROW(E$1:E1859)*(E1860=E$1:E1859)))))</f>
        <v> </v>
      </c>
      <c r="L1860" s="27"/>
    </row>
    <row r="1861" spans="1:12">
      <c r="A1861" s="20" t="s">
        <v>1337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1556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 t="s">
        <v>776</v>
      </c>
      <c r="E1863" s="22">
        <f>IF(D1863="?OLD","!!!","")</f>
        <v/>
      </c>
      <c r="F1863" s="23" t="str">
        <f>IF(OR(E1863="",E1863="!!!"),"",IF(NOT(ISNA(VLOOKUP(E1863,E$1:E1862,1,FALSE()))),"OLD",IF(AND(E1863&lt;&gt;"",E1863&lt;&gt;"!!!"),"NEW","")))</f>
        <v> </v>
      </c>
      <c r="G1863" s="24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5" t="str">
        <f>IF(J1863&lt;&gt;1,"",IF(I1863="SBJ","CB","?"))</f>
        <v> </v>
      </c>
      <c r="I1863" s="26" t="str">
        <f>IF(OR(E1863="",E1863="!!!",F1863="NEW"),"",INDEX(B1862:B$2,-1+SUMPRODUCT(MAX(ROW(E1862:E$2)*(E1863=E1862:E$2)))))</f>
        <v> </v>
      </c>
      <c r="J1863" s="26" t="str">
        <f>IF(OR(E1863="",E1863="!!!",F1863="NEW"),"",COUNTBLANK(OFFSET(A$1,,,SUMPRODUCT(MAX(ROW(E$2:E1863)*(E1863=E$2:E1863)))))-COUNTBLANK(OFFSET(A$1,,,SUMPRODUCT(MAX(ROW(E$1:E1862)*(E2=E$1:E1862))))))</f>
        <v> </v>
      </c>
      <c r="K1863" s="26" t="str">
        <f>IF(OR(E1863="",E1863="!!!",F1863="NEW"),"",INDEX(J$1:J1862,SUMPRODUCT(MAX(ROW(E$1:E1862)*(E1863=E$1:E1862)))))</f>
        <v> </v>
      </c>
      <c r="L1863" s="27"/>
    </row>
    <row r="1864" spans="1:12">
      <c r="A1864" s="20" t="s">
        <v>611</v>
      </c>
      <c r="E1864" s="22">
        <f>IF(D1864="?OLD","!!!","")</f>
        <v/>
      </c>
      <c r="F1864" s="23" t="str">
        <f>IF(OR(E1864="",E1864="!!!"),"",IF(NOT(ISNA(VLOOKUP(E1864,E$1:E1863,1,FALSE()))),"OLD",IF(AND(E1864&lt;&gt;"",E1864&lt;&gt;"!!!"),"NEW","")))</f>
        <v> </v>
      </c>
      <c r="G1864" s="24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5" t="str">
        <f>IF(J1864&lt;&gt;1,"",IF(I1864="SBJ","CB","?"))</f>
        <v> </v>
      </c>
      <c r="I1864" s="26" t="str">
        <f>IF(OR(E1864="",E1864="!!!",F1864="NEW"),"",INDEX(B1863:B$2,-1+SUMPRODUCT(MAX(ROW(E1863:E$2)*(E1864=E1863:E$2)))))</f>
        <v> </v>
      </c>
      <c r="J1864" s="26" t="str">
        <f>IF(OR(E1864="",E1864="!!!",F1864="NEW"),"",COUNTBLANK(OFFSET(A$1,,,SUMPRODUCT(MAX(ROW(E$2:E1864)*(E1864=E$2:E1864)))))-COUNTBLANK(OFFSET(A$1,,,SUMPRODUCT(MAX(ROW(E$1:E1863)*(E2=E$1:E1863))))))</f>
        <v> </v>
      </c>
      <c r="K1864" s="26" t="str">
        <f>IF(OR(E1864="",E1864="!!!",F1864="NEW"),"",INDEX(J$1:J1863,SUMPRODUCT(MAX(ROW(E$1:E1863)*(E1864=E$1:E1863)))))</f>
        <v> </v>
      </c>
      <c r="L1864" s="27"/>
    </row>
    <row r="1865" spans="1:12">
      <c r="A1865" s="20" t="s">
        <v>1337</v>
      </c>
      <c r="E1865" s="22">
        <f>IF(D1865="?OLD","!!!","")</f>
        <v/>
      </c>
      <c r="F1865" s="23" t="str">
        <f>IF(OR(E1865="",E1865="!!!"),"",IF(NOT(ISNA(VLOOKUP(E1865,E$1:E1864,1,FALSE()))),"OLD",IF(AND(E1865&lt;&gt;"",E1865&lt;&gt;"!!!"),"NEW","")))</f>
        <v> </v>
      </c>
      <c r="G1865" s="24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5" t="str">
        <f>IF(J1865&lt;&gt;1,"",IF(I1865="SBJ","CB","?"))</f>
        <v> </v>
      </c>
      <c r="I1865" s="26" t="str">
        <f>IF(OR(E1865="",E1865="!!!",F1865="NEW"),"",INDEX(B1864:B$2,-1+SUMPRODUCT(MAX(ROW(E1864:E$2)*(E1865=E1864:E$2)))))</f>
        <v> </v>
      </c>
      <c r="J1865" s="26" t="str">
        <f>IF(OR(E1865="",E1865="!!!",F1865="NEW"),"",COUNTBLANK(OFFSET(A$1,,,SUMPRODUCT(MAX(ROW(E$2:E1865)*(E1865=E$2:E1865)))))-COUNTBLANK(OFFSET(A$1,,,SUMPRODUCT(MAX(ROW(E$1:E1864)*(E2=E$1:E1864))))))</f>
        <v> </v>
      </c>
      <c r="K1865" s="26" t="str">
        <f>IF(OR(E1865="",E1865="!!!",F1865="NEW"),"",INDEX(J$1:J1864,SUMPRODUCT(MAX(ROW(E$1:E1864)*(E1865=E$1:E1864)))))</f>
        <v> </v>
      </c>
      <c r="L1865" s="27"/>
    </row>
    <row r="1866" spans="1:12">
      <c r="A1866" s="20" t="s">
        <v>1557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 t="s">
        <v>923</v>
      </c>
      <c r="E1867" s="22">
        <f>IF(D1867="?OLD","!!!","")</f>
        <v/>
      </c>
      <c r="F1867" s="23" t="str">
        <f>IF(OR(E1867="",E1867="!!!"),"",IF(NOT(ISNA(VLOOKUP(E1867,E$1:E1866,1,FALSE()))),"OLD",IF(AND(E1867&lt;&gt;"",E1867&lt;&gt;"!!!"),"NEW","")))</f>
        <v> </v>
      </c>
      <c r="G1867" s="24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5" t="str">
        <f>IF(J1867&lt;&gt;1,"",IF(I1867="SBJ","CB","?"))</f>
        <v> </v>
      </c>
      <c r="I1867" s="26" t="str">
        <f>IF(OR(E1867="",E1867="!!!",F1867="NEW"),"",INDEX(B1866:B$2,-1+SUMPRODUCT(MAX(ROW(E1866:E$2)*(E1867=E1866:E$2)))))</f>
        <v> </v>
      </c>
      <c r="J1867" s="26" t="str">
        <f>IF(OR(E1867="",E1867="!!!",F1867="NEW"),"",COUNTBLANK(OFFSET(A$1,,,SUMPRODUCT(MAX(ROW(E$2:E1867)*(E1867=E$2:E1867)))))-COUNTBLANK(OFFSET(A$1,,,SUMPRODUCT(MAX(ROW(E$1:E1866)*(E2=E$1:E1866))))))</f>
        <v> </v>
      </c>
      <c r="K1867" s="26" t="str">
        <f>IF(OR(E1867="",E1867="!!!",F1867="NEW"),"",INDEX(J$1:J1866,SUMPRODUCT(MAX(ROW(E$1:E1866)*(E1867=E$1:E1866)))))</f>
        <v> </v>
      </c>
      <c r="L1867" s="27"/>
    </row>
    <row r="1868" spans="1:12">
      <c r="A1868" s="20" t="s">
        <v>633</v>
      </c>
      <c r="E1868" s="22">
        <f>IF(D1868="?OLD","!!!","")</f>
        <v/>
      </c>
      <c r="F1868" s="23" t="str">
        <f>IF(OR(E1868="",E1868="!!!"),"",IF(NOT(ISNA(VLOOKUP(E1868,E$1:E1867,1,FALSE()))),"OLD",IF(AND(E1868&lt;&gt;"",E1868&lt;&gt;"!!!"),"NEW","")))</f>
        <v> </v>
      </c>
      <c r="G1868" s="24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5" t="str">
        <f>IF(J1868&lt;&gt;1,"",IF(I1868="SBJ","CB","?"))</f>
        <v> </v>
      </c>
      <c r="I1868" s="26" t="str">
        <f>IF(OR(E1868="",E1868="!!!",F1868="NEW"),"",INDEX(B1867:B$2,-1+SUMPRODUCT(MAX(ROW(E1867:E$2)*(E1868=E1867:E$2)))))</f>
        <v> </v>
      </c>
      <c r="J1868" s="26" t="str">
        <f>IF(OR(E1868="",E1868="!!!",F1868="NEW"),"",COUNTBLANK(OFFSET(A$1,,,SUMPRODUCT(MAX(ROW(E$2:E1868)*(E1868=E$2:E1868)))))-COUNTBLANK(OFFSET(A$1,,,SUMPRODUCT(MAX(ROW(E$1:E1867)*(E2=E$1:E1867))))))</f>
        <v> </v>
      </c>
      <c r="K1868" s="26" t="str">
        <f>IF(OR(E1868="",E1868="!!!",F1868="NEW"),"",INDEX(J$1:J1867,SUMPRODUCT(MAX(ROW(E$1:E1867)*(E1868=E$1:E1867)))))</f>
        <v> </v>
      </c>
      <c r="L1868" s="27"/>
    </row>
    <row r="1869" spans="1:12">
      <c r="A1869" s="20"/>
    </row>
    <row r="1870" spans="1:12">
      <c r="A1870" s="20" t="s">
        <v>1558</v>
      </c>
    </row>
    <row r="1871" spans="1:12">
      <c r="A1871" s="20" t="s">
        <v>1559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1560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 t="s">
        <v>1561</v>
      </c>
      <c r="E1873" s="22">
        <f>IF(D1873="?OLD","!!!","")</f>
        <v/>
      </c>
      <c r="F1873" s="23" t="str">
        <f>IF(OR(E1873="",E1873="!!!"),"",IF(NOT(ISNA(VLOOKUP(E1873,E$1:E1872,1,FALSE()))),"OLD",IF(AND(E1873&lt;&gt;"",E1873&lt;&gt;"!!!"),"NEW","")))</f>
        <v> </v>
      </c>
      <c r="G1873" s="24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5" t="str">
        <f>IF(J1873&lt;&gt;1,"",IF(I1873="SBJ","CB","?"))</f>
        <v> </v>
      </c>
      <c r="I1873" s="26" t="str">
        <f>IF(OR(E1873="",E1873="!!!",F1873="NEW"),"",INDEX(B1872:B$2,-1+SUMPRODUCT(MAX(ROW(E1872:E$2)*(E1873=E1872:E$2)))))</f>
        <v> </v>
      </c>
      <c r="J1873" s="26" t="str">
        <f>IF(OR(E1873="",E1873="!!!",F1873="NEW"),"",COUNTBLANK(OFFSET(A$1,,,SUMPRODUCT(MAX(ROW(E$2:E1873)*(E1873=E$2:E1873)))))-COUNTBLANK(OFFSET(A$1,,,SUMPRODUCT(MAX(ROW(E$1:E1872)*(E2=E$1:E1872))))))</f>
        <v> </v>
      </c>
      <c r="K1873" s="26" t="str">
        <f>IF(OR(E1873="",E1873="!!!",F1873="NEW"),"",INDEX(J$1:J1872,SUMPRODUCT(MAX(ROW(E$1:E1872)*(E1873=E$1:E1872)))))</f>
        <v> </v>
      </c>
      <c r="L1873" s="27"/>
    </row>
    <row r="1874" spans="1:12">
      <c r="A1874" s="20" t="s">
        <v>1562</v>
      </c>
      <c r="B1874" s="21" t="s">
        <v>801</v>
      </c>
      <c r="E1874" s="22">
        <f>IF(D1874="?OLD","!!!","")</f>
        <v/>
      </c>
      <c r="F1874" s="23" t="str">
        <f>IF(OR(E1874="",E1874="!!!"),"",IF(NOT(ISNA(VLOOKUP(E1874,E$1:E1873,1,FALSE()))),"OLD",IF(AND(E1874&lt;&gt;"",E1874&lt;&gt;"!!!"),"NEW","")))</f>
        <v> </v>
      </c>
      <c r="G1874" s="24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5" t="str">
        <f>IF(J1874&lt;&gt;1,"",IF(I1874="SBJ","CB","?"))</f>
        <v> </v>
      </c>
      <c r="I1874" s="26" t="str">
        <f>IF(OR(E1874="",E1874="!!!",F1874="NEW"),"",INDEX(B1873:B$2,-1+SUMPRODUCT(MAX(ROW(E1873:E$2)*(E1874=E1873:E$2)))))</f>
        <v> </v>
      </c>
      <c r="J1874" s="26" t="str">
        <f>IF(OR(E1874="",E1874="!!!",F1874="NEW"),"",COUNTBLANK(OFFSET(A$1,,,SUMPRODUCT(MAX(ROW(E$2:E1874)*(E1874=E$2:E1874)))))-COUNTBLANK(OFFSET(A$1,,,SUMPRODUCT(MAX(ROW(E$1:E1873)*(E2=E$1:E1873))))))</f>
        <v> </v>
      </c>
      <c r="K1874" s="26" t="str">
        <f>IF(OR(E1874="",E1874="!!!",F1874="NEW"),"",INDEX(J$1:J1873,SUMPRODUCT(MAX(ROW(E$1:E1873)*(E1874=E$1:E1873)))))</f>
        <v> </v>
      </c>
      <c r="L1874" s="27"/>
    </row>
    <row r="1875" spans="1:12">
      <c r="A1875" s="20" t="s">
        <v>1563</v>
      </c>
      <c r="B1875" s="21" t="s">
        <v>801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 t="s">
        <v>633</v>
      </c>
      <c r="E1876" s="22">
        <f>IF(D1876="?OLD","!!!","")</f>
        <v/>
      </c>
      <c r="F1876" s="23" t="str">
        <f>IF(OR(E1876="",E1876="!!!"),"",IF(NOT(ISNA(VLOOKUP(E1876,E$1:E1875,1,FALSE()))),"OLD",IF(AND(E1876&lt;&gt;"",E1876&lt;&gt;"!!!"),"NEW","")))</f>
        <v> </v>
      </c>
      <c r="G1876" s="24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5" t="str">
        <f>IF(J1876&lt;&gt;1,"",IF(I1876="SBJ","CB","?"))</f>
        <v> </v>
      </c>
      <c r="I1876" s="26" t="str">
        <f>IF(OR(E1876="",E1876="!!!",F1876="NEW"),"",INDEX(B1875:B$2,-1+SUMPRODUCT(MAX(ROW(E1875:E$2)*(E1876=E1875:E$2)))))</f>
        <v> </v>
      </c>
      <c r="J1876" s="26" t="str">
        <f>IF(OR(E1876="",E1876="!!!",F1876="NEW"),"",COUNTBLANK(OFFSET(A$1,,,SUMPRODUCT(MAX(ROW(E$2:E1876)*(E1876=E$2:E1876)))))-COUNTBLANK(OFFSET(A$1,,,SUMPRODUCT(MAX(ROW(E$1:E1875)*(E2=E$1:E1875))))))</f>
        <v> </v>
      </c>
      <c r="K1876" s="26" t="str">
        <f>IF(OR(E1876="",E1876="!!!",F1876="NEW"),"",INDEX(J$1:J1875,SUMPRODUCT(MAX(ROW(E$1:E1875)*(E1876=E$1:E1875)))))</f>
        <v> </v>
      </c>
      <c r="L1876" s="27"/>
    </row>
    <row r="1877" spans="1:12">
      <c r="A1877" s="20"/>
    </row>
    <row r="1878" spans="1:12">
      <c r="A1878" s="20" t="s">
        <v>1564</v>
      </c>
    </row>
    <row r="1879" spans="1:12">
      <c r="A1879" s="20" t="s">
        <v>1565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1566</v>
      </c>
      <c r="B1880" s="21" t="s">
        <v>601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 t="s">
        <v>646</v>
      </c>
      <c r="E1881" s="22">
        <f>IF(D1881="?OLD","!!!","")</f>
        <v/>
      </c>
      <c r="F1881" s="23" t="str">
        <f>IF(OR(E1881="",E1881="!!!"),"",IF(NOT(ISNA(VLOOKUP(E1881,E$1:E1880,1,FALSE()))),"OLD",IF(AND(E1881&lt;&gt;"",E1881&lt;&gt;"!!!"),"NEW","")))</f>
        <v> </v>
      </c>
      <c r="G1881" s="24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5" t="str">
        <f>IF(J1881&lt;&gt;1,"",IF(I1881="SBJ","CB","?"))</f>
        <v> </v>
      </c>
      <c r="I1881" s="26" t="str">
        <f>IF(OR(E1881="",E1881="!!!",F1881="NEW"),"",INDEX(B1880:B$2,-1+SUMPRODUCT(MAX(ROW(E1880:E$2)*(E1881=E1880:E$2)))))</f>
        <v> </v>
      </c>
      <c r="J1881" s="26" t="str">
        <f>IF(OR(E1881="",E1881="!!!",F1881="NEW"),"",COUNTBLANK(OFFSET(A$1,,,SUMPRODUCT(MAX(ROW(E$2:E1881)*(E1881=E$2:E1881)))))-COUNTBLANK(OFFSET(A$1,,,SUMPRODUCT(MAX(ROW(E$1:E1880)*(E2=E$1:E1880))))))</f>
        <v> </v>
      </c>
      <c r="K1881" s="26" t="str">
        <f>IF(OR(E1881="",E1881="!!!",F1881="NEW"),"",INDEX(J$1:J1880,SUMPRODUCT(MAX(ROW(E$1:E1880)*(E1881=E$1:E1880)))))</f>
        <v> </v>
      </c>
      <c r="L1881" s="27"/>
    </row>
    <row r="1882" spans="1:12">
      <c r="A1882" s="20" t="s">
        <v>1567</v>
      </c>
      <c r="E1882" s="22">
        <f>IF(D1882="?OLD","!!!","")</f>
        <v/>
      </c>
      <c r="F1882" s="23" t="str">
        <f>IF(OR(E1882="",E1882="!!!"),"",IF(NOT(ISNA(VLOOKUP(E1882,E$1:E1881,1,FALSE()))),"OLD",IF(AND(E1882&lt;&gt;"",E1882&lt;&gt;"!!!"),"NEW","")))</f>
        <v> </v>
      </c>
      <c r="G1882" s="24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5" t="str">
        <f>IF(J1882&lt;&gt;1,"",IF(I1882="SBJ","CB","?"))</f>
        <v> </v>
      </c>
      <c r="I1882" s="26" t="str">
        <f>IF(OR(E1882="",E1882="!!!",F1882="NEW"),"",INDEX(B1881:B$2,-1+SUMPRODUCT(MAX(ROW(E1881:E$2)*(E1882=E1881:E$2)))))</f>
        <v> </v>
      </c>
      <c r="J1882" s="26" t="str">
        <f>IF(OR(E1882="",E1882="!!!",F1882="NEW"),"",COUNTBLANK(OFFSET(A$1,,,SUMPRODUCT(MAX(ROW(E$2:E1882)*(E1882=E$2:E1882)))))-COUNTBLANK(OFFSET(A$1,,,SUMPRODUCT(MAX(ROW(E$1:E1881)*(E2=E$1:E1881))))))</f>
        <v> </v>
      </c>
      <c r="K1882" s="26" t="str">
        <f>IF(OR(E1882="",E1882="!!!",F1882="NEW"),"",INDEX(J$1:J1881,SUMPRODUCT(MAX(ROW(E$1:E1881)*(E1882=E$1:E1881)))))</f>
        <v> </v>
      </c>
      <c r="L1882" s="27"/>
    </row>
    <row r="1883" spans="1:12">
      <c r="A1883" s="20" t="s">
        <v>340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1230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1243</v>
      </c>
      <c r="B1885" s="21" t="s">
        <v>801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 t="s">
        <v>1568</v>
      </c>
      <c r="B1886" s="21" t="s">
        <v>609</v>
      </c>
      <c r="C1886" s="21" t="s">
        <v>723</v>
      </c>
      <c r="D1886" s="21" t="s">
        <v>603</v>
      </c>
      <c r="E1886" s="22">
        <f>IF(D1886="?OLD","!!!","")</f>
        <v/>
      </c>
      <c r="F1886" s="23" t="str">
        <f>IF(OR(E1886="",E1886="!!!"),"",IF(NOT(ISNA(VLOOKUP(E1886,E$1:E1885,1,FALSE()))),"OLD",IF(AND(E1886&lt;&gt;"",E1886&lt;&gt;"!!!"),"NEW","")))</f>
        <v> </v>
      </c>
      <c r="G1886" s="24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5" t="str">
        <f>IF(J1886&lt;&gt;1,"",IF(I1886="SBJ","CB","?"))</f>
        <v> </v>
      </c>
      <c r="I1886" s="26" t="str">
        <f>IF(OR(E1886="",E1886="!!!",F1886="NEW"),"",INDEX(B1885:B$2,-1+SUMPRODUCT(MAX(ROW(E1885:E$2)*(E1886=E1885:E$2)))))</f>
        <v> </v>
      </c>
      <c r="J1886" s="26" t="str">
        <f>IF(OR(E1886="",E1886="!!!",F1886="NEW"),"",COUNTBLANK(OFFSET(A$1,,,SUMPRODUCT(MAX(ROW(E$2:E1886)*(E1886=E$2:E1886)))))-COUNTBLANK(OFFSET(A$1,,,SUMPRODUCT(MAX(ROW(E$1:E1885)*(E2=E$1:E1885))))))</f>
        <v> </v>
      </c>
      <c r="K1886" s="26" t="str">
        <f>IF(OR(E1886="",E1886="!!!",F1886="NEW"),"",INDEX(J$1:J1885,SUMPRODUCT(MAX(ROW(E$1:E1885)*(E1886=E$1:E1885)))))</f>
        <v> </v>
      </c>
      <c r="L1886" s="27"/>
    </row>
    <row r="1887" spans="1:12">
      <c r="A1887" s="20" t="s">
        <v>1569</v>
      </c>
      <c r="E1887" s="22">
        <f>IF(D1887="?OLD","!!!","")</f>
        <v/>
      </c>
      <c r="F1887" s="23" t="str">
        <f>IF(OR(E1887="",E1887="!!!"),"",IF(NOT(ISNA(VLOOKUP(E1887,E$1:E1886,1,FALSE()))),"OLD",IF(AND(E1887&lt;&gt;"",E1887&lt;&gt;"!!!"),"NEW","")))</f>
        <v> </v>
      </c>
      <c r="G1887" s="24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5" t="str">
        <f>IF(J1887&lt;&gt;1,"",IF(I1887="SBJ","CB","?"))</f>
        <v> </v>
      </c>
      <c r="I1887" s="26" t="str">
        <f>IF(OR(E1887="",E1887="!!!",F1887="NEW"),"",INDEX(B1886:B$2,-1+SUMPRODUCT(MAX(ROW(E1886:E$2)*(E1887=E1886:E$2)))))</f>
        <v> </v>
      </c>
      <c r="J1887" s="26" t="str">
        <f>IF(OR(E1887="",E1887="!!!",F1887="NEW"),"",COUNTBLANK(OFFSET(A$1,,,SUMPRODUCT(MAX(ROW(E$2:E1887)*(E1887=E$2:E1887)))))-COUNTBLANK(OFFSET(A$1,,,SUMPRODUCT(MAX(ROW(E$1:E1886)*(E2=E$1:E1886))))))</f>
        <v> </v>
      </c>
      <c r="K1887" s="26" t="str">
        <f>IF(OR(E1887="",E1887="!!!",F1887="NEW"),"",INDEX(J$1:J1886,SUMPRODUCT(MAX(ROW(E$1:E1886)*(E1887=E$1:E1886)))))</f>
        <v> </v>
      </c>
      <c r="L1887" s="27"/>
    </row>
    <row r="1888" spans="1:12">
      <c r="A1888" s="20" t="s">
        <v>611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 t="s">
        <v>1004</v>
      </c>
      <c r="E1889" s="22">
        <f>IF(D1889="?OLD","!!!","")</f>
        <v/>
      </c>
      <c r="F1889" s="23" t="str">
        <f>IF(OR(E1889="",E1889="!!!"),"",IF(NOT(ISNA(VLOOKUP(E1889,E$1:E1888,1,FALSE()))),"OLD",IF(AND(E1889&lt;&gt;"",E1889&lt;&gt;"!!!"),"NEW","")))</f>
        <v> </v>
      </c>
      <c r="G1889" s="24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5" t="str">
        <f>IF(J1889&lt;&gt;1,"",IF(I1889="SBJ","CB","?"))</f>
        <v> </v>
      </c>
      <c r="I1889" s="26" t="str">
        <f>IF(OR(E1889="",E1889="!!!",F1889="NEW"),"",INDEX(B1888:B$2,-1+SUMPRODUCT(MAX(ROW(E1888:E$2)*(E1889=E1888:E$2)))))</f>
        <v> </v>
      </c>
      <c r="J1889" s="26" t="str">
        <f>IF(OR(E1889="",E1889="!!!",F1889="NEW"),"",COUNTBLANK(OFFSET(A$1,,,SUMPRODUCT(MAX(ROW(E$2:E1889)*(E1889=E$2:E1889)))))-COUNTBLANK(OFFSET(A$1,,,SUMPRODUCT(MAX(ROW(E$1:E1888)*(E2=E$1:E1888))))))</f>
        <v> </v>
      </c>
      <c r="K1889" s="26" t="str">
        <f>IF(OR(E1889="",E1889="!!!",F1889="NEW"),"",INDEX(J$1:J1888,SUMPRODUCT(MAX(ROW(E$1:E1888)*(E1889=E$1:E1888)))))</f>
        <v> </v>
      </c>
      <c r="L1889" s="27"/>
    </row>
    <row r="1890" spans="1:12">
      <c r="A1890" s="20" t="s">
        <v>861</v>
      </c>
      <c r="E1890" s="22">
        <f>IF(D1890="?OLD","!!!","")</f>
        <v/>
      </c>
      <c r="F1890" s="23" t="str">
        <f>IF(OR(E1890="",E1890="!!!"),"",IF(NOT(ISNA(VLOOKUP(E1890,E$1:E1889,1,FALSE()))),"OLD",IF(AND(E1890&lt;&gt;"",E1890&lt;&gt;"!!!"),"NEW","")))</f>
        <v> </v>
      </c>
      <c r="G1890" s="24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5" t="str">
        <f>IF(J1890&lt;&gt;1,"",IF(I1890="SBJ","CB","?"))</f>
        <v> </v>
      </c>
      <c r="I1890" s="26" t="str">
        <f>IF(OR(E1890="",E1890="!!!",F1890="NEW"),"",INDEX(B1889:B$2,-1+SUMPRODUCT(MAX(ROW(E1889:E$2)*(E1890=E1889:E$2)))))</f>
        <v> </v>
      </c>
      <c r="J1890" s="26" t="str">
        <f>IF(OR(E1890="",E1890="!!!",F1890="NEW"),"",COUNTBLANK(OFFSET(A$1,,,SUMPRODUCT(MAX(ROW(E$2:E1890)*(E1890=E$2:E1890)))))-COUNTBLANK(OFFSET(A$1,,,SUMPRODUCT(MAX(ROW(E$1:E1889)*(E2=E$1:E1889))))))</f>
        <v> </v>
      </c>
      <c r="K1890" s="26" t="str">
        <f>IF(OR(E1890="",E1890="!!!",F1890="NEW"),"",INDEX(J$1:J1889,SUMPRODUCT(MAX(ROW(E$1:E1889)*(E1890=E$1:E1889)))))</f>
        <v> </v>
      </c>
      <c r="L1890" s="27"/>
    </row>
    <row r="1891" spans="1:12">
      <c r="A1891" s="20" t="s">
        <v>1570</v>
      </c>
      <c r="E1891" s="22">
        <f>IF(D1891="?OLD","!!!","")</f>
        <v/>
      </c>
      <c r="F1891" s="23" t="str">
        <f>IF(OR(E1891="",E1891="!!!"),"",IF(NOT(ISNA(VLOOKUP(E1891,E$1:E1890,1,FALSE()))),"OLD",IF(AND(E1891&lt;&gt;"",E1891&lt;&gt;"!!!"),"NEW","")))</f>
        <v> </v>
      </c>
      <c r="G1891" s="24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5" t="str">
        <f>IF(J1891&lt;&gt;1,"",IF(I1891="SBJ","CB","?"))</f>
        <v> </v>
      </c>
      <c r="I1891" s="26" t="str">
        <f>IF(OR(E1891="",E1891="!!!",F1891="NEW"),"",INDEX(B1890:B$2,-1+SUMPRODUCT(MAX(ROW(E1890:E$2)*(E1891=E1890:E$2)))))</f>
        <v> </v>
      </c>
      <c r="J1891" s="26" t="str">
        <f>IF(OR(E1891="",E1891="!!!",F1891="NEW"),"",COUNTBLANK(OFFSET(A$1,,,SUMPRODUCT(MAX(ROW(E$2:E1891)*(E1891=E$2:E1891)))))-COUNTBLANK(OFFSET(A$1,,,SUMPRODUCT(MAX(ROW(E$1:E1890)*(E2=E$1:E1890))))))</f>
        <v> </v>
      </c>
      <c r="K1891" s="26" t="str">
        <f>IF(OR(E1891="",E1891="!!!",F1891="NEW"),"",INDEX(J$1:J1890,SUMPRODUCT(MAX(ROW(E$1:E1890)*(E1891=E$1:E1890)))))</f>
        <v> </v>
      </c>
      <c r="L1891" s="27"/>
    </row>
    <row r="1892" spans="1:12">
      <c r="A1892" s="20" t="s">
        <v>1571</v>
      </c>
      <c r="E1892" s="22">
        <f>IF(D1892="?OLD","!!!","")</f>
        <v/>
      </c>
      <c r="F1892" s="23" t="str">
        <f>IF(OR(E1892="",E1892="!!!"),"",IF(NOT(ISNA(VLOOKUP(E1892,E$1:E1891,1,FALSE()))),"OLD",IF(AND(E1892&lt;&gt;"",E1892&lt;&gt;"!!!"),"NEW","")))</f>
        <v> </v>
      </c>
      <c r="G1892" s="24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5" t="str">
        <f>IF(J1892&lt;&gt;1,"",IF(I1892="SBJ","CB","?"))</f>
        <v> </v>
      </c>
      <c r="I1892" s="26" t="str">
        <f>IF(OR(E1892="",E1892="!!!",F1892="NEW"),"",INDEX(B1891:B$2,-1+SUMPRODUCT(MAX(ROW(E1891:E$2)*(E1892=E1891:E$2)))))</f>
        <v> </v>
      </c>
      <c r="J1892" s="26" t="str">
        <f>IF(OR(E1892="",E1892="!!!",F1892="NEW"),"",COUNTBLANK(OFFSET(A$1,,,SUMPRODUCT(MAX(ROW(E$2:E1892)*(E1892=E$2:E1892)))))-COUNTBLANK(OFFSET(A$1,,,SUMPRODUCT(MAX(ROW(E$1:E1891)*(E2=E$1:E1891))))))</f>
        <v> </v>
      </c>
      <c r="K1892" s="26" t="str">
        <f>IF(OR(E1892="",E1892="!!!",F1892="NEW"),"",INDEX(J$1:J1891,SUMPRODUCT(MAX(ROW(E$1:E1891)*(E1892=E$1:E1891)))))</f>
        <v> </v>
      </c>
      <c r="L1892" s="27"/>
    </row>
    <row r="1893" spans="1:12">
      <c r="A1893" s="20" t="s">
        <v>633</v>
      </c>
      <c r="E1893" s="22">
        <f>IF(D1893="?OLD","!!!","")</f>
        <v/>
      </c>
      <c r="F1893" s="23" t="str">
        <f>IF(OR(E1893="",E1893="!!!"),"",IF(NOT(ISNA(VLOOKUP(E1893,E$1:E1892,1,FALSE()))),"OLD",IF(AND(E1893&lt;&gt;"",E1893&lt;&gt;"!!!"),"NEW","")))</f>
        <v> </v>
      </c>
      <c r="G1893" s="24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5" t="str">
        <f>IF(J1893&lt;&gt;1,"",IF(I1893="SBJ","CB","?"))</f>
        <v> </v>
      </c>
      <c r="I1893" s="26" t="str">
        <f>IF(OR(E1893="",E1893="!!!",F1893="NEW"),"",INDEX(B1892:B$2,-1+SUMPRODUCT(MAX(ROW(E1892:E$2)*(E1893=E1892:E$2)))))</f>
        <v> </v>
      </c>
      <c r="J1893" s="26" t="str">
        <f>IF(OR(E1893="",E1893="!!!",F1893="NEW"),"",COUNTBLANK(OFFSET(A$1,,,SUMPRODUCT(MAX(ROW(E$2:E1893)*(E1893=E$2:E1893)))))-COUNTBLANK(OFFSET(A$1,,,SUMPRODUCT(MAX(ROW(E$1:E1892)*(E2=E$1:E1892))))))</f>
        <v> </v>
      </c>
      <c r="K1893" s="26" t="str">
        <f>IF(OR(E1893="",E1893="!!!",F1893="NEW"),"",INDEX(J$1:J1892,SUMPRODUCT(MAX(ROW(E$1:E1892)*(E1893=E$1:E1892)))))</f>
        <v> </v>
      </c>
      <c r="L1893" s="27"/>
    </row>
    <row r="1894" spans="1:12">
      <c r="A1894" s="20"/>
    </row>
    <row r="1895" spans="1:12">
      <c r="A1895" s="20" t="s">
        <v>1572</v>
      </c>
    </row>
    <row r="1896" spans="1:12">
      <c r="A1896" s="20" t="s">
        <v>1573</v>
      </c>
      <c r="E1896" s="22">
        <f>IF(D1896="?OLD","!!!","")</f>
        <v/>
      </c>
      <c r="F1896" s="23" t="str">
        <f>IF(OR(E1896="",E1896="!!!"),"",IF(NOT(ISNA(VLOOKUP(E1896,E$1:E1895,1,FALSE()))),"OLD",IF(AND(E1896&lt;&gt;"",E1896&lt;&gt;"!!!"),"NEW","")))</f>
        <v> </v>
      </c>
      <c r="G1896" s="24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5" t="str">
        <f>IF(J1896&lt;&gt;1,"",IF(I1896="SBJ","CB","?"))</f>
        <v> </v>
      </c>
      <c r="I1896" s="26" t="str">
        <f>IF(OR(E1896="",E1896="!!!",F1896="NEW"),"",INDEX(B1895:B$2,-1+SUMPRODUCT(MAX(ROW(E1895:E$2)*(E1896=E1895:E$2)))))</f>
        <v> </v>
      </c>
      <c r="J1896" s="26" t="str">
        <f>IF(OR(E1896="",E1896="!!!",F1896="NEW"),"",COUNTBLANK(OFFSET(A$1,,,SUMPRODUCT(MAX(ROW(E$2:E1896)*(E1896=E$2:E1896)))))-COUNTBLANK(OFFSET(A$1,,,SUMPRODUCT(MAX(ROW(E$1:E1895)*(E2=E$1:E1895))))))</f>
        <v> </v>
      </c>
      <c r="K1896" s="26" t="str">
        <f>IF(OR(E1896="",E1896="!!!",F1896="NEW"),"",INDEX(J$1:J1895,SUMPRODUCT(MAX(ROW(E$1:E1895)*(E1896=E$1:E1895)))))</f>
        <v> </v>
      </c>
      <c r="L1896" s="27"/>
    </row>
    <row r="1897" spans="1:12">
      <c r="A1897" s="20" t="s">
        <v>1574</v>
      </c>
      <c r="E1897" s="22">
        <f>IF(D1897="?OLD","!!!","")</f>
        <v/>
      </c>
      <c r="F1897" s="23" t="str">
        <f>IF(OR(E1897="",E1897="!!!"),"",IF(NOT(ISNA(VLOOKUP(E1897,E$1:E1896,1,FALSE()))),"OLD",IF(AND(E1897&lt;&gt;"",E1897&lt;&gt;"!!!"),"NEW","")))</f>
        <v> </v>
      </c>
      <c r="G1897" s="24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5" t="str">
        <f>IF(J1897&lt;&gt;1,"",IF(I1897="SBJ","CB","?"))</f>
        <v> </v>
      </c>
      <c r="I1897" s="26" t="str">
        <f>IF(OR(E1897="",E1897="!!!",F1897="NEW"),"",INDEX(B1896:B$2,-1+SUMPRODUCT(MAX(ROW(E1896:E$2)*(E1897=E1896:E$2)))))</f>
        <v> </v>
      </c>
      <c r="J1897" s="26" t="str">
        <f>IF(OR(E1897="",E1897="!!!",F1897="NEW"),"",COUNTBLANK(OFFSET(A$1,,,SUMPRODUCT(MAX(ROW(E$2:E1897)*(E1897=E$2:E1897)))))-COUNTBLANK(OFFSET(A$1,,,SUMPRODUCT(MAX(ROW(E$1:E1896)*(E2=E$1:E1896))))))</f>
        <v> </v>
      </c>
      <c r="K1897" s="26" t="str">
        <f>IF(OR(E1897="",E1897="!!!",F1897="NEW"),"",INDEX(J$1:J1896,SUMPRODUCT(MAX(ROW(E$1:E1896)*(E1897=E$1:E1896)))))</f>
        <v> </v>
      </c>
      <c r="L1897" s="27"/>
    </row>
    <row r="1898" spans="1:12">
      <c r="A1898" s="20" t="s">
        <v>800</v>
      </c>
      <c r="B1898" s="21" t="s">
        <v>801</v>
      </c>
      <c r="C1898" s="21" t="s">
        <v>602</v>
      </c>
      <c r="D1898" s="21" t="s">
        <v>603</v>
      </c>
      <c r="E1898" s="22">
        <f>IF(D1898="?OLD","!!!","")</f>
        <v/>
      </c>
      <c r="F1898" s="23" t="str">
        <f>IF(OR(E1898="",E1898="!!!"),"",IF(NOT(ISNA(VLOOKUP(E1898,E$1:E1897,1,FALSE()))),"OLD",IF(AND(E1898&lt;&gt;"",E1898&lt;&gt;"!!!"),"NEW","")))</f>
        <v> </v>
      </c>
      <c r="G1898" s="24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5" t="str">
        <f>IF(J1898&lt;&gt;1,"",IF(I1898="SBJ","CB","?"))</f>
        <v> </v>
      </c>
      <c r="I1898" s="26" t="str">
        <f>IF(OR(E1898="",E1898="!!!",F1898="NEW"),"",INDEX(B1897:B$2,-1+SUMPRODUCT(MAX(ROW(E1897:E$2)*(E1898=E1897:E$2)))))</f>
        <v> </v>
      </c>
      <c r="J1898" s="26" t="str">
        <f>IF(OR(E1898="",E1898="!!!",F1898="NEW"),"",COUNTBLANK(OFFSET(A$1,,,SUMPRODUCT(MAX(ROW(E$2:E1898)*(E1898=E$2:E1898)))))-COUNTBLANK(OFFSET(A$1,,,SUMPRODUCT(MAX(ROW(E$1:E1897)*(E2=E$1:E1897))))))</f>
        <v> </v>
      </c>
      <c r="K1898" s="26" t="str">
        <f>IF(OR(E1898="",E1898="!!!",F1898="NEW"),"",INDEX(J$1:J1897,SUMPRODUCT(MAX(ROW(E$1:E1897)*(E1898=E$1:E1897)))))</f>
        <v> </v>
      </c>
      <c r="L1898" s="27"/>
    </row>
    <row r="1899" spans="1:12">
      <c r="A1899" s="20" t="s">
        <v>611</v>
      </c>
      <c r="E1899" s="22">
        <f>IF(D1899="?OLD","!!!","")</f>
        <v/>
      </c>
      <c r="F1899" s="23" t="str">
        <f>IF(OR(E1899="",E1899="!!!"),"",IF(NOT(ISNA(VLOOKUP(E1899,E$1:E1898,1,FALSE()))),"OLD",IF(AND(E1899&lt;&gt;"",E1899&lt;&gt;"!!!"),"NEW","")))</f>
        <v> </v>
      </c>
      <c r="G1899" s="24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5" t="str">
        <f>IF(J1899&lt;&gt;1,"",IF(I1899="SBJ","CB","?"))</f>
        <v> </v>
      </c>
      <c r="I1899" s="26" t="str">
        <f>IF(OR(E1899="",E1899="!!!",F1899="NEW"),"",INDEX(B1898:B$2,-1+SUMPRODUCT(MAX(ROW(E1898:E$2)*(E1899=E1898:E$2)))))</f>
        <v> </v>
      </c>
      <c r="J1899" s="26" t="str">
        <f>IF(OR(E1899="",E1899="!!!",F1899="NEW"),"",COUNTBLANK(OFFSET(A$1,,,SUMPRODUCT(MAX(ROW(E$2:E1899)*(E1899=E$2:E1899)))))-COUNTBLANK(OFFSET(A$1,,,SUMPRODUCT(MAX(ROW(E$1:E1898)*(E2=E$1:E1898))))))</f>
        <v> </v>
      </c>
      <c r="K1899" s="26" t="str">
        <f>IF(OR(E1899="",E1899="!!!",F1899="NEW"),"",INDEX(J$1:J1898,SUMPRODUCT(MAX(ROW(E$1:E1898)*(E1899=E$1:E1898)))))</f>
        <v> </v>
      </c>
      <c r="L1899" s="27"/>
    </row>
    <row r="1900" spans="1:12">
      <c r="A1900" s="20" t="s">
        <v>655</v>
      </c>
      <c r="E1900" s="22">
        <f>IF(D1900="?OLD","!!!","")</f>
        <v/>
      </c>
      <c r="F1900" s="23" t="str">
        <f>IF(OR(E1900="",E1900="!!!"),"",IF(NOT(ISNA(VLOOKUP(E1900,E$1:E1899,1,FALSE()))),"OLD",IF(AND(E1900&lt;&gt;"",E1900&lt;&gt;"!!!"),"NEW","")))</f>
        <v> </v>
      </c>
      <c r="G1900" s="24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5" t="str">
        <f>IF(J1900&lt;&gt;1,"",IF(I1900="SBJ","CB","?"))</f>
        <v> </v>
      </c>
      <c r="I1900" s="26" t="str">
        <f>IF(OR(E1900="",E1900="!!!",F1900="NEW"),"",INDEX(B1899:B$2,-1+SUMPRODUCT(MAX(ROW(E1899:E$2)*(E1900=E1899:E$2)))))</f>
        <v> </v>
      </c>
      <c r="J1900" s="26" t="str">
        <f>IF(OR(E1900="",E1900="!!!",F1900="NEW"),"",COUNTBLANK(OFFSET(A$1,,,SUMPRODUCT(MAX(ROW(E$2:E1900)*(E1900=E$2:E1900)))))-COUNTBLANK(OFFSET(A$1,,,SUMPRODUCT(MAX(ROW(E$1:E1899)*(E2=E$1:E1899))))))</f>
        <v> </v>
      </c>
      <c r="K1900" s="26" t="str">
        <f>IF(OR(E1900="",E1900="!!!",F1900="NEW"),"",INDEX(J$1:J1899,SUMPRODUCT(MAX(ROW(E$1:E1899)*(E1900=E$1:E1899)))))</f>
        <v> </v>
      </c>
      <c r="L1900" s="27"/>
    </row>
    <row r="1901" spans="1:12">
      <c r="A1901" s="20" t="s">
        <v>1575</v>
      </c>
      <c r="E1901" s="22">
        <f>IF(D1901="?OLD","!!!","")</f>
        <v/>
      </c>
      <c r="F1901" s="23" t="str">
        <f>IF(OR(E1901="",E1901="!!!"),"",IF(NOT(ISNA(VLOOKUP(E1901,E$1:E1900,1,FALSE()))),"OLD",IF(AND(E1901&lt;&gt;"",E1901&lt;&gt;"!!!"),"NEW","")))</f>
        <v> </v>
      </c>
      <c r="G1901" s="24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5" t="str">
        <f>IF(J1901&lt;&gt;1,"",IF(I1901="SBJ","CB","?"))</f>
        <v> </v>
      </c>
      <c r="I1901" s="26" t="str">
        <f>IF(OR(E1901="",E1901="!!!",F1901="NEW"),"",INDEX(B1900:B$2,-1+SUMPRODUCT(MAX(ROW(E1900:E$2)*(E1901=E1900:E$2)))))</f>
        <v> </v>
      </c>
      <c r="J1901" s="26" t="str">
        <f>IF(OR(E1901="",E1901="!!!",F1901="NEW"),"",COUNTBLANK(OFFSET(A$1,,,SUMPRODUCT(MAX(ROW(E$2:E1901)*(E1901=E$2:E1901)))))-COUNTBLANK(OFFSET(A$1,,,SUMPRODUCT(MAX(ROW(E$1:E1900)*(E2=E$1:E1900))))))</f>
        <v> </v>
      </c>
      <c r="K1901" s="26" t="str">
        <f>IF(OR(E1901="",E1901="!!!",F1901="NEW"),"",INDEX(J$1:J1900,SUMPRODUCT(MAX(ROW(E$1:E1900)*(E1901=E$1:E1900)))))</f>
        <v> </v>
      </c>
      <c r="L1901" s="27"/>
    </row>
    <row r="1902" spans="1:12">
      <c r="A1902" s="20" t="s">
        <v>633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/>
    </row>
    <row r="1904" spans="1:12">
      <c r="A1904" s="20" t="s">
        <v>1576</v>
      </c>
    </row>
    <row r="1905" spans="1:12">
      <c r="A1905" s="20" t="s">
        <v>1275</v>
      </c>
      <c r="E1905" s="22">
        <f>IF(D1905="?OLD","!!!","")</f>
        <v/>
      </c>
      <c r="F1905" s="23" t="str">
        <f>IF(OR(E1905="",E1905="!!!"),"",IF(NOT(ISNA(VLOOKUP(E1905,E$1:E1904,1,FALSE()))),"OLD",IF(AND(E1905&lt;&gt;"",E1905&lt;&gt;"!!!"),"NEW","")))</f>
        <v> </v>
      </c>
      <c r="G1905" s="24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5" t="str">
        <f>IF(J1905&lt;&gt;1,"",IF(I1905="SBJ","CB","?"))</f>
        <v> </v>
      </c>
      <c r="I1905" s="26" t="str">
        <f>IF(OR(E1905="",E1905="!!!",F1905="NEW"),"",INDEX(B1904:B$2,-1+SUMPRODUCT(MAX(ROW(E1904:E$2)*(E1905=E1904:E$2)))))</f>
        <v> </v>
      </c>
      <c r="J1905" s="26" t="str">
        <f>IF(OR(E1905="",E1905="!!!",F1905="NEW"),"",COUNTBLANK(OFFSET(A$1,,,SUMPRODUCT(MAX(ROW(E$2:E1905)*(E1905=E$2:E1905)))))-COUNTBLANK(OFFSET(A$1,,,SUMPRODUCT(MAX(ROW(E$1:E1904)*(E2=E$1:E1904))))))</f>
        <v> </v>
      </c>
      <c r="K1905" s="26" t="str">
        <f>IF(OR(E1905="",E1905="!!!",F1905="NEW"),"",INDEX(J$1:J1904,SUMPRODUCT(MAX(ROW(E$1:E1904)*(E1905=E$1:E1904)))))</f>
        <v> </v>
      </c>
      <c r="L1905" s="27"/>
    </row>
    <row r="1906" spans="1:12">
      <c r="A1906" s="20" t="s">
        <v>1243</v>
      </c>
      <c r="B1906" s="21" t="s">
        <v>601</v>
      </c>
      <c r="E1906" s="22">
        <f>IF(D1906="?OLD","!!!","")</f>
        <v/>
      </c>
      <c r="F1906" s="23" t="str">
        <f>IF(OR(E1906="",E1906="!!!"),"",IF(NOT(ISNA(VLOOKUP(E1906,E$1:E1905,1,FALSE()))),"OLD",IF(AND(E1906&lt;&gt;"",E1906&lt;&gt;"!!!"),"NEW","")))</f>
        <v> </v>
      </c>
      <c r="G1906" s="24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5" t="str">
        <f>IF(J1906&lt;&gt;1,"",IF(I1906="SBJ","CB","?"))</f>
        <v> </v>
      </c>
      <c r="I1906" s="26" t="str">
        <f>IF(OR(E1906="",E1906="!!!",F1906="NEW"),"",INDEX(B1905:B$2,-1+SUMPRODUCT(MAX(ROW(E1905:E$2)*(E1906=E1905:E$2)))))</f>
        <v> </v>
      </c>
      <c r="J1906" s="26" t="str">
        <f>IF(OR(E1906="",E1906="!!!",F1906="NEW"),"",COUNTBLANK(OFFSET(A$1,,,SUMPRODUCT(MAX(ROW(E$2:E1906)*(E1906=E$2:E1906)))))-COUNTBLANK(OFFSET(A$1,,,SUMPRODUCT(MAX(ROW(E$1:E1905)*(E2=E$1:E1905))))))</f>
        <v> </v>
      </c>
      <c r="K1906" s="26" t="str">
        <f>IF(OR(E1906="",E1906="!!!",F1906="NEW"),"",INDEX(J$1:J1905,SUMPRODUCT(MAX(ROW(E$1:E1905)*(E1906=E$1:E1905)))))</f>
        <v> </v>
      </c>
      <c r="L1906" s="27"/>
    </row>
    <row r="1907" spans="1:12">
      <c r="A1907" s="20" t="s">
        <v>677</v>
      </c>
      <c r="E1907" s="22">
        <f>IF(D1907="?OLD","!!!","")</f>
        <v/>
      </c>
      <c r="F1907" s="23" t="str">
        <f>IF(OR(E1907="",E1907="!!!"),"",IF(NOT(ISNA(VLOOKUP(E1907,E$1:E1906,1,FALSE()))),"OLD",IF(AND(E1907&lt;&gt;"",E1907&lt;&gt;"!!!"),"NEW","")))</f>
        <v> </v>
      </c>
      <c r="G1907" s="24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5" t="str">
        <f>IF(J1907&lt;&gt;1,"",IF(I1907="SBJ","CB","?"))</f>
        <v> </v>
      </c>
      <c r="I1907" s="26" t="str">
        <f>IF(OR(E1907="",E1907="!!!",F1907="NEW"),"",INDEX(B1906:B$2,-1+SUMPRODUCT(MAX(ROW(E1906:E$2)*(E1907=E1906:E$2)))))</f>
        <v> </v>
      </c>
      <c r="J1907" s="26" t="str">
        <f>IF(OR(E1907="",E1907="!!!",F1907="NEW"),"",COUNTBLANK(OFFSET(A$1,,,SUMPRODUCT(MAX(ROW(E$2:E1907)*(E1907=E$2:E1907)))))-COUNTBLANK(OFFSET(A$1,,,SUMPRODUCT(MAX(ROW(E$1:E1906)*(E2=E$1:E1906))))))</f>
        <v> </v>
      </c>
      <c r="K1907" s="26" t="str">
        <f>IF(OR(E1907="",E1907="!!!",F1907="NEW"),"",INDEX(J$1:J1906,SUMPRODUCT(MAX(ROW(E$1:E1906)*(E1907=E$1:E1906)))))</f>
        <v> </v>
      </c>
      <c r="L1907" s="27"/>
    </row>
    <row r="1908" spans="1:12">
      <c r="A1908" s="20" t="s">
        <v>722</v>
      </c>
      <c r="B1908" s="21" t="s">
        <v>601</v>
      </c>
      <c r="C1908" s="21" t="s">
        <v>723</v>
      </c>
      <c r="D1908" s="21" t="s">
        <v>603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336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 t="s">
        <v>611</v>
      </c>
      <c r="E1910" s="22">
        <f>IF(D1910="?OLD","!!!","")</f>
        <v/>
      </c>
      <c r="F1910" s="23" t="str">
        <f>IF(OR(E1910="",E1910="!!!"),"",IF(NOT(ISNA(VLOOKUP(E1910,E$1:E1909,1,FALSE()))),"OLD",IF(AND(E1910&lt;&gt;"",E1910&lt;&gt;"!!!"),"NEW","")))</f>
        <v> </v>
      </c>
      <c r="G1910" s="24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5" t="str">
        <f>IF(J1910&lt;&gt;1,"",IF(I1910="SBJ","CB","?"))</f>
        <v> </v>
      </c>
      <c r="I1910" s="26" t="str">
        <f>IF(OR(E1910="",E1910="!!!",F1910="NEW"),"",INDEX(B1909:B$2,-1+SUMPRODUCT(MAX(ROW(E1909:E$2)*(E1910=E1909:E$2)))))</f>
        <v> </v>
      </c>
      <c r="J1910" s="26" t="str">
        <f>IF(OR(E1910="",E1910="!!!",F1910="NEW"),"",COUNTBLANK(OFFSET(A$1,,,SUMPRODUCT(MAX(ROW(E$2:E1910)*(E1910=E$2:E1910)))))-COUNTBLANK(OFFSET(A$1,,,SUMPRODUCT(MAX(ROW(E$1:E1909)*(E2=E$1:E1909))))))</f>
        <v> </v>
      </c>
      <c r="K1910" s="26" t="str">
        <f>IF(OR(E1910="",E1910="!!!",F1910="NEW"),"",INDEX(J$1:J1909,SUMPRODUCT(MAX(ROW(E$1:E1909)*(E1910=E$1:E1909)))))</f>
        <v> </v>
      </c>
      <c r="L1910" s="27"/>
    </row>
    <row r="1911" spans="1:12">
      <c r="A1911" s="20" t="s">
        <v>902</v>
      </c>
      <c r="E1911" s="22">
        <f>IF(D1911="?OLD","!!!","")</f>
        <v/>
      </c>
      <c r="F1911" s="23" t="str">
        <f>IF(OR(E1911="",E1911="!!!"),"",IF(NOT(ISNA(VLOOKUP(E1911,E$1:E1910,1,FALSE()))),"OLD",IF(AND(E1911&lt;&gt;"",E1911&lt;&gt;"!!!"),"NEW","")))</f>
        <v> </v>
      </c>
      <c r="G1911" s="24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5" t="str">
        <f>IF(J1911&lt;&gt;1,"",IF(I1911="SBJ","CB","?"))</f>
        <v> </v>
      </c>
      <c r="I1911" s="26" t="str">
        <f>IF(OR(E1911="",E1911="!!!",F1911="NEW"),"",INDEX(B1910:B$2,-1+SUMPRODUCT(MAX(ROW(E1910:E$2)*(E1911=E1910:E$2)))))</f>
        <v> </v>
      </c>
      <c r="J1911" s="26" t="str">
        <f>IF(OR(E1911="",E1911="!!!",F1911="NEW"),"",COUNTBLANK(OFFSET(A$1,,,SUMPRODUCT(MAX(ROW(E$2:E1911)*(E1911=E$2:E1911)))))-COUNTBLANK(OFFSET(A$1,,,SUMPRODUCT(MAX(ROW(E$1:E1910)*(E2=E$1:E1910))))))</f>
        <v> </v>
      </c>
      <c r="K1911" s="26" t="str">
        <f>IF(OR(E1911="",E1911="!!!",F1911="NEW"),"",INDEX(J$1:J1910,SUMPRODUCT(MAX(ROW(E$1:E1910)*(E1911=E$1:E1910)))))</f>
        <v> </v>
      </c>
      <c r="L1911" s="27"/>
    </row>
    <row r="1912" spans="1:12">
      <c r="A1912" s="20" t="s">
        <v>1360</v>
      </c>
      <c r="B1912" s="21" t="s">
        <v>609</v>
      </c>
      <c r="C1912" s="21" t="s">
        <v>614</v>
      </c>
      <c r="E1912" s="22">
        <f>IF(D1912="?OLD","!!!","")</f>
        <v/>
      </c>
      <c r="F1912" s="23" t="str">
        <f>IF(OR(E1912="",E1912="!!!"),"",IF(NOT(ISNA(VLOOKUP(E1912,E$1:E1911,1,FALSE()))),"OLD",IF(AND(E1912&lt;&gt;"",E1912&lt;&gt;"!!!"),"NEW","")))</f>
        <v> </v>
      </c>
      <c r="G1912" s="24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5" t="str">
        <f>IF(J1912&lt;&gt;1,"",IF(I1912="SBJ","CB","?"))</f>
        <v> </v>
      </c>
      <c r="I1912" s="26" t="str">
        <f>IF(OR(E1912="",E1912="!!!",F1912="NEW"),"",INDEX(B1911:B$2,-1+SUMPRODUCT(MAX(ROW(E1911:E$2)*(E1912=E1911:E$2)))))</f>
        <v> </v>
      </c>
      <c r="J1912" s="26" t="str">
        <f>IF(OR(E1912="",E1912="!!!",F1912="NEW"),"",COUNTBLANK(OFFSET(A$1,,,SUMPRODUCT(MAX(ROW(E$2:E1912)*(E1912=E$2:E1912)))))-COUNTBLANK(OFFSET(A$1,,,SUMPRODUCT(MAX(ROW(E$1:E1911)*(E2=E$1:E1911))))))</f>
        <v> </v>
      </c>
      <c r="K1912" s="26" t="str">
        <f>IF(OR(E1912="",E1912="!!!",F1912="NEW"),"",INDEX(J$1:J1911,SUMPRODUCT(MAX(ROW(E$1:E1911)*(E1912=E$1:E1911)))))</f>
        <v> </v>
      </c>
      <c r="L1912" s="27"/>
    </row>
    <row r="1913" spans="1:12">
      <c r="A1913" s="20" t="s">
        <v>907</v>
      </c>
      <c r="B1913" s="21" t="s">
        <v>636</v>
      </c>
      <c r="C1913" s="21" t="s">
        <v>602</v>
      </c>
      <c r="D1913" s="21" t="s">
        <v>603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1417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 t="s">
        <v>664</v>
      </c>
      <c r="E1915" s="22">
        <f>IF(D1915="?OLD","!!!","")</f>
        <v/>
      </c>
      <c r="F1915" s="23" t="str">
        <f>IF(OR(E1915="",E1915="!!!"),"",IF(NOT(ISNA(VLOOKUP(E1915,E$1:E1914,1,FALSE()))),"OLD",IF(AND(E1915&lt;&gt;"",E1915&lt;&gt;"!!!"),"NEW","")))</f>
        <v> </v>
      </c>
      <c r="G1915" s="24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5" t="str">
        <f>IF(J1915&lt;&gt;1,"",IF(I1915="SBJ","CB","?"))</f>
        <v> </v>
      </c>
      <c r="I1915" s="26" t="str">
        <f>IF(OR(E1915="",E1915="!!!",F1915="NEW"),"",INDEX(B1914:B$2,-1+SUMPRODUCT(MAX(ROW(E1914:E$2)*(E1915=E1914:E$2)))))</f>
        <v> </v>
      </c>
      <c r="J1915" s="26" t="str">
        <f>IF(OR(E1915="",E1915="!!!",F1915="NEW"),"",COUNTBLANK(OFFSET(A$1,,,SUMPRODUCT(MAX(ROW(E$2:E1915)*(E1915=E$2:E1915)))))-COUNTBLANK(OFFSET(A$1,,,SUMPRODUCT(MAX(ROW(E$1:E1914)*(E2=E$1:E1914))))))</f>
        <v> </v>
      </c>
      <c r="K1915" s="26" t="str">
        <f>IF(OR(E1915="",E1915="!!!",F1915="NEW"),"",INDEX(J$1:J1914,SUMPRODUCT(MAX(ROW(E$1:E1914)*(E1915=E$1:E1914)))))</f>
        <v> </v>
      </c>
      <c r="L1915" s="27"/>
    </row>
    <row r="1916" spans="1:12">
      <c r="A1916" s="20" t="s">
        <v>1577</v>
      </c>
      <c r="E1916" s="22">
        <f>IF(D1916="?OLD","!!!","")</f>
        <v/>
      </c>
      <c r="F1916" s="23" t="str">
        <f>IF(OR(E1916="",E1916="!!!"),"",IF(NOT(ISNA(VLOOKUP(E1916,E$1:E1915,1,FALSE()))),"OLD",IF(AND(E1916&lt;&gt;"",E1916&lt;&gt;"!!!"),"NEW","")))</f>
        <v> </v>
      </c>
      <c r="G1916" s="24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5" t="str">
        <f>IF(J1916&lt;&gt;1,"",IF(I1916="SBJ","CB","?"))</f>
        <v> </v>
      </c>
      <c r="I1916" s="26" t="str">
        <f>IF(OR(E1916="",E1916="!!!",F1916="NEW"),"",INDEX(B1915:B$2,-1+SUMPRODUCT(MAX(ROW(E1915:E$2)*(E1916=E1915:E$2)))))</f>
        <v> </v>
      </c>
      <c r="J1916" s="26" t="str">
        <f>IF(OR(E1916="",E1916="!!!",F1916="NEW"),"",COUNTBLANK(OFFSET(A$1,,,SUMPRODUCT(MAX(ROW(E$2:E1916)*(E1916=E$2:E1916)))))-COUNTBLANK(OFFSET(A$1,,,SUMPRODUCT(MAX(ROW(E$1:E1915)*(E2=E$1:E1915))))))</f>
        <v> </v>
      </c>
      <c r="K1916" s="26" t="str">
        <f>IF(OR(E1916="",E1916="!!!",F1916="NEW"),"",INDEX(J$1:J1915,SUMPRODUCT(MAX(ROW(E$1:E1915)*(E1916=E$1:E1915)))))</f>
        <v> </v>
      </c>
      <c r="L1916" s="27"/>
    </row>
    <row r="1917" spans="1:12">
      <c r="A1917" s="20" t="s">
        <v>633</v>
      </c>
      <c r="E1917" s="22">
        <f>IF(D1917="?OLD","!!!","")</f>
        <v/>
      </c>
      <c r="F1917" s="23" t="str">
        <f>IF(OR(E1917="",E1917="!!!"),"",IF(NOT(ISNA(VLOOKUP(E1917,E$1:E1916,1,FALSE()))),"OLD",IF(AND(E1917&lt;&gt;"",E1917&lt;&gt;"!!!"),"NEW","")))</f>
        <v> </v>
      </c>
      <c r="G1917" s="24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5" t="str">
        <f>IF(J1917&lt;&gt;1,"",IF(I1917="SBJ","CB","?"))</f>
        <v> </v>
      </c>
      <c r="I1917" s="26" t="str">
        <f>IF(OR(E1917="",E1917="!!!",F1917="NEW"),"",INDEX(B1916:B$2,-1+SUMPRODUCT(MAX(ROW(E1916:E$2)*(E1917=E1916:E$2)))))</f>
        <v> </v>
      </c>
      <c r="J1917" s="26" t="str">
        <f>IF(OR(E1917="",E1917="!!!",F1917="NEW"),"",COUNTBLANK(OFFSET(A$1,,,SUMPRODUCT(MAX(ROW(E$2:E1917)*(E1917=E$2:E1917)))))-COUNTBLANK(OFFSET(A$1,,,SUMPRODUCT(MAX(ROW(E$1:E1916)*(E2=E$1:E1916))))))</f>
        <v> </v>
      </c>
      <c r="K1917" s="26" t="str">
        <f>IF(OR(E1917="",E1917="!!!",F1917="NEW"),"",INDEX(J$1:J1916,SUMPRODUCT(MAX(ROW(E$1:E1916)*(E1917=E$1:E1916)))))</f>
        <v> </v>
      </c>
      <c r="L1917" s="27"/>
    </row>
    <row r="1918" spans="1:12">
      <c r="A1918" s="20"/>
    </row>
    <row r="1919" spans="1:12">
      <c r="A1919" s="20" t="s">
        <v>1578</v>
      </c>
    </row>
    <row r="1920" spans="1:12">
      <c r="A1920" s="20" t="s">
        <v>600</v>
      </c>
      <c r="B1920" s="21" t="s">
        <v>601</v>
      </c>
      <c r="C1920" s="21" t="s">
        <v>602</v>
      </c>
      <c r="D1920" s="21" t="s">
        <v>603</v>
      </c>
      <c r="E1920" s="22">
        <f>IF(D1920="?OLD","!!!","")</f>
        <v/>
      </c>
      <c r="F1920" s="23" t="str">
        <f>IF(OR(E1920="",E1920="!!!"),"",IF(NOT(ISNA(VLOOKUP(E1920,E$1:E1919,1,FALSE()))),"OLD",IF(AND(E1920&lt;&gt;"",E1920&lt;&gt;"!!!"),"NEW","")))</f>
        <v> </v>
      </c>
      <c r="G1920" s="24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5" t="str">
        <f>IF(J1920&lt;&gt;1,"",IF(I1920="SBJ","CB","?"))</f>
        <v> </v>
      </c>
      <c r="I1920" s="26" t="str">
        <f>IF(OR(E1920="",E1920="!!!",F1920="NEW"),"",INDEX(B1919:B$2,-1+SUMPRODUCT(MAX(ROW(E1919:E$2)*(E1920=E1919:E$2)))))</f>
        <v> </v>
      </c>
      <c r="J1920" s="26" t="str">
        <f>IF(OR(E1920="",E1920="!!!",F1920="NEW"),"",COUNTBLANK(OFFSET(A$1,,,SUMPRODUCT(MAX(ROW(E$2:E1920)*(E1920=E$2:E1920)))))-COUNTBLANK(OFFSET(A$1,,,SUMPRODUCT(MAX(ROW(E$1:E1919)*(E2=E$1:E1919))))))</f>
        <v> </v>
      </c>
      <c r="K1920" s="26" t="str">
        <f>IF(OR(E1920="",E1920="!!!",F1920="NEW"),"",INDEX(J$1:J1919,SUMPRODUCT(MAX(ROW(E$1:E1919)*(E1920=E$1:E1919)))))</f>
        <v> </v>
      </c>
      <c r="L1920" s="27"/>
    </row>
    <row r="1921" spans="1:12">
      <c r="A1921" s="20" t="s">
        <v>1579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611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 t="s">
        <v>658</v>
      </c>
      <c r="E1923" s="22">
        <f>IF(D1923="?OLD","!!!","")</f>
        <v/>
      </c>
      <c r="F1923" s="23" t="str">
        <f>IF(OR(E1923="",E1923="!!!"),"",IF(NOT(ISNA(VLOOKUP(E1923,E$1:E1922,1,FALSE()))),"OLD",IF(AND(E1923&lt;&gt;"",E1923&lt;&gt;"!!!"),"NEW","")))</f>
        <v> </v>
      </c>
      <c r="G1923" s="24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5" t="str">
        <f>IF(J1923&lt;&gt;1,"",IF(I1923="SBJ","CB","?"))</f>
        <v> </v>
      </c>
      <c r="I1923" s="26" t="str">
        <f>IF(OR(E1923="",E1923="!!!",F1923="NEW"),"",INDEX(B1922:B$2,-1+SUMPRODUCT(MAX(ROW(E1922:E$2)*(E1923=E1922:E$2)))))</f>
        <v> </v>
      </c>
      <c r="J1923" s="26" t="str">
        <f>IF(OR(E1923="",E1923="!!!",F1923="NEW"),"",COUNTBLANK(OFFSET(A$1,,,SUMPRODUCT(MAX(ROW(E$2:E1923)*(E1923=E$2:E1923)))))-COUNTBLANK(OFFSET(A$1,,,SUMPRODUCT(MAX(ROW(E$1:E1922)*(E2=E$1:E1922))))))</f>
        <v> </v>
      </c>
      <c r="K1923" s="26" t="str">
        <f>IF(OR(E1923="",E1923="!!!",F1923="NEW"),"",INDEX(J$1:J1922,SUMPRODUCT(MAX(ROW(E$1:E1922)*(E1923=E$1:E1922)))))</f>
        <v> </v>
      </c>
      <c r="L1923" s="27"/>
    </row>
    <row r="1924" spans="1:12">
      <c r="A1924" s="20" t="s">
        <v>1580</v>
      </c>
      <c r="E1924" s="22">
        <f>IF(D1924="?OLD","!!!","")</f>
        <v/>
      </c>
      <c r="F1924" s="23" t="str">
        <f>IF(OR(E1924="",E1924="!!!"),"",IF(NOT(ISNA(VLOOKUP(E1924,E$1:E1923,1,FALSE()))),"OLD",IF(AND(E1924&lt;&gt;"",E1924&lt;&gt;"!!!"),"NEW","")))</f>
        <v> </v>
      </c>
      <c r="G1924" s="24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5" t="str">
        <f>IF(J1924&lt;&gt;1,"",IF(I1924="SBJ","CB","?"))</f>
        <v> </v>
      </c>
      <c r="I1924" s="26" t="str">
        <f>IF(OR(E1924="",E1924="!!!",F1924="NEW"),"",INDEX(B1923:B$2,-1+SUMPRODUCT(MAX(ROW(E1923:E$2)*(E1924=E1923:E$2)))))</f>
        <v> </v>
      </c>
      <c r="J1924" s="26" t="str">
        <f>IF(OR(E1924="",E1924="!!!",F1924="NEW"),"",COUNTBLANK(OFFSET(A$1,,,SUMPRODUCT(MAX(ROW(E$2:E1924)*(E1924=E$2:E1924)))))-COUNTBLANK(OFFSET(A$1,,,SUMPRODUCT(MAX(ROW(E$1:E1923)*(E2=E$1:E1923))))))</f>
        <v> </v>
      </c>
      <c r="K1924" s="26" t="str">
        <f>IF(OR(E1924="",E1924="!!!",F1924="NEW"),"",INDEX(J$1:J1923,SUMPRODUCT(MAX(ROW(E$1:E1923)*(E1924=E$1:E1923)))))</f>
        <v> </v>
      </c>
      <c r="L1924" s="27"/>
    </row>
    <row r="1925" spans="1:12">
      <c r="A1925" s="20" t="s">
        <v>1581</v>
      </c>
      <c r="E1925" s="22">
        <f>IF(D1925="?OLD","!!!","")</f>
        <v/>
      </c>
      <c r="F1925" s="23" t="str">
        <f>IF(OR(E1925="",E1925="!!!"),"",IF(NOT(ISNA(VLOOKUP(E1925,E$1:E1924,1,FALSE()))),"OLD",IF(AND(E1925&lt;&gt;"",E1925&lt;&gt;"!!!"),"NEW","")))</f>
        <v> </v>
      </c>
      <c r="G1925" s="24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5" t="str">
        <f>IF(J1925&lt;&gt;1,"",IF(I1925="SBJ","CB","?"))</f>
        <v> </v>
      </c>
      <c r="I1925" s="26" t="str">
        <f>IF(OR(E1925="",E1925="!!!",F1925="NEW"),"",INDEX(B1924:B$2,-1+SUMPRODUCT(MAX(ROW(E1924:E$2)*(E1925=E1924:E$2)))))</f>
        <v> </v>
      </c>
      <c r="J1925" s="26" t="str">
        <f>IF(OR(E1925="",E1925="!!!",F1925="NEW"),"",COUNTBLANK(OFFSET(A$1,,,SUMPRODUCT(MAX(ROW(E$2:E1925)*(E1925=E$2:E1925)))))-COUNTBLANK(OFFSET(A$1,,,SUMPRODUCT(MAX(ROW(E$1:E1924)*(E2=E$1:E1924))))))</f>
        <v> </v>
      </c>
      <c r="K1925" s="26" t="str">
        <f>IF(OR(E1925="",E1925="!!!",F1925="NEW"),"",INDEX(J$1:J1924,SUMPRODUCT(MAX(ROW(E$1:E1924)*(E1925=E$1:E1924)))))</f>
        <v> </v>
      </c>
      <c r="L1925" s="27"/>
    </row>
    <row r="1926" spans="1:12">
      <c r="A1926" s="20" t="s">
        <v>1582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 t="s">
        <v>611</v>
      </c>
      <c r="E1927" s="22">
        <f>IF(D1927="?OLD","!!!","")</f>
        <v/>
      </c>
      <c r="F1927" s="23" t="str">
        <f>IF(OR(E1927="",E1927="!!!"),"",IF(NOT(ISNA(VLOOKUP(E1927,E$1:E1926,1,FALSE()))),"OLD",IF(AND(E1927&lt;&gt;"",E1927&lt;&gt;"!!!"),"NEW","")))</f>
        <v> </v>
      </c>
      <c r="G1927" s="24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5" t="str">
        <f>IF(J1927&lt;&gt;1,"",IF(I1927="SBJ","CB","?"))</f>
        <v> </v>
      </c>
      <c r="I1927" s="26" t="str">
        <f>IF(OR(E1927="",E1927="!!!",F1927="NEW"),"",INDEX(B1926:B$2,-1+SUMPRODUCT(MAX(ROW(E1926:E$2)*(E1927=E1926:E$2)))))</f>
        <v> </v>
      </c>
      <c r="J1927" s="26" t="str">
        <f>IF(OR(E1927="",E1927="!!!",F1927="NEW"),"",COUNTBLANK(OFFSET(A$1,,,SUMPRODUCT(MAX(ROW(E$2:E1927)*(E1927=E$2:E1927)))))-COUNTBLANK(OFFSET(A$1,,,SUMPRODUCT(MAX(ROW(E$1:E1926)*(E2=E$1:E1926))))))</f>
        <v> </v>
      </c>
      <c r="K1927" s="26" t="str">
        <f>IF(OR(E1927="",E1927="!!!",F1927="NEW"),"",INDEX(J$1:J1926,SUMPRODUCT(MAX(ROW(E$1:E1926)*(E1927=E$1:E1926)))))</f>
        <v> </v>
      </c>
      <c r="L1927" s="27"/>
    </row>
    <row r="1928" spans="1:12">
      <c r="A1928" s="20" t="s">
        <v>612</v>
      </c>
      <c r="B1928" s="21" t="s">
        <v>793</v>
      </c>
      <c r="C1928" s="21" t="s">
        <v>614</v>
      </c>
      <c r="E1928" s="22">
        <f>IF(D1928="?OLD","!!!","")</f>
        <v/>
      </c>
      <c r="F1928" s="23" t="str">
        <f>IF(OR(E1928="",E1928="!!!"),"",IF(NOT(ISNA(VLOOKUP(E1928,E$1:E1927,1,FALSE()))),"OLD",IF(AND(E1928&lt;&gt;"",E1928&lt;&gt;"!!!"),"NEW","")))</f>
        <v> </v>
      </c>
      <c r="G1928" s="24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5" t="str">
        <f>IF(J1928&lt;&gt;1,"",IF(I1928="SBJ","CB","?"))</f>
        <v> </v>
      </c>
      <c r="I1928" s="26" t="str">
        <f>IF(OR(E1928="",E1928="!!!",F1928="NEW"),"",INDEX(B1927:B$2,-1+SUMPRODUCT(MAX(ROW(E1927:E$2)*(E1928=E1927:E$2)))))</f>
        <v> </v>
      </c>
      <c r="J1928" s="26" t="str">
        <f>IF(OR(E1928="",E1928="!!!",F1928="NEW"),"",COUNTBLANK(OFFSET(A$1,,,SUMPRODUCT(MAX(ROW(E$2:E1928)*(E1928=E$2:E1928)))))-COUNTBLANK(OFFSET(A$1,,,SUMPRODUCT(MAX(ROW(E$1:E1927)*(E2=E$1:E1927))))))</f>
        <v> </v>
      </c>
      <c r="K1928" s="26" t="str">
        <f>IF(OR(E1928="",E1928="!!!",F1928="NEW"),"",INDEX(J$1:J1927,SUMPRODUCT(MAX(ROW(E$1:E1927)*(E1928=E$1:E1927)))))</f>
        <v> </v>
      </c>
      <c r="L1928" s="27"/>
    </row>
    <row r="1929" spans="1:12">
      <c r="A1929" s="20" t="s">
        <v>907</v>
      </c>
      <c r="B1929" s="21" t="s">
        <v>659</v>
      </c>
      <c r="C1929" s="21" t="s">
        <v>602</v>
      </c>
      <c r="D1929" s="21" t="s">
        <v>603</v>
      </c>
      <c r="E1929" s="22">
        <f>IF(D1929="?OLD","!!!","")</f>
        <v/>
      </c>
      <c r="F1929" s="23" t="str">
        <f>IF(OR(E1929="",E1929="!!!"),"",IF(NOT(ISNA(VLOOKUP(E1929,E$1:E1928,1,FALSE()))),"OLD",IF(AND(E1929&lt;&gt;"",E1929&lt;&gt;"!!!"),"NEW","")))</f>
        <v> </v>
      </c>
      <c r="G1929" s="24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5" t="str">
        <f>IF(J1929&lt;&gt;1,"",IF(I1929="SBJ","CB","?"))</f>
        <v> </v>
      </c>
      <c r="I1929" s="26" t="str">
        <f>IF(OR(E1929="",E1929="!!!",F1929="NEW"),"",INDEX(B1928:B$2,-1+SUMPRODUCT(MAX(ROW(E1928:E$2)*(E1929=E1928:E$2)))))</f>
        <v> </v>
      </c>
      <c r="J1929" s="26" t="str">
        <f>IF(OR(E1929="",E1929="!!!",F1929="NEW"),"",COUNTBLANK(OFFSET(A$1,,,SUMPRODUCT(MAX(ROW(E$2:E1929)*(E1929=E$2:E1929)))))-COUNTBLANK(OFFSET(A$1,,,SUMPRODUCT(MAX(ROW(E$1:E1928)*(E2=E$1:E1928))))))</f>
        <v> </v>
      </c>
      <c r="K1929" s="26" t="str">
        <f>IF(OR(E1929="",E1929="!!!",F1929="NEW"),"",INDEX(J$1:J1928,SUMPRODUCT(MAX(ROW(E$1:E1928)*(E1929=E$1:E1928)))))</f>
        <v> </v>
      </c>
      <c r="L1929" s="27"/>
    </row>
    <row r="1930" spans="1:12">
      <c r="A1930" s="20" t="s">
        <v>1583</v>
      </c>
      <c r="E1930" s="22">
        <f>IF(D1930="?OLD","!!!","")</f>
        <v/>
      </c>
      <c r="F1930" s="23" t="str">
        <f>IF(OR(E1930="",E1930="!!!"),"",IF(NOT(ISNA(VLOOKUP(E1930,E$1:E1929,1,FALSE()))),"OLD",IF(AND(E1930&lt;&gt;"",E1930&lt;&gt;"!!!"),"NEW","")))</f>
        <v> </v>
      </c>
      <c r="G1930" s="24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5" t="str">
        <f>IF(J1930&lt;&gt;1,"",IF(I1930="SBJ","CB","?"))</f>
        <v> </v>
      </c>
      <c r="I1930" s="26" t="str">
        <f>IF(OR(E1930="",E1930="!!!",F1930="NEW"),"",INDEX(B1929:B$2,-1+SUMPRODUCT(MAX(ROW(E1929:E$2)*(E1930=E1929:E$2)))))</f>
        <v> </v>
      </c>
      <c r="J1930" s="26" t="str">
        <f>IF(OR(E1930="",E1930="!!!",F1930="NEW"),"",COUNTBLANK(OFFSET(A$1,,,SUMPRODUCT(MAX(ROW(E$2:E1930)*(E1930=E$2:E1930)))))-COUNTBLANK(OFFSET(A$1,,,SUMPRODUCT(MAX(ROW(E$1:E1929)*(E2=E$1:E1929))))))</f>
        <v> </v>
      </c>
      <c r="K1930" s="26" t="str">
        <f>IF(OR(E1930="",E1930="!!!",F1930="NEW"),"",INDEX(J$1:J1929,SUMPRODUCT(MAX(ROW(E$1:E1929)*(E1930=E$1:E1929)))))</f>
        <v> </v>
      </c>
      <c r="L1930" s="27"/>
    </row>
    <row r="1931" spans="1:12">
      <c r="A1931" s="20" t="s">
        <v>1584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 t="s">
        <v>1562</v>
      </c>
      <c r="B1932" s="21" t="s">
        <v>613</v>
      </c>
      <c r="E1932" s="22">
        <f>IF(D1932="?OLD","!!!","")</f>
        <v/>
      </c>
      <c r="F1932" s="23" t="str">
        <f>IF(OR(E1932="",E1932="!!!"),"",IF(NOT(ISNA(VLOOKUP(E1932,E$1:E1931,1,FALSE()))),"OLD",IF(AND(E1932&lt;&gt;"",E1932&lt;&gt;"!!!"),"NEW","")))</f>
        <v> </v>
      </c>
      <c r="G1932" s="24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5" t="str">
        <f>IF(J1932&lt;&gt;1,"",IF(I1932="SBJ","CB","?"))</f>
        <v> </v>
      </c>
      <c r="I1932" s="26" t="str">
        <f>IF(OR(E1932="",E1932="!!!",F1932="NEW"),"",INDEX(B1931:B$2,-1+SUMPRODUCT(MAX(ROW(E1931:E$2)*(E1932=E1931:E$2)))))</f>
        <v> </v>
      </c>
      <c r="J1932" s="26" t="str">
        <f>IF(OR(E1932="",E1932="!!!",F1932="NEW"),"",COUNTBLANK(OFFSET(A$1,,,SUMPRODUCT(MAX(ROW(E$2:E1932)*(E1932=E$2:E1932)))))-COUNTBLANK(OFFSET(A$1,,,SUMPRODUCT(MAX(ROW(E$1:E1931)*(E2=E$1:E1931))))))</f>
        <v> </v>
      </c>
      <c r="K1932" s="26" t="str">
        <f>IF(OR(E1932="",E1932="!!!",F1932="NEW"),"",INDEX(J$1:J1931,SUMPRODUCT(MAX(ROW(E$1:E1931)*(E1932=E$1:E1931)))))</f>
        <v> </v>
      </c>
      <c r="L1932" s="27"/>
    </row>
    <row r="1933" spans="1:12">
      <c r="A1933" s="20" t="s">
        <v>677</v>
      </c>
      <c r="E1933" s="22">
        <f>IF(D1933="?OLD","!!!","")</f>
        <v/>
      </c>
      <c r="F1933" s="23" t="str">
        <f>IF(OR(E1933="",E1933="!!!"),"",IF(NOT(ISNA(VLOOKUP(E1933,E$1:E1932,1,FALSE()))),"OLD",IF(AND(E1933&lt;&gt;"",E1933&lt;&gt;"!!!"),"NEW","")))</f>
        <v> </v>
      </c>
      <c r="G1933" s="24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5" t="str">
        <f>IF(J1933&lt;&gt;1,"",IF(I1933="SBJ","CB","?"))</f>
        <v> </v>
      </c>
      <c r="I1933" s="26" t="str">
        <f>IF(OR(E1933="",E1933="!!!",F1933="NEW"),"",INDEX(B1932:B$2,-1+SUMPRODUCT(MAX(ROW(E1932:E$2)*(E1933=E1932:E$2)))))</f>
        <v> </v>
      </c>
      <c r="J1933" s="26" t="str">
        <f>IF(OR(E1933="",E1933="!!!",F1933="NEW"),"",COUNTBLANK(OFFSET(A$1,,,SUMPRODUCT(MAX(ROW(E$2:E1933)*(E1933=E$2:E1933)))))-COUNTBLANK(OFFSET(A$1,,,SUMPRODUCT(MAX(ROW(E$1:E1932)*(E2=E$1:E1932))))))</f>
        <v> </v>
      </c>
      <c r="K1933" s="26" t="str">
        <f>IF(OR(E1933="",E1933="!!!",F1933="NEW"),"",INDEX(J$1:J1932,SUMPRODUCT(MAX(ROW(E$1:E1932)*(E1933=E$1:E1932)))))</f>
        <v> </v>
      </c>
      <c r="L1933" s="27"/>
    </row>
    <row r="1934" spans="1:12">
      <c r="A1934" s="20" t="s">
        <v>722</v>
      </c>
      <c r="B1934" s="21" t="s">
        <v>616</v>
      </c>
      <c r="C1934" s="21" t="s">
        <v>723</v>
      </c>
      <c r="D1934" s="21" t="s">
        <v>603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 t="s">
        <v>403</v>
      </c>
      <c r="E1935" s="22">
        <f>IF(D1935="?OLD","!!!","")</f>
        <v/>
      </c>
      <c r="F1935" s="23" t="str">
        <f>IF(OR(E1935="",E1935="!!!"),"",IF(NOT(ISNA(VLOOKUP(E1935,E$1:E1934,1,FALSE()))),"OLD",IF(AND(E1935&lt;&gt;"",E1935&lt;&gt;"!!!"),"NEW","")))</f>
        <v> </v>
      </c>
      <c r="G1935" s="24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5" t="str">
        <f>IF(J1935&lt;&gt;1,"",IF(I1935="SBJ","CB","?"))</f>
        <v> </v>
      </c>
      <c r="I1935" s="26" t="str">
        <f>IF(OR(E1935="",E1935="!!!",F1935="NEW"),"",INDEX(B1934:B$2,-1+SUMPRODUCT(MAX(ROW(E1934:E$2)*(E1935=E1934:E$2)))))</f>
        <v> </v>
      </c>
      <c r="J1935" s="26" t="str">
        <f>IF(OR(E1935="",E1935="!!!",F1935="NEW"),"",COUNTBLANK(OFFSET(A$1,,,SUMPRODUCT(MAX(ROW(E$2:E1935)*(E1935=E$2:E1935)))))-COUNTBLANK(OFFSET(A$1,,,SUMPRODUCT(MAX(ROW(E$1:E1934)*(E2=E$1:E1934))))))</f>
        <v> </v>
      </c>
      <c r="K1935" s="26" t="str">
        <f>IF(OR(E1935="",E1935="!!!",F1935="NEW"),"",INDEX(J$1:J1934,SUMPRODUCT(MAX(ROW(E$1:E1934)*(E1935=E$1:E1934)))))</f>
        <v> </v>
      </c>
      <c r="L1935" s="27"/>
    </row>
    <row r="1936" spans="1:12">
      <c r="A1936" s="20" t="s">
        <v>1585</v>
      </c>
      <c r="E1936" s="22">
        <f>IF(D1936="?OLD","!!!","")</f>
        <v/>
      </c>
      <c r="F1936" s="23" t="str">
        <f>IF(OR(E1936="",E1936="!!!"),"",IF(NOT(ISNA(VLOOKUP(E1936,E$1:E1935,1,FALSE()))),"OLD",IF(AND(E1936&lt;&gt;"",E1936&lt;&gt;"!!!"),"NEW","")))</f>
        <v> </v>
      </c>
      <c r="G1936" s="24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5" t="str">
        <f>IF(J1936&lt;&gt;1,"",IF(I1936="SBJ","CB","?"))</f>
        <v> </v>
      </c>
      <c r="I1936" s="26" t="str">
        <f>IF(OR(E1936="",E1936="!!!",F1936="NEW"),"",INDEX(B1935:B$2,-1+SUMPRODUCT(MAX(ROW(E1935:E$2)*(E1936=E1935:E$2)))))</f>
        <v> </v>
      </c>
      <c r="J1936" s="26" t="str">
        <f>IF(OR(E1936="",E1936="!!!",F1936="NEW"),"",COUNTBLANK(OFFSET(A$1,,,SUMPRODUCT(MAX(ROW(E$2:E1936)*(E1936=E$2:E1936)))))-COUNTBLANK(OFFSET(A$1,,,SUMPRODUCT(MAX(ROW(E$1:E1935)*(E2=E$1:E1935))))))</f>
        <v> </v>
      </c>
      <c r="K1936" s="26" t="str">
        <f>IF(OR(E1936="",E1936="!!!",F1936="NEW"),"",INDEX(J$1:J1935,SUMPRODUCT(MAX(ROW(E$1:E1935)*(E1936=E$1:E1935)))))</f>
        <v> </v>
      </c>
      <c r="L1936" s="27"/>
    </row>
    <row r="1937" spans="1:12">
      <c r="A1937" s="20" t="s">
        <v>866</v>
      </c>
      <c r="E1937" s="22">
        <f>IF(D1937="?OLD","!!!","")</f>
        <v/>
      </c>
      <c r="F1937" s="23" t="str">
        <f>IF(OR(E1937="",E1937="!!!"),"",IF(NOT(ISNA(VLOOKUP(E1937,E$1:E1936,1,FALSE()))),"OLD",IF(AND(E1937&lt;&gt;"",E1937&lt;&gt;"!!!"),"NEW","")))</f>
        <v> </v>
      </c>
      <c r="G1937" s="24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5" t="str">
        <f>IF(J1937&lt;&gt;1,"",IF(I1937="SBJ","CB","?"))</f>
        <v> </v>
      </c>
      <c r="I1937" s="26" t="str">
        <f>IF(OR(E1937="",E1937="!!!",F1937="NEW"),"",INDEX(B1936:B$2,-1+SUMPRODUCT(MAX(ROW(E1936:E$2)*(E1937=E1936:E$2)))))</f>
        <v> </v>
      </c>
      <c r="J1937" s="26" t="str">
        <f>IF(OR(E1937="",E1937="!!!",F1937="NEW"),"",COUNTBLANK(OFFSET(A$1,,,SUMPRODUCT(MAX(ROW(E$2:E1937)*(E1937=E$2:E1937)))))-COUNTBLANK(OFFSET(A$1,,,SUMPRODUCT(MAX(ROW(E$1:E1936)*(E2=E$1:E1936))))))</f>
        <v> </v>
      </c>
      <c r="K1937" s="26" t="str">
        <f>IF(OR(E1937="",E1937="!!!",F1937="NEW"),"",INDEX(J$1:J1936,SUMPRODUCT(MAX(ROW(E$1:E1936)*(E1937=E$1:E1936)))))</f>
        <v> </v>
      </c>
      <c r="L1937" s="27"/>
    </row>
    <row r="1938" spans="1:12">
      <c r="A1938" s="20" t="s">
        <v>633</v>
      </c>
      <c r="E1938" s="22">
        <f>IF(D1938="?OLD","!!!","")</f>
        <v/>
      </c>
      <c r="F1938" s="23" t="str">
        <f>IF(OR(E1938="",E1938="!!!"),"",IF(NOT(ISNA(VLOOKUP(E1938,E$1:E1937,1,FALSE()))),"OLD",IF(AND(E1938&lt;&gt;"",E1938&lt;&gt;"!!!"),"NEW","")))</f>
        <v> </v>
      </c>
      <c r="G1938" s="24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5" t="str">
        <f>IF(J1938&lt;&gt;1,"",IF(I1938="SBJ","CB","?"))</f>
        <v> </v>
      </c>
      <c r="I1938" s="26" t="str">
        <f>IF(OR(E1938="",E1938="!!!",F1938="NEW"),"",INDEX(B1937:B$2,-1+SUMPRODUCT(MAX(ROW(E1937:E$2)*(E1938=E1937:E$2)))))</f>
        <v> </v>
      </c>
      <c r="J1938" s="26" t="str">
        <f>IF(OR(E1938="",E1938="!!!",F1938="NEW"),"",COUNTBLANK(OFFSET(A$1,,,SUMPRODUCT(MAX(ROW(E$2:E1938)*(E1938=E$2:E1938)))))-COUNTBLANK(OFFSET(A$1,,,SUMPRODUCT(MAX(ROW(E$1:E1937)*(E2=E$1:E1937))))))</f>
        <v> </v>
      </c>
      <c r="K1938" s="26" t="str">
        <f>IF(OR(E1938="",E1938="!!!",F1938="NEW"),"",INDEX(J$1:J1937,SUMPRODUCT(MAX(ROW(E$1:E1937)*(E1938=E$1:E1937)))))</f>
        <v> </v>
      </c>
      <c r="L1938" s="27"/>
    </row>
    <row r="1939" spans="1:12">
      <c r="A1939" s="20"/>
    </row>
    <row r="1940" spans="1:12">
      <c r="A1940" s="20" t="s">
        <v>1586</v>
      </c>
    </row>
    <row r="1941" spans="1:12">
      <c r="A1941" s="20" t="s">
        <v>1587</v>
      </c>
      <c r="E1941" s="22">
        <f>IF(D1941="?OLD","!!!","")</f>
        <v/>
      </c>
      <c r="F1941" s="23" t="str">
        <f>IF(OR(E1941="",E1941="!!!"),"",IF(NOT(ISNA(VLOOKUP(E1941,E$1:E1940,1,FALSE()))),"OLD",IF(AND(E1941&lt;&gt;"",E1941&lt;&gt;"!!!"),"NEW","")))</f>
        <v> </v>
      </c>
      <c r="G1941" s="24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5" t="str">
        <f>IF(J1941&lt;&gt;1,"",IF(I1941="SBJ","CB","?"))</f>
        <v> </v>
      </c>
      <c r="I1941" s="26" t="str">
        <f>IF(OR(E1941="",E1941="!!!",F1941="NEW"),"",INDEX(B1940:B$2,-1+SUMPRODUCT(MAX(ROW(E1940:E$2)*(E1941=E1940:E$2)))))</f>
        <v> </v>
      </c>
      <c r="J1941" s="26" t="str">
        <f>IF(OR(E1941="",E1941="!!!",F1941="NEW"),"",COUNTBLANK(OFFSET(A$1,,,SUMPRODUCT(MAX(ROW(E$2:E1941)*(E1941=E$2:E1941)))))-COUNTBLANK(OFFSET(A$1,,,SUMPRODUCT(MAX(ROW(E$1:E1940)*(E2=E$1:E1940))))))</f>
        <v> </v>
      </c>
      <c r="K1941" s="26" t="str">
        <f>IF(OR(E1941="",E1941="!!!",F1941="NEW"),"",INDEX(J$1:J1940,SUMPRODUCT(MAX(ROW(E$1:E1940)*(E1941=E$1:E1940)))))</f>
        <v> </v>
      </c>
      <c r="L1941" s="27"/>
    </row>
    <row r="1942" spans="1:12">
      <c r="A1942" s="20" t="s">
        <v>611</v>
      </c>
      <c r="E1942" s="22">
        <f>IF(D1942="?OLD","!!!","")</f>
        <v/>
      </c>
      <c r="F1942" s="23" t="str">
        <f>IF(OR(E1942="",E1942="!!!"),"",IF(NOT(ISNA(VLOOKUP(E1942,E$1:E1941,1,FALSE()))),"OLD",IF(AND(E1942&lt;&gt;"",E1942&lt;&gt;"!!!"),"NEW","")))</f>
        <v> </v>
      </c>
      <c r="G1942" s="24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5" t="str">
        <f>IF(J1942&lt;&gt;1,"",IF(I1942="SBJ","CB","?"))</f>
        <v> </v>
      </c>
      <c r="I1942" s="26" t="str">
        <f>IF(OR(E1942="",E1942="!!!",F1942="NEW"),"",INDEX(B1941:B$2,-1+SUMPRODUCT(MAX(ROW(E1941:E$2)*(E1942=E1941:E$2)))))</f>
        <v> </v>
      </c>
      <c r="J1942" s="26" t="str">
        <f>IF(OR(E1942="",E1942="!!!",F1942="NEW"),"",COUNTBLANK(OFFSET(A$1,,,SUMPRODUCT(MAX(ROW(E$2:E1942)*(E1942=E$2:E1942)))))-COUNTBLANK(OFFSET(A$1,,,SUMPRODUCT(MAX(ROW(E$1:E1941)*(E2=E$1:E1941))))))</f>
        <v> </v>
      </c>
      <c r="K1942" s="26" t="str">
        <f>IF(OR(E1942="",E1942="!!!",F1942="NEW"),"",INDEX(J$1:J1941,SUMPRODUCT(MAX(ROW(E$1:E1941)*(E1942=E$1:E1941)))))</f>
        <v> </v>
      </c>
      <c r="L1942" s="27"/>
    </row>
    <row r="1943" spans="1:12">
      <c r="A1943" s="20" t="s">
        <v>932</v>
      </c>
      <c r="B1943" s="21" t="s">
        <v>636</v>
      </c>
      <c r="C1943" s="21" t="s">
        <v>614</v>
      </c>
      <c r="E1943" s="22">
        <f>IF(D1943="?OLD","!!!","")</f>
        <v/>
      </c>
      <c r="F1943" s="23" t="str">
        <f>IF(OR(E1943="",E1943="!!!"),"",IF(NOT(ISNA(VLOOKUP(E1943,E$1:E1942,1,FALSE()))),"OLD",IF(AND(E1943&lt;&gt;"",E1943&lt;&gt;"!!!"),"NEW","")))</f>
        <v> </v>
      </c>
      <c r="G1943" s="24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5" t="str">
        <f>IF(J1943&lt;&gt;1,"",IF(I1943="SBJ","CB","?"))</f>
        <v> </v>
      </c>
      <c r="I1943" s="26" t="str">
        <f>IF(OR(E1943="",E1943="!!!",F1943="NEW"),"",INDEX(B1942:B$2,-1+SUMPRODUCT(MAX(ROW(E1942:E$2)*(E1943=E1942:E$2)))))</f>
        <v> </v>
      </c>
      <c r="J1943" s="26" t="str">
        <f>IF(OR(E1943="",E1943="!!!",F1943="NEW"),"",COUNTBLANK(OFFSET(A$1,,,SUMPRODUCT(MAX(ROW(E$2:E1943)*(E1943=E$2:E1943)))))-COUNTBLANK(OFFSET(A$1,,,SUMPRODUCT(MAX(ROW(E$1:E1942)*(E2=E$1:E1942))))))</f>
        <v> </v>
      </c>
      <c r="K1943" s="26" t="str">
        <f>IF(OR(E1943="",E1943="!!!",F1943="NEW"),"",INDEX(J$1:J1942,SUMPRODUCT(MAX(ROW(E$1:E1942)*(E1943=E$1:E1942)))))</f>
        <v> </v>
      </c>
      <c r="L1943" s="27"/>
    </row>
    <row r="1944" spans="1:12">
      <c r="A1944" s="20" t="s">
        <v>1588</v>
      </c>
      <c r="B1944" s="21" t="s">
        <v>601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912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/>
    </row>
    <row r="1947" spans="1:12">
      <c r="A1947" s="20" t="s">
        <v>1589</v>
      </c>
    </row>
    <row r="1948" spans="1:12">
      <c r="A1948" s="20" t="s">
        <v>1590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 t="s">
        <v>1591</v>
      </c>
      <c r="B1949" s="21" t="s">
        <v>601</v>
      </c>
      <c r="E1949" s="22">
        <f>IF(D1949="?OLD","!!!","")</f>
        <v/>
      </c>
      <c r="F1949" s="23" t="str">
        <f>IF(OR(E1949="",E1949="!!!"),"",IF(NOT(ISNA(VLOOKUP(E1949,E$1:E1948,1,FALSE()))),"OLD",IF(AND(E1949&lt;&gt;"",E1949&lt;&gt;"!!!"),"NEW","")))</f>
        <v> </v>
      </c>
      <c r="G1949" s="24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5" t="str">
        <f>IF(J1949&lt;&gt;1,"",IF(I1949="SBJ","CB","?"))</f>
        <v> </v>
      </c>
      <c r="I1949" s="26" t="str">
        <f>IF(OR(E1949="",E1949="!!!",F1949="NEW"),"",INDEX(B1948:B$2,-1+SUMPRODUCT(MAX(ROW(E1948:E$2)*(E1949=E1948:E$2)))))</f>
        <v> </v>
      </c>
      <c r="J1949" s="26" t="str">
        <f>IF(OR(E1949="",E1949="!!!",F1949="NEW"),"",COUNTBLANK(OFFSET(A$1,,,SUMPRODUCT(MAX(ROW(E$2:E1949)*(E1949=E$2:E1949)))))-COUNTBLANK(OFFSET(A$1,,,SUMPRODUCT(MAX(ROW(E$1:E1948)*(E2=E$1:E1948))))))</f>
        <v> </v>
      </c>
      <c r="K1949" s="26" t="str">
        <f>IF(OR(E1949="",E1949="!!!",F1949="NEW"),"",INDEX(J$1:J1948,SUMPRODUCT(MAX(ROW(E$1:E1948)*(E1949=E$1:E1948)))))</f>
        <v> </v>
      </c>
      <c r="L1949" s="27"/>
    </row>
    <row r="1950" spans="1:12">
      <c r="A1950" s="20" t="s">
        <v>349</v>
      </c>
      <c r="E1950" s="22">
        <f>IF(D1950="?OLD","!!!","")</f>
        <v/>
      </c>
      <c r="F1950" s="23" t="str">
        <f>IF(OR(E1950="",E1950="!!!"),"",IF(NOT(ISNA(VLOOKUP(E1950,E$1:E1949,1,FALSE()))),"OLD",IF(AND(E1950&lt;&gt;"",E1950&lt;&gt;"!!!"),"NEW","")))</f>
        <v> </v>
      </c>
      <c r="G1950" s="24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5" t="str">
        <f>IF(J1950&lt;&gt;1,"",IF(I1950="SBJ","CB","?"))</f>
        <v> </v>
      </c>
      <c r="I1950" s="26" t="str">
        <f>IF(OR(E1950="",E1950="!!!",F1950="NEW"),"",INDEX(B1949:B$2,-1+SUMPRODUCT(MAX(ROW(E1949:E$2)*(E1950=E1949:E$2)))))</f>
        <v> </v>
      </c>
      <c r="J1950" s="26" t="str">
        <f>IF(OR(E1950="",E1950="!!!",F1950="NEW"),"",COUNTBLANK(OFFSET(A$1,,,SUMPRODUCT(MAX(ROW(E$2:E1950)*(E1950=E$2:E1950)))))-COUNTBLANK(OFFSET(A$1,,,SUMPRODUCT(MAX(ROW(E$1:E1949)*(E2=E$1:E1949))))))</f>
        <v> </v>
      </c>
      <c r="K1950" s="26" t="str">
        <f>IF(OR(E1950="",E1950="!!!",F1950="NEW"),"",INDEX(J$1:J1949,SUMPRODUCT(MAX(ROW(E$1:E1949)*(E1950=E$1:E1949)))))</f>
        <v> </v>
      </c>
      <c r="L1950" s="27"/>
    </row>
    <row r="1951" spans="1:12">
      <c r="A1951" s="20" t="s">
        <v>633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/>
    </row>
    <row r="1953" spans="1:12">
      <c r="A1953" s="20" t="s">
        <v>1592</v>
      </c>
    </row>
    <row r="1954" spans="1:12">
      <c r="A1954" s="20" t="s">
        <v>1341</v>
      </c>
      <c r="E1954" s="22">
        <f>IF(D1954="?OLD","!!!","")</f>
        <v/>
      </c>
      <c r="F1954" s="23" t="str">
        <f>IF(OR(E1954="",E1954="!!!"),"",IF(NOT(ISNA(VLOOKUP(E1954,E$1:E1953,1,FALSE()))),"OLD",IF(AND(E1954&lt;&gt;"",E1954&lt;&gt;"!!!"),"NEW","")))</f>
        <v> </v>
      </c>
      <c r="G1954" s="24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5" t="str">
        <f>IF(J1954&lt;&gt;1,"",IF(I1954="SBJ","CB","?"))</f>
        <v> </v>
      </c>
      <c r="I1954" s="26" t="str">
        <f>IF(OR(E1954="",E1954="!!!",F1954="NEW"),"",INDEX(B1953:B$2,-1+SUMPRODUCT(MAX(ROW(E1953:E$2)*(E1954=E1953:E$2)))))</f>
        <v> </v>
      </c>
      <c r="J1954" s="26" t="str">
        <f>IF(OR(E1954="",E1954="!!!",F1954="NEW"),"",COUNTBLANK(OFFSET(A$1,,,SUMPRODUCT(MAX(ROW(E$2:E1954)*(E1954=E$2:E1954)))))-COUNTBLANK(OFFSET(A$1,,,SUMPRODUCT(MAX(ROW(E$1:E1953)*(E2=E$1:E1953))))))</f>
        <v> </v>
      </c>
      <c r="K1954" s="26" t="str">
        <f>IF(OR(E1954="",E1954="!!!",F1954="NEW"),"",INDEX(J$1:J1953,SUMPRODUCT(MAX(ROW(E$1:E1953)*(E1954=E$1:E1953)))))</f>
        <v> </v>
      </c>
      <c r="L1954" s="27"/>
    </row>
    <row r="1955" spans="1:12">
      <c r="A1955" s="20" t="s">
        <v>1397</v>
      </c>
      <c r="E1955" s="22">
        <f>IF(D1955="?OLD","!!!","")</f>
        <v/>
      </c>
      <c r="F1955" s="23" t="str">
        <f>IF(OR(E1955="",E1955="!!!"),"",IF(NOT(ISNA(VLOOKUP(E1955,E$1:E1954,1,FALSE()))),"OLD",IF(AND(E1955&lt;&gt;"",E1955&lt;&gt;"!!!"),"NEW","")))</f>
        <v> </v>
      </c>
      <c r="G1955" s="24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5" t="str">
        <f>IF(J1955&lt;&gt;1,"",IF(I1955="SBJ","CB","?"))</f>
        <v> </v>
      </c>
      <c r="I1955" s="26" t="str">
        <f>IF(OR(E1955="",E1955="!!!",F1955="NEW"),"",INDEX(B1954:B$2,-1+SUMPRODUCT(MAX(ROW(E1954:E$2)*(E1955=E1954:E$2)))))</f>
        <v> </v>
      </c>
      <c r="J1955" s="26" t="str">
        <f>IF(OR(E1955="",E1955="!!!",F1955="NEW"),"",COUNTBLANK(OFFSET(A$1,,,SUMPRODUCT(MAX(ROW(E$2:E1955)*(E1955=E$2:E1955)))))-COUNTBLANK(OFFSET(A$1,,,SUMPRODUCT(MAX(ROW(E$1:E1954)*(E2=E$1:E1954))))))</f>
        <v> </v>
      </c>
      <c r="K1955" s="26" t="str">
        <f>IF(OR(E1955="",E1955="!!!",F1955="NEW"),"",INDEX(J$1:J1954,SUMPRODUCT(MAX(ROW(E$1:E1954)*(E1955=E$1:E1954)))))</f>
        <v> </v>
      </c>
      <c r="L1955" s="27"/>
    </row>
    <row r="1956" spans="1:12">
      <c r="A1956" s="20" t="s">
        <v>1363</v>
      </c>
      <c r="B1956" s="21" t="s">
        <v>601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 t="s">
        <v>633</v>
      </c>
      <c r="E1957" s="22">
        <f>IF(D1957="?OLD","!!!","")</f>
        <v/>
      </c>
      <c r="F1957" s="23" t="str">
        <f>IF(OR(E1957="",E1957="!!!"),"",IF(NOT(ISNA(VLOOKUP(E1957,E$1:E1956,1,FALSE()))),"OLD",IF(AND(E1957&lt;&gt;"",E1957&lt;&gt;"!!!"),"NEW","")))</f>
        <v> </v>
      </c>
      <c r="G1957" s="24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5" t="str">
        <f>IF(J1957&lt;&gt;1,"",IF(I1957="SBJ","CB","?"))</f>
        <v> </v>
      </c>
      <c r="I1957" s="26" t="str">
        <f>IF(OR(E1957="",E1957="!!!",F1957="NEW"),"",INDEX(B1956:B$2,-1+SUMPRODUCT(MAX(ROW(E1956:E$2)*(E1957=E1956:E$2)))))</f>
        <v> </v>
      </c>
      <c r="J1957" s="26" t="str">
        <f>IF(OR(E1957="",E1957="!!!",F1957="NEW"),"",COUNTBLANK(OFFSET(A$1,,,SUMPRODUCT(MAX(ROW(E$2:E1957)*(E1957=E$2:E1957)))))-COUNTBLANK(OFFSET(A$1,,,SUMPRODUCT(MAX(ROW(E$1:E1956)*(E2=E$1:E1956))))))</f>
        <v> </v>
      </c>
      <c r="K1957" s="26" t="str">
        <f>IF(OR(E1957="",E1957="!!!",F1957="NEW"),"",INDEX(J$1:J1956,SUMPRODUCT(MAX(ROW(E$1:E1956)*(E1957=E$1:E1956)))))</f>
        <v> </v>
      </c>
      <c r="L1957" s="27"/>
    </row>
    <row r="1958" spans="1:12">
      <c r="A1958" s="20"/>
    </row>
    <row r="1959" spans="1:12">
      <c r="A1959" s="20" t="s">
        <v>1593</v>
      </c>
    </row>
    <row r="1960" spans="1:12">
      <c r="A1960" s="20" t="s">
        <v>1341</v>
      </c>
      <c r="E1960" s="22">
        <f>IF(D1960="?OLD","!!!","")</f>
        <v/>
      </c>
      <c r="F1960" s="23" t="str">
        <f>IF(OR(E1960="",E1960="!!!"),"",IF(NOT(ISNA(VLOOKUP(E1960,E$1:E1959,1,FALSE()))),"OLD",IF(AND(E1960&lt;&gt;"",E1960&lt;&gt;"!!!"),"NEW","")))</f>
        <v> </v>
      </c>
      <c r="G1960" s="24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5" t="str">
        <f>IF(J1960&lt;&gt;1,"",IF(I1960="SBJ","CB","?"))</f>
        <v> </v>
      </c>
      <c r="I1960" s="26" t="str">
        <f>IF(OR(E1960="",E1960="!!!",F1960="NEW"),"",INDEX(B1959:B$2,-1+SUMPRODUCT(MAX(ROW(E1959:E$2)*(E1960=E1959:E$2)))))</f>
        <v> </v>
      </c>
      <c r="J1960" s="26" t="str">
        <f>IF(OR(E1960="",E1960="!!!",F1960="NEW"),"",COUNTBLANK(OFFSET(A$1,,,SUMPRODUCT(MAX(ROW(E$2:E1960)*(E1960=E$2:E1960)))))-COUNTBLANK(OFFSET(A$1,,,SUMPRODUCT(MAX(ROW(E$1:E1959)*(E2=E$1:E1959))))))</f>
        <v> </v>
      </c>
      <c r="K1960" s="26" t="str">
        <f>IF(OR(E1960="",E1960="!!!",F1960="NEW"),"",INDEX(J$1:J1959,SUMPRODUCT(MAX(ROW(E$1:E1959)*(E1960=E$1:E1959)))))</f>
        <v> </v>
      </c>
      <c r="L1960" s="27"/>
    </row>
    <row r="1961" spans="1:12">
      <c r="A1961" s="20" t="s">
        <v>1594</v>
      </c>
      <c r="B1961" s="21" t="s">
        <v>601</v>
      </c>
      <c r="E1961" s="22">
        <f>IF(D1961="?OLD","!!!","")</f>
        <v/>
      </c>
      <c r="F1961" s="23" t="str">
        <f>IF(OR(E1961="",E1961="!!!"),"",IF(NOT(ISNA(VLOOKUP(E1961,E$1:E1960,1,FALSE()))),"OLD",IF(AND(E1961&lt;&gt;"",E1961&lt;&gt;"!!!"),"NEW","")))</f>
        <v> </v>
      </c>
      <c r="G1961" s="24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5" t="str">
        <f>IF(J1961&lt;&gt;1,"",IF(I1961="SBJ","CB","?"))</f>
        <v> </v>
      </c>
      <c r="I1961" s="26" t="str">
        <f>IF(OR(E1961="",E1961="!!!",F1961="NEW"),"",INDEX(B1960:B$2,-1+SUMPRODUCT(MAX(ROW(E1960:E$2)*(E1961=E1960:E$2)))))</f>
        <v> </v>
      </c>
      <c r="J1961" s="26" t="str">
        <f>IF(OR(E1961="",E1961="!!!",F1961="NEW"),"",COUNTBLANK(OFFSET(A$1,,,SUMPRODUCT(MAX(ROW(E$2:E1961)*(E1961=E$2:E1961)))))-COUNTBLANK(OFFSET(A$1,,,SUMPRODUCT(MAX(ROW(E$1:E1960)*(E2=E$1:E1960))))))</f>
        <v> </v>
      </c>
      <c r="K1961" s="26" t="str">
        <f>IF(OR(E1961="",E1961="!!!",F1961="NEW"),"",INDEX(J$1:J1960,SUMPRODUCT(MAX(ROW(E$1:E1960)*(E1961=E$1:E1960)))))</f>
        <v> </v>
      </c>
      <c r="L1961" s="27"/>
    </row>
    <row r="1962" spans="1:12">
      <c r="A1962" s="20" t="s">
        <v>633</v>
      </c>
      <c r="E1962" s="22">
        <f>IF(D1962="?OLD","!!!","")</f>
        <v/>
      </c>
      <c r="F1962" s="23" t="str">
        <f>IF(OR(E1962="",E1962="!!!"),"",IF(NOT(ISNA(VLOOKUP(E1962,E$1:E1961,1,FALSE()))),"OLD",IF(AND(E1962&lt;&gt;"",E1962&lt;&gt;"!!!"),"NEW","")))</f>
        <v> </v>
      </c>
      <c r="G1962" s="24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5" t="str">
        <f>IF(J1962&lt;&gt;1,"",IF(I1962="SBJ","CB","?"))</f>
        <v> </v>
      </c>
      <c r="I1962" s="26" t="str">
        <f>IF(OR(E1962="",E1962="!!!",F1962="NEW"),"",INDEX(B1961:B$2,-1+SUMPRODUCT(MAX(ROW(E1961:E$2)*(E1962=E1961:E$2)))))</f>
        <v> </v>
      </c>
      <c r="J1962" s="26" t="str">
        <f>IF(OR(E1962="",E1962="!!!",F1962="NEW"),"",COUNTBLANK(OFFSET(A$1,,,SUMPRODUCT(MAX(ROW(E$2:E1962)*(E1962=E$2:E1962)))))-COUNTBLANK(OFFSET(A$1,,,SUMPRODUCT(MAX(ROW(E$1:E1961)*(E2=E$1:E1961))))))</f>
        <v> </v>
      </c>
      <c r="K1962" s="26" t="str">
        <f>IF(OR(E1962="",E1962="!!!",F1962="NEW"),"",INDEX(J$1:J1961,SUMPRODUCT(MAX(ROW(E$1:E1961)*(E1962=E$1:E1961)))))</f>
        <v> </v>
      </c>
      <c r="L1962" s="27"/>
    </row>
    <row r="1963" spans="1:12">
      <c r="A1963" s="20"/>
    </row>
    <row r="1964" spans="1:12">
      <c r="A1964" s="20" t="s">
        <v>1595</v>
      </c>
    </row>
    <row r="1965" spans="1:12">
      <c r="A1965" s="20" t="s">
        <v>1590</v>
      </c>
      <c r="B1965" s="21" t="s">
        <v>601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349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633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/>
    </row>
    <row r="1969" spans="1:12">
      <c r="A1969" s="20" t="s">
        <v>1596</v>
      </c>
    </row>
    <row r="1970" spans="1:12">
      <c r="A1970" s="20" t="s">
        <v>817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 t="s">
        <v>1248</v>
      </c>
      <c r="E1971" s="22">
        <f>IF(D1971="?OLD","!!!","")</f>
        <v/>
      </c>
      <c r="F1971" s="23" t="str">
        <f>IF(OR(E1971="",E1971="!!!"),"",IF(NOT(ISNA(VLOOKUP(E1971,E$1:E1970,1,FALSE()))),"OLD",IF(AND(E1971&lt;&gt;"",E1971&lt;&gt;"!!!"),"NEW","")))</f>
        <v> </v>
      </c>
      <c r="G1971" s="24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5" t="str">
        <f>IF(J1971&lt;&gt;1,"",IF(I1971="SBJ","CB","?"))</f>
        <v> </v>
      </c>
      <c r="I1971" s="26" t="str">
        <f>IF(OR(E1971="",E1971="!!!",F1971="NEW"),"",INDEX(B1970:B$2,-1+SUMPRODUCT(MAX(ROW(E1970:E$2)*(E1971=E1970:E$2)))))</f>
        <v> </v>
      </c>
      <c r="J1971" s="26" t="str">
        <f>IF(OR(E1971="",E1971="!!!",F1971="NEW"),"",COUNTBLANK(OFFSET(A$1,,,SUMPRODUCT(MAX(ROW(E$2:E1971)*(E1971=E$2:E1971)))))-COUNTBLANK(OFFSET(A$1,,,SUMPRODUCT(MAX(ROW(E$1:E1970)*(E2=E$1:E1970))))))</f>
        <v> </v>
      </c>
      <c r="K1971" s="26" t="str">
        <f>IF(OR(E1971="",E1971="!!!",F1971="NEW"),"",INDEX(J$1:J1970,SUMPRODUCT(MAX(ROW(E$1:E1970)*(E1971=E$1:E1970)))))</f>
        <v> </v>
      </c>
      <c r="L1971" s="27"/>
    </row>
    <row r="1972" spans="1:12">
      <c r="A1972" s="20" t="s">
        <v>646</v>
      </c>
      <c r="E1972" s="22">
        <f>IF(D1972="?OLD","!!!","")</f>
        <v/>
      </c>
      <c r="F1972" s="23" t="str">
        <f>IF(OR(E1972="",E1972="!!!"),"",IF(NOT(ISNA(VLOOKUP(E1972,E$1:E1971,1,FALSE()))),"OLD",IF(AND(E1972&lt;&gt;"",E1972&lt;&gt;"!!!"),"NEW","")))</f>
        <v> </v>
      </c>
      <c r="G1972" s="24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5" t="str">
        <f>IF(J1972&lt;&gt;1,"",IF(I1972="SBJ","CB","?"))</f>
        <v> </v>
      </c>
      <c r="I1972" s="26" t="str">
        <f>IF(OR(E1972="",E1972="!!!",F1972="NEW"),"",INDEX(B1971:B$2,-1+SUMPRODUCT(MAX(ROW(E1971:E$2)*(E1972=E1971:E$2)))))</f>
        <v> </v>
      </c>
      <c r="J1972" s="26" t="str">
        <f>IF(OR(E1972="",E1972="!!!",F1972="NEW"),"",COUNTBLANK(OFFSET(A$1,,,SUMPRODUCT(MAX(ROW(E$2:E1972)*(E1972=E$2:E1972)))))-COUNTBLANK(OFFSET(A$1,,,SUMPRODUCT(MAX(ROW(E$1:E1971)*(E2=E$1:E1971))))))</f>
        <v> </v>
      </c>
      <c r="K1972" s="26" t="str">
        <f>IF(OR(E1972="",E1972="!!!",F1972="NEW"),"",INDEX(J$1:J1971,SUMPRODUCT(MAX(ROW(E$1:E1971)*(E1972=E$1:E1971)))))</f>
        <v> </v>
      </c>
      <c r="L1972" s="27"/>
    </row>
    <row r="1973" spans="1:12">
      <c r="A1973" s="20" t="s">
        <v>1183</v>
      </c>
      <c r="E1973" s="22">
        <f>IF(D1973="?OLD","!!!","")</f>
        <v/>
      </c>
      <c r="F1973" s="23" t="str">
        <f>IF(OR(E1973="",E1973="!!!"),"",IF(NOT(ISNA(VLOOKUP(E1973,E$1:E1972,1,FALSE()))),"OLD",IF(AND(E1973&lt;&gt;"",E1973&lt;&gt;"!!!"),"NEW","")))</f>
        <v> </v>
      </c>
      <c r="G1973" s="24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5" t="str">
        <f>IF(J1973&lt;&gt;1,"",IF(I1973="SBJ","CB","?"))</f>
        <v> </v>
      </c>
      <c r="I1973" s="26" t="str">
        <f>IF(OR(E1973="",E1973="!!!",F1973="NEW"),"",INDEX(B1972:B$2,-1+SUMPRODUCT(MAX(ROW(E1972:E$2)*(E1973=E1972:E$2)))))</f>
        <v> </v>
      </c>
      <c r="J1973" s="26" t="str">
        <f>IF(OR(E1973="",E1973="!!!",F1973="NEW"),"",COUNTBLANK(OFFSET(A$1,,,SUMPRODUCT(MAX(ROW(E$2:E1973)*(E1973=E$2:E1973)))))-COUNTBLANK(OFFSET(A$1,,,SUMPRODUCT(MAX(ROW(E$1:E1972)*(E2=E$1:E1972))))))</f>
        <v> </v>
      </c>
      <c r="K1973" s="26" t="str">
        <f>IF(OR(E1973="",E1973="!!!",F1973="NEW"),"",INDEX(J$1:J1972,SUMPRODUCT(MAX(ROW(E$1:E1972)*(E1973=E$1:E1972)))))</f>
        <v> </v>
      </c>
      <c r="L1973" s="27"/>
    </row>
    <row r="1974" spans="1:12">
      <c r="A1974" s="20" t="s">
        <v>1597</v>
      </c>
      <c r="E1974" s="22">
        <f>IF(D1974="?OLD","!!!","")</f>
        <v/>
      </c>
      <c r="F1974" s="23" t="str">
        <f>IF(OR(E1974="",E1974="!!!"),"",IF(NOT(ISNA(VLOOKUP(E1974,E$1:E1973,1,FALSE()))),"OLD",IF(AND(E1974&lt;&gt;"",E1974&lt;&gt;"!!!"),"NEW","")))</f>
        <v> </v>
      </c>
      <c r="G1974" s="24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5" t="str">
        <f>IF(J1974&lt;&gt;1,"",IF(I1974="SBJ","CB","?"))</f>
        <v> </v>
      </c>
      <c r="I1974" s="26" t="str">
        <f>IF(OR(E1974="",E1974="!!!",F1974="NEW"),"",INDEX(B1973:B$2,-1+SUMPRODUCT(MAX(ROW(E1973:E$2)*(E1974=E1973:E$2)))))</f>
        <v> </v>
      </c>
      <c r="J1974" s="26" t="str">
        <f>IF(OR(E1974="",E1974="!!!",F1974="NEW"),"",COUNTBLANK(OFFSET(A$1,,,SUMPRODUCT(MAX(ROW(E$2:E1974)*(E1974=E$2:E1974)))))-COUNTBLANK(OFFSET(A$1,,,SUMPRODUCT(MAX(ROW(E$1:E1973)*(E2=E$1:E1973))))))</f>
        <v> </v>
      </c>
      <c r="K1974" s="26" t="str">
        <f>IF(OR(E1974="",E1974="!!!",F1974="NEW"),"",INDEX(J$1:J1973,SUMPRODUCT(MAX(ROW(E$1:E1973)*(E1974=E$1:E1973)))))</f>
        <v> </v>
      </c>
      <c r="L1974" s="27"/>
    </row>
    <row r="1975" spans="1:12">
      <c r="A1975" s="20" t="s">
        <v>1598</v>
      </c>
      <c r="E1975" s="22">
        <f>IF(D1975="?OLD","!!!","")</f>
        <v/>
      </c>
      <c r="F1975" s="23" t="str">
        <f>IF(OR(E1975="",E1975="!!!"),"",IF(NOT(ISNA(VLOOKUP(E1975,E$1:E1974,1,FALSE()))),"OLD",IF(AND(E1975&lt;&gt;"",E1975&lt;&gt;"!!!"),"NEW","")))</f>
        <v> </v>
      </c>
      <c r="G1975" s="24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5" t="str">
        <f>IF(J1975&lt;&gt;1,"",IF(I1975="SBJ","CB","?"))</f>
        <v> </v>
      </c>
      <c r="I1975" s="26" t="str">
        <f>IF(OR(E1975="",E1975="!!!",F1975="NEW"),"",INDEX(B1974:B$2,-1+SUMPRODUCT(MAX(ROW(E1974:E$2)*(E1975=E1974:E$2)))))</f>
        <v> </v>
      </c>
      <c r="J1975" s="26" t="str">
        <f>IF(OR(E1975="",E1975="!!!",F1975="NEW"),"",COUNTBLANK(OFFSET(A$1,,,SUMPRODUCT(MAX(ROW(E$2:E1975)*(E1975=E$2:E1975)))))-COUNTBLANK(OFFSET(A$1,,,SUMPRODUCT(MAX(ROW(E$1:E1974)*(E2=E$1:E1974))))))</f>
        <v> </v>
      </c>
      <c r="K1975" s="26" t="str">
        <f>IF(OR(E1975="",E1975="!!!",F1975="NEW"),"",INDEX(J$1:J1974,SUMPRODUCT(MAX(ROW(E$1:E1974)*(E1975=E$1:E1974)))))</f>
        <v> </v>
      </c>
      <c r="L1975" s="27"/>
    </row>
    <row r="1976" spans="1:12">
      <c r="A1976" s="20" t="s">
        <v>1599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 t="s">
        <v>611</v>
      </c>
      <c r="E1977" s="22">
        <f>IF(D1977="?OLD","!!!","")</f>
        <v/>
      </c>
      <c r="F1977" s="23" t="str">
        <f>IF(OR(E1977="",E1977="!!!"),"",IF(NOT(ISNA(VLOOKUP(E1977,E$1:E1976,1,FALSE()))),"OLD",IF(AND(E1977&lt;&gt;"",E1977&lt;&gt;"!!!"),"NEW","")))</f>
        <v> </v>
      </c>
      <c r="G1977" s="24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5" t="str">
        <f>IF(J1977&lt;&gt;1,"",IF(I1977="SBJ","CB","?"))</f>
        <v> </v>
      </c>
      <c r="I1977" s="26" t="str">
        <f>IF(OR(E1977="",E1977="!!!",F1977="NEW"),"",INDEX(B1976:B$2,-1+SUMPRODUCT(MAX(ROW(E1976:E$2)*(E1977=E1976:E$2)))))</f>
        <v> </v>
      </c>
      <c r="J1977" s="26" t="str">
        <f>IF(OR(E1977="",E1977="!!!",F1977="NEW"),"",COUNTBLANK(OFFSET(A$1,,,SUMPRODUCT(MAX(ROW(E$2:E1977)*(E1977=E$2:E1977)))))-COUNTBLANK(OFFSET(A$1,,,SUMPRODUCT(MAX(ROW(E$1:E1976)*(E2=E$1:E1976))))))</f>
        <v> </v>
      </c>
      <c r="K1977" s="26" t="str">
        <f>IF(OR(E1977="",E1977="!!!",F1977="NEW"),"",INDEX(J$1:J1976,SUMPRODUCT(MAX(ROW(E$1:E1976)*(E1977=E$1:E1976)))))</f>
        <v> </v>
      </c>
      <c r="L1977" s="27"/>
    </row>
    <row r="1978" spans="1:12">
      <c r="A1978" s="20" t="s">
        <v>1116</v>
      </c>
      <c r="E1978" s="22">
        <f>IF(D1978="?OLD","!!!","")</f>
        <v/>
      </c>
      <c r="F1978" s="23" t="str">
        <f>IF(OR(E1978="",E1978="!!!"),"",IF(NOT(ISNA(VLOOKUP(E1978,E$1:E1977,1,FALSE()))),"OLD",IF(AND(E1978&lt;&gt;"",E1978&lt;&gt;"!!!"),"NEW","")))</f>
        <v> </v>
      </c>
      <c r="G1978" s="24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5" t="str">
        <f>IF(J1978&lt;&gt;1,"",IF(I1978="SBJ","CB","?"))</f>
        <v> </v>
      </c>
      <c r="I1978" s="26" t="str">
        <f>IF(OR(E1978="",E1978="!!!",F1978="NEW"),"",INDEX(B1977:B$2,-1+SUMPRODUCT(MAX(ROW(E1977:E$2)*(E1978=E1977:E$2)))))</f>
        <v> </v>
      </c>
      <c r="J1978" s="26" t="str">
        <f>IF(OR(E1978="",E1978="!!!",F1978="NEW"),"",COUNTBLANK(OFFSET(A$1,,,SUMPRODUCT(MAX(ROW(E$2:E1978)*(E1978=E$2:E1978)))))-COUNTBLANK(OFFSET(A$1,,,SUMPRODUCT(MAX(ROW(E$1:E1977)*(E2=E$1:E1977))))))</f>
        <v> </v>
      </c>
      <c r="K1978" s="26" t="str">
        <f>IF(OR(E1978="",E1978="!!!",F1978="NEW"),"",INDEX(J$1:J1977,SUMPRODUCT(MAX(ROW(E$1:E1977)*(E1978=E$1:E1977)))))</f>
        <v> </v>
      </c>
      <c r="L1978" s="27"/>
    </row>
    <row r="1979" spans="1:12">
      <c r="A1979" s="20" t="s">
        <v>605</v>
      </c>
      <c r="E1979" s="22">
        <f>IF(D1979="?OLD","!!!","")</f>
        <v/>
      </c>
      <c r="F1979" s="23" t="str">
        <f>IF(OR(E1979="",E1979="!!!"),"",IF(NOT(ISNA(VLOOKUP(E1979,E$1:E1978,1,FALSE()))),"OLD",IF(AND(E1979&lt;&gt;"",E1979&lt;&gt;"!!!"),"NEW","")))</f>
        <v> </v>
      </c>
      <c r="G1979" s="24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5" t="str">
        <f>IF(J1979&lt;&gt;1,"",IF(I1979="SBJ","CB","?"))</f>
        <v> </v>
      </c>
      <c r="I1979" s="26" t="str">
        <f>IF(OR(E1979="",E1979="!!!",F1979="NEW"),"",INDEX(B1978:B$2,-1+SUMPRODUCT(MAX(ROW(E1978:E$2)*(E1979=E1978:E$2)))))</f>
        <v> </v>
      </c>
      <c r="J1979" s="26" t="str">
        <f>IF(OR(E1979="",E1979="!!!",F1979="NEW"),"",COUNTBLANK(OFFSET(A$1,,,SUMPRODUCT(MAX(ROW(E$2:E1979)*(E1979=E$2:E1979)))))-COUNTBLANK(OFFSET(A$1,,,SUMPRODUCT(MAX(ROW(E$1:E1978)*(E2=E$1:E1978))))))</f>
        <v> </v>
      </c>
      <c r="K1979" s="26" t="str">
        <f>IF(OR(E1979="",E1979="!!!",F1979="NEW"),"",INDEX(J$1:J1978,SUMPRODUCT(MAX(ROW(E$1:E1978)*(E1979=E$1:E1978)))))</f>
        <v> </v>
      </c>
      <c r="L1979" s="27"/>
    </row>
    <row r="1980" spans="1:12">
      <c r="A1980" s="20" t="s">
        <v>1316</v>
      </c>
      <c r="B1980" s="21" t="s">
        <v>636</v>
      </c>
      <c r="C1980" s="21" t="s">
        <v>602</v>
      </c>
      <c r="D1980" s="21" t="s">
        <v>603</v>
      </c>
      <c r="E1980" s="22">
        <f>IF(D1980="?OLD","!!!","")</f>
        <v/>
      </c>
      <c r="F1980" s="23" t="str">
        <f>IF(OR(E1980="",E1980="!!!"),"",IF(NOT(ISNA(VLOOKUP(E1980,E$1:E1979,1,FALSE()))),"OLD",IF(AND(E1980&lt;&gt;"",E1980&lt;&gt;"!!!"),"NEW","")))</f>
        <v> </v>
      </c>
      <c r="G1980" s="24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5" t="str">
        <f>IF(J1980&lt;&gt;1,"",IF(I1980="SBJ","CB","?"))</f>
        <v> </v>
      </c>
      <c r="I1980" s="26" t="str">
        <f>IF(OR(E1980="",E1980="!!!",F1980="NEW"),"",INDEX(B1979:B$2,-1+SUMPRODUCT(MAX(ROW(E1979:E$2)*(E1980=E1979:E$2)))))</f>
        <v> </v>
      </c>
      <c r="J1980" s="26" t="str">
        <f>IF(OR(E1980="",E1980="!!!",F1980="NEW"),"",COUNTBLANK(OFFSET(A$1,,,SUMPRODUCT(MAX(ROW(E$2:E1980)*(E1980=E$2:E1980)))))-COUNTBLANK(OFFSET(A$1,,,SUMPRODUCT(MAX(ROW(E$1:E1979)*(E2=E$1:E1979))))))</f>
        <v> </v>
      </c>
      <c r="K1980" s="26" t="str">
        <f>IF(OR(E1980="",E1980="!!!",F1980="NEW"),"",INDEX(J$1:J1979,SUMPRODUCT(MAX(ROW(E$1:E1979)*(E1980=E$1:E1979)))))</f>
        <v> </v>
      </c>
      <c r="L1980" s="27"/>
    </row>
    <row r="1981" spans="1:12">
      <c r="A1981" s="20" t="s">
        <v>607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1600</v>
      </c>
      <c r="B1982" s="21" t="s">
        <v>609</v>
      </c>
      <c r="C1982" s="21" t="s">
        <v>602</v>
      </c>
      <c r="D1982" s="21" t="s">
        <v>603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1601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912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/>
    </row>
    <row r="1986" spans="1:12">
      <c r="A1986" s="20" t="s">
        <v>1602</v>
      </c>
    </row>
    <row r="1987" spans="1:12">
      <c r="A1987" s="20" t="s">
        <v>674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1603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676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789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 t="s">
        <v>1083</v>
      </c>
      <c r="E1991" s="22">
        <f>IF(D1991="?OLD","!!!","")</f>
        <v/>
      </c>
      <c r="F1991" s="23" t="str">
        <f>IF(OR(E1991="",E1991="!!!"),"",IF(NOT(ISNA(VLOOKUP(E1991,E$1:E1990,1,FALSE()))),"OLD",IF(AND(E1991&lt;&gt;"",E1991&lt;&gt;"!!!"),"NEW","")))</f>
        <v> </v>
      </c>
      <c r="G1991" s="24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5" t="str">
        <f>IF(J1991&lt;&gt;1,"",IF(I1991="SBJ","CB","?"))</f>
        <v> </v>
      </c>
      <c r="I1991" s="26" t="str">
        <f>IF(OR(E1991="",E1991="!!!",F1991="NEW"),"",INDEX(B1990:B$2,-1+SUMPRODUCT(MAX(ROW(E1990:E$2)*(E1991=E1990:E$2)))))</f>
        <v> </v>
      </c>
      <c r="J1991" s="26" t="str">
        <f>IF(OR(E1991="",E1991="!!!",F1991="NEW"),"",COUNTBLANK(OFFSET(A$1,,,SUMPRODUCT(MAX(ROW(E$2:E1991)*(E1991=E$2:E1991)))))-COUNTBLANK(OFFSET(A$1,,,SUMPRODUCT(MAX(ROW(E$1:E1990)*(E2=E$1:E1990))))))</f>
        <v> </v>
      </c>
      <c r="K1991" s="26" t="str">
        <f>IF(OR(E1991="",E1991="!!!",F1991="NEW"),"",INDEX(J$1:J1990,SUMPRODUCT(MAX(ROW(E$1:E1990)*(E1991=E$1:E1990)))))</f>
        <v> </v>
      </c>
      <c r="L1991" s="27"/>
    </row>
    <row r="1992" spans="1:12">
      <c r="A1992" s="20" t="s">
        <v>633</v>
      </c>
      <c r="E1992" s="22">
        <f>IF(D1992="?OLD","!!!","")</f>
        <v/>
      </c>
      <c r="F1992" s="23" t="str">
        <f>IF(OR(E1992="",E1992="!!!"),"",IF(NOT(ISNA(VLOOKUP(E1992,E$1:E1991,1,FALSE()))),"OLD",IF(AND(E1992&lt;&gt;"",E1992&lt;&gt;"!!!"),"NEW","")))</f>
        <v> </v>
      </c>
      <c r="G1992" s="24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5" t="str">
        <f>IF(J1992&lt;&gt;1,"",IF(I1992="SBJ","CB","?"))</f>
        <v> </v>
      </c>
      <c r="I1992" s="26" t="str">
        <f>IF(OR(E1992="",E1992="!!!",F1992="NEW"),"",INDEX(B1991:B$2,-1+SUMPRODUCT(MAX(ROW(E1991:E$2)*(E1992=E1991:E$2)))))</f>
        <v> </v>
      </c>
      <c r="J1992" s="26" t="str">
        <f>IF(OR(E1992="",E1992="!!!",F1992="NEW"),"",COUNTBLANK(OFFSET(A$1,,,SUMPRODUCT(MAX(ROW(E$2:E1992)*(E1992=E$2:E1992)))))-COUNTBLANK(OFFSET(A$1,,,SUMPRODUCT(MAX(ROW(E$1:E1991)*(E2=E$1:E1991))))))</f>
        <v> </v>
      </c>
      <c r="K1992" s="26" t="str">
        <f>IF(OR(E1992="",E1992="!!!",F1992="NEW"),"",INDEX(J$1:J1991,SUMPRODUCT(MAX(ROW(E$1:E1991)*(E1992=E$1:E1991)))))</f>
        <v> </v>
      </c>
      <c r="L1992" s="27"/>
    </row>
    <row r="1993" spans="1:12">
      <c r="A1993" s="20"/>
    </row>
    <row r="1994" spans="1:12">
      <c r="A1994" s="20" t="s">
        <v>1604</v>
      </c>
    </row>
    <row r="1995" spans="1:12">
      <c r="A1995" s="20" t="s">
        <v>1045</v>
      </c>
      <c r="E1995" s="22">
        <f>IF(D1995="?OLD","!!!","")</f>
        <v/>
      </c>
      <c r="F1995" s="23" t="str">
        <f>IF(OR(E1995="",E1995="!!!"),"",IF(NOT(ISNA(VLOOKUP(E1995,E$1:E1994,1,FALSE()))),"OLD",IF(AND(E1995&lt;&gt;"",E1995&lt;&gt;"!!!"),"NEW","")))</f>
        <v> </v>
      </c>
      <c r="G1995" s="24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5" t="str">
        <f>IF(J1995&lt;&gt;1,"",IF(I1995="SBJ","CB","?"))</f>
        <v> </v>
      </c>
      <c r="I1995" s="26" t="str">
        <f>IF(OR(E1995="",E1995="!!!",F1995="NEW"),"",INDEX(B1994:B$2,-1+SUMPRODUCT(MAX(ROW(E1994:E$2)*(E1995=E1994:E$2)))))</f>
        <v> </v>
      </c>
      <c r="J1995" s="26" t="str">
        <f>IF(OR(E1995="",E1995="!!!",F1995="NEW"),"",COUNTBLANK(OFFSET(A$1,,,SUMPRODUCT(MAX(ROW(E$2:E1995)*(E1995=E$2:E1995)))))-COUNTBLANK(OFFSET(A$1,,,SUMPRODUCT(MAX(ROW(E$1:E1994)*(E2=E$1:E1994))))))</f>
        <v> </v>
      </c>
      <c r="K1995" s="26" t="str">
        <f>IF(OR(E1995="",E1995="!!!",F1995="NEW"),"",INDEX(J$1:J1994,SUMPRODUCT(MAX(ROW(E$1:E1994)*(E1995=E$1:E1994)))))</f>
        <v> </v>
      </c>
      <c r="L1995" s="27"/>
    </row>
    <row r="1996" spans="1:12">
      <c r="A1996" s="20" t="s">
        <v>1605</v>
      </c>
      <c r="E1996" s="22">
        <f>IF(D1996="?OLD","!!!","")</f>
        <v/>
      </c>
      <c r="F1996" s="23" t="str">
        <f>IF(OR(E1996="",E1996="!!!"),"",IF(NOT(ISNA(VLOOKUP(E1996,E$1:E1995,1,FALSE()))),"OLD",IF(AND(E1996&lt;&gt;"",E1996&lt;&gt;"!!!"),"NEW","")))</f>
        <v> </v>
      </c>
      <c r="G1996" s="24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5" t="str">
        <f>IF(J1996&lt;&gt;1,"",IF(I1996="SBJ","CB","?"))</f>
        <v> </v>
      </c>
      <c r="I1996" s="26" t="str">
        <f>IF(OR(E1996="",E1996="!!!",F1996="NEW"),"",INDEX(B1995:B$2,-1+SUMPRODUCT(MAX(ROW(E1995:E$2)*(E1996=E1995:E$2)))))</f>
        <v> </v>
      </c>
      <c r="J1996" s="26" t="str">
        <f>IF(OR(E1996="",E1996="!!!",F1996="NEW"),"",COUNTBLANK(OFFSET(A$1,,,SUMPRODUCT(MAX(ROW(E$2:E1996)*(E1996=E$2:E1996)))))-COUNTBLANK(OFFSET(A$1,,,SUMPRODUCT(MAX(ROW(E$1:E1995)*(E2=E$1:E1995))))))</f>
        <v> </v>
      </c>
      <c r="K1996" s="26" t="str">
        <f>IF(OR(E1996="",E1996="!!!",F1996="NEW"),"",INDEX(J$1:J1995,SUMPRODUCT(MAX(ROW(E$1:E1995)*(E1996=E$1:E1995)))))</f>
        <v> </v>
      </c>
      <c r="L1996" s="27"/>
    </row>
    <row r="1997" spans="1:12">
      <c r="A1997" s="20" t="s">
        <v>741</v>
      </c>
      <c r="E1997" s="22">
        <f>IF(D1997="?OLD","!!!","")</f>
        <v/>
      </c>
      <c r="F1997" s="23" t="str">
        <f>IF(OR(E1997="",E1997="!!!"),"",IF(NOT(ISNA(VLOOKUP(E1997,E$1:E1996,1,FALSE()))),"OLD",IF(AND(E1997&lt;&gt;"",E1997&lt;&gt;"!!!"),"NEW","")))</f>
        <v> </v>
      </c>
      <c r="G1997" s="24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5" t="str">
        <f>IF(J1997&lt;&gt;1,"",IF(I1997="SBJ","CB","?"))</f>
        <v> </v>
      </c>
      <c r="I1997" s="26" t="str">
        <f>IF(OR(E1997="",E1997="!!!",F1997="NEW"),"",INDEX(B1996:B$2,-1+SUMPRODUCT(MAX(ROW(E1996:E$2)*(E1997=E1996:E$2)))))</f>
        <v> </v>
      </c>
      <c r="J1997" s="26" t="str">
        <f>IF(OR(E1997="",E1997="!!!",F1997="NEW"),"",COUNTBLANK(OFFSET(A$1,,,SUMPRODUCT(MAX(ROW(E$2:E1997)*(E1997=E$2:E1997)))))-COUNTBLANK(OFFSET(A$1,,,SUMPRODUCT(MAX(ROW(E$1:E1996)*(E2=E$1:E1996))))))</f>
        <v> </v>
      </c>
      <c r="K1997" s="26" t="str">
        <f>IF(OR(E1997="",E1997="!!!",F1997="NEW"),"",INDEX(J$1:J1996,SUMPRODUCT(MAX(ROW(E$1:E1996)*(E1997=E$1:E1996)))))</f>
        <v> </v>
      </c>
      <c r="L1997" s="27"/>
    </row>
    <row r="1998" spans="1:12">
      <c r="A1998" s="20" t="s">
        <v>1606</v>
      </c>
      <c r="E1998" s="22">
        <f>IF(D1998="?OLD","!!!","")</f>
        <v/>
      </c>
      <c r="F1998" s="23" t="str">
        <f>IF(OR(E1998="",E1998="!!!"),"",IF(NOT(ISNA(VLOOKUP(E1998,E$1:E1997,1,FALSE()))),"OLD",IF(AND(E1998&lt;&gt;"",E1998&lt;&gt;"!!!"),"NEW","")))</f>
        <v> </v>
      </c>
      <c r="G1998" s="24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5" t="str">
        <f>IF(J1998&lt;&gt;1,"",IF(I1998="SBJ","CB","?"))</f>
        <v> </v>
      </c>
      <c r="I1998" s="26" t="str">
        <f>IF(OR(E1998="",E1998="!!!",F1998="NEW"),"",INDEX(B1997:B$2,-1+SUMPRODUCT(MAX(ROW(E1997:E$2)*(E1998=E1997:E$2)))))</f>
        <v> </v>
      </c>
      <c r="J1998" s="26" t="str">
        <f>IF(OR(E1998="",E1998="!!!",F1998="NEW"),"",COUNTBLANK(OFFSET(A$1,,,SUMPRODUCT(MAX(ROW(E$2:E1998)*(E1998=E$2:E1998)))))-COUNTBLANK(OFFSET(A$1,,,SUMPRODUCT(MAX(ROW(E$1:E1997)*(E2=E$1:E1997))))))</f>
        <v> </v>
      </c>
      <c r="K1998" s="26" t="str">
        <f>IF(OR(E1998="",E1998="!!!",F1998="NEW"),"",INDEX(J$1:J1997,SUMPRODUCT(MAX(ROW(E$1:E1997)*(E1998=E$1:E1997)))))</f>
        <v> </v>
      </c>
      <c r="L1998" s="27"/>
    </row>
    <row r="1999" spans="1:12">
      <c r="A1999" s="20" t="s">
        <v>1607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883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1608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902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1609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 t="s">
        <v>1440</v>
      </c>
      <c r="E2004" s="22">
        <f>IF(D2004="?OLD","!!!","")</f>
        <v/>
      </c>
      <c r="F2004" s="23" t="str">
        <f>IF(OR(E2004="",E2004="!!!"),"",IF(NOT(ISNA(VLOOKUP(E2004,E$1:E2003,1,FALSE()))),"OLD",IF(AND(E2004&lt;&gt;"",E2004&lt;&gt;"!!!"),"NEW","")))</f>
        <v> </v>
      </c>
      <c r="G2004" s="24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5" t="str">
        <f>IF(J2004&lt;&gt;1,"",IF(I2004="SBJ","CB","?"))</f>
        <v> </v>
      </c>
      <c r="I2004" s="26" t="str">
        <f>IF(OR(E2004="",E2004="!!!",F2004="NEW"),"",INDEX(B2003:B$2,-1+SUMPRODUCT(MAX(ROW(E2003:E$2)*(E2004=E2003:E$2)))))</f>
        <v> </v>
      </c>
      <c r="J2004" s="26" t="str">
        <f>IF(OR(E2004="",E2004="!!!",F2004="NEW"),"",COUNTBLANK(OFFSET(A$1,,,SUMPRODUCT(MAX(ROW(E$2:E2004)*(E2004=E$2:E2004)))))-COUNTBLANK(OFFSET(A$1,,,SUMPRODUCT(MAX(ROW(E$1:E2003)*(E2=E$1:E2003))))))</f>
        <v> </v>
      </c>
      <c r="K2004" s="26" t="str">
        <f>IF(OR(E2004="",E2004="!!!",F2004="NEW"),"",INDEX(J$1:J2003,SUMPRODUCT(MAX(ROW(E$1:E2003)*(E2004=E$1:E2003)))))</f>
        <v> </v>
      </c>
      <c r="L2004" s="27"/>
    </row>
    <row r="2005" spans="1:12">
      <c r="A2005" s="20" t="s">
        <v>646</v>
      </c>
      <c r="E2005" s="22">
        <f>IF(D2005="?OLD","!!!","")</f>
        <v/>
      </c>
      <c r="F2005" s="23" t="str">
        <f>IF(OR(E2005="",E2005="!!!"),"",IF(NOT(ISNA(VLOOKUP(E2005,E$1:E2004,1,FALSE()))),"OLD",IF(AND(E2005&lt;&gt;"",E2005&lt;&gt;"!!!"),"NEW","")))</f>
        <v> </v>
      </c>
      <c r="G2005" s="24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5" t="str">
        <f>IF(J2005&lt;&gt;1,"",IF(I2005="SBJ","CB","?"))</f>
        <v> </v>
      </c>
      <c r="I2005" s="26" t="str">
        <f>IF(OR(E2005="",E2005="!!!",F2005="NEW"),"",INDEX(B2004:B$2,-1+SUMPRODUCT(MAX(ROW(E2004:E$2)*(E2005=E2004:E$2)))))</f>
        <v> </v>
      </c>
      <c r="J2005" s="26" t="str">
        <f>IF(OR(E2005="",E2005="!!!",F2005="NEW"),"",COUNTBLANK(OFFSET(A$1,,,SUMPRODUCT(MAX(ROW(E$2:E2005)*(E2005=E$2:E2005)))))-COUNTBLANK(OFFSET(A$1,,,SUMPRODUCT(MAX(ROW(E$1:E2004)*(E2=E$1:E2004))))))</f>
        <v> </v>
      </c>
      <c r="K2005" s="26" t="str">
        <f>IF(OR(E2005="",E2005="!!!",F2005="NEW"),"",INDEX(J$1:J2004,SUMPRODUCT(MAX(ROW(E$1:E2004)*(E2005=E$1:E2004)))))</f>
        <v> </v>
      </c>
      <c r="L2005" s="27"/>
    </row>
    <row r="2006" spans="1:12">
      <c r="A2006" s="20" t="s">
        <v>1415</v>
      </c>
      <c r="E2006" s="22">
        <f>IF(D2006="?OLD","!!!","")</f>
        <v/>
      </c>
      <c r="F2006" s="23" t="str">
        <f>IF(OR(E2006="",E2006="!!!"),"",IF(NOT(ISNA(VLOOKUP(E2006,E$1:E2005,1,FALSE()))),"OLD",IF(AND(E2006&lt;&gt;"",E2006&lt;&gt;"!!!"),"NEW","")))</f>
        <v> </v>
      </c>
      <c r="G2006" s="24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5" t="str">
        <f>IF(J2006&lt;&gt;1,"",IF(I2006="SBJ","CB","?"))</f>
        <v> </v>
      </c>
      <c r="I2006" s="26" t="str">
        <f>IF(OR(E2006="",E2006="!!!",F2006="NEW"),"",INDEX(B2005:B$2,-1+SUMPRODUCT(MAX(ROW(E2005:E$2)*(E2006=E2005:E$2)))))</f>
        <v> </v>
      </c>
      <c r="J2006" s="26" t="str">
        <f>IF(OR(E2006="",E2006="!!!",F2006="NEW"),"",COUNTBLANK(OFFSET(A$1,,,SUMPRODUCT(MAX(ROW(E$2:E2006)*(E2006=E$2:E2006)))))-COUNTBLANK(OFFSET(A$1,,,SUMPRODUCT(MAX(ROW(E$1:E2005)*(E2=E$1:E2005))))))</f>
        <v> </v>
      </c>
      <c r="K2006" s="26" t="str">
        <f>IF(OR(E2006="",E2006="!!!",F2006="NEW"),"",INDEX(J$1:J2005,SUMPRODUCT(MAX(ROW(E$1:E2005)*(E2006=E$1:E2005)))))</f>
        <v> </v>
      </c>
      <c r="L2006" s="27"/>
    </row>
    <row r="2007" spans="1:12">
      <c r="A2007" s="20" t="s">
        <v>611</v>
      </c>
      <c r="E2007" s="22">
        <f>IF(D2007="?OLD","!!!","")</f>
        <v/>
      </c>
      <c r="F2007" s="23" t="str">
        <f>IF(OR(E2007="",E2007="!!!"),"",IF(NOT(ISNA(VLOOKUP(E2007,E$1:E2006,1,FALSE()))),"OLD",IF(AND(E2007&lt;&gt;"",E2007&lt;&gt;"!!!"),"NEW","")))</f>
        <v> </v>
      </c>
      <c r="G2007" s="24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5" t="str">
        <f>IF(J2007&lt;&gt;1,"",IF(I2007="SBJ","CB","?"))</f>
        <v> </v>
      </c>
      <c r="I2007" s="26" t="str">
        <f>IF(OR(E2007="",E2007="!!!",F2007="NEW"),"",INDEX(B2006:B$2,-1+SUMPRODUCT(MAX(ROW(E2006:E$2)*(E2007=E2006:E$2)))))</f>
        <v> </v>
      </c>
      <c r="J2007" s="26" t="str">
        <f>IF(OR(E2007="",E2007="!!!",F2007="NEW"),"",COUNTBLANK(OFFSET(A$1,,,SUMPRODUCT(MAX(ROW(E$2:E2007)*(E2007=E$2:E2007)))))-COUNTBLANK(OFFSET(A$1,,,SUMPRODUCT(MAX(ROW(E$1:E2006)*(E2=E$1:E2006))))))</f>
        <v> </v>
      </c>
      <c r="K2007" s="26" t="str">
        <f>IF(OR(E2007="",E2007="!!!",F2007="NEW"),"",INDEX(J$1:J2006,SUMPRODUCT(MAX(ROW(E$1:E2006)*(E2007=E$1:E2006)))))</f>
        <v> </v>
      </c>
      <c r="L2007" s="27"/>
    </row>
    <row r="2008" spans="1:12">
      <c r="A2008" s="20" t="s">
        <v>1483</v>
      </c>
      <c r="E2008" s="22">
        <f>IF(D2008="?OLD","!!!","")</f>
        <v/>
      </c>
      <c r="F2008" s="23" t="str">
        <f>IF(OR(E2008="",E2008="!!!"),"",IF(NOT(ISNA(VLOOKUP(E2008,E$1:E2007,1,FALSE()))),"OLD",IF(AND(E2008&lt;&gt;"",E2008&lt;&gt;"!!!"),"NEW","")))</f>
        <v> </v>
      </c>
      <c r="G2008" s="24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5" t="str">
        <f>IF(J2008&lt;&gt;1,"",IF(I2008="SBJ","CB","?"))</f>
        <v> </v>
      </c>
      <c r="I2008" s="26" t="str">
        <f>IF(OR(E2008="",E2008="!!!",F2008="NEW"),"",INDEX(B2007:B$2,-1+SUMPRODUCT(MAX(ROW(E2007:E$2)*(E2008=E2007:E$2)))))</f>
        <v> </v>
      </c>
      <c r="J2008" s="26" t="str">
        <f>IF(OR(E2008="",E2008="!!!",F2008="NEW"),"",COUNTBLANK(OFFSET(A$1,,,SUMPRODUCT(MAX(ROW(E$2:E2008)*(E2008=E$2:E2008)))))-COUNTBLANK(OFFSET(A$1,,,SUMPRODUCT(MAX(ROW(E$1:E2007)*(E2=E$1:E2007))))))</f>
        <v> </v>
      </c>
      <c r="K2008" s="26" t="str">
        <f>IF(OR(E2008="",E2008="!!!",F2008="NEW"),"",INDEX(J$1:J2007,SUMPRODUCT(MAX(ROW(E$1:E2007)*(E2008=E$1:E2007)))))</f>
        <v> </v>
      </c>
      <c r="L2008" s="27"/>
    </row>
    <row r="2009" spans="1:12">
      <c r="A2009" s="20" t="s">
        <v>1248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 t="s">
        <v>722</v>
      </c>
      <c r="B2010" s="21" t="s">
        <v>636</v>
      </c>
      <c r="C2010" s="21" t="s">
        <v>723</v>
      </c>
      <c r="D2010" s="21" t="s">
        <v>603</v>
      </c>
      <c r="E2010" s="22">
        <f>IF(D2010="?OLD","!!!","")</f>
        <v/>
      </c>
      <c r="F2010" s="23" t="str">
        <f>IF(OR(E2010="",E2010="!!!"),"",IF(NOT(ISNA(VLOOKUP(E2010,E$1:E2009,1,FALSE()))),"OLD",IF(AND(E2010&lt;&gt;"",E2010&lt;&gt;"!!!"),"NEW","")))</f>
        <v> </v>
      </c>
      <c r="G2010" s="24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5" t="str">
        <f>IF(J2010&lt;&gt;1,"",IF(I2010="SBJ","CB","?"))</f>
        <v> </v>
      </c>
      <c r="I2010" s="26" t="str">
        <f>IF(OR(E2010="",E2010="!!!",F2010="NEW"),"",INDEX(B2009:B$2,-1+SUMPRODUCT(MAX(ROW(E2009:E$2)*(E2010=E2009:E$2)))))</f>
        <v> </v>
      </c>
      <c r="J2010" s="26" t="str">
        <f>IF(OR(E2010="",E2010="!!!",F2010="NEW"),"",COUNTBLANK(OFFSET(A$1,,,SUMPRODUCT(MAX(ROW(E$2:E2010)*(E2010=E$2:E2010)))))-COUNTBLANK(OFFSET(A$1,,,SUMPRODUCT(MAX(ROW(E$1:E2009)*(E2=E$1:E2009))))))</f>
        <v> </v>
      </c>
      <c r="K2010" s="26" t="str">
        <f>IF(OR(E2010="",E2010="!!!",F2010="NEW"),"",INDEX(J$1:J2009,SUMPRODUCT(MAX(ROW(E$1:E2009)*(E2010=E$1:E2009)))))</f>
        <v> </v>
      </c>
      <c r="L2010" s="27"/>
    </row>
    <row r="2011" spans="1:12">
      <c r="A2011" s="20" t="s">
        <v>618</v>
      </c>
      <c r="E2011" s="22">
        <f>IF(D2011="?OLD","!!!","")</f>
        <v/>
      </c>
      <c r="F2011" s="23" t="str">
        <f>IF(OR(E2011="",E2011="!!!"),"",IF(NOT(ISNA(VLOOKUP(E2011,E$1:E2010,1,FALSE()))),"OLD",IF(AND(E2011&lt;&gt;"",E2011&lt;&gt;"!!!"),"NEW","")))</f>
        <v> </v>
      </c>
      <c r="G2011" s="24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5" t="str">
        <f>IF(J2011&lt;&gt;1,"",IF(I2011="SBJ","CB","?"))</f>
        <v> </v>
      </c>
      <c r="I2011" s="26" t="str">
        <f>IF(OR(E2011="",E2011="!!!",F2011="NEW"),"",INDEX(B2010:B$2,-1+SUMPRODUCT(MAX(ROW(E2010:E$2)*(E2011=E2010:E$2)))))</f>
        <v> </v>
      </c>
      <c r="J2011" s="26" t="str">
        <f>IF(OR(E2011="",E2011="!!!",F2011="NEW"),"",COUNTBLANK(OFFSET(A$1,,,SUMPRODUCT(MAX(ROW(E$2:E2011)*(E2011=E$2:E2011)))))-COUNTBLANK(OFFSET(A$1,,,SUMPRODUCT(MAX(ROW(E$1:E2010)*(E2=E$1:E2010))))))</f>
        <v> </v>
      </c>
      <c r="K2011" s="26" t="str">
        <f>IF(OR(E2011="",E2011="!!!",F2011="NEW"),"",INDEX(J$1:J2010,SUMPRODUCT(MAX(ROW(E$1:E2010)*(E2011=E$1:E2010)))))</f>
        <v> </v>
      </c>
      <c r="L2011" s="27"/>
    </row>
    <row r="2012" spans="1:12">
      <c r="A2012" s="20" t="s">
        <v>1610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 t="s">
        <v>611</v>
      </c>
      <c r="E2013" s="22">
        <f>IF(D2013="?OLD","!!!","")</f>
        <v/>
      </c>
      <c r="F2013" s="23" t="str">
        <f>IF(OR(E2013="",E2013="!!!"),"",IF(NOT(ISNA(VLOOKUP(E2013,E$1:E2012,1,FALSE()))),"OLD",IF(AND(E2013&lt;&gt;"",E2013&lt;&gt;"!!!"),"NEW","")))</f>
        <v> </v>
      </c>
      <c r="G2013" s="24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5" t="str">
        <f>IF(J2013&lt;&gt;1,"",IF(I2013="SBJ","CB","?"))</f>
        <v> </v>
      </c>
      <c r="I2013" s="26" t="str">
        <f>IF(OR(E2013="",E2013="!!!",F2013="NEW"),"",INDEX(B2012:B$2,-1+SUMPRODUCT(MAX(ROW(E2012:E$2)*(E2013=E2012:E$2)))))</f>
        <v> </v>
      </c>
      <c r="J2013" s="26" t="str">
        <f>IF(OR(E2013="",E2013="!!!",F2013="NEW"),"",COUNTBLANK(OFFSET(A$1,,,SUMPRODUCT(MAX(ROW(E$2:E2013)*(E2013=E$2:E2013)))))-COUNTBLANK(OFFSET(A$1,,,SUMPRODUCT(MAX(ROW(E$1:E2012)*(E2=E$1:E2012))))))</f>
        <v> </v>
      </c>
      <c r="K2013" s="26" t="str">
        <f>IF(OR(E2013="",E2013="!!!",F2013="NEW"),"",INDEX(J$1:J2012,SUMPRODUCT(MAX(ROW(E$1:E2012)*(E2013=E$1:E2012)))))</f>
        <v> </v>
      </c>
      <c r="L2013" s="27"/>
    </row>
    <row r="2014" spans="1:12">
      <c r="A2014" s="20" t="s">
        <v>239</v>
      </c>
      <c r="E2014" s="22">
        <f>IF(D2014="?OLD","!!!","")</f>
        <v/>
      </c>
      <c r="F2014" s="23" t="str">
        <f>IF(OR(E2014="",E2014="!!!"),"",IF(NOT(ISNA(VLOOKUP(E2014,E$1:E2013,1,FALSE()))),"OLD",IF(AND(E2014&lt;&gt;"",E2014&lt;&gt;"!!!"),"NEW","")))</f>
        <v> </v>
      </c>
      <c r="G2014" s="24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5" t="str">
        <f>IF(J2014&lt;&gt;1,"",IF(I2014="SBJ","CB","?"))</f>
        <v> </v>
      </c>
      <c r="I2014" s="26" t="str">
        <f>IF(OR(E2014="",E2014="!!!",F2014="NEW"),"",INDEX(B2013:B$2,-1+SUMPRODUCT(MAX(ROW(E2013:E$2)*(E2014=E2013:E$2)))))</f>
        <v> </v>
      </c>
      <c r="J2014" s="26" t="str">
        <f>IF(OR(E2014="",E2014="!!!",F2014="NEW"),"",COUNTBLANK(OFFSET(A$1,,,SUMPRODUCT(MAX(ROW(E$2:E2014)*(E2014=E$2:E2014)))))-COUNTBLANK(OFFSET(A$1,,,SUMPRODUCT(MAX(ROW(E$1:E2013)*(E2=E$1:E2013))))))</f>
        <v> </v>
      </c>
      <c r="K2014" s="26" t="str">
        <f>IF(OR(E2014="",E2014="!!!",F2014="NEW"),"",INDEX(J$1:J2013,SUMPRODUCT(MAX(ROW(E$1:E2013)*(E2014=E$1:E2013)))))</f>
        <v> </v>
      </c>
      <c r="L2014" s="27"/>
    </row>
    <row r="2015" spans="1:12">
      <c r="A2015" s="20" t="s">
        <v>1611</v>
      </c>
      <c r="E2015" s="22">
        <f>IF(D2015="?OLD","!!!","")</f>
        <v/>
      </c>
      <c r="F2015" s="23" t="str">
        <f>IF(OR(E2015="",E2015="!!!"),"",IF(NOT(ISNA(VLOOKUP(E2015,E$1:E2014,1,FALSE()))),"OLD",IF(AND(E2015&lt;&gt;"",E2015&lt;&gt;"!!!"),"NEW","")))</f>
        <v> </v>
      </c>
      <c r="G2015" s="24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5" t="str">
        <f>IF(J2015&lt;&gt;1,"",IF(I2015="SBJ","CB","?"))</f>
        <v> </v>
      </c>
      <c r="I2015" s="26" t="str">
        <f>IF(OR(E2015="",E2015="!!!",F2015="NEW"),"",INDEX(B2014:B$2,-1+SUMPRODUCT(MAX(ROW(E2014:E$2)*(E2015=E2014:E$2)))))</f>
        <v> </v>
      </c>
      <c r="J2015" s="26" t="str">
        <f>IF(OR(E2015="",E2015="!!!",F2015="NEW"),"",COUNTBLANK(OFFSET(A$1,,,SUMPRODUCT(MAX(ROW(E$2:E2015)*(E2015=E$2:E2015)))))-COUNTBLANK(OFFSET(A$1,,,SUMPRODUCT(MAX(ROW(E$1:E2014)*(E2=E$1:E2014))))))</f>
        <v> </v>
      </c>
      <c r="K2015" s="26" t="str">
        <f>IF(OR(E2015="",E2015="!!!",F2015="NEW"),"",INDEX(J$1:J2014,SUMPRODUCT(MAX(ROW(E$1:E2014)*(E2015=E$1:E2014)))))</f>
        <v> </v>
      </c>
      <c r="L2015" s="27"/>
    </row>
    <row r="2016" spans="1:12">
      <c r="A2016" s="20" t="s">
        <v>1612</v>
      </c>
      <c r="E2016" s="22">
        <f>IF(D2016="?OLD","!!!","")</f>
        <v/>
      </c>
      <c r="F2016" s="23" t="str">
        <f>IF(OR(E2016="",E2016="!!!"),"",IF(NOT(ISNA(VLOOKUP(E2016,E$1:E2015,1,FALSE()))),"OLD",IF(AND(E2016&lt;&gt;"",E2016&lt;&gt;"!!!"),"NEW","")))</f>
        <v> </v>
      </c>
      <c r="G2016" s="24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5" t="str">
        <f>IF(J2016&lt;&gt;1,"",IF(I2016="SBJ","CB","?"))</f>
        <v> </v>
      </c>
      <c r="I2016" s="26" t="str">
        <f>IF(OR(E2016="",E2016="!!!",F2016="NEW"),"",INDEX(B2015:B$2,-1+SUMPRODUCT(MAX(ROW(E2015:E$2)*(E2016=E2015:E$2)))))</f>
        <v> </v>
      </c>
      <c r="J2016" s="26" t="str">
        <f>IF(OR(E2016="",E2016="!!!",F2016="NEW"),"",COUNTBLANK(OFFSET(A$1,,,SUMPRODUCT(MAX(ROW(E$2:E2016)*(E2016=E$2:E2016)))))-COUNTBLANK(OFFSET(A$1,,,SUMPRODUCT(MAX(ROW(E$1:E2015)*(E2=E$1:E2015))))))</f>
        <v> </v>
      </c>
      <c r="K2016" s="26" t="str">
        <f>IF(OR(E2016="",E2016="!!!",F2016="NEW"),"",INDEX(J$1:J2015,SUMPRODUCT(MAX(ROW(E$1:E2015)*(E2016=E$1:E2015)))))</f>
        <v> </v>
      </c>
      <c r="L2016" s="27"/>
    </row>
    <row r="2017" spans="1:12">
      <c r="A2017" s="20" t="s">
        <v>1106</v>
      </c>
      <c r="B2017" s="21" t="s">
        <v>801</v>
      </c>
      <c r="E2017" s="22">
        <f>IF(D2017="?OLD","!!!","")</f>
        <v/>
      </c>
      <c r="F2017" s="23" t="str">
        <f>IF(OR(E2017="",E2017="!!!"),"",IF(NOT(ISNA(VLOOKUP(E2017,E$1:E2016,1,FALSE()))),"OLD",IF(AND(E2017&lt;&gt;"",E2017&lt;&gt;"!!!"),"NEW","")))</f>
        <v> </v>
      </c>
      <c r="G2017" s="24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5" t="str">
        <f>IF(J2017&lt;&gt;1,"",IF(I2017="SBJ","CB","?"))</f>
        <v> </v>
      </c>
      <c r="I2017" s="26" t="str">
        <f>IF(OR(E2017="",E2017="!!!",F2017="NEW"),"",INDEX(B2016:B$2,-1+SUMPRODUCT(MAX(ROW(E2016:E$2)*(E2017=E2016:E$2)))))</f>
        <v> </v>
      </c>
      <c r="J2017" s="26" t="str">
        <f>IF(OR(E2017="",E2017="!!!",F2017="NEW"),"",COUNTBLANK(OFFSET(A$1,,,SUMPRODUCT(MAX(ROW(E$2:E2017)*(E2017=E$2:E2017)))))-COUNTBLANK(OFFSET(A$1,,,SUMPRODUCT(MAX(ROW(E$1:E2016)*(E2=E$1:E2016))))))</f>
        <v> </v>
      </c>
      <c r="K2017" s="26" t="str">
        <f>IF(OR(E2017="",E2017="!!!",F2017="NEW"),"",INDEX(J$1:J2016,SUMPRODUCT(MAX(ROW(E$1:E2016)*(E2017=E$1:E2016)))))</f>
        <v> </v>
      </c>
      <c r="L2017" s="27"/>
    </row>
    <row r="2018" spans="1:12">
      <c r="A2018" s="20" t="s">
        <v>846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 t="s">
        <v>1613</v>
      </c>
      <c r="E2019" s="22">
        <f>IF(D2019="?OLD","!!!","")</f>
        <v/>
      </c>
      <c r="F2019" s="23" t="str">
        <f>IF(OR(E2019="",E2019="!!!"),"",IF(NOT(ISNA(VLOOKUP(E2019,E$1:E2018,1,FALSE()))),"OLD",IF(AND(E2019&lt;&gt;"",E2019&lt;&gt;"!!!"),"NEW","")))</f>
        <v> </v>
      </c>
      <c r="G2019" s="24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5" t="str">
        <f>IF(J2019&lt;&gt;1,"",IF(I2019="SBJ","CB","?"))</f>
        <v> </v>
      </c>
      <c r="I2019" s="26" t="str">
        <f>IF(OR(E2019="",E2019="!!!",F2019="NEW"),"",INDEX(B2018:B$2,-1+SUMPRODUCT(MAX(ROW(E2018:E$2)*(E2019=E2018:E$2)))))</f>
        <v> </v>
      </c>
      <c r="J2019" s="26" t="str">
        <f>IF(OR(E2019="",E2019="!!!",F2019="NEW"),"",COUNTBLANK(OFFSET(A$1,,,SUMPRODUCT(MAX(ROW(E$2:E2019)*(E2019=E$2:E2019)))))-COUNTBLANK(OFFSET(A$1,,,SUMPRODUCT(MAX(ROW(E$1:E2018)*(E2=E$1:E2018))))))</f>
        <v> </v>
      </c>
      <c r="K2019" s="26" t="str">
        <f>IF(OR(E2019="",E2019="!!!",F2019="NEW"),"",INDEX(J$1:J2018,SUMPRODUCT(MAX(ROW(E$1:E2018)*(E2019=E$1:E2018)))))</f>
        <v> </v>
      </c>
      <c r="L2019" s="27"/>
    </row>
    <row r="2020" spans="1:12">
      <c r="A2020" s="20" t="s">
        <v>1614</v>
      </c>
      <c r="E2020" s="22">
        <f>IF(D2020="?OLD","!!!","")</f>
        <v/>
      </c>
      <c r="F2020" s="23" t="str">
        <f>IF(OR(E2020="",E2020="!!!"),"",IF(NOT(ISNA(VLOOKUP(E2020,E$1:E2019,1,FALSE()))),"OLD",IF(AND(E2020&lt;&gt;"",E2020&lt;&gt;"!!!"),"NEW","")))</f>
        <v> </v>
      </c>
      <c r="G2020" s="24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5" t="str">
        <f>IF(J2020&lt;&gt;1,"",IF(I2020="SBJ","CB","?"))</f>
        <v> </v>
      </c>
      <c r="I2020" s="26" t="str">
        <f>IF(OR(E2020="",E2020="!!!",F2020="NEW"),"",INDEX(B2019:B$2,-1+SUMPRODUCT(MAX(ROW(E2019:E$2)*(E2020=E2019:E$2)))))</f>
        <v> </v>
      </c>
      <c r="J2020" s="26" t="str">
        <f>IF(OR(E2020="",E2020="!!!",F2020="NEW"),"",COUNTBLANK(OFFSET(A$1,,,SUMPRODUCT(MAX(ROW(E$2:E2020)*(E2020=E$2:E2020)))))-COUNTBLANK(OFFSET(A$1,,,SUMPRODUCT(MAX(ROW(E$1:E2019)*(E2=E$1:E2019))))))</f>
        <v> </v>
      </c>
      <c r="K2020" s="26" t="str">
        <f>IF(OR(E2020="",E2020="!!!",F2020="NEW"),"",INDEX(J$1:J2019,SUMPRODUCT(MAX(ROW(E$1:E2019)*(E2020=E$1:E2019)))))</f>
        <v> </v>
      </c>
      <c r="L2020" s="27"/>
    </row>
    <row r="2021" spans="1:12">
      <c r="A2021" s="20" t="s">
        <v>785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 t="s">
        <v>611</v>
      </c>
      <c r="E2022" s="22">
        <f>IF(D2022="?OLD","!!!","")</f>
        <v/>
      </c>
      <c r="F2022" s="23" t="str">
        <f>IF(OR(E2022="",E2022="!!!"),"",IF(NOT(ISNA(VLOOKUP(E2022,E$1:E2021,1,FALSE()))),"OLD",IF(AND(E2022&lt;&gt;"",E2022&lt;&gt;"!!!"),"NEW","")))</f>
        <v> </v>
      </c>
      <c r="G2022" s="24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5" t="str">
        <f>IF(J2022&lt;&gt;1,"",IF(I2022="SBJ","CB","?"))</f>
        <v> </v>
      </c>
      <c r="I2022" s="26" t="str">
        <f>IF(OR(E2022="",E2022="!!!",F2022="NEW"),"",INDEX(B2021:B$2,-1+SUMPRODUCT(MAX(ROW(E2021:E$2)*(E2022=E2021:E$2)))))</f>
        <v> </v>
      </c>
      <c r="J2022" s="26" t="str">
        <f>IF(OR(E2022="",E2022="!!!",F2022="NEW"),"",COUNTBLANK(OFFSET(A$1,,,SUMPRODUCT(MAX(ROW(E$2:E2022)*(E2022=E$2:E2022)))))-COUNTBLANK(OFFSET(A$1,,,SUMPRODUCT(MAX(ROW(E$1:E2021)*(E2=E$1:E2021))))))</f>
        <v> </v>
      </c>
      <c r="K2022" s="26" t="str">
        <f>IF(OR(E2022="",E2022="!!!",F2022="NEW"),"",INDEX(J$1:J2021,SUMPRODUCT(MAX(ROW(E$1:E2021)*(E2022=E$1:E2021)))))</f>
        <v> </v>
      </c>
      <c r="L2022" s="27"/>
    </row>
    <row r="2023" spans="1:12">
      <c r="A2023" s="20" t="s">
        <v>646</v>
      </c>
      <c r="E2023" s="22">
        <f>IF(D2023="?OLD","!!!","")</f>
        <v/>
      </c>
      <c r="F2023" s="23" t="str">
        <f>IF(OR(E2023="",E2023="!!!"),"",IF(NOT(ISNA(VLOOKUP(E2023,E$1:E2022,1,FALSE()))),"OLD",IF(AND(E2023&lt;&gt;"",E2023&lt;&gt;"!!!"),"NEW","")))</f>
        <v> </v>
      </c>
      <c r="G2023" s="24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5" t="str">
        <f>IF(J2023&lt;&gt;1,"",IF(I2023="SBJ","CB","?"))</f>
        <v> </v>
      </c>
      <c r="I2023" s="26" t="str">
        <f>IF(OR(E2023="",E2023="!!!",F2023="NEW"),"",INDEX(B2022:B$2,-1+SUMPRODUCT(MAX(ROW(E2022:E$2)*(E2023=E2022:E$2)))))</f>
        <v> </v>
      </c>
      <c r="J2023" s="26" t="str">
        <f>IF(OR(E2023="",E2023="!!!",F2023="NEW"),"",COUNTBLANK(OFFSET(A$1,,,SUMPRODUCT(MAX(ROW(E$2:E2023)*(E2023=E$2:E2023)))))-COUNTBLANK(OFFSET(A$1,,,SUMPRODUCT(MAX(ROW(E$1:E2022)*(E2=E$1:E2022))))))</f>
        <v> </v>
      </c>
      <c r="K2023" s="26" t="str">
        <f>IF(OR(E2023="",E2023="!!!",F2023="NEW"),"",INDEX(J$1:J2022,SUMPRODUCT(MAX(ROW(E$1:E2022)*(E2023=E$1:E2022)))))</f>
        <v> </v>
      </c>
      <c r="L2023" s="27"/>
    </row>
    <row r="2024" spans="1:12">
      <c r="A2024" s="20" t="s">
        <v>1615</v>
      </c>
      <c r="E2024" s="22">
        <f>IF(D2024="?OLD","!!!","")</f>
        <v/>
      </c>
      <c r="F2024" s="23" t="str">
        <f>IF(OR(E2024="",E2024="!!!"),"",IF(NOT(ISNA(VLOOKUP(E2024,E$1:E2023,1,FALSE()))),"OLD",IF(AND(E2024&lt;&gt;"",E2024&lt;&gt;"!!!"),"NEW","")))</f>
        <v> </v>
      </c>
      <c r="G2024" s="24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5" t="str">
        <f>IF(J2024&lt;&gt;1,"",IF(I2024="SBJ","CB","?"))</f>
        <v> </v>
      </c>
      <c r="I2024" s="26" t="str">
        <f>IF(OR(E2024="",E2024="!!!",F2024="NEW"),"",INDEX(B2023:B$2,-1+SUMPRODUCT(MAX(ROW(E2023:E$2)*(E2024=E2023:E$2)))))</f>
        <v> </v>
      </c>
      <c r="J2024" s="26" t="str">
        <f>IF(OR(E2024="",E2024="!!!",F2024="NEW"),"",COUNTBLANK(OFFSET(A$1,,,SUMPRODUCT(MAX(ROW(E$2:E2024)*(E2024=E$2:E2024)))))-COUNTBLANK(OFFSET(A$1,,,SUMPRODUCT(MAX(ROW(E$1:E2023)*(E2=E$1:E2023))))))</f>
        <v> </v>
      </c>
      <c r="K2024" s="26" t="str">
        <f>IF(OR(E2024="",E2024="!!!",F2024="NEW"),"",INDEX(J$1:J2023,SUMPRODUCT(MAX(ROW(E$1:E2023)*(E2024=E$1:E2023)))))</f>
        <v> </v>
      </c>
      <c r="L2024" s="27"/>
    </row>
    <row r="2025" spans="1:12">
      <c r="A2025" s="20" t="s">
        <v>800</v>
      </c>
      <c r="B2025" s="21" t="s">
        <v>801</v>
      </c>
      <c r="C2025" s="21" t="s">
        <v>602</v>
      </c>
      <c r="D2025" s="21" t="s">
        <v>603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1616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646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1617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1618</v>
      </c>
      <c r="B2029" s="21" t="s">
        <v>801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 t="s">
        <v>883</v>
      </c>
      <c r="E2030" s="22">
        <f>IF(D2030="?OLD","!!!","")</f>
        <v/>
      </c>
      <c r="F2030" s="23" t="str">
        <f>IF(OR(E2030="",E2030="!!!"),"",IF(NOT(ISNA(VLOOKUP(E2030,E$1:E2029,1,FALSE()))),"OLD",IF(AND(E2030&lt;&gt;"",E2030&lt;&gt;"!!!"),"NEW","")))</f>
        <v> </v>
      </c>
      <c r="G2030" s="24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5" t="str">
        <f>IF(J2030&lt;&gt;1,"",IF(I2030="SBJ","CB","?"))</f>
        <v> </v>
      </c>
      <c r="I2030" s="26" t="str">
        <f>IF(OR(E2030="",E2030="!!!",F2030="NEW"),"",INDEX(B2029:B$2,-1+SUMPRODUCT(MAX(ROW(E2029:E$2)*(E2030=E2029:E$2)))))</f>
        <v> </v>
      </c>
      <c r="J2030" s="26" t="str">
        <f>IF(OR(E2030="",E2030="!!!",F2030="NEW"),"",COUNTBLANK(OFFSET(A$1,,,SUMPRODUCT(MAX(ROW(E$2:E2030)*(E2030=E$2:E2030)))))-COUNTBLANK(OFFSET(A$1,,,SUMPRODUCT(MAX(ROW(E$1:E2029)*(E2=E$1:E2029))))))</f>
        <v> </v>
      </c>
      <c r="K2030" s="26" t="str">
        <f>IF(OR(E2030="",E2030="!!!",F2030="NEW"),"",INDEX(J$1:J2029,SUMPRODUCT(MAX(ROW(E$1:E2029)*(E2030=E$1:E2029)))))</f>
        <v> </v>
      </c>
      <c r="L2030" s="27"/>
    </row>
    <row r="2031" spans="1:12">
      <c r="A2031" s="20" t="s">
        <v>1619</v>
      </c>
      <c r="E2031" s="22">
        <f>IF(D2031="?OLD","!!!","")</f>
        <v/>
      </c>
      <c r="F2031" s="23" t="str">
        <f>IF(OR(E2031="",E2031="!!!"),"",IF(NOT(ISNA(VLOOKUP(E2031,E$1:E2030,1,FALSE()))),"OLD",IF(AND(E2031&lt;&gt;"",E2031&lt;&gt;"!!!"),"NEW","")))</f>
        <v> </v>
      </c>
      <c r="G2031" s="24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5" t="str">
        <f>IF(J2031&lt;&gt;1,"",IF(I2031="SBJ","CB","?"))</f>
        <v> </v>
      </c>
      <c r="I2031" s="26" t="str">
        <f>IF(OR(E2031="",E2031="!!!",F2031="NEW"),"",INDEX(B2030:B$2,-1+SUMPRODUCT(MAX(ROW(E2030:E$2)*(E2031=E2030:E$2)))))</f>
        <v> </v>
      </c>
      <c r="J2031" s="26" t="str">
        <f>IF(OR(E2031="",E2031="!!!",F2031="NEW"),"",COUNTBLANK(OFFSET(A$1,,,SUMPRODUCT(MAX(ROW(E$2:E2031)*(E2031=E$2:E2031)))))-COUNTBLANK(OFFSET(A$1,,,SUMPRODUCT(MAX(ROW(E$1:E2030)*(E2=E$1:E2030))))))</f>
        <v> </v>
      </c>
      <c r="K2031" s="26" t="str">
        <f>IF(OR(E2031="",E2031="!!!",F2031="NEW"),"",INDEX(J$1:J2030,SUMPRODUCT(MAX(ROW(E$1:E2030)*(E2031=E$1:E2030)))))</f>
        <v> </v>
      </c>
      <c r="L2031" s="27"/>
    </row>
    <row r="2032" spans="1:12">
      <c r="A2032" s="20" t="s">
        <v>1620</v>
      </c>
      <c r="B2032" s="21" t="s">
        <v>793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633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/>
    </row>
    <row r="2035" spans="1:12">
      <c r="A2035" s="20" t="s">
        <v>1621</v>
      </c>
    </row>
    <row r="2036" spans="1:12">
      <c r="A2036" s="20" t="s">
        <v>1622</v>
      </c>
      <c r="B2036" s="21" t="s">
        <v>601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1623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611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658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1353</v>
      </c>
      <c r="B2040" s="21" t="s">
        <v>636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641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1624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741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 t="s">
        <v>1625</v>
      </c>
      <c r="E2044" s="22">
        <f>IF(D2044="?OLD","!!!","")</f>
        <v/>
      </c>
      <c r="F2044" s="23" t="str">
        <f>IF(OR(E2044="",E2044="!!!"),"",IF(NOT(ISNA(VLOOKUP(E2044,E$1:E2043,1,FALSE()))),"OLD",IF(AND(E2044&lt;&gt;"",E2044&lt;&gt;"!!!"),"NEW","")))</f>
        <v> </v>
      </c>
      <c r="G2044" s="24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5" t="str">
        <f>IF(J2044&lt;&gt;1,"",IF(I2044="SBJ","CB","?"))</f>
        <v> </v>
      </c>
      <c r="I2044" s="26" t="str">
        <f>IF(OR(E2044="",E2044="!!!",F2044="NEW"),"",INDEX(B2043:B$2,-1+SUMPRODUCT(MAX(ROW(E2043:E$2)*(E2044=E2043:E$2)))))</f>
        <v> </v>
      </c>
      <c r="J2044" s="26" t="str">
        <f>IF(OR(E2044="",E2044="!!!",F2044="NEW"),"",COUNTBLANK(OFFSET(A$1,,,SUMPRODUCT(MAX(ROW(E$2:E2044)*(E2044=E$2:E2044)))))-COUNTBLANK(OFFSET(A$1,,,SUMPRODUCT(MAX(ROW(E$1:E2043)*(E2=E$1:E2043))))))</f>
        <v> </v>
      </c>
      <c r="K2044" s="26" t="str">
        <f>IF(OR(E2044="",E2044="!!!",F2044="NEW"),"",INDEX(J$1:J2043,SUMPRODUCT(MAX(ROW(E$1:E2043)*(E2044=E$1:E2043)))))</f>
        <v> </v>
      </c>
      <c r="L2044" s="27"/>
    </row>
    <row r="2045" spans="1:12">
      <c r="A2045" s="20" t="s">
        <v>1432</v>
      </c>
      <c r="B2045" s="21" t="s">
        <v>609</v>
      </c>
      <c r="C2045" s="21" t="s">
        <v>621</v>
      </c>
      <c r="E2045" s="22">
        <f>IF(D2045="?OLD","!!!","")</f>
        <v/>
      </c>
      <c r="F2045" s="23" t="str">
        <f>IF(OR(E2045="",E2045="!!!"),"",IF(NOT(ISNA(VLOOKUP(E2045,E$1:E2044,1,FALSE()))),"OLD",IF(AND(E2045&lt;&gt;"",E2045&lt;&gt;"!!!"),"NEW","")))</f>
        <v> </v>
      </c>
      <c r="G2045" s="24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5" t="str">
        <f>IF(J2045&lt;&gt;1,"",IF(I2045="SBJ","CB","?"))</f>
        <v> </v>
      </c>
      <c r="I2045" s="26" t="str">
        <f>IF(OR(E2045="",E2045="!!!",F2045="NEW"),"",INDEX(B2044:B$2,-1+SUMPRODUCT(MAX(ROW(E2044:E$2)*(E2045=E2044:E$2)))))</f>
        <v> </v>
      </c>
      <c r="J2045" s="26" t="str">
        <f>IF(OR(E2045="",E2045="!!!",F2045="NEW"),"",COUNTBLANK(OFFSET(A$1,,,SUMPRODUCT(MAX(ROW(E$2:E2045)*(E2045=E$2:E2045)))))-COUNTBLANK(OFFSET(A$1,,,SUMPRODUCT(MAX(ROW(E$1:E2044)*(E2=E$1:E2044))))))</f>
        <v> </v>
      </c>
      <c r="K2045" s="26" t="str">
        <f>IF(OR(E2045="",E2045="!!!",F2045="NEW"),"",INDEX(J$1:J2044,SUMPRODUCT(MAX(ROW(E$1:E2044)*(E2045=E$1:E2044)))))</f>
        <v> </v>
      </c>
      <c r="L2045" s="27"/>
    </row>
    <row r="2046" spans="1:12">
      <c r="A2046" s="20" t="s">
        <v>1042</v>
      </c>
      <c r="E2046" s="22">
        <f>IF(D2046="?OLD","!!!","")</f>
        <v/>
      </c>
      <c r="F2046" s="23" t="str">
        <f>IF(OR(E2046="",E2046="!!!"),"",IF(NOT(ISNA(VLOOKUP(E2046,E$1:E2045,1,FALSE()))),"OLD",IF(AND(E2046&lt;&gt;"",E2046&lt;&gt;"!!!"),"NEW","")))</f>
        <v> </v>
      </c>
      <c r="G2046" s="24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5" t="str">
        <f>IF(J2046&lt;&gt;1,"",IF(I2046="SBJ","CB","?"))</f>
        <v> </v>
      </c>
      <c r="I2046" s="26" t="str">
        <f>IF(OR(E2046="",E2046="!!!",F2046="NEW"),"",INDEX(B2045:B$2,-1+SUMPRODUCT(MAX(ROW(E2045:E$2)*(E2046=E2045:E$2)))))</f>
        <v> </v>
      </c>
      <c r="J2046" s="26" t="str">
        <f>IF(OR(E2046="",E2046="!!!",F2046="NEW"),"",COUNTBLANK(OFFSET(A$1,,,SUMPRODUCT(MAX(ROW(E$2:E2046)*(E2046=E$2:E2046)))))-COUNTBLANK(OFFSET(A$1,,,SUMPRODUCT(MAX(ROW(E$1:E2045)*(E2=E$1:E2045))))))</f>
        <v> </v>
      </c>
      <c r="K2046" s="26" t="str">
        <f>IF(OR(E2046="",E2046="!!!",F2046="NEW"),"",INDEX(J$1:J2045,SUMPRODUCT(MAX(ROW(E$1:E2045)*(E2046=E$1:E2045)))))</f>
        <v> </v>
      </c>
      <c r="L2046" s="27"/>
    </row>
    <row r="2047" spans="1:12">
      <c r="A2047" s="20" t="s">
        <v>1626</v>
      </c>
      <c r="E2047" s="22">
        <f>IF(D2047="?OLD","!!!","")</f>
        <v/>
      </c>
      <c r="F2047" s="23" t="str">
        <f>IF(OR(E2047="",E2047="!!!"),"",IF(NOT(ISNA(VLOOKUP(E2047,E$1:E2046,1,FALSE()))),"OLD",IF(AND(E2047&lt;&gt;"",E2047&lt;&gt;"!!!"),"NEW","")))</f>
        <v> </v>
      </c>
      <c r="G2047" s="24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5" t="str">
        <f>IF(J2047&lt;&gt;1,"",IF(I2047="SBJ","CB","?"))</f>
        <v> </v>
      </c>
      <c r="I2047" s="26" t="str">
        <f>IF(OR(E2047="",E2047="!!!",F2047="NEW"),"",INDEX(B2046:B$2,-1+SUMPRODUCT(MAX(ROW(E2046:E$2)*(E2047=E2046:E$2)))))</f>
        <v> </v>
      </c>
      <c r="J2047" s="26" t="str">
        <f>IF(OR(E2047="",E2047="!!!",F2047="NEW"),"",COUNTBLANK(OFFSET(A$1,,,SUMPRODUCT(MAX(ROW(E$2:E2047)*(E2047=E$2:E2047)))))-COUNTBLANK(OFFSET(A$1,,,SUMPRODUCT(MAX(ROW(E$1:E2046)*(E2=E$1:E2046))))))</f>
        <v> </v>
      </c>
      <c r="K2047" s="26" t="str">
        <f>IF(OR(E2047="",E2047="!!!",F2047="NEW"),"",INDEX(J$1:J2046,SUMPRODUCT(MAX(ROW(E$1:E2046)*(E2047=E$1:E2046)))))</f>
        <v> </v>
      </c>
      <c r="L2047" s="27"/>
    </row>
    <row r="2048" spans="1:12">
      <c r="A2048" s="20" t="s">
        <v>677</v>
      </c>
      <c r="E2048" s="22">
        <f>IF(D2048="?OLD","!!!","")</f>
        <v/>
      </c>
      <c r="F2048" s="23" t="str">
        <f>IF(OR(E2048="",E2048="!!!"),"",IF(NOT(ISNA(VLOOKUP(E2048,E$1:E2047,1,FALSE()))),"OLD",IF(AND(E2048&lt;&gt;"",E2048&lt;&gt;"!!!"),"NEW","")))</f>
        <v> </v>
      </c>
      <c r="G2048" s="24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5" t="str">
        <f>IF(J2048&lt;&gt;1,"",IF(I2048="SBJ","CB","?"))</f>
        <v> </v>
      </c>
      <c r="I2048" s="26" t="str">
        <f>IF(OR(E2048="",E2048="!!!",F2048="NEW"),"",INDEX(B2047:B$2,-1+SUMPRODUCT(MAX(ROW(E2047:E$2)*(E2048=E2047:E$2)))))</f>
        <v> </v>
      </c>
      <c r="J2048" s="26" t="str">
        <f>IF(OR(E2048="",E2048="!!!",F2048="NEW"),"",COUNTBLANK(OFFSET(A$1,,,SUMPRODUCT(MAX(ROW(E$2:E2048)*(E2048=E$2:E2048)))))-COUNTBLANK(OFFSET(A$1,,,SUMPRODUCT(MAX(ROW(E$1:E2047)*(E2=E$1:E2047))))))</f>
        <v> </v>
      </c>
      <c r="K2048" s="26" t="str">
        <f>IF(OR(E2048="",E2048="!!!",F2048="NEW"),"",INDEX(J$1:J2047,SUMPRODUCT(MAX(ROW(E$1:E2047)*(E2048=E$1:E2047)))))</f>
        <v> </v>
      </c>
      <c r="L2048" s="27"/>
    </row>
    <row r="2049" spans="1:12">
      <c r="A2049" s="20" t="s">
        <v>250</v>
      </c>
      <c r="E2049" s="22">
        <f>IF(D2049="?OLD","!!!","")</f>
        <v/>
      </c>
      <c r="F2049" s="23" t="str">
        <f>IF(OR(E2049="",E2049="!!!"),"",IF(NOT(ISNA(VLOOKUP(E2049,E$1:E2048,1,FALSE()))),"OLD",IF(AND(E2049&lt;&gt;"",E2049&lt;&gt;"!!!"),"NEW","")))</f>
        <v> </v>
      </c>
      <c r="G2049" s="24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5" t="str">
        <f>IF(J2049&lt;&gt;1,"",IF(I2049="SBJ","CB","?"))</f>
        <v> </v>
      </c>
      <c r="I2049" s="26" t="str">
        <f>IF(OR(E2049="",E2049="!!!",F2049="NEW"),"",INDEX(B2048:B$2,-1+SUMPRODUCT(MAX(ROW(E2048:E$2)*(E2049=E2048:E$2)))))</f>
        <v> </v>
      </c>
      <c r="J2049" s="26" t="str">
        <f>IF(OR(E2049="",E2049="!!!",F2049="NEW"),"",COUNTBLANK(OFFSET(A$1,,,SUMPRODUCT(MAX(ROW(E$2:E2049)*(E2049=E$2:E2049)))))-COUNTBLANK(OFFSET(A$1,,,SUMPRODUCT(MAX(ROW(E$1:E2048)*(E2=E$1:E2048))))))</f>
        <v> </v>
      </c>
      <c r="K2049" s="26" t="str">
        <f>IF(OR(E2049="",E2049="!!!",F2049="NEW"),"",INDEX(J$1:J2048,SUMPRODUCT(MAX(ROW(E$1:E2048)*(E2049=E$1:E2048)))))</f>
        <v> </v>
      </c>
      <c r="L2049" s="27"/>
    </row>
    <row r="2050" spans="1:12">
      <c r="A2050" s="20" t="s">
        <v>1627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611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 t="s">
        <v>250</v>
      </c>
      <c r="E2052" s="22">
        <f>IF(D2052="?OLD","!!!","")</f>
        <v/>
      </c>
      <c r="F2052" s="23" t="str">
        <f>IF(OR(E2052="",E2052="!!!"),"",IF(NOT(ISNA(VLOOKUP(E2052,E$1:E2051,1,FALSE()))),"OLD",IF(AND(E2052&lt;&gt;"",E2052&lt;&gt;"!!!"),"NEW","")))</f>
        <v> </v>
      </c>
      <c r="G2052" s="24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5" t="str">
        <f>IF(J2052&lt;&gt;1,"",IF(I2052="SBJ","CB","?"))</f>
        <v> </v>
      </c>
      <c r="I2052" s="26" t="str">
        <f>IF(OR(E2052="",E2052="!!!",F2052="NEW"),"",INDEX(B2051:B$2,-1+SUMPRODUCT(MAX(ROW(E2051:E$2)*(E2052=E2051:E$2)))))</f>
        <v> </v>
      </c>
      <c r="J2052" s="26" t="str">
        <f>IF(OR(E2052="",E2052="!!!",F2052="NEW"),"",COUNTBLANK(OFFSET(A$1,,,SUMPRODUCT(MAX(ROW(E$2:E2052)*(E2052=E$2:E2052)))))-COUNTBLANK(OFFSET(A$1,,,SUMPRODUCT(MAX(ROW(E$1:E2051)*(E2=E$1:E2051))))))</f>
        <v> </v>
      </c>
      <c r="K2052" s="26" t="str">
        <f>IF(OR(E2052="",E2052="!!!",F2052="NEW"),"",INDEX(J$1:J2051,SUMPRODUCT(MAX(ROW(E$1:E2051)*(E2052=E$1:E2051)))))</f>
        <v> </v>
      </c>
      <c r="L2052" s="27"/>
    </row>
    <row r="2053" spans="1:12">
      <c r="A2053" s="20" t="s">
        <v>1628</v>
      </c>
      <c r="E2053" s="22">
        <f>IF(D2053="?OLD","!!!","")</f>
        <v/>
      </c>
      <c r="F2053" s="23" t="str">
        <f>IF(OR(E2053="",E2053="!!!"),"",IF(NOT(ISNA(VLOOKUP(E2053,E$1:E2052,1,FALSE()))),"OLD",IF(AND(E2053&lt;&gt;"",E2053&lt;&gt;"!!!"),"NEW","")))</f>
        <v> </v>
      </c>
      <c r="G2053" s="24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5" t="str">
        <f>IF(J2053&lt;&gt;1,"",IF(I2053="SBJ","CB","?"))</f>
        <v> </v>
      </c>
      <c r="I2053" s="26" t="str">
        <f>IF(OR(E2053="",E2053="!!!",F2053="NEW"),"",INDEX(B2052:B$2,-1+SUMPRODUCT(MAX(ROW(E2052:E$2)*(E2053=E2052:E$2)))))</f>
        <v> </v>
      </c>
      <c r="J2053" s="26" t="str">
        <f>IF(OR(E2053="",E2053="!!!",F2053="NEW"),"",COUNTBLANK(OFFSET(A$1,,,SUMPRODUCT(MAX(ROW(E$2:E2053)*(E2053=E$2:E2053)))))-COUNTBLANK(OFFSET(A$1,,,SUMPRODUCT(MAX(ROW(E$1:E2052)*(E2=E$1:E2052))))))</f>
        <v> </v>
      </c>
      <c r="K2053" s="26" t="str">
        <f>IF(OR(E2053="",E2053="!!!",F2053="NEW"),"",INDEX(J$1:J2052,SUMPRODUCT(MAX(ROW(E$1:E2052)*(E2053=E$1:E2052)))))</f>
        <v> </v>
      </c>
      <c r="L2053" s="27"/>
    </row>
    <row r="2054" spans="1:12">
      <c r="A2054" s="20" t="s">
        <v>1210</v>
      </c>
      <c r="E2054" s="22">
        <f>IF(D2054="?OLD","!!!","")</f>
        <v/>
      </c>
      <c r="F2054" s="23" t="str">
        <f>IF(OR(E2054="",E2054="!!!"),"",IF(NOT(ISNA(VLOOKUP(E2054,E$1:E2053,1,FALSE()))),"OLD",IF(AND(E2054&lt;&gt;"",E2054&lt;&gt;"!!!"),"NEW","")))</f>
        <v> </v>
      </c>
      <c r="G2054" s="24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5" t="str">
        <f>IF(J2054&lt;&gt;1,"",IF(I2054="SBJ","CB","?"))</f>
        <v> </v>
      </c>
      <c r="I2054" s="26" t="str">
        <f>IF(OR(E2054="",E2054="!!!",F2054="NEW"),"",INDEX(B2053:B$2,-1+SUMPRODUCT(MAX(ROW(E2053:E$2)*(E2054=E2053:E$2)))))</f>
        <v> </v>
      </c>
      <c r="J2054" s="26" t="str">
        <f>IF(OR(E2054="",E2054="!!!",F2054="NEW"),"",COUNTBLANK(OFFSET(A$1,,,SUMPRODUCT(MAX(ROW(E$2:E2054)*(E2054=E$2:E2054)))))-COUNTBLANK(OFFSET(A$1,,,SUMPRODUCT(MAX(ROW(E$1:E2053)*(E2=E$1:E2053))))))</f>
        <v> </v>
      </c>
      <c r="K2054" s="26" t="str">
        <f>IF(OR(E2054="",E2054="!!!",F2054="NEW"),"",INDEX(J$1:J2053,SUMPRODUCT(MAX(ROW(E$1:E2053)*(E2054=E$1:E2053)))))</f>
        <v> </v>
      </c>
      <c r="L2054" s="27"/>
    </row>
    <row r="2055" spans="1:12">
      <c r="A2055" s="20" t="s">
        <v>1629</v>
      </c>
      <c r="B2055" s="21" t="s">
        <v>1121</v>
      </c>
      <c r="E2055" s="22">
        <f>IF(D2055="?OLD","!!!","")</f>
        <v/>
      </c>
      <c r="F2055" s="23" t="str">
        <f>IF(OR(E2055="",E2055="!!!"),"",IF(NOT(ISNA(VLOOKUP(E2055,E$1:E2054,1,FALSE()))),"OLD",IF(AND(E2055&lt;&gt;"",E2055&lt;&gt;"!!!"),"NEW","")))</f>
        <v> </v>
      </c>
      <c r="G2055" s="24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5" t="str">
        <f>IF(J2055&lt;&gt;1,"",IF(I2055="SBJ","CB","?"))</f>
        <v> </v>
      </c>
      <c r="I2055" s="26" t="str">
        <f>IF(OR(E2055="",E2055="!!!",F2055="NEW"),"",INDEX(B2054:B$2,-1+SUMPRODUCT(MAX(ROW(E2054:E$2)*(E2055=E2054:E$2)))))</f>
        <v> </v>
      </c>
      <c r="J2055" s="26" t="str">
        <f>IF(OR(E2055="",E2055="!!!",F2055="NEW"),"",COUNTBLANK(OFFSET(A$1,,,SUMPRODUCT(MAX(ROW(E$2:E2055)*(E2055=E$2:E2055)))))-COUNTBLANK(OFFSET(A$1,,,SUMPRODUCT(MAX(ROW(E$1:E2054)*(E2=E$1:E2054))))))</f>
        <v> </v>
      </c>
      <c r="K2055" s="26" t="str">
        <f>IF(OR(E2055="",E2055="!!!",F2055="NEW"),"",INDEX(J$1:J2054,SUMPRODUCT(MAX(ROW(E$1:E2054)*(E2055=E$1:E2054)))))</f>
        <v> </v>
      </c>
      <c r="L2055" s="27"/>
    </row>
    <row r="2056" spans="1:12">
      <c r="A2056" s="20" t="s">
        <v>662</v>
      </c>
      <c r="E2056" s="22">
        <f>IF(D2056="?OLD","!!!","")</f>
        <v/>
      </c>
      <c r="F2056" s="23" t="str">
        <f>IF(OR(E2056="",E2056="!!!"),"",IF(NOT(ISNA(VLOOKUP(E2056,E$1:E2055,1,FALSE()))),"OLD",IF(AND(E2056&lt;&gt;"",E2056&lt;&gt;"!!!"),"NEW","")))</f>
        <v> </v>
      </c>
      <c r="G2056" s="24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5" t="str">
        <f>IF(J2056&lt;&gt;1,"",IF(I2056="SBJ","CB","?"))</f>
        <v> </v>
      </c>
      <c r="I2056" s="26" t="str">
        <f>IF(OR(E2056="",E2056="!!!",F2056="NEW"),"",INDEX(B2055:B$2,-1+SUMPRODUCT(MAX(ROW(E2055:E$2)*(E2056=E2055:E$2)))))</f>
        <v> </v>
      </c>
      <c r="J2056" s="26" t="str">
        <f>IF(OR(E2056="",E2056="!!!",F2056="NEW"),"",COUNTBLANK(OFFSET(A$1,,,SUMPRODUCT(MAX(ROW(E$2:E2056)*(E2056=E$2:E2056)))))-COUNTBLANK(OFFSET(A$1,,,SUMPRODUCT(MAX(ROW(E$1:E2055)*(E2=E$1:E2055))))))</f>
        <v> </v>
      </c>
      <c r="K2056" s="26" t="str">
        <f>IF(OR(E2056="",E2056="!!!",F2056="NEW"),"",INDEX(J$1:J2055,SUMPRODUCT(MAX(ROW(E$1:E2055)*(E2056=E$1:E2055)))))</f>
        <v> </v>
      </c>
      <c r="L2056" s="27"/>
    </row>
    <row r="2057" spans="1:12">
      <c r="A2057" s="20" t="s">
        <v>1630</v>
      </c>
      <c r="E2057" s="22">
        <f>IF(D2057="?OLD","!!!","")</f>
        <v/>
      </c>
      <c r="F2057" s="23" t="str">
        <f>IF(OR(E2057="",E2057="!!!"),"",IF(NOT(ISNA(VLOOKUP(E2057,E$1:E2056,1,FALSE()))),"OLD",IF(AND(E2057&lt;&gt;"",E2057&lt;&gt;"!!!"),"NEW","")))</f>
        <v> </v>
      </c>
      <c r="G2057" s="24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5" t="str">
        <f>IF(J2057&lt;&gt;1,"",IF(I2057="SBJ","CB","?"))</f>
        <v> </v>
      </c>
      <c r="I2057" s="26" t="str">
        <f>IF(OR(E2057="",E2057="!!!",F2057="NEW"),"",INDEX(B2056:B$2,-1+SUMPRODUCT(MAX(ROW(E2056:E$2)*(E2057=E2056:E$2)))))</f>
        <v> </v>
      </c>
      <c r="J2057" s="26" t="str">
        <f>IF(OR(E2057="",E2057="!!!",F2057="NEW"),"",COUNTBLANK(OFFSET(A$1,,,SUMPRODUCT(MAX(ROW(E$2:E2057)*(E2057=E$2:E2057)))))-COUNTBLANK(OFFSET(A$1,,,SUMPRODUCT(MAX(ROW(E$1:E2056)*(E2=E$1:E2056))))))</f>
        <v> </v>
      </c>
      <c r="K2057" s="26" t="str">
        <f>IF(OR(E2057="",E2057="!!!",F2057="NEW"),"",INDEX(J$1:J2056,SUMPRODUCT(MAX(ROW(E$1:E2056)*(E2057=E$1:E2056)))))</f>
        <v> </v>
      </c>
      <c r="L2057" s="27"/>
    </row>
    <row r="2058" spans="1:12">
      <c r="A2058" s="20" t="s">
        <v>633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/>
    </row>
    <row r="2060" spans="1:12">
      <c r="A2060" s="20" t="s">
        <v>1631</v>
      </c>
    </row>
    <row r="2061" spans="1:12">
      <c r="A2061" s="20" t="s">
        <v>1632</v>
      </c>
      <c r="B2061" s="21" t="s">
        <v>601</v>
      </c>
      <c r="E2061" s="22">
        <f>IF(D2061="?OLD","!!!","")</f>
        <v/>
      </c>
      <c r="F2061" s="23" t="str">
        <f>IF(OR(E2061="",E2061="!!!"),"",IF(NOT(ISNA(VLOOKUP(E2061,E$1:E2060,1,FALSE()))),"OLD",IF(AND(E2061&lt;&gt;"",E2061&lt;&gt;"!!!"),"NEW","")))</f>
        <v> </v>
      </c>
      <c r="G2061" s="24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5" t="str">
        <f>IF(J2061&lt;&gt;1,"",IF(I2061="SBJ","CB","?"))</f>
        <v> </v>
      </c>
      <c r="I2061" s="26" t="str">
        <f>IF(OR(E2061="",E2061="!!!",F2061="NEW"),"",INDEX(B2060:B$2,-1+SUMPRODUCT(MAX(ROW(E2060:E$2)*(E2061=E2060:E$2)))))</f>
        <v> </v>
      </c>
      <c r="J2061" s="26" t="str">
        <f>IF(OR(E2061="",E2061="!!!",F2061="NEW"),"",COUNTBLANK(OFFSET(A$1,,,SUMPRODUCT(MAX(ROW(E$2:E2061)*(E2061=E$2:E2061)))))-COUNTBLANK(OFFSET(A$1,,,SUMPRODUCT(MAX(ROW(E$1:E2060)*(E2=E$1:E2060))))))</f>
        <v> </v>
      </c>
      <c r="K2061" s="26" t="str">
        <f>IF(OR(E2061="",E2061="!!!",F2061="NEW"),"",INDEX(J$1:J2060,SUMPRODUCT(MAX(ROW(E$1:E2060)*(E2061=E$1:E2060)))))</f>
        <v> </v>
      </c>
      <c r="L2061" s="27"/>
    </row>
    <row r="2062" spans="1:12">
      <c r="A2062" s="20" t="s">
        <v>1633</v>
      </c>
      <c r="E2062" s="22">
        <f>IF(D2062="?OLD","!!!","")</f>
        <v/>
      </c>
      <c r="F2062" s="23" t="str">
        <f>IF(OR(E2062="",E2062="!!!"),"",IF(NOT(ISNA(VLOOKUP(E2062,E$1:E2061,1,FALSE()))),"OLD",IF(AND(E2062&lt;&gt;"",E2062&lt;&gt;"!!!"),"NEW","")))</f>
        <v> </v>
      </c>
      <c r="G2062" s="24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5" t="str">
        <f>IF(J2062&lt;&gt;1,"",IF(I2062="SBJ","CB","?"))</f>
        <v> </v>
      </c>
      <c r="I2062" s="26" t="str">
        <f>IF(OR(E2062="",E2062="!!!",F2062="NEW"),"",INDEX(B2061:B$2,-1+SUMPRODUCT(MAX(ROW(E2061:E$2)*(E2062=E2061:E$2)))))</f>
        <v> </v>
      </c>
      <c r="J2062" s="26" t="str">
        <f>IF(OR(E2062="",E2062="!!!",F2062="NEW"),"",COUNTBLANK(OFFSET(A$1,,,SUMPRODUCT(MAX(ROW(E$2:E2062)*(E2062=E$2:E2062)))))-COUNTBLANK(OFFSET(A$1,,,SUMPRODUCT(MAX(ROW(E$1:E2061)*(E2=E$1:E2061))))))</f>
        <v> </v>
      </c>
      <c r="K2062" s="26" t="str">
        <f>IF(OR(E2062="",E2062="!!!",F2062="NEW"),"",INDEX(J$1:J2061,SUMPRODUCT(MAX(ROW(E$1:E2061)*(E2062=E$1:E2061)))))</f>
        <v> </v>
      </c>
      <c r="L2062" s="27"/>
    </row>
    <row r="2063" spans="1:12">
      <c r="A2063" s="20" t="s">
        <v>611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658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 t="s">
        <v>245</v>
      </c>
      <c r="E2065" s="22">
        <f>IF(D2065="?OLD","!!!","")</f>
        <v/>
      </c>
      <c r="F2065" s="23" t="str">
        <f>IF(OR(E2065="",E2065="!!!"),"",IF(NOT(ISNA(VLOOKUP(E2065,E$1:E2064,1,FALSE()))),"OLD",IF(AND(E2065&lt;&gt;"",E2065&lt;&gt;"!!!"),"NEW","")))</f>
        <v> </v>
      </c>
      <c r="G2065" s="24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5" t="str">
        <f>IF(J2065&lt;&gt;1,"",IF(I2065="SBJ","CB","?"))</f>
        <v> </v>
      </c>
      <c r="I2065" s="26" t="str">
        <f>IF(OR(E2065="",E2065="!!!",F2065="NEW"),"",INDEX(B2064:B$2,-1+SUMPRODUCT(MAX(ROW(E2064:E$2)*(E2065=E2064:E$2)))))</f>
        <v> </v>
      </c>
      <c r="J2065" s="26" t="str">
        <f>IF(OR(E2065="",E2065="!!!",F2065="NEW"),"",COUNTBLANK(OFFSET(A$1,,,SUMPRODUCT(MAX(ROW(E$2:E2065)*(E2065=E$2:E2065)))))-COUNTBLANK(OFFSET(A$1,,,SUMPRODUCT(MAX(ROW(E$1:E2064)*(E2=E$1:E2064))))))</f>
        <v> </v>
      </c>
      <c r="K2065" s="26" t="str">
        <f>IF(OR(E2065="",E2065="!!!",F2065="NEW"),"",INDEX(J$1:J2064,SUMPRODUCT(MAX(ROW(E$1:E2064)*(E2065=E$1:E2064)))))</f>
        <v> </v>
      </c>
      <c r="L2065" s="27"/>
    </row>
    <row r="2066" spans="1:12">
      <c r="A2066" s="20" t="s">
        <v>1634</v>
      </c>
      <c r="B2066" s="21" t="s">
        <v>609</v>
      </c>
      <c r="C2066" s="21" t="s">
        <v>621</v>
      </c>
      <c r="E2066" s="22">
        <f>IF(D2066="?OLD","!!!","")</f>
        <v/>
      </c>
      <c r="F2066" s="23" t="str">
        <f>IF(OR(E2066="",E2066="!!!"),"",IF(NOT(ISNA(VLOOKUP(E2066,E$1:E2065,1,FALSE()))),"OLD",IF(AND(E2066&lt;&gt;"",E2066&lt;&gt;"!!!"),"NEW","")))</f>
        <v> </v>
      </c>
      <c r="G2066" s="24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5" t="str">
        <f>IF(J2066&lt;&gt;1,"",IF(I2066="SBJ","CB","?"))</f>
        <v> </v>
      </c>
      <c r="I2066" s="26" t="str">
        <f>IF(OR(E2066="",E2066="!!!",F2066="NEW"),"",INDEX(B2065:B$2,-1+SUMPRODUCT(MAX(ROW(E2065:E$2)*(E2066=E2065:E$2)))))</f>
        <v> </v>
      </c>
      <c r="J2066" s="26" t="str">
        <f>IF(OR(E2066="",E2066="!!!",F2066="NEW"),"",COUNTBLANK(OFFSET(A$1,,,SUMPRODUCT(MAX(ROW(E$2:E2066)*(E2066=E$2:E2066)))))-COUNTBLANK(OFFSET(A$1,,,SUMPRODUCT(MAX(ROW(E$1:E2065)*(E2=E$1:E2065))))))</f>
        <v> </v>
      </c>
      <c r="K2066" s="26" t="str">
        <f>IF(OR(E2066="",E2066="!!!",F2066="NEW"),"",INDEX(J$1:J2065,SUMPRODUCT(MAX(ROW(E$1:E2065)*(E2066=E$1:E2065)))))</f>
        <v> </v>
      </c>
      <c r="L2066" s="27"/>
    </row>
    <row r="2067" spans="1:12">
      <c r="A2067" s="20" t="s">
        <v>1506</v>
      </c>
      <c r="E2067" s="22">
        <f>IF(D2067="?OLD","!!!","")</f>
        <v/>
      </c>
      <c r="F2067" s="23" t="str">
        <f>IF(OR(E2067="",E2067="!!!"),"",IF(NOT(ISNA(VLOOKUP(E2067,E$1:E2066,1,FALSE()))),"OLD",IF(AND(E2067&lt;&gt;"",E2067&lt;&gt;"!!!"),"NEW","")))</f>
        <v> </v>
      </c>
      <c r="G2067" s="24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5" t="str">
        <f>IF(J2067&lt;&gt;1,"",IF(I2067="SBJ","CB","?"))</f>
        <v> </v>
      </c>
      <c r="I2067" s="26" t="str">
        <f>IF(OR(E2067="",E2067="!!!",F2067="NEW"),"",INDEX(B2066:B$2,-1+SUMPRODUCT(MAX(ROW(E2066:E$2)*(E2067=E2066:E$2)))))</f>
        <v> </v>
      </c>
      <c r="J2067" s="26" t="str">
        <f>IF(OR(E2067="",E2067="!!!",F2067="NEW"),"",COUNTBLANK(OFFSET(A$1,,,SUMPRODUCT(MAX(ROW(E$2:E2067)*(E2067=E$2:E2067)))))-COUNTBLANK(OFFSET(A$1,,,SUMPRODUCT(MAX(ROW(E$1:E2066)*(E2=E$1:E2066))))))</f>
        <v> </v>
      </c>
      <c r="K2067" s="26" t="str">
        <f>IF(OR(E2067="",E2067="!!!",F2067="NEW"),"",INDEX(J$1:J2066,SUMPRODUCT(MAX(ROW(E$1:E2066)*(E2067=E$1:E2066)))))</f>
        <v> </v>
      </c>
      <c r="L2067" s="27"/>
    </row>
    <row r="2068" spans="1:12">
      <c r="A2068" s="20" t="s">
        <v>622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 t="s">
        <v>1635</v>
      </c>
      <c r="B2069" s="21" t="s">
        <v>636</v>
      </c>
      <c r="E2069" s="22">
        <f>IF(D2069="?OLD","!!!","")</f>
        <v/>
      </c>
      <c r="F2069" s="23" t="str">
        <f>IF(OR(E2069="",E2069="!!!"),"",IF(NOT(ISNA(VLOOKUP(E2069,E$1:E2068,1,FALSE()))),"OLD",IF(AND(E2069&lt;&gt;"",E2069&lt;&gt;"!!!"),"NEW","")))</f>
        <v> </v>
      </c>
      <c r="G2069" s="24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5" t="str">
        <f>IF(J2069&lt;&gt;1,"",IF(I2069="SBJ","CB","?"))</f>
        <v> </v>
      </c>
      <c r="I2069" s="26" t="str">
        <f>IF(OR(E2069="",E2069="!!!",F2069="NEW"),"",INDEX(B2068:B$2,-1+SUMPRODUCT(MAX(ROW(E2068:E$2)*(E2069=E2068:E$2)))))</f>
        <v> </v>
      </c>
      <c r="J2069" s="26" t="str">
        <f>IF(OR(E2069="",E2069="!!!",F2069="NEW"),"",COUNTBLANK(OFFSET(A$1,,,SUMPRODUCT(MAX(ROW(E$2:E2069)*(E2069=E$2:E2069)))))-COUNTBLANK(OFFSET(A$1,,,SUMPRODUCT(MAX(ROW(E$1:E2068)*(E2=E$1:E2068))))))</f>
        <v> </v>
      </c>
      <c r="K2069" s="26" t="str">
        <f>IF(OR(E2069="",E2069="!!!",F2069="NEW"),"",INDEX(J$1:J2068,SUMPRODUCT(MAX(ROW(E$1:E2068)*(E2069=E$1:E2068)))))</f>
        <v> </v>
      </c>
      <c r="L2069" s="27"/>
    </row>
    <row r="2070" spans="1:12">
      <c r="A2070" s="20" t="s">
        <v>1636</v>
      </c>
      <c r="E2070" s="22">
        <f>IF(D2070="?OLD","!!!","")</f>
        <v/>
      </c>
      <c r="F2070" s="23" t="str">
        <f>IF(OR(E2070="",E2070="!!!"),"",IF(NOT(ISNA(VLOOKUP(E2070,E$1:E2069,1,FALSE()))),"OLD",IF(AND(E2070&lt;&gt;"",E2070&lt;&gt;"!!!"),"NEW","")))</f>
        <v> </v>
      </c>
      <c r="G2070" s="24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5" t="str">
        <f>IF(J2070&lt;&gt;1,"",IF(I2070="SBJ","CB","?"))</f>
        <v> </v>
      </c>
      <c r="I2070" s="26" t="str">
        <f>IF(OR(E2070="",E2070="!!!",F2070="NEW"),"",INDEX(B2069:B$2,-1+SUMPRODUCT(MAX(ROW(E2069:E$2)*(E2070=E2069:E$2)))))</f>
        <v> </v>
      </c>
      <c r="J2070" s="26" t="str">
        <f>IF(OR(E2070="",E2070="!!!",F2070="NEW"),"",COUNTBLANK(OFFSET(A$1,,,SUMPRODUCT(MAX(ROW(E$2:E2070)*(E2070=E$2:E2070)))))-COUNTBLANK(OFFSET(A$1,,,SUMPRODUCT(MAX(ROW(E$1:E2069)*(E2=E$1:E2069))))))</f>
        <v> </v>
      </c>
      <c r="K2070" s="26" t="str">
        <f>IF(OR(E2070="",E2070="!!!",F2070="NEW"),"",INDEX(J$1:J2069,SUMPRODUCT(MAX(ROW(E$1:E2069)*(E2070=E$1:E2069)))))</f>
        <v> </v>
      </c>
      <c r="L2070" s="27"/>
    </row>
    <row r="2071" spans="1:12">
      <c r="A2071" s="20" t="s">
        <v>883</v>
      </c>
      <c r="E2071" s="22">
        <f>IF(D2071="?OLD","!!!","")</f>
        <v/>
      </c>
      <c r="F2071" s="23" t="str">
        <f>IF(OR(E2071="",E2071="!!!"),"",IF(NOT(ISNA(VLOOKUP(E2071,E$1:E2070,1,FALSE()))),"OLD",IF(AND(E2071&lt;&gt;"",E2071&lt;&gt;"!!!"),"NEW","")))</f>
        <v> </v>
      </c>
      <c r="G2071" s="24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5" t="str">
        <f>IF(J2071&lt;&gt;1,"",IF(I2071="SBJ","CB","?"))</f>
        <v> </v>
      </c>
      <c r="I2071" s="26" t="str">
        <f>IF(OR(E2071="",E2071="!!!",F2071="NEW"),"",INDEX(B2070:B$2,-1+SUMPRODUCT(MAX(ROW(E2070:E$2)*(E2071=E2070:E$2)))))</f>
        <v> </v>
      </c>
      <c r="J2071" s="26" t="str">
        <f>IF(OR(E2071="",E2071="!!!",F2071="NEW"),"",COUNTBLANK(OFFSET(A$1,,,SUMPRODUCT(MAX(ROW(E$2:E2071)*(E2071=E$2:E2071)))))-COUNTBLANK(OFFSET(A$1,,,SUMPRODUCT(MAX(ROW(E$1:E2070)*(E2=E$1:E2070))))))</f>
        <v> </v>
      </c>
      <c r="K2071" s="26" t="str">
        <f>IF(OR(E2071="",E2071="!!!",F2071="NEW"),"",INDEX(J$1:J2070,SUMPRODUCT(MAX(ROW(E$1:E2070)*(E2071=E$1:E2070)))))</f>
        <v> </v>
      </c>
      <c r="L2071" s="27"/>
    </row>
    <row r="2072" spans="1:12">
      <c r="A2072" s="20" t="s">
        <v>1562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1637</v>
      </c>
      <c r="B2073" s="21" t="s">
        <v>801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 t="s">
        <v>646</v>
      </c>
      <c r="E2074" s="22">
        <f>IF(D2074="?OLD","!!!","")</f>
        <v/>
      </c>
      <c r="F2074" s="23" t="str">
        <f>IF(OR(E2074="",E2074="!!!"),"",IF(NOT(ISNA(VLOOKUP(E2074,E$1:E2073,1,FALSE()))),"OLD",IF(AND(E2074&lt;&gt;"",E2074&lt;&gt;"!!!"),"NEW","")))</f>
        <v> </v>
      </c>
      <c r="G2074" s="24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5" t="str">
        <f>IF(J2074&lt;&gt;1,"",IF(I2074="SBJ","CB","?"))</f>
        <v> </v>
      </c>
      <c r="I2074" s="26" t="str">
        <f>IF(OR(E2074="",E2074="!!!",F2074="NEW"),"",INDEX(B2073:B$2,-1+SUMPRODUCT(MAX(ROW(E2073:E$2)*(E2074=E2073:E$2)))))</f>
        <v> </v>
      </c>
      <c r="J2074" s="26" t="str">
        <f>IF(OR(E2074="",E2074="!!!",F2074="NEW"),"",COUNTBLANK(OFFSET(A$1,,,SUMPRODUCT(MAX(ROW(E$2:E2074)*(E2074=E$2:E2074)))))-COUNTBLANK(OFFSET(A$1,,,SUMPRODUCT(MAX(ROW(E$1:E2073)*(E2=E$1:E2073))))))</f>
        <v> </v>
      </c>
      <c r="K2074" s="26" t="str">
        <f>IF(OR(E2074="",E2074="!!!",F2074="NEW"),"",INDEX(J$1:J2073,SUMPRODUCT(MAX(ROW(E$1:E2073)*(E2074=E$1:E2073)))))</f>
        <v> </v>
      </c>
      <c r="L2074" s="27"/>
    </row>
    <row r="2075" spans="1:12">
      <c r="A2075" s="20" t="s">
        <v>1638</v>
      </c>
      <c r="E2075" s="22">
        <f>IF(D2075="?OLD","!!!","")</f>
        <v/>
      </c>
      <c r="F2075" s="23" t="str">
        <f>IF(OR(E2075="",E2075="!!!"),"",IF(NOT(ISNA(VLOOKUP(E2075,E$1:E2074,1,FALSE()))),"OLD",IF(AND(E2075&lt;&gt;"",E2075&lt;&gt;"!!!"),"NEW","")))</f>
        <v> </v>
      </c>
      <c r="G2075" s="24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5" t="str">
        <f>IF(J2075&lt;&gt;1,"",IF(I2075="SBJ","CB","?"))</f>
        <v> </v>
      </c>
      <c r="I2075" s="26" t="str">
        <f>IF(OR(E2075="",E2075="!!!",F2075="NEW"),"",INDEX(B2074:B$2,-1+SUMPRODUCT(MAX(ROW(E2074:E$2)*(E2075=E2074:E$2)))))</f>
        <v> </v>
      </c>
      <c r="J2075" s="26" t="str">
        <f>IF(OR(E2075="",E2075="!!!",F2075="NEW"),"",COUNTBLANK(OFFSET(A$1,,,SUMPRODUCT(MAX(ROW(E$2:E2075)*(E2075=E$2:E2075)))))-COUNTBLANK(OFFSET(A$1,,,SUMPRODUCT(MAX(ROW(E$1:E2074)*(E2=E$1:E2074))))))</f>
        <v> </v>
      </c>
      <c r="K2075" s="26" t="str">
        <f>IF(OR(E2075="",E2075="!!!",F2075="NEW"),"",INDEX(J$1:J2074,SUMPRODUCT(MAX(ROW(E$1:E2074)*(E2075=E$1:E2074)))))</f>
        <v> </v>
      </c>
      <c r="L2075" s="27"/>
    </row>
    <row r="2076" spans="1:12">
      <c r="A2076" s="20" t="s">
        <v>633</v>
      </c>
      <c r="E2076" s="22">
        <f>IF(D2076="?OLD","!!!","")</f>
        <v/>
      </c>
      <c r="F2076" s="23" t="str">
        <f>IF(OR(E2076="",E2076="!!!"),"",IF(NOT(ISNA(VLOOKUP(E2076,E$1:E2075,1,FALSE()))),"OLD",IF(AND(E2076&lt;&gt;"",E2076&lt;&gt;"!!!"),"NEW","")))</f>
        <v> </v>
      </c>
      <c r="G2076" s="24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5" t="str">
        <f>IF(J2076&lt;&gt;1,"",IF(I2076="SBJ","CB","?"))</f>
        <v> </v>
      </c>
      <c r="I2076" s="26" t="str">
        <f>IF(OR(E2076="",E2076="!!!",F2076="NEW"),"",INDEX(B2075:B$2,-1+SUMPRODUCT(MAX(ROW(E2075:E$2)*(E2076=E2075:E$2)))))</f>
        <v> </v>
      </c>
      <c r="J2076" s="26" t="str">
        <f>IF(OR(E2076="",E2076="!!!",F2076="NEW"),"",COUNTBLANK(OFFSET(A$1,,,SUMPRODUCT(MAX(ROW(E$2:E2076)*(E2076=E$2:E2076)))))-COUNTBLANK(OFFSET(A$1,,,SUMPRODUCT(MAX(ROW(E$1:E2075)*(E2=E$1:E2075))))))</f>
        <v> </v>
      </c>
      <c r="K2076" s="26" t="str">
        <f>IF(OR(E2076="",E2076="!!!",F2076="NEW"),"",INDEX(J$1:J2075,SUMPRODUCT(MAX(ROW(E$1:E2075)*(E2076=E$1:E2075)))))</f>
        <v> </v>
      </c>
      <c r="L2076" s="27"/>
    </row>
    <row r="2077" spans="1:12">
      <c r="A2077" s="20"/>
    </row>
    <row r="2078" spans="1:12">
      <c r="A2078" s="20" t="s">
        <v>1639</v>
      </c>
    </row>
    <row r="2079" spans="1:12">
      <c r="A2079" s="20" t="s">
        <v>1396</v>
      </c>
      <c r="E2079" s="22">
        <f>IF(D2079="?OLD","!!!","")</f>
        <v/>
      </c>
      <c r="F2079" s="23" t="str">
        <f>IF(OR(E2079="",E2079="!!!"),"",IF(NOT(ISNA(VLOOKUP(E2079,E$1:E2078,1,FALSE()))),"OLD",IF(AND(E2079&lt;&gt;"",E2079&lt;&gt;"!!!"),"NEW","")))</f>
        <v> </v>
      </c>
      <c r="G2079" s="24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5" t="str">
        <f>IF(J2079&lt;&gt;1,"",IF(I2079="SBJ","CB","?"))</f>
        <v> </v>
      </c>
      <c r="I2079" s="26" t="str">
        <f>IF(OR(E2079="",E2079="!!!",F2079="NEW"),"",INDEX(B2078:B$2,-1+SUMPRODUCT(MAX(ROW(E2078:E$2)*(E2079=E2078:E$2)))))</f>
        <v> </v>
      </c>
      <c r="J2079" s="26" t="str">
        <f>IF(OR(E2079="",E2079="!!!",F2079="NEW"),"",COUNTBLANK(OFFSET(A$1,,,SUMPRODUCT(MAX(ROW(E$2:E2079)*(E2079=E$2:E2079)))))-COUNTBLANK(OFFSET(A$1,,,SUMPRODUCT(MAX(ROW(E$1:E2078)*(E2=E$1:E2078))))))</f>
        <v> </v>
      </c>
      <c r="K2079" s="26" t="str">
        <f>IF(OR(E2079="",E2079="!!!",F2079="NEW"),"",INDEX(J$1:J2078,SUMPRODUCT(MAX(ROW(E$1:E2078)*(E2079=E$1:E2078)))))</f>
        <v> </v>
      </c>
      <c r="L2079" s="27"/>
    </row>
    <row r="2080" spans="1:12">
      <c r="A2080" s="20" t="s">
        <v>611</v>
      </c>
      <c r="E2080" s="22">
        <f>IF(D2080="?OLD","!!!","")</f>
        <v/>
      </c>
      <c r="F2080" s="23" t="str">
        <f>IF(OR(E2080="",E2080="!!!"),"",IF(NOT(ISNA(VLOOKUP(E2080,E$1:E2079,1,FALSE()))),"OLD",IF(AND(E2080&lt;&gt;"",E2080&lt;&gt;"!!!"),"NEW","")))</f>
        <v> </v>
      </c>
      <c r="G2080" s="24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5" t="str">
        <f>IF(J2080&lt;&gt;1,"",IF(I2080="SBJ","CB","?"))</f>
        <v> </v>
      </c>
      <c r="I2080" s="26" t="str">
        <f>IF(OR(E2080="",E2080="!!!",F2080="NEW"),"",INDEX(B2079:B$2,-1+SUMPRODUCT(MAX(ROW(E2079:E$2)*(E2080=E2079:E$2)))))</f>
        <v> </v>
      </c>
      <c r="J2080" s="26" t="str">
        <f>IF(OR(E2080="",E2080="!!!",F2080="NEW"),"",COUNTBLANK(OFFSET(A$1,,,SUMPRODUCT(MAX(ROW(E$2:E2080)*(E2080=E$2:E2080)))))-COUNTBLANK(OFFSET(A$1,,,SUMPRODUCT(MAX(ROW(E$1:E2079)*(E2=E$1:E2079))))))</f>
        <v> </v>
      </c>
      <c r="K2080" s="26" t="str">
        <f>IF(OR(E2080="",E2080="!!!",F2080="NEW"),"",INDEX(J$1:J2079,SUMPRODUCT(MAX(ROW(E$1:E2079)*(E2080=E$1:E2079)))))</f>
        <v> </v>
      </c>
      <c r="L2080" s="27"/>
    </row>
    <row r="2081" spans="1:12">
      <c r="A2081" s="20" t="s">
        <v>1640</v>
      </c>
      <c r="E2081" s="22">
        <f>IF(D2081="?OLD","!!!","")</f>
        <v/>
      </c>
      <c r="F2081" s="23" t="str">
        <f>IF(OR(E2081="",E2081="!!!"),"",IF(NOT(ISNA(VLOOKUP(E2081,E$1:E2080,1,FALSE()))),"OLD",IF(AND(E2081&lt;&gt;"",E2081&lt;&gt;"!!!"),"NEW","")))</f>
        <v> </v>
      </c>
      <c r="G2081" s="24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5" t="str">
        <f>IF(J2081&lt;&gt;1,"",IF(I2081="SBJ","CB","?"))</f>
        <v> </v>
      </c>
      <c r="I2081" s="26" t="str">
        <f>IF(OR(E2081="",E2081="!!!",F2081="NEW"),"",INDEX(B2080:B$2,-1+SUMPRODUCT(MAX(ROW(E2080:E$2)*(E2081=E2080:E$2)))))</f>
        <v> </v>
      </c>
      <c r="J2081" s="26" t="str">
        <f>IF(OR(E2081="",E2081="!!!",F2081="NEW"),"",COUNTBLANK(OFFSET(A$1,,,SUMPRODUCT(MAX(ROW(E$2:E2081)*(E2081=E$2:E2081)))))-COUNTBLANK(OFFSET(A$1,,,SUMPRODUCT(MAX(ROW(E$1:E2080)*(E2=E$1:E2080))))))</f>
        <v> </v>
      </c>
      <c r="K2081" s="26" t="str">
        <f>IF(OR(E2081="",E2081="!!!",F2081="NEW"),"",INDEX(J$1:J2080,SUMPRODUCT(MAX(ROW(E$1:E2080)*(E2081=E$1:E2080)))))</f>
        <v> </v>
      </c>
      <c r="L2081" s="27"/>
    </row>
    <row r="2082" spans="1:12">
      <c r="A2082" s="20" t="s">
        <v>611</v>
      </c>
      <c r="E2082" s="22">
        <f>IF(D2082="?OLD","!!!","")</f>
        <v/>
      </c>
      <c r="F2082" s="23" t="str">
        <f>IF(OR(E2082="",E2082="!!!"),"",IF(NOT(ISNA(VLOOKUP(E2082,E$1:E2081,1,FALSE()))),"OLD",IF(AND(E2082&lt;&gt;"",E2082&lt;&gt;"!!!"),"NEW","")))</f>
        <v> </v>
      </c>
      <c r="G2082" s="24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5" t="str">
        <f>IF(J2082&lt;&gt;1,"",IF(I2082="SBJ","CB","?"))</f>
        <v> </v>
      </c>
      <c r="I2082" s="26" t="str">
        <f>IF(OR(E2082="",E2082="!!!",F2082="NEW"),"",INDEX(B2081:B$2,-1+SUMPRODUCT(MAX(ROW(E2081:E$2)*(E2082=E2081:E$2)))))</f>
        <v> </v>
      </c>
      <c r="J2082" s="26" t="str">
        <f>IF(OR(E2082="",E2082="!!!",F2082="NEW"),"",COUNTBLANK(OFFSET(A$1,,,SUMPRODUCT(MAX(ROW(E$2:E2082)*(E2082=E$2:E2082)))))-COUNTBLANK(OFFSET(A$1,,,SUMPRODUCT(MAX(ROW(E$1:E2081)*(E2=E$1:E2081))))))</f>
        <v> </v>
      </c>
      <c r="K2082" s="26" t="str">
        <f>IF(OR(E2082="",E2082="!!!",F2082="NEW"),"",INDEX(J$1:J2081,SUMPRODUCT(MAX(ROW(E$1:E2081)*(E2082=E$1:E2081)))))</f>
        <v> </v>
      </c>
      <c r="L2082" s="27"/>
    </row>
    <row r="2083" spans="1:12">
      <c r="A2083" s="20" t="s">
        <v>658</v>
      </c>
      <c r="E2083" s="22">
        <f>IF(D2083="?OLD","!!!","")</f>
        <v/>
      </c>
      <c r="F2083" s="23" t="str">
        <f>IF(OR(E2083="",E2083="!!!"),"",IF(NOT(ISNA(VLOOKUP(E2083,E$1:E2082,1,FALSE()))),"OLD",IF(AND(E2083&lt;&gt;"",E2083&lt;&gt;"!!!"),"NEW","")))</f>
        <v> </v>
      </c>
      <c r="G2083" s="24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5" t="str">
        <f>IF(J2083&lt;&gt;1,"",IF(I2083="SBJ","CB","?"))</f>
        <v> </v>
      </c>
      <c r="I2083" s="26" t="str">
        <f>IF(OR(E2083="",E2083="!!!",F2083="NEW"),"",INDEX(B2082:B$2,-1+SUMPRODUCT(MAX(ROW(E2082:E$2)*(E2083=E2082:E$2)))))</f>
        <v> </v>
      </c>
      <c r="J2083" s="26" t="str">
        <f>IF(OR(E2083="",E2083="!!!",F2083="NEW"),"",COUNTBLANK(OFFSET(A$1,,,SUMPRODUCT(MAX(ROW(E$2:E2083)*(E2083=E$2:E2083)))))-COUNTBLANK(OFFSET(A$1,,,SUMPRODUCT(MAX(ROW(E$1:E2082)*(E2=E$1:E2082))))))</f>
        <v> </v>
      </c>
      <c r="K2083" s="26" t="str">
        <f>IF(OR(E2083="",E2083="!!!",F2083="NEW"),"",INDEX(J$1:J2082,SUMPRODUCT(MAX(ROW(E$1:E2082)*(E2083=E$1:E2082)))))</f>
        <v> </v>
      </c>
      <c r="L2083" s="27"/>
    </row>
    <row r="2084" spans="1:12">
      <c r="A2084" s="20" t="s">
        <v>1641</v>
      </c>
      <c r="E2084" s="22">
        <f>IF(D2084="?OLD","!!!","")</f>
        <v/>
      </c>
      <c r="F2084" s="23" t="str">
        <f>IF(OR(E2084="",E2084="!!!"),"",IF(NOT(ISNA(VLOOKUP(E2084,E$1:E2083,1,FALSE()))),"OLD",IF(AND(E2084&lt;&gt;"",E2084&lt;&gt;"!!!"),"NEW","")))</f>
        <v> </v>
      </c>
      <c r="G2084" s="24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5" t="str">
        <f>IF(J2084&lt;&gt;1,"",IF(I2084="SBJ","CB","?"))</f>
        <v> </v>
      </c>
      <c r="I2084" s="26" t="str">
        <f>IF(OR(E2084="",E2084="!!!",F2084="NEW"),"",INDEX(B2083:B$2,-1+SUMPRODUCT(MAX(ROW(E2083:E$2)*(E2084=E2083:E$2)))))</f>
        <v> </v>
      </c>
      <c r="J2084" s="26" t="str">
        <f>IF(OR(E2084="",E2084="!!!",F2084="NEW"),"",COUNTBLANK(OFFSET(A$1,,,SUMPRODUCT(MAX(ROW(E$2:E2084)*(E2084=E$2:E2084)))))-COUNTBLANK(OFFSET(A$1,,,SUMPRODUCT(MAX(ROW(E$1:E2083)*(E2=E$1:E2083))))))</f>
        <v> </v>
      </c>
      <c r="K2084" s="26" t="str">
        <f>IF(OR(E2084="",E2084="!!!",F2084="NEW"),"",INDEX(J$1:J2083,SUMPRODUCT(MAX(ROW(E$1:E2083)*(E2084=E$1:E2083)))))</f>
        <v> </v>
      </c>
      <c r="L2084" s="27"/>
    </row>
    <row r="2085" spans="1:12">
      <c r="A2085" s="20" t="s">
        <v>870</v>
      </c>
      <c r="E2085" s="22">
        <f>IF(D2085="?OLD","!!!","")</f>
        <v/>
      </c>
      <c r="F2085" s="23" t="str">
        <f>IF(OR(E2085="",E2085="!!!"),"",IF(NOT(ISNA(VLOOKUP(E2085,E$1:E2084,1,FALSE()))),"OLD",IF(AND(E2085&lt;&gt;"",E2085&lt;&gt;"!!!"),"NEW","")))</f>
        <v> </v>
      </c>
      <c r="G2085" s="24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5" t="str">
        <f>IF(J2085&lt;&gt;1,"",IF(I2085="SBJ","CB","?"))</f>
        <v> </v>
      </c>
      <c r="I2085" s="26" t="str">
        <f>IF(OR(E2085="",E2085="!!!",F2085="NEW"),"",INDEX(B2084:B$2,-1+SUMPRODUCT(MAX(ROW(E2084:E$2)*(E2085=E2084:E$2)))))</f>
        <v> </v>
      </c>
      <c r="J2085" s="26" t="str">
        <f>IF(OR(E2085="",E2085="!!!",F2085="NEW"),"",COUNTBLANK(OFFSET(A$1,,,SUMPRODUCT(MAX(ROW(E$2:E2085)*(E2085=E$2:E2085)))))-COUNTBLANK(OFFSET(A$1,,,SUMPRODUCT(MAX(ROW(E$1:E2084)*(E2=E$1:E2084))))))</f>
        <v> </v>
      </c>
      <c r="K2085" s="26" t="str">
        <f>IF(OR(E2085="",E2085="!!!",F2085="NEW"),"",INDEX(J$1:J2084,SUMPRODUCT(MAX(ROW(E$1:E2084)*(E2085=E$1:E2084)))))</f>
        <v> </v>
      </c>
      <c r="L2085" s="27"/>
    </row>
    <row r="2086" spans="1:12">
      <c r="A2086" s="20" t="s">
        <v>1642</v>
      </c>
      <c r="B2086" s="21" t="s">
        <v>815</v>
      </c>
      <c r="C2086" s="21" t="s">
        <v>716</v>
      </c>
      <c r="D2086" s="21" t="s">
        <v>603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1643</v>
      </c>
      <c r="B2087" s="21" t="s">
        <v>659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 t="s">
        <v>1644</v>
      </c>
      <c r="E2088" s="22">
        <f>IF(D2088="?OLD","!!!","")</f>
        <v/>
      </c>
      <c r="F2088" s="23" t="str">
        <f>IF(OR(E2088="",E2088="!!!"),"",IF(NOT(ISNA(VLOOKUP(E2088,E$1:E2087,1,FALSE()))),"OLD",IF(AND(E2088&lt;&gt;"",E2088&lt;&gt;"!!!"),"NEW","")))</f>
        <v> </v>
      </c>
      <c r="G2088" s="24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5" t="str">
        <f>IF(J2088&lt;&gt;1,"",IF(I2088="SBJ","CB","?"))</f>
        <v> </v>
      </c>
      <c r="I2088" s="26" t="str">
        <f>IF(OR(E2088="",E2088="!!!",F2088="NEW"),"",INDEX(B2087:B$2,-1+SUMPRODUCT(MAX(ROW(E2087:E$2)*(E2088=E2087:E$2)))))</f>
        <v> </v>
      </c>
      <c r="J2088" s="26" t="str">
        <f>IF(OR(E2088="",E2088="!!!",F2088="NEW"),"",COUNTBLANK(OFFSET(A$1,,,SUMPRODUCT(MAX(ROW(E$2:E2088)*(E2088=E$2:E2088)))))-COUNTBLANK(OFFSET(A$1,,,SUMPRODUCT(MAX(ROW(E$1:E2087)*(E2=E$1:E2087))))))</f>
        <v> </v>
      </c>
      <c r="K2088" s="26" t="str">
        <f>IF(OR(E2088="",E2088="!!!",F2088="NEW"),"",INDEX(J$1:J2087,SUMPRODUCT(MAX(ROW(E$1:E2087)*(E2088=E$1:E2087)))))</f>
        <v> </v>
      </c>
      <c r="L2088" s="27"/>
    </row>
    <row r="2089" spans="1:12">
      <c r="A2089" s="20" t="s">
        <v>934</v>
      </c>
      <c r="E2089" s="22">
        <f>IF(D2089="?OLD","!!!","")</f>
        <v/>
      </c>
      <c r="F2089" s="23" t="str">
        <f>IF(OR(E2089="",E2089="!!!"),"",IF(NOT(ISNA(VLOOKUP(E2089,E$1:E2088,1,FALSE()))),"OLD",IF(AND(E2089&lt;&gt;"",E2089&lt;&gt;"!!!"),"NEW","")))</f>
        <v> </v>
      </c>
      <c r="G2089" s="24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5" t="str">
        <f>IF(J2089&lt;&gt;1,"",IF(I2089="SBJ","CB","?"))</f>
        <v> </v>
      </c>
      <c r="I2089" s="26" t="str">
        <f>IF(OR(E2089="",E2089="!!!",F2089="NEW"),"",INDEX(B2088:B$2,-1+SUMPRODUCT(MAX(ROW(E2088:E$2)*(E2089=E2088:E$2)))))</f>
        <v> </v>
      </c>
      <c r="J2089" s="26" t="str">
        <f>IF(OR(E2089="",E2089="!!!",F2089="NEW"),"",COUNTBLANK(OFFSET(A$1,,,SUMPRODUCT(MAX(ROW(E$2:E2089)*(E2089=E$2:E2089)))))-COUNTBLANK(OFFSET(A$1,,,SUMPRODUCT(MAX(ROW(E$1:E2088)*(E2=E$1:E2088))))))</f>
        <v> </v>
      </c>
      <c r="K2089" s="26" t="str">
        <f>IF(OR(E2089="",E2089="!!!",F2089="NEW"),"",INDEX(J$1:J2088,SUMPRODUCT(MAX(ROW(E$1:E2088)*(E2089=E$1:E2088)))))</f>
        <v> </v>
      </c>
      <c r="L2089" s="27"/>
    </row>
    <row r="2090" spans="1:12">
      <c r="A2090" s="20" t="s">
        <v>1645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 t="s">
        <v>628</v>
      </c>
      <c r="E2091" s="22">
        <f>IF(D2091="?OLD","!!!","")</f>
        <v/>
      </c>
      <c r="F2091" s="23" t="str">
        <f>IF(OR(E2091="",E2091="!!!"),"",IF(NOT(ISNA(VLOOKUP(E2091,E$1:E2090,1,FALSE()))),"OLD",IF(AND(E2091&lt;&gt;"",E2091&lt;&gt;"!!!"),"NEW","")))</f>
        <v> </v>
      </c>
      <c r="G2091" s="24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5" t="str">
        <f>IF(J2091&lt;&gt;1,"",IF(I2091="SBJ","CB","?"))</f>
        <v> </v>
      </c>
      <c r="I2091" s="26" t="str">
        <f>IF(OR(E2091="",E2091="!!!",F2091="NEW"),"",INDEX(B2090:B$2,-1+SUMPRODUCT(MAX(ROW(E2090:E$2)*(E2091=E2090:E$2)))))</f>
        <v> </v>
      </c>
      <c r="J2091" s="26" t="str">
        <f>IF(OR(E2091="",E2091="!!!",F2091="NEW"),"",COUNTBLANK(OFFSET(A$1,,,SUMPRODUCT(MAX(ROW(E$2:E2091)*(E2091=E$2:E2091)))))-COUNTBLANK(OFFSET(A$1,,,SUMPRODUCT(MAX(ROW(E$1:E2090)*(E2=E$1:E2090))))))</f>
        <v> </v>
      </c>
      <c r="K2091" s="26" t="str">
        <f>IF(OR(E2091="",E2091="!!!",F2091="NEW"),"",INDEX(J$1:J2090,SUMPRODUCT(MAX(ROW(E$1:E2090)*(E2091=E$1:E2090)))))</f>
        <v> </v>
      </c>
      <c r="L2091" s="27"/>
    </row>
    <row r="2092" spans="1:12">
      <c r="A2092" s="20" t="s">
        <v>1432</v>
      </c>
      <c r="E2092" s="22">
        <f>IF(D2092="?OLD","!!!","")</f>
        <v/>
      </c>
      <c r="F2092" s="23" t="str">
        <f>IF(OR(E2092="",E2092="!!!"),"",IF(NOT(ISNA(VLOOKUP(E2092,E$1:E2091,1,FALSE()))),"OLD",IF(AND(E2092&lt;&gt;"",E2092&lt;&gt;"!!!"),"NEW","")))</f>
        <v> </v>
      </c>
      <c r="G2092" s="24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5" t="str">
        <f>IF(J2092&lt;&gt;1,"",IF(I2092="SBJ","CB","?"))</f>
        <v> </v>
      </c>
      <c r="I2092" s="26" t="str">
        <f>IF(OR(E2092="",E2092="!!!",F2092="NEW"),"",INDEX(B2091:B$2,-1+SUMPRODUCT(MAX(ROW(E2091:E$2)*(E2092=E2091:E$2)))))</f>
        <v> </v>
      </c>
      <c r="J2092" s="26" t="str">
        <f>IF(OR(E2092="",E2092="!!!",F2092="NEW"),"",COUNTBLANK(OFFSET(A$1,,,SUMPRODUCT(MAX(ROW(E$2:E2092)*(E2092=E$2:E2092)))))-COUNTBLANK(OFFSET(A$1,,,SUMPRODUCT(MAX(ROW(E$1:E2091)*(E2=E$1:E2091))))))</f>
        <v> </v>
      </c>
      <c r="K2092" s="26" t="str">
        <f>IF(OR(E2092="",E2092="!!!",F2092="NEW"),"",INDEX(J$1:J2091,SUMPRODUCT(MAX(ROW(E$1:E2091)*(E2092=E$1:E2091)))))</f>
        <v> </v>
      </c>
      <c r="L2092" s="27"/>
    </row>
    <row r="2093" spans="1:12">
      <c r="A2093" s="20" t="s">
        <v>611</v>
      </c>
      <c r="E2093" s="22">
        <f>IF(D2093="?OLD","!!!","")</f>
        <v/>
      </c>
      <c r="F2093" s="23" t="str">
        <f>IF(OR(E2093="",E2093="!!!"),"",IF(NOT(ISNA(VLOOKUP(E2093,E$1:E2092,1,FALSE()))),"OLD",IF(AND(E2093&lt;&gt;"",E2093&lt;&gt;"!!!"),"NEW","")))</f>
        <v> </v>
      </c>
      <c r="G2093" s="24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5" t="str">
        <f>IF(J2093&lt;&gt;1,"",IF(I2093="SBJ","CB","?"))</f>
        <v> </v>
      </c>
      <c r="I2093" s="26" t="str">
        <f>IF(OR(E2093="",E2093="!!!",F2093="NEW"),"",INDEX(B2092:B$2,-1+SUMPRODUCT(MAX(ROW(E2092:E$2)*(E2093=E2092:E$2)))))</f>
        <v> </v>
      </c>
      <c r="J2093" s="26" t="str">
        <f>IF(OR(E2093="",E2093="!!!",F2093="NEW"),"",COUNTBLANK(OFFSET(A$1,,,SUMPRODUCT(MAX(ROW(E$2:E2093)*(E2093=E$2:E2093)))))-COUNTBLANK(OFFSET(A$1,,,SUMPRODUCT(MAX(ROW(E$1:E2092)*(E2=E$1:E2092))))))</f>
        <v> </v>
      </c>
      <c r="K2093" s="26" t="str">
        <f>IF(OR(E2093="",E2093="!!!",F2093="NEW"),"",INDEX(J$1:J2092,SUMPRODUCT(MAX(ROW(E$1:E2092)*(E2093=E$1:E2092)))))</f>
        <v> </v>
      </c>
      <c r="L2093" s="27"/>
    </row>
    <row r="2094" spans="1:12">
      <c r="A2094" s="20" t="s">
        <v>1309</v>
      </c>
      <c r="B2094" s="21" t="s">
        <v>601</v>
      </c>
      <c r="C2094" s="21" t="s">
        <v>602</v>
      </c>
      <c r="D2094" s="21" t="s">
        <v>603</v>
      </c>
      <c r="E2094" s="22">
        <f>IF(D2094="?OLD","!!!","")</f>
        <v/>
      </c>
      <c r="F2094" s="23" t="str">
        <f>IF(OR(E2094="",E2094="!!!"),"",IF(NOT(ISNA(VLOOKUP(E2094,E$1:E2093,1,FALSE()))),"OLD",IF(AND(E2094&lt;&gt;"",E2094&lt;&gt;"!!!"),"NEW","")))</f>
        <v> </v>
      </c>
      <c r="G2094" s="24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5" t="str">
        <f>IF(J2094&lt;&gt;1,"",IF(I2094="SBJ","CB","?"))</f>
        <v> </v>
      </c>
      <c r="I2094" s="26" t="str">
        <f>IF(OR(E2094="",E2094="!!!",F2094="NEW"),"",INDEX(B2093:B$2,-1+SUMPRODUCT(MAX(ROW(E2093:E$2)*(E2094=E2093:E$2)))))</f>
        <v> </v>
      </c>
      <c r="J2094" s="26" t="str">
        <f>IF(OR(E2094="",E2094="!!!",F2094="NEW"),"",COUNTBLANK(OFFSET(A$1,,,SUMPRODUCT(MAX(ROW(E$2:E2094)*(E2094=E$2:E2094)))))-COUNTBLANK(OFFSET(A$1,,,SUMPRODUCT(MAX(ROW(E$1:E2093)*(E2=E$1:E2093))))))</f>
        <v> </v>
      </c>
      <c r="K2094" s="26" t="str">
        <f>IF(OR(E2094="",E2094="!!!",F2094="NEW"),"",INDEX(J$1:J2093,SUMPRODUCT(MAX(ROW(E$1:E2093)*(E2094=E$1:E2093)))))</f>
        <v> </v>
      </c>
      <c r="L2094" s="27"/>
    </row>
    <row r="2095" spans="1:12">
      <c r="A2095" s="20" t="s">
        <v>664</v>
      </c>
      <c r="E2095" s="22">
        <f>IF(D2095="?OLD","!!!","")</f>
        <v/>
      </c>
      <c r="F2095" s="23" t="str">
        <f>IF(OR(E2095="",E2095="!!!"),"",IF(NOT(ISNA(VLOOKUP(E2095,E$1:E2094,1,FALSE()))),"OLD",IF(AND(E2095&lt;&gt;"",E2095&lt;&gt;"!!!"),"NEW","")))</f>
        <v> </v>
      </c>
      <c r="G2095" s="24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5" t="str">
        <f>IF(J2095&lt;&gt;1,"",IF(I2095="SBJ","CB","?"))</f>
        <v> </v>
      </c>
      <c r="I2095" s="26" t="str">
        <f>IF(OR(E2095="",E2095="!!!",F2095="NEW"),"",INDEX(B2094:B$2,-1+SUMPRODUCT(MAX(ROW(E2094:E$2)*(E2095=E2094:E$2)))))</f>
        <v> </v>
      </c>
      <c r="J2095" s="26" t="str">
        <f>IF(OR(E2095="",E2095="!!!",F2095="NEW"),"",COUNTBLANK(OFFSET(A$1,,,SUMPRODUCT(MAX(ROW(E$2:E2095)*(E2095=E$2:E2095)))))-COUNTBLANK(OFFSET(A$1,,,SUMPRODUCT(MAX(ROW(E$1:E2094)*(E2=E$1:E2094))))))</f>
        <v> </v>
      </c>
      <c r="K2095" s="26" t="str">
        <f>IF(OR(E2095="",E2095="!!!",F2095="NEW"),"",INDEX(J$1:J2094,SUMPRODUCT(MAX(ROW(E$1:E2094)*(E2095=E$1:E2094)))))</f>
        <v> </v>
      </c>
      <c r="L2095" s="27"/>
    </row>
    <row r="2096" spans="1:12">
      <c r="A2096" s="20" t="s">
        <v>1646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 t="s">
        <v>1647</v>
      </c>
      <c r="E2097" s="22">
        <f>IF(D2097="?OLD","!!!","")</f>
        <v/>
      </c>
      <c r="F2097" s="23" t="str">
        <f>IF(OR(E2097="",E2097="!!!"),"",IF(NOT(ISNA(VLOOKUP(E2097,E$1:E2096,1,FALSE()))),"OLD",IF(AND(E2097&lt;&gt;"",E2097&lt;&gt;"!!!"),"NEW","")))</f>
        <v> </v>
      </c>
      <c r="G2097" s="24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5" t="str">
        <f>IF(J2097&lt;&gt;1,"",IF(I2097="SBJ","CB","?"))</f>
        <v> </v>
      </c>
      <c r="I2097" s="26" t="str">
        <f>IF(OR(E2097="",E2097="!!!",F2097="NEW"),"",INDEX(B2096:B$2,-1+SUMPRODUCT(MAX(ROW(E2096:E$2)*(E2097=E2096:E$2)))))</f>
        <v> </v>
      </c>
      <c r="J2097" s="26" t="str">
        <f>IF(OR(E2097="",E2097="!!!",F2097="NEW"),"",COUNTBLANK(OFFSET(A$1,,,SUMPRODUCT(MAX(ROW(E$2:E2097)*(E2097=E$2:E2097)))))-COUNTBLANK(OFFSET(A$1,,,SUMPRODUCT(MAX(ROW(E$1:E2096)*(E2=E$1:E2096))))))</f>
        <v> </v>
      </c>
      <c r="K2097" s="26" t="str">
        <f>IF(OR(E2097="",E2097="!!!",F2097="NEW"),"",INDEX(J$1:J2096,SUMPRODUCT(MAX(ROW(E$1:E2096)*(E2097=E$1:E2096)))))</f>
        <v> </v>
      </c>
      <c r="L2097" s="27"/>
    </row>
    <row r="2098" spans="1:12">
      <c r="A2098" s="20" t="s">
        <v>646</v>
      </c>
      <c r="E2098" s="22">
        <f>IF(D2098="?OLD","!!!","")</f>
        <v/>
      </c>
      <c r="F2098" s="23" t="str">
        <f>IF(OR(E2098="",E2098="!!!"),"",IF(NOT(ISNA(VLOOKUP(E2098,E$1:E2097,1,FALSE()))),"OLD",IF(AND(E2098&lt;&gt;"",E2098&lt;&gt;"!!!"),"NEW","")))</f>
        <v> </v>
      </c>
      <c r="G2098" s="24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5" t="str">
        <f>IF(J2098&lt;&gt;1,"",IF(I2098="SBJ","CB","?"))</f>
        <v> </v>
      </c>
      <c r="I2098" s="26" t="str">
        <f>IF(OR(E2098="",E2098="!!!",F2098="NEW"),"",INDEX(B2097:B$2,-1+SUMPRODUCT(MAX(ROW(E2097:E$2)*(E2098=E2097:E$2)))))</f>
        <v> </v>
      </c>
      <c r="J2098" s="26" t="str">
        <f>IF(OR(E2098="",E2098="!!!",F2098="NEW"),"",COUNTBLANK(OFFSET(A$1,,,SUMPRODUCT(MAX(ROW(E$2:E2098)*(E2098=E$2:E2098)))))-COUNTBLANK(OFFSET(A$1,,,SUMPRODUCT(MAX(ROW(E$1:E2097)*(E2=E$1:E2097))))))</f>
        <v> </v>
      </c>
      <c r="K2098" s="26" t="str">
        <f>IF(OR(E2098="",E2098="!!!",F2098="NEW"),"",INDEX(J$1:J2097,SUMPRODUCT(MAX(ROW(E$1:E2097)*(E2098=E$1:E2097)))))</f>
        <v> </v>
      </c>
      <c r="L2098" s="27"/>
    </row>
    <row r="2099" spans="1:12">
      <c r="A2099" s="20" t="s">
        <v>1648</v>
      </c>
      <c r="E2099" s="22">
        <f>IF(D2099="?OLD","!!!","")</f>
        <v/>
      </c>
      <c r="F2099" s="23" t="str">
        <f>IF(OR(E2099="",E2099="!!!"),"",IF(NOT(ISNA(VLOOKUP(E2099,E$1:E2098,1,FALSE()))),"OLD",IF(AND(E2099&lt;&gt;"",E2099&lt;&gt;"!!!"),"NEW","")))</f>
        <v> </v>
      </c>
      <c r="G2099" s="24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5" t="str">
        <f>IF(J2099&lt;&gt;1,"",IF(I2099="SBJ","CB","?"))</f>
        <v> </v>
      </c>
      <c r="I2099" s="26" t="str">
        <f>IF(OR(E2099="",E2099="!!!",F2099="NEW"),"",INDEX(B2098:B$2,-1+SUMPRODUCT(MAX(ROW(E2098:E$2)*(E2099=E2098:E$2)))))</f>
        <v> </v>
      </c>
      <c r="J2099" s="26" t="str">
        <f>IF(OR(E2099="",E2099="!!!",F2099="NEW"),"",COUNTBLANK(OFFSET(A$1,,,SUMPRODUCT(MAX(ROW(E$2:E2099)*(E2099=E$2:E2099)))))-COUNTBLANK(OFFSET(A$1,,,SUMPRODUCT(MAX(ROW(E$1:E2098)*(E2=E$1:E2098))))))</f>
        <v> </v>
      </c>
      <c r="K2099" s="26" t="str">
        <f>IF(OR(E2099="",E2099="!!!",F2099="NEW"),"",INDEX(J$1:J2098,SUMPRODUCT(MAX(ROW(E$1:E2098)*(E2099=E$1:E2098)))))</f>
        <v> </v>
      </c>
      <c r="L2099" s="27"/>
    </row>
    <row r="2100" spans="1:12">
      <c r="A2100" s="20" t="s">
        <v>611</v>
      </c>
      <c r="E2100" s="22">
        <f>IF(D2100="?OLD","!!!","")</f>
        <v/>
      </c>
      <c r="F2100" s="23" t="str">
        <f>IF(OR(E2100="",E2100="!!!"),"",IF(NOT(ISNA(VLOOKUP(E2100,E$1:E2099,1,FALSE()))),"OLD",IF(AND(E2100&lt;&gt;"",E2100&lt;&gt;"!!!"),"NEW","")))</f>
        <v> </v>
      </c>
      <c r="G2100" s="24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5" t="str">
        <f>IF(J2100&lt;&gt;1,"",IF(I2100="SBJ","CB","?"))</f>
        <v> </v>
      </c>
      <c r="I2100" s="26" t="str">
        <f>IF(OR(E2100="",E2100="!!!",F2100="NEW"),"",INDEX(B2099:B$2,-1+SUMPRODUCT(MAX(ROW(E2099:E$2)*(E2100=E2099:E$2)))))</f>
        <v> </v>
      </c>
      <c r="J2100" s="26" t="str">
        <f>IF(OR(E2100="",E2100="!!!",F2100="NEW"),"",COUNTBLANK(OFFSET(A$1,,,SUMPRODUCT(MAX(ROW(E$2:E2100)*(E2100=E$2:E2100)))))-COUNTBLANK(OFFSET(A$1,,,SUMPRODUCT(MAX(ROW(E$1:E2099)*(E2=E$1:E2099))))))</f>
        <v> </v>
      </c>
      <c r="K2100" s="26" t="str">
        <f>IF(OR(E2100="",E2100="!!!",F2100="NEW"),"",INDEX(J$1:J2099,SUMPRODUCT(MAX(ROW(E$1:E2099)*(E2100=E$1:E2099)))))</f>
        <v> </v>
      </c>
      <c r="L2100" s="27"/>
    </row>
    <row r="2101" spans="1:12">
      <c r="A2101" s="20" t="s">
        <v>646</v>
      </c>
      <c r="E2101" s="22">
        <f>IF(D2101="?OLD","!!!","")</f>
        <v/>
      </c>
      <c r="F2101" s="23" t="str">
        <f>IF(OR(E2101="",E2101="!!!"),"",IF(NOT(ISNA(VLOOKUP(E2101,E$1:E2100,1,FALSE()))),"OLD",IF(AND(E2101&lt;&gt;"",E2101&lt;&gt;"!!!"),"NEW","")))</f>
        <v> </v>
      </c>
      <c r="G2101" s="24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5" t="str">
        <f>IF(J2101&lt;&gt;1,"",IF(I2101="SBJ","CB","?"))</f>
        <v> </v>
      </c>
      <c r="I2101" s="26" t="str">
        <f>IF(OR(E2101="",E2101="!!!",F2101="NEW"),"",INDEX(B2100:B$2,-1+SUMPRODUCT(MAX(ROW(E2100:E$2)*(E2101=E2100:E$2)))))</f>
        <v> </v>
      </c>
      <c r="J2101" s="26" t="str">
        <f>IF(OR(E2101="",E2101="!!!",F2101="NEW"),"",COUNTBLANK(OFFSET(A$1,,,SUMPRODUCT(MAX(ROW(E$2:E2101)*(E2101=E$2:E2101)))))-COUNTBLANK(OFFSET(A$1,,,SUMPRODUCT(MAX(ROW(E$1:E2100)*(E2=E$1:E2100))))))</f>
        <v> </v>
      </c>
      <c r="K2101" s="26" t="str">
        <f>IF(OR(E2101="",E2101="!!!",F2101="NEW"),"",INDEX(J$1:J2100,SUMPRODUCT(MAX(ROW(E$1:E2100)*(E2101=E$1:E2100)))))</f>
        <v> </v>
      </c>
      <c r="L2101" s="27"/>
    </row>
    <row r="2102" spans="1:12">
      <c r="A2102" s="20" t="s">
        <v>883</v>
      </c>
      <c r="E2102" s="22">
        <f>IF(D2102="?OLD","!!!","")</f>
        <v/>
      </c>
      <c r="F2102" s="23" t="str">
        <f>IF(OR(E2102="",E2102="!!!"),"",IF(NOT(ISNA(VLOOKUP(E2102,E$1:E2101,1,FALSE()))),"OLD",IF(AND(E2102&lt;&gt;"",E2102&lt;&gt;"!!!"),"NEW","")))</f>
        <v> </v>
      </c>
      <c r="G2102" s="24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5" t="str">
        <f>IF(J2102&lt;&gt;1,"",IF(I2102="SBJ","CB","?"))</f>
        <v> </v>
      </c>
      <c r="I2102" s="26" t="str">
        <f>IF(OR(E2102="",E2102="!!!",F2102="NEW"),"",INDEX(B2101:B$2,-1+SUMPRODUCT(MAX(ROW(E2101:E$2)*(E2102=E2101:E$2)))))</f>
        <v> </v>
      </c>
      <c r="J2102" s="26" t="str">
        <f>IF(OR(E2102="",E2102="!!!",F2102="NEW"),"",COUNTBLANK(OFFSET(A$1,,,SUMPRODUCT(MAX(ROW(E$2:E2102)*(E2102=E$2:E2102)))))-COUNTBLANK(OFFSET(A$1,,,SUMPRODUCT(MAX(ROW(E$1:E2101)*(E2=E$1:E2101))))))</f>
        <v> </v>
      </c>
      <c r="K2102" s="26" t="str">
        <f>IF(OR(E2102="",E2102="!!!",F2102="NEW"),"",INDEX(J$1:J2101,SUMPRODUCT(MAX(ROW(E$1:E2101)*(E2102=E$1:E2101)))))</f>
        <v> </v>
      </c>
      <c r="L2102" s="27"/>
    </row>
    <row r="2103" spans="1:12">
      <c r="A2103" s="20" t="s">
        <v>1649</v>
      </c>
      <c r="B2103" s="21" t="s">
        <v>609</v>
      </c>
      <c r="C2103" s="21" t="s">
        <v>602</v>
      </c>
      <c r="D2103" s="21" t="s">
        <v>603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 t="s">
        <v>1650</v>
      </c>
      <c r="E2104" s="22">
        <f>IF(D2104="?OLD","!!!","")</f>
        <v/>
      </c>
      <c r="F2104" s="23" t="str">
        <f>IF(OR(E2104="",E2104="!!!"),"",IF(NOT(ISNA(VLOOKUP(E2104,E$1:E2103,1,FALSE()))),"OLD",IF(AND(E2104&lt;&gt;"",E2104&lt;&gt;"!!!"),"NEW","")))</f>
        <v> </v>
      </c>
      <c r="G2104" s="24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5" t="str">
        <f>IF(J2104&lt;&gt;1,"",IF(I2104="SBJ","CB","?"))</f>
        <v> </v>
      </c>
      <c r="I2104" s="26" t="str">
        <f>IF(OR(E2104="",E2104="!!!",F2104="NEW"),"",INDEX(B2103:B$2,-1+SUMPRODUCT(MAX(ROW(E2103:E$2)*(E2104=E2103:E$2)))))</f>
        <v> </v>
      </c>
      <c r="J2104" s="26" t="str">
        <f>IF(OR(E2104="",E2104="!!!",F2104="NEW"),"",COUNTBLANK(OFFSET(A$1,,,SUMPRODUCT(MAX(ROW(E$2:E2104)*(E2104=E$2:E2104)))))-COUNTBLANK(OFFSET(A$1,,,SUMPRODUCT(MAX(ROW(E$1:E2103)*(E2=E$1:E2103))))))</f>
        <v> </v>
      </c>
      <c r="K2104" s="26" t="str">
        <f>IF(OR(E2104="",E2104="!!!",F2104="NEW"),"",INDEX(J$1:J2103,SUMPRODUCT(MAX(ROW(E$1:E2103)*(E2104=E$1:E2103)))))</f>
        <v> </v>
      </c>
      <c r="L2104" s="27"/>
    </row>
    <row r="2105" spans="1:12">
      <c r="A2105" s="20" t="s">
        <v>655</v>
      </c>
      <c r="E2105" s="22">
        <f>IF(D2105="?OLD","!!!","")</f>
        <v/>
      </c>
      <c r="F2105" s="23" t="str">
        <f>IF(OR(E2105="",E2105="!!!"),"",IF(NOT(ISNA(VLOOKUP(E2105,E$1:E2104,1,FALSE()))),"OLD",IF(AND(E2105&lt;&gt;"",E2105&lt;&gt;"!!!"),"NEW","")))</f>
        <v> </v>
      </c>
      <c r="G2105" s="24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5" t="str">
        <f>IF(J2105&lt;&gt;1,"",IF(I2105="SBJ","CB","?"))</f>
        <v> </v>
      </c>
      <c r="I2105" s="26" t="str">
        <f>IF(OR(E2105="",E2105="!!!",F2105="NEW"),"",INDEX(B2104:B$2,-1+SUMPRODUCT(MAX(ROW(E2104:E$2)*(E2105=E2104:E$2)))))</f>
        <v> </v>
      </c>
      <c r="J2105" s="26" t="str">
        <f>IF(OR(E2105="",E2105="!!!",F2105="NEW"),"",COUNTBLANK(OFFSET(A$1,,,SUMPRODUCT(MAX(ROW(E$2:E2105)*(E2105=E$2:E2105)))))-COUNTBLANK(OFFSET(A$1,,,SUMPRODUCT(MAX(ROW(E$1:E2104)*(E2=E$1:E2104))))))</f>
        <v> </v>
      </c>
      <c r="K2105" s="26" t="str">
        <f>IF(OR(E2105="",E2105="!!!",F2105="NEW"),"",INDEX(J$1:J2104,SUMPRODUCT(MAX(ROW(E$1:E2104)*(E2105=E$1:E2104)))))</f>
        <v> </v>
      </c>
      <c r="L2105" s="27"/>
    </row>
    <row r="2106" spans="1:12">
      <c r="A2106" s="20" t="s">
        <v>883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1651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 t="s">
        <v>646</v>
      </c>
      <c r="E2108" s="22">
        <f>IF(D2108="?OLD","!!!","")</f>
        <v/>
      </c>
      <c r="F2108" s="23" t="str">
        <f>IF(OR(E2108="",E2108="!!!"),"",IF(NOT(ISNA(VLOOKUP(E2108,E$1:E2107,1,FALSE()))),"OLD",IF(AND(E2108&lt;&gt;"",E2108&lt;&gt;"!!!"),"NEW","")))</f>
        <v> </v>
      </c>
      <c r="G2108" s="24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5" t="str">
        <f>IF(J2108&lt;&gt;1,"",IF(I2108="SBJ","CB","?"))</f>
        <v> </v>
      </c>
      <c r="I2108" s="26" t="str">
        <f>IF(OR(E2108="",E2108="!!!",F2108="NEW"),"",INDEX(B2107:B$2,-1+SUMPRODUCT(MAX(ROW(E2107:E$2)*(E2108=E2107:E$2)))))</f>
        <v> </v>
      </c>
      <c r="J2108" s="26" t="str">
        <f>IF(OR(E2108="",E2108="!!!",F2108="NEW"),"",COUNTBLANK(OFFSET(A$1,,,SUMPRODUCT(MAX(ROW(E$2:E2108)*(E2108=E$2:E2108)))))-COUNTBLANK(OFFSET(A$1,,,SUMPRODUCT(MAX(ROW(E$1:E2107)*(E2=E$1:E2107))))))</f>
        <v> </v>
      </c>
      <c r="K2108" s="26" t="str">
        <f>IF(OR(E2108="",E2108="!!!",F2108="NEW"),"",INDEX(J$1:J2107,SUMPRODUCT(MAX(ROW(E$1:E2107)*(E2108=E$1:E2107)))))</f>
        <v> </v>
      </c>
      <c r="L2108" s="27"/>
    </row>
    <row r="2109" spans="1:12">
      <c r="A2109" s="20" t="s">
        <v>1652</v>
      </c>
      <c r="E2109" s="22">
        <f>IF(D2109="?OLD","!!!","")</f>
        <v/>
      </c>
      <c r="F2109" s="23" t="str">
        <f>IF(OR(E2109="",E2109="!!!"),"",IF(NOT(ISNA(VLOOKUP(E2109,E$1:E2108,1,FALSE()))),"OLD",IF(AND(E2109&lt;&gt;"",E2109&lt;&gt;"!!!"),"NEW","")))</f>
        <v> </v>
      </c>
      <c r="G2109" s="24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5" t="str">
        <f>IF(J2109&lt;&gt;1,"",IF(I2109="SBJ","CB","?"))</f>
        <v> </v>
      </c>
      <c r="I2109" s="26" t="str">
        <f>IF(OR(E2109="",E2109="!!!",F2109="NEW"),"",INDEX(B2108:B$2,-1+SUMPRODUCT(MAX(ROW(E2108:E$2)*(E2109=E2108:E$2)))))</f>
        <v> </v>
      </c>
      <c r="J2109" s="26" t="str">
        <f>IF(OR(E2109="",E2109="!!!",F2109="NEW"),"",COUNTBLANK(OFFSET(A$1,,,SUMPRODUCT(MAX(ROW(E$2:E2109)*(E2109=E$2:E2109)))))-COUNTBLANK(OFFSET(A$1,,,SUMPRODUCT(MAX(ROW(E$1:E2108)*(E2=E$1:E2108))))))</f>
        <v> </v>
      </c>
      <c r="K2109" s="26" t="str">
        <f>IF(OR(E2109="",E2109="!!!",F2109="NEW"),"",INDEX(J$1:J2108,SUMPRODUCT(MAX(ROW(E$1:E2108)*(E2109=E$1:E2108)))))</f>
        <v> </v>
      </c>
      <c r="L2109" s="27"/>
    </row>
    <row r="2110" spans="1:12">
      <c r="A2110" s="20" t="s">
        <v>633</v>
      </c>
      <c r="E2110" s="22">
        <f>IF(D2110="?OLD","!!!","")</f>
        <v/>
      </c>
      <c r="F2110" s="23" t="str">
        <f>IF(OR(E2110="",E2110="!!!"),"",IF(NOT(ISNA(VLOOKUP(E2110,E$1:E2109,1,FALSE()))),"OLD",IF(AND(E2110&lt;&gt;"",E2110&lt;&gt;"!!!"),"NEW","")))</f>
        <v> </v>
      </c>
      <c r="G2110" s="24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5" t="str">
        <f>IF(J2110&lt;&gt;1,"",IF(I2110="SBJ","CB","?"))</f>
        <v> </v>
      </c>
      <c r="I2110" s="26" t="str">
        <f>IF(OR(E2110="",E2110="!!!",F2110="NEW"),"",INDEX(B2109:B$2,-1+SUMPRODUCT(MAX(ROW(E2109:E$2)*(E2110=E2109:E$2)))))</f>
        <v> </v>
      </c>
      <c r="J2110" s="26" t="str">
        <f>IF(OR(E2110="",E2110="!!!",F2110="NEW"),"",COUNTBLANK(OFFSET(A$1,,,SUMPRODUCT(MAX(ROW(E$2:E2110)*(E2110=E$2:E2110)))))-COUNTBLANK(OFFSET(A$1,,,SUMPRODUCT(MAX(ROW(E$1:E2109)*(E2=E$1:E2109))))))</f>
        <v> </v>
      </c>
      <c r="K2110" s="26" t="str">
        <f>IF(OR(E2110="",E2110="!!!",F2110="NEW"),"",INDEX(J$1:J2109,SUMPRODUCT(MAX(ROW(E$1:E2109)*(E2110=E$1:E2109)))))</f>
        <v> </v>
      </c>
      <c r="L2110" s="27"/>
    </row>
    <row r="2111" spans="1:12">
      <c r="A2111" s="20"/>
    </row>
    <row r="2112" spans="1:12">
      <c r="A2112" s="20" t="s">
        <v>1653</v>
      </c>
    </row>
    <row r="2113" spans="1:12">
      <c r="A2113" s="20" t="s">
        <v>1654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1506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 t="s">
        <v>622</v>
      </c>
      <c r="E2115" s="22">
        <f>IF(D2115="?OLD","!!!","")</f>
        <v/>
      </c>
      <c r="F2115" s="23" t="str">
        <f>IF(OR(E2115="",E2115="!!!"),"",IF(NOT(ISNA(VLOOKUP(E2115,E$1:E2114,1,FALSE()))),"OLD",IF(AND(E2115&lt;&gt;"",E2115&lt;&gt;"!!!"),"NEW","")))</f>
        <v> </v>
      </c>
      <c r="G2115" s="24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5" t="str">
        <f>IF(J2115&lt;&gt;1,"",IF(I2115="SBJ","CB","?"))</f>
        <v> </v>
      </c>
      <c r="I2115" s="26" t="str">
        <f>IF(OR(E2115="",E2115="!!!",F2115="NEW"),"",INDEX(B2114:B$2,-1+SUMPRODUCT(MAX(ROW(E2114:E$2)*(E2115=E2114:E$2)))))</f>
        <v> </v>
      </c>
      <c r="J2115" s="26" t="str">
        <f>IF(OR(E2115="",E2115="!!!",F2115="NEW"),"",COUNTBLANK(OFFSET(A$1,,,SUMPRODUCT(MAX(ROW(E$2:E2115)*(E2115=E$2:E2115)))))-COUNTBLANK(OFFSET(A$1,,,SUMPRODUCT(MAX(ROW(E$1:E2114)*(E2=E$1:E2114))))))</f>
        <v> </v>
      </c>
      <c r="K2115" s="26" t="str">
        <f>IF(OR(E2115="",E2115="!!!",F2115="NEW"),"",INDEX(J$1:J2114,SUMPRODUCT(MAX(ROW(E$1:E2114)*(E2115=E$1:E2114)))))</f>
        <v> </v>
      </c>
      <c r="L2115" s="27"/>
    </row>
    <row r="2116" spans="1:12">
      <c r="A2116" s="20" t="s">
        <v>615</v>
      </c>
      <c r="B2116" s="21" t="s">
        <v>601</v>
      </c>
      <c r="C2116" s="21" t="s">
        <v>602</v>
      </c>
      <c r="D2116" s="21" t="s">
        <v>603</v>
      </c>
      <c r="E2116" s="22">
        <f>IF(D2116="?OLD","!!!","")</f>
        <v/>
      </c>
      <c r="F2116" s="23" t="str">
        <f>IF(OR(E2116="",E2116="!!!"),"",IF(NOT(ISNA(VLOOKUP(E2116,E$1:E2115,1,FALSE()))),"OLD",IF(AND(E2116&lt;&gt;"",E2116&lt;&gt;"!!!"),"NEW","")))</f>
        <v> </v>
      </c>
      <c r="G2116" s="24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5" t="str">
        <f>IF(J2116&lt;&gt;1,"",IF(I2116="SBJ","CB","?"))</f>
        <v> </v>
      </c>
      <c r="I2116" s="26" t="str">
        <f>IF(OR(E2116="",E2116="!!!",F2116="NEW"),"",INDEX(B2115:B$2,-1+SUMPRODUCT(MAX(ROW(E2115:E$2)*(E2116=E2115:E$2)))))</f>
        <v> </v>
      </c>
      <c r="J2116" s="26" t="str">
        <f>IF(OR(E2116="",E2116="!!!",F2116="NEW"),"",COUNTBLANK(OFFSET(A$1,,,SUMPRODUCT(MAX(ROW(E$2:E2116)*(E2116=E$2:E2116)))))-COUNTBLANK(OFFSET(A$1,,,SUMPRODUCT(MAX(ROW(E$1:E2115)*(E2=E$1:E2115))))))</f>
        <v> </v>
      </c>
      <c r="K2116" s="26" t="str">
        <f>IF(OR(E2116="",E2116="!!!",F2116="NEW"),"",INDEX(J$1:J2115,SUMPRODUCT(MAX(ROW(E$1:E2115)*(E2116=E$1:E2115)))))</f>
        <v> </v>
      </c>
      <c r="L2116" s="27"/>
    </row>
    <row r="2117" spans="1:12">
      <c r="A2117" s="20" t="s">
        <v>737</v>
      </c>
      <c r="E2117" s="22">
        <f>IF(D2117="?OLD","!!!","")</f>
        <v/>
      </c>
      <c r="F2117" s="23" t="str">
        <f>IF(OR(E2117="",E2117="!!!"),"",IF(NOT(ISNA(VLOOKUP(E2117,E$1:E2116,1,FALSE()))),"OLD",IF(AND(E2117&lt;&gt;"",E2117&lt;&gt;"!!!"),"NEW","")))</f>
        <v> </v>
      </c>
      <c r="G2117" s="24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5" t="str">
        <f>IF(J2117&lt;&gt;1,"",IF(I2117="SBJ","CB","?"))</f>
        <v> </v>
      </c>
      <c r="I2117" s="26" t="str">
        <f>IF(OR(E2117="",E2117="!!!",F2117="NEW"),"",INDEX(B2116:B$2,-1+SUMPRODUCT(MAX(ROW(E2116:E$2)*(E2117=E2116:E$2)))))</f>
        <v> </v>
      </c>
      <c r="J2117" s="26" t="str">
        <f>IF(OR(E2117="",E2117="!!!",F2117="NEW"),"",COUNTBLANK(OFFSET(A$1,,,SUMPRODUCT(MAX(ROW(E$2:E2117)*(E2117=E$2:E2117)))))-COUNTBLANK(OFFSET(A$1,,,SUMPRODUCT(MAX(ROW(E$1:E2116)*(E2=E$1:E2116))))))</f>
        <v> </v>
      </c>
      <c r="K2117" s="26" t="str">
        <f>IF(OR(E2117="",E2117="!!!",F2117="NEW"),"",INDEX(J$1:J2116,SUMPRODUCT(MAX(ROW(E$1:E2116)*(E2117=E$1:E2116)))))</f>
        <v> </v>
      </c>
      <c r="L2117" s="27"/>
    </row>
    <row r="2118" spans="1:12">
      <c r="A2118" s="20" t="s">
        <v>883</v>
      </c>
      <c r="E2118" s="22">
        <f>IF(D2118="?OLD","!!!","")</f>
        <v/>
      </c>
      <c r="F2118" s="23" t="str">
        <f>IF(OR(E2118="",E2118="!!!"),"",IF(NOT(ISNA(VLOOKUP(E2118,E$1:E2117,1,FALSE()))),"OLD",IF(AND(E2118&lt;&gt;"",E2118&lt;&gt;"!!!"),"NEW","")))</f>
        <v> </v>
      </c>
      <c r="G2118" s="24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5" t="str">
        <f>IF(J2118&lt;&gt;1,"",IF(I2118="SBJ","CB","?"))</f>
        <v> </v>
      </c>
      <c r="I2118" s="26" t="str">
        <f>IF(OR(E2118="",E2118="!!!",F2118="NEW"),"",INDEX(B2117:B$2,-1+SUMPRODUCT(MAX(ROW(E2117:E$2)*(E2118=E2117:E$2)))))</f>
        <v> </v>
      </c>
      <c r="J2118" s="26" t="str">
        <f>IF(OR(E2118="",E2118="!!!",F2118="NEW"),"",COUNTBLANK(OFFSET(A$1,,,SUMPRODUCT(MAX(ROW(E$2:E2118)*(E2118=E$2:E2118)))))-COUNTBLANK(OFFSET(A$1,,,SUMPRODUCT(MAX(ROW(E$1:E2117)*(E2=E$1:E2117))))))</f>
        <v> </v>
      </c>
      <c r="K2118" s="26" t="str">
        <f>IF(OR(E2118="",E2118="!!!",F2118="NEW"),"",INDEX(J$1:J2117,SUMPRODUCT(MAX(ROW(E$1:E2117)*(E2118=E$1:E2117)))))</f>
        <v> </v>
      </c>
      <c r="L2118" s="27"/>
    </row>
    <row r="2119" spans="1:12">
      <c r="A2119" s="20" t="s">
        <v>1655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662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1656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 t="s">
        <v>611</v>
      </c>
      <c r="E2122" s="22">
        <f>IF(D2122="?OLD","!!!","")</f>
        <v/>
      </c>
      <c r="F2122" s="23" t="str">
        <f>IF(OR(E2122="",E2122="!!!"),"",IF(NOT(ISNA(VLOOKUP(E2122,E$1:E2121,1,FALSE()))),"OLD",IF(AND(E2122&lt;&gt;"",E2122&lt;&gt;"!!!"),"NEW","")))</f>
        <v> </v>
      </c>
      <c r="G2122" s="24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5" t="str">
        <f>IF(J2122&lt;&gt;1,"",IF(I2122="SBJ","CB","?"))</f>
        <v> </v>
      </c>
      <c r="I2122" s="26" t="str">
        <f>IF(OR(E2122="",E2122="!!!",F2122="NEW"),"",INDEX(B2121:B$2,-1+SUMPRODUCT(MAX(ROW(E2121:E$2)*(E2122=E2121:E$2)))))</f>
        <v> </v>
      </c>
      <c r="J2122" s="26" t="str">
        <f>IF(OR(E2122="",E2122="!!!",F2122="NEW"),"",COUNTBLANK(OFFSET(A$1,,,SUMPRODUCT(MAX(ROW(E$2:E2122)*(E2122=E$2:E2122)))))-COUNTBLANK(OFFSET(A$1,,,SUMPRODUCT(MAX(ROW(E$1:E2121)*(E2=E$1:E2121))))))</f>
        <v> </v>
      </c>
      <c r="K2122" s="26" t="str">
        <f>IF(OR(E2122="",E2122="!!!",F2122="NEW"),"",INDEX(J$1:J2121,SUMPRODUCT(MAX(ROW(E$1:E2121)*(E2122=E$1:E2121)))))</f>
        <v> </v>
      </c>
      <c r="L2122" s="27"/>
    </row>
    <row r="2123" spans="1:12">
      <c r="A2123" s="20" t="s">
        <v>1657</v>
      </c>
      <c r="E2123" s="22">
        <f>IF(D2123="?OLD","!!!","")</f>
        <v/>
      </c>
      <c r="F2123" s="23" t="str">
        <f>IF(OR(E2123="",E2123="!!!"),"",IF(NOT(ISNA(VLOOKUP(E2123,E$1:E2122,1,FALSE()))),"OLD",IF(AND(E2123&lt;&gt;"",E2123&lt;&gt;"!!!"),"NEW","")))</f>
        <v> </v>
      </c>
      <c r="G2123" s="24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5" t="str">
        <f>IF(J2123&lt;&gt;1,"",IF(I2123="SBJ","CB","?"))</f>
        <v> </v>
      </c>
      <c r="I2123" s="26" t="str">
        <f>IF(OR(E2123="",E2123="!!!",F2123="NEW"),"",INDEX(B2122:B$2,-1+SUMPRODUCT(MAX(ROW(E2122:E$2)*(E2123=E2122:E$2)))))</f>
        <v> </v>
      </c>
      <c r="J2123" s="26" t="str">
        <f>IF(OR(E2123="",E2123="!!!",F2123="NEW"),"",COUNTBLANK(OFFSET(A$1,,,SUMPRODUCT(MAX(ROW(E$2:E2123)*(E2123=E$2:E2123)))))-COUNTBLANK(OFFSET(A$1,,,SUMPRODUCT(MAX(ROW(E$1:E2122)*(E2=E$1:E2122))))))</f>
        <v> </v>
      </c>
      <c r="K2123" s="26" t="str">
        <f>IF(OR(E2123="",E2123="!!!",F2123="NEW"),"",INDEX(J$1:J2122,SUMPRODUCT(MAX(ROW(E$1:E2122)*(E2123=E$1:E2122)))))</f>
        <v> </v>
      </c>
      <c r="L2123" s="27"/>
    </row>
    <row r="2124" spans="1:12">
      <c r="A2124" s="20" t="s">
        <v>615</v>
      </c>
      <c r="B2124" s="21" t="s">
        <v>659</v>
      </c>
      <c r="C2124" s="21" t="s">
        <v>602</v>
      </c>
      <c r="D2124" s="21" t="s">
        <v>603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807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 t="s">
        <v>611</v>
      </c>
      <c r="E2126" s="22">
        <f>IF(D2126="?OLD","!!!","")</f>
        <v/>
      </c>
      <c r="F2126" s="23" t="str">
        <f>IF(OR(E2126="",E2126="!!!"),"",IF(NOT(ISNA(VLOOKUP(E2126,E$1:E2125,1,FALSE()))),"OLD",IF(AND(E2126&lt;&gt;"",E2126&lt;&gt;"!!!"),"NEW","")))</f>
        <v> </v>
      </c>
      <c r="G2126" s="24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5" t="str">
        <f>IF(J2126&lt;&gt;1,"",IF(I2126="SBJ","CB","?"))</f>
        <v> </v>
      </c>
      <c r="I2126" s="26" t="str">
        <f>IF(OR(E2126="",E2126="!!!",F2126="NEW"),"",INDEX(B2125:B$2,-1+SUMPRODUCT(MAX(ROW(E2125:E$2)*(E2126=E2125:E$2)))))</f>
        <v> </v>
      </c>
      <c r="J2126" s="26" t="str">
        <f>IF(OR(E2126="",E2126="!!!",F2126="NEW"),"",COUNTBLANK(OFFSET(A$1,,,SUMPRODUCT(MAX(ROW(E$2:E2126)*(E2126=E$2:E2126)))))-COUNTBLANK(OFFSET(A$1,,,SUMPRODUCT(MAX(ROW(E$1:E2125)*(E2=E$1:E2125))))))</f>
        <v> </v>
      </c>
      <c r="K2126" s="26" t="str">
        <f>IF(OR(E2126="",E2126="!!!",F2126="NEW"),"",INDEX(J$1:J2125,SUMPRODUCT(MAX(ROW(E$1:E2125)*(E2126=E$1:E2125)))))</f>
        <v> </v>
      </c>
      <c r="L2126" s="27"/>
    </row>
    <row r="2127" spans="1:12">
      <c r="A2127" s="20" t="s">
        <v>662</v>
      </c>
      <c r="E2127" s="22">
        <f>IF(D2127="?OLD","!!!","")</f>
        <v/>
      </c>
      <c r="F2127" s="23" t="str">
        <f>IF(OR(E2127="",E2127="!!!"),"",IF(NOT(ISNA(VLOOKUP(E2127,E$1:E2126,1,FALSE()))),"OLD",IF(AND(E2127&lt;&gt;"",E2127&lt;&gt;"!!!"),"NEW","")))</f>
        <v> </v>
      </c>
      <c r="G2127" s="24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5" t="str">
        <f>IF(J2127&lt;&gt;1,"",IF(I2127="SBJ","CB","?"))</f>
        <v> </v>
      </c>
      <c r="I2127" s="26" t="str">
        <f>IF(OR(E2127="",E2127="!!!",F2127="NEW"),"",INDEX(B2126:B$2,-1+SUMPRODUCT(MAX(ROW(E2126:E$2)*(E2127=E2126:E$2)))))</f>
        <v> </v>
      </c>
      <c r="J2127" s="26" t="str">
        <f>IF(OR(E2127="",E2127="!!!",F2127="NEW"),"",COUNTBLANK(OFFSET(A$1,,,SUMPRODUCT(MAX(ROW(E$2:E2127)*(E2127=E$2:E2127)))))-COUNTBLANK(OFFSET(A$1,,,SUMPRODUCT(MAX(ROW(E$1:E2126)*(E2=E$1:E2126))))))</f>
        <v> </v>
      </c>
      <c r="K2127" s="26" t="str">
        <f>IF(OR(E2127="",E2127="!!!",F2127="NEW"),"",INDEX(J$1:J2126,SUMPRODUCT(MAX(ROW(E$1:E2126)*(E2127=E$1:E2126)))))</f>
        <v> </v>
      </c>
      <c r="L2127" s="27"/>
    </row>
    <row r="2128" spans="1:12">
      <c r="A2128" s="20" t="s">
        <v>1658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1659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883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1660</v>
      </c>
      <c r="B2131" s="21" t="s">
        <v>609</v>
      </c>
      <c r="C2131" s="21" t="s">
        <v>644</v>
      </c>
      <c r="D2131" s="21" t="s">
        <v>603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1661</v>
      </c>
      <c r="B2132" s="21" t="s">
        <v>804</v>
      </c>
      <c r="C2132" s="21" t="s">
        <v>631</v>
      </c>
      <c r="D2132" s="21" t="s">
        <v>603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 t="s">
        <v>633</v>
      </c>
      <c r="E2133" s="22">
        <f>IF(D2133="?OLD","!!!","")</f>
        <v/>
      </c>
      <c r="F2133" s="23" t="str">
        <f>IF(OR(E2133="",E2133="!!!"),"",IF(NOT(ISNA(VLOOKUP(E2133,E$1:E2132,1,FALSE()))),"OLD",IF(AND(E2133&lt;&gt;"",E2133&lt;&gt;"!!!"),"NEW","")))</f>
        <v> </v>
      </c>
      <c r="G2133" s="24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5" t="str">
        <f>IF(J2133&lt;&gt;1,"",IF(I2133="SBJ","CB","?"))</f>
        <v> </v>
      </c>
      <c r="I2133" s="26" t="str">
        <f>IF(OR(E2133="",E2133="!!!",F2133="NEW"),"",INDEX(B2132:B$2,-1+SUMPRODUCT(MAX(ROW(E2132:E$2)*(E2133=E2132:E$2)))))</f>
        <v> </v>
      </c>
      <c r="J2133" s="26" t="str">
        <f>IF(OR(E2133="",E2133="!!!",F2133="NEW"),"",COUNTBLANK(OFFSET(A$1,,,SUMPRODUCT(MAX(ROW(E$2:E2133)*(E2133=E$2:E2133)))))-COUNTBLANK(OFFSET(A$1,,,SUMPRODUCT(MAX(ROW(E$1:E2132)*(E2=E$1:E2132))))))</f>
        <v> </v>
      </c>
      <c r="K2133" s="26" t="str">
        <f>IF(OR(E2133="",E2133="!!!",F2133="NEW"),"",INDEX(J$1:J2132,SUMPRODUCT(MAX(ROW(E$1:E2132)*(E2133=E$1:E2132)))))</f>
        <v> </v>
      </c>
      <c r="L2133" s="27"/>
    </row>
    <row r="2134" spans="1:12">
      <c r="A2134" s="20"/>
    </row>
    <row r="2135" spans="1:12">
      <c r="A2135" s="20" t="s">
        <v>1662</v>
      </c>
    </row>
    <row r="2136" spans="1:12">
      <c r="A2136" s="20" t="s">
        <v>1663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611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1664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1665</v>
      </c>
      <c r="B2139" s="21" t="s">
        <v>652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633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/>
    </row>
    <row r="2142" spans="1:12">
      <c r="A2142" s="20" t="s">
        <v>1666</v>
      </c>
    </row>
    <row r="2143" spans="1:12">
      <c r="A2143" s="20" t="s">
        <v>1667</v>
      </c>
      <c r="E2143" s="22">
        <f>IF(D2143="?OLD","!!!","")</f>
        <v/>
      </c>
      <c r="F2143" s="23" t="str">
        <f>IF(OR(E2143="",E2143="!!!"),"",IF(NOT(ISNA(VLOOKUP(E2143,E$1:E2142,1,FALSE()))),"OLD",IF(AND(E2143&lt;&gt;"",E2143&lt;&gt;"!!!"),"NEW","")))</f>
        <v> </v>
      </c>
      <c r="G2143" s="24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5" t="str">
        <f>IF(J2143&lt;&gt;1,"",IF(I2143="SBJ","CB","?"))</f>
        <v> </v>
      </c>
      <c r="I2143" s="26" t="str">
        <f>IF(OR(E2143="",E2143="!!!",F2143="NEW"),"",INDEX(B2142:B$2,-1+SUMPRODUCT(MAX(ROW(E2142:E$2)*(E2143=E2142:E$2)))))</f>
        <v> </v>
      </c>
      <c r="J2143" s="26" t="str">
        <f>IF(OR(E2143="",E2143="!!!",F2143="NEW"),"",COUNTBLANK(OFFSET(A$1,,,SUMPRODUCT(MAX(ROW(E$2:E2143)*(E2143=E$2:E2143)))))-COUNTBLANK(OFFSET(A$1,,,SUMPRODUCT(MAX(ROW(E$1:E2142)*(E2=E$1:E2142))))))</f>
        <v> </v>
      </c>
      <c r="K2143" s="26" t="str">
        <f>IF(OR(E2143="",E2143="!!!",F2143="NEW"),"",INDEX(J$1:J2142,SUMPRODUCT(MAX(ROW(E$1:E2142)*(E2143=E$1:E2142)))))</f>
        <v> </v>
      </c>
      <c r="L2143" s="27"/>
    </row>
    <row r="2144" spans="1:12">
      <c r="A2144" s="20" t="s">
        <v>633</v>
      </c>
      <c r="E2144" s="22">
        <f>IF(D2144="?OLD","!!!","")</f>
        <v/>
      </c>
      <c r="F2144" s="23" t="str">
        <f>IF(OR(E2144="",E2144="!!!"),"",IF(NOT(ISNA(VLOOKUP(E2144,E$1:E2143,1,FALSE()))),"OLD",IF(AND(E2144&lt;&gt;"",E2144&lt;&gt;"!!!"),"NEW","")))</f>
        <v> </v>
      </c>
      <c r="G2144" s="24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5" t="str">
        <f>IF(J2144&lt;&gt;1,"",IF(I2144="SBJ","CB","?"))</f>
        <v> </v>
      </c>
      <c r="I2144" s="26" t="str">
        <f>IF(OR(E2144="",E2144="!!!",F2144="NEW"),"",INDEX(B2143:B$2,-1+SUMPRODUCT(MAX(ROW(E2143:E$2)*(E2144=E2143:E$2)))))</f>
        <v> </v>
      </c>
      <c r="J2144" s="26" t="str">
        <f>IF(OR(E2144="",E2144="!!!",F2144="NEW"),"",COUNTBLANK(OFFSET(A$1,,,SUMPRODUCT(MAX(ROW(E$2:E2144)*(E2144=E$2:E2144)))))-COUNTBLANK(OFFSET(A$1,,,SUMPRODUCT(MAX(ROW(E$1:E2143)*(E2=E$1:E2143))))))</f>
        <v> </v>
      </c>
      <c r="K2144" s="26" t="str">
        <f>IF(OR(E2144="",E2144="!!!",F2144="NEW"),"",INDEX(J$1:J2143,SUMPRODUCT(MAX(ROW(E$1:E2143)*(E2144=E$1:E2143)))))</f>
        <v> </v>
      </c>
      <c r="L2144" s="27"/>
    </row>
    <row r="2145" spans="1:12">
      <c r="A2145" s="20"/>
    </row>
    <row r="2146" spans="1:12">
      <c r="A2146" s="20" t="s">
        <v>1668</v>
      </c>
    </row>
    <row r="2147" spans="1:12">
      <c r="A2147" s="20" t="s">
        <v>600</v>
      </c>
      <c r="B2147" s="21" t="s">
        <v>601</v>
      </c>
      <c r="C2147" s="21" t="s">
        <v>602</v>
      </c>
      <c r="D2147" s="21" t="s">
        <v>603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662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1669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633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/>
    </row>
    <row r="2152" spans="1:12">
      <c r="A2152" s="20" t="s">
        <v>1670</v>
      </c>
    </row>
    <row r="2153" spans="1:12">
      <c r="A2153" s="20" t="s">
        <v>1671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 t="s">
        <v>1672</v>
      </c>
      <c r="E2154" s="22">
        <f>IF(D2154="?OLD","!!!","")</f>
        <v/>
      </c>
      <c r="F2154" s="23" t="str">
        <f>IF(OR(E2154="",E2154="!!!"),"",IF(NOT(ISNA(VLOOKUP(E2154,E$1:E2153,1,FALSE()))),"OLD",IF(AND(E2154&lt;&gt;"",E2154&lt;&gt;"!!!"),"NEW","")))</f>
        <v> </v>
      </c>
      <c r="G2154" s="24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5" t="str">
        <f>IF(J2154&lt;&gt;1,"",IF(I2154="SBJ","CB","?"))</f>
        <v> </v>
      </c>
      <c r="I2154" s="26" t="str">
        <f>IF(OR(E2154="",E2154="!!!",F2154="NEW"),"",INDEX(B2153:B$2,-1+SUMPRODUCT(MAX(ROW(E2153:E$2)*(E2154=E2153:E$2)))))</f>
        <v> </v>
      </c>
      <c r="J2154" s="26" t="str">
        <f>IF(OR(E2154="",E2154="!!!",F2154="NEW"),"",COUNTBLANK(OFFSET(A$1,,,SUMPRODUCT(MAX(ROW(E$2:E2154)*(E2154=E$2:E2154)))))-COUNTBLANK(OFFSET(A$1,,,SUMPRODUCT(MAX(ROW(E$1:E2153)*(E2=E$1:E2153))))))</f>
        <v> </v>
      </c>
      <c r="K2154" s="26" t="str">
        <f>IF(OR(E2154="",E2154="!!!",F2154="NEW"),"",INDEX(J$1:J2153,SUMPRODUCT(MAX(ROW(E$1:E2153)*(E2154=E$1:E2153)))))</f>
        <v> </v>
      </c>
      <c r="L2154" s="27"/>
    </row>
    <row r="2155" spans="1:12">
      <c r="A2155" s="20" t="s">
        <v>1673</v>
      </c>
      <c r="E2155" s="22">
        <f>IF(D2155="?OLD","!!!","")</f>
        <v/>
      </c>
      <c r="F2155" s="23" t="str">
        <f>IF(OR(E2155="",E2155="!!!"),"",IF(NOT(ISNA(VLOOKUP(E2155,E$1:E2154,1,FALSE()))),"OLD",IF(AND(E2155&lt;&gt;"",E2155&lt;&gt;"!!!"),"NEW","")))</f>
        <v> </v>
      </c>
      <c r="G2155" s="24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5" t="str">
        <f>IF(J2155&lt;&gt;1,"",IF(I2155="SBJ","CB","?"))</f>
        <v> </v>
      </c>
      <c r="I2155" s="26" t="str">
        <f>IF(OR(E2155="",E2155="!!!",F2155="NEW"),"",INDEX(B2154:B$2,-1+SUMPRODUCT(MAX(ROW(E2154:E$2)*(E2155=E2154:E$2)))))</f>
        <v> </v>
      </c>
      <c r="J2155" s="26" t="str">
        <f>IF(OR(E2155="",E2155="!!!",F2155="NEW"),"",COUNTBLANK(OFFSET(A$1,,,SUMPRODUCT(MAX(ROW(E$2:E2155)*(E2155=E$2:E2155)))))-COUNTBLANK(OFFSET(A$1,,,SUMPRODUCT(MAX(ROW(E$1:E2154)*(E2=E$1:E2154))))))</f>
        <v> </v>
      </c>
      <c r="K2155" s="26" t="str">
        <f>IF(OR(E2155="",E2155="!!!",F2155="NEW"),"",INDEX(J$1:J2154,SUMPRODUCT(MAX(ROW(E$1:E2154)*(E2155=E$1:E2154)))))</f>
        <v> </v>
      </c>
      <c r="L2155" s="27"/>
    </row>
    <row r="2156" spans="1:12">
      <c r="A2156" s="20" t="s">
        <v>734</v>
      </c>
      <c r="B2156" s="21" t="s">
        <v>652</v>
      </c>
      <c r="E2156" s="22">
        <f>IF(D2156="?OLD","!!!","")</f>
        <v/>
      </c>
      <c r="F2156" s="23" t="str">
        <f>IF(OR(E2156="",E2156="!!!"),"",IF(NOT(ISNA(VLOOKUP(E2156,E$1:E2155,1,FALSE()))),"OLD",IF(AND(E2156&lt;&gt;"",E2156&lt;&gt;"!!!"),"NEW","")))</f>
        <v> </v>
      </c>
      <c r="G2156" s="24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5" t="str">
        <f>IF(J2156&lt;&gt;1,"",IF(I2156="SBJ","CB","?"))</f>
        <v> </v>
      </c>
      <c r="I2156" s="26" t="str">
        <f>IF(OR(E2156="",E2156="!!!",F2156="NEW"),"",INDEX(B2155:B$2,-1+SUMPRODUCT(MAX(ROW(E2155:E$2)*(E2156=E2155:E$2)))))</f>
        <v> </v>
      </c>
      <c r="J2156" s="26" t="str">
        <f>IF(OR(E2156="",E2156="!!!",F2156="NEW"),"",COUNTBLANK(OFFSET(A$1,,,SUMPRODUCT(MAX(ROW(E$2:E2156)*(E2156=E$2:E2156)))))-COUNTBLANK(OFFSET(A$1,,,SUMPRODUCT(MAX(ROW(E$1:E2155)*(E2=E$1:E2155))))))</f>
        <v> </v>
      </c>
      <c r="K2156" s="26" t="str">
        <f>IF(OR(E2156="",E2156="!!!",F2156="NEW"),"",INDEX(J$1:J2155,SUMPRODUCT(MAX(ROW(E$1:E2155)*(E2156=E$1:E2155)))))</f>
        <v> </v>
      </c>
      <c r="L2156" s="27"/>
    </row>
    <row r="2157" spans="1:12">
      <c r="A2157" s="20" t="s">
        <v>672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 t="s">
        <v>1674</v>
      </c>
      <c r="E2158" s="22">
        <f>IF(D2158="?OLD","!!!","")</f>
        <v/>
      </c>
      <c r="F2158" s="23" t="str">
        <f>IF(OR(E2158="",E2158="!!!"),"",IF(NOT(ISNA(VLOOKUP(E2158,E$1:E2157,1,FALSE()))),"OLD",IF(AND(E2158&lt;&gt;"",E2158&lt;&gt;"!!!"),"NEW","")))</f>
        <v> </v>
      </c>
      <c r="G2158" s="24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5" t="str">
        <f>IF(J2158&lt;&gt;1,"",IF(I2158="SBJ","CB","?"))</f>
        <v> </v>
      </c>
      <c r="I2158" s="26" t="str">
        <f>IF(OR(E2158="",E2158="!!!",F2158="NEW"),"",INDEX(B2157:B$2,-1+SUMPRODUCT(MAX(ROW(E2157:E$2)*(E2158=E2157:E$2)))))</f>
        <v> </v>
      </c>
      <c r="J2158" s="26" t="str">
        <f>IF(OR(E2158="",E2158="!!!",F2158="NEW"),"",COUNTBLANK(OFFSET(A$1,,,SUMPRODUCT(MAX(ROW(E$2:E2158)*(E2158=E$2:E2158)))))-COUNTBLANK(OFFSET(A$1,,,SUMPRODUCT(MAX(ROW(E$1:E2157)*(E2=E$1:E2157))))))</f>
        <v> </v>
      </c>
      <c r="K2158" s="26" t="str">
        <f>IF(OR(E2158="",E2158="!!!",F2158="NEW"),"",INDEX(J$1:J2157,SUMPRODUCT(MAX(ROW(E$1:E2157)*(E2158=E$1:E2157)))))</f>
        <v> </v>
      </c>
      <c r="L2158" s="27"/>
    </row>
    <row r="2159" spans="1:12">
      <c r="A2159" s="20" t="s">
        <v>722</v>
      </c>
      <c r="B2159" s="21" t="s">
        <v>810</v>
      </c>
      <c r="C2159" s="21" t="s">
        <v>723</v>
      </c>
      <c r="D2159" s="21" t="s">
        <v>603</v>
      </c>
      <c r="E2159" s="22">
        <f>IF(D2159="?OLD","!!!","")</f>
        <v/>
      </c>
      <c r="F2159" s="23" t="str">
        <f>IF(OR(E2159="",E2159="!!!"),"",IF(NOT(ISNA(VLOOKUP(E2159,E$1:E2158,1,FALSE()))),"OLD",IF(AND(E2159&lt;&gt;"",E2159&lt;&gt;"!!!"),"NEW","")))</f>
        <v> </v>
      </c>
      <c r="G2159" s="24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5" t="str">
        <f>IF(J2159&lt;&gt;1,"",IF(I2159="SBJ","CB","?"))</f>
        <v> </v>
      </c>
      <c r="I2159" s="26" t="str">
        <f>IF(OR(E2159="",E2159="!!!",F2159="NEW"),"",INDEX(B2158:B$2,-1+SUMPRODUCT(MAX(ROW(E2158:E$2)*(E2159=E2158:E$2)))))</f>
        <v> </v>
      </c>
      <c r="J2159" s="26" t="str">
        <f>IF(OR(E2159="",E2159="!!!",F2159="NEW"),"",COUNTBLANK(OFFSET(A$1,,,SUMPRODUCT(MAX(ROW(E$2:E2159)*(E2159=E$2:E2159)))))-COUNTBLANK(OFFSET(A$1,,,SUMPRODUCT(MAX(ROW(E$1:E2158)*(E2=E$1:E2158))))))</f>
        <v> </v>
      </c>
      <c r="K2159" s="26" t="str">
        <f>IF(OR(E2159="",E2159="!!!",F2159="NEW"),"",INDEX(J$1:J2158,SUMPRODUCT(MAX(ROW(E$1:E2158)*(E2159=E$1:E2158)))))</f>
        <v> </v>
      </c>
      <c r="L2159" s="27"/>
    </row>
    <row r="2160" spans="1:12">
      <c r="A2160" s="20" t="s">
        <v>664</v>
      </c>
      <c r="E2160" s="22">
        <f>IF(D2160="?OLD","!!!","")</f>
        <v/>
      </c>
      <c r="F2160" s="23" t="str">
        <f>IF(OR(E2160="",E2160="!!!"),"",IF(NOT(ISNA(VLOOKUP(E2160,E$1:E2159,1,FALSE()))),"OLD",IF(AND(E2160&lt;&gt;"",E2160&lt;&gt;"!!!"),"NEW","")))</f>
        <v> </v>
      </c>
      <c r="G2160" s="24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5" t="str">
        <f>IF(J2160&lt;&gt;1,"",IF(I2160="SBJ","CB","?"))</f>
        <v> </v>
      </c>
      <c r="I2160" s="26" t="str">
        <f>IF(OR(E2160="",E2160="!!!",F2160="NEW"),"",INDEX(B2159:B$2,-1+SUMPRODUCT(MAX(ROW(E2159:E$2)*(E2160=E2159:E$2)))))</f>
        <v> </v>
      </c>
      <c r="J2160" s="26" t="str">
        <f>IF(OR(E2160="",E2160="!!!",F2160="NEW"),"",COUNTBLANK(OFFSET(A$1,,,SUMPRODUCT(MAX(ROW(E$2:E2160)*(E2160=E$2:E2160)))))-COUNTBLANK(OFFSET(A$1,,,SUMPRODUCT(MAX(ROW(E$1:E2159)*(E2=E$1:E2159))))))</f>
        <v> </v>
      </c>
      <c r="K2160" s="26" t="str">
        <f>IF(OR(E2160="",E2160="!!!",F2160="NEW"),"",INDEX(J$1:J2159,SUMPRODUCT(MAX(ROW(E$1:E2159)*(E2160=E$1:E2159)))))</f>
        <v> </v>
      </c>
      <c r="L2160" s="27"/>
    </row>
    <row r="2161" spans="1:12">
      <c r="A2161" s="20" t="s">
        <v>1675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611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655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1033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 t="s">
        <v>1676</v>
      </c>
      <c r="B2165" s="21" t="s">
        <v>1349</v>
      </c>
      <c r="C2165" s="21" t="s">
        <v>631</v>
      </c>
      <c r="D2165" s="21" t="s">
        <v>603</v>
      </c>
      <c r="E2165" s="22">
        <f>IF(D2165="?OLD","!!!","")</f>
        <v/>
      </c>
      <c r="F2165" s="23" t="str">
        <f>IF(OR(E2165="",E2165="!!!"),"",IF(NOT(ISNA(VLOOKUP(E2165,E$1:E2164,1,FALSE()))),"OLD",IF(AND(E2165&lt;&gt;"",E2165&lt;&gt;"!!!"),"NEW","")))</f>
        <v> </v>
      </c>
      <c r="G2165" s="24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5" t="str">
        <f>IF(J2165&lt;&gt;1,"",IF(I2165="SBJ","CB","?"))</f>
        <v> </v>
      </c>
      <c r="I2165" s="26" t="str">
        <f>IF(OR(E2165="",E2165="!!!",F2165="NEW"),"",INDEX(B2164:B$2,-1+SUMPRODUCT(MAX(ROW(E2164:E$2)*(E2165=E2164:E$2)))))</f>
        <v> </v>
      </c>
      <c r="J2165" s="26" t="str">
        <f>IF(OR(E2165="",E2165="!!!",F2165="NEW"),"",COUNTBLANK(OFFSET(A$1,,,SUMPRODUCT(MAX(ROW(E$2:E2165)*(E2165=E$2:E2165)))))-COUNTBLANK(OFFSET(A$1,,,SUMPRODUCT(MAX(ROW(E$1:E2164)*(E2=E$1:E2164))))))</f>
        <v> </v>
      </c>
      <c r="K2165" s="26" t="str">
        <f>IF(OR(E2165="",E2165="!!!",F2165="NEW"),"",INDEX(J$1:J2164,SUMPRODUCT(MAX(ROW(E$1:E2164)*(E2165=E$1:E2164)))))</f>
        <v> </v>
      </c>
      <c r="L2165" s="27"/>
    </row>
    <row r="2166" spans="1:12">
      <c r="A2166" s="20" t="s">
        <v>1028</v>
      </c>
      <c r="E2166" s="22">
        <f>IF(D2166="?OLD","!!!","")</f>
        <v/>
      </c>
      <c r="F2166" s="23" t="str">
        <f>IF(OR(E2166="",E2166="!!!"),"",IF(NOT(ISNA(VLOOKUP(E2166,E$1:E2165,1,FALSE()))),"OLD",IF(AND(E2166&lt;&gt;"",E2166&lt;&gt;"!!!"),"NEW","")))</f>
        <v> </v>
      </c>
      <c r="G2166" s="24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5" t="str">
        <f>IF(J2166&lt;&gt;1,"",IF(I2166="SBJ","CB","?"))</f>
        <v> </v>
      </c>
      <c r="I2166" s="26" t="str">
        <f>IF(OR(E2166="",E2166="!!!",F2166="NEW"),"",INDEX(B2165:B$2,-1+SUMPRODUCT(MAX(ROW(E2165:E$2)*(E2166=E2165:E$2)))))</f>
        <v> </v>
      </c>
      <c r="J2166" s="26" t="str">
        <f>IF(OR(E2166="",E2166="!!!",F2166="NEW"),"",COUNTBLANK(OFFSET(A$1,,,SUMPRODUCT(MAX(ROW(E$2:E2166)*(E2166=E$2:E2166)))))-COUNTBLANK(OFFSET(A$1,,,SUMPRODUCT(MAX(ROW(E$1:E2165)*(E2=E$1:E2165))))))</f>
        <v> </v>
      </c>
      <c r="K2166" s="26" t="str">
        <f>IF(OR(E2166="",E2166="!!!",F2166="NEW"),"",INDEX(J$1:J2165,SUMPRODUCT(MAX(ROW(E$1:E2165)*(E2166=E$1:E2165)))))</f>
        <v> </v>
      </c>
      <c r="L2166" s="27"/>
    </row>
    <row r="2167" spans="1:12">
      <c r="A2167" s="20" t="s">
        <v>1677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 t="s">
        <v>1678</v>
      </c>
      <c r="E2168" s="22">
        <f>IF(D2168="?OLD","!!!","")</f>
        <v/>
      </c>
      <c r="F2168" s="23" t="str">
        <f>IF(OR(E2168="",E2168="!!!"),"",IF(NOT(ISNA(VLOOKUP(E2168,E$1:E2167,1,FALSE()))),"OLD",IF(AND(E2168&lt;&gt;"",E2168&lt;&gt;"!!!"),"NEW","")))</f>
        <v> </v>
      </c>
      <c r="G2168" s="24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5" t="str">
        <f>IF(J2168&lt;&gt;1,"",IF(I2168="SBJ","CB","?"))</f>
        <v> </v>
      </c>
      <c r="I2168" s="26" t="str">
        <f>IF(OR(E2168="",E2168="!!!",F2168="NEW"),"",INDEX(B2167:B$2,-1+SUMPRODUCT(MAX(ROW(E2167:E$2)*(E2168=E2167:E$2)))))</f>
        <v> </v>
      </c>
      <c r="J2168" s="26" t="str">
        <f>IF(OR(E2168="",E2168="!!!",F2168="NEW"),"",COUNTBLANK(OFFSET(A$1,,,SUMPRODUCT(MAX(ROW(E$2:E2168)*(E2168=E$2:E2168)))))-COUNTBLANK(OFFSET(A$1,,,SUMPRODUCT(MAX(ROW(E$1:E2167)*(E2=E$1:E2167))))))</f>
        <v> </v>
      </c>
      <c r="K2168" s="26" t="str">
        <f>IF(OR(E2168="",E2168="!!!",F2168="NEW"),"",INDEX(J$1:J2167,SUMPRODUCT(MAX(ROW(E$1:E2167)*(E2168=E$1:E2167)))))</f>
        <v> </v>
      </c>
      <c r="L2168" s="27"/>
    </row>
    <row r="2169" spans="1:12">
      <c r="A2169" s="20" t="s">
        <v>611</v>
      </c>
      <c r="E2169" s="22">
        <f>IF(D2169="?OLD","!!!","")</f>
        <v/>
      </c>
      <c r="F2169" s="23" t="str">
        <f>IF(OR(E2169="",E2169="!!!"),"",IF(NOT(ISNA(VLOOKUP(E2169,E$1:E2168,1,FALSE()))),"OLD",IF(AND(E2169&lt;&gt;"",E2169&lt;&gt;"!!!"),"NEW","")))</f>
        <v> </v>
      </c>
      <c r="G2169" s="24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5" t="str">
        <f>IF(J2169&lt;&gt;1,"",IF(I2169="SBJ","CB","?"))</f>
        <v> </v>
      </c>
      <c r="I2169" s="26" t="str">
        <f>IF(OR(E2169="",E2169="!!!",F2169="NEW"),"",INDEX(B2168:B$2,-1+SUMPRODUCT(MAX(ROW(E2168:E$2)*(E2169=E2168:E$2)))))</f>
        <v> </v>
      </c>
      <c r="J2169" s="26" t="str">
        <f>IF(OR(E2169="",E2169="!!!",F2169="NEW"),"",COUNTBLANK(OFFSET(A$1,,,SUMPRODUCT(MAX(ROW(E$2:E2169)*(E2169=E$2:E2169)))))-COUNTBLANK(OFFSET(A$1,,,SUMPRODUCT(MAX(ROW(E$1:E2168)*(E2=E$1:E2168))))))</f>
        <v> </v>
      </c>
      <c r="K2169" s="26" t="str">
        <f>IF(OR(E2169="",E2169="!!!",F2169="NEW"),"",INDEX(J$1:J2168,SUMPRODUCT(MAX(ROW(E$1:E2168)*(E2169=E$1:E2168)))))</f>
        <v> </v>
      </c>
      <c r="L2169" s="27"/>
    </row>
    <row r="2170" spans="1:12">
      <c r="A2170" s="20" t="s">
        <v>1289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1679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866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633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/>
    </row>
    <row r="2175" spans="1:12">
      <c r="A2175" s="20" t="s">
        <v>1680</v>
      </c>
    </row>
    <row r="2176" spans="1:12">
      <c r="A2176" s="20" t="s">
        <v>914</v>
      </c>
      <c r="E2176" s="22">
        <f>IF(D2176="?OLD","!!!","")</f>
        <v/>
      </c>
      <c r="F2176" s="23" t="str">
        <f>IF(OR(E2176="",E2176="!!!"),"",IF(NOT(ISNA(VLOOKUP(E2176,E$1:E2175,1,FALSE()))),"OLD",IF(AND(E2176&lt;&gt;"",E2176&lt;&gt;"!!!"),"NEW","")))</f>
        <v> </v>
      </c>
      <c r="G2176" s="24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5" t="str">
        <f>IF(J2176&lt;&gt;1,"",IF(I2176="SBJ","CB","?"))</f>
        <v> </v>
      </c>
      <c r="I2176" s="26" t="str">
        <f>IF(OR(E2176="",E2176="!!!",F2176="NEW"),"",INDEX(B2175:B$2,-1+SUMPRODUCT(MAX(ROW(E2175:E$2)*(E2176=E2175:E$2)))))</f>
        <v> </v>
      </c>
      <c r="J2176" s="26" t="str">
        <f>IF(OR(E2176="",E2176="!!!",F2176="NEW"),"",COUNTBLANK(OFFSET(A$1,,,SUMPRODUCT(MAX(ROW(E$2:E2176)*(E2176=E$2:E2176)))))-COUNTBLANK(OFFSET(A$1,,,SUMPRODUCT(MAX(ROW(E$1:E2175)*(E2=E$1:E2175))))))</f>
        <v> </v>
      </c>
      <c r="K2176" s="26" t="str">
        <f>IF(OR(E2176="",E2176="!!!",F2176="NEW"),"",INDEX(J$1:J2175,SUMPRODUCT(MAX(ROW(E$1:E2175)*(E2176=E$1:E2175)))))</f>
        <v> </v>
      </c>
      <c r="L2176" s="27"/>
    </row>
    <row r="2177" spans="1:12">
      <c r="A2177" s="20" t="s">
        <v>1681</v>
      </c>
      <c r="E2177" s="22">
        <f>IF(D2177="?OLD","!!!","")</f>
        <v/>
      </c>
      <c r="F2177" s="23" t="str">
        <f>IF(OR(E2177="",E2177="!!!"),"",IF(NOT(ISNA(VLOOKUP(E2177,E$1:E2176,1,FALSE()))),"OLD",IF(AND(E2177&lt;&gt;"",E2177&lt;&gt;"!!!"),"NEW","")))</f>
        <v> </v>
      </c>
      <c r="G2177" s="24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5" t="str">
        <f>IF(J2177&lt;&gt;1,"",IF(I2177="SBJ","CB","?"))</f>
        <v> </v>
      </c>
      <c r="I2177" s="26" t="str">
        <f>IF(OR(E2177="",E2177="!!!",F2177="NEW"),"",INDEX(B2176:B$2,-1+SUMPRODUCT(MAX(ROW(E2176:E$2)*(E2177=E2176:E$2)))))</f>
        <v> </v>
      </c>
      <c r="J2177" s="26" t="str">
        <f>IF(OR(E2177="",E2177="!!!",F2177="NEW"),"",COUNTBLANK(OFFSET(A$1,,,SUMPRODUCT(MAX(ROW(E$2:E2177)*(E2177=E$2:E2177)))))-COUNTBLANK(OFFSET(A$1,,,SUMPRODUCT(MAX(ROW(E$1:E2176)*(E2=E$1:E2176))))))</f>
        <v> </v>
      </c>
      <c r="K2177" s="26" t="str">
        <f>IF(OR(E2177="",E2177="!!!",F2177="NEW"),"",INDEX(J$1:J2176,SUMPRODUCT(MAX(ROW(E$1:E2176)*(E2177=E$1:E2176)))))</f>
        <v> </v>
      </c>
      <c r="L2177" s="27"/>
    </row>
    <row r="2178" spans="1:12">
      <c r="A2178" s="20" t="s">
        <v>611</v>
      </c>
      <c r="E2178" s="22">
        <f>IF(D2178="?OLD","!!!","")</f>
        <v/>
      </c>
      <c r="F2178" s="23" t="str">
        <f>IF(OR(E2178="",E2178="!!!"),"",IF(NOT(ISNA(VLOOKUP(E2178,E$1:E2177,1,FALSE()))),"OLD",IF(AND(E2178&lt;&gt;"",E2178&lt;&gt;"!!!"),"NEW","")))</f>
        <v> </v>
      </c>
      <c r="G2178" s="24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5" t="str">
        <f>IF(J2178&lt;&gt;1,"",IF(I2178="SBJ","CB","?"))</f>
        <v> </v>
      </c>
      <c r="I2178" s="26" t="str">
        <f>IF(OR(E2178="",E2178="!!!",F2178="NEW"),"",INDEX(B2177:B$2,-1+SUMPRODUCT(MAX(ROW(E2177:E$2)*(E2178=E2177:E$2)))))</f>
        <v> </v>
      </c>
      <c r="J2178" s="26" t="str">
        <f>IF(OR(E2178="",E2178="!!!",F2178="NEW"),"",COUNTBLANK(OFFSET(A$1,,,SUMPRODUCT(MAX(ROW(E$2:E2178)*(E2178=E$2:E2178)))))-COUNTBLANK(OFFSET(A$1,,,SUMPRODUCT(MAX(ROW(E$1:E2177)*(E2=E$1:E2177))))))</f>
        <v> </v>
      </c>
      <c r="K2178" s="26" t="str">
        <f>IF(OR(E2178="",E2178="!!!",F2178="NEW"),"",INDEX(J$1:J2177,SUMPRODUCT(MAX(ROW(E$1:E2177)*(E2178=E$1:E2177)))))</f>
        <v> </v>
      </c>
      <c r="L2178" s="27"/>
    </row>
    <row r="2179" spans="1:12">
      <c r="A2179" s="20" t="s">
        <v>932</v>
      </c>
      <c r="B2179" s="21" t="s">
        <v>636</v>
      </c>
      <c r="C2179" s="21" t="s">
        <v>614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 t="s">
        <v>419</v>
      </c>
      <c r="B2180" s="21" t="s">
        <v>640</v>
      </c>
      <c r="C2180" s="21" t="s">
        <v>602</v>
      </c>
      <c r="D2180" s="21" t="s">
        <v>603</v>
      </c>
      <c r="E2180" s="22">
        <f>IF(D2180="?OLD","!!!","")</f>
        <v/>
      </c>
      <c r="F2180" s="23" t="str">
        <f>IF(OR(E2180="",E2180="!!!"),"",IF(NOT(ISNA(VLOOKUP(E2180,E$1:E2179,1,FALSE()))),"OLD",IF(AND(E2180&lt;&gt;"",E2180&lt;&gt;"!!!"),"NEW","")))</f>
        <v> </v>
      </c>
      <c r="G2180" s="24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5" t="str">
        <f>IF(J2180&lt;&gt;1,"",IF(I2180="SBJ","CB","?"))</f>
        <v> </v>
      </c>
      <c r="I2180" s="26" t="str">
        <f>IF(OR(E2180="",E2180="!!!",F2180="NEW"),"",INDEX(B2179:B$2,-1+SUMPRODUCT(MAX(ROW(E2179:E$2)*(E2180=E2179:E$2)))))</f>
        <v> </v>
      </c>
      <c r="J2180" s="26" t="str">
        <f>IF(OR(E2180="",E2180="!!!",F2180="NEW"),"",COUNTBLANK(OFFSET(A$1,,,SUMPRODUCT(MAX(ROW(E$2:E2180)*(E2180=E$2:E2180)))))-COUNTBLANK(OFFSET(A$1,,,SUMPRODUCT(MAX(ROW(E$1:E2179)*(E2=E$1:E2179))))))</f>
        <v> </v>
      </c>
      <c r="K2180" s="26" t="str">
        <f>IF(OR(E2180="",E2180="!!!",F2180="NEW"),"",INDEX(J$1:J2179,SUMPRODUCT(MAX(ROW(E$1:E2179)*(E2180=E$1:E2179)))))</f>
        <v> </v>
      </c>
      <c r="L2180" s="27"/>
    </row>
    <row r="2181" spans="1:12">
      <c r="A2181" s="20" t="s">
        <v>633</v>
      </c>
      <c r="E2181" s="22">
        <f>IF(D2181="?OLD","!!!","")</f>
        <v/>
      </c>
      <c r="F2181" s="23" t="str">
        <f>IF(OR(E2181="",E2181="!!!"),"",IF(NOT(ISNA(VLOOKUP(E2181,E$1:E2180,1,FALSE()))),"OLD",IF(AND(E2181&lt;&gt;"",E2181&lt;&gt;"!!!"),"NEW","")))</f>
        <v> </v>
      </c>
      <c r="G2181" s="24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5" t="str">
        <f>IF(J2181&lt;&gt;1,"",IF(I2181="SBJ","CB","?"))</f>
        <v> </v>
      </c>
      <c r="I2181" s="26" t="str">
        <f>IF(OR(E2181="",E2181="!!!",F2181="NEW"),"",INDEX(B2180:B$2,-1+SUMPRODUCT(MAX(ROW(E2180:E$2)*(E2181=E2180:E$2)))))</f>
        <v> </v>
      </c>
      <c r="J2181" s="26" t="str">
        <f>IF(OR(E2181="",E2181="!!!",F2181="NEW"),"",COUNTBLANK(OFFSET(A$1,,,SUMPRODUCT(MAX(ROW(E$2:E2181)*(E2181=E$2:E2181)))))-COUNTBLANK(OFFSET(A$1,,,SUMPRODUCT(MAX(ROW(E$1:E2180)*(E2=E$1:E2180))))))</f>
        <v> </v>
      </c>
      <c r="K2181" s="26" t="str">
        <f>IF(OR(E2181="",E2181="!!!",F2181="NEW"),"",INDEX(J$1:J2180,SUMPRODUCT(MAX(ROW(E$1:E2180)*(E2181=E$1:E2180)))))</f>
        <v> </v>
      </c>
      <c r="L2181" s="27"/>
    </row>
    <row r="2182" spans="1:12">
      <c r="A2182" s="20"/>
    </row>
    <row r="2183" spans="1:12">
      <c r="A2183" s="20" t="s">
        <v>1682</v>
      </c>
    </row>
    <row r="2184" spans="1:12">
      <c r="A2184" s="20" t="s">
        <v>1683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672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1684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611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 t="s">
        <v>1685</v>
      </c>
      <c r="E2188" s="22">
        <f>IF(D2188="?OLD","!!!","")</f>
        <v/>
      </c>
      <c r="F2188" s="23" t="str">
        <f>IF(OR(E2188="",E2188="!!!"),"",IF(NOT(ISNA(VLOOKUP(E2188,E$1:E2187,1,FALSE()))),"OLD",IF(AND(E2188&lt;&gt;"",E2188&lt;&gt;"!!!"),"NEW","")))</f>
        <v> </v>
      </c>
      <c r="G2188" s="24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5" t="str">
        <f>IF(J2188&lt;&gt;1,"",IF(I2188="SBJ","CB","?"))</f>
        <v> </v>
      </c>
      <c r="I2188" s="26" t="str">
        <f>IF(OR(E2188="",E2188="!!!",F2188="NEW"),"",INDEX(B2187:B$2,-1+SUMPRODUCT(MAX(ROW(E2187:E$2)*(E2188=E2187:E$2)))))</f>
        <v> </v>
      </c>
      <c r="J2188" s="26" t="str">
        <f>IF(OR(E2188="",E2188="!!!",F2188="NEW"),"",COUNTBLANK(OFFSET(A$1,,,SUMPRODUCT(MAX(ROW(E$2:E2188)*(E2188=E$2:E2188)))))-COUNTBLANK(OFFSET(A$1,,,SUMPRODUCT(MAX(ROW(E$1:E2187)*(E2=E$1:E2187))))))</f>
        <v> </v>
      </c>
      <c r="K2188" s="26" t="str">
        <f>IF(OR(E2188="",E2188="!!!",F2188="NEW"),"",INDEX(J$1:J2187,SUMPRODUCT(MAX(ROW(E$1:E2187)*(E2188=E$1:E2187)))))</f>
        <v> </v>
      </c>
      <c r="L2188" s="27"/>
    </row>
    <row r="2189" spans="1:12">
      <c r="A2189" s="20" t="s">
        <v>611</v>
      </c>
      <c r="E2189" s="22">
        <f>IF(D2189="?OLD","!!!","")</f>
        <v/>
      </c>
      <c r="F2189" s="23" t="str">
        <f>IF(OR(E2189="",E2189="!!!"),"",IF(NOT(ISNA(VLOOKUP(E2189,E$1:E2188,1,FALSE()))),"OLD",IF(AND(E2189&lt;&gt;"",E2189&lt;&gt;"!!!"),"NEW","")))</f>
        <v> </v>
      </c>
      <c r="G2189" s="24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5" t="str">
        <f>IF(J2189&lt;&gt;1,"",IF(I2189="SBJ","CB","?"))</f>
        <v> </v>
      </c>
      <c r="I2189" s="26" t="str">
        <f>IF(OR(E2189="",E2189="!!!",F2189="NEW"),"",INDEX(B2188:B$2,-1+SUMPRODUCT(MAX(ROW(E2188:E$2)*(E2189=E2188:E$2)))))</f>
        <v> </v>
      </c>
      <c r="J2189" s="26" t="str">
        <f>IF(OR(E2189="",E2189="!!!",F2189="NEW"),"",COUNTBLANK(OFFSET(A$1,,,SUMPRODUCT(MAX(ROW(E$2:E2189)*(E2189=E$2:E2189)))))-COUNTBLANK(OFFSET(A$1,,,SUMPRODUCT(MAX(ROW(E$1:E2188)*(E2=E$1:E2188))))))</f>
        <v> </v>
      </c>
      <c r="K2189" s="26" t="str">
        <f>IF(OR(E2189="",E2189="!!!",F2189="NEW"),"",INDEX(J$1:J2188,SUMPRODUCT(MAX(ROW(E$1:E2188)*(E2189=E$1:E2188)))))</f>
        <v> </v>
      </c>
      <c r="L2189" s="27"/>
    </row>
    <row r="2190" spans="1:12">
      <c r="A2190" s="20" t="s">
        <v>907</v>
      </c>
      <c r="B2190" s="21" t="s">
        <v>659</v>
      </c>
      <c r="C2190" s="21" t="s">
        <v>602</v>
      </c>
      <c r="D2190" s="21" t="s">
        <v>603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607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 t="s">
        <v>608</v>
      </c>
      <c r="B2192" s="21" t="s">
        <v>620</v>
      </c>
      <c r="C2192" s="21" t="s">
        <v>602</v>
      </c>
      <c r="D2192" s="21" t="s">
        <v>603</v>
      </c>
      <c r="E2192" s="22">
        <f>IF(D2192="?OLD","!!!","")</f>
        <v/>
      </c>
      <c r="F2192" s="23" t="str">
        <f>IF(OR(E2192="",E2192="!!!"),"",IF(NOT(ISNA(VLOOKUP(E2192,E$1:E2191,1,FALSE()))),"OLD",IF(AND(E2192&lt;&gt;"",E2192&lt;&gt;"!!!"),"NEW","")))</f>
        <v> </v>
      </c>
      <c r="G2192" s="24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5" t="str">
        <f>IF(J2192&lt;&gt;1,"",IF(I2192="SBJ","CB","?"))</f>
        <v> </v>
      </c>
      <c r="I2192" s="26" t="str">
        <f>IF(OR(E2192="",E2192="!!!",F2192="NEW"),"",INDEX(B2191:B$2,-1+SUMPRODUCT(MAX(ROW(E2191:E$2)*(E2192=E2191:E$2)))))</f>
        <v> </v>
      </c>
      <c r="J2192" s="26" t="str">
        <f>IF(OR(E2192="",E2192="!!!",F2192="NEW"),"",COUNTBLANK(OFFSET(A$1,,,SUMPRODUCT(MAX(ROW(E$2:E2192)*(E2192=E$2:E2192)))))-COUNTBLANK(OFFSET(A$1,,,SUMPRODUCT(MAX(ROW(E$1:E2191)*(E2=E$1:E2191))))))</f>
        <v> </v>
      </c>
      <c r="K2192" s="26" t="str">
        <f>IF(OR(E2192="",E2192="!!!",F2192="NEW"),"",INDEX(J$1:J2191,SUMPRODUCT(MAX(ROW(E$1:E2191)*(E2192=E$1:E2191)))))</f>
        <v> </v>
      </c>
      <c r="L2192" s="27"/>
    </row>
    <row r="2193" spans="1:12">
      <c r="A2193" s="20" t="s">
        <v>1686</v>
      </c>
      <c r="E2193" s="22">
        <f>IF(D2193="?OLD","!!!","")</f>
        <v/>
      </c>
      <c r="F2193" s="23" t="str">
        <f>IF(OR(E2193="",E2193="!!!"),"",IF(NOT(ISNA(VLOOKUP(E2193,E$1:E2192,1,FALSE()))),"OLD",IF(AND(E2193&lt;&gt;"",E2193&lt;&gt;"!!!"),"NEW","")))</f>
        <v> </v>
      </c>
      <c r="G2193" s="24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5" t="str">
        <f>IF(J2193&lt;&gt;1,"",IF(I2193="SBJ","CB","?"))</f>
        <v> </v>
      </c>
      <c r="I2193" s="26" t="str">
        <f>IF(OR(E2193="",E2193="!!!",F2193="NEW"),"",INDEX(B2192:B$2,-1+SUMPRODUCT(MAX(ROW(E2192:E$2)*(E2193=E2192:E$2)))))</f>
        <v> </v>
      </c>
      <c r="J2193" s="26" t="str">
        <f>IF(OR(E2193="",E2193="!!!",F2193="NEW"),"",COUNTBLANK(OFFSET(A$1,,,SUMPRODUCT(MAX(ROW(E$2:E2193)*(E2193=E$2:E2193)))))-COUNTBLANK(OFFSET(A$1,,,SUMPRODUCT(MAX(ROW(E$1:E2192)*(E2=E$1:E2192))))))</f>
        <v> </v>
      </c>
      <c r="K2193" s="26" t="str">
        <f>IF(OR(E2193="",E2193="!!!",F2193="NEW"),"",INDEX(J$1:J2192,SUMPRODUCT(MAX(ROW(E$1:E2192)*(E2193=E$1:E2192)))))</f>
        <v> </v>
      </c>
      <c r="L2193" s="27"/>
    </row>
    <row r="2194" spans="1:12">
      <c r="A2194" s="20" t="s">
        <v>912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/>
    </row>
    <row r="2196" spans="1:12">
      <c r="A2196" s="20" t="s">
        <v>1687</v>
      </c>
    </row>
    <row r="2197" spans="1:12">
      <c r="A2197" s="20" t="s">
        <v>600</v>
      </c>
      <c r="B2197" s="21" t="s">
        <v>601</v>
      </c>
      <c r="C2197" s="21" t="s">
        <v>602</v>
      </c>
      <c r="D2197" s="21" t="s">
        <v>603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 t="s">
        <v>899</v>
      </c>
      <c r="B2198" s="21" t="s">
        <v>652</v>
      </c>
      <c r="C2198" s="21" t="s">
        <v>614</v>
      </c>
      <c r="E2198" s="22">
        <f>IF(D2198="?OLD","!!!","")</f>
        <v/>
      </c>
      <c r="F2198" s="23" t="str">
        <f>IF(OR(E2198="",E2198="!!!"),"",IF(NOT(ISNA(VLOOKUP(E2198,E$1:E2197,1,FALSE()))),"OLD",IF(AND(E2198&lt;&gt;"",E2198&lt;&gt;"!!!"),"NEW","")))</f>
        <v> </v>
      </c>
      <c r="G2198" s="24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5" t="str">
        <f>IF(J2198&lt;&gt;1,"",IF(I2198="SBJ","CB","?"))</f>
        <v> </v>
      </c>
      <c r="I2198" s="26" t="str">
        <f>IF(OR(E2198="",E2198="!!!",F2198="NEW"),"",INDEX(B2197:B$2,-1+SUMPRODUCT(MAX(ROW(E2197:E$2)*(E2198=E2197:E$2)))))</f>
        <v> </v>
      </c>
      <c r="J2198" s="26" t="str">
        <f>IF(OR(E2198="",E2198="!!!",F2198="NEW"),"",COUNTBLANK(OFFSET(A$1,,,SUMPRODUCT(MAX(ROW(E$2:E2198)*(E2198=E$2:E2198)))))-COUNTBLANK(OFFSET(A$1,,,SUMPRODUCT(MAX(ROW(E$1:E2197)*(E2=E$1:E2197))))))</f>
        <v> </v>
      </c>
      <c r="K2198" s="26" t="str">
        <f>IF(OR(E2198="",E2198="!!!",F2198="NEW"),"",INDEX(J$1:J2197,SUMPRODUCT(MAX(ROW(E$1:E2197)*(E2198=E$1:E2197)))))</f>
        <v> </v>
      </c>
      <c r="L2198" s="27"/>
    </row>
    <row r="2199" spans="1:12">
      <c r="A2199" s="20" t="s">
        <v>664</v>
      </c>
      <c r="E2199" s="22">
        <f>IF(D2199="?OLD","!!!","")</f>
        <v/>
      </c>
      <c r="F2199" s="23" t="str">
        <f>IF(OR(E2199="",E2199="!!!"),"",IF(NOT(ISNA(VLOOKUP(E2199,E$1:E2198,1,FALSE()))),"OLD",IF(AND(E2199&lt;&gt;"",E2199&lt;&gt;"!!!"),"NEW","")))</f>
        <v> </v>
      </c>
      <c r="G2199" s="24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5" t="str">
        <f>IF(J2199&lt;&gt;1,"",IF(I2199="SBJ","CB","?"))</f>
        <v> </v>
      </c>
      <c r="I2199" s="26" t="str">
        <f>IF(OR(E2199="",E2199="!!!",F2199="NEW"),"",INDEX(B2198:B$2,-1+SUMPRODUCT(MAX(ROW(E2198:E$2)*(E2199=E2198:E$2)))))</f>
        <v> </v>
      </c>
      <c r="J2199" s="26" t="str">
        <f>IF(OR(E2199="",E2199="!!!",F2199="NEW"),"",COUNTBLANK(OFFSET(A$1,,,SUMPRODUCT(MAX(ROW(E$2:E2199)*(E2199=E$2:E2199)))))-COUNTBLANK(OFFSET(A$1,,,SUMPRODUCT(MAX(ROW(E$1:E2198)*(E2=E$1:E2198))))))</f>
        <v> </v>
      </c>
      <c r="K2199" s="26" t="str">
        <f>IF(OR(E2199="",E2199="!!!",F2199="NEW"),"",INDEX(J$1:J2198,SUMPRODUCT(MAX(ROW(E$1:E2198)*(E2199=E$1:E2198)))))</f>
        <v> </v>
      </c>
      <c r="L2199" s="27"/>
    </row>
    <row r="2200" spans="1:12">
      <c r="A2200" s="20" t="s">
        <v>1688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 t="s">
        <v>1689</v>
      </c>
      <c r="E2201" s="22">
        <f>IF(D2201="?OLD","!!!","")</f>
        <v/>
      </c>
      <c r="F2201" s="23" t="str">
        <f>IF(OR(E2201="",E2201="!!!"),"",IF(NOT(ISNA(VLOOKUP(E2201,E$1:E2200,1,FALSE()))),"OLD",IF(AND(E2201&lt;&gt;"",E2201&lt;&gt;"!!!"),"NEW","")))</f>
        <v> </v>
      </c>
      <c r="G2201" s="24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5" t="str">
        <f>IF(J2201&lt;&gt;1,"",IF(I2201="SBJ","CB","?"))</f>
        <v> </v>
      </c>
      <c r="I2201" s="26" t="str">
        <f>IF(OR(E2201="",E2201="!!!",F2201="NEW"),"",INDEX(B2200:B$2,-1+SUMPRODUCT(MAX(ROW(E2200:E$2)*(E2201=E2200:E$2)))))</f>
        <v> </v>
      </c>
      <c r="J2201" s="26" t="str">
        <f>IF(OR(E2201="",E2201="!!!",F2201="NEW"),"",COUNTBLANK(OFFSET(A$1,,,SUMPRODUCT(MAX(ROW(E$2:E2201)*(E2201=E$2:E2201)))))-COUNTBLANK(OFFSET(A$1,,,SUMPRODUCT(MAX(ROW(E$1:E2200)*(E2=E$1:E2200))))))</f>
        <v> </v>
      </c>
      <c r="K2201" s="26" t="str">
        <f>IF(OR(E2201="",E2201="!!!",F2201="NEW"),"",INDEX(J$1:J2200,SUMPRODUCT(MAX(ROW(E$1:E2200)*(E2201=E$1:E2200)))))</f>
        <v> </v>
      </c>
      <c r="L2201" s="27"/>
    </row>
    <row r="2202" spans="1:12">
      <c r="A2202" s="20" t="s">
        <v>1677</v>
      </c>
      <c r="E2202" s="22">
        <f>IF(D2202="?OLD","!!!","")</f>
        <v/>
      </c>
      <c r="F2202" s="23" t="str">
        <f>IF(OR(E2202="",E2202="!!!"),"",IF(NOT(ISNA(VLOOKUP(E2202,E$1:E2201,1,FALSE()))),"OLD",IF(AND(E2202&lt;&gt;"",E2202&lt;&gt;"!!!"),"NEW","")))</f>
        <v> </v>
      </c>
      <c r="G2202" s="24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5" t="str">
        <f>IF(J2202&lt;&gt;1,"",IF(I2202="SBJ","CB","?"))</f>
        <v> </v>
      </c>
      <c r="I2202" s="26" t="str">
        <f>IF(OR(E2202="",E2202="!!!",F2202="NEW"),"",INDEX(B2201:B$2,-1+SUMPRODUCT(MAX(ROW(E2201:E$2)*(E2202=E2201:E$2)))))</f>
        <v> </v>
      </c>
      <c r="J2202" s="26" t="str">
        <f>IF(OR(E2202="",E2202="!!!",F2202="NEW"),"",COUNTBLANK(OFFSET(A$1,,,SUMPRODUCT(MAX(ROW(E$2:E2202)*(E2202=E$2:E2202)))))-COUNTBLANK(OFFSET(A$1,,,SUMPRODUCT(MAX(ROW(E$1:E2201)*(E2=E$1:E2201))))))</f>
        <v> </v>
      </c>
      <c r="K2202" s="26" t="str">
        <f>IF(OR(E2202="",E2202="!!!",F2202="NEW"),"",INDEX(J$1:J2201,SUMPRODUCT(MAX(ROW(E$1:E2201)*(E2202=E$1:E2201)))))</f>
        <v> </v>
      </c>
      <c r="L2202" s="27"/>
    </row>
    <row r="2203" spans="1:12">
      <c r="A2203" s="20" t="s">
        <v>817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 t="s">
        <v>419</v>
      </c>
      <c r="B2204" s="21" t="s">
        <v>640</v>
      </c>
      <c r="C2204" s="21" t="s">
        <v>602</v>
      </c>
      <c r="D2204" s="21" t="s">
        <v>603</v>
      </c>
      <c r="E2204" s="22">
        <f>IF(D2204="?OLD","!!!","")</f>
        <v/>
      </c>
      <c r="F2204" s="23" t="str">
        <f>IF(OR(E2204="",E2204="!!!"),"",IF(NOT(ISNA(VLOOKUP(E2204,E$1:E2203,1,FALSE()))),"OLD",IF(AND(E2204&lt;&gt;"",E2204&lt;&gt;"!!!"),"NEW","")))</f>
        <v> </v>
      </c>
      <c r="G2204" s="24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5" t="str">
        <f>IF(J2204&lt;&gt;1,"",IF(I2204="SBJ","CB","?"))</f>
        <v> </v>
      </c>
      <c r="I2204" s="26" t="str">
        <f>IF(OR(E2204="",E2204="!!!",F2204="NEW"),"",INDEX(B2203:B$2,-1+SUMPRODUCT(MAX(ROW(E2203:E$2)*(E2204=E2203:E$2)))))</f>
        <v> </v>
      </c>
      <c r="J2204" s="26" t="str">
        <f>IF(OR(E2204="",E2204="!!!",F2204="NEW"),"",COUNTBLANK(OFFSET(A$1,,,SUMPRODUCT(MAX(ROW(E$2:E2204)*(E2204=E$2:E2204)))))-COUNTBLANK(OFFSET(A$1,,,SUMPRODUCT(MAX(ROW(E$1:E2203)*(E2=E$1:E2203))))))</f>
        <v> </v>
      </c>
      <c r="K2204" s="26" t="str">
        <f>IF(OR(E2204="",E2204="!!!",F2204="NEW"),"",INDEX(J$1:J2203,SUMPRODUCT(MAX(ROW(E$1:E2203)*(E2204=E$1:E2203)))))</f>
        <v> </v>
      </c>
      <c r="L2204" s="27"/>
    </row>
    <row r="2205" spans="1:12">
      <c r="A2205" s="20" t="s">
        <v>824</v>
      </c>
      <c r="B2205" s="21" t="s">
        <v>652</v>
      </c>
      <c r="C2205" s="21" t="s">
        <v>602</v>
      </c>
      <c r="D2205" s="21" t="s">
        <v>603</v>
      </c>
      <c r="E2205" s="22">
        <f>IF(D2205="?OLD","!!!","")</f>
        <v/>
      </c>
      <c r="F2205" s="23" t="str">
        <f>IF(OR(E2205="",E2205="!!!"),"",IF(NOT(ISNA(VLOOKUP(E2205,E$1:E2204,1,FALSE()))),"OLD",IF(AND(E2205&lt;&gt;"",E2205&lt;&gt;"!!!"),"NEW","")))</f>
        <v> </v>
      </c>
      <c r="G2205" s="24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5" t="str">
        <f>IF(J2205&lt;&gt;1,"",IF(I2205="SBJ","CB","?"))</f>
        <v> </v>
      </c>
      <c r="I2205" s="26" t="str">
        <f>IF(OR(E2205="",E2205="!!!",F2205="NEW"),"",INDEX(B2204:B$2,-1+SUMPRODUCT(MAX(ROW(E2204:E$2)*(E2205=E2204:E$2)))))</f>
        <v> </v>
      </c>
      <c r="J2205" s="26" t="str">
        <f>IF(OR(E2205="",E2205="!!!",F2205="NEW"),"",COUNTBLANK(OFFSET(A$1,,,SUMPRODUCT(MAX(ROW(E$2:E2205)*(E2205=E$2:E2205)))))-COUNTBLANK(OFFSET(A$1,,,SUMPRODUCT(MAX(ROW(E$1:E2204)*(E2=E$1:E2204))))))</f>
        <v> </v>
      </c>
      <c r="K2205" s="26" t="str">
        <f>IF(OR(E2205="",E2205="!!!",F2205="NEW"),"",INDEX(J$1:J2204,SUMPRODUCT(MAX(ROW(E$1:E2204)*(E2205=E$1:E2204)))))</f>
        <v> </v>
      </c>
      <c r="L2205" s="27"/>
    </row>
    <row r="2206" spans="1:12">
      <c r="A2206" s="20" t="s">
        <v>672</v>
      </c>
      <c r="E2206" s="22">
        <f>IF(D2206="?OLD","!!!","")</f>
        <v/>
      </c>
      <c r="F2206" s="23" t="str">
        <f>IF(OR(E2206="",E2206="!!!"),"",IF(NOT(ISNA(VLOOKUP(E2206,E$1:E2205,1,FALSE()))),"OLD",IF(AND(E2206&lt;&gt;"",E2206&lt;&gt;"!!!"),"NEW","")))</f>
        <v> </v>
      </c>
      <c r="G2206" s="24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5" t="str">
        <f>IF(J2206&lt;&gt;1,"",IF(I2206="SBJ","CB","?"))</f>
        <v> </v>
      </c>
      <c r="I2206" s="26" t="str">
        <f>IF(OR(E2206="",E2206="!!!",F2206="NEW"),"",INDEX(B2205:B$2,-1+SUMPRODUCT(MAX(ROW(E2205:E$2)*(E2206=E2205:E$2)))))</f>
        <v> </v>
      </c>
      <c r="J2206" s="26" t="str">
        <f>IF(OR(E2206="",E2206="!!!",F2206="NEW"),"",COUNTBLANK(OFFSET(A$1,,,SUMPRODUCT(MAX(ROW(E$2:E2206)*(E2206=E$2:E2206)))))-COUNTBLANK(OFFSET(A$1,,,SUMPRODUCT(MAX(ROW(E$1:E2205)*(E2=E$1:E2205))))))</f>
        <v> </v>
      </c>
      <c r="K2206" s="26" t="str">
        <f>IF(OR(E2206="",E2206="!!!",F2206="NEW"),"",INDEX(J$1:J2205,SUMPRODUCT(MAX(ROW(E$1:E2205)*(E2206=E$1:E2205)))))</f>
        <v> </v>
      </c>
      <c r="L2206" s="27"/>
    </row>
    <row r="2207" spans="1:12">
      <c r="A2207" s="20" t="s">
        <v>1690</v>
      </c>
      <c r="B2207" s="21" t="s">
        <v>640</v>
      </c>
      <c r="C2207" s="21" t="s">
        <v>631</v>
      </c>
      <c r="D2207" s="21" t="s">
        <v>603</v>
      </c>
      <c r="E2207" s="22">
        <f>IF(D2207="?OLD","!!!","")</f>
        <v/>
      </c>
      <c r="F2207" s="23" t="str">
        <f>IF(OR(E2207="",E2207="!!!"),"",IF(NOT(ISNA(VLOOKUP(E2207,E$1:E2206,1,FALSE()))),"OLD",IF(AND(E2207&lt;&gt;"",E2207&lt;&gt;"!!!"),"NEW","")))</f>
        <v> </v>
      </c>
      <c r="G2207" s="24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5" t="str">
        <f>IF(J2207&lt;&gt;1,"",IF(I2207="SBJ","CB","?"))</f>
        <v> </v>
      </c>
      <c r="I2207" s="26" t="str">
        <f>IF(OR(E2207="",E2207="!!!",F2207="NEW"),"",INDEX(B2206:B$2,-1+SUMPRODUCT(MAX(ROW(E2206:E$2)*(E2207=E2206:E$2)))))</f>
        <v> </v>
      </c>
      <c r="J2207" s="26" t="str">
        <f>IF(OR(E2207="",E2207="!!!",F2207="NEW"),"",COUNTBLANK(OFFSET(A$1,,,SUMPRODUCT(MAX(ROW(E$2:E2207)*(E2207=E$2:E2207)))))-COUNTBLANK(OFFSET(A$1,,,SUMPRODUCT(MAX(ROW(E$1:E2206)*(E2=E$1:E2206))))))</f>
        <v> </v>
      </c>
      <c r="K2207" s="26" t="str">
        <f>IF(OR(E2207="",E2207="!!!",F2207="NEW"),"",INDEX(J$1:J2206,SUMPRODUCT(MAX(ROW(E$1:E2206)*(E2207=E$1:E2206)))))</f>
        <v> </v>
      </c>
      <c r="L2207" s="27"/>
    </row>
    <row r="2208" spans="1:12">
      <c r="A2208" s="20" t="s">
        <v>1316</v>
      </c>
      <c r="B2208" s="21" t="s">
        <v>636</v>
      </c>
      <c r="C2208" s="21" t="s">
        <v>602</v>
      </c>
      <c r="D2208" s="21" t="s">
        <v>603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 t="s">
        <v>646</v>
      </c>
      <c r="E2209" s="22">
        <f>IF(D2209="?OLD","!!!","")</f>
        <v/>
      </c>
      <c r="F2209" s="23" t="str">
        <f>IF(OR(E2209="",E2209="!!!"),"",IF(NOT(ISNA(VLOOKUP(E2209,E$1:E2208,1,FALSE()))),"OLD",IF(AND(E2209&lt;&gt;"",E2209&lt;&gt;"!!!"),"NEW","")))</f>
        <v> </v>
      </c>
      <c r="G2209" s="24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5" t="str">
        <f>IF(J2209&lt;&gt;1,"",IF(I2209="SBJ","CB","?"))</f>
        <v> </v>
      </c>
      <c r="I2209" s="26" t="str">
        <f>IF(OR(E2209="",E2209="!!!",F2209="NEW"),"",INDEX(B2208:B$2,-1+SUMPRODUCT(MAX(ROW(E2208:E$2)*(E2209=E2208:E$2)))))</f>
        <v> </v>
      </c>
      <c r="J2209" s="26" t="str">
        <f>IF(OR(E2209="",E2209="!!!",F2209="NEW"),"",COUNTBLANK(OFFSET(A$1,,,SUMPRODUCT(MAX(ROW(E$2:E2209)*(E2209=E$2:E2209)))))-COUNTBLANK(OFFSET(A$1,,,SUMPRODUCT(MAX(ROW(E$1:E2208)*(E2=E$1:E2208))))))</f>
        <v> </v>
      </c>
      <c r="K2209" s="26" t="str">
        <f>IF(OR(E2209="",E2209="!!!",F2209="NEW"),"",INDEX(J$1:J2208,SUMPRODUCT(MAX(ROW(E$1:E2208)*(E2209=E$1:E2208)))))</f>
        <v> </v>
      </c>
      <c r="L2209" s="27"/>
    </row>
    <row r="2210" spans="1:12">
      <c r="A2210" s="20" t="s">
        <v>664</v>
      </c>
      <c r="E2210" s="22">
        <f>IF(D2210="?OLD","!!!","")</f>
        <v/>
      </c>
      <c r="F2210" s="23" t="str">
        <f>IF(OR(E2210="",E2210="!!!"),"",IF(NOT(ISNA(VLOOKUP(E2210,E$1:E2209,1,FALSE()))),"OLD",IF(AND(E2210&lt;&gt;"",E2210&lt;&gt;"!!!"),"NEW","")))</f>
        <v> </v>
      </c>
      <c r="G2210" s="24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5" t="str">
        <f>IF(J2210&lt;&gt;1,"",IF(I2210="SBJ","CB","?"))</f>
        <v> </v>
      </c>
      <c r="I2210" s="26" t="str">
        <f>IF(OR(E2210="",E2210="!!!",F2210="NEW"),"",INDEX(B2209:B$2,-1+SUMPRODUCT(MAX(ROW(E2209:E$2)*(E2210=E2209:E$2)))))</f>
        <v> </v>
      </c>
      <c r="J2210" s="26" t="str">
        <f>IF(OR(E2210="",E2210="!!!",F2210="NEW"),"",COUNTBLANK(OFFSET(A$1,,,SUMPRODUCT(MAX(ROW(E$2:E2210)*(E2210=E$2:E2210)))))-COUNTBLANK(OFFSET(A$1,,,SUMPRODUCT(MAX(ROW(E$1:E2209)*(E2=E$1:E2209))))))</f>
        <v> </v>
      </c>
      <c r="K2210" s="26" t="str">
        <f>IF(OR(E2210="",E2210="!!!",F2210="NEW"),"",INDEX(J$1:J2209,SUMPRODUCT(MAX(ROW(E$1:E2209)*(E2210=E$1:E2209)))))</f>
        <v> </v>
      </c>
      <c r="L2210" s="27"/>
    </row>
    <row r="2211" spans="1:12">
      <c r="A2211" s="20" t="s">
        <v>1691</v>
      </c>
      <c r="E2211" s="22">
        <f>IF(D2211="?OLD","!!!","")</f>
        <v/>
      </c>
      <c r="F2211" s="23" t="str">
        <f>IF(OR(E2211="",E2211="!!!"),"",IF(NOT(ISNA(VLOOKUP(E2211,E$1:E2210,1,FALSE()))),"OLD",IF(AND(E2211&lt;&gt;"",E2211&lt;&gt;"!!!"),"NEW","")))</f>
        <v> </v>
      </c>
      <c r="G2211" s="24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5" t="str">
        <f>IF(J2211&lt;&gt;1,"",IF(I2211="SBJ","CB","?"))</f>
        <v> </v>
      </c>
      <c r="I2211" s="26" t="str">
        <f>IF(OR(E2211="",E2211="!!!",F2211="NEW"),"",INDEX(B2210:B$2,-1+SUMPRODUCT(MAX(ROW(E2210:E$2)*(E2211=E2210:E$2)))))</f>
        <v> </v>
      </c>
      <c r="J2211" s="26" t="str">
        <f>IF(OR(E2211="",E2211="!!!",F2211="NEW"),"",COUNTBLANK(OFFSET(A$1,,,SUMPRODUCT(MAX(ROW(E$2:E2211)*(E2211=E$2:E2211)))))-COUNTBLANK(OFFSET(A$1,,,SUMPRODUCT(MAX(ROW(E$1:E2210)*(E2=E$1:E2210))))))</f>
        <v> </v>
      </c>
      <c r="K2211" s="26" t="str">
        <f>IF(OR(E2211="",E2211="!!!",F2211="NEW"),"",INDEX(J$1:J2210,SUMPRODUCT(MAX(ROW(E$1:E2210)*(E2211=E$1:E2210)))))</f>
        <v> </v>
      </c>
      <c r="L2211" s="27"/>
    </row>
    <row r="2212" spans="1:12">
      <c r="A2212" s="20" t="s">
        <v>1692</v>
      </c>
      <c r="E2212" s="22">
        <f>IF(D2212="?OLD","!!!","")</f>
        <v/>
      </c>
      <c r="F2212" s="23" t="str">
        <f>IF(OR(E2212="",E2212="!!!"),"",IF(NOT(ISNA(VLOOKUP(E2212,E$1:E2211,1,FALSE()))),"OLD",IF(AND(E2212&lt;&gt;"",E2212&lt;&gt;"!!!"),"NEW","")))</f>
        <v> </v>
      </c>
      <c r="G2212" s="24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5" t="str">
        <f>IF(J2212&lt;&gt;1,"",IF(I2212="SBJ","CB","?"))</f>
        <v> </v>
      </c>
      <c r="I2212" s="26" t="str">
        <f>IF(OR(E2212="",E2212="!!!",F2212="NEW"),"",INDEX(B2211:B$2,-1+SUMPRODUCT(MAX(ROW(E2211:E$2)*(E2212=E2211:E$2)))))</f>
        <v> </v>
      </c>
      <c r="J2212" s="26" t="str">
        <f>IF(OR(E2212="",E2212="!!!",F2212="NEW"),"",COUNTBLANK(OFFSET(A$1,,,SUMPRODUCT(MAX(ROW(E$2:E2212)*(E2212=E$2:E2212)))))-COUNTBLANK(OFFSET(A$1,,,SUMPRODUCT(MAX(ROW(E$1:E2211)*(E2=E$1:E2211))))))</f>
        <v> </v>
      </c>
      <c r="K2212" s="26" t="str">
        <f>IF(OR(E2212="",E2212="!!!",F2212="NEW"),"",INDEX(J$1:J2211,SUMPRODUCT(MAX(ROW(E$1:E2211)*(E2212=E$1:E2211)))))</f>
        <v> </v>
      </c>
      <c r="L2212" s="27"/>
    </row>
    <row r="2213" spans="1:12">
      <c r="A2213" s="20" t="s">
        <v>639</v>
      </c>
      <c r="B2213" s="21" t="s">
        <v>613</v>
      </c>
      <c r="C2213" s="21" t="s">
        <v>602</v>
      </c>
      <c r="D2213" s="21" t="s">
        <v>603</v>
      </c>
      <c r="E2213" s="22">
        <f>IF(D2213="?OLD","!!!","")</f>
        <v/>
      </c>
      <c r="F2213" s="23" t="str">
        <f>IF(OR(E2213="",E2213="!!!"),"",IF(NOT(ISNA(VLOOKUP(E2213,E$1:E2212,1,FALSE()))),"OLD",IF(AND(E2213&lt;&gt;"",E2213&lt;&gt;"!!!"),"NEW","")))</f>
        <v> </v>
      </c>
      <c r="G2213" s="24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5" t="str">
        <f>IF(J2213&lt;&gt;1,"",IF(I2213="SBJ","CB","?"))</f>
        <v> </v>
      </c>
      <c r="I2213" s="26" t="str">
        <f>IF(OR(E2213="",E2213="!!!",F2213="NEW"),"",INDEX(B2212:B$2,-1+SUMPRODUCT(MAX(ROW(E2212:E$2)*(E2213=E2212:E$2)))))</f>
        <v> </v>
      </c>
      <c r="J2213" s="26" t="str">
        <f>IF(OR(E2213="",E2213="!!!",F2213="NEW"),"",COUNTBLANK(OFFSET(A$1,,,SUMPRODUCT(MAX(ROW(E$2:E2213)*(E2213=E$2:E2213)))))-COUNTBLANK(OFFSET(A$1,,,SUMPRODUCT(MAX(ROW(E$1:E2212)*(E2=E$1:E2212))))))</f>
        <v> </v>
      </c>
      <c r="K2213" s="26" t="str">
        <f>IF(OR(E2213="",E2213="!!!",F2213="NEW"),"",INDEX(J$1:J2212,SUMPRODUCT(MAX(ROW(E$1:E2212)*(E2213=E$1:E2212)))))</f>
        <v> </v>
      </c>
      <c r="L2213" s="27"/>
    </row>
    <row r="2214" spans="1:12">
      <c r="A2214" s="20" t="s">
        <v>633</v>
      </c>
      <c r="E2214" s="22">
        <f>IF(D2214="?OLD","!!!","")</f>
        <v/>
      </c>
      <c r="F2214" s="23" t="str">
        <f>IF(OR(E2214="",E2214="!!!"),"",IF(NOT(ISNA(VLOOKUP(E2214,E$1:E2213,1,FALSE()))),"OLD",IF(AND(E2214&lt;&gt;"",E2214&lt;&gt;"!!!"),"NEW","")))</f>
        <v> </v>
      </c>
      <c r="G2214" s="24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5" t="str">
        <f>IF(J2214&lt;&gt;1,"",IF(I2214="SBJ","CB","?"))</f>
        <v> </v>
      </c>
      <c r="I2214" s="26" t="str">
        <f>IF(OR(E2214="",E2214="!!!",F2214="NEW"),"",INDEX(B2213:B$2,-1+SUMPRODUCT(MAX(ROW(E2213:E$2)*(E2214=E2213:E$2)))))</f>
        <v> </v>
      </c>
      <c r="J2214" s="26" t="str">
        <f>IF(OR(E2214="",E2214="!!!",F2214="NEW"),"",COUNTBLANK(OFFSET(A$1,,,SUMPRODUCT(MAX(ROW(E$2:E2214)*(E2214=E$2:E2214)))))-COUNTBLANK(OFFSET(A$1,,,SUMPRODUCT(MAX(ROW(E$1:E2213)*(E2=E$1:E2213))))))</f>
        <v> </v>
      </c>
      <c r="K2214" s="26" t="str">
        <f>IF(OR(E2214="",E2214="!!!",F2214="NEW"),"",INDEX(J$1:J2213,SUMPRODUCT(MAX(ROW(E$1:E2213)*(E2214=E$1:E2213)))))</f>
        <v> </v>
      </c>
      <c r="L2214" s="27"/>
    </row>
    <row r="2215" spans="1:12">
      <c r="A2215" s="20"/>
    </row>
    <row r="2216" spans="1:12">
      <c r="A2216" s="20" t="s">
        <v>1693</v>
      </c>
    </row>
    <row r="2217" spans="1:12">
      <c r="A2217" s="20" t="s">
        <v>1694</v>
      </c>
      <c r="E2217" s="22">
        <f>IF(D2217="?OLD","!!!","")</f>
        <v/>
      </c>
      <c r="F2217" s="23" t="str">
        <f>IF(OR(E2217="",E2217="!!!"),"",IF(NOT(ISNA(VLOOKUP(E2217,E$1:E2216,1,FALSE()))),"OLD",IF(AND(E2217&lt;&gt;"",E2217&lt;&gt;"!!!"),"NEW","")))</f>
        <v> </v>
      </c>
      <c r="G2217" s="24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5" t="str">
        <f>IF(J2217&lt;&gt;1,"",IF(I2217="SBJ","CB","?"))</f>
        <v> </v>
      </c>
      <c r="I2217" s="26" t="str">
        <f>IF(OR(E2217="",E2217="!!!",F2217="NEW"),"",INDEX(B2216:B$2,-1+SUMPRODUCT(MAX(ROW(E2216:E$2)*(E2217=E2216:E$2)))))</f>
        <v> </v>
      </c>
      <c r="J2217" s="26" t="str">
        <f>IF(OR(E2217="",E2217="!!!",F2217="NEW"),"",COUNTBLANK(OFFSET(A$1,,,SUMPRODUCT(MAX(ROW(E$2:E2217)*(E2217=E$2:E2217)))))-COUNTBLANK(OFFSET(A$1,,,SUMPRODUCT(MAX(ROW(E$1:E2216)*(E2=E$1:E2216))))))</f>
        <v> </v>
      </c>
      <c r="K2217" s="26" t="str">
        <f>IF(OR(E2217="",E2217="!!!",F2217="NEW"),"",INDEX(J$1:J2216,SUMPRODUCT(MAX(ROW(E$1:E2216)*(E2217=E$1:E2216)))))</f>
        <v> </v>
      </c>
      <c r="L2217" s="27"/>
    </row>
    <row r="2218" spans="1:12">
      <c r="A2218" s="20" t="s">
        <v>658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907</v>
      </c>
      <c r="B2219" s="21" t="s">
        <v>601</v>
      </c>
      <c r="C2219" s="21" t="s">
        <v>602</v>
      </c>
      <c r="D2219" s="21" t="s">
        <v>603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 t="s">
        <v>1695</v>
      </c>
      <c r="E2220" s="22">
        <f>IF(D2220="?OLD","!!!","")</f>
        <v/>
      </c>
      <c r="F2220" s="23" t="str">
        <f>IF(OR(E2220="",E2220="!!!"),"",IF(NOT(ISNA(VLOOKUP(E2220,E$1:E2219,1,FALSE()))),"OLD",IF(AND(E2220&lt;&gt;"",E2220&lt;&gt;"!!!"),"NEW","")))</f>
        <v> </v>
      </c>
      <c r="G2220" s="24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5" t="str">
        <f>IF(J2220&lt;&gt;1,"",IF(I2220="SBJ","CB","?"))</f>
        <v> </v>
      </c>
      <c r="I2220" s="26" t="str">
        <f>IF(OR(E2220="",E2220="!!!",F2220="NEW"),"",INDEX(B2219:B$2,-1+SUMPRODUCT(MAX(ROW(E2219:E$2)*(E2220=E2219:E$2)))))</f>
        <v> </v>
      </c>
      <c r="J2220" s="26" t="str">
        <f>IF(OR(E2220="",E2220="!!!",F2220="NEW"),"",COUNTBLANK(OFFSET(A$1,,,SUMPRODUCT(MAX(ROW(E$2:E2220)*(E2220=E$2:E2220)))))-COUNTBLANK(OFFSET(A$1,,,SUMPRODUCT(MAX(ROW(E$1:E2219)*(E2=E$1:E2219))))))</f>
        <v> </v>
      </c>
      <c r="K2220" s="26" t="str">
        <f>IF(OR(E2220="",E2220="!!!",F2220="NEW"),"",INDEX(J$1:J2219,SUMPRODUCT(MAX(ROW(E$1:E2219)*(E2220=E$1:E2219)))))</f>
        <v> </v>
      </c>
      <c r="L2220" s="27"/>
    </row>
    <row r="2221" spans="1:12">
      <c r="A2221" s="20" t="s">
        <v>611</v>
      </c>
      <c r="E2221" s="22">
        <f>IF(D2221="?OLD","!!!","")</f>
        <v/>
      </c>
      <c r="F2221" s="23" t="str">
        <f>IF(OR(E2221="",E2221="!!!"),"",IF(NOT(ISNA(VLOOKUP(E2221,E$1:E2220,1,FALSE()))),"OLD",IF(AND(E2221&lt;&gt;"",E2221&lt;&gt;"!!!"),"NEW","")))</f>
        <v> </v>
      </c>
      <c r="G2221" s="24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5" t="str">
        <f>IF(J2221&lt;&gt;1,"",IF(I2221="SBJ","CB","?"))</f>
        <v> </v>
      </c>
      <c r="I2221" s="26" t="str">
        <f>IF(OR(E2221="",E2221="!!!",F2221="NEW"),"",INDEX(B2220:B$2,-1+SUMPRODUCT(MAX(ROW(E2220:E$2)*(E2221=E2220:E$2)))))</f>
        <v> </v>
      </c>
      <c r="J2221" s="26" t="str">
        <f>IF(OR(E2221="",E2221="!!!",F2221="NEW"),"",COUNTBLANK(OFFSET(A$1,,,SUMPRODUCT(MAX(ROW(E$2:E2221)*(E2221=E$2:E2221)))))-COUNTBLANK(OFFSET(A$1,,,SUMPRODUCT(MAX(ROW(E$1:E2220)*(E2=E$1:E2220))))))</f>
        <v> </v>
      </c>
      <c r="K2221" s="26" t="str">
        <f>IF(OR(E2221="",E2221="!!!",F2221="NEW"),"",INDEX(J$1:J2220,SUMPRODUCT(MAX(ROW(E$1:E2220)*(E2221=E$1:E2220)))))</f>
        <v> </v>
      </c>
      <c r="L2221" s="27"/>
    </row>
    <row r="2222" spans="1:12">
      <c r="A2222" s="20" t="s">
        <v>728</v>
      </c>
      <c r="E2222" s="22">
        <f>IF(D2222="?OLD","!!!","")</f>
        <v/>
      </c>
      <c r="F2222" s="23" t="str">
        <f>IF(OR(E2222="",E2222="!!!"),"",IF(NOT(ISNA(VLOOKUP(E2222,E$1:E2221,1,FALSE()))),"OLD",IF(AND(E2222&lt;&gt;"",E2222&lt;&gt;"!!!"),"NEW","")))</f>
        <v> </v>
      </c>
      <c r="G2222" s="24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5" t="str">
        <f>IF(J2222&lt;&gt;1,"",IF(I2222="SBJ","CB","?"))</f>
        <v> </v>
      </c>
      <c r="I2222" s="26" t="str">
        <f>IF(OR(E2222="",E2222="!!!",F2222="NEW"),"",INDEX(B2221:B$2,-1+SUMPRODUCT(MAX(ROW(E2221:E$2)*(E2222=E2221:E$2)))))</f>
        <v> </v>
      </c>
      <c r="J2222" s="26" t="str">
        <f>IF(OR(E2222="",E2222="!!!",F2222="NEW"),"",COUNTBLANK(OFFSET(A$1,,,SUMPRODUCT(MAX(ROW(E$2:E2222)*(E2222=E$2:E2222)))))-COUNTBLANK(OFFSET(A$1,,,SUMPRODUCT(MAX(ROW(E$1:E2221)*(E2=E$1:E2221))))))</f>
        <v> </v>
      </c>
      <c r="K2222" s="26" t="str">
        <f>IF(OR(E2222="",E2222="!!!",F2222="NEW"),"",INDEX(J$1:J2221,SUMPRODUCT(MAX(ROW(E$1:E2221)*(E2222=E$1:E2221)))))</f>
        <v> </v>
      </c>
      <c r="L2222" s="27"/>
    </row>
    <row r="2223" spans="1:12">
      <c r="A2223" s="20" t="s">
        <v>615</v>
      </c>
      <c r="B2223" s="21" t="s">
        <v>636</v>
      </c>
      <c r="C2223" s="21" t="s">
        <v>602</v>
      </c>
      <c r="D2223" s="21" t="s">
        <v>603</v>
      </c>
      <c r="E2223" s="22">
        <f>IF(D2223="?OLD","!!!","")</f>
        <v/>
      </c>
      <c r="F2223" s="23" t="str">
        <f>IF(OR(E2223="",E2223="!!!"),"",IF(NOT(ISNA(VLOOKUP(E2223,E$1:E2222,1,FALSE()))),"OLD",IF(AND(E2223&lt;&gt;"",E2223&lt;&gt;"!!!"),"NEW","")))</f>
        <v> </v>
      </c>
      <c r="G2223" s="24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5" t="str">
        <f>IF(J2223&lt;&gt;1,"",IF(I2223="SBJ","CB","?"))</f>
        <v> </v>
      </c>
      <c r="I2223" s="26" t="str">
        <f>IF(OR(E2223="",E2223="!!!",F2223="NEW"),"",INDEX(B2222:B$2,-1+SUMPRODUCT(MAX(ROW(E2222:E$2)*(E2223=E2222:E$2)))))</f>
        <v> </v>
      </c>
      <c r="J2223" s="26" t="str">
        <f>IF(OR(E2223="",E2223="!!!",F2223="NEW"),"",COUNTBLANK(OFFSET(A$1,,,SUMPRODUCT(MAX(ROW(E$2:E2223)*(E2223=E$2:E2223)))))-COUNTBLANK(OFFSET(A$1,,,SUMPRODUCT(MAX(ROW(E$1:E2222)*(E2=E$1:E2222))))))</f>
        <v> </v>
      </c>
      <c r="K2223" s="26" t="str">
        <f>IF(OR(E2223="",E2223="!!!",F2223="NEW"),"",INDEX(J$1:J2222,SUMPRODUCT(MAX(ROW(E$1:E2222)*(E2223=E$1:E2222)))))</f>
        <v> </v>
      </c>
      <c r="L2223" s="27"/>
    </row>
    <row r="2224" spans="1:12">
      <c r="A2224" s="20" t="s">
        <v>1696</v>
      </c>
      <c r="E2224" s="22">
        <f>IF(D2224="?OLD","!!!","")</f>
        <v/>
      </c>
      <c r="F2224" s="23" t="str">
        <f>IF(OR(E2224="",E2224="!!!"),"",IF(NOT(ISNA(VLOOKUP(E2224,E$1:E2223,1,FALSE()))),"OLD",IF(AND(E2224&lt;&gt;"",E2224&lt;&gt;"!!!"),"NEW","")))</f>
        <v> </v>
      </c>
      <c r="G2224" s="24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5" t="str">
        <f>IF(J2224&lt;&gt;1,"",IF(I2224="SBJ","CB","?"))</f>
        <v> </v>
      </c>
      <c r="I2224" s="26" t="str">
        <f>IF(OR(E2224="",E2224="!!!",F2224="NEW"),"",INDEX(B2223:B$2,-1+SUMPRODUCT(MAX(ROW(E2223:E$2)*(E2224=E2223:E$2)))))</f>
        <v> </v>
      </c>
      <c r="J2224" s="26" t="str">
        <f>IF(OR(E2224="",E2224="!!!",F2224="NEW"),"",COUNTBLANK(OFFSET(A$1,,,SUMPRODUCT(MAX(ROW(E$2:E2224)*(E2224=E$2:E2224)))))-COUNTBLANK(OFFSET(A$1,,,SUMPRODUCT(MAX(ROW(E$1:E2223)*(E2=E$1:E2223))))))</f>
        <v> </v>
      </c>
      <c r="K2224" s="26" t="str">
        <f>IF(OR(E2224="",E2224="!!!",F2224="NEW"),"",INDEX(J$1:J2223,SUMPRODUCT(MAX(ROW(E$1:E2223)*(E2224=E$1:E2223)))))</f>
        <v> </v>
      </c>
      <c r="L2224" s="27"/>
    </row>
    <row r="2225" spans="1:12">
      <c r="A2225" s="20" t="s">
        <v>1697</v>
      </c>
      <c r="B2225" s="21" t="s">
        <v>801</v>
      </c>
      <c r="E2225" s="22">
        <f>IF(D2225="?OLD","!!!","")</f>
        <v/>
      </c>
      <c r="F2225" s="23" t="str">
        <f>IF(OR(E2225="",E2225="!!!"),"",IF(NOT(ISNA(VLOOKUP(E2225,E$1:E2224,1,FALSE()))),"OLD",IF(AND(E2225&lt;&gt;"",E2225&lt;&gt;"!!!"),"NEW","")))</f>
        <v> </v>
      </c>
      <c r="G2225" s="24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5" t="str">
        <f>IF(J2225&lt;&gt;1,"",IF(I2225="SBJ","CB","?"))</f>
        <v> </v>
      </c>
      <c r="I2225" s="26" t="str">
        <f>IF(OR(E2225="",E2225="!!!",F2225="NEW"),"",INDEX(B2224:B$2,-1+SUMPRODUCT(MAX(ROW(E2224:E$2)*(E2225=E2224:E$2)))))</f>
        <v> </v>
      </c>
      <c r="J2225" s="26" t="str">
        <f>IF(OR(E2225="",E2225="!!!",F2225="NEW"),"",COUNTBLANK(OFFSET(A$1,,,SUMPRODUCT(MAX(ROW(E$2:E2225)*(E2225=E$2:E2225)))))-COUNTBLANK(OFFSET(A$1,,,SUMPRODUCT(MAX(ROW(E$1:E2224)*(E2=E$1:E2224))))))</f>
        <v> </v>
      </c>
      <c r="K2225" s="26" t="str">
        <f>IF(OR(E2225="",E2225="!!!",F2225="NEW"),"",INDEX(J$1:J2224,SUMPRODUCT(MAX(ROW(E$1:E2224)*(E2225=E$1:E2224)))))</f>
        <v> </v>
      </c>
      <c r="L2225" s="27"/>
    </row>
    <row r="2226" spans="1:12">
      <c r="A2226" s="20" t="s">
        <v>638</v>
      </c>
      <c r="E2226" s="22">
        <f>IF(D2226="?OLD","!!!","")</f>
        <v/>
      </c>
      <c r="F2226" s="23" t="str">
        <f>IF(OR(E2226="",E2226="!!!"),"",IF(NOT(ISNA(VLOOKUP(E2226,E$1:E2225,1,FALSE()))),"OLD",IF(AND(E2226&lt;&gt;"",E2226&lt;&gt;"!!!"),"NEW","")))</f>
        <v> </v>
      </c>
      <c r="G2226" s="24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5" t="str">
        <f>IF(J2226&lt;&gt;1,"",IF(I2226="SBJ","CB","?"))</f>
        <v> </v>
      </c>
      <c r="I2226" s="26" t="str">
        <f>IF(OR(E2226="",E2226="!!!",F2226="NEW"),"",INDEX(B2225:B$2,-1+SUMPRODUCT(MAX(ROW(E2225:E$2)*(E2226=E2225:E$2)))))</f>
        <v> </v>
      </c>
      <c r="J2226" s="26" t="str">
        <f>IF(OR(E2226="",E2226="!!!",F2226="NEW"),"",COUNTBLANK(OFFSET(A$1,,,SUMPRODUCT(MAX(ROW(E$2:E2226)*(E2226=E$2:E2226)))))-COUNTBLANK(OFFSET(A$1,,,SUMPRODUCT(MAX(ROW(E$1:E2225)*(E2=E$1:E2225))))))</f>
        <v> </v>
      </c>
      <c r="K2226" s="26" t="str">
        <f>IF(OR(E2226="",E2226="!!!",F2226="NEW"),"",INDEX(J$1:J2225,SUMPRODUCT(MAX(ROW(E$1:E2225)*(E2226=E$1:E2225)))))</f>
        <v> </v>
      </c>
      <c r="L2226" s="27"/>
    </row>
    <row r="2227" spans="1:12">
      <c r="A2227" s="20" t="s">
        <v>1698</v>
      </c>
      <c r="B2227" s="21" t="s">
        <v>620</v>
      </c>
      <c r="C2227" s="21" t="s">
        <v>733</v>
      </c>
      <c r="D2227" s="21" t="s">
        <v>603</v>
      </c>
      <c r="E2227" s="22">
        <f>IF(D2227="?OLD","!!!","")</f>
        <v/>
      </c>
      <c r="F2227" s="23" t="str">
        <f>IF(OR(E2227="",E2227="!!!"),"",IF(NOT(ISNA(VLOOKUP(E2227,E$1:E2226,1,FALSE()))),"OLD",IF(AND(E2227&lt;&gt;"",E2227&lt;&gt;"!!!"),"NEW","")))</f>
        <v> </v>
      </c>
      <c r="G2227" s="24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5" t="str">
        <f>IF(J2227&lt;&gt;1,"",IF(I2227="SBJ","CB","?"))</f>
        <v> </v>
      </c>
      <c r="I2227" s="26" t="str">
        <f>IF(OR(E2227="",E2227="!!!",F2227="NEW"),"",INDEX(B2226:B$2,-1+SUMPRODUCT(MAX(ROW(E2226:E$2)*(E2227=E2226:E$2)))))</f>
        <v> </v>
      </c>
      <c r="J2227" s="26" t="str">
        <f>IF(OR(E2227="",E2227="!!!",F2227="NEW"),"",COUNTBLANK(OFFSET(A$1,,,SUMPRODUCT(MAX(ROW(E$2:E2227)*(E2227=E$2:E2227)))))-COUNTBLANK(OFFSET(A$1,,,SUMPRODUCT(MAX(ROW(E$1:E2226)*(E2=E$1:E2226))))))</f>
        <v> </v>
      </c>
      <c r="K2227" s="26" t="str">
        <f>IF(OR(E2227="",E2227="!!!",F2227="NEW"),"",INDEX(J$1:J2226,SUMPRODUCT(MAX(ROW(E$1:E2226)*(E2227=E$1:E2226)))))</f>
        <v> </v>
      </c>
      <c r="L2227" s="27"/>
    </row>
    <row r="2228" spans="1:12">
      <c r="A2228" s="20" t="s">
        <v>1699</v>
      </c>
      <c r="E2228" s="22">
        <f>IF(D2228="?OLD","!!!","")</f>
        <v/>
      </c>
      <c r="F2228" s="23" t="str">
        <f>IF(OR(E2228="",E2228="!!!"),"",IF(NOT(ISNA(VLOOKUP(E2228,E$1:E2227,1,FALSE()))),"OLD",IF(AND(E2228&lt;&gt;"",E2228&lt;&gt;"!!!"),"NEW","")))</f>
        <v> </v>
      </c>
      <c r="G2228" s="24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5" t="str">
        <f>IF(J2228&lt;&gt;1,"",IF(I2228="SBJ","CB","?"))</f>
        <v> </v>
      </c>
      <c r="I2228" s="26" t="str">
        <f>IF(OR(E2228="",E2228="!!!",F2228="NEW"),"",INDEX(B2227:B$2,-1+SUMPRODUCT(MAX(ROW(E2227:E$2)*(E2228=E2227:E$2)))))</f>
        <v> </v>
      </c>
      <c r="J2228" s="26" t="str">
        <f>IF(OR(E2228="",E2228="!!!",F2228="NEW"),"",COUNTBLANK(OFFSET(A$1,,,SUMPRODUCT(MAX(ROW(E$2:E2228)*(E2228=E$2:E2228)))))-COUNTBLANK(OFFSET(A$1,,,SUMPRODUCT(MAX(ROW(E$1:E2227)*(E2=E$1:E2227))))))</f>
        <v> </v>
      </c>
      <c r="K2228" s="26" t="str">
        <f>IF(OR(E2228="",E2228="!!!",F2228="NEW"),"",INDEX(J$1:J2227,SUMPRODUCT(MAX(ROW(E$1:E2227)*(E2228=E$1:E2227)))))</f>
        <v> </v>
      </c>
      <c r="L2228" s="27"/>
    </row>
    <row r="2229" spans="1:12">
      <c r="A2229" s="20" t="s">
        <v>633</v>
      </c>
      <c r="E2229" s="22">
        <f>IF(D2229="?OLD","!!!","")</f>
        <v/>
      </c>
      <c r="F2229" s="23" t="str">
        <f>IF(OR(E2229="",E2229="!!!"),"",IF(NOT(ISNA(VLOOKUP(E2229,E$1:E2228,1,FALSE()))),"OLD",IF(AND(E2229&lt;&gt;"",E2229&lt;&gt;"!!!"),"NEW","")))</f>
        <v> </v>
      </c>
      <c r="G2229" s="24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5" t="str">
        <f>IF(J2229&lt;&gt;1,"",IF(I2229="SBJ","CB","?"))</f>
        <v> </v>
      </c>
      <c r="I2229" s="26" t="str">
        <f>IF(OR(E2229="",E2229="!!!",F2229="NEW"),"",INDEX(B2228:B$2,-1+SUMPRODUCT(MAX(ROW(E2228:E$2)*(E2229=E2228:E$2)))))</f>
        <v> </v>
      </c>
      <c r="J2229" s="26" t="str">
        <f>IF(OR(E2229="",E2229="!!!",F2229="NEW"),"",COUNTBLANK(OFFSET(A$1,,,SUMPRODUCT(MAX(ROW(E$2:E2229)*(E2229=E$2:E2229)))))-COUNTBLANK(OFFSET(A$1,,,SUMPRODUCT(MAX(ROW(E$1:E2228)*(E2=E$1:E2228))))))</f>
        <v> </v>
      </c>
      <c r="K2229" s="26" t="str">
        <f>IF(OR(E2229="",E2229="!!!",F2229="NEW"),"",INDEX(J$1:J2228,SUMPRODUCT(MAX(ROW(E$1:E2228)*(E2229=E$1:E2228)))))</f>
        <v> </v>
      </c>
      <c r="L2229" s="27"/>
    </row>
    <row r="2230" spans="1:12">
      <c r="A2230" s="20"/>
    </row>
    <row r="2231" spans="1:12">
      <c r="A2231" s="20" t="s">
        <v>1700</v>
      </c>
    </row>
    <row r="2232" spans="1:12">
      <c r="A2232" s="20" t="s">
        <v>1701</v>
      </c>
      <c r="E2232" s="22">
        <f>IF(D2232="?OLD","!!!","")</f>
        <v/>
      </c>
      <c r="F2232" s="23" t="str">
        <f>IF(OR(E2232="",E2232="!!!"),"",IF(NOT(ISNA(VLOOKUP(E2232,E$1:E2231,1,FALSE()))),"OLD",IF(AND(E2232&lt;&gt;"",E2232&lt;&gt;"!!!"),"NEW","")))</f>
        <v> </v>
      </c>
      <c r="G2232" s="24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5" t="str">
        <f>IF(J2232&lt;&gt;1,"",IF(I2232="SBJ","CB","?"))</f>
        <v> </v>
      </c>
      <c r="I2232" s="26" t="str">
        <f>IF(OR(E2232="",E2232="!!!",F2232="NEW"),"",INDEX(B2231:B$2,-1+SUMPRODUCT(MAX(ROW(E2231:E$2)*(E2232=E2231:E$2)))))</f>
        <v> </v>
      </c>
      <c r="J2232" s="26" t="str">
        <f>IF(OR(E2232="",E2232="!!!",F2232="NEW"),"",COUNTBLANK(OFFSET(A$1,,,SUMPRODUCT(MAX(ROW(E$2:E2232)*(E2232=E$2:E2232)))))-COUNTBLANK(OFFSET(A$1,,,SUMPRODUCT(MAX(ROW(E$1:E2231)*(E2=E$1:E2231))))))</f>
        <v> </v>
      </c>
      <c r="K2232" s="26" t="str">
        <f>IF(OR(E2232="",E2232="!!!",F2232="NEW"),"",INDEX(J$1:J2231,SUMPRODUCT(MAX(ROW(E$1:E2231)*(E2232=E$1:E2231)))))</f>
        <v> </v>
      </c>
      <c r="L2232" s="27"/>
    </row>
    <row r="2233" spans="1:12">
      <c r="A2233" s="20" t="s">
        <v>611</v>
      </c>
      <c r="E2233" s="22">
        <f>IF(D2233="?OLD","!!!","")</f>
        <v/>
      </c>
      <c r="F2233" s="23" t="str">
        <f>IF(OR(E2233="",E2233="!!!"),"",IF(NOT(ISNA(VLOOKUP(E2233,E$1:E2232,1,FALSE()))),"OLD",IF(AND(E2233&lt;&gt;"",E2233&lt;&gt;"!!!"),"NEW","")))</f>
        <v> </v>
      </c>
      <c r="G2233" s="24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5" t="str">
        <f>IF(J2233&lt;&gt;1,"",IF(I2233="SBJ","CB","?"))</f>
        <v> </v>
      </c>
      <c r="I2233" s="26" t="str">
        <f>IF(OR(E2233="",E2233="!!!",F2233="NEW"),"",INDEX(B2232:B$2,-1+SUMPRODUCT(MAX(ROW(E2232:E$2)*(E2233=E2232:E$2)))))</f>
        <v> </v>
      </c>
      <c r="J2233" s="26" t="str">
        <f>IF(OR(E2233="",E2233="!!!",F2233="NEW"),"",COUNTBLANK(OFFSET(A$1,,,SUMPRODUCT(MAX(ROW(E$2:E2233)*(E2233=E$2:E2233)))))-COUNTBLANK(OFFSET(A$1,,,SUMPRODUCT(MAX(ROW(E$1:E2232)*(E2=E$1:E2232))))))</f>
        <v> </v>
      </c>
      <c r="K2233" s="26" t="str">
        <f>IF(OR(E2233="",E2233="!!!",F2233="NEW"),"",INDEX(J$1:J2232,SUMPRODUCT(MAX(ROW(E$1:E2232)*(E2233=E$1:E2232)))))</f>
        <v> </v>
      </c>
      <c r="L2233" s="27"/>
    </row>
    <row r="2234" spans="1:12">
      <c r="A2234" s="20" t="s">
        <v>722</v>
      </c>
      <c r="B2234" s="21" t="s">
        <v>601</v>
      </c>
      <c r="C2234" s="21" t="s">
        <v>723</v>
      </c>
      <c r="D2234" s="21" t="s">
        <v>603</v>
      </c>
      <c r="E2234" s="22">
        <f>IF(D2234="?OLD","!!!","")</f>
        <v/>
      </c>
      <c r="F2234" s="23" t="str">
        <f>IF(OR(E2234="",E2234="!!!"),"",IF(NOT(ISNA(VLOOKUP(E2234,E$1:E2233,1,FALSE()))),"OLD",IF(AND(E2234&lt;&gt;"",E2234&lt;&gt;"!!!"),"NEW","")))</f>
        <v> </v>
      </c>
      <c r="G2234" s="24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5" t="str">
        <f>IF(J2234&lt;&gt;1,"",IF(I2234="SBJ","CB","?"))</f>
        <v> </v>
      </c>
      <c r="I2234" s="26" t="str">
        <f>IF(OR(E2234="",E2234="!!!",F2234="NEW"),"",INDEX(B2233:B$2,-1+SUMPRODUCT(MAX(ROW(E2233:E$2)*(E2234=E2233:E$2)))))</f>
        <v> </v>
      </c>
      <c r="J2234" s="26" t="str">
        <f>IF(OR(E2234="",E2234="!!!",F2234="NEW"),"",COUNTBLANK(OFFSET(A$1,,,SUMPRODUCT(MAX(ROW(E$2:E2234)*(E2234=E$2:E2234)))))-COUNTBLANK(OFFSET(A$1,,,SUMPRODUCT(MAX(ROW(E$1:E2233)*(E2=E$1:E2233))))))</f>
        <v> </v>
      </c>
      <c r="K2234" s="26" t="str">
        <f>IF(OR(E2234="",E2234="!!!",F2234="NEW"),"",INDEX(J$1:J2233,SUMPRODUCT(MAX(ROW(E$1:E2233)*(E2234=E$1:E2233)))))</f>
        <v> </v>
      </c>
      <c r="L2234" s="27"/>
    </row>
    <row r="2235" spans="1:12">
      <c r="A2235" s="20" t="s">
        <v>419</v>
      </c>
      <c r="B2235" s="21" t="s">
        <v>640</v>
      </c>
      <c r="C2235" s="21" t="s">
        <v>602</v>
      </c>
      <c r="D2235" s="21" t="s">
        <v>603</v>
      </c>
      <c r="E2235" s="22">
        <f>IF(D2235="?OLD","!!!","")</f>
        <v/>
      </c>
      <c r="F2235" s="23" t="str">
        <f>IF(OR(E2235="",E2235="!!!"),"",IF(NOT(ISNA(VLOOKUP(E2235,E$1:E2234,1,FALSE()))),"OLD",IF(AND(E2235&lt;&gt;"",E2235&lt;&gt;"!!!"),"NEW","")))</f>
        <v> </v>
      </c>
      <c r="G2235" s="24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5" t="str">
        <f>IF(J2235&lt;&gt;1,"",IF(I2235="SBJ","CB","?"))</f>
        <v> </v>
      </c>
      <c r="I2235" s="26" t="str">
        <f>IF(OR(E2235="",E2235="!!!",F2235="NEW"),"",INDEX(B2234:B$2,-1+SUMPRODUCT(MAX(ROW(E2234:E$2)*(E2235=E2234:E$2)))))</f>
        <v> </v>
      </c>
      <c r="J2235" s="26" t="str">
        <f>IF(OR(E2235="",E2235="!!!",F2235="NEW"),"",COUNTBLANK(OFFSET(A$1,,,SUMPRODUCT(MAX(ROW(E$2:E2235)*(E2235=E$2:E2235)))))-COUNTBLANK(OFFSET(A$1,,,SUMPRODUCT(MAX(ROW(E$1:E2234)*(E2=E$1:E2234))))))</f>
        <v> </v>
      </c>
      <c r="K2235" s="26" t="str">
        <f>IF(OR(E2235="",E2235="!!!",F2235="NEW"),"",INDEX(J$1:J2234,SUMPRODUCT(MAX(ROW(E$1:E2234)*(E2235=E$1:E2234)))))</f>
        <v> </v>
      </c>
      <c r="L2235" s="27"/>
    </row>
    <row r="2236" spans="1:12">
      <c r="A2236" s="20" t="s">
        <v>1028</v>
      </c>
      <c r="E2236" s="22">
        <f>IF(D2236="?OLD","!!!","")</f>
        <v/>
      </c>
      <c r="F2236" s="23" t="str">
        <f>IF(OR(E2236="",E2236="!!!"),"",IF(NOT(ISNA(VLOOKUP(E2236,E$1:E2235,1,FALSE()))),"OLD",IF(AND(E2236&lt;&gt;"",E2236&lt;&gt;"!!!"),"NEW","")))</f>
        <v> </v>
      </c>
      <c r="G2236" s="24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5" t="str">
        <f>IF(J2236&lt;&gt;1,"",IF(I2236="SBJ","CB","?"))</f>
        <v> </v>
      </c>
      <c r="I2236" s="26" t="str">
        <f>IF(OR(E2236="",E2236="!!!",F2236="NEW"),"",INDEX(B2235:B$2,-1+SUMPRODUCT(MAX(ROW(E2235:E$2)*(E2236=E2235:E$2)))))</f>
        <v> </v>
      </c>
      <c r="J2236" s="26" t="str">
        <f>IF(OR(E2236="",E2236="!!!",F2236="NEW"),"",COUNTBLANK(OFFSET(A$1,,,SUMPRODUCT(MAX(ROW(E$2:E2236)*(E2236=E$2:E2236)))))-COUNTBLANK(OFFSET(A$1,,,SUMPRODUCT(MAX(ROW(E$1:E2235)*(E2=E$1:E2235))))))</f>
        <v> </v>
      </c>
      <c r="K2236" s="26" t="str">
        <f>IF(OR(E2236="",E2236="!!!",F2236="NEW"),"",INDEX(J$1:J2235,SUMPRODUCT(MAX(ROW(E$1:E2235)*(E2236=E$1:E2235)))))</f>
        <v> </v>
      </c>
      <c r="L2236" s="27"/>
    </row>
    <row r="2237" spans="1:12">
      <c r="A2237" s="20"/>
    </row>
    <row r="2238" spans="1:12">
      <c r="A2238" s="20" t="s">
        <v>1702</v>
      </c>
    </row>
    <row r="2239" spans="1:12">
      <c r="A2239" s="20" t="s">
        <v>817</v>
      </c>
      <c r="E2239" s="22">
        <f>IF(D2239="?OLD","!!!","")</f>
        <v/>
      </c>
      <c r="F2239" s="23" t="str">
        <f>IF(OR(E2239="",E2239="!!!"),"",IF(NOT(ISNA(VLOOKUP(E2239,E$1:E2238,1,FALSE()))),"OLD",IF(AND(E2239&lt;&gt;"",E2239&lt;&gt;"!!!"),"NEW","")))</f>
        <v> </v>
      </c>
      <c r="G2239" s="24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5" t="str">
        <f>IF(J2239&lt;&gt;1,"",IF(I2239="SBJ","CB","?"))</f>
        <v> </v>
      </c>
      <c r="I2239" s="26" t="str">
        <f>IF(OR(E2239="",E2239="!!!",F2239="NEW"),"",INDEX(B2238:B$2,-1+SUMPRODUCT(MAX(ROW(E2238:E$2)*(E2239=E2238:E$2)))))</f>
        <v> </v>
      </c>
      <c r="J2239" s="26" t="str">
        <f>IF(OR(E2239="",E2239="!!!",F2239="NEW"),"",COUNTBLANK(OFFSET(A$1,,,SUMPRODUCT(MAX(ROW(E$2:E2239)*(E2239=E$2:E2239)))))-COUNTBLANK(OFFSET(A$1,,,SUMPRODUCT(MAX(ROW(E$1:E2238)*(E2=E$1:E2238))))))</f>
        <v> </v>
      </c>
      <c r="K2239" s="26" t="str">
        <f>IF(OR(E2239="",E2239="!!!",F2239="NEW"),"",INDEX(J$1:J2238,SUMPRODUCT(MAX(ROW(E$1:E2238)*(E2239=E$1:E2238)))))</f>
        <v> </v>
      </c>
      <c r="L2239" s="27"/>
    </row>
    <row r="2240" spans="1:12">
      <c r="A2240" s="20" t="s">
        <v>1703</v>
      </c>
      <c r="E2240" s="22">
        <f>IF(D2240="?OLD","!!!","")</f>
        <v/>
      </c>
      <c r="F2240" s="23" t="str">
        <f>IF(OR(E2240="",E2240="!!!"),"",IF(NOT(ISNA(VLOOKUP(E2240,E$1:E2239,1,FALSE()))),"OLD",IF(AND(E2240&lt;&gt;"",E2240&lt;&gt;"!!!"),"NEW","")))</f>
        <v> </v>
      </c>
      <c r="G2240" s="24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5" t="str">
        <f>IF(J2240&lt;&gt;1,"",IF(I2240="SBJ","CB","?"))</f>
        <v> </v>
      </c>
      <c r="I2240" s="26" t="str">
        <f>IF(OR(E2240="",E2240="!!!",F2240="NEW"),"",INDEX(B2239:B$2,-1+SUMPRODUCT(MAX(ROW(E2239:E$2)*(E2240=E2239:E$2)))))</f>
        <v> </v>
      </c>
      <c r="J2240" s="26" t="str">
        <f>IF(OR(E2240="",E2240="!!!",F2240="NEW"),"",COUNTBLANK(OFFSET(A$1,,,SUMPRODUCT(MAX(ROW(E$2:E2240)*(E2240=E$2:E2240)))))-COUNTBLANK(OFFSET(A$1,,,SUMPRODUCT(MAX(ROW(E$1:E2239)*(E2=E$1:E2239))))))</f>
        <v> </v>
      </c>
      <c r="K2240" s="26" t="str">
        <f>IF(OR(E2240="",E2240="!!!",F2240="NEW"),"",INDEX(J$1:J2239,SUMPRODUCT(MAX(ROW(E$1:E2239)*(E2240=E$1:E2239)))))</f>
        <v> </v>
      </c>
      <c r="L2240" s="27"/>
    </row>
    <row r="2241" spans="1:12">
      <c r="A2241" s="20" t="s">
        <v>611</v>
      </c>
      <c r="E2241" s="22">
        <f>IF(D2241="?OLD","!!!","")</f>
        <v/>
      </c>
      <c r="F2241" s="23" t="str">
        <f>IF(OR(E2241="",E2241="!!!"),"",IF(NOT(ISNA(VLOOKUP(E2241,E$1:E2240,1,FALSE()))),"OLD",IF(AND(E2241&lt;&gt;"",E2241&lt;&gt;"!!!"),"NEW","")))</f>
        <v> </v>
      </c>
      <c r="G2241" s="24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5" t="str">
        <f>IF(J2241&lt;&gt;1,"",IF(I2241="SBJ","CB","?"))</f>
        <v> </v>
      </c>
      <c r="I2241" s="26" t="str">
        <f>IF(OR(E2241="",E2241="!!!",F2241="NEW"),"",INDEX(B2240:B$2,-1+SUMPRODUCT(MAX(ROW(E2240:E$2)*(E2241=E2240:E$2)))))</f>
        <v> </v>
      </c>
      <c r="J2241" s="26" t="str">
        <f>IF(OR(E2241="",E2241="!!!",F2241="NEW"),"",COUNTBLANK(OFFSET(A$1,,,SUMPRODUCT(MAX(ROW(E$2:E2241)*(E2241=E$2:E2241)))))-COUNTBLANK(OFFSET(A$1,,,SUMPRODUCT(MAX(ROW(E$1:E2240)*(E2=E$1:E2240))))))</f>
        <v> </v>
      </c>
      <c r="K2241" s="26" t="str">
        <f>IF(OR(E2241="",E2241="!!!",F2241="NEW"),"",INDEX(J$1:J2240,SUMPRODUCT(MAX(ROW(E$1:E2240)*(E2241=E$1:E2240)))))</f>
        <v> </v>
      </c>
      <c r="L2241" s="27"/>
    </row>
    <row r="2242" spans="1:12">
      <c r="A2242" s="20" t="s">
        <v>1011</v>
      </c>
      <c r="E2242" s="22">
        <f>IF(D2242="?OLD","!!!","")</f>
        <v/>
      </c>
      <c r="F2242" s="23" t="str">
        <f>IF(OR(E2242="",E2242="!!!"),"",IF(NOT(ISNA(VLOOKUP(E2242,E$1:E2241,1,FALSE()))),"OLD",IF(AND(E2242&lt;&gt;"",E2242&lt;&gt;"!!!"),"NEW","")))</f>
        <v> </v>
      </c>
      <c r="G2242" s="24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5" t="str">
        <f>IF(J2242&lt;&gt;1,"",IF(I2242="SBJ","CB","?"))</f>
        <v> </v>
      </c>
      <c r="I2242" s="26" t="str">
        <f>IF(OR(E2242="",E2242="!!!",F2242="NEW"),"",INDEX(B2241:B$2,-1+SUMPRODUCT(MAX(ROW(E2241:E$2)*(E2242=E2241:E$2)))))</f>
        <v> </v>
      </c>
      <c r="J2242" s="26" t="str">
        <f>IF(OR(E2242="",E2242="!!!",F2242="NEW"),"",COUNTBLANK(OFFSET(A$1,,,SUMPRODUCT(MAX(ROW(E$2:E2242)*(E2242=E$2:E2242)))))-COUNTBLANK(OFFSET(A$1,,,SUMPRODUCT(MAX(ROW(E$1:E2241)*(E2=E$1:E2241))))))</f>
        <v> </v>
      </c>
      <c r="K2242" s="26" t="str">
        <f>IF(OR(E2242="",E2242="!!!",F2242="NEW"),"",INDEX(J$1:J2241,SUMPRODUCT(MAX(ROW(E$1:E2241)*(E2242=E$1:E2241)))))</f>
        <v> </v>
      </c>
      <c r="L2242" s="27"/>
    </row>
    <row r="2243" spans="1:12">
      <c r="A2243" s="20" t="s">
        <v>611</v>
      </c>
      <c r="E2243" s="22">
        <f>IF(D2243="?OLD","!!!","")</f>
        <v/>
      </c>
      <c r="F2243" s="23" t="str">
        <f>IF(OR(E2243="",E2243="!!!"),"",IF(NOT(ISNA(VLOOKUP(E2243,E$1:E2242,1,FALSE()))),"OLD",IF(AND(E2243&lt;&gt;"",E2243&lt;&gt;"!!!"),"NEW","")))</f>
        <v> </v>
      </c>
      <c r="G2243" s="24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5" t="str">
        <f>IF(J2243&lt;&gt;1,"",IF(I2243="SBJ","CB","?"))</f>
        <v> </v>
      </c>
      <c r="I2243" s="26" t="str">
        <f>IF(OR(E2243="",E2243="!!!",F2243="NEW"),"",INDEX(B2242:B$2,-1+SUMPRODUCT(MAX(ROW(E2242:E$2)*(E2243=E2242:E$2)))))</f>
        <v> </v>
      </c>
      <c r="J2243" s="26" t="str">
        <f>IF(OR(E2243="",E2243="!!!",F2243="NEW"),"",COUNTBLANK(OFFSET(A$1,,,SUMPRODUCT(MAX(ROW(E$2:E2243)*(E2243=E$2:E2243)))))-COUNTBLANK(OFFSET(A$1,,,SUMPRODUCT(MAX(ROW(E$1:E2242)*(E2=E$1:E2242))))))</f>
        <v> </v>
      </c>
      <c r="K2243" s="26" t="str">
        <f>IF(OR(E2243="",E2243="!!!",F2243="NEW"),"",INDEX(J$1:J2242,SUMPRODUCT(MAX(ROW(E$1:E2242)*(E2243=E$1:E2242)))))</f>
        <v> </v>
      </c>
      <c r="L2243" s="27"/>
    </row>
    <row r="2244" spans="1:12">
      <c r="A2244" s="20" t="s">
        <v>662</v>
      </c>
      <c r="E2244" s="22">
        <f>IF(D2244="?OLD","!!!","")</f>
        <v/>
      </c>
      <c r="F2244" s="23" t="str">
        <f>IF(OR(E2244="",E2244="!!!"),"",IF(NOT(ISNA(VLOOKUP(E2244,E$1:E2243,1,FALSE()))),"OLD",IF(AND(E2244&lt;&gt;"",E2244&lt;&gt;"!!!"),"NEW","")))</f>
        <v> </v>
      </c>
      <c r="G2244" s="24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5" t="str">
        <f>IF(J2244&lt;&gt;1,"",IF(I2244="SBJ","CB","?"))</f>
        <v> </v>
      </c>
      <c r="I2244" s="26" t="str">
        <f>IF(OR(E2244="",E2244="!!!",F2244="NEW"),"",INDEX(B2243:B$2,-1+SUMPRODUCT(MAX(ROW(E2243:E$2)*(E2244=E2243:E$2)))))</f>
        <v> </v>
      </c>
      <c r="J2244" s="26" t="str">
        <f>IF(OR(E2244="",E2244="!!!",F2244="NEW"),"",COUNTBLANK(OFFSET(A$1,,,SUMPRODUCT(MAX(ROW(E$2:E2244)*(E2244=E$2:E2244)))))-COUNTBLANK(OFFSET(A$1,,,SUMPRODUCT(MAX(ROW(E$1:E2243)*(E2=E$1:E2243))))))</f>
        <v> </v>
      </c>
      <c r="K2244" s="26" t="str">
        <f>IF(OR(E2244="",E2244="!!!",F2244="NEW"),"",INDEX(J$1:J2243,SUMPRODUCT(MAX(ROW(E$1:E2243)*(E2244=E$1:E2243)))))</f>
        <v> </v>
      </c>
      <c r="L2244" s="27"/>
    </row>
    <row r="2245" spans="1:12">
      <c r="A2245" s="20" t="s">
        <v>1704</v>
      </c>
      <c r="E2245" s="22">
        <f>IF(D2245="?OLD","!!!","")</f>
        <v/>
      </c>
      <c r="F2245" s="23" t="str">
        <f>IF(OR(E2245="",E2245="!!!"),"",IF(NOT(ISNA(VLOOKUP(E2245,E$1:E2244,1,FALSE()))),"OLD",IF(AND(E2245&lt;&gt;"",E2245&lt;&gt;"!!!"),"NEW","")))</f>
        <v> </v>
      </c>
      <c r="G2245" s="24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5" t="str">
        <f>IF(J2245&lt;&gt;1,"",IF(I2245="SBJ","CB","?"))</f>
        <v> </v>
      </c>
      <c r="I2245" s="26" t="str">
        <f>IF(OR(E2245="",E2245="!!!",F2245="NEW"),"",INDEX(B2244:B$2,-1+SUMPRODUCT(MAX(ROW(E2244:E$2)*(E2245=E2244:E$2)))))</f>
        <v> </v>
      </c>
      <c r="J2245" s="26" t="str">
        <f>IF(OR(E2245="",E2245="!!!",F2245="NEW"),"",COUNTBLANK(OFFSET(A$1,,,SUMPRODUCT(MAX(ROW(E$2:E2245)*(E2245=E$2:E2245)))))-COUNTBLANK(OFFSET(A$1,,,SUMPRODUCT(MAX(ROW(E$1:E2244)*(E2=E$1:E2244))))))</f>
        <v> </v>
      </c>
      <c r="K2245" s="26" t="str">
        <f>IF(OR(E2245="",E2245="!!!",F2245="NEW"),"",INDEX(J$1:J2244,SUMPRODUCT(MAX(ROW(E$1:E2244)*(E2245=E$1:E2244)))))</f>
        <v> </v>
      </c>
      <c r="L2245" s="27"/>
    </row>
    <row r="2246" spans="1:12">
      <c r="A2246" s="20" t="s">
        <v>1705</v>
      </c>
      <c r="E2246" s="22">
        <f>IF(D2246="?OLD","!!!","")</f>
        <v/>
      </c>
      <c r="F2246" s="23" t="str">
        <f>IF(OR(E2246="",E2246="!!!"),"",IF(NOT(ISNA(VLOOKUP(E2246,E$1:E2245,1,FALSE()))),"OLD",IF(AND(E2246&lt;&gt;"",E2246&lt;&gt;"!!!"),"NEW","")))</f>
        <v> </v>
      </c>
      <c r="G2246" s="24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5" t="str">
        <f>IF(J2246&lt;&gt;1,"",IF(I2246="SBJ","CB","?"))</f>
        <v> </v>
      </c>
      <c r="I2246" s="26" t="str">
        <f>IF(OR(E2246="",E2246="!!!",F2246="NEW"),"",INDEX(B2245:B$2,-1+SUMPRODUCT(MAX(ROW(E2245:E$2)*(E2246=E2245:E$2)))))</f>
        <v> </v>
      </c>
      <c r="J2246" s="26" t="str">
        <f>IF(OR(E2246="",E2246="!!!",F2246="NEW"),"",COUNTBLANK(OFFSET(A$1,,,SUMPRODUCT(MAX(ROW(E$2:E2246)*(E2246=E$2:E2246)))))-COUNTBLANK(OFFSET(A$1,,,SUMPRODUCT(MAX(ROW(E$1:E2245)*(E2=E$1:E2245))))))</f>
        <v> </v>
      </c>
      <c r="K2246" s="26" t="str">
        <f>IF(OR(E2246="",E2246="!!!",F2246="NEW"),"",INDEX(J$1:J2245,SUMPRODUCT(MAX(ROW(E$1:E2245)*(E2246=E$1:E2245)))))</f>
        <v> </v>
      </c>
      <c r="L2246" s="27"/>
    </row>
    <row r="2247" spans="1:12">
      <c r="A2247" s="20" t="s">
        <v>1445</v>
      </c>
      <c r="B2247" s="21" t="s">
        <v>652</v>
      </c>
      <c r="E2247" s="22">
        <f>IF(D2247="?OLD","!!!","")</f>
        <v/>
      </c>
      <c r="F2247" s="23" t="str">
        <f>IF(OR(E2247="",E2247="!!!"),"",IF(NOT(ISNA(VLOOKUP(E2247,E$1:E2246,1,FALSE()))),"OLD",IF(AND(E2247&lt;&gt;"",E2247&lt;&gt;"!!!"),"NEW","")))</f>
        <v> </v>
      </c>
      <c r="G2247" s="24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5" t="str">
        <f>IF(J2247&lt;&gt;1,"",IF(I2247="SBJ","CB","?"))</f>
        <v> </v>
      </c>
      <c r="I2247" s="26" t="str">
        <f>IF(OR(E2247="",E2247="!!!",F2247="NEW"),"",INDEX(B2246:B$2,-1+SUMPRODUCT(MAX(ROW(E2246:E$2)*(E2247=E2246:E$2)))))</f>
        <v> </v>
      </c>
      <c r="J2247" s="26" t="str">
        <f>IF(OR(E2247="",E2247="!!!",F2247="NEW"),"",COUNTBLANK(OFFSET(A$1,,,SUMPRODUCT(MAX(ROW(E$2:E2247)*(E2247=E$2:E2247)))))-COUNTBLANK(OFFSET(A$1,,,SUMPRODUCT(MAX(ROW(E$1:E2246)*(E2=E$1:E2246))))))</f>
        <v> </v>
      </c>
      <c r="K2247" s="26" t="str">
        <f>IF(OR(E2247="",E2247="!!!",F2247="NEW"),"",INDEX(J$1:J2246,SUMPRODUCT(MAX(ROW(E$1:E2246)*(E2247=E$1:E2246)))))</f>
        <v> </v>
      </c>
      <c r="L2247" s="27"/>
    </row>
    <row r="2248" spans="1:12">
      <c r="A2248" s="20" t="s">
        <v>672</v>
      </c>
      <c r="E2248" s="22">
        <f>IF(D2248="?OLD","!!!","")</f>
        <v/>
      </c>
      <c r="F2248" s="23" t="str">
        <f>IF(OR(E2248="",E2248="!!!"),"",IF(NOT(ISNA(VLOOKUP(E2248,E$1:E2247,1,FALSE()))),"OLD",IF(AND(E2248&lt;&gt;"",E2248&lt;&gt;"!!!"),"NEW","")))</f>
        <v> </v>
      </c>
      <c r="G2248" s="24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5" t="str">
        <f>IF(J2248&lt;&gt;1,"",IF(I2248="SBJ","CB","?"))</f>
        <v> </v>
      </c>
      <c r="I2248" s="26" t="str">
        <f>IF(OR(E2248="",E2248="!!!",F2248="NEW"),"",INDEX(B2247:B$2,-1+SUMPRODUCT(MAX(ROW(E2247:E$2)*(E2248=E2247:E$2)))))</f>
        <v> </v>
      </c>
      <c r="J2248" s="26" t="str">
        <f>IF(OR(E2248="",E2248="!!!",F2248="NEW"),"",COUNTBLANK(OFFSET(A$1,,,SUMPRODUCT(MAX(ROW(E$2:E2248)*(E2248=E$2:E2248)))))-COUNTBLANK(OFFSET(A$1,,,SUMPRODUCT(MAX(ROW(E$1:E2247)*(E2=E$1:E2247))))))</f>
        <v> </v>
      </c>
      <c r="K2248" s="26" t="str">
        <f>IF(OR(E2248="",E2248="!!!",F2248="NEW"),"",INDEX(J$1:J2247,SUMPRODUCT(MAX(ROW(E$1:E2247)*(E2248=E$1:E2247)))))</f>
        <v> </v>
      </c>
      <c r="L2248" s="27"/>
    </row>
    <row r="2249" spans="1:12">
      <c r="A2249" s="20" t="s">
        <v>722</v>
      </c>
      <c r="B2249" s="21" t="s">
        <v>659</v>
      </c>
      <c r="C2249" s="21" t="s">
        <v>723</v>
      </c>
      <c r="D2249" s="21" t="s">
        <v>603</v>
      </c>
      <c r="E2249" s="22">
        <f>IF(D2249="?OLD","!!!","")</f>
        <v/>
      </c>
      <c r="F2249" s="23" t="str">
        <f>IF(OR(E2249="",E2249="!!!"),"",IF(NOT(ISNA(VLOOKUP(E2249,E$1:E2248,1,FALSE()))),"OLD",IF(AND(E2249&lt;&gt;"",E2249&lt;&gt;"!!!"),"NEW","")))</f>
        <v> </v>
      </c>
      <c r="G2249" s="24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5" t="str">
        <f>IF(J2249&lt;&gt;1,"",IF(I2249="SBJ","CB","?"))</f>
        <v> </v>
      </c>
      <c r="I2249" s="26" t="str">
        <f>IF(OR(E2249="",E2249="!!!",F2249="NEW"),"",INDEX(B2248:B$2,-1+SUMPRODUCT(MAX(ROW(E2248:E$2)*(E2249=E2248:E$2)))))</f>
        <v> </v>
      </c>
      <c r="J2249" s="26" t="str">
        <f>IF(OR(E2249="",E2249="!!!",F2249="NEW"),"",COUNTBLANK(OFFSET(A$1,,,SUMPRODUCT(MAX(ROW(E$2:E2249)*(E2249=E$2:E2249)))))-COUNTBLANK(OFFSET(A$1,,,SUMPRODUCT(MAX(ROW(E$1:E2248)*(E2=E$1:E2248))))))</f>
        <v> </v>
      </c>
      <c r="K2249" s="26" t="str">
        <f>IF(OR(E2249="",E2249="!!!",F2249="NEW"),"",INDEX(J$1:J2248,SUMPRODUCT(MAX(ROW(E$1:E2248)*(E2249=E$1:E2248)))))</f>
        <v> </v>
      </c>
      <c r="L2249" s="27"/>
    </row>
    <row r="2250" spans="1:12">
      <c r="A2250" s="20" t="s">
        <v>772</v>
      </c>
      <c r="E2250" s="22">
        <f>IF(D2250="?OLD","!!!","")</f>
        <v/>
      </c>
      <c r="F2250" s="23" t="str">
        <f>IF(OR(E2250="",E2250="!!!"),"",IF(NOT(ISNA(VLOOKUP(E2250,E$1:E2249,1,FALSE()))),"OLD",IF(AND(E2250&lt;&gt;"",E2250&lt;&gt;"!!!"),"NEW","")))</f>
        <v> </v>
      </c>
      <c r="G2250" s="24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5" t="str">
        <f>IF(J2250&lt;&gt;1,"",IF(I2250="SBJ","CB","?"))</f>
        <v> </v>
      </c>
      <c r="I2250" s="26" t="str">
        <f>IF(OR(E2250="",E2250="!!!",F2250="NEW"),"",INDEX(B2249:B$2,-1+SUMPRODUCT(MAX(ROW(E2249:E$2)*(E2250=E2249:E$2)))))</f>
        <v> </v>
      </c>
      <c r="J2250" s="26" t="str">
        <f>IF(OR(E2250="",E2250="!!!",F2250="NEW"),"",COUNTBLANK(OFFSET(A$1,,,SUMPRODUCT(MAX(ROW(E$2:E2250)*(E2250=E$2:E2250)))))-COUNTBLANK(OFFSET(A$1,,,SUMPRODUCT(MAX(ROW(E$1:E2249)*(E2=E$1:E2249))))))</f>
        <v> </v>
      </c>
      <c r="K2250" s="26" t="str">
        <f>IF(OR(E2250="",E2250="!!!",F2250="NEW"),"",INDEX(J$1:J2249,SUMPRODUCT(MAX(ROW(E$1:E2249)*(E2250=E$1:E2249)))))</f>
        <v> </v>
      </c>
      <c r="L2250" s="27"/>
    </row>
    <row r="2251" spans="1:12">
      <c r="A2251" s="20" t="s">
        <v>1706</v>
      </c>
      <c r="E2251" s="22">
        <f>IF(D2251="?OLD","!!!","")</f>
        <v/>
      </c>
      <c r="F2251" s="23" t="str">
        <f>IF(OR(E2251="",E2251="!!!"),"",IF(NOT(ISNA(VLOOKUP(E2251,E$1:E2250,1,FALSE()))),"OLD",IF(AND(E2251&lt;&gt;"",E2251&lt;&gt;"!!!"),"NEW","")))</f>
        <v> </v>
      </c>
      <c r="G2251" s="24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5" t="str">
        <f>IF(J2251&lt;&gt;1,"",IF(I2251="SBJ","CB","?"))</f>
        <v> </v>
      </c>
      <c r="I2251" s="26" t="str">
        <f>IF(OR(E2251="",E2251="!!!",F2251="NEW"),"",INDEX(B2250:B$2,-1+SUMPRODUCT(MAX(ROW(E2250:E$2)*(E2251=E2250:E$2)))))</f>
        <v> </v>
      </c>
      <c r="J2251" s="26" t="str">
        <f>IF(OR(E2251="",E2251="!!!",F2251="NEW"),"",COUNTBLANK(OFFSET(A$1,,,SUMPRODUCT(MAX(ROW(E$2:E2251)*(E2251=E$2:E2251)))))-COUNTBLANK(OFFSET(A$1,,,SUMPRODUCT(MAX(ROW(E$1:E2250)*(E2=E$1:E2250))))))</f>
        <v> </v>
      </c>
      <c r="K2251" s="26" t="str">
        <f>IF(OR(E2251="",E2251="!!!",F2251="NEW"),"",INDEX(J$1:J2250,SUMPRODUCT(MAX(ROW(E$1:E2250)*(E2251=E$1:E2250)))))</f>
        <v> </v>
      </c>
      <c r="L2251" s="27"/>
    </row>
    <row r="2252" spans="1:12">
      <c r="A2252" s="20" t="s">
        <v>1707</v>
      </c>
      <c r="B2252" s="21" t="s">
        <v>609</v>
      </c>
      <c r="C2252" s="21" t="s">
        <v>716</v>
      </c>
      <c r="D2252" s="21" t="s">
        <v>603</v>
      </c>
      <c r="E2252" s="22">
        <f>IF(D2252="?OLD","!!!","")</f>
        <v/>
      </c>
      <c r="F2252" s="23" t="str">
        <f>IF(OR(E2252="",E2252="!!!"),"",IF(NOT(ISNA(VLOOKUP(E2252,E$1:E2251,1,FALSE()))),"OLD",IF(AND(E2252&lt;&gt;"",E2252&lt;&gt;"!!!"),"NEW","")))</f>
        <v> </v>
      </c>
      <c r="G2252" s="24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5" t="str">
        <f>IF(J2252&lt;&gt;1,"",IF(I2252="SBJ","CB","?"))</f>
        <v> </v>
      </c>
      <c r="I2252" s="26" t="str">
        <f>IF(OR(E2252="",E2252="!!!",F2252="NEW"),"",INDEX(B2251:B$2,-1+SUMPRODUCT(MAX(ROW(E2251:E$2)*(E2252=E2251:E$2)))))</f>
        <v> </v>
      </c>
      <c r="J2252" s="26" t="str">
        <f>IF(OR(E2252="",E2252="!!!",F2252="NEW"),"",COUNTBLANK(OFFSET(A$1,,,SUMPRODUCT(MAX(ROW(E$2:E2252)*(E2252=E$2:E2252)))))-COUNTBLANK(OFFSET(A$1,,,SUMPRODUCT(MAX(ROW(E$1:E2251)*(E2=E$1:E2251))))))</f>
        <v> </v>
      </c>
      <c r="K2252" s="26" t="str">
        <f>IF(OR(E2252="",E2252="!!!",F2252="NEW"),"",INDEX(J$1:J2251,SUMPRODUCT(MAX(ROW(E$1:E2251)*(E2252=E$1:E2251)))))</f>
        <v> </v>
      </c>
      <c r="L2252" s="27"/>
    </row>
    <row r="2253" spans="1:12">
      <c r="A2253" s="20" t="s">
        <v>1708</v>
      </c>
      <c r="B2253" s="21" t="s">
        <v>804</v>
      </c>
      <c r="C2253" s="21" t="s">
        <v>631</v>
      </c>
      <c r="D2253" s="21" t="s">
        <v>603</v>
      </c>
      <c r="E2253" s="22">
        <f>IF(D2253="?OLD","!!!","")</f>
        <v/>
      </c>
      <c r="F2253" s="23" t="str">
        <f>IF(OR(E2253="",E2253="!!!"),"",IF(NOT(ISNA(VLOOKUP(E2253,E$1:E2252,1,FALSE()))),"OLD",IF(AND(E2253&lt;&gt;"",E2253&lt;&gt;"!!!"),"NEW","")))</f>
        <v> </v>
      </c>
      <c r="G2253" s="24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5" t="str">
        <f>IF(J2253&lt;&gt;1,"",IF(I2253="SBJ","CB","?"))</f>
        <v> </v>
      </c>
      <c r="I2253" s="26" t="str">
        <f>IF(OR(E2253="",E2253="!!!",F2253="NEW"),"",INDEX(B2252:B$2,-1+SUMPRODUCT(MAX(ROW(E2252:E$2)*(E2253=E2252:E$2)))))</f>
        <v> </v>
      </c>
      <c r="J2253" s="26" t="str">
        <f>IF(OR(E2253="",E2253="!!!",F2253="NEW"),"",COUNTBLANK(OFFSET(A$1,,,SUMPRODUCT(MAX(ROW(E$2:E2253)*(E2253=E$2:E2253)))))-COUNTBLANK(OFFSET(A$1,,,SUMPRODUCT(MAX(ROW(E$1:E2252)*(E2=E$1:E2252))))))</f>
        <v> </v>
      </c>
      <c r="K2253" s="26" t="str">
        <f>IF(OR(E2253="",E2253="!!!",F2253="NEW"),"",INDEX(J$1:J2252,SUMPRODUCT(MAX(ROW(E$1:E2252)*(E2253=E$1:E2252)))))</f>
        <v> </v>
      </c>
      <c r="L2253" s="27"/>
    </row>
    <row r="2254" spans="1:12">
      <c r="A2254" s="20" t="s">
        <v>611</v>
      </c>
      <c r="E2254" s="22">
        <f>IF(D2254="?OLD","!!!","")</f>
        <v/>
      </c>
      <c r="F2254" s="23" t="str">
        <f>IF(OR(E2254="",E2254="!!!"),"",IF(NOT(ISNA(VLOOKUP(E2254,E$1:E2253,1,FALSE()))),"OLD",IF(AND(E2254&lt;&gt;"",E2254&lt;&gt;"!!!"),"NEW","")))</f>
        <v> </v>
      </c>
      <c r="G2254" s="24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5" t="str">
        <f>IF(J2254&lt;&gt;1,"",IF(I2254="SBJ","CB","?"))</f>
        <v> </v>
      </c>
      <c r="I2254" s="26" t="str">
        <f>IF(OR(E2254="",E2254="!!!",F2254="NEW"),"",INDEX(B2253:B$2,-1+SUMPRODUCT(MAX(ROW(E2253:E$2)*(E2254=E2253:E$2)))))</f>
        <v> </v>
      </c>
      <c r="J2254" s="26" t="str">
        <f>IF(OR(E2254="",E2254="!!!",F2254="NEW"),"",COUNTBLANK(OFFSET(A$1,,,SUMPRODUCT(MAX(ROW(E$2:E2254)*(E2254=E$2:E2254)))))-COUNTBLANK(OFFSET(A$1,,,SUMPRODUCT(MAX(ROW(E$1:E2253)*(E2=E$1:E2253))))))</f>
        <v> </v>
      </c>
      <c r="K2254" s="26" t="str">
        <f>IF(OR(E2254="",E2254="!!!",F2254="NEW"),"",INDEX(J$1:J2253,SUMPRODUCT(MAX(ROW(E$1:E2253)*(E2254=E$1:E2253)))))</f>
        <v> </v>
      </c>
      <c r="L2254" s="27"/>
    </row>
    <row r="2255" spans="1:12">
      <c r="A2255" s="20" t="s">
        <v>1015</v>
      </c>
      <c r="E2255" s="22">
        <f>IF(D2255="?OLD","!!!","")</f>
        <v/>
      </c>
      <c r="F2255" s="23" t="str">
        <f>IF(OR(E2255="",E2255="!!!"),"",IF(NOT(ISNA(VLOOKUP(E2255,E$1:E2254,1,FALSE()))),"OLD",IF(AND(E2255&lt;&gt;"",E2255&lt;&gt;"!!!"),"NEW","")))</f>
        <v> </v>
      </c>
      <c r="G2255" s="24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5" t="str">
        <f>IF(J2255&lt;&gt;1,"",IF(I2255="SBJ","CB","?"))</f>
        <v> </v>
      </c>
      <c r="I2255" s="26" t="str">
        <f>IF(OR(E2255="",E2255="!!!",F2255="NEW"),"",INDEX(B2254:B$2,-1+SUMPRODUCT(MAX(ROW(E2254:E$2)*(E2255=E2254:E$2)))))</f>
        <v> </v>
      </c>
      <c r="J2255" s="26" t="str">
        <f>IF(OR(E2255="",E2255="!!!",F2255="NEW"),"",COUNTBLANK(OFFSET(A$1,,,SUMPRODUCT(MAX(ROW(E$2:E2255)*(E2255=E$2:E2255)))))-COUNTBLANK(OFFSET(A$1,,,SUMPRODUCT(MAX(ROW(E$1:E2254)*(E2=E$1:E2254))))))</f>
        <v> </v>
      </c>
      <c r="K2255" s="26" t="str">
        <f>IF(OR(E2255="",E2255="!!!",F2255="NEW"),"",INDEX(J$1:J2254,SUMPRODUCT(MAX(ROW(E$1:E2254)*(E2255=E$1:E2254)))))</f>
        <v> </v>
      </c>
      <c r="L2255" s="27"/>
    </row>
    <row r="2256" spans="1:12">
      <c r="A2256" s="20" t="s">
        <v>1709</v>
      </c>
      <c r="B2256" s="21" t="s">
        <v>620</v>
      </c>
      <c r="C2256" s="21" t="s">
        <v>614</v>
      </c>
      <c r="E2256" s="22">
        <f>IF(D2256="?OLD","!!!","")</f>
        <v/>
      </c>
      <c r="F2256" s="23" t="str">
        <f>IF(OR(E2256="",E2256="!!!"),"",IF(NOT(ISNA(VLOOKUP(E2256,E$1:E2255,1,FALSE()))),"OLD",IF(AND(E2256&lt;&gt;"",E2256&lt;&gt;"!!!"),"NEW","")))</f>
        <v> </v>
      </c>
      <c r="G2256" s="24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5" t="str">
        <f>IF(J2256&lt;&gt;1,"",IF(I2256="SBJ","CB","?"))</f>
        <v> </v>
      </c>
      <c r="I2256" s="26" t="str">
        <f>IF(OR(E2256="",E2256="!!!",F2256="NEW"),"",INDEX(B2255:B$2,-1+SUMPRODUCT(MAX(ROW(E2255:E$2)*(E2256=E2255:E$2)))))</f>
        <v> </v>
      </c>
      <c r="J2256" s="26" t="str">
        <f>IF(OR(E2256="",E2256="!!!",F2256="NEW"),"",COUNTBLANK(OFFSET(A$1,,,SUMPRODUCT(MAX(ROW(E$2:E2256)*(E2256=E$2:E2256)))))-COUNTBLANK(OFFSET(A$1,,,SUMPRODUCT(MAX(ROW(E$1:E2255)*(E2=E$1:E2255))))))</f>
        <v> </v>
      </c>
      <c r="K2256" s="26" t="str">
        <f>IF(OR(E2256="",E2256="!!!",F2256="NEW"),"",INDEX(J$1:J2255,SUMPRODUCT(MAX(ROW(E$1:E2255)*(E2256=E$1:E2255)))))</f>
        <v> </v>
      </c>
      <c r="L2256" s="27"/>
    </row>
    <row r="2257" spans="1:12">
      <c r="A2257" s="20" t="s">
        <v>615</v>
      </c>
      <c r="B2257" s="21" t="s">
        <v>616</v>
      </c>
      <c r="C2257" s="21" t="s">
        <v>602</v>
      </c>
      <c r="D2257" s="21" t="s">
        <v>603</v>
      </c>
      <c r="E2257" s="22">
        <f>IF(D2257="?OLD","!!!","")</f>
        <v/>
      </c>
      <c r="F2257" s="23" t="str">
        <f>IF(OR(E2257="",E2257="!!!"),"",IF(NOT(ISNA(VLOOKUP(E2257,E$1:E2256,1,FALSE()))),"OLD",IF(AND(E2257&lt;&gt;"",E2257&lt;&gt;"!!!"),"NEW","")))</f>
        <v> </v>
      </c>
      <c r="G2257" s="24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5" t="str">
        <f>IF(J2257&lt;&gt;1,"",IF(I2257="SBJ","CB","?"))</f>
        <v> </v>
      </c>
      <c r="I2257" s="26" t="str">
        <f>IF(OR(E2257="",E2257="!!!",F2257="NEW"),"",INDEX(B2256:B$2,-1+SUMPRODUCT(MAX(ROW(E2256:E$2)*(E2257=E2256:E$2)))))</f>
        <v> </v>
      </c>
      <c r="J2257" s="26" t="str">
        <f>IF(OR(E2257="",E2257="!!!",F2257="NEW"),"",COUNTBLANK(OFFSET(A$1,,,SUMPRODUCT(MAX(ROW(E$2:E2257)*(E2257=E$2:E2257)))))-COUNTBLANK(OFFSET(A$1,,,SUMPRODUCT(MAX(ROW(E$1:E2256)*(E2=E$1:E2256))))))</f>
        <v> </v>
      </c>
      <c r="K2257" s="26" t="str">
        <f>IF(OR(E2257="",E2257="!!!",F2257="NEW"),"",INDEX(J$1:J2256,SUMPRODUCT(MAX(ROW(E$1:E2256)*(E2257=E$1:E2256)))))</f>
        <v> </v>
      </c>
      <c r="L2257" s="27"/>
    </row>
    <row r="2258" spans="1:12">
      <c r="A2258" s="20" t="s">
        <v>1710</v>
      </c>
      <c r="E2258" s="22">
        <f>IF(D2258="?OLD","!!!","")</f>
        <v/>
      </c>
      <c r="F2258" s="23" t="str">
        <f>IF(OR(E2258="",E2258="!!!"),"",IF(NOT(ISNA(VLOOKUP(E2258,E$1:E2257,1,FALSE()))),"OLD",IF(AND(E2258&lt;&gt;"",E2258&lt;&gt;"!!!"),"NEW","")))</f>
        <v> </v>
      </c>
      <c r="G2258" s="24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5" t="str">
        <f>IF(J2258&lt;&gt;1,"",IF(I2258="SBJ","CB","?"))</f>
        <v> </v>
      </c>
      <c r="I2258" s="26" t="str">
        <f>IF(OR(E2258="",E2258="!!!",F2258="NEW"),"",INDEX(B2257:B$2,-1+SUMPRODUCT(MAX(ROW(E2257:E$2)*(E2258=E2257:E$2)))))</f>
        <v> </v>
      </c>
      <c r="J2258" s="26" t="str">
        <f>IF(OR(E2258="",E2258="!!!",F2258="NEW"),"",COUNTBLANK(OFFSET(A$1,,,SUMPRODUCT(MAX(ROW(E$2:E2258)*(E2258=E$2:E2258)))))-COUNTBLANK(OFFSET(A$1,,,SUMPRODUCT(MAX(ROW(E$1:E2257)*(E2=E$1:E2257))))))</f>
        <v> </v>
      </c>
      <c r="K2258" s="26" t="str">
        <f>IF(OR(E2258="",E2258="!!!",F2258="NEW"),"",INDEX(J$1:J2257,SUMPRODUCT(MAX(ROW(E$1:E2257)*(E2258=E$1:E2257)))))</f>
        <v> </v>
      </c>
      <c r="L2258" s="27"/>
    </row>
    <row r="2259" spans="1:12">
      <c r="A2259" s="20" t="s">
        <v>718</v>
      </c>
      <c r="E2259" s="22">
        <f>IF(D2259="?OLD","!!!","")</f>
        <v/>
      </c>
      <c r="F2259" s="23" t="str">
        <f>IF(OR(E2259="",E2259="!!!"),"",IF(NOT(ISNA(VLOOKUP(E2259,E$1:E2258,1,FALSE()))),"OLD",IF(AND(E2259&lt;&gt;"",E2259&lt;&gt;"!!!"),"NEW","")))</f>
        <v> </v>
      </c>
      <c r="G2259" s="24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5" t="str">
        <f>IF(J2259&lt;&gt;1,"",IF(I2259="SBJ","CB","?"))</f>
        <v> </v>
      </c>
      <c r="I2259" s="26" t="str">
        <f>IF(OR(E2259="",E2259="!!!",F2259="NEW"),"",INDEX(B2258:B$2,-1+SUMPRODUCT(MAX(ROW(E2258:E$2)*(E2259=E2258:E$2)))))</f>
        <v> </v>
      </c>
      <c r="J2259" s="26" t="str">
        <f>IF(OR(E2259="",E2259="!!!",F2259="NEW"),"",COUNTBLANK(OFFSET(A$1,,,SUMPRODUCT(MAX(ROW(E$2:E2259)*(E2259=E$2:E2259)))))-COUNTBLANK(OFFSET(A$1,,,SUMPRODUCT(MAX(ROW(E$1:E2258)*(E2=E$1:E2258))))))</f>
        <v> </v>
      </c>
      <c r="K2259" s="26" t="str">
        <f>IF(OR(E2259="",E2259="!!!",F2259="NEW"),"",INDEX(J$1:J2258,SUMPRODUCT(MAX(ROW(E$1:E2258)*(E2259=E$1:E2258)))))</f>
        <v> </v>
      </c>
      <c r="L2259" s="27"/>
    </row>
    <row r="2260" spans="1:12">
      <c r="A2260" s="20" t="s">
        <v>1711</v>
      </c>
      <c r="E2260" s="22">
        <f>IF(D2260="?OLD","!!!","")</f>
        <v/>
      </c>
      <c r="F2260" s="23" t="str">
        <f>IF(OR(E2260="",E2260="!!!"),"",IF(NOT(ISNA(VLOOKUP(E2260,E$1:E2259,1,FALSE()))),"OLD",IF(AND(E2260&lt;&gt;"",E2260&lt;&gt;"!!!"),"NEW","")))</f>
        <v> </v>
      </c>
      <c r="G2260" s="24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5" t="str">
        <f>IF(J2260&lt;&gt;1,"",IF(I2260="SBJ","CB","?"))</f>
        <v> </v>
      </c>
      <c r="I2260" s="26" t="str">
        <f>IF(OR(E2260="",E2260="!!!",F2260="NEW"),"",INDEX(B2259:B$2,-1+SUMPRODUCT(MAX(ROW(E2259:E$2)*(E2260=E2259:E$2)))))</f>
        <v> </v>
      </c>
      <c r="J2260" s="26" t="str">
        <f>IF(OR(E2260="",E2260="!!!",F2260="NEW"),"",COUNTBLANK(OFFSET(A$1,,,SUMPRODUCT(MAX(ROW(E$2:E2260)*(E2260=E$2:E2260)))))-COUNTBLANK(OFFSET(A$1,,,SUMPRODUCT(MAX(ROW(E$1:E2259)*(E2=E$1:E2259))))))</f>
        <v> </v>
      </c>
      <c r="K2260" s="26" t="str">
        <f>IF(OR(E2260="",E2260="!!!",F2260="NEW"),"",INDEX(J$1:J2259,SUMPRODUCT(MAX(ROW(E$1:E2259)*(E2260=E$1:E2259)))))</f>
        <v> </v>
      </c>
      <c r="L2260" s="27"/>
    </row>
    <row r="2261" spans="1:12">
      <c r="A2261" s="20" t="s">
        <v>1251</v>
      </c>
      <c r="B2261" s="21" t="s">
        <v>1349</v>
      </c>
      <c r="C2261" s="21" t="s">
        <v>733</v>
      </c>
      <c r="D2261" s="21" t="s">
        <v>603</v>
      </c>
      <c r="E2261" s="22">
        <f>IF(D2261="?OLD","!!!","")</f>
        <v/>
      </c>
      <c r="F2261" s="23" t="str">
        <f>IF(OR(E2261="",E2261="!!!"),"",IF(NOT(ISNA(VLOOKUP(E2261,E$1:E2260,1,FALSE()))),"OLD",IF(AND(E2261&lt;&gt;"",E2261&lt;&gt;"!!!"),"NEW","")))</f>
        <v> </v>
      </c>
      <c r="G2261" s="24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5" t="str">
        <f>IF(J2261&lt;&gt;1,"",IF(I2261="SBJ","CB","?"))</f>
        <v> </v>
      </c>
      <c r="I2261" s="26" t="str">
        <f>IF(OR(E2261="",E2261="!!!",F2261="NEW"),"",INDEX(B2260:B$2,-1+SUMPRODUCT(MAX(ROW(E2260:E$2)*(E2261=E2260:E$2)))))</f>
        <v> </v>
      </c>
      <c r="J2261" s="26" t="str">
        <f>IF(OR(E2261="",E2261="!!!",F2261="NEW"),"",COUNTBLANK(OFFSET(A$1,,,SUMPRODUCT(MAX(ROW(E$2:E2261)*(E2261=E$2:E2261)))))-COUNTBLANK(OFFSET(A$1,,,SUMPRODUCT(MAX(ROW(E$1:E2260)*(E2=E$1:E2260))))))</f>
        <v> </v>
      </c>
      <c r="K2261" s="26" t="str">
        <f>IF(OR(E2261="",E2261="!!!",F2261="NEW"),"",INDEX(J$1:J2260,SUMPRODUCT(MAX(ROW(E$1:E2260)*(E2261=E$1:E2260)))))</f>
        <v> </v>
      </c>
      <c r="L2261" s="27"/>
    </row>
    <row r="2262" spans="1:12">
      <c r="A2262" s="20" t="s">
        <v>1712</v>
      </c>
      <c r="E2262" s="22">
        <f>IF(D2262="?OLD","!!!","")</f>
        <v/>
      </c>
      <c r="F2262" s="23" t="str">
        <f>IF(OR(E2262="",E2262="!!!"),"",IF(NOT(ISNA(VLOOKUP(E2262,E$1:E2261,1,FALSE()))),"OLD",IF(AND(E2262&lt;&gt;"",E2262&lt;&gt;"!!!"),"NEW","")))</f>
        <v> </v>
      </c>
      <c r="G2262" s="24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5" t="str">
        <f>IF(J2262&lt;&gt;1,"",IF(I2262="SBJ","CB","?"))</f>
        <v> </v>
      </c>
      <c r="I2262" s="26" t="str">
        <f>IF(OR(E2262="",E2262="!!!",F2262="NEW"),"",INDEX(B2261:B$2,-1+SUMPRODUCT(MAX(ROW(E2261:E$2)*(E2262=E2261:E$2)))))</f>
        <v> </v>
      </c>
      <c r="J2262" s="26" t="str">
        <f>IF(OR(E2262="",E2262="!!!",F2262="NEW"),"",COUNTBLANK(OFFSET(A$1,,,SUMPRODUCT(MAX(ROW(E$2:E2262)*(E2262=E$2:E2262)))))-COUNTBLANK(OFFSET(A$1,,,SUMPRODUCT(MAX(ROW(E$1:E2261)*(E2=E$1:E2261))))))</f>
        <v> </v>
      </c>
      <c r="K2262" s="26" t="str">
        <f>IF(OR(E2262="",E2262="!!!",F2262="NEW"),"",INDEX(J$1:J2261,SUMPRODUCT(MAX(ROW(E$1:E2261)*(E2262=E$1:E2261)))))</f>
        <v> </v>
      </c>
      <c r="L2262" s="27"/>
    </row>
    <row r="2263" spans="1:12">
      <c r="A2263" s="20" t="s">
        <v>1015</v>
      </c>
      <c r="E2263" s="22">
        <f>IF(D2263="?OLD","!!!","")</f>
        <v/>
      </c>
      <c r="F2263" s="23" t="str">
        <f>IF(OR(E2263="",E2263="!!!"),"",IF(NOT(ISNA(VLOOKUP(E2263,E$1:E2262,1,FALSE()))),"OLD",IF(AND(E2263&lt;&gt;"",E2263&lt;&gt;"!!!"),"NEW","")))</f>
        <v> </v>
      </c>
      <c r="G2263" s="24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5" t="str">
        <f>IF(J2263&lt;&gt;1,"",IF(I2263="SBJ","CB","?"))</f>
        <v> </v>
      </c>
      <c r="I2263" s="26" t="str">
        <f>IF(OR(E2263="",E2263="!!!",F2263="NEW"),"",INDEX(B2262:B$2,-1+SUMPRODUCT(MAX(ROW(E2262:E$2)*(E2263=E2262:E$2)))))</f>
        <v> </v>
      </c>
      <c r="J2263" s="26" t="str">
        <f>IF(OR(E2263="",E2263="!!!",F2263="NEW"),"",COUNTBLANK(OFFSET(A$1,,,SUMPRODUCT(MAX(ROW(E$2:E2263)*(E2263=E$2:E2263)))))-COUNTBLANK(OFFSET(A$1,,,SUMPRODUCT(MAX(ROW(E$1:E2262)*(E2=E$1:E2262))))))</f>
        <v> </v>
      </c>
      <c r="K2263" s="26" t="str">
        <f>IF(OR(E2263="",E2263="!!!",F2263="NEW"),"",INDEX(J$1:J2262,SUMPRODUCT(MAX(ROW(E$1:E2262)*(E2263=E$1:E2262)))))</f>
        <v> </v>
      </c>
      <c r="L2263" s="27"/>
    </row>
    <row r="2264" spans="1:12">
      <c r="A2264" s="20" t="s">
        <v>864</v>
      </c>
      <c r="E2264" s="22">
        <f>IF(D2264="?OLD","!!!","")</f>
        <v/>
      </c>
      <c r="F2264" s="23" t="str">
        <f>IF(OR(E2264="",E2264="!!!"),"",IF(NOT(ISNA(VLOOKUP(E2264,E$1:E2263,1,FALSE()))),"OLD",IF(AND(E2264&lt;&gt;"",E2264&lt;&gt;"!!!"),"NEW","")))</f>
        <v> </v>
      </c>
      <c r="G2264" s="24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5" t="str">
        <f>IF(J2264&lt;&gt;1,"",IF(I2264="SBJ","CB","?"))</f>
        <v> </v>
      </c>
      <c r="I2264" s="26" t="str">
        <f>IF(OR(E2264="",E2264="!!!",F2264="NEW"),"",INDEX(B2263:B$2,-1+SUMPRODUCT(MAX(ROW(E2263:E$2)*(E2264=E2263:E$2)))))</f>
        <v> </v>
      </c>
      <c r="J2264" s="26" t="str">
        <f>IF(OR(E2264="",E2264="!!!",F2264="NEW"),"",COUNTBLANK(OFFSET(A$1,,,SUMPRODUCT(MAX(ROW(E$2:E2264)*(E2264=E$2:E2264)))))-COUNTBLANK(OFFSET(A$1,,,SUMPRODUCT(MAX(ROW(E$1:E2263)*(E2=E$1:E2263))))))</f>
        <v> </v>
      </c>
      <c r="K2264" s="26" t="str">
        <f>IF(OR(E2264="",E2264="!!!",F2264="NEW"),"",INDEX(J$1:J2263,SUMPRODUCT(MAX(ROW(E$1:E2263)*(E2264=E$1:E2263)))))</f>
        <v> </v>
      </c>
      <c r="L2264" s="27"/>
    </row>
    <row r="2265" spans="1:12">
      <c r="A2265" s="20" t="s">
        <v>1046</v>
      </c>
      <c r="E2265" s="22">
        <f>IF(D2265="?OLD","!!!","")</f>
        <v/>
      </c>
      <c r="F2265" s="23" t="str">
        <f>IF(OR(E2265="",E2265="!!!"),"",IF(NOT(ISNA(VLOOKUP(E2265,E$1:E2264,1,FALSE()))),"OLD",IF(AND(E2265&lt;&gt;"",E2265&lt;&gt;"!!!"),"NEW","")))</f>
        <v> </v>
      </c>
      <c r="G2265" s="24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5" t="str">
        <f>IF(J2265&lt;&gt;1,"",IF(I2265="SBJ","CB","?"))</f>
        <v> </v>
      </c>
      <c r="I2265" s="26" t="str">
        <f>IF(OR(E2265="",E2265="!!!",F2265="NEW"),"",INDEX(B2264:B$2,-1+SUMPRODUCT(MAX(ROW(E2264:E$2)*(E2265=E2264:E$2)))))</f>
        <v> </v>
      </c>
      <c r="J2265" s="26" t="str">
        <f>IF(OR(E2265="",E2265="!!!",F2265="NEW"),"",COUNTBLANK(OFFSET(A$1,,,SUMPRODUCT(MAX(ROW(E$2:E2265)*(E2265=E$2:E2265)))))-COUNTBLANK(OFFSET(A$1,,,SUMPRODUCT(MAX(ROW(E$1:E2264)*(E2=E$1:E2264))))))</f>
        <v> </v>
      </c>
      <c r="K2265" s="26" t="str">
        <f>IF(OR(E2265="",E2265="!!!",F2265="NEW"),"",INDEX(J$1:J2264,SUMPRODUCT(MAX(ROW(E$1:E2264)*(E2265=E$1:E2264)))))</f>
        <v> </v>
      </c>
      <c r="L2265" s="27"/>
    </row>
    <row r="2266" spans="1:12">
      <c r="A2266" s="20" t="s">
        <v>1713</v>
      </c>
      <c r="B2266" s="21" t="s">
        <v>620</v>
      </c>
      <c r="C2266" s="21" t="s">
        <v>716</v>
      </c>
      <c r="D2266" s="21" t="s">
        <v>603</v>
      </c>
      <c r="E2266" s="22">
        <f>IF(D2266="?OLD","!!!","")</f>
        <v/>
      </c>
      <c r="F2266" s="23" t="str">
        <f>IF(OR(E2266="",E2266="!!!"),"",IF(NOT(ISNA(VLOOKUP(E2266,E$1:E2265,1,FALSE()))),"OLD",IF(AND(E2266&lt;&gt;"",E2266&lt;&gt;"!!!"),"NEW","")))</f>
        <v> </v>
      </c>
      <c r="G2266" s="24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5" t="str">
        <f>IF(J2266&lt;&gt;1,"",IF(I2266="SBJ","CB","?"))</f>
        <v> </v>
      </c>
      <c r="I2266" s="26" t="str">
        <f>IF(OR(E2266="",E2266="!!!",F2266="NEW"),"",INDEX(B2265:B$2,-1+SUMPRODUCT(MAX(ROW(E2265:E$2)*(E2266=E2265:E$2)))))</f>
        <v> </v>
      </c>
      <c r="J2266" s="26" t="str">
        <f>IF(OR(E2266="",E2266="!!!",F2266="NEW"),"",COUNTBLANK(OFFSET(A$1,,,SUMPRODUCT(MAX(ROW(E$2:E2266)*(E2266=E$2:E2266)))))-COUNTBLANK(OFFSET(A$1,,,SUMPRODUCT(MAX(ROW(E$1:E2265)*(E2=E$1:E2265))))))</f>
        <v> </v>
      </c>
      <c r="K2266" s="26" t="str">
        <f>IF(OR(E2266="",E2266="!!!",F2266="NEW"),"",INDEX(J$1:J2265,SUMPRODUCT(MAX(ROW(E$1:E2265)*(E2266=E$1:E2265)))))</f>
        <v> </v>
      </c>
      <c r="L2266" s="27"/>
    </row>
    <row r="2267" spans="1:12">
      <c r="A2267" s="20" t="s">
        <v>633</v>
      </c>
      <c r="E2267" s="22">
        <f>IF(D2267="?OLD","!!!","")</f>
        <v/>
      </c>
      <c r="F2267" s="23" t="str">
        <f>IF(OR(E2267="",E2267="!!!"),"",IF(NOT(ISNA(VLOOKUP(E2267,E$1:E2266,1,FALSE()))),"OLD",IF(AND(E2267&lt;&gt;"",E2267&lt;&gt;"!!!"),"NEW","")))</f>
        <v> </v>
      </c>
      <c r="G2267" s="24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5" t="str">
        <f>IF(J2267&lt;&gt;1,"",IF(I2267="SBJ","CB","?"))</f>
        <v> </v>
      </c>
      <c r="I2267" s="26" t="str">
        <f>IF(OR(E2267="",E2267="!!!",F2267="NEW"),"",INDEX(B2266:B$2,-1+SUMPRODUCT(MAX(ROW(E2266:E$2)*(E2267=E2266:E$2)))))</f>
        <v> </v>
      </c>
      <c r="J2267" s="26" t="str">
        <f>IF(OR(E2267="",E2267="!!!",F2267="NEW"),"",COUNTBLANK(OFFSET(A$1,,,SUMPRODUCT(MAX(ROW(E$2:E2267)*(E2267=E$2:E2267)))))-COUNTBLANK(OFFSET(A$1,,,SUMPRODUCT(MAX(ROW(E$1:E2266)*(E2=E$1:E2266))))))</f>
        <v> </v>
      </c>
      <c r="K2267" s="26" t="str">
        <f>IF(OR(E2267="",E2267="!!!",F2267="NEW"),"",INDEX(J$1:J2266,SUMPRODUCT(MAX(ROW(E$1:E2266)*(E2267=E$1:E2266)))))</f>
        <v> </v>
      </c>
      <c r="L2267" s="27"/>
    </row>
    <row r="2268" spans="1:12">
      <c r="A2268" s="20"/>
    </row>
    <row r="2269" spans="1:12">
      <c r="A2269" s="20" t="s">
        <v>1714</v>
      </c>
    </row>
    <row r="2270" spans="1:12">
      <c r="A2270" s="20" t="s">
        <v>1694</v>
      </c>
      <c r="E2270" s="22">
        <f>IF(D2270="?OLD","!!!","")</f>
        <v/>
      </c>
      <c r="F2270" s="23" t="str">
        <f>IF(OR(E2270="",E2270="!!!"),"",IF(NOT(ISNA(VLOOKUP(E2270,E$1:E2269,1,FALSE()))),"OLD",IF(AND(E2270&lt;&gt;"",E2270&lt;&gt;"!!!"),"NEW","")))</f>
        <v> </v>
      </c>
      <c r="G2270" s="24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5" t="str">
        <f>IF(J2270&lt;&gt;1,"",IF(I2270="SBJ","CB","?"))</f>
        <v> </v>
      </c>
      <c r="I2270" s="26" t="str">
        <f>IF(OR(E2270="",E2270="!!!",F2270="NEW"),"",INDEX(B2269:B$2,-1+SUMPRODUCT(MAX(ROW(E2269:E$2)*(E2270=E2269:E$2)))))</f>
        <v> </v>
      </c>
      <c r="J2270" s="26" t="str">
        <f>IF(OR(E2270="",E2270="!!!",F2270="NEW"),"",COUNTBLANK(OFFSET(A$1,,,SUMPRODUCT(MAX(ROW(E$2:E2270)*(E2270=E$2:E2270)))))-COUNTBLANK(OFFSET(A$1,,,SUMPRODUCT(MAX(ROW(E$1:E2269)*(E2=E$1:E2269))))))</f>
        <v> </v>
      </c>
      <c r="K2270" s="26" t="str">
        <f>IF(OR(E2270="",E2270="!!!",F2270="NEW"),"",INDEX(J$1:J2269,SUMPRODUCT(MAX(ROW(E$1:E2269)*(E2270=E$1:E2269)))))</f>
        <v> </v>
      </c>
      <c r="L2270" s="27"/>
    </row>
    <row r="2271" spans="1:12">
      <c r="A2271" s="20" t="s">
        <v>658</v>
      </c>
      <c r="E2271" s="22">
        <f>IF(D2271="?OLD","!!!","")</f>
        <v/>
      </c>
      <c r="F2271" s="23" t="str">
        <f>IF(OR(E2271="",E2271="!!!"),"",IF(NOT(ISNA(VLOOKUP(E2271,E$1:E2270,1,FALSE()))),"OLD",IF(AND(E2271&lt;&gt;"",E2271&lt;&gt;"!!!"),"NEW","")))</f>
        <v> </v>
      </c>
      <c r="G2271" s="24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5" t="str">
        <f>IF(J2271&lt;&gt;1,"",IF(I2271="SBJ","CB","?"))</f>
        <v> </v>
      </c>
      <c r="I2271" s="26" t="str">
        <f>IF(OR(E2271="",E2271="!!!",F2271="NEW"),"",INDEX(B2270:B$2,-1+SUMPRODUCT(MAX(ROW(E2270:E$2)*(E2271=E2270:E$2)))))</f>
        <v> </v>
      </c>
      <c r="J2271" s="26" t="str">
        <f>IF(OR(E2271="",E2271="!!!",F2271="NEW"),"",COUNTBLANK(OFFSET(A$1,,,SUMPRODUCT(MAX(ROW(E$2:E2271)*(E2271=E$2:E2271)))))-COUNTBLANK(OFFSET(A$1,,,SUMPRODUCT(MAX(ROW(E$1:E2270)*(E2=E$1:E2270))))))</f>
        <v> </v>
      </c>
      <c r="K2271" s="26" t="str">
        <f>IF(OR(E2271="",E2271="!!!",F2271="NEW"),"",INDEX(J$1:J2270,SUMPRODUCT(MAX(ROW(E$1:E2270)*(E2271=E$1:E2270)))))</f>
        <v> </v>
      </c>
      <c r="L2271" s="27"/>
    </row>
    <row r="2272" spans="1:12">
      <c r="A2272" s="20" t="s">
        <v>607</v>
      </c>
      <c r="E2272" s="22">
        <f>IF(D2272="?OLD","!!!","")</f>
        <v/>
      </c>
      <c r="F2272" s="23" t="str">
        <f>IF(OR(E2272="",E2272="!!!"),"",IF(NOT(ISNA(VLOOKUP(E2272,E$1:E2271,1,FALSE()))),"OLD",IF(AND(E2272&lt;&gt;"",E2272&lt;&gt;"!!!"),"NEW","")))</f>
        <v> </v>
      </c>
      <c r="G2272" s="24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5" t="str">
        <f>IF(J2272&lt;&gt;1,"",IF(I2272="SBJ","CB","?"))</f>
        <v> </v>
      </c>
      <c r="I2272" s="26" t="str">
        <f>IF(OR(E2272="",E2272="!!!",F2272="NEW"),"",INDEX(B2271:B$2,-1+SUMPRODUCT(MAX(ROW(E2271:E$2)*(E2272=E2271:E$2)))))</f>
        <v> </v>
      </c>
      <c r="J2272" s="26" t="str">
        <f>IF(OR(E2272="",E2272="!!!",F2272="NEW"),"",COUNTBLANK(OFFSET(A$1,,,SUMPRODUCT(MAX(ROW(E$2:E2272)*(E2272=E$2:E2272)))))-COUNTBLANK(OFFSET(A$1,,,SUMPRODUCT(MAX(ROW(E$1:E2271)*(E2=E$1:E2271))))))</f>
        <v> </v>
      </c>
      <c r="K2272" s="26" t="str">
        <f>IF(OR(E2272="",E2272="!!!",F2272="NEW"),"",INDEX(J$1:J2271,SUMPRODUCT(MAX(ROW(E$1:E2271)*(E2272=E$1:E2271)))))</f>
        <v> </v>
      </c>
      <c r="L2272" s="27"/>
    </row>
    <row r="2273" spans="1:12">
      <c r="A2273" s="20" t="s">
        <v>1715</v>
      </c>
      <c r="E2273" s="22">
        <f>IF(D2273="?OLD","!!!","")</f>
        <v/>
      </c>
      <c r="F2273" s="23" t="str">
        <f>IF(OR(E2273="",E2273="!!!"),"",IF(NOT(ISNA(VLOOKUP(E2273,E$1:E2272,1,FALSE()))),"OLD",IF(AND(E2273&lt;&gt;"",E2273&lt;&gt;"!!!"),"NEW","")))</f>
        <v> </v>
      </c>
      <c r="G2273" s="24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5" t="str">
        <f>IF(J2273&lt;&gt;1,"",IF(I2273="SBJ","CB","?"))</f>
        <v> </v>
      </c>
      <c r="I2273" s="26" t="str">
        <f>IF(OR(E2273="",E2273="!!!",F2273="NEW"),"",INDEX(B2272:B$2,-1+SUMPRODUCT(MAX(ROW(E2272:E$2)*(E2273=E2272:E$2)))))</f>
        <v> </v>
      </c>
      <c r="J2273" s="26" t="str">
        <f>IF(OR(E2273="",E2273="!!!",F2273="NEW"),"",COUNTBLANK(OFFSET(A$1,,,SUMPRODUCT(MAX(ROW(E$2:E2273)*(E2273=E$2:E2273)))))-COUNTBLANK(OFFSET(A$1,,,SUMPRODUCT(MAX(ROW(E$1:E2272)*(E2=E$1:E2272))))))</f>
        <v> </v>
      </c>
      <c r="K2273" s="26" t="str">
        <f>IF(OR(E2273="",E2273="!!!",F2273="NEW"),"",INDEX(J$1:J2272,SUMPRODUCT(MAX(ROW(E$1:E2272)*(E2273=E$1:E2272)))))</f>
        <v> </v>
      </c>
      <c r="L2273" s="27"/>
    </row>
    <row r="2274" spans="1:12">
      <c r="A2274" s="20" t="s">
        <v>615</v>
      </c>
      <c r="B2274" s="21" t="s">
        <v>636</v>
      </c>
      <c r="C2274" s="21" t="s">
        <v>602</v>
      </c>
      <c r="D2274" s="21" t="s">
        <v>603</v>
      </c>
      <c r="E2274" s="22">
        <f>IF(D2274="?OLD","!!!","")</f>
        <v/>
      </c>
      <c r="F2274" s="23" t="str">
        <f>IF(OR(E2274="",E2274="!!!"),"",IF(NOT(ISNA(VLOOKUP(E2274,E$1:E2273,1,FALSE()))),"OLD",IF(AND(E2274&lt;&gt;"",E2274&lt;&gt;"!!!"),"NEW","")))</f>
        <v> </v>
      </c>
      <c r="G2274" s="24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5" t="str">
        <f>IF(J2274&lt;&gt;1,"",IF(I2274="SBJ","CB","?"))</f>
        <v> </v>
      </c>
      <c r="I2274" s="26" t="str">
        <f>IF(OR(E2274="",E2274="!!!",F2274="NEW"),"",INDEX(B2273:B$2,-1+SUMPRODUCT(MAX(ROW(E2273:E$2)*(E2274=E2273:E$2)))))</f>
        <v> </v>
      </c>
      <c r="J2274" s="26" t="str">
        <f>IF(OR(E2274="",E2274="!!!",F2274="NEW"),"",COUNTBLANK(OFFSET(A$1,,,SUMPRODUCT(MAX(ROW(E$2:E2274)*(E2274=E$2:E2274)))))-COUNTBLANK(OFFSET(A$1,,,SUMPRODUCT(MAX(ROW(E$1:E2273)*(E2=E$1:E2273))))))</f>
        <v> </v>
      </c>
      <c r="K2274" s="26" t="str">
        <f>IF(OR(E2274="",E2274="!!!",F2274="NEW"),"",INDEX(J$1:J2273,SUMPRODUCT(MAX(ROW(E$1:E2273)*(E2274=E$1:E2273)))))</f>
        <v> </v>
      </c>
      <c r="L2274" s="27"/>
    </row>
    <row r="2275" spans="1:12">
      <c r="A2275" s="20" t="s">
        <v>1716</v>
      </c>
      <c r="E2275" s="22">
        <f>IF(D2275="?OLD","!!!","")</f>
        <v/>
      </c>
      <c r="F2275" s="23" t="str">
        <f>IF(OR(E2275="",E2275="!!!"),"",IF(NOT(ISNA(VLOOKUP(E2275,E$1:E2274,1,FALSE()))),"OLD",IF(AND(E2275&lt;&gt;"",E2275&lt;&gt;"!!!"),"NEW","")))</f>
        <v> </v>
      </c>
      <c r="G2275" s="24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5" t="str">
        <f>IF(J2275&lt;&gt;1,"",IF(I2275="SBJ","CB","?"))</f>
        <v> </v>
      </c>
      <c r="I2275" s="26" t="str">
        <f>IF(OR(E2275="",E2275="!!!",F2275="NEW"),"",INDEX(B2274:B$2,-1+SUMPRODUCT(MAX(ROW(E2274:E$2)*(E2275=E2274:E$2)))))</f>
        <v> </v>
      </c>
      <c r="J2275" s="26" t="str">
        <f>IF(OR(E2275="",E2275="!!!",F2275="NEW"),"",COUNTBLANK(OFFSET(A$1,,,SUMPRODUCT(MAX(ROW(E$2:E2275)*(E2275=E$2:E2275)))))-COUNTBLANK(OFFSET(A$1,,,SUMPRODUCT(MAX(ROW(E$1:E2274)*(E2=E$1:E2274))))))</f>
        <v> </v>
      </c>
      <c r="K2275" s="26" t="str">
        <f>IF(OR(E2275="",E2275="!!!",F2275="NEW"),"",INDEX(J$1:J2274,SUMPRODUCT(MAX(ROW(E$1:E2274)*(E2275=E$1:E2274)))))</f>
        <v> </v>
      </c>
      <c r="L2275" s="27"/>
    </row>
    <row r="2276" spans="1:12">
      <c r="A2276" s="20" t="s">
        <v>677</v>
      </c>
      <c r="E2276" s="22">
        <f>IF(D2276="?OLD","!!!","")</f>
        <v/>
      </c>
      <c r="F2276" s="23" t="str">
        <f>IF(OR(E2276="",E2276="!!!"),"",IF(NOT(ISNA(VLOOKUP(E2276,E$1:E2275,1,FALSE()))),"OLD",IF(AND(E2276&lt;&gt;"",E2276&lt;&gt;"!!!"),"NEW","")))</f>
        <v> </v>
      </c>
      <c r="G2276" s="24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5" t="str">
        <f>IF(J2276&lt;&gt;1,"",IF(I2276="SBJ","CB","?"))</f>
        <v> </v>
      </c>
      <c r="I2276" s="26" t="str">
        <f>IF(OR(E2276="",E2276="!!!",F2276="NEW"),"",INDEX(B2275:B$2,-1+SUMPRODUCT(MAX(ROW(E2275:E$2)*(E2276=E2275:E$2)))))</f>
        <v> </v>
      </c>
      <c r="J2276" s="26" t="str">
        <f>IF(OR(E2276="",E2276="!!!",F2276="NEW"),"",COUNTBLANK(OFFSET(A$1,,,SUMPRODUCT(MAX(ROW(E$2:E2276)*(E2276=E$2:E2276)))))-COUNTBLANK(OFFSET(A$1,,,SUMPRODUCT(MAX(ROW(E$1:E2275)*(E2=E$1:E2275))))))</f>
        <v> </v>
      </c>
      <c r="K2276" s="26" t="str">
        <f>IF(OR(E2276="",E2276="!!!",F2276="NEW"),"",INDEX(J$1:J2275,SUMPRODUCT(MAX(ROW(E$1:E2275)*(E2276=E$1:E2275)))))</f>
        <v> </v>
      </c>
      <c r="L2276" s="27"/>
    </row>
    <row r="2277" spans="1:12">
      <c r="A2277" s="20" t="s">
        <v>1717</v>
      </c>
      <c r="E2277" s="22">
        <f>IF(D2277="?OLD","!!!","")</f>
        <v/>
      </c>
      <c r="F2277" s="23" t="str">
        <f>IF(OR(E2277="",E2277="!!!"),"",IF(NOT(ISNA(VLOOKUP(E2277,E$1:E2276,1,FALSE()))),"OLD",IF(AND(E2277&lt;&gt;"",E2277&lt;&gt;"!!!"),"NEW","")))</f>
        <v> </v>
      </c>
      <c r="G2277" s="24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5" t="str">
        <f>IF(J2277&lt;&gt;1,"",IF(I2277="SBJ","CB","?"))</f>
        <v> </v>
      </c>
      <c r="I2277" s="26" t="str">
        <f>IF(OR(E2277="",E2277="!!!",F2277="NEW"),"",INDEX(B2276:B$2,-1+SUMPRODUCT(MAX(ROW(E2276:E$2)*(E2277=E2276:E$2)))))</f>
        <v> </v>
      </c>
      <c r="J2277" s="26" t="str">
        <f>IF(OR(E2277="",E2277="!!!",F2277="NEW"),"",COUNTBLANK(OFFSET(A$1,,,SUMPRODUCT(MAX(ROW(E$2:E2277)*(E2277=E$2:E2277)))))-COUNTBLANK(OFFSET(A$1,,,SUMPRODUCT(MAX(ROW(E$1:E2276)*(E2=E$1:E2276))))))</f>
        <v> </v>
      </c>
      <c r="K2277" s="26" t="str">
        <f>IF(OR(E2277="",E2277="!!!",F2277="NEW"),"",INDEX(J$1:J2276,SUMPRODUCT(MAX(ROW(E$1:E2276)*(E2277=E$1:E2276)))))</f>
        <v> </v>
      </c>
      <c r="L2277" s="27"/>
    </row>
    <row r="2278" spans="1:12">
      <c r="A2278" s="20" t="s">
        <v>658</v>
      </c>
      <c r="B2278" s="21" t="s">
        <v>613</v>
      </c>
      <c r="C2278" s="21" t="s">
        <v>614</v>
      </c>
      <c r="E2278" s="22">
        <f>IF(D2278="?OLD","!!!","")</f>
        <v/>
      </c>
      <c r="F2278" s="23" t="str">
        <f>IF(OR(E2278="",E2278="!!!"),"",IF(NOT(ISNA(VLOOKUP(E2278,E$1:E2277,1,FALSE()))),"OLD",IF(AND(E2278&lt;&gt;"",E2278&lt;&gt;"!!!"),"NEW","")))</f>
        <v> </v>
      </c>
      <c r="G2278" s="24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5" t="str">
        <f>IF(J2278&lt;&gt;1,"",IF(I2278="SBJ","CB","?"))</f>
        <v> </v>
      </c>
      <c r="I2278" s="26" t="str">
        <f>IF(OR(E2278="",E2278="!!!",F2278="NEW"),"",INDEX(B2277:B$2,-1+SUMPRODUCT(MAX(ROW(E2277:E$2)*(E2278=E2277:E$2)))))</f>
        <v> </v>
      </c>
      <c r="J2278" s="26" t="str">
        <f>IF(OR(E2278="",E2278="!!!",F2278="NEW"),"",COUNTBLANK(OFFSET(A$1,,,SUMPRODUCT(MAX(ROW(E$2:E2278)*(E2278=E$2:E2278)))))-COUNTBLANK(OFFSET(A$1,,,SUMPRODUCT(MAX(ROW(E$1:E2277)*(E2=E$1:E2277))))))</f>
        <v> </v>
      </c>
      <c r="K2278" s="26" t="str">
        <f>IF(OR(E2278="",E2278="!!!",F2278="NEW"),"",INDEX(J$1:J2277,SUMPRODUCT(MAX(ROW(E$1:E2277)*(E2278=E$1:E2277)))))</f>
        <v> </v>
      </c>
      <c r="L2278" s="27"/>
    </row>
    <row r="2279" spans="1:12">
      <c r="A2279" s="20" t="s">
        <v>101</v>
      </c>
      <c r="E2279" s="22">
        <f>IF(D2279="?OLD","!!!","")</f>
        <v/>
      </c>
      <c r="F2279" s="23" t="str">
        <f>IF(OR(E2279="",E2279="!!!"),"",IF(NOT(ISNA(VLOOKUP(E2279,E$1:E2278,1,FALSE()))),"OLD",IF(AND(E2279&lt;&gt;"",E2279&lt;&gt;"!!!"),"NEW","")))</f>
        <v> </v>
      </c>
      <c r="G2279" s="24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5" t="str">
        <f>IF(J2279&lt;&gt;1,"",IF(I2279="SBJ","CB","?"))</f>
        <v> </v>
      </c>
      <c r="I2279" s="26" t="str">
        <f>IF(OR(E2279="",E2279="!!!",F2279="NEW"),"",INDEX(B2278:B$2,-1+SUMPRODUCT(MAX(ROW(E2278:E$2)*(E2279=E2278:E$2)))))</f>
        <v> </v>
      </c>
      <c r="J2279" s="26" t="str">
        <f>IF(OR(E2279="",E2279="!!!",F2279="NEW"),"",COUNTBLANK(OFFSET(A$1,,,SUMPRODUCT(MAX(ROW(E$2:E2279)*(E2279=E$2:E2279)))))-COUNTBLANK(OFFSET(A$1,,,SUMPRODUCT(MAX(ROW(E$1:E2278)*(E2=E$1:E2278))))))</f>
        <v> </v>
      </c>
      <c r="K2279" s="26" t="str">
        <f>IF(OR(E2279="",E2279="!!!",F2279="NEW"),"",INDEX(J$1:J2278,SUMPRODUCT(MAX(ROW(E$1:E2278)*(E2279=E$1:E2278)))))</f>
        <v> </v>
      </c>
      <c r="L2279" s="27"/>
    </row>
    <row r="2280" spans="1:12">
      <c r="A2280" s="20" t="s">
        <v>741</v>
      </c>
      <c r="E2280" s="22">
        <f>IF(D2280="?OLD","!!!","")</f>
        <v/>
      </c>
      <c r="F2280" s="23" t="str">
        <f>IF(OR(E2280="",E2280="!!!"),"",IF(NOT(ISNA(VLOOKUP(E2280,E$1:E2279,1,FALSE()))),"OLD",IF(AND(E2280&lt;&gt;"",E2280&lt;&gt;"!!!"),"NEW","")))</f>
        <v> </v>
      </c>
      <c r="G2280" s="24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5" t="str">
        <f>IF(J2280&lt;&gt;1,"",IF(I2280="SBJ","CB","?"))</f>
        <v> </v>
      </c>
      <c r="I2280" s="26" t="str">
        <f>IF(OR(E2280="",E2280="!!!",F2280="NEW"),"",INDEX(B2279:B$2,-1+SUMPRODUCT(MAX(ROW(E2279:E$2)*(E2280=E2279:E$2)))))</f>
        <v> </v>
      </c>
      <c r="J2280" s="26" t="str">
        <f>IF(OR(E2280="",E2280="!!!",F2280="NEW"),"",COUNTBLANK(OFFSET(A$1,,,SUMPRODUCT(MAX(ROW(E$2:E2280)*(E2280=E$2:E2280)))))-COUNTBLANK(OFFSET(A$1,,,SUMPRODUCT(MAX(ROW(E$1:E2279)*(E2=E$1:E2279))))))</f>
        <v> </v>
      </c>
      <c r="K2280" s="26" t="str">
        <f>IF(OR(E2280="",E2280="!!!",F2280="NEW"),"",INDEX(J$1:J2279,SUMPRODUCT(MAX(ROW(E$1:E2279)*(E2280=E$1:E2279)))))</f>
        <v> </v>
      </c>
      <c r="L2280" s="27"/>
    </row>
    <row r="2281" spans="1:12">
      <c r="A2281" s="20" t="s">
        <v>639</v>
      </c>
      <c r="B2281" s="21" t="s">
        <v>620</v>
      </c>
      <c r="C2281" s="21" t="s">
        <v>602</v>
      </c>
      <c r="D2281" s="21" t="s">
        <v>603</v>
      </c>
      <c r="E2281" s="22">
        <f>IF(D2281="?OLD","!!!","")</f>
        <v/>
      </c>
      <c r="F2281" s="23" t="str">
        <f>IF(OR(E2281="",E2281="!!!"),"",IF(NOT(ISNA(VLOOKUP(E2281,E$1:E2280,1,FALSE()))),"OLD",IF(AND(E2281&lt;&gt;"",E2281&lt;&gt;"!!!"),"NEW","")))</f>
        <v> </v>
      </c>
      <c r="G2281" s="24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5" t="str">
        <f>IF(J2281&lt;&gt;1,"",IF(I2281="SBJ","CB","?"))</f>
        <v> </v>
      </c>
      <c r="I2281" s="26" t="str">
        <f>IF(OR(E2281="",E2281="!!!",F2281="NEW"),"",INDEX(B2280:B$2,-1+SUMPRODUCT(MAX(ROW(E2280:E$2)*(E2281=E2280:E$2)))))</f>
        <v> </v>
      </c>
      <c r="J2281" s="26" t="str">
        <f>IF(OR(E2281="",E2281="!!!",F2281="NEW"),"",COUNTBLANK(OFFSET(A$1,,,SUMPRODUCT(MAX(ROW(E$2:E2281)*(E2281=E$2:E2281)))))-COUNTBLANK(OFFSET(A$1,,,SUMPRODUCT(MAX(ROW(E$1:E2280)*(E2=E$1:E2280))))))</f>
        <v> </v>
      </c>
      <c r="K2281" s="26" t="str">
        <f>IF(OR(E2281="",E2281="!!!",F2281="NEW"),"",INDEX(J$1:J2280,SUMPRODUCT(MAX(ROW(E$1:E2280)*(E2281=E$1:E2280)))))</f>
        <v> </v>
      </c>
      <c r="L2281" s="27"/>
    </row>
    <row r="2282" spans="1:12">
      <c r="A2282" s="20" t="s">
        <v>1718</v>
      </c>
      <c r="E2282" s="22">
        <f>IF(D2282="?OLD","!!!","")</f>
        <v/>
      </c>
      <c r="F2282" s="23" t="str">
        <f>IF(OR(E2282="",E2282="!!!"),"",IF(NOT(ISNA(VLOOKUP(E2282,E$1:E2281,1,FALSE()))),"OLD",IF(AND(E2282&lt;&gt;"",E2282&lt;&gt;"!!!"),"NEW","")))</f>
        <v> </v>
      </c>
      <c r="G2282" s="24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5" t="str">
        <f>IF(J2282&lt;&gt;1,"",IF(I2282="SBJ","CB","?"))</f>
        <v> </v>
      </c>
      <c r="I2282" s="26" t="str">
        <f>IF(OR(E2282="",E2282="!!!",F2282="NEW"),"",INDEX(B2281:B$2,-1+SUMPRODUCT(MAX(ROW(E2281:E$2)*(E2282=E2281:E$2)))))</f>
        <v> </v>
      </c>
      <c r="J2282" s="26" t="str">
        <f>IF(OR(E2282="",E2282="!!!",F2282="NEW"),"",COUNTBLANK(OFFSET(A$1,,,SUMPRODUCT(MAX(ROW(E$2:E2282)*(E2282=E$2:E2282)))))-COUNTBLANK(OFFSET(A$1,,,SUMPRODUCT(MAX(ROW(E$1:E2281)*(E2=E$1:E2281))))))</f>
        <v> </v>
      </c>
      <c r="K2282" s="26" t="str">
        <f>IF(OR(E2282="",E2282="!!!",F2282="NEW"),"",INDEX(J$1:J2281,SUMPRODUCT(MAX(ROW(E$1:E2281)*(E2282=E$1:E2281)))))</f>
        <v> </v>
      </c>
      <c r="L2282" s="27"/>
    </row>
    <row r="2283" spans="1:12">
      <c r="A2283" s="20" t="s">
        <v>912</v>
      </c>
      <c r="E2283" s="22">
        <f>IF(D2283="?OLD","!!!","")</f>
        <v/>
      </c>
      <c r="F2283" s="23" t="str">
        <f>IF(OR(E2283="",E2283="!!!"),"",IF(NOT(ISNA(VLOOKUP(E2283,E$1:E2282,1,FALSE()))),"OLD",IF(AND(E2283&lt;&gt;"",E2283&lt;&gt;"!!!"),"NEW","")))</f>
        <v> </v>
      </c>
      <c r="G2283" s="24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5" t="str">
        <f>IF(J2283&lt;&gt;1,"",IF(I2283="SBJ","CB","?"))</f>
        <v> </v>
      </c>
      <c r="I2283" s="26" t="str">
        <f>IF(OR(E2283="",E2283="!!!",F2283="NEW"),"",INDEX(B2282:B$2,-1+SUMPRODUCT(MAX(ROW(E2282:E$2)*(E2283=E2282:E$2)))))</f>
        <v> </v>
      </c>
      <c r="J2283" s="26" t="str">
        <f>IF(OR(E2283="",E2283="!!!",F2283="NEW"),"",COUNTBLANK(OFFSET(A$1,,,SUMPRODUCT(MAX(ROW(E$2:E2283)*(E2283=E$2:E2283)))))-COUNTBLANK(OFFSET(A$1,,,SUMPRODUCT(MAX(ROW(E$1:E2282)*(E2=E$1:E2282))))))</f>
        <v> </v>
      </c>
      <c r="K2283" s="26" t="str">
        <f>IF(OR(E2283="",E2283="!!!",F2283="NEW"),"",INDEX(J$1:J2282,SUMPRODUCT(MAX(ROW(E$1:E2282)*(E2283=E$1:E2282)))))</f>
        <v> </v>
      </c>
      <c r="L2283" s="27"/>
    </row>
    <row r="2284" spans="1:12">
      <c r="A2284" s="20" t="s">
        <v>677</v>
      </c>
      <c r="E2284" s="22">
        <f>IF(D2284="?OLD","!!!","")</f>
        <v/>
      </c>
      <c r="F2284" s="23" t="str">
        <f>IF(OR(E2284="",E2284="!!!"),"",IF(NOT(ISNA(VLOOKUP(E2284,E$1:E2283,1,FALSE()))),"OLD",IF(AND(E2284&lt;&gt;"",E2284&lt;&gt;"!!!"),"NEW","")))</f>
        <v> </v>
      </c>
      <c r="G2284" s="24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5" t="str">
        <f>IF(J2284&lt;&gt;1,"",IF(I2284="SBJ","CB","?"))</f>
        <v> </v>
      </c>
      <c r="I2284" s="26" t="str">
        <f>IF(OR(E2284="",E2284="!!!",F2284="NEW"),"",INDEX(B2283:B$2,-1+SUMPRODUCT(MAX(ROW(E2283:E$2)*(E2284=E2283:E$2)))))</f>
        <v> </v>
      </c>
      <c r="J2284" s="26" t="str">
        <f>IF(OR(E2284="",E2284="!!!",F2284="NEW"),"",COUNTBLANK(OFFSET(A$1,,,SUMPRODUCT(MAX(ROW(E$2:E2284)*(E2284=E$2:E2284)))))-COUNTBLANK(OFFSET(A$1,,,SUMPRODUCT(MAX(ROW(E$1:E2283)*(E2=E$1:E2283))))))</f>
        <v> </v>
      </c>
      <c r="K2284" s="26" t="str">
        <f>IF(OR(E2284="",E2284="!!!",F2284="NEW"),"",INDEX(J$1:J2283,SUMPRODUCT(MAX(ROW(E$1:E2283)*(E2284=E$1:E2283)))))</f>
        <v> </v>
      </c>
      <c r="L2284" s="27"/>
    </row>
    <row r="2285" spans="1:12">
      <c r="A2285" s="20" t="s">
        <v>883</v>
      </c>
      <c r="E2285" s="22">
        <f>IF(D2285="?OLD","!!!","")</f>
        <v/>
      </c>
      <c r="F2285" s="23" t="str">
        <f>IF(OR(E2285="",E2285="!!!"),"",IF(NOT(ISNA(VLOOKUP(E2285,E$1:E2284,1,FALSE()))),"OLD",IF(AND(E2285&lt;&gt;"",E2285&lt;&gt;"!!!"),"NEW","")))</f>
        <v> </v>
      </c>
      <c r="G2285" s="24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5" t="str">
        <f>IF(J2285&lt;&gt;1,"",IF(I2285="SBJ","CB","?"))</f>
        <v> </v>
      </c>
      <c r="I2285" s="26" t="str">
        <f>IF(OR(E2285="",E2285="!!!",F2285="NEW"),"",INDEX(B2284:B$2,-1+SUMPRODUCT(MAX(ROW(E2284:E$2)*(E2285=E2284:E$2)))))</f>
        <v> </v>
      </c>
      <c r="J2285" s="26" t="str">
        <f>IF(OR(E2285="",E2285="!!!",F2285="NEW"),"",COUNTBLANK(OFFSET(A$1,,,SUMPRODUCT(MAX(ROW(E$2:E2285)*(E2285=E$2:E2285)))))-COUNTBLANK(OFFSET(A$1,,,SUMPRODUCT(MAX(ROW(E$1:E2284)*(E2=E$1:E2284))))))</f>
        <v> </v>
      </c>
      <c r="K2285" s="26" t="str">
        <f>IF(OR(E2285="",E2285="!!!",F2285="NEW"),"",INDEX(J$1:J2284,SUMPRODUCT(MAX(ROW(E$1:E2284)*(E2285=E$1:E2284)))))</f>
        <v> </v>
      </c>
      <c r="L2285" s="27"/>
    </row>
    <row r="2286" spans="1:12">
      <c r="A2286" s="20" t="s">
        <v>1719</v>
      </c>
      <c r="E2286" s="22">
        <f>IF(D2286="?OLD","!!!","")</f>
        <v/>
      </c>
      <c r="F2286" s="23" t="str">
        <f>IF(OR(E2286="",E2286="!!!"),"",IF(NOT(ISNA(VLOOKUP(E2286,E$1:E2285,1,FALSE()))),"OLD",IF(AND(E2286&lt;&gt;"",E2286&lt;&gt;"!!!"),"NEW","")))</f>
        <v> </v>
      </c>
      <c r="G2286" s="24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5" t="str">
        <f>IF(J2286&lt;&gt;1,"",IF(I2286="SBJ","CB","?"))</f>
        <v> </v>
      </c>
      <c r="I2286" s="26" t="str">
        <f>IF(OR(E2286="",E2286="!!!",F2286="NEW"),"",INDEX(B2285:B$2,-1+SUMPRODUCT(MAX(ROW(E2285:E$2)*(E2286=E2285:E$2)))))</f>
        <v> </v>
      </c>
      <c r="J2286" s="26" t="str">
        <f>IF(OR(E2286="",E2286="!!!",F2286="NEW"),"",COUNTBLANK(OFFSET(A$1,,,SUMPRODUCT(MAX(ROW(E$2:E2286)*(E2286=E$2:E2286)))))-COUNTBLANK(OFFSET(A$1,,,SUMPRODUCT(MAX(ROW(E$1:E2285)*(E2=E$1:E2285))))))</f>
        <v> </v>
      </c>
      <c r="K2286" s="26" t="str">
        <f>IF(OR(E2286="",E2286="!!!",F2286="NEW"),"",INDEX(J$1:J2285,SUMPRODUCT(MAX(ROW(E$1:E2285)*(E2286=E$1:E2285)))))</f>
        <v> </v>
      </c>
      <c r="L2286" s="27"/>
    </row>
    <row r="2287" spans="1:12">
      <c r="A2287" s="20" t="s">
        <v>1720</v>
      </c>
      <c r="B2287" s="21" t="s">
        <v>804</v>
      </c>
      <c r="C2287" s="21" t="s">
        <v>621</v>
      </c>
      <c r="E2287" s="22">
        <f>IF(D2287="?OLD","!!!","")</f>
        <v/>
      </c>
      <c r="F2287" s="23" t="str">
        <f>IF(OR(E2287="",E2287="!!!"),"",IF(NOT(ISNA(VLOOKUP(E2287,E$1:E2286,1,FALSE()))),"OLD",IF(AND(E2287&lt;&gt;"",E2287&lt;&gt;"!!!"),"NEW","")))</f>
        <v> </v>
      </c>
      <c r="G2287" s="24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5" t="str">
        <f>IF(J2287&lt;&gt;1,"",IF(I2287="SBJ","CB","?"))</f>
        <v> </v>
      </c>
      <c r="I2287" s="26" t="str">
        <f>IF(OR(E2287="",E2287="!!!",F2287="NEW"),"",INDEX(B2286:B$2,-1+SUMPRODUCT(MAX(ROW(E2286:E$2)*(E2287=E2286:E$2)))))</f>
        <v> </v>
      </c>
      <c r="J2287" s="26" t="str">
        <f>IF(OR(E2287="",E2287="!!!",F2287="NEW"),"",COUNTBLANK(OFFSET(A$1,,,SUMPRODUCT(MAX(ROW(E$2:E2287)*(E2287=E$2:E2287)))))-COUNTBLANK(OFFSET(A$1,,,SUMPRODUCT(MAX(ROW(E$1:E2286)*(E2=E$1:E2286))))))</f>
        <v> </v>
      </c>
      <c r="K2287" s="26" t="str">
        <f>IF(OR(E2287="",E2287="!!!",F2287="NEW"),"",INDEX(J$1:J2286,SUMPRODUCT(MAX(ROW(E$1:E2286)*(E2287=E$1:E2286)))))</f>
        <v> </v>
      </c>
      <c r="L2287" s="27"/>
    </row>
    <row r="2288" spans="1:12">
      <c r="A2288" s="20" t="s">
        <v>611</v>
      </c>
      <c r="E2288" s="22">
        <f>IF(D2288="?OLD","!!!","")</f>
        <v/>
      </c>
      <c r="F2288" s="23" t="str">
        <f>IF(OR(E2288="",E2288="!!!"),"",IF(NOT(ISNA(VLOOKUP(E2288,E$1:E2287,1,FALSE()))),"OLD",IF(AND(E2288&lt;&gt;"",E2288&lt;&gt;"!!!"),"NEW","")))</f>
        <v> </v>
      </c>
      <c r="G2288" s="24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5" t="str">
        <f>IF(J2288&lt;&gt;1,"",IF(I2288="SBJ","CB","?"))</f>
        <v> </v>
      </c>
      <c r="I2288" s="26" t="str">
        <f>IF(OR(E2288="",E2288="!!!",F2288="NEW"),"",INDEX(B2287:B$2,-1+SUMPRODUCT(MAX(ROW(E2287:E$2)*(E2288=E2287:E$2)))))</f>
        <v> </v>
      </c>
      <c r="J2288" s="26" t="str">
        <f>IF(OR(E2288="",E2288="!!!",F2288="NEW"),"",COUNTBLANK(OFFSET(A$1,,,SUMPRODUCT(MAX(ROW(E$2:E2288)*(E2288=E$2:E2288)))))-COUNTBLANK(OFFSET(A$1,,,SUMPRODUCT(MAX(ROW(E$1:E2287)*(E2=E$1:E2287))))))</f>
        <v> </v>
      </c>
      <c r="K2288" s="26" t="str">
        <f>IF(OR(E2288="",E2288="!!!",F2288="NEW"),"",INDEX(J$1:J2287,SUMPRODUCT(MAX(ROW(E$1:E2287)*(E2288=E$1:E2287)))))</f>
        <v> </v>
      </c>
      <c r="L2288" s="27"/>
    </row>
    <row r="2289" spans="1:12">
      <c r="A2289" s="20" t="s">
        <v>936</v>
      </c>
      <c r="E2289" s="22">
        <f>IF(D2289="?OLD","!!!","")</f>
        <v/>
      </c>
      <c r="F2289" s="23" t="str">
        <f>IF(OR(E2289="",E2289="!!!"),"",IF(NOT(ISNA(VLOOKUP(E2289,E$1:E2288,1,FALSE()))),"OLD",IF(AND(E2289&lt;&gt;"",E2289&lt;&gt;"!!!"),"NEW","")))</f>
        <v> </v>
      </c>
      <c r="G2289" s="24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5" t="str">
        <f>IF(J2289&lt;&gt;1,"",IF(I2289="SBJ","CB","?"))</f>
        <v> </v>
      </c>
      <c r="I2289" s="26" t="str">
        <f>IF(OR(E2289="",E2289="!!!",F2289="NEW"),"",INDEX(B2288:B$2,-1+SUMPRODUCT(MAX(ROW(E2288:E$2)*(E2289=E2288:E$2)))))</f>
        <v> </v>
      </c>
      <c r="J2289" s="26" t="str">
        <f>IF(OR(E2289="",E2289="!!!",F2289="NEW"),"",COUNTBLANK(OFFSET(A$1,,,SUMPRODUCT(MAX(ROW(E$2:E2289)*(E2289=E$2:E2289)))))-COUNTBLANK(OFFSET(A$1,,,SUMPRODUCT(MAX(ROW(E$1:E2288)*(E2=E$1:E2288))))))</f>
        <v> </v>
      </c>
      <c r="K2289" s="26" t="str">
        <f>IF(OR(E2289="",E2289="!!!",F2289="NEW"),"",INDEX(J$1:J2288,SUMPRODUCT(MAX(ROW(E$1:E2288)*(E2289=E$1:E2288)))))</f>
        <v> </v>
      </c>
      <c r="L2289" s="27"/>
    </row>
    <row r="2290" spans="1:12">
      <c r="A2290" s="20" t="s">
        <v>611</v>
      </c>
      <c r="E2290" s="22">
        <f>IF(D2290="?OLD","!!!","")</f>
        <v/>
      </c>
      <c r="F2290" s="23" t="str">
        <f>IF(OR(E2290="",E2290="!!!"),"",IF(NOT(ISNA(VLOOKUP(E2290,E$1:E2289,1,FALSE()))),"OLD",IF(AND(E2290&lt;&gt;"",E2290&lt;&gt;"!!!"),"NEW","")))</f>
        <v> </v>
      </c>
      <c r="G2290" s="24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5" t="str">
        <f>IF(J2290&lt;&gt;1,"",IF(I2290="SBJ","CB","?"))</f>
        <v> </v>
      </c>
      <c r="I2290" s="26" t="str">
        <f>IF(OR(E2290="",E2290="!!!",F2290="NEW"),"",INDEX(B2289:B$2,-1+SUMPRODUCT(MAX(ROW(E2289:E$2)*(E2290=E2289:E$2)))))</f>
        <v> </v>
      </c>
      <c r="J2290" s="26" t="str">
        <f>IF(OR(E2290="",E2290="!!!",F2290="NEW"),"",COUNTBLANK(OFFSET(A$1,,,SUMPRODUCT(MAX(ROW(E$2:E2290)*(E2290=E$2:E2290)))))-COUNTBLANK(OFFSET(A$1,,,SUMPRODUCT(MAX(ROW(E$1:E2289)*(E2=E$1:E2289))))))</f>
        <v> </v>
      </c>
      <c r="K2290" s="26" t="str">
        <f>IF(OR(E2290="",E2290="!!!",F2290="NEW"),"",INDEX(J$1:J2289,SUMPRODUCT(MAX(ROW(E$1:E2289)*(E2290=E$1:E2289)))))</f>
        <v> </v>
      </c>
      <c r="L2290" s="27"/>
    </row>
    <row r="2291" spans="1:12">
      <c r="A2291" s="20" t="s">
        <v>1391</v>
      </c>
      <c r="B2291" s="21" t="s">
        <v>879</v>
      </c>
      <c r="C2291" s="21" t="s">
        <v>614</v>
      </c>
      <c r="E2291" s="22">
        <f>IF(D2291="?OLD","!!!","")</f>
        <v/>
      </c>
      <c r="F2291" s="23" t="str">
        <f>IF(OR(E2291="",E2291="!!!"),"",IF(NOT(ISNA(VLOOKUP(E2291,E$1:E2290,1,FALSE()))),"OLD",IF(AND(E2291&lt;&gt;"",E2291&lt;&gt;"!!!"),"NEW","")))</f>
        <v> </v>
      </c>
      <c r="G2291" s="24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5" t="str">
        <f>IF(J2291&lt;&gt;1,"",IF(I2291="SBJ","CB","?"))</f>
        <v> </v>
      </c>
      <c r="I2291" s="26" t="str">
        <f>IF(OR(E2291="",E2291="!!!",F2291="NEW"),"",INDEX(B2290:B$2,-1+SUMPRODUCT(MAX(ROW(E2290:E$2)*(E2291=E2290:E$2)))))</f>
        <v> </v>
      </c>
      <c r="J2291" s="26" t="str">
        <f>IF(OR(E2291="",E2291="!!!",F2291="NEW"),"",COUNTBLANK(OFFSET(A$1,,,SUMPRODUCT(MAX(ROW(E$2:E2291)*(E2291=E$2:E2291)))))-COUNTBLANK(OFFSET(A$1,,,SUMPRODUCT(MAX(ROW(E$1:E2290)*(E2=E$1:E2290))))))</f>
        <v> </v>
      </c>
      <c r="K2291" s="26" t="str">
        <f>IF(OR(E2291="",E2291="!!!",F2291="NEW"),"",INDEX(J$1:J2290,SUMPRODUCT(MAX(ROW(E$1:E2290)*(E2291=E$1:E2290)))))</f>
        <v> </v>
      </c>
      <c r="L2291" s="27"/>
    </row>
    <row r="2292" spans="1:12">
      <c r="A2292" s="20" t="s">
        <v>1721</v>
      </c>
      <c r="E2292" s="22">
        <f>IF(D2292="?OLD","!!!","")</f>
        <v/>
      </c>
      <c r="F2292" s="23" t="str">
        <f>IF(OR(E2292="",E2292="!!!"),"",IF(NOT(ISNA(VLOOKUP(E2292,E$1:E2291,1,FALSE()))),"OLD",IF(AND(E2292&lt;&gt;"",E2292&lt;&gt;"!!!"),"NEW","")))</f>
        <v> </v>
      </c>
      <c r="G2292" s="24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5" t="str">
        <f>IF(J2292&lt;&gt;1,"",IF(I2292="SBJ","CB","?"))</f>
        <v> </v>
      </c>
      <c r="I2292" s="26" t="str">
        <f>IF(OR(E2292="",E2292="!!!",F2292="NEW"),"",INDEX(B2291:B$2,-1+SUMPRODUCT(MAX(ROW(E2291:E$2)*(E2292=E2291:E$2)))))</f>
        <v> </v>
      </c>
      <c r="J2292" s="26" t="str">
        <f>IF(OR(E2292="",E2292="!!!",F2292="NEW"),"",COUNTBLANK(OFFSET(A$1,,,SUMPRODUCT(MAX(ROW(E$2:E2292)*(E2292=E$2:E2292)))))-COUNTBLANK(OFFSET(A$1,,,SUMPRODUCT(MAX(ROW(E$1:E2291)*(E2=E$1:E2291))))))</f>
        <v> </v>
      </c>
      <c r="K2292" s="26" t="str">
        <f>IF(OR(E2292="",E2292="!!!",F2292="NEW"),"",INDEX(J$1:J2291,SUMPRODUCT(MAX(ROW(E$1:E2291)*(E2292=E$1:E2291)))))</f>
        <v> </v>
      </c>
      <c r="L2292" s="27"/>
    </row>
    <row r="2293" spans="1:12">
      <c r="A2293" s="20" t="s">
        <v>1722</v>
      </c>
      <c r="B2293" s="21" t="s">
        <v>749</v>
      </c>
      <c r="C2293" s="21" t="s">
        <v>733</v>
      </c>
      <c r="D2293" s="21" t="s">
        <v>603</v>
      </c>
      <c r="E2293" s="22">
        <f>IF(D2293="?OLD","!!!","")</f>
        <v/>
      </c>
      <c r="F2293" s="23" t="str">
        <f>IF(OR(E2293="",E2293="!!!"),"",IF(NOT(ISNA(VLOOKUP(E2293,E$1:E2292,1,FALSE()))),"OLD",IF(AND(E2293&lt;&gt;"",E2293&lt;&gt;"!!!"),"NEW","")))</f>
        <v> </v>
      </c>
      <c r="G2293" s="24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5" t="str">
        <f>IF(J2293&lt;&gt;1,"",IF(I2293="SBJ","CB","?"))</f>
        <v> </v>
      </c>
      <c r="I2293" s="26" t="str">
        <f>IF(OR(E2293="",E2293="!!!",F2293="NEW"),"",INDEX(B2292:B$2,-1+SUMPRODUCT(MAX(ROW(E2292:E$2)*(E2293=E2292:E$2)))))</f>
        <v> </v>
      </c>
      <c r="J2293" s="26" t="str">
        <f>IF(OR(E2293="",E2293="!!!",F2293="NEW"),"",COUNTBLANK(OFFSET(A$1,,,SUMPRODUCT(MAX(ROW(E$2:E2293)*(E2293=E$2:E2293)))))-COUNTBLANK(OFFSET(A$1,,,SUMPRODUCT(MAX(ROW(E$1:E2292)*(E2=E$1:E2292))))))</f>
        <v> </v>
      </c>
      <c r="K2293" s="26" t="str">
        <f>IF(OR(E2293="",E2293="!!!",F2293="NEW"),"",INDEX(J$1:J2292,SUMPRODUCT(MAX(ROW(E$1:E2292)*(E2293=E$1:E2292)))))</f>
        <v> </v>
      </c>
      <c r="L2293" s="27"/>
    </row>
    <row r="2294" spans="1:12">
      <c r="A2294" s="20" t="s">
        <v>1723</v>
      </c>
      <c r="B2294" s="21" t="s">
        <v>1165</v>
      </c>
      <c r="E2294" s="22">
        <f>IF(D2294="?OLD","!!!","")</f>
        <v/>
      </c>
      <c r="F2294" s="23" t="str">
        <f>IF(OR(E2294="",E2294="!!!"),"",IF(NOT(ISNA(VLOOKUP(E2294,E$1:E2293,1,FALSE()))),"OLD",IF(AND(E2294&lt;&gt;"",E2294&lt;&gt;"!!!"),"NEW","")))</f>
        <v> </v>
      </c>
      <c r="G2294" s="24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5" t="str">
        <f>IF(J2294&lt;&gt;1,"",IF(I2294="SBJ","CB","?"))</f>
        <v> </v>
      </c>
      <c r="I2294" s="26" t="str">
        <f>IF(OR(E2294="",E2294="!!!",F2294="NEW"),"",INDEX(B2293:B$2,-1+SUMPRODUCT(MAX(ROW(E2293:E$2)*(E2294=E2293:E$2)))))</f>
        <v> </v>
      </c>
      <c r="J2294" s="26" t="str">
        <f>IF(OR(E2294="",E2294="!!!",F2294="NEW"),"",COUNTBLANK(OFFSET(A$1,,,SUMPRODUCT(MAX(ROW(E$2:E2294)*(E2294=E$2:E2294)))))-COUNTBLANK(OFFSET(A$1,,,SUMPRODUCT(MAX(ROW(E$1:E2293)*(E2=E$1:E2293))))))</f>
        <v> </v>
      </c>
      <c r="K2294" s="26" t="str">
        <f>IF(OR(E2294="",E2294="!!!",F2294="NEW"),"",INDEX(J$1:J2293,SUMPRODUCT(MAX(ROW(E$1:E2293)*(E2294=E$1:E2293)))))</f>
        <v> </v>
      </c>
      <c r="L2294" s="27"/>
    </row>
    <row r="2295" spans="1:12">
      <c r="A2295" s="20" t="s">
        <v>611</v>
      </c>
      <c r="E2295" s="22">
        <f>IF(D2295="?OLD","!!!","")</f>
        <v/>
      </c>
      <c r="F2295" s="23" t="str">
        <f>IF(OR(E2295="",E2295="!!!"),"",IF(NOT(ISNA(VLOOKUP(E2295,E$1:E2294,1,FALSE()))),"OLD",IF(AND(E2295&lt;&gt;"",E2295&lt;&gt;"!!!"),"NEW","")))</f>
        <v> </v>
      </c>
      <c r="G2295" s="24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5" t="str">
        <f>IF(J2295&lt;&gt;1,"",IF(I2295="SBJ","CB","?"))</f>
        <v> </v>
      </c>
      <c r="I2295" s="26" t="str">
        <f>IF(OR(E2295="",E2295="!!!",F2295="NEW"),"",INDEX(B2294:B$2,-1+SUMPRODUCT(MAX(ROW(E2294:E$2)*(E2295=E2294:E$2)))))</f>
        <v> </v>
      </c>
      <c r="J2295" s="26" t="str">
        <f>IF(OR(E2295="",E2295="!!!",F2295="NEW"),"",COUNTBLANK(OFFSET(A$1,,,SUMPRODUCT(MAX(ROW(E$2:E2295)*(E2295=E$2:E2295)))))-COUNTBLANK(OFFSET(A$1,,,SUMPRODUCT(MAX(ROW(E$1:E2294)*(E2=E$1:E2294))))))</f>
        <v> </v>
      </c>
      <c r="K2295" s="26" t="str">
        <f>IF(OR(E2295="",E2295="!!!",F2295="NEW"),"",INDEX(J$1:J2294,SUMPRODUCT(MAX(ROW(E$1:E2294)*(E2295=E$1:E2294)))))</f>
        <v> </v>
      </c>
      <c r="L2295" s="27"/>
    </row>
    <row r="2296" spans="1:12">
      <c r="A2296" s="20" t="s">
        <v>1724</v>
      </c>
      <c r="E2296" s="22">
        <f>IF(D2296="?OLD","!!!","")</f>
        <v/>
      </c>
      <c r="F2296" s="23" t="str">
        <f>IF(OR(E2296="",E2296="!!!"),"",IF(NOT(ISNA(VLOOKUP(E2296,E$1:E2295,1,FALSE()))),"OLD",IF(AND(E2296&lt;&gt;"",E2296&lt;&gt;"!!!"),"NEW","")))</f>
        <v> </v>
      </c>
      <c r="G2296" s="24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5" t="str">
        <f>IF(J2296&lt;&gt;1,"",IF(I2296="SBJ","CB","?"))</f>
        <v> </v>
      </c>
      <c r="I2296" s="26" t="str">
        <f>IF(OR(E2296="",E2296="!!!",F2296="NEW"),"",INDEX(B2295:B$2,-1+SUMPRODUCT(MAX(ROW(E2295:E$2)*(E2296=E2295:E$2)))))</f>
        <v> </v>
      </c>
      <c r="J2296" s="26" t="str">
        <f>IF(OR(E2296="",E2296="!!!",F2296="NEW"),"",COUNTBLANK(OFFSET(A$1,,,SUMPRODUCT(MAX(ROW(E$2:E2296)*(E2296=E$2:E2296)))))-COUNTBLANK(OFFSET(A$1,,,SUMPRODUCT(MAX(ROW(E$1:E2295)*(E2=E$1:E2295))))))</f>
        <v> </v>
      </c>
      <c r="K2296" s="26" t="str">
        <f>IF(OR(E2296="",E2296="!!!",F2296="NEW"),"",INDEX(J$1:J2295,SUMPRODUCT(MAX(ROW(E$1:E2295)*(E2296=E$1:E2295)))))</f>
        <v> </v>
      </c>
      <c r="L2296" s="27"/>
    </row>
    <row r="2297" spans="1:12">
      <c r="A2297" s="20" t="s">
        <v>662</v>
      </c>
      <c r="E2297" s="22">
        <f>IF(D2297="?OLD","!!!","")</f>
        <v/>
      </c>
      <c r="F2297" s="23" t="str">
        <f>IF(OR(E2297="",E2297="!!!"),"",IF(NOT(ISNA(VLOOKUP(E2297,E$1:E2296,1,FALSE()))),"OLD",IF(AND(E2297&lt;&gt;"",E2297&lt;&gt;"!!!"),"NEW","")))</f>
        <v> </v>
      </c>
      <c r="G2297" s="24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5" t="str">
        <f>IF(J2297&lt;&gt;1,"",IF(I2297="SBJ","CB","?"))</f>
        <v> </v>
      </c>
      <c r="I2297" s="26" t="str">
        <f>IF(OR(E2297="",E2297="!!!",F2297="NEW"),"",INDEX(B2296:B$2,-1+SUMPRODUCT(MAX(ROW(E2296:E$2)*(E2297=E2296:E$2)))))</f>
        <v> </v>
      </c>
      <c r="J2297" s="26" t="str">
        <f>IF(OR(E2297="",E2297="!!!",F2297="NEW"),"",COUNTBLANK(OFFSET(A$1,,,SUMPRODUCT(MAX(ROW(E$2:E2297)*(E2297=E$2:E2297)))))-COUNTBLANK(OFFSET(A$1,,,SUMPRODUCT(MAX(ROW(E$1:E2296)*(E2=E$1:E2296))))))</f>
        <v> </v>
      </c>
      <c r="K2297" s="26" t="str">
        <f>IF(OR(E2297="",E2297="!!!",F2297="NEW"),"",INDEX(J$1:J2296,SUMPRODUCT(MAX(ROW(E$1:E2296)*(E2297=E$1:E2296)))))</f>
        <v> </v>
      </c>
      <c r="L2297" s="27"/>
    </row>
    <row r="2298" spans="1:12">
      <c r="A2298" s="20" t="s">
        <v>1725</v>
      </c>
      <c r="E2298" s="22">
        <f>IF(D2298="?OLD","!!!","")</f>
        <v/>
      </c>
      <c r="F2298" s="23" t="str">
        <f>IF(OR(E2298="",E2298="!!!"),"",IF(NOT(ISNA(VLOOKUP(E2298,E$1:E2297,1,FALSE()))),"OLD",IF(AND(E2298&lt;&gt;"",E2298&lt;&gt;"!!!"),"NEW","")))</f>
        <v> </v>
      </c>
      <c r="G2298" s="24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5" t="str">
        <f>IF(J2298&lt;&gt;1,"",IF(I2298="SBJ","CB","?"))</f>
        <v> </v>
      </c>
      <c r="I2298" s="26" t="str">
        <f>IF(OR(E2298="",E2298="!!!",F2298="NEW"),"",INDEX(B2297:B$2,-1+SUMPRODUCT(MAX(ROW(E2297:E$2)*(E2298=E2297:E$2)))))</f>
        <v> </v>
      </c>
      <c r="J2298" s="26" t="str">
        <f>IF(OR(E2298="",E2298="!!!",F2298="NEW"),"",COUNTBLANK(OFFSET(A$1,,,SUMPRODUCT(MAX(ROW(E$2:E2298)*(E2298=E$2:E2298)))))-COUNTBLANK(OFFSET(A$1,,,SUMPRODUCT(MAX(ROW(E$1:E2297)*(E2=E$1:E2297))))))</f>
        <v> </v>
      </c>
      <c r="K2298" s="26" t="str">
        <f>IF(OR(E2298="",E2298="!!!",F2298="NEW"),"",INDEX(J$1:J2297,SUMPRODUCT(MAX(ROW(E$1:E2297)*(E2298=E$1:E2297)))))</f>
        <v> </v>
      </c>
      <c r="L2298" s="27"/>
    </row>
    <row r="2299" spans="1:12">
      <c r="A2299" s="20" t="s">
        <v>611</v>
      </c>
      <c r="E2299" s="22">
        <f>IF(D2299="?OLD","!!!","")</f>
        <v/>
      </c>
      <c r="F2299" s="23" t="str">
        <f>IF(OR(E2299="",E2299="!!!"),"",IF(NOT(ISNA(VLOOKUP(E2299,E$1:E2298,1,FALSE()))),"OLD",IF(AND(E2299&lt;&gt;"",E2299&lt;&gt;"!!!"),"NEW","")))</f>
        <v> </v>
      </c>
      <c r="G2299" s="24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5" t="str">
        <f>IF(J2299&lt;&gt;1,"",IF(I2299="SBJ","CB","?"))</f>
        <v> </v>
      </c>
      <c r="I2299" s="26" t="str">
        <f>IF(OR(E2299="",E2299="!!!",F2299="NEW"),"",INDEX(B2298:B$2,-1+SUMPRODUCT(MAX(ROW(E2298:E$2)*(E2299=E2298:E$2)))))</f>
        <v> </v>
      </c>
      <c r="J2299" s="26" t="str">
        <f>IF(OR(E2299="",E2299="!!!",F2299="NEW"),"",COUNTBLANK(OFFSET(A$1,,,SUMPRODUCT(MAX(ROW(E$2:E2299)*(E2299=E$2:E2299)))))-COUNTBLANK(OFFSET(A$1,,,SUMPRODUCT(MAX(ROW(E$1:E2298)*(E2=E$1:E2298))))))</f>
        <v> </v>
      </c>
      <c r="K2299" s="26" t="str">
        <f>IF(OR(E2299="",E2299="!!!",F2299="NEW"),"",INDEX(J$1:J2298,SUMPRODUCT(MAX(ROW(E$1:E2298)*(E2299=E$1:E2298)))))</f>
        <v> </v>
      </c>
      <c r="L2299" s="27"/>
    </row>
    <row r="2300" spans="1:12">
      <c r="A2300" s="20" t="s">
        <v>1242</v>
      </c>
      <c r="E2300" s="22">
        <f>IF(D2300="?OLD","!!!","")</f>
        <v/>
      </c>
      <c r="F2300" s="23" t="str">
        <f>IF(OR(E2300="",E2300="!!!"),"",IF(NOT(ISNA(VLOOKUP(E2300,E$1:E2299,1,FALSE()))),"OLD",IF(AND(E2300&lt;&gt;"",E2300&lt;&gt;"!!!"),"NEW","")))</f>
        <v> </v>
      </c>
      <c r="G2300" s="24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5" t="str">
        <f>IF(J2300&lt;&gt;1,"",IF(I2300="SBJ","CB","?"))</f>
        <v> </v>
      </c>
      <c r="I2300" s="26" t="str">
        <f>IF(OR(E2300="",E2300="!!!",F2300="NEW"),"",INDEX(B2299:B$2,-1+SUMPRODUCT(MAX(ROW(E2299:E$2)*(E2300=E2299:E$2)))))</f>
        <v> </v>
      </c>
      <c r="J2300" s="26" t="str">
        <f>IF(OR(E2300="",E2300="!!!",F2300="NEW"),"",COUNTBLANK(OFFSET(A$1,,,SUMPRODUCT(MAX(ROW(E$2:E2300)*(E2300=E$2:E2300)))))-COUNTBLANK(OFFSET(A$1,,,SUMPRODUCT(MAX(ROW(E$1:E2299)*(E2=E$1:E2299))))))</f>
        <v> </v>
      </c>
      <c r="K2300" s="26" t="str">
        <f>IF(OR(E2300="",E2300="!!!",F2300="NEW"),"",INDEX(J$1:J2299,SUMPRODUCT(MAX(ROW(E$1:E2299)*(E2300=E$1:E2299)))))</f>
        <v> </v>
      </c>
      <c r="L2300" s="27"/>
    </row>
    <row r="2301" spans="1:12">
      <c r="A2301" s="20" t="s">
        <v>658</v>
      </c>
      <c r="E2301" s="22">
        <f>IF(D2301="?OLD","!!!","")</f>
        <v/>
      </c>
      <c r="F2301" s="23" t="str">
        <f>IF(OR(E2301="",E2301="!!!"),"",IF(NOT(ISNA(VLOOKUP(E2301,E$1:E2300,1,FALSE()))),"OLD",IF(AND(E2301&lt;&gt;"",E2301&lt;&gt;"!!!"),"NEW","")))</f>
        <v> </v>
      </c>
      <c r="G2301" s="24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5" t="str">
        <f>IF(J2301&lt;&gt;1,"",IF(I2301="SBJ","CB","?"))</f>
        <v> </v>
      </c>
      <c r="I2301" s="26" t="str">
        <f>IF(OR(E2301="",E2301="!!!",F2301="NEW"),"",INDEX(B2300:B$2,-1+SUMPRODUCT(MAX(ROW(E2300:E$2)*(E2301=E2300:E$2)))))</f>
        <v> </v>
      </c>
      <c r="J2301" s="26" t="str">
        <f>IF(OR(E2301="",E2301="!!!",F2301="NEW"),"",COUNTBLANK(OFFSET(A$1,,,SUMPRODUCT(MAX(ROW(E$2:E2301)*(E2301=E$2:E2301)))))-COUNTBLANK(OFFSET(A$1,,,SUMPRODUCT(MAX(ROW(E$1:E2300)*(E2=E$1:E2300))))))</f>
        <v> </v>
      </c>
      <c r="K2301" s="26" t="str">
        <f>IF(OR(E2301="",E2301="!!!",F2301="NEW"),"",INDEX(J$1:J2300,SUMPRODUCT(MAX(ROW(E$1:E2300)*(E2301=E$1:E2300)))))</f>
        <v> </v>
      </c>
      <c r="L2301" s="27"/>
    </row>
    <row r="2302" spans="1:12">
      <c r="A2302" s="20" t="s">
        <v>611</v>
      </c>
      <c r="E2302" s="22">
        <f>IF(D2302="?OLD","!!!","")</f>
        <v/>
      </c>
      <c r="F2302" s="23" t="str">
        <f>IF(OR(E2302="",E2302="!!!"),"",IF(NOT(ISNA(VLOOKUP(E2302,E$1:E2301,1,FALSE()))),"OLD",IF(AND(E2302&lt;&gt;"",E2302&lt;&gt;"!!!"),"NEW","")))</f>
        <v> </v>
      </c>
      <c r="G2302" s="24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5" t="str">
        <f>IF(J2302&lt;&gt;1,"",IF(I2302="SBJ","CB","?"))</f>
        <v> </v>
      </c>
      <c r="I2302" s="26" t="str">
        <f>IF(OR(E2302="",E2302="!!!",F2302="NEW"),"",INDEX(B2301:B$2,-1+SUMPRODUCT(MAX(ROW(E2301:E$2)*(E2302=E2301:E$2)))))</f>
        <v> </v>
      </c>
      <c r="J2302" s="26" t="str">
        <f>IF(OR(E2302="",E2302="!!!",F2302="NEW"),"",COUNTBLANK(OFFSET(A$1,,,SUMPRODUCT(MAX(ROW(E$2:E2302)*(E2302=E$2:E2302)))))-COUNTBLANK(OFFSET(A$1,,,SUMPRODUCT(MAX(ROW(E$1:E2301)*(E2=E$1:E2301))))))</f>
        <v> </v>
      </c>
      <c r="K2302" s="26" t="str">
        <f>IF(OR(E2302="",E2302="!!!",F2302="NEW"),"",INDEX(J$1:J2301,SUMPRODUCT(MAX(ROW(E$1:E2301)*(E2302=E$1:E2301)))))</f>
        <v> </v>
      </c>
      <c r="L2302" s="27"/>
    </row>
    <row r="2303" spans="1:12">
      <c r="A2303" s="20" t="s">
        <v>662</v>
      </c>
      <c r="E2303" s="22">
        <f>IF(D2303="?OLD","!!!","")</f>
        <v/>
      </c>
      <c r="F2303" s="23" t="str">
        <f>IF(OR(E2303="",E2303="!!!"),"",IF(NOT(ISNA(VLOOKUP(E2303,E$1:E2302,1,FALSE()))),"OLD",IF(AND(E2303&lt;&gt;"",E2303&lt;&gt;"!!!"),"NEW","")))</f>
        <v> </v>
      </c>
      <c r="G2303" s="24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5" t="str">
        <f>IF(J2303&lt;&gt;1,"",IF(I2303="SBJ","CB","?"))</f>
        <v> </v>
      </c>
      <c r="I2303" s="26" t="str">
        <f>IF(OR(E2303="",E2303="!!!",F2303="NEW"),"",INDEX(B2302:B$2,-1+SUMPRODUCT(MAX(ROW(E2302:E$2)*(E2303=E2302:E$2)))))</f>
        <v> </v>
      </c>
      <c r="J2303" s="26" t="str">
        <f>IF(OR(E2303="",E2303="!!!",F2303="NEW"),"",COUNTBLANK(OFFSET(A$1,,,SUMPRODUCT(MAX(ROW(E$2:E2303)*(E2303=E$2:E2303)))))-COUNTBLANK(OFFSET(A$1,,,SUMPRODUCT(MAX(ROW(E$1:E2302)*(E2=E$1:E2302))))))</f>
        <v> </v>
      </c>
      <c r="K2303" s="26" t="str">
        <f>IF(OR(E2303="",E2303="!!!",F2303="NEW"),"",INDEX(J$1:J2302,SUMPRODUCT(MAX(ROW(E$1:E2302)*(E2303=E$1:E2302)))))</f>
        <v> </v>
      </c>
      <c r="L2303" s="27"/>
    </row>
    <row r="2304" spans="1:12">
      <c r="A2304" s="20" t="s">
        <v>1726</v>
      </c>
      <c r="E2304" s="22">
        <f>IF(D2304="?OLD","!!!","")</f>
        <v/>
      </c>
      <c r="F2304" s="23" t="str">
        <f>IF(OR(E2304="",E2304="!!!"),"",IF(NOT(ISNA(VLOOKUP(E2304,E$1:E2303,1,FALSE()))),"OLD",IF(AND(E2304&lt;&gt;"",E2304&lt;&gt;"!!!"),"NEW","")))</f>
        <v> </v>
      </c>
      <c r="G2304" s="24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5" t="str">
        <f>IF(J2304&lt;&gt;1,"",IF(I2304="SBJ","CB","?"))</f>
        <v> </v>
      </c>
      <c r="I2304" s="26" t="str">
        <f>IF(OR(E2304="",E2304="!!!",F2304="NEW"),"",INDEX(B2303:B$2,-1+SUMPRODUCT(MAX(ROW(E2303:E$2)*(E2304=E2303:E$2)))))</f>
        <v> </v>
      </c>
      <c r="J2304" s="26" t="str">
        <f>IF(OR(E2304="",E2304="!!!",F2304="NEW"),"",COUNTBLANK(OFFSET(A$1,,,SUMPRODUCT(MAX(ROW(E$2:E2304)*(E2304=E$2:E2304)))))-COUNTBLANK(OFFSET(A$1,,,SUMPRODUCT(MAX(ROW(E$1:E2303)*(E2=E$1:E2303))))))</f>
        <v> </v>
      </c>
      <c r="K2304" s="26" t="str">
        <f>IF(OR(E2304="",E2304="!!!",F2304="NEW"),"",INDEX(J$1:J2303,SUMPRODUCT(MAX(ROW(E$1:E2303)*(E2304=E$1:E2303)))))</f>
        <v> </v>
      </c>
      <c r="L2304" s="27"/>
    </row>
    <row r="2305" spans="1:12">
      <c r="A2305" s="20" t="s">
        <v>1727</v>
      </c>
      <c r="E2305" s="22">
        <f>IF(D2305="?OLD","!!!","")</f>
        <v/>
      </c>
      <c r="F2305" s="23" t="str">
        <f>IF(OR(E2305="",E2305="!!!"),"",IF(NOT(ISNA(VLOOKUP(E2305,E$1:E2304,1,FALSE()))),"OLD",IF(AND(E2305&lt;&gt;"",E2305&lt;&gt;"!!!"),"NEW","")))</f>
        <v> </v>
      </c>
      <c r="G2305" s="24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5" t="str">
        <f>IF(J2305&lt;&gt;1,"",IF(I2305="SBJ","CB","?"))</f>
        <v> </v>
      </c>
      <c r="I2305" s="26" t="str">
        <f>IF(OR(E2305="",E2305="!!!",F2305="NEW"),"",INDEX(B2304:B$2,-1+SUMPRODUCT(MAX(ROW(E2304:E$2)*(E2305=E2304:E$2)))))</f>
        <v> </v>
      </c>
      <c r="J2305" s="26" t="str">
        <f>IF(OR(E2305="",E2305="!!!",F2305="NEW"),"",COUNTBLANK(OFFSET(A$1,,,SUMPRODUCT(MAX(ROW(E$2:E2305)*(E2305=E$2:E2305)))))-COUNTBLANK(OFFSET(A$1,,,SUMPRODUCT(MAX(ROW(E$1:E2304)*(E2=E$1:E2304))))))</f>
        <v> </v>
      </c>
      <c r="K2305" s="26" t="str">
        <f>IF(OR(E2305="",E2305="!!!",F2305="NEW"),"",INDEX(J$1:J2304,SUMPRODUCT(MAX(ROW(E$1:E2304)*(E2305=E$1:E2304)))))</f>
        <v> </v>
      </c>
      <c r="L2305" s="27"/>
    </row>
    <row r="2306" spans="1:12">
      <c r="A2306" s="20" t="s">
        <v>611</v>
      </c>
      <c r="E2306" s="22">
        <f>IF(D2306="?OLD","!!!","")</f>
        <v/>
      </c>
      <c r="F2306" s="23" t="str">
        <f>IF(OR(E2306="",E2306="!!!"),"",IF(NOT(ISNA(VLOOKUP(E2306,E$1:E2305,1,FALSE()))),"OLD",IF(AND(E2306&lt;&gt;"",E2306&lt;&gt;"!!!"),"NEW","")))</f>
        <v> </v>
      </c>
      <c r="G2306" s="24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5" t="str">
        <f>IF(J2306&lt;&gt;1,"",IF(I2306="SBJ","CB","?"))</f>
        <v> </v>
      </c>
      <c r="I2306" s="26" t="str">
        <f>IF(OR(E2306="",E2306="!!!",F2306="NEW"),"",INDEX(B2305:B$2,-1+SUMPRODUCT(MAX(ROW(E2305:E$2)*(E2306=E2305:E$2)))))</f>
        <v> </v>
      </c>
      <c r="J2306" s="26" t="str">
        <f>IF(OR(E2306="",E2306="!!!",F2306="NEW"),"",COUNTBLANK(OFFSET(A$1,,,SUMPRODUCT(MAX(ROW(E$2:E2306)*(E2306=E$2:E2306)))))-COUNTBLANK(OFFSET(A$1,,,SUMPRODUCT(MAX(ROW(E$1:E2305)*(E2=E$1:E2305))))))</f>
        <v> </v>
      </c>
      <c r="K2306" s="26" t="str">
        <f>IF(OR(E2306="",E2306="!!!",F2306="NEW"),"",INDEX(J$1:J2305,SUMPRODUCT(MAX(ROW(E$1:E2305)*(E2306=E$1:E2305)))))</f>
        <v> </v>
      </c>
      <c r="L2306" s="27"/>
    </row>
    <row r="2307" spans="1:12">
      <c r="A2307" s="20" t="s">
        <v>1697</v>
      </c>
      <c r="B2307" s="21" t="s">
        <v>801</v>
      </c>
      <c r="E2307" s="22">
        <f>IF(D2307="?OLD","!!!","")</f>
        <v/>
      </c>
      <c r="F2307" s="23" t="str">
        <f>IF(OR(E2307="",E2307="!!!"),"",IF(NOT(ISNA(VLOOKUP(E2307,E$1:E2306,1,FALSE()))),"OLD",IF(AND(E2307&lt;&gt;"",E2307&lt;&gt;"!!!"),"NEW","")))</f>
        <v> </v>
      </c>
      <c r="G2307" s="24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5" t="str">
        <f>IF(J2307&lt;&gt;1,"",IF(I2307="SBJ","CB","?"))</f>
        <v> </v>
      </c>
      <c r="I2307" s="26" t="str">
        <f>IF(OR(E2307="",E2307="!!!",F2307="NEW"),"",INDEX(B2306:B$2,-1+SUMPRODUCT(MAX(ROW(E2306:E$2)*(E2307=E2306:E$2)))))</f>
        <v> </v>
      </c>
      <c r="J2307" s="26" t="str">
        <f>IF(OR(E2307="",E2307="!!!",F2307="NEW"),"",COUNTBLANK(OFFSET(A$1,,,SUMPRODUCT(MAX(ROW(E$2:E2307)*(E2307=E$2:E2307)))))-COUNTBLANK(OFFSET(A$1,,,SUMPRODUCT(MAX(ROW(E$1:E2306)*(E2=E$1:E2306))))))</f>
        <v> </v>
      </c>
      <c r="K2307" s="26" t="str">
        <f>IF(OR(E2307="",E2307="!!!",F2307="NEW"),"",INDEX(J$1:J2306,SUMPRODUCT(MAX(ROW(E$1:E2306)*(E2307=E$1:E2306)))))</f>
        <v> </v>
      </c>
      <c r="L2307" s="27"/>
    </row>
    <row r="2308" spans="1:12">
      <c r="A2308" s="20" t="s">
        <v>1696</v>
      </c>
      <c r="E2308" s="22">
        <f>IF(D2308="?OLD","!!!","")</f>
        <v/>
      </c>
      <c r="F2308" s="23" t="str">
        <f>IF(OR(E2308="",E2308="!!!"),"",IF(NOT(ISNA(VLOOKUP(E2308,E$1:E2307,1,FALSE()))),"OLD",IF(AND(E2308&lt;&gt;"",E2308&lt;&gt;"!!!"),"NEW","")))</f>
        <v> </v>
      </c>
      <c r="G2308" s="24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5" t="str">
        <f>IF(J2308&lt;&gt;1,"",IF(I2308="SBJ","CB","?"))</f>
        <v> </v>
      </c>
      <c r="I2308" s="26" t="str">
        <f>IF(OR(E2308="",E2308="!!!",F2308="NEW"),"",INDEX(B2307:B$2,-1+SUMPRODUCT(MAX(ROW(E2307:E$2)*(E2308=E2307:E$2)))))</f>
        <v> </v>
      </c>
      <c r="J2308" s="26" t="str">
        <f>IF(OR(E2308="",E2308="!!!",F2308="NEW"),"",COUNTBLANK(OFFSET(A$1,,,SUMPRODUCT(MAX(ROW(E$2:E2308)*(E2308=E$2:E2308)))))-COUNTBLANK(OFFSET(A$1,,,SUMPRODUCT(MAX(ROW(E$1:E2307)*(E2=E$1:E2307))))))</f>
        <v> </v>
      </c>
      <c r="K2308" s="26" t="str">
        <f>IF(OR(E2308="",E2308="!!!",F2308="NEW"),"",INDEX(J$1:J2307,SUMPRODUCT(MAX(ROW(E$1:E2307)*(E2308=E$1:E2307)))))</f>
        <v> </v>
      </c>
      <c r="L2308" s="27"/>
    </row>
    <row r="2309" spans="1:12">
      <c r="A2309" s="20" t="s">
        <v>1728</v>
      </c>
      <c r="E2309" s="22">
        <f>IF(D2309="?OLD","!!!","")</f>
        <v/>
      </c>
      <c r="F2309" s="23" t="str">
        <f>IF(OR(E2309="",E2309="!!!"),"",IF(NOT(ISNA(VLOOKUP(E2309,E$1:E2308,1,FALSE()))),"OLD",IF(AND(E2309&lt;&gt;"",E2309&lt;&gt;"!!!"),"NEW","")))</f>
        <v> </v>
      </c>
      <c r="G2309" s="24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5" t="str">
        <f>IF(J2309&lt;&gt;1,"",IF(I2309="SBJ","CB","?"))</f>
        <v> </v>
      </c>
      <c r="I2309" s="26" t="str">
        <f>IF(OR(E2309="",E2309="!!!",F2309="NEW"),"",INDEX(B2308:B$2,-1+SUMPRODUCT(MAX(ROW(E2308:E$2)*(E2309=E2308:E$2)))))</f>
        <v> </v>
      </c>
      <c r="J2309" s="26" t="str">
        <f>IF(OR(E2309="",E2309="!!!",F2309="NEW"),"",COUNTBLANK(OFFSET(A$1,,,SUMPRODUCT(MAX(ROW(E$2:E2309)*(E2309=E$2:E2309)))))-COUNTBLANK(OFFSET(A$1,,,SUMPRODUCT(MAX(ROW(E$1:E2308)*(E2=E$1:E2308))))))</f>
        <v> </v>
      </c>
      <c r="K2309" s="26" t="str">
        <f>IF(OR(E2309="",E2309="!!!",F2309="NEW"),"",INDEX(J$1:J2308,SUMPRODUCT(MAX(ROW(E$1:E2308)*(E2309=E$1:E2308)))))</f>
        <v> </v>
      </c>
      <c r="L2309" s="27"/>
    </row>
    <row r="2310" spans="1:12">
      <c r="A2310" s="20" t="s">
        <v>1729</v>
      </c>
      <c r="E2310" s="22">
        <f>IF(D2310="?OLD","!!!","")</f>
        <v/>
      </c>
      <c r="F2310" s="23" t="str">
        <f>IF(OR(E2310="",E2310="!!!"),"",IF(NOT(ISNA(VLOOKUP(E2310,E$1:E2309,1,FALSE()))),"OLD",IF(AND(E2310&lt;&gt;"",E2310&lt;&gt;"!!!"),"NEW","")))</f>
        <v> </v>
      </c>
      <c r="G2310" s="24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5" t="str">
        <f>IF(J2310&lt;&gt;1,"",IF(I2310="SBJ","CB","?"))</f>
        <v> </v>
      </c>
      <c r="I2310" s="26" t="str">
        <f>IF(OR(E2310="",E2310="!!!",F2310="NEW"),"",INDEX(B2309:B$2,-1+SUMPRODUCT(MAX(ROW(E2309:E$2)*(E2310=E2309:E$2)))))</f>
        <v> </v>
      </c>
      <c r="J2310" s="26" t="str">
        <f>IF(OR(E2310="",E2310="!!!",F2310="NEW"),"",COUNTBLANK(OFFSET(A$1,,,SUMPRODUCT(MAX(ROW(E$2:E2310)*(E2310=E$2:E2310)))))-COUNTBLANK(OFFSET(A$1,,,SUMPRODUCT(MAX(ROW(E$1:E2309)*(E2=E$1:E2309))))))</f>
        <v> </v>
      </c>
      <c r="K2310" s="26" t="str">
        <f>IF(OR(E2310="",E2310="!!!",F2310="NEW"),"",INDEX(J$1:J2309,SUMPRODUCT(MAX(ROW(E$1:E2309)*(E2310=E$1:E2309)))))</f>
        <v> </v>
      </c>
      <c r="L2310" s="27"/>
    </row>
    <row r="2311" spans="1:12">
      <c r="A2311" s="20" t="s">
        <v>1115</v>
      </c>
      <c r="B2311" s="21" t="s">
        <v>613</v>
      </c>
      <c r="C2311" s="21" t="s">
        <v>602</v>
      </c>
      <c r="D2311" s="21" t="s">
        <v>603</v>
      </c>
      <c r="E2311" s="22">
        <f>IF(D2311="?OLD","!!!","")</f>
        <v/>
      </c>
      <c r="F2311" s="23" t="str">
        <f>IF(OR(E2311="",E2311="!!!"),"",IF(NOT(ISNA(VLOOKUP(E2311,E$1:E2310,1,FALSE()))),"OLD",IF(AND(E2311&lt;&gt;"",E2311&lt;&gt;"!!!"),"NEW","")))</f>
        <v> </v>
      </c>
      <c r="G2311" s="24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5" t="str">
        <f>IF(J2311&lt;&gt;1,"",IF(I2311="SBJ","CB","?"))</f>
        <v> </v>
      </c>
      <c r="I2311" s="26" t="str">
        <f>IF(OR(E2311="",E2311="!!!",F2311="NEW"),"",INDEX(B2310:B$2,-1+SUMPRODUCT(MAX(ROW(E2310:E$2)*(E2311=E2310:E$2)))))</f>
        <v> </v>
      </c>
      <c r="J2311" s="26" t="str">
        <f>IF(OR(E2311="",E2311="!!!",F2311="NEW"),"",COUNTBLANK(OFFSET(A$1,,,SUMPRODUCT(MAX(ROW(E$2:E2311)*(E2311=E$2:E2311)))))-COUNTBLANK(OFFSET(A$1,,,SUMPRODUCT(MAX(ROW(E$1:E2310)*(E2=E$1:E2310))))))</f>
        <v> </v>
      </c>
      <c r="K2311" s="26" t="str">
        <f>IF(OR(E2311="",E2311="!!!",F2311="NEW"),"",INDEX(J$1:J2310,SUMPRODUCT(MAX(ROW(E$1:E2310)*(E2311=E$1:E2310)))))</f>
        <v> </v>
      </c>
      <c r="L2311" s="27"/>
    </row>
    <row r="2312" spans="1:12">
      <c r="A2312" s="20" t="s">
        <v>936</v>
      </c>
      <c r="B2312" s="21" t="s">
        <v>636</v>
      </c>
      <c r="E2312" s="22">
        <f>IF(D2312="?OLD","!!!","")</f>
        <v/>
      </c>
      <c r="F2312" s="23" t="str">
        <f>IF(OR(E2312="",E2312="!!!"),"",IF(NOT(ISNA(VLOOKUP(E2312,E$1:E2311,1,FALSE()))),"OLD",IF(AND(E2312&lt;&gt;"",E2312&lt;&gt;"!!!"),"NEW","")))</f>
        <v> </v>
      </c>
      <c r="G2312" s="24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5" t="str">
        <f>IF(J2312&lt;&gt;1,"",IF(I2312="SBJ","CB","?"))</f>
        <v> </v>
      </c>
      <c r="I2312" s="26" t="str">
        <f>IF(OR(E2312="",E2312="!!!",F2312="NEW"),"",INDEX(B2311:B$2,-1+SUMPRODUCT(MAX(ROW(E2311:E$2)*(E2312=E2311:E$2)))))</f>
        <v> </v>
      </c>
      <c r="J2312" s="26" t="str">
        <f>IF(OR(E2312="",E2312="!!!",F2312="NEW"),"",COUNTBLANK(OFFSET(A$1,,,SUMPRODUCT(MAX(ROW(E$2:E2312)*(E2312=E$2:E2312)))))-COUNTBLANK(OFFSET(A$1,,,SUMPRODUCT(MAX(ROW(E$1:E2311)*(E2=E$1:E2311))))))</f>
        <v> </v>
      </c>
      <c r="K2312" s="26" t="str">
        <f>IF(OR(E2312="",E2312="!!!",F2312="NEW"),"",INDEX(J$1:J2311,SUMPRODUCT(MAX(ROW(E$1:E2311)*(E2312=E$1:E2311)))))</f>
        <v> </v>
      </c>
      <c r="L2312" s="27"/>
    </row>
    <row r="2313" spans="1:12">
      <c r="A2313" s="20" t="s">
        <v>633</v>
      </c>
      <c r="E2313" s="22">
        <f>IF(D2313="?OLD","!!!","")</f>
        <v/>
      </c>
      <c r="F2313" s="23" t="str">
        <f>IF(OR(E2313="",E2313="!!!"),"",IF(NOT(ISNA(VLOOKUP(E2313,E$1:E2312,1,FALSE()))),"OLD",IF(AND(E2313&lt;&gt;"",E2313&lt;&gt;"!!!"),"NEW","")))</f>
        <v> </v>
      </c>
      <c r="G2313" s="24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5" t="str">
        <f>IF(J2313&lt;&gt;1,"",IF(I2313="SBJ","CB","?"))</f>
        <v> </v>
      </c>
      <c r="I2313" s="26" t="str">
        <f>IF(OR(E2313="",E2313="!!!",F2313="NEW"),"",INDEX(B2312:B$2,-1+SUMPRODUCT(MAX(ROW(E2312:E$2)*(E2313=E2312:E$2)))))</f>
        <v> </v>
      </c>
      <c r="J2313" s="26" t="str">
        <f>IF(OR(E2313="",E2313="!!!",F2313="NEW"),"",COUNTBLANK(OFFSET(A$1,,,SUMPRODUCT(MAX(ROW(E$2:E2313)*(E2313=E$2:E2313)))))-COUNTBLANK(OFFSET(A$1,,,SUMPRODUCT(MAX(ROW(E$1:E2312)*(E2=E$1:E2312))))))</f>
        <v> </v>
      </c>
      <c r="K2313" s="26" t="str">
        <f>IF(OR(E2313="",E2313="!!!",F2313="NEW"),"",INDEX(J$1:J2312,SUMPRODUCT(MAX(ROW(E$1:E2312)*(E2313=E$1:E2312)))))</f>
        <v> </v>
      </c>
      <c r="L2313" s="27"/>
    </row>
    <row r="2314" spans="1:12">
      <c r="A2314" s="20"/>
    </row>
    <row r="2315" spans="1:12">
      <c r="A2315" s="20" t="s">
        <v>1730</v>
      </c>
    </row>
    <row r="2316" spans="1:12">
      <c r="A2316" s="20" t="s">
        <v>817</v>
      </c>
      <c r="E2316" s="22">
        <f>IF(D2316="?OLD","!!!","")</f>
        <v/>
      </c>
      <c r="F2316" s="23" t="str">
        <f>IF(OR(E2316="",E2316="!!!"),"",IF(NOT(ISNA(VLOOKUP(E2316,E$1:E2315,1,FALSE()))),"OLD",IF(AND(E2316&lt;&gt;"",E2316&lt;&gt;"!!!"),"NEW","")))</f>
        <v> </v>
      </c>
      <c r="G2316" s="24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5" t="str">
        <f>IF(J2316&lt;&gt;1,"",IF(I2316="SBJ","CB","?"))</f>
        <v> </v>
      </c>
      <c r="I2316" s="26" t="str">
        <f>IF(OR(E2316="",E2316="!!!",F2316="NEW"),"",INDEX(B2315:B$2,-1+SUMPRODUCT(MAX(ROW(E2315:E$2)*(E2316=E2315:E$2)))))</f>
        <v> </v>
      </c>
      <c r="J2316" s="26" t="str">
        <f>IF(OR(E2316="",E2316="!!!",F2316="NEW"),"",COUNTBLANK(OFFSET(A$1,,,SUMPRODUCT(MAX(ROW(E$2:E2316)*(E2316=E$2:E2316)))))-COUNTBLANK(OFFSET(A$1,,,SUMPRODUCT(MAX(ROW(E$1:E2315)*(E2=E$1:E2315))))))</f>
        <v> </v>
      </c>
      <c r="K2316" s="26" t="str">
        <f>IF(OR(E2316="",E2316="!!!",F2316="NEW"),"",INDEX(J$1:J2315,SUMPRODUCT(MAX(ROW(E$1:E2315)*(E2316=E$1:E2315)))))</f>
        <v> </v>
      </c>
      <c r="L2316" s="27"/>
    </row>
    <row r="2317" spans="1:12">
      <c r="A2317" s="20" t="s">
        <v>1731</v>
      </c>
      <c r="E2317" s="22">
        <f>IF(D2317="?OLD","!!!","")</f>
        <v/>
      </c>
      <c r="F2317" s="23" t="str">
        <f>IF(OR(E2317="",E2317="!!!"),"",IF(NOT(ISNA(VLOOKUP(E2317,E$1:E2316,1,FALSE()))),"OLD",IF(AND(E2317&lt;&gt;"",E2317&lt;&gt;"!!!"),"NEW","")))</f>
        <v> </v>
      </c>
      <c r="G2317" s="24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5" t="str">
        <f>IF(J2317&lt;&gt;1,"",IF(I2317="SBJ","CB","?"))</f>
        <v> </v>
      </c>
      <c r="I2317" s="26" t="str">
        <f>IF(OR(E2317="",E2317="!!!",F2317="NEW"),"",INDEX(B2316:B$2,-1+SUMPRODUCT(MAX(ROW(E2316:E$2)*(E2317=E2316:E$2)))))</f>
        <v> </v>
      </c>
      <c r="J2317" s="26" t="str">
        <f>IF(OR(E2317="",E2317="!!!",F2317="NEW"),"",COUNTBLANK(OFFSET(A$1,,,SUMPRODUCT(MAX(ROW(E$2:E2317)*(E2317=E$2:E2317)))))-COUNTBLANK(OFFSET(A$1,,,SUMPRODUCT(MAX(ROW(E$1:E2316)*(E2=E$1:E2316))))))</f>
        <v> </v>
      </c>
      <c r="K2317" s="26" t="str">
        <f>IF(OR(E2317="",E2317="!!!",F2317="NEW"),"",INDEX(J$1:J2316,SUMPRODUCT(MAX(ROW(E$1:E2316)*(E2317=E$1:E2316)))))</f>
        <v> </v>
      </c>
      <c r="L2317" s="27"/>
    </row>
    <row r="2318" spans="1:12">
      <c r="A2318" s="20" t="s">
        <v>615</v>
      </c>
      <c r="B2318" s="21" t="s">
        <v>601</v>
      </c>
      <c r="C2318" s="21" t="s">
        <v>602</v>
      </c>
      <c r="D2318" s="21" t="s">
        <v>603</v>
      </c>
      <c r="E2318" s="22">
        <f>IF(D2318="?OLD","!!!","")</f>
        <v/>
      </c>
      <c r="F2318" s="23" t="str">
        <f>IF(OR(E2318="",E2318="!!!"),"",IF(NOT(ISNA(VLOOKUP(E2318,E$1:E2317,1,FALSE()))),"OLD",IF(AND(E2318&lt;&gt;"",E2318&lt;&gt;"!!!"),"NEW","")))</f>
        <v> </v>
      </c>
      <c r="G2318" s="24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5" t="str">
        <f>IF(J2318&lt;&gt;1,"",IF(I2318="SBJ","CB","?"))</f>
        <v> </v>
      </c>
      <c r="I2318" s="26" t="str">
        <f>IF(OR(E2318="",E2318="!!!",F2318="NEW"),"",INDEX(B2317:B$2,-1+SUMPRODUCT(MAX(ROW(E2317:E$2)*(E2318=E2317:E$2)))))</f>
        <v> </v>
      </c>
      <c r="J2318" s="26" t="str">
        <f>IF(OR(E2318="",E2318="!!!",F2318="NEW"),"",COUNTBLANK(OFFSET(A$1,,,SUMPRODUCT(MAX(ROW(E$2:E2318)*(E2318=E$2:E2318)))))-COUNTBLANK(OFFSET(A$1,,,SUMPRODUCT(MAX(ROW(E$1:E2317)*(E2=E$1:E2317))))))</f>
        <v> </v>
      </c>
      <c r="K2318" s="26" t="str">
        <f>IF(OR(E2318="",E2318="!!!",F2318="NEW"),"",INDEX(J$1:J2317,SUMPRODUCT(MAX(ROW(E$1:E2317)*(E2318=E$1:E2317)))))</f>
        <v> </v>
      </c>
      <c r="L2318" s="27"/>
    </row>
    <row r="2319" spans="1:12">
      <c r="A2319" s="20" t="s">
        <v>807</v>
      </c>
      <c r="E2319" s="22">
        <f>IF(D2319="?OLD","!!!","")</f>
        <v/>
      </c>
      <c r="F2319" s="23" t="str">
        <f>IF(OR(E2319="",E2319="!!!"),"",IF(NOT(ISNA(VLOOKUP(E2319,E$1:E2318,1,FALSE()))),"OLD",IF(AND(E2319&lt;&gt;"",E2319&lt;&gt;"!!!"),"NEW","")))</f>
        <v> </v>
      </c>
      <c r="G2319" s="24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5" t="str">
        <f>IF(J2319&lt;&gt;1,"",IF(I2319="SBJ","CB","?"))</f>
        <v> </v>
      </c>
      <c r="I2319" s="26" t="str">
        <f>IF(OR(E2319="",E2319="!!!",F2319="NEW"),"",INDEX(B2318:B$2,-1+SUMPRODUCT(MAX(ROW(E2318:E$2)*(E2319=E2318:E$2)))))</f>
        <v> </v>
      </c>
      <c r="J2319" s="26" t="str">
        <f>IF(OR(E2319="",E2319="!!!",F2319="NEW"),"",COUNTBLANK(OFFSET(A$1,,,SUMPRODUCT(MAX(ROW(E$2:E2319)*(E2319=E$2:E2319)))))-COUNTBLANK(OFFSET(A$1,,,SUMPRODUCT(MAX(ROW(E$1:E2318)*(E2=E$1:E2318))))))</f>
        <v> </v>
      </c>
      <c r="K2319" s="26" t="str">
        <f>IF(OR(E2319="",E2319="!!!",F2319="NEW"),"",INDEX(J$1:J2318,SUMPRODUCT(MAX(ROW(E$1:E2318)*(E2319=E$1:E2318)))))</f>
        <v> </v>
      </c>
      <c r="L2319" s="27"/>
    </row>
    <row r="2320" spans="1:12">
      <c r="A2320" s="20" t="s">
        <v>1732</v>
      </c>
      <c r="E2320" s="22">
        <f>IF(D2320="?OLD","!!!","")</f>
        <v/>
      </c>
      <c r="F2320" s="23" t="str">
        <f>IF(OR(E2320="",E2320="!!!"),"",IF(NOT(ISNA(VLOOKUP(E2320,E$1:E2319,1,FALSE()))),"OLD",IF(AND(E2320&lt;&gt;"",E2320&lt;&gt;"!!!"),"NEW","")))</f>
        <v> </v>
      </c>
      <c r="G2320" s="24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5" t="str">
        <f>IF(J2320&lt;&gt;1,"",IF(I2320="SBJ","CB","?"))</f>
        <v> </v>
      </c>
      <c r="I2320" s="26" t="str">
        <f>IF(OR(E2320="",E2320="!!!",F2320="NEW"),"",INDEX(B2319:B$2,-1+SUMPRODUCT(MAX(ROW(E2319:E$2)*(E2320=E2319:E$2)))))</f>
        <v> </v>
      </c>
      <c r="J2320" s="26" t="str">
        <f>IF(OR(E2320="",E2320="!!!",F2320="NEW"),"",COUNTBLANK(OFFSET(A$1,,,SUMPRODUCT(MAX(ROW(E$2:E2320)*(E2320=E$2:E2320)))))-COUNTBLANK(OFFSET(A$1,,,SUMPRODUCT(MAX(ROW(E$1:E2319)*(E2=E$1:E2319))))))</f>
        <v> </v>
      </c>
      <c r="K2320" s="26" t="str">
        <f>IF(OR(E2320="",E2320="!!!",F2320="NEW"),"",INDEX(J$1:J2319,SUMPRODUCT(MAX(ROW(E$1:E2319)*(E2320=E$1:E2319)))))</f>
        <v> </v>
      </c>
      <c r="L2320" s="27"/>
    </row>
    <row r="2321" spans="1:12">
      <c r="A2321" s="20" t="s">
        <v>1733</v>
      </c>
      <c r="E2321" s="22">
        <f>IF(D2321="?OLD","!!!","")</f>
        <v/>
      </c>
      <c r="F2321" s="23" t="str">
        <f>IF(OR(E2321="",E2321="!!!"),"",IF(NOT(ISNA(VLOOKUP(E2321,E$1:E2320,1,FALSE()))),"OLD",IF(AND(E2321&lt;&gt;"",E2321&lt;&gt;"!!!"),"NEW","")))</f>
        <v> </v>
      </c>
      <c r="G2321" s="24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5" t="str">
        <f>IF(J2321&lt;&gt;1,"",IF(I2321="SBJ","CB","?"))</f>
        <v> </v>
      </c>
      <c r="I2321" s="26" t="str">
        <f>IF(OR(E2321="",E2321="!!!",F2321="NEW"),"",INDEX(B2320:B$2,-1+SUMPRODUCT(MAX(ROW(E2320:E$2)*(E2321=E2320:E$2)))))</f>
        <v> </v>
      </c>
      <c r="J2321" s="26" t="str">
        <f>IF(OR(E2321="",E2321="!!!",F2321="NEW"),"",COUNTBLANK(OFFSET(A$1,,,SUMPRODUCT(MAX(ROW(E$2:E2321)*(E2321=E$2:E2321)))))-COUNTBLANK(OFFSET(A$1,,,SUMPRODUCT(MAX(ROW(E$1:E2320)*(E2=E$1:E2320))))))</f>
        <v> </v>
      </c>
      <c r="K2321" s="26" t="str">
        <f>IF(OR(E2321="",E2321="!!!",F2321="NEW"),"",INDEX(J$1:J2320,SUMPRODUCT(MAX(ROW(E$1:E2320)*(E2321=E$1:E2320)))))</f>
        <v> </v>
      </c>
      <c r="L2321" s="27"/>
    </row>
    <row r="2322" spans="1:12">
      <c r="A2322" s="20" t="s">
        <v>1734</v>
      </c>
      <c r="E2322" s="22">
        <f>IF(D2322="?OLD","!!!","")</f>
        <v/>
      </c>
      <c r="F2322" s="23" t="str">
        <f>IF(OR(E2322="",E2322="!!!"),"",IF(NOT(ISNA(VLOOKUP(E2322,E$1:E2321,1,FALSE()))),"OLD",IF(AND(E2322&lt;&gt;"",E2322&lt;&gt;"!!!"),"NEW","")))</f>
        <v> </v>
      </c>
      <c r="G2322" s="24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5" t="str">
        <f>IF(J2322&lt;&gt;1,"",IF(I2322="SBJ","CB","?"))</f>
        <v> </v>
      </c>
      <c r="I2322" s="26" t="str">
        <f>IF(OR(E2322="",E2322="!!!",F2322="NEW"),"",INDEX(B2321:B$2,-1+SUMPRODUCT(MAX(ROW(E2321:E$2)*(E2322=E2321:E$2)))))</f>
        <v> </v>
      </c>
      <c r="J2322" s="26" t="str">
        <f>IF(OR(E2322="",E2322="!!!",F2322="NEW"),"",COUNTBLANK(OFFSET(A$1,,,SUMPRODUCT(MAX(ROW(E$2:E2322)*(E2322=E$2:E2322)))))-COUNTBLANK(OFFSET(A$1,,,SUMPRODUCT(MAX(ROW(E$1:E2321)*(E2=E$1:E2321))))))</f>
        <v> </v>
      </c>
      <c r="K2322" s="26" t="str">
        <f>IF(OR(E2322="",E2322="!!!",F2322="NEW"),"",INDEX(J$1:J2321,SUMPRODUCT(MAX(ROW(E$1:E2321)*(E2322=E$1:E2321)))))</f>
        <v> </v>
      </c>
      <c r="L2322" s="27"/>
    </row>
    <row r="2323" spans="1:12">
      <c r="A2323" s="20" t="s">
        <v>611</v>
      </c>
      <c r="E2323" s="22">
        <f>IF(D2323="?OLD","!!!","")</f>
        <v/>
      </c>
      <c r="F2323" s="23" t="str">
        <f>IF(OR(E2323="",E2323="!!!"),"",IF(NOT(ISNA(VLOOKUP(E2323,E$1:E2322,1,FALSE()))),"OLD",IF(AND(E2323&lt;&gt;"",E2323&lt;&gt;"!!!"),"NEW","")))</f>
        <v> </v>
      </c>
      <c r="G2323" s="24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5" t="str">
        <f>IF(J2323&lt;&gt;1,"",IF(I2323="SBJ","CB","?"))</f>
        <v> </v>
      </c>
      <c r="I2323" s="26" t="str">
        <f>IF(OR(E2323="",E2323="!!!",F2323="NEW"),"",INDEX(B2322:B$2,-1+SUMPRODUCT(MAX(ROW(E2322:E$2)*(E2323=E2322:E$2)))))</f>
        <v> </v>
      </c>
      <c r="J2323" s="26" t="str">
        <f>IF(OR(E2323="",E2323="!!!",F2323="NEW"),"",COUNTBLANK(OFFSET(A$1,,,SUMPRODUCT(MAX(ROW(E$2:E2323)*(E2323=E$2:E2323)))))-COUNTBLANK(OFFSET(A$1,,,SUMPRODUCT(MAX(ROW(E$1:E2322)*(E2=E$1:E2322))))))</f>
        <v> </v>
      </c>
      <c r="K2323" s="26" t="str">
        <f>IF(OR(E2323="",E2323="!!!",F2323="NEW"),"",INDEX(J$1:J2322,SUMPRODUCT(MAX(ROW(E$1:E2322)*(E2323=E$1:E2322)))))</f>
        <v> </v>
      </c>
      <c r="L2323" s="27"/>
    </row>
    <row r="2324" spans="1:12">
      <c r="A2324" s="20" t="s">
        <v>646</v>
      </c>
      <c r="E2324" s="22">
        <f>IF(D2324="?OLD","!!!","")</f>
        <v/>
      </c>
      <c r="F2324" s="23" t="str">
        <f>IF(OR(E2324="",E2324="!!!"),"",IF(NOT(ISNA(VLOOKUP(E2324,E$1:E2323,1,FALSE()))),"OLD",IF(AND(E2324&lt;&gt;"",E2324&lt;&gt;"!!!"),"NEW","")))</f>
        <v> </v>
      </c>
      <c r="G2324" s="24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5" t="str">
        <f>IF(J2324&lt;&gt;1,"",IF(I2324="SBJ","CB","?"))</f>
        <v> </v>
      </c>
      <c r="I2324" s="26" t="str">
        <f>IF(OR(E2324="",E2324="!!!",F2324="NEW"),"",INDEX(B2323:B$2,-1+SUMPRODUCT(MAX(ROW(E2323:E$2)*(E2324=E2323:E$2)))))</f>
        <v> </v>
      </c>
      <c r="J2324" s="26" t="str">
        <f>IF(OR(E2324="",E2324="!!!",F2324="NEW"),"",COUNTBLANK(OFFSET(A$1,,,SUMPRODUCT(MAX(ROW(E$2:E2324)*(E2324=E$2:E2324)))))-COUNTBLANK(OFFSET(A$1,,,SUMPRODUCT(MAX(ROW(E$1:E2323)*(E2=E$1:E2323))))))</f>
        <v> </v>
      </c>
      <c r="K2324" s="26" t="str">
        <f>IF(OR(E2324="",E2324="!!!",F2324="NEW"),"",INDEX(J$1:J2323,SUMPRODUCT(MAX(ROW(E$1:E2323)*(E2324=E$1:E2323)))))</f>
        <v> </v>
      </c>
      <c r="L2324" s="27"/>
    </row>
    <row r="2325" spans="1:12">
      <c r="A2325" s="20" t="s">
        <v>1735</v>
      </c>
      <c r="B2325" s="21" t="s">
        <v>636</v>
      </c>
      <c r="E2325" s="22">
        <f>IF(D2325="?OLD","!!!","")</f>
        <v/>
      </c>
      <c r="F2325" s="23" t="str">
        <f>IF(OR(E2325="",E2325="!!!"),"",IF(NOT(ISNA(VLOOKUP(E2325,E$1:E2324,1,FALSE()))),"OLD",IF(AND(E2325&lt;&gt;"",E2325&lt;&gt;"!!!"),"NEW","")))</f>
        <v> </v>
      </c>
      <c r="G2325" s="24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5" t="str">
        <f>IF(J2325&lt;&gt;1,"",IF(I2325="SBJ","CB","?"))</f>
        <v> </v>
      </c>
      <c r="I2325" s="26" t="str">
        <f>IF(OR(E2325="",E2325="!!!",F2325="NEW"),"",INDEX(B2324:B$2,-1+SUMPRODUCT(MAX(ROW(E2324:E$2)*(E2325=E2324:E$2)))))</f>
        <v> </v>
      </c>
      <c r="J2325" s="26" t="str">
        <f>IF(OR(E2325="",E2325="!!!",F2325="NEW"),"",COUNTBLANK(OFFSET(A$1,,,SUMPRODUCT(MAX(ROW(E$2:E2325)*(E2325=E$2:E2325)))))-COUNTBLANK(OFFSET(A$1,,,SUMPRODUCT(MAX(ROW(E$1:E2324)*(E2=E$1:E2324))))))</f>
        <v> </v>
      </c>
      <c r="K2325" s="26" t="str">
        <f>IF(OR(E2325="",E2325="!!!",F2325="NEW"),"",INDEX(J$1:J2324,SUMPRODUCT(MAX(ROW(E$1:E2324)*(E2325=E$1:E2324)))))</f>
        <v> </v>
      </c>
      <c r="L2325" s="27"/>
    </row>
    <row r="2326" spans="1:12">
      <c r="A2326" s="20" t="s">
        <v>1024</v>
      </c>
      <c r="E2326" s="22">
        <f>IF(D2326="?OLD","!!!","")</f>
        <v/>
      </c>
      <c r="F2326" s="23" t="str">
        <f>IF(OR(E2326="",E2326="!!!"),"",IF(NOT(ISNA(VLOOKUP(E2326,E$1:E2325,1,FALSE()))),"OLD",IF(AND(E2326&lt;&gt;"",E2326&lt;&gt;"!!!"),"NEW","")))</f>
        <v> </v>
      </c>
      <c r="G2326" s="24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5" t="str">
        <f>IF(J2326&lt;&gt;1,"",IF(I2326="SBJ","CB","?"))</f>
        <v> </v>
      </c>
      <c r="I2326" s="26" t="str">
        <f>IF(OR(E2326="",E2326="!!!",F2326="NEW"),"",INDEX(B2325:B$2,-1+SUMPRODUCT(MAX(ROW(E2325:E$2)*(E2326=E2325:E$2)))))</f>
        <v> </v>
      </c>
      <c r="J2326" s="26" t="str">
        <f>IF(OR(E2326="",E2326="!!!",F2326="NEW"),"",COUNTBLANK(OFFSET(A$1,,,SUMPRODUCT(MAX(ROW(E$2:E2326)*(E2326=E$2:E2326)))))-COUNTBLANK(OFFSET(A$1,,,SUMPRODUCT(MAX(ROW(E$1:E2325)*(E2=E$1:E2325))))))</f>
        <v> </v>
      </c>
      <c r="K2326" s="26" t="str">
        <f>IF(OR(E2326="",E2326="!!!",F2326="NEW"),"",INDEX(J$1:J2325,SUMPRODUCT(MAX(ROW(E$1:E2325)*(E2326=E$1:E2325)))))</f>
        <v> </v>
      </c>
      <c r="L2326" s="27"/>
    </row>
    <row r="2327" spans="1:12">
      <c r="A2327" s="20" t="s">
        <v>1736</v>
      </c>
      <c r="E2327" s="22">
        <f>IF(D2327="?OLD","!!!","")</f>
        <v/>
      </c>
      <c r="F2327" s="23" t="str">
        <f>IF(OR(E2327="",E2327="!!!"),"",IF(NOT(ISNA(VLOOKUP(E2327,E$1:E2326,1,FALSE()))),"OLD",IF(AND(E2327&lt;&gt;"",E2327&lt;&gt;"!!!"),"NEW","")))</f>
        <v> </v>
      </c>
      <c r="G2327" s="24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5" t="str">
        <f>IF(J2327&lt;&gt;1,"",IF(I2327="SBJ","CB","?"))</f>
        <v> </v>
      </c>
      <c r="I2327" s="26" t="str">
        <f>IF(OR(E2327="",E2327="!!!",F2327="NEW"),"",INDEX(B2326:B$2,-1+SUMPRODUCT(MAX(ROW(E2326:E$2)*(E2327=E2326:E$2)))))</f>
        <v> </v>
      </c>
      <c r="J2327" s="26" t="str">
        <f>IF(OR(E2327="",E2327="!!!",F2327="NEW"),"",COUNTBLANK(OFFSET(A$1,,,SUMPRODUCT(MAX(ROW(E$2:E2327)*(E2327=E$2:E2327)))))-COUNTBLANK(OFFSET(A$1,,,SUMPRODUCT(MAX(ROW(E$1:E2326)*(E2=E$1:E2326))))))</f>
        <v> </v>
      </c>
      <c r="K2327" s="26" t="str">
        <f>IF(OR(E2327="",E2327="!!!",F2327="NEW"),"",INDEX(J$1:J2326,SUMPRODUCT(MAX(ROW(E$1:E2326)*(E2327=E$1:E2326)))))</f>
        <v> </v>
      </c>
      <c r="L2327" s="27"/>
    </row>
    <row r="2328" spans="1:12">
      <c r="A2328" s="20" t="s">
        <v>611</v>
      </c>
      <c r="E2328" s="22">
        <f>IF(D2328="?OLD","!!!","")</f>
        <v/>
      </c>
      <c r="F2328" s="23" t="str">
        <f>IF(OR(E2328="",E2328="!!!"),"",IF(NOT(ISNA(VLOOKUP(E2328,E$1:E2327,1,FALSE()))),"OLD",IF(AND(E2328&lt;&gt;"",E2328&lt;&gt;"!!!"),"NEW","")))</f>
        <v> </v>
      </c>
      <c r="G2328" s="24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5" t="str">
        <f>IF(J2328&lt;&gt;1,"",IF(I2328="SBJ","CB","?"))</f>
        <v> </v>
      </c>
      <c r="I2328" s="26" t="str">
        <f>IF(OR(E2328="",E2328="!!!",F2328="NEW"),"",INDEX(B2327:B$2,-1+SUMPRODUCT(MAX(ROW(E2327:E$2)*(E2328=E2327:E$2)))))</f>
        <v> </v>
      </c>
      <c r="J2328" s="26" t="str">
        <f>IF(OR(E2328="",E2328="!!!",F2328="NEW"),"",COUNTBLANK(OFFSET(A$1,,,SUMPRODUCT(MAX(ROW(E$2:E2328)*(E2328=E$2:E2328)))))-COUNTBLANK(OFFSET(A$1,,,SUMPRODUCT(MAX(ROW(E$1:E2327)*(E2=E$1:E2327))))))</f>
        <v> </v>
      </c>
      <c r="K2328" s="26" t="str">
        <f>IF(OR(E2328="",E2328="!!!",F2328="NEW"),"",INDEX(J$1:J2327,SUMPRODUCT(MAX(ROW(E$1:E2327)*(E2328=E$1:E2327)))))</f>
        <v> </v>
      </c>
      <c r="L2328" s="27"/>
    </row>
    <row r="2329" spans="1:12">
      <c r="A2329" s="20" t="s">
        <v>646</v>
      </c>
      <c r="E2329" s="22">
        <f>IF(D2329="?OLD","!!!","")</f>
        <v/>
      </c>
      <c r="F2329" s="23" t="str">
        <f>IF(OR(E2329="",E2329="!!!"),"",IF(NOT(ISNA(VLOOKUP(E2329,E$1:E2328,1,FALSE()))),"OLD",IF(AND(E2329&lt;&gt;"",E2329&lt;&gt;"!!!"),"NEW","")))</f>
        <v> </v>
      </c>
      <c r="G2329" s="24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5" t="str">
        <f>IF(J2329&lt;&gt;1,"",IF(I2329="SBJ","CB","?"))</f>
        <v> </v>
      </c>
      <c r="I2329" s="26" t="str">
        <f>IF(OR(E2329="",E2329="!!!",F2329="NEW"),"",INDEX(B2328:B$2,-1+SUMPRODUCT(MAX(ROW(E2328:E$2)*(E2329=E2328:E$2)))))</f>
        <v> </v>
      </c>
      <c r="J2329" s="26" t="str">
        <f>IF(OR(E2329="",E2329="!!!",F2329="NEW"),"",COUNTBLANK(OFFSET(A$1,,,SUMPRODUCT(MAX(ROW(E$2:E2329)*(E2329=E$2:E2329)))))-COUNTBLANK(OFFSET(A$1,,,SUMPRODUCT(MAX(ROW(E$1:E2328)*(E2=E$1:E2328))))))</f>
        <v> </v>
      </c>
      <c r="K2329" s="26" t="str">
        <f>IF(OR(E2329="",E2329="!!!",F2329="NEW"),"",INDEX(J$1:J2328,SUMPRODUCT(MAX(ROW(E$1:E2328)*(E2329=E$1:E2328)))))</f>
        <v> </v>
      </c>
      <c r="L2329" s="27"/>
    </row>
    <row r="2330" spans="1:12">
      <c r="A2330" s="20" t="s">
        <v>1737</v>
      </c>
      <c r="B2330" s="21" t="s">
        <v>636</v>
      </c>
      <c r="E2330" s="22">
        <f>IF(D2330="?OLD","!!!","")</f>
        <v/>
      </c>
      <c r="F2330" s="23" t="str">
        <f>IF(OR(E2330="",E2330="!!!"),"",IF(NOT(ISNA(VLOOKUP(E2330,E$1:E2329,1,FALSE()))),"OLD",IF(AND(E2330&lt;&gt;"",E2330&lt;&gt;"!!!"),"NEW","")))</f>
        <v> </v>
      </c>
      <c r="G2330" s="24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5" t="str">
        <f>IF(J2330&lt;&gt;1,"",IF(I2330="SBJ","CB","?"))</f>
        <v> </v>
      </c>
      <c r="I2330" s="26" t="str">
        <f>IF(OR(E2330="",E2330="!!!",F2330="NEW"),"",INDEX(B2329:B$2,-1+SUMPRODUCT(MAX(ROW(E2329:E$2)*(E2330=E2329:E$2)))))</f>
        <v> </v>
      </c>
      <c r="J2330" s="26" t="str">
        <f>IF(OR(E2330="",E2330="!!!",F2330="NEW"),"",COUNTBLANK(OFFSET(A$1,,,SUMPRODUCT(MAX(ROW(E$2:E2330)*(E2330=E$2:E2330)))))-COUNTBLANK(OFFSET(A$1,,,SUMPRODUCT(MAX(ROW(E$1:E2329)*(E2=E$1:E2329))))))</f>
        <v> </v>
      </c>
      <c r="K2330" s="26" t="str">
        <f>IF(OR(E2330="",E2330="!!!",F2330="NEW"),"",INDEX(J$1:J2329,SUMPRODUCT(MAX(ROW(E$1:E2329)*(E2330=E$1:E2329)))))</f>
        <v> </v>
      </c>
      <c r="L2330" s="27"/>
    </row>
    <row r="2331" spans="1:12">
      <c r="A2331" s="20" t="s">
        <v>1738</v>
      </c>
      <c r="E2331" s="22">
        <f>IF(D2331="?OLD","!!!","")</f>
        <v/>
      </c>
      <c r="F2331" s="23" t="str">
        <f>IF(OR(E2331="",E2331="!!!"),"",IF(NOT(ISNA(VLOOKUP(E2331,E$1:E2330,1,FALSE()))),"OLD",IF(AND(E2331&lt;&gt;"",E2331&lt;&gt;"!!!"),"NEW","")))</f>
        <v> </v>
      </c>
      <c r="G2331" s="24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5" t="str">
        <f>IF(J2331&lt;&gt;1,"",IF(I2331="SBJ","CB","?"))</f>
        <v> </v>
      </c>
      <c r="I2331" s="26" t="str">
        <f>IF(OR(E2331="",E2331="!!!",F2331="NEW"),"",INDEX(B2330:B$2,-1+SUMPRODUCT(MAX(ROW(E2330:E$2)*(E2331=E2330:E$2)))))</f>
        <v> </v>
      </c>
      <c r="J2331" s="26" t="str">
        <f>IF(OR(E2331="",E2331="!!!",F2331="NEW"),"",COUNTBLANK(OFFSET(A$1,,,SUMPRODUCT(MAX(ROW(E$2:E2331)*(E2331=E$2:E2331)))))-COUNTBLANK(OFFSET(A$1,,,SUMPRODUCT(MAX(ROW(E$1:E2330)*(E2=E$1:E2330))))))</f>
        <v> </v>
      </c>
      <c r="K2331" s="26" t="str">
        <f>IF(OR(E2331="",E2331="!!!",F2331="NEW"),"",INDEX(J$1:J2330,SUMPRODUCT(MAX(ROW(E$1:E2330)*(E2331=E$1:E2330)))))</f>
        <v> </v>
      </c>
      <c r="L2331" s="27"/>
    </row>
    <row r="2332" spans="1:12">
      <c r="A2332" s="20" t="s">
        <v>883</v>
      </c>
      <c r="E2332" s="22">
        <f>IF(D2332="?OLD","!!!","")</f>
        <v/>
      </c>
      <c r="F2332" s="23" t="str">
        <f>IF(OR(E2332="",E2332="!!!"),"",IF(NOT(ISNA(VLOOKUP(E2332,E$1:E2331,1,FALSE()))),"OLD",IF(AND(E2332&lt;&gt;"",E2332&lt;&gt;"!!!"),"NEW","")))</f>
        <v> </v>
      </c>
      <c r="G2332" s="24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5" t="str">
        <f>IF(J2332&lt;&gt;1,"",IF(I2332="SBJ","CB","?"))</f>
        <v> </v>
      </c>
      <c r="I2332" s="26" t="str">
        <f>IF(OR(E2332="",E2332="!!!",F2332="NEW"),"",INDEX(B2331:B$2,-1+SUMPRODUCT(MAX(ROW(E2331:E$2)*(E2332=E2331:E$2)))))</f>
        <v> </v>
      </c>
      <c r="J2332" s="26" t="str">
        <f>IF(OR(E2332="",E2332="!!!",F2332="NEW"),"",COUNTBLANK(OFFSET(A$1,,,SUMPRODUCT(MAX(ROW(E$2:E2332)*(E2332=E$2:E2332)))))-COUNTBLANK(OFFSET(A$1,,,SUMPRODUCT(MAX(ROW(E$1:E2331)*(E2=E$1:E2331))))))</f>
        <v> </v>
      </c>
      <c r="K2332" s="26" t="str">
        <f>IF(OR(E2332="",E2332="!!!",F2332="NEW"),"",INDEX(J$1:J2331,SUMPRODUCT(MAX(ROW(E$1:E2331)*(E2332=E$1:E2331)))))</f>
        <v> </v>
      </c>
      <c r="L2332" s="27"/>
    </row>
    <row r="2333" spans="1:12">
      <c r="A2333" s="20" t="s">
        <v>1739</v>
      </c>
      <c r="E2333" s="22">
        <f>IF(D2333="?OLD","!!!","")</f>
        <v/>
      </c>
      <c r="F2333" s="23" t="str">
        <f>IF(OR(E2333="",E2333="!!!"),"",IF(NOT(ISNA(VLOOKUP(E2333,E$1:E2332,1,FALSE()))),"OLD",IF(AND(E2333&lt;&gt;"",E2333&lt;&gt;"!!!"),"NEW","")))</f>
        <v> </v>
      </c>
      <c r="G2333" s="24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5" t="str">
        <f>IF(J2333&lt;&gt;1,"",IF(I2333="SBJ","CB","?"))</f>
        <v> </v>
      </c>
      <c r="I2333" s="26" t="str">
        <f>IF(OR(E2333="",E2333="!!!",F2333="NEW"),"",INDEX(B2332:B$2,-1+SUMPRODUCT(MAX(ROW(E2332:E$2)*(E2333=E2332:E$2)))))</f>
        <v> </v>
      </c>
      <c r="J2333" s="26" t="str">
        <f>IF(OR(E2333="",E2333="!!!",F2333="NEW"),"",COUNTBLANK(OFFSET(A$1,,,SUMPRODUCT(MAX(ROW(E$2:E2333)*(E2333=E$2:E2333)))))-COUNTBLANK(OFFSET(A$1,,,SUMPRODUCT(MAX(ROW(E$1:E2332)*(E2=E$1:E2332))))))</f>
        <v> </v>
      </c>
      <c r="K2333" s="26" t="str">
        <f>IF(OR(E2333="",E2333="!!!",F2333="NEW"),"",INDEX(J$1:J2332,SUMPRODUCT(MAX(ROW(E$1:E2332)*(E2333=E$1:E2332)))))</f>
        <v> </v>
      </c>
      <c r="L2333" s="27"/>
    </row>
    <row r="2334" spans="1:12">
      <c r="A2334" s="20" t="s">
        <v>1740</v>
      </c>
      <c r="B2334" s="21" t="s">
        <v>804</v>
      </c>
      <c r="C2334" s="21" t="s">
        <v>621</v>
      </c>
      <c r="E2334" s="22">
        <f>IF(D2334="?OLD","!!!","")</f>
        <v/>
      </c>
      <c r="F2334" s="23" t="str">
        <f>IF(OR(E2334="",E2334="!!!"),"",IF(NOT(ISNA(VLOOKUP(E2334,E$1:E2333,1,FALSE()))),"OLD",IF(AND(E2334&lt;&gt;"",E2334&lt;&gt;"!!!"),"NEW","")))</f>
        <v> </v>
      </c>
      <c r="G2334" s="24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5" t="str">
        <f>IF(J2334&lt;&gt;1,"",IF(I2334="SBJ","CB","?"))</f>
        <v> </v>
      </c>
      <c r="I2334" s="26" t="str">
        <f>IF(OR(E2334="",E2334="!!!",F2334="NEW"),"",INDEX(B2333:B$2,-1+SUMPRODUCT(MAX(ROW(E2333:E$2)*(E2334=E2333:E$2)))))</f>
        <v> </v>
      </c>
      <c r="J2334" s="26" t="str">
        <f>IF(OR(E2334="",E2334="!!!",F2334="NEW"),"",COUNTBLANK(OFFSET(A$1,,,SUMPRODUCT(MAX(ROW(E$2:E2334)*(E2334=E$2:E2334)))))-COUNTBLANK(OFFSET(A$1,,,SUMPRODUCT(MAX(ROW(E$1:E2333)*(E2=E$1:E2333))))))</f>
        <v> </v>
      </c>
      <c r="K2334" s="26" t="str">
        <f>IF(OR(E2334="",E2334="!!!",F2334="NEW"),"",INDEX(J$1:J2333,SUMPRODUCT(MAX(ROW(E$1:E2333)*(E2334=E$1:E2333)))))</f>
        <v> </v>
      </c>
      <c r="L2334" s="27"/>
    </row>
    <row r="2335" spans="1:12">
      <c r="A2335" s="20" t="s">
        <v>611</v>
      </c>
      <c r="E2335" s="22">
        <f>IF(D2335="?OLD","!!!","")</f>
        <v/>
      </c>
      <c r="F2335" s="23" t="str">
        <f>IF(OR(E2335="",E2335="!!!"),"",IF(NOT(ISNA(VLOOKUP(E2335,E$1:E2334,1,FALSE()))),"OLD",IF(AND(E2335&lt;&gt;"",E2335&lt;&gt;"!!!"),"NEW","")))</f>
        <v> </v>
      </c>
      <c r="G2335" s="24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5" t="str">
        <f>IF(J2335&lt;&gt;1,"",IF(I2335="SBJ","CB","?"))</f>
        <v> </v>
      </c>
      <c r="I2335" s="26" t="str">
        <f>IF(OR(E2335="",E2335="!!!",F2335="NEW"),"",INDEX(B2334:B$2,-1+SUMPRODUCT(MAX(ROW(E2334:E$2)*(E2335=E2334:E$2)))))</f>
        <v> </v>
      </c>
      <c r="J2335" s="26" t="str">
        <f>IF(OR(E2335="",E2335="!!!",F2335="NEW"),"",COUNTBLANK(OFFSET(A$1,,,SUMPRODUCT(MAX(ROW(E$2:E2335)*(E2335=E$2:E2335)))))-COUNTBLANK(OFFSET(A$1,,,SUMPRODUCT(MAX(ROW(E$1:E2334)*(E2=E$1:E2334))))))</f>
        <v> </v>
      </c>
      <c r="K2335" s="26" t="str">
        <f>IF(OR(E2335="",E2335="!!!",F2335="NEW"),"",INDEX(J$1:J2334,SUMPRODUCT(MAX(ROW(E$1:E2334)*(E2335=E$1:E2334)))))</f>
        <v> </v>
      </c>
      <c r="L2335" s="27"/>
    </row>
    <row r="2336" spans="1:12">
      <c r="A2336" s="20" t="s">
        <v>714</v>
      </c>
      <c r="E2336" s="22">
        <f>IF(D2336="?OLD","!!!","")</f>
        <v/>
      </c>
      <c r="F2336" s="23" t="str">
        <f>IF(OR(E2336="",E2336="!!!"),"",IF(NOT(ISNA(VLOOKUP(E2336,E$1:E2335,1,FALSE()))),"OLD",IF(AND(E2336&lt;&gt;"",E2336&lt;&gt;"!!!"),"NEW","")))</f>
        <v> </v>
      </c>
      <c r="G2336" s="24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5" t="str">
        <f>IF(J2336&lt;&gt;1,"",IF(I2336="SBJ","CB","?"))</f>
        <v> </v>
      </c>
      <c r="I2336" s="26" t="str">
        <f>IF(OR(E2336="",E2336="!!!",F2336="NEW"),"",INDEX(B2335:B$2,-1+SUMPRODUCT(MAX(ROW(E2335:E$2)*(E2336=E2335:E$2)))))</f>
        <v> </v>
      </c>
      <c r="J2336" s="26" t="str">
        <f>IF(OR(E2336="",E2336="!!!",F2336="NEW"),"",COUNTBLANK(OFFSET(A$1,,,SUMPRODUCT(MAX(ROW(E$2:E2336)*(E2336=E$2:E2336)))))-COUNTBLANK(OFFSET(A$1,,,SUMPRODUCT(MAX(ROW(E$1:E2335)*(E2=E$1:E2335))))))</f>
        <v> </v>
      </c>
      <c r="K2336" s="26" t="str">
        <f>IF(OR(E2336="",E2336="!!!",F2336="NEW"),"",INDEX(J$1:J2335,SUMPRODUCT(MAX(ROW(E$1:E2335)*(E2336=E$1:E2335)))))</f>
        <v> </v>
      </c>
      <c r="L2336" s="27"/>
    </row>
    <row r="2337" spans="1:12">
      <c r="A2337" s="20" t="s">
        <v>1741</v>
      </c>
      <c r="B2337" s="21" t="s">
        <v>636</v>
      </c>
      <c r="C2337" s="21" t="s">
        <v>716</v>
      </c>
      <c r="D2337" s="21" t="s">
        <v>603</v>
      </c>
      <c r="E2337" s="22">
        <f>IF(D2337="?OLD","!!!","")</f>
        <v/>
      </c>
      <c r="F2337" s="23" t="str">
        <f>IF(OR(E2337="",E2337="!!!"),"",IF(NOT(ISNA(VLOOKUP(E2337,E$1:E2336,1,FALSE()))),"OLD",IF(AND(E2337&lt;&gt;"",E2337&lt;&gt;"!!!"),"NEW","")))</f>
        <v> </v>
      </c>
      <c r="G2337" s="24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5" t="str">
        <f>IF(J2337&lt;&gt;1,"",IF(I2337="SBJ","CB","?"))</f>
        <v> </v>
      </c>
      <c r="I2337" s="26" t="str">
        <f>IF(OR(E2337="",E2337="!!!",F2337="NEW"),"",INDEX(B2336:B$2,-1+SUMPRODUCT(MAX(ROW(E2336:E$2)*(E2337=E2336:E$2)))))</f>
        <v> </v>
      </c>
      <c r="J2337" s="26" t="str">
        <f>IF(OR(E2337="",E2337="!!!",F2337="NEW"),"",COUNTBLANK(OFFSET(A$1,,,SUMPRODUCT(MAX(ROW(E$2:E2337)*(E2337=E$2:E2337)))))-COUNTBLANK(OFFSET(A$1,,,SUMPRODUCT(MAX(ROW(E$1:E2336)*(E2=E$1:E2336))))))</f>
        <v> </v>
      </c>
      <c r="K2337" s="26" t="str">
        <f>IF(OR(E2337="",E2337="!!!",F2337="NEW"),"",INDEX(J$1:J2336,SUMPRODUCT(MAX(ROW(E$1:E2336)*(E2337=E$1:E2336)))))</f>
        <v> </v>
      </c>
      <c r="L2337" s="27"/>
    </row>
    <row r="2338" spans="1:12">
      <c r="A2338" s="20" t="s">
        <v>286</v>
      </c>
      <c r="E2338" s="22">
        <f>IF(D2338="?OLD","!!!","")</f>
        <v/>
      </c>
      <c r="F2338" s="23" t="str">
        <f>IF(OR(E2338="",E2338="!!!"),"",IF(NOT(ISNA(VLOOKUP(E2338,E$1:E2337,1,FALSE()))),"OLD",IF(AND(E2338&lt;&gt;"",E2338&lt;&gt;"!!!"),"NEW","")))</f>
        <v> </v>
      </c>
      <c r="G2338" s="24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5" t="str">
        <f>IF(J2338&lt;&gt;1,"",IF(I2338="SBJ","CB","?"))</f>
        <v> </v>
      </c>
      <c r="I2338" s="26" t="str">
        <f>IF(OR(E2338="",E2338="!!!",F2338="NEW"),"",INDEX(B2337:B$2,-1+SUMPRODUCT(MAX(ROW(E2337:E$2)*(E2338=E2337:E$2)))))</f>
        <v> </v>
      </c>
      <c r="J2338" s="26" t="str">
        <f>IF(OR(E2338="",E2338="!!!",F2338="NEW"),"",COUNTBLANK(OFFSET(A$1,,,SUMPRODUCT(MAX(ROW(E$2:E2338)*(E2338=E$2:E2338)))))-COUNTBLANK(OFFSET(A$1,,,SUMPRODUCT(MAX(ROW(E$1:E2337)*(E2=E$1:E2337))))))</f>
        <v> </v>
      </c>
      <c r="K2338" s="26" t="str">
        <f>IF(OR(E2338="",E2338="!!!",F2338="NEW"),"",INDEX(J$1:J2337,SUMPRODUCT(MAX(ROW(E$1:E2337)*(E2338=E$1:E2337)))))</f>
        <v> </v>
      </c>
      <c r="L2338" s="27"/>
    </row>
    <row r="2339" spans="1:12">
      <c r="A2339" s="20" t="s">
        <v>934</v>
      </c>
      <c r="E2339" s="22">
        <f>IF(D2339="?OLD","!!!","")</f>
        <v/>
      </c>
      <c r="F2339" s="23" t="str">
        <f>IF(OR(E2339="",E2339="!!!"),"",IF(NOT(ISNA(VLOOKUP(E2339,E$1:E2338,1,FALSE()))),"OLD",IF(AND(E2339&lt;&gt;"",E2339&lt;&gt;"!!!"),"NEW","")))</f>
        <v> </v>
      </c>
      <c r="G2339" s="24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5" t="str">
        <f>IF(J2339&lt;&gt;1,"",IF(I2339="SBJ","CB","?"))</f>
        <v> </v>
      </c>
      <c r="I2339" s="26" t="str">
        <f>IF(OR(E2339="",E2339="!!!",F2339="NEW"),"",INDEX(B2338:B$2,-1+SUMPRODUCT(MAX(ROW(E2338:E$2)*(E2339=E2338:E$2)))))</f>
        <v> </v>
      </c>
      <c r="J2339" s="26" t="str">
        <f>IF(OR(E2339="",E2339="!!!",F2339="NEW"),"",COUNTBLANK(OFFSET(A$1,,,SUMPRODUCT(MAX(ROW(E$2:E2339)*(E2339=E$2:E2339)))))-COUNTBLANK(OFFSET(A$1,,,SUMPRODUCT(MAX(ROW(E$1:E2338)*(E2=E$1:E2338))))))</f>
        <v> </v>
      </c>
      <c r="K2339" s="26" t="str">
        <f>IF(OR(E2339="",E2339="!!!",F2339="NEW"),"",INDEX(J$1:J2338,SUMPRODUCT(MAX(ROW(E$1:E2338)*(E2339=E$1:E2338)))))</f>
        <v> </v>
      </c>
      <c r="L2339" s="27"/>
    </row>
    <row r="2340" spans="1:12">
      <c r="A2340" s="20" t="s">
        <v>1742</v>
      </c>
      <c r="E2340" s="22">
        <f>IF(D2340="?OLD","!!!","")</f>
        <v/>
      </c>
      <c r="F2340" s="23" t="str">
        <f>IF(OR(E2340="",E2340="!!!"),"",IF(NOT(ISNA(VLOOKUP(E2340,E$1:E2339,1,FALSE()))),"OLD",IF(AND(E2340&lt;&gt;"",E2340&lt;&gt;"!!!"),"NEW","")))</f>
        <v> </v>
      </c>
      <c r="G2340" s="24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5" t="str">
        <f>IF(J2340&lt;&gt;1,"",IF(I2340="SBJ","CB","?"))</f>
        <v> </v>
      </c>
      <c r="I2340" s="26" t="str">
        <f>IF(OR(E2340="",E2340="!!!",F2340="NEW"),"",INDEX(B2339:B$2,-1+SUMPRODUCT(MAX(ROW(E2339:E$2)*(E2340=E2339:E$2)))))</f>
        <v> </v>
      </c>
      <c r="J2340" s="26" t="str">
        <f>IF(OR(E2340="",E2340="!!!",F2340="NEW"),"",COUNTBLANK(OFFSET(A$1,,,SUMPRODUCT(MAX(ROW(E$2:E2340)*(E2340=E$2:E2340)))))-COUNTBLANK(OFFSET(A$1,,,SUMPRODUCT(MAX(ROW(E$1:E2339)*(E2=E$1:E2339))))))</f>
        <v> </v>
      </c>
      <c r="K2340" s="26" t="str">
        <f>IF(OR(E2340="",E2340="!!!",F2340="NEW"),"",INDEX(J$1:J2339,SUMPRODUCT(MAX(ROW(E$1:E2339)*(E2340=E$1:E2339)))))</f>
        <v> </v>
      </c>
      <c r="L2340" s="27"/>
    </row>
    <row r="2341" spans="1:12">
      <c r="A2341" s="20" t="s">
        <v>1743</v>
      </c>
      <c r="E2341" s="22">
        <f>IF(D2341="?OLD","!!!","")</f>
        <v/>
      </c>
      <c r="F2341" s="23" t="str">
        <f>IF(OR(E2341="",E2341="!!!"),"",IF(NOT(ISNA(VLOOKUP(E2341,E$1:E2340,1,FALSE()))),"OLD",IF(AND(E2341&lt;&gt;"",E2341&lt;&gt;"!!!"),"NEW","")))</f>
        <v> </v>
      </c>
      <c r="G2341" s="24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5" t="str">
        <f>IF(J2341&lt;&gt;1,"",IF(I2341="SBJ","CB","?"))</f>
        <v> </v>
      </c>
      <c r="I2341" s="26" t="str">
        <f>IF(OR(E2341="",E2341="!!!",F2341="NEW"),"",INDEX(B2340:B$2,-1+SUMPRODUCT(MAX(ROW(E2340:E$2)*(E2341=E2340:E$2)))))</f>
        <v> </v>
      </c>
      <c r="J2341" s="26" t="str">
        <f>IF(OR(E2341="",E2341="!!!",F2341="NEW"),"",COUNTBLANK(OFFSET(A$1,,,SUMPRODUCT(MAX(ROW(E$2:E2341)*(E2341=E$2:E2341)))))-COUNTBLANK(OFFSET(A$1,,,SUMPRODUCT(MAX(ROW(E$1:E2340)*(E2=E$1:E2340))))))</f>
        <v> </v>
      </c>
      <c r="K2341" s="26" t="str">
        <f>IF(OR(E2341="",E2341="!!!",F2341="NEW"),"",INDEX(J$1:J2340,SUMPRODUCT(MAX(ROW(E$1:E2340)*(E2341=E$1:E2340)))))</f>
        <v> </v>
      </c>
      <c r="L2341" s="27"/>
    </row>
    <row r="2342" spans="1:12">
      <c r="A2342" s="20" t="s">
        <v>1744</v>
      </c>
      <c r="B2342" s="21" t="s">
        <v>793</v>
      </c>
      <c r="E2342" s="22">
        <f>IF(D2342="?OLD","!!!","")</f>
        <v/>
      </c>
      <c r="F2342" s="23" t="str">
        <f>IF(OR(E2342="",E2342="!!!"),"",IF(NOT(ISNA(VLOOKUP(E2342,E$1:E2341,1,FALSE()))),"OLD",IF(AND(E2342&lt;&gt;"",E2342&lt;&gt;"!!!"),"NEW","")))</f>
        <v> </v>
      </c>
      <c r="G2342" s="24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5" t="str">
        <f>IF(J2342&lt;&gt;1,"",IF(I2342="SBJ","CB","?"))</f>
        <v> </v>
      </c>
      <c r="I2342" s="26" t="str">
        <f>IF(OR(E2342="",E2342="!!!",F2342="NEW"),"",INDEX(B2341:B$2,-1+SUMPRODUCT(MAX(ROW(E2341:E$2)*(E2342=E2341:E$2)))))</f>
        <v> </v>
      </c>
      <c r="J2342" s="26" t="str">
        <f>IF(OR(E2342="",E2342="!!!",F2342="NEW"),"",COUNTBLANK(OFFSET(A$1,,,SUMPRODUCT(MAX(ROW(E$2:E2342)*(E2342=E$2:E2342)))))-COUNTBLANK(OFFSET(A$1,,,SUMPRODUCT(MAX(ROW(E$1:E2341)*(E2=E$1:E2341))))))</f>
        <v> </v>
      </c>
      <c r="K2342" s="26" t="str">
        <f>IF(OR(E2342="",E2342="!!!",F2342="NEW"),"",INDEX(J$1:J2341,SUMPRODUCT(MAX(ROW(E$1:E2341)*(E2342=E$1:E2341)))))</f>
        <v> </v>
      </c>
      <c r="L2342" s="27"/>
    </row>
    <row r="2343" spans="1:12">
      <c r="A2343" s="20" t="s">
        <v>633</v>
      </c>
      <c r="E2343" s="22">
        <f>IF(D2343="?OLD","!!!","")</f>
        <v/>
      </c>
      <c r="F2343" s="23" t="str">
        <f>IF(OR(E2343="",E2343="!!!"),"",IF(NOT(ISNA(VLOOKUP(E2343,E$1:E2342,1,FALSE()))),"OLD",IF(AND(E2343&lt;&gt;"",E2343&lt;&gt;"!!!"),"NEW","")))</f>
        <v> </v>
      </c>
      <c r="G2343" s="24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5" t="str">
        <f>IF(J2343&lt;&gt;1,"",IF(I2343="SBJ","CB","?"))</f>
        <v> </v>
      </c>
      <c r="I2343" s="26" t="str">
        <f>IF(OR(E2343="",E2343="!!!",F2343="NEW"),"",INDEX(B2342:B$2,-1+SUMPRODUCT(MAX(ROW(E2342:E$2)*(E2343=E2342:E$2)))))</f>
        <v> </v>
      </c>
      <c r="J2343" s="26" t="str">
        <f>IF(OR(E2343="",E2343="!!!",F2343="NEW"),"",COUNTBLANK(OFFSET(A$1,,,SUMPRODUCT(MAX(ROW(E$2:E2343)*(E2343=E$2:E2343)))))-COUNTBLANK(OFFSET(A$1,,,SUMPRODUCT(MAX(ROW(E$1:E2342)*(E2=E$1:E2342))))))</f>
        <v> </v>
      </c>
      <c r="K2343" s="26" t="str">
        <f>IF(OR(E2343="",E2343="!!!",F2343="NEW"),"",INDEX(J$1:J2342,SUMPRODUCT(MAX(ROW(E$1:E2342)*(E2343=E$1:E2342)))))</f>
        <v> </v>
      </c>
      <c r="L2343" s="27"/>
    </row>
    <row r="2344" spans="1:12">
      <c r="A2344" s="20"/>
    </row>
    <row r="2345" spans="1:12">
      <c r="A2345" s="20" t="s">
        <v>1745</v>
      </c>
    </row>
    <row r="2346" spans="1:12">
      <c r="A2346" s="20" t="s">
        <v>1746</v>
      </c>
      <c r="B2346" s="21" t="s">
        <v>601</v>
      </c>
      <c r="C2346" s="21" t="s">
        <v>602</v>
      </c>
      <c r="D2346" s="21" t="s">
        <v>603</v>
      </c>
      <c r="E2346" s="22">
        <f>IF(D2346="?OLD","!!!","")</f>
        <v/>
      </c>
      <c r="F2346" s="23" t="str">
        <f>IF(OR(E2346="",E2346="!!!"),"",IF(NOT(ISNA(VLOOKUP(E2346,E$1:E2345,1,FALSE()))),"OLD",IF(AND(E2346&lt;&gt;"",E2346&lt;&gt;"!!!"),"NEW","")))</f>
        <v> </v>
      </c>
      <c r="G2346" s="24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5" t="str">
        <f>IF(J2346&lt;&gt;1,"",IF(I2346="SBJ","CB","?"))</f>
        <v> </v>
      </c>
      <c r="I2346" s="26" t="str">
        <f>IF(OR(E2346="",E2346="!!!",F2346="NEW"),"",INDEX(B2345:B$2,-1+SUMPRODUCT(MAX(ROW(E2345:E$2)*(E2346=E2345:E$2)))))</f>
        <v> </v>
      </c>
      <c r="J2346" s="26" t="str">
        <f>IF(OR(E2346="",E2346="!!!",F2346="NEW"),"",COUNTBLANK(OFFSET(A$1,,,SUMPRODUCT(MAX(ROW(E$2:E2346)*(E2346=E$2:E2346)))))-COUNTBLANK(OFFSET(A$1,,,SUMPRODUCT(MAX(ROW(E$1:E2345)*(E2=E$1:E2345))))))</f>
        <v> </v>
      </c>
      <c r="K2346" s="26" t="str">
        <f>IF(OR(E2346="",E2346="!!!",F2346="NEW"),"",INDEX(J$1:J2345,SUMPRODUCT(MAX(ROW(E$1:E2345)*(E2346=E$1:E2345)))))</f>
        <v> </v>
      </c>
      <c r="L2346" s="27"/>
    </row>
    <row r="2347" spans="1:12">
      <c r="A2347" s="20" t="s">
        <v>824</v>
      </c>
      <c r="B2347" s="21" t="s">
        <v>652</v>
      </c>
      <c r="C2347" s="21" t="s">
        <v>602</v>
      </c>
      <c r="D2347" s="21" t="s">
        <v>603</v>
      </c>
      <c r="E2347" s="22">
        <f>IF(D2347="?OLD","!!!","")</f>
        <v/>
      </c>
      <c r="F2347" s="23" t="str">
        <f>IF(OR(E2347="",E2347="!!!"),"",IF(NOT(ISNA(VLOOKUP(E2347,E$1:E2346,1,FALSE()))),"OLD",IF(AND(E2347&lt;&gt;"",E2347&lt;&gt;"!!!"),"NEW","")))</f>
        <v> </v>
      </c>
      <c r="G2347" s="24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5" t="str">
        <f>IF(J2347&lt;&gt;1,"",IF(I2347="SBJ","CB","?"))</f>
        <v> </v>
      </c>
      <c r="I2347" s="26" t="str">
        <f>IF(OR(E2347="",E2347="!!!",F2347="NEW"),"",INDEX(B2346:B$2,-1+SUMPRODUCT(MAX(ROW(E2346:E$2)*(E2347=E2346:E$2)))))</f>
        <v> </v>
      </c>
      <c r="J2347" s="26" t="str">
        <f>IF(OR(E2347="",E2347="!!!",F2347="NEW"),"",COUNTBLANK(OFFSET(A$1,,,SUMPRODUCT(MAX(ROW(E$2:E2347)*(E2347=E$2:E2347)))))-COUNTBLANK(OFFSET(A$1,,,SUMPRODUCT(MAX(ROW(E$1:E2346)*(E2=E$1:E2346))))))</f>
        <v> </v>
      </c>
      <c r="K2347" s="26" t="str">
        <f>IF(OR(E2347="",E2347="!!!",F2347="NEW"),"",INDEX(J$1:J2346,SUMPRODUCT(MAX(ROW(E$1:E2346)*(E2347=E$1:E2346)))))</f>
        <v> </v>
      </c>
      <c r="L2347" s="27"/>
    </row>
    <row r="2348" spans="1:12">
      <c r="A2348" s="20" t="s">
        <v>1029</v>
      </c>
      <c r="E2348" s="22">
        <f>IF(D2348="?OLD","!!!","")</f>
        <v/>
      </c>
      <c r="F2348" s="23" t="str">
        <f>IF(OR(E2348="",E2348="!!!"),"",IF(NOT(ISNA(VLOOKUP(E2348,E$1:E2347,1,FALSE()))),"OLD",IF(AND(E2348&lt;&gt;"",E2348&lt;&gt;"!!!"),"NEW","")))</f>
        <v> </v>
      </c>
      <c r="G2348" s="24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5" t="str">
        <f>IF(J2348&lt;&gt;1,"",IF(I2348="SBJ","CB","?"))</f>
        <v> </v>
      </c>
      <c r="I2348" s="26" t="str">
        <f>IF(OR(E2348="",E2348="!!!",F2348="NEW"),"",INDEX(B2347:B$2,-1+SUMPRODUCT(MAX(ROW(E2347:E$2)*(E2348=E2347:E$2)))))</f>
        <v> </v>
      </c>
      <c r="J2348" s="26" t="str">
        <f>IF(OR(E2348="",E2348="!!!",F2348="NEW"),"",COUNTBLANK(OFFSET(A$1,,,SUMPRODUCT(MAX(ROW(E$2:E2348)*(E2348=E$2:E2348)))))-COUNTBLANK(OFFSET(A$1,,,SUMPRODUCT(MAX(ROW(E$1:E2347)*(E2=E$1:E2347))))))</f>
        <v> </v>
      </c>
      <c r="K2348" s="26" t="str">
        <f>IF(OR(E2348="",E2348="!!!",F2348="NEW"),"",INDEX(J$1:J2347,SUMPRODUCT(MAX(ROW(E$1:E2347)*(E2348=E$1:E2347)))))</f>
        <v> </v>
      </c>
      <c r="L2348" s="27"/>
    </row>
    <row r="2349" spans="1:12">
      <c r="A2349" s="20" t="s">
        <v>672</v>
      </c>
      <c r="E2349" s="22">
        <f>IF(D2349="?OLD","!!!","")</f>
        <v/>
      </c>
      <c r="F2349" s="23" t="str">
        <f>IF(OR(E2349="",E2349="!!!"),"",IF(NOT(ISNA(VLOOKUP(E2349,E$1:E2348,1,FALSE()))),"OLD",IF(AND(E2349&lt;&gt;"",E2349&lt;&gt;"!!!"),"NEW","")))</f>
        <v> </v>
      </c>
      <c r="G2349" s="24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5" t="str">
        <f>IF(J2349&lt;&gt;1,"",IF(I2349="SBJ","CB","?"))</f>
        <v> </v>
      </c>
      <c r="I2349" s="26" t="str">
        <f>IF(OR(E2349="",E2349="!!!",F2349="NEW"),"",INDEX(B2348:B$2,-1+SUMPRODUCT(MAX(ROW(E2348:E$2)*(E2349=E2348:E$2)))))</f>
        <v> </v>
      </c>
      <c r="J2349" s="26" t="str">
        <f>IF(OR(E2349="",E2349="!!!",F2349="NEW"),"",COUNTBLANK(OFFSET(A$1,,,SUMPRODUCT(MAX(ROW(E$2:E2349)*(E2349=E$2:E2349)))))-COUNTBLANK(OFFSET(A$1,,,SUMPRODUCT(MAX(ROW(E$1:E2348)*(E2=E$1:E2348))))))</f>
        <v> </v>
      </c>
      <c r="K2349" s="26" t="str">
        <f>IF(OR(E2349="",E2349="!!!",F2349="NEW"),"",INDEX(J$1:J2348,SUMPRODUCT(MAX(ROW(E$1:E2348)*(E2349=E$1:E2348)))))</f>
        <v> </v>
      </c>
      <c r="L2349" s="27"/>
    </row>
    <row r="2350" spans="1:12">
      <c r="A2350" s="20" t="s">
        <v>1747</v>
      </c>
      <c r="E2350" s="22">
        <f>IF(D2350="?OLD","!!!","")</f>
        <v/>
      </c>
      <c r="F2350" s="23" t="str">
        <f>IF(OR(E2350="",E2350="!!!"),"",IF(NOT(ISNA(VLOOKUP(E2350,E$1:E2349,1,FALSE()))),"OLD",IF(AND(E2350&lt;&gt;"",E2350&lt;&gt;"!!!"),"NEW","")))</f>
        <v> </v>
      </c>
      <c r="G2350" s="24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5" t="str">
        <f>IF(J2350&lt;&gt;1,"",IF(I2350="SBJ","CB","?"))</f>
        <v> </v>
      </c>
      <c r="I2350" s="26" t="str">
        <f>IF(OR(E2350="",E2350="!!!",F2350="NEW"),"",INDEX(B2349:B$2,-1+SUMPRODUCT(MAX(ROW(E2349:E$2)*(E2350=E2349:E$2)))))</f>
        <v> </v>
      </c>
      <c r="J2350" s="26" t="str">
        <f>IF(OR(E2350="",E2350="!!!",F2350="NEW"),"",COUNTBLANK(OFFSET(A$1,,,SUMPRODUCT(MAX(ROW(E$2:E2350)*(E2350=E$2:E2350)))))-COUNTBLANK(OFFSET(A$1,,,SUMPRODUCT(MAX(ROW(E$1:E2349)*(E2=E$1:E2349))))))</f>
        <v> </v>
      </c>
      <c r="K2350" s="26" t="str">
        <f>IF(OR(E2350="",E2350="!!!",F2350="NEW"),"",INDEX(J$1:J2349,SUMPRODUCT(MAX(ROW(E$1:E2349)*(E2350=E$1:E2349)))))</f>
        <v> </v>
      </c>
      <c r="L2350" s="27"/>
    </row>
    <row r="2351" spans="1:12">
      <c r="A2351" s="20" t="s">
        <v>1748</v>
      </c>
      <c r="E2351" s="22">
        <f>IF(D2351="?OLD","!!!","")</f>
        <v/>
      </c>
      <c r="F2351" s="23" t="str">
        <f>IF(OR(E2351="",E2351="!!!"),"",IF(NOT(ISNA(VLOOKUP(E2351,E$1:E2350,1,FALSE()))),"OLD",IF(AND(E2351&lt;&gt;"",E2351&lt;&gt;"!!!"),"NEW","")))</f>
        <v> </v>
      </c>
      <c r="G2351" s="24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5" t="str">
        <f>IF(J2351&lt;&gt;1,"",IF(I2351="SBJ","CB","?"))</f>
        <v> </v>
      </c>
      <c r="I2351" s="26" t="str">
        <f>IF(OR(E2351="",E2351="!!!",F2351="NEW"),"",INDEX(B2350:B$2,-1+SUMPRODUCT(MAX(ROW(E2350:E$2)*(E2351=E2350:E$2)))))</f>
        <v> </v>
      </c>
      <c r="J2351" s="26" t="str">
        <f>IF(OR(E2351="",E2351="!!!",F2351="NEW"),"",COUNTBLANK(OFFSET(A$1,,,SUMPRODUCT(MAX(ROW(E$2:E2351)*(E2351=E$2:E2351)))))-COUNTBLANK(OFFSET(A$1,,,SUMPRODUCT(MAX(ROW(E$1:E2350)*(E2=E$1:E2350))))))</f>
        <v> </v>
      </c>
      <c r="K2351" s="26" t="str">
        <f>IF(OR(E2351="",E2351="!!!",F2351="NEW"),"",INDEX(J$1:J2350,SUMPRODUCT(MAX(ROW(E$1:E2350)*(E2351=E$1:E2350)))))</f>
        <v> </v>
      </c>
      <c r="L2351" s="27"/>
    </row>
    <row r="2352" spans="1:12">
      <c r="A2352" s="20" t="s">
        <v>934</v>
      </c>
      <c r="E2352" s="22">
        <f>IF(D2352="?OLD","!!!","")</f>
        <v/>
      </c>
      <c r="F2352" s="23" t="str">
        <f>IF(OR(E2352="",E2352="!!!"),"",IF(NOT(ISNA(VLOOKUP(E2352,E$1:E2351,1,FALSE()))),"OLD",IF(AND(E2352&lt;&gt;"",E2352&lt;&gt;"!!!"),"NEW","")))</f>
        <v> </v>
      </c>
      <c r="G2352" s="24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5" t="str">
        <f>IF(J2352&lt;&gt;1,"",IF(I2352="SBJ","CB","?"))</f>
        <v> </v>
      </c>
      <c r="I2352" s="26" t="str">
        <f>IF(OR(E2352="",E2352="!!!",F2352="NEW"),"",INDEX(B2351:B$2,-1+SUMPRODUCT(MAX(ROW(E2351:E$2)*(E2352=E2351:E$2)))))</f>
        <v> </v>
      </c>
      <c r="J2352" s="26" t="str">
        <f>IF(OR(E2352="",E2352="!!!",F2352="NEW"),"",COUNTBLANK(OFFSET(A$1,,,SUMPRODUCT(MAX(ROW(E$2:E2352)*(E2352=E$2:E2352)))))-COUNTBLANK(OFFSET(A$1,,,SUMPRODUCT(MAX(ROW(E$1:E2351)*(E2=E$1:E2351))))))</f>
        <v> </v>
      </c>
      <c r="K2352" s="26" t="str">
        <f>IF(OR(E2352="",E2352="!!!",F2352="NEW"),"",INDEX(J$1:J2351,SUMPRODUCT(MAX(ROW(E$1:E2351)*(E2352=E$1:E2351)))))</f>
        <v> </v>
      </c>
      <c r="L2352" s="27"/>
    </row>
    <row r="2353" spans="1:12">
      <c r="A2353" s="20" t="s">
        <v>1749</v>
      </c>
      <c r="E2353" s="22">
        <f>IF(D2353="?OLD","!!!","")</f>
        <v/>
      </c>
      <c r="F2353" s="23" t="str">
        <f>IF(OR(E2353="",E2353="!!!"),"",IF(NOT(ISNA(VLOOKUP(E2353,E$1:E2352,1,FALSE()))),"OLD",IF(AND(E2353&lt;&gt;"",E2353&lt;&gt;"!!!"),"NEW","")))</f>
        <v> </v>
      </c>
      <c r="G2353" s="24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5" t="str">
        <f>IF(J2353&lt;&gt;1,"",IF(I2353="SBJ","CB","?"))</f>
        <v> </v>
      </c>
      <c r="I2353" s="26" t="str">
        <f>IF(OR(E2353="",E2353="!!!",F2353="NEW"),"",INDEX(B2352:B$2,-1+SUMPRODUCT(MAX(ROW(E2352:E$2)*(E2353=E2352:E$2)))))</f>
        <v> </v>
      </c>
      <c r="J2353" s="26" t="str">
        <f>IF(OR(E2353="",E2353="!!!",F2353="NEW"),"",COUNTBLANK(OFFSET(A$1,,,SUMPRODUCT(MAX(ROW(E$2:E2353)*(E2353=E$2:E2353)))))-COUNTBLANK(OFFSET(A$1,,,SUMPRODUCT(MAX(ROW(E$1:E2352)*(E2=E$1:E2352))))))</f>
        <v> </v>
      </c>
      <c r="K2353" s="26" t="str">
        <f>IF(OR(E2353="",E2353="!!!",F2353="NEW"),"",INDEX(J$1:J2352,SUMPRODUCT(MAX(ROW(E$1:E2352)*(E2353=E$1:E2352)))))</f>
        <v> </v>
      </c>
      <c r="L2353" s="27"/>
    </row>
    <row r="2354" spans="1:12">
      <c r="A2354" s="20" t="s">
        <v>1750</v>
      </c>
      <c r="B2354" s="21" t="s">
        <v>620</v>
      </c>
      <c r="C2354" s="21" t="s">
        <v>733</v>
      </c>
      <c r="D2354" s="21" t="s">
        <v>603</v>
      </c>
      <c r="E2354" s="22">
        <f>IF(D2354="?OLD","!!!","")</f>
        <v/>
      </c>
      <c r="F2354" s="23" t="str">
        <f>IF(OR(E2354="",E2354="!!!"),"",IF(NOT(ISNA(VLOOKUP(E2354,E$1:E2353,1,FALSE()))),"OLD",IF(AND(E2354&lt;&gt;"",E2354&lt;&gt;"!!!"),"NEW","")))</f>
        <v> </v>
      </c>
      <c r="G2354" s="24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5" t="str">
        <f>IF(J2354&lt;&gt;1,"",IF(I2354="SBJ","CB","?"))</f>
        <v> </v>
      </c>
      <c r="I2354" s="26" t="str">
        <f>IF(OR(E2354="",E2354="!!!",F2354="NEW"),"",INDEX(B2353:B$2,-1+SUMPRODUCT(MAX(ROW(E2353:E$2)*(E2354=E2353:E$2)))))</f>
        <v> </v>
      </c>
      <c r="J2354" s="26" t="str">
        <f>IF(OR(E2354="",E2354="!!!",F2354="NEW"),"",COUNTBLANK(OFFSET(A$1,,,SUMPRODUCT(MAX(ROW(E$2:E2354)*(E2354=E$2:E2354)))))-COUNTBLANK(OFFSET(A$1,,,SUMPRODUCT(MAX(ROW(E$1:E2353)*(E2=E$1:E2353))))))</f>
        <v> </v>
      </c>
      <c r="K2354" s="26" t="str">
        <f>IF(OR(E2354="",E2354="!!!",F2354="NEW"),"",INDEX(J$1:J2353,SUMPRODUCT(MAX(ROW(E$1:E2353)*(E2354=E$1:E2353)))))</f>
        <v> </v>
      </c>
      <c r="L2354" s="27"/>
    </row>
    <row r="2355" spans="1:12">
      <c r="A2355" s="20" t="s">
        <v>1751</v>
      </c>
      <c r="B2355" s="21" t="s">
        <v>793</v>
      </c>
      <c r="E2355" s="22">
        <f>IF(D2355="?OLD","!!!","")</f>
        <v/>
      </c>
      <c r="F2355" s="23" t="str">
        <f>IF(OR(E2355="",E2355="!!!"),"",IF(NOT(ISNA(VLOOKUP(E2355,E$1:E2354,1,FALSE()))),"OLD",IF(AND(E2355&lt;&gt;"",E2355&lt;&gt;"!!!"),"NEW","")))</f>
        <v> </v>
      </c>
      <c r="G2355" s="24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5" t="str">
        <f>IF(J2355&lt;&gt;1,"",IF(I2355="SBJ","CB","?"))</f>
        <v> </v>
      </c>
      <c r="I2355" s="26" t="str">
        <f>IF(OR(E2355="",E2355="!!!",F2355="NEW"),"",INDEX(B2354:B$2,-1+SUMPRODUCT(MAX(ROW(E2354:E$2)*(E2355=E2354:E$2)))))</f>
        <v> </v>
      </c>
      <c r="J2355" s="26" t="str">
        <f>IF(OR(E2355="",E2355="!!!",F2355="NEW"),"",COUNTBLANK(OFFSET(A$1,,,SUMPRODUCT(MAX(ROW(E$2:E2355)*(E2355=E$2:E2355)))))-COUNTBLANK(OFFSET(A$1,,,SUMPRODUCT(MAX(ROW(E$1:E2354)*(E2=E$1:E2354))))))</f>
        <v> </v>
      </c>
      <c r="K2355" s="26" t="str">
        <f>IF(OR(E2355="",E2355="!!!",F2355="NEW"),"",INDEX(J$1:J2354,SUMPRODUCT(MAX(ROW(E$1:E2354)*(E2355=E$1:E2354)))))</f>
        <v> </v>
      </c>
      <c r="L2355" s="27"/>
    </row>
    <row r="2356" spans="1:12">
      <c r="A2356" s="20" t="s">
        <v>1752</v>
      </c>
      <c r="E2356" s="22">
        <f>IF(D2356="?OLD","!!!","")</f>
        <v/>
      </c>
      <c r="F2356" s="23" t="str">
        <f>IF(OR(E2356="",E2356="!!!"),"",IF(NOT(ISNA(VLOOKUP(E2356,E$1:E2355,1,FALSE()))),"OLD",IF(AND(E2356&lt;&gt;"",E2356&lt;&gt;"!!!"),"NEW","")))</f>
        <v> </v>
      </c>
      <c r="G2356" s="24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5" t="str">
        <f>IF(J2356&lt;&gt;1,"",IF(I2356="SBJ","CB","?"))</f>
        <v> </v>
      </c>
      <c r="I2356" s="26" t="str">
        <f>IF(OR(E2356="",E2356="!!!",F2356="NEW"),"",INDEX(B2355:B$2,-1+SUMPRODUCT(MAX(ROW(E2355:E$2)*(E2356=E2355:E$2)))))</f>
        <v> </v>
      </c>
      <c r="J2356" s="26" t="str">
        <f>IF(OR(E2356="",E2356="!!!",F2356="NEW"),"",COUNTBLANK(OFFSET(A$1,,,SUMPRODUCT(MAX(ROW(E$2:E2356)*(E2356=E$2:E2356)))))-COUNTBLANK(OFFSET(A$1,,,SUMPRODUCT(MAX(ROW(E$1:E2355)*(E2=E$1:E2355))))))</f>
        <v> </v>
      </c>
      <c r="K2356" s="26" t="str">
        <f>IF(OR(E2356="",E2356="!!!",F2356="NEW"),"",INDEX(J$1:J2355,SUMPRODUCT(MAX(ROW(E$1:E2355)*(E2356=E$1:E2355)))))</f>
        <v> </v>
      </c>
      <c r="L2356" s="27"/>
    </row>
    <row r="2357" spans="1:12">
      <c r="A2357" s="20" t="s">
        <v>1753</v>
      </c>
      <c r="B2357" s="21" t="s">
        <v>793</v>
      </c>
      <c r="C2357" s="21" t="s">
        <v>644</v>
      </c>
      <c r="D2357" s="21" t="s">
        <v>603</v>
      </c>
      <c r="E2357" s="22">
        <f>IF(D2357="?OLD","!!!","")</f>
        <v/>
      </c>
      <c r="F2357" s="23" t="str">
        <f>IF(OR(E2357="",E2357="!!!"),"",IF(NOT(ISNA(VLOOKUP(E2357,E$1:E2356,1,FALSE()))),"OLD",IF(AND(E2357&lt;&gt;"",E2357&lt;&gt;"!!!"),"NEW","")))</f>
        <v> </v>
      </c>
      <c r="G2357" s="24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5" t="str">
        <f>IF(J2357&lt;&gt;1,"",IF(I2357="SBJ","CB","?"))</f>
        <v> </v>
      </c>
      <c r="I2357" s="26" t="str">
        <f>IF(OR(E2357="",E2357="!!!",F2357="NEW"),"",INDEX(B2356:B$2,-1+SUMPRODUCT(MAX(ROW(E2356:E$2)*(E2357=E2356:E$2)))))</f>
        <v> </v>
      </c>
      <c r="J2357" s="26" t="str">
        <f>IF(OR(E2357="",E2357="!!!",F2357="NEW"),"",COUNTBLANK(OFFSET(A$1,,,SUMPRODUCT(MAX(ROW(E$2:E2357)*(E2357=E$2:E2357)))))-COUNTBLANK(OFFSET(A$1,,,SUMPRODUCT(MAX(ROW(E$1:E2356)*(E2=E$1:E2356))))))</f>
        <v> </v>
      </c>
      <c r="K2357" s="26" t="str">
        <f>IF(OR(E2357="",E2357="!!!",F2357="NEW"),"",INDEX(J$1:J2356,SUMPRODUCT(MAX(ROW(E$1:E2356)*(E2357=E$1:E2356)))))</f>
        <v> </v>
      </c>
      <c r="L2357" s="27"/>
    </row>
    <row r="2358" spans="1:12">
      <c r="A2358" s="20" t="s">
        <v>1015</v>
      </c>
      <c r="E2358" s="22">
        <f>IF(D2358="?OLD","!!!","")</f>
        <v/>
      </c>
      <c r="F2358" s="23" t="str">
        <f>IF(OR(E2358="",E2358="!!!"),"",IF(NOT(ISNA(VLOOKUP(E2358,E$1:E2357,1,FALSE()))),"OLD",IF(AND(E2358&lt;&gt;"",E2358&lt;&gt;"!!!"),"NEW","")))</f>
        <v> </v>
      </c>
      <c r="G2358" s="24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5" t="str">
        <f>IF(J2358&lt;&gt;1,"",IF(I2358="SBJ","CB","?"))</f>
        <v> </v>
      </c>
      <c r="I2358" s="26" t="str">
        <f>IF(OR(E2358="",E2358="!!!",F2358="NEW"),"",INDEX(B2357:B$2,-1+SUMPRODUCT(MAX(ROW(E2357:E$2)*(E2358=E2357:E$2)))))</f>
        <v> </v>
      </c>
      <c r="J2358" s="26" t="str">
        <f>IF(OR(E2358="",E2358="!!!",F2358="NEW"),"",COUNTBLANK(OFFSET(A$1,,,SUMPRODUCT(MAX(ROW(E$2:E2358)*(E2358=E$2:E2358)))))-COUNTBLANK(OFFSET(A$1,,,SUMPRODUCT(MAX(ROW(E$1:E2357)*(E2=E$1:E2357))))))</f>
        <v> </v>
      </c>
      <c r="K2358" s="26" t="str">
        <f>IF(OR(E2358="",E2358="!!!",F2358="NEW"),"",INDEX(J$1:J2357,SUMPRODUCT(MAX(ROW(E$1:E2357)*(E2358=E$1:E2357)))))</f>
        <v> </v>
      </c>
      <c r="L2358" s="27"/>
    </row>
    <row r="2359" spans="1:12">
      <c r="A2359" s="20" t="s">
        <v>864</v>
      </c>
      <c r="B2359" s="21" t="s">
        <v>620</v>
      </c>
      <c r="C2359" s="21" t="s">
        <v>723</v>
      </c>
      <c r="D2359" s="21" t="s">
        <v>603</v>
      </c>
      <c r="E2359" s="22">
        <f>IF(D2359="?OLD","!!!","")</f>
        <v/>
      </c>
      <c r="F2359" s="23" t="str">
        <f>IF(OR(E2359="",E2359="!!!"),"",IF(NOT(ISNA(VLOOKUP(E2359,E$1:E2358,1,FALSE()))),"OLD",IF(AND(E2359&lt;&gt;"",E2359&lt;&gt;"!!!"),"NEW","")))</f>
        <v> </v>
      </c>
      <c r="G2359" s="24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5" t="str">
        <f>IF(J2359&lt;&gt;1,"",IF(I2359="SBJ","CB","?"))</f>
        <v> </v>
      </c>
      <c r="I2359" s="26" t="str">
        <f>IF(OR(E2359="",E2359="!!!",F2359="NEW"),"",INDEX(B2358:B$2,-1+SUMPRODUCT(MAX(ROW(E2358:E$2)*(E2359=E2358:E$2)))))</f>
        <v> </v>
      </c>
      <c r="J2359" s="26" t="str">
        <f>IF(OR(E2359="",E2359="!!!",F2359="NEW"),"",COUNTBLANK(OFFSET(A$1,,,SUMPRODUCT(MAX(ROW(E$2:E2359)*(E2359=E$2:E2359)))))-COUNTBLANK(OFFSET(A$1,,,SUMPRODUCT(MAX(ROW(E$1:E2358)*(E2=E$1:E2358))))))</f>
        <v> </v>
      </c>
      <c r="K2359" s="26" t="str">
        <f>IF(OR(E2359="",E2359="!!!",F2359="NEW"),"",INDEX(J$1:J2358,SUMPRODUCT(MAX(ROW(E$1:E2358)*(E2359=E$1:E2358)))))</f>
        <v> </v>
      </c>
      <c r="L2359" s="27"/>
    </row>
    <row r="2360" spans="1:12">
      <c r="A2360" s="20" t="s">
        <v>611</v>
      </c>
      <c r="E2360" s="22">
        <f>IF(D2360="?OLD","!!!","")</f>
        <v/>
      </c>
      <c r="F2360" s="23" t="str">
        <f>IF(OR(E2360="",E2360="!!!"),"",IF(NOT(ISNA(VLOOKUP(E2360,E$1:E2359,1,FALSE()))),"OLD",IF(AND(E2360&lt;&gt;"",E2360&lt;&gt;"!!!"),"NEW","")))</f>
        <v> </v>
      </c>
      <c r="G2360" s="24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5" t="str">
        <f>IF(J2360&lt;&gt;1,"",IF(I2360="SBJ","CB","?"))</f>
        <v> </v>
      </c>
      <c r="I2360" s="26" t="str">
        <f>IF(OR(E2360="",E2360="!!!",F2360="NEW"),"",INDEX(B2359:B$2,-1+SUMPRODUCT(MAX(ROW(E2359:E$2)*(E2360=E2359:E$2)))))</f>
        <v> </v>
      </c>
      <c r="J2360" s="26" t="str">
        <f>IF(OR(E2360="",E2360="!!!",F2360="NEW"),"",COUNTBLANK(OFFSET(A$1,,,SUMPRODUCT(MAX(ROW(E$2:E2360)*(E2360=E$2:E2360)))))-COUNTBLANK(OFFSET(A$1,,,SUMPRODUCT(MAX(ROW(E$1:E2359)*(E2=E$1:E2359))))))</f>
        <v> </v>
      </c>
      <c r="K2360" s="26" t="str">
        <f>IF(OR(E2360="",E2360="!!!",F2360="NEW"),"",INDEX(J$1:J2359,SUMPRODUCT(MAX(ROW(E$1:E2359)*(E2360=E$1:E2359)))))</f>
        <v> </v>
      </c>
      <c r="L2360" s="27"/>
    </row>
    <row r="2361" spans="1:12">
      <c r="A2361" s="20" t="s">
        <v>658</v>
      </c>
      <c r="E2361" s="22">
        <f>IF(D2361="?OLD","!!!","")</f>
        <v/>
      </c>
      <c r="F2361" s="23" t="str">
        <f>IF(OR(E2361="",E2361="!!!"),"",IF(NOT(ISNA(VLOOKUP(E2361,E$1:E2360,1,FALSE()))),"OLD",IF(AND(E2361&lt;&gt;"",E2361&lt;&gt;"!!!"),"NEW","")))</f>
        <v> </v>
      </c>
      <c r="G2361" s="24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5" t="str">
        <f>IF(J2361&lt;&gt;1,"",IF(I2361="SBJ","CB","?"))</f>
        <v> </v>
      </c>
      <c r="I2361" s="26" t="str">
        <f>IF(OR(E2361="",E2361="!!!",F2361="NEW"),"",INDEX(B2360:B$2,-1+SUMPRODUCT(MAX(ROW(E2360:E$2)*(E2361=E2360:E$2)))))</f>
        <v> </v>
      </c>
      <c r="J2361" s="26" t="str">
        <f>IF(OR(E2361="",E2361="!!!",F2361="NEW"),"",COUNTBLANK(OFFSET(A$1,,,SUMPRODUCT(MAX(ROW(E$2:E2361)*(E2361=E$2:E2361)))))-COUNTBLANK(OFFSET(A$1,,,SUMPRODUCT(MAX(ROW(E$1:E2360)*(E2=E$1:E2360))))))</f>
        <v> </v>
      </c>
      <c r="K2361" s="26" t="str">
        <f>IF(OR(E2361="",E2361="!!!",F2361="NEW"),"",INDEX(J$1:J2360,SUMPRODUCT(MAX(ROW(E$1:E2360)*(E2361=E$1:E2360)))))</f>
        <v> </v>
      </c>
      <c r="L2361" s="27"/>
    </row>
    <row r="2362" spans="1:12">
      <c r="A2362" s="20" t="s">
        <v>1316</v>
      </c>
      <c r="B2362" s="21" t="s">
        <v>879</v>
      </c>
      <c r="C2362" s="21" t="s">
        <v>602</v>
      </c>
      <c r="D2362" s="21" t="s">
        <v>603</v>
      </c>
      <c r="E2362" s="22">
        <f>IF(D2362="?OLD","!!!","")</f>
        <v/>
      </c>
      <c r="F2362" s="23" t="str">
        <f>IF(OR(E2362="",E2362="!!!"),"",IF(NOT(ISNA(VLOOKUP(E2362,E$1:E2361,1,FALSE()))),"OLD",IF(AND(E2362&lt;&gt;"",E2362&lt;&gt;"!!!"),"NEW","")))</f>
        <v> </v>
      </c>
      <c r="G2362" s="24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5" t="str">
        <f>IF(J2362&lt;&gt;1,"",IF(I2362="SBJ","CB","?"))</f>
        <v> </v>
      </c>
      <c r="I2362" s="26" t="str">
        <f>IF(OR(E2362="",E2362="!!!",F2362="NEW"),"",INDEX(B2361:B$2,-1+SUMPRODUCT(MAX(ROW(E2361:E$2)*(E2362=E2361:E$2)))))</f>
        <v> </v>
      </c>
      <c r="J2362" s="26" t="str">
        <f>IF(OR(E2362="",E2362="!!!",F2362="NEW"),"",COUNTBLANK(OFFSET(A$1,,,SUMPRODUCT(MAX(ROW(E$2:E2362)*(E2362=E$2:E2362)))))-COUNTBLANK(OFFSET(A$1,,,SUMPRODUCT(MAX(ROW(E$1:E2361)*(E2=E$1:E2361))))))</f>
        <v> </v>
      </c>
      <c r="K2362" s="26" t="str">
        <f>IF(OR(E2362="",E2362="!!!",F2362="NEW"),"",INDEX(J$1:J2361,SUMPRODUCT(MAX(ROW(E$1:E2361)*(E2362=E$1:E2361)))))</f>
        <v> </v>
      </c>
      <c r="L2362" s="27"/>
    </row>
    <row r="2363" spans="1:12">
      <c r="A2363" s="20" t="s">
        <v>1213</v>
      </c>
      <c r="E2363" s="22">
        <f>IF(D2363="?OLD","!!!","")</f>
        <v/>
      </c>
      <c r="F2363" s="23" t="str">
        <f>IF(OR(E2363="",E2363="!!!"),"",IF(NOT(ISNA(VLOOKUP(E2363,E$1:E2362,1,FALSE()))),"OLD",IF(AND(E2363&lt;&gt;"",E2363&lt;&gt;"!!!"),"NEW","")))</f>
        <v> </v>
      </c>
      <c r="G2363" s="24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5" t="str">
        <f>IF(J2363&lt;&gt;1,"",IF(I2363="SBJ","CB","?"))</f>
        <v> </v>
      </c>
      <c r="I2363" s="26" t="str">
        <f>IF(OR(E2363="",E2363="!!!",F2363="NEW"),"",INDEX(B2362:B$2,-1+SUMPRODUCT(MAX(ROW(E2362:E$2)*(E2363=E2362:E$2)))))</f>
        <v> </v>
      </c>
      <c r="J2363" s="26" t="str">
        <f>IF(OR(E2363="",E2363="!!!",F2363="NEW"),"",COUNTBLANK(OFFSET(A$1,,,SUMPRODUCT(MAX(ROW(E$2:E2363)*(E2363=E$2:E2363)))))-COUNTBLANK(OFFSET(A$1,,,SUMPRODUCT(MAX(ROW(E$1:E2362)*(E2=E$1:E2362))))))</f>
        <v> </v>
      </c>
      <c r="K2363" s="26" t="str">
        <f>IF(OR(E2363="",E2363="!!!",F2363="NEW"),"",INDEX(J$1:J2362,SUMPRODUCT(MAX(ROW(E$1:E2362)*(E2363=E$1:E2362)))))</f>
        <v> </v>
      </c>
      <c r="L2363" s="27"/>
    </row>
    <row r="2364" spans="1:12">
      <c r="A2364" s="20" t="s">
        <v>664</v>
      </c>
      <c r="E2364" s="22">
        <f>IF(D2364="?OLD","!!!","")</f>
        <v/>
      </c>
      <c r="F2364" s="23" t="str">
        <f>IF(OR(E2364="",E2364="!!!"),"",IF(NOT(ISNA(VLOOKUP(E2364,E$1:E2363,1,FALSE()))),"OLD",IF(AND(E2364&lt;&gt;"",E2364&lt;&gt;"!!!"),"NEW","")))</f>
        <v> </v>
      </c>
      <c r="G2364" s="24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5" t="str">
        <f>IF(J2364&lt;&gt;1,"",IF(I2364="SBJ","CB","?"))</f>
        <v> </v>
      </c>
      <c r="I2364" s="26" t="str">
        <f>IF(OR(E2364="",E2364="!!!",F2364="NEW"),"",INDEX(B2363:B$2,-1+SUMPRODUCT(MAX(ROW(E2363:E$2)*(E2364=E2363:E$2)))))</f>
        <v> </v>
      </c>
      <c r="J2364" s="26" t="str">
        <f>IF(OR(E2364="",E2364="!!!",F2364="NEW"),"",COUNTBLANK(OFFSET(A$1,,,SUMPRODUCT(MAX(ROW(E$2:E2364)*(E2364=E$2:E2364)))))-COUNTBLANK(OFFSET(A$1,,,SUMPRODUCT(MAX(ROW(E$1:E2363)*(E2=E$1:E2363))))))</f>
        <v> </v>
      </c>
      <c r="K2364" s="26" t="str">
        <f>IF(OR(E2364="",E2364="!!!",F2364="NEW"),"",INDEX(J$1:J2363,SUMPRODUCT(MAX(ROW(E$1:E2363)*(E2364=E$1:E2363)))))</f>
        <v> </v>
      </c>
      <c r="L2364" s="27"/>
    </row>
    <row r="2365" spans="1:12">
      <c r="A2365" s="20" t="s">
        <v>1754</v>
      </c>
      <c r="E2365" s="22">
        <f>IF(D2365="?OLD","!!!","")</f>
        <v/>
      </c>
      <c r="F2365" s="23" t="str">
        <f>IF(OR(E2365="",E2365="!!!"),"",IF(NOT(ISNA(VLOOKUP(E2365,E$1:E2364,1,FALSE()))),"OLD",IF(AND(E2365&lt;&gt;"",E2365&lt;&gt;"!!!"),"NEW","")))</f>
        <v> </v>
      </c>
      <c r="G2365" s="24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5" t="str">
        <f>IF(J2365&lt;&gt;1,"",IF(I2365="SBJ","CB","?"))</f>
        <v> </v>
      </c>
      <c r="I2365" s="26" t="str">
        <f>IF(OR(E2365="",E2365="!!!",F2365="NEW"),"",INDEX(B2364:B$2,-1+SUMPRODUCT(MAX(ROW(E2364:E$2)*(E2365=E2364:E$2)))))</f>
        <v> </v>
      </c>
      <c r="J2365" s="26" t="str">
        <f>IF(OR(E2365="",E2365="!!!",F2365="NEW"),"",COUNTBLANK(OFFSET(A$1,,,SUMPRODUCT(MAX(ROW(E$2:E2365)*(E2365=E$2:E2365)))))-COUNTBLANK(OFFSET(A$1,,,SUMPRODUCT(MAX(ROW(E$1:E2364)*(E2=E$1:E2364))))))</f>
        <v> </v>
      </c>
      <c r="K2365" s="26" t="str">
        <f>IF(OR(E2365="",E2365="!!!",F2365="NEW"),"",INDEX(J$1:J2364,SUMPRODUCT(MAX(ROW(E$1:E2364)*(E2365=E$1:E2364)))))</f>
        <v> </v>
      </c>
      <c r="L2365" s="27"/>
    </row>
    <row r="2366" spans="1:12">
      <c r="A2366" s="20" t="s">
        <v>1755</v>
      </c>
      <c r="E2366" s="22">
        <f>IF(D2366="?OLD","!!!","")</f>
        <v/>
      </c>
      <c r="F2366" s="23" t="str">
        <f>IF(OR(E2366="",E2366="!!!"),"",IF(NOT(ISNA(VLOOKUP(E2366,E$1:E2365,1,FALSE()))),"OLD",IF(AND(E2366&lt;&gt;"",E2366&lt;&gt;"!!!"),"NEW","")))</f>
        <v> </v>
      </c>
      <c r="G2366" s="24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5" t="str">
        <f>IF(J2366&lt;&gt;1,"",IF(I2366="SBJ","CB","?"))</f>
        <v> </v>
      </c>
      <c r="I2366" s="26" t="str">
        <f>IF(OR(E2366="",E2366="!!!",F2366="NEW"),"",INDEX(B2365:B$2,-1+SUMPRODUCT(MAX(ROW(E2365:E$2)*(E2366=E2365:E$2)))))</f>
        <v> </v>
      </c>
      <c r="J2366" s="26" t="str">
        <f>IF(OR(E2366="",E2366="!!!",F2366="NEW"),"",COUNTBLANK(OFFSET(A$1,,,SUMPRODUCT(MAX(ROW(E$2:E2366)*(E2366=E$2:E2366)))))-COUNTBLANK(OFFSET(A$1,,,SUMPRODUCT(MAX(ROW(E$1:E2365)*(E2=E$1:E2365))))))</f>
        <v> </v>
      </c>
      <c r="K2366" s="26" t="str">
        <f>IF(OR(E2366="",E2366="!!!",F2366="NEW"),"",INDEX(J$1:J2365,SUMPRODUCT(MAX(ROW(E$1:E2365)*(E2366=E$1:E2365)))))</f>
        <v> </v>
      </c>
      <c r="L2366" s="27"/>
    </row>
    <row r="2367" spans="1:12">
      <c r="A2367" s="20" t="s">
        <v>611</v>
      </c>
      <c r="E2367" s="22">
        <f>IF(D2367="?OLD","!!!","")</f>
        <v/>
      </c>
      <c r="F2367" s="23" t="str">
        <f>IF(OR(E2367="",E2367="!!!"),"",IF(NOT(ISNA(VLOOKUP(E2367,E$1:E2366,1,FALSE()))),"OLD",IF(AND(E2367&lt;&gt;"",E2367&lt;&gt;"!!!"),"NEW","")))</f>
        <v> </v>
      </c>
      <c r="G2367" s="24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5" t="str">
        <f>IF(J2367&lt;&gt;1,"",IF(I2367="SBJ","CB","?"))</f>
        <v> </v>
      </c>
      <c r="I2367" s="26" t="str">
        <f>IF(OR(E2367="",E2367="!!!",F2367="NEW"),"",INDEX(B2366:B$2,-1+SUMPRODUCT(MAX(ROW(E2366:E$2)*(E2367=E2366:E$2)))))</f>
        <v> </v>
      </c>
      <c r="J2367" s="26" t="str">
        <f>IF(OR(E2367="",E2367="!!!",F2367="NEW"),"",COUNTBLANK(OFFSET(A$1,,,SUMPRODUCT(MAX(ROW(E$2:E2367)*(E2367=E$2:E2367)))))-COUNTBLANK(OFFSET(A$1,,,SUMPRODUCT(MAX(ROW(E$1:E2366)*(E2=E$1:E2366))))))</f>
        <v> </v>
      </c>
      <c r="K2367" s="26" t="str">
        <f>IF(OR(E2367="",E2367="!!!",F2367="NEW"),"",INDEX(J$1:J2366,SUMPRODUCT(MAX(ROW(E$1:E2366)*(E2367=E$1:E2366)))))</f>
        <v> </v>
      </c>
      <c r="L2367" s="27"/>
    </row>
    <row r="2368" spans="1:12">
      <c r="A2368" s="20" t="s">
        <v>646</v>
      </c>
      <c r="E2368" s="22">
        <f>IF(D2368="?OLD","!!!","")</f>
        <v/>
      </c>
      <c r="F2368" s="23" t="str">
        <f>IF(OR(E2368="",E2368="!!!"),"",IF(NOT(ISNA(VLOOKUP(E2368,E$1:E2367,1,FALSE()))),"OLD",IF(AND(E2368&lt;&gt;"",E2368&lt;&gt;"!!!"),"NEW","")))</f>
        <v> </v>
      </c>
      <c r="G2368" s="24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5" t="str">
        <f>IF(J2368&lt;&gt;1,"",IF(I2368="SBJ","CB","?"))</f>
        <v> </v>
      </c>
      <c r="I2368" s="26" t="str">
        <f>IF(OR(E2368="",E2368="!!!",F2368="NEW"),"",INDEX(B2367:B$2,-1+SUMPRODUCT(MAX(ROW(E2367:E$2)*(E2368=E2367:E$2)))))</f>
        <v> </v>
      </c>
      <c r="J2368" s="26" t="str">
        <f>IF(OR(E2368="",E2368="!!!",F2368="NEW"),"",COUNTBLANK(OFFSET(A$1,,,SUMPRODUCT(MAX(ROW(E$2:E2368)*(E2368=E$2:E2368)))))-COUNTBLANK(OFFSET(A$1,,,SUMPRODUCT(MAX(ROW(E$1:E2367)*(E2=E$1:E2367))))))</f>
        <v> </v>
      </c>
      <c r="K2368" s="26" t="str">
        <f>IF(OR(E2368="",E2368="!!!",F2368="NEW"),"",INDEX(J$1:J2367,SUMPRODUCT(MAX(ROW(E$1:E2367)*(E2368=E$1:E2367)))))</f>
        <v> </v>
      </c>
      <c r="L2368" s="27"/>
    </row>
    <row r="2369" spans="1:12">
      <c r="A2369" s="20" t="s">
        <v>658</v>
      </c>
      <c r="B2369" s="21" t="s">
        <v>659</v>
      </c>
      <c r="C2369" s="21" t="s">
        <v>614</v>
      </c>
      <c r="E2369" s="22">
        <f>IF(D2369="?OLD","!!!","")</f>
        <v/>
      </c>
      <c r="F2369" s="23" t="str">
        <f>IF(OR(E2369="",E2369="!!!"),"",IF(NOT(ISNA(VLOOKUP(E2369,E$1:E2368,1,FALSE()))),"OLD",IF(AND(E2369&lt;&gt;"",E2369&lt;&gt;"!!!"),"NEW","")))</f>
        <v> </v>
      </c>
      <c r="G2369" s="24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5" t="str">
        <f>IF(J2369&lt;&gt;1,"",IF(I2369="SBJ","CB","?"))</f>
        <v> </v>
      </c>
      <c r="I2369" s="26" t="str">
        <f>IF(OR(E2369="",E2369="!!!",F2369="NEW"),"",INDEX(B2368:B$2,-1+SUMPRODUCT(MAX(ROW(E2368:E$2)*(E2369=E2368:E$2)))))</f>
        <v> </v>
      </c>
      <c r="J2369" s="26" t="str">
        <f>IF(OR(E2369="",E2369="!!!",F2369="NEW"),"",COUNTBLANK(OFFSET(A$1,,,SUMPRODUCT(MAX(ROW(E$2:E2369)*(E2369=E$2:E2369)))))-COUNTBLANK(OFFSET(A$1,,,SUMPRODUCT(MAX(ROW(E$1:E2368)*(E2=E$1:E2368))))))</f>
        <v> </v>
      </c>
      <c r="K2369" s="26" t="str">
        <f>IF(OR(E2369="",E2369="!!!",F2369="NEW"),"",INDEX(J$1:J2368,SUMPRODUCT(MAX(ROW(E$1:E2368)*(E2369=E$1:E2368)))))</f>
        <v> </v>
      </c>
      <c r="L2369" s="27"/>
    </row>
    <row r="2370" spans="1:12">
      <c r="A2370" s="20" t="s">
        <v>638</v>
      </c>
      <c r="E2370" s="22">
        <f>IF(D2370="?OLD","!!!","")</f>
        <v/>
      </c>
      <c r="F2370" s="23" t="str">
        <f>IF(OR(E2370="",E2370="!!!"),"",IF(NOT(ISNA(VLOOKUP(E2370,E$1:E2369,1,FALSE()))),"OLD",IF(AND(E2370&lt;&gt;"",E2370&lt;&gt;"!!!"),"NEW","")))</f>
        <v> </v>
      </c>
      <c r="G2370" s="24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5" t="str">
        <f>IF(J2370&lt;&gt;1,"",IF(I2370="SBJ","CB","?"))</f>
        <v> </v>
      </c>
      <c r="I2370" s="26" t="str">
        <f>IF(OR(E2370="",E2370="!!!",F2370="NEW"),"",INDEX(B2369:B$2,-1+SUMPRODUCT(MAX(ROW(E2369:E$2)*(E2370=E2369:E$2)))))</f>
        <v> </v>
      </c>
      <c r="J2370" s="26" t="str">
        <f>IF(OR(E2370="",E2370="!!!",F2370="NEW"),"",COUNTBLANK(OFFSET(A$1,,,SUMPRODUCT(MAX(ROW(E$2:E2370)*(E2370=E$2:E2370)))))-COUNTBLANK(OFFSET(A$1,,,SUMPRODUCT(MAX(ROW(E$1:E2369)*(E2=E$1:E2369))))))</f>
        <v> </v>
      </c>
      <c r="K2370" s="26" t="str">
        <f>IF(OR(E2370="",E2370="!!!",F2370="NEW"),"",INDEX(J$1:J2369,SUMPRODUCT(MAX(ROW(E$1:E2369)*(E2370=E$1:E2369)))))</f>
        <v> </v>
      </c>
      <c r="L2370" s="27"/>
    </row>
    <row r="2371" spans="1:12">
      <c r="A2371" s="20" t="s">
        <v>1756</v>
      </c>
      <c r="B2371" s="21" t="s">
        <v>804</v>
      </c>
      <c r="C2371" s="21" t="s">
        <v>602</v>
      </c>
      <c r="D2371" s="21" t="s">
        <v>603</v>
      </c>
      <c r="E2371" s="22">
        <f>IF(D2371="?OLD","!!!","")</f>
        <v/>
      </c>
      <c r="F2371" s="23" t="str">
        <f>IF(OR(E2371="",E2371="!!!"),"",IF(NOT(ISNA(VLOOKUP(E2371,E$1:E2370,1,FALSE()))),"OLD",IF(AND(E2371&lt;&gt;"",E2371&lt;&gt;"!!!"),"NEW","")))</f>
        <v> </v>
      </c>
      <c r="G2371" s="24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5" t="str">
        <f>IF(J2371&lt;&gt;1,"",IF(I2371="SBJ","CB","?"))</f>
        <v> </v>
      </c>
      <c r="I2371" s="26" t="str">
        <f>IF(OR(E2371="",E2371="!!!",F2371="NEW"),"",INDEX(B2370:B$2,-1+SUMPRODUCT(MAX(ROW(E2370:E$2)*(E2371=E2370:E$2)))))</f>
        <v> </v>
      </c>
      <c r="J2371" s="26" t="str">
        <f>IF(OR(E2371="",E2371="!!!",F2371="NEW"),"",COUNTBLANK(OFFSET(A$1,,,SUMPRODUCT(MAX(ROW(E$2:E2371)*(E2371=E$2:E2371)))))-COUNTBLANK(OFFSET(A$1,,,SUMPRODUCT(MAX(ROW(E$1:E2370)*(E2=E$1:E2370))))))</f>
        <v> </v>
      </c>
      <c r="K2371" s="26" t="str">
        <f>IF(OR(E2371="",E2371="!!!",F2371="NEW"),"",INDEX(J$1:J2370,SUMPRODUCT(MAX(ROW(E$1:E2370)*(E2371=E$1:E2370)))))</f>
        <v> </v>
      </c>
      <c r="L2371" s="27"/>
    </row>
    <row r="2372" spans="1:12">
      <c r="A2372" s="20" t="s">
        <v>1213</v>
      </c>
      <c r="E2372" s="22">
        <f>IF(D2372="?OLD","!!!","")</f>
        <v/>
      </c>
      <c r="F2372" s="23" t="str">
        <f>IF(OR(E2372="",E2372="!!!"),"",IF(NOT(ISNA(VLOOKUP(E2372,E$1:E2371,1,FALSE()))),"OLD",IF(AND(E2372&lt;&gt;"",E2372&lt;&gt;"!!!"),"NEW","")))</f>
        <v> </v>
      </c>
      <c r="G2372" s="24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5" t="str">
        <f>IF(J2372&lt;&gt;1,"",IF(I2372="SBJ","CB","?"))</f>
        <v> </v>
      </c>
      <c r="I2372" s="26" t="str">
        <f>IF(OR(E2372="",E2372="!!!",F2372="NEW"),"",INDEX(B2371:B$2,-1+SUMPRODUCT(MAX(ROW(E2371:E$2)*(E2372=E2371:E$2)))))</f>
        <v> </v>
      </c>
      <c r="J2372" s="26" t="str">
        <f>IF(OR(E2372="",E2372="!!!",F2372="NEW"),"",COUNTBLANK(OFFSET(A$1,,,SUMPRODUCT(MAX(ROW(E$2:E2372)*(E2372=E$2:E2372)))))-COUNTBLANK(OFFSET(A$1,,,SUMPRODUCT(MAX(ROW(E$1:E2371)*(E2=E$1:E2371))))))</f>
        <v> </v>
      </c>
      <c r="K2372" s="26" t="str">
        <f>IF(OR(E2372="",E2372="!!!",F2372="NEW"),"",INDEX(J$1:J2371,SUMPRODUCT(MAX(ROW(E$1:E2371)*(E2372=E$1:E2371)))))</f>
        <v> </v>
      </c>
      <c r="L2372" s="27"/>
    </row>
    <row r="2373" spans="1:12">
      <c r="A2373" s="20" t="s">
        <v>664</v>
      </c>
      <c r="E2373" s="22">
        <f>IF(D2373="?OLD","!!!","")</f>
        <v/>
      </c>
      <c r="F2373" s="23" t="str">
        <f>IF(OR(E2373="",E2373="!!!"),"",IF(NOT(ISNA(VLOOKUP(E2373,E$1:E2372,1,FALSE()))),"OLD",IF(AND(E2373&lt;&gt;"",E2373&lt;&gt;"!!!"),"NEW","")))</f>
        <v> </v>
      </c>
      <c r="G2373" s="24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5" t="str">
        <f>IF(J2373&lt;&gt;1,"",IF(I2373="SBJ","CB","?"))</f>
        <v> </v>
      </c>
      <c r="I2373" s="26" t="str">
        <f>IF(OR(E2373="",E2373="!!!",F2373="NEW"),"",INDEX(B2372:B$2,-1+SUMPRODUCT(MAX(ROW(E2372:E$2)*(E2373=E2372:E$2)))))</f>
        <v> </v>
      </c>
      <c r="J2373" s="26" t="str">
        <f>IF(OR(E2373="",E2373="!!!",F2373="NEW"),"",COUNTBLANK(OFFSET(A$1,,,SUMPRODUCT(MAX(ROW(E$2:E2373)*(E2373=E$2:E2373)))))-COUNTBLANK(OFFSET(A$1,,,SUMPRODUCT(MAX(ROW(E$1:E2372)*(E2=E$1:E2372))))))</f>
        <v> </v>
      </c>
      <c r="K2373" s="26" t="str">
        <f>IF(OR(E2373="",E2373="!!!",F2373="NEW"),"",INDEX(J$1:J2372,SUMPRODUCT(MAX(ROW(E$1:E2372)*(E2373=E$1:E2372)))))</f>
        <v> </v>
      </c>
      <c r="L2373" s="27"/>
    </row>
    <row r="2374" spans="1:12">
      <c r="A2374" s="20" t="s">
        <v>1757</v>
      </c>
      <c r="E2374" s="22">
        <f>IF(D2374="?OLD","!!!","")</f>
        <v/>
      </c>
      <c r="F2374" s="23" t="str">
        <f>IF(OR(E2374="",E2374="!!!"),"",IF(NOT(ISNA(VLOOKUP(E2374,E$1:E2373,1,FALSE()))),"OLD",IF(AND(E2374&lt;&gt;"",E2374&lt;&gt;"!!!"),"NEW","")))</f>
        <v> </v>
      </c>
      <c r="G2374" s="24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5" t="str">
        <f>IF(J2374&lt;&gt;1,"",IF(I2374="SBJ","CB","?"))</f>
        <v> </v>
      </c>
      <c r="I2374" s="26" t="str">
        <f>IF(OR(E2374="",E2374="!!!",F2374="NEW"),"",INDEX(B2373:B$2,-1+SUMPRODUCT(MAX(ROW(E2373:E$2)*(E2374=E2373:E$2)))))</f>
        <v> </v>
      </c>
      <c r="J2374" s="26" t="str">
        <f>IF(OR(E2374="",E2374="!!!",F2374="NEW"),"",COUNTBLANK(OFFSET(A$1,,,SUMPRODUCT(MAX(ROW(E$2:E2374)*(E2374=E$2:E2374)))))-COUNTBLANK(OFFSET(A$1,,,SUMPRODUCT(MAX(ROW(E$1:E2373)*(E2=E$1:E2373))))))</f>
        <v> </v>
      </c>
      <c r="K2374" s="26" t="str">
        <f>IF(OR(E2374="",E2374="!!!",F2374="NEW"),"",INDEX(J$1:J2373,SUMPRODUCT(MAX(ROW(E$1:E2373)*(E2374=E$1:E2373)))))</f>
        <v> </v>
      </c>
      <c r="L2374" s="27"/>
    </row>
    <row r="2375" spans="1:12">
      <c r="A2375" s="20" t="s">
        <v>1758</v>
      </c>
      <c r="B2375" s="21" t="s">
        <v>609</v>
      </c>
      <c r="C2375" s="21" t="s">
        <v>644</v>
      </c>
      <c r="D2375" s="21" t="s">
        <v>603</v>
      </c>
      <c r="E2375" s="22">
        <f>IF(D2375="?OLD","!!!","")</f>
        <v/>
      </c>
      <c r="F2375" s="23" t="str">
        <f>IF(OR(E2375="",E2375="!!!"),"",IF(NOT(ISNA(VLOOKUP(E2375,E$1:E2374,1,FALSE()))),"OLD",IF(AND(E2375&lt;&gt;"",E2375&lt;&gt;"!!!"),"NEW","")))</f>
        <v> </v>
      </c>
      <c r="G2375" s="24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5" t="str">
        <f>IF(J2375&lt;&gt;1,"",IF(I2375="SBJ","CB","?"))</f>
        <v> </v>
      </c>
      <c r="I2375" s="26" t="str">
        <f>IF(OR(E2375="",E2375="!!!",F2375="NEW"),"",INDEX(B2374:B$2,-1+SUMPRODUCT(MAX(ROW(E2374:E$2)*(E2375=E2374:E$2)))))</f>
        <v> </v>
      </c>
      <c r="J2375" s="26" t="str">
        <f>IF(OR(E2375="",E2375="!!!",F2375="NEW"),"",COUNTBLANK(OFFSET(A$1,,,SUMPRODUCT(MAX(ROW(E$2:E2375)*(E2375=E$2:E2375)))))-COUNTBLANK(OFFSET(A$1,,,SUMPRODUCT(MAX(ROW(E$1:E2374)*(E2=E$1:E2374))))))</f>
        <v> </v>
      </c>
      <c r="K2375" s="26" t="str">
        <f>IF(OR(E2375="",E2375="!!!",F2375="NEW"),"",INDEX(J$1:J2374,SUMPRODUCT(MAX(ROW(E$1:E2374)*(E2375=E$1:E2374)))))</f>
        <v> </v>
      </c>
      <c r="L2375" s="27"/>
    </row>
    <row r="2376" spans="1:12">
      <c r="A2376" s="20" t="s">
        <v>1759</v>
      </c>
      <c r="E2376" s="22">
        <f>IF(D2376="?OLD","!!!","")</f>
        <v/>
      </c>
      <c r="F2376" s="23" t="str">
        <f>IF(OR(E2376="",E2376="!!!"),"",IF(NOT(ISNA(VLOOKUP(E2376,E$1:E2375,1,FALSE()))),"OLD",IF(AND(E2376&lt;&gt;"",E2376&lt;&gt;"!!!"),"NEW","")))</f>
        <v> </v>
      </c>
      <c r="G2376" s="24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5" t="str">
        <f>IF(J2376&lt;&gt;1,"",IF(I2376="SBJ","CB","?"))</f>
        <v> </v>
      </c>
      <c r="I2376" s="26" t="str">
        <f>IF(OR(E2376="",E2376="!!!",F2376="NEW"),"",INDEX(B2375:B$2,-1+SUMPRODUCT(MAX(ROW(E2375:E$2)*(E2376=E2375:E$2)))))</f>
        <v> </v>
      </c>
      <c r="J2376" s="26" t="str">
        <f>IF(OR(E2376="",E2376="!!!",F2376="NEW"),"",COUNTBLANK(OFFSET(A$1,,,SUMPRODUCT(MAX(ROW(E$2:E2376)*(E2376=E$2:E2376)))))-COUNTBLANK(OFFSET(A$1,,,SUMPRODUCT(MAX(ROW(E$1:E2375)*(E2=E$1:E2375))))))</f>
        <v> </v>
      </c>
      <c r="K2376" s="26" t="str">
        <f>IF(OR(E2376="",E2376="!!!",F2376="NEW"),"",INDEX(J$1:J2375,SUMPRODUCT(MAX(ROW(E$1:E2375)*(E2376=E$1:E2375)))))</f>
        <v> </v>
      </c>
      <c r="L2376" s="27"/>
    </row>
    <row r="2377" spans="1:12">
      <c r="A2377" s="20" t="s">
        <v>1760</v>
      </c>
      <c r="E2377" s="22">
        <f>IF(D2377="?OLD","!!!","")</f>
        <v/>
      </c>
      <c r="F2377" s="23" t="str">
        <f>IF(OR(E2377="",E2377="!!!"),"",IF(NOT(ISNA(VLOOKUP(E2377,E$1:E2376,1,FALSE()))),"OLD",IF(AND(E2377&lt;&gt;"",E2377&lt;&gt;"!!!"),"NEW","")))</f>
        <v> </v>
      </c>
      <c r="G2377" s="24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5" t="str">
        <f>IF(J2377&lt;&gt;1,"",IF(I2377="SBJ","CB","?"))</f>
        <v> </v>
      </c>
      <c r="I2377" s="26" t="str">
        <f>IF(OR(E2377="",E2377="!!!",F2377="NEW"),"",INDEX(B2376:B$2,-1+SUMPRODUCT(MAX(ROW(E2376:E$2)*(E2377=E2376:E$2)))))</f>
        <v> </v>
      </c>
      <c r="J2377" s="26" t="str">
        <f>IF(OR(E2377="",E2377="!!!",F2377="NEW"),"",COUNTBLANK(OFFSET(A$1,,,SUMPRODUCT(MAX(ROW(E$2:E2377)*(E2377=E$2:E2377)))))-COUNTBLANK(OFFSET(A$1,,,SUMPRODUCT(MAX(ROW(E$1:E2376)*(E2=E$1:E2376))))))</f>
        <v> </v>
      </c>
      <c r="K2377" s="26" t="str">
        <f>IF(OR(E2377="",E2377="!!!",F2377="NEW"),"",INDEX(J$1:J2376,SUMPRODUCT(MAX(ROW(E$1:E2376)*(E2377=E$1:E2376)))))</f>
        <v> </v>
      </c>
      <c r="L2377" s="27"/>
    </row>
    <row r="2378" spans="1:12">
      <c r="A2378" s="20" t="s">
        <v>611</v>
      </c>
      <c r="E2378" s="22">
        <f>IF(D2378="?OLD","!!!","")</f>
        <v/>
      </c>
      <c r="F2378" s="23" t="str">
        <f>IF(OR(E2378="",E2378="!!!"),"",IF(NOT(ISNA(VLOOKUP(E2378,E$1:E2377,1,FALSE()))),"OLD",IF(AND(E2378&lt;&gt;"",E2378&lt;&gt;"!!!"),"NEW","")))</f>
        <v> </v>
      </c>
      <c r="G2378" s="24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5" t="str">
        <f>IF(J2378&lt;&gt;1,"",IF(I2378="SBJ","CB","?"))</f>
        <v> </v>
      </c>
      <c r="I2378" s="26" t="str">
        <f>IF(OR(E2378="",E2378="!!!",F2378="NEW"),"",INDEX(B2377:B$2,-1+SUMPRODUCT(MAX(ROW(E2377:E$2)*(E2378=E2377:E$2)))))</f>
        <v> </v>
      </c>
      <c r="J2378" s="26" t="str">
        <f>IF(OR(E2378="",E2378="!!!",F2378="NEW"),"",COUNTBLANK(OFFSET(A$1,,,SUMPRODUCT(MAX(ROW(E$2:E2378)*(E2378=E$2:E2378)))))-COUNTBLANK(OFFSET(A$1,,,SUMPRODUCT(MAX(ROW(E$1:E2377)*(E2=E$1:E2377))))))</f>
        <v> </v>
      </c>
      <c r="K2378" s="26" t="str">
        <f>IF(OR(E2378="",E2378="!!!",F2378="NEW"),"",INDEX(J$1:J2377,SUMPRODUCT(MAX(ROW(E$1:E2377)*(E2378=E$1:E2377)))))</f>
        <v> </v>
      </c>
      <c r="L2378" s="27"/>
    </row>
    <row r="2379" spans="1:12">
      <c r="A2379" s="20" t="s">
        <v>655</v>
      </c>
      <c r="E2379" s="22">
        <f>IF(D2379="?OLD","!!!","")</f>
        <v/>
      </c>
      <c r="F2379" s="23" t="str">
        <f>IF(OR(E2379="",E2379="!!!"),"",IF(NOT(ISNA(VLOOKUP(E2379,E$1:E2378,1,FALSE()))),"OLD",IF(AND(E2379&lt;&gt;"",E2379&lt;&gt;"!!!"),"NEW","")))</f>
        <v> </v>
      </c>
      <c r="G2379" s="24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5" t="str">
        <f>IF(J2379&lt;&gt;1,"",IF(I2379="SBJ","CB","?"))</f>
        <v> </v>
      </c>
      <c r="I2379" s="26" t="str">
        <f>IF(OR(E2379="",E2379="!!!",F2379="NEW"),"",INDEX(B2378:B$2,-1+SUMPRODUCT(MAX(ROW(E2378:E$2)*(E2379=E2378:E$2)))))</f>
        <v> </v>
      </c>
      <c r="J2379" s="26" t="str">
        <f>IF(OR(E2379="",E2379="!!!",F2379="NEW"),"",COUNTBLANK(OFFSET(A$1,,,SUMPRODUCT(MAX(ROW(E$2:E2379)*(E2379=E$2:E2379)))))-COUNTBLANK(OFFSET(A$1,,,SUMPRODUCT(MAX(ROW(E$1:E2378)*(E2=E$1:E2378))))))</f>
        <v> </v>
      </c>
      <c r="K2379" s="26" t="str">
        <f>IF(OR(E2379="",E2379="!!!",F2379="NEW"),"",INDEX(J$1:J2378,SUMPRODUCT(MAX(ROW(E$1:E2378)*(E2379=E$1:E2378)))))</f>
        <v> </v>
      </c>
      <c r="L2379" s="27"/>
    </row>
    <row r="2380" spans="1:12">
      <c r="A2380" s="20" t="s">
        <v>638</v>
      </c>
      <c r="E2380" s="22">
        <f>IF(D2380="?OLD","!!!","")</f>
        <v/>
      </c>
      <c r="F2380" s="23" t="str">
        <f>IF(OR(E2380="",E2380="!!!"),"",IF(NOT(ISNA(VLOOKUP(E2380,E$1:E2379,1,FALSE()))),"OLD",IF(AND(E2380&lt;&gt;"",E2380&lt;&gt;"!!!"),"NEW","")))</f>
        <v> </v>
      </c>
      <c r="G2380" s="24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5" t="str">
        <f>IF(J2380&lt;&gt;1,"",IF(I2380="SBJ","CB","?"))</f>
        <v> </v>
      </c>
      <c r="I2380" s="26" t="str">
        <f>IF(OR(E2380="",E2380="!!!",F2380="NEW"),"",INDEX(B2379:B$2,-1+SUMPRODUCT(MAX(ROW(E2379:E$2)*(E2380=E2379:E$2)))))</f>
        <v> </v>
      </c>
      <c r="J2380" s="26" t="str">
        <f>IF(OR(E2380="",E2380="!!!",F2380="NEW"),"",COUNTBLANK(OFFSET(A$1,,,SUMPRODUCT(MAX(ROW(E$2:E2380)*(E2380=E$2:E2380)))))-COUNTBLANK(OFFSET(A$1,,,SUMPRODUCT(MAX(ROW(E$1:E2379)*(E2=E$1:E2379))))))</f>
        <v> </v>
      </c>
      <c r="K2380" s="26" t="str">
        <f>IF(OR(E2380="",E2380="!!!",F2380="NEW"),"",INDEX(J$1:J2379,SUMPRODUCT(MAX(ROW(E$1:E2379)*(E2380=E$1:E2379)))))</f>
        <v> </v>
      </c>
      <c r="L2380" s="27"/>
    </row>
    <row r="2381" spans="1:12">
      <c r="A2381" s="20" t="s">
        <v>784</v>
      </c>
      <c r="E2381" s="22">
        <f>IF(D2381="?OLD","!!!","")</f>
        <v/>
      </c>
      <c r="F2381" s="23" t="str">
        <f>IF(OR(E2381="",E2381="!!!"),"",IF(NOT(ISNA(VLOOKUP(E2381,E$1:E2380,1,FALSE()))),"OLD",IF(AND(E2381&lt;&gt;"",E2381&lt;&gt;"!!!"),"NEW","")))</f>
        <v> </v>
      </c>
      <c r="G2381" s="24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5" t="str">
        <f>IF(J2381&lt;&gt;1,"",IF(I2381="SBJ","CB","?"))</f>
        <v> </v>
      </c>
      <c r="I2381" s="26" t="str">
        <f>IF(OR(E2381="",E2381="!!!",F2381="NEW"),"",INDEX(B2380:B$2,-1+SUMPRODUCT(MAX(ROW(E2380:E$2)*(E2381=E2380:E$2)))))</f>
        <v> </v>
      </c>
      <c r="J2381" s="26" t="str">
        <f>IF(OR(E2381="",E2381="!!!",F2381="NEW"),"",COUNTBLANK(OFFSET(A$1,,,SUMPRODUCT(MAX(ROW(E$2:E2381)*(E2381=E$2:E2381)))))-COUNTBLANK(OFFSET(A$1,,,SUMPRODUCT(MAX(ROW(E$1:E2380)*(E2=E$1:E2380))))))</f>
        <v> </v>
      </c>
      <c r="K2381" s="26" t="str">
        <f>IF(OR(E2381="",E2381="!!!",F2381="NEW"),"",INDEX(J$1:J2380,SUMPRODUCT(MAX(ROW(E$1:E2380)*(E2381=E$1:E2380)))))</f>
        <v> </v>
      </c>
      <c r="L2381" s="27"/>
    </row>
    <row r="2382" spans="1:12">
      <c r="A2382" s="20" t="s">
        <v>785</v>
      </c>
      <c r="E2382" s="22">
        <f>IF(D2382="?OLD","!!!","")</f>
        <v/>
      </c>
      <c r="F2382" s="23" t="str">
        <f>IF(OR(E2382="",E2382="!!!"),"",IF(NOT(ISNA(VLOOKUP(E2382,E$1:E2381,1,FALSE()))),"OLD",IF(AND(E2382&lt;&gt;"",E2382&lt;&gt;"!!!"),"NEW","")))</f>
        <v> </v>
      </c>
      <c r="G2382" s="24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5" t="str">
        <f>IF(J2382&lt;&gt;1,"",IF(I2382="SBJ","CB","?"))</f>
        <v> </v>
      </c>
      <c r="I2382" s="26" t="str">
        <f>IF(OR(E2382="",E2382="!!!",F2382="NEW"),"",INDEX(B2381:B$2,-1+SUMPRODUCT(MAX(ROW(E2381:E$2)*(E2382=E2381:E$2)))))</f>
        <v> </v>
      </c>
      <c r="J2382" s="26" t="str">
        <f>IF(OR(E2382="",E2382="!!!",F2382="NEW"),"",COUNTBLANK(OFFSET(A$1,,,SUMPRODUCT(MAX(ROW(E$2:E2382)*(E2382=E$2:E2382)))))-COUNTBLANK(OFFSET(A$1,,,SUMPRODUCT(MAX(ROW(E$1:E2381)*(E2=E$1:E2381))))))</f>
        <v> </v>
      </c>
      <c r="K2382" s="26" t="str">
        <f>IF(OR(E2382="",E2382="!!!",F2382="NEW"),"",INDEX(J$1:J2381,SUMPRODUCT(MAX(ROW(E$1:E2381)*(E2382=E$1:E2381)))))</f>
        <v> </v>
      </c>
      <c r="L2382" s="27"/>
    </row>
    <row r="2383" spans="1:12">
      <c r="A2383" s="20" t="s">
        <v>611</v>
      </c>
      <c r="E2383" s="22">
        <f>IF(D2383="?OLD","!!!","")</f>
        <v/>
      </c>
      <c r="F2383" s="23" t="str">
        <f>IF(OR(E2383="",E2383="!!!"),"",IF(NOT(ISNA(VLOOKUP(E2383,E$1:E2382,1,FALSE()))),"OLD",IF(AND(E2383&lt;&gt;"",E2383&lt;&gt;"!!!"),"NEW","")))</f>
        <v> </v>
      </c>
      <c r="G2383" s="24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5" t="str">
        <f>IF(J2383&lt;&gt;1,"",IF(I2383="SBJ","CB","?"))</f>
        <v> </v>
      </c>
      <c r="I2383" s="26" t="str">
        <f>IF(OR(E2383="",E2383="!!!",F2383="NEW"),"",INDEX(B2382:B$2,-1+SUMPRODUCT(MAX(ROW(E2382:E$2)*(E2383=E2382:E$2)))))</f>
        <v> </v>
      </c>
      <c r="J2383" s="26" t="str">
        <f>IF(OR(E2383="",E2383="!!!",F2383="NEW"),"",COUNTBLANK(OFFSET(A$1,,,SUMPRODUCT(MAX(ROW(E$2:E2383)*(E2383=E$2:E2383)))))-COUNTBLANK(OFFSET(A$1,,,SUMPRODUCT(MAX(ROW(E$1:E2382)*(E2=E$1:E2382))))))</f>
        <v> </v>
      </c>
      <c r="K2383" s="26" t="str">
        <f>IF(OR(E2383="",E2383="!!!",F2383="NEW"),"",INDEX(J$1:J2382,SUMPRODUCT(MAX(ROW(E$1:E2382)*(E2383=E$1:E2382)))))</f>
        <v> </v>
      </c>
      <c r="L2383" s="27"/>
    </row>
    <row r="2384" spans="1:12">
      <c r="A2384" s="20" t="s">
        <v>646</v>
      </c>
      <c r="E2384" s="22">
        <f>IF(D2384="?OLD","!!!","")</f>
        <v/>
      </c>
      <c r="F2384" s="23" t="str">
        <f>IF(OR(E2384="",E2384="!!!"),"",IF(NOT(ISNA(VLOOKUP(E2384,E$1:E2383,1,FALSE()))),"OLD",IF(AND(E2384&lt;&gt;"",E2384&lt;&gt;"!!!"),"NEW","")))</f>
        <v> </v>
      </c>
      <c r="G2384" s="24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5" t="str">
        <f>IF(J2384&lt;&gt;1,"",IF(I2384="SBJ","CB","?"))</f>
        <v> </v>
      </c>
      <c r="I2384" s="26" t="str">
        <f>IF(OR(E2384="",E2384="!!!",F2384="NEW"),"",INDEX(B2383:B$2,-1+SUMPRODUCT(MAX(ROW(E2383:E$2)*(E2384=E2383:E$2)))))</f>
        <v> </v>
      </c>
      <c r="J2384" s="26" t="str">
        <f>IF(OR(E2384="",E2384="!!!",F2384="NEW"),"",COUNTBLANK(OFFSET(A$1,,,SUMPRODUCT(MAX(ROW(E$2:E2384)*(E2384=E$2:E2384)))))-COUNTBLANK(OFFSET(A$1,,,SUMPRODUCT(MAX(ROW(E$1:E2383)*(E2=E$1:E2383))))))</f>
        <v> </v>
      </c>
      <c r="K2384" s="26" t="str">
        <f>IF(OR(E2384="",E2384="!!!",F2384="NEW"),"",INDEX(J$1:J2383,SUMPRODUCT(MAX(ROW(E$1:E2383)*(E2384=E$1:E2383)))))</f>
        <v> </v>
      </c>
      <c r="L2384" s="27"/>
    </row>
    <row r="2385" spans="1:12">
      <c r="A2385" s="20" t="s">
        <v>658</v>
      </c>
      <c r="E2385" s="22">
        <f>IF(D2385="?OLD","!!!","")</f>
        <v/>
      </c>
      <c r="F2385" s="23" t="str">
        <f>IF(OR(E2385="",E2385="!!!"),"",IF(NOT(ISNA(VLOOKUP(E2385,E$1:E2384,1,FALSE()))),"OLD",IF(AND(E2385&lt;&gt;"",E2385&lt;&gt;"!!!"),"NEW","")))</f>
        <v> </v>
      </c>
      <c r="G2385" s="24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5" t="str">
        <f>IF(J2385&lt;&gt;1,"",IF(I2385="SBJ","CB","?"))</f>
        <v> </v>
      </c>
      <c r="I2385" s="26" t="str">
        <f>IF(OR(E2385="",E2385="!!!",F2385="NEW"),"",INDEX(B2384:B$2,-1+SUMPRODUCT(MAX(ROW(E2384:E$2)*(E2385=E2384:E$2)))))</f>
        <v> </v>
      </c>
      <c r="J2385" s="26" t="str">
        <f>IF(OR(E2385="",E2385="!!!",F2385="NEW"),"",COUNTBLANK(OFFSET(A$1,,,SUMPRODUCT(MAX(ROW(E$2:E2385)*(E2385=E$2:E2385)))))-COUNTBLANK(OFFSET(A$1,,,SUMPRODUCT(MAX(ROW(E$1:E2384)*(E2=E$1:E2384))))))</f>
        <v> </v>
      </c>
      <c r="K2385" s="26" t="str">
        <f>IF(OR(E2385="",E2385="!!!",F2385="NEW"),"",INDEX(J$1:J2384,SUMPRODUCT(MAX(ROW(E$1:E2384)*(E2385=E$1:E2384)))))</f>
        <v> </v>
      </c>
      <c r="L2385" s="27"/>
    </row>
    <row r="2386" spans="1:12">
      <c r="A2386" s="20" t="s">
        <v>1316</v>
      </c>
      <c r="B2386" s="21" t="s">
        <v>616</v>
      </c>
      <c r="C2386" s="21" t="s">
        <v>602</v>
      </c>
      <c r="D2386" s="21" t="s">
        <v>603</v>
      </c>
      <c r="E2386" s="22">
        <f>IF(D2386="?OLD","!!!","")</f>
        <v/>
      </c>
      <c r="F2386" s="23" t="str">
        <f>IF(OR(E2386="",E2386="!!!"),"",IF(NOT(ISNA(VLOOKUP(E2386,E$1:E2385,1,FALSE()))),"OLD",IF(AND(E2386&lt;&gt;"",E2386&lt;&gt;"!!!"),"NEW","")))</f>
        <v> </v>
      </c>
      <c r="G2386" s="24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5" t="str">
        <f>IF(J2386&lt;&gt;1,"",IF(I2386="SBJ","CB","?"))</f>
        <v> </v>
      </c>
      <c r="I2386" s="26" t="str">
        <f>IF(OR(E2386="",E2386="!!!",F2386="NEW"),"",INDEX(B2385:B$2,-1+SUMPRODUCT(MAX(ROW(E2385:E$2)*(E2386=E2385:E$2)))))</f>
        <v> </v>
      </c>
      <c r="J2386" s="26" t="str">
        <f>IF(OR(E2386="",E2386="!!!",F2386="NEW"),"",COUNTBLANK(OFFSET(A$1,,,SUMPRODUCT(MAX(ROW(E$2:E2386)*(E2386=E$2:E2386)))))-COUNTBLANK(OFFSET(A$1,,,SUMPRODUCT(MAX(ROW(E$1:E2385)*(E2=E$1:E2385))))))</f>
        <v> </v>
      </c>
      <c r="K2386" s="26" t="str">
        <f>IF(OR(E2386="",E2386="!!!",F2386="NEW"),"",INDEX(J$1:J2385,SUMPRODUCT(MAX(ROW(E$1:E2385)*(E2386=E$1:E2385)))))</f>
        <v> </v>
      </c>
      <c r="L2386" s="27"/>
    </row>
    <row r="2387" spans="1:12">
      <c r="A2387" s="20" t="s">
        <v>664</v>
      </c>
      <c r="E2387" s="22">
        <f>IF(D2387="?OLD","!!!","")</f>
        <v/>
      </c>
      <c r="F2387" s="23" t="str">
        <f>IF(OR(E2387="",E2387="!!!"),"",IF(NOT(ISNA(VLOOKUP(E2387,E$1:E2386,1,FALSE()))),"OLD",IF(AND(E2387&lt;&gt;"",E2387&lt;&gt;"!!!"),"NEW","")))</f>
        <v> </v>
      </c>
      <c r="G2387" s="24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5" t="str">
        <f>IF(J2387&lt;&gt;1,"",IF(I2387="SBJ","CB","?"))</f>
        <v> </v>
      </c>
      <c r="I2387" s="26" t="str">
        <f>IF(OR(E2387="",E2387="!!!",F2387="NEW"),"",INDEX(B2386:B$2,-1+SUMPRODUCT(MAX(ROW(E2386:E$2)*(E2387=E2386:E$2)))))</f>
        <v> </v>
      </c>
      <c r="J2387" s="26" t="str">
        <f>IF(OR(E2387="",E2387="!!!",F2387="NEW"),"",COUNTBLANK(OFFSET(A$1,,,SUMPRODUCT(MAX(ROW(E$2:E2387)*(E2387=E$2:E2387)))))-COUNTBLANK(OFFSET(A$1,,,SUMPRODUCT(MAX(ROW(E$1:E2386)*(E2=E$1:E2386))))))</f>
        <v> </v>
      </c>
      <c r="K2387" s="26" t="str">
        <f>IF(OR(E2387="",E2387="!!!",F2387="NEW"),"",INDEX(J$1:J2386,SUMPRODUCT(MAX(ROW(E$1:E2386)*(E2387=E$1:E2386)))))</f>
        <v> </v>
      </c>
      <c r="L2387" s="27"/>
    </row>
    <row r="2388" spans="1:12">
      <c r="A2388" s="20" t="s">
        <v>1761</v>
      </c>
      <c r="E2388" s="22">
        <f>IF(D2388="?OLD","!!!","")</f>
        <v/>
      </c>
      <c r="F2388" s="23" t="str">
        <f>IF(OR(E2388="",E2388="!!!"),"",IF(NOT(ISNA(VLOOKUP(E2388,E$1:E2387,1,FALSE()))),"OLD",IF(AND(E2388&lt;&gt;"",E2388&lt;&gt;"!!!"),"NEW","")))</f>
        <v> </v>
      </c>
      <c r="G2388" s="24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5" t="str">
        <f>IF(J2388&lt;&gt;1,"",IF(I2388="SBJ","CB","?"))</f>
        <v> </v>
      </c>
      <c r="I2388" s="26" t="str">
        <f>IF(OR(E2388="",E2388="!!!",F2388="NEW"),"",INDEX(B2387:B$2,-1+SUMPRODUCT(MAX(ROW(E2387:E$2)*(E2388=E2387:E$2)))))</f>
        <v> </v>
      </c>
      <c r="J2388" s="26" t="str">
        <f>IF(OR(E2388="",E2388="!!!",F2388="NEW"),"",COUNTBLANK(OFFSET(A$1,,,SUMPRODUCT(MAX(ROW(E$2:E2388)*(E2388=E$2:E2388)))))-COUNTBLANK(OFFSET(A$1,,,SUMPRODUCT(MAX(ROW(E$1:E2387)*(E2=E$1:E2387))))))</f>
        <v> </v>
      </c>
      <c r="K2388" s="26" t="str">
        <f>IF(OR(E2388="",E2388="!!!",F2388="NEW"),"",INDEX(J$1:J2387,SUMPRODUCT(MAX(ROW(E$1:E2387)*(E2388=E$1:E2387)))))</f>
        <v> </v>
      </c>
      <c r="L2388" s="27"/>
    </row>
    <row r="2389" spans="1:12">
      <c r="A2389" s="20" t="s">
        <v>1762</v>
      </c>
      <c r="E2389" s="22">
        <f>IF(D2389="?OLD","!!!","")</f>
        <v/>
      </c>
      <c r="F2389" s="23" t="str">
        <f>IF(OR(E2389="",E2389="!!!"),"",IF(NOT(ISNA(VLOOKUP(E2389,E$1:E2388,1,FALSE()))),"OLD",IF(AND(E2389&lt;&gt;"",E2389&lt;&gt;"!!!"),"NEW","")))</f>
        <v> </v>
      </c>
      <c r="G2389" s="24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5" t="str">
        <f>IF(J2389&lt;&gt;1,"",IF(I2389="SBJ","CB","?"))</f>
        <v> </v>
      </c>
      <c r="I2389" s="26" t="str">
        <f>IF(OR(E2389="",E2389="!!!",F2389="NEW"),"",INDEX(B2388:B$2,-1+SUMPRODUCT(MAX(ROW(E2388:E$2)*(E2389=E2388:E$2)))))</f>
        <v> </v>
      </c>
      <c r="J2389" s="26" t="str">
        <f>IF(OR(E2389="",E2389="!!!",F2389="NEW"),"",COUNTBLANK(OFFSET(A$1,,,SUMPRODUCT(MAX(ROW(E$2:E2389)*(E2389=E$2:E2389)))))-COUNTBLANK(OFFSET(A$1,,,SUMPRODUCT(MAX(ROW(E$1:E2388)*(E2=E$1:E2388))))))</f>
        <v> </v>
      </c>
      <c r="K2389" s="26" t="str">
        <f>IF(OR(E2389="",E2389="!!!",F2389="NEW"),"",INDEX(J$1:J2388,SUMPRODUCT(MAX(ROW(E$1:E2388)*(E2389=E$1:E2388)))))</f>
        <v> </v>
      </c>
      <c r="L2389" s="27"/>
    </row>
    <row r="2390" spans="1:12">
      <c r="A2390" s="20" t="s">
        <v>1763</v>
      </c>
      <c r="E2390" s="22">
        <f>IF(D2390="?OLD","!!!","")</f>
        <v/>
      </c>
      <c r="F2390" s="23" t="str">
        <f>IF(OR(E2390="",E2390="!!!"),"",IF(NOT(ISNA(VLOOKUP(E2390,E$1:E2389,1,FALSE()))),"OLD",IF(AND(E2390&lt;&gt;"",E2390&lt;&gt;"!!!"),"NEW","")))</f>
        <v> </v>
      </c>
      <c r="G2390" s="24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5" t="str">
        <f>IF(J2390&lt;&gt;1,"",IF(I2390="SBJ","CB","?"))</f>
        <v> </v>
      </c>
      <c r="I2390" s="26" t="str">
        <f>IF(OR(E2390="",E2390="!!!",F2390="NEW"),"",INDEX(B2389:B$2,-1+SUMPRODUCT(MAX(ROW(E2389:E$2)*(E2390=E2389:E$2)))))</f>
        <v> </v>
      </c>
      <c r="J2390" s="26" t="str">
        <f>IF(OR(E2390="",E2390="!!!",F2390="NEW"),"",COUNTBLANK(OFFSET(A$1,,,SUMPRODUCT(MAX(ROW(E$2:E2390)*(E2390=E$2:E2390)))))-COUNTBLANK(OFFSET(A$1,,,SUMPRODUCT(MAX(ROW(E$1:E2389)*(E2=E$1:E2389))))))</f>
        <v> </v>
      </c>
      <c r="K2390" s="26" t="str">
        <f>IF(OR(E2390="",E2390="!!!",F2390="NEW"),"",INDEX(J$1:J2389,SUMPRODUCT(MAX(ROW(E$1:E2389)*(E2390=E$1:E2389)))))</f>
        <v> </v>
      </c>
      <c r="L2390" s="27"/>
    </row>
    <row r="2391" spans="1:12">
      <c r="A2391" s="20" t="s">
        <v>1764</v>
      </c>
      <c r="E2391" s="22">
        <f>IF(D2391="?OLD","!!!","")</f>
        <v/>
      </c>
      <c r="F2391" s="23" t="str">
        <f>IF(OR(E2391="",E2391="!!!"),"",IF(NOT(ISNA(VLOOKUP(E2391,E$1:E2390,1,FALSE()))),"OLD",IF(AND(E2391&lt;&gt;"",E2391&lt;&gt;"!!!"),"NEW","")))</f>
        <v> </v>
      </c>
      <c r="G2391" s="24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5" t="str">
        <f>IF(J2391&lt;&gt;1,"",IF(I2391="SBJ","CB","?"))</f>
        <v> </v>
      </c>
      <c r="I2391" s="26" t="str">
        <f>IF(OR(E2391="",E2391="!!!",F2391="NEW"),"",INDEX(B2390:B$2,-1+SUMPRODUCT(MAX(ROW(E2390:E$2)*(E2391=E2390:E$2)))))</f>
        <v> </v>
      </c>
      <c r="J2391" s="26" t="str">
        <f>IF(OR(E2391="",E2391="!!!",F2391="NEW"),"",COUNTBLANK(OFFSET(A$1,,,SUMPRODUCT(MAX(ROW(E$2:E2391)*(E2391=E$2:E2391)))))-COUNTBLANK(OFFSET(A$1,,,SUMPRODUCT(MAX(ROW(E$1:E2390)*(E2=E$1:E2390))))))</f>
        <v> </v>
      </c>
      <c r="K2391" s="26" t="str">
        <f>IF(OR(E2391="",E2391="!!!",F2391="NEW"),"",INDEX(J$1:J2390,SUMPRODUCT(MAX(ROW(E$1:E2390)*(E2391=E$1:E2390)))))</f>
        <v> </v>
      </c>
      <c r="L2391" s="27"/>
    </row>
    <row r="2392" spans="1:12">
      <c r="A2392" s="20" t="s">
        <v>827</v>
      </c>
      <c r="B2392" s="21" t="s">
        <v>868</v>
      </c>
      <c r="E2392" s="22">
        <f>IF(D2392="?OLD","!!!","")</f>
        <v/>
      </c>
      <c r="F2392" s="23" t="str">
        <f>IF(OR(E2392="",E2392="!!!"),"",IF(NOT(ISNA(VLOOKUP(E2392,E$1:E2391,1,FALSE()))),"OLD",IF(AND(E2392&lt;&gt;"",E2392&lt;&gt;"!!!"),"NEW","")))</f>
        <v> </v>
      </c>
      <c r="G2392" s="24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5" t="str">
        <f>IF(J2392&lt;&gt;1,"",IF(I2392="SBJ","CB","?"))</f>
        <v> </v>
      </c>
      <c r="I2392" s="26" t="str">
        <f>IF(OR(E2392="",E2392="!!!",F2392="NEW"),"",INDEX(B2391:B$2,-1+SUMPRODUCT(MAX(ROW(E2391:E$2)*(E2392=E2391:E$2)))))</f>
        <v> </v>
      </c>
      <c r="J2392" s="26" t="str">
        <f>IF(OR(E2392="",E2392="!!!",F2392="NEW"),"",COUNTBLANK(OFFSET(A$1,,,SUMPRODUCT(MAX(ROW(E$2:E2392)*(E2392=E$2:E2392)))))-COUNTBLANK(OFFSET(A$1,,,SUMPRODUCT(MAX(ROW(E$1:E2391)*(E2=E$1:E2391))))))</f>
        <v> </v>
      </c>
      <c r="K2392" s="26" t="str">
        <f>IF(OR(E2392="",E2392="!!!",F2392="NEW"),"",INDEX(J$1:J2391,SUMPRODUCT(MAX(ROW(E$1:E2391)*(E2392=E$1:E2391)))))</f>
        <v> </v>
      </c>
      <c r="L2392" s="27"/>
    </row>
    <row r="2393" spans="1:12">
      <c r="A2393" s="20" t="s">
        <v>633</v>
      </c>
      <c r="E2393" s="22">
        <f>IF(D2393="?OLD","!!!","")</f>
        <v/>
      </c>
      <c r="F2393" s="23" t="str">
        <f>IF(OR(E2393="",E2393="!!!"),"",IF(NOT(ISNA(VLOOKUP(E2393,E$1:E2392,1,FALSE()))),"OLD",IF(AND(E2393&lt;&gt;"",E2393&lt;&gt;"!!!"),"NEW","")))</f>
        <v> </v>
      </c>
      <c r="G2393" s="24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5" t="str">
        <f>IF(J2393&lt;&gt;1,"",IF(I2393="SBJ","CB","?"))</f>
        <v> </v>
      </c>
      <c r="I2393" s="26" t="str">
        <f>IF(OR(E2393="",E2393="!!!",F2393="NEW"),"",INDEX(B2392:B$2,-1+SUMPRODUCT(MAX(ROW(E2392:E$2)*(E2393=E2392:E$2)))))</f>
        <v> </v>
      </c>
      <c r="J2393" s="26" t="str">
        <f>IF(OR(E2393="",E2393="!!!",F2393="NEW"),"",COUNTBLANK(OFFSET(A$1,,,SUMPRODUCT(MAX(ROW(E$2:E2393)*(E2393=E$2:E2393)))))-COUNTBLANK(OFFSET(A$1,,,SUMPRODUCT(MAX(ROW(E$1:E2392)*(E2=E$1:E2392))))))</f>
        <v> </v>
      </c>
      <c r="K2393" s="26" t="str">
        <f>IF(OR(E2393="",E2393="!!!",F2393="NEW"),"",INDEX(J$1:J2392,SUMPRODUCT(MAX(ROW(E$1:E2392)*(E2393=E$1:E2392)))))</f>
        <v> </v>
      </c>
      <c r="L2393" s="27"/>
    </row>
    <row r="2394" spans="1:12">
      <c r="A2394" s="20"/>
    </row>
    <row r="2395" spans="1:12">
      <c r="A2395" s="20" t="s">
        <v>1765</v>
      </c>
    </row>
    <row r="2396" spans="1:12">
      <c r="A2396" s="20" t="s">
        <v>1766</v>
      </c>
      <c r="E2396" s="22">
        <f>IF(D2396="?OLD","!!!","")</f>
        <v/>
      </c>
      <c r="F2396" s="23" t="str">
        <f>IF(OR(E2396="",E2396="!!!"),"",IF(NOT(ISNA(VLOOKUP(E2396,E$1:E2395,1,FALSE()))),"OLD",IF(AND(E2396&lt;&gt;"",E2396&lt;&gt;"!!!"),"NEW","")))</f>
        <v> </v>
      </c>
      <c r="G2396" s="24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5" t="str">
        <f>IF(J2396&lt;&gt;1,"",IF(I2396="SBJ","CB","?"))</f>
        <v> </v>
      </c>
      <c r="I2396" s="26" t="str">
        <f>IF(OR(E2396="",E2396="!!!",F2396="NEW"),"",INDEX(B2395:B$2,-1+SUMPRODUCT(MAX(ROW(E2395:E$2)*(E2396=E2395:E$2)))))</f>
        <v> </v>
      </c>
      <c r="J2396" s="26" t="str">
        <f>IF(OR(E2396="",E2396="!!!",F2396="NEW"),"",COUNTBLANK(OFFSET(A$1,,,SUMPRODUCT(MAX(ROW(E$2:E2396)*(E2396=E$2:E2396)))))-COUNTBLANK(OFFSET(A$1,,,SUMPRODUCT(MAX(ROW(E$1:E2395)*(E2=E$1:E2395))))))</f>
        <v> </v>
      </c>
      <c r="K2396" s="26" t="str">
        <f>IF(OR(E2396="",E2396="!!!",F2396="NEW"),"",INDEX(J$1:J2395,SUMPRODUCT(MAX(ROW(E$1:E2395)*(E2396=E$1:E2395)))))</f>
        <v> </v>
      </c>
      <c r="L2396" s="27"/>
    </row>
    <row r="2397" spans="1:12">
      <c r="A2397" s="20" t="s">
        <v>607</v>
      </c>
      <c r="E2397" s="22">
        <f>IF(D2397="?OLD","!!!","")</f>
        <v/>
      </c>
      <c r="F2397" s="23" t="str">
        <f>IF(OR(E2397="",E2397="!!!"),"",IF(NOT(ISNA(VLOOKUP(E2397,E$1:E2396,1,FALSE()))),"OLD",IF(AND(E2397&lt;&gt;"",E2397&lt;&gt;"!!!"),"NEW","")))</f>
        <v> </v>
      </c>
      <c r="G2397" s="24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5" t="str">
        <f>IF(J2397&lt;&gt;1,"",IF(I2397="SBJ","CB","?"))</f>
        <v> </v>
      </c>
      <c r="I2397" s="26" t="str">
        <f>IF(OR(E2397="",E2397="!!!",F2397="NEW"),"",INDEX(B2396:B$2,-1+SUMPRODUCT(MAX(ROW(E2396:E$2)*(E2397=E2396:E$2)))))</f>
        <v> </v>
      </c>
      <c r="J2397" s="26" t="str">
        <f>IF(OR(E2397="",E2397="!!!",F2397="NEW"),"",COUNTBLANK(OFFSET(A$1,,,SUMPRODUCT(MAX(ROW(E$2:E2397)*(E2397=E$2:E2397)))))-COUNTBLANK(OFFSET(A$1,,,SUMPRODUCT(MAX(ROW(E$1:E2396)*(E2=E$1:E2396))))))</f>
        <v> </v>
      </c>
      <c r="K2397" s="26" t="str">
        <f>IF(OR(E2397="",E2397="!!!",F2397="NEW"),"",INDEX(J$1:J2396,SUMPRODUCT(MAX(ROW(E$1:E2396)*(E2397=E$1:E2396)))))</f>
        <v> </v>
      </c>
      <c r="L2397" s="27"/>
    </row>
    <row r="2398" spans="1:12">
      <c r="A2398" s="20" t="s">
        <v>1099</v>
      </c>
      <c r="E2398" s="22">
        <f>IF(D2398="?OLD","!!!","")</f>
        <v/>
      </c>
      <c r="F2398" s="23" t="str">
        <f>IF(OR(E2398="",E2398="!!!"),"",IF(NOT(ISNA(VLOOKUP(E2398,E$1:E2397,1,FALSE()))),"OLD",IF(AND(E2398&lt;&gt;"",E2398&lt;&gt;"!!!"),"NEW","")))</f>
        <v> </v>
      </c>
      <c r="G2398" s="24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5" t="str">
        <f>IF(J2398&lt;&gt;1,"",IF(I2398="SBJ","CB","?"))</f>
        <v> </v>
      </c>
      <c r="I2398" s="26" t="str">
        <f>IF(OR(E2398="",E2398="!!!",F2398="NEW"),"",INDEX(B2397:B$2,-1+SUMPRODUCT(MAX(ROW(E2397:E$2)*(E2398=E2397:E$2)))))</f>
        <v> </v>
      </c>
      <c r="J2398" s="26" t="str">
        <f>IF(OR(E2398="",E2398="!!!",F2398="NEW"),"",COUNTBLANK(OFFSET(A$1,,,SUMPRODUCT(MAX(ROW(E$2:E2398)*(E2398=E$2:E2398)))))-COUNTBLANK(OFFSET(A$1,,,SUMPRODUCT(MAX(ROW(E$1:E2397)*(E2=E$1:E2397))))))</f>
        <v> </v>
      </c>
      <c r="K2398" s="26" t="str">
        <f>IF(OR(E2398="",E2398="!!!",F2398="NEW"),"",INDEX(J$1:J2397,SUMPRODUCT(MAX(ROW(E$1:E2397)*(E2398=E$1:E2397)))))</f>
        <v> </v>
      </c>
      <c r="L2398" s="27"/>
    </row>
    <row r="2399" spans="1:12">
      <c r="A2399" s="20" t="s">
        <v>1767</v>
      </c>
      <c r="B2399" s="21" t="s">
        <v>609</v>
      </c>
      <c r="C2399" s="21" t="s">
        <v>716</v>
      </c>
      <c r="D2399" s="21" t="s">
        <v>603</v>
      </c>
      <c r="E2399" s="22">
        <f>IF(D2399="?OLD","!!!","")</f>
        <v/>
      </c>
      <c r="F2399" s="23" t="str">
        <f>IF(OR(E2399="",E2399="!!!"),"",IF(NOT(ISNA(VLOOKUP(E2399,E$1:E2398,1,FALSE()))),"OLD",IF(AND(E2399&lt;&gt;"",E2399&lt;&gt;"!!!"),"NEW","")))</f>
        <v> </v>
      </c>
      <c r="G2399" s="24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5" t="str">
        <f>IF(J2399&lt;&gt;1,"",IF(I2399="SBJ","CB","?"))</f>
        <v> </v>
      </c>
      <c r="I2399" s="26" t="str">
        <f>IF(OR(E2399="",E2399="!!!",F2399="NEW"),"",INDEX(B2398:B$2,-1+SUMPRODUCT(MAX(ROW(E2398:E$2)*(E2399=E2398:E$2)))))</f>
        <v> </v>
      </c>
      <c r="J2399" s="26" t="str">
        <f>IF(OR(E2399="",E2399="!!!",F2399="NEW"),"",COUNTBLANK(OFFSET(A$1,,,SUMPRODUCT(MAX(ROW(E$2:E2399)*(E2399=E$2:E2399)))))-COUNTBLANK(OFFSET(A$1,,,SUMPRODUCT(MAX(ROW(E$1:E2398)*(E2=E$1:E2398))))))</f>
        <v> </v>
      </c>
      <c r="K2399" s="26" t="str">
        <f>IF(OR(E2399="",E2399="!!!",F2399="NEW"),"",INDEX(J$1:J2398,SUMPRODUCT(MAX(ROW(E$1:E2398)*(E2399=E$1:E2398)))))</f>
        <v> </v>
      </c>
      <c r="L2399" s="27"/>
    </row>
    <row r="2400" spans="1:12">
      <c r="A2400" s="20" t="s">
        <v>611</v>
      </c>
      <c r="E2400" s="22">
        <f>IF(D2400="?OLD","!!!","")</f>
        <v/>
      </c>
      <c r="F2400" s="23" t="str">
        <f>IF(OR(E2400="",E2400="!!!"),"",IF(NOT(ISNA(VLOOKUP(E2400,E$1:E2399,1,FALSE()))),"OLD",IF(AND(E2400&lt;&gt;"",E2400&lt;&gt;"!!!"),"NEW","")))</f>
        <v> </v>
      </c>
      <c r="G2400" s="24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5" t="str">
        <f>IF(J2400&lt;&gt;1,"",IF(I2400="SBJ","CB","?"))</f>
        <v> </v>
      </c>
      <c r="I2400" s="26" t="str">
        <f>IF(OR(E2400="",E2400="!!!",F2400="NEW"),"",INDEX(B2399:B$2,-1+SUMPRODUCT(MAX(ROW(E2399:E$2)*(E2400=E2399:E$2)))))</f>
        <v> </v>
      </c>
      <c r="J2400" s="26" t="str">
        <f>IF(OR(E2400="",E2400="!!!",F2400="NEW"),"",COUNTBLANK(OFFSET(A$1,,,SUMPRODUCT(MAX(ROW(E$2:E2400)*(E2400=E$2:E2400)))))-COUNTBLANK(OFFSET(A$1,,,SUMPRODUCT(MAX(ROW(E$1:E2399)*(E2=E$1:E2399))))))</f>
        <v> </v>
      </c>
      <c r="K2400" s="26" t="str">
        <f>IF(OR(E2400="",E2400="!!!",F2400="NEW"),"",INDEX(J$1:J2399,SUMPRODUCT(MAX(ROW(E$1:E2399)*(E2400=E$1:E2399)))))</f>
        <v> </v>
      </c>
      <c r="L2400" s="27"/>
    </row>
    <row r="2401" spans="1:12">
      <c r="A2401" s="20" t="s">
        <v>1316</v>
      </c>
      <c r="B2401" s="21" t="s">
        <v>601</v>
      </c>
      <c r="C2401" s="21" t="s">
        <v>602</v>
      </c>
      <c r="D2401" s="21" t="s">
        <v>603</v>
      </c>
      <c r="E2401" s="22">
        <f>IF(D2401="?OLD","!!!","")</f>
        <v/>
      </c>
      <c r="F2401" s="23" t="str">
        <f>IF(OR(E2401="",E2401="!!!"),"",IF(NOT(ISNA(VLOOKUP(E2401,E$1:E2400,1,FALSE()))),"OLD",IF(AND(E2401&lt;&gt;"",E2401&lt;&gt;"!!!"),"NEW","")))</f>
        <v> </v>
      </c>
      <c r="G2401" s="24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5" t="str">
        <f>IF(J2401&lt;&gt;1,"",IF(I2401="SBJ","CB","?"))</f>
        <v> </v>
      </c>
      <c r="I2401" s="26" t="str">
        <f>IF(OR(E2401="",E2401="!!!",F2401="NEW"),"",INDEX(B2400:B$2,-1+SUMPRODUCT(MAX(ROW(E2400:E$2)*(E2401=E2400:E$2)))))</f>
        <v> </v>
      </c>
      <c r="J2401" s="26" t="str">
        <f>IF(OR(E2401="",E2401="!!!",F2401="NEW"),"",COUNTBLANK(OFFSET(A$1,,,SUMPRODUCT(MAX(ROW(E$2:E2401)*(E2401=E$2:E2401)))))-COUNTBLANK(OFFSET(A$1,,,SUMPRODUCT(MAX(ROW(E$1:E2400)*(E2=E$1:E2400))))))</f>
        <v> </v>
      </c>
      <c r="K2401" s="26" t="str">
        <f>IF(OR(E2401="",E2401="!!!",F2401="NEW"),"",INDEX(J$1:J2400,SUMPRODUCT(MAX(ROW(E$1:E2400)*(E2401=E$1:E2400)))))</f>
        <v> </v>
      </c>
      <c r="L2401" s="27"/>
    </row>
    <row r="2402" spans="1:12">
      <c r="A2402" s="20" t="s">
        <v>1768</v>
      </c>
      <c r="E2402" s="22">
        <f>IF(D2402="?OLD","!!!","")</f>
        <v/>
      </c>
      <c r="F2402" s="23" t="str">
        <f>IF(OR(E2402="",E2402="!!!"),"",IF(NOT(ISNA(VLOOKUP(E2402,E$1:E2401,1,FALSE()))),"OLD",IF(AND(E2402&lt;&gt;"",E2402&lt;&gt;"!!!"),"NEW","")))</f>
        <v> </v>
      </c>
      <c r="G2402" s="24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5" t="str">
        <f>IF(J2402&lt;&gt;1,"",IF(I2402="SBJ","CB","?"))</f>
        <v> </v>
      </c>
      <c r="I2402" s="26" t="str">
        <f>IF(OR(E2402="",E2402="!!!",F2402="NEW"),"",INDEX(B2401:B$2,-1+SUMPRODUCT(MAX(ROW(E2401:E$2)*(E2402=E2401:E$2)))))</f>
        <v> </v>
      </c>
      <c r="J2402" s="26" t="str">
        <f>IF(OR(E2402="",E2402="!!!",F2402="NEW"),"",COUNTBLANK(OFFSET(A$1,,,SUMPRODUCT(MAX(ROW(E$2:E2402)*(E2402=E$2:E2402)))))-COUNTBLANK(OFFSET(A$1,,,SUMPRODUCT(MAX(ROW(E$1:E2401)*(E2=E$1:E2401))))))</f>
        <v> </v>
      </c>
      <c r="K2402" s="26" t="str">
        <f>IF(OR(E2402="",E2402="!!!",F2402="NEW"),"",INDEX(J$1:J2401,SUMPRODUCT(MAX(ROW(E$1:E2401)*(E2402=E$1:E2401)))))</f>
        <v> </v>
      </c>
      <c r="L2402" s="27"/>
    </row>
    <row r="2403" spans="1:12">
      <c r="A2403" s="20" t="s">
        <v>1769</v>
      </c>
      <c r="E2403" s="22">
        <f>IF(D2403="?OLD","!!!","")</f>
        <v/>
      </c>
      <c r="F2403" s="23" t="str">
        <f>IF(OR(E2403="",E2403="!!!"),"",IF(NOT(ISNA(VLOOKUP(E2403,E$1:E2402,1,FALSE()))),"OLD",IF(AND(E2403&lt;&gt;"",E2403&lt;&gt;"!!!"),"NEW","")))</f>
        <v> </v>
      </c>
      <c r="G2403" s="24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5" t="str">
        <f>IF(J2403&lt;&gt;1,"",IF(I2403="SBJ","CB","?"))</f>
        <v> </v>
      </c>
      <c r="I2403" s="26" t="str">
        <f>IF(OR(E2403="",E2403="!!!",F2403="NEW"),"",INDEX(B2402:B$2,-1+SUMPRODUCT(MAX(ROW(E2402:E$2)*(E2403=E2402:E$2)))))</f>
        <v> </v>
      </c>
      <c r="J2403" s="26" t="str">
        <f>IF(OR(E2403="",E2403="!!!",F2403="NEW"),"",COUNTBLANK(OFFSET(A$1,,,SUMPRODUCT(MAX(ROW(E$2:E2403)*(E2403=E$2:E2403)))))-COUNTBLANK(OFFSET(A$1,,,SUMPRODUCT(MAX(ROW(E$1:E2402)*(E2=E$1:E2402))))))</f>
        <v> </v>
      </c>
      <c r="K2403" s="26" t="str">
        <f>IF(OR(E2403="",E2403="!!!",F2403="NEW"),"",INDEX(J$1:J2402,SUMPRODUCT(MAX(ROW(E$1:E2402)*(E2403=E$1:E2402)))))</f>
        <v> </v>
      </c>
      <c r="L2403" s="27"/>
    </row>
    <row r="2404" spans="1:12">
      <c r="A2404" s="20" t="s">
        <v>611</v>
      </c>
      <c r="E2404" s="22">
        <f>IF(D2404="?OLD","!!!","")</f>
        <v/>
      </c>
      <c r="F2404" s="23" t="str">
        <f>IF(OR(E2404="",E2404="!!!"),"",IF(NOT(ISNA(VLOOKUP(E2404,E$1:E2403,1,FALSE()))),"OLD",IF(AND(E2404&lt;&gt;"",E2404&lt;&gt;"!!!"),"NEW","")))</f>
        <v> </v>
      </c>
      <c r="G2404" s="24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5" t="str">
        <f>IF(J2404&lt;&gt;1,"",IF(I2404="SBJ","CB","?"))</f>
        <v> </v>
      </c>
      <c r="I2404" s="26" t="str">
        <f>IF(OR(E2404="",E2404="!!!",F2404="NEW"),"",INDEX(B2403:B$2,-1+SUMPRODUCT(MAX(ROW(E2403:E$2)*(E2404=E2403:E$2)))))</f>
        <v> </v>
      </c>
      <c r="J2404" s="26" t="str">
        <f>IF(OR(E2404="",E2404="!!!",F2404="NEW"),"",COUNTBLANK(OFFSET(A$1,,,SUMPRODUCT(MAX(ROW(E$2:E2404)*(E2404=E$2:E2404)))))-COUNTBLANK(OFFSET(A$1,,,SUMPRODUCT(MAX(ROW(E$1:E2403)*(E2=E$1:E2403))))))</f>
        <v> </v>
      </c>
      <c r="K2404" s="26" t="str">
        <f>IF(OR(E2404="",E2404="!!!",F2404="NEW"),"",INDEX(J$1:J2403,SUMPRODUCT(MAX(ROW(E$1:E2403)*(E2404=E$1:E2403)))))</f>
        <v> </v>
      </c>
      <c r="L2404" s="27"/>
    </row>
    <row r="2405" spans="1:12">
      <c r="A2405" s="20" t="s">
        <v>658</v>
      </c>
      <c r="E2405" s="22">
        <f>IF(D2405="?OLD","!!!","")</f>
        <v/>
      </c>
      <c r="F2405" s="23" t="str">
        <f>IF(OR(E2405="",E2405="!!!"),"",IF(NOT(ISNA(VLOOKUP(E2405,E$1:E2404,1,FALSE()))),"OLD",IF(AND(E2405&lt;&gt;"",E2405&lt;&gt;"!!!"),"NEW","")))</f>
        <v> </v>
      </c>
      <c r="G2405" s="24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5" t="str">
        <f>IF(J2405&lt;&gt;1,"",IF(I2405="SBJ","CB","?"))</f>
        <v> </v>
      </c>
      <c r="I2405" s="26" t="str">
        <f>IF(OR(E2405="",E2405="!!!",F2405="NEW"),"",INDEX(B2404:B$2,-1+SUMPRODUCT(MAX(ROW(E2404:E$2)*(E2405=E2404:E$2)))))</f>
        <v> </v>
      </c>
      <c r="J2405" s="26" t="str">
        <f>IF(OR(E2405="",E2405="!!!",F2405="NEW"),"",COUNTBLANK(OFFSET(A$1,,,SUMPRODUCT(MAX(ROW(E$2:E2405)*(E2405=E$2:E2405)))))-COUNTBLANK(OFFSET(A$1,,,SUMPRODUCT(MAX(ROW(E$1:E2404)*(E2=E$1:E2404))))))</f>
        <v> </v>
      </c>
      <c r="K2405" s="26" t="str">
        <f>IF(OR(E2405="",E2405="!!!",F2405="NEW"),"",INDEX(J$1:J2404,SUMPRODUCT(MAX(ROW(E$1:E2404)*(E2405=E$1:E2404)))))</f>
        <v> </v>
      </c>
      <c r="L2405" s="27"/>
    </row>
    <row r="2406" spans="1:12">
      <c r="A2406" s="20" t="s">
        <v>615</v>
      </c>
      <c r="B2406" s="21" t="s">
        <v>636</v>
      </c>
      <c r="C2406" s="21" t="s">
        <v>602</v>
      </c>
      <c r="D2406" s="21" t="s">
        <v>603</v>
      </c>
      <c r="E2406" s="22">
        <f>IF(D2406="?OLD","!!!","")</f>
        <v/>
      </c>
      <c r="F2406" s="23" t="str">
        <f>IF(OR(E2406="",E2406="!!!"),"",IF(NOT(ISNA(VLOOKUP(E2406,E$1:E2405,1,FALSE()))),"OLD",IF(AND(E2406&lt;&gt;"",E2406&lt;&gt;"!!!"),"NEW","")))</f>
        <v> </v>
      </c>
      <c r="G2406" s="24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5" t="str">
        <f>IF(J2406&lt;&gt;1,"",IF(I2406="SBJ","CB","?"))</f>
        <v> </v>
      </c>
      <c r="I2406" s="26" t="str">
        <f>IF(OR(E2406="",E2406="!!!",F2406="NEW"),"",INDEX(B2405:B$2,-1+SUMPRODUCT(MAX(ROW(E2405:E$2)*(E2406=E2405:E$2)))))</f>
        <v> </v>
      </c>
      <c r="J2406" s="26" t="str">
        <f>IF(OR(E2406="",E2406="!!!",F2406="NEW"),"",COUNTBLANK(OFFSET(A$1,,,SUMPRODUCT(MAX(ROW(E$2:E2406)*(E2406=E$2:E2406)))))-COUNTBLANK(OFFSET(A$1,,,SUMPRODUCT(MAX(ROW(E$1:E2405)*(E2=E$1:E2405))))))</f>
        <v> </v>
      </c>
      <c r="K2406" s="26" t="str">
        <f>IF(OR(E2406="",E2406="!!!",F2406="NEW"),"",INDEX(J$1:J2405,SUMPRODUCT(MAX(ROW(E$1:E2405)*(E2406=E$1:E2405)))))</f>
        <v> </v>
      </c>
      <c r="L2406" s="27"/>
    </row>
    <row r="2407" spans="1:12">
      <c r="A2407" s="20" t="s">
        <v>677</v>
      </c>
      <c r="E2407" s="22">
        <f>IF(D2407="?OLD","!!!","")</f>
        <v/>
      </c>
      <c r="F2407" s="23" t="str">
        <f>IF(OR(E2407="",E2407="!!!"),"",IF(NOT(ISNA(VLOOKUP(E2407,E$1:E2406,1,FALSE()))),"OLD",IF(AND(E2407&lt;&gt;"",E2407&lt;&gt;"!!!"),"NEW","")))</f>
        <v> </v>
      </c>
      <c r="G2407" s="24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5" t="str">
        <f>IF(J2407&lt;&gt;1,"",IF(I2407="SBJ","CB","?"))</f>
        <v> </v>
      </c>
      <c r="I2407" s="26" t="str">
        <f>IF(OR(E2407="",E2407="!!!",F2407="NEW"),"",INDEX(B2406:B$2,-1+SUMPRODUCT(MAX(ROW(E2406:E$2)*(E2407=E2406:E$2)))))</f>
        <v> </v>
      </c>
      <c r="J2407" s="26" t="str">
        <f>IF(OR(E2407="",E2407="!!!",F2407="NEW"),"",COUNTBLANK(OFFSET(A$1,,,SUMPRODUCT(MAX(ROW(E$2:E2407)*(E2407=E$2:E2407)))))-COUNTBLANK(OFFSET(A$1,,,SUMPRODUCT(MAX(ROW(E$1:E2406)*(E2=E$1:E2406))))))</f>
        <v> </v>
      </c>
      <c r="K2407" s="26" t="str">
        <f>IF(OR(E2407="",E2407="!!!",F2407="NEW"),"",INDEX(J$1:J2406,SUMPRODUCT(MAX(ROW(E$1:E2406)*(E2407=E$1:E2406)))))</f>
        <v> </v>
      </c>
      <c r="L2407" s="27"/>
    </row>
    <row r="2408" spans="1:12">
      <c r="A2408" s="20" t="s">
        <v>1770</v>
      </c>
      <c r="E2408" s="22">
        <f>IF(D2408="?OLD","!!!","")</f>
        <v/>
      </c>
      <c r="F2408" s="23" t="str">
        <f>IF(OR(E2408="",E2408="!!!"),"",IF(NOT(ISNA(VLOOKUP(E2408,E$1:E2407,1,FALSE()))),"OLD",IF(AND(E2408&lt;&gt;"",E2408&lt;&gt;"!!!"),"NEW","")))</f>
        <v> </v>
      </c>
      <c r="G2408" s="24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5" t="str">
        <f>IF(J2408&lt;&gt;1,"",IF(I2408="SBJ","CB","?"))</f>
        <v> </v>
      </c>
      <c r="I2408" s="26" t="str">
        <f>IF(OR(E2408="",E2408="!!!",F2408="NEW"),"",INDEX(B2407:B$2,-1+SUMPRODUCT(MAX(ROW(E2407:E$2)*(E2408=E2407:E$2)))))</f>
        <v> </v>
      </c>
      <c r="J2408" s="26" t="str">
        <f>IF(OR(E2408="",E2408="!!!",F2408="NEW"),"",COUNTBLANK(OFFSET(A$1,,,SUMPRODUCT(MAX(ROW(E$2:E2408)*(E2408=E$2:E2408)))))-COUNTBLANK(OFFSET(A$1,,,SUMPRODUCT(MAX(ROW(E$1:E2407)*(E2=E$1:E2407))))))</f>
        <v> </v>
      </c>
      <c r="K2408" s="26" t="str">
        <f>IF(OR(E2408="",E2408="!!!",F2408="NEW"),"",INDEX(J$1:J2407,SUMPRODUCT(MAX(ROW(E$1:E2407)*(E2408=E$1:E2407)))))</f>
        <v> </v>
      </c>
      <c r="L2408" s="27"/>
    </row>
    <row r="2409" spans="1:12">
      <c r="A2409" s="20" t="s">
        <v>755</v>
      </c>
      <c r="E2409" s="22">
        <f>IF(D2409="?OLD","!!!","")</f>
        <v/>
      </c>
      <c r="F2409" s="23" t="str">
        <f>IF(OR(E2409="",E2409="!!!"),"",IF(NOT(ISNA(VLOOKUP(E2409,E$1:E2408,1,FALSE()))),"OLD",IF(AND(E2409&lt;&gt;"",E2409&lt;&gt;"!!!"),"NEW","")))</f>
        <v> </v>
      </c>
      <c r="G2409" s="24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5" t="str">
        <f>IF(J2409&lt;&gt;1,"",IF(I2409="SBJ","CB","?"))</f>
        <v> </v>
      </c>
      <c r="I2409" s="26" t="str">
        <f>IF(OR(E2409="",E2409="!!!",F2409="NEW"),"",INDEX(B2408:B$2,-1+SUMPRODUCT(MAX(ROW(E2408:E$2)*(E2409=E2408:E$2)))))</f>
        <v> </v>
      </c>
      <c r="J2409" s="26" t="str">
        <f>IF(OR(E2409="",E2409="!!!",F2409="NEW"),"",COUNTBLANK(OFFSET(A$1,,,SUMPRODUCT(MAX(ROW(E$2:E2409)*(E2409=E$2:E2409)))))-COUNTBLANK(OFFSET(A$1,,,SUMPRODUCT(MAX(ROW(E$1:E2408)*(E2=E$1:E2408))))))</f>
        <v> </v>
      </c>
      <c r="K2409" s="26" t="str">
        <f>IF(OR(E2409="",E2409="!!!",F2409="NEW"),"",INDEX(J$1:J2408,SUMPRODUCT(MAX(ROW(E$1:E2408)*(E2409=E$1:E2408)))))</f>
        <v> </v>
      </c>
      <c r="L2409" s="27"/>
    </row>
    <row r="2410" spans="1:12">
      <c r="A2410" s="20" t="s">
        <v>674</v>
      </c>
      <c r="E2410" s="22">
        <f>IF(D2410="?OLD","!!!","")</f>
        <v/>
      </c>
      <c r="F2410" s="23" t="str">
        <f>IF(OR(E2410="",E2410="!!!"),"",IF(NOT(ISNA(VLOOKUP(E2410,E$1:E2409,1,FALSE()))),"OLD",IF(AND(E2410&lt;&gt;"",E2410&lt;&gt;"!!!"),"NEW","")))</f>
        <v> </v>
      </c>
      <c r="G2410" s="24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5" t="str">
        <f>IF(J2410&lt;&gt;1,"",IF(I2410="SBJ","CB","?"))</f>
        <v> </v>
      </c>
      <c r="I2410" s="26" t="str">
        <f>IF(OR(E2410="",E2410="!!!",F2410="NEW"),"",INDEX(B2409:B$2,-1+SUMPRODUCT(MAX(ROW(E2409:E$2)*(E2410=E2409:E$2)))))</f>
        <v> </v>
      </c>
      <c r="J2410" s="26" t="str">
        <f>IF(OR(E2410="",E2410="!!!",F2410="NEW"),"",COUNTBLANK(OFFSET(A$1,,,SUMPRODUCT(MAX(ROW(E$2:E2410)*(E2410=E$2:E2410)))))-COUNTBLANK(OFFSET(A$1,,,SUMPRODUCT(MAX(ROW(E$1:E2409)*(E2=E$1:E2409))))))</f>
        <v> </v>
      </c>
      <c r="K2410" s="26" t="str">
        <f>IF(OR(E2410="",E2410="!!!",F2410="NEW"),"",INDEX(J$1:J2409,SUMPRODUCT(MAX(ROW(E$1:E2409)*(E2410=E$1:E2409)))))</f>
        <v> </v>
      </c>
      <c r="L2410" s="27"/>
    </row>
    <row r="2411" spans="1:12">
      <c r="A2411" s="20" t="s">
        <v>1771</v>
      </c>
      <c r="E2411" s="22">
        <f>IF(D2411="?OLD","!!!","")</f>
        <v/>
      </c>
      <c r="F2411" s="23" t="str">
        <f>IF(OR(E2411="",E2411="!!!"),"",IF(NOT(ISNA(VLOOKUP(E2411,E$1:E2410,1,FALSE()))),"OLD",IF(AND(E2411&lt;&gt;"",E2411&lt;&gt;"!!!"),"NEW","")))</f>
        <v> </v>
      </c>
      <c r="G2411" s="24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5" t="str">
        <f>IF(J2411&lt;&gt;1,"",IF(I2411="SBJ","CB","?"))</f>
        <v> </v>
      </c>
      <c r="I2411" s="26" t="str">
        <f>IF(OR(E2411="",E2411="!!!",F2411="NEW"),"",INDEX(B2410:B$2,-1+SUMPRODUCT(MAX(ROW(E2410:E$2)*(E2411=E2410:E$2)))))</f>
        <v> </v>
      </c>
      <c r="J2411" s="26" t="str">
        <f>IF(OR(E2411="",E2411="!!!",F2411="NEW"),"",COUNTBLANK(OFFSET(A$1,,,SUMPRODUCT(MAX(ROW(E$2:E2411)*(E2411=E$2:E2411)))))-COUNTBLANK(OFFSET(A$1,,,SUMPRODUCT(MAX(ROW(E$1:E2410)*(E2=E$1:E2410))))))</f>
        <v> </v>
      </c>
      <c r="K2411" s="26" t="str">
        <f>IF(OR(E2411="",E2411="!!!",F2411="NEW"),"",INDEX(J$1:J2410,SUMPRODUCT(MAX(ROW(E$1:E2410)*(E2411=E$1:E2410)))))</f>
        <v> </v>
      </c>
      <c r="L2411" s="27"/>
    </row>
    <row r="2412" spans="1:12">
      <c r="A2412" s="20" t="s">
        <v>676</v>
      </c>
      <c r="E2412" s="22">
        <f>IF(D2412="?OLD","!!!","")</f>
        <v/>
      </c>
      <c r="F2412" s="23" t="str">
        <f>IF(OR(E2412="",E2412="!!!"),"",IF(NOT(ISNA(VLOOKUP(E2412,E$1:E2411,1,FALSE()))),"OLD",IF(AND(E2412&lt;&gt;"",E2412&lt;&gt;"!!!"),"NEW","")))</f>
        <v> </v>
      </c>
      <c r="G2412" s="24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5" t="str">
        <f>IF(J2412&lt;&gt;1,"",IF(I2412="SBJ","CB","?"))</f>
        <v> </v>
      </c>
      <c r="I2412" s="26" t="str">
        <f>IF(OR(E2412="",E2412="!!!",F2412="NEW"),"",INDEX(B2411:B$2,-1+SUMPRODUCT(MAX(ROW(E2411:E$2)*(E2412=E2411:E$2)))))</f>
        <v> </v>
      </c>
      <c r="J2412" s="26" t="str">
        <f>IF(OR(E2412="",E2412="!!!",F2412="NEW"),"",COUNTBLANK(OFFSET(A$1,,,SUMPRODUCT(MAX(ROW(E$2:E2412)*(E2412=E$2:E2412)))))-COUNTBLANK(OFFSET(A$1,,,SUMPRODUCT(MAX(ROW(E$1:E2411)*(E2=E$1:E2411))))))</f>
        <v> </v>
      </c>
      <c r="K2412" s="26" t="str">
        <f>IF(OR(E2412="",E2412="!!!",F2412="NEW"),"",INDEX(J$1:J2411,SUMPRODUCT(MAX(ROW(E$1:E2411)*(E2412=E$1:E2411)))))</f>
        <v> </v>
      </c>
      <c r="L2412" s="27"/>
    </row>
    <row r="2413" spans="1:12">
      <c r="A2413" s="20" t="s">
        <v>817</v>
      </c>
      <c r="E2413" s="22">
        <f>IF(D2413="?OLD","!!!","")</f>
        <v/>
      </c>
      <c r="F2413" s="23" t="str">
        <f>IF(OR(E2413="",E2413="!!!"),"",IF(NOT(ISNA(VLOOKUP(E2413,E$1:E2412,1,FALSE()))),"OLD",IF(AND(E2413&lt;&gt;"",E2413&lt;&gt;"!!!"),"NEW","")))</f>
        <v> </v>
      </c>
      <c r="G2413" s="24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5" t="str">
        <f>IF(J2413&lt;&gt;1,"",IF(I2413="SBJ","CB","?"))</f>
        <v> </v>
      </c>
      <c r="I2413" s="26" t="str">
        <f>IF(OR(E2413="",E2413="!!!",F2413="NEW"),"",INDEX(B2412:B$2,-1+SUMPRODUCT(MAX(ROW(E2412:E$2)*(E2413=E2412:E$2)))))</f>
        <v> </v>
      </c>
      <c r="J2413" s="26" t="str">
        <f>IF(OR(E2413="",E2413="!!!",F2413="NEW"),"",COUNTBLANK(OFFSET(A$1,,,SUMPRODUCT(MAX(ROW(E$2:E2413)*(E2413=E$2:E2413)))))-COUNTBLANK(OFFSET(A$1,,,SUMPRODUCT(MAX(ROW(E$1:E2412)*(E2=E$1:E2412))))))</f>
        <v> </v>
      </c>
      <c r="K2413" s="26" t="str">
        <f>IF(OR(E2413="",E2413="!!!",F2413="NEW"),"",INDEX(J$1:J2412,SUMPRODUCT(MAX(ROW(E$1:E2412)*(E2413=E$1:E2412)))))</f>
        <v> </v>
      </c>
      <c r="L2413" s="27"/>
    </row>
    <row r="2414" spans="1:12">
      <c r="A2414" s="20" t="s">
        <v>1019</v>
      </c>
      <c r="E2414" s="22">
        <f>IF(D2414="?OLD","!!!","")</f>
        <v/>
      </c>
      <c r="F2414" s="23" t="str">
        <f>IF(OR(E2414="",E2414="!!!"),"",IF(NOT(ISNA(VLOOKUP(E2414,E$1:E2413,1,FALSE()))),"OLD",IF(AND(E2414&lt;&gt;"",E2414&lt;&gt;"!!!"),"NEW","")))</f>
        <v> </v>
      </c>
      <c r="G2414" s="24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5" t="str">
        <f>IF(J2414&lt;&gt;1,"",IF(I2414="SBJ","CB","?"))</f>
        <v> </v>
      </c>
      <c r="I2414" s="26" t="str">
        <f>IF(OR(E2414="",E2414="!!!",F2414="NEW"),"",INDEX(B2413:B$2,-1+SUMPRODUCT(MAX(ROW(E2413:E$2)*(E2414=E2413:E$2)))))</f>
        <v> </v>
      </c>
      <c r="J2414" s="26" t="str">
        <f>IF(OR(E2414="",E2414="!!!",F2414="NEW"),"",COUNTBLANK(OFFSET(A$1,,,SUMPRODUCT(MAX(ROW(E$2:E2414)*(E2414=E$2:E2414)))))-COUNTBLANK(OFFSET(A$1,,,SUMPRODUCT(MAX(ROW(E$1:E2413)*(E2=E$1:E2413))))))</f>
        <v> </v>
      </c>
      <c r="K2414" s="26" t="str">
        <f>IF(OR(E2414="",E2414="!!!",F2414="NEW"),"",INDEX(J$1:J2413,SUMPRODUCT(MAX(ROW(E$1:E2413)*(E2414=E$1:E2413)))))</f>
        <v> </v>
      </c>
      <c r="L2414" s="27"/>
    </row>
    <row r="2415" spans="1:12">
      <c r="A2415" s="20" t="s">
        <v>658</v>
      </c>
      <c r="B2415" s="21" t="s">
        <v>801</v>
      </c>
      <c r="C2415" s="21" t="s">
        <v>614</v>
      </c>
      <c r="E2415" s="22">
        <f>IF(D2415="?OLD","!!!","")</f>
        <v/>
      </c>
      <c r="F2415" s="23" t="str">
        <f>IF(OR(E2415="",E2415="!!!"),"",IF(NOT(ISNA(VLOOKUP(E2415,E$1:E2414,1,FALSE()))),"OLD",IF(AND(E2415&lt;&gt;"",E2415&lt;&gt;"!!!"),"NEW","")))</f>
        <v> </v>
      </c>
      <c r="G2415" s="24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5" t="str">
        <f>IF(J2415&lt;&gt;1,"",IF(I2415="SBJ","CB","?"))</f>
        <v> </v>
      </c>
      <c r="I2415" s="26" t="str">
        <f>IF(OR(E2415="",E2415="!!!",F2415="NEW"),"",INDEX(B2414:B$2,-1+SUMPRODUCT(MAX(ROW(E2414:E$2)*(E2415=E2414:E$2)))))</f>
        <v> </v>
      </c>
      <c r="J2415" s="26" t="str">
        <f>IF(OR(E2415="",E2415="!!!",F2415="NEW"),"",COUNTBLANK(OFFSET(A$1,,,SUMPRODUCT(MAX(ROW(E$2:E2415)*(E2415=E$2:E2415)))))-COUNTBLANK(OFFSET(A$1,,,SUMPRODUCT(MAX(ROW(E$1:E2414)*(E2=E$1:E2414))))))</f>
        <v> </v>
      </c>
      <c r="K2415" s="26" t="str">
        <f>IF(OR(E2415="",E2415="!!!",F2415="NEW"),"",INDEX(J$1:J2414,SUMPRODUCT(MAX(ROW(E$1:E2414)*(E2415=E$1:E2414)))))</f>
        <v> </v>
      </c>
      <c r="L2415" s="27"/>
    </row>
    <row r="2416" spans="1:12">
      <c r="A2416" s="20" t="s">
        <v>1772</v>
      </c>
      <c r="E2416" s="22">
        <f>IF(D2416="?OLD","!!!","")</f>
        <v/>
      </c>
      <c r="F2416" s="23" t="str">
        <f>IF(OR(E2416="",E2416="!!!"),"",IF(NOT(ISNA(VLOOKUP(E2416,E$1:E2415,1,FALSE()))),"OLD",IF(AND(E2416&lt;&gt;"",E2416&lt;&gt;"!!!"),"NEW","")))</f>
        <v> </v>
      </c>
      <c r="G2416" s="24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5" t="str">
        <f>IF(J2416&lt;&gt;1,"",IF(I2416="SBJ","CB","?"))</f>
        <v> </v>
      </c>
      <c r="I2416" s="26" t="str">
        <f>IF(OR(E2416="",E2416="!!!",F2416="NEW"),"",INDEX(B2415:B$2,-1+SUMPRODUCT(MAX(ROW(E2415:E$2)*(E2416=E2415:E$2)))))</f>
        <v> </v>
      </c>
      <c r="J2416" s="26" t="str">
        <f>IF(OR(E2416="",E2416="!!!",F2416="NEW"),"",COUNTBLANK(OFFSET(A$1,,,SUMPRODUCT(MAX(ROW(E$2:E2416)*(E2416=E$2:E2416)))))-COUNTBLANK(OFFSET(A$1,,,SUMPRODUCT(MAX(ROW(E$1:E2415)*(E2=E$1:E2415))))))</f>
        <v> </v>
      </c>
      <c r="K2416" s="26" t="str">
        <f>IF(OR(E2416="",E2416="!!!",F2416="NEW"),"",INDEX(J$1:J2415,SUMPRODUCT(MAX(ROW(E$1:E2415)*(E2416=E$1:E2415)))))</f>
        <v> </v>
      </c>
      <c r="L2416" s="27"/>
    </row>
    <row r="2417" spans="1:12">
      <c r="A2417" s="20" t="s">
        <v>419</v>
      </c>
      <c r="B2417" s="21" t="s">
        <v>636</v>
      </c>
      <c r="C2417" s="21" t="s">
        <v>602</v>
      </c>
      <c r="D2417" s="21" t="s">
        <v>603</v>
      </c>
      <c r="E2417" s="22">
        <f>IF(D2417="?OLD","!!!","")</f>
        <v/>
      </c>
      <c r="F2417" s="23" t="str">
        <f>IF(OR(E2417="",E2417="!!!"),"",IF(NOT(ISNA(VLOOKUP(E2417,E$1:E2416,1,FALSE()))),"OLD",IF(AND(E2417&lt;&gt;"",E2417&lt;&gt;"!!!"),"NEW","")))</f>
        <v> </v>
      </c>
      <c r="G2417" s="24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5" t="str">
        <f>IF(J2417&lt;&gt;1,"",IF(I2417="SBJ","CB","?"))</f>
        <v> </v>
      </c>
      <c r="I2417" s="26" t="str">
        <f>IF(OR(E2417="",E2417="!!!",F2417="NEW"),"",INDEX(B2416:B$2,-1+SUMPRODUCT(MAX(ROW(E2416:E$2)*(E2417=E2416:E$2)))))</f>
        <v> </v>
      </c>
      <c r="J2417" s="26" t="str">
        <f>IF(OR(E2417="",E2417="!!!",F2417="NEW"),"",COUNTBLANK(OFFSET(A$1,,,SUMPRODUCT(MAX(ROW(E$2:E2417)*(E2417=E$2:E2417)))))-COUNTBLANK(OFFSET(A$1,,,SUMPRODUCT(MAX(ROW(E$1:E2416)*(E2=E$1:E2416))))))</f>
        <v> </v>
      </c>
      <c r="K2417" s="26" t="str">
        <f>IF(OR(E2417="",E2417="!!!",F2417="NEW"),"",INDEX(J$1:J2416,SUMPRODUCT(MAX(ROW(E$1:E2416)*(E2417=E$1:E2416)))))</f>
        <v> </v>
      </c>
      <c r="L2417" s="27"/>
    </row>
    <row r="2418" spans="1:12">
      <c r="A2418" s="20" t="s">
        <v>824</v>
      </c>
      <c r="B2418" s="21" t="s">
        <v>801</v>
      </c>
      <c r="C2418" s="21" t="s">
        <v>602</v>
      </c>
      <c r="D2418" s="21" t="s">
        <v>603</v>
      </c>
      <c r="E2418" s="22">
        <f>IF(D2418="?OLD","!!!","")</f>
        <v/>
      </c>
      <c r="F2418" s="23" t="str">
        <f>IF(OR(E2418="",E2418="!!!"),"",IF(NOT(ISNA(VLOOKUP(E2418,E$1:E2417,1,FALSE()))),"OLD",IF(AND(E2418&lt;&gt;"",E2418&lt;&gt;"!!!"),"NEW","")))</f>
        <v> </v>
      </c>
      <c r="G2418" s="24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5" t="str">
        <f>IF(J2418&lt;&gt;1,"",IF(I2418="SBJ","CB","?"))</f>
        <v> </v>
      </c>
      <c r="I2418" s="26" t="str">
        <f>IF(OR(E2418="",E2418="!!!",F2418="NEW"),"",INDEX(B2417:B$2,-1+SUMPRODUCT(MAX(ROW(E2417:E$2)*(E2418=E2417:E$2)))))</f>
        <v> </v>
      </c>
      <c r="J2418" s="26" t="str">
        <f>IF(OR(E2418="",E2418="!!!",F2418="NEW"),"",COUNTBLANK(OFFSET(A$1,,,SUMPRODUCT(MAX(ROW(E$2:E2418)*(E2418=E$2:E2418)))))-COUNTBLANK(OFFSET(A$1,,,SUMPRODUCT(MAX(ROW(E$1:E2417)*(E2=E$1:E2417))))))</f>
        <v> </v>
      </c>
      <c r="K2418" s="26" t="str">
        <f>IF(OR(E2418="",E2418="!!!",F2418="NEW"),"",INDEX(J$1:J2417,SUMPRODUCT(MAX(ROW(E$1:E2417)*(E2418=E$1:E2417)))))</f>
        <v> </v>
      </c>
      <c r="L2418" s="27"/>
    </row>
    <row r="2419" spans="1:12">
      <c r="A2419" s="20" t="s">
        <v>1773</v>
      </c>
      <c r="E2419" s="22">
        <f>IF(D2419="?OLD","!!!","")</f>
        <v/>
      </c>
      <c r="F2419" s="23" t="str">
        <f>IF(OR(E2419="",E2419="!!!"),"",IF(NOT(ISNA(VLOOKUP(E2419,E$1:E2418,1,FALSE()))),"OLD",IF(AND(E2419&lt;&gt;"",E2419&lt;&gt;"!!!"),"NEW","")))</f>
        <v> </v>
      </c>
      <c r="G2419" s="24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5" t="str">
        <f>IF(J2419&lt;&gt;1,"",IF(I2419="SBJ","CB","?"))</f>
        <v> </v>
      </c>
      <c r="I2419" s="26" t="str">
        <f>IF(OR(E2419="",E2419="!!!",F2419="NEW"),"",INDEX(B2418:B$2,-1+SUMPRODUCT(MAX(ROW(E2418:E$2)*(E2419=E2418:E$2)))))</f>
        <v> </v>
      </c>
      <c r="J2419" s="26" t="str">
        <f>IF(OR(E2419="",E2419="!!!",F2419="NEW"),"",COUNTBLANK(OFFSET(A$1,,,SUMPRODUCT(MAX(ROW(E$2:E2419)*(E2419=E$2:E2419)))))-COUNTBLANK(OFFSET(A$1,,,SUMPRODUCT(MAX(ROW(E$1:E2418)*(E2=E$1:E2418))))))</f>
        <v> </v>
      </c>
      <c r="K2419" s="26" t="str">
        <f>IF(OR(E2419="",E2419="!!!",F2419="NEW"),"",INDEX(J$1:J2418,SUMPRODUCT(MAX(ROW(E$1:E2418)*(E2419=E$1:E2418)))))</f>
        <v> </v>
      </c>
      <c r="L2419" s="27"/>
    </row>
    <row r="2420" spans="1:12">
      <c r="A2420" s="20" t="s">
        <v>672</v>
      </c>
      <c r="E2420" s="22">
        <f>IF(D2420="?OLD","!!!","")</f>
        <v/>
      </c>
      <c r="F2420" s="23" t="str">
        <f>IF(OR(E2420="",E2420="!!!"),"",IF(NOT(ISNA(VLOOKUP(E2420,E$1:E2419,1,FALSE()))),"OLD",IF(AND(E2420&lt;&gt;"",E2420&lt;&gt;"!!!"),"NEW","")))</f>
        <v> </v>
      </c>
      <c r="G2420" s="24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5" t="str">
        <f>IF(J2420&lt;&gt;1,"",IF(I2420="SBJ","CB","?"))</f>
        <v> </v>
      </c>
      <c r="I2420" s="26" t="str">
        <f>IF(OR(E2420="",E2420="!!!",F2420="NEW"),"",INDEX(B2419:B$2,-1+SUMPRODUCT(MAX(ROW(E2419:E$2)*(E2420=E2419:E$2)))))</f>
        <v> </v>
      </c>
      <c r="J2420" s="26" t="str">
        <f>IF(OR(E2420="",E2420="!!!",F2420="NEW"),"",COUNTBLANK(OFFSET(A$1,,,SUMPRODUCT(MAX(ROW(E$2:E2420)*(E2420=E$2:E2420)))))-COUNTBLANK(OFFSET(A$1,,,SUMPRODUCT(MAX(ROW(E$1:E2419)*(E2=E$1:E2419))))))</f>
        <v> </v>
      </c>
      <c r="K2420" s="26" t="str">
        <f>IF(OR(E2420="",E2420="!!!",F2420="NEW"),"",INDEX(J$1:J2419,SUMPRODUCT(MAX(ROW(E$1:E2419)*(E2420=E$1:E2419)))))</f>
        <v> </v>
      </c>
      <c r="L2420" s="27"/>
    </row>
    <row r="2421" spans="1:12">
      <c r="A2421" s="20" t="s">
        <v>758</v>
      </c>
      <c r="E2421" s="22">
        <f>IF(D2421="?OLD","!!!","")</f>
        <v/>
      </c>
      <c r="F2421" s="23" t="str">
        <f>IF(OR(E2421="",E2421="!!!"),"",IF(NOT(ISNA(VLOOKUP(E2421,E$1:E2420,1,FALSE()))),"OLD",IF(AND(E2421&lt;&gt;"",E2421&lt;&gt;"!!!"),"NEW","")))</f>
        <v> </v>
      </c>
      <c r="G2421" s="24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5" t="str">
        <f>IF(J2421&lt;&gt;1,"",IF(I2421="SBJ","CB","?"))</f>
        <v> </v>
      </c>
      <c r="I2421" s="26" t="str">
        <f>IF(OR(E2421="",E2421="!!!",F2421="NEW"),"",INDEX(B2420:B$2,-1+SUMPRODUCT(MAX(ROW(E2420:E$2)*(E2421=E2420:E$2)))))</f>
        <v> </v>
      </c>
      <c r="J2421" s="26" t="str">
        <f>IF(OR(E2421="",E2421="!!!",F2421="NEW"),"",COUNTBLANK(OFFSET(A$1,,,SUMPRODUCT(MAX(ROW(E$2:E2421)*(E2421=E$2:E2421)))))-COUNTBLANK(OFFSET(A$1,,,SUMPRODUCT(MAX(ROW(E$1:E2420)*(E2=E$1:E2420))))))</f>
        <v> </v>
      </c>
      <c r="K2421" s="26" t="str">
        <f>IF(OR(E2421="",E2421="!!!",F2421="NEW"),"",INDEX(J$1:J2420,SUMPRODUCT(MAX(ROW(E$1:E2420)*(E2421=E$1:E2420)))))</f>
        <v> </v>
      </c>
      <c r="L2421" s="27"/>
    </row>
    <row r="2422" spans="1:12">
      <c r="A2422" s="20" t="s">
        <v>624</v>
      </c>
      <c r="B2422" s="21" t="s">
        <v>804</v>
      </c>
      <c r="C2422" s="21" t="s">
        <v>621</v>
      </c>
      <c r="E2422" s="22">
        <f>IF(D2422="?OLD","!!!","")</f>
        <v/>
      </c>
      <c r="F2422" s="23" t="str">
        <f>IF(OR(E2422="",E2422="!!!"),"",IF(NOT(ISNA(VLOOKUP(E2422,E$1:E2421,1,FALSE()))),"OLD",IF(AND(E2422&lt;&gt;"",E2422&lt;&gt;"!!!"),"NEW","")))</f>
        <v> </v>
      </c>
      <c r="G2422" s="24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5" t="str">
        <f>IF(J2422&lt;&gt;1,"",IF(I2422="SBJ","CB","?"))</f>
        <v> </v>
      </c>
      <c r="I2422" s="26" t="str">
        <f>IF(OR(E2422="",E2422="!!!",F2422="NEW"),"",INDEX(B2421:B$2,-1+SUMPRODUCT(MAX(ROW(E2421:E$2)*(E2422=E2421:E$2)))))</f>
        <v> </v>
      </c>
      <c r="J2422" s="26" t="str">
        <f>IF(OR(E2422="",E2422="!!!",F2422="NEW"),"",COUNTBLANK(OFFSET(A$1,,,SUMPRODUCT(MAX(ROW(E$2:E2422)*(E2422=E$2:E2422)))))-COUNTBLANK(OFFSET(A$1,,,SUMPRODUCT(MAX(ROW(E$1:E2421)*(E2=E$1:E2421))))))</f>
        <v> </v>
      </c>
      <c r="K2422" s="26" t="str">
        <f>IF(OR(E2422="",E2422="!!!",F2422="NEW"),"",INDEX(J$1:J2421,SUMPRODUCT(MAX(ROW(E$1:E2421)*(E2422=E$1:E2421)))))</f>
        <v> </v>
      </c>
      <c r="L2422" s="27"/>
    </row>
    <row r="2423" spans="1:12">
      <c r="A2423" s="20" t="s">
        <v>611</v>
      </c>
      <c r="E2423" s="22">
        <f>IF(D2423="?OLD","!!!","")</f>
        <v/>
      </c>
      <c r="F2423" s="23" t="str">
        <f>IF(OR(E2423="",E2423="!!!"),"",IF(NOT(ISNA(VLOOKUP(E2423,E$1:E2422,1,FALSE()))),"OLD",IF(AND(E2423&lt;&gt;"",E2423&lt;&gt;"!!!"),"NEW","")))</f>
        <v> </v>
      </c>
      <c r="G2423" s="24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5" t="str">
        <f>IF(J2423&lt;&gt;1,"",IF(I2423="SBJ","CB","?"))</f>
        <v> </v>
      </c>
      <c r="I2423" s="26" t="str">
        <f>IF(OR(E2423="",E2423="!!!",F2423="NEW"),"",INDEX(B2422:B$2,-1+SUMPRODUCT(MAX(ROW(E2422:E$2)*(E2423=E2422:E$2)))))</f>
        <v> </v>
      </c>
      <c r="J2423" s="26" t="str">
        <f>IF(OR(E2423="",E2423="!!!",F2423="NEW"),"",COUNTBLANK(OFFSET(A$1,,,SUMPRODUCT(MAX(ROW(E$2:E2423)*(E2423=E$2:E2423)))))-COUNTBLANK(OFFSET(A$1,,,SUMPRODUCT(MAX(ROW(E$1:E2422)*(E2=E$1:E2422))))))</f>
        <v> </v>
      </c>
      <c r="K2423" s="26" t="str">
        <f>IF(OR(E2423="",E2423="!!!",F2423="NEW"),"",INDEX(J$1:J2422,SUMPRODUCT(MAX(ROW(E$1:E2422)*(E2423=E$1:E2422)))))</f>
        <v> </v>
      </c>
      <c r="L2423" s="27"/>
    </row>
    <row r="2424" spans="1:12">
      <c r="A2424" s="20" t="s">
        <v>1546</v>
      </c>
      <c r="E2424" s="22">
        <f>IF(D2424="?OLD","!!!","")</f>
        <v/>
      </c>
      <c r="F2424" s="23" t="str">
        <f>IF(OR(E2424="",E2424="!!!"),"",IF(NOT(ISNA(VLOOKUP(E2424,E$1:E2423,1,FALSE()))),"OLD",IF(AND(E2424&lt;&gt;"",E2424&lt;&gt;"!!!"),"NEW","")))</f>
        <v> </v>
      </c>
      <c r="G2424" s="24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5" t="str">
        <f>IF(J2424&lt;&gt;1,"",IF(I2424="SBJ","CB","?"))</f>
        <v> </v>
      </c>
      <c r="I2424" s="26" t="str">
        <f>IF(OR(E2424="",E2424="!!!",F2424="NEW"),"",INDEX(B2423:B$2,-1+SUMPRODUCT(MAX(ROW(E2423:E$2)*(E2424=E2423:E$2)))))</f>
        <v> </v>
      </c>
      <c r="J2424" s="26" t="str">
        <f>IF(OR(E2424="",E2424="!!!",F2424="NEW"),"",COUNTBLANK(OFFSET(A$1,,,SUMPRODUCT(MAX(ROW(E$2:E2424)*(E2424=E$2:E2424)))))-COUNTBLANK(OFFSET(A$1,,,SUMPRODUCT(MAX(ROW(E$1:E2423)*(E2=E$1:E2423))))))</f>
        <v> </v>
      </c>
      <c r="K2424" s="26" t="str">
        <f>IF(OR(E2424="",E2424="!!!",F2424="NEW"),"",INDEX(J$1:J2423,SUMPRODUCT(MAX(ROW(E$1:E2423)*(E2424=E$1:E2423)))))</f>
        <v> </v>
      </c>
      <c r="L2424" s="27"/>
    </row>
    <row r="2425" spans="1:12">
      <c r="A2425" s="20" t="s">
        <v>615</v>
      </c>
      <c r="B2425" s="21" t="s">
        <v>810</v>
      </c>
      <c r="C2425" s="21" t="s">
        <v>602</v>
      </c>
      <c r="D2425" s="21" t="s">
        <v>603</v>
      </c>
      <c r="E2425" s="22">
        <f>IF(D2425="?OLD","!!!","")</f>
        <v/>
      </c>
      <c r="F2425" s="23" t="str">
        <f>IF(OR(E2425="",E2425="!!!"),"",IF(NOT(ISNA(VLOOKUP(E2425,E$1:E2424,1,FALSE()))),"OLD",IF(AND(E2425&lt;&gt;"",E2425&lt;&gt;"!!!"),"NEW","")))</f>
        <v> </v>
      </c>
      <c r="G2425" s="24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5" t="str">
        <f>IF(J2425&lt;&gt;1,"",IF(I2425="SBJ","CB","?"))</f>
        <v> </v>
      </c>
      <c r="I2425" s="26" t="str">
        <f>IF(OR(E2425="",E2425="!!!",F2425="NEW"),"",INDEX(B2424:B$2,-1+SUMPRODUCT(MAX(ROW(E2424:E$2)*(E2425=E2424:E$2)))))</f>
        <v> </v>
      </c>
      <c r="J2425" s="26" t="str">
        <f>IF(OR(E2425="",E2425="!!!",F2425="NEW"),"",COUNTBLANK(OFFSET(A$1,,,SUMPRODUCT(MAX(ROW(E$2:E2425)*(E2425=E$2:E2425)))))-COUNTBLANK(OFFSET(A$1,,,SUMPRODUCT(MAX(ROW(E$1:E2424)*(E2=E$1:E2424))))))</f>
        <v> </v>
      </c>
      <c r="K2425" s="26" t="str">
        <f>IF(OR(E2425="",E2425="!!!",F2425="NEW"),"",INDEX(J$1:J2424,SUMPRODUCT(MAX(ROW(E$1:E2424)*(E2425=E$1:E2424)))))</f>
        <v> </v>
      </c>
      <c r="L2425" s="27"/>
    </row>
    <row r="2426" spans="1:12">
      <c r="A2426" s="20" t="s">
        <v>1774</v>
      </c>
      <c r="E2426" s="22">
        <f>IF(D2426="?OLD","!!!","")</f>
        <v/>
      </c>
      <c r="F2426" s="23" t="str">
        <f>IF(OR(E2426="",E2426="!!!"),"",IF(NOT(ISNA(VLOOKUP(E2426,E$1:E2425,1,FALSE()))),"OLD",IF(AND(E2426&lt;&gt;"",E2426&lt;&gt;"!!!"),"NEW","")))</f>
        <v> </v>
      </c>
      <c r="G2426" s="24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5" t="str">
        <f>IF(J2426&lt;&gt;1,"",IF(I2426="SBJ","CB","?"))</f>
        <v> </v>
      </c>
      <c r="I2426" s="26" t="str">
        <f>IF(OR(E2426="",E2426="!!!",F2426="NEW"),"",INDEX(B2425:B$2,-1+SUMPRODUCT(MAX(ROW(E2425:E$2)*(E2426=E2425:E$2)))))</f>
        <v> </v>
      </c>
      <c r="J2426" s="26" t="str">
        <f>IF(OR(E2426="",E2426="!!!",F2426="NEW"),"",COUNTBLANK(OFFSET(A$1,,,SUMPRODUCT(MAX(ROW(E$2:E2426)*(E2426=E$2:E2426)))))-COUNTBLANK(OFFSET(A$1,,,SUMPRODUCT(MAX(ROW(E$1:E2425)*(E2=E$1:E2425))))))</f>
        <v> </v>
      </c>
      <c r="K2426" s="26" t="str">
        <f>IF(OR(E2426="",E2426="!!!",F2426="NEW"),"",INDEX(J$1:J2425,SUMPRODUCT(MAX(ROW(E$1:E2425)*(E2426=E$1:E2425)))))</f>
        <v> </v>
      </c>
      <c r="L2426" s="27"/>
    </row>
    <row r="2427" spans="1:12">
      <c r="A2427" s="20" t="s">
        <v>611</v>
      </c>
      <c r="E2427" s="22">
        <f>IF(D2427="?OLD","!!!","")</f>
        <v/>
      </c>
      <c r="F2427" s="23" t="str">
        <f>IF(OR(E2427="",E2427="!!!"),"",IF(NOT(ISNA(VLOOKUP(E2427,E$1:E2426,1,FALSE()))),"OLD",IF(AND(E2427&lt;&gt;"",E2427&lt;&gt;"!!!"),"NEW","")))</f>
        <v> </v>
      </c>
      <c r="G2427" s="24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5" t="str">
        <f>IF(J2427&lt;&gt;1,"",IF(I2427="SBJ","CB","?"))</f>
        <v> </v>
      </c>
      <c r="I2427" s="26" t="str">
        <f>IF(OR(E2427="",E2427="!!!",F2427="NEW"),"",INDEX(B2426:B$2,-1+SUMPRODUCT(MAX(ROW(E2426:E$2)*(E2427=E2426:E$2)))))</f>
        <v> </v>
      </c>
      <c r="J2427" s="26" t="str">
        <f>IF(OR(E2427="",E2427="!!!",F2427="NEW"),"",COUNTBLANK(OFFSET(A$1,,,SUMPRODUCT(MAX(ROW(E$2:E2427)*(E2427=E$2:E2427)))))-COUNTBLANK(OFFSET(A$1,,,SUMPRODUCT(MAX(ROW(E$1:E2426)*(E2=E$1:E2426))))))</f>
        <v> </v>
      </c>
      <c r="K2427" s="26" t="str">
        <f>IF(OR(E2427="",E2427="!!!",F2427="NEW"),"",INDEX(J$1:J2426,SUMPRODUCT(MAX(ROW(E$1:E2426)*(E2427=E$1:E2426)))))</f>
        <v> </v>
      </c>
      <c r="L2427" s="27"/>
    </row>
    <row r="2428" spans="1:12">
      <c r="A2428" s="20" t="s">
        <v>419</v>
      </c>
      <c r="B2428" s="21" t="s">
        <v>659</v>
      </c>
      <c r="C2428" s="21" t="s">
        <v>602</v>
      </c>
      <c r="D2428" s="21" t="s">
        <v>603</v>
      </c>
      <c r="E2428" s="22">
        <f>IF(D2428="?OLD","!!!","")</f>
        <v/>
      </c>
      <c r="F2428" s="23" t="str">
        <f>IF(OR(E2428="",E2428="!!!"),"",IF(NOT(ISNA(VLOOKUP(E2428,E$1:E2427,1,FALSE()))),"OLD",IF(AND(E2428&lt;&gt;"",E2428&lt;&gt;"!!!"),"NEW","")))</f>
        <v> </v>
      </c>
      <c r="G2428" s="24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5" t="str">
        <f>IF(J2428&lt;&gt;1,"",IF(I2428="SBJ","CB","?"))</f>
        <v> </v>
      </c>
      <c r="I2428" s="26" t="str">
        <f>IF(OR(E2428="",E2428="!!!",F2428="NEW"),"",INDEX(B2427:B$2,-1+SUMPRODUCT(MAX(ROW(E2427:E$2)*(E2428=E2427:E$2)))))</f>
        <v> </v>
      </c>
      <c r="J2428" s="26" t="str">
        <f>IF(OR(E2428="",E2428="!!!",F2428="NEW"),"",COUNTBLANK(OFFSET(A$1,,,SUMPRODUCT(MAX(ROW(E$2:E2428)*(E2428=E$2:E2428)))))-COUNTBLANK(OFFSET(A$1,,,SUMPRODUCT(MAX(ROW(E$1:E2427)*(E2=E$1:E2427))))))</f>
        <v> </v>
      </c>
      <c r="K2428" s="26" t="str">
        <f>IF(OR(E2428="",E2428="!!!",F2428="NEW"),"",INDEX(J$1:J2427,SUMPRODUCT(MAX(ROW(E$1:E2427)*(E2428=E$1:E2427)))))</f>
        <v> </v>
      </c>
      <c r="L2428" s="27"/>
    </row>
    <row r="2429" spans="1:12">
      <c r="A2429" s="20" t="s">
        <v>1775</v>
      </c>
      <c r="E2429" s="22">
        <f>IF(D2429="?OLD","!!!","")</f>
        <v/>
      </c>
      <c r="F2429" s="23" t="str">
        <f>IF(OR(E2429="",E2429="!!!"),"",IF(NOT(ISNA(VLOOKUP(E2429,E$1:E2428,1,FALSE()))),"OLD",IF(AND(E2429&lt;&gt;"",E2429&lt;&gt;"!!!"),"NEW","")))</f>
        <v> </v>
      </c>
      <c r="G2429" s="24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5" t="str">
        <f>IF(J2429&lt;&gt;1,"",IF(I2429="SBJ","CB","?"))</f>
        <v> </v>
      </c>
      <c r="I2429" s="26" t="str">
        <f>IF(OR(E2429="",E2429="!!!",F2429="NEW"),"",INDEX(B2428:B$2,-1+SUMPRODUCT(MAX(ROW(E2428:E$2)*(E2429=E2428:E$2)))))</f>
        <v> </v>
      </c>
      <c r="J2429" s="26" t="str">
        <f>IF(OR(E2429="",E2429="!!!",F2429="NEW"),"",COUNTBLANK(OFFSET(A$1,,,SUMPRODUCT(MAX(ROW(E$2:E2429)*(E2429=E$2:E2429)))))-COUNTBLANK(OFFSET(A$1,,,SUMPRODUCT(MAX(ROW(E$1:E2428)*(E2=E$1:E2428))))))</f>
        <v> </v>
      </c>
      <c r="K2429" s="26" t="str">
        <f>IF(OR(E2429="",E2429="!!!",F2429="NEW"),"",INDEX(J$1:J2428,SUMPRODUCT(MAX(ROW(E$1:E2428)*(E2429=E$1:E2428)))))</f>
        <v> </v>
      </c>
      <c r="L2429" s="27"/>
    </row>
    <row r="2430" spans="1:12">
      <c r="A2430" s="20" t="s">
        <v>1776</v>
      </c>
      <c r="B2430" s="21" t="s">
        <v>793</v>
      </c>
      <c r="E2430" s="22">
        <f>IF(D2430="?OLD","!!!","")</f>
        <v/>
      </c>
      <c r="F2430" s="23" t="str">
        <f>IF(OR(E2430="",E2430="!!!"),"",IF(NOT(ISNA(VLOOKUP(E2430,E$1:E2429,1,FALSE()))),"OLD",IF(AND(E2430&lt;&gt;"",E2430&lt;&gt;"!!!"),"NEW","")))</f>
        <v> </v>
      </c>
      <c r="G2430" s="24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5" t="str">
        <f>IF(J2430&lt;&gt;1,"",IF(I2430="SBJ","CB","?"))</f>
        <v> </v>
      </c>
      <c r="I2430" s="26" t="str">
        <f>IF(OR(E2430="",E2430="!!!",F2430="NEW"),"",INDEX(B2429:B$2,-1+SUMPRODUCT(MAX(ROW(E2429:E$2)*(E2430=E2429:E$2)))))</f>
        <v> </v>
      </c>
      <c r="J2430" s="26" t="str">
        <f>IF(OR(E2430="",E2430="!!!",F2430="NEW"),"",COUNTBLANK(OFFSET(A$1,,,SUMPRODUCT(MAX(ROW(E$2:E2430)*(E2430=E$2:E2430)))))-COUNTBLANK(OFFSET(A$1,,,SUMPRODUCT(MAX(ROW(E$1:E2429)*(E2=E$1:E2429))))))</f>
        <v> </v>
      </c>
      <c r="K2430" s="26" t="str">
        <f>IF(OR(E2430="",E2430="!!!",F2430="NEW"),"",INDEX(J$1:J2429,SUMPRODUCT(MAX(ROW(E$1:E2429)*(E2430=E$1:E2429)))))</f>
        <v> </v>
      </c>
      <c r="L2430" s="27"/>
    </row>
    <row r="2431" spans="1:12">
      <c r="A2431" s="20" t="s">
        <v>670</v>
      </c>
      <c r="E2431" s="22">
        <f>IF(D2431="?OLD","!!!","")</f>
        <v/>
      </c>
      <c r="F2431" s="23" t="str">
        <f>IF(OR(E2431="",E2431="!!!"),"",IF(NOT(ISNA(VLOOKUP(E2431,E$1:E2430,1,FALSE()))),"OLD",IF(AND(E2431&lt;&gt;"",E2431&lt;&gt;"!!!"),"NEW","")))</f>
        <v> </v>
      </c>
      <c r="G2431" s="24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5" t="str">
        <f>IF(J2431&lt;&gt;1,"",IF(I2431="SBJ","CB","?"))</f>
        <v> </v>
      </c>
      <c r="I2431" s="26" t="str">
        <f>IF(OR(E2431="",E2431="!!!",F2431="NEW"),"",INDEX(B2430:B$2,-1+SUMPRODUCT(MAX(ROW(E2430:E$2)*(E2431=E2430:E$2)))))</f>
        <v> </v>
      </c>
      <c r="J2431" s="26" t="str">
        <f>IF(OR(E2431="",E2431="!!!",F2431="NEW"),"",COUNTBLANK(OFFSET(A$1,,,SUMPRODUCT(MAX(ROW(E$2:E2431)*(E2431=E$2:E2431)))))-COUNTBLANK(OFFSET(A$1,,,SUMPRODUCT(MAX(ROW(E$1:E2430)*(E2=E$1:E2430))))))</f>
        <v> </v>
      </c>
      <c r="K2431" s="26" t="str">
        <f>IF(OR(E2431="",E2431="!!!",F2431="NEW"),"",INDEX(J$1:J2430,SUMPRODUCT(MAX(ROW(E$1:E2430)*(E2431=E$1:E2430)))))</f>
        <v> </v>
      </c>
      <c r="L2431" s="27"/>
    </row>
    <row r="2432" spans="1:12">
      <c r="A2432" s="20" t="s">
        <v>1777</v>
      </c>
      <c r="E2432" s="22">
        <f>IF(D2432="?OLD","!!!","")</f>
        <v/>
      </c>
      <c r="F2432" s="23" t="str">
        <f>IF(OR(E2432="",E2432="!!!"),"",IF(NOT(ISNA(VLOOKUP(E2432,E$1:E2431,1,FALSE()))),"OLD",IF(AND(E2432&lt;&gt;"",E2432&lt;&gt;"!!!"),"NEW","")))</f>
        <v> </v>
      </c>
      <c r="G2432" s="24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5" t="str">
        <f>IF(J2432&lt;&gt;1,"",IF(I2432="SBJ","CB","?"))</f>
        <v> </v>
      </c>
      <c r="I2432" s="26" t="str">
        <f>IF(OR(E2432="",E2432="!!!",F2432="NEW"),"",INDEX(B2431:B$2,-1+SUMPRODUCT(MAX(ROW(E2431:E$2)*(E2432=E2431:E$2)))))</f>
        <v> </v>
      </c>
      <c r="J2432" s="26" t="str">
        <f>IF(OR(E2432="",E2432="!!!",F2432="NEW"),"",COUNTBLANK(OFFSET(A$1,,,SUMPRODUCT(MAX(ROW(E$2:E2432)*(E2432=E$2:E2432)))))-COUNTBLANK(OFFSET(A$1,,,SUMPRODUCT(MAX(ROW(E$1:E2431)*(E2=E$1:E2431))))))</f>
        <v> </v>
      </c>
      <c r="K2432" s="26" t="str">
        <f>IF(OR(E2432="",E2432="!!!",F2432="NEW"),"",INDEX(J$1:J2431,SUMPRODUCT(MAX(ROW(E$1:E2431)*(E2432=E$1:E2431)))))</f>
        <v> </v>
      </c>
      <c r="L2432" s="27"/>
    </row>
    <row r="2433" spans="1:12">
      <c r="A2433" s="20" t="s">
        <v>611</v>
      </c>
      <c r="E2433" s="22">
        <f>IF(D2433="?OLD","!!!","")</f>
        <v/>
      </c>
      <c r="F2433" s="23" t="str">
        <f>IF(OR(E2433="",E2433="!!!"),"",IF(NOT(ISNA(VLOOKUP(E2433,E$1:E2432,1,FALSE()))),"OLD",IF(AND(E2433&lt;&gt;"",E2433&lt;&gt;"!!!"),"NEW","")))</f>
        <v> </v>
      </c>
      <c r="G2433" s="24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5" t="str">
        <f>IF(J2433&lt;&gt;1,"",IF(I2433="SBJ","CB","?"))</f>
        <v> </v>
      </c>
      <c r="I2433" s="26" t="str">
        <f>IF(OR(E2433="",E2433="!!!",F2433="NEW"),"",INDEX(B2432:B$2,-1+SUMPRODUCT(MAX(ROW(E2432:E$2)*(E2433=E2432:E$2)))))</f>
        <v> </v>
      </c>
      <c r="J2433" s="26" t="str">
        <f>IF(OR(E2433="",E2433="!!!",F2433="NEW"),"",COUNTBLANK(OFFSET(A$1,,,SUMPRODUCT(MAX(ROW(E$2:E2433)*(E2433=E$2:E2433)))))-COUNTBLANK(OFFSET(A$1,,,SUMPRODUCT(MAX(ROW(E$1:E2432)*(E2=E$1:E2432))))))</f>
        <v> </v>
      </c>
      <c r="K2433" s="26" t="str">
        <f>IF(OR(E2433="",E2433="!!!",F2433="NEW"),"",INDEX(J$1:J2432,SUMPRODUCT(MAX(ROW(E$1:E2432)*(E2433=E$1:E2432)))))</f>
        <v> </v>
      </c>
      <c r="L2433" s="27"/>
    </row>
    <row r="2434" spans="1:12">
      <c r="A2434" s="20" t="s">
        <v>1778</v>
      </c>
      <c r="E2434" s="22">
        <f>IF(D2434="?OLD","!!!","")</f>
        <v/>
      </c>
      <c r="F2434" s="23" t="str">
        <f>IF(OR(E2434="",E2434="!!!"),"",IF(NOT(ISNA(VLOOKUP(E2434,E$1:E2433,1,FALSE()))),"OLD",IF(AND(E2434&lt;&gt;"",E2434&lt;&gt;"!!!"),"NEW","")))</f>
        <v> </v>
      </c>
      <c r="G2434" s="24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5" t="str">
        <f>IF(J2434&lt;&gt;1,"",IF(I2434="SBJ","CB","?"))</f>
        <v> </v>
      </c>
      <c r="I2434" s="26" t="str">
        <f>IF(OR(E2434="",E2434="!!!",F2434="NEW"),"",INDEX(B2433:B$2,-1+SUMPRODUCT(MAX(ROW(E2433:E$2)*(E2434=E2433:E$2)))))</f>
        <v> </v>
      </c>
      <c r="J2434" s="26" t="str">
        <f>IF(OR(E2434="",E2434="!!!",F2434="NEW"),"",COUNTBLANK(OFFSET(A$1,,,SUMPRODUCT(MAX(ROW(E$2:E2434)*(E2434=E$2:E2434)))))-COUNTBLANK(OFFSET(A$1,,,SUMPRODUCT(MAX(ROW(E$1:E2433)*(E2=E$1:E2433))))))</f>
        <v> </v>
      </c>
      <c r="K2434" s="26" t="str">
        <f>IF(OR(E2434="",E2434="!!!",F2434="NEW"),"",INDEX(J$1:J2433,SUMPRODUCT(MAX(ROW(E$1:E2433)*(E2434=E$1:E2433)))))</f>
        <v> </v>
      </c>
      <c r="L2434" s="27"/>
    </row>
    <row r="2435" spans="1:12">
      <c r="A2435" s="20" t="s">
        <v>1015</v>
      </c>
      <c r="E2435" s="22">
        <f>IF(D2435="?OLD","!!!","")</f>
        <v/>
      </c>
      <c r="F2435" s="23" t="str">
        <f>IF(OR(E2435="",E2435="!!!"),"",IF(NOT(ISNA(VLOOKUP(E2435,E$1:E2434,1,FALSE()))),"OLD",IF(AND(E2435&lt;&gt;"",E2435&lt;&gt;"!!!"),"NEW","")))</f>
        <v> </v>
      </c>
      <c r="G2435" s="24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5" t="str">
        <f>IF(J2435&lt;&gt;1,"",IF(I2435="SBJ","CB","?"))</f>
        <v> </v>
      </c>
      <c r="I2435" s="26" t="str">
        <f>IF(OR(E2435="",E2435="!!!",F2435="NEW"),"",INDEX(B2434:B$2,-1+SUMPRODUCT(MAX(ROW(E2434:E$2)*(E2435=E2434:E$2)))))</f>
        <v> </v>
      </c>
      <c r="J2435" s="26" t="str">
        <f>IF(OR(E2435="",E2435="!!!",F2435="NEW"),"",COUNTBLANK(OFFSET(A$1,,,SUMPRODUCT(MAX(ROW(E$2:E2435)*(E2435=E$2:E2435)))))-COUNTBLANK(OFFSET(A$1,,,SUMPRODUCT(MAX(ROW(E$1:E2434)*(E2=E$1:E2434))))))</f>
        <v> </v>
      </c>
      <c r="K2435" s="26" t="str">
        <f>IF(OR(E2435="",E2435="!!!",F2435="NEW"),"",INDEX(J$1:J2434,SUMPRODUCT(MAX(ROW(E$1:E2434)*(E2435=E$1:E2434)))))</f>
        <v> </v>
      </c>
      <c r="L2435" s="27"/>
    </row>
    <row r="2436" spans="1:12">
      <c r="A2436" s="20" t="s">
        <v>1251</v>
      </c>
      <c r="B2436" s="21" t="s">
        <v>749</v>
      </c>
      <c r="C2436" s="21" t="s">
        <v>733</v>
      </c>
      <c r="D2436" s="21" t="s">
        <v>603</v>
      </c>
      <c r="E2436" s="22">
        <f>IF(D2436="?OLD","!!!","")</f>
        <v/>
      </c>
      <c r="F2436" s="23" t="str">
        <f>IF(OR(E2436="",E2436="!!!"),"",IF(NOT(ISNA(VLOOKUP(E2436,E$1:E2435,1,FALSE()))),"OLD",IF(AND(E2436&lt;&gt;"",E2436&lt;&gt;"!!!"),"NEW","")))</f>
        <v> </v>
      </c>
      <c r="G2436" s="24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5" t="str">
        <f>IF(J2436&lt;&gt;1,"",IF(I2436="SBJ","CB","?"))</f>
        <v> </v>
      </c>
      <c r="I2436" s="26" t="str">
        <f>IF(OR(E2436="",E2436="!!!",F2436="NEW"),"",INDEX(B2435:B$2,-1+SUMPRODUCT(MAX(ROW(E2435:E$2)*(E2436=E2435:E$2)))))</f>
        <v> </v>
      </c>
      <c r="J2436" s="26" t="str">
        <f>IF(OR(E2436="",E2436="!!!",F2436="NEW"),"",COUNTBLANK(OFFSET(A$1,,,SUMPRODUCT(MAX(ROW(E$2:E2436)*(E2436=E$2:E2436)))))-COUNTBLANK(OFFSET(A$1,,,SUMPRODUCT(MAX(ROW(E$1:E2435)*(E2=E$1:E2435))))))</f>
        <v> </v>
      </c>
      <c r="K2436" s="26" t="str">
        <f>IF(OR(E2436="",E2436="!!!",F2436="NEW"),"",INDEX(J$1:J2435,SUMPRODUCT(MAX(ROW(E$1:E2435)*(E2436=E$1:E2435)))))</f>
        <v> </v>
      </c>
      <c r="L2436" s="27"/>
    </row>
    <row r="2437" spans="1:12">
      <c r="A2437" s="20" t="s">
        <v>1779</v>
      </c>
      <c r="E2437" s="22">
        <f>IF(D2437="?OLD","!!!","")</f>
        <v/>
      </c>
      <c r="F2437" s="23" t="str">
        <f>IF(OR(E2437="",E2437="!!!"),"",IF(NOT(ISNA(VLOOKUP(E2437,E$1:E2436,1,FALSE()))),"OLD",IF(AND(E2437&lt;&gt;"",E2437&lt;&gt;"!!!"),"NEW","")))</f>
        <v> </v>
      </c>
      <c r="G2437" s="24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5" t="str">
        <f>IF(J2437&lt;&gt;1,"",IF(I2437="SBJ","CB","?"))</f>
        <v> </v>
      </c>
      <c r="I2437" s="26" t="str">
        <f>IF(OR(E2437="",E2437="!!!",F2437="NEW"),"",INDEX(B2436:B$2,-1+SUMPRODUCT(MAX(ROW(E2436:E$2)*(E2437=E2436:E$2)))))</f>
        <v> </v>
      </c>
      <c r="J2437" s="26" t="str">
        <f>IF(OR(E2437="",E2437="!!!",F2437="NEW"),"",COUNTBLANK(OFFSET(A$1,,,SUMPRODUCT(MAX(ROW(E$2:E2437)*(E2437=E$2:E2437)))))-COUNTBLANK(OFFSET(A$1,,,SUMPRODUCT(MAX(ROW(E$1:E2436)*(E2=E$1:E2436))))))</f>
        <v> </v>
      </c>
      <c r="K2437" s="26" t="str">
        <f>IF(OR(E2437="",E2437="!!!",F2437="NEW"),"",INDEX(J$1:J2436,SUMPRODUCT(MAX(ROW(E$1:E2436)*(E2437=E$1:E2436)))))</f>
        <v> </v>
      </c>
      <c r="L2437" s="27"/>
    </row>
    <row r="2438" spans="1:12">
      <c r="A2438" s="20" t="s">
        <v>662</v>
      </c>
      <c r="E2438" s="22">
        <f>IF(D2438="?OLD","!!!","")</f>
        <v/>
      </c>
      <c r="F2438" s="23" t="str">
        <f>IF(OR(E2438="",E2438="!!!"),"",IF(NOT(ISNA(VLOOKUP(E2438,E$1:E2437,1,FALSE()))),"OLD",IF(AND(E2438&lt;&gt;"",E2438&lt;&gt;"!!!"),"NEW","")))</f>
        <v> </v>
      </c>
      <c r="G2438" s="24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5" t="str">
        <f>IF(J2438&lt;&gt;1,"",IF(I2438="SBJ","CB","?"))</f>
        <v> </v>
      </c>
      <c r="I2438" s="26" t="str">
        <f>IF(OR(E2438="",E2438="!!!",F2438="NEW"),"",INDEX(B2437:B$2,-1+SUMPRODUCT(MAX(ROW(E2437:E$2)*(E2438=E2437:E$2)))))</f>
        <v> </v>
      </c>
      <c r="J2438" s="26" t="str">
        <f>IF(OR(E2438="",E2438="!!!",F2438="NEW"),"",COUNTBLANK(OFFSET(A$1,,,SUMPRODUCT(MAX(ROW(E$2:E2438)*(E2438=E$2:E2438)))))-COUNTBLANK(OFFSET(A$1,,,SUMPRODUCT(MAX(ROW(E$1:E2437)*(E2=E$1:E2437))))))</f>
        <v> </v>
      </c>
      <c r="K2438" s="26" t="str">
        <f>IF(OR(E2438="",E2438="!!!",F2438="NEW"),"",INDEX(J$1:J2437,SUMPRODUCT(MAX(ROW(E$1:E2437)*(E2438=E$1:E2437)))))</f>
        <v> </v>
      </c>
      <c r="L2438" s="27"/>
    </row>
    <row r="2439" spans="1:12">
      <c r="A2439" s="20" t="s">
        <v>1780</v>
      </c>
      <c r="E2439" s="22">
        <f>IF(D2439="?OLD","!!!","")</f>
        <v/>
      </c>
      <c r="F2439" s="23" t="str">
        <f>IF(OR(E2439="",E2439="!!!"),"",IF(NOT(ISNA(VLOOKUP(E2439,E$1:E2438,1,FALSE()))),"OLD",IF(AND(E2439&lt;&gt;"",E2439&lt;&gt;"!!!"),"NEW","")))</f>
        <v> </v>
      </c>
      <c r="G2439" s="24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5" t="str">
        <f>IF(J2439&lt;&gt;1,"",IF(I2439="SBJ","CB","?"))</f>
        <v> </v>
      </c>
      <c r="I2439" s="26" t="str">
        <f>IF(OR(E2439="",E2439="!!!",F2439="NEW"),"",INDEX(B2438:B$2,-1+SUMPRODUCT(MAX(ROW(E2438:E$2)*(E2439=E2438:E$2)))))</f>
        <v> </v>
      </c>
      <c r="J2439" s="26" t="str">
        <f>IF(OR(E2439="",E2439="!!!",F2439="NEW"),"",COUNTBLANK(OFFSET(A$1,,,SUMPRODUCT(MAX(ROW(E$2:E2439)*(E2439=E$2:E2439)))))-COUNTBLANK(OFFSET(A$1,,,SUMPRODUCT(MAX(ROW(E$1:E2438)*(E2=E$1:E2438))))))</f>
        <v> </v>
      </c>
      <c r="K2439" s="26" t="str">
        <f>IF(OR(E2439="",E2439="!!!",F2439="NEW"),"",INDEX(J$1:J2438,SUMPRODUCT(MAX(ROW(E$1:E2438)*(E2439=E$1:E2438)))))</f>
        <v> </v>
      </c>
      <c r="L2439" s="27"/>
    </row>
    <row r="2440" spans="1:12">
      <c r="A2440" s="20" t="s">
        <v>718</v>
      </c>
      <c r="E2440" s="22">
        <f>IF(D2440="?OLD","!!!","")</f>
        <v/>
      </c>
      <c r="F2440" s="23" t="str">
        <f>IF(OR(E2440="",E2440="!!!"),"",IF(NOT(ISNA(VLOOKUP(E2440,E$1:E2439,1,FALSE()))),"OLD",IF(AND(E2440&lt;&gt;"",E2440&lt;&gt;"!!!"),"NEW","")))</f>
        <v> </v>
      </c>
      <c r="G2440" s="24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5" t="str">
        <f>IF(J2440&lt;&gt;1,"",IF(I2440="SBJ","CB","?"))</f>
        <v> </v>
      </c>
      <c r="I2440" s="26" t="str">
        <f>IF(OR(E2440="",E2440="!!!",F2440="NEW"),"",INDEX(B2439:B$2,-1+SUMPRODUCT(MAX(ROW(E2439:E$2)*(E2440=E2439:E$2)))))</f>
        <v> </v>
      </c>
      <c r="J2440" s="26" t="str">
        <f>IF(OR(E2440="",E2440="!!!",F2440="NEW"),"",COUNTBLANK(OFFSET(A$1,,,SUMPRODUCT(MAX(ROW(E$2:E2440)*(E2440=E$2:E2440)))))-COUNTBLANK(OFFSET(A$1,,,SUMPRODUCT(MAX(ROW(E$1:E2439)*(E2=E$1:E2439))))))</f>
        <v> </v>
      </c>
      <c r="K2440" s="26" t="str">
        <f>IF(OR(E2440="",E2440="!!!",F2440="NEW"),"",INDEX(J$1:J2439,SUMPRODUCT(MAX(ROW(E$1:E2439)*(E2440=E$1:E2439)))))</f>
        <v> </v>
      </c>
      <c r="L2440" s="27"/>
    </row>
    <row r="2441" spans="1:12">
      <c r="A2441" s="20" t="s">
        <v>1781</v>
      </c>
      <c r="E2441" s="22">
        <f>IF(D2441="?OLD","!!!","")</f>
        <v/>
      </c>
      <c r="F2441" s="23" t="str">
        <f>IF(OR(E2441="",E2441="!!!"),"",IF(NOT(ISNA(VLOOKUP(E2441,E$1:E2440,1,FALSE()))),"OLD",IF(AND(E2441&lt;&gt;"",E2441&lt;&gt;"!!!"),"NEW","")))</f>
        <v> </v>
      </c>
      <c r="G2441" s="24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5" t="str">
        <f>IF(J2441&lt;&gt;1,"",IF(I2441="SBJ","CB","?"))</f>
        <v> </v>
      </c>
      <c r="I2441" s="26" t="str">
        <f>IF(OR(E2441="",E2441="!!!",F2441="NEW"),"",INDEX(B2440:B$2,-1+SUMPRODUCT(MAX(ROW(E2440:E$2)*(E2441=E2440:E$2)))))</f>
        <v> </v>
      </c>
      <c r="J2441" s="26" t="str">
        <f>IF(OR(E2441="",E2441="!!!",F2441="NEW"),"",COUNTBLANK(OFFSET(A$1,,,SUMPRODUCT(MAX(ROW(E$2:E2441)*(E2441=E$2:E2441)))))-COUNTBLANK(OFFSET(A$1,,,SUMPRODUCT(MAX(ROW(E$1:E2440)*(E2=E$1:E2440))))))</f>
        <v> </v>
      </c>
      <c r="K2441" s="26" t="str">
        <f>IF(OR(E2441="",E2441="!!!",F2441="NEW"),"",INDEX(J$1:J2440,SUMPRODUCT(MAX(ROW(E$1:E2440)*(E2441=E$1:E2440)))))</f>
        <v> </v>
      </c>
      <c r="L2441" s="27"/>
    </row>
    <row r="2442" spans="1:12">
      <c r="A2442" s="20" t="s">
        <v>1782</v>
      </c>
      <c r="E2442" s="22">
        <f>IF(D2442="?OLD","!!!","")</f>
        <v/>
      </c>
      <c r="F2442" s="23" t="str">
        <f>IF(OR(E2442="",E2442="!!!"),"",IF(NOT(ISNA(VLOOKUP(E2442,E$1:E2441,1,FALSE()))),"OLD",IF(AND(E2442&lt;&gt;"",E2442&lt;&gt;"!!!"),"NEW","")))</f>
        <v> </v>
      </c>
      <c r="G2442" s="24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5" t="str">
        <f>IF(J2442&lt;&gt;1,"",IF(I2442="SBJ","CB","?"))</f>
        <v> </v>
      </c>
      <c r="I2442" s="26" t="str">
        <f>IF(OR(E2442="",E2442="!!!",F2442="NEW"),"",INDEX(B2441:B$2,-1+SUMPRODUCT(MAX(ROW(E2441:E$2)*(E2442=E2441:E$2)))))</f>
        <v> </v>
      </c>
      <c r="J2442" s="26" t="str">
        <f>IF(OR(E2442="",E2442="!!!",F2442="NEW"),"",COUNTBLANK(OFFSET(A$1,,,SUMPRODUCT(MAX(ROW(E$2:E2442)*(E2442=E$2:E2442)))))-COUNTBLANK(OFFSET(A$1,,,SUMPRODUCT(MAX(ROW(E$1:E2441)*(E2=E$1:E2441))))))</f>
        <v> </v>
      </c>
      <c r="K2442" s="26" t="str">
        <f>IF(OR(E2442="",E2442="!!!",F2442="NEW"),"",INDEX(J$1:J2441,SUMPRODUCT(MAX(ROW(E$1:E2441)*(E2442=E$1:E2441)))))</f>
        <v> </v>
      </c>
      <c r="L2442" s="27"/>
    </row>
    <row r="2443" spans="1:12">
      <c r="A2443" s="20" t="s">
        <v>623</v>
      </c>
      <c r="E2443" s="22">
        <f>IF(D2443="?OLD","!!!","")</f>
        <v/>
      </c>
      <c r="F2443" s="23" t="str">
        <f>IF(OR(E2443="",E2443="!!!"),"",IF(NOT(ISNA(VLOOKUP(E2443,E$1:E2442,1,FALSE()))),"OLD",IF(AND(E2443&lt;&gt;"",E2443&lt;&gt;"!!!"),"NEW","")))</f>
        <v> </v>
      </c>
      <c r="G2443" s="24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5" t="str">
        <f>IF(J2443&lt;&gt;1,"",IF(I2443="SBJ","CB","?"))</f>
        <v> </v>
      </c>
      <c r="I2443" s="26" t="str">
        <f>IF(OR(E2443="",E2443="!!!",F2443="NEW"),"",INDEX(B2442:B$2,-1+SUMPRODUCT(MAX(ROW(E2442:E$2)*(E2443=E2442:E$2)))))</f>
        <v> </v>
      </c>
      <c r="J2443" s="26" t="str">
        <f>IF(OR(E2443="",E2443="!!!",F2443="NEW"),"",COUNTBLANK(OFFSET(A$1,,,SUMPRODUCT(MAX(ROW(E$2:E2443)*(E2443=E$2:E2443)))))-COUNTBLANK(OFFSET(A$1,,,SUMPRODUCT(MAX(ROW(E$1:E2442)*(E2=E$1:E2442))))))</f>
        <v> </v>
      </c>
      <c r="K2443" s="26" t="str">
        <f>IF(OR(E2443="",E2443="!!!",F2443="NEW"),"",INDEX(J$1:J2442,SUMPRODUCT(MAX(ROW(E$1:E2442)*(E2443=E$1:E2442)))))</f>
        <v> </v>
      </c>
      <c r="L2443" s="27"/>
    </row>
    <row r="2444" spans="1:12">
      <c r="A2444" s="20" t="s">
        <v>1783</v>
      </c>
      <c r="E2444" s="22">
        <f>IF(D2444="?OLD","!!!","")</f>
        <v/>
      </c>
      <c r="F2444" s="23" t="str">
        <f>IF(OR(E2444="",E2444="!!!"),"",IF(NOT(ISNA(VLOOKUP(E2444,E$1:E2443,1,FALSE()))),"OLD",IF(AND(E2444&lt;&gt;"",E2444&lt;&gt;"!!!"),"NEW","")))</f>
        <v> </v>
      </c>
      <c r="G2444" s="24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5" t="str">
        <f>IF(J2444&lt;&gt;1,"",IF(I2444="SBJ","CB","?"))</f>
        <v> </v>
      </c>
      <c r="I2444" s="26" t="str">
        <f>IF(OR(E2444="",E2444="!!!",F2444="NEW"),"",INDEX(B2443:B$2,-1+SUMPRODUCT(MAX(ROW(E2443:E$2)*(E2444=E2443:E$2)))))</f>
        <v> </v>
      </c>
      <c r="J2444" s="26" t="str">
        <f>IF(OR(E2444="",E2444="!!!",F2444="NEW"),"",COUNTBLANK(OFFSET(A$1,,,SUMPRODUCT(MAX(ROW(E$2:E2444)*(E2444=E$2:E2444)))))-COUNTBLANK(OFFSET(A$1,,,SUMPRODUCT(MAX(ROW(E$1:E2443)*(E2=E$1:E2443))))))</f>
        <v> </v>
      </c>
      <c r="K2444" s="26" t="str">
        <f>IF(OR(E2444="",E2444="!!!",F2444="NEW"),"",INDEX(J$1:J2443,SUMPRODUCT(MAX(ROW(E$1:E2443)*(E2444=E$1:E2443)))))</f>
        <v> </v>
      </c>
      <c r="L2444" s="27"/>
    </row>
    <row r="2445" spans="1:12">
      <c r="A2445" s="20" t="s">
        <v>1784</v>
      </c>
      <c r="E2445" s="22">
        <f>IF(D2445="?OLD","!!!","")</f>
        <v/>
      </c>
      <c r="F2445" s="23" t="str">
        <f>IF(OR(E2445="",E2445="!!!"),"",IF(NOT(ISNA(VLOOKUP(E2445,E$1:E2444,1,FALSE()))),"OLD",IF(AND(E2445&lt;&gt;"",E2445&lt;&gt;"!!!"),"NEW","")))</f>
        <v> </v>
      </c>
      <c r="G2445" s="24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5" t="str">
        <f>IF(J2445&lt;&gt;1,"",IF(I2445="SBJ","CB","?"))</f>
        <v> </v>
      </c>
      <c r="I2445" s="26" t="str">
        <f>IF(OR(E2445="",E2445="!!!",F2445="NEW"),"",INDEX(B2444:B$2,-1+SUMPRODUCT(MAX(ROW(E2444:E$2)*(E2445=E2444:E$2)))))</f>
        <v> </v>
      </c>
      <c r="J2445" s="26" t="str">
        <f>IF(OR(E2445="",E2445="!!!",F2445="NEW"),"",COUNTBLANK(OFFSET(A$1,,,SUMPRODUCT(MAX(ROW(E$2:E2445)*(E2445=E$2:E2445)))))-COUNTBLANK(OFFSET(A$1,,,SUMPRODUCT(MAX(ROW(E$1:E2444)*(E2=E$1:E2444))))))</f>
        <v> </v>
      </c>
      <c r="K2445" s="26" t="str">
        <f>IF(OR(E2445="",E2445="!!!",F2445="NEW"),"",INDEX(J$1:J2444,SUMPRODUCT(MAX(ROW(E$1:E2444)*(E2445=E$1:E2444)))))</f>
        <v> </v>
      </c>
      <c r="L2445" s="27"/>
    </row>
    <row r="2446" spans="1:12">
      <c r="A2446" s="20" t="s">
        <v>611</v>
      </c>
      <c r="E2446" s="22">
        <f>IF(D2446="?OLD","!!!","")</f>
        <v/>
      </c>
      <c r="F2446" s="23" t="str">
        <f>IF(OR(E2446="",E2446="!!!"),"",IF(NOT(ISNA(VLOOKUP(E2446,E$1:E2445,1,FALSE()))),"OLD",IF(AND(E2446&lt;&gt;"",E2446&lt;&gt;"!!!"),"NEW","")))</f>
        <v> </v>
      </c>
      <c r="G2446" s="24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5" t="str">
        <f>IF(J2446&lt;&gt;1,"",IF(I2446="SBJ","CB","?"))</f>
        <v> </v>
      </c>
      <c r="I2446" s="26" t="str">
        <f>IF(OR(E2446="",E2446="!!!",F2446="NEW"),"",INDEX(B2445:B$2,-1+SUMPRODUCT(MAX(ROW(E2445:E$2)*(E2446=E2445:E$2)))))</f>
        <v> </v>
      </c>
      <c r="J2446" s="26" t="str">
        <f>IF(OR(E2446="",E2446="!!!",F2446="NEW"),"",COUNTBLANK(OFFSET(A$1,,,SUMPRODUCT(MAX(ROW(E$2:E2446)*(E2446=E$2:E2446)))))-COUNTBLANK(OFFSET(A$1,,,SUMPRODUCT(MAX(ROW(E$1:E2445)*(E2=E$1:E2445))))))</f>
        <v> </v>
      </c>
      <c r="K2446" s="26" t="str">
        <f>IF(OR(E2446="",E2446="!!!",F2446="NEW"),"",INDEX(J$1:J2445,SUMPRODUCT(MAX(ROW(E$1:E2445)*(E2446=E$1:E2445)))))</f>
        <v> </v>
      </c>
      <c r="L2446" s="27"/>
    </row>
    <row r="2447" spans="1:12">
      <c r="A2447" s="20" t="s">
        <v>1235</v>
      </c>
      <c r="E2447" s="22">
        <f>IF(D2447="?OLD","!!!","")</f>
        <v/>
      </c>
      <c r="F2447" s="23" t="str">
        <f>IF(OR(E2447="",E2447="!!!"),"",IF(NOT(ISNA(VLOOKUP(E2447,E$1:E2446,1,FALSE()))),"OLD",IF(AND(E2447&lt;&gt;"",E2447&lt;&gt;"!!!"),"NEW","")))</f>
        <v> </v>
      </c>
      <c r="G2447" s="24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5" t="str">
        <f>IF(J2447&lt;&gt;1,"",IF(I2447="SBJ","CB","?"))</f>
        <v> </v>
      </c>
      <c r="I2447" s="26" t="str">
        <f>IF(OR(E2447="",E2447="!!!",F2447="NEW"),"",INDEX(B2446:B$2,-1+SUMPRODUCT(MAX(ROW(E2446:E$2)*(E2447=E2446:E$2)))))</f>
        <v> </v>
      </c>
      <c r="J2447" s="26" t="str">
        <f>IF(OR(E2447="",E2447="!!!",F2447="NEW"),"",COUNTBLANK(OFFSET(A$1,,,SUMPRODUCT(MAX(ROW(E$2:E2447)*(E2447=E$2:E2447)))))-COUNTBLANK(OFFSET(A$1,,,SUMPRODUCT(MAX(ROW(E$1:E2446)*(E2=E$1:E2446))))))</f>
        <v> </v>
      </c>
      <c r="K2447" s="26" t="str">
        <f>IF(OR(E2447="",E2447="!!!",F2447="NEW"),"",INDEX(J$1:J2446,SUMPRODUCT(MAX(ROW(E$1:E2446)*(E2447=E$1:E2446)))))</f>
        <v> </v>
      </c>
      <c r="L2447" s="27"/>
    </row>
    <row r="2448" spans="1:12">
      <c r="A2448" s="20" t="s">
        <v>1785</v>
      </c>
      <c r="E2448" s="22">
        <f>IF(D2448="?OLD","!!!","")</f>
        <v/>
      </c>
      <c r="F2448" s="23" t="str">
        <f>IF(OR(E2448="",E2448="!!!"),"",IF(NOT(ISNA(VLOOKUP(E2448,E$1:E2447,1,FALSE()))),"OLD",IF(AND(E2448&lt;&gt;"",E2448&lt;&gt;"!!!"),"NEW","")))</f>
        <v> </v>
      </c>
      <c r="G2448" s="24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5" t="str">
        <f>IF(J2448&lt;&gt;1,"",IF(I2448="SBJ","CB","?"))</f>
        <v> </v>
      </c>
      <c r="I2448" s="26" t="str">
        <f>IF(OR(E2448="",E2448="!!!",F2448="NEW"),"",INDEX(B2447:B$2,-1+SUMPRODUCT(MAX(ROW(E2447:E$2)*(E2448=E2447:E$2)))))</f>
        <v> </v>
      </c>
      <c r="J2448" s="26" t="str">
        <f>IF(OR(E2448="",E2448="!!!",F2448="NEW"),"",COUNTBLANK(OFFSET(A$1,,,SUMPRODUCT(MAX(ROW(E$2:E2448)*(E2448=E$2:E2448)))))-COUNTBLANK(OFFSET(A$1,,,SUMPRODUCT(MAX(ROW(E$1:E2447)*(E2=E$1:E2447))))))</f>
        <v> </v>
      </c>
      <c r="K2448" s="26" t="str">
        <f>IF(OR(E2448="",E2448="!!!",F2448="NEW"),"",INDEX(J$1:J2447,SUMPRODUCT(MAX(ROW(E$1:E2447)*(E2448=E$1:E2447)))))</f>
        <v> </v>
      </c>
      <c r="L2448" s="27"/>
    </row>
    <row r="2449" spans="1:12">
      <c r="A2449" s="20" t="s">
        <v>662</v>
      </c>
      <c r="E2449" s="22">
        <f>IF(D2449="?OLD","!!!","")</f>
        <v/>
      </c>
      <c r="F2449" s="23" t="str">
        <f>IF(OR(E2449="",E2449="!!!"),"",IF(NOT(ISNA(VLOOKUP(E2449,E$1:E2448,1,FALSE()))),"OLD",IF(AND(E2449&lt;&gt;"",E2449&lt;&gt;"!!!"),"NEW","")))</f>
        <v> </v>
      </c>
      <c r="G2449" s="24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5" t="str">
        <f>IF(J2449&lt;&gt;1,"",IF(I2449="SBJ","CB","?"))</f>
        <v> </v>
      </c>
      <c r="I2449" s="26" t="str">
        <f>IF(OR(E2449="",E2449="!!!",F2449="NEW"),"",INDEX(B2448:B$2,-1+SUMPRODUCT(MAX(ROW(E2448:E$2)*(E2449=E2448:E$2)))))</f>
        <v> </v>
      </c>
      <c r="J2449" s="26" t="str">
        <f>IF(OR(E2449="",E2449="!!!",F2449="NEW"),"",COUNTBLANK(OFFSET(A$1,,,SUMPRODUCT(MAX(ROW(E$2:E2449)*(E2449=E$2:E2449)))))-COUNTBLANK(OFFSET(A$1,,,SUMPRODUCT(MAX(ROW(E$1:E2448)*(E2=E$1:E2448))))))</f>
        <v> </v>
      </c>
      <c r="K2449" s="26" t="str">
        <f>IF(OR(E2449="",E2449="!!!",F2449="NEW"),"",INDEX(J$1:J2448,SUMPRODUCT(MAX(ROW(E$1:E2448)*(E2449=E$1:E2448)))))</f>
        <v> </v>
      </c>
      <c r="L2449" s="27"/>
    </row>
    <row r="2450" spans="1:12">
      <c r="A2450" s="20" t="s">
        <v>1786</v>
      </c>
      <c r="E2450" s="22">
        <f>IF(D2450="?OLD","!!!","")</f>
        <v/>
      </c>
      <c r="F2450" s="23" t="str">
        <f>IF(OR(E2450="",E2450="!!!"),"",IF(NOT(ISNA(VLOOKUP(E2450,E$1:E2449,1,FALSE()))),"OLD",IF(AND(E2450&lt;&gt;"",E2450&lt;&gt;"!!!"),"NEW","")))</f>
        <v> </v>
      </c>
      <c r="G2450" s="24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5" t="str">
        <f>IF(J2450&lt;&gt;1,"",IF(I2450="SBJ","CB","?"))</f>
        <v> </v>
      </c>
      <c r="I2450" s="26" t="str">
        <f>IF(OR(E2450="",E2450="!!!",F2450="NEW"),"",INDEX(B2449:B$2,-1+SUMPRODUCT(MAX(ROW(E2449:E$2)*(E2450=E2449:E$2)))))</f>
        <v> </v>
      </c>
      <c r="J2450" s="26" t="str">
        <f>IF(OR(E2450="",E2450="!!!",F2450="NEW"),"",COUNTBLANK(OFFSET(A$1,,,SUMPRODUCT(MAX(ROW(E$2:E2450)*(E2450=E$2:E2450)))))-COUNTBLANK(OFFSET(A$1,,,SUMPRODUCT(MAX(ROW(E$1:E2449)*(E2=E$1:E2449))))))</f>
        <v> </v>
      </c>
      <c r="K2450" s="26" t="str">
        <f>IF(OR(E2450="",E2450="!!!",F2450="NEW"),"",INDEX(J$1:J2449,SUMPRODUCT(MAX(ROW(E$1:E2449)*(E2450=E$1:E2449)))))</f>
        <v> </v>
      </c>
      <c r="L2450" s="27"/>
    </row>
    <row r="2451" spans="1:12">
      <c r="A2451" s="20" t="s">
        <v>1787</v>
      </c>
      <c r="E2451" s="22">
        <f>IF(D2451="?OLD","!!!","")</f>
        <v/>
      </c>
      <c r="F2451" s="23" t="str">
        <f>IF(OR(E2451="",E2451="!!!"),"",IF(NOT(ISNA(VLOOKUP(E2451,E$1:E2450,1,FALSE()))),"OLD",IF(AND(E2451&lt;&gt;"",E2451&lt;&gt;"!!!"),"NEW","")))</f>
        <v> </v>
      </c>
      <c r="G2451" s="24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5" t="str">
        <f>IF(J2451&lt;&gt;1,"",IF(I2451="SBJ","CB","?"))</f>
        <v> </v>
      </c>
      <c r="I2451" s="26" t="str">
        <f>IF(OR(E2451="",E2451="!!!",F2451="NEW"),"",INDEX(B2450:B$2,-1+SUMPRODUCT(MAX(ROW(E2450:E$2)*(E2451=E2450:E$2)))))</f>
        <v> </v>
      </c>
      <c r="J2451" s="26" t="str">
        <f>IF(OR(E2451="",E2451="!!!",F2451="NEW"),"",COUNTBLANK(OFFSET(A$1,,,SUMPRODUCT(MAX(ROW(E$2:E2451)*(E2451=E$2:E2451)))))-COUNTBLANK(OFFSET(A$1,,,SUMPRODUCT(MAX(ROW(E$1:E2450)*(E2=E$1:E2450))))))</f>
        <v> </v>
      </c>
      <c r="K2451" s="26" t="str">
        <f>IF(OR(E2451="",E2451="!!!",F2451="NEW"),"",INDEX(J$1:J2450,SUMPRODUCT(MAX(ROW(E$1:E2450)*(E2451=E$1:E2450)))))</f>
        <v> </v>
      </c>
      <c r="L2451" s="27"/>
    </row>
    <row r="2452" spans="1:12">
      <c r="A2452" s="20" t="s">
        <v>12</v>
      </c>
      <c r="E2452" s="22">
        <f>IF(D2452="?OLD","!!!","")</f>
        <v/>
      </c>
      <c r="F2452" s="23" t="str">
        <f>IF(OR(E2452="",E2452="!!!"),"",IF(NOT(ISNA(VLOOKUP(E2452,E$1:E2451,1,FALSE()))),"OLD",IF(AND(E2452&lt;&gt;"",E2452&lt;&gt;"!!!"),"NEW","")))</f>
        <v> </v>
      </c>
      <c r="G2452" s="24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5" t="str">
        <f>IF(J2452&lt;&gt;1,"",IF(I2452="SBJ","CB","?"))</f>
        <v> </v>
      </c>
      <c r="I2452" s="26" t="str">
        <f>IF(OR(E2452="",E2452="!!!",F2452="NEW"),"",INDEX(B2451:B$2,-1+SUMPRODUCT(MAX(ROW(E2451:E$2)*(E2452=E2451:E$2)))))</f>
        <v> </v>
      </c>
      <c r="J2452" s="26" t="str">
        <f>IF(OR(E2452="",E2452="!!!",F2452="NEW"),"",COUNTBLANK(OFFSET(A$1,,,SUMPRODUCT(MAX(ROW(E$2:E2452)*(E2452=E$2:E2452)))))-COUNTBLANK(OFFSET(A$1,,,SUMPRODUCT(MAX(ROW(E$1:E2451)*(E2=E$1:E2451))))))</f>
        <v> </v>
      </c>
      <c r="K2452" s="26" t="str">
        <f>IF(OR(E2452="",E2452="!!!",F2452="NEW"),"",INDEX(J$1:J2451,SUMPRODUCT(MAX(ROW(E$1:E2451)*(E2452=E$1:E2451)))))</f>
        <v> </v>
      </c>
      <c r="L2452" s="27"/>
    </row>
    <row r="2453" spans="1:12">
      <c r="A2453" s="20" t="s">
        <v>1788</v>
      </c>
      <c r="E2453" s="22">
        <f>IF(D2453="?OLD","!!!","")</f>
        <v/>
      </c>
      <c r="F2453" s="23" t="str">
        <f>IF(OR(E2453="",E2453="!!!"),"",IF(NOT(ISNA(VLOOKUP(E2453,E$1:E2452,1,FALSE()))),"OLD",IF(AND(E2453&lt;&gt;"",E2453&lt;&gt;"!!!"),"NEW","")))</f>
        <v> </v>
      </c>
      <c r="G2453" s="24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5" t="str">
        <f>IF(J2453&lt;&gt;1,"",IF(I2453="SBJ","CB","?"))</f>
        <v> </v>
      </c>
      <c r="I2453" s="26" t="str">
        <f>IF(OR(E2453="",E2453="!!!",F2453="NEW"),"",INDEX(B2452:B$2,-1+SUMPRODUCT(MAX(ROW(E2452:E$2)*(E2453=E2452:E$2)))))</f>
        <v> </v>
      </c>
      <c r="J2453" s="26" t="str">
        <f>IF(OR(E2453="",E2453="!!!",F2453="NEW"),"",COUNTBLANK(OFFSET(A$1,,,SUMPRODUCT(MAX(ROW(E$2:E2453)*(E2453=E$2:E2453)))))-COUNTBLANK(OFFSET(A$1,,,SUMPRODUCT(MAX(ROW(E$1:E2452)*(E2=E$1:E2452))))))</f>
        <v> </v>
      </c>
      <c r="K2453" s="26" t="str">
        <f>IF(OR(E2453="",E2453="!!!",F2453="NEW"),"",INDEX(J$1:J2452,SUMPRODUCT(MAX(ROW(E$1:E2452)*(E2453=E$1:E2452)))))</f>
        <v> </v>
      </c>
      <c r="L2453" s="27"/>
    </row>
    <row r="2454" spans="1:12">
      <c r="A2454" s="20" t="s">
        <v>611</v>
      </c>
      <c r="E2454" s="22">
        <f>IF(D2454="?OLD","!!!","")</f>
        <v/>
      </c>
      <c r="F2454" s="23" t="str">
        <f>IF(OR(E2454="",E2454="!!!"),"",IF(NOT(ISNA(VLOOKUP(E2454,E$1:E2453,1,FALSE()))),"OLD",IF(AND(E2454&lt;&gt;"",E2454&lt;&gt;"!!!"),"NEW","")))</f>
        <v> </v>
      </c>
      <c r="G2454" s="24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5" t="str">
        <f>IF(J2454&lt;&gt;1,"",IF(I2454="SBJ","CB","?"))</f>
        <v> </v>
      </c>
      <c r="I2454" s="26" t="str">
        <f>IF(OR(E2454="",E2454="!!!",F2454="NEW"),"",INDEX(B2453:B$2,-1+SUMPRODUCT(MAX(ROW(E2453:E$2)*(E2454=E2453:E$2)))))</f>
        <v> </v>
      </c>
      <c r="J2454" s="26" t="str">
        <f>IF(OR(E2454="",E2454="!!!",F2454="NEW"),"",COUNTBLANK(OFFSET(A$1,,,SUMPRODUCT(MAX(ROW(E$2:E2454)*(E2454=E$2:E2454)))))-COUNTBLANK(OFFSET(A$1,,,SUMPRODUCT(MAX(ROW(E$1:E2453)*(E2=E$1:E2453))))))</f>
        <v> </v>
      </c>
      <c r="K2454" s="26" t="str">
        <f>IF(OR(E2454="",E2454="!!!",F2454="NEW"),"",INDEX(J$1:J2453,SUMPRODUCT(MAX(ROW(E$1:E2453)*(E2454=E$1:E2453)))))</f>
        <v> </v>
      </c>
      <c r="L2454" s="27"/>
    </row>
    <row r="2455" spans="1:12">
      <c r="A2455" s="20" t="s">
        <v>1015</v>
      </c>
      <c r="E2455" s="22">
        <f>IF(D2455="?OLD","!!!","")</f>
        <v/>
      </c>
      <c r="F2455" s="23" t="str">
        <f>IF(OR(E2455="",E2455="!!!"),"",IF(NOT(ISNA(VLOOKUP(E2455,E$1:E2454,1,FALSE()))),"OLD",IF(AND(E2455&lt;&gt;"",E2455&lt;&gt;"!!!"),"NEW","")))</f>
        <v> </v>
      </c>
      <c r="G2455" s="24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5" t="str">
        <f>IF(J2455&lt;&gt;1,"",IF(I2455="SBJ","CB","?"))</f>
        <v> </v>
      </c>
      <c r="I2455" s="26" t="str">
        <f>IF(OR(E2455="",E2455="!!!",F2455="NEW"),"",INDEX(B2454:B$2,-1+SUMPRODUCT(MAX(ROW(E2454:E$2)*(E2455=E2454:E$2)))))</f>
        <v> </v>
      </c>
      <c r="J2455" s="26" t="str">
        <f>IF(OR(E2455="",E2455="!!!",F2455="NEW"),"",COUNTBLANK(OFFSET(A$1,,,SUMPRODUCT(MAX(ROW(E$2:E2455)*(E2455=E$2:E2455)))))-COUNTBLANK(OFFSET(A$1,,,SUMPRODUCT(MAX(ROW(E$1:E2454)*(E2=E$1:E2454))))))</f>
        <v> </v>
      </c>
      <c r="K2455" s="26" t="str">
        <f>IF(OR(E2455="",E2455="!!!",F2455="NEW"),"",INDEX(J$1:J2454,SUMPRODUCT(MAX(ROW(E$1:E2454)*(E2455=E$1:E2454)))))</f>
        <v> </v>
      </c>
      <c r="L2455" s="27"/>
    </row>
    <row r="2456" spans="1:12">
      <c r="A2456" s="20" t="s">
        <v>1789</v>
      </c>
      <c r="E2456" s="22">
        <f>IF(D2456="?OLD","!!!","")</f>
        <v/>
      </c>
      <c r="F2456" s="23" t="str">
        <f>IF(OR(E2456="",E2456="!!!"),"",IF(NOT(ISNA(VLOOKUP(E2456,E$1:E2455,1,FALSE()))),"OLD",IF(AND(E2456&lt;&gt;"",E2456&lt;&gt;"!!!"),"NEW","")))</f>
        <v> </v>
      </c>
      <c r="G2456" s="24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5" t="str">
        <f>IF(J2456&lt;&gt;1,"",IF(I2456="SBJ","CB","?"))</f>
        <v> </v>
      </c>
      <c r="I2456" s="26" t="str">
        <f>IF(OR(E2456="",E2456="!!!",F2456="NEW"),"",INDEX(B2455:B$2,-1+SUMPRODUCT(MAX(ROW(E2455:E$2)*(E2456=E2455:E$2)))))</f>
        <v> </v>
      </c>
      <c r="J2456" s="26" t="str">
        <f>IF(OR(E2456="",E2456="!!!",F2456="NEW"),"",COUNTBLANK(OFFSET(A$1,,,SUMPRODUCT(MAX(ROW(E$2:E2456)*(E2456=E$2:E2456)))))-COUNTBLANK(OFFSET(A$1,,,SUMPRODUCT(MAX(ROW(E$1:E2455)*(E2=E$1:E2455))))))</f>
        <v> </v>
      </c>
      <c r="K2456" s="26" t="str">
        <f>IF(OR(E2456="",E2456="!!!",F2456="NEW"),"",INDEX(J$1:J2455,SUMPRODUCT(MAX(ROW(E$1:E2455)*(E2456=E$1:E2455)))))</f>
        <v> </v>
      </c>
      <c r="L2456" s="27"/>
    </row>
    <row r="2457" spans="1:12">
      <c r="A2457" s="20" t="s">
        <v>883</v>
      </c>
      <c r="E2457" s="22">
        <f>IF(D2457="?OLD","!!!","")</f>
        <v/>
      </c>
      <c r="F2457" s="23" t="str">
        <f>IF(OR(E2457="",E2457="!!!"),"",IF(NOT(ISNA(VLOOKUP(E2457,E$1:E2456,1,FALSE()))),"OLD",IF(AND(E2457&lt;&gt;"",E2457&lt;&gt;"!!!"),"NEW","")))</f>
        <v> </v>
      </c>
      <c r="G2457" s="24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5" t="str">
        <f>IF(J2457&lt;&gt;1,"",IF(I2457="SBJ","CB","?"))</f>
        <v> </v>
      </c>
      <c r="I2457" s="26" t="str">
        <f>IF(OR(E2457="",E2457="!!!",F2457="NEW"),"",INDEX(B2456:B$2,-1+SUMPRODUCT(MAX(ROW(E2456:E$2)*(E2457=E2456:E$2)))))</f>
        <v> </v>
      </c>
      <c r="J2457" s="26" t="str">
        <f>IF(OR(E2457="",E2457="!!!",F2457="NEW"),"",COUNTBLANK(OFFSET(A$1,,,SUMPRODUCT(MAX(ROW(E$2:E2457)*(E2457=E$2:E2457)))))-COUNTBLANK(OFFSET(A$1,,,SUMPRODUCT(MAX(ROW(E$1:E2456)*(E2=E$1:E2456))))))</f>
        <v> </v>
      </c>
      <c r="K2457" s="26" t="str">
        <f>IF(OR(E2457="",E2457="!!!",F2457="NEW"),"",INDEX(J$1:J2456,SUMPRODUCT(MAX(ROW(E$1:E2456)*(E2457=E$1:E2456)))))</f>
        <v> </v>
      </c>
      <c r="L2457" s="27"/>
    </row>
    <row r="2458" spans="1:12">
      <c r="A2458" s="20" t="s">
        <v>1790</v>
      </c>
      <c r="B2458" s="21" t="s">
        <v>815</v>
      </c>
      <c r="C2458" s="21" t="s">
        <v>631</v>
      </c>
      <c r="D2458" s="21" t="s">
        <v>603</v>
      </c>
      <c r="E2458" s="22">
        <f>IF(D2458="?OLD","!!!","")</f>
        <v/>
      </c>
      <c r="F2458" s="23" t="str">
        <f>IF(OR(E2458="",E2458="!!!"),"",IF(NOT(ISNA(VLOOKUP(E2458,E$1:E2457,1,FALSE()))),"OLD",IF(AND(E2458&lt;&gt;"",E2458&lt;&gt;"!!!"),"NEW","")))</f>
        <v> </v>
      </c>
      <c r="G2458" s="24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5" t="str">
        <f>IF(J2458&lt;&gt;1,"",IF(I2458="SBJ","CB","?"))</f>
        <v> </v>
      </c>
      <c r="I2458" s="26" t="str">
        <f>IF(OR(E2458="",E2458="!!!",F2458="NEW"),"",INDEX(B2457:B$2,-1+SUMPRODUCT(MAX(ROW(E2457:E$2)*(E2458=E2457:E$2)))))</f>
        <v> </v>
      </c>
      <c r="J2458" s="26" t="str">
        <f>IF(OR(E2458="",E2458="!!!",F2458="NEW"),"",COUNTBLANK(OFFSET(A$1,,,SUMPRODUCT(MAX(ROW(E$2:E2458)*(E2458=E$2:E2458)))))-COUNTBLANK(OFFSET(A$1,,,SUMPRODUCT(MAX(ROW(E$1:E2457)*(E2=E$1:E2457))))))</f>
        <v> </v>
      </c>
      <c r="K2458" s="26" t="str">
        <f>IF(OR(E2458="",E2458="!!!",F2458="NEW"),"",INDEX(J$1:J2457,SUMPRODUCT(MAX(ROW(E$1:E2457)*(E2458=E$1:E2457)))))</f>
        <v> </v>
      </c>
      <c r="L2458" s="27"/>
    </row>
    <row r="2459" spans="1:12">
      <c r="A2459" s="20" t="s">
        <v>611</v>
      </c>
      <c r="E2459" s="22">
        <f>IF(D2459="?OLD","!!!","")</f>
        <v/>
      </c>
      <c r="F2459" s="23" t="str">
        <f>IF(OR(E2459="",E2459="!!!"),"",IF(NOT(ISNA(VLOOKUP(E2459,E$1:E2458,1,FALSE()))),"OLD",IF(AND(E2459&lt;&gt;"",E2459&lt;&gt;"!!!"),"NEW","")))</f>
        <v> </v>
      </c>
      <c r="G2459" s="24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5" t="str">
        <f>IF(J2459&lt;&gt;1,"",IF(I2459="SBJ","CB","?"))</f>
        <v> </v>
      </c>
      <c r="I2459" s="26" t="str">
        <f>IF(OR(E2459="",E2459="!!!",F2459="NEW"),"",INDEX(B2458:B$2,-1+SUMPRODUCT(MAX(ROW(E2458:E$2)*(E2459=E2458:E$2)))))</f>
        <v> </v>
      </c>
      <c r="J2459" s="26" t="str">
        <f>IF(OR(E2459="",E2459="!!!",F2459="NEW"),"",COUNTBLANK(OFFSET(A$1,,,SUMPRODUCT(MAX(ROW(E$2:E2459)*(E2459=E$2:E2459)))))-COUNTBLANK(OFFSET(A$1,,,SUMPRODUCT(MAX(ROW(E$1:E2458)*(E2=E$1:E2458))))))</f>
        <v> </v>
      </c>
      <c r="K2459" s="26" t="str">
        <f>IF(OR(E2459="",E2459="!!!",F2459="NEW"),"",INDEX(J$1:J2458,SUMPRODUCT(MAX(ROW(E$1:E2458)*(E2459=E$1:E2458)))))</f>
        <v> </v>
      </c>
      <c r="L2459" s="27"/>
    </row>
    <row r="2460" spans="1:12">
      <c r="A2460" s="20" t="s">
        <v>1015</v>
      </c>
      <c r="E2460" s="22">
        <f>IF(D2460="?OLD","!!!","")</f>
        <v/>
      </c>
      <c r="F2460" s="23" t="str">
        <f>IF(OR(E2460="",E2460="!!!"),"",IF(NOT(ISNA(VLOOKUP(E2460,E$1:E2459,1,FALSE()))),"OLD",IF(AND(E2460&lt;&gt;"",E2460&lt;&gt;"!!!"),"NEW","")))</f>
        <v> </v>
      </c>
      <c r="G2460" s="24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5" t="str">
        <f>IF(J2460&lt;&gt;1,"",IF(I2460="SBJ","CB","?"))</f>
        <v> </v>
      </c>
      <c r="I2460" s="26" t="str">
        <f>IF(OR(E2460="",E2460="!!!",F2460="NEW"),"",INDEX(B2459:B$2,-1+SUMPRODUCT(MAX(ROW(E2459:E$2)*(E2460=E2459:E$2)))))</f>
        <v> </v>
      </c>
      <c r="J2460" s="26" t="str">
        <f>IF(OR(E2460="",E2460="!!!",F2460="NEW"),"",COUNTBLANK(OFFSET(A$1,,,SUMPRODUCT(MAX(ROW(E$2:E2460)*(E2460=E$2:E2460)))))-COUNTBLANK(OFFSET(A$1,,,SUMPRODUCT(MAX(ROW(E$1:E2459)*(E2=E$1:E2459))))))</f>
        <v> </v>
      </c>
      <c r="K2460" s="26" t="str">
        <f>IF(OR(E2460="",E2460="!!!",F2460="NEW"),"",INDEX(J$1:J2459,SUMPRODUCT(MAX(ROW(E$1:E2459)*(E2460=E$1:E2459)))))</f>
        <v> </v>
      </c>
      <c r="L2460" s="27"/>
    </row>
    <row r="2461" spans="1:12">
      <c r="A2461" s="20" t="s">
        <v>1791</v>
      </c>
      <c r="E2461" s="22">
        <f>IF(D2461="?OLD","!!!","")</f>
        <v/>
      </c>
      <c r="F2461" s="23" t="str">
        <f>IF(OR(E2461="",E2461="!!!"),"",IF(NOT(ISNA(VLOOKUP(E2461,E$1:E2460,1,FALSE()))),"OLD",IF(AND(E2461&lt;&gt;"",E2461&lt;&gt;"!!!"),"NEW","")))</f>
        <v> </v>
      </c>
      <c r="G2461" s="24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5" t="str">
        <f>IF(J2461&lt;&gt;1,"",IF(I2461="SBJ","CB","?"))</f>
        <v> </v>
      </c>
      <c r="I2461" s="26" t="str">
        <f>IF(OR(E2461="",E2461="!!!",F2461="NEW"),"",INDEX(B2460:B$2,-1+SUMPRODUCT(MAX(ROW(E2460:E$2)*(E2461=E2460:E$2)))))</f>
        <v> </v>
      </c>
      <c r="J2461" s="26" t="str">
        <f>IF(OR(E2461="",E2461="!!!",F2461="NEW"),"",COUNTBLANK(OFFSET(A$1,,,SUMPRODUCT(MAX(ROW(E$2:E2461)*(E2461=E$2:E2461)))))-COUNTBLANK(OFFSET(A$1,,,SUMPRODUCT(MAX(ROW(E$1:E2460)*(E2=E$1:E2460))))))</f>
        <v> </v>
      </c>
      <c r="K2461" s="26" t="str">
        <f>IF(OR(E2461="",E2461="!!!",F2461="NEW"),"",INDEX(J$1:J2460,SUMPRODUCT(MAX(ROW(E$1:E2460)*(E2461=E$1:E2460)))))</f>
        <v> </v>
      </c>
      <c r="L2461" s="27"/>
    </row>
    <row r="2462" spans="1:12">
      <c r="A2462" s="20" t="s">
        <v>883</v>
      </c>
      <c r="E2462" s="22">
        <f>IF(D2462="?OLD","!!!","")</f>
        <v/>
      </c>
      <c r="F2462" s="23" t="str">
        <f>IF(OR(E2462="",E2462="!!!"),"",IF(NOT(ISNA(VLOOKUP(E2462,E$1:E2461,1,FALSE()))),"OLD",IF(AND(E2462&lt;&gt;"",E2462&lt;&gt;"!!!"),"NEW","")))</f>
        <v> </v>
      </c>
      <c r="G2462" s="24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5" t="str">
        <f>IF(J2462&lt;&gt;1,"",IF(I2462="SBJ","CB","?"))</f>
        <v> </v>
      </c>
      <c r="I2462" s="26" t="str">
        <f>IF(OR(E2462="",E2462="!!!",F2462="NEW"),"",INDEX(B2461:B$2,-1+SUMPRODUCT(MAX(ROW(E2461:E$2)*(E2462=E2461:E$2)))))</f>
        <v> </v>
      </c>
      <c r="J2462" s="26" t="str">
        <f>IF(OR(E2462="",E2462="!!!",F2462="NEW"),"",COUNTBLANK(OFFSET(A$1,,,SUMPRODUCT(MAX(ROW(E$2:E2462)*(E2462=E$2:E2462)))))-COUNTBLANK(OFFSET(A$1,,,SUMPRODUCT(MAX(ROW(E$1:E2461)*(E2=E$1:E2461))))))</f>
        <v> </v>
      </c>
      <c r="K2462" s="26" t="str">
        <f>IF(OR(E2462="",E2462="!!!",F2462="NEW"),"",INDEX(J$1:J2461,SUMPRODUCT(MAX(ROW(E$1:E2461)*(E2462=E$1:E2461)))))</f>
        <v> </v>
      </c>
      <c r="L2462" s="27"/>
    </row>
    <row r="2463" spans="1:12">
      <c r="A2463" s="20" t="s">
        <v>1792</v>
      </c>
      <c r="E2463" s="22">
        <f>IF(D2463="?OLD","!!!","")</f>
        <v/>
      </c>
      <c r="F2463" s="23" t="str">
        <f>IF(OR(E2463="",E2463="!!!"),"",IF(NOT(ISNA(VLOOKUP(E2463,E$1:E2462,1,FALSE()))),"OLD",IF(AND(E2463&lt;&gt;"",E2463&lt;&gt;"!!!"),"NEW","")))</f>
        <v> </v>
      </c>
      <c r="G2463" s="24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5" t="str">
        <f>IF(J2463&lt;&gt;1,"",IF(I2463="SBJ","CB","?"))</f>
        <v> </v>
      </c>
      <c r="I2463" s="26" t="str">
        <f>IF(OR(E2463="",E2463="!!!",F2463="NEW"),"",INDEX(B2462:B$2,-1+SUMPRODUCT(MAX(ROW(E2462:E$2)*(E2463=E2462:E$2)))))</f>
        <v> </v>
      </c>
      <c r="J2463" s="26" t="str">
        <f>IF(OR(E2463="",E2463="!!!",F2463="NEW"),"",COUNTBLANK(OFFSET(A$1,,,SUMPRODUCT(MAX(ROW(E$2:E2463)*(E2463=E$2:E2463)))))-COUNTBLANK(OFFSET(A$1,,,SUMPRODUCT(MAX(ROW(E$1:E2462)*(E2=E$1:E2462))))))</f>
        <v> </v>
      </c>
      <c r="K2463" s="26" t="str">
        <f>IF(OR(E2463="",E2463="!!!",F2463="NEW"),"",INDEX(J$1:J2462,SUMPRODUCT(MAX(ROW(E$1:E2462)*(E2463=E$1:E2462)))))</f>
        <v> </v>
      </c>
      <c r="L2463" s="27"/>
    </row>
    <row r="2464" spans="1:12">
      <c r="A2464" s="20" t="s">
        <v>662</v>
      </c>
      <c r="E2464" s="22">
        <f>IF(D2464="?OLD","!!!","")</f>
        <v/>
      </c>
      <c r="F2464" s="23" t="str">
        <f>IF(OR(E2464="",E2464="!!!"),"",IF(NOT(ISNA(VLOOKUP(E2464,E$1:E2463,1,FALSE()))),"OLD",IF(AND(E2464&lt;&gt;"",E2464&lt;&gt;"!!!"),"NEW","")))</f>
        <v> </v>
      </c>
      <c r="G2464" s="24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5" t="str">
        <f>IF(J2464&lt;&gt;1,"",IF(I2464="SBJ","CB","?"))</f>
        <v> </v>
      </c>
      <c r="I2464" s="26" t="str">
        <f>IF(OR(E2464="",E2464="!!!",F2464="NEW"),"",INDEX(B2463:B$2,-1+SUMPRODUCT(MAX(ROW(E2463:E$2)*(E2464=E2463:E$2)))))</f>
        <v> </v>
      </c>
      <c r="J2464" s="26" t="str">
        <f>IF(OR(E2464="",E2464="!!!",F2464="NEW"),"",COUNTBLANK(OFFSET(A$1,,,SUMPRODUCT(MAX(ROW(E$2:E2464)*(E2464=E$2:E2464)))))-COUNTBLANK(OFFSET(A$1,,,SUMPRODUCT(MAX(ROW(E$1:E2463)*(E2=E$1:E2463))))))</f>
        <v> </v>
      </c>
      <c r="K2464" s="26" t="str">
        <f>IF(OR(E2464="",E2464="!!!",F2464="NEW"),"",INDEX(J$1:J2463,SUMPRODUCT(MAX(ROW(E$1:E2463)*(E2464=E$1:E2463)))))</f>
        <v> </v>
      </c>
      <c r="L2464" s="27"/>
    </row>
    <row r="2465" spans="1:12">
      <c r="A2465" s="20" t="s">
        <v>1793</v>
      </c>
      <c r="E2465" s="22">
        <f>IF(D2465="?OLD","!!!","")</f>
        <v/>
      </c>
      <c r="F2465" s="23" t="str">
        <f>IF(OR(E2465="",E2465="!!!"),"",IF(NOT(ISNA(VLOOKUP(E2465,E$1:E2464,1,FALSE()))),"OLD",IF(AND(E2465&lt;&gt;"",E2465&lt;&gt;"!!!"),"NEW","")))</f>
        <v> </v>
      </c>
      <c r="G2465" s="24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5" t="str">
        <f>IF(J2465&lt;&gt;1,"",IF(I2465="SBJ","CB","?"))</f>
        <v> </v>
      </c>
      <c r="I2465" s="26" t="str">
        <f>IF(OR(E2465="",E2465="!!!",F2465="NEW"),"",INDEX(B2464:B$2,-1+SUMPRODUCT(MAX(ROW(E2464:E$2)*(E2465=E2464:E$2)))))</f>
        <v> </v>
      </c>
      <c r="J2465" s="26" t="str">
        <f>IF(OR(E2465="",E2465="!!!",F2465="NEW"),"",COUNTBLANK(OFFSET(A$1,,,SUMPRODUCT(MAX(ROW(E$2:E2465)*(E2465=E$2:E2465)))))-COUNTBLANK(OFFSET(A$1,,,SUMPRODUCT(MAX(ROW(E$1:E2464)*(E2=E$1:E2464))))))</f>
        <v> </v>
      </c>
      <c r="K2465" s="26" t="str">
        <f>IF(OR(E2465="",E2465="!!!",F2465="NEW"),"",INDEX(J$1:J2464,SUMPRODUCT(MAX(ROW(E$1:E2464)*(E2465=E$1:E2464)))))</f>
        <v> </v>
      </c>
      <c r="L2465" s="27"/>
    </row>
    <row r="2466" spans="1:12">
      <c r="A2466" s="20" t="s">
        <v>611</v>
      </c>
      <c r="E2466" s="22">
        <f>IF(D2466="?OLD","!!!","")</f>
        <v/>
      </c>
      <c r="F2466" s="23" t="str">
        <f>IF(OR(E2466="",E2466="!!!"),"",IF(NOT(ISNA(VLOOKUP(E2466,E$1:E2465,1,FALSE()))),"OLD",IF(AND(E2466&lt;&gt;"",E2466&lt;&gt;"!!!"),"NEW","")))</f>
        <v> </v>
      </c>
      <c r="G2466" s="24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5" t="str">
        <f>IF(J2466&lt;&gt;1,"",IF(I2466="SBJ","CB","?"))</f>
        <v> </v>
      </c>
      <c r="I2466" s="26" t="str">
        <f>IF(OR(E2466="",E2466="!!!",F2466="NEW"),"",INDEX(B2465:B$2,-1+SUMPRODUCT(MAX(ROW(E2465:E$2)*(E2466=E2465:E$2)))))</f>
        <v> </v>
      </c>
      <c r="J2466" s="26" t="str">
        <f>IF(OR(E2466="",E2466="!!!",F2466="NEW"),"",COUNTBLANK(OFFSET(A$1,,,SUMPRODUCT(MAX(ROW(E$2:E2466)*(E2466=E$2:E2466)))))-COUNTBLANK(OFFSET(A$1,,,SUMPRODUCT(MAX(ROW(E$1:E2465)*(E2=E$1:E2465))))))</f>
        <v> </v>
      </c>
      <c r="K2466" s="26" t="str">
        <f>IF(OR(E2466="",E2466="!!!",F2466="NEW"),"",INDEX(J$1:J2465,SUMPRODUCT(MAX(ROW(E$1:E2465)*(E2466=E$1:E2465)))))</f>
        <v> </v>
      </c>
      <c r="L2466" s="27"/>
    </row>
    <row r="2467" spans="1:12">
      <c r="A2467" s="20" t="s">
        <v>1365</v>
      </c>
      <c r="E2467" s="22">
        <f>IF(D2467="?OLD","!!!","")</f>
        <v/>
      </c>
      <c r="F2467" s="23" t="str">
        <f>IF(OR(E2467="",E2467="!!!"),"",IF(NOT(ISNA(VLOOKUP(E2467,E$1:E2466,1,FALSE()))),"OLD",IF(AND(E2467&lt;&gt;"",E2467&lt;&gt;"!!!"),"NEW","")))</f>
        <v> </v>
      </c>
      <c r="G2467" s="24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5" t="str">
        <f>IF(J2467&lt;&gt;1,"",IF(I2467="SBJ","CB","?"))</f>
        <v> </v>
      </c>
      <c r="I2467" s="26" t="str">
        <f>IF(OR(E2467="",E2467="!!!",F2467="NEW"),"",INDEX(B2466:B$2,-1+SUMPRODUCT(MAX(ROW(E2466:E$2)*(E2467=E2466:E$2)))))</f>
        <v> </v>
      </c>
      <c r="J2467" s="26" t="str">
        <f>IF(OR(E2467="",E2467="!!!",F2467="NEW"),"",COUNTBLANK(OFFSET(A$1,,,SUMPRODUCT(MAX(ROW(E$2:E2467)*(E2467=E$2:E2467)))))-COUNTBLANK(OFFSET(A$1,,,SUMPRODUCT(MAX(ROW(E$1:E2466)*(E2=E$1:E2466))))))</f>
        <v> </v>
      </c>
      <c r="K2467" s="26" t="str">
        <f>IF(OR(E2467="",E2467="!!!",F2467="NEW"),"",INDEX(J$1:J2466,SUMPRODUCT(MAX(ROW(E$1:E2466)*(E2467=E$1:E2466)))))</f>
        <v> </v>
      </c>
      <c r="L2467" s="27"/>
    </row>
    <row r="2468" spans="1:12">
      <c r="A2468" s="20" t="s">
        <v>1794</v>
      </c>
      <c r="E2468" s="22">
        <f>IF(D2468="?OLD","!!!","")</f>
        <v/>
      </c>
      <c r="F2468" s="23" t="str">
        <f>IF(OR(E2468="",E2468="!!!"),"",IF(NOT(ISNA(VLOOKUP(E2468,E$1:E2467,1,FALSE()))),"OLD",IF(AND(E2468&lt;&gt;"",E2468&lt;&gt;"!!!"),"NEW","")))</f>
        <v> </v>
      </c>
      <c r="G2468" s="24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5" t="str">
        <f>IF(J2468&lt;&gt;1,"",IF(I2468="SBJ","CB","?"))</f>
        <v> </v>
      </c>
      <c r="I2468" s="26" t="str">
        <f>IF(OR(E2468="",E2468="!!!",F2468="NEW"),"",INDEX(B2467:B$2,-1+SUMPRODUCT(MAX(ROW(E2467:E$2)*(E2468=E2467:E$2)))))</f>
        <v> </v>
      </c>
      <c r="J2468" s="26" t="str">
        <f>IF(OR(E2468="",E2468="!!!",F2468="NEW"),"",COUNTBLANK(OFFSET(A$1,,,SUMPRODUCT(MAX(ROW(E$2:E2468)*(E2468=E$2:E2468)))))-COUNTBLANK(OFFSET(A$1,,,SUMPRODUCT(MAX(ROW(E$1:E2467)*(E2=E$1:E2467))))))</f>
        <v> </v>
      </c>
      <c r="K2468" s="26" t="str">
        <f>IF(OR(E2468="",E2468="!!!",F2468="NEW"),"",INDEX(J$1:J2467,SUMPRODUCT(MAX(ROW(E$1:E2467)*(E2468=E$1:E2467)))))</f>
        <v> </v>
      </c>
      <c r="L2468" s="27"/>
    </row>
    <row r="2469" spans="1:12">
      <c r="A2469" s="20" t="s">
        <v>1795</v>
      </c>
      <c r="B2469" s="21" t="s">
        <v>815</v>
      </c>
      <c r="C2469" s="21" t="s">
        <v>733</v>
      </c>
      <c r="D2469" s="21" t="s">
        <v>603</v>
      </c>
      <c r="E2469" s="22">
        <f>IF(D2469="?OLD","!!!","")</f>
        <v/>
      </c>
      <c r="F2469" s="23" t="str">
        <f>IF(OR(E2469="",E2469="!!!"),"",IF(NOT(ISNA(VLOOKUP(E2469,E$1:E2468,1,FALSE()))),"OLD",IF(AND(E2469&lt;&gt;"",E2469&lt;&gt;"!!!"),"NEW","")))</f>
        <v> </v>
      </c>
      <c r="G2469" s="24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5" t="str">
        <f>IF(J2469&lt;&gt;1,"",IF(I2469="SBJ","CB","?"))</f>
        <v> </v>
      </c>
      <c r="I2469" s="26" t="str">
        <f>IF(OR(E2469="",E2469="!!!",F2469="NEW"),"",INDEX(B2468:B$2,-1+SUMPRODUCT(MAX(ROW(E2468:E$2)*(E2469=E2468:E$2)))))</f>
        <v> </v>
      </c>
      <c r="J2469" s="26" t="str">
        <f>IF(OR(E2469="",E2469="!!!",F2469="NEW"),"",COUNTBLANK(OFFSET(A$1,,,SUMPRODUCT(MAX(ROW(E$2:E2469)*(E2469=E$2:E2469)))))-COUNTBLANK(OFFSET(A$1,,,SUMPRODUCT(MAX(ROW(E$1:E2468)*(E2=E$1:E2468))))))</f>
        <v> </v>
      </c>
      <c r="K2469" s="26" t="str">
        <f>IF(OR(E2469="",E2469="!!!",F2469="NEW"),"",INDEX(J$1:J2468,SUMPRODUCT(MAX(ROW(E$1:E2468)*(E2469=E$1:E2468)))))</f>
        <v> </v>
      </c>
      <c r="L2469" s="27"/>
    </row>
    <row r="2470" spans="1:12">
      <c r="A2470" s="20" t="s">
        <v>1796</v>
      </c>
      <c r="E2470" s="22">
        <f>IF(D2470="?OLD","!!!","")</f>
        <v/>
      </c>
      <c r="F2470" s="23" t="str">
        <f>IF(OR(E2470="",E2470="!!!"),"",IF(NOT(ISNA(VLOOKUP(E2470,E$1:E2469,1,FALSE()))),"OLD",IF(AND(E2470&lt;&gt;"",E2470&lt;&gt;"!!!"),"NEW","")))</f>
        <v> </v>
      </c>
      <c r="G2470" s="24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5" t="str">
        <f>IF(J2470&lt;&gt;1,"",IF(I2470="SBJ","CB","?"))</f>
        <v> </v>
      </c>
      <c r="I2470" s="26" t="str">
        <f>IF(OR(E2470="",E2470="!!!",F2470="NEW"),"",INDEX(B2469:B$2,-1+SUMPRODUCT(MAX(ROW(E2469:E$2)*(E2470=E2469:E$2)))))</f>
        <v> </v>
      </c>
      <c r="J2470" s="26" t="str">
        <f>IF(OR(E2470="",E2470="!!!",F2470="NEW"),"",COUNTBLANK(OFFSET(A$1,,,SUMPRODUCT(MAX(ROW(E$2:E2470)*(E2470=E$2:E2470)))))-COUNTBLANK(OFFSET(A$1,,,SUMPRODUCT(MAX(ROW(E$1:E2469)*(E2=E$1:E2469))))))</f>
        <v> </v>
      </c>
      <c r="K2470" s="26" t="str">
        <f>IF(OR(E2470="",E2470="!!!",F2470="NEW"),"",INDEX(J$1:J2469,SUMPRODUCT(MAX(ROW(E$1:E2469)*(E2470=E$1:E2469)))))</f>
        <v> </v>
      </c>
      <c r="L2470" s="27"/>
    </row>
    <row r="2471" spans="1:12">
      <c r="A2471" s="20" t="s">
        <v>1797</v>
      </c>
      <c r="B2471" s="21" t="s">
        <v>620</v>
      </c>
      <c r="C2471" s="21" t="s">
        <v>621</v>
      </c>
      <c r="E2471" s="22">
        <f>IF(D2471="?OLD","!!!","")</f>
        <v/>
      </c>
      <c r="F2471" s="23" t="str">
        <f>IF(OR(E2471="",E2471="!!!"),"",IF(NOT(ISNA(VLOOKUP(E2471,E$1:E2470,1,FALSE()))),"OLD",IF(AND(E2471&lt;&gt;"",E2471&lt;&gt;"!!!"),"NEW","")))</f>
        <v> </v>
      </c>
      <c r="G2471" s="24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5" t="str">
        <f>IF(J2471&lt;&gt;1,"",IF(I2471="SBJ","CB","?"))</f>
        <v> </v>
      </c>
      <c r="I2471" s="26" t="str">
        <f>IF(OR(E2471="",E2471="!!!",F2471="NEW"),"",INDEX(B2470:B$2,-1+SUMPRODUCT(MAX(ROW(E2470:E$2)*(E2471=E2470:E$2)))))</f>
        <v> </v>
      </c>
      <c r="J2471" s="26" t="str">
        <f>IF(OR(E2471="",E2471="!!!",F2471="NEW"),"",COUNTBLANK(OFFSET(A$1,,,SUMPRODUCT(MAX(ROW(E$2:E2471)*(E2471=E$2:E2471)))))-COUNTBLANK(OFFSET(A$1,,,SUMPRODUCT(MAX(ROW(E$1:E2470)*(E2=E$1:E2470))))))</f>
        <v> </v>
      </c>
      <c r="K2471" s="26" t="str">
        <f>IF(OR(E2471="",E2471="!!!",F2471="NEW"),"",INDEX(J$1:J2470,SUMPRODUCT(MAX(ROW(E$1:E2470)*(E2471=E$1:E2470)))))</f>
        <v> </v>
      </c>
      <c r="L2471" s="27"/>
    </row>
    <row r="2472" spans="1:12">
      <c r="A2472" s="20" t="s">
        <v>611</v>
      </c>
      <c r="E2472" s="22">
        <f>IF(D2472="?OLD","!!!","")</f>
        <v/>
      </c>
      <c r="F2472" s="23" t="str">
        <f>IF(OR(E2472="",E2472="!!!"),"",IF(NOT(ISNA(VLOOKUP(E2472,E$1:E2471,1,FALSE()))),"OLD",IF(AND(E2472&lt;&gt;"",E2472&lt;&gt;"!!!"),"NEW","")))</f>
        <v> </v>
      </c>
      <c r="G2472" s="24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5" t="str">
        <f>IF(J2472&lt;&gt;1,"",IF(I2472="SBJ","CB","?"))</f>
        <v> </v>
      </c>
      <c r="I2472" s="26" t="str">
        <f>IF(OR(E2472="",E2472="!!!",F2472="NEW"),"",INDEX(B2471:B$2,-1+SUMPRODUCT(MAX(ROW(E2471:E$2)*(E2472=E2471:E$2)))))</f>
        <v> </v>
      </c>
      <c r="J2472" s="26" t="str">
        <f>IF(OR(E2472="",E2472="!!!",F2472="NEW"),"",COUNTBLANK(OFFSET(A$1,,,SUMPRODUCT(MAX(ROW(E$2:E2472)*(E2472=E$2:E2472)))))-COUNTBLANK(OFFSET(A$1,,,SUMPRODUCT(MAX(ROW(E$1:E2471)*(E2=E$1:E2471))))))</f>
        <v> </v>
      </c>
      <c r="K2472" s="26" t="str">
        <f>IF(OR(E2472="",E2472="!!!",F2472="NEW"),"",INDEX(J$1:J2471,SUMPRODUCT(MAX(ROW(E$1:E2471)*(E2472=E$1:E2471)))))</f>
        <v> </v>
      </c>
      <c r="L2472" s="27"/>
    </row>
    <row r="2473" spans="1:12">
      <c r="A2473" s="20" t="s">
        <v>646</v>
      </c>
      <c r="E2473" s="22">
        <f>IF(D2473="?OLD","!!!","")</f>
        <v/>
      </c>
      <c r="F2473" s="23" t="str">
        <f>IF(OR(E2473="",E2473="!!!"),"",IF(NOT(ISNA(VLOOKUP(E2473,E$1:E2472,1,FALSE()))),"OLD",IF(AND(E2473&lt;&gt;"",E2473&lt;&gt;"!!!"),"NEW","")))</f>
        <v> </v>
      </c>
      <c r="G2473" s="24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5" t="str">
        <f>IF(J2473&lt;&gt;1,"",IF(I2473="SBJ","CB","?"))</f>
        <v> </v>
      </c>
      <c r="I2473" s="26" t="str">
        <f>IF(OR(E2473="",E2473="!!!",F2473="NEW"),"",INDEX(B2472:B$2,-1+SUMPRODUCT(MAX(ROW(E2472:E$2)*(E2473=E2472:E$2)))))</f>
        <v> </v>
      </c>
      <c r="J2473" s="26" t="str">
        <f>IF(OR(E2473="",E2473="!!!",F2473="NEW"),"",COUNTBLANK(OFFSET(A$1,,,SUMPRODUCT(MAX(ROW(E$2:E2473)*(E2473=E$2:E2473)))))-COUNTBLANK(OFFSET(A$1,,,SUMPRODUCT(MAX(ROW(E$1:E2472)*(E2=E$1:E2472))))))</f>
        <v> </v>
      </c>
      <c r="K2473" s="26" t="str">
        <f>IF(OR(E2473="",E2473="!!!",F2473="NEW"),"",INDEX(J$1:J2472,SUMPRODUCT(MAX(ROW(E$1:E2472)*(E2473=E$1:E2472)))))</f>
        <v> </v>
      </c>
      <c r="L2473" s="27"/>
    </row>
    <row r="2474" spans="1:12">
      <c r="A2474" s="20" t="s">
        <v>419</v>
      </c>
      <c r="B2474" s="21" t="s">
        <v>616</v>
      </c>
      <c r="C2474" s="21" t="s">
        <v>602</v>
      </c>
      <c r="D2474" s="21" t="s">
        <v>603</v>
      </c>
      <c r="E2474" s="22">
        <f>IF(D2474="?OLD","!!!","")</f>
        <v/>
      </c>
      <c r="F2474" s="23" t="str">
        <f>IF(OR(E2474="",E2474="!!!"),"",IF(NOT(ISNA(VLOOKUP(E2474,E$1:E2473,1,FALSE()))),"OLD",IF(AND(E2474&lt;&gt;"",E2474&lt;&gt;"!!!"),"NEW","")))</f>
        <v> </v>
      </c>
      <c r="G2474" s="24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5" t="str">
        <f>IF(J2474&lt;&gt;1,"",IF(I2474="SBJ","CB","?"))</f>
        <v> </v>
      </c>
      <c r="I2474" s="26" t="str">
        <f>IF(OR(E2474="",E2474="!!!",F2474="NEW"),"",INDEX(B2473:B$2,-1+SUMPRODUCT(MAX(ROW(E2473:E$2)*(E2474=E2473:E$2)))))</f>
        <v> </v>
      </c>
      <c r="J2474" s="26" t="str">
        <f>IF(OR(E2474="",E2474="!!!",F2474="NEW"),"",COUNTBLANK(OFFSET(A$1,,,SUMPRODUCT(MAX(ROW(E$2:E2474)*(E2474=E$2:E2474)))))-COUNTBLANK(OFFSET(A$1,,,SUMPRODUCT(MAX(ROW(E$1:E2473)*(E2=E$1:E2473))))))</f>
        <v> </v>
      </c>
      <c r="K2474" s="26" t="str">
        <f>IF(OR(E2474="",E2474="!!!",F2474="NEW"),"",INDEX(J$1:J2473,SUMPRODUCT(MAX(ROW(E$1:E2473)*(E2474=E$1:E2473)))))</f>
        <v> </v>
      </c>
      <c r="L2474" s="27"/>
    </row>
    <row r="2475" spans="1:12">
      <c r="A2475" s="20" t="s">
        <v>1798</v>
      </c>
      <c r="E2475" s="22">
        <f>IF(D2475="?OLD","!!!","")</f>
        <v/>
      </c>
      <c r="F2475" s="23" t="str">
        <f>IF(OR(E2475="",E2475="!!!"),"",IF(NOT(ISNA(VLOOKUP(E2475,E$1:E2474,1,FALSE()))),"OLD",IF(AND(E2475&lt;&gt;"",E2475&lt;&gt;"!!!"),"NEW","")))</f>
        <v> </v>
      </c>
      <c r="G2475" s="24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5" t="str">
        <f>IF(J2475&lt;&gt;1,"",IF(I2475="SBJ","CB","?"))</f>
        <v> </v>
      </c>
      <c r="I2475" s="26" t="str">
        <f>IF(OR(E2475="",E2475="!!!",F2475="NEW"),"",INDEX(B2474:B$2,-1+SUMPRODUCT(MAX(ROW(E2474:E$2)*(E2475=E2474:E$2)))))</f>
        <v> </v>
      </c>
      <c r="J2475" s="26" t="str">
        <f>IF(OR(E2475="",E2475="!!!",F2475="NEW"),"",COUNTBLANK(OFFSET(A$1,,,SUMPRODUCT(MAX(ROW(E$2:E2475)*(E2475=E$2:E2475)))))-COUNTBLANK(OFFSET(A$1,,,SUMPRODUCT(MAX(ROW(E$1:E2474)*(E2=E$1:E2474))))))</f>
        <v> </v>
      </c>
      <c r="K2475" s="26" t="str">
        <f>IF(OR(E2475="",E2475="!!!",F2475="NEW"),"",INDEX(J$1:J2474,SUMPRODUCT(MAX(ROW(E$1:E2474)*(E2475=E$1:E2474)))))</f>
        <v> </v>
      </c>
      <c r="L2475" s="27"/>
    </row>
    <row r="2476" spans="1:12">
      <c r="A2476" s="20" t="s">
        <v>722</v>
      </c>
      <c r="B2476" s="21" t="s">
        <v>613</v>
      </c>
      <c r="C2476" s="21" t="s">
        <v>723</v>
      </c>
      <c r="D2476" s="21" t="s">
        <v>603</v>
      </c>
      <c r="E2476" s="22">
        <f>IF(D2476="?OLD","!!!","")</f>
        <v/>
      </c>
      <c r="F2476" s="23" t="str">
        <f>IF(OR(E2476="",E2476="!!!"),"",IF(NOT(ISNA(VLOOKUP(E2476,E$1:E2475,1,FALSE()))),"OLD",IF(AND(E2476&lt;&gt;"",E2476&lt;&gt;"!!!"),"NEW","")))</f>
        <v> </v>
      </c>
      <c r="G2476" s="24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5" t="str">
        <f>IF(J2476&lt;&gt;1,"",IF(I2476="SBJ","CB","?"))</f>
        <v> </v>
      </c>
      <c r="I2476" s="26" t="str">
        <f>IF(OR(E2476="",E2476="!!!",F2476="NEW"),"",INDEX(B2475:B$2,-1+SUMPRODUCT(MAX(ROW(E2475:E$2)*(E2476=E2475:E$2)))))</f>
        <v> </v>
      </c>
      <c r="J2476" s="26" t="str">
        <f>IF(OR(E2476="",E2476="!!!",F2476="NEW"),"",COUNTBLANK(OFFSET(A$1,,,SUMPRODUCT(MAX(ROW(E$2:E2476)*(E2476=E$2:E2476)))))-COUNTBLANK(OFFSET(A$1,,,SUMPRODUCT(MAX(ROW(E$1:E2475)*(E2=E$1:E2475))))))</f>
        <v> </v>
      </c>
      <c r="K2476" s="26" t="str">
        <f>IF(OR(E2476="",E2476="!!!",F2476="NEW"),"",INDEX(J$1:J2475,SUMPRODUCT(MAX(ROW(E$1:E2475)*(E2476=E$1:E2475)))))</f>
        <v> </v>
      </c>
      <c r="L2476" s="27"/>
    </row>
    <row r="2477" spans="1:12">
      <c r="A2477" s="20" t="s">
        <v>662</v>
      </c>
      <c r="E2477" s="22">
        <f>IF(D2477="?OLD","!!!","")</f>
        <v/>
      </c>
      <c r="F2477" s="23" t="str">
        <f>IF(OR(E2477="",E2477="!!!"),"",IF(NOT(ISNA(VLOOKUP(E2477,E$1:E2476,1,FALSE()))),"OLD",IF(AND(E2477&lt;&gt;"",E2477&lt;&gt;"!!!"),"NEW","")))</f>
        <v> </v>
      </c>
      <c r="G2477" s="24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5" t="str">
        <f>IF(J2477&lt;&gt;1,"",IF(I2477="SBJ","CB","?"))</f>
        <v> </v>
      </c>
      <c r="I2477" s="26" t="str">
        <f>IF(OR(E2477="",E2477="!!!",F2477="NEW"),"",INDEX(B2476:B$2,-1+SUMPRODUCT(MAX(ROW(E2476:E$2)*(E2477=E2476:E$2)))))</f>
        <v> </v>
      </c>
      <c r="J2477" s="26" t="str">
        <f>IF(OR(E2477="",E2477="!!!",F2477="NEW"),"",COUNTBLANK(OFFSET(A$1,,,SUMPRODUCT(MAX(ROW(E$2:E2477)*(E2477=E$2:E2477)))))-COUNTBLANK(OFFSET(A$1,,,SUMPRODUCT(MAX(ROW(E$1:E2476)*(E2=E$1:E2476))))))</f>
        <v> </v>
      </c>
      <c r="K2477" s="26" t="str">
        <f>IF(OR(E2477="",E2477="!!!",F2477="NEW"),"",INDEX(J$1:J2476,SUMPRODUCT(MAX(ROW(E$1:E2476)*(E2477=E$1:E2476)))))</f>
        <v> </v>
      </c>
      <c r="L2477" s="27"/>
    </row>
    <row r="2478" spans="1:12">
      <c r="A2478" s="20" t="s">
        <v>1799</v>
      </c>
      <c r="E2478" s="22">
        <f>IF(D2478="?OLD","!!!","")</f>
        <v/>
      </c>
      <c r="F2478" s="23" t="str">
        <f>IF(OR(E2478="",E2478="!!!"),"",IF(NOT(ISNA(VLOOKUP(E2478,E$1:E2477,1,FALSE()))),"OLD",IF(AND(E2478&lt;&gt;"",E2478&lt;&gt;"!!!"),"NEW","")))</f>
        <v> </v>
      </c>
      <c r="G2478" s="24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5" t="str">
        <f>IF(J2478&lt;&gt;1,"",IF(I2478="SBJ","CB","?"))</f>
        <v> </v>
      </c>
      <c r="I2478" s="26" t="str">
        <f>IF(OR(E2478="",E2478="!!!",F2478="NEW"),"",INDEX(B2477:B$2,-1+SUMPRODUCT(MAX(ROW(E2477:E$2)*(E2478=E2477:E$2)))))</f>
        <v> </v>
      </c>
      <c r="J2478" s="26" t="str">
        <f>IF(OR(E2478="",E2478="!!!",F2478="NEW"),"",COUNTBLANK(OFFSET(A$1,,,SUMPRODUCT(MAX(ROW(E$2:E2478)*(E2478=E$2:E2478)))))-COUNTBLANK(OFFSET(A$1,,,SUMPRODUCT(MAX(ROW(E$1:E2477)*(E2=E$1:E2477))))))</f>
        <v> </v>
      </c>
      <c r="K2478" s="26" t="str">
        <f>IF(OR(E2478="",E2478="!!!",F2478="NEW"),"",INDEX(J$1:J2477,SUMPRODUCT(MAX(ROW(E$1:E2477)*(E2478=E$1:E2477)))))</f>
        <v> </v>
      </c>
      <c r="L2478" s="27"/>
    </row>
    <row r="2479" spans="1:12">
      <c r="A2479" s="20" t="s">
        <v>1800</v>
      </c>
      <c r="E2479" s="22">
        <f>IF(D2479="?OLD","!!!","")</f>
        <v/>
      </c>
      <c r="F2479" s="23" t="str">
        <f>IF(OR(E2479="",E2479="!!!"),"",IF(NOT(ISNA(VLOOKUP(E2479,E$1:E2478,1,FALSE()))),"OLD",IF(AND(E2479&lt;&gt;"",E2479&lt;&gt;"!!!"),"NEW","")))</f>
        <v> </v>
      </c>
      <c r="G2479" s="24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5" t="str">
        <f>IF(J2479&lt;&gt;1,"",IF(I2479="SBJ","CB","?"))</f>
        <v> </v>
      </c>
      <c r="I2479" s="26" t="str">
        <f>IF(OR(E2479="",E2479="!!!",F2479="NEW"),"",INDEX(B2478:B$2,-1+SUMPRODUCT(MAX(ROW(E2478:E$2)*(E2479=E2478:E$2)))))</f>
        <v> </v>
      </c>
      <c r="J2479" s="26" t="str">
        <f>IF(OR(E2479="",E2479="!!!",F2479="NEW"),"",COUNTBLANK(OFFSET(A$1,,,SUMPRODUCT(MAX(ROW(E$2:E2479)*(E2479=E$2:E2479)))))-COUNTBLANK(OFFSET(A$1,,,SUMPRODUCT(MAX(ROW(E$1:E2478)*(E2=E$1:E2478))))))</f>
        <v> </v>
      </c>
      <c r="K2479" s="26" t="str">
        <f>IF(OR(E2479="",E2479="!!!",F2479="NEW"),"",INDEX(J$1:J2478,SUMPRODUCT(MAX(ROW(E$1:E2478)*(E2479=E$1:E2478)))))</f>
        <v> </v>
      </c>
      <c r="L2479" s="27"/>
    </row>
    <row r="2480" spans="1:12">
      <c r="A2480" s="20" t="s">
        <v>1801</v>
      </c>
      <c r="E2480" s="22">
        <f>IF(D2480="?OLD","!!!","")</f>
        <v/>
      </c>
      <c r="F2480" s="23" t="str">
        <f>IF(OR(E2480="",E2480="!!!"),"",IF(NOT(ISNA(VLOOKUP(E2480,E$1:E2479,1,FALSE()))),"OLD",IF(AND(E2480&lt;&gt;"",E2480&lt;&gt;"!!!"),"NEW","")))</f>
        <v> </v>
      </c>
      <c r="G2480" s="24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5" t="str">
        <f>IF(J2480&lt;&gt;1,"",IF(I2480="SBJ","CB","?"))</f>
        <v> </v>
      </c>
      <c r="I2480" s="26" t="str">
        <f>IF(OR(E2480="",E2480="!!!",F2480="NEW"),"",INDEX(B2479:B$2,-1+SUMPRODUCT(MAX(ROW(E2479:E$2)*(E2480=E2479:E$2)))))</f>
        <v> </v>
      </c>
      <c r="J2480" s="26" t="str">
        <f>IF(OR(E2480="",E2480="!!!",F2480="NEW"),"",COUNTBLANK(OFFSET(A$1,,,SUMPRODUCT(MAX(ROW(E$2:E2480)*(E2480=E$2:E2480)))))-COUNTBLANK(OFFSET(A$1,,,SUMPRODUCT(MAX(ROW(E$1:E2479)*(E2=E$1:E2479))))))</f>
        <v> </v>
      </c>
      <c r="K2480" s="26" t="str">
        <f>IF(OR(E2480="",E2480="!!!",F2480="NEW"),"",INDEX(J$1:J2479,SUMPRODUCT(MAX(ROW(E$1:E2479)*(E2480=E$1:E2479)))))</f>
        <v> </v>
      </c>
      <c r="L2480" s="27"/>
    </row>
    <row r="2481" spans="1:12">
      <c r="A2481" s="20" t="s">
        <v>12</v>
      </c>
      <c r="E2481" s="22">
        <f>IF(D2481="?OLD","!!!","")</f>
        <v/>
      </c>
      <c r="F2481" s="23" t="str">
        <f>IF(OR(E2481="",E2481="!!!"),"",IF(NOT(ISNA(VLOOKUP(E2481,E$1:E2480,1,FALSE()))),"OLD",IF(AND(E2481&lt;&gt;"",E2481&lt;&gt;"!!!"),"NEW","")))</f>
        <v> </v>
      </c>
      <c r="G2481" s="24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5" t="str">
        <f>IF(J2481&lt;&gt;1,"",IF(I2481="SBJ","CB","?"))</f>
        <v> </v>
      </c>
      <c r="I2481" s="26" t="str">
        <f>IF(OR(E2481="",E2481="!!!",F2481="NEW"),"",INDEX(B2480:B$2,-1+SUMPRODUCT(MAX(ROW(E2480:E$2)*(E2481=E2480:E$2)))))</f>
        <v> </v>
      </c>
      <c r="J2481" s="26" t="str">
        <f>IF(OR(E2481="",E2481="!!!",F2481="NEW"),"",COUNTBLANK(OFFSET(A$1,,,SUMPRODUCT(MAX(ROW(E$2:E2481)*(E2481=E$2:E2481)))))-COUNTBLANK(OFFSET(A$1,,,SUMPRODUCT(MAX(ROW(E$1:E2480)*(E2=E$1:E2480))))))</f>
        <v> </v>
      </c>
      <c r="K2481" s="26" t="str">
        <f>IF(OR(E2481="",E2481="!!!",F2481="NEW"),"",INDEX(J$1:J2480,SUMPRODUCT(MAX(ROW(E$1:E2480)*(E2481=E$1:E2480)))))</f>
        <v> </v>
      </c>
      <c r="L2481" s="27"/>
    </row>
    <row r="2482" spans="1:12">
      <c r="A2482" s="20" t="s">
        <v>1802</v>
      </c>
      <c r="E2482" s="22">
        <f>IF(D2482="?OLD","!!!","")</f>
        <v/>
      </c>
      <c r="F2482" s="23" t="str">
        <f>IF(OR(E2482="",E2482="!!!"),"",IF(NOT(ISNA(VLOOKUP(E2482,E$1:E2481,1,FALSE()))),"OLD",IF(AND(E2482&lt;&gt;"",E2482&lt;&gt;"!!!"),"NEW","")))</f>
        <v> </v>
      </c>
      <c r="G2482" s="24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5" t="str">
        <f>IF(J2482&lt;&gt;1,"",IF(I2482="SBJ","CB","?"))</f>
        <v> </v>
      </c>
      <c r="I2482" s="26" t="str">
        <f>IF(OR(E2482="",E2482="!!!",F2482="NEW"),"",INDEX(B2481:B$2,-1+SUMPRODUCT(MAX(ROW(E2481:E$2)*(E2482=E2481:E$2)))))</f>
        <v> </v>
      </c>
      <c r="J2482" s="26" t="str">
        <f>IF(OR(E2482="",E2482="!!!",F2482="NEW"),"",COUNTBLANK(OFFSET(A$1,,,SUMPRODUCT(MAX(ROW(E$2:E2482)*(E2482=E$2:E2482)))))-COUNTBLANK(OFFSET(A$1,,,SUMPRODUCT(MAX(ROW(E$1:E2481)*(E2=E$1:E2481))))))</f>
        <v> </v>
      </c>
      <c r="K2482" s="26" t="str">
        <f>IF(OR(E2482="",E2482="!!!",F2482="NEW"),"",INDEX(J$1:J2481,SUMPRODUCT(MAX(ROW(E$1:E2481)*(E2482=E$1:E2481)))))</f>
        <v> </v>
      </c>
      <c r="L2482" s="27"/>
    </row>
    <row r="2483" spans="1:12">
      <c r="A2483" s="20" t="s">
        <v>662</v>
      </c>
      <c r="E2483" s="22">
        <f>IF(D2483="?OLD","!!!","")</f>
        <v/>
      </c>
      <c r="F2483" s="23" t="str">
        <f>IF(OR(E2483="",E2483="!!!"),"",IF(NOT(ISNA(VLOOKUP(E2483,E$1:E2482,1,FALSE()))),"OLD",IF(AND(E2483&lt;&gt;"",E2483&lt;&gt;"!!!"),"NEW","")))</f>
        <v> </v>
      </c>
      <c r="G2483" s="24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5" t="str">
        <f>IF(J2483&lt;&gt;1,"",IF(I2483="SBJ","CB","?"))</f>
        <v> </v>
      </c>
      <c r="I2483" s="26" t="str">
        <f>IF(OR(E2483="",E2483="!!!",F2483="NEW"),"",INDEX(B2482:B$2,-1+SUMPRODUCT(MAX(ROW(E2482:E$2)*(E2483=E2482:E$2)))))</f>
        <v> </v>
      </c>
      <c r="J2483" s="26" t="str">
        <f>IF(OR(E2483="",E2483="!!!",F2483="NEW"),"",COUNTBLANK(OFFSET(A$1,,,SUMPRODUCT(MAX(ROW(E$2:E2483)*(E2483=E$2:E2483)))))-COUNTBLANK(OFFSET(A$1,,,SUMPRODUCT(MAX(ROW(E$1:E2482)*(E2=E$1:E2482))))))</f>
        <v> </v>
      </c>
      <c r="K2483" s="26" t="str">
        <f>IF(OR(E2483="",E2483="!!!",F2483="NEW"),"",INDEX(J$1:J2482,SUMPRODUCT(MAX(ROW(E$1:E2482)*(E2483=E$1:E2482)))))</f>
        <v> </v>
      </c>
      <c r="L2483" s="27"/>
    </row>
    <row r="2484" spans="1:12">
      <c r="A2484" s="20" t="s">
        <v>1803</v>
      </c>
      <c r="E2484" s="22">
        <f>IF(D2484="?OLD","!!!","")</f>
        <v/>
      </c>
      <c r="F2484" s="23" t="str">
        <f>IF(OR(E2484="",E2484="!!!"),"",IF(NOT(ISNA(VLOOKUP(E2484,E$1:E2483,1,FALSE()))),"OLD",IF(AND(E2484&lt;&gt;"",E2484&lt;&gt;"!!!"),"NEW","")))</f>
        <v> </v>
      </c>
      <c r="G2484" s="24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5" t="str">
        <f>IF(J2484&lt;&gt;1,"",IF(I2484="SBJ","CB","?"))</f>
        <v> </v>
      </c>
      <c r="I2484" s="26" t="str">
        <f>IF(OR(E2484="",E2484="!!!",F2484="NEW"),"",INDEX(B2483:B$2,-1+SUMPRODUCT(MAX(ROW(E2483:E$2)*(E2484=E2483:E$2)))))</f>
        <v> </v>
      </c>
      <c r="J2484" s="26" t="str">
        <f>IF(OR(E2484="",E2484="!!!",F2484="NEW"),"",COUNTBLANK(OFFSET(A$1,,,SUMPRODUCT(MAX(ROW(E$2:E2484)*(E2484=E$2:E2484)))))-COUNTBLANK(OFFSET(A$1,,,SUMPRODUCT(MAX(ROW(E$1:E2483)*(E2=E$1:E2483))))))</f>
        <v> </v>
      </c>
      <c r="K2484" s="26" t="str">
        <f>IF(OR(E2484="",E2484="!!!",F2484="NEW"),"",INDEX(J$1:J2483,SUMPRODUCT(MAX(ROW(E$1:E2483)*(E2484=E$1:E2483)))))</f>
        <v> </v>
      </c>
      <c r="L2484" s="27"/>
    </row>
    <row r="2485" spans="1:12">
      <c r="A2485" s="20" t="s">
        <v>1804</v>
      </c>
      <c r="E2485" s="22">
        <f>IF(D2485="?OLD","!!!","")</f>
        <v/>
      </c>
      <c r="F2485" s="23" t="str">
        <f>IF(OR(E2485="",E2485="!!!"),"",IF(NOT(ISNA(VLOOKUP(E2485,E$1:E2484,1,FALSE()))),"OLD",IF(AND(E2485&lt;&gt;"",E2485&lt;&gt;"!!!"),"NEW","")))</f>
        <v> </v>
      </c>
      <c r="G2485" s="24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5" t="str">
        <f>IF(J2485&lt;&gt;1,"",IF(I2485="SBJ","CB","?"))</f>
        <v> </v>
      </c>
      <c r="I2485" s="26" t="str">
        <f>IF(OR(E2485="",E2485="!!!",F2485="NEW"),"",INDEX(B2484:B$2,-1+SUMPRODUCT(MAX(ROW(E2484:E$2)*(E2485=E2484:E$2)))))</f>
        <v> </v>
      </c>
      <c r="J2485" s="26" t="str">
        <f>IF(OR(E2485="",E2485="!!!",F2485="NEW"),"",COUNTBLANK(OFFSET(A$1,,,SUMPRODUCT(MAX(ROW(E$2:E2485)*(E2485=E$2:E2485)))))-COUNTBLANK(OFFSET(A$1,,,SUMPRODUCT(MAX(ROW(E$1:E2484)*(E2=E$1:E2484))))))</f>
        <v> </v>
      </c>
      <c r="K2485" s="26" t="str">
        <f>IF(OR(E2485="",E2485="!!!",F2485="NEW"),"",INDEX(J$1:J2484,SUMPRODUCT(MAX(ROW(E$1:E2484)*(E2485=E$1:E2484)))))</f>
        <v> </v>
      </c>
      <c r="L2485" s="27"/>
    </row>
    <row r="2486" spans="1:12">
      <c r="A2486" s="20" t="s">
        <v>1805</v>
      </c>
      <c r="B2486" s="21" t="s">
        <v>749</v>
      </c>
      <c r="C2486" s="21" t="s">
        <v>631</v>
      </c>
      <c r="D2486" s="21" t="s">
        <v>603</v>
      </c>
      <c r="E2486" s="22">
        <f>IF(D2486="?OLD","!!!","")</f>
        <v/>
      </c>
      <c r="F2486" s="23" t="str">
        <f>IF(OR(E2486="",E2486="!!!"),"",IF(NOT(ISNA(VLOOKUP(E2486,E$1:E2485,1,FALSE()))),"OLD",IF(AND(E2486&lt;&gt;"",E2486&lt;&gt;"!!!"),"NEW","")))</f>
        <v> </v>
      </c>
      <c r="G2486" s="24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5" t="str">
        <f>IF(J2486&lt;&gt;1,"",IF(I2486="SBJ","CB","?"))</f>
        <v> </v>
      </c>
      <c r="I2486" s="26" t="str">
        <f>IF(OR(E2486="",E2486="!!!",F2486="NEW"),"",INDEX(B2485:B$2,-1+SUMPRODUCT(MAX(ROW(E2485:E$2)*(E2486=E2485:E$2)))))</f>
        <v> </v>
      </c>
      <c r="J2486" s="26" t="str">
        <f>IF(OR(E2486="",E2486="!!!",F2486="NEW"),"",COUNTBLANK(OFFSET(A$1,,,SUMPRODUCT(MAX(ROW(E$2:E2486)*(E2486=E$2:E2486)))))-COUNTBLANK(OFFSET(A$1,,,SUMPRODUCT(MAX(ROW(E$1:E2485)*(E2=E$1:E2485))))))</f>
        <v> </v>
      </c>
      <c r="K2486" s="26" t="str">
        <f>IF(OR(E2486="",E2486="!!!",F2486="NEW"),"",INDEX(J$1:J2485,SUMPRODUCT(MAX(ROW(E$1:E2485)*(E2486=E$1:E2485)))))</f>
        <v> </v>
      </c>
      <c r="L2486" s="27"/>
    </row>
    <row r="2487" spans="1:12">
      <c r="A2487" s="20" t="s">
        <v>646</v>
      </c>
      <c r="E2487" s="22">
        <f>IF(D2487="?OLD","!!!","")</f>
        <v/>
      </c>
      <c r="F2487" s="23" t="str">
        <f>IF(OR(E2487="",E2487="!!!"),"",IF(NOT(ISNA(VLOOKUP(E2487,E$1:E2486,1,FALSE()))),"OLD",IF(AND(E2487&lt;&gt;"",E2487&lt;&gt;"!!!"),"NEW","")))</f>
        <v> </v>
      </c>
      <c r="G2487" s="24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5" t="str">
        <f>IF(J2487&lt;&gt;1,"",IF(I2487="SBJ","CB","?"))</f>
        <v> </v>
      </c>
      <c r="I2487" s="26" t="str">
        <f>IF(OR(E2487="",E2487="!!!",F2487="NEW"),"",INDEX(B2486:B$2,-1+SUMPRODUCT(MAX(ROW(E2486:E$2)*(E2487=E2486:E$2)))))</f>
        <v> </v>
      </c>
      <c r="J2487" s="26" t="str">
        <f>IF(OR(E2487="",E2487="!!!",F2487="NEW"),"",COUNTBLANK(OFFSET(A$1,,,SUMPRODUCT(MAX(ROW(E$2:E2487)*(E2487=E$2:E2487)))))-COUNTBLANK(OFFSET(A$1,,,SUMPRODUCT(MAX(ROW(E$1:E2486)*(E2=E$1:E2486))))))</f>
        <v> </v>
      </c>
      <c r="K2487" s="26" t="str">
        <f>IF(OR(E2487="",E2487="!!!",F2487="NEW"),"",INDEX(J$1:J2486,SUMPRODUCT(MAX(ROW(E$1:E2486)*(E2487=E$1:E2486)))))</f>
        <v> </v>
      </c>
      <c r="L2487" s="27"/>
    </row>
    <row r="2488" spans="1:12">
      <c r="A2488" s="20" t="s">
        <v>1806</v>
      </c>
      <c r="B2488" s="21" t="s">
        <v>782</v>
      </c>
      <c r="C2488" s="21" t="s">
        <v>631</v>
      </c>
      <c r="D2488" s="21" t="s">
        <v>603</v>
      </c>
      <c r="E2488" s="22">
        <f>IF(D2488="?OLD","!!!","")</f>
        <v/>
      </c>
      <c r="F2488" s="23" t="str">
        <f>IF(OR(E2488="",E2488="!!!"),"",IF(NOT(ISNA(VLOOKUP(E2488,E$1:E2487,1,FALSE()))),"OLD",IF(AND(E2488&lt;&gt;"",E2488&lt;&gt;"!!!"),"NEW","")))</f>
        <v> </v>
      </c>
      <c r="G2488" s="24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5" t="str">
        <f>IF(J2488&lt;&gt;1,"",IF(I2488="SBJ","CB","?"))</f>
        <v> </v>
      </c>
      <c r="I2488" s="26" t="str">
        <f>IF(OR(E2488="",E2488="!!!",F2488="NEW"),"",INDEX(B2487:B$2,-1+SUMPRODUCT(MAX(ROW(E2487:E$2)*(E2488=E2487:E$2)))))</f>
        <v> </v>
      </c>
      <c r="J2488" s="26" t="str">
        <f>IF(OR(E2488="",E2488="!!!",F2488="NEW"),"",COUNTBLANK(OFFSET(A$1,,,SUMPRODUCT(MAX(ROW(E$2:E2488)*(E2488=E$2:E2488)))))-COUNTBLANK(OFFSET(A$1,,,SUMPRODUCT(MAX(ROW(E$1:E2487)*(E2=E$1:E2487))))))</f>
        <v> </v>
      </c>
      <c r="K2488" s="26" t="str">
        <f>IF(OR(E2488="",E2488="!!!",F2488="NEW"),"",INDEX(J$1:J2487,SUMPRODUCT(MAX(ROW(E$1:E2487)*(E2488=E$1:E2487)))))</f>
        <v> </v>
      </c>
      <c r="L2488" s="27"/>
    </row>
    <row r="2489" spans="1:12">
      <c r="A2489" s="20" t="s">
        <v>633</v>
      </c>
      <c r="E2489" s="22">
        <f>IF(D2489="?OLD","!!!","")</f>
        <v/>
      </c>
      <c r="F2489" s="23" t="str">
        <f>IF(OR(E2489="",E2489="!!!"),"",IF(NOT(ISNA(VLOOKUP(E2489,E$1:E2488,1,FALSE()))),"OLD",IF(AND(E2489&lt;&gt;"",E2489&lt;&gt;"!!!"),"NEW","")))</f>
        <v> </v>
      </c>
      <c r="G2489" s="24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5" t="str">
        <f>IF(J2489&lt;&gt;1,"",IF(I2489="SBJ","CB","?"))</f>
        <v> </v>
      </c>
      <c r="I2489" s="26" t="str">
        <f>IF(OR(E2489="",E2489="!!!",F2489="NEW"),"",INDEX(B2488:B$2,-1+SUMPRODUCT(MAX(ROW(E2488:E$2)*(E2489=E2488:E$2)))))</f>
        <v> </v>
      </c>
      <c r="J2489" s="26" t="str">
        <f>IF(OR(E2489="",E2489="!!!",F2489="NEW"),"",COUNTBLANK(OFFSET(A$1,,,SUMPRODUCT(MAX(ROW(E$2:E2489)*(E2489=E$2:E2489)))))-COUNTBLANK(OFFSET(A$1,,,SUMPRODUCT(MAX(ROW(E$1:E2488)*(E2=E$1:E2488))))))</f>
        <v> </v>
      </c>
      <c r="K2489" s="26" t="str">
        <f>IF(OR(E2489="",E2489="!!!",F2489="NEW"),"",INDEX(J$1:J2488,SUMPRODUCT(MAX(ROW(E$1:E2488)*(E2489=E$1:E2488)))))</f>
        <v> </v>
      </c>
      <c r="L2489" s="27"/>
    </row>
    <row r="2490" spans="1:12">
      <c r="A2490" s="20"/>
    </row>
    <row r="2491" spans="1:12">
      <c r="A2491" s="20" t="s">
        <v>1807</v>
      </c>
    </row>
    <row r="2492" spans="1:12">
      <c r="A2492" s="20" t="s">
        <v>1808</v>
      </c>
      <c r="E2492" s="22">
        <f>IF(D2492="?OLD","!!!","")</f>
        <v/>
      </c>
      <c r="F2492" s="23" t="str">
        <f>IF(OR(E2492="",E2492="!!!"),"",IF(NOT(ISNA(VLOOKUP(E2492,E$1:E2491,1,FALSE()))),"OLD",IF(AND(E2492&lt;&gt;"",E2492&lt;&gt;"!!!"),"NEW","")))</f>
        <v> </v>
      </c>
      <c r="G2492" s="24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5" t="str">
        <f>IF(J2492&lt;&gt;1,"",IF(I2492="SBJ","CB","?"))</f>
        <v> </v>
      </c>
      <c r="I2492" s="26" t="str">
        <f>IF(OR(E2492="",E2492="!!!",F2492="NEW"),"",INDEX(B2491:B$2,-1+SUMPRODUCT(MAX(ROW(E2491:E$2)*(E2492=E2491:E$2)))))</f>
        <v> </v>
      </c>
      <c r="J2492" s="26" t="str">
        <f>IF(OR(E2492="",E2492="!!!",F2492="NEW"),"",COUNTBLANK(OFFSET(A$1,,,SUMPRODUCT(MAX(ROW(E$2:E2492)*(E2492=E$2:E2492)))))-COUNTBLANK(OFFSET(A$1,,,SUMPRODUCT(MAX(ROW(E$1:E2491)*(E2=E$1:E2491))))))</f>
        <v> </v>
      </c>
      <c r="K2492" s="26" t="str">
        <f>IF(OR(E2492="",E2492="!!!",F2492="NEW"),"",INDEX(J$1:J2491,SUMPRODUCT(MAX(ROW(E$1:E2491)*(E2492=E$1:E2491)))))</f>
        <v> </v>
      </c>
      <c r="L2492" s="27"/>
    </row>
    <row r="2493" spans="1:12">
      <c r="A2493" s="20" t="s">
        <v>219</v>
      </c>
      <c r="B2493" s="21" t="s">
        <v>652</v>
      </c>
      <c r="C2493" s="21" t="s">
        <v>716</v>
      </c>
      <c r="D2493" s="21" t="s">
        <v>603</v>
      </c>
      <c r="E2493" s="22">
        <f>IF(D2493="?OLD","!!!","")</f>
        <v/>
      </c>
      <c r="F2493" s="23" t="str">
        <f>IF(OR(E2493="",E2493="!!!"),"",IF(NOT(ISNA(VLOOKUP(E2493,E$1:E2492,1,FALSE()))),"OLD",IF(AND(E2493&lt;&gt;"",E2493&lt;&gt;"!!!"),"NEW","")))</f>
        <v> </v>
      </c>
      <c r="G2493" s="24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5" t="str">
        <f>IF(J2493&lt;&gt;1,"",IF(I2493="SBJ","CB","?"))</f>
        <v> </v>
      </c>
      <c r="I2493" s="26" t="str">
        <f>IF(OR(E2493="",E2493="!!!",F2493="NEW"),"",INDEX(B2492:B$2,-1+SUMPRODUCT(MAX(ROW(E2492:E$2)*(E2493=E2492:E$2)))))</f>
        <v> </v>
      </c>
      <c r="J2493" s="26" t="str">
        <f>IF(OR(E2493="",E2493="!!!",F2493="NEW"),"",COUNTBLANK(OFFSET(A$1,,,SUMPRODUCT(MAX(ROW(E$2:E2493)*(E2493=E$2:E2493)))))-COUNTBLANK(OFFSET(A$1,,,SUMPRODUCT(MAX(ROW(E$1:E2492)*(E2=E$1:E2492))))))</f>
        <v> </v>
      </c>
      <c r="K2493" s="26" t="str">
        <f>IF(OR(E2493="",E2493="!!!",F2493="NEW"),"",INDEX(J$1:J2492,SUMPRODUCT(MAX(ROW(E$1:E2492)*(E2493=E$1:E2492)))))</f>
        <v> </v>
      </c>
      <c r="L2493" s="27"/>
    </row>
    <row r="2494" spans="1:12">
      <c r="A2494" s="20" t="s">
        <v>1809</v>
      </c>
      <c r="E2494" s="22">
        <f>IF(D2494="?OLD","!!!","")</f>
        <v/>
      </c>
      <c r="F2494" s="23" t="str">
        <f>IF(OR(E2494="",E2494="!!!"),"",IF(NOT(ISNA(VLOOKUP(E2494,E$1:E2493,1,FALSE()))),"OLD",IF(AND(E2494&lt;&gt;"",E2494&lt;&gt;"!!!"),"NEW","")))</f>
        <v> </v>
      </c>
      <c r="G2494" s="24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5" t="str">
        <f>IF(J2494&lt;&gt;1,"",IF(I2494="SBJ","CB","?"))</f>
        <v> </v>
      </c>
      <c r="I2494" s="26" t="str">
        <f>IF(OR(E2494="",E2494="!!!",F2494="NEW"),"",INDEX(B2493:B$2,-1+SUMPRODUCT(MAX(ROW(E2493:E$2)*(E2494=E2493:E$2)))))</f>
        <v> </v>
      </c>
      <c r="J2494" s="26" t="str">
        <f>IF(OR(E2494="",E2494="!!!",F2494="NEW"),"",COUNTBLANK(OFFSET(A$1,,,SUMPRODUCT(MAX(ROW(E$2:E2494)*(E2494=E$2:E2494)))))-COUNTBLANK(OFFSET(A$1,,,SUMPRODUCT(MAX(ROW(E$1:E2493)*(E2=E$1:E2493))))))</f>
        <v> </v>
      </c>
      <c r="K2494" s="26" t="str">
        <f>IF(OR(E2494="",E2494="!!!",F2494="NEW"),"",INDEX(J$1:J2493,SUMPRODUCT(MAX(ROW(E$1:E2493)*(E2494=E$1:E2493)))))</f>
        <v> </v>
      </c>
      <c r="L2494" s="27"/>
    </row>
    <row r="2495" spans="1:12">
      <c r="A2495" s="20" t="s">
        <v>419</v>
      </c>
      <c r="B2495" s="21" t="s">
        <v>601</v>
      </c>
      <c r="C2495" s="21" t="s">
        <v>602</v>
      </c>
      <c r="D2495" s="21" t="s">
        <v>603</v>
      </c>
      <c r="E2495" s="22">
        <f>IF(D2495="?OLD","!!!","")</f>
        <v/>
      </c>
      <c r="F2495" s="23" t="str">
        <f>IF(OR(E2495="",E2495="!!!"),"",IF(NOT(ISNA(VLOOKUP(E2495,E$1:E2494,1,FALSE()))),"OLD",IF(AND(E2495&lt;&gt;"",E2495&lt;&gt;"!!!"),"NEW","")))</f>
        <v> </v>
      </c>
      <c r="G2495" s="24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5" t="str">
        <f>IF(J2495&lt;&gt;1,"",IF(I2495="SBJ","CB","?"))</f>
        <v> </v>
      </c>
      <c r="I2495" s="26" t="str">
        <f>IF(OR(E2495="",E2495="!!!",F2495="NEW"),"",INDEX(B2494:B$2,-1+SUMPRODUCT(MAX(ROW(E2494:E$2)*(E2495=E2494:E$2)))))</f>
        <v> </v>
      </c>
      <c r="J2495" s="26" t="str">
        <f>IF(OR(E2495="",E2495="!!!",F2495="NEW"),"",COUNTBLANK(OFFSET(A$1,,,SUMPRODUCT(MAX(ROW(E$2:E2495)*(E2495=E$2:E2495)))))-COUNTBLANK(OFFSET(A$1,,,SUMPRODUCT(MAX(ROW(E$1:E2494)*(E2=E$1:E2494))))))</f>
        <v> </v>
      </c>
      <c r="K2495" s="26" t="str">
        <f>IF(OR(E2495="",E2495="!!!",F2495="NEW"),"",INDEX(J$1:J2494,SUMPRODUCT(MAX(ROW(E$1:E2494)*(E2495=E$1:E2494)))))</f>
        <v> </v>
      </c>
      <c r="L2495" s="27"/>
    </row>
    <row r="2496" spans="1:12">
      <c r="A2496" s="20" t="s">
        <v>1810</v>
      </c>
      <c r="E2496" s="22">
        <f>IF(D2496="?OLD","!!!","")</f>
        <v/>
      </c>
      <c r="F2496" s="23" t="str">
        <f>IF(OR(E2496="",E2496="!!!"),"",IF(NOT(ISNA(VLOOKUP(E2496,E$1:E2495,1,FALSE()))),"OLD",IF(AND(E2496&lt;&gt;"",E2496&lt;&gt;"!!!"),"NEW","")))</f>
        <v> </v>
      </c>
      <c r="G2496" s="24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5" t="str">
        <f>IF(J2496&lt;&gt;1,"",IF(I2496="SBJ","CB","?"))</f>
        <v> </v>
      </c>
      <c r="I2496" s="26" t="str">
        <f>IF(OR(E2496="",E2496="!!!",F2496="NEW"),"",INDEX(B2495:B$2,-1+SUMPRODUCT(MAX(ROW(E2495:E$2)*(E2496=E2495:E$2)))))</f>
        <v> </v>
      </c>
      <c r="J2496" s="26" t="str">
        <f>IF(OR(E2496="",E2496="!!!",F2496="NEW"),"",COUNTBLANK(OFFSET(A$1,,,SUMPRODUCT(MAX(ROW(E$2:E2496)*(E2496=E$2:E2496)))))-COUNTBLANK(OFFSET(A$1,,,SUMPRODUCT(MAX(ROW(E$1:E2495)*(E2=E$1:E2495))))))</f>
        <v> </v>
      </c>
      <c r="K2496" s="26" t="str">
        <f>IF(OR(E2496="",E2496="!!!",F2496="NEW"),"",INDEX(J$1:J2495,SUMPRODUCT(MAX(ROW(E$1:E2495)*(E2496=E$1:E2495)))))</f>
        <v> </v>
      </c>
      <c r="L2496" s="27"/>
    </row>
    <row r="2497" spans="1:12">
      <c r="A2497" s="20" t="s">
        <v>1811</v>
      </c>
      <c r="B2497" s="21" t="s">
        <v>601</v>
      </c>
      <c r="E2497" s="22">
        <f>IF(D2497="?OLD","!!!","")</f>
        <v/>
      </c>
      <c r="F2497" s="23" t="str">
        <f>IF(OR(E2497="",E2497="!!!"),"",IF(NOT(ISNA(VLOOKUP(E2497,E$1:E2496,1,FALSE()))),"OLD",IF(AND(E2497&lt;&gt;"",E2497&lt;&gt;"!!!"),"NEW","")))</f>
        <v> </v>
      </c>
      <c r="G2497" s="24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5" t="str">
        <f>IF(J2497&lt;&gt;1,"",IF(I2497="SBJ","CB","?"))</f>
        <v> </v>
      </c>
      <c r="I2497" s="26" t="str">
        <f>IF(OR(E2497="",E2497="!!!",F2497="NEW"),"",INDEX(B2496:B$2,-1+SUMPRODUCT(MAX(ROW(E2496:E$2)*(E2497=E2496:E$2)))))</f>
        <v> </v>
      </c>
      <c r="J2497" s="26" t="str">
        <f>IF(OR(E2497="",E2497="!!!",F2497="NEW"),"",COUNTBLANK(OFFSET(A$1,,,SUMPRODUCT(MAX(ROW(E$2:E2497)*(E2497=E$2:E2497)))))-COUNTBLANK(OFFSET(A$1,,,SUMPRODUCT(MAX(ROW(E$1:E2496)*(E2=E$1:E2496))))))</f>
        <v> </v>
      </c>
      <c r="K2497" s="26" t="str">
        <f>IF(OR(E2497="",E2497="!!!",F2497="NEW"),"",INDEX(J$1:J2496,SUMPRODUCT(MAX(ROW(E$1:E2496)*(E2497=E$1:E2496)))))</f>
        <v> </v>
      </c>
      <c r="L2497" s="27"/>
    </row>
    <row r="2498" spans="1:12">
      <c r="A2498" s="20" t="s">
        <v>1812</v>
      </c>
      <c r="E2498" s="22">
        <f>IF(D2498="?OLD","!!!","")</f>
        <v/>
      </c>
      <c r="F2498" s="23" t="str">
        <f>IF(OR(E2498="",E2498="!!!"),"",IF(NOT(ISNA(VLOOKUP(E2498,E$1:E2497,1,FALSE()))),"OLD",IF(AND(E2498&lt;&gt;"",E2498&lt;&gt;"!!!"),"NEW","")))</f>
        <v> </v>
      </c>
      <c r="G2498" s="24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5" t="str">
        <f>IF(J2498&lt;&gt;1,"",IF(I2498="SBJ","CB","?"))</f>
        <v> </v>
      </c>
      <c r="I2498" s="26" t="str">
        <f>IF(OR(E2498="",E2498="!!!",F2498="NEW"),"",INDEX(B2497:B$2,-1+SUMPRODUCT(MAX(ROW(E2497:E$2)*(E2498=E2497:E$2)))))</f>
        <v> </v>
      </c>
      <c r="J2498" s="26" t="str">
        <f>IF(OR(E2498="",E2498="!!!",F2498="NEW"),"",COUNTBLANK(OFFSET(A$1,,,SUMPRODUCT(MAX(ROW(E$2:E2498)*(E2498=E$2:E2498)))))-COUNTBLANK(OFFSET(A$1,,,SUMPRODUCT(MAX(ROW(E$1:E2497)*(E2=E$1:E2497))))))</f>
        <v> </v>
      </c>
      <c r="K2498" s="26" t="str">
        <f>IF(OR(E2498="",E2498="!!!",F2498="NEW"),"",INDEX(J$1:J2497,SUMPRODUCT(MAX(ROW(E$1:E2497)*(E2498=E$1:E2497)))))</f>
        <v> </v>
      </c>
      <c r="L2498" s="27"/>
    </row>
    <row r="2499" spans="1:12">
      <c r="A2499" s="20" t="s">
        <v>1813</v>
      </c>
      <c r="E2499" s="22">
        <f>IF(D2499="?OLD","!!!","")</f>
        <v/>
      </c>
      <c r="F2499" s="23" t="str">
        <f>IF(OR(E2499="",E2499="!!!"),"",IF(NOT(ISNA(VLOOKUP(E2499,E$1:E2498,1,FALSE()))),"OLD",IF(AND(E2499&lt;&gt;"",E2499&lt;&gt;"!!!"),"NEW","")))</f>
        <v> </v>
      </c>
      <c r="G2499" s="24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5" t="str">
        <f>IF(J2499&lt;&gt;1,"",IF(I2499="SBJ","CB","?"))</f>
        <v> </v>
      </c>
      <c r="I2499" s="26" t="str">
        <f>IF(OR(E2499="",E2499="!!!",F2499="NEW"),"",INDEX(B2498:B$2,-1+SUMPRODUCT(MAX(ROW(E2498:E$2)*(E2499=E2498:E$2)))))</f>
        <v> </v>
      </c>
      <c r="J2499" s="26" t="str">
        <f>IF(OR(E2499="",E2499="!!!",F2499="NEW"),"",COUNTBLANK(OFFSET(A$1,,,SUMPRODUCT(MAX(ROW(E$2:E2499)*(E2499=E$2:E2499)))))-COUNTBLANK(OFFSET(A$1,,,SUMPRODUCT(MAX(ROW(E$1:E2498)*(E2=E$1:E2498))))))</f>
        <v> </v>
      </c>
      <c r="K2499" s="26" t="str">
        <f>IF(OR(E2499="",E2499="!!!",F2499="NEW"),"",INDEX(J$1:J2498,SUMPRODUCT(MAX(ROW(E$1:E2498)*(E2499=E$1:E2498)))))</f>
        <v> </v>
      </c>
      <c r="L2499" s="27"/>
    </row>
    <row r="2500" spans="1:12">
      <c r="A2500" s="20" t="s">
        <v>1814</v>
      </c>
      <c r="E2500" s="22">
        <f>IF(D2500="?OLD","!!!","")</f>
        <v/>
      </c>
      <c r="F2500" s="23" t="str">
        <f>IF(OR(E2500="",E2500="!!!"),"",IF(NOT(ISNA(VLOOKUP(E2500,E$1:E2499,1,FALSE()))),"OLD",IF(AND(E2500&lt;&gt;"",E2500&lt;&gt;"!!!"),"NEW","")))</f>
        <v> </v>
      </c>
      <c r="G2500" s="24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5" t="str">
        <f>IF(J2500&lt;&gt;1,"",IF(I2500="SBJ","CB","?"))</f>
        <v> </v>
      </c>
      <c r="I2500" s="26" t="str">
        <f>IF(OR(E2500="",E2500="!!!",F2500="NEW"),"",INDEX(B2499:B$2,-1+SUMPRODUCT(MAX(ROW(E2499:E$2)*(E2500=E2499:E$2)))))</f>
        <v> </v>
      </c>
      <c r="J2500" s="26" t="str">
        <f>IF(OR(E2500="",E2500="!!!",F2500="NEW"),"",COUNTBLANK(OFFSET(A$1,,,SUMPRODUCT(MAX(ROW(E$2:E2500)*(E2500=E$2:E2500)))))-COUNTBLANK(OFFSET(A$1,,,SUMPRODUCT(MAX(ROW(E$1:E2499)*(E2=E$1:E2499))))))</f>
        <v> </v>
      </c>
      <c r="K2500" s="26" t="str">
        <f>IF(OR(E2500="",E2500="!!!",F2500="NEW"),"",INDEX(J$1:J2499,SUMPRODUCT(MAX(ROW(E$1:E2499)*(E2500=E$1:E2499)))))</f>
        <v> </v>
      </c>
      <c r="L2500" s="27"/>
    </row>
    <row r="2501" spans="1:12">
      <c r="A2501" s="20" t="s">
        <v>1815</v>
      </c>
      <c r="E2501" s="22">
        <f>IF(D2501="?OLD","!!!","")</f>
        <v/>
      </c>
      <c r="F2501" s="23" t="str">
        <f>IF(OR(E2501="",E2501="!!!"),"",IF(NOT(ISNA(VLOOKUP(E2501,E$1:E2500,1,FALSE()))),"OLD",IF(AND(E2501&lt;&gt;"",E2501&lt;&gt;"!!!"),"NEW","")))</f>
        <v> </v>
      </c>
      <c r="G2501" s="24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5" t="str">
        <f>IF(J2501&lt;&gt;1,"",IF(I2501="SBJ","CB","?"))</f>
        <v> </v>
      </c>
      <c r="I2501" s="26" t="str">
        <f>IF(OR(E2501="",E2501="!!!",F2501="NEW"),"",INDEX(B2500:B$2,-1+SUMPRODUCT(MAX(ROW(E2500:E$2)*(E2501=E2500:E$2)))))</f>
        <v> </v>
      </c>
      <c r="J2501" s="26" t="str">
        <f>IF(OR(E2501="",E2501="!!!",F2501="NEW"),"",COUNTBLANK(OFFSET(A$1,,,SUMPRODUCT(MAX(ROW(E$2:E2501)*(E2501=E$2:E2501)))))-COUNTBLANK(OFFSET(A$1,,,SUMPRODUCT(MAX(ROW(E$1:E2500)*(E2=E$1:E2500))))))</f>
        <v> </v>
      </c>
      <c r="K2501" s="26" t="str">
        <f>IF(OR(E2501="",E2501="!!!",F2501="NEW"),"",INDEX(J$1:J2500,SUMPRODUCT(MAX(ROW(E$1:E2500)*(E2501=E$1:E2500)))))</f>
        <v> </v>
      </c>
      <c r="L2501" s="27"/>
    </row>
    <row r="2502" spans="1:12">
      <c r="A2502" s="20" t="s">
        <v>611</v>
      </c>
      <c r="E2502" s="22">
        <f>IF(D2502="?OLD","!!!","")</f>
        <v/>
      </c>
      <c r="F2502" s="23" t="str">
        <f>IF(OR(E2502="",E2502="!!!"),"",IF(NOT(ISNA(VLOOKUP(E2502,E$1:E2501,1,FALSE()))),"OLD",IF(AND(E2502&lt;&gt;"",E2502&lt;&gt;"!!!"),"NEW","")))</f>
        <v> </v>
      </c>
      <c r="G2502" s="24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5" t="str">
        <f>IF(J2502&lt;&gt;1,"",IF(I2502="SBJ","CB","?"))</f>
        <v> </v>
      </c>
      <c r="I2502" s="26" t="str">
        <f>IF(OR(E2502="",E2502="!!!",F2502="NEW"),"",INDEX(B2501:B$2,-1+SUMPRODUCT(MAX(ROW(E2501:E$2)*(E2502=E2501:E$2)))))</f>
        <v> </v>
      </c>
      <c r="J2502" s="26" t="str">
        <f>IF(OR(E2502="",E2502="!!!",F2502="NEW"),"",COUNTBLANK(OFFSET(A$1,,,SUMPRODUCT(MAX(ROW(E$2:E2502)*(E2502=E$2:E2502)))))-COUNTBLANK(OFFSET(A$1,,,SUMPRODUCT(MAX(ROW(E$1:E2501)*(E2=E$1:E2501))))))</f>
        <v> </v>
      </c>
      <c r="K2502" s="26" t="str">
        <f>IF(OR(E2502="",E2502="!!!",F2502="NEW"),"",INDEX(J$1:J2501,SUMPRODUCT(MAX(ROW(E$1:E2501)*(E2502=E$1:E2501)))))</f>
        <v> </v>
      </c>
      <c r="L2502" s="27"/>
    </row>
    <row r="2503" spans="1:12">
      <c r="A2503" s="20" t="s">
        <v>267</v>
      </c>
      <c r="E2503" s="22">
        <f>IF(D2503="?OLD","!!!","")</f>
        <v/>
      </c>
      <c r="F2503" s="23" t="str">
        <f>IF(OR(E2503="",E2503="!!!"),"",IF(NOT(ISNA(VLOOKUP(E2503,E$1:E2502,1,FALSE()))),"OLD",IF(AND(E2503&lt;&gt;"",E2503&lt;&gt;"!!!"),"NEW","")))</f>
        <v> </v>
      </c>
      <c r="G2503" s="24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5" t="str">
        <f>IF(J2503&lt;&gt;1,"",IF(I2503="SBJ","CB","?"))</f>
        <v> </v>
      </c>
      <c r="I2503" s="26" t="str">
        <f>IF(OR(E2503="",E2503="!!!",F2503="NEW"),"",INDEX(B2502:B$2,-1+SUMPRODUCT(MAX(ROW(E2502:E$2)*(E2503=E2502:E$2)))))</f>
        <v> </v>
      </c>
      <c r="J2503" s="26" t="str">
        <f>IF(OR(E2503="",E2503="!!!",F2503="NEW"),"",COUNTBLANK(OFFSET(A$1,,,SUMPRODUCT(MAX(ROW(E$2:E2503)*(E2503=E$2:E2503)))))-COUNTBLANK(OFFSET(A$1,,,SUMPRODUCT(MAX(ROW(E$1:E2502)*(E2=E$1:E2502))))))</f>
        <v> </v>
      </c>
      <c r="K2503" s="26" t="str">
        <f>IF(OR(E2503="",E2503="!!!",F2503="NEW"),"",INDEX(J$1:J2502,SUMPRODUCT(MAX(ROW(E$1:E2502)*(E2503=E$1:E2502)))))</f>
        <v> </v>
      </c>
      <c r="L2503" s="27"/>
    </row>
    <row r="2504" spans="1:12">
      <c r="A2504" s="20" t="s">
        <v>923</v>
      </c>
      <c r="E2504" s="22">
        <f>IF(D2504="?OLD","!!!","")</f>
        <v/>
      </c>
      <c r="F2504" s="23" t="str">
        <f>IF(OR(E2504="",E2504="!!!"),"",IF(NOT(ISNA(VLOOKUP(E2504,E$1:E2503,1,FALSE()))),"OLD",IF(AND(E2504&lt;&gt;"",E2504&lt;&gt;"!!!"),"NEW","")))</f>
        <v> </v>
      </c>
      <c r="G2504" s="24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5" t="str">
        <f>IF(J2504&lt;&gt;1,"",IF(I2504="SBJ","CB","?"))</f>
        <v> </v>
      </c>
      <c r="I2504" s="26" t="str">
        <f>IF(OR(E2504="",E2504="!!!",F2504="NEW"),"",INDEX(B2503:B$2,-1+SUMPRODUCT(MAX(ROW(E2503:E$2)*(E2504=E2503:E$2)))))</f>
        <v> </v>
      </c>
      <c r="J2504" s="26" t="str">
        <f>IF(OR(E2504="",E2504="!!!",F2504="NEW"),"",COUNTBLANK(OFFSET(A$1,,,SUMPRODUCT(MAX(ROW(E$2:E2504)*(E2504=E$2:E2504)))))-COUNTBLANK(OFFSET(A$1,,,SUMPRODUCT(MAX(ROW(E$1:E2503)*(E2=E$1:E2503))))))</f>
        <v> </v>
      </c>
      <c r="K2504" s="26" t="str">
        <f>IF(OR(E2504="",E2504="!!!",F2504="NEW"),"",INDEX(J$1:J2503,SUMPRODUCT(MAX(ROW(E$1:E2503)*(E2504=E$1:E2503)))))</f>
        <v> </v>
      </c>
      <c r="L2504" s="27"/>
    </row>
    <row r="2505" spans="1:12">
      <c r="A2505" s="20" t="s">
        <v>1816</v>
      </c>
      <c r="E2505" s="22">
        <f>IF(D2505="?OLD","!!!","")</f>
        <v/>
      </c>
      <c r="F2505" s="23" t="str">
        <f>IF(OR(E2505="",E2505="!!!"),"",IF(NOT(ISNA(VLOOKUP(E2505,E$1:E2504,1,FALSE()))),"OLD",IF(AND(E2505&lt;&gt;"",E2505&lt;&gt;"!!!"),"NEW","")))</f>
        <v> </v>
      </c>
      <c r="G2505" s="24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5" t="str">
        <f>IF(J2505&lt;&gt;1,"",IF(I2505="SBJ","CB","?"))</f>
        <v> </v>
      </c>
      <c r="I2505" s="26" t="str">
        <f>IF(OR(E2505="",E2505="!!!",F2505="NEW"),"",INDEX(B2504:B$2,-1+SUMPRODUCT(MAX(ROW(E2504:E$2)*(E2505=E2504:E$2)))))</f>
        <v> </v>
      </c>
      <c r="J2505" s="26" t="str">
        <f>IF(OR(E2505="",E2505="!!!",F2505="NEW"),"",COUNTBLANK(OFFSET(A$1,,,SUMPRODUCT(MAX(ROW(E$2:E2505)*(E2505=E$2:E2505)))))-COUNTBLANK(OFFSET(A$1,,,SUMPRODUCT(MAX(ROW(E$1:E2504)*(E2=E$1:E2504))))))</f>
        <v> </v>
      </c>
      <c r="K2505" s="26" t="str">
        <f>IF(OR(E2505="",E2505="!!!",F2505="NEW"),"",INDEX(J$1:J2504,SUMPRODUCT(MAX(ROW(E$1:E2504)*(E2505=E$1:E2504)))))</f>
        <v> </v>
      </c>
      <c r="L2505" s="27"/>
    </row>
    <row r="2506" spans="1:12">
      <c r="A2506" s="20" t="s">
        <v>633</v>
      </c>
      <c r="E2506" s="22">
        <f>IF(D2506="?OLD","!!!","")</f>
        <v/>
      </c>
      <c r="F2506" s="23" t="str">
        <f>IF(OR(E2506="",E2506="!!!"),"",IF(NOT(ISNA(VLOOKUP(E2506,E$1:E2505,1,FALSE()))),"OLD",IF(AND(E2506&lt;&gt;"",E2506&lt;&gt;"!!!"),"NEW","")))</f>
        <v> </v>
      </c>
      <c r="G2506" s="24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5" t="str">
        <f>IF(J2506&lt;&gt;1,"",IF(I2506="SBJ","CB","?"))</f>
        <v> </v>
      </c>
      <c r="I2506" s="26" t="str">
        <f>IF(OR(E2506="",E2506="!!!",F2506="NEW"),"",INDEX(B2505:B$2,-1+SUMPRODUCT(MAX(ROW(E2505:E$2)*(E2506=E2505:E$2)))))</f>
        <v> </v>
      </c>
      <c r="J2506" s="26" t="str">
        <f>IF(OR(E2506="",E2506="!!!",F2506="NEW"),"",COUNTBLANK(OFFSET(A$1,,,SUMPRODUCT(MAX(ROW(E$2:E2506)*(E2506=E$2:E2506)))))-COUNTBLANK(OFFSET(A$1,,,SUMPRODUCT(MAX(ROW(E$1:E2505)*(E2=E$1:E2505))))))</f>
        <v> </v>
      </c>
      <c r="K2506" s="26" t="str">
        <f>IF(OR(E2506="",E2506="!!!",F2506="NEW"),"",INDEX(J$1:J2505,SUMPRODUCT(MAX(ROW(E$1:E2505)*(E2506=E$1:E2505)))))</f>
        <v> </v>
      </c>
      <c r="L2506" s="27"/>
    </row>
    <row r="2507" spans="1:12">
      <c r="A2507" s="20"/>
    </row>
    <row r="2508" spans="1:12">
      <c r="A2508" s="20" t="s">
        <v>1817</v>
      </c>
    </row>
    <row r="2509" spans="1:12">
      <c r="A2509" s="20" t="s">
        <v>1818</v>
      </c>
      <c r="E2509" s="22">
        <f>IF(D2509="?OLD","!!!","")</f>
        <v/>
      </c>
      <c r="F2509" s="23" t="str">
        <f>IF(OR(E2509="",E2509="!!!"),"",IF(NOT(ISNA(VLOOKUP(E2509,E$1:E2508,1,FALSE()))),"OLD",IF(AND(E2509&lt;&gt;"",E2509&lt;&gt;"!!!"),"NEW","")))</f>
        <v> </v>
      </c>
      <c r="G2509" s="24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5" t="str">
        <f>IF(J2509&lt;&gt;1,"",IF(I2509="SBJ","CB","?"))</f>
        <v> </v>
      </c>
      <c r="I2509" s="26" t="str">
        <f>IF(OR(E2509="",E2509="!!!",F2509="NEW"),"",INDEX(B2508:B$2,-1+SUMPRODUCT(MAX(ROW(E2508:E$2)*(E2509=E2508:E$2)))))</f>
        <v> </v>
      </c>
      <c r="J2509" s="26" t="str">
        <f>IF(OR(E2509="",E2509="!!!",F2509="NEW"),"",COUNTBLANK(OFFSET(A$1,,,SUMPRODUCT(MAX(ROW(E$2:E2509)*(E2509=E$2:E2509)))))-COUNTBLANK(OFFSET(A$1,,,SUMPRODUCT(MAX(ROW(E$1:E2508)*(E2=E$1:E2508))))))</f>
        <v> </v>
      </c>
      <c r="K2509" s="26" t="str">
        <f>IF(OR(E2509="",E2509="!!!",F2509="NEW"),"",INDEX(J$1:J2508,SUMPRODUCT(MAX(ROW(E$1:E2508)*(E2509=E$1:E2508)))))</f>
        <v> </v>
      </c>
      <c r="L2509" s="27"/>
    </row>
    <row r="2510" spans="1:12">
      <c r="A2510" s="20" t="s">
        <v>1819</v>
      </c>
      <c r="E2510" s="22">
        <f>IF(D2510="?OLD","!!!","")</f>
        <v/>
      </c>
      <c r="F2510" s="23" t="str">
        <f>IF(OR(E2510="",E2510="!!!"),"",IF(NOT(ISNA(VLOOKUP(E2510,E$1:E2509,1,FALSE()))),"OLD",IF(AND(E2510&lt;&gt;"",E2510&lt;&gt;"!!!"),"NEW","")))</f>
        <v> </v>
      </c>
      <c r="G2510" s="24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5" t="str">
        <f>IF(J2510&lt;&gt;1,"",IF(I2510="SBJ","CB","?"))</f>
        <v> </v>
      </c>
      <c r="I2510" s="26" t="str">
        <f>IF(OR(E2510="",E2510="!!!",F2510="NEW"),"",INDEX(B2509:B$2,-1+SUMPRODUCT(MAX(ROW(E2509:E$2)*(E2510=E2509:E$2)))))</f>
        <v> </v>
      </c>
      <c r="J2510" s="26" t="str">
        <f>IF(OR(E2510="",E2510="!!!",F2510="NEW"),"",COUNTBLANK(OFFSET(A$1,,,SUMPRODUCT(MAX(ROW(E$2:E2510)*(E2510=E$2:E2510)))))-COUNTBLANK(OFFSET(A$1,,,SUMPRODUCT(MAX(ROW(E$1:E2509)*(E2=E$1:E2509))))))</f>
        <v> </v>
      </c>
      <c r="K2510" s="26" t="str">
        <f>IF(OR(E2510="",E2510="!!!",F2510="NEW"),"",INDEX(J$1:J2509,SUMPRODUCT(MAX(ROW(E$1:E2509)*(E2510=E$1:E2509)))))</f>
        <v> </v>
      </c>
      <c r="L2510" s="27"/>
    </row>
    <row r="2511" spans="1:12">
      <c r="A2511" s="20" t="s">
        <v>1820</v>
      </c>
      <c r="E2511" s="22">
        <f>IF(D2511="?OLD","!!!","")</f>
        <v/>
      </c>
      <c r="F2511" s="23" t="str">
        <f>IF(OR(E2511="",E2511="!!!"),"",IF(NOT(ISNA(VLOOKUP(E2511,E$1:E2510,1,FALSE()))),"OLD",IF(AND(E2511&lt;&gt;"",E2511&lt;&gt;"!!!"),"NEW","")))</f>
        <v> </v>
      </c>
      <c r="G2511" s="24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5" t="str">
        <f>IF(J2511&lt;&gt;1,"",IF(I2511="SBJ","CB","?"))</f>
        <v> </v>
      </c>
      <c r="I2511" s="26" t="str">
        <f>IF(OR(E2511="",E2511="!!!",F2511="NEW"),"",INDEX(B2510:B$2,-1+SUMPRODUCT(MAX(ROW(E2510:E$2)*(E2511=E2510:E$2)))))</f>
        <v> </v>
      </c>
      <c r="J2511" s="26" t="str">
        <f>IF(OR(E2511="",E2511="!!!",F2511="NEW"),"",COUNTBLANK(OFFSET(A$1,,,SUMPRODUCT(MAX(ROW(E$2:E2511)*(E2511=E$2:E2511)))))-COUNTBLANK(OFFSET(A$1,,,SUMPRODUCT(MAX(ROW(E$1:E2510)*(E2=E$1:E2510))))))</f>
        <v> </v>
      </c>
      <c r="K2511" s="26" t="str">
        <f>IF(OR(E2511="",E2511="!!!",F2511="NEW"),"",INDEX(J$1:J2510,SUMPRODUCT(MAX(ROW(E$1:E2510)*(E2511=E$1:E2510)))))</f>
        <v> </v>
      </c>
      <c r="L2511" s="27"/>
    </row>
    <row r="2512" spans="1:12">
      <c r="A2512" s="20" t="s">
        <v>646</v>
      </c>
      <c r="E2512" s="22">
        <f>IF(D2512="?OLD","!!!","")</f>
        <v/>
      </c>
      <c r="F2512" s="23" t="str">
        <f>IF(OR(E2512="",E2512="!!!"),"",IF(NOT(ISNA(VLOOKUP(E2512,E$1:E2511,1,FALSE()))),"OLD",IF(AND(E2512&lt;&gt;"",E2512&lt;&gt;"!!!"),"NEW","")))</f>
        <v> </v>
      </c>
      <c r="G2512" s="24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5" t="str">
        <f>IF(J2512&lt;&gt;1,"",IF(I2512="SBJ","CB","?"))</f>
        <v> </v>
      </c>
      <c r="I2512" s="26" t="str">
        <f>IF(OR(E2512="",E2512="!!!",F2512="NEW"),"",INDEX(B2511:B$2,-1+SUMPRODUCT(MAX(ROW(E2511:E$2)*(E2512=E2511:E$2)))))</f>
        <v> </v>
      </c>
      <c r="J2512" s="26" t="str">
        <f>IF(OR(E2512="",E2512="!!!",F2512="NEW"),"",COUNTBLANK(OFFSET(A$1,,,SUMPRODUCT(MAX(ROW(E$2:E2512)*(E2512=E$2:E2512)))))-COUNTBLANK(OFFSET(A$1,,,SUMPRODUCT(MAX(ROW(E$1:E2511)*(E2=E$1:E2511))))))</f>
        <v> </v>
      </c>
      <c r="K2512" s="26" t="str">
        <f>IF(OR(E2512="",E2512="!!!",F2512="NEW"),"",INDEX(J$1:J2511,SUMPRODUCT(MAX(ROW(E$1:E2511)*(E2512=E$1:E2511)))))</f>
        <v> </v>
      </c>
      <c r="L2512" s="27"/>
    </row>
    <row r="2513" spans="1:12">
      <c r="A2513" s="20" t="s">
        <v>922</v>
      </c>
      <c r="B2513" s="21" t="s">
        <v>609</v>
      </c>
      <c r="C2513" s="21" t="s">
        <v>733</v>
      </c>
      <c r="D2513" s="21" t="s">
        <v>603</v>
      </c>
      <c r="E2513" s="22">
        <f>IF(D2513="?OLD","!!!","")</f>
        <v/>
      </c>
      <c r="F2513" s="23" t="str">
        <f>IF(OR(E2513="",E2513="!!!"),"",IF(NOT(ISNA(VLOOKUP(E2513,E$1:E2512,1,FALSE()))),"OLD",IF(AND(E2513&lt;&gt;"",E2513&lt;&gt;"!!!"),"NEW","")))</f>
        <v> </v>
      </c>
      <c r="G2513" s="24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5" t="str">
        <f>IF(J2513&lt;&gt;1,"",IF(I2513="SBJ","CB","?"))</f>
        <v> </v>
      </c>
      <c r="I2513" s="26" t="str">
        <f>IF(OR(E2513="",E2513="!!!",F2513="NEW"),"",INDEX(B2512:B$2,-1+SUMPRODUCT(MAX(ROW(E2512:E$2)*(E2513=E2512:E$2)))))</f>
        <v> </v>
      </c>
      <c r="J2513" s="26" t="str">
        <f>IF(OR(E2513="",E2513="!!!",F2513="NEW"),"",COUNTBLANK(OFFSET(A$1,,,SUMPRODUCT(MAX(ROW(E$2:E2513)*(E2513=E$2:E2513)))))-COUNTBLANK(OFFSET(A$1,,,SUMPRODUCT(MAX(ROW(E$1:E2512)*(E2=E$1:E2512))))))</f>
        <v> </v>
      </c>
      <c r="K2513" s="26" t="str">
        <f>IF(OR(E2513="",E2513="!!!",F2513="NEW"),"",INDEX(J$1:J2512,SUMPRODUCT(MAX(ROW(E$1:E2512)*(E2513=E$1:E2512)))))</f>
        <v> </v>
      </c>
      <c r="L2513" s="27"/>
    </row>
    <row r="2514" spans="1:12">
      <c r="A2514" s="20" t="s">
        <v>1103</v>
      </c>
      <c r="E2514" s="22">
        <f>IF(D2514="?OLD","!!!","")</f>
        <v/>
      </c>
      <c r="F2514" s="23" t="str">
        <f>IF(OR(E2514="",E2514="!!!"),"",IF(NOT(ISNA(VLOOKUP(E2514,E$1:E2513,1,FALSE()))),"OLD",IF(AND(E2514&lt;&gt;"",E2514&lt;&gt;"!!!"),"NEW","")))</f>
        <v> </v>
      </c>
      <c r="G2514" s="24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5" t="str">
        <f>IF(J2514&lt;&gt;1,"",IF(I2514="SBJ","CB","?"))</f>
        <v> </v>
      </c>
      <c r="I2514" s="26" t="str">
        <f>IF(OR(E2514="",E2514="!!!",F2514="NEW"),"",INDEX(B2513:B$2,-1+SUMPRODUCT(MAX(ROW(E2513:E$2)*(E2514=E2513:E$2)))))</f>
        <v> </v>
      </c>
      <c r="J2514" s="26" t="str">
        <f>IF(OR(E2514="",E2514="!!!",F2514="NEW"),"",COUNTBLANK(OFFSET(A$1,,,SUMPRODUCT(MAX(ROW(E$2:E2514)*(E2514=E$2:E2514)))))-COUNTBLANK(OFFSET(A$1,,,SUMPRODUCT(MAX(ROW(E$1:E2513)*(E2=E$1:E2513))))))</f>
        <v> </v>
      </c>
      <c r="K2514" s="26" t="str">
        <f>IF(OR(E2514="",E2514="!!!",F2514="NEW"),"",INDEX(J$1:J2513,SUMPRODUCT(MAX(ROW(E$1:E2513)*(E2514=E$1:E2513)))))</f>
        <v> </v>
      </c>
      <c r="L2514" s="27"/>
    </row>
    <row r="2515" spans="1:12">
      <c r="A2515" s="20" t="s">
        <v>883</v>
      </c>
      <c r="E2515" s="22">
        <f>IF(D2515="?OLD","!!!","")</f>
        <v/>
      </c>
      <c r="F2515" s="23" t="str">
        <f>IF(OR(E2515="",E2515="!!!"),"",IF(NOT(ISNA(VLOOKUP(E2515,E$1:E2514,1,FALSE()))),"OLD",IF(AND(E2515&lt;&gt;"",E2515&lt;&gt;"!!!"),"NEW","")))</f>
        <v> </v>
      </c>
      <c r="G2515" s="24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5" t="str">
        <f>IF(J2515&lt;&gt;1,"",IF(I2515="SBJ","CB","?"))</f>
        <v> </v>
      </c>
      <c r="I2515" s="26" t="str">
        <f>IF(OR(E2515="",E2515="!!!",F2515="NEW"),"",INDEX(B2514:B$2,-1+SUMPRODUCT(MAX(ROW(E2514:E$2)*(E2515=E2514:E$2)))))</f>
        <v> </v>
      </c>
      <c r="J2515" s="26" t="str">
        <f>IF(OR(E2515="",E2515="!!!",F2515="NEW"),"",COUNTBLANK(OFFSET(A$1,,,SUMPRODUCT(MAX(ROW(E$2:E2515)*(E2515=E$2:E2515)))))-COUNTBLANK(OFFSET(A$1,,,SUMPRODUCT(MAX(ROW(E$1:E2514)*(E2=E$1:E2514))))))</f>
        <v> </v>
      </c>
      <c r="K2515" s="26" t="str">
        <f>IF(OR(E2515="",E2515="!!!",F2515="NEW"),"",INDEX(J$1:J2514,SUMPRODUCT(MAX(ROW(E$1:E2514)*(E2515=E$1:E2514)))))</f>
        <v> </v>
      </c>
      <c r="L2515" s="27"/>
    </row>
    <row r="2516" spans="1:12">
      <c r="A2516" s="20" t="s">
        <v>1821</v>
      </c>
      <c r="E2516" s="22">
        <f>IF(D2516="?OLD","!!!","")</f>
        <v/>
      </c>
      <c r="F2516" s="23" t="str">
        <f>IF(OR(E2516="",E2516="!!!"),"",IF(NOT(ISNA(VLOOKUP(E2516,E$1:E2515,1,FALSE()))),"OLD",IF(AND(E2516&lt;&gt;"",E2516&lt;&gt;"!!!"),"NEW","")))</f>
        <v> </v>
      </c>
      <c r="G2516" s="24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5" t="str">
        <f>IF(J2516&lt;&gt;1,"",IF(I2516="SBJ","CB","?"))</f>
        <v> </v>
      </c>
      <c r="I2516" s="26" t="str">
        <f>IF(OR(E2516="",E2516="!!!",F2516="NEW"),"",INDEX(B2515:B$2,-1+SUMPRODUCT(MAX(ROW(E2515:E$2)*(E2516=E2515:E$2)))))</f>
        <v> </v>
      </c>
      <c r="J2516" s="26" t="str">
        <f>IF(OR(E2516="",E2516="!!!",F2516="NEW"),"",COUNTBLANK(OFFSET(A$1,,,SUMPRODUCT(MAX(ROW(E$2:E2516)*(E2516=E$2:E2516)))))-COUNTBLANK(OFFSET(A$1,,,SUMPRODUCT(MAX(ROW(E$1:E2515)*(E2=E$1:E2515))))))</f>
        <v> </v>
      </c>
      <c r="K2516" s="26" t="str">
        <f>IF(OR(E2516="",E2516="!!!",F2516="NEW"),"",INDEX(J$1:J2515,SUMPRODUCT(MAX(ROW(E$1:E2515)*(E2516=E$1:E2515)))))</f>
        <v> </v>
      </c>
      <c r="L2516" s="27"/>
    </row>
    <row r="2517" spans="1:12">
      <c r="A2517" s="20" t="s">
        <v>663</v>
      </c>
      <c r="E2517" s="22">
        <f>IF(D2517="?OLD","!!!","")</f>
        <v/>
      </c>
      <c r="F2517" s="23" t="str">
        <f>IF(OR(E2517="",E2517="!!!"),"",IF(NOT(ISNA(VLOOKUP(E2517,E$1:E2516,1,FALSE()))),"OLD",IF(AND(E2517&lt;&gt;"",E2517&lt;&gt;"!!!"),"NEW","")))</f>
        <v> </v>
      </c>
      <c r="G2517" s="24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5" t="str">
        <f>IF(J2517&lt;&gt;1,"",IF(I2517="SBJ","CB","?"))</f>
        <v> </v>
      </c>
      <c r="I2517" s="26" t="str">
        <f>IF(OR(E2517="",E2517="!!!",F2517="NEW"),"",INDEX(B2516:B$2,-1+SUMPRODUCT(MAX(ROW(E2516:E$2)*(E2517=E2516:E$2)))))</f>
        <v> </v>
      </c>
      <c r="J2517" s="26" t="str">
        <f>IF(OR(E2517="",E2517="!!!",F2517="NEW"),"",COUNTBLANK(OFFSET(A$1,,,SUMPRODUCT(MAX(ROW(E$2:E2517)*(E2517=E$2:E2517)))))-COUNTBLANK(OFFSET(A$1,,,SUMPRODUCT(MAX(ROW(E$1:E2516)*(E2=E$1:E2516))))))</f>
        <v> </v>
      </c>
      <c r="K2517" s="26" t="str">
        <f>IF(OR(E2517="",E2517="!!!",F2517="NEW"),"",INDEX(J$1:J2516,SUMPRODUCT(MAX(ROW(E$1:E2516)*(E2517=E$1:E2516)))))</f>
        <v> </v>
      </c>
      <c r="L2517" s="27"/>
    </row>
    <row r="2518" spans="1:12">
      <c r="A2518" s="20" t="s">
        <v>866</v>
      </c>
      <c r="E2518" s="22">
        <f>IF(D2518="?OLD","!!!","")</f>
        <v/>
      </c>
      <c r="F2518" s="23" t="str">
        <f>IF(OR(E2518="",E2518="!!!"),"",IF(NOT(ISNA(VLOOKUP(E2518,E$1:E2517,1,FALSE()))),"OLD",IF(AND(E2518&lt;&gt;"",E2518&lt;&gt;"!!!"),"NEW","")))</f>
        <v> </v>
      </c>
      <c r="G2518" s="24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5" t="str">
        <f>IF(J2518&lt;&gt;1,"",IF(I2518="SBJ","CB","?"))</f>
        <v> </v>
      </c>
      <c r="I2518" s="26" t="str">
        <f>IF(OR(E2518="",E2518="!!!",F2518="NEW"),"",INDEX(B2517:B$2,-1+SUMPRODUCT(MAX(ROW(E2517:E$2)*(E2518=E2517:E$2)))))</f>
        <v> </v>
      </c>
      <c r="J2518" s="26" t="str">
        <f>IF(OR(E2518="",E2518="!!!",F2518="NEW"),"",COUNTBLANK(OFFSET(A$1,,,SUMPRODUCT(MAX(ROW(E$2:E2518)*(E2518=E$2:E2518)))))-COUNTBLANK(OFFSET(A$1,,,SUMPRODUCT(MAX(ROW(E$1:E2517)*(E2=E$1:E2517))))))</f>
        <v> </v>
      </c>
      <c r="K2518" s="26" t="str">
        <f>IF(OR(E2518="",E2518="!!!",F2518="NEW"),"",INDEX(J$1:J2517,SUMPRODUCT(MAX(ROW(E$1:E2517)*(E2518=E$1:E2517)))))</f>
        <v> </v>
      </c>
      <c r="L2518" s="27"/>
    </row>
    <row r="2519" spans="1:12">
      <c r="A2519" s="20" t="s">
        <v>664</v>
      </c>
      <c r="E2519" s="22">
        <f>IF(D2519="?OLD","!!!","")</f>
        <v/>
      </c>
      <c r="F2519" s="23" t="str">
        <f>IF(OR(E2519="",E2519="!!!"),"",IF(NOT(ISNA(VLOOKUP(E2519,E$1:E2518,1,FALSE()))),"OLD",IF(AND(E2519&lt;&gt;"",E2519&lt;&gt;"!!!"),"NEW","")))</f>
        <v> </v>
      </c>
      <c r="G2519" s="24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5" t="str">
        <f>IF(J2519&lt;&gt;1,"",IF(I2519="SBJ","CB","?"))</f>
        <v> </v>
      </c>
      <c r="I2519" s="26" t="str">
        <f>IF(OR(E2519="",E2519="!!!",F2519="NEW"),"",INDEX(B2518:B$2,-1+SUMPRODUCT(MAX(ROW(E2518:E$2)*(E2519=E2518:E$2)))))</f>
        <v> </v>
      </c>
      <c r="J2519" s="26" t="str">
        <f>IF(OR(E2519="",E2519="!!!",F2519="NEW"),"",COUNTBLANK(OFFSET(A$1,,,SUMPRODUCT(MAX(ROW(E$2:E2519)*(E2519=E$2:E2519)))))-COUNTBLANK(OFFSET(A$1,,,SUMPRODUCT(MAX(ROW(E$1:E2518)*(E2=E$1:E2518))))))</f>
        <v> </v>
      </c>
      <c r="K2519" s="26" t="str">
        <f>IF(OR(E2519="",E2519="!!!",F2519="NEW"),"",INDEX(J$1:J2518,SUMPRODUCT(MAX(ROW(E$1:E2518)*(E2519=E$1:E2518)))))</f>
        <v> </v>
      </c>
      <c r="L2519" s="27"/>
    </row>
    <row r="2520" spans="1:12">
      <c r="A2520" s="20" t="s">
        <v>662</v>
      </c>
      <c r="E2520" s="22">
        <f>IF(D2520="?OLD","!!!","")</f>
        <v/>
      </c>
      <c r="F2520" s="23" t="str">
        <f>IF(OR(E2520="",E2520="!!!"),"",IF(NOT(ISNA(VLOOKUP(E2520,E$1:E2519,1,FALSE()))),"OLD",IF(AND(E2520&lt;&gt;"",E2520&lt;&gt;"!!!"),"NEW","")))</f>
        <v> </v>
      </c>
      <c r="G2520" s="24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5" t="str">
        <f>IF(J2520&lt;&gt;1,"",IF(I2520="SBJ","CB","?"))</f>
        <v> </v>
      </c>
      <c r="I2520" s="26" t="str">
        <f>IF(OR(E2520="",E2520="!!!",F2520="NEW"),"",INDEX(B2519:B$2,-1+SUMPRODUCT(MAX(ROW(E2519:E$2)*(E2520=E2519:E$2)))))</f>
        <v> </v>
      </c>
      <c r="J2520" s="26" t="str">
        <f>IF(OR(E2520="",E2520="!!!",F2520="NEW"),"",COUNTBLANK(OFFSET(A$1,,,SUMPRODUCT(MAX(ROW(E$2:E2520)*(E2520=E$2:E2520)))))-COUNTBLANK(OFFSET(A$1,,,SUMPRODUCT(MAX(ROW(E$1:E2519)*(E2=E$1:E2519))))))</f>
        <v> </v>
      </c>
      <c r="K2520" s="26" t="str">
        <f>IF(OR(E2520="",E2520="!!!",F2520="NEW"),"",INDEX(J$1:J2519,SUMPRODUCT(MAX(ROW(E$1:E2519)*(E2520=E$1:E2519)))))</f>
        <v> </v>
      </c>
      <c r="L2520" s="27"/>
    </row>
    <row r="2521" spans="1:12">
      <c r="A2521" s="20" t="s">
        <v>1822</v>
      </c>
      <c r="E2521" s="22">
        <f>IF(D2521="?OLD","!!!","")</f>
        <v/>
      </c>
      <c r="F2521" s="23" t="str">
        <f>IF(OR(E2521="",E2521="!!!"),"",IF(NOT(ISNA(VLOOKUP(E2521,E$1:E2520,1,FALSE()))),"OLD",IF(AND(E2521&lt;&gt;"",E2521&lt;&gt;"!!!"),"NEW","")))</f>
        <v> </v>
      </c>
      <c r="G2521" s="24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5" t="str">
        <f>IF(J2521&lt;&gt;1,"",IF(I2521="SBJ","CB","?"))</f>
        <v> </v>
      </c>
      <c r="I2521" s="26" t="str">
        <f>IF(OR(E2521="",E2521="!!!",F2521="NEW"),"",INDEX(B2520:B$2,-1+SUMPRODUCT(MAX(ROW(E2520:E$2)*(E2521=E2520:E$2)))))</f>
        <v> </v>
      </c>
      <c r="J2521" s="26" t="str">
        <f>IF(OR(E2521="",E2521="!!!",F2521="NEW"),"",COUNTBLANK(OFFSET(A$1,,,SUMPRODUCT(MAX(ROW(E$2:E2521)*(E2521=E$2:E2521)))))-COUNTBLANK(OFFSET(A$1,,,SUMPRODUCT(MAX(ROW(E$1:E2520)*(E2=E$1:E2520))))))</f>
        <v> </v>
      </c>
      <c r="K2521" s="26" t="str">
        <f>IF(OR(E2521="",E2521="!!!",F2521="NEW"),"",INDEX(J$1:J2520,SUMPRODUCT(MAX(ROW(E$1:E2520)*(E2521=E$1:E2520)))))</f>
        <v> </v>
      </c>
      <c r="L2521" s="27"/>
    </row>
    <row r="2522" spans="1:12">
      <c r="A2522" s="20" t="s">
        <v>1823</v>
      </c>
      <c r="E2522" s="22">
        <f>IF(D2522="?OLD","!!!","")</f>
        <v/>
      </c>
      <c r="F2522" s="23" t="str">
        <f>IF(OR(E2522="",E2522="!!!"),"",IF(NOT(ISNA(VLOOKUP(E2522,E$1:E2521,1,FALSE()))),"OLD",IF(AND(E2522&lt;&gt;"",E2522&lt;&gt;"!!!"),"NEW","")))</f>
        <v> </v>
      </c>
      <c r="G2522" s="24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5" t="str">
        <f>IF(J2522&lt;&gt;1,"",IF(I2522="SBJ","CB","?"))</f>
        <v> </v>
      </c>
      <c r="I2522" s="26" t="str">
        <f>IF(OR(E2522="",E2522="!!!",F2522="NEW"),"",INDEX(B2521:B$2,-1+SUMPRODUCT(MAX(ROW(E2521:E$2)*(E2522=E2521:E$2)))))</f>
        <v> </v>
      </c>
      <c r="J2522" s="26" t="str">
        <f>IF(OR(E2522="",E2522="!!!",F2522="NEW"),"",COUNTBLANK(OFFSET(A$1,,,SUMPRODUCT(MAX(ROW(E$2:E2522)*(E2522=E$2:E2522)))))-COUNTBLANK(OFFSET(A$1,,,SUMPRODUCT(MAX(ROW(E$1:E2521)*(E2=E$1:E2521))))))</f>
        <v> </v>
      </c>
      <c r="K2522" s="26" t="str">
        <f>IF(OR(E2522="",E2522="!!!",F2522="NEW"),"",INDEX(J$1:J2521,SUMPRODUCT(MAX(ROW(E$1:E2521)*(E2522=E$1:E2521)))))</f>
        <v> </v>
      </c>
      <c r="L2522" s="27"/>
    </row>
    <row r="2523" spans="1:12">
      <c r="A2523" s="20" t="s">
        <v>1824</v>
      </c>
      <c r="E2523" s="22">
        <f>IF(D2523="?OLD","!!!","")</f>
        <v/>
      </c>
      <c r="F2523" s="23" t="str">
        <f>IF(OR(E2523="",E2523="!!!"),"",IF(NOT(ISNA(VLOOKUP(E2523,E$1:E2522,1,FALSE()))),"OLD",IF(AND(E2523&lt;&gt;"",E2523&lt;&gt;"!!!"),"NEW","")))</f>
        <v> </v>
      </c>
      <c r="G2523" s="24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5" t="str">
        <f>IF(J2523&lt;&gt;1,"",IF(I2523="SBJ","CB","?"))</f>
        <v> </v>
      </c>
      <c r="I2523" s="26" t="str">
        <f>IF(OR(E2523="",E2523="!!!",F2523="NEW"),"",INDEX(B2522:B$2,-1+SUMPRODUCT(MAX(ROW(E2522:E$2)*(E2523=E2522:E$2)))))</f>
        <v> </v>
      </c>
      <c r="J2523" s="26" t="str">
        <f>IF(OR(E2523="",E2523="!!!",F2523="NEW"),"",COUNTBLANK(OFFSET(A$1,,,SUMPRODUCT(MAX(ROW(E$2:E2523)*(E2523=E$2:E2523)))))-COUNTBLANK(OFFSET(A$1,,,SUMPRODUCT(MAX(ROW(E$1:E2522)*(E2=E$1:E2522))))))</f>
        <v> </v>
      </c>
      <c r="K2523" s="26" t="str">
        <f>IF(OR(E2523="",E2523="!!!",F2523="NEW"),"",INDEX(J$1:J2522,SUMPRODUCT(MAX(ROW(E$1:E2522)*(E2523=E$1:E2522)))))</f>
        <v> </v>
      </c>
      <c r="L2523" s="27"/>
    </row>
    <row r="2524" spans="1:12">
      <c r="A2524" s="20" t="s">
        <v>1752</v>
      </c>
      <c r="E2524" s="22">
        <f>IF(D2524="?OLD","!!!","")</f>
        <v/>
      </c>
      <c r="F2524" s="23" t="str">
        <f>IF(OR(E2524="",E2524="!!!"),"",IF(NOT(ISNA(VLOOKUP(E2524,E$1:E2523,1,FALSE()))),"OLD",IF(AND(E2524&lt;&gt;"",E2524&lt;&gt;"!!!"),"NEW","")))</f>
        <v> </v>
      </c>
      <c r="G2524" s="24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5" t="str">
        <f>IF(J2524&lt;&gt;1,"",IF(I2524="SBJ","CB","?"))</f>
        <v> </v>
      </c>
      <c r="I2524" s="26" t="str">
        <f>IF(OR(E2524="",E2524="!!!",F2524="NEW"),"",INDEX(B2523:B$2,-1+SUMPRODUCT(MAX(ROW(E2523:E$2)*(E2524=E2523:E$2)))))</f>
        <v> </v>
      </c>
      <c r="J2524" s="26" t="str">
        <f>IF(OR(E2524="",E2524="!!!",F2524="NEW"),"",COUNTBLANK(OFFSET(A$1,,,SUMPRODUCT(MAX(ROW(E$2:E2524)*(E2524=E$2:E2524)))))-COUNTBLANK(OFFSET(A$1,,,SUMPRODUCT(MAX(ROW(E$1:E2523)*(E2=E$1:E2523))))))</f>
        <v> </v>
      </c>
      <c r="K2524" s="26" t="str">
        <f>IF(OR(E2524="",E2524="!!!",F2524="NEW"),"",INDEX(J$1:J2523,SUMPRODUCT(MAX(ROW(E$1:E2523)*(E2524=E$1:E2523)))))</f>
        <v> </v>
      </c>
      <c r="L2524" s="27"/>
    </row>
    <row r="2525" spans="1:12">
      <c r="A2525" s="20" t="s">
        <v>1753</v>
      </c>
      <c r="B2525" s="21" t="s">
        <v>613</v>
      </c>
      <c r="C2525" s="21" t="s">
        <v>906</v>
      </c>
      <c r="E2525" s="22">
        <f>IF(D2525="?OLD","!!!","")</f>
        <v/>
      </c>
      <c r="F2525" s="23" t="str">
        <f>IF(OR(E2525="",E2525="!!!"),"",IF(NOT(ISNA(VLOOKUP(E2525,E$1:E2524,1,FALSE()))),"OLD",IF(AND(E2525&lt;&gt;"",E2525&lt;&gt;"!!!"),"NEW","")))</f>
        <v> </v>
      </c>
      <c r="G2525" s="24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5" t="str">
        <f>IF(J2525&lt;&gt;1,"",IF(I2525="SBJ","CB","?"))</f>
        <v> </v>
      </c>
      <c r="I2525" s="26" t="str">
        <f>IF(OR(E2525="",E2525="!!!",F2525="NEW"),"",INDEX(B2524:B$2,-1+SUMPRODUCT(MAX(ROW(E2524:E$2)*(E2525=E2524:E$2)))))</f>
        <v> </v>
      </c>
      <c r="J2525" s="26" t="str">
        <f>IF(OR(E2525="",E2525="!!!",F2525="NEW"),"",COUNTBLANK(OFFSET(A$1,,,SUMPRODUCT(MAX(ROW(E$2:E2525)*(E2525=E$2:E2525)))))-COUNTBLANK(OFFSET(A$1,,,SUMPRODUCT(MAX(ROW(E$1:E2524)*(E2=E$1:E2524))))))</f>
        <v> </v>
      </c>
      <c r="K2525" s="26" t="str">
        <f>IF(OR(E2525="",E2525="!!!",F2525="NEW"),"",INDEX(J$1:J2524,SUMPRODUCT(MAX(ROW(E$1:E2524)*(E2525=E$1:E2524)))))</f>
        <v> </v>
      </c>
      <c r="L2525" s="27"/>
    </row>
    <row r="2526" spans="1:12">
      <c r="A2526" s="20" t="s">
        <v>633</v>
      </c>
      <c r="E2526" s="22">
        <f>IF(D2526="?OLD","!!!","")</f>
        <v/>
      </c>
      <c r="F2526" s="23" t="str">
        <f>IF(OR(E2526="",E2526="!!!"),"",IF(NOT(ISNA(VLOOKUP(E2526,E$1:E2525,1,FALSE()))),"OLD",IF(AND(E2526&lt;&gt;"",E2526&lt;&gt;"!!!"),"NEW","")))</f>
        <v> </v>
      </c>
      <c r="G2526" s="24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5" t="str">
        <f>IF(J2526&lt;&gt;1,"",IF(I2526="SBJ","CB","?"))</f>
        <v> </v>
      </c>
      <c r="I2526" s="26" t="str">
        <f>IF(OR(E2526="",E2526="!!!",F2526="NEW"),"",INDEX(B2525:B$2,-1+SUMPRODUCT(MAX(ROW(E2525:E$2)*(E2526=E2525:E$2)))))</f>
        <v> </v>
      </c>
      <c r="J2526" s="26" t="str">
        <f>IF(OR(E2526="",E2526="!!!",F2526="NEW"),"",COUNTBLANK(OFFSET(A$1,,,SUMPRODUCT(MAX(ROW(E$2:E2526)*(E2526=E$2:E2526)))))-COUNTBLANK(OFFSET(A$1,,,SUMPRODUCT(MAX(ROW(E$1:E2525)*(E2=E$1:E2525))))))</f>
        <v> </v>
      </c>
      <c r="K2526" s="26" t="str">
        <f>IF(OR(E2526="",E2526="!!!",F2526="NEW"),"",INDEX(J$1:J2525,SUMPRODUCT(MAX(ROW(E$1:E2525)*(E2526=E$1:E2525)))))</f>
        <v> </v>
      </c>
      <c r="L2526" s="27"/>
    </row>
    <row r="2527" spans="1:12">
      <c r="A2527" s="20"/>
    </row>
    <row r="2528" spans="1:12">
      <c r="A2528" s="20" t="s">
        <v>1825</v>
      </c>
    </row>
    <row r="2529" spans="1:12">
      <c r="A2529" s="20" t="s">
        <v>1006</v>
      </c>
      <c r="E2529" s="22">
        <f>IF(D2529="?OLD","!!!","")</f>
        <v/>
      </c>
      <c r="F2529" s="23" t="str">
        <f>IF(OR(E2529="",E2529="!!!"),"",IF(NOT(ISNA(VLOOKUP(E2529,E$1:E2528,1,FALSE()))),"OLD",IF(AND(E2529&lt;&gt;"",E2529&lt;&gt;"!!!"),"NEW","")))</f>
        <v> </v>
      </c>
      <c r="G2529" s="24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5" t="str">
        <f>IF(J2529&lt;&gt;1,"",IF(I2529="SBJ","CB","?"))</f>
        <v> </v>
      </c>
      <c r="I2529" s="26" t="str">
        <f>IF(OR(E2529="",E2529="!!!",F2529="NEW"),"",INDEX(B2528:B$2,-1+SUMPRODUCT(MAX(ROW(E2528:E$2)*(E2529=E2528:E$2)))))</f>
        <v> </v>
      </c>
      <c r="J2529" s="26" t="str">
        <f>IF(OR(E2529="",E2529="!!!",F2529="NEW"),"",COUNTBLANK(OFFSET(A$1,,,SUMPRODUCT(MAX(ROW(E$2:E2529)*(E2529=E$2:E2529)))))-COUNTBLANK(OFFSET(A$1,,,SUMPRODUCT(MAX(ROW(E$1:E2528)*(E2=E$1:E2528))))))</f>
        <v> </v>
      </c>
      <c r="K2529" s="26" t="str">
        <f>IF(OR(E2529="",E2529="!!!",F2529="NEW"),"",INDEX(J$1:J2528,SUMPRODUCT(MAX(ROW(E$1:E2528)*(E2529=E$1:E2528)))))</f>
        <v> </v>
      </c>
      <c r="L2529" s="27"/>
    </row>
    <row r="2530" spans="1:12">
      <c r="A2530" s="20" t="s">
        <v>1707</v>
      </c>
      <c r="B2530" s="21" t="s">
        <v>601</v>
      </c>
      <c r="E2530" s="22">
        <f>IF(D2530="?OLD","!!!","")</f>
        <v/>
      </c>
      <c r="F2530" s="23" t="str">
        <f>IF(OR(E2530="",E2530="!!!"),"",IF(NOT(ISNA(VLOOKUP(E2530,E$1:E2529,1,FALSE()))),"OLD",IF(AND(E2530&lt;&gt;"",E2530&lt;&gt;"!!!"),"NEW","")))</f>
        <v> </v>
      </c>
      <c r="G2530" s="24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5" t="str">
        <f>IF(J2530&lt;&gt;1,"",IF(I2530="SBJ","CB","?"))</f>
        <v> </v>
      </c>
      <c r="I2530" s="26" t="str">
        <f>IF(OR(E2530="",E2530="!!!",F2530="NEW"),"",INDEX(B2529:B$2,-1+SUMPRODUCT(MAX(ROW(E2529:E$2)*(E2530=E2529:E$2)))))</f>
        <v> </v>
      </c>
      <c r="J2530" s="26" t="str">
        <f>IF(OR(E2530="",E2530="!!!",F2530="NEW"),"",COUNTBLANK(OFFSET(A$1,,,SUMPRODUCT(MAX(ROW(E$2:E2530)*(E2530=E$2:E2530)))))-COUNTBLANK(OFFSET(A$1,,,SUMPRODUCT(MAX(ROW(E$1:E2529)*(E2=E$1:E2529))))))</f>
        <v> </v>
      </c>
      <c r="K2530" s="26" t="str">
        <f>IF(OR(E2530="",E2530="!!!",F2530="NEW"),"",INDEX(J$1:J2529,SUMPRODUCT(MAX(ROW(E$1:E2529)*(E2530=E$1:E2529)))))</f>
        <v> </v>
      </c>
      <c r="L2530" s="27"/>
    </row>
    <row r="2531" spans="1:12">
      <c r="A2531" s="20" t="s">
        <v>1708</v>
      </c>
      <c r="B2531" s="21" t="s">
        <v>609</v>
      </c>
      <c r="C2531" s="21" t="s">
        <v>631</v>
      </c>
      <c r="D2531" s="21" t="s">
        <v>603</v>
      </c>
      <c r="E2531" s="22">
        <f>IF(D2531="?OLD","!!!","")</f>
        <v/>
      </c>
      <c r="F2531" s="23" t="str">
        <f>IF(OR(E2531="",E2531="!!!"),"",IF(NOT(ISNA(VLOOKUP(E2531,E$1:E2530,1,FALSE()))),"OLD",IF(AND(E2531&lt;&gt;"",E2531&lt;&gt;"!!!"),"NEW","")))</f>
        <v> </v>
      </c>
      <c r="G2531" s="24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5" t="str">
        <f>IF(J2531&lt;&gt;1,"",IF(I2531="SBJ","CB","?"))</f>
        <v> </v>
      </c>
      <c r="I2531" s="26" t="str">
        <f>IF(OR(E2531="",E2531="!!!",F2531="NEW"),"",INDEX(B2530:B$2,-1+SUMPRODUCT(MAX(ROW(E2530:E$2)*(E2531=E2530:E$2)))))</f>
        <v> </v>
      </c>
      <c r="J2531" s="26" t="str">
        <f>IF(OR(E2531="",E2531="!!!",F2531="NEW"),"",COUNTBLANK(OFFSET(A$1,,,SUMPRODUCT(MAX(ROW(E$2:E2531)*(E2531=E$2:E2531)))))-COUNTBLANK(OFFSET(A$1,,,SUMPRODUCT(MAX(ROW(E$1:E2530)*(E2=E$1:E2530))))))</f>
        <v> </v>
      </c>
      <c r="K2531" s="26" t="str">
        <f>IF(OR(E2531="",E2531="!!!",F2531="NEW"),"",INDEX(J$1:J2530,SUMPRODUCT(MAX(ROW(E$1:E2530)*(E2531=E$1:E2530)))))</f>
        <v> </v>
      </c>
      <c r="L2531" s="27"/>
    </row>
    <row r="2532" spans="1:12">
      <c r="A2532" s="20" t="s">
        <v>1826</v>
      </c>
      <c r="E2532" s="22">
        <f>IF(D2532="?OLD","!!!","")</f>
        <v/>
      </c>
      <c r="F2532" s="23" t="str">
        <f>IF(OR(E2532="",E2532="!!!"),"",IF(NOT(ISNA(VLOOKUP(E2532,E$1:E2531,1,FALSE()))),"OLD",IF(AND(E2532&lt;&gt;"",E2532&lt;&gt;"!!!"),"NEW","")))</f>
        <v> </v>
      </c>
      <c r="G2532" s="24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5" t="str">
        <f>IF(J2532&lt;&gt;1,"",IF(I2532="SBJ","CB","?"))</f>
        <v> </v>
      </c>
      <c r="I2532" s="26" t="str">
        <f>IF(OR(E2532="",E2532="!!!",F2532="NEW"),"",INDEX(B2531:B$2,-1+SUMPRODUCT(MAX(ROW(E2531:E$2)*(E2532=E2531:E$2)))))</f>
        <v> </v>
      </c>
      <c r="J2532" s="26" t="str">
        <f>IF(OR(E2532="",E2532="!!!",F2532="NEW"),"",COUNTBLANK(OFFSET(A$1,,,SUMPRODUCT(MAX(ROW(E$2:E2532)*(E2532=E$2:E2532)))))-COUNTBLANK(OFFSET(A$1,,,SUMPRODUCT(MAX(ROW(E$1:E2531)*(E2=E$1:E2531))))))</f>
        <v> </v>
      </c>
      <c r="K2532" s="26" t="str">
        <f>IF(OR(E2532="",E2532="!!!",F2532="NEW"),"",INDEX(J$1:J2531,SUMPRODUCT(MAX(ROW(E$1:E2531)*(E2532=E$1:E2531)))))</f>
        <v> </v>
      </c>
      <c r="L2532" s="27"/>
    </row>
    <row r="2533" spans="1:12">
      <c r="A2533" s="20" t="s">
        <v>672</v>
      </c>
      <c r="E2533" s="22">
        <f>IF(D2533="?OLD","!!!","")</f>
        <v/>
      </c>
      <c r="F2533" s="23" t="str">
        <f>IF(OR(E2533="",E2533="!!!"),"",IF(NOT(ISNA(VLOOKUP(E2533,E$1:E2532,1,FALSE()))),"OLD",IF(AND(E2533&lt;&gt;"",E2533&lt;&gt;"!!!"),"NEW","")))</f>
        <v> </v>
      </c>
      <c r="G2533" s="24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5" t="str">
        <f>IF(J2533&lt;&gt;1,"",IF(I2533="SBJ","CB","?"))</f>
        <v> </v>
      </c>
      <c r="I2533" s="26" t="str">
        <f>IF(OR(E2533="",E2533="!!!",F2533="NEW"),"",INDEX(B2532:B$2,-1+SUMPRODUCT(MAX(ROW(E2532:E$2)*(E2533=E2532:E$2)))))</f>
        <v> </v>
      </c>
      <c r="J2533" s="26" t="str">
        <f>IF(OR(E2533="",E2533="!!!",F2533="NEW"),"",COUNTBLANK(OFFSET(A$1,,,SUMPRODUCT(MAX(ROW(E$2:E2533)*(E2533=E$2:E2533)))))-COUNTBLANK(OFFSET(A$1,,,SUMPRODUCT(MAX(ROW(E$1:E2532)*(E2=E$1:E2532))))))</f>
        <v> </v>
      </c>
      <c r="K2533" s="26" t="str">
        <f>IF(OR(E2533="",E2533="!!!",F2533="NEW"),"",INDEX(J$1:J2532,SUMPRODUCT(MAX(ROW(E$1:E2532)*(E2533=E$1:E2532)))))</f>
        <v> </v>
      </c>
      <c r="L2533" s="27"/>
    </row>
    <row r="2534" spans="1:12">
      <c r="A2534" s="20" t="s">
        <v>1827</v>
      </c>
      <c r="E2534" s="22">
        <f>IF(D2534="?OLD","!!!","")</f>
        <v/>
      </c>
      <c r="F2534" s="23" t="str">
        <f>IF(OR(E2534="",E2534="!!!"),"",IF(NOT(ISNA(VLOOKUP(E2534,E$1:E2533,1,FALSE()))),"OLD",IF(AND(E2534&lt;&gt;"",E2534&lt;&gt;"!!!"),"NEW","")))</f>
        <v> </v>
      </c>
      <c r="G2534" s="24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5" t="str">
        <f>IF(J2534&lt;&gt;1,"",IF(I2534="SBJ","CB","?"))</f>
        <v> </v>
      </c>
      <c r="I2534" s="26" t="str">
        <f>IF(OR(E2534="",E2534="!!!",F2534="NEW"),"",INDEX(B2533:B$2,-1+SUMPRODUCT(MAX(ROW(E2533:E$2)*(E2534=E2533:E$2)))))</f>
        <v> </v>
      </c>
      <c r="J2534" s="26" t="str">
        <f>IF(OR(E2534="",E2534="!!!",F2534="NEW"),"",COUNTBLANK(OFFSET(A$1,,,SUMPRODUCT(MAX(ROW(E$2:E2534)*(E2534=E$2:E2534)))))-COUNTBLANK(OFFSET(A$1,,,SUMPRODUCT(MAX(ROW(E$1:E2533)*(E2=E$1:E2533))))))</f>
        <v> </v>
      </c>
      <c r="K2534" s="26" t="str">
        <f>IF(OR(E2534="",E2534="!!!",F2534="NEW"),"",INDEX(J$1:J2533,SUMPRODUCT(MAX(ROW(E$1:E2533)*(E2534=E$1:E2533)))))</f>
        <v> </v>
      </c>
      <c r="L2534" s="27"/>
    </row>
    <row r="2535" spans="1:12">
      <c r="A2535" s="20" t="s">
        <v>1643</v>
      </c>
      <c r="B2535" s="21" t="s">
        <v>636</v>
      </c>
      <c r="E2535" s="22">
        <f>IF(D2535="?OLD","!!!","")</f>
        <v/>
      </c>
      <c r="F2535" s="23" t="str">
        <f>IF(OR(E2535="",E2535="!!!"),"",IF(NOT(ISNA(VLOOKUP(E2535,E$1:E2534,1,FALSE()))),"OLD",IF(AND(E2535&lt;&gt;"",E2535&lt;&gt;"!!!"),"NEW","")))</f>
        <v> </v>
      </c>
      <c r="G2535" s="24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5" t="str">
        <f>IF(J2535&lt;&gt;1,"",IF(I2535="SBJ","CB","?"))</f>
        <v> </v>
      </c>
      <c r="I2535" s="26" t="str">
        <f>IF(OR(E2535="",E2535="!!!",F2535="NEW"),"",INDEX(B2534:B$2,-1+SUMPRODUCT(MAX(ROW(E2534:E$2)*(E2535=E2534:E$2)))))</f>
        <v> </v>
      </c>
      <c r="J2535" s="26" t="str">
        <f>IF(OR(E2535="",E2535="!!!",F2535="NEW"),"",COUNTBLANK(OFFSET(A$1,,,SUMPRODUCT(MAX(ROW(E$2:E2535)*(E2535=E$2:E2535)))))-COUNTBLANK(OFFSET(A$1,,,SUMPRODUCT(MAX(ROW(E$1:E2534)*(E2=E$1:E2534))))))</f>
        <v> </v>
      </c>
      <c r="K2535" s="26" t="str">
        <f>IF(OR(E2535="",E2535="!!!",F2535="NEW"),"",INDEX(J$1:J2534,SUMPRODUCT(MAX(ROW(E$1:E2534)*(E2535=E$1:E2534)))))</f>
        <v> </v>
      </c>
      <c r="L2535" s="27"/>
    </row>
    <row r="2536" spans="1:12">
      <c r="A2536" s="20" t="s">
        <v>1251</v>
      </c>
      <c r="B2536" s="21" t="s">
        <v>620</v>
      </c>
      <c r="C2536" s="21" t="s">
        <v>733</v>
      </c>
      <c r="D2536" s="21" t="s">
        <v>603</v>
      </c>
      <c r="E2536" s="22">
        <f>IF(D2536="?OLD","!!!","")</f>
        <v/>
      </c>
      <c r="F2536" s="23" t="str">
        <f>IF(OR(E2536="",E2536="!!!"),"",IF(NOT(ISNA(VLOOKUP(E2536,E$1:E2535,1,FALSE()))),"OLD",IF(AND(E2536&lt;&gt;"",E2536&lt;&gt;"!!!"),"NEW","")))</f>
        <v> </v>
      </c>
      <c r="G2536" s="24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5" t="str">
        <f>IF(J2536&lt;&gt;1,"",IF(I2536="SBJ","CB","?"))</f>
        <v> </v>
      </c>
      <c r="I2536" s="26" t="str">
        <f>IF(OR(E2536="",E2536="!!!",F2536="NEW"),"",INDEX(B2535:B$2,-1+SUMPRODUCT(MAX(ROW(E2535:E$2)*(E2536=E2535:E$2)))))</f>
        <v> </v>
      </c>
      <c r="J2536" s="26" t="str">
        <f>IF(OR(E2536="",E2536="!!!",F2536="NEW"),"",COUNTBLANK(OFFSET(A$1,,,SUMPRODUCT(MAX(ROW(E$2:E2536)*(E2536=E$2:E2536)))))-COUNTBLANK(OFFSET(A$1,,,SUMPRODUCT(MAX(ROW(E$1:E2535)*(E2=E$1:E2535))))))</f>
        <v> </v>
      </c>
      <c r="K2536" s="26" t="str">
        <f>IF(OR(E2536="",E2536="!!!",F2536="NEW"),"",INDEX(J$1:J2535,SUMPRODUCT(MAX(ROW(E$1:E2535)*(E2536=E$1:E2535)))))</f>
        <v> </v>
      </c>
      <c r="L2536" s="27"/>
    </row>
    <row r="2537" spans="1:12">
      <c r="A2537" s="20" t="s">
        <v>625</v>
      </c>
      <c r="E2537" s="22">
        <f>IF(D2537="?OLD","!!!","")</f>
        <v/>
      </c>
      <c r="F2537" s="23" t="str">
        <f>IF(OR(E2537="",E2537="!!!"),"",IF(NOT(ISNA(VLOOKUP(E2537,E$1:E2536,1,FALSE()))),"OLD",IF(AND(E2537&lt;&gt;"",E2537&lt;&gt;"!!!"),"NEW","")))</f>
        <v> </v>
      </c>
      <c r="G2537" s="24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5" t="str">
        <f>IF(J2537&lt;&gt;1,"",IF(I2537="SBJ","CB","?"))</f>
        <v> </v>
      </c>
      <c r="I2537" s="26" t="str">
        <f>IF(OR(E2537="",E2537="!!!",F2537="NEW"),"",INDEX(B2536:B$2,-1+SUMPRODUCT(MAX(ROW(E2536:E$2)*(E2537=E2536:E$2)))))</f>
        <v> </v>
      </c>
      <c r="J2537" s="26" t="str">
        <f>IF(OR(E2537="",E2537="!!!",F2537="NEW"),"",COUNTBLANK(OFFSET(A$1,,,SUMPRODUCT(MAX(ROW(E$2:E2537)*(E2537=E$2:E2537)))))-COUNTBLANK(OFFSET(A$1,,,SUMPRODUCT(MAX(ROW(E$1:E2536)*(E2=E$1:E2536))))))</f>
        <v> </v>
      </c>
      <c r="K2537" s="26" t="str">
        <f>IF(OR(E2537="",E2537="!!!",F2537="NEW"),"",INDEX(J$1:J2536,SUMPRODUCT(MAX(ROW(E$1:E2536)*(E2537=E$1:E2536)))))</f>
        <v> </v>
      </c>
      <c r="L2537" s="27"/>
    </row>
    <row r="2538" spans="1:12">
      <c r="A2538" s="20" t="s">
        <v>1029</v>
      </c>
      <c r="E2538" s="22">
        <f>IF(D2538="?OLD","!!!","")</f>
        <v/>
      </c>
      <c r="F2538" s="23" t="str">
        <f>IF(OR(E2538="",E2538="!!!"),"",IF(NOT(ISNA(VLOOKUP(E2538,E$1:E2537,1,FALSE()))),"OLD",IF(AND(E2538&lt;&gt;"",E2538&lt;&gt;"!!!"),"NEW","")))</f>
        <v> </v>
      </c>
      <c r="G2538" s="24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5" t="str">
        <f>IF(J2538&lt;&gt;1,"",IF(I2538="SBJ","CB","?"))</f>
        <v> </v>
      </c>
      <c r="I2538" s="26" t="str">
        <f>IF(OR(E2538="",E2538="!!!",F2538="NEW"),"",INDEX(B2537:B$2,-1+SUMPRODUCT(MAX(ROW(E2537:E$2)*(E2538=E2537:E$2)))))</f>
        <v> </v>
      </c>
      <c r="J2538" s="26" t="str">
        <f>IF(OR(E2538="",E2538="!!!",F2538="NEW"),"",COUNTBLANK(OFFSET(A$1,,,SUMPRODUCT(MAX(ROW(E$2:E2538)*(E2538=E$2:E2538)))))-COUNTBLANK(OFFSET(A$1,,,SUMPRODUCT(MAX(ROW(E$1:E2537)*(E2=E$1:E2537))))))</f>
        <v> </v>
      </c>
      <c r="K2538" s="26" t="str">
        <f>IF(OR(E2538="",E2538="!!!",F2538="NEW"),"",INDEX(J$1:J2537,SUMPRODUCT(MAX(ROW(E$1:E2537)*(E2538=E$1:E2537)))))</f>
        <v> </v>
      </c>
      <c r="L2538" s="27"/>
    </row>
    <row r="2539" spans="1:12">
      <c r="A2539" s="20" t="s">
        <v>1015</v>
      </c>
      <c r="E2539" s="22">
        <f>IF(D2539="?OLD","!!!","")</f>
        <v/>
      </c>
      <c r="F2539" s="23" t="str">
        <f>IF(OR(E2539="",E2539="!!!"),"",IF(NOT(ISNA(VLOOKUP(E2539,E$1:E2538,1,FALSE()))),"OLD",IF(AND(E2539&lt;&gt;"",E2539&lt;&gt;"!!!"),"NEW","")))</f>
        <v> </v>
      </c>
      <c r="G2539" s="24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5" t="str">
        <f>IF(J2539&lt;&gt;1,"",IF(I2539="SBJ","CB","?"))</f>
        <v> </v>
      </c>
      <c r="I2539" s="26" t="str">
        <f>IF(OR(E2539="",E2539="!!!",F2539="NEW"),"",INDEX(B2538:B$2,-1+SUMPRODUCT(MAX(ROW(E2538:E$2)*(E2539=E2538:E$2)))))</f>
        <v> </v>
      </c>
      <c r="J2539" s="26" t="str">
        <f>IF(OR(E2539="",E2539="!!!",F2539="NEW"),"",COUNTBLANK(OFFSET(A$1,,,SUMPRODUCT(MAX(ROW(E$2:E2539)*(E2539=E$2:E2539)))))-COUNTBLANK(OFFSET(A$1,,,SUMPRODUCT(MAX(ROW(E$1:E2538)*(E2=E$1:E2538))))))</f>
        <v> </v>
      </c>
      <c r="K2539" s="26" t="str">
        <f>IF(OR(E2539="",E2539="!!!",F2539="NEW"),"",INDEX(J$1:J2538,SUMPRODUCT(MAX(ROW(E$1:E2538)*(E2539=E$1:E2538)))))</f>
        <v> </v>
      </c>
      <c r="L2539" s="27"/>
    </row>
    <row r="2540" spans="1:12">
      <c r="A2540" s="20" t="s">
        <v>864</v>
      </c>
      <c r="B2540" s="21" t="s">
        <v>609</v>
      </c>
      <c r="C2540" s="21" t="s">
        <v>723</v>
      </c>
      <c r="D2540" s="21" t="s">
        <v>603</v>
      </c>
      <c r="E2540" s="22">
        <f>IF(D2540="?OLD","!!!","")</f>
        <v/>
      </c>
      <c r="F2540" s="23" t="str">
        <f>IF(OR(E2540="",E2540="!!!"),"",IF(NOT(ISNA(VLOOKUP(E2540,E$1:E2539,1,FALSE()))),"OLD",IF(AND(E2540&lt;&gt;"",E2540&lt;&gt;"!!!"),"NEW","")))</f>
        <v> </v>
      </c>
      <c r="G2540" s="24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5" t="str">
        <f>IF(J2540&lt;&gt;1,"",IF(I2540="SBJ","CB","?"))</f>
        <v> </v>
      </c>
      <c r="I2540" s="26" t="str">
        <f>IF(OR(E2540="",E2540="!!!",F2540="NEW"),"",INDEX(B2539:B$2,-1+SUMPRODUCT(MAX(ROW(E2539:E$2)*(E2540=E2539:E$2)))))</f>
        <v> </v>
      </c>
      <c r="J2540" s="26" t="str">
        <f>IF(OR(E2540="",E2540="!!!",F2540="NEW"),"",COUNTBLANK(OFFSET(A$1,,,SUMPRODUCT(MAX(ROW(E$2:E2540)*(E2540=E$2:E2540)))))-COUNTBLANK(OFFSET(A$1,,,SUMPRODUCT(MAX(ROW(E$1:E2539)*(E2=E$1:E2539))))))</f>
        <v> </v>
      </c>
      <c r="K2540" s="26" t="str">
        <f>IF(OR(E2540="",E2540="!!!",F2540="NEW"),"",INDEX(J$1:J2539,SUMPRODUCT(MAX(ROW(E$1:E2539)*(E2540=E$1:E2539)))))</f>
        <v> </v>
      </c>
      <c r="L2540" s="27"/>
    </row>
    <row r="2541" spans="1:12">
      <c r="A2541" s="20" t="s">
        <v>611</v>
      </c>
      <c r="E2541" s="22">
        <f>IF(D2541="?OLD","!!!","")</f>
        <v/>
      </c>
      <c r="F2541" s="23" t="str">
        <f>IF(OR(E2541="",E2541="!!!"),"",IF(NOT(ISNA(VLOOKUP(E2541,E$1:E2540,1,FALSE()))),"OLD",IF(AND(E2541&lt;&gt;"",E2541&lt;&gt;"!!!"),"NEW","")))</f>
        <v> </v>
      </c>
      <c r="G2541" s="24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5" t="str">
        <f>IF(J2541&lt;&gt;1,"",IF(I2541="SBJ","CB","?"))</f>
        <v> </v>
      </c>
      <c r="I2541" s="26" t="str">
        <f>IF(OR(E2541="",E2541="!!!",F2541="NEW"),"",INDEX(B2540:B$2,-1+SUMPRODUCT(MAX(ROW(E2540:E$2)*(E2541=E2540:E$2)))))</f>
        <v> </v>
      </c>
      <c r="J2541" s="26" t="str">
        <f>IF(OR(E2541="",E2541="!!!",F2541="NEW"),"",COUNTBLANK(OFFSET(A$1,,,SUMPRODUCT(MAX(ROW(E$2:E2541)*(E2541=E$2:E2541)))))-COUNTBLANK(OFFSET(A$1,,,SUMPRODUCT(MAX(ROW(E$1:E2540)*(E2=E$1:E2540))))))</f>
        <v> </v>
      </c>
      <c r="K2541" s="26" t="str">
        <f>IF(OR(E2541="",E2541="!!!",F2541="NEW"),"",INDEX(J$1:J2540,SUMPRODUCT(MAX(ROW(E$1:E2540)*(E2541=E$1:E2540)))))</f>
        <v> </v>
      </c>
      <c r="L2541" s="27"/>
    </row>
    <row r="2542" spans="1:12">
      <c r="A2542" s="20" t="s">
        <v>658</v>
      </c>
      <c r="E2542" s="22">
        <f>IF(D2542="?OLD","!!!","")</f>
        <v/>
      </c>
      <c r="F2542" s="23" t="str">
        <f>IF(OR(E2542="",E2542="!!!"),"",IF(NOT(ISNA(VLOOKUP(E2542,E$1:E2541,1,FALSE()))),"OLD",IF(AND(E2542&lt;&gt;"",E2542&lt;&gt;"!!!"),"NEW","")))</f>
        <v> </v>
      </c>
      <c r="G2542" s="24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5" t="str">
        <f>IF(J2542&lt;&gt;1,"",IF(I2542="SBJ","CB","?"))</f>
        <v> </v>
      </c>
      <c r="I2542" s="26" t="str">
        <f>IF(OR(E2542="",E2542="!!!",F2542="NEW"),"",INDEX(B2541:B$2,-1+SUMPRODUCT(MAX(ROW(E2541:E$2)*(E2542=E2541:E$2)))))</f>
        <v> </v>
      </c>
      <c r="J2542" s="26" t="str">
        <f>IF(OR(E2542="",E2542="!!!",F2542="NEW"),"",COUNTBLANK(OFFSET(A$1,,,SUMPRODUCT(MAX(ROW(E$2:E2542)*(E2542=E$2:E2542)))))-COUNTBLANK(OFFSET(A$1,,,SUMPRODUCT(MAX(ROW(E$1:E2541)*(E2=E$1:E2541))))))</f>
        <v> </v>
      </c>
      <c r="K2542" s="26" t="str">
        <f>IF(OR(E2542="",E2542="!!!",F2542="NEW"),"",INDEX(J$1:J2541,SUMPRODUCT(MAX(ROW(E$1:E2541)*(E2542=E$1:E2541)))))</f>
        <v> </v>
      </c>
      <c r="L2542" s="27"/>
    </row>
    <row r="2543" spans="1:12">
      <c r="A2543" s="20" t="s">
        <v>1828</v>
      </c>
      <c r="B2543" s="21" t="s">
        <v>616</v>
      </c>
      <c r="E2543" s="22">
        <f>IF(D2543="?OLD","!!!","")</f>
        <v/>
      </c>
      <c r="F2543" s="23" t="str">
        <f>IF(OR(E2543="",E2543="!!!"),"",IF(NOT(ISNA(VLOOKUP(E2543,E$1:E2542,1,FALSE()))),"OLD",IF(AND(E2543&lt;&gt;"",E2543&lt;&gt;"!!!"),"NEW","")))</f>
        <v> </v>
      </c>
      <c r="G2543" s="24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5" t="str">
        <f>IF(J2543&lt;&gt;1,"",IF(I2543="SBJ","CB","?"))</f>
        <v> </v>
      </c>
      <c r="I2543" s="26" t="str">
        <f>IF(OR(E2543="",E2543="!!!",F2543="NEW"),"",INDEX(B2542:B$2,-1+SUMPRODUCT(MAX(ROW(E2542:E$2)*(E2543=E2542:E$2)))))</f>
        <v> </v>
      </c>
      <c r="J2543" s="26" t="str">
        <f>IF(OR(E2543="",E2543="!!!",F2543="NEW"),"",COUNTBLANK(OFFSET(A$1,,,SUMPRODUCT(MAX(ROW(E$2:E2543)*(E2543=E$2:E2543)))))-COUNTBLANK(OFFSET(A$1,,,SUMPRODUCT(MAX(ROW(E$1:E2542)*(E2=E$1:E2542))))))</f>
        <v> </v>
      </c>
      <c r="K2543" s="26" t="str">
        <f>IF(OR(E2543="",E2543="!!!",F2543="NEW"),"",INDEX(J$1:J2542,SUMPRODUCT(MAX(ROW(E$1:E2542)*(E2543=E$1:E2542)))))</f>
        <v> </v>
      </c>
      <c r="L2543" s="27"/>
    </row>
    <row r="2544" spans="1:12">
      <c r="A2544" s="20" t="s">
        <v>1482</v>
      </c>
      <c r="E2544" s="22">
        <f>IF(D2544="?OLD","!!!","")</f>
        <v/>
      </c>
      <c r="F2544" s="23" t="str">
        <f>IF(OR(E2544="",E2544="!!!"),"",IF(NOT(ISNA(VLOOKUP(E2544,E$1:E2543,1,FALSE()))),"OLD",IF(AND(E2544&lt;&gt;"",E2544&lt;&gt;"!!!"),"NEW","")))</f>
        <v> </v>
      </c>
      <c r="G2544" s="24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5" t="str">
        <f>IF(J2544&lt;&gt;1,"",IF(I2544="SBJ","CB","?"))</f>
        <v> </v>
      </c>
      <c r="I2544" s="26" t="str">
        <f>IF(OR(E2544="",E2544="!!!",F2544="NEW"),"",INDEX(B2543:B$2,-1+SUMPRODUCT(MAX(ROW(E2543:E$2)*(E2544=E2543:E$2)))))</f>
        <v> </v>
      </c>
      <c r="J2544" s="26" t="str">
        <f>IF(OR(E2544="",E2544="!!!",F2544="NEW"),"",COUNTBLANK(OFFSET(A$1,,,SUMPRODUCT(MAX(ROW(E$2:E2544)*(E2544=E$2:E2544)))))-COUNTBLANK(OFFSET(A$1,,,SUMPRODUCT(MAX(ROW(E$1:E2543)*(E2=E$1:E2543))))))</f>
        <v> </v>
      </c>
      <c r="K2544" s="26" t="str">
        <f>IF(OR(E2544="",E2544="!!!",F2544="NEW"),"",INDEX(J$1:J2543,SUMPRODUCT(MAX(ROW(E$1:E2543)*(E2544=E$1:E2543)))))</f>
        <v> </v>
      </c>
      <c r="L2544" s="27"/>
    </row>
    <row r="2545" spans="1:12">
      <c r="A2545" s="20" t="s">
        <v>1829</v>
      </c>
      <c r="E2545" s="22">
        <f>IF(D2545="?OLD","!!!","")</f>
        <v/>
      </c>
      <c r="F2545" s="23" t="str">
        <f>IF(OR(E2545="",E2545="!!!"),"",IF(NOT(ISNA(VLOOKUP(E2545,E$1:E2544,1,FALSE()))),"OLD",IF(AND(E2545&lt;&gt;"",E2545&lt;&gt;"!!!"),"NEW","")))</f>
        <v> </v>
      </c>
      <c r="G2545" s="24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5" t="str">
        <f>IF(J2545&lt;&gt;1,"",IF(I2545="SBJ","CB","?"))</f>
        <v> </v>
      </c>
      <c r="I2545" s="26" t="str">
        <f>IF(OR(E2545="",E2545="!!!",F2545="NEW"),"",INDEX(B2544:B$2,-1+SUMPRODUCT(MAX(ROW(E2544:E$2)*(E2545=E2544:E$2)))))</f>
        <v> </v>
      </c>
      <c r="J2545" s="26" t="str">
        <f>IF(OR(E2545="",E2545="!!!",F2545="NEW"),"",COUNTBLANK(OFFSET(A$1,,,SUMPRODUCT(MAX(ROW(E$2:E2545)*(E2545=E$2:E2545)))))-COUNTBLANK(OFFSET(A$1,,,SUMPRODUCT(MAX(ROW(E$1:E2544)*(E2=E$1:E2544))))))</f>
        <v> </v>
      </c>
      <c r="K2545" s="26" t="str">
        <f>IF(OR(E2545="",E2545="!!!",F2545="NEW"),"",INDEX(J$1:J2544,SUMPRODUCT(MAX(ROW(E$1:E2544)*(E2545=E$1:E2544)))))</f>
        <v> </v>
      </c>
      <c r="L2545" s="27"/>
    </row>
    <row r="2546" spans="1:12">
      <c r="A2546" s="20" t="s">
        <v>1000</v>
      </c>
      <c r="B2546" s="21" t="s">
        <v>815</v>
      </c>
      <c r="C2546" s="21" t="s">
        <v>602</v>
      </c>
      <c r="D2546" s="21" t="s">
        <v>603</v>
      </c>
      <c r="E2546" s="22">
        <f>IF(D2546="?OLD","!!!","")</f>
        <v/>
      </c>
      <c r="F2546" s="23" t="str">
        <f>IF(OR(E2546="",E2546="!!!"),"",IF(NOT(ISNA(VLOOKUP(E2546,E$1:E2545,1,FALSE()))),"OLD",IF(AND(E2546&lt;&gt;"",E2546&lt;&gt;"!!!"),"NEW","")))</f>
        <v> </v>
      </c>
      <c r="G2546" s="24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5" t="str">
        <f>IF(J2546&lt;&gt;1,"",IF(I2546="SBJ","CB","?"))</f>
        <v> </v>
      </c>
      <c r="I2546" s="26" t="str">
        <f>IF(OR(E2546="",E2546="!!!",F2546="NEW"),"",INDEX(B2545:B$2,-1+SUMPRODUCT(MAX(ROW(E2545:E$2)*(E2546=E2545:E$2)))))</f>
        <v> </v>
      </c>
      <c r="J2546" s="26" t="str">
        <f>IF(OR(E2546="",E2546="!!!",F2546="NEW"),"",COUNTBLANK(OFFSET(A$1,,,SUMPRODUCT(MAX(ROW(E$2:E2546)*(E2546=E$2:E2546)))))-COUNTBLANK(OFFSET(A$1,,,SUMPRODUCT(MAX(ROW(E$1:E2545)*(E2=E$1:E2545))))))</f>
        <v> </v>
      </c>
      <c r="K2546" s="26" t="str">
        <f>IF(OR(E2546="",E2546="!!!",F2546="NEW"),"",INDEX(J$1:J2545,SUMPRODUCT(MAX(ROW(E$1:E2545)*(E2546=E$1:E2545)))))</f>
        <v> </v>
      </c>
      <c r="L2546" s="27"/>
    </row>
    <row r="2547" spans="1:12">
      <c r="A2547" s="20" t="s">
        <v>611</v>
      </c>
      <c r="E2547" s="22">
        <f>IF(D2547="?OLD","!!!","")</f>
        <v/>
      </c>
      <c r="F2547" s="23" t="str">
        <f>IF(OR(E2547="",E2547="!!!"),"",IF(NOT(ISNA(VLOOKUP(E2547,E$1:E2546,1,FALSE()))),"OLD",IF(AND(E2547&lt;&gt;"",E2547&lt;&gt;"!!!"),"NEW","")))</f>
        <v> </v>
      </c>
      <c r="G2547" s="24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5" t="str">
        <f>IF(J2547&lt;&gt;1,"",IF(I2547="SBJ","CB","?"))</f>
        <v> </v>
      </c>
      <c r="I2547" s="26" t="str">
        <f>IF(OR(E2547="",E2547="!!!",F2547="NEW"),"",INDEX(B2546:B$2,-1+SUMPRODUCT(MAX(ROW(E2546:E$2)*(E2547=E2546:E$2)))))</f>
        <v> </v>
      </c>
      <c r="J2547" s="26" t="str">
        <f>IF(OR(E2547="",E2547="!!!",F2547="NEW"),"",COUNTBLANK(OFFSET(A$1,,,SUMPRODUCT(MAX(ROW(E$2:E2547)*(E2547=E$2:E2547)))))-COUNTBLANK(OFFSET(A$1,,,SUMPRODUCT(MAX(ROW(E$1:E2546)*(E2=E$1:E2546))))))</f>
        <v> </v>
      </c>
      <c r="K2547" s="26" t="str">
        <f>IF(OR(E2547="",E2547="!!!",F2547="NEW"),"",INDEX(J$1:J2546,SUMPRODUCT(MAX(ROW(E$1:E2546)*(E2547=E$1:E2546)))))</f>
        <v> </v>
      </c>
      <c r="L2547" s="27"/>
    </row>
    <row r="2548" spans="1:12">
      <c r="A2548" s="20" t="s">
        <v>1248</v>
      </c>
      <c r="E2548" s="22">
        <f>IF(D2548="?OLD","!!!","")</f>
        <v/>
      </c>
      <c r="F2548" s="23" t="str">
        <f>IF(OR(E2548="",E2548="!!!"),"",IF(NOT(ISNA(VLOOKUP(E2548,E$1:E2547,1,FALSE()))),"OLD",IF(AND(E2548&lt;&gt;"",E2548&lt;&gt;"!!!"),"NEW","")))</f>
        <v> </v>
      </c>
      <c r="G2548" s="24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5" t="str">
        <f>IF(J2548&lt;&gt;1,"",IF(I2548="SBJ","CB","?"))</f>
        <v> </v>
      </c>
      <c r="I2548" s="26" t="str">
        <f>IF(OR(E2548="",E2548="!!!",F2548="NEW"),"",INDEX(B2547:B$2,-1+SUMPRODUCT(MAX(ROW(E2547:E$2)*(E2548=E2547:E$2)))))</f>
        <v> </v>
      </c>
      <c r="J2548" s="26" t="str">
        <f>IF(OR(E2548="",E2548="!!!",F2548="NEW"),"",COUNTBLANK(OFFSET(A$1,,,SUMPRODUCT(MAX(ROW(E$2:E2548)*(E2548=E$2:E2548)))))-COUNTBLANK(OFFSET(A$1,,,SUMPRODUCT(MAX(ROW(E$1:E2547)*(E2=E$1:E2547))))))</f>
        <v> </v>
      </c>
      <c r="K2548" s="26" t="str">
        <f>IF(OR(E2548="",E2548="!!!",F2548="NEW"),"",INDEX(J$1:J2547,SUMPRODUCT(MAX(ROW(E$1:E2547)*(E2548=E$1:E2547)))))</f>
        <v> </v>
      </c>
      <c r="L2548" s="27"/>
    </row>
    <row r="2549" spans="1:12">
      <c r="A2549" s="20" t="s">
        <v>1830</v>
      </c>
      <c r="E2549" s="22">
        <f>IF(D2549="?OLD","!!!","")</f>
        <v/>
      </c>
      <c r="F2549" s="23" t="str">
        <f>IF(OR(E2549="",E2549="!!!"),"",IF(NOT(ISNA(VLOOKUP(E2549,E$1:E2548,1,FALSE()))),"OLD",IF(AND(E2549&lt;&gt;"",E2549&lt;&gt;"!!!"),"NEW","")))</f>
        <v> </v>
      </c>
      <c r="G2549" s="24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5" t="str">
        <f>IF(J2549&lt;&gt;1,"",IF(I2549="SBJ","CB","?"))</f>
        <v> </v>
      </c>
      <c r="I2549" s="26" t="str">
        <f>IF(OR(E2549="",E2549="!!!",F2549="NEW"),"",INDEX(B2548:B$2,-1+SUMPRODUCT(MAX(ROW(E2548:E$2)*(E2549=E2548:E$2)))))</f>
        <v> </v>
      </c>
      <c r="J2549" s="26" t="str">
        <f>IF(OR(E2549="",E2549="!!!",F2549="NEW"),"",COUNTBLANK(OFFSET(A$1,,,SUMPRODUCT(MAX(ROW(E$2:E2549)*(E2549=E$2:E2549)))))-COUNTBLANK(OFFSET(A$1,,,SUMPRODUCT(MAX(ROW(E$1:E2548)*(E2=E$1:E2548))))))</f>
        <v> </v>
      </c>
      <c r="K2549" s="26" t="str">
        <f>IF(OR(E2549="",E2549="!!!",F2549="NEW"),"",INDEX(J$1:J2548,SUMPRODUCT(MAX(ROW(E$1:E2548)*(E2549=E$1:E2548)))))</f>
        <v> </v>
      </c>
      <c r="L2549" s="27"/>
    </row>
    <row r="2550" spans="1:12">
      <c r="A2550" s="20" t="s">
        <v>664</v>
      </c>
      <c r="E2550" s="22">
        <f>IF(D2550="?OLD","!!!","")</f>
        <v/>
      </c>
      <c r="F2550" s="23" t="str">
        <f>IF(OR(E2550="",E2550="!!!"),"",IF(NOT(ISNA(VLOOKUP(E2550,E$1:E2549,1,FALSE()))),"OLD",IF(AND(E2550&lt;&gt;"",E2550&lt;&gt;"!!!"),"NEW","")))</f>
        <v> </v>
      </c>
      <c r="G2550" s="24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5" t="str">
        <f>IF(J2550&lt;&gt;1,"",IF(I2550="SBJ","CB","?"))</f>
        <v> </v>
      </c>
      <c r="I2550" s="26" t="str">
        <f>IF(OR(E2550="",E2550="!!!",F2550="NEW"),"",INDEX(B2549:B$2,-1+SUMPRODUCT(MAX(ROW(E2549:E$2)*(E2550=E2549:E$2)))))</f>
        <v> </v>
      </c>
      <c r="J2550" s="26" t="str">
        <f>IF(OR(E2550="",E2550="!!!",F2550="NEW"),"",COUNTBLANK(OFFSET(A$1,,,SUMPRODUCT(MAX(ROW(E$2:E2550)*(E2550=E$2:E2550)))))-COUNTBLANK(OFFSET(A$1,,,SUMPRODUCT(MAX(ROW(E$1:E2549)*(E2=E$1:E2549))))))</f>
        <v> </v>
      </c>
      <c r="K2550" s="26" t="str">
        <f>IF(OR(E2550="",E2550="!!!",F2550="NEW"),"",INDEX(J$1:J2549,SUMPRODUCT(MAX(ROW(E$1:E2549)*(E2550=E$1:E2549)))))</f>
        <v> </v>
      </c>
      <c r="L2550" s="27"/>
    </row>
    <row r="2551" spans="1:12">
      <c r="A2551" s="20" t="s">
        <v>1831</v>
      </c>
      <c r="E2551" s="22">
        <f>IF(D2551="?OLD","!!!","")</f>
        <v/>
      </c>
      <c r="F2551" s="23" t="str">
        <f>IF(OR(E2551="",E2551="!!!"),"",IF(NOT(ISNA(VLOOKUP(E2551,E$1:E2550,1,FALSE()))),"OLD",IF(AND(E2551&lt;&gt;"",E2551&lt;&gt;"!!!"),"NEW","")))</f>
        <v> </v>
      </c>
      <c r="G2551" s="24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5" t="str">
        <f>IF(J2551&lt;&gt;1,"",IF(I2551="SBJ","CB","?"))</f>
        <v> </v>
      </c>
      <c r="I2551" s="26" t="str">
        <f>IF(OR(E2551="",E2551="!!!",F2551="NEW"),"",INDEX(B2550:B$2,-1+SUMPRODUCT(MAX(ROW(E2550:E$2)*(E2551=E2550:E$2)))))</f>
        <v> </v>
      </c>
      <c r="J2551" s="26" t="str">
        <f>IF(OR(E2551="",E2551="!!!",F2551="NEW"),"",COUNTBLANK(OFFSET(A$1,,,SUMPRODUCT(MAX(ROW(E$2:E2551)*(E2551=E$2:E2551)))))-COUNTBLANK(OFFSET(A$1,,,SUMPRODUCT(MAX(ROW(E$1:E2550)*(E2=E$1:E2550))))))</f>
        <v> </v>
      </c>
      <c r="K2551" s="26" t="str">
        <f>IF(OR(E2551="",E2551="!!!",F2551="NEW"),"",INDEX(J$1:J2550,SUMPRODUCT(MAX(ROW(E$1:E2550)*(E2551=E$1:E2550)))))</f>
        <v> </v>
      </c>
      <c r="L2551" s="27"/>
    </row>
    <row r="2552" spans="1:12">
      <c r="A2552" s="20" t="s">
        <v>927</v>
      </c>
      <c r="B2552" s="21" t="s">
        <v>1165</v>
      </c>
      <c r="C2552" s="21" t="s">
        <v>602</v>
      </c>
      <c r="D2552" s="21" t="s">
        <v>603</v>
      </c>
      <c r="E2552" s="22">
        <f>IF(D2552="?OLD","!!!","")</f>
        <v/>
      </c>
      <c r="F2552" s="23" t="str">
        <f>IF(OR(E2552="",E2552="!!!"),"",IF(NOT(ISNA(VLOOKUP(E2552,E$1:E2551,1,FALSE()))),"OLD",IF(AND(E2552&lt;&gt;"",E2552&lt;&gt;"!!!"),"NEW","")))</f>
        <v> </v>
      </c>
      <c r="G2552" s="24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5" t="str">
        <f>IF(J2552&lt;&gt;1,"",IF(I2552="SBJ","CB","?"))</f>
        <v> </v>
      </c>
      <c r="I2552" s="26" t="str">
        <f>IF(OR(E2552="",E2552="!!!",F2552="NEW"),"",INDEX(B2551:B$2,-1+SUMPRODUCT(MAX(ROW(E2551:E$2)*(E2552=E2551:E$2)))))</f>
        <v> </v>
      </c>
      <c r="J2552" s="26" t="str">
        <f>IF(OR(E2552="",E2552="!!!",F2552="NEW"),"",COUNTBLANK(OFFSET(A$1,,,SUMPRODUCT(MAX(ROW(E$2:E2552)*(E2552=E$2:E2552)))))-COUNTBLANK(OFFSET(A$1,,,SUMPRODUCT(MAX(ROW(E$1:E2551)*(E2=E$1:E2551))))))</f>
        <v> </v>
      </c>
      <c r="K2552" s="26" t="str">
        <f>IF(OR(E2552="",E2552="!!!",F2552="NEW"),"",INDEX(J$1:J2551,SUMPRODUCT(MAX(ROW(E$1:E2551)*(E2552=E$1:E2551)))))</f>
        <v> </v>
      </c>
      <c r="L2552" s="27"/>
    </row>
    <row r="2553" spans="1:12">
      <c r="A2553" s="20" t="s">
        <v>1015</v>
      </c>
      <c r="E2553" s="22">
        <f>IF(D2553="?OLD","!!!","")</f>
        <v/>
      </c>
      <c r="F2553" s="23" t="str">
        <f>IF(OR(E2553="",E2553="!!!"),"",IF(NOT(ISNA(VLOOKUP(E2553,E$1:E2552,1,FALSE()))),"OLD",IF(AND(E2553&lt;&gt;"",E2553&lt;&gt;"!!!"),"NEW","")))</f>
        <v> </v>
      </c>
      <c r="G2553" s="24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5" t="str">
        <f>IF(J2553&lt;&gt;1,"",IF(I2553="SBJ","CB","?"))</f>
        <v> </v>
      </c>
      <c r="I2553" s="26" t="str">
        <f>IF(OR(E2553="",E2553="!!!",F2553="NEW"),"",INDEX(B2552:B$2,-1+SUMPRODUCT(MAX(ROW(E2552:E$2)*(E2553=E2552:E$2)))))</f>
        <v> </v>
      </c>
      <c r="J2553" s="26" t="str">
        <f>IF(OR(E2553="",E2553="!!!",F2553="NEW"),"",COUNTBLANK(OFFSET(A$1,,,SUMPRODUCT(MAX(ROW(E$2:E2553)*(E2553=E$2:E2553)))))-COUNTBLANK(OFFSET(A$1,,,SUMPRODUCT(MAX(ROW(E$1:E2552)*(E2=E$1:E2552))))))</f>
        <v> </v>
      </c>
      <c r="K2553" s="26" t="str">
        <f>IF(OR(E2553="",E2553="!!!",F2553="NEW"),"",INDEX(J$1:J2552,SUMPRODUCT(MAX(ROW(E$1:E2552)*(E2553=E$1:E2552)))))</f>
        <v> </v>
      </c>
      <c r="L2553" s="27"/>
    </row>
    <row r="2554" spans="1:12">
      <c r="A2554" s="20" t="s">
        <v>1832</v>
      </c>
      <c r="E2554" s="22">
        <f>IF(D2554="?OLD","!!!","")</f>
        <v/>
      </c>
      <c r="F2554" s="23" t="str">
        <f>IF(OR(E2554="",E2554="!!!"),"",IF(NOT(ISNA(VLOOKUP(E2554,E$1:E2553,1,FALSE()))),"OLD",IF(AND(E2554&lt;&gt;"",E2554&lt;&gt;"!!!"),"NEW","")))</f>
        <v> </v>
      </c>
      <c r="G2554" s="24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5" t="str">
        <f>IF(J2554&lt;&gt;1,"",IF(I2554="SBJ","CB","?"))</f>
        <v> </v>
      </c>
      <c r="I2554" s="26" t="str">
        <f>IF(OR(E2554="",E2554="!!!",F2554="NEW"),"",INDEX(B2553:B$2,-1+SUMPRODUCT(MAX(ROW(E2553:E$2)*(E2554=E2553:E$2)))))</f>
        <v> </v>
      </c>
      <c r="J2554" s="26" t="str">
        <f>IF(OR(E2554="",E2554="!!!",F2554="NEW"),"",COUNTBLANK(OFFSET(A$1,,,SUMPRODUCT(MAX(ROW(E$2:E2554)*(E2554=E$2:E2554)))))-COUNTBLANK(OFFSET(A$1,,,SUMPRODUCT(MAX(ROW(E$1:E2553)*(E2=E$1:E2553))))))</f>
        <v> </v>
      </c>
      <c r="K2554" s="26" t="str">
        <f>IF(OR(E2554="",E2554="!!!",F2554="NEW"),"",INDEX(J$1:J2553,SUMPRODUCT(MAX(ROW(E$1:E2553)*(E2554=E$1:E2553)))))</f>
        <v> </v>
      </c>
      <c r="L2554" s="27"/>
    </row>
    <row r="2555" spans="1:12">
      <c r="A2555" s="20" t="s">
        <v>611</v>
      </c>
      <c r="E2555" s="22">
        <f>IF(D2555="?OLD","!!!","")</f>
        <v/>
      </c>
      <c r="F2555" s="23" t="str">
        <f>IF(OR(E2555="",E2555="!!!"),"",IF(NOT(ISNA(VLOOKUP(E2555,E$1:E2554,1,FALSE()))),"OLD",IF(AND(E2555&lt;&gt;"",E2555&lt;&gt;"!!!"),"NEW","")))</f>
        <v> </v>
      </c>
      <c r="G2555" s="24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5" t="str">
        <f>IF(J2555&lt;&gt;1,"",IF(I2555="SBJ","CB","?"))</f>
        <v> </v>
      </c>
      <c r="I2555" s="26" t="str">
        <f>IF(OR(E2555="",E2555="!!!",F2555="NEW"),"",INDEX(B2554:B$2,-1+SUMPRODUCT(MAX(ROW(E2554:E$2)*(E2555=E2554:E$2)))))</f>
        <v> </v>
      </c>
      <c r="J2555" s="26" t="str">
        <f>IF(OR(E2555="",E2555="!!!",F2555="NEW"),"",COUNTBLANK(OFFSET(A$1,,,SUMPRODUCT(MAX(ROW(E$2:E2555)*(E2555=E$2:E2555)))))-COUNTBLANK(OFFSET(A$1,,,SUMPRODUCT(MAX(ROW(E$1:E2554)*(E2=E$1:E2554))))))</f>
        <v> </v>
      </c>
      <c r="K2555" s="26" t="str">
        <f>IF(OR(E2555="",E2555="!!!",F2555="NEW"),"",INDEX(J$1:J2554,SUMPRODUCT(MAX(ROW(E$1:E2554)*(E2555=E$1:E2554)))))</f>
        <v> </v>
      </c>
      <c r="L2555" s="27"/>
    </row>
    <row r="2556" spans="1:12">
      <c r="A2556" s="20" t="s">
        <v>646</v>
      </c>
      <c r="E2556" s="22">
        <f>IF(D2556="?OLD","!!!","")</f>
        <v/>
      </c>
      <c r="F2556" s="23" t="str">
        <f>IF(OR(E2556="",E2556="!!!"),"",IF(NOT(ISNA(VLOOKUP(E2556,E$1:E2555,1,FALSE()))),"OLD",IF(AND(E2556&lt;&gt;"",E2556&lt;&gt;"!!!"),"NEW","")))</f>
        <v> </v>
      </c>
      <c r="G2556" s="24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5" t="str">
        <f>IF(J2556&lt;&gt;1,"",IF(I2556="SBJ","CB","?"))</f>
        <v> </v>
      </c>
      <c r="I2556" s="26" t="str">
        <f>IF(OR(E2556="",E2556="!!!",F2556="NEW"),"",INDEX(B2555:B$2,-1+SUMPRODUCT(MAX(ROW(E2555:E$2)*(E2556=E2555:E$2)))))</f>
        <v> </v>
      </c>
      <c r="J2556" s="26" t="str">
        <f>IF(OR(E2556="",E2556="!!!",F2556="NEW"),"",COUNTBLANK(OFFSET(A$1,,,SUMPRODUCT(MAX(ROW(E$2:E2556)*(E2556=E$2:E2556)))))-COUNTBLANK(OFFSET(A$1,,,SUMPRODUCT(MAX(ROW(E$1:E2555)*(E2=E$1:E2555))))))</f>
        <v> </v>
      </c>
      <c r="K2556" s="26" t="str">
        <f>IF(OR(E2556="",E2556="!!!",F2556="NEW"),"",INDEX(J$1:J2555,SUMPRODUCT(MAX(ROW(E$1:E2555)*(E2556=E$1:E2555)))))</f>
        <v> </v>
      </c>
      <c r="L2556" s="27"/>
    </row>
    <row r="2557" spans="1:12">
      <c r="A2557" s="20" t="s">
        <v>1248</v>
      </c>
      <c r="E2557" s="22">
        <f>IF(D2557="?OLD","!!!","")</f>
        <v/>
      </c>
      <c r="F2557" s="23" t="str">
        <f>IF(OR(E2557="",E2557="!!!"),"",IF(NOT(ISNA(VLOOKUP(E2557,E$1:E2556,1,FALSE()))),"OLD",IF(AND(E2557&lt;&gt;"",E2557&lt;&gt;"!!!"),"NEW","")))</f>
        <v> </v>
      </c>
      <c r="G2557" s="24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5" t="str">
        <f>IF(J2557&lt;&gt;1,"",IF(I2557="SBJ","CB","?"))</f>
        <v> </v>
      </c>
      <c r="I2557" s="26" t="str">
        <f>IF(OR(E2557="",E2557="!!!",F2557="NEW"),"",INDEX(B2556:B$2,-1+SUMPRODUCT(MAX(ROW(E2556:E$2)*(E2557=E2556:E$2)))))</f>
        <v> </v>
      </c>
      <c r="J2557" s="26" t="str">
        <f>IF(OR(E2557="",E2557="!!!",F2557="NEW"),"",COUNTBLANK(OFFSET(A$1,,,SUMPRODUCT(MAX(ROW(E$2:E2557)*(E2557=E$2:E2557)))))-COUNTBLANK(OFFSET(A$1,,,SUMPRODUCT(MAX(ROW(E$1:E2556)*(E2=E$1:E2556))))))</f>
        <v> </v>
      </c>
      <c r="K2557" s="26" t="str">
        <f>IF(OR(E2557="",E2557="!!!",F2557="NEW"),"",INDEX(J$1:J2556,SUMPRODUCT(MAX(ROW(E$1:E2556)*(E2557=E$1:E2556)))))</f>
        <v> </v>
      </c>
      <c r="L2557" s="27"/>
    </row>
    <row r="2558" spans="1:12">
      <c r="A2558" s="20" t="s">
        <v>1833</v>
      </c>
      <c r="E2558" s="22">
        <f>IF(D2558="?OLD","!!!","")</f>
        <v/>
      </c>
      <c r="F2558" s="23" t="str">
        <f>IF(OR(E2558="",E2558="!!!"),"",IF(NOT(ISNA(VLOOKUP(E2558,E$1:E2557,1,FALSE()))),"OLD",IF(AND(E2558&lt;&gt;"",E2558&lt;&gt;"!!!"),"NEW","")))</f>
        <v> </v>
      </c>
      <c r="G2558" s="24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5" t="str">
        <f>IF(J2558&lt;&gt;1,"",IF(I2558="SBJ","CB","?"))</f>
        <v> </v>
      </c>
      <c r="I2558" s="26" t="str">
        <f>IF(OR(E2558="",E2558="!!!",F2558="NEW"),"",INDEX(B2557:B$2,-1+SUMPRODUCT(MAX(ROW(E2557:E$2)*(E2558=E2557:E$2)))))</f>
        <v> </v>
      </c>
      <c r="J2558" s="26" t="str">
        <f>IF(OR(E2558="",E2558="!!!",F2558="NEW"),"",COUNTBLANK(OFFSET(A$1,,,SUMPRODUCT(MAX(ROW(E$2:E2558)*(E2558=E$2:E2558)))))-COUNTBLANK(OFFSET(A$1,,,SUMPRODUCT(MAX(ROW(E$1:E2557)*(E2=E$1:E2557))))))</f>
        <v> </v>
      </c>
      <c r="K2558" s="26" t="str">
        <f>IF(OR(E2558="",E2558="!!!",F2558="NEW"),"",INDEX(J$1:J2557,SUMPRODUCT(MAX(ROW(E$1:E2557)*(E2558=E$1:E2557)))))</f>
        <v> </v>
      </c>
      <c r="L2558" s="27"/>
    </row>
    <row r="2559" spans="1:12">
      <c r="A2559" s="20" t="s">
        <v>927</v>
      </c>
      <c r="B2559" s="21" t="s">
        <v>793</v>
      </c>
      <c r="C2559" s="21" t="s">
        <v>602</v>
      </c>
      <c r="D2559" s="21" t="s">
        <v>603</v>
      </c>
      <c r="E2559" s="22">
        <f>IF(D2559="?OLD","!!!","")</f>
        <v/>
      </c>
      <c r="F2559" s="23" t="str">
        <f>IF(OR(E2559="",E2559="!!!"),"",IF(NOT(ISNA(VLOOKUP(E2559,E$1:E2558,1,FALSE()))),"OLD",IF(AND(E2559&lt;&gt;"",E2559&lt;&gt;"!!!"),"NEW","")))</f>
        <v> </v>
      </c>
      <c r="G2559" s="24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5" t="str">
        <f>IF(J2559&lt;&gt;1,"",IF(I2559="SBJ","CB","?"))</f>
        <v> </v>
      </c>
      <c r="I2559" s="26" t="str">
        <f>IF(OR(E2559="",E2559="!!!",F2559="NEW"),"",INDEX(B2558:B$2,-1+SUMPRODUCT(MAX(ROW(E2558:E$2)*(E2559=E2558:E$2)))))</f>
        <v> </v>
      </c>
      <c r="J2559" s="26" t="str">
        <f>IF(OR(E2559="",E2559="!!!",F2559="NEW"),"",COUNTBLANK(OFFSET(A$1,,,SUMPRODUCT(MAX(ROW(E$2:E2559)*(E2559=E$2:E2559)))))-COUNTBLANK(OFFSET(A$1,,,SUMPRODUCT(MAX(ROW(E$1:E2558)*(E2=E$1:E2558))))))</f>
        <v> </v>
      </c>
      <c r="K2559" s="26" t="str">
        <f>IF(OR(E2559="",E2559="!!!",F2559="NEW"),"",INDEX(J$1:J2558,SUMPRODUCT(MAX(ROW(E$1:E2558)*(E2559=E$1:E2558)))))</f>
        <v> </v>
      </c>
      <c r="L2559" s="27"/>
    </row>
    <row r="2560" spans="1:12">
      <c r="A2560" s="20" t="s">
        <v>861</v>
      </c>
      <c r="E2560" s="22">
        <f>IF(D2560="?OLD","!!!","")</f>
        <v/>
      </c>
      <c r="F2560" s="23" t="str">
        <f>IF(OR(E2560="",E2560="!!!"),"",IF(NOT(ISNA(VLOOKUP(E2560,E$1:E2559,1,FALSE()))),"OLD",IF(AND(E2560&lt;&gt;"",E2560&lt;&gt;"!!!"),"NEW","")))</f>
        <v> </v>
      </c>
      <c r="G2560" s="24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5" t="str">
        <f>IF(J2560&lt;&gt;1,"",IF(I2560="SBJ","CB","?"))</f>
        <v> </v>
      </c>
      <c r="I2560" s="26" t="str">
        <f>IF(OR(E2560="",E2560="!!!",F2560="NEW"),"",INDEX(B2559:B$2,-1+SUMPRODUCT(MAX(ROW(E2559:E$2)*(E2560=E2559:E$2)))))</f>
        <v> </v>
      </c>
      <c r="J2560" s="26" t="str">
        <f>IF(OR(E2560="",E2560="!!!",F2560="NEW"),"",COUNTBLANK(OFFSET(A$1,,,SUMPRODUCT(MAX(ROW(E$2:E2560)*(E2560=E$2:E2560)))))-COUNTBLANK(OFFSET(A$1,,,SUMPRODUCT(MAX(ROW(E$1:E2559)*(E2=E$1:E2559))))))</f>
        <v> </v>
      </c>
      <c r="K2560" s="26" t="str">
        <f>IF(OR(E2560="",E2560="!!!",F2560="NEW"),"",INDEX(J$1:J2559,SUMPRODUCT(MAX(ROW(E$1:E2559)*(E2560=E$1:E2559)))))</f>
        <v> </v>
      </c>
      <c r="L2560" s="27"/>
    </row>
    <row r="2561" spans="1:12">
      <c r="A2561" s="20" t="s">
        <v>1834</v>
      </c>
      <c r="E2561" s="22">
        <f>IF(D2561="?OLD","!!!","")</f>
        <v/>
      </c>
      <c r="F2561" s="23" t="str">
        <f>IF(OR(E2561="",E2561="!!!"),"",IF(NOT(ISNA(VLOOKUP(E2561,E$1:E2560,1,FALSE()))),"OLD",IF(AND(E2561&lt;&gt;"",E2561&lt;&gt;"!!!"),"NEW","")))</f>
        <v> </v>
      </c>
      <c r="G2561" s="24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5" t="str">
        <f>IF(J2561&lt;&gt;1,"",IF(I2561="SBJ","CB","?"))</f>
        <v> </v>
      </c>
      <c r="I2561" s="26" t="str">
        <f>IF(OR(E2561="",E2561="!!!",F2561="NEW"),"",INDEX(B2560:B$2,-1+SUMPRODUCT(MAX(ROW(E2560:E$2)*(E2561=E2560:E$2)))))</f>
        <v> </v>
      </c>
      <c r="J2561" s="26" t="str">
        <f>IF(OR(E2561="",E2561="!!!",F2561="NEW"),"",COUNTBLANK(OFFSET(A$1,,,SUMPRODUCT(MAX(ROW(E$2:E2561)*(E2561=E$2:E2561)))))-COUNTBLANK(OFFSET(A$1,,,SUMPRODUCT(MAX(ROW(E$1:E2560)*(E2=E$1:E2560))))))</f>
        <v> </v>
      </c>
      <c r="K2561" s="26" t="str">
        <f>IF(OR(E2561="",E2561="!!!",F2561="NEW"),"",INDEX(J$1:J2560,SUMPRODUCT(MAX(ROW(E$1:E2560)*(E2561=E$1:E2560)))))</f>
        <v> </v>
      </c>
      <c r="L2561" s="27"/>
    </row>
    <row r="2562" spans="1:12">
      <c r="A2562" s="20" t="s">
        <v>1835</v>
      </c>
      <c r="B2562" s="21" t="s">
        <v>793</v>
      </c>
      <c r="E2562" s="22">
        <f>IF(D2562="?OLD","!!!","")</f>
        <v/>
      </c>
      <c r="F2562" s="23" t="str">
        <f>IF(OR(E2562="",E2562="!!!"),"",IF(NOT(ISNA(VLOOKUP(E2562,E$1:E2561,1,FALSE()))),"OLD",IF(AND(E2562&lt;&gt;"",E2562&lt;&gt;"!!!"),"NEW","")))</f>
        <v> </v>
      </c>
      <c r="G2562" s="24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5" t="str">
        <f>IF(J2562&lt;&gt;1,"",IF(I2562="SBJ","CB","?"))</f>
        <v> </v>
      </c>
      <c r="I2562" s="26" t="str">
        <f>IF(OR(E2562="",E2562="!!!",F2562="NEW"),"",INDEX(B2561:B$2,-1+SUMPRODUCT(MAX(ROW(E2561:E$2)*(E2562=E2561:E$2)))))</f>
        <v> </v>
      </c>
      <c r="J2562" s="26" t="str">
        <f>IF(OR(E2562="",E2562="!!!",F2562="NEW"),"",COUNTBLANK(OFFSET(A$1,,,SUMPRODUCT(MAX(ROW(E$2:E2562)*(E2562=E$2:E2562)))))-COUNTBLANK(OFFSET(A$1,,,SUMPRODUCT(MAX(ROW(E$1:E2561)*(E2=E$1:E2561))))))</f>
        <v> </v>
      </c>
      <c r="K2562" s="26" t="str">
        <f>IF(OR(E2562="",E2562="!!!",F2562="NEW"),"",INDEX(J$1:J2561,SUMPRODUCT(MAX(ROW(E$1:E2561)*(E2562=E$1:E2561)))))</f>
        <v> </v>
      </c>
      <c r="L2562" s="27"/>
    </row>
    <row r="2563" spans="1:12">
      <c r="A2563" s="20" t="s">
        <v>633</v>
      </c>
      <c r="E2563" s="22">
        <f>IF(D2563="?OLD","!!!","")</f>
        <v/>
      </c>
      <c r="F2563" s="23" t="str">
        <f>IF(OR(E2563="",E2563="!!!"),"",IF(NOT(ISNA(VLOOKUP(E2563,E$1:E2562,1,FALSE()))),"OLD",IF(AND(E2563&lt;&gt;"",E2563&lt;&gt;"!!!"),"NEW","")))</f>
        <v> </v>
      </c>
      <c r="G2563" s="24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5" t="str">
        <f>IF(J2563&lt;&gt;1,"",IF(I2563="SBJ","CB","?"))</f>
        <v> </v>
      </c>
      <c r="I2563" s="26" t="str">
        <f>IF(OR(E2563="",E2563="!!!",F2563="NEW"),"",INDEX(B2562:B$2,-1+SUMPRODUCT(MAX(ROW(E2562:E$2)*(E2563=E2562:E$2)))))</f>
        <v> </v>
      </c>
      <c r="J2563" s="26" t="str">
        <f>IF(OR(E2563="",E2563="!!!",F2563="NEW"),"",COUNTBLANK(OFFSET(A$1,,,SUMPRODUCT(MAX(ROW(E$2:E2563)*(E2563=E$2:E2563)))))-COUNTBLANK(OFFSET(A$1,,,SUMPRODUCT(MAX(ROW(E$1:E2562)*(E2=E$1:E2562))))))</f>
        <v> </v>
      </c>
      <c r="K2563" s="26" t="str">
        <f>IF(OR(E2563="",E2563="!!!",F2563="NEW"),"",INDEX(J$1:J2562,SUMPRODUCT(MAX(ROW(E$1:E2562)*(E2563=E$1:E2562)))))</f>
        <v> </v>
      </c>
      <c r="L2563" s="27"/>
    </row>
    <row r="2564" spans="1:12">
      <c r="A2564" s="20"/>
    </row>
    <row r="2565" spans="1:12">
      <c r="A2565" s="20" t="s">
        <v>1836</v>
      </c>
    </row>
    <row r="2566" spans="1:12">
      <c r="A2566" s="20" t="s">
        <v>1677</v>
      </c>
      <c r="E2566" s="22">
        <f>IF(D2566="?OLD","!!!","")</f>
        <v/>
      </c>
      <c r="F2566" s="23" t="str">
        <f>IF(OR(E2566="",E2566="!!!"),"",IF(NOT(ISNA(VLOOKUP(E2566,E$1:E2565,1,FALSE()))),"OLD",IF(AND(E2566&lt;&gt;"",E2566&lt;&gt;"!!!"),"NEW","")))</f>
        <v> </v>
      </c>
      <c r="G2566" s="24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5" t="str">
        <f>IF(J2566&lt;&gt;1,"",IF(I2566="SBJ","CB","?"))</f>
        <v> </v>
      </c>
      <c r="I2566" s="26" t="str">
        <f>IF(OR(E2566="",E2566="!!!",F2566="NEW"),"",INDEX(B2565:B$2,-1+SUMPRODUCT(MAX(ROW(E2565:E$2)*(E2566=E2565:E$2)))))</f>
        <v> </v>
      </c>
      <c r="J2566" s="26" t="str">
        <f>IF(OR(E2566="",E2566="!!!",F2566="NEW"),"",COUNTBLANK(OFFSET(A$1,,,SUMPRODUCT(MAX(ROW(E$2:E2566)*(E2566=E$2:E2566)))))-COUNTBLANK(OFFSET(A$1,,,SUMPRODUCT(MAX(ROW(E$1:E2565)*(E2=E$1:E2565))))))</f>
        <v> </v>
      </c>
      <c r="K2566" s="26" t="str">
        <f>IF(OR(E2566="",E2566="!!!",F2566="NEW"),"",INDEX(J$1:J2565,SUMPRODUCT(MAX(ROW(E$1:E2565)*(E2566=E$1:E2565)))))</f>
        <v> </v>
      </c>
      <c r="L2566" s="27"/>
    </row>
    <row r="2567" spans="1:12">
      <c r="A2567" s="20" t="s">
        <v>1837</v>
      </c>
      <c r="E2567" s="22">
        <f>IF(D2567="?OLD","!!!","")</f>
        <v/>
      </c>
      <c r="F2567" s="23" t="str">
        <f>IF(OR(E2567="",E2567="!!!"),"",IF(NOT(ISNA(VLOOKUP(E2567,E$1:E2566,1,FALSE()))),"OLD",IF(AND(E2567&lt;&gt;"",E2567&lt;&gt;"!!!"),"NEW","")))</f>
        <v> </v>
      </c>
      <c r="G2567" s="24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5" t="str">
        <f>IF(J2567&lt;&gt;1,"",IF(I2567="SBJ","CB","?"))</f>
        <v> </v>
      </c>
      <c r="I2567" s="26" t="str">
        <f>IF(OR(E2567="",E2567="!!!",F2567="NEW"),"",INDEX(B2566:B$2,-1+SUMPRODUCT(MAX(ROW(E2566:E$2)*(E2567=E2566:E$2)))))</f>
        <v> </v>
      </c>
      <c r="J2567" s="26" t="str">
        <f>IF(OR(E2567="",E2567="!!!",F2567="NEW"),"",COUNTBLANK(OFFSET(A$1,,,SUMPRODUCT(MAX(ROW(E$2:E2567)*(E2567=E$2:E2567)))))-COUNTBLANK(OFFSET(A$1,,,SUMPRODUCT(MAX(ROW(E$1:E2566)*(E2=E$1:E2566))))))</f>
        <v> </v>
      </c>
      <c r="K2567" s="26" t="str">
        <f>IF(OR(E2567="",E2567="!!!",F2567="NEW"),"",INDEX(J$1:J2566,SUMPRODUCT(MAX(ROW(E$1:E2566)*(E2567=E$1:E2566)))))</f>
        <v> </v>
      </c>
      <c r="L2567" s="27"/>
    </row>
    <row r="2568" spans="1:12">
      <c r="A2568" s="20" t="s">
        <v>1838</v>
      </c>
      <c r="B2568" s="21" t="s">
        <v>652</v>
      </c>
      <c r="E2568" s="22">
        <f>IF(D2568="?OLD","!!!","")</f>
        <v/>
      </c>
      <c r="F2568" s="23" t="str">
        <f>IF(OR(E2568="",E2568="!!!"),"",IF(NOT(ISNA(VLOOKUP(E2568,E$1:E2567,1,FALSE()))),"OLD",IF(AND(E2568&lt;&gt;"",E2568&lt;&gt;"!!!"),"NEW","")))</f>
        <v> </v>
      </c>
      <c r="G2568" s="24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5" t="str">
        <f>IF(J2568&lt;&gt;1,"",IF(I2568="SBJ","CB","?"))</f>
        <v> </v>
      </c>
      <c r="I2568" s="26" t="str">
        <f>IF(OR(E2568="",E2568="!!!",F2568="NEW"),"",INDEX(B2567:B$2,-1+SUMPRODUCT(MAX(ROW(E2567:E$2)*(E2568=E2567:E$2)))))</f>
        <v> </v>
      </c>
      <c r="J2568" s="26" t="str">
        <f>IF(OR(E2568="",E2568="!!!",F2568="NEW"),"",COUNTBLANK(OFFSET(A$1,,,SUMPRODUCT(MAX(ROW(E$2:E2568)*(E2568=E$2:E2568)))))-COUNTBLANK(OFFSET(A$1,,,SUMPRODUCT(MAX(ROW(E$1:E2567)*(E2=E$1:E2567))))))</f>
        <v> </v>
      </c>
      <c r="K2568" s="26" t="str">
        <f>IF(OR(E2568="",E2568="!!!",F2568="NEW"),"",INDEX(J$1:J2567,SUMPRODUCT(MAX(ROW(E$1:E2567)*(E2568=E$1:E2567)))))</f>
        <v> </v>
      </c>
      <c r="L2568" s="27"/>
    </row>
    <row r="2569" spans="1:12">
      <c r="A2569" s="20" t="s">
        <v>672</v>
      </c>
      <c r="E2569" s="22">
        <f>IF(D2569="?OLD","!!!","")</f>
        <v/>
      </c>
      <c r="F2569" s="23" t="str">
        <f>IF(OR(E2569="",E2569="!!!"),"",IF(NOT(ISNA(VLOOKUP(E2569,E$1:E2568,1,FALSE()))),"OLD",IF(AND(E2569&lt;&gt;"",E2569&lt;&gt;"!!!"),"NEW","")))</f>
        <v> </v>
      </c>
      <c r="G2569" s="24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5" t="str">
        <f>IF(J2569&lt;&gt;1,"",IF(I2569="SBJ","CB","?"))</f>
        <v> </v>
      </c>
      <c r="I2569" s="26" t="str">
        <f>IF(OR(E2569="",E2569="!!!",F2569="NEW"),"",INDEX(B2568:B$2,-1+SUMPRODUCT(MAX(ROW(E2568:E$2)*(E2569=E2568:E$2)))))</f>
        <v> </v>
      </c>
      <c r="J2569" s="26" t="str">
        <f>IF(OR(E2569="",E2569="!!!",F2569="NEW"),"",COUNTBLANK(OFFSET(A$1,,,SUMPRODUCT(MAX(ROW(E$2:E2569)*(E2569=E$2:E2569)))))-COUNTBLANK(OFFSET(A$1,,,SUMPRODUCT(MAX(ROW(E$1:E2568)*(E2=E$1:E2568))))))</f>
        <v> </v>
      </c>
      <c r="K2569" s="26" t="str">
        <f>IF(OR(E2569="",E2569="!!!",F2569="NEW"),"",INDEX(J$1:J2568,SUMPRODUCT(MAX(ROW(E$1:E2568)*(E2569=E$1:E2568)))))</f>
        <v> </v>
      </c>
      <c r="L2569" s="27"/>
    </row>
    <row r="2570" spans="1:12">
      <c r="A2570" s="20" t="s">
        <v>1707</v>
      </c>
      <c r="B2570" s="21" t="s">
        <v>659</v>
      </c>
      <c r="E2570" s="22">
        <f>IF(D2570="?OLD","!!!","")</f>
        <v/>
      </c>
      <c r="F2570" s="23" t="str">
        <f>IF(OR(E2570="",E2570="!!!"),"",IF(NOT(ISNA(VLOOKUP(E2570,E$1:E2569,1,FALSE()))),"OLD",IF(AND(E2570&lt;&gt;"",E2570&lt;&gt;"!!!"),"NEW","")))</f>
        <v> </v>
      </c>
      <c r="G2570" s="24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5" t="str">
        <f>IF(J2570&lt;&gt;1,"",IF(I2570="SBJ","CB","?"))</f>
        <v> </v>
      </c>
      <c r="I2570" s="26" t="str">
        <f>IF(OR(E2570="",E2570="!!!",F2570="NEW"),"",INDEX(B2569:B$2,-1+SUMPRODUCT(MAX(ROW(E2569:E$2)*(E2570=E2569:E$2)))))</f>
        <v> </v>
      </c>
      <c r="J2570" s="26" t="str">
        <f>IF(OR(E2570="",E2570="!!!",F2570="NEW"),"",COUNTBLANK(OFFSET(A$1,,,SUMPRODUCT(MAX(ROW(E$2:E2570)*(E2570=E$2:E2570)))))-COUNTBLANK(OFFSET(A$1,,,SUMPRODUCT(MAX(ROW(E$1:E2569)*(E2=E$1:E2569))))))</f>
        <v> </v>
      </c>
      <c r="K2570" s="26" t="str">
        <f>IF(OR(E2570="",E2570="!!!",F2570="NEW"),"",INDEX(J$1:J2569,SUMPRODUCT(MAX(ROW(E$1:E2569)*(E2570=E$1:E2569)))))</f>
        <v> </v>
      </c>
      <c r="L2570" s="27"/>
    </row>
    <row r="2571" spans="1:12">
      <c r="A2571" s="20" t="s">
        <v>1708</v>
      </c>
      <c r="B2571" s="21" t="s">
        <v>620</v>
      </c>
      <c r="C2571" s="21" t="s">
        <v>631</v>
      </c>
      <c r="D2571" s="21" t="s">
        <v>603</v>
      </c>
      <c r="E2571" s="22">
        <f>IF(D2571="?OLD","!!!","")</f>
        <v/>
      </c>
      <c r="F2571" s="23" t="str">
        <f>IF(OR(E2571="",E2571="!!!"),"",IF(NOT(ISNA(VLOOKUP(E2571,E$1:E2570,1,FALSE()))),"OLD",IF(AND(E2571&lt;&gt;"",E2571&lt;&gt;"!!!"),"NEW","")))</f>
        <v> </v>
      </c>
      <c r="G2571" s="24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5" t="str">
        <f>IF(J2571&lt;&gt;1,"",IF(I2571="SBJ","CB","?"))</f>
        <v> </v>
      </c>
      <c r="I2571" s="26" t="str">
        <f>IF(OR(E2571="",E2571="!!!",F2571="NEW"),"",INDEX(B2570:B$2,-1+SUMPRODUCT(MAX(ROW(E2570:E$2)*(E2571=E2570:E$2)))))</f>
        <v> </v>
      </c>
      <c r="J2571" s="26" t="str">
        <f>IF(OR(E2571="",E2571="!!!",F2571="NEW"),"",COUNTBLANK(OFFSET(A$1,,,SUMPRODUCT(MAX(ROW(E$2:E2571)*(E2571=E$2:E2571)))))-COUNTBLANK(OFFSET(A$1,,,SUMPRODUCT(MAX(ROW(E$1:E2570)*(E2=E$1:E2570))))))</f>
        <v> </v>
      </c>
      <c r="K2571" s="26" t="str">
        <f>IF(OR(E2571="",E2571="!!!",F2571="NEW"),"",INDEX(J$1:J2570,SUMPRODUCT(MAX(ROW(E$1:E2570)*(E2571=E$1:E2570)))))</f>
        <v> </v>
      </c>
      <c r="L2571" s="27"/>
    </row>
    <row r="2572" spans="1:12">
      <c r="A2572" s="20" t="s">
        <v>1839</v>
      </c>
      <c r="E2572" s="22">
        <f>IF(D2572="?OLD","!!!","")</f>
        <v/>
      </c>
      <c r="F2572" s="23" t="str">
        <f>IF(OR(E2572="",E2572="!!!"),"",IF(NOT(ISNA(VLOOKUP(E2572,E$1:E2571,1,FALSE()))),"OLD",IF(AND(E2572&lt;&gt;"",E2572&lt;&gt;"!!!"),"NEW","")))</f>
        <v> </v>
      </c>
      <c r="G2572" s="24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5" t="str">
        <f>IF(J2572&lt;&gt;1,"",IF(I2572="SBJ","CB","?"))</f>
        <v> </v>
      </c>
      <c r="I2572" s="26" t="str">
        <f>IF(OR(E2572="",E2572="!!!",F2572="NEW"),"",INDEX(B2571:B$2,-1+SUMPRODUCT(MAX(ROW(E2571:E$2)*(E2572=E2571:E$2)))))</f>
        <v> </v>
      </c>
      <c r="J2572" s="26" t="str">
        <f>IF(OR(E2572="",E2572="!!!",F2572="NEW"),"",COUNTBLANK(OFFSET(A$1,,,SUMPRODUCT(MAX(ROW(E$2:E2572)*(E2572=E$2:E2572)))))-COUNTBLANK(OFFSET(A$1,,,SUMPRODUCT(MAX(ROW(E$1:E2571)*(E2=E$1:E2571))))))</f>
        <v> </v>
      </c>
      <c r="K2572" s="26" t="str">
        <f>IF(OR(E2572="",E2572="!!!",F2572="NEW"),"",INDEX(J$1:J2571,SUMPRODUCT(MAX(ROW(E$1:E2571)*(E2572=E$1:E2571)))))</f>
        <v> </v>
      </c>
      <c r="L2572" s="27"/>
    </row>
    <row r="2573" spans="1:12">
      <c r="A2573" s="20" t="s">
        <v>1840</v>
      </c>
      <c r="E2573" s="22">
        <f>IF(D2573="?OLD","!!!","")</f>
        <v/>
      </c>
      <c r="F2573" s="23" t="str">
        <f>IF(OR(E2573="",E2573="!!!"),"",IF(NOT(ISNA(VLOOKUP(E2573,E$1:E2572,1,FALSE()))),"OLD",IF(AND(E2573&lt;&gt;"",E2573&lt;&gt;"!!!"),"NEW","")))</f>
        <v> </v>
      </c>
      <c r="G2573" s="24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5" t="str">
        <f>IF(J2573&lt;&gt;1,"",IF(I2573="SBJ","CB","?"))</f>
        <v> </v>
      </c>
      <c r="I2573" s="26" t="str">
        <f>IF(OR(E2573="",E2573="!!!",F2573="NEW"),"",INDEX(B2572:B$2,-1+SUMPRODUCT(MAX(ROW(E2572:E$2)*(E2573=E2572:E$2)))))</f>
        <v> </v>
      </c>
      <c r="J2573" s="26" t="str">
        <f>IF(OR(E2573="",E2573="!!!",F2573="NEW"),"",COUNTBLANK(OFFSET(A$1,,,SUMPRODUCT(MAX(ROW(E$2:E2573)*(E2573=E$2:E2573)))))-COUNTBLANK(OFFSET(A$1,,,SUMPRODUCT(MAX(ROW(E$1:E2572)*(E2=E$1:E2572))))))</f>
        <v> </v>
      </c>
      <c r="K2573" s="26" t="str">
        <f>IF(OR(E2573="",E2573="!!!",F2573="NEW"),"",INDEX(J$1:J2572,SUMPRODUCT(MAX(ROW(E$1:E2572)*(E2573=E$1:E2572)))))</f>
        <v> </v>
      </c>
      <c r="L2573" s="27"/>
    </row>
    <row r="2574" spans="1:12">
      <c r="A2574" s="20" t="s">
        <v>1566</v>
      </c>
      <c r="B2574" s="21" t="s">
        <v>793</v>
      </c>
      <c r="E2574" s="22">
        <f>IF(D2574="?OLD","!!!","")</f>
        <v/>
      </c>
      <c r="F2574" s="23" t="str">
        <f>IF(OR(E2574="",E2574="!!!"),"",IF(NOT(ISNA(VLOOKUP(E2574,E$1:E2573,1,FALSE()))),"OLD",IF(AND(E2574&lt;&gt;"",E2574&lt;&gt;"!!!"),"NEW","")))</f>
        <v> </v>
      </c>
      <c r="G2574" s="24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5" t="str">
        <f>IF(J2574&lt;&gt;1,"",IF(I2574="SBJ","CB","?"))</f>
        <v> </v>
      </c>
      <c r="I2574" s="26" t="str">
        <f>IF(OR(E2574="",E2574="!!!",F2574="NEW"),"",INDEX(B2573:B$2,-1+SUMPRODUCT(MAX(ROW(E2573:E$2)*(E2574=E2573:E$2)))))</f>
        <v> </v>
      </c>
      <c r="J2574" s="26" t="str">
        <f>IF(OR(E2574="",E2574="!!!",F2574="NEW"),"",COUNTBLANK(OFFSET(A$1,,,SUMPRODUCT(MAX(ROW(E$2:E2574)*(E2574=E$2:E2574)))))-COUNTBLANK(OFFSET(A$1,,,SUMPRODUCT(MAX(ROW(E$1:E2573)*(E2=E$1:E2573))))))</f>
        <v> </v>
      </c>
      <c r="K2574" s="26" t="str">
        <f>IF(OR(E2574="",E2574="!!!",F2574="NEW"),"",INDEX(J$1:J2573,SUMPRODUCT(MAX(ROW(E$1:E2573)*(E2574=E$1:E2573)))))</f>
        <v> </v>
      </c>
      <c r="L2574" s="27"/>
    </row>
    <row r="2575" spans="1:12">
      <c r="A2575" s="20" t="s">
        <v>633</v>
      </c>
      <c r="E2575" s="22">
        <f>IF(D2575="?OLD","!!!","")</f>
        <v/>
      </c>
      <c r="F2575" s="23" t="str">
        <f>IF(OR(E2575="",E2575="!!!"),"",IF(NOT(ISNA(VLOOKUP(E2575,E$1:E2574,1,FALSE()))),"OLD",IF(AND(E2575&lt;&gt;"",E2575&lt;&gt;"!!!"),"NEW","")))</f>
        <v> </v>
      </c>
      <c r="G2575" s="24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5" t="str">
        <f>IF(J2575&lt;&gt;1,"",IF(I2575="SBJ","CB","?"))</f>
        <v> </v>
      </c>
      <c r="I2575" s="26" t="str">
        <f>IF(OR(E2575="",E2575="!!!",F2575="NEW"),"",INDEX(B2574:B$2,-1+SUMPRODUCT(MAX(ROW(E2574:E$2)*(E2575=E2574:E$2)))))</f>
        <v> </v>
      </c>
      <c r="J2575" s="26" t="str">
        <f>IF(OR(E2575="",E2575="!!!",F2575="NEW"),"",COUNTBLANK(OFFSET(A$1,,,SUMPRODUCT(MAX(ROW(E$2:E2575)*(E2575=E$2:E2575)))))-COUNTBLANK(OFFSET(A$1,,,SUMPRODUCT(MAX(ROW(E$1:E2574)*(E2=E$1:E2574))))))</f>
        <v> </v>
      </c>
      <c r="K2575" s="26" t="str">
        <f>IF(OR(E2575="",E2575="!!!",F2575="NEW"),"",INDEX(J$1:J2574,SUMPRODUCT(MAX(ROW(E$1:E2574)*(E2575=E$1:E2574)))))</f>
        <v> </v>
      </c>
      <c r="L2575" s="27"/>
    </row>
    <row r="2576" spans="1:12">
      <c r="A2576" s="20"/>
    </row>
    <row r="2577" spans="1:12">
      <c r="A2577" s="20" t="s">
        <v>1841</v>
      </c>
    </row>
    <row r="2578" spans="1:12">
      <c r="A2578" s="20" t="s">
        <v>1746</v>
      </c>
      <c r="B2578" s="21" t="s">
        <v>601</v>
      </c>
      <c r="C2578" s="21" t="s">
        <v>602</v>
      </c>
      <c r="D2578" s="21" t="s">
        <v>603</v>
      </c>
      <c r="E2578" s="22">
        <f>IF(D2578="?OLD","!!!","")</f>
        <v/>
      </c>
      <c r="F2578" s="23" t="str">
        <f>IF(OR(E2578="",E2578="!!!"),"",IF(NOT(ISNA(VLOOKUP(E2578,E$1:E2577,1,FALSE()))),"OLD",IF(AND(E2578&lt;&gt;"",E2578&lt;&gt;"!!!"),"NEW","")))</f>
        <v> </v>
      </c>
      <c r="G2578" s="24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5" t="str">
        <f>IF(J2578&lt;&gt;1,"",IF(I2578="SBJ","CB","?"))</f>
        <v> </v>
      </c>
      <c r="I2578" s="26" t="str">
        <f>IF(OR(E2578="",E2578="!!!",F2578="NEW"),"",INDEX(B2577:B$2,-1+SUMPRODUCT(MAX(ROW(E2577:E$2)*(E2578=E2577:E$2)))))</f>
        <v> </v>
      </c>
      <c r="J2578" s="26" t="str">
        <f>IF(OR(E2578="",E2578="!!!",F2578="NEW"),"",COUNTBLANK(OFFSET(A$1,,,SUMPRODUCT(MAX(ROW(E$2:E2578)*(E2578=E$2:E2578)))))-COUNTBLANK(OFFSET(A$1,,,SUMPRODUCT(MAX(ROW(E$1:E2577)*(E2=E$1:E2577))))))</f>
        <v> </v>
      </c>
      <c r="K2578" s="26" t="str">
        <f>IF(OR(E2578="",E2578="!!!",F2578="NEW"),"",INDEX(J$1:J2577,SUMPRODUCT(MAX(ROW(E$1:E2577)*(E2578=E$1:E2577)))))</f>
        <v> </v>
      </c>
      <c r="L2578" s="27"/>
    </row>
    <row r="2579" spans="1:12">
      <c r="A2579" s="20" t="s">
        <v>1842</v>
      </c>
      <c r="E2579" s="22">
        <f>IF(D2579="?OLD","!!!","")</f>
        <v/>
      </c>
      <c r="F2579" s="23" t="str">
        <f>IF(OR(E2579="",E2579="!!!"),"",IF(NOT(ISNA(VLOOKUP(E2579,E$1:E2578,1,FALSE()))),"OLD",IF(AND(E2579&lt;&gt;"",E2579&lt;&gt;"!!!"),"NEW","")))</f>
        <v> </v>
      </c>
      <c r="G2579" s="24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5" t="str">
        <f>IF(J2579&lt;&gt;1,"",IF(I2579="SBJ","CB","?"))</f>
        <v> </v>
      </c>
      <c r="I2579" s="26" t="str">
        <f>IF(OR(E2579="",E2579="!!!",F2579="NEW"),"",INDEX(B2578:B$2,-1+SUMPRODUCT(MAX(ROW(E2578:E$2)*(E2579=E2578:E$2)))))</f>
        <v> </v>
      </c>
      <c r="J2579" s="26" t="str">
        <f>IF(OR(E2579="",E2579="!!!",F2579="NEW"),"",COUNTBLANK(OFFSET(A$1,,,SUMPRODUCT(MAX(ROW(E$2:E2579)*(E2579=E$2:E2579)))))-COUNTBLANK(OFFSET(A$1,,,SUMPRODUCT(MAX(ROW(E$1:E2578)*(E2=E$1:E2578))))))</f>
        <v> </v>
      </c>
      <c r="K2579" s="26" t="str">
        <f>IF(OR(E2579="",E2579="!!!",F2579="NEW"),"",INDEX(J$1:J2578,SUMPRODUCT(MAX(ROW(E$1:E2578)*(E2579=E$1:E2578)))))</f>
        <v> </v>
      </c>
      <c r="L2579" s="27"/>
    </row>
    <row r="2580" spans="1:12">
      <c r="A2580" s="20" t="s">
        <v>611</v>
      </c>
      <c r="E2580" s="22">
        <f>IF(D2580="?OLD","!!!","")</f>
        <v/>
      </c>
      <c r="F2580" s="23" t="str">
        <f>IF(OR(E2580="",E2580="!!!"),"",IF(NOT(ISNA(VLOOKUP(E2580,E$1:E2579,1,FALSE()))),"OLD",IF(AND(E2580&lt;&gt;"",E2580&lt;&gt;"!!!"),"NEW","")))</f>
        <v> </v>
      </c>
      <c r="G2580" s="24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5" t="str">
        <f>IF(J2580&lt;&gt;1,"",IF(I2580="SBJ","CB","?"))</f>
        <v> </v>
      </c>
      <c r="I2580" s="26" t="str">
        <f>IF(OR(E2580="",E2580="!!!",F2580="NEW"),"",INDEX(B2579:B$2,-1+SUMPRODUCT(MAX(ROW(E2579:E$2)*(E2580=E2579:E$2)))))</f>
        <v> </v>
      </c>
      <c r="J2580" s="26" t="str">
        <f>IF(OR(E2580="",E2580="!!!",F2580="NEW"),"",COUNTBLANK(OFFSET(A$1,,,SUMPRODUCT(MAX(ROW(E$2:E2580)*(E2580=E$2:E2580)))))-COUNTBLANK(OFFSET(A$1,,,SUMPRODUCT(MAX(ROW(E$1:E2579)*(E2=E$1:E2579))))))</f>
        <v> </v>
      </c>
      <c r="K2580" s="26" t="str">
        <f>IF(OR(E2580="",E2580="!!!",F2580="NEW"),"",INDEX(J$1:J2579,SUMPRODUCT(MAX(ROW(E$1:E2579)*(E2580=E$1:E2579)))))</f>
        <v> </v>
      </c>
      <c r="L2580" s="27"/>
    </row>
    <row r="2581" spans="1:12">
      <c r="A2581" s="20" t="s">
        <v>658</v>
      </c>
      <c r="E2581" s="22">
        <f>IF(D2581="?OLD","!!!","")</f>
        <v/>
      </c>
      <c r="F2581" s="23" t="str">
        <f>IF(OR(E2581="",E2581="!!!"),"",IF(NOT(ISNA(VLOOKUP(E2581,E$1:E2580,1,FALSE()))),"OLD",IF(AND(E2581&lt;&gt;"",E2581&lt;&gt;"!!!"),"NEW","")))</f>
        <v> </v>
      </c>
      <c r="G2581" s="24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5" t="str">
        <f>IF(J2581&lt;&gt;1,"",IF(I2581="SBJ","CB","?"))</f>
        <v> </v>
      </c>
      <c r="I2581" s="26" t="str">
        <f>IF(OR(E2581="",E2581="!!!",F2581="NEW"),"",INDEX(B2580:B$2,-1+SUMPRODUCT(MAX(ROW(E2580:E$2)*(E2581=E2580:E$2)))))</f>
        <v> </v>
      </c>
      <c r="J2581" s="26" t="str">
        <f>IF(OR(E2581="",E2581="!!!",F2581="NEW"),"",COUNTBLANK(OFFSET(A$1,,,SUMPRODUCT(MAX(ROW(E$2:E2581)*(E2581=E$2:E2581)))))-COUNTBLANK(OFFSET(A$1,,,SUMPRODUCT(MAX(ROW(E$1:E2580)*(E2=E$1:E2580))))))</f>
        <v> </v>
      </c>
      <c r="K2581" s="26" t="str">
        <f>IF(OR(E2581="",E2581="!!!",F2581="NEW"),"",INDEX(J$1:J2580,SUMPRODUCT(MAX(ROW(E$1:E2580)*(E2581=E$1:E2580)))))</f>
        <v> </v>
      </c>
      <c r="L2581" s="27"/>
    </row>
    <row r="2582" spans="1:12">
      <c r="A2582" s="20" t="s">
        <v>1183</v>
      </c>
      <c r="E2582" s="22">
        <f>IF(D2582="?OLD","!!!","")</f>
        <v/>
      </c>
      <c r="F2582" s="23" t="str">
        <f>IF(OR(E2582="",E2582="!!!"),"",IF(NOT(ISNA(VLOOKUP(E2582,E$1:E2581,1,FALSE()))),"OLD",IF(AND(E2582&lt;&gt;"",E2582&lt;&gt;"!!!"),"NEW","")))</f>
        <v> </v>
      </c>
      <c r="G2582" s="24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5" t="str">
        <f>IF(J2582&lt;&gt;1,"",IF(I2582="SBJ","CB","?"))</f>
        <v> </v>
      </c>
      <c r="I2582" s="26" t="str">
        <f>IF(OR(E2582="",E2582="!!!",F2582="NEW"),"",INDEX(B2581:B$2,-1+SUMPRODUCT(MAX(ROW(E2581:E$2)*(E2582=E2581:E$2)))))</f>
        <v> </v>
      </c>
      <c r="J2582" s="26" t="str">
        <f>IF(OR(E2582="",E2582="!!!",F2582="NEW"),"",COUNTBLANK(OFFSET(A$1,,,SUMPRODUCT(MAX(ROW(E$2:E2582)*(E2582=E$2:E2582)))))-COUNTBLANK(OFFSET(A$1,,,SUMPRODUCT(MAX(ROW(E$1:E2581)*(E2=E$1:E2581))))))</f>
        <v> </v>
      </c>
      <c r="K2582" s="26" t="str">
        <f>IF(OR(E2582="",E2582="!!!",F2582="NEW"),"",INDEX(J$1:J2581,SUMPRODUCT(MAX(ROW(E$1:E2581)*(E2582=E$1:E2581)))))</f>
        <v> </v>
      </c>
      <c r="L2582" s="27"/>
    </row>
    <row r="2583" spans="1:12">
      <c r="A2583" s="20" t="s">
        <v>1843</v>
      </c>
      <c r="E2583" s="22">
        <f>IF(D2583="?OLD","!!!","")</f>
        <v/>
      </c>
      <c r="F2583" s="23" t="str">
        <f>IF(OR(E2583="",E2583="!!!"),"",IF(NOT(ISNA(VLOOKUP(E2583,E$1:E2582,1,FALSE()))),"OLD",IF(AND(E2583&lt;&gt;"",E2583&lt;&gt;"!!!"),"NEW","")))</f>
        <v> </v>
      </c>
      <c r="G2583" s="24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5" t="str">
        <f>IF(J2583&lt;&gt;1,"",IF(I2583="SBJ","CB","?"))</f>
        <v> </v>
      </c>
      <c r="I2583" s="26" t="str">
        <f>IF(OR(E2583="",E2583="!!!",F2583="NEW"),"",INDEX(B2582:B$2,-1+SUMPRODUCT(MAX(ROW(E2582:E$2)*(E2583=E2582:E$2)))))</f>
        <v> </v>
      </c>
      <c r="J2583" s="26" t="str">
        <f>IF(OR(E2583="",E2583="!!!",F2583="NEW"),"",COUNTBLANK(OFFSET(A$1,,,SUMPRODUCT(MAX(ROW(E$2:E2583)*(E2583=E$2:E2583)))))-COUNTBLANK(OFFSET(A$1,,,SUMPRODUCT(MAX(ROW(E$1:E2582)*(E2=E$1:E2582))))))</f>
        <v> </v>
      </c>
      <c r="K2583" s="26" t="str">
        <f>IF(OR(E2583="",E2583="!!!",F2583="NEW"),"",INDEX(J$1:J2582,SUMPRODUCT(MAX(ROW(E$1:E2582)*(E2583=E$1:E2582)))))</f>
        <v> </v>
      </c>
      <c r="L2583" s="27"/>
    </row>
    <row r="2584" spans="1:12">
      <c r="A2584" s="20" t="s">
        <v>1844</v>
      </c>
      <c r="B2584" s="21" t="s">
        <v>636</v>
      </c>
      <c r="E2584" s="22">
        <f>IF(D2584="?OLD","!!!","")</f>
        <v/>
      </c>
      <c r="F2584" s="23" t="str">
        <f>IF(OR(E2584="",E2584="!!!"),"",IF(NOT(ISNA(VLOOKUP(E2584,E$1:E2583,1,FALSE()))),"OLD",IF(AND(E2584&lt;&gt;"",E2584&lt;&gt;"!!!"),"NEW","")))</f>
        <v> </v>
      </c>
      <c r="G2584" s="24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5" t="str">
        <f>IF(J2584&lt;&gt;1,"",IF(I2584="SBJ","CB","?"))</f>
        <v> </v>
      </c>
      <c r="I2584" s="26" t="str">
        <f>IF(OR(E2584="",E2584="!!!",F2584="NEW"),"",INDEX(B2583:B$2,-1+SUMPRODUCT(MAX(ROW(E2583:E$2)*(E2584=E2583:E$2)))))</f>
        <v> </v>
      </c>
      <c r="J2584" s="26" t="str">
        <f>IF(OR(E2584="",E2584="!!!",F2584="NEW"),"",COUNTBLANK(OFFSET(A$1,,,SUMPRODUCT(MAX(ROW(E$2:E2584)*(E2584=E$2:E2584)))))-COUNTBLANK(OFFSET(A$1,,,SUMPRODUCT(MAX(ROW(E$1:E2583)*(E2=E$1:E2583))))))</f>
        <v> </v>
      </c>
      <c r="K2584" s="26" t="str">
        <f>IF(OR(E2584="",E2584="!!!",F2584="NEW"),"",INDEX(J$1:J2583,SUMPRODUCT(MAX(ROW(E$1:E2583)*(E2584=E$1:E2583)))))</f>
        <v> </v>
      </c>
      <c r="L2584" s="27"/>
    </row>
    <row r="2585" spans="1:12">
      <c r="A2585" s="20" t="s">
        <v>1345</v>
      </c>
      <c r="E2585" s="22">
        <f>IF(D2585="?OLD","!!!","")</f>
        <v/>
      </c>
      <c r="F2585" s="23" t="str">
        <f>IF(OR(E2585="",E2585="!!!"),"",IF(NOT(ISNA(VLOOKUP(E2585,E$1:E2584,1,FALSE()))),"OLD",IF(AND(E2585&lt;&gt;"",E2585&lt;&gt;"!!!"),"NEW","")))</f>
        <v> </v>
      </c>
      <c r="G2585" s="24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5" t="str">
        <f>IF(J2585&lt;&gt;1,"",IF(I2585="SBJ","CB","?"))</f>
        <v> </v>
      </c>
      <c r="I2585" s="26" t="str">
        <f>IF(OR(E2585="",E2585="!!!",F2585="NEW"),"",INDEX(B2584:B$2,-1+SUMPRODUCT(MAX(ROW(E2584:E$2)*(E2585=E2584:E$2)))))</f>
        <v> </v>
      </c>
      <c r="J2585" s="26" t="str">
        <f>IF(OR(E2585="",E2585="!!!",F2585="NEW"),"",COUNTBLANK(OFFSET(A$1,,,SUMPRODUCT(MAX(ROW(E$2:E2585)*(E2585=E$2:E2585)))))-COUNTBLANK(OFFSET(A$1,,,SUMPRODUCT(MAX(ROW(E$1:E2584)*(E2=E$1:E2584))))))</f>
        <v> </v>
      </c>
      <c r="K2585" s="26" t="str">
        <f>IF(OR(E2585="",E2585="!!!",F2585="NEW"),"",INDEX(J$1:J2584,SUMPRODUCT(MAX(ROW(E$1:E2584)*(E2585=E$1:E2584)))))</f>
        <v> </v>
      </c>
      <c r="L2585" s="27"/>
    </row>
    <row r="2586" spans="1:12">
      <c r="A2586" s="20" t="s">
        <v>1845</v>
      </c>
      <c r="E2586" s="22">
        <f>IF(D2586="?OLD","!!!","")</f>
        <v/>
      </c>
      <c r="F2586" s="23" t="str">
        <f>IF(OR(E2586="",E2586="!!!"),"",IF(NOT(ISNA(VLOOKUP(E2586,E$1:E2585,1,FALSE()))),"OLD",IF(AND(E2586&lt;&gt;"",E2586&lt;&gt;"!!!"),"NEW","")))</f>
        <v> </v>
      </c>
      <c r="G2586" s="24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5" t="str">
        <f>IF(J2586&lt;&gt;1,"",IF(I2586="SBJ","CB","?"))</f>
        <v> </v>
      </c>
      <c r="I2586" s="26" t="str">
        <f>IF(OR(E2586="",E2586="!!!",F2586="NEW"),"",INDEX(B2585:B$2,-1+SUMPRODUCT(MAX(ROW(E2585:E$2)*(E2586=E2585:E$2)))))</f>
        <v> </v>
      </c>
      <c r="J2586" s="26" t="str">
        <f>IF(OR(E2586="",E2586="!!!",F2586="NEW"),"",COUNTBLANK(OFFSET(A$1,,,SUMPRODUCT(MAX(ROW(E$2:E2586)*(E2586=E$2:E2586)))))-COUNTBLANK(OFFSET(A$1,,,SUMPRODUCT(MAX(ROW(E$1:E2585)*(E2=E$1:E2585))))))</f>
        <v> </v>
      </c>
      <c r="K2586" s="26" t="str">
        <f>IF(OR(E2586="",E2586="!!!",F2586="NEW"),"",INDEX(J$1:J2585,SUMPRODUCT(MAX(ROW(E$1:E2585)*(E2586=E$1:E2585)))))</f>
        <v> </v>
      </c>
      <c r="L2586" s="27"/>
    </row>
    <row r="2587" spans="1:12">
      <c r="A2587" s="20" t="s">
        <v>1347</v>
      </c>
      <c r="E2587" s="22">
        <f>IF(D2587="?OLD","!!!","")</f>
        <v/>
      </c>
      <c r="F2587" s="23" t="str">
        <f>IF(OR(E2587="",E2587="!!!"),"",IF(NOT(ISNA(VLOOKUP(E2587,E$1:E2586,1,FALSE()))),"OLD",IF(AND(E2587&lt;&gt;"",E2587&lt;&gt;"!!!"),"NEW","")))</f>
        <v> </v>
      </c>
      <c r="G2587" s="24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5" t="str">
        <f>IF(J2587&lt;&gt;1,"",IF(I2587="SBJ","CB","?"))</f>
        <v> </v>
      </c>
      <c r="I2587" s="26" t="str">
        <f>IF(OR(E2587="",E2587="!!!",F2587="NEW"),"",INDEX(B2586:B$2,-1+SUMPRODUCT(MAX(ROW(E2586:E$2)*(E2587=E2586:E$2)))))</f>
        <v> </v>
      </c>
      <c r="J2587" s="26" t="str">
        <f>IF(OR(E2587="",E2587="!!!",F2587="NEW"),"",COUNTBLANK(OFFSET(A$1,,,SUMPRODUCT(MAX(ROW(E$2:E2587)*(E2587=E$2:E2587)))))-COUNTBLANK(OFFSET(A$1,,,SUMPRODUCT(MAX(ROW(E$1:E2586)*(E2=E$1:E2586))))))</f>
        <v> </v>
      </c>
      <c r="K2587" s="26" t="str">
        <f>IF(OR(E2587="",E2587="!!!",F2587="NEW"),"",INDEX(J$1:J2586,SUMPRODUCT(MAX(ROW(E$1:E2586)*(E2587=E$1:E2586)))))</f>
        <v> </v>
      </c>
      <c r="L2587" s="27"/>
    </row>
    <row r="2588" spans="1:12">
      <c r="A2588" s="20" t="s">
        <v>1348</v>
      </c>
      <c r="E2588" s="22">
        <f>IF(D2588="?OLD","!!!","")</f>
        <v/>
      </c>
      <c r="F2588" s="23" t="str">
        <f>IF(OR(E2588="",E2588="!!!"),"",IF(NOT(ISNA(VLOOKUP(E2588,E$1:E2587,1,FALSE()))),"OLD",IF(AND(E2588&lt;&gt;"",E2588&lt;&gt;"!!!"),"NEW","")))</f>
        <v> </v>
      </c>
      <c r="G2588" s="24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5" t="str">
        <f>IF(J2588&lt;&gt;1,"",IF(I2588="SBJ","CB","?"))</f>
        <v> </v>
      </c>
      <c r="I2588" s="26" t="str">
        <f>IF(OR(E2588="",E2588="!!!",F2588="NEW"),"",INDEX(B2587:B$2,-1+SUMPRODUCT(MAX(ROW(E2587:E$2)*(E2588=E2587:E$2)))))</f>
        <v> </v>
      </c>
      <c r="J2588" s="26" t="str">
        <f>IF(OR(E2588="",E2588="!!!",F2588="NEW"),"",COUNTBLANK(OFFSET(A$1,,,SUMPRODUCT(MAX(ROW(E$2:E2588)*(E2588=E$2:E2588)))))-COUNTBLANK(OFFSET(A$1,,,SUMPRODUCT(MAX(ROW(E$1:E2587)*(E2=E$1:E2587))))))</f>
        <v> </v>
      </c>
      <c r="K2588" s="26" t="str">
        <f>IF(OR(E2588="",E2588="!!!",F2588="NEW"),"",INDEX(J$1:J2587,SUMPRODUCT(MAX(ROW(E$1:E2587)*(E2588=E$1:E2587)))))</f>
        <v> </v>
      </c>
      <c r="L2588" s="27"/>
    </row>
    <row r="2589" spans="1:12">
      <c r="A2589" s="20" t="s">
        <v>646</v>
      </c>
      <c r="E2589" s="22">
        <f>IF(D2589="?OLD","!!!","")</f>
        <v/>
      </c>
      <c r="F2589" s="23" t="str">
        <f>IF(OR(E2589="",E2589="!!!"),"",IF(NOT(ISNA(VLOOKUP(E2589,E$1:E2588,1,FALSE()))),"OLD",IF(AND(E2589&lt;&gt;"",E2589&lt;&gt;"!!!"),"NEW","")))</f>
        <v> </v>
      </c>
      <c r="G2589" s="24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5" t="str">
        <f>IF(J2589&lt;&gt;1,"",IF(I2589="SBJ","CB","?"))</f>
        <v> </v>
      </c>
      <c r="I2589" s="26" t="str">
        <f>IF(OR(E2589="",E2589="!!!",F2589="NEW"),"",INDEX(B2588:B$2,-1+SUMPRODUCT(MAX(ROW(E2588:E$2)*(E2589=E2588:E$2)))))</f>
        <v> </v>
      </c>
      <c r="J2589" s="26" t="str">
        <f>IF(OR(E2589="",E2589="!!!",F2589="NEW"),"",COUNTBLANK(OFFSET(A$1,,,SUMPRODUCT(MAX(ROW(E$2:E2589)*(E2589=E$2:E2589)))))-COUNTBLANK(OFFSET(A$1,,,SUMPRODUCT(MAX(ROW(E$1:E2588)*(E2=E$1:E2588))))))</f>
        <v> </v>
      </c>
      <c r="K2589" s="26" t="str">
        <f>IF(OR(E2589="",E2589="!!!",F2589="NEW"),"",INDEX(J$1:J2588,SUMPRODUCT(MAX(ROW(E$1:E2588)*(E2589=E$1:E2588)))))</f>
        <v> </v>
      </c>
      <c r="L2589" s="27"/>
    </row>
    <row r="2590" spans="1:12">
      <c r="A2590" s="20" t="s">
        <v>1386</v>
      </c>
      <c r="B2590" s="21" t="s">
        <v>620</v>
      </c>
      <c r="C2590" s="21" t="s">
        <v>723</v>
      </c>
      <c r="D2590" s="21" t="s">
        <v>603</v>
      </c>
      <c r="E2590" s="22">
        <f>IF(D2590="?OLD","!!!","")</f>
        <v/>
      </c>
      <c r="F2590" s="23" t="str">
        <f>IF(OR(E2590="",E2590="!!!"),"",IF(NOT(ISNA(VLOOKUP(E2590,E$1:E2589,1,FALSE()))),"OLD",IF(AND(E2590&lt;&gt;"",E2590&lt;&gt;"!!!"),"NEW","")))</f>
        <v> </v>
      </c>
      <c r="G2590" s="24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5" t="str">
        <f>IF(J2590&lt;&gt;1,"",IF(I2590="SBJ","CB","?"))</f>
        <v> </v>
      </c>
      <c r="I2590" s="26" t="str">
        <f>IF(OR(E2590="",E2590="!!!",F2590="NEW"),"",INDEX(B2589:B$2,-1+SUMPRODUCT(MAX(ROW(E2589:E$2)*(E2590=E2589:E$2)))))</f>
        <v> </v>
      </c>
      <c r="J2590" s="26" t="str">
        <f>IF(OR(E2590="",E2590="!!!",F2590="NEW"),"",COUNTBLANK(OFFSET(A$1,,,SUMPRODUCT(MAX(ROW(E$2:E2590)*(E2590=E$2:E2590)))))-COUNTBLANK(OFFSET(A$1,,,SUMPRODUCT(MAX(ROW(E$1:E2589)*(E2=E$1:E2589))))))</f>
        <v> </v>
      </c>
      <c r="K2590" s="26" t="str">
        <f>IF(OR(E2590="",E2590="!!!",F2590="NEW"),"",INDEX(J$1:J2589,SUMPRODUCT(MAX(ROW(E$1:E2589)*(E2590=E$1:E2589)))))</f>
        <v> </v>
      </c>
      <c r="L2590" s="27"/>
    </row>
    <row r="2591" spans="1:12">
      <c r="A2591" s="20" t="s">
        <v>611</v>
      </c>
      <c r="E2591" s="22">
        <f>IF(D2591="?OLD","!!!","")</f>
        <v/>
      </c>
      <c r="F2591" s="23" t="str">
        <f>IF(OR(E2591="",E2591="!!!"),"",IF(NOT(ISNA(VLOOKUP(E2591,E$1:E2590,1,FALSE()))),"OLD",IF(AND(E2591&lt;&gt;"",E2591&lt;&gt;"!!!"),"NEW","")))</f>
        <v> </v>
      </c>
      <c r="G2591" s="24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5" t="str">
        <f>IF(J2591&lt;&gt;1,"",IF(I2591="SBJ","CB","?"))</f>
        <v> </v>
      </c>
      <c r="I2591" s="26" t="str">
        <f>IF(OR(E2591="",E2591="!!!",F2591="NEW"),"",INDEX(B2590:B$2,-1+SUMPRODUCT(MAX(ROW(E2590:E$2)*(E2591=E2590:E$2)))))</f>
        <v> </v>
      </c>
      <c r="J2591" s="26" t="str">
        <f>IF(OR(E2591="",E2591="!!!",F2591="NEW"),"",COUNTBLANK(OFFSET(A$1,,,SUMPRODUCT(MAX(ROW(E$2:E2591)*(E2591=E$2:E2591)))))-COUNTBLANK(OFFSET(A$1,,,SUMPRODUCT(MAX(ROW(E$1:E2590)*(E2=E$1:E2590))))))</f>
        <v> </v>
      </c>
      <c r="K2591" s="26" t="str">
        <f>IF(OR(E2591="",E2591="!!!",F2591="NEW"),"",INDEX(J$1:J2590,SUMPRODUCT(MAX(ROW(E$1:E2590)*(E2591=E$1:E2590)))))</f>
        <v> </v>
      </c>
      <c r="L2591" s="27"/>
    </row>
    <row r="2592" spans="1:12">
      <c r="A2592" s="20" t="s">
        <v>658</v>
      </c>
      <c r="E2592" s="22">
        <f>IF(D2592="?OLD","!!!","")</f>
        <v/>
      </c>
      <c r="F2592" s="23" t="str">
        <f>IF(OR(E2592="",E2592="!!!"),"",IF(NOT(ISNA(VLOOKUP(E2592,E$1:E2591,1,FALSE()))),"OLD",IF(AND(E2592&lt;&gt;"",E2592&lt;&gt;"!!!"),"NEW","")))</f>
        <v> </v>
      </c>
      <c r="G2592" s="24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5" t="str">
        <f>IF(J2592&lt;&gt;1,"",IF(I2592="SBJ","CB","?"))</f>
        <v> </v>
      </c>
      <c r="I2592" s="26" t="str">
        <f>IF(OR(E2592="",E2592="!!!",F2592="NEW"),"",INDEX(B2591:B$2,-1+SUMPRODUCT(MAX(ROW(E2591:E$2)*(E2592=E2591:E$2)))))</f>
        <v> </v>
      </c>
      <c r="J2592" s="26" t="str">
        <f>IF(OR(E2592="",E2592="!!!",F2592="NEW"),"",COUNTBLANK(OFFSET(A$1,,,SUMPRODUCT(MAX(ROW(E$2:E2592)*(E2592=E$2:E2592)))))-COUNTBLANK(OFFSET(A$1,,,SUMPRODUCT(MAX(ROW(E$1:E2591)*(E2=E$1:E2591))))))</f>
        <v> </v>
      </c>
      <c r="K2592" s="26" t="str">
        <f>IF(OR(E2592="",E2592="!!!",F2592="NEW"),"",INDEX(J$1:J2591,SUMPRODUCT(MAX(ROW(E$1:E2591)*(E2592=E$1:E2591)))))</f>
        <v> </v>
      </c>
      <c r="L2592" s="27"/>
    </row>
    <row r="2593" spans="1:12">
      <c r="A2593" s="20" t="s">
        <v>1353</v>
      </c>
      <c r="B2593" s="21" t="s">
        <v>879</v>
      </c>
      <c r="E2593" s="22">
        <f>IF(D2593="?OLD","!!!","")</f>
        <v/>
      </c>
      <c r="F2593" s="23" t="str">
        <f>IF(OR(E2593="",E2593="!!!"),"",IF(NOT(ISNA(VLOOKUP(E2593,E$1:E2592,1,FALSE()))),"OLD",IF(AND(E2593&lt;&gt;"",E2593&lt;&gt;"!!!"),"NEW","")))</f>
        <v> </v>
      </c>
      <c r="G2593" s="24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5" t="str">
        <f>IF(J2593&lt;&gt;1,"",IF(I2593="SBJ","CB","?"))</f>
        <v> </v>
      </c>
      <c r="I2593" s="26" t="str">
        <f>IF(OR(E2593="",E2593="!!!",F2593="NEW"),"",INDEX(B2592:B$2,-1+SUMPRODUCT(MAX(ROW(E2592:E$2)*(E2593=E2592:E$2)))))</f>
        <v> </v>
      </c>
      <c r="J2593" s="26" t="str">
        <f>IF(OR(E2593="",E2593="!!!",F2593="NEW"),"",COUNTBLANK(OFFSET(A$1,,,SUMPRODUCT(MAX(ROW(E$2:E2593)*(E2593=E$2:E2593)))))-COUNTBLANK(OFFSET(A$1,,,SUMPRODUCT(MAX(ROW(E$1:E2592)*(E2=E$1:E2592))))))</f>
        <v> </v>
      </c>
      <c r="K2593" s="26" t="str">
        <f>IF(OR(E2593="",E2593="!!!",F2593="NEW"),"",INDEX(J$1:J2592,SUMPRODUCT(MAX(ROW(E$1:E2592)*(E2593=E$1:E2592)))))</f>
        <v> </v>
      </c>
      <c r="L2593" s="27"/>
    </row>
    <row r="2594" spans="1:12">
      <c r="A2594" s="20" t="s">
        <v>1482</v>
      </c>
      <c r="E2594" s="22">
        <f>IF(D2594="?OLD","!!!","")</f>
        <v/>
      </c>
      <c r="F2594" s="23" t="str">
        <f>IF(OR(E2594="",E2594="!!!"),"",IF(NOT(ISNA(VLOOKUP(E2594,E$1:E2593,1,FALSE()))),"OLD",IF(AND(E2594&lt;&gt;"",E2594&lt;&gt;"!!!"),"NEW","")))</f>
        <v> </v>
      </c>
      <c r="G2594" s="24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5" t="str">
        <f>IF(J2594&lt;&gt;1,"",IF(I2594="SBJ","CB","?"))</f>
        <v> </v>
      </c>
      <c r="I2594" s="26" t="str">
        <f>IF(OR(E2594="",E2594="!!!",F2594="NEW"),"",INDEX(B2593:B$2,-1+SUMPRODUCT(MAX(ROW(E2593:E$2)*(E2594=E2593:E$2)))))</f>
        <v> </v>
      </c>
      <c r="J2594" s="26" t="str">
        <f>IF(OR(E2594="",E2594="!!!",F2594="NEW"),"",COUNTBLANK(OFFSET(A$1,,,SUMPRODUCT(MAX(ROW(E$2:E2594)*(E2594=E$2:E2594)))))-COUNTBLANK(OFFSET(A$1,,,SUMPRODUCT(MAX(ROW(E$1:E2593)*(E2=E$1:E2593))))))</f>
        <v> </v>
      </c>
      <c r="K2594" s="26" t="str">
        <f>IF(OR(E2594="",E2594="!!!",F2594="NEW"),"",INDEX(J$1:J2593,SUMPRODUCT(MAX(ROW(E$1:E2593)*(E2594=E$1:E2593)))))</f>
        <v> </v>
      </c>
      <c r="L2594" s="27"/>
    </row>
    <row r="2595" spans="1:12">
      <c r="A2595" s="20" t="s">
        <v>1210</v>
      </c>
      <c r="E2595" s="22">
        <f>IF(D2595="?OLD","!!!","")</f>
        <v/>
      </c>
      <c r="F2595" s="23" t="str">
        <f>IF(OR(E2595="",E2595="!!!"),"",IF(NOT(ISNA(VLOOKUP(E2595,E$1:E2594,1,FALSE()))),"OLD",IF(AND(E2595&lt;&gt;"",E2595&lt;&gt;"!!!"),"NEW","")))</f>
        <v> </v>
      </c>
      <c r="G2595" s="24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5" t="str">
        <f>IF(J2595&lt;&gt;1,"",IF(I2595="SBJ","CB","?"))</f>
        <v> </v>
      </c>
      <c r="I2595" s="26" t="str">
        <f>IF(OR(E2595="",E2595="!!!",F2595="NEW"),"",INDEX(B2594:B$2,-1+SUMPRODUCT(MAX(ROW(E2594:E$2)*(E2595=E2594:E$2)))))</f>
        <v> </v>
      </c>
      <c r="J2595" s="26" t="str">
        <f>IF(OR(E2595="",E2595="!!!",F2595="NEW"),"",COUNTBLANK(OFFSET(A$1,,,SUMPRODUCT(MAX(ROW(E$2:E2595)*(E2595=E$2:E2595)))))-COUNTBLANK(OFFSET(A$1,,,SUMPRODUCT(MAX(ROW(E$1:E2594)*(E2=E$1:E2594))))))</f>
        <v> </v>
      </c>
      <c r="K2595" s="26" t="str">
        <f>IF(OR(E2595="",E2595="!!!",F2595="NEW"),"",INDEX(J$1:J2594,SUMPRODUCT(MAX(ROW(E$1:E2594)*(E2595=E$1:E2594)))))</f>
        <v> </v>
      </c>
      <c r="L2595" s="27"/>
    </row>
    <row r="2596" spans="1:12">
      <c r="A2596" s="20" t="s">
        <v>611</v>
      </c>
      <c r="E2596" s="22">
        <f>IF(D2596="?OLD","!!!","")</f>
        <v/>
      </c>
      <c r="F2596" s="23" t="str">
        <f>IF(OR(E2596="",E2596="!!!"),"",IF(NOT(ISNA(VLOOKUP(E2596,E$1:E2595,1,FALSE()))),"OLD",IF(AND(E2596&lt;&gt;"",E2596&lt;&gt;"!!!"),"NEW","")))</f>
        <v> </v>
      </c>
      <c r="G2596" s="24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5" t="str">
        <f>IF(J2596&lt;&gt;1,"",IF(I2596="SBJ","CB","?"))</f>
        <v> </v>
      </c>
      <c r="I2596" s="26" t="str">
        <f>IF(OR(E2596="",E2596="!!!",F2596="NEW"),"",INDEX(B2595:B$2,-1+SUMPRODUCT(MAX(ROW(E2595:E$2)*(E2596=E2595:E$2)))))</f>
        <v> </v>
      </c>
      <c r="J2596" s="26" t="str">
        <f>IF(OR(E2596="",E2596="!!!",F2596="NEW"),"",COUNTBLANK(OFFSET(A$1,,,SUMPRODUCT(MAX(ROW(E$2:E2596)*(E2596=E$2:E2596)))))-COUNTBLANK(OFFSET(A$1,,,SUMPRODUCT(MAX(ROW(E$1:E2595)*(E2=E$1:E2595))))))</f>
        <v> </v>
      </c>
      <c r="K2596" s="26" t="str">
        <f>IF(OR(E2596="",E2596="!!!",F2596="NEW"),"",INDEX(J$1:J2595,SUMPRODUCT(MAX(ROW(E$1:E2595)*(E2596=E$1:E2595)))))</f>
        <v> </v>
      </c>
      <c r="L2596" s="27"/>
    </row>
    <row r="2597" spans="1:12">
      <c r="A2597" s="20" t="s">
        <v>799</v>
      </c>
      <c r="E2597" s="22">
        <f>IF(D2597="?OLD","!!!","")</f>
        <v/>
      </c>
      <c r="F2597" s="23" t="str">
        <f>IF(OR(E2597="",E2597="!!!"),"",IF(NOT(ISNA(VLOOKUP(E2597,E$1:E2596,1,FALSE()))),"OLD",IF(AND(E2597&lt;&gt;"",E2597&lt;&gt;"!!!"),"NEW","")))</f>
        <v> </v>
      </c>
      <c r="G2597" s="24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5" t="str">
        <f>IF(J2597&lt;&gt;1,"",IF(I2597="SBJ","CB","?"))</f>
        <v> </v>
      </c>
      <c r="I2597" s="26" t="str">
        <f>IF(OR(E2597="",E2597="!!!",F2597="NEW"),"",INDEX(B2596:B$2,-1+SUMPRODUCT(MAX(ROW(E2596:E$2)*(E2597=E2596:E$2)))))</f>
        <v> </v>
      </c>
      <c r="J2597" s="26" t="str">
        <f>IF(OR(E2597="",E2597="!!!",F2597="NEW"),"",COUNTBLANK(OFFSET(A$1,,,SUMPRODUCT(MAX(ROW(E$2:E2597)*(E2597=E$2:E2597)))))-COUNTBLANK(OFFSET(A$1,,,SUMPRODUCT(MAX(ROW(E$1:E2596)*(E2=E$1:E2596))))))</f>
        <v> </v>
      </c>
      <c r="K2597" s="26" t="str">
        <f>IF(OR(E2597="",E2597="!!!",F2597="NEW"),"",INDEX(J$1:J2596,SUMPRODUCT(MAX(ROW(E$1:E2596)*(E2597=E$1:E2596)))))</f>
        <v> </v>
      </c>
      <c r="L2597" s="27"/>
    </row>
    <row r="2598" spans="1:12">
      <c r="A2598" s="20" t="s">
        <v>670</v>
      </c>
      <c r="E2598" s="22">
        <f>IF(D2598="?OLD","!!!","")</f>
        <v/>
      </c>
      <c r="F2598" s="23" t="str">
        <f>IF(OR(E2598="",E2598="!!!"),"",IF(NOT(ISNA(VLOOKUP(E2598,E$1:E2597,1,FALSE()))),"OLD",IF(AND(E2598&lt;&gt;"",E2598&lt;&gt;"!!!"),"NEW","")))</f>
        <v> </v>
      </c>
      <c r="G2598" s="24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5" t="str">
        <f>IF(J2598&lt;&gt;1,"",IF(I2598="SBJ","CB","?"))</f>
        <v> </v>
      </c>
      <c r="I2598" s="26" t="str">
        <f>IF(OR(E2598="",E2598="!!!",F2598="NEW"),"",INDEX(B2597:B$2,-1+SUMPRODUCT(MAX(ROW(E2597:E$2)*(E2598=E2597:E$2)))))</f>
        <v> </v>
      </c>
      <c r="J2598" s="26" t="str">
        <f>IF(OR(E2598="",E2598="!!!",F2598="NEW"),"",COUNTBLANK(OFFSET(A$1,,,SUMPRODUCT(MAX(ROW(E$2:E2598)*(E2598=E$2:E2598)))))-COUNTBLANK(OFFSET(A$1,,,SUMPRODUCT(MAX(ROW(E$1:E2597)*(E2=E$1:E2597))))))</f>
        <v> </v>
      </c>
      <c r="K2598" s="26" t="str">
        <f>IF(OR(E2598="",E2598="!!!",F2598="NEW"),"",INDEX(J$1:J2597,SUMPRODUCT(MAX(ROW(E$1:E2597)*(E2598=E$1:E2597)))))</f>
        <v> </v>
      </c>
      <c r="L2598" s="27"/>
    </row>
    <row r="2599" spans="1:12">
      <c r="A2599" s="20" t="s">
        <v>1156</v>
      </c>
      <c r="B2599" s="21" t="s">
        <v>782</v>
      </c>
      <c r="C2599" s="21" t="s">
        <v>602</v>
      </c>
      <c r="D2599" s="21" t="s">
        <v>603</v>
      </c>
      <c r="E2599" s="22">
        <f>IF(D2599="?OLD","!!!","")</f>
        <v/>
      </c>
      <c r="F2599" s="23" t="str">
        <f>IF(OR(E2599="",E2599="!!!"),"",IF(NOT(ISNA(VLOOKUP(E2599,E$1:E2598,1,FALSE()))),"OLD",IF(AND(E2599&lt;&gt;"",E2599&lt;&gt;"!!!"),"NEW","")))</f>
        <v> </v>
      </c>
      <c r="G2599" s="24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5" t="str">
        <f>IF(J2599&lt;&gt;1,"",IF(I2599="SBJ","CB","?"))</f>
        <v> </v>
      </c>
      <c r="I2599" s="26" t="str">
        <f>IF(OR(E2599="",E2599="!!!",F2599="NEW"),"",INDEX(B2598:B$2,-1+SUMPRODUCT(MAX(ROW(E2598:E$2)*(E2599=E2598:E$2)))))</f>
        <v> </v>
      </c>
      <c r="J2599" s="26" t="str">
        <f>IF(OR(E2599="",E2599="!!!",F2599="NEW"),"",COUNTBLANK(OFFSET(A$1,,,SUMPRODUCT(MAX(ROW(E$2:E2599)*(E2599=E$2:E2599)))))-COUNTBLANK(OFFSET(A$1,,,SUMPRODUCT(MAX(ROW(E$1:E2598)*(E2=E$1:E2598))))))</f>
        <v> </v>
      </c>
      <c r="K2599" s="26" t="str">
        <f>IF(OR(E2599="",E2599="!!!",F2599="NEW"),"",INDEX(J$1:J2598,SUMPRODUCT(MAX(ROW(E$1:E2598)*(E2599=E$1:E2598)))))</f>
        <v> </v>
      </c>
      <c r="L2599" s="27"/>
    </row>
    <row r="2600" spans="1:12">
      <c r="A2600" s="20" t="s">
        <v>633</v>
      </c>
      <c r="E2600" s="22">
        <f>IF(D2600="?OLD","!!!","")</f>
        <v/>
      </c>
      <c r="F2600" s="23" t="str">
        <f>IF(OR(E2600="",E2600="!!!"),"",IF(NOT(ISNA(VLOOKUP(E2600,E$1:E2599,1,FALSE()))),"OLD",IF(AND(E2600&lt;&gt;"",E2600&lt;&gt;"!!!"),"NEW","")))</f>
        <v> </v>
      </c>
      <c r="G2600" s="24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5" t="str">
        <f>IF(J2600&lt;&gt;1,"",IF(I2600="SBJ","CB","?"))</f>
        <v> </v>
      </c>
      <c r="I2600" s="26" t="str">
        <f>IF(OR(E2600="",E2600="!!!",F2600="NEW"),"",INDEX(B2599:B$2,-1+SUMPRODUCT(MAX(ROW(E2599:E$2)*(E2600=E2599:E$2)))))</f>
        <v> </v>
      </c>
      <c r="J2600" s="26" t="str">
        <f>IF(OR(E2600="",E2600="!!!",F2600="NEW"),"",COUNTBLANK(OFFSET(A$1,,,SUMPRODUCT(MAX(ROW(E$2:E2600)*(E2600=E$2:E2600)))))-COUNTBLANK(OFFSET(A$1,,,SUMPRODUCT(MAX(ROW(E$1:E2599)*(E2=E$1:E2599))))))</f>
        <v> </v>
      </c>
      <c r="K2600" s="26" t="str">
        <f>IF(OR(E2600="",E2600="!!!",F2600="NEW"),"",INDEX(J$1:J2599,SUMPRODUCT(MAX(ROW(E$1:E2599)*(E2600=E$1:E2599)))))</f>
        <v> </v>
      </c>
      <c r="L2600" s="27"/>
    </row>
    <row r="2601" spans="1:12">
      <c r="A2601" s="20"/>
    </row>
    <row r="2602" spans="1:12">
      <c r="A2602" s="20" t="s">
        <v>1846</v>
      </c>
    </row>
    <row r="2603" spans="1:12">
      <c r="A2603" s="20" t="s">
        <v>1227</v>
      </c>
      <c r="E2603" s="22">
        <f>IF(D2603="?OLD","!!!","")</f>
        <v/>
      </c>
      <c r="F2603" s="23" t="str">
        <f>IF(OR(E2603="",E2603="!!!"),"",IF(NOT(ISNA(VLOOKUP(E2603,E$1:E2602,1,FALSE()))),"OLD",IF(AND(E2603&lt;&gt;"",E2603&lt;&gt;"!!!"),"NEW","")))</f>
        <v> </v>
      </c>
      <c r="G2603" s="24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5" t="str">
        <f>IF(J2603&lt;&gt;1,"",IF(I2603="SBJ","CB","?"))</f>
        <v> </v>
      </c>
      <c r="I2603" s="26" t="str">
        <f>IF(OR(E2603="",E2603="!!!",F2603="NEW"),"",INDEX(B2602:B$2,-1+SUMPRODUCT(MAX(ROW(E2602:E$2)*(E2603=E2602:E$2)))))</f>
        <v> </v>
      </c>
      <c r="J2603" s="26" t="str">
        <f>IF(OR(E2603="",E2603="!!!",F2603="NEW"),"",COUNTBLANK(OFFSET(A$1,,,SUMPRODUCT(MAX(ROW(E$2:E2603)*(E2603=E$2:E2603)))))-COUNTBLANK(OFFSET(A$1,,,SUMPRODUCT(MAX(ROW(E$1:E2602)*(E2=E$1:E2602))))))</f>
        <v> </v>
      </c>
      <c r="K2603" s="26" t="str">
        <f>IF(OR(E2603="",E2603="!!!",F2603="NEW"),"",INDEX(J$1:J2602,SUMPRODUCT(MAX(ROW(E$1:E2602)*(E2603=E$1:E2602)))))</f>
        <v> </v>
      </c>
      <c r="L2603" s="27"/>
    </row>
    <row r="2604" spans="1:12">
      <c r="A2604" s="20" t="s">
        <v>1847</v>
      </c>
      <c r="B2604" s="21" t="s">
        <v>609</v>
      </c>
      <c r="C2604" s="21" t="s">
        <v>733</v>
      </c>
      <c r="D2604" s="21" t="s">
        <v>603</v>
      </c>
      <c r="E2604" s="22">
        <f>IF(D2604="?OLD","!!!","")</f>
        <v/>
      </c>
      <c r="F2604" s="23" t="str">
        <f>IF(OR(E2604="",E2604="!!!"),"",IF(NOT(ISNA(VLOOKUP(E2604,E$1:E2603,1,FALSE()))),"OLD",IF(AND(E2604&lt;&gt;"",E2604&lt;&gt;"!!!"),"NEW","")))</f>
        <v> </v>
      </c>
      <c r="G2604" s="24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5" t="str">
        <f>IF(J2604&lt;&gt;1,"",IF(I2604="SBJ","CB","?"))</f>
        <v> </v>
      </c>
      <c r="I2604" s="26" t="str">
        <f>IF(OR(E2604="",E2604="!!!",F2604="NEW"),"",INDEX(B2603:B$2,-1+SUMPRODUCT(MAX(ROW(E2603:E$2)*(E2604=E2603:E$2)))))</f>
        <v> </v>
      </c>
      <c r="J2604" s="26" t="str">
        <f>IF(OR(E2604="",E2604="!!!",F2604="NEW"),"",COUNTBLANK(OFFSET(A$1,,,SUMPRODUCT(MAX(ROW(E$2:E2604)*(E2604=E$2:E2604)))))-COUNTBLANK(OFFSET(A$1,,,SUMPRODUCT(MAX(ROW(E$1:E2603)*(E2=E$1:E2603))))))</f>
        <v> </v>
      </c>
      <c r="K2604" s="26" t="str">
        <f>IF(OR(E2604="",E2604="!!!",F2604="NEW"),"",INDEX(J$1:J2603,SUMPRODUCT(MAX(ROW(E$1:E2603)*(E2604=E$1:E2603)))))</f>
        <v> </v>
      </c>
      <c r="L2604" s="27"/>
    </row>
    <row r="2605" spans="1:12">
      <c r="A2605" s="20" t="s">
        <v>1848</v>
      </c>
      <c r="E2605" s="22">
        <f>IF(D2605="?OLD","!!!","")</f>
        <v/>
      </c>
      <c r="F2605" s="23" t="str">
        <f>IF(OR(E2605="",E2605="!!!"),"",IF(NOT(ISNA(VLOOKUP(E2605,E$1:E2604,1,FALSE()))),"OLD",IF(AND(E2605&lt;&gt;"",E2605&lt;&gt;"!!!"),"NEW","")))</f>
        <v> </v>
      </c>
      <c r="G2605" s="24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5" t="str">
        <f>IF(J2605&lt;&gt;1,"",IF(I2605="SBJ","CB","?"))</f>
        <v> </v>
      </c>
      <c r="I2605" s="26" t="str">
        <f>IF(OR(E2605="",E2605="!!!",F2605="NEW"),"",INDEX(B2604:B$2,-1+SUMPRODUCT(MAX(ROW(E2604:E$2)*(E2605=E2604:E$2)))))</f>
        <v> </v>
      </c>
      <c r="J2605" s="26" t="str">
        <f>IF(OR(E2605="",E2605="!!!",F2605="NEW"),"",COUNTBLANK(OFFSET(A$1,,,SUMPRODUCT(MAX(ROW(E$2:E2605)*(E2605=E$2:E2605)))))-COUNTBLANK(OFFSET(A$1,,,SUMPRODUCT(MAX(ROW(E$1:E2604)*(E2=E$1:E2604))))))</f>
        <v> </v>
      </c>
      <c r="K2605" s="26" t="str">
        <f>IF(OR(E2605="",E2605="!!!",F2605="NEW"),"",INDEX(J$1:J2604,SUMPRODUCT(MAX(ROW(E$1:E2604)*(E2605=E$1:E2604)))))</f>
        <v> </v>
      </c>
      <c r="L2605" s="27"/>
    </row>
    <row r="2606" spans="1:12">
      <c r="A2606" s="20" t="s">
        <v>1849</v>
      </c>
      <c r="E2606" s="22">
        <f>IF(D2606="?OLD","!!!","")</f>
        <v/>
      </c>
      <c r="F2606" s="23" t="str">
        <f>IF(OR(E2606="",E2606="!!!"),"",IF(NOT(ISNA(VLOOKUP(E2606,E$1:E2605,1,FALSE()))),"OLD",IF(AND(E2606&lt;&gt;"",E2606&lt;&gt;"!!!"),"NEW","")))</f>
        <v> </v>
      </c>
      <c r="G2606" s="24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5" t="str">
        <f>IF(J2606&lt;&gt;1,"",IF(I2606="SBJ","CB","?"))</f>
        <v> </v>
      </c>
      <c r="I2606" s="26" t="str">
        <f>IF(OR(E2606="",E2606="!!!",F2606="NEW"),"",INDEX(B2605:B$2,-1+SUMPRODUCT(MAX(ROW(E2605:E$2)*(E2606=E2605:E$2)))))</f>
        <v> </v>
      </c>
      <c r="J2606" s="26" t="str">
        <f>IF(OR(E2606="",E2606="!!!",F2606="NEW"),"",COUNTBLANK(OFFSET(A$1,,,SUMPRODUCT(MAX(ROW(E$2:E2606)*(E2606=E$2:E2606)))))-COUNTBLANK(OFFSET(A$1,,,SUMPRODUCT(MAX(ROW(E$1:E2605)*(E2=E$1:E2605))))))</f>
        <v> </v>
      </c>
      <c r="K2606" s="26" t="str">
        <f>IF(OR(E2606="",E2606="!!!",F2606="NEW"),"",INDEX(J$1:J2605,SUMPRODUCT(MAX(ROW(E$1:E2605)*(E2606=E$1:E2605)))))</f>
        <v> </v>
      </c>
      <c r="L2606" s="27"/>
    </row>
    <row r="2607" spans="1:12">
      <c r="A2607" s="20" t="s">
        <v>607</v>
      </c>
      <c r="E2607" s="22">
        <f>IF(D2607="?OLD","!!!","")</f>
        <v/>
      </c>
      <c r="F2607" s="23" t="str">
        <f>IF(OR(E2607="",E2607="!!!"),"",IF(NOT(ISNA(VLOOKUP(E2607,E$1:E2606,1,FALSE()))),"OLD",IF(AND(E2607&lt;&gt;"",E2607&lt;&gt;"!!!"),"NEW","")))</f>
        <v> </v>
      </c>
      <c r="G2607" s="24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5" t="str">
        <f>IF(J2607&lt;&gt;1,"",IF(I2607="SBJ","CB","?"))</f>
        <v> </v>
      </c>
      <c r="I2607" s="26" t="str">
        <f>IF(OR(E2607="",E2607="!!!",F2607="NEW"),"",INDEX(B2606:B$2,-1+SUMPRODUCT(MAX(ROW(E2606:E$2)*(E2607=E2606:E$2)))))</f>
        <v> </v>
      </c>
      <c r="J2607" s="26" t="str">
        <f>IF(OR(E2607="",E2607="!!!",F2607="NEW"),"",COUNTBLANK(OFFSET(A$1,,,SUMPRODUCT(MAX(ROW(E$2:E2607)*(E2607=E$2:E2607)))))-COUNTBLANK(OFFSET(A$1,,,SUMPRODUCT(MAX(ROW(E$1:E2606)*(E2=E$1:E2606))))))</f>
        <v> </v>
      </c>
      <c r="K2607" s="26" t="str">
        <f>IF(OR(E2607="",E2607="!!!",F2607="NEW"),"",INDEX(J$1:J2606,SUMPRODUCT(MAX(ROW(E$1:E2606)*(E2607=E$1:E2606)))))</f>
        <v> </v>
      </c>
      <c r="L2607" s="27"/>
    </row>
    <row r="2608" spans="1:12">
      <c r="A2608" s="20" t="s">
        <v>1850</v>
      </c>
      <c r="E2608" s="22">
        <f>IF(D2608="?OLD","!!!","")</f>
        <v/>
      </c>
      <c r="F2608" s="23" t="str">
        <f>IF(OR(E2608="",E2608="!!!"),"",IF(NOT(ISNA(VLOOKUP(E2608,E$1:E2607,1,FALSE()))),"OLD",IF(AND(E2608&lt;&gt;"",E2608&lt;&gt;"!!!"),"NEW","")))</f>
        <v> </v>
      </c>
      <c r="G2608" s="24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5" t="str">
        <f>IF(J2608&lt;&gt;1,"",IF(I2608="SBJ","CB","?"))</f>
        <v> </v>
      </c>
      <c r="I2608" s="26" t="str">
        <f>IF(OR(E2608="",E2608="!!!",F2608="NEW"),"",INDEX(B2607:B$2,-1+SUMPRODUCT(MAX(ROW(E2607:E$2)*(E2608=E2607:E$2)))))</f>
        <v> </v>
      </c>
      <c r="J2608" s="26" t="str">
        <f>IF(OR(E2608="",E2608="!!!",F2608="NEW"),"",COUNTBLANK(OFFSET(A$1,,,SUMPRODUCT(MAX(ROW(E$2:E2608)*(E2608=E$2:E2608)))))-COUNTBLANK(OFFSET(A$1,,,SUMPRODUCT(MAX(ROW(E$1:E2607)*(E2=E$1:E2607))))))</f>
        <v> </v>
      </c>
      <c r="K2608" s="26" t="str">
        <f>IF(OR(E2608="",E2608="!!!",F2608="NEW"),"",INDEX(J$1:J2607,SUMPRODUCT(MAX(ROW(E$1:E2607)*(E2608=E$1:E2607)))))</f>
        <v> </v>
      </c>
      <c r="L2608" s="27"/>
    </row>
    <row r="2609" spans="1:12">
      <c r="A2609" s="20" t="s">
        <v>1767</v>
      </c>
      <c r="E2609" s="22">
        <f>IF(D2609="?OLD","!!!","")</f>
        <v/>
      </c>
      <c r="F2609" s="23" t="str">
        <f>IF(OR(E2609="",E2609="!!!"),"",IF(NOT(ISNA(VLOOKUP(E2609,E$1:E2608,1,FALSE()))),"OLD",IF(AND(E2609&lt;&gt;"",E2609&lt;&gt;"!!!"),"NEW","")))</f>
        <v> </v>
      </c>
      <c r="G2609" s="24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5" t="str">
        <f>IF(J2609&lt;&gt;1,"",IF(I2609="SBJ","CB","?"))</f>
        <v> </v>
      </c>
      <c r="I2609" s="26" t="str">
        <f>IF(OR(E2609="",E2609="!!!",F2609="NEW"),"",INDEX(B2608:B$2,-1+SUMPRODUCT(MAX(ROW(E2608:E$2)*(E2609=E2608:E$2)))))</f>
        <v> </v>
      </c>
      <c r="J2609" s="26" t="str">
        <f>IF(OR(E2609="",E2609="!!!",F2609="NEW"),"",COUNTBLANK(OFFSET(A$1,,,SUMPRODUCT(MAX(ROW(E$2:E2609)*(E2609=E$2:E2609)))))-COUNTBLANK(OFFSET(A$1,,,SUMPRODUCT(MAX(ROW(E$1:E2608)*(E2=E$1:E2608))))))</f>
        <v> </v>
      </c>
      <c r="K2609" s="26" t="str">
        <f>IF(OR(E2609="",E2609="!!!",F2609="NEW"),"",INDEX(J$1:J2608,SUMPRODUCT(MAX(ROW(E$1:E2608)*(E2609=E$1:E2608)))))</f>
        <v> </v>
      </c>
      <c r="L2609" s="27"/>
    </row>
    <row r="2610" spans="1:12">
      <c r="A2610" s="20" t="s">
        <v>1851</v>
      </c>
      <c r="E2610" s="22">
        <f>IF(D2610="?OLD","!!!","")</f>
        <v/>
      </c>
      <c r="F2610" s="23" t="str">
        <f>IF(OR(E2610="",E2610="!!!"),"",IF(NOT(ISNA(VLOOKUP(E2610,E$1:E2609,1,FALSE()))),"OLD",IF(AND(E2610&lt;&gt;"",E2610&lt;&gt;"!!!"),"NEW","")))</f>
        <v> </v>
      </c>
      <c r="G2610" s="24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5" t="str">
        <f>IF(J2610&lt;&gt;1,"",IF(I2610="SBJ","CB","?"))</f>
        <v> </v>
      </c>
      <c r="I2610" s="26" t="str">
        <f>IF(OR(E2610="",E2610="!!!",F2610="NEW"),"",INDEX(B2609:B$2,-1+SUMPRODUCT(MAX(ROW(E2609:E$2)*(E2610=E2609:E$2)))))</f>
        <v> </v>
      </c>
      <c r="J2610" s="26" t="str">
        <f>IF(OR(E2610="",E2610="!!!",F2610="NEW"),"",COUNTBLANK(OFFSET(A$1,,,SUMPRODUCT(MAX(ROW(E$2:E2610)*(E2610=E$2:E2610)))))-COUNTBLANK(OFFSET(A$1,,,SUMPRODUCT(MAX(ROW(E$1:E2609)*(E2=E$1:E2609))))))</f>
        <v> </v>
      </c>
      <c r="K2610" s="26" t="str">
        <f>IF(OR(E2610="",E2610="!!!",F2610="NEW"),"",INDEX(J$1:J2609,SUMPRODUCT(MAX(ROW(E$1:E2609)*(E2610=E$1:E2609)))))</f>
        <v> </v>
      </c>
      <c r="L2610" s="27"/>
    </row>
    <row r="2611" spans="1:12">
      <c r="A2611" s="20" t="s">
        <v>1852</v>
      </c>
      <c r="B2611" s="21" t="s">
        <v>652</v>
      </c>
      <c r="E2611" s="22">
        <f>IF(D2611="?OLD","!!!","")</f>
        <v/>
      </c>
      <c r="F2611" s="23" t="str">
        <f>IF(OR(E2611="",E2611="!!!"),"",IF(NOT(ISNA(VLOOKUP(E2611,E$1:E2610,1,FALSE()))),"OLD",IF(AND(E2611&lt;&gt;"",E2611&lt;&gt;"!!!"),"NEW","")))</f>
        <v> </v>
      </c>
      <c r="G2611" s="24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5" t="str">
        <f>IF(J2611&lt;&gt;1,"",IF(I2611="SBJ","CB","?"))</f>
        <v> </v>
      </c>
      <c r="I2611" s="26" t="str">
        <f>IF(OR(E2611="",E2611="!!!",F2611="NEW"),"",INDEX(B2610:B$2,-1+SUMPRODUCT(MAX(ROW(E2610:E$2)*(E2611=E2610:E$2)))))</f>
        <v> </v>
      </c>
      <c r="J2611" s="26" t="str">
        <f>IF(OR(E2611="",E2611="!!!",F2611="NEW"),"",COUNTBLANK(OFFSET(A$1,,,SUMPRODUCT(MAX(ROW(E$2:E2611)*(E2611=E$2:E2611)))))-COUNTBLANK(OFFSET(A$1,,,SUMPRODUCT(MAX(ROW(E$1:E2610)*(E2=E$1:E2610))))))</f>
        <v> </v>
      </c>
      <c r="K2611" s="26" t="str">
        <f>IF(OR(E2611="",E2611="!!!",F2611="NEW"),"",INDEX(J$1:J2610,SUMPRODUCT(MAX(ROW(E$1:E2610)*(E2611=E$1:E2610)))))</f>
        <v> </v>
      </c>
      <c r="L2611" s="27"/>
    </row>
    <row r="2612" spans="1:12">
      <c r="A2612" s="20" t="s">
        <v>633</v>
      </c>
      <c r="E2612" s="22">
        <f>IF(D2612="?OLD","!!!","")</f>
        <v/>
      </c>
      <c r="F2612" s="23" t="str">
        <f>IF(OR(E2612="",E2612="!!!"),"",IF(NOT(ISNA(VLOOKUP(E2612,E$1:E2611,1,FALSE()))),"OLD",IF(AND(E2612&lt;&gt;"",E2612&lt;&gt;"!!!"),"NEW","")))</f>
        <v> </v>
      </c>
      <c r="G2612" s="24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5" t="str">
        <f>IF(J2612&lt;&gt;1,"",IF(I2612="SBJ","CB","?"))</f>
        <v> </v>
      </c>
      <c r="I2612" s="26" t="str">
        <f>IF(OR(E2612="",E2612="!!!",F2612="NEW"),"",INDEX(B2611:B$2,-1+SUMPRODUCT(MAX(ROW(E2611:E$2)*(E2612=E2611:E$2)))))</f>
        <v> </v>
      </c>
      <c r="J2612" s="26" t="str">
        <f>IF(OR(E2612="",E2612="!!!",F2612="NEW"),"",COUNTBLANK(OFFSET(A$1,,,SUMPRODUCT(MAX(ROW(E$2:E2612)*(E2612=E$2:E2612)))))-COUNTBLANK(OFFSET(A$1,,,SUMPRODUCT(MAX(ROW(E$1:E2611)*(E2=E$1:E2611))))))</f>
        <v> </v>
      </c>
      <c r="K2612" s="26" t="str">
        <f>IF(OR(E2612="",E2612="!!!",F2612="NEW"),"",INDEX(J$1:J2611,SUMPRODUCT(MAX(ROW(E$1:E2611)*(E2612=E$1:E2611)))))</f>
        <v> </v>
      </c>
      <c r="L2612" s="27"/>
    </row>
    <row r="2613" spans="1:12">
      <c r="A2613" s="20"/>
    </row>
    <row r="2614" spans="1:12">
      <c r="A2614" s="20" t="s">
        <v>1853</v>
      </c>
    </row>
    <row r="2615" spans="1:12">
      <c r="A2615" s="20" t="s">
        <v>1045</v>
      </c>
      <c r="E2615" s="22">
        <f>IF(D2615="?OLD","!!!","")</f>
        <v/>
      </c>
      <c r="F2615" s="23" t="str">
        <f>IF(OR(E2615="",E2615="!!!"),"",IF(NOT(ISNA(VLOOKUP(E2615,E$1:E2614,1,FALSE()))),"OLD",IF(AND(E2615&lt;&gt;"",E2615&lt;&gt;"!!!"),"NEW","")))</f>
        <v> </v>
      </c>
      <c r="G2615" s="24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5" t="str">
        <f>IF(J2615&lt;&gt;1,"",IF(I2615="SBJ","CB","?"))</f>
        <v> </v>
      </c>
      <c r="I2615" s="26" t="str">
        <f>IF(OR(E2615="",E2615="!!!",F2615="NEW"),"",INDEX(B2614:B$2,-1+SUMPRODUCT(MAX(ROW(E2614:E$2)*(E2615=E2614:E$2)))))</f>
        <v> </v>
      </c>
      <c r="J2615" s="26" t="str">
        <f>IF(OR(E2615="",E2615="!!!",F2615="NEW"),"",COUNTBLANK(OFFSET(A$1,,,SUMPRODUCT(MAX(ROW(E$2:E2615)*(E2615=E$2:E2615)))))-COUNTBLANK(OFFSET(A$1,,,SUMPRODUCT(MAX(ROW(E$1:E2614)*(E2=E$1:E2614))))))</f>
        <v> </v>
      </c>
      <c r="K2615" s="26" t="str">
        <f>IF(OR(E2615="",E2615="!!!",F2615="NEW"),"",INDEX(J$1:J2614,SUMPRODUCT(MAX(ROW(E$1:E2614)*(E2615=E$1:E2614)))))</f>
        <v> </v>
      </c>
      <c r="L2615" s="27"/>
    </row>
    <row r="2616" spans="1:12">
      <c r="A2616" s="20" t="s">
        <v>611</v>
      </c>
      <c r="E2616" s="22">
        <f>IF(D2616="?OLD","!!!","")</f>
        <v/>
      </c>
      <c r="F2616" s="23" t="str">
        <f>IF(OR(E2616="",E2616="!!!"),"",IF(NOT(ISNA(VLOOKUP(E2616,E$1:E2615,1,FALSE()))),"OLD",IF(AND(E2616&lt;&gt;"",E2616&lt;&gt;"!!!"),"NEW","")))</f>
        <v> </v>
      </c>
      <c r="G2616" s="24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5" t="str">
        <f>IF(J2616&lt;&gt;1,"",IF(I2616="SBJ","CB","?"))</f>
        <v> </v>
      </c>
      <c r="I2616" s="26" t="str">
        <f>IF(OR(E2616="",E2616="!!!",F2616="NEW"),"",INDEX(B2615:B$2,-1+SUMPRODUCT(MAX(ROW(E2615:E$2)*(E2616=E2615:E$2)))))</f>
        <v> </v>
      </c>
      <c r="J2616" s="26" t="str">
        <f>IF(OR(E2616="",E2616="!!!",F2616="NEW"),"",COUNTBLANK(OFFSET(A$1,,,SUMPRODUCT(MAX(ROW(E$2:E2616)*(E2616=E$2:E2616)))))-COUNTBLANK(OFFSET(A$1,,,SUMPRODUCT(MAX(ROW(E$1:E2615)*(E2=E$1:E2615))))))</f>
        <v> </v>
      </c>
      <c r="K2616" s="26" t="str">
        <f>IF(OR(E2616="",E2616="!!!",F2616="NEW"),"",INDEX(J$1:J2615,SUMPRODUCT(MAX(ROW(E$1:E2615)*(E2616=E$1:E2615)))))</f>
        <v> </v>
      </c>
      <c r="L2616" s="27"/>
    </row>
    <row r="2617" spans="1:12">
      <c r="A2617" s="20" t="s">
        <v>728</v>
      </c>
      <c r="E2617" s="22">
        <f>IF(D2617="?OLD","!!!","")</f>
        <v/>
      </c>
      <c r="F2617" s="23" t="str">
        <f>IF(OR(E2617="",E2617="!!!"),"",IF(NOT(ISNA(VLOOKUP(E2617,E$1:E2616,1,FALSE()))),"OLD",IF(AND(E2617&lt;&gt;"",E2617&lt;&gt;"!!!"),"NEW","")))</f>
        <v> </v>
      </c>
      <c r="G2617" s="24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5" t="str">
        <f>IF(J2617&lt;&gt;1,"",IF(I2617="SBJ","CB","?"))</f>
        <v> </v>
      </c>
      <c r="I2617" s="26" t="str">
        <f>IF(OR(E2617="",E2617="!!!",F2617="NEW"),"",INDEX(B2616:B$2,-1+SUMPRODUCT(MAX(ROW(E2616:E$2)*(E2617=E2616:E$2)))))</f>
        <v> </v>
      </c>
      <c r="J2617" s="26" t="str">
        <f>IF(OR(E2617="",E2617="!!!",F2617="NEW"),"",COUNTBLANK(OFFSET(A$1,,,SUMPRODUCT(MAX(ROW(E$2:E2617)*(E2617=E$2:E2617)))))-COUNTBLANK(OFFSET(A$1,,,SUMPRODUCT(MAX(ROW(E$1:E2616)*(E2=E$1:E2616))))))</f>
        <v> </v>
      </c>
      <c r="K2617" s="26" t="str">
        <f>IF(OR(E2617="",E2617="!!!",F2617="NEW"),"",INDEX(J$1:J2616,SUMPRODUCT(MAX(ROW(E$1:E2616)*(E2617=E$1:E2616)))))</f>
        <v> </v>
      </c>
      <c r="L2617" s="27"/>
    </row>
    <row r="2618" spans="1:12">
      <c r="A2618" s="20" t="s">
        <v>824</v>
      </c>
      <c r="B2618" s="21" t="s">
        <v>620</v>
      </c>
      <c r="C2618" s="21" t="s">
        <v>602</v>
      </c>
      <c r="D2618" s="21" t="s">
        <v>603</v>
      </c>
      <c r="E2618" s="22">
        <f>IF(D2618="?OLD","!!!","")</f>
        <v/>
      </c>
      <c r="F2618" s="23" t="str">
        <f>IF(OR(E2618="",E2618="!!!"),"",IF(NOT(ISNA(VLOOKUP(E2618,E$1:E2617,1,FALSE()))),"OLD",IF(AND(E2618&lt;&gt;"",E2618&lt;&gt;"!!!"),"NEW","")))</f>
        <v> </v>
      </c>
      <c r="G2618" s="24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5" t="str">
        <f>IF(J2618&lt;&gt;1,"",IF(I2618="SBJ","CB","?"))</f>
        <v> </v>
      </c>
      <c r="I2618" s="26" t="str">
        <f>IF(OR(E2618="",E2618="!!!",F2618="NEW"),"",INDEX(B2617:B$2,-1+SUMPRODUCT(MAX(ROW(E2617:E$2)*(E2618=E2617:E$2)))))</f>
        <v> </v>
      </c>
      <c r="J2618" s="26" t="str">
        <f>IF(OR(E2618="",E2618="!!!",F2618="NEW"),"",COUNTBLANK(OFFSET(A$1,,,SUMPRODUCT(MAX(ROW(E$2:E2618)*(E2618=E$2:E2618)))))-COUNTBLANK(OFFSET(A$1,,,SUMPRODUCT(MAX(ROW(E$1:E2617)*(E2=E$1:E2617))))))</f>
        <v> </v>
      </c>
      <c r="K2618" s="26" t="str">
        <f>IF(OR(E2618="",E2618="!!!",F2618="NEW"),"",INDEX(J$1:J2617,SUMPRODUCT(MAX(ROW(E$1:E2617)*(E2618=E$1:E2617)))))</f>
        <v> </v>
      </c>
      <c r="L2618" s="27"/>
    </row>
    <row r="2619" spans="1:12">
      <c r="A2619" s="20" t="s">
        <v>724</v>
      </c>
      <c r="E2619" s="22">
        <f>IF(D2619="?OLD","!!!","")</f>
        <v/>
      </c>
      <c r="F2619" s="23" t="str">
        <f>IF(OR(E2619="",E2619="!!!"),"",IF(NOT(ISNA(VLOOKUP(E2619,E$1:E2618,1,FALSE()))),"OLD",IF(AND(E2619&lt;&gt;"",E2619&lt;&gt;"!!!"),"NEW","")))</f>
        <v> </v>
      </c>
      <c r="G2619" s="24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5" t="str">
        <f>IF(J2619&lt;&gt;1,"",IF(I2619="SBJ","CB","?"))</f>
        <v> </v>
      </c>
      <c r="I2619" s="26" t="str">
        <f>IF(OR(E2619="",E2619="!!!",F2619="NEW"),"",INDEX(B2618:B$2,-1+SUMPRODUCT(MAX(ROW(E2618:E$2)*(E2619=E2618:E$2)))))</f>
        <v> </v>
      </c>
      <c r="J2619" s="26" t="str">
        <f>IF(OR(E2619="",E2619="!!!",F2619="NEW"),"",COUNTBLANK(OFFSET(A$1,,,SUMPRODUCT(MAX(ROW(E$2:E2619)*(E2619=E$2:E2619)))))-COUNTBLANK(OFFSET(A$1,,,SUMPRODUCT(MAX(ROW(E$1:E2618)*(E2=E$1:E2618))))))</f>
        <v> </v>
      </c>
      <c r="K2619" s="26" t="str">
        <f>IF(OR(E2619="",E2619="!!!",F2619="NEW"),"",INDEX(J$1:J2618,SUMPRODUCT(MAX(ROW(E$1:E2618)*(E2619=E$1:E2618)))))</f>
        <v> </v>
      </c>
      <c r="L2619" s="27"/>
    </row>
    <row r="2620" spans="1:12">
      <c r="A2620" s="20" t="s">
        <v>67</v>
      </c>
      <c r="E2620" s="22">
        <f>IF(D2620="?OLD","!!!","")</f>
        <v/>
      </c>
      <c r="F2620" s="23" t="str">
        <f>IF(OR(E2620="",E2620="!!!"),"",IF(NOT(ISNA(VLOOKUP(E2620,E$1:E2619,1,FALSE()))),"OLD",IF(AND(E2620&lt;&gt;"",E2620&lt;&gt;"!!!"),"NEW","")))</f>
        <v> </v>
      </c>
      <c r="G2620" s="24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5" t="str">
        <f>IF(J2620&lt;&gt;1,"",IF(I2620="SBJ","CB","?"))</f>
        <v> </v>
      </c>
      <c r="I2620" s="26" t="str">
        <f>IF(OR(E2620="",E2620="!!!",F2620="NEW"),"",INDEX(B2619:B$2,-1+SUMPRODUCT(MAX(ROW(E2619:E$2)*(E2620=E2619:E$2)))))</f>
        <v> </v>
      </c>
      <c r="J2620" s="26" t="str">
        <f>IF(OR(E2620="",E2620="!!!",F2620="NEW"),"",COUNTBLANK(OFFSET(A$1,,,SUMPRODUCT(MAX(ROW(E$2:E2620)*(E2620=E$2:E2620)))))-COUNTBLANK(OFFSET(A$1,,,SUMPRODUCT(MAX(ROW(E$1:E2619)*(E2=E$1:E2619))))))</f>
        <v> </v>
      </c>
      <c r="K2620" s="26" t="str">
        <f>IF(OR(E2620="",E2620="!!!",F2620="NEW"),"",INDEX(J$1:J2619,SUMPRODUCT(MAX(ROW(E$1:E2619)*(E2620=E$1:E2619)))))</f>
        <v> </v>
      </c>
      <c r="L2620" s="27"/>
    </row>
    <row r="2621" spans="1:12">
      <c r="A2621" s="20" t="s">
        <v>1506</v>
      </c>
      <c r="B2621" s="21" t="s">
        <v>659</v>
      </c>
      <c r="C2621" s="21" t="s">
        <v>621</v>
      </c>
      <c r="E2621" s="22">
        <f>IF(D2621="?OLD","!!!","")</f>
        <v/>
      </c>
      <c r="F2621" s="23" t="str">
        <f>IF(OR(E2621="",E2621="!!!"),"",IF(NOT(ISNA(VLOOKUP(E2621,E$1:E2620,1,FALSE()))),"OLD",IF(AND(E2621&lt;&gt;"",E2621&lt;&gt;"!!!"),"NEW","")))</f>
        <v> </v>
      </c>
      <c r="G2621" s="24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5" t="str">
        <f>IF(J2621&lt;&gt;1,"",IF(I2621="SBJ","CB","?"))</f>
        <v> </v>
      </c>
      <c r="I2621" s="26" t="str">
        <f>IF(OR(E2621="",E2621="!!!",F2621="NEW"),"",INDEX(B2620:B$2,-1+SUMPRODUCT(MAX(ROW(E2620:E$2)*(E2621=E2620:E$2)))))</f>
        <v> </v>
      </c>
      <c r="J2621" s="26" t="str">
        <f>IF(OR(E2621="",E2621="!!!",F2621="NEW"),"",COUNTBLANK(OFFSET(A$1,,,SUMPRODUCT(MAX(ROW(E$2:E2621)*(E2621=E$2:E2621)))))-COUNTBLANK(OFFSET(A$1,,,SUMPRODUCT(MAX(ROW(E$1:E2620)*(E2=E$1:E2620))))))</f>
        <v> </v>
      </c>
      <c r="K2621" s="26" t="str">
        <f>IF(OR(E2621="",E2621="!!!",F2621="NEW"),"",INDEX(J$1:J2620,SUMPRODUCT(MAX(ROW(E$1:E2620)*(E2621=E$1:E2620)))))</f>
        <v> </v>
      </c>
      <c r="L2621" s="27"/>
    </row>
    <row r="2622" spans="1:12">
      <c r="A2622" s="20" t="s">
        <v>611</v>
      </c>
      <c r="E2622" s="22">
        <f>IF(D2622="?OLD","!!!","")</f>
        <v/>
      </c>
      <c r="F2622" s="23" t="str">
        <f>IF(OR(E2622="",E2622="!!!"),"",IF(NOT(ISNA(VLOOKUP(E2622,E$1:E2621,1,FALSE()))),"OLD",IF(AND(E2622&lt;&gt;"",E2622&lt;&gt;"!!!"),"NEW","")))</f>
        <v> </v>
      </c>
      <c r="G2622" s="24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5" t="str">
        <f>IF(J2622&lt;&gt;1,"",IF(I2622="SBJ","CB","?"))</f>
        <v> </v>
      </c>
      <c r="I2622" s="26" t="str">
        <f>IF(OR(E2622="",E2622="!!!",F2622="NEW"),"",INDEX(B2621:B$2,-1+SUMPRODUCT(MAX(ROW(E2621:E$2)*(E2622=E2621:E$2)))))</f>
        <v> </v>
      </c>
      <c r="J2622" s="26" t="str">
        <f>IF(OR(E2622="",E2622="!!!",F2622="NEW"),"",COUNTBLANK(OFFSET(A$1,,,SUMPRODUCT(MAX(ROW(E$2:E2622)*(E2622=E$2:E2622)))))-COUNTBLANK(OFFSET(A$1,,,SUMPRODUCT(MAX(ROW(E$1:E2621)*(E2=E$1:E2621))))))</f>
        <v> </v>
      </c>
      <c r="K2622" s="26" t="str">
        <f>IF(OR(E2622="",E2622="!!!",F2622="NEW"),"",INDEX(J$1:J2621,SUMPRODUCT(MAX(ROW(E$1:E2621)*(E2622=E$1:E2621)))))</f>
        <v> </v>
      </c>
      <c r="L2622" s="27"/>
    </row>
    <row r="2623" spans="1:12">
      <c r="A2623" s="20" t="s">
        <v>639</v>
      </c>
      <c r="B2623" s="21" t="s">
        <v>801</v>
      </c>
      <c r="C2623" s="21" t="s">
        <v>602</v>
      </c>
      <c r="D2623" s="21" t="s">
        <v>603</v>
      </c>
      <c r="E2623" s="22">
        <f>IF(D2623="?OLD","!!!","")</f>
        <v/>
      </c>
      <c r="F2623" s="23" t="str">
        <f>IF(OR(E2623="",E2623="!!!"),"",IF(NOT(ISNA(VLOOKUP(E2623,E$1:E2622,1,FALSE()))),"OLD",IF(AND(E2623&lt;&gt;"",E2623&lt;&gt;"!!!"),"NEW","")))</f>
        <v> </v>
      </c>
      <c r="G2623" s="24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5" t="str">
        <f>IF(J2623&lt;&gt;1,"",IF(I2623="SBJ","CB","?"))</f>
        <v> </v>
      </c>
      <c r="I2623" s="26" t="str">
        <f>IF(OR(E2623="",E2623="!!!",F2623="NEW"),"",INDEX(B2622:B$2,-1+SUMPRODUCT(MAX(ROW(E2622:E$2)*(E2623=E2622:E$2)))))</f>
        <v> </v>
      </c>
      <c r="J2623" s="26" t="str">
        <f>IF(OR(E2623="",E2623="!!!",F2623="NEW"),"",COUNTBLANK(OFFSET(A$1,,,SUMPRODUCT(MAX(ROW(E$2:E2623)*(E2623=E$2:E2623)))))-COUNTBLANK(OFFSET(A$1,,,SUMPRODUCT(MAX(ROW(E$1:E2622)*(E2=E$1:E2622))))))</f>
        <v> </v>
      </c>
      <c r="K2623" s="26" t="str">
        <f>IF(OR(E2623="",E2623="!!!",F2623="NEW"),"",INDEX(J$1:J2622,SUMPRODUCT(MAX(ROW(E$1:E2622)*(E2623=E$1:E2622)))))</f>
        <v> </v>
      </c>
      <c r="L2623" s="27"/>
    </row>
    <row r="2624" spans="1:12">
      <c r="A2624" s="20" t="s">
        <v>1854</v>
      </c>
      <c r="E2624" s="22">
        <f>IF(D2624="?OLD","!!!","")</f>
        <v/>
      </c>
      <c r="F2624" s="23" t="str">
        <f>IF(OR(E2624="",E2624="!!!"),"",IF(NOT(ISNA(VLOOKUP(E2624,E$1:E2623,1,FALSE()))),"OLD",IF(AND(E2624&lt;&gt;"",E2624&lt;&gt;"!!!"),"NEW","")))</f>
        <v> </v>
      </c>
      <c r="G2624" s="24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5" t="str">
        <f>IF(J2624&lt;&gt;1,"",IF(I2624="SBJ","CB","?"))</f>
        <v> </v>
      </c>
      <c r="I2624" s="26" t="str">
        <f>IF(OR(E2624="",E2624="!!!",F2624="NEW"),"",INDEX(B2623:B$2,-1+SUMPRODUCT(MAX(ROW(E2623:E$2)*(E2624=E2623:E$2)))))</f>
        <v> </v>
      </c>
      <c r="J2624" s="26" t="str">
        <f>IF(OR(E2624="",E2624="!!!",F2624="NEW"),"",COUNTBLANK(OFFSET(A$1,,,SUMPRODUCT(MAX(ROW(E$2:E2624)*(E2624=E$2:E2624)))))-COUNTBLANK(OFFSET(A$1,,,SUMPRODUCT(MAX(ROW(E$1:E2623)*(E2=E$1:E2623))))))</f>
        <v> </v>
      </c>
      <c r="K2624" s="26" t="str">
        <f>IF(OR(E2624="",E2624="!!!",F2624="NEW"),"",INDEX(J$1:J2623,SUMPRODUCT(MAX(ROW(E$1:E2623)*(E2624=E$1:E2623)))))</f>
        <v> </v>
      </c>
      <c r="L2624" s="27"/>
    </row>
    <row r="2625" spans="1:12">
      <c r="A2625" s="20" t="s">
        <v>605</v>
      </c>
      <c r="E2625" s="22">
        <f>IF(D2625="?OLD","!!!","")</f>
        <v/>
      </c>
      <c r="F2625" s="23" t="str">
        <f>IF(OR(E2625="",E2625="!!!"),"",IF(NOT(ISNA(VLOOKUP(E2625,E$1:E2624,1,FALSE()))),"OLD",IF(AND(E2625&lt;&gt;"",E2625&lt;&gt;"!!!"),"NEW","")))</f>
        <v> </v>
      </c>
      <c r="G2625" s="24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5" t="str">
        <f>IF(J2625&lt;&gt;1,"",IF(I2625="SBJ","CB","?"))</f>
        <v> </v>
      </c>
      <c r="I2625" s="26" t="str">
        <f>IF(OR(E2625="",E2625="!!!",F2625="NEW"),"",INDEX(B2624:B$2,-1+SUMPRODUCT(MAX(ROW(E2624:E$2)*(E2625=E2624:E$2)))))</f>
        <v> </v>
      </c>
      <c r="J2625" s="26" t="str">
        <f>IF(OR(E2625="",E2625="!!!",F2625="NEW"),"",COUNTBLANK(OFFSET(A$1,,,SUMPRODUCT(MAX(ROW(E$2:E2625)*(E2625=E$2:E2625)))))-COUNTBLANK(OFFSET(A$1,,,SUMPRODUCT(MAX(ROW(E$1:E2624)*(E2=E$1:E2624))))))</f>
        <v> </v>
      </c>
      <c r="K2625" s="26" t="str">
        <f>IF(OR(E2625="",E2625="!!!",F2625="NEW"),"",INDEX(J$1:J2624,SUMPRODUCT(MAX(ROW(E$1:E2624)*(E2625=E$1:E2624)))))</f>
        <v> </v>
      </c>
      <c r="L2625" s="27"/>
    </row>
    <row r="2626" spans="1:12">
      <c r="A2626" s="20" t="s">
        <v>611</v>
      </c>
      <c r="E2626" s="22">
        <f>IF(D2626="?OLD","!!!","")</f>
        <v/>
      </c>
      <c r="F2626" s="23" t="str">
        <f>IF(OR(E2626="",E2626="!!!"),"",IF(NOT(ISNA(VLOOKUP(E2626,E$1:E2625,1,FALSE()))),"OLD",IF(AND(E2626&lt;&gt;"",E2626&lt;&gt;"!!!"),"NEW","")))</f>
        <v> </v>
      </c>
      <c r="G2626" s="24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5" t="str">
        <f>IF(J2626&lt;&gt;1,"",IF(I2626="SBJ","CB","?"))</f>
        <v> </v>
      </c>
      <c r="I2626" s="26" t="str">
        <f>IF(OR(E2626="",E2626="!!!",F2626="NEW"),"",INDEX(B2625:B$2,-1+SUMPRODUCT(MAX(ROW(E2625:E$2)*(E2626=E2625:E$2)))))</f>
        <v> </v>
      </c>
      <c r="J2626" s="26" t="str">
        <f>IF(OR(E2626="",E2626="!!!",F2626="NEW"),"",COUNTBLANK(OFFSET(A$1,,,SUMPRODUCT(MAX(ROW(E$2:E2626)*(E2626=E$2:E2626)))))-COUNTBLANK(OFFSET(A$1,,,SUMPRODUCT(MAX(ROW(E$1:E2625)*(E2=E$1:E2625))))))</f>
        <v> </v>
      </c>
      <c r="K2626" s="26" t="str">
        <f>IF(OR(E2626="",E2626="!!!",F2626="NEW"),"",INDEX(J$1:J2625,SUMPRODUCT(MAX(ROW(E$1:E2625)*(E2626=E$1:E2625)))))</f>
        <v> </v>
      </c>
      <c r="L2626" s="27"/>
    </row>
    <row r="2627" spans="1:12">
      <c r="A2627" s="20" t="s">
        <v>1855</v>
      </c>
      <c r="E2627" s="22">
        <f>IF(D2627="?OLD","!!!","")</f>
        <v/>
      </c>
      <c r="F2627" s="23" t="str">
        <f>IF(OR(E2627="",E2627="!!!"),"",IF(NOT(ISNA(VLOOKUP(E2627,E$1:E2626,1,FALSE()))),"OLD",IF(AND(E2627&lt;&gt;"",E2627&lt;&gt;"!!!"),"NEW","")))</f>
        <v> </v>
      </c>
      <c r="G2627" s="24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5" t="str">
        <f>IF(J2627&lt;&gt;1,"",IF(I2627="SBJ","CB","?"))</f>
        <v> </v>
      </c>
      <c r="I2627" s="26" t="str">
        <f>IF(OR(E2627="",E2627="!!!",F2627="NEW"),"",INDEX(B2626:B$2,-1+SUMPRODUCT(MAX(ROW(E2626:E$2)*(E2627=E2626:E$2)))))</f>
        <v> </v>
      </c>
      <c r="J2627" s="26" t="str">
        <f>IF(OR(E2627="",E2627="!!!",F2627="NEW"),"",COUNTBLANK(OFFSET(A$1,,,SUMPRODUCT(MAX(ROW(E$2:E2627)*(E2627=E$2:E2627)))))-COUNTBLANK(OFFSET(A$1,,,SUMPRODUCT(MAX(ROW(E$1:E2626)*(E2=E$1:E2626))))))</f>
        <v> </v>
      </c>
      <c r="K2627" s="26" t="str">
        <f>IF(OR(E2627="",E2627="!!!",F2627="NEW"),"",INDEX(J$1:J2626,SUMPRODUCT(MAX(ROW(E$1:E2626)*(E2627=E$1:E2626)))))</f>
        <v> </v>
      </c>
      <c r="L2627" s="27"/>
    </row>
    <row r="2628" spans="1:12">
      <c r="A2628" s="20" t="s">
        <v>925</v>
      </c>
      <c r="E2628" s="22">
        <f>IF(D2628="?OLD","!!!","")</f>
        <v/>
      </c>
      <c r="F2628" s="23" t="str">
        <f>IF(OR(E2628="",E2628="!!!"),"",IF(NOT(ISNA(VLOOKUP(E2628,E$1:E2627,1,FALSE()))),"OLD",IF(AND(E2628&lt;&gt;"",E2628&lt;&gt;"!!!"),"NEW","")))</f>
        <v> </v>
      </c>
      <c r="G2628" s="24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5" t="str">
        <f>IF(J2628&lt;&gt;1,"",IF(I2628="SBJ","CB","?"))</f>
        <v> </v>
      </c>
      <c r="I2628" s="26" t="str">
        <f>IF(OR(E2628="",E2628="!!!",F2628="NEW"),"",INDEX(B2627:B$2,-1+SUMPRODUCT(MAX(ROW(E2627:E$2)*(E2628=E2627:E$2)))))</f>
        <v> </v>
      </c>
      <c r="J2628" s="26" t="str">
        <f>IF(OR(E2628="",E2628="!!!",F2628="NEW"),"",COUNTBLANK(OFFSET(A$1,,,SUMPRODUCT(MAX(ROW(E$2:E2628)*(E2628=E$2:E2628)))))-COUNTBLANK(OFFSET(A$1,,,SUMPRODUCT(MAX(ROW(E$1:E2627)*(E2=E$1:E2627))))))</f>
        <v> </v>
      </c>
      <c r="K2628" s="26" t="str">
        <f>IF(OR(E2628="",E2628="!!!",F2628="NEW"),"",INDEX(J$1:J2627,SUMPRODUCT(MAX(ROW(E$1:E2627)*(E2628=E$1:E2627)))))</f>
        <v> </v>
      </c>
      <c r="L2628" s="27"/>
    </row>
    <row r="2629" spans="1:12">
      <c r="A2629" s="20" t="s">
        <v>615</v>
      </c>
      <c r="B2629" s="21" t="s">
        <v>659</v>
      </c>
      <c r="C2629" s="21" t="s">
        <v>602</v>
      </c>
      <c r="D2629" s="21" t="s">
        <v>603</v>
      </c>
      <c r="E2629" s="22">
        <f>IF(D2629="?OLD","!!!","")</f>
        <v/>
      </c>
      <c r="F2629" s="23" t="str">
        <f>IF(OR(E2629="",E2629="!!!"),"",IF(NOT(ISNA(VLOOKUP(E2629,E$1:E2628,1,FALSE()))),"OLD",IF(AND(E2629&lt;&gt;"",E2629&lt;&gt;"!!!"),"NEW","")))</f>
        <v> </v>
      </c>
      <c r="G2629" s="24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5" t="str">
        <f>IF(J2629&lt;&gt;1,"",IF(I2629="SBJ","CB","?"))</f>
        <v> </v>
      </c>
      <c r="I2629" s="26" t="str">
        <f>IF(OR(E2629="",E2629="!!!",F2629="NEW"),"",INDEX(B2628:B$2,-1+SUMPRODUCT(MAX(ROW(E2628:E$2)*(E2629=E2628:E$2)))))</f>
        <v> </v>
      </c>
      <c r="J2629" s="26" t="str">
        <f>IF(OR(E2629="",E2629="!!!",F2629="NEW"),"",COUNTBLANK(OFFSET(A$1,,,SUMPRODUCT(MAX(ROW(E$2:E2629)*(E2629=E$2:E2629)))))-COUNTBLANK(OFFSET(A$1,,,SUMPRODUCT(MAX(ROW(E$1:E2628)*(E2=E$1:E2628))))))</f>
        <v> </v>
      </c>
      <c r="K2629" s="26" t="str">
        <f>IF(OR(E2629="",E2629="!!!",F2629="NEW"),"",INDEX(J$1:J2628,SUMPRODUCT(MAX(ROW(E$1:E2628)*(E2629=E$1:E2628)))))</f>
        <v> </v>
      </c>
      <c r="L2629" s="27"/>
    </row>
    <row r="2630" spans="1:12">
      <c r="A2630" s="20" t="s">
        <v>1856</v>
      </c>
      <c r="E2630" s="22">
        <f>IF(D2630="?OLD","!!!","")</f>
        <v/>
      </c>
      <c r="F2630" s="23" t="str">
        <f>IF(OR(E2630="",E2630="!!!"),"",IF(NOT(ISNA(VLOOKUP(E2630,E$1:E2629,1,FALSE()))),"OLD",IF(AND(E2630&lt;&gt;"",E2630&lt;&gt;"!!!"),"NEW","")))</f>
        <v> </v>
      </c>
      <c r="G2630" s="24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5" t="str">
        <f>IF(J2630&lt;&gt;1,"",IF(I2630="SBJ","CB","?"))</f>
        <v> </v>
      </c>
      <c r="I2630" s="26" t="str">
        <f>IF(OR(E2630="",E2630="!!!",F2630="NEW"),"",INDEX(B2629:B$2,-1+SUMPRODUCT(MAX(ROW(E2629:E$2)*(E2630=E2629:E$2)))))</f>
        <v> </v>
      </c>
      <c r="J2630" s="26" t="str">
        <f>IF(OR(E2630="",E2630="!!!",F2630="NEW"),"",COUNTBLANK(OFFSET(A$1,,,SUMPRODUCT(MAX(ROW(E$2:E2630)*(E2630=E$2:E2630)))))-COUNTBLANK(OFFSET(A$1,,,SUMPRODUCT(MAX(ROW(E$1:E2629)*(E2=E$1:E2629))))))</f>
        <v> </v>
      </c>
      <c r="K2630" s="26" t="str">
        <f>IF(OR(E2630="",E2630="!!!",F2630="NEW"),"",INDEX(J$1:J2629,SUMPRODUCT(MAX(ROW(E$1:E2629)*(E2630=E$1:E2629)))))</f>
        <v> </v>
      </c>
      <c r="L2630" s="27"/>
    </row>
    <row r="2631" spans="1:12">
      <c r="A2631" s="20" t="s">
        <v>1857</v>
      </c>
      <c r="B2631" s="21" t="s">
        <v>613</v>
      </c>
      <c r="E2631" s="22">
        <f>IF(D2631="?OLD","!!!","")</f>
        <v/>
      </c>
      <c r="F2631" s="23" t="str">
        <f>IF(OR(E2631="",E2631="!!!"),"",IF(NOT(ISNA(VLOOKUP(E2631,E$1:E2630,1,FALSE()))),"OLD",IF(AND(E2631&lt;&gt;"",E2631&lt;&gt;"!!!"),"NEW","")))</f>
        <v> </v>
      </c>
      <c r="G2631" s="24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5" t="str">
        <f>IF(J2631&lt;&gt;1,"",IF(I2631="SBJ","CB","?"))</f>
        <v> </v>
      </c>
      <c r="I2631" s="26" t="str">
        <f>IF(OR(E2631="",E2631="!!!",F2631="NEW"),"",INDEX(B2630:B$2,-1+SUMPRODUCT(MAX(ROW(E2630:E$2)*(E2631=E2630:E$2)))))</f>
        <v> </v>
      </c>
      <c r="J2631" s="26" t="str">
        <f>IF(OR(E2631="",E2631="!!!",F2631="NEW"),"",COUNTBLANK(OFFSET(A$1,,,SUMPRODUCT(MAX(ROW(E$2:E2631)*(E2631=E$2:E2631)))))-COUNTBLANK(OFFSET(A$1,,,SUMPRODUCT(MAX(ROW(E$1:E2630)*(E2=E$1:E2630))))))</f>
        <v> </v>
      </c>
      <c r="K2631" s="26" t="str">
        <f>IF(OR(E2631="",E2631="!!!",F2631="NEW"),"",INDEX(J$1:J2630,SUMPRODUCT(MAX(ROW(E$1:E2630)*(E2631=E$1:E2630)))))</f>
        <v> </v>
      </c>
      <c r="L2631" s="27"/>
    </row>
    <row r="2632" spans="1:12">
      <c r="A2632" s="20" t="s">
        <v>883</v>
      </c>
      <c r="E2632" s="22">
        <f>IF(D2632="?OLD","!!!","")</f>
        <v/>
      </c>
      <c r="F2632" s="23" t="str">
        <f>IF(OR(E2632="",E2632="!!!"),"",IF(NOT(ISNA(VLOOKUP(E2632,E$1:E2631,1,FALSE()))),"OLD",IF(AND(E2632&lt;&gt;"",E2632&lt;&gt;"!!!"),"NEW","")))</f>
        <v> </v>
      </c>
      <c r="G2632" s="24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5" t="str">
        <f>IF(J2632&lt;&gt;1,"",IF(I2632="SBJ","CB","?"))</f>
        <v> </v>
      </c>
      <c r="I2632" s="26" t="str">
        <f>IF(OR(E2632="",E2632="!!!",F2632="NEW"),"",INDEX(B2631:B$2,-1+SUMPRODUCT(MAX(ROW(E2631:E$2)*(E2632=E2631:E$2)))))</f>
        <v> </v>
      </c>
      <c r="J2632" s="26" t="str">
        <f>IF(OR(E2632="",E2632="!!!",F2632="NEW"),"",COUNTBLANK(OFFSET(A$1,,,SUMPRODUCT(MAX(ROW(E$2:E2632)*(E2632=E$2:E2632)))))-COUNTBLANK(OFFSET(A$1,,,SUMPRODUCT(MAX(ROW(E$1:E2631)*(E2=E$1:E2631))))))</f>
        <v> </v>
      </c>
      <c r="K2632" s="26" t="str">
        <f>IF(OR(E2632="",E2632="!!!",F2632="NEW"),"",INDEX(J$1:J2631,SUMPRODUCT(MAX(ROW(E$1:E2631)*(E2632=E$1:E2631)))))</f>
        <v> </v>
      </c>
      <c r="L2632" s="27"/>
    </row>
    <row r="2633" spans="1:12">
      <c r="A2633" s="20" t="s">
        <v>1138</v>
      </c>
      <c r="E2633" s="22">
        <f>IF(D2633="?OLD","!!!","")</f>
        <v/>
      </c>
      <c r="F2633" s="23" t="str">
        <f>IF(OR(E2633="",E2633="!!!"),"",IF(NOT(ISNA(VLOOKUP(E2633,E$1:E2632,1,FALSE()))),"OLD",IF(AND(E2633&lt;&gt;"",E2633&lt;&gt;"!!!"),"NEW","")))</f>
        <v> </v>
      </c>
      <c r="G2633" s="24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5" t="str">
        <f>IF(J2633&lt;&gt;1,"",IF(I2633="SBJ","CB","?"))</f>
        <v> </v>
      </c>
      <c r="I2633" s="26" t="str">
        <f>IF(OR(E2633="",E2633="!!!",F2633="NEW"),"",INDEX(B2632:B$2,-1+SUMPRODUCT(MAX(ROW(E2632:E$2)*(E2633=E2632:E$2)))))</f>
        <v> </v>
      </c>
      <c r="J2633" s="26" t="str">
        <f>IF(OR(E2633="",E2633="!!!",F2633="NEW"),"",COUNTBLANK(OFFSET(A$1,,,SUMPRODUCT(MAX(ROW(E$2:E2633)*(E2633=E$2:E2633)))))-COUNTBLANK(OFFSET(A$1,,,SUMPRODUCT(MAX(ROW(E$1:E2632)*(E2=E$1:E2632))))))</f>
        <v> </v>
      </c>
      <c r="K2633" s="26" t="str">
        <f>IF(OR(E2633="",E2633="!!!",F2633="NEW"),"",INDEX(J$1:J2632,SUMPRODUCT(MAX(ROW(E$1:E2632)*(E2633=E$1:E2632)))))</f>
        <v> </v>
      </c>
      <c r="L2633" s="27"/>
    </row>
    <row r="2634" spans="1:12">
      <c r="A2634" s="20" t="s">
        <v>670</v>
      </c>
      <c r="E2634" s="22">
        <f>IF(D2634="?OLD","!!!","")</f>
        <v/>
      </c>
      <c r="F2634" s="23" t="str">
        <f>IF(OR(E2634="",E2634="!!!"),"",IF(NOT(ISNA(VLOOKUP(E2634,E$1:E2633,1,FALSE()))),"OLD",IF(AND(E2634&lt;&gt;"",E2634&lt;&gt;"!!!"),"NEW","")))</f>
        <v> </v>
      </c>
      <c r="G2634" s="24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5" t="str">
        <f>IF(J2634&lt;&gt;1,"",IF(I2634="SBJ","CB","?"))</f>
        <v> </v>
      </c>
      <c r="I2634" s="26" t="str">
        <f>IF(OR(E2634="",E2634="!!!",F2634="NEW"),"",INDEX(B2633:B$2,-1+SUMPRODUCT(MAX(ROW(E2633:E$2)*(E2634=E2633:E$2)))))</f>
        <v> </v>
      </c>
      <c r="J2634" s="26" t="str">
        <f>IF(OR(E2634="",E2634="!!!",F2634="NEW"),"",COUNTBLANK(OFFSET(A$1,,,SUMPRODUCT(MAX(ROW(E$2:E2634)*(E2634=E$2:E2634)))))-COUNTBLANK(OFFSET(A$1,,,SUMPRODUCT(MAX(ROW(E$1:E2633)*(E2=E$1:E2633))))))</f>
        <v> </v>
      </c>
      <c r="K2634" s="26" t="str">
        <f>IF(OR(E2634="",E2634="!!!",F2634="NEW"),"",INDEX(J$1:J2633,SUMPRODUCT(MAX(ROW(E$1:E2633)*(E2634=E$1:E2633)))))</f>
        <v> </v>
      </c>
      <c r="L2634" s="27"/>
    </row>
    <row r="2635" spans="1:12">
      <c r="A2635" s="20" t="s">
        <v>1858</v>
      </c>
      <c r="E2635" s="22">
        <f>IF(D2635="?OLD","!!!","")</f>
        <v/>
      </c>
      <c r="F2635" s="23" t="str">
        <f>IF(OR(E2635="",E2635="!!!"),"",IF(NOT(ISNA(VLOOKUP(E2635,E$1:E2634,1,FALSE()))),"OLD",IF(AND(E2635&lt;&gt;"",E2635&lt;&gt;"!!!"),"NEW","")))</f>
        <v> </v>
      </c>
      <c r="G2635" s="24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5" t="str">
        <f>IF(J2635&lt;&gt;1,"",IF(I2635="SBJ","CB","?"))</f>
        <v> </v>
      </c>
      <c r="I2635" s="26" t="str">
        <f>IF(OR(E2635="",E2635="!!!",F2635="NEW"),"",INDEX(B2634:B$2,-1+SUMPRODUCT(MAX(ROW(E2634:E$2)*(E2635=E2634:E$2)))))</f>
        <v> </v>
      </c>
      <c r="J2635" s="26" t="str">
        <f>IF(OR(E2635="",E2635="!!!",F2635="NEW"),"",COUNTBLANK(OFFSET(A$1,,,SUMPRODUCT(MAX(ROW(E$2:E2635)*(E2635=E$2:E2635)))))-COUNTBLANK(OFFSET(A$1,,,SUMPRODUCT(MAX(ROW(E$1:E2634)*(E2=E$1:E2634))))))</f>
        <v> </v>
      </c>
      <c r="K2635" s="26" t="str">
        <f>IF(OR(E2635="",E2635="!!!",F2635="NEW"),"",INDEX(J$1:J2634,SUMPRODUCT(MAX(ROW(E$1:E2634)*(E2635=E$1:E2634)))))</f>
        <v> </v>
      </c>
      <c r="L2635" s="27"/>
    </row>
    <row r="2636" spans="1:12">
      <c r="A2636" s="20" t="s">
        <v>646</v>
      </c>
      <c r="E2636" s="22">
        <f>IF(D2636="?OLD","!!!","")</f>
        <v/>
      </c>
      <c r="F2636" s="23" t="str">
        <f>IF(OR(E2636="",E2636="!!!"),"",IF(NOT(ISNA(VLOOKUP(E2636,E$1:E2635,1,FALSE()))),"OLD",IF(AND(E2636&lt;&gt;"",E2636&lt;&gt;"!!!"),"NEW","")))</f>
        <v> </v>
      </c>
      <c r="G2636" s="24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5" t="str">
        <f>IF(J2636&lt;&gt;1,"",IF(I2636="SBJ","CB","?"))</f>
        <v> </v>
      </c>
      <c r="I2636" s="26" t="str">
        <f>IF(OR(E2636="",E2636="!!!",F2636="NEW"),"",INDEX(B2635:B$2,-1+SUMPRODUCT(MAX(ROW(E2635:E$2)*(E2636=E2635:E$2)))))</f>
        <v> </v>
      </c>
      <c r="J2636" s="26" t="str">
        <f>IF(OR(E2636="",E2636="!!!",F2636="NEW"),"",COUNTBLANK(OFFSET(A$1,,,SUMPRODUCT(MAX(ROW(E$2:E2636)*(E2636=E$2:E2636)))))-COUNTBLANK(OFFSET(A$1,,,SUMPRODUCT(MAX(ROW(E$1:E2635)*(E2=E$1:E2635))))))</f>
        <v> </v>
      </c>
      <c r="K2636" s="26" t="str">
        <f>IF(OR(E2636="",E2636="!!!",F2636="NEW"),"",INDEX(J$1:J2635,SUMPRODUCT(MAX(ROW(E$1:E2635)*(E2636=E$1:E2635)))))</f>
        <v> </v>
      </c>
      <c r="L2636" s="27"/>
    </row>
    <row r="2637" spans="1:12">
      <c r="A2637" s="20" t="s">
        <v>1734</v>
      </c>
      <c r="E2637" s="22">
        <f>IF(D2637="?OLD","!!!","")</f>
        <v/>
      </c>
      <c r="F2637" s="23" t="str">
        <f>IF(OR(E2637="",E2637="!!!"),"",IF(NOT(ISNA(VLOOKUP(E2637,E$1:E2636,1,FALSE()))),"OLD",IF(AND(E2637&lt;&gt;"",E2637&lt;&gt;"!!!"),"NEW","")))</f>
        <v> </v>
      </c>
      <c r="G2637" s="24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5" t="str">
        <f>IF(J2637&lt;&gt;1,"",IF(I2637="SBJ","CB","?"))</f>
        <v> </v>
      </c>
      <c r="I2637" s="26" t="str">
        <f>IF(OR(E2637="",E2637="!!!",F2637="NEW"),"",INDEX(B2636:B$2,-1+SUMPRODUCT(MAX(ROW(E2636:E$2)*(E2637=E2636:E$2)))))</f>
        <v> </v>
      </c>
      <c r="J2637" s="26" t="str">
        <f>IF(OR(E2637="",E2637="!!!",F2637="NEW"),"",COUNTBLANK(OFFSET(A$1,,,SUMPRODUCT(MAX(ROW(E$2:E2637)*(E2637=E$2:E2637)))))-COUNTBLANK(OFFSET(A$1,,,SUMPRODUCT(MAX(ROW(E$1:E2636)*(E2=E$1:E2636))))))</f>
        <v> </v>
      </c>
      <c r="K2637" s="26" t="str">
        <f>IF(OR(E2637="",E2637="!!!",F2637="NEW"),"",INDEX(J$1:J2636,SUMPRODUCT(MAX(ROW(E$1:E2636)*(E2637=E$1:E2636)))))</f>
        <v> </v>
      </c>
      <c r="L2637" s="27"/>
    </row>
    <row r="2638" spans="1:12">
      <c r="A2638" s="20" t="s">
        <v>611</v>
      </c>
      <c r="E2638" s="22">
        <f>IF(D2638="?OLD","!!!","")</f>
        <v/>
      </c>
      <c r="F2638" s="23" t="str">
        <f>IF(OR(E2638="",E2638="!!!"),"",IF(NOT(ISNA(VLOOKUP(E2638,E$1:E2637,1,FALSE()))),"OLD",IF(AND(E2638&lt;&gt;"",E2638&lt;&gt;"!!!"),"NEW","")))</f>
        <v> </v>
      </c>
      <c r="G2638" s="24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5" t="str">
        <f>IF(J2638&lt;&gt;1,"",IF(I2638="SBJ","CB","?"))</f>
        <v> </v>
      </c>
      <c r="I2638" s="26" t="str">
        <f>IF(OR(E2638="",E2638="!!!",F2638="NEW"),"",INDEX(B2637:B$2,-1+SUMPRODUCT(MAX(ROW(E2637:E$2)*(E2638=E2637:E$2)))))</f>
        <v> </v>
      </c>
      <c r="J2638" s="26" t="str">
        <f>IF(OR(E2638="",E2638="!!!",F2638="NEW"),"",COUNTBLANK(OFFSET(A$1,,,SUMPRODUCT(MAX(ROW(E$2:E2638)*(E2638=E$2:E2638)))))-COUNTBLANK(OFFSET(A$1,,,SUMPRODUCT(MAX(ROW(E$1:E2637)*(E2=E$1:E2637))))))</f>
        <v> </v>
      </c>
      <c r="K2638" s="26" t="str">
        <f>IF(OR(E2638="",E2638="!!!",F2638="NEW"),"",INDEX(J$1:J2637,SUMPRODUCT(MAX(ROW(E$1:E2637)*(E2638=E$1:E2637)))))</f>
        <v> </v>
      </c>
      <c r="L2638" s="27"/>
    </row>
    <row r="2639" spans="1:12">
      <c r="A2639" s="20" t="s">
        <v>615</v>
      </c>
      <c r="B2639" s="21" t="s">
        <v>601</v>
      </c>
      <c r="C2639" s="21" t="s">
        <v>602</v>
      </c>
      <c r="D2639" s="21" t="s">
        <v>603</v>
      </c>
      <c r="E2639" s="22">
        <f>IF(D2639="?OLD","!!!","")</f>
        <v/>
      </c>
      <c r="F2639" s="23" t="str">
        <f>IF(OR(E2639="",E2639="!!!"),"",IF(NOT(ISNA(VLOOKUP(E2639,E$1:E2638,1,FALSE()))),"OLD",IF(AND(E2639&lt;&gt;"",E2639&lt;&gt;"!!!"),"NEW","")))</f>
        <v> </v>
      </c>
      <c r="G2639" s="24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5" t="str">
        <f>IF(J2639&lt;&gt;1,"",IF(I2639="SBJ","CB","?"))</f>
        <v> </v>
      </c>
      <c r="I2639" s="26" t="str">
        <f>IF(OR(E2639="",E2639="!!!",F2639="NEW"),"",INDEX(B2638:B$2,-1+SUMPRODUCT(MAX(ROW(E2638:E$2)*(E2639=E2638:E$2)))))</f>
        <v> </v>
      </c>
      <c r="J2639" s="26" t="str">
        <f>IF(OR(E2639="",E2639="!!!",F2639="NEW"),"",COUNTBLANK(OFFSET(A$1,,,SUMPRODUCT(MAX(ROW(E$2:E2639)*(E2639=E$2:E2639)))))-COUNTBLANK(OFFSET(A$1,,,SUMPRODUCT(MAX(ROW(E$1:E2638)*(E2=E$1:E2638))))))</f>
        <v> </v>
      </c>
      <c r="K2639" s="26" t="str">
        <f>IF(OR(E2639="",E2639="!!!",F2639="NEW"),"",INDEX(J$1:J2638,SUMPRODUCT(MAX(ROW(E$1:E2638)*(E2639=E$1:E2638)))))</f>
        <v> </v>
      </c>
      <c r="L2639" s="27"/>
    </row>
    <row r="2640" spans="1:12">
      <c r="A2640" s="20" t="s">
        <v>664</v>
      </c>
      <c r="E2640" s="22">
        <f>IF(D2640="?OLD","!!!","")</f>
        <v/>
      </c>
      <c r="F2640" s="23" t="str">
        <f>IF(OR(E2640="",E2640="!!!"),"",IF(NOT(ISNA(VLOOKUP(E2640,E$1:E2639,1,FALSE()))),"OLD",IF(AND(E2640&lt;&gt;"",E2640&lt;&gt;"!!!"),"NEW","")))</f>
        <v> </v>
      </c>
      <c r="G2640" s="24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5" t="str">
        <f>IF(J2640&lt;&gt;1,"",IF(I2640="SBJ","CB","?"))</f>
        <v> </v>
      </c>
      <c r="I2640" s="26" t="str">
        <f>IF(OR(E2640="",E2640="!!!",F2640="NEW"),"",INDEX(B2639:B$2,-1+SUMPRODUCT(MAX(ROW(E2639:E$2)*(E2640=E2639:E$2)))))</f>
        <v> </v>
      </c>
      <c r="J2640" s="26" t="str">
        <f>IF(OR(E2640="",E2640="!!!",F2640="NEW"),"",COUNTBLANK(OFFSET(A$1,,,SUMPRODUCT(MAX(ROW(E$2:E2640)*(E2640=E$2:E2640)))))-COUNTBLANK(OFFSET(A$1,,,SUMPRODUCT(MAX(ROW(E$1:E2639)*(E2=E$1:E2639))))))</f>
        <v> </v>
      </c>
      <c r="K2640" s="26" t="str">
        <f>IF(OR(E2640="",E2640="!!!",F2640="NEW"),"",INDEX(J$1:J2639,SUMPRODUCT(MAX(ROW(E$1:E2639)*(E2640=E$1:E2639)))))</f>
        <v> </v>
      </c>
      <c r="L2640" s="27"/>
    </row>
    <row r="2641" spans="1:12">
      <c r="A2641" s="20" t="s">
        <v>1859</v>
      </c>
      <c r="E2641" s="22">
        <f>IF(D2641="?OLD","!!!","")</f>
        <v/>
      </c>
      <c r="F2641" s="23" t="str">
        <f>IF(OR(E2641="",E2641="!!!"),"",IF(NOT(ISNA(VLOOKUP(E2641,E$1:E2640,1,FALSE()))),"OLD",IF(AND(E2641&lt;&gt;"",E2641&lt;&gt;"!!!"),"NEW","")))</f>
        <v> </v>
      </c>
      <c r="G2641" s="24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5" t="str">
        <f>IF(J2641&lt;&gt;1,"",IF(I2641="SBJ","CB","?"))</f>
        <v> </v>
      </c>
      <c r="I2641" s="26" t="str">
        <f>IF(OR(E2641="",E2641="!!!",F2641="NEW"),"",INDEX(B2640:B$2,-1+SUMPRODUCT(MAX(ROW(E2640:E$2)*(E2641=E2640:E$2)))))</f>
        <v> </v>
      </c>
      <c r="J2641" s="26" t="str">
        <f>IF(OR(E2641="",E2641="!!!",F2641="NEW"),"",COUNTBLANK(OFFSET(A$1,,,SUMPRODUCT(MAX(ROW(E$2:E2641)*(E2641=E$2:E2641)))))-COUNTBLANK(OFFSET(A$1,,,SUMPRODUCT(MAX(ROW(E$1:E2640)*(E2=E$1:E2640))))))</f>
        <v> </v>
      </c>
      <c r="K2641" s="26" t="str">
        <f>IF(OR(E2641="",E2641="!!!",F2641="NEW"),"",INDEX(J$1:J2640,SUMPRODUCT(MAX(ROW(E$1:E2640)*(E2641=E$1:E2640)))))</f>
        <v> </v>
      </c>
      <c r="L2641" s="27"/>
    </row>
    <row r="2642" spans="1:12">
      <c r="A2642" s="20" t="s">
        <v>605</v>
      </c>
      <c r="E2642" s="22">
        <f>IF(D2642="?OLD","!!!","")</f>
        <v/>
      </c>
      <c r="F2642" s="23" t="str">
        <f>IF(OR(E2642="",E2642="!!!"),"",IF(NOT(ISNA(VLOOKUP(E2642,E$1:E2641,1,FALSE()))),"OLD",IF(AND(E2642&lt;&gt;"",E2642&lt;&gt;"!!!"),"NEW","")))</f>
        <v> </v>
      </c>
      <c r="G2642" s="24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5" t="str">
        <f>IF(J2642&lt;&gt;1,"",IF(I2642="SBJ","CB","?"))</f>
        <v> </v>
      </c>
      <c r="I2642" s="26" t="str">
        <f>IF(OR(E2642="",E2642="!!!",F2642="NEW"),"",INDEX(B2641:B$2,-1+SUMPRODUCT(MAX(ROW(E2641:E$2)*(E2642=E2641:E$2)))))</f>
        <v> </v>
      </c>
      <c r="J2642" s="26" t="str">
        <f>IF(OR(E2642="",E2642="!!!",F2642="NEW"),"",COUNTBLANK(OFFSET(A$1,,,SUMPRODUCT(MAX(ROW(E$2:E2642)*(E2642=E$2:E2642)))))-COUNTBLANK(OFFSET(A$1,,,SUMPRODUCT(MAX(ROW(E$1:E2641)*(E2=E$1:E2641))))))</f>
        <v> </v>
      </c>
      <c r="K2642" s="26" t="str">
        <f>IF(OR(E2642="",E2642="!!!",F2642="NEW"),"",INDEX(J$1:J2641,SUMPRODUCT(MAX(ROW(E$1:E2641)*(E2642=E$1:E2641)))))</f>
        <v> </v>
      </c>
      <c r="L2642" s="27"/>
    </row>
    <row r="2643" spans="1:12">
      <c r="A2643" s="20" t="s">
        <v>660</v>
      </c>
      <c r="E2643" s="22">
        <f>IF(D2643="?OLD","!!!","")</f>
        <v/>
      </c>
      <c r="F2643" s="23" t="str">
        <f>IF(OR(E2643="",E2643="!!!"),"",IF(NOT(ISNA(VLOOKUP(E2643,E$1:E2642,1,FALSE()))),"OLD",IF(AND(E2643&lt;&gt;"",E2643&lt;&gt;"!!!"),"NEW","")))</f>
        <v> </v>
      </c>
      <c r="G2643" s="24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5" t="str">
        <f>IF(J2643&lt;&gt;1,"",IF(I2643="SBJ","CB","?"))</f>
        <v> </v>
      </c>
      <c r="I2643" s="26" t="str">
        <f>IF(OR(E2643="",E2643="!!!",F2643="NEW"),"",INDEX(B2642:B$2,-1+SUMPRODUCT(MAX(ROW(E2642:E$2)*(E2643=E2642:E$2)))))</f>
        <v> </v>
      </c>
      <c r="J2643" s="26" t="str">
        <f>IF(OR(E2643="",E2643="!!!",F2643="NEW"),"",COUNTBLANK(OFFSET(A$1,,,SUMPRODUCT(MAX(ROW(E$2:E2643)*(E2643=E$2:E2643)))))-COUNTBLANK(OFFSET(A$1,,,SUMPRODUCT(MAX(ROW(E$1:E2642)*(E2=E$1:E2642))))))</f>
        <v> </v>
      </c>
      <c r="K2643" s="26" t="str">
        <f>IF(OR(E2643="",E2643="!!!",F2643="NEW"),"",INDEX(J$1:J2642,SUMPRODUCT(MAX(ROW(E$1:E2642)*(E2643=E$1:E2642)))))</f>
        <v> </v>
      </c>
      <c r="L2643" s="27"/>
    </row>
    <row r="2644" spans="1:12">
      <c r="A2644" s="20" t="s">
        <v>1860</v>
      </c>
      <c r="E2644" s="22">
        <f>IF(D2644="?OLD","!!!","")</f>
        <v/>
      </c>
      <c r="F2644" s="23" t="str">
        <f>IF(OR(E2644="",E2644="!!!"),"",IF(NOT(ISNA(VLOOKUP(E2644,E$1:E2643,1,FALSE()))),"OLD",IF(AND(E2644&lt;&gt;"",E2644&lt;&gt;"!!!"),"NEW","")))</f>
        <v> </v>
      </c>
      <c r="G2644" s="24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5" t="str">
        <f>IF(J2644&lt;&gt;1,"",IF(I2644="SBJ","CB","?"))</f>
        <v> </v>
      </c>
      <c r="I2644" s="26" t="str">
        <f>IF(OR(E2644="",E2644="!!!",F2644="NEW"),"",INDEX(B2643:B$2,-1+SUMPRODUCT(MAX(ROW(E2643:E$2)*(E2644=E2643:E$2)))))</f>
        <v> </v>
      </c>
      <c r="J2644" s="26" t="str">
        <f>IF(OR(E2644="",E2644="!!!",F2644="NEW"),"",COUNTBLANK(OFFSET(A$1,,,SUMPRODUCT(MAX(ROW(E$2:E2644)*(E2644=E$2:E2644)))))-COUNTBLANK(OFFSET(A$1,,,SUMPRODUCT(MAX(ROW(E$1:E2643)*(E2=E$1:E2643))))))</f>
        <v> </v>
      </c>
      <c r="K2644" s="26" t="str">
        <f>IF(OR(E2644="",E2644="!!!",F2644="NEW"),"",INDEX(J$1:J2643,SUMPRODUCT(MAX(ROW(E$1:E2643)*(E2644=E$1:E2643)))))</f>
        <v> </v>
      </c>
      <c r="L2644" s="27"/>
    </row>
    <row r="2645" spans="1:12">
      <c r="A2645" s="20" t="s">
        <v>633</v>
      </c>
      <c r="E2645" s="22">
        <f>IF(D2645="?OLD","!!!","")</f>
        <v/>
      </c>
      <c r="F2645" s="23" t="str">
        <f>IF(OR(E2645="",E2645="!!!"),"",IF(NOT(ISNA(VLOOKUP(E2645,E$1:E2644,1,FALSE()))),"OLD",IF(AND(E2645&lt;&gt;"",E2645&lt;&gt;"!!!"),"NEW","")))</f>
        <v> </v>
      </c>
      <c r="G2645" s="24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5" t="str">
        <f>IF(J2645&lt;&gt;1,"",IF(I2645="SBJ","CB","?"))</f>
        <v> </v>
      </c>
      <c r="I2645" s="26" t="str">
        <f>IF(OR(E2645="",E2645="!!!",F2645="NEW"),"",INDEX(B2644:B$2,-1+SUMPRODUCT(MAX(ROW(E2644:E$2)*(E2645=E2644:E$2)))))</f>
        <v> </v>
      </c>
      <c r="J2645" s="26" t="str">
        <f>IF(OR(E2645="",E2645="!!!",F2645="NEW"),"",COUNTBLANK(OFFSET(A$1,,,SUMPRODUCT(MAX(ROW(E$2:E2645)*(E2645=E$2:E2645)))))-COUNTBLANK(OFFSET(A$1,,,SUMPRODUCT(MAX(ROW(E$1:E2644)*(E2=E$1:E2644))))))</f>
        <v> </v>
      </c>
      <c r="K2645" s="26" t="str">
        <f>IF(OR(E2645="",E2645="!!!",F2645="NEW"),"",INDEX(J$1:J2644,SUMPRODUCT(MAX(ROW(E$1:E2644)*(E2645=E$1:E2644)))))</f>
        <v> </v>
      </c>
      <c r="L2645" s="27"/>
    </row>
    <row r="2646" spans="1:12">
      <c r="A2646" s="20"/>
    </row>
    <row r="2647" spans="1:12">
      <c r="A2647" s="20" t="s">
        <v>1861</v>
      </c>
    </row>
    <row r="2648" spans="1:12">
      <c r="A2648" s="20" t="s">
        <v>1227</v>
      </c>
      <c r="E2648" s="22">
        <f>IF(D2648="?OLD","!!!","")</f>
        <v/>
      </c>
      <c r="F2648" s="23" t="str">
        <f>IF(OR(E2648="",E2648="!!!"),"",IF(NOT(ISNA(VLOOKUP(E2648,E$1:E2647,1,FALSE()))),"OLD",IF(AND(E2648&lt;&gt;"",E2648&lt;&gt;"!!!"),"NEW","")))</f>
        <v> </v>
      </c>
      <c r="G2648" s="24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5" t="str">
        <f>IF(J2648&lt;&gt;1,"",IF(I2648="SBJ","CB","?"))</f>
        <v> </v>
      </c>
      <c r="I2648" s="26" t="str">
        <f>IF(OR(E2648="",E2648="!!!",F2648="NEW"),"",INDEX(B2647:B$2,-1+SUMPRODUCT(MAX(ROW(E2647:E$2)*(E2648=E2647:E$2)))))</f>
        <v> </v>
      </c>
      <c r="J2648" s="26" t="str">
        <f>IF(OR(E2648="",E2648="!!!",F2648="NEW"),"",COUNTBLANK(OFFSET(A$1,,,SUMPRODUCT(MAX(ROW(E$2:E2648)*(E2648=E$2:E2648)))))-COUNTBLANK(OFFSET(A$1,,,SUMPRODUCT(MAX(ROW(E$1:E2647)*(E2=E$1:E2647))))))</f>
        <v> </v>
      </c>
      <c r="K2648" s="26" t="str">
        <f>IF(OR(E2648="",E2648="!!!",F2648="NEW"),"",INDEX(J$1:J2647,SUMPRODUCT(MAX(ROW(E$1:E2647)*(E2648=E$1:E2647)))))</f>
        <v> </v>
      </c>
      <c r="L2648" s="27"/>
    </row>
    <row r="2649" spans="1:12">
      <c r="A2649" s="20" t="s">
        <v>239</v>
      </c>
      <c r="E2649" s="22">
        <f>IF(D2649="?OLD","!!!","")</f>
        <v/>
      </c>
      <c r="F2649" s="23" t="str">
        <f>IF(OR(E2649="",E2649="!!!"),"",IF(NOT(ISNA(VLOOKUP(E2649,E$1:E2648,1,FALSE()))),"OLD",IF(AND(E2649&lt;&gt;"",E2649&lt;&gt;"!!!"),"NEW","")))</f>
        <v> </v>
      </c>
      <c r="G2649" s="24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5" t="str">
        <f>IF(J2649&lt;&gt;1,"",IF(I2649="SBJ","CB","?"))</f>
        <v> </v>
      </c>
      <c r="I2649" s="26" t="str">
        <f>IF(OR(E2649="",E2649="!!!",F2649="NEW"),"",INDEX(B2648:B$2,-1+SUMPRODUCT(MAX(ROW(E2648:E$2)*(E2649=E2648:E$2)))))</f>
        <v> </v>
      </c>
      <c r="J2649" s="26" t="str">
        <f>IF(OR(E2649="",E2649="!!!",F2649="NEW"),"",COUNTBLANK(OFFSET(A$1,,,SUMPRODUCT(MAX(ROW(E$2:E2649)*(E2649=E$2:E2649)))))-COUNTBLANK(OFFSET(A$1,,,SUMPRODUCT(MAX(ROW(E$1:E2648)*(E2=E$1:E2648))))))</f>
        <v> </v>
      </c>
      <c r="K2649" s="26" t="str">
        <f>IF(OR(E2649="",E2649="!!!",F2649="NEW"),"",INDEX(J$1:J2648,SUMPRODUCT(MAX(ROW(E$1:E2648)*(E2649=E$1:E2648)))))</f>
        <v> </v>
      </c>
      <c r="L2649" s="27"/>
    </row>
    <row r="2650" spans="1:12">
      <c r="A2650" s="20" t="s">
        <v>624</v>
      </c>
      <c r="B2650" s="21" t="s">
        <v>640</v>
      </c>
      <c r="C2650" s="21" t="s">
        <v>716</v>
      </c>
      <c r="D2650" s="21" t="s">
        <v>603</v>
      </c>
      <c r="E2650" s="22">
        <f>IF(D2650="?OLD","!!!","")</f>
        <v/>
      </c>
      <c r="F2650" s="23" t="str">
        <f>IF(OR(E2650="",E2650="!!!"),"",IF(NOT(ISNA(VLOOKUP(E2650,E$1:E2649,1,FALSE()))),"OLD",IF(AND(E2650&lt;&gt;"",E2650&lt;&gt;"!!!"),"NEW","")))</f>
        <v> </v>
      </c>
      <c r="G2650" s="24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5" t="str">
        <f>IF(J2650&lt;&gt;1,"",IF(I2650="SBJ","CB","?"))</f>
        <v> </v>
      </c>
      <c r="I2650" s="26" t="str">
        <f>IF(OR(E2650="",E2650="!!!",F2650="NEW"),"",INDEX(B2649:B$2,-1+SUMPRODUCT(MAX(ROW(E2649:E$2)*(E2650=E2649:E$2)))))</f>
        <v> </v>
      </c>
      <c r="J2650" s="26" t="str">
        <f>IF(OR(E2650="",E2650="!!!",F2650="NEW"),"",COUNTBLANK(OFFSET(A$1,,,SUMPRODUCT(MAX(ROW(E$2:E2650)*(E2650=E$2:E2650)))))-COUNTBLANK(OFFSET(A$1,,,SUMPRODUCT(MAX(ROW(E$1:E2649)*(E2=E$1:E2649))))))</f>
        <v> </v>
      </c>
      <c r="K2650" s="26" t="str">
        <f>IF(OR(E2650="",E2650="!!!",F2650="NEW"),"",INDEX(J$1:J2649,SUMPRODUCT(MAX(ROW(E$1:E2649)*(E2650=E$1:E2649)))))</f>
        <v> </v>
      </c>
      <c r="L2650" s="27"/>
    </row>
    <row r="2651" spans="1:12">
      <c r="A2651" s="20" t="s">
        <v>615</v>
      </c>
      <c r="B2651" s="21" t="s">
        <v>601</v>
      </c>
      <c r="C2651" s="21" t="s">
        <v>602</v>
      </c>
      <c r="D2651" s="21" t="s">
        <v>603</v>
      </c>
      <c r="E2651" s="22">
        <f>IF(D2651="?OLD","!!!","")</f>
        <v/>
      </c>
      <c r="F2651" s="23" t="str">
        <f>IF(OR(E2651="",E2651="!!!"),"",IF(NOT(ISNA(VLOOKUP(E2651,E$1:E2650,1,FALSE()))),"OLD",IF(AND(E2651&lt;&gt;"",E2651&lt;&gt;"!!!"),"NEW","")))</f>
        <v> </v>
      </c>
      <c r="G2651" s="24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5" t="str">
        <f>IF(J2651&lt;&gt;1,"",IF(I2651="SBJ","CB","?"))</f>
        <v> </v>
      </c>
      <c r="I2651" s="26" t="str">
        <f>IF(OR(E2651="",E2651="!!!",F2651="NEW"),"",INDEX(B2650:B$2,-1+SUMPRODUCT(MAX(ROW(E2650:E$2)*(E2651=E2650:E$2)))))</f>
        <v> </v>
      </c>
      <c r="J2651" s="26" t="str">
        <f>IF(OR(E2651="",E2651="!!!",F2651="NEW"),"",COUNTBLANK(OFFSET(A$1,,,SUMPRODUCT(MAX(ROW(E$2:E2651)*(E2651=E$2:E2651)))))-COUNTBLANK(OFFSET(A$1,,,SUMPRODUCT(MAX(ROW(E$1:E2650)*(E2=E$1:E2650))))))</f>
        <v> </v>
      </c>
      <c r="K2651" s="26" t="str">
        <f>IF(OR(E2651="",E2651="!!!",F2651="NEW"),"",INDEX(J$1:J2650,SUMPRODUCT(MAX(ROW(E$1:E2650)*(E2651=E$1:E2650)))))</f>
        <v> </v>
      </c>
      <c r="L2651" s="27"/>
    </row>
    <row r="2652" spans="1:12">
      <c r="A2652" s="20" t="s">
        <v>1862</v>
      </c>
      <c r="E2652" s="22">
        <f>IF(D2652="?OLD","!!!","")</f>
        <v/>
      </c>
      <c r="F2652" s="23" t="str">
        <f>IF(OR(E2652="",E2652="!!!"),"",IF(NOT(ISNA(VLOOKUP(E2652,E$1:E2651,1,FALSE()))),"OLD",IF(AND(E2652&lt;&gt;"",E2652&lt;&gt;"!!!"),"NEW","")))</f>
        <v> </v>
      </c>
      <c r="G2652" s="24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5" t="str">
        <f>IF(J2652&lt;&gt;1,"",IF(I2652="SBJ","CB","?"))</f>
        <v> </v>
      </c>
      <c r="I2652" s="26" t="str">
        <f>IF(OR(E2652="",E2652="!!!",F2652="NEW"),"",INDEX(B2651:B$2,-1+SUMPRODUCT(MAX(ROW(E2651:E$2)*(E2652=E2651:E$2)))))</f>
        <v> </v>
      </c>
      <c r="J2652" s="26" t="str">
        <f>IF(OR(E2652="",E2652="!!!",F2652="NEW"),"",COUNTBLANK(OFFSET(A$1,,,SUMPRODUCT(MAX(ROW(E$2:E2652)*(E2652=E$2:E2652)))))-COUNTBLANK(OFFSET(A$1,,,SUMPRODUCT(MAX(ROW(E$1:E2651)*(E2=E$1:E2651))))))</f>
        <v> </v>
      </c>
      <c r="K2652" s="26" t="str">
        <f>IF(OR(E2652="",E2652="!!!",F2652="NEW"),"",INDEX(J$1:J2651,SUMPRODUCT(MAX(ROW(E$1:E2651)*(E2652=E$1:E2651)))))</f>
        <v> </v>
      </c>
      <c r="L2652" s="27"/>
    </row>
    <row r="2653" spans="1:12">
      <c r="A2653" s="20" t="s">
        <v>902</v>
      </c>
      <c r="E2653" s="22">
        <f>IF(D2653="?OLD","!!!","")</f>
        <v/>
      </c>
      <c r="F2653" s="23" t="str">
        <f>IF(OR(E2653="",E2653="!!!"),"",IF(NOT(ISNA(VLOOKUP(E2653,E$1:E2652,1,FALSE()))),"OLD",IF(AND(E2653&lt;&gt;"",E2653&lt;&gt;"!!!"),"NEW","")))</f>
        <v> </v>
      </c>
      <c r="G2653" s="24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5" t="str">
        <f>IF(J2653&lt;&gt;1,"",IF(I2653="SBJ","CB","?"))</f>
        <v> </v>
      </c>
      <c r="I2653" s="26" t="str">
        <f>IF(OR(E2653="",E2653="!!!",F2653="NEW"),"",INDEX(B2652:B$2,-1+SUMPRODUCT(MAX(ROW(E2652:E$2)*(E2653=E2652:E$2)))))</f>
        <v> </v>
      </c>
      <c r="J2653" s="26" t="str">
        <f>IF(OR(E2653="",E2653="!!!",F2653="NEW"),"",COUNTBLANK(OFFSET(A$1,,,SUMPRODUCT(MAX(ROW(E$2:E2653)*(E2653=E$2:E2653)))))-COUNTBLANK(OFFSET(A$1,,,SUMPRODUCT(MAX(ROW(E$1:E2652)*(E2=E$1:E2652))))))</f>
        <v> </v>
      </c>
      <c r="K2653" s="26" t="str">
        <f>IF(OR(E2653="",E2653="!!!",F2653="NEW"),"",INDEX(J$1:J2652,SUMPRODUCT(MAX(ROW(E$1:E2652)*(E2653=E$1:E2652)))))</f>
        <v> </v>
      </c>
      <c r="L2653" s="27"/>
    </row>
    <row r="2654" spans="1:12">
      <c r="A2654" s="20" t="s">
        <v>1863</v>
      </c>
      <c r="E2654" s="22">
        <f>IF(D2654="?OLD","!!!","")</f>
        <v/>
      </c>
      <c r="F2654" s="23" t="str">
        <f>IF(OR(E2654="",E2654="!!!"),"",IF(NOT(ISNA(VLOOKUP(E2654,E$1:E2653,1,FALSE()))),"OLD",IF(AND(E2654&lt;&gt;"",E2654&lt;&gt;"!!!"),"NEW","")))</f>
        <v> </v>
      </c>
      <c r="G2654" s="24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5" t="str">
        <f>IF(J2654&lt;&gt;1,"",IF(I2654="SBJ","CB","?"))</f>
        <v> </v>
      </c>
      <c r="I2654" s="26" t="str">
        <f>IF(OR(E2654="",E2654="!!!",F2654="NEW"),"",INDEX(B2653:B$2,-1+SUMPRODUCT(MAX(ROW(E2653:E$2)*(E2654=E2653:E$2)))))</f>
        <v> </v>
      </c>
      <c r="J2654" s="26" t="str">
        <f>IF(OR(E2654="",E2654="!!!",F2654="NEW"),"",COUNTBLANK(OFFSET(A$1,,,SUMPRODUCT(MAX(ROW(E$2:E2654)*(E2654=E$2:E2654)))))-COUNTBLANK(OFFSET(A$1,,,SUMPRODUCT(MAX(ROW(E$1:E2653)*(E2=E$1:E2653))))))</f>
        <v> </v>
      </c>
      <c r="K2654" s="26" t="str">
        <f>IF(OR(E2654="",E2654="!!!",F2654="NEW"),"",INDEX(J$1:J2653,SUMPRODUCT(MAX(ROW(E$1:E2653)*(E2654=E$1:E2653)))))</f>
        <v> </v>
      </c>
      <c r="L2654" s="27"/>
    </row>
    <row r="2655" spans="1:12">
      <c r="A2655" s="20" t="s">
        <v>1091</v>
      </c>
      <c r="E2655" s="22">
        <f>IF(D2655="?OLD","!!!","")</f>
        <v/>
      </c>
      <c r="F2655" s="23" t="str">
        <f>IF(OR(E2655="",E2655="!!!"),"",IF(NOT(ISNA(VLOOKUP(E2655,E$1:E2654,1,FALSE()))),"OLD",IF(AND(E2655&lt;&gt;"",E2655&lt;&gt;"!!!"),"NEW","")))</f>
        <v> </v>
      </c>
      <c r="G2655" s="24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5" t="str">
        <f>IF(J2655&lt;&gt;1,"",IF(I2655="SBJ","CB","?"))</f>
        <v> </v>
      </c>
      <c r="I2655" s="26" t="str">
        <f>IF(OR(E2655="",E2655="!!!",F2655="NEW"),"",INDEX(B2654:B$2,-1+SUMPRODUCT(MAX(ROW(E2654:E$2)*(E2655=E2654:E$2)))))</f>
        <v> </v>
      </c>
      <c r="J2655" s="26" t="str">
        <f>IF(OR(E2655="",E2655="!!!",F2655="NEW"),"",COUNTBLANK(OFFSET(A$1,,,SUMPRODUCT(MAX(ROW(E$2:E2655)*(E2655=E$2:E2655)))))-COUNTBLANK(OFFSET(A$1,,,SUMPRODUCT(MAX(ROW(E$1:E2654)*(E2=E$1:E2654))))))</f>
        <v> </v>
      </c>
      <c r="K2655" s="26" t="str">
        <f>IF(OR(E2655="",E2655="!!!",F2655="NEW"),"",INDEX(J$1:J2654,SUMPRODUCT(MAX(ROW(E$1:E2654)*(E2655=E$1:E2654)))))</f>
        <v> </v>
      </c>
      <c r="L2655" s="27"/>
    </row>
    <row r="2656" spans="1:12">
      <c r="A2656" s="20" t="s">
        <v>1864</v>
      </c>
      <c r="B2656" s="21" t="s">
        <v>640</v>
      </c>
      <c r="C2656" s="21" t="s">
        <v>716</v>
      </c>
      <c r="D2656" s="21" t="s">
        <v>603</v>
      </c>
      <c r="E2656" s="22">
        <f>IF(D2656="?OLD","!!!","")</f>
        <v/>
      </c>
      <c r="F2656" s="23" t="str">
        <f>IF(OR(E2656="",E2656="!!!"),"",IF(NOT(ISNA(VLOOKUP(E2656,E$1:E2655,1,FALSE()))),"OLD",IF(AND(E2656&lt;&gt;"",E2656&lt;&gt;"!!!"),"NEW","")))</f>
        <v> </v>
      </c>
      <c r="G2656" s="24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5" t="str">
        <f>IF(J2656&lt;&gt;1,"",IF(I2656="SBJ","CB","?"))</f>
        <v> </v>
      </c>
      <c r="I2656" s="26" t="str">
        <f>IF(OR(E2656="",E2656="!!!",F2656="NEW"),"",INDEX(B2655:B$2,-1+SUMPRODUCT(MAX(ROW(E2655:E$2)*(E2656=E2655:E$2)))))</f>
        <v> </v>
      </c>
      <c r="J2656" s="26" t="str">
        <f>IF(OR(E2656="",E2656="!!!",F2656="NEW"),"",COUNTBLANK(OFFSET(A$1,,,SUMPRODUCT(MAX(ROW(E$2:E2656)*(E2656=E$2:E2656)))))-COUNTBLANK(OFFSET(A$1,,,SUMPRODUCT(MAX(ROW(E$1:E2655)*(E2=E$1:E2655))))))</f>
        <v> </v>
      </c>
      <c r="K2656" s="26" t="str">
        <f>IF(OR(E2656="",E2656="!!!",F2656="NEW"),"",INDEX(J$1:J2655,SUMPRODUCT(MAX(ROW(E$1:E2655)*(E2656=E$1:E2655)))))</f>
        <v> </v>
      </c>
      <c r="L2656" s="27"/>
    </row>
    <row r="2657" spans="1:12">
      <c r="A2657" s="20" t="s">
        <v>633</v>
      </c>
      <c r="E2657" s="22">
        <f>IF(D2657="?OLD","!!!","")</f>
        <v/>
      </c>
      <c r="F2657" s="23" t="str">
        <f>IF(OR(E2657="",E2657="!!!"),"",IF(NOT(ISNA(VLOOKUP(E2657,E$1:E2656,1,FALSE()))),"OLD",IF(AND(E2657&lt;&gt;"",E2657&lt;&gt;"!!!"),"NEW","")))</f>
        <v> </v>
      </c>
      <c r="G2657" s="24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5" t="str">
        <f>IF(J2657&lt;&gt;1,"",IF(I2657="SBJ","CB","?"))</f>
        <v> </v>
      </c>
      <c r="I2657" s="26" t="str">
        <f>IF(OR(E2657="",E2657="!!!",F2657="NEW"),"",INDEX(B2656:B$2,-1+SUMPRODUCT(MAX(ROW(E2656:E$2)*(E2657=E2656:E$2)))))</f>
        <v> </v>
      </c>
      <c r="J2657" s="26" t="str">
        <f>IF(OR(E2657="",E2657="!!!",F2657="NEW"),"",COUNTBLANK(OFFSET(A$1,,,SUMPRODUCT(MAX(ROW(E$2:E2657)*(E2657=E$2:E2657)))))-COUNTBLANK(OFFSET(A$1,,,SUMPRODUCT(MAX(ROW(E$1:E2656)*(E2=E$1:E2656))))))</f>
        <v> </v>
      </c>
      <c r="K2657" s="26" t="str">
        <f>IF(OR(E2657="",E2657="!!!",F2657="NEW"),"",INDEX(J$1:J2656,SUMPRODUCT(MAX(ROW(E$1:E2656)*(E2657=E$1:E2656)))))</f>
        <v> </v>
      </c>
      <c r="L2657" s="27"/>
    </row>
    <row r="2658" spans="1:12">
      <c r="A2658" s="20"/>
    </row>
    <row r="2659" spans="1:12">
      <c r="A2659" s="20" t="s">
        <v>1865</v>
      </c>
    </row>
    <row r="2660" spans="1:12">
      <c r="A2660" s="20" t="s">
        <v>1866</v>
      </c>
      <c r="E2660" s="22">
        <f>IF(D2660="?OLD","!!!","")</f>
        <v/>
      </c>
      <c r="F2660" s="23" t="str">
        <f>IF(OR(E2660="",E2660="!!!"),"",IF(NOT(ISNA(VLOOKUP(E2660,E$1:E2659,1,FALSE()))),"OLD",IF(AND(E2660&lt;&gt;"",E2660&lt;&gt;"!!!"),"NEW","")))</f>
        <v> </v>
      </c>
      <c r="G2660" s="24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5" t="str">
        <f>IF(J2660&lt;&gt;1,"",IF(I2660="SBJ","CB","?"))</f>
        <v> </v>
      </c>
      <c r="I2660" s="26" t="str">
        <f>IF(OR(E2660="",E2660="!!!",F2660="NEW"),"",INDEX(B2659:B$2,-1+SUMPRODUCT(MAX(ROW(E2659:E$2)*(E2660=E2659:E$2)))))</f>
        <v> </v>
      </c>
      <c r="J2660" s="26" t="str">
        <f>IF(OR(E2660="",E2660="!!!",F2660="NEW"),"",COUNTBLANK(OFFSET(A$1,,,SUMPRODUCT(MAX(ROW(E$2:E2660)*(E2660=E$2:E2660)))))-COUNTBLANK(OFFSET(A$1,,,SUMPRODUCT(MAX(ROW(E$1:E2659)*(E2=E$1:E2659))))))</f>
        <v> </v>
      </c>
      <c r="K2660" s="26" t="str">
        <f>IF(OR(E2660="",E2660="!!!",F2660="NEW"),"",INDEX(J$1:J2659,SUMPRODUCT(MAX(ROW(E$1:E2659)*(E2660=E$1:E2659)))))</f>
        <v> </v>
      </c>
      <c r="L2660" s="27"/>
    </row>
    <row r="2661" spans="1:12">
      <c r="A2661" s="20" t="s">
        <v>639</v>
      </c>
      <c r="B2661" s="21" t="s">
        <v>652</v>
      </c>
      <c r="C2661" s="21" t="s">
        <v>602</v>
      </c>
      <c r="D2661" s="21" t="s">
        <v>603</v>
      </c>
      <c r="E2661" s="22">
        <f>IF(D2661="?OLD","!!!","")</f>
        <v/>
      </c>
      <c r="F2661" s="23" t="str">
        <f>IF(OR(E2661="",E2661="!!!"),"",IF(NOT(ISNA(VLOOKUP(E2661,E$1:E2660,1,FALSE()))),"OLD",IF(AND(E2661&lt;&gt;"",E2661&lt;&gt;"!!!"),"NEW","")))</f>
        <v> </v>
      </c>
      <c r="G2661" s="24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5" t="str">
        <f>IF(J2661&lt;&gt;1,"",IF(I2661="SBJ","CB","?"))</f>
        <v> </v>
      </c>
      <c r="I2661" s="26" t="str">
        <f>IF(OR(E2661="",E2661="!!!",F2661="NEW"),"",INDEX(B2660:B$2,-1+SUMPRODUCT(MAX(ROW(E2660:E$2)*(E2661=E2660:E$2)))))</f>
        <v> </v>
      </c>
      <c r="J2661" s="26" t="str">
        <f>IF(OR(E2661="",E2661="!!!",F2661="NEW"),"",COUNTBLANK(OFFSET(A$1,,,SUMPRODUCT(MAX(ROW(E$2:E2661)*(E2661=E$2:E2661)))))-COUNTBLANK(OFFSET(A$1,,,SUMPRODUCT(MAX(ROW(E$1:E2660)*(E2=E$1:E2660))))))</f>
        <v> </v>
      </c>
      <c r="K2661" s="26" t="str">
        <f>IF(OR(E2661="",E2661="!!!",F2661="NEW"),"",INDEX(J$1:J2660,SUMPRODUCT(MAX(ROW(E$1:E2660)*(E2661=E$1:E2660)))))</f>
        <v> </v>
      </c>
      <c r="L2661" s="27"/>
    </row>
    <row r="2662" spans="1:12">
      <c r="A2662" s="20" t="s">
        <v>818</v>
      </c>
      <c r="E2662" s="22">
        <f>IF(D2662="?OLD","!!!","")</f>
        <v/>
      </c>
      <c r="F2662" s="23" t="str">
        <f>IF(OR(E2662="",E2662="!!!"),"",IF(NOT(ISNA(VLOOKUP(E2662,E$1:E2661,1,FALSE()))),"OLD",IF(AND(E2662&lt;&gt;"",E2662&lt;&gt;"!!!"),"NEW","")))</f>
        <v> </v>
      </c>
      <c r="G2662" s="24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5" t="str">
        <f>IF(J2662&lt;&gt;1,"",IF(I2662="SBJ","CB","?"))</f>
        <v> </v>
      </c>
      <c r="I2662" s="26" t="str">
        <f>IF(OR(E2662="",E2662="!!!",F2662="NEW"),"",INDEX(B2661:B$2,-1+SUMPRODUCT(MAX(ROW(E2661:E$2)*(E2662=E2661:E$2)))))</f>
        <v> </v>
      </c>
      <c r="J2662" s="26" t="str">
        <f>IF(OR(E2662="",E2662="!!!",F2662="NEW"),"",COUNTBLANK(OFFSET(A$1,,,SUMPRODUCT(MAX(ROW(E$2:E2662)*(E2662=E$2:E2662)))))-COUNTBLANK(OFFSET(A$1,,,SUMPRODUCT(MAX(ROW(E$1:E2661)*(E2=E$1:E2661))))))</f>
        <v> </v>
      </c>
      <c r="K2662" s="26" t="str">
        <f>IF(OR(E2662="",E2662="!!!",F2662="NEW"),"",INDEX(J$1:J2661,SUMPRODUCT(MAX(ROW(E$1:E2661)*(E2662=E$1:E2661)))))</f>
        <v> </v>
      </c>
      <c r="L2662" s="27"/>
    </row>
    <row r="2663" spans="1:12">
      <c r="A2663" s="20" t="s">
        <v>611</v>
      </c>
      <c r="E2663" s="22">
        <f>IF(D2663="?OLD","!!!","")</f>
        <v/>
      </c>
      <c r="F2663" s="23" t="str">
        <f>IF(OR(E2663="",E2663="!!!"),"",IF(NOT(ISNA(VLOOKUP(E2663,E$1:E2662,1,FALSE()))),"OLD",IF(AND(E2663&lt;&gt;"",E2663&lt;&gt;"!!!"),"NEW","")))</f>
        <v> </v>
      </c>
      <c r="G2663" s="24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5" t="str">
        <f>IF(J2663&lt;&gt;1,"",IF(I2663="SBJ","CB","?"))</f>
        <v> </v>
      </c>
      <c r="I2663" s="26" t="str">
        <f>IF(OR(E2663="",E2663="!!!",F2663="NEW"),"",INDEX(B2662:B$2,-1+SUMPRODUCT(MAX(ROW(E2662:E$2)*(E2663=E2662:E$2)))))</f>
        <v> </v>
      </c>
      <c r="J2663" s="26" t="str">
        <f>IF(OR(E2663="",E2663="!!!",F2663="NEW"),"",COUNTBLANK(OFFSET(A$1,,,SUMPRODUCT(MAX(ROW(E$2:E2663)*(E2663=E$2:E2663)))))-COUNTBLANK(OFFSET(A$1,,,SUMPRODUCT(MAX(ROW(E$1:E2662)*(E2=E$1:E2662))))))</f>
        <v> </v>
      </c>
      <c r="K2663" s="26" t="str">
        <f>IF(OR(E2663="",E2663="!!!",F2663="NEW"),"",INDEX(J$1:J2662,SUMPRODUCT(MAX(ROW(E$1:E2662)*(E2663=E$1:E2662)))))</f>
        <v> </v>
      </c>
      <c r="L2663" s="27"/>
    </row>
    <row r="2664" spans="1:12">
      <c r="A2664" s="20" t="s">
        <v>646</v>
      </c>
      <c r="E2664" s="22">
        <f>IF(D2664="?OLD","!!!","")</f>
        <v/>
      </c>
      <c r="F2664" s="23" t="str">
        <f>IF(OR(E2664="",E2664="!!!"),"",IF(NOT(ISNA(VLOOKUP(E2664,E$1:E2663,1,FALSE()))),"OLD",IF(AND(E2664&lt;&gt;"",E2664&lt;&gt;"!!!"),"NEW","")))</f>
        <v> </v>
      </c>
      <c r="G2664" s="24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5" t="str">
        <f>IF(J2664&lt;&gt;1,"",IF(I2664="SBJ","CB","?"))</f>
        <v> </v>
      </c>
      <c r="I2664" s="26" t="str">
        <f>IF(OR(E2664="",E2664="!!!",F2664="NEW"),"",INDEX(B2663:B$2,-1+SUMPRODUCT(MAX(ROW(E2663:E$2)*(E2664=E2663:E$2)))))</f>
        <v> </v>
      </c>
      <c r="J2664" s="26" t="str">
        <f>IF(OR(E2664="",E2664="!!!",F2664="NEW"),"",COUNTBLANK(OFFSET(A$1,,,SUMPRODUCT(MAX(ROW(E$2:E2664)*(E2664=E$2:E2664)))))-COUNTBLANK(OFFSET(A$1,,,SUMPRODUCT(MAX(ROW(E$1:E2663)*(E2=E$1:E2663))))))</f>
        <v> </v>
      </c>
      <c r="K2664" s="26" t="str">
        <f>IF(OR(E2664="",E2664="!!!",F2664="NEW"),"",INDEX(J$1:J2663,SUMPRODUCT(MAX(ROW(E$1:E2663)*(E2664=E$1:E2663)))))</f>
        <v> </v>
      </c>
      <c r="L2664" s="27"/>
    </row>
    <row r="2665" spans="1:12">
      <c r="A2665" s="20" t="s">
        <v>615</v>
      </c>
      <c r="B2665" s="21" t="s">
        <v>636</v>
      </c>
      <c r="C2665" s="21" t="s">
        <v>602</v>
      </c>
      <c r="D2665" s="21" t="s">
        <v>603</v>
      </c>
      <c r="E2665" s="22">
        <f>IF(D2665="?OLD","!!!","")</f>
        <v/>
      </c>
      <c r="F2665" s="23" t="str">
        <f>IF(OR(E2665="",E2665="!!!"),"",IF(NOT(ISNA(VLOOKUP(E2665,E$1:E2664,1,FALSE()))),"OLD",IF(AND(E2665&lt;&gt;"",E2665&lt;&gt;"!!!"),"NEW","")))</f>
        <v> </v>
      </c>
      <c r="G2665" s="24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5" t="str">
        <f>IF(J2665&lt;&gt;1,"",IF(I2665="SBJ","CB","?"))</f>
        <v> </v>
      </c>
      <c r="I2665" s="26" t="str">
        <f>IF(OR(E2665="",E2665="!!!",F2665="NEW"),"",INDEX(B2664:B$2,-1+SUMPRODUCT(MAX(ROW(E2664:E$2)*(E2665=E2664:E$2)))))</f>
        <v> </v>
      </c>
      <c r="J2665" s="26" t="str">
        <f>IF(OR(E2665="",E2665="!!!",F2665="NEW"),"",COUNTBLANK(OFFSET(A$1,,,SUMPRODUCT(MAX(ROW(E$2:E2665)*(E2665=E$2:E2665)))))-COUNTBLANK(OFFSET(A$1,,,SUMPRODUCT(MAX(ROW(E$1:E2664)*(E2=E$1:E2664))))))</f>
        <v> </v>
      </c>
      <c r="K2665" s="26" t="str">
        <f>IF(OR(E2665="",E2665="!!!",F2665="NEW"),"",INDEX(J$1:J2664,SUMPRODUCT(MAX(ROW(E$1:E2664)*(E2665=E$1:E2664)))))</f>
        <v> </v>
      </c>
      <c r="L2665" s="27"/>
    </row>
    <row r="2666" spans="1:12">
      <c r="A2666" s="20" t="s">
        <v>1368</v>
      </c>
      <c r="B2666" s="21" t="s">
        <v>801</v>
      </c>
      <c r="C2666" s="21" t="s">
        <v>602</v>
      </c>
      <c r="D2666" s="21" t="s">
        <v>603</v>
      </c>
      <c r="E2666" s="22">
        <f>IF(D2666="?OLD","!!!","")</f>
        <v/>
      </c>
      <c r="F2666" s="23" t="str">
        <f>IF(OR(E2666="",E2666="!!!"),"",IF(NOT(ISNA(VLOOKUP(E2666,E$1:E2665,1,FALSE()))),"OLD",IF(AND(E2666&lt;&gt;"",E2666&lt;&gt;"!!!"),"NEW","")))</f>
        <v> </v>
      </c>
      <c r="G2666" s="24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5" t="str">
        <f>IF(J2666&lt;&gt;1,"",IF(I2666="SBJ","CB","?"))</f>
        <v> </v>
      </c>
      <c r="I2666" s="26" t="str">
        <f>IF(OR(E2666="",E2666="!!!",F2666="NEW"),"",INDEX(B2665:B$2,-1+SUMPRODUCT(MAX(ROW(E2665:E$2)*(E2666=E2665:E$2)))))</f>
        <v> </v>
      </c>
      <c r="J2666" s="26" t="str">
        <f>IF(OR(E2666="",E2666="!!!",F2666="NEW"),"",COUNTBLANK(OFFSET(A$1,,,SUMPRODUCT(MAX(ROW(E$2:E2666)*(E2666=E$2:E2666)))))-COUNTBLANK(OFFSET(A$1,,,SUMPRODUCT(MAX(ROW(E$1:E2665)*(E2=E$1:E2665))))))</f>
        <v> </v>
      </c>
      <c r="K2666" s="26" t="str">
        <f>IF(OR(E2666="",E2666="!!!",F2666="NEW"),"",INDEX(J$1:J2665,SUMPRODUCT(MAX(ROW(E$1:E2665)*(E2666=E$1:E2665)))))</f>
        <v> </v>
      </c>
      <c r="L2666" s="27"/>
    </row>
    <row r="2667" spans="1:12">
      <c r="A2667" s="20" t="s">
        <v>1867</v>
      </c>
      <c r="E2667" s="22">
        <f>IF(D2667="?OLD","!!!","")</f>
        <v/>
      </c>
      <c r="F2667" s="23" t="str">
        <f>IF(OR(E2667="",E2667="!!!"),"",IF(NOT(ISNA(VLOOKUP(E2667,E$1:E2666,1,FALSE()))),"OLD",IF(AND(E2667&lt;&gt;"",E2667&lt;&gt;"!!!"),"NEW","")))</f>
        <v> </v>
      </c>
      <c r="G2667" s="24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5" t="str">
        <f>IF(J2667&lt;&gt;1,"",IF(I2667="SBJ","CB","?"))</f>
        <v> </v>
      </c>
      <c r="I2667" s="26" t="str">
        <f>IF(OR(E2667="",E2667="!!!",F2667="NEW"),"",INDEX(B2666:B$2,-1+SUMPRODUCT(MAX(ROW(E2666:E$2)*(E2667=E2666:E$2)))))</f>
        <v> </v>
      </c>
      <c r="J2667" s="26" t="str">
        <f>IF(OR(E2667="",E2667="!!!",F2667="NEW"),"",COUNTBLANK(OFFSET(A$1,,,SUMPRODUCT(MAX(ROW(E$2:E2667)*(E2667=E$2:E2667)))))-COUNTBLANK(OFFSET(A$1,,,SUMPRODUCT(MAX(ROW(E$1:E2666)*(E2=E$1:E2666))))))</f>
        <v> </v>
      </c>
      <c r="K2667" s="26" t="str">
        <f>IF(OR(E2667="",E2667="!!!",F2667="NEW"),"",INDEX(J$1:J2666,SUMPRODUCT(MAX(ROW(E$1:E2666)*(E2667=E$1:E2666)))))</f>
        <v> </v>
      </c>
      <c r="L2667" s="27"/>
    </row>
    <row r="2668" spans="1:12">
      <c r="A2668" s="20" t="s">
        <v>611</v>
      </c>
      <c r="E2668" s="22">
        <f>IF(D2668="?OLD","!!!","")</f>
        <v/>
      </c>
      <c r="F2668" s="23" t="str">
        <f>IF(OR(E2668="",E2668="!!!"),"",IF(NOT(ISNA(VLOOKUP(E2668,E$1:E2667,1,FALSE()))),"OLD",IF(AND(E2668&lt;&gt;"",E2668&lt;&gt;"!!!"),"NEW","")))</f>
        <v> </v>
      </c>
      <c r="G2668" s="24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5" t="str">
        <f>IF(J2668&lt;&gt;1,"",IF(I2668="SBJ","CB","?"))</f>
        <v> </v>
      </c>
      <c r="I2668" s="26" t="str">
        <f>IF(OR(E2668="",E2668="!!!",F2668="NEW"),"",INDEX(B2667:B$2,-1+SUMPRODUCT(MAX(ROW(E2667:E$2)*(E2668=E2667:E$2)))))</f>
        <v> </v>
      </c>
      <c r="J2668" s="26" t="str">
        <f>IF(OR(E2668="",E2668="!!!",F2668="NEW"),"",COUNTBLANK(OFFSET(A$1,,,SUMPRODUCT(MAX(ROW(E$2:E2668)*(E2668=E$2:E2668)))))-COUNTBLANK(OFFSET(A$1,,,SUMPRODUCT(MAX(ROW(E$1:E2667)*(E2=E$1:E2667))))))</f>
        <v> </v>
      </c>
      <c r="K2668" s="26" t="str">
        <f>IF(OR(E2668="",E2668="!!!",F2668="NEW"),"",INDEX(J$1:J2667,SUMPRODUCT(MAX(ROW(E$1:E2667)*(E2668=E$1:E2667)))))</f>
        <v> </v>
      </c>
      <c r="L2668" s="27"/>
    </row>
    <row r="2669" spans="1:12">
      <c r="A2669" s="20" t="s">
        <v>658</v>
      </c>
      <c r="E2669" s="22">
        <f>IF(D2669="?OLD","!!!","")</f>
        <v/>
      </c>
      <c r="F2669" s="23" t="str">
        <f>IF(OR(E2669="",E2669="!!!"),"",IF(NOT(ISNA(VLOOKUP(E2669,E$1:E2668,1,FALSE()))),"OLD",IF(AND(E2669&lt;&gt;"",E2669&lt;&gt;"!!!"),"NEW","")))</f>
        <v> </v>
      </c>
      <c r="G2669" s="24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5" t="str">
        <f>IF(J2669&lt;&gt;1,"",IF(I2669="SBJ","CB","?"))</f>
        <v> </v>
      </c>
      <c r="I2669" s="26" t="str">
        <f>IF(OR(E2669="",E2669="!!!",F2669="NEW"),"",INDEX(B2668:B$2,-1+SUMPRODUCT(MAX(ROW(E2668:E$2)*(E2669=E2668:E$2)))))</f>
        <v> </v>
      </c>
      <c r="J2669" s="26" t="str">
        <f>IF(OR(E2669="",E2669="!!!",F2669="NEW"),"",COUNTBLANK(OFFSET(A$1,,,SUMPRODUCT(MAX(ROW(E$2:E2669)*(E2669=E$2:E2669)))))-COUNTBLANK(OFFSET(A$1,,,SUMPRODUCT(MAX(ROW(E$1:E2668)*(E2=E$1:E2668))))))</f>
        <v> </v>
      </c>
      <c r="K2669" s="26" t="str">
        <f>IF(OR(E2669="",E2669="!!!",F2669="NEW"),"",INDEX(J$1:J2668,SUMPRODUCT(MAX(ROW(E$1:E2668)*(E2669=E$1:E2668)))))</f>
        <v> </v>
      </c>
      <c r="L2669" s="27"/>
    </row>
    <row r="2670" spans="1:12">
      <c r="A2670" s="20" t="s">
        <v>615</v>
      </c>
      <c r="B2670" s="21" t="s">
        <v>659</v>
      </c>
      <c r="C2670" s="21" t="s">
        <v>602</v>
      </c>
      <c r="D2670" s="21" t="s">
        <v>603</v>
      </c>
      <c r="E2670" s="22">
        <f>IF(D2670="?OLD","!!!","")</f>
        <v/>
      </c>
      <c r="F2670" s="23" t="str">
        <f>IF(OR(E2670="",E2670="!!!"),"",IF(NOT(ISNA(VLOOKUP(E2670,E$1:E2669,1,FALSE()))),"OLD",IF(AND(E2670&lt;&gt;"",E2670&lt;&gt;"!!!"),"NEW","")))</f>
        <v> </v>
      </c>
      <c r="G2670" s="24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5" t="str">
        <f>IF(J2670&lt;&gt;1,"",IF(I2670="SBJ","CB","?"))</f>
        <v> </v>
      </c>
      <c r="I2670" s="26" t="str">
        <f>IF(OR(E2670="",E2670="!!!",F2670="NEW"),"",INDEX(B2669:B$2,-1+SUMPRODUCT(MAX(ROW(E2669:E$2)*(E2670=E2669:E$2)))))</f>
        <v> </v>
      </c>
      <c r="J2670" s="26" t="str">
        <f>IF(OR(E2670="",E2670="!!!",F2670="NEW"),"",COUNTBLANK(OFFSET(A$1,,,SUMPRODUCT(MAX(ROW(E$2:E2670)*(E2670=E$2:E2670)))))-COUNTBLANK(OFFSET(A$1,,,SUMPRODUCT(MAX(ROW(E$1:E2669)*(E2=E$1:E2669))))))</f>
        <v> </v>
      </c>
      <c r="K2670" s="26" t="str">
        <f>IF(OR(E2670="",E2670="!!!",F2670="NEW"),"",INDEX(J$1:J2669,SUMPRODUCT(MAX(ROW(E$1:E2669)*(E2670=E$1:E2669)))))</f>
        <v> </v>
      </c>
      <c r="L2670" s="27"/>
    </row>
    <row r="2671" spans="1:12">
      <c r="A2671" s="20" t="s">
        <v>664</v>
      </c>
      <c r="E2671" s="22">
        <f>IF(D2671="?OLD","!!!","")</f>
        <v/>
      </c>
      <c r="F2671" s="23" t="str">
        <f>IF(OR(E2671="",E2671="!!!"),"",IF(NOT(ISNA(VLOOKUP(E2671,E$1:E2670,1,FALSE()))),"OLD",IF(AND(E2671&lt;&gt;"",E2671&lt;&gt;"!!!"),"NEW","")))</f>
        <v> </v>
      </c>
      <c r="G2671" s="24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5" t="str">
        <f>IF(J2671&lt;&gt;1,"",IF(I2671="SBJ","CB","?"))</f>
        <v> </v>
      </c>
      <c r="I2671" s="26" t="str">
        <f>IF(OR(E2671="",E2671="!!!",F2671="NEW"),"",INDEX(B2670:B$2,-1+SUMPRODUCT(MAX(ROW(E2670:E$2)*(E2671=E2670:E$2)))))</f>
        <v> </v>
      </c>
      <c r="J2671" s="26" t="str">
        <f>IF(OR(E2671="",E2671="!!!",F2671="NEW"),"",COUNTBLANK(OFFSET(A$1,,,SUMPRODUCT(MAX(ROW(E$2:E2671)*(E2671=E$2:E2671)))))-COUNTBLANK(OFFSET(A$1,,,SUMPRODUCT(MAX(ROW(E$1:E2670)*(E2=E$1:E2670))))))</f>
        <v> </v>
      </c>
      <c r="K2671" s="26" t="str">
        <f>IF(OR(E2671="",E2671="!!!",F2671="NEW"),"",INDEX(J$1:J2670,SUMPRODUCT(MAX(ROW(E$1:E2670)*(E2671=E$1:E2670)))))</f>
        <v> </v>
      </c>
      <c r="L2671" s="27"/>
    </row>
    <row r="2672" spans="1:12">
      <c r="A2672" s="20" t="s">
        <v>1293</v>
      </c>
      <c r="E2672" s="22">
        <f>IF(D2672="?OLD","!!!","")</f>
        <v/>
      </c>
      <c r="F2672" s="23" t="str">
        <f>IF(OR(E2672="",E2672="!!!"),"",IF(NOT(ISNA(VLOOKUP(E2672,E$1:E2671,1,FALSE()))),"OLD",IF(AND(E2672&lt;&gt;"",E2672&lt;&gt;"!!!"),"NEW","")))</f>
        <v> </v>
      </c>
      <c r="G2672" s="24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5" t="str">
        <f>IF(J2672&lt;&gt;1,"",IF(I2672="SBJ","CB","?"))</f>
        <v> </v>
      </c>
      <c r="I2672" s="26" t="str">
        <f>IF(OR(E2672="",E2672="!!!",F2672="NEW"),"",INDEX(B2671:B$2,-1+SUMPRODUCT(MAX(ROW(E2671:E$2)*(E2672=E2671:E$2)))))</f>
        <v> </v>
      </c>
      <c r="J2672" s="26" t="str">
        <f>IF(OR(E2672="",E2672="!!!",F2672="NEW"),"",COUNTBLANK(OFFSET(A$1,,,SUMPRODUCT(MAX(ROW(E$2:E2672)*(E2672=E$2:E2672)))))-COUNTBLANK(OFFSET(A$1,,,SUMPRODUCT(MAX(ROW(E$1:E2671)*(E2=E$1:E2671))))))</f>
        <v> </v>
      </c>
      <c r="K2672" s="26" t="str">
        <f>IF(OR(E2672="",E2672="!!!",F2672="NEW"),"",INDEX(J$1:J2671,SUMPRODUCT(MAX(ROW(E$1:E2671)*(E2672=E$1:E2671)))))</f>
        <v> </v>
      </c>
      <c r="L2672" s="27"/>
    </row>
    <row r="2673" spans="1:12">
      <c r="A2673" s="20" t="s">
        <v>1868</v>
      </c>
      <c r="E2673" s="22">
        <f>IF(D2673="?OLD","!!!","")</f>
        <v/>
      </c>
      <c r="F2673" s="23" t="str">
        <f>IF(OR(E2673="",E2673="!!!"),"",IF(NOT(ISNA(VLOOKUP(E2673,E$1:E2672,1,FALSE()))),"OLD",IF(AND(E2673&lt;&gt;"",E2673&lt;&gt;"!!!"),"NEW","")))</f>
        <v> </v>
      </c>
      <c r="G2673" s="24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5" t="str">
        <f>IF(J2673&lt;&gt;1,"",IF(I2673="SBJ","CB","?"))</f>
        <v> </v>
      </c>
      <c r="I2673" s="26" t="str">
        <f>IF(OR(E2673="",E2673="!!!",F2673="NEW"),"",INDEX(B2672:B$2,-1+SUMPRODUCT(MAX(ROW(E2672:E$2)*(E2673=E2672:E$2)))))</f>
        <v> </v>
      </c>
      <c r="J2673" s="26" t="str">
        <f>IF(OR(E2673="",E2673="!!!",F2673="NEW"),"",COUNTBLANK(OFFSET(A$1,,,SUMPRODUCT(MAX(ROW(E$2:E2673)*(E2673=E$2:E2673)))))-COUNTBLANK(OFFSET(A$1,,,SUMPRODUCT(MAX(ROW(E$1:E2672)*(E2=E$1:E2672))))))</f>
        <v> </v>
      </c>
      <c r="K2673" s="26" t="str">
        <f>IF(OR(E2673="",E2673="!!!",F2673="NEW"),"",INDEX(J$1:J2672,SUMPRODUCT(MAX(ROW(E$1:E2672)*(E2673=E$1:E2672)))))</f>
        <v> </v>
      </c>
      <c r="L2673" s="27"/>
    </row>
    <row r="2674" spans="1:12">
      <c r="A2674" s="20" t="s">
        <v>611</v>
      </c>
      <c r="E2674" s="22">
        <f>IF(D2674="?OLD","!!!","")</f>
        <v/>
      </c>
      <c r="F2674" s="23" t="str">
        <f>IF(OR(E2674="",E2674="!!!"),"",IF(NOT(ISNA(VLOOKUP(E2674,E$1:E2673,1,FALSE()))),"OLD",IF(AND(E2674&lt;&gt;"",E2674&lt;&gt;"!!!"),"NEW","")))</f>
        <v> </v>
      </c>
      <c r="G2674" s="24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5" t="str">
        <f>IF(J2674&lt;&gt;1,"",IF(I2674="SBJ","CB","?"))</f>
        <v> </v>
      </c>
      <c r="I2674" s="26" t="str">
        <f>IF(OR(E2674="",E2674="!!!",F2674="NEW"),"",INDEX(B2673:B$2,-1+SUMPRODUCT(MAX(ROW(E2673:E$2)*(E2674=E2673:E$2)))))</f>
        <v> </v>
      </c>
      <c r="J2674" s="26" t="str">
        <f>IF(OR(E2674="",E2674="!!!",F2674="NEW"),"",COUNTBLANK(OFFSET(A$1,,,SUMPRODUCT(MAX(ROW(E$2:E2674)*(E2674=E$2:E2674)))))-COUNTBLANK(OFFSET(A$1,,,SUMPRODUCT(MAX(ROW(E$1:E2673)*(E2=E$1:E2673))))))</f>
        <v> </v>
      </c>
      <c r="K2674" s="26" t="str">
        <f>IF(OR(E2674="",E2674="!!!",F2674="NEW"),"",INDEX(J$1:J2673,SUMPRODUCT(MAX(ROW(E$1:E2673)*(E2674=E$1:E2673)))))</f>
        <v> </v>
      </c>
      <c r="L2674" s="27"/>
    </row>
    <row r="2675" spans="1:12">
      <c r="A2675" s="20" t="s">
        <v>1869</v>
      </c>
      <c r="E2675" s="22">
        <f>IF(D2675="?OLD","!!!","")</f>
        <v/>
      </c>
      <c r="F2675" s="23" t="str">
        <f>IF(OR(E2675="",E2675="!!!"),"",IF(NOT(ISNA(VLOOKUP(E2675,E$1:E2674,1,FALSE()))),"OLD",IF(AND(E2675&lt;&gt;"",E2675&lt;&gt;"!!!"),"NEW","")))</f>
        <v> </v>
      </c>
      <c r="G2675" s="24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5" t="str">
        <f>IF(J2675&lt;&gt;1,"",IF(I2675="SBJ","CB","?"))</f>
        <v> </v>
      </c>
      <c r="I2675" s="26" t="str">
        <f>IF(OR(E2675="",E2675="!!!",F2675="NEW"),"",INDEX(B2674:B$2,-1+SUMPRODUCT(MAX(ROW(E2674:E$2)*(E2675=E2674:E$2)))))</f>
        <v> </v>
      </c>
      <c r="J2675" s="26" t="str">
        <f>IF(OR(E2675="",E2675="!!!",F2675="NEW"),"",COUNTBLANK(OFFSET(A$1,,,SUMPRODUCT(MAX(ROW(E$2:E2675)*(E2675=E$2:E2675)))))-COUNTBLANK(OFFSET(A$1,,,SUMPRODUCT(MAX(ROW(E$1:E2674)*(E2=E$1:E2674))))))</f>
        <v> </v>
      </c>
      <c r="K2675" s="26" t="str">
        <f>IF(OR(E2675="",E2675="!!!",F2675="NEW"),"",INDEX(J$1:J2674,SUMPRODUCT(MAX(ROW(E$1:E2674)*(E2675=E$1:E2674)))))</f>
        <v> </v>
      </c>
      <c r="L2675" s="27"/>
    </row>
    <row r="2676" spans="1:12">
      <c r="A2676" s="20" t="s">
        <v>925</v>
      </c>
      <c r="E2676" s="22">
        <f>IF(D2676="?OLD","!!!","")</f>
        <v/>
      </c>
      <c r="F2676" s="23" t="str">
        <f>IF(OR(E2676="",E2676="!!!"),"",IF(NOT(ISNA(VLOOKUP(E2676,E$1:E2675,1,FALSE()))),"OLD",IF(AND(E2676&lt;&gt;"",E2676&lt;&gt;"!!!"),"NEW","")))</f>
        <v> </v>
      </c>
      <c r="G2676" s="24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5" t="str">
        <f>IF(J2676&lt;&gt;1,"",IF(I2676="SBJ","CB","?"))</f>
        <v> </v>
      </c>
      <c r="I2676" s="26" t="str">
        <f>IF(OR(E2676="",E2676="!!!",F2676="NEW"),"",INDEX(B2675:B$2,-1+SUMPRODUCT(MAX(ROW(E2675:E$2)*(E2676=E2675:E$2)))))</f>
        <v> </v>
      </c>
      <c r="J2676" s="26" t="str">
        <f>IF(OR(E2676="",E2676="!!!",F2676="NEW"),"",COUNTBLANK(OFFSET(A$1,,,SUMPRODUCT(MAX(ROW(E$2:E2676)*(E2676=E$2:E2676)))))-COUNTBLANK(OFFSET(A$1,,,SUMPRODUCT(MAX(ROW(E$1:E2675)*(E2=E$1:E2675))))))</f>
        <v> </v>
      </c>
      <c r="K2676" s="26" t="str">
        <f>IF(OR(E2676="",E2676="!!!",F2676="NEW"),"",INDEX(J$1:J2675,SUMPRODUCT(MAX(ROW(E$1:E2675)*(E2676=E$1:E2675)))))</f>
        <v> </v>
      </c>
      <c r="L2676" s="27"/>
    </row>
    <row r="2677" spans="1:12">
      <c r="A2677" s="20" t="s">
        <v>615</v>
      </c>
      <c r="B2677" s="21" t="s">
        <v>616</v>
      </c>
      <c r="C2677" s="21" t="s">
        <v>602</v>
      </c>
      <c r="D2677" s="21" t="s">
        <v>603</v>
      </c>
      <c r="E2677" s="22">
        <f>IF(D2677="?OLD","!!!","")</f>
        <v/>
      </c>
      <c r="F2677" s="23" t="str">
        <f>IF(OR(E2677="",E2677="!!!"),"",IF(NOT(ISNA(VLOOKUP(E2677,E$1:E2676,1,FALSE()))),"OLD",IF(AND(E2677&lt;&gt;"",E2677&lt;&gt;"!!!"),"NEW","")))</f>
        <v> </v>
      </c>
      <c r="G2677" s="24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5" t="str">
        <f>IF(J2677&lt;&gt;1,"",IF(I2677="SBJ","CB","?"))</f>
        <v> </v>
      </c>
      <c r="I2677" s="26" t="str">
        <f>IF(OR(E2677="",E2677="!!!",F2677="NEW"),"",INDEX(B2676:B$2,-1+SUMPRODUCT(MAX(ROW(E2676:E$2)*(E2677=E2676:E$2)))))</f>
        <v> </v>
      </c>
      <c r="J2677" s="26" t="str">
        <f>IF(OR(E2677="",E2677="!!!",F2677="NEW"),"",COUNTBLANK(OFFSET(A$1,,,SUMPRODUCT(MAX(ROW(E$2:E2677)*(E2677=E$2:E2677)))))-COUNTBLANK(OFFSET(A$1,,,SUMPRODUCT(MAX(ROW(E$1:E2676)*(E2=E$1:E2676))))))</f>
        <v> </v>
      </c>
      <c r="K2677" s="26" t="str">
        <f>IF(OR(E2677="",E2677="!!!",F2677="NEW"),"",INDEX(J$1:J2676,SUMPRODUCT(MAX(ROW(E$1:E2676)*(E2677=E$1:E2676)))))</f>
        <v> </v>
      </c>
      <c r="L2677" s="27"/>
    </row>
    <row r="2678" spans="1:12">
      <c r="A2678" s="20" t="s">
        <v>802</v>
      </c>
      <c r="B2678" s="21" t="s">
        <v>620</v>
      </c>
      <c r="C2678" s="21" t="s">
        <v>723</v>
      </c>
      <c r="D2678" s="21" t="s">
        <v>603</v>
      </c>
      <c r="E2678" s="22">
        <f>IF(D2678="?OLD","!!!","")</f>
        <v/>
      </c>
      <c r="F2678" s="23" t="str">
        <f>IF(OR(E2678="",E2678="!!!"),"",IF(NOT(ISNA(VLOOKUP(E2678,E$1:E2677,1,FALSE()))),"OLD",IF(AND(E2678&lt;&gt;"",E2678&lt;&gt;"!!!"),"NEW","")))</f>
        <v> </v>
      </c>
      <c r="G2678" s="24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5" t="str">
        <f>IF(J2678&lt;&gt;1,"",IF(I2678="SBJ","CB","?"))</f>
        <v> </v>
      </c>
      <c r="I2678" s="26" t="str">
        <f>IF(OR(E2678="",E2678="!!!",F2678="NEW"),"",INDEX(B2677:B$2,-1+SUMPRODUCT(MAX(ROW(E2677:E$2)*(E2678=E2677:E$2)))))</f>
        <v> </v>
      </c>
      <c r="J2678" s="26" t="str">
        <f>IF(OR(E2678="",E2678="!!!",F2678="NEW"),"",COUNTBLANK(OFFSET(A$1,,,SUMPRODUCT(MAX(ROW(E$2:E2678)*(E2678=E$2:E2678)))))-COUNTBLANK(OFFSET(A$1,,,SUMPRODUCT(MAX(ROW(E$1:E2677)*(E2=E$1:E2677))))))</f>
        <v> </v>
      </c>
      <c r="K2678" s="26" t="str">
        <f>IF(OR(E2678="",E2678="!!!",F2678="NEW"),"",INDEX(J$1:J2677,SUMPRODUCT(MAX(ROW(E$1:E2677)*(E2678=E$1:E2677)))))</f>
        <v> </v>
      </c>
      <c r="L2678" s="27"/>
    </row>
    <row r="2679" spans="1:12">
      <c r="A2679" s="20" t="s">
        <v>633</v>
      </c>
      <c r="E2679" s="22">
        <f>IF(D2679="?OLD","!!!","")</f>
        <v/>
      </c>
      <c r="F2679" s="23" t="str">
        <f>IF(OR(E2679="",E2679="!!!"),"",IF(NOT(ISNA(VLOOKUP(E2679,E$1:E2678,1,FALSE()))),"OLD",IF(AND(E2679&lt;&gt;"",E2679&lt;&gt;"!!!"),"NEW","")))</f>
        <v> </v>
      </c>
      <c r="G2679" s="24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5" t="str">
        <f>IF(J2679&lt;&gt;1,"",IF(I2679="SBJ","CB","?"))</f>
        <v> </v>
      </c>
      <c r="I2679" s="26" t="str">
        <f>IF(OR(E2679="",E2679="!!!",F2679="NEW"),"",INDEX(B2678:B$2,-1+SUMPRODUCT(MAX(ROW(E2678:E$2)*(E2679=E2678:E$2)))))</f>
        <v> </v>
      </c>
      <c r="J2679" s="26" t="str">
        <f>IF(OR(E2679="",E2679="!!!",F2679="NEW"),"",COUNTBLANK(OFFSET(A$1,,,SUMPRODUCT(MAX(ROW(E$2:E2679)*(E2679=E$2:E2679)))))-COUNTBLANK(OFFSET(A$1,,,SUMPRODUCT(MAX(ROW(E$1:E2678)*(E2=E$1:E2678))))))</f>
        <v> </v>
      </c>
      <c r="K2679" s="26" t="str">
        <f>IF(OR(E2679="",E2679="!!!",F2679="NEW"),"",INDEX(J$1:J2678,SUMPRODUCT(MAX(ROW(E$1:E2678)*(E2679=E$1:E2678)))))</f>
        <v> </v>
      </c>
      <c r="L2679" s="27"/>
    </row>
    <row r="2680" spans="1:12">
      <c r="A2680" s="20"/>
    </row>
    <row r="2681" spans="1:12">
      <c r="A2681" s="20" t="s">
        <v>1870</v>
      </c>
    </row>
    <row r="2682" spans="1:12">
      <c r="A2682" s="20" t="s">
        <v>1006</v>
      </c>
      <c r="E2682" s="22">
        <f>IF(D2682="?OLD","!!!","")</f>
        <v/>
      </c>
      <c r="F2682" s="23" t="str">
        <f>IF(OR(E2682="",E2682="!!!"),"",IF(NOT(ISNA(VLOOKUP(E2682,E$1:E2681,1,FALSE()))),"OLD",IF(AND(E2682&lt;&gt;"",E2682&lt;&gt;"!!!"),"NEW","")))</f>
        <v> </v>
      </c>
      <c r="G2682" s="24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5" t="str">
        <f>IF(J2682&lt;&gt;1,"",IF(I2682="SBJ","CB","?"))</f>
        <v> </v>
      </c>
      <c r="I2682" s="26" t="str">
        <f>IF(OR(E2682="",E2682="!!!",F2682="NEW"),"",INDEX(B2681:B$2,-1+SUMPRODUCT(MAX(ROW(E2681:E$2)*(E2682=E2681:E$2)))))</f>
        <v> </v>
      </c>
      <c r="J2682" s="26" t="str">
        <f>IF(OR(E2682="",E2682="!!!",F2682="NEW"),"",COUNTBLANK(OFFSET(A$1,,,SUMPRODUCT(MAX(ROW(E$2:E2682)*(E2682=E$2:E2682)))))-COUNTBLANK(OFFSET(A$1,,,SUMPRODUCT(MAX(ROW(E$1:E2681)*(E2=E$1:E2681))))))</f>
        <v> </v>
      </c>
      <c r="K2682" s="26" t="str">
        <f>IF(OR(E2682="",E2682="!!!",F2682="NEW"),"",INDEX(J$1:J2681,SUMPRODUCT(MAX(ROW(E$1:E2681)*(E2682=E$1:E2681)))))</f>
        <v> </v>
      </c>
      <c r="L2682" s="27"/>
    </row>
    <row r="2683" spans="1:12">
      <c r="A2683" s="20" t="s">
        <v>722</v>
      </c>
      <c r="B2683" s="21" t="s">
        <v>601</v>
      </c>
      <c r="C2683" s="21" t="s">
        <v>723</v>
      </c>
      <c r="D2683" s="21" t="s">
        <v>603</v>
      </c>
      <c r="E2683" s="22">
        <f>IF(D2683="?OLD","!!!","")</f>
        <v/>
      </c>
      <c r="F2683" s="23" t="str">
        <f>IF(OR(E2683="",E2683="!!!"),"",IF(NOT(ISNA(VLOOKUP(E2683,E$1:E2682,1,FALSE()))),"OLD",IF(AND(E2683&lt;&gt;"",E2683&lt;&gt;"!!!"),"NEW","")))</f>
        <v> </v>
      </c>
      <c r="G2683" s="24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5" t="str">
        <f>IF(J2683&lt;&gt;1,"",IF(I2683="SBJ","CB","?"))</f>
        <v> </v>
      </c>
      <c r="I2683" s="26" t="str">
        <f>IF(OR(E2683="",E2683="!!!",F2683="NEW"),"",INDEX(B2682:B$2,-1+SUMPRODUCT(MAX(ROW(E2682:E$2)*(E2683=E2682:E$2)))))</f>
        <v> </v>
      </c>
      <c r="J2683" s="26" t="str">
        <f>IF(OR(E2683="",E2683="!!!",F2683="NEW"),"",COUNTBLANK(OFFSET(A$1,,,SUMPRODUCT(MAX(ROW(E$2:E2683)*(E2683=E$2:E2683)))))-COUNTBLANK(OFFSET(A$1,,,SUMPRODUCT(MAX(ROW(E$1:E2682)*(E2=E$1:E2682))))))</f>
        <v> </v>
      </c>
      <c r="K2683" s="26" t="str">
        <f>IF(OR(E2683="",E2683="!!!",F2683="NEW"),"",INDEX(J$1:J2682,SUMPRODUCT(MAX(ROW(E$1:E2682)*(E2683=E$1:E2682)))))</f>
        <v> </v>
      </c>
      <c r="L2683" s="27"/>
    </row>
    <row r="2684" spans="1:12">
      <c r="A2684" s="20" t="s">
        <v>1871</v>
      </c>
      <c r="E2684" s="22">
        <f>IF(D2684="?OLD","!!!","")</f>
        <v/>
      </c>
      <c r="F2684" s="23" t="str">
        <f>IF(OR(E2684="",E2684="!!!"),"",IF(NOT(ISNA(VLOOKUP(E2684,E$1:E2683,1,FALSE()))),"OLD",IF(AND(E2684&lt;&gt;"",E2684&lt;&gt;"!!!"),"NEW","")))</f>
        <v> </v>
      </c>
      <c r="G2684" s="24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5" t="str">
        <f>IF(J2684&lt;&gt;1,"",IF(I2684="SBJ","CB","?"))</f>
        <v> </v>
      </c>
      <c r="I2684" s="26" t="str">
        <f>IF(OR(E2684="",E2684="!!!",F2684="NEW"),"",INDEX(B2683:B$2,-1+SUMPRODUCT(MAX(ROW(E2683:E$2)*(E2684=E2683:E$2)))))</f>
        <v> </v>
      </c>
      <c r="J2684" s="26" t="str">
        <f>IF(OR(E2684="",E2684="!!!",F2684="NEW"),"",COUNTBLANK(OFFSET(A$1,,,SUMPRODUCT(MAX(ROW(E$2:E2684)*(E2684=E$2:E2684)))))-COUNTBLANK(OFFSET(A$1,,,SUMPRODUCT(MAX(ROW(E$1:E2683)*(E2=E$1:E2683))))))</f>
        <v> </v>
      </c>
      <c r="K2684" s="26" t="str">
        <f>IF(OR(E2684="",E2684="!!!",F2684="NEW"),"",INDEX(J$1:J2683,SUMPRODUCT(MAX(ROW(E$1:E2683)*(E2684=E$1:E2683)))))</f>
        <v> </v>
      </c>
      <c r="L2684" s="27"/>
    </row>
    <row r="2685" spans="1:12">
      <c r="A2685" s="20" t="s">
        <v>1872</v>
      </c>
      <c r="E2685" s="22">
        <f>IF(D2685="?OLD","!!!","")</f>
        <v/>
      </c>
      <c r="F2685" s="23" t="str">
        <f>IF(OR(E2685="",E2685="!!!"),"",IF(NOT(ISNA(VLOOKUP(E2685,E$1:E2684,1,FALSE()))),"OLD",IF(AND(E2685&lt;&gt;"",E2685&lt;&gt;"!!!"),"NEW","")))</f>
        <v> </v>
      </c>
      <c r="G2685" s="24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5" t="str">
        <f>IF(J2685&lt;&gt;1,"",IF(I2685="SBJ","CB","?"))</f>
        <v> </v>
      </c>
      <c r="I2685" s="26" t="str">
        <f>IF(OR(E2685="",E2685="!!!",F2685="NEW"),"",INDEX(B2684:B$2,-1+SUMPRODUCT(MAX(ROW(E2684:E$2)*(E2685=E2684:E$2)))))</f>
        <v> </v>
      </c>
      <c r="J2685" s="26" t="str">
        <f>IF(OR(E2685="",E2685="!!!",F2685="NEW"),"",COUNTBLANK(OFFSET(A$1,,,SUMPRODUCT(MAX(ROW(E$2:E2685)*(E2685=E$2:E2685)))))-COUNTBLANK(OFFSET(A$1,,,SUMPRODUCT(MAX(ROW(E$1:E2684)*(E2=E$1:E2684))))))</f>
        <v> </v>
      </c>
      <c r="K2685" s="26" t="str">
        <f>IF(OR(E2685="",E2685="!!!",F2685="NEW"),"",INDEX(J$1:J2684,SUMPRODUCT(MAX(ROW(E$1:E2684)*(E2685=E$1:E2684)))))</f>
        <v> </v>
      </c>
      <c r="L2685" s="27"/>
    </row>
    <row r="2686" spans="1:12">
      <c r="A2686" s="20" t="s">
        <v>611</v>
      </c>
      <c r="E2686" s="22">
        <f>IF(D2686="?OLD","!!!","")</f>
        <v/>
      </c>
      <c r="F2686" s="23" t="str">
        <f>IF(OR(E2686="",E2686="!!!"),"",IF(NOT(ISNA(VLOOKUP(E2686,E$1:E2685,1,FALSE()))),"OLD",IF(AND(E2686&lt;&gt;"",E2686&lt;&gt;"!!!"),"NEW","")))</f>
        <v> </v>
      </c>
      <c r="G2686" s="24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5" t="str">
        <f>IF(J2686&lt;&gt;1,"",IF(I2686="SBJ","CB","?"))</f>
        <v> </v>
      </c>
      <c r="I2686" s="26" t="str">
        <f>IF(OR(E2686="",E2686="!!!",F2686="NEW"),"",INDEX(B2685:B$2,-1+SUMPRODUCT(MAX(ROW(E2685:E$2)*(E2686=E2685:E$2)))))</f>
        <v> </v>
      </c>
      <c r="J2686" s="26" t="str">
        <f>IF(OR(E2686="",E2686="!!!",F2686="NEW"),"",COUNTBLANK(OFFSET(A$1,,,SUMPRODUCT(MAX(ROW(E$2:E2686)*(E2686=E$2:E2686)))))-COUNTBLANK(OFFSET(A$1,,,SUMPRODUCT(MAX(ROW(E$1:E2685)*(E2=E$1:E2685))))))</f>
        <v> </v>
      </c>
      <c r="K2686" s="26" t="str">
        <f>IF(OR(E2686="",E2686="!!!",F2686="NEW"),"",INDEX(J$1:J2685,SUMPRODUCT(MAX(ROW(E$1:E2685)*(E2686=E$1:E2685)))))</f>
        <v> </v>
      </c>
      <c r="L2686" s="27"/>
    </row>
    <row r="2687" spans="1:12">
      <c r="A2687" s="20" t="s">
        <v>1873</v>
      </c>
      <c r="E2687" s="22">
        <f>IF(D2687="?OLD","!!!","")</f>
        <v/>
      </c>
      <c r="F2687" s="23" t="str">
        <f>IF(OR(E2687="",E2687="!!!"),"",IF(NOT(ISNA(VLOOKUP(E2687,E$1:E2686,1,FALSE()))),"OLD",IF(AND(E2687&lt;&gt;"",E2687&lt;&gt;"!!!"),"NEW","")))</f>
        <v> </v>
      </c>
      <c r="G2687" s="24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5" t="str">
        <f>IF(J2687&lt;&gt;1,"",IF(I2687="SBJ","CB","?"))</f>
        <v> </v>
      </c>
      <c r="I2687" s="26" t="str">
        <f>IF(OR(E2687="",E2687="!!!",F2687="NEW"),"",INDEX(B2686:B$2,-1+SUMPRODUCT(MAX(ROW(E2686:E$2)*(E2687=E2686:E$2)))))</f>
        <v> </v>
      </c>
      <c r="J2687" s="26" t="str">
        <f>IF(OR(E2687="",E2687="!!!",F2687="NEW"),"",COUNTBLANK(OFFSET(A$1,,,SUMPRODUCT(MAX(ROW(E$2:E2687)*(E2687=E$2:E2687)))))-COUNTBLANK(OFFSET(A$1,,,SUMPRODUCT(MAX(ROW(E$1:E2686)*(E2=E$1:E2686))))))</f>
        <v> </v>
      </c>
      <c r="K2687" s="26" t="str">
        <f>IF(OR(E2687="",E2687="!!!",F2687="NEW"),"",INDEX(J$1:J2686,SUMPRODUCT(MAX(ROW(E$1:E2686)*(E2687=E$1:E2686)))))</f>
        <v> </v>
      </c>
      <c r="L2687" s="27"/>
    </row>
    <row r="2688" spans="1:12">
      <c r="A2688" s="20" t="s">
        <v>883</v>
      </c>
      <c r="E2688" s="22">
        <f>IF(D2688="?OLD","!!!","")</f>
        <v/>
      </c>
      <c r="F2688" s="23" t="str">
        <f>IF(OR(E2688="",E2688="!!!"),"",IF(NOT(ISNA(VLOOKUP(E2688,E$1:E2687,1,FALSE()))),"OLD",IF(AND(E2688&lt;&gt;"",E2688&lt;&gt;"!!!"),"NEW","")))</f>
        <v> </v>
      </c>
      <c r="G2688" s="24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5" t="str">
        <f>IF(J2688&lt;&gt;1,"",IF(I2688="SBJ","CB","?"))</f>
        <v> </v>
      </c>
      <c r="I2688" s="26" t="str">
        <f>IF(OR(E2688="",E2688="!!!",F2688="NEW"),"",INDEX(B2687:B$2,-1+SUMPRODUCT(MAX(ROW(E2687:E$2)*(E2688=E2687:E$2)))))</f>
        <v> </v>
      </c>
      <c r="J2688" s="26" t="str">
        <f>IF(OR(E2688="",E2688="!!!",F2688="NEW"),"",COUNTBLANK(OFFSET(A$1,,,SUMPRODUCT(MAX(ROW(E$2:E2688)*(E2688=E$2:E2688)))))-COUNTBLANK(OFFSET(A$1,,,SUMPRODUCT(MAX(ROW(E$1:E2687)*(E2=E$1:E2687))))))</f>
        <v> </v>
      </c>
      <c r="K2688" s="26" t="str">
        <f>IF(OR(E2688="",E2688="!!!",F2688="NEW"),"",INDEX(J$1:J2687,SUMPRODUCT(MAX(ROW(E$1:E2687)*(E2688=E$1:E2687)))))</f>
        <v> </v>
      </c>
      <c r="L2688" s="27"/>
    </row>
    <row r="2689" spans="1:12">
      <c r="A2689" s="20" t="s">
        <v>1722</v>
      </c>
      <c r="B2689" s="21" t="s">
        <v>804</v>
      </c>
      <c r="C2689" s="21" t="s">
        <v>733</v>
      </c>
      <c r="D2689" s="21" t="s">
        <v>603</v>
      </c>
      <c r="E2689" s="22">
        <f>IF(D2689="?OLD","!!!","")</f>
        <v/>
      </c>
      <c r="F2689" s="23" t="str">
        <f>IF(OR(E2689="",E2689="!!!"),"",IF(NOT(ISNA(VLOOKUP(E2689,E$1:E2688,1,FALSE()))),"OLD",IF(AND(E2689&lt;&gt;"",E2689&lt;&gt;"!!!"),"NEW","")))</f>
        <v> </v>
      </c>
      <c r="G2689" s="24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5" t="str">
        <f>IF(J2689&lt;&gt;1,"",IF(I2689="SBJ","CB","?"))</f>
        <v> </v>
      </c>
      <c r="I2689" s="26" t="str">
        <f>IF(OR(E2689="",E2689="!!!",F2689="NEW"),"",INDEX(B2688:B$2,-1+SUMPRODUCT(MAX(ROW(E2688:E$2)*(E2689=E2688:E$2)))))</f>
        <v> </v>
      </c>
      <c r="J2689" s="26" t="str">
        <f>IF(OR(E2689="",E2689="!!!",F2689="NEW"),"",COUNTBLANK(OFFSET(A$1,,,SUMPRODUCT(MAX(ROW(E$2:E2689)*(E2689=E$2:E2689)))))-COUNTBLANK(OFFSET(A$1,,,SUMPRODUCT(MAX(ROW(E$1:E2688)*(E2=E$1:E2688))))))</f>
        <v> </v>
      </c>
      <c r="K2689" s="26" t="str">
        <f>IF(OR(E2689="",E2689="!!!",F2689="NEW"),"",INDEX(J$1:J2688,SUMPRODUCT(MAX(ROW(E$1:E2688)*(E2689=E$1:E2688)))))</f>
        <v> </v>
      </c>
      <c r="L2689" s="27"/>
    </row>
    <row r="2690" spans="1:12">
      <c r="A2690" s="20" t="s">
        <v>827</v>
      </c>
      <c r="E2690" s="22">
        <f>IF(D2690="?OLD","!!!","")</f>
        <v/>
      </c>
      <c r="F2690" s="23" t="str">
        <f>IF(OR(E2690="",E2690="!!!"),"",IF(NOT(ISNA(VLOOKUP(E2690,E$1:E2689,1,FALSE()))),"OLD",IF(AND(E2690&lt;&gt;"",E2690&lt;&gt;"!!!"),"NEW","")))</f>
        <v> </v>
      </c>
      <c r="G2690" s="24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5" t="str">
        <f>IF(J2690&lt;&gt;1,"",IF(I2690="SBJ","CB","?"))</f>
        <v> </v>
      </c>
      <c r="I2690" s="26" t="str">
        <f>IF(OR(E2690="",E2690="!!!",F2690="NEW"),"",INDEX(B2689:B$2,-1+SUMPRODUCT(MAX(ROW(E2689:E$2)*(E2690=E2689:E$2)))))</f>
        <v> </v>
      </c>
      <c r="J2690" s="26" t="str">
        <f>IF(OR(E2690="",E2690="!!!",F2690="NEW"),"",COUNTBLANK(OFFSET(A$1,,,SUMPRODUCT(MAX(ROW(E$2:E2690)*(E2690=E$2:E2690)))))-COUNTBLANK(OFFSET(A$1,,,SUMPRODUCT(MAX(ROW(E$1:E2689)*(E2=E$1:E2689))))))</f>
        <v> </v>
      </c>
      <c r="K2690" s="26" t="str">
        <f>IF(OR(E2690="",E2690="!!!",F2690="NEW"),"",INDEX(J$1:J2689,SUMPRODUCT(MAX(ROW(E$1:E2689)*(E2690=E$1:E2689)))))</f>
        <v> </v>
      </c>
      <c r="L2690" s="27"/>
    </row>
    <row r="2691" spans="1:12">
      <c r="A2691" s="20" t="s">
        <v>607</v>
      </c>
      <c r="E2691" s="22">
        <f>IF(D2691="?OLD","!!!","")</f>
        <v/>
      </c>
      <c r="F2691" s="23" t="str">
        <f>IF(OR(E2691="",E2691="!!!"),"",IF(NOT(ISNA(VLOOKUP(E2691,E$1:E2690,1,FALSE()))),"OLD",IF(AND(E2691&lt;&gt;"",E2691&lt;&gt;"!!!"),"NEW","")))</f>
        <v> </v>
      </c>
      <c r="G2691" s="24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5" t="str">
        <f>IF(J2691&lt;&gt;1,"",IF(I2691="SBJ","CB","?"))</f>
        <v> </v>
      </c>
      <c r="I2691" s="26" t="str">
        <f>IF(OR(E2691="",E2691="!!!",F2691="NEW"),"",INDEX(B2690:B$2,-1+SUMPRODUCT(MAX(ROW(E2690:E$2)*(E2691=E2690:E$2)))))</f>
        <v> </v>
      </c>
      <c r="J2691" s="26" t="str">
        <f>IF(OR(E2691="",E2691="!!!",F2691="NEW"),"",COUNTBLANK(OFFSET(A$1,,,SUMPRODUCT(MAX(ROW(E$2:E2691)*(E2691=E$2:E2691)))))-COUNTBLANK(OFFSET(A$1,,,SUMPRODUCT(MAX(ROW(E$1:E2690)*(E2=E$1:E2690))))))</f>
        <v> </v>
      </c>
      <c r="K2691" s="26" t="str">
        <f>IF(OR(E2691="",E2691="!!!",F2691="NEW"),"",INDEX(J$1:J2690,SUMPRODUCT(MAX(ROW(E$1:E2690)*(E2691=E$1:E2690)))))</f>
        <v> </v>
      </c>
      <c r="L2691" s="27"/>
    </row>
    <row r="2692" spans="1:12">
      <c r="A2692" s="20" t="s">
        <v>1874</v>
      </c>
      <c r="E2692" s="22">
        <f>IF(D2692="?OLD","!!!","")</f>
        <v/>
      </c>
      <c r="F2692" s="23" t="str">
        <f>IF(OR(E2692="",E2692="!!!"),"",IF(NOT(ISNA(VLOOKUP(E2692,E$1:E2691,1,FALSE()))),"OLD",IF(AND(E2692&lt;&gt;"",E2692&lt;&gt;"!!!"),"NEW","")))</f>
        <v> </v>
      </c>
      <c r="G2692" s="24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5" t="str">
        <f>IF(J2692&lt;&gt;1,"",IF(I2692="SBJ","CB","?"))</f>
        <v> </v>
      </c>
      <c r="I2692" s="26" t="str">
        <f>IF(OR(E2692="",E2692="!!!",F2692="NEW"),"",INDEX(B2691:B$2,-1+SUMPRODUCT(MAX(ROW(E2691:E$2)*(E2692=E2691:E$2)))))</f>
        <v> </v>
      </c>
      <c r="J2692" s="26" t="str">
        <f>IF(OR(E2692="",E2692="!!!",F2692="NEW"),"",COUNTBLANK(OFFSET(A$1,,,SUMPRODUCT(MAX(ROW(E$2:E2692)*(E2692=E$2:E2692)))))-COUNTBLANK(OFFSET(A$1,,,SUMPRODUCT(MAX(ROW(E$1:E2691)*(E2=E$1:E2691))))))</f>
        <v> </v>
      </c>
      <c r="K2692" s="26" t="str">
        <f>IF(OR(E2692="",E2692="!!!",F2692="NEW"),"",INDEX(J$1:J2691,SUMPRODUCT(MAX(ROW(E$1:E2691)*(E2692=E$1:E2691)))))</f>
        <v> </v>
      </c>
      <c r="L2692" s="27"/>
    </row>
    <row r="2693" spans="1:12">
      <c r="A2693" s="20" t="s">
        <v>611</v>
      </c>
      <c r="E2693" s="22">
        <f>IF(D2693="?OLD","!!!","")</f>
        <v/>
      </c>
      <c r="F2693" s="23" t="str">
        <f>IF(OR(E2693="",E2693="!!!"),"",IF(NOT(ISNA(VLOOKUP(E2693,E$1:E2692,1,FALSE()))),"OLD",IF(AND(E2693&lt;&gt;"",E2693&lt;&gt;"!!!"),"NEW","")))</f>
        <v> </v>
      </c>
      <c r="G2693" s="24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5" t="str">
        <f>IF(J2693&lt;&gt;1,"",IF(I2693="SBJ","CB","?"))</f>
        <v> </v>
      </c>
      <c r="I2693" s="26" t="str">
        <f>IF(OR(E2693="",E2693="!!!",F2693="NEW"),"",INDEX(B2692:B$2,-1+SUMPRODUCT(MAX(ROW(E2692:E$2)*(E2693=E2692:E$2)))))</f>
        <v> </v>
      </c>
      <c r="J2693" s="26" t="str">
        <f>IF(OR(E2693="",E2693="!!!",F2693="NEW"),"",COUNTBLANK(OFFSET(A$1,,,SUMPRODUCT(MAX(ROW(E$2:E2693)*(E2693=E$2:E2693)))))-COUNTBLANK(OFFSET(A$1,,,SUMPRODUCT(MAX(ROW(E$1:E2692)*(E2=E$1:E2692))))))</f>
        <v> </v>
      </c>
      <c r="K2693" s="26" t="str">
        <f>IF(OR(E2693="",E2693="!!!",F2693="NEW"),"",INDEX(J$1:J2692,SUMPRODUCT(MAX(ROW(E$1:E2692)*(E2693=E$1:E2692)))))</f>
        <v> </v>
      </c>
      <c r="L2693" s="27"/>
    </row>
    <row r="2694" spans="1:12">
      <c r="A2694" s="20" t="s">
        <v>863</v>
      </c>
      <c r="E2694" s="22">
        <f>IF(D2694="?OLD","!!!","")</f>
        <v/>
      </c>
      <c r="F2694" s="23" t="str">
        <f>IF(OR(E2694="",E2694="!!!"),"",IF(NOT(ISNA(VLOOKUP(E2694,E$1:E2693,1,FALSE()))),"OLD",IF(AND(E2694&lt;&gt;"",E2694&lt;&gt;"!!!"),"NEW","")))</f>
        <v> </v>
      </c>
      <c r="G2694" s="24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5" t="str">
        <f>IF(J2694&lt;&gt;1,"",IF(I2694="SBJ","CB","?"))</f>
        <v> </v>
      </c>
      <c r="I2694" s="26" t="str">
        <f>IF(OR(E2694="",E2694="!!!",F2694="NEW"),"",INDEX(B2693:B$2,-1+SUMPRODUCT(MAX(ROW(E2693:E$2)*(E2694=E2693:E$2)))))</f>
        <v> </v>
      </c>
      <c r="J2694" s="26" t="str">
        <f>IF(OR(E2694="",E2694="!!!",F2694="NEW"),"",COUNTBLANK(OFFSET(A$1,,,SUMPRODUCT(MAX(ROW(E$2:E2694)*(E2694=E$2:E2694)))))-COUNTBLANK(OFFSET(A$1,,,SUMPRODUCT(MAX(ROW(E$1:E2693)*(E2=E$1:E2693))))))</f>
        <v> </v>
      </c>
      <c r="K2694" s="26" t="str">
        <f>IF(OR(E2694="",E2694="!!!",F2694="NEW"),"",INDEX(J$1:J2693,SUMPRODUCT(MAX(ROW(E$1:E2693)*(E2694=E$1:E2693)))))</f>
        <v> </v>
      </c>
      <c r="L2694" s="27"/>
    </row>
    <row r="2695" spans="1:12">
      <c r="A2695" s="20" t="s">
        <v>664</v>
      </c>
      <c r="E2695" s="22">
        <f>IF(D2695="?OLD","!!!","")</f>
        <v/>
      </c>
      <c r="F2695" s="23" t="str">
        <f>IF(OR(E2695="",E2695="!!!"),"",IF(NOT(ISNA(VLOOKUP(E2695,E$1:E2694,1,FALSE()))),"OLD",IF(AND(E2695&lt;&gt;"",E2695&lt;&gt;"!!!"),"NEW","")))</f>
        <v> </v>
      </c>
      <c r="G2695" s="24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5" t="str">
        <f>IF(J2695&lt;&gt;1,"",IF(I2695="SBJ","CB","?"))</f>
        <v> </v>
      </c>
      <c r="I2695" s="26" t="str">
        <f>IF(OR(E2695="",E2695="!!!",F2695="NEW"),"",INDEX(B2694:B$2,-1+SUMPRODUCT(MAX(ROW(E2694:E$2)*(E2695=E2694:E$2)))))</f>
        <v> </v>
      </c>
      <c r="J2695" s="26" t="str">
        <f>IF(OR(E2695="",E2695="!!!",F2695="NEW"),"",COUNTBLANK(OFFSET(A$1,,,SUMPRODUCT(MAX(ROW(E$2:E2695)*(E2695=E$2:E2695)))))-COUNTBLANK(OFFSET(A$1,,,SUMPRODUCT(MAX(ROW(E$1:E2694)*(E2=E$1:E2694))))))</f>
        <v> </v>
      </c>
      <c r="K2695" s="26" t="str">
        <f>IF(OR(E2695="",E2695="!!!",F2695="NEW"),"",INDEX(J$1:J2694,SUMPRODUCT(MAX(ROW(E$1:E2694)*(E2695=E$1:E2694)))))</f>
        <v> </v>
      </c>
      <c r="L2695" s="27"/>
    </row>
    <row r="2696" spans="1:12">
      <c r="A2696" s="20" t="s">
        <v>1875</v>
      </c>
      <c r="E2696" s="22">
        <f>IF(D2696="?OLD","!!!","")</f>
        <v/>
      </c>
      <c r="F2696" s="23" t="str">
        <f>IF(OR(E2696="",E2696="!!!"),"",IF(NOT(ISNA(VLOOKUP(E2696,E$1:E2695,1,FALSE()))),"OLD",IF(AND(E2696&lt;&gt;"",E2696&lt;&gt;"!!!"),"NEW","")))</f>
        <v> </v>
      </c>
      <c r="G2696" s="24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5" t="str">
        <f>IF(J2696&lt;&gt;1,"",IF(I2696="SBJ","CB","?"))</f>
        <v> </v>
      </c>
      <c r="I2696" s="26" t="str">
        <f>IF(OR(E2696="",E2696="!!!",F2696="NEW"),"",INDEX(B2695:B$2,-1+SUMPRODUCT(MAX(ROW(E2695:E$2)*(E2696=E2695:E$2)))))</f>
        <v> </v>
      </c>
      <c r="J2696" s="26" t="str">
        <f>IF(OR(E2696="",E2696="!!!",F2696="NEW"),"",COUNTBLANK(OFFSET(A$1,,,SUMPRODUCT(MAX(ROW(E$2:E2696)*(E2696=E$2:E2696)))))-COUNTBLANK(OFFSET(A$1,,,SUMPRODUCT(MAX(ROW(E$1:E2695)*(E2=E$1:E2695))))))</f>
        <v> </v>
      </c>
      <c r="K2696" s="26" t="str">
        <f>IF(OR(E2696="",E2696="!!!",F2696="NEW"),"",INDEX(J$1:J2695,SUMPRODUCT(MAX(ROW(E$1:E2695)*(E2696=E$1:E2695)))))</f>
        <v> </v>
      </c>
      <c r="L2696" s="27"/>
    </row>
    <row r="2697" spans="1:12">
      <c r="A2697" s="20" t="s">
        <v>883</v>
      </c>
      <c r="E2697" s="22">
        <f>IF(D2697="?OLD","!!!","")</f>
        <v/>
      </c>
      <c r="F2697" s="23" t="str">
        <f>IF(OR(E2697="",E2697="!!!"),"",IF(NOT(ISNA(VLOOKUP(E2697,E$1:E2696,1,FALSE()))),"OLD",IF(AND(E2697&lt;&gt;"",E2697&lt;&gt;"!!!"),"NEW","")))</f>
        <v> </v>
      </c>
      <c r="G2697" s="24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5" t="str">
        <f>IF(J2697&lt;&gt;1,"",IF(I2697="SBJ","CB","?"))</f>
        <v> </v>
      </c>
      <c r="I2697" s="26" t="str">
        <f>IF(OR(E2697="",E2697="!!!",F2697="NEW"),"",INDEX(B2696:B$2,-1+SUMPRODUCT(MAX(ROW(E2696:E$2)*(E2697=E2696:E$2)))))</f>
        <v> </v>
      </c>
      <c r="J2697" s="26" t="str">
        <f>IF(OR(E2697="",E2697="!!!",F2697="NEW"),"",COUNTBLANK(OFFSET(A$1,,,SUMPRODUCT(MAX(ROW(E$2:E2697)*(E2697=E$2:E2697)))))-COUNTBLANK(OFFSET(A$1,,,SUMPRODUCT(MAX(ROW(E$1:E2696)*(E2=E$1:E2696))))))</f>
        <v> </v>
      </c>
      <c r="K2697" s="26" t="str">
        <f>IF(OR(E2697="",E2697="!!!",F2697="NEW"),"",INDEX(J$1:J2696,SUMPRODUCT(MAX(ROW(E$1:E2696)*(E2697=E$1:E2696)))))</f>
        <v> </v>
      </c>
      <c r="L2697" s="27"/>
    </row>
    <row r="2698" spans="1:12">
      <c r="A2698" s="20" t="s">
        <v>822</v>
      </c>
      <c r="E2698" s="22">
        <f>IF(D2698="?OLD","!!!","")</f>
        <v/>
      </c>
      <c r="F2698" s="23" t="str">
        <f>IF(OR(E2698="",E2698="!!!"),"",IF(NOT(ISNA(VLOOKUP(E2698,E$1:E2697,1,FALSE()))),"OLD",IF(AND(E2698&lt;&gt;"",E2698&lt;&gt;"!!!"),"NEW","")))</f>
        <v> </v>
      </c>
      <c r="G2698" s="24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5" t="str">
        <f>IF(J2698&lt;&gt;1,"",IF(I2698="SBJ","CB","?"))</f>
        <v> </v>
      </c>
      <c r="I2698" s="26" t="str">
        <f>IF(OR(E2698="",E2698="!!!",F2698="NEW"),"",INDEX(B2697:B$2,-1+SUMPRODUCT(MAX(ROW(E2697:E$2)*(E2698=E2697:E$2)))))</f>
        <v> </v>
      </c>
      <c r="J2698" s="26" t="str">
        <f>IF(OR(E2698="",E2698="!!!",F2698="NEW"),"",COUNTBLANK(OFFSET(A$1,,,SUMPRODUCT(MAX(ROW(E$2:E2698)*(E2698=E$2:E2698)))))-COUNTBLANK(OFFSET(A$1,,,SUMPRODUCT(MAX(ROW(E$1:E2697)*(E2=E$1:E2697))))))</f>
        <v> </v>
      </c>
      <c r="K2698" s="26" t="str">
        <f>IF(OR(E2698="",E2698="!!!",F2698="NEW"),"",INDEX(J$1:J2697,SUMPRODUCT(MAX(ROW(E$1:E2697)*(E2698=E$1:E2697)))))</f>
        <v> </v>
      </c>
      <c r="L2698" s="27"/>
    </row>
    <row r="2699" spans="1:12">
      <c r="A2699" s="20" t="s">
        <v>611</v>
      </c>
      <c r="E2699" s="22">
        <f>IF(D2699="?OLD","!!!","")</f>
        <v/>
      </c>
      <c r="F2699" s="23" t="str">
        <f>IF(OR(E2699="",E2699="!!!"),"",IF(NOT(ISNA(VLOOKUP(E2699,E$1:E2698,1,FALSE()))),"OLD",IF(AND(E2699&lt;&gt;"",E2699&lt;&gt;"!!!"),"NEW","")))</f>
        <v> </v>
      </c>
      <c r="G2699" s="24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5" t="str">
        <f>IF(J2699&lt;&gt;1,"",IF(I2699="SBJ","CB","?"))</f>
        <v> </v>
      </c>
      <c r="I2699" s="26" t="str">
        <f>IF(OR(E2699="",E2699="!!!",F2699="NEW"),"",INDEX(B2698:B$2,-1+SUMPRODUCT(MAX(ROW(E2698:E$2)*(E2699=E2698:E$2)))))</f>
        <v> </v>
      </c>
      <c r="J2699" s="26" t="str">
        <f>IF(OR(E2699="",E2699="!!!",F2699="NEW"),"",COUNTBLANK(OFFSET(A$1,,,SUMPRODUCT(MAX(ROW(E$2:E2699)*(E2699=E$2:E2699)))))-COUNTBLANK(OFFSET(A$1,,,SUMPRODUCT(MAX(ROW(E$1:E2698)*(E2=E$1:E2698))))))</f>
        <v> </v>
      </c>
      <c r="K2699" s="26" t="str">
        <f>IF(OR(E2699="",E2699="!!!",F2699="NEW"),"",INDEX(J$1:J2698,SUMPRODUCT(MAX(ROW(E$1:E2698)*(E2699=E$1:E2698)))))</f>
        <v> </v>
      </c>
      <c r="L2699" s="27"/>
    </row>
    <row r="2700" spans="1:12">
      <c r="A2700" s="20" t="s">
        <v>1876</v>
      </c>
      <c r="E2700" s="22">
        <f>IF(D2700="?OLD","!!!","")</f>
        <v/>
      </c>
      <c r="F2700" s="23" t="str">
        <f>IF(OR(E2700="",E2700="!!!"),"",IF(NOT(ISNA(VLOOKUP(E2700,E$1:E2699,1,FALSE()))),"OLD",IF(AND(E2700&lt;&gt;"",E2700&lt;&gt;"!!!"),"NEW","")))</f>
        <v> </v>
      </c>
      <c r="G2700" s="24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5" t="str">
        <f>IF(J2700&lt;&gt;1,"",IF(I2700="SBJ","CB","?"))</f>
        <v> </v>
      </c>
      <c r="I2700" s="26" t="str">
        <f>IF(OR(E2700="",E2700="!!!",F2700="NEW"),"",INDEX(B2699:B$2,-1+SUMPRODUCT(MAX(ROW(E2699:E$2)*(E2700=E2699:E$2)))))</f>
        <v> </v>
      </c>
      <c r="J2700" s="26" t="str">
        <f>IF(OR(E2700="",E2700="!!!",F2700="NEW"),"",COUNTBLANK(OFFSET(A$1,,,SUMPRODUCT(MAX(ROW(E$2:E2700)*(E2700=E$2:E2700)))))-COUNTBLANK(OFFSET(A$1,,,SUMPRODUCT(MAX(ROW(E$1:E2699)*(E2=E$1:E2699))))))</f>
        <v> </v>
      </c>
      <c r="K2700" s="26" t="str">
        <f>IF(OR(E2700="",E2700="!!!",F2700="NEW"),"",INDEX(J$1:J2699,SUMPRODUCT(MAX(ROW(E$1:E2699)*(E2700=E$1:E2699)))))</f>
        <v> </v>
      </c>
      <c r="L2700" s="27"/>
    </row>
    <row r="2701" spans="1:12">
      <c r="A2701" s="20" t="s">
        <v>883</v>
      </c>
      <c r="E2701" s="22">
        <f>IF(D2701="?OLD","!!!","")</f>
        <v/>
      </c>
      <c r="F2701" s="23" t="str">
        <f>IF(OR(E2701="",E2701="!!!"),"",IF(NOT(ISNA(VLOOKUP(E2701,E$1:E2700,1,FALSE()))),"OLD",IF(AND(E2701&lt;&gt;"",E2701&lt;&gt;"!!!"),"NEW","")))</f>
        <v> </v>
      </c>
      <c r="G2701" s="24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5" t="str">
        <f>IF(J2701&lt;&gt;1,"",IF(I2701="SBJ","CB","?"))</f>
        <v> </v>
      </c>
      <c r="I2701" s="26" t="str">
        <f>IF(OR(E2701="",E2701="!!!",F2701="NEW"),"",INDEX(B2700:B$2,-1+SUMPRODUCT(MAX(ROW(E2700:E$2)*(E2701=E2700:E$2)))))</f>
        <v> </v>
      </c>
      <c r="J2701" s="26" t="str">
        <f>IF(OR(E2701="",E2701="!!!",F2701="NEW"),"",COUNTBLANK(OFFSET(A$1,,,SUMPRODUCT(MAX(ROW(E$2:E2701)*(E2701=E$2:E2701)))))-COUNTBLANK(OFFSET(A$1,,,SUMPRODUCT(MAX(ROW(E$1:E2700)*(E2=E$1:E2700))))))</f>
        <v> </v>
      </c>
      <c r="K2701" s="26" t="str">
        <f>IF(OR(E2701="",E2701="!!!",F2701="NEW"),"",INDEX(J$1:J2700,SUMPRODUCT(MAX(ROW(E$1:E2700)*(E2701=E$1:E2700)))))</f>
        <v> </v>
      </c>
      <c r="L2701" s="27"/>
    </row>
    <row r="2702" spans="1:12">
      <c r="A2702" s="20" t="s">
        <v>1722</v>
      </c>
      <c r="B2702" s="21" t="s">
        <v>782</v>
      </c>
      <c r="C2702" s="21" t="s">
        <v>733</v>
      </c>
      <c r="D2702" s="21" t="s">
        <v>603</v>
      </c>
      <c r="E2702" s="22">
        <f>IF(D2702="?OLD","!!!","")</f>
        <v/>
      </c>
      <c r="F2702" s="23" t="str">
        <f>IF(OR(E2702="",E2702="!!!"),"",IF(NOT(ISNA(VLOOKUP(E2702,E$1:E2701,1,FALSE()))),"OLD",IF(AND(E2702&lt;&gt;"",E2702&lt;&gt;"!!!"),"NEW","")))</f>
        <v> </v>
      </c>
      <c r="G2702" s="24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5" t="str">
        <f>IF(J2702&lt;&gt;1,"",IF(I2702="SBJ","CB","?"))</f>
        <v> </v>
      </c>
      <c r="I2702" s="26" t="str">
        <f>IF(OR(E2702="",E2702="!!!",F2702="NEW"),"",INDEX(B2701:B$2,-1+SUMPRODUCT(MAX(ROW(E2701:E$2)*(E2702=E2701:E$2)))))</f>
        <v> </v>
      </c>
      <c r="J2702" s="26" t="str">
        <f>IF(OR(E2702="",E2702="!!!",F2702="NEW"),"",COUNTBLANK(OFFSET(A$1,,,SUMPRODUCT(MAX(ROW(E$2:E2702)*(E2702=E$2:E2702)))))-COUNTBLANK(OFFSET(A$1,,,SUMPRODUCT(MAX(ROW(E$1:E2701)*(E2=E$1:E2701))))))</f>
        <v> </v>
      </c>
      <c r="K2702" s="26" t="str">
        <f>IF(OR(E2702="",E2702="!!!",F2702="NEW"),"",INDEX(J$1:J2701,SUMPRODUCT(MAX(ROW(E$1:E2701)*(E2702=E$1:E2701)))))</f>
        <v> </v>
      </c>
      <c r="L2702" s="27"/>
    </row>
    <row r="2703" spans="1:12">
      <c r="A2703" s="20" t="s">
        <v>827</v>
      </c>
      <c r="E2703" s="22">
        <f>IF(D2703="?OLD","!!!","")</f>
        <v/>
      </c>
      <c r="F2703" s="23" t="str">
        <f>IF(OR(E2703="",E2703="!!!"),"",IF(NOT(ISNA(VLOOKUP(E2703,E$1:E2702,1,FALSE()))),"OLD",IF(AND(E2703&lt;&gt;"",E2703&lt;&gt;"!!!"),"NEW","")))</f>
        <v> </v>
      </c>
      <c r="G2703" s="24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5" t="str">
        <f>IF(J2703&lt;&gt;1,"",IF(I2703="SBJ","CB","?"))</f>
        <v> </v>
      </c>
      <c r="I2703" s="26" t="str">
        <f>IF(OR(E2703="",E2703="!!!",F2703="NEW"),"",INDEX(B2702:B$2,-1+SUMPRODUCT(MAX(ROW(E2702:E$2)*(E2703=E2702:E$2)))))</f>
        <v> </v>
      </c>
      <c r="J2703" s="26" t="str">
        <f>IF(OR(E2703="",E2703="!!!",F2703="NEW"),"",COUNTBLANK(OFFSET(A$1,,,SUMPRODUCT(MAX(ROW(E$2:E2703)*(E2703=E$2:E2703)))))-COUNTBLANK(OFFSET(A$1,,,SUMPRODUCT(MAX(ROW(E$1:E2702)*(E2=E$1:E2702))))))</f>
        <v> </v>
      </c>
      <c r="K2703" s="26" t="str">
        <f>IF(OR(E2703="",E2703="!!!",F2703="NEW"),"",INDEX(J$1:J2702,SUMPRODUCT(MAX(ROW(E$1:E2702)*(E2703=E$1:E2702)))))</f>
        <v> </v>
      </c>
      <c r="L2703" s="27"/>
    </row>
    <row r="2704" spans="1:12">
      <c r="A2704" s="20" t="s">
        <v>607</v>
      </c>
      <c r="E2704" s="22">
        <f>IF(D2704="?OLD","!!!","")</f>
        <v/>
      </c>
      <c r="F2704" s="23" t="str">
        <f>IF(OR(E2704="",E2704="!!!"),"",IF(NOT(ISNA(VLOOKUP(E2704,E$1:E2703,1,FALSE()))),"OLD",IF(AND(E2704&lt;&gt;"",E2704&lt;&gt;"!!!"),"NEW","")))</f>
        <v> </v>
      </c>
      <c r="G2704" s="24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5" t="str">
        <f>IF(J2704&lt;&gt;1,"",IF(I2704="SBJ","CB","?"))</f>
        <v> </v>
      </c>
      <c r="I2704" s="26" t="str">
        <f>IF(OR(E2704="",E2704="!!!",F2704="NEW"),"",INDEX(B2703:B$2,-1+SUMPRODUCT(MAX(ROW(E2703:E$2)*(E2704=E2703:E$2)))))</f>
        <v> </v>
      </c>
      <c r="J2704" s="26" t="str">
        <f>IF(OR(E2704="",E2704="!!!",F2704="NEW"),"",COUNTBLANK(OFFSET(A$1,,,SUMPRODUCT(MAX(ROW(E$2:E2704)*(E2704=E$2:E2704)))))-COUNTBLANK(OFFSET(A$1,,,SUMPRODUCT(MAX(ROW(E$1:E2703)*(E2=E$1:E2703))))))</f>
        <v> </v>
      </c>
      <c r="K2704" s="26" t="str">
        <f>IF(OR(E2704="",E2704="!!!",F2704="NEW"),"",INDEX(J$1:J2703,SUMPRODUCT(MAX(ROW(E$1:E2703)*(E2704=E$1:E2703)))))</f>
        <v> </v>
      </c>
      <c r="L2704" s="27"/>
    </row>
    <row r="2705" spans="1:12">
      <c r="A2705" s="20" t="s">
        <v>1874</v>
      </c>
      <c r="E2705" s="22">
        <f>IF(D2705="?OLD","!!!","")</f>
        <v/>
      </c>
      <c r="F2705" s="23" t="str">
        <f>IF(OR(E2705="",E2705="!!!"),"",IF(NOT(ISNA(VLOOKUP(E2705,E$1:E2704,1,FALSE()))),"OLD",IF(AND(E2705&lt;&gt;"",E2705&lt;&gt;"!!!"),"NEW","")))</f>
        <v> </v>
      </c>
      <c r="G2705" s="24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5" t="str">
        <f>IF(J2705&lt;&gt;1,"",IF(I2705="SBJ","CB","?"))</f>
        <v> </v>
      </c>
      <c r="I2705" s="26" t="str">
        <f>IF(OR(E2705="",E2705="!!!",F2705="NEW"),"",INDEX(B2704:B$2,-1+SUMPRODUCT(MAX(ROW(E2704:E$2)*(E2705=E2704:E$2)))))</f>
        <v> </v>
      </c>
      <c r="J2705" s="26" t="str">
        <f>IF(OR(E2705="",E2705="!!!",F2705="NEW"),"",COUNTBLANK(OFFSET(A$1,,,SUMPRODUCT(MAX(ROW(E$2:E2705)*(E2705=E$2:E2705)))))-COUNTBLANK(OFFSET(A$1,,,SUMPRODUCT(MAX(ROW(E$1:E2704)*(E2=E$1:E2704))))))</f>
        <v> </v>
      </c>
      <c r="K2705" s="26" t="str">
        <f>IF(OR(E2705="",E2705="!!!",F2705="NEW"),"",INDEX(J$1:J2704,SUMPRODUCT(MAX(ROW(E$1:E2704)*(E2705=E$1:E2704)))))</f>
        <v> </v>
      </c>
      <c r="L2705" s="27"/>
    </row>
    <row r="2706" spans="1:12">
      <c r="A2706" s="20" t="s">
        <v>633</v>
      </c>
      <c r="E2706" s="22">
        <f>IF(D2706="?OLD","!!!","")</f>
        <v/>
      </c>
      <c r="F2706" s="23" t="str">
        <f>IF(OR(E2706="",E2706="!!!"),"",IF(NOT(ISNA(VLOOKUP(E2706,E$1:E2705,1,FALSE()))),"OLD",IF(AND(E2706&lt;&gt;"",E2706&lt;&gt;"!!!"),"NEW","")))</f>
        <v> </v>
      </c>
      <c r="G2706" s="24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5" t="str">
        <f>IF(J2706&lt;&gt;1,"",IF(I2706="SBJ","CB","?"))</f>
        <v> </v>
      </c>
      <c r="I2706" s="26" t="str">
        <f>IF(OR(E2706="",E2706="!!!",F2706="NEW"),"",INDEX(B2705:B$2,-1+SUMPRODUCT(MAX(ROW(E2705:E$2)*(E2706=E2705:E$2)))))</f>
        <v> </v>
      </c>
      <c r="J2706" s="26" t="str">
        <f>IF(OR(E2706="",E2706="!!!",F2706="NEW"),"",COUNTBLANK(OFFSET(A$1,,,SUMPRODUCT(MAX(ROW(E$2:E2706)*(E2706=E$2:E2706)))))-COUNTBLANK(OFFSET(A$1,,,SUMPRODUCT(MAX(ROW(E$1:E2705)*(E2=E$1:E2705))))))</f>
        <v> </v>
      </c>
      <c r="K2706" s="26" t="str">
        <f>IF(OR(E2706="",E2706="!!!",F2706="NEW"),"",INDEX(J$1:J2705,SUMPRODUCT(MAX(ROW(E$1:E2705)*(E2706=E$1:E2705)))))</f>
        <v> </v>
      </c>
      <c r="L2706" s="27"/>
    </row>
    <row r="2707" spans="1:12">
      <c r="A2707" s="20"/>
    </row>
    <row r="2708" spans="1:12">
      <c r="A2708" s="20" t="s">
        <v>1877</v>
      </c>
    </row>
    <row r="2709" spans="1:12">
      <c r="A2709" s="20" t="s">
        <v>1396</v>
      </c>
      <c r="E2709" s="22">
        <f>IF(D2709="?OLD","!!!","")</f>
        <v/>
      </c>
      <c r="F2709" s="23" t="str">
        <f>IF(OR(E2709="",E2709="!!!"),"",IF(NOT(ISNA(VLOOKUP(E2709,E$1:E2708,1,FALSE()))),"OLD",IF(AND(E2709&lt;&gt;"",E2709&lt;&gt;"!!!"),"NEW","")))</f>
        <v> </v>
      </c>
      <c r="G2709" s="24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5" t="str">
        <f>IF(J2709&lt;&gt;1,"",IF(I2709="SBJ","CB","?"))</f>
        <v> </v>
      </c>
      <c r="I2709" s="26" t="str">
        <f>IF(OR(E2709="",E2709="!!!",F2709="NEW"),"",INDEX(B2708:B$2,-1+SUMPRODUCT(MAX(ROW(E2708:E$2)*(E2709=E2708:E$2)))))</f>
        <v> </v>
      </c>
      <c r="J2709" s="26" t="str">
        <f>IF(OR(E2709="",E2709="!!!",F2709="NEW"),"",COUNTBLANK(OFFSET(A$1,,,SUMPRODUCT(MAX(ROW(E$2:E2709)*(E2709=E$2:E2709)))))-COUNTBLANK(OFFSET(A$1,,,SUMPRODUCT(MAX(ROW(E$1:E2708)*(E2=E$1:E2708))))))</f>
        <v> </v>
      </c>
      <c r="K2709" s="26" t="str">
        <f>IF(OR(E2709="",E2709="!!!",F2709="NEW"),"",INDEX(J$1:J2708,SUMPRODUCT(MAX(ROW(E$1:E2708)*(E2709=E$1:E2708)))))</f>
        <v> </v>
      </c>
      <c r="L2709" s="27"/>
    </row>
    <row r="2710" spans="1:12">
      <c r="A2710" s="20" t="s">
        <v>611</v>
      </c>
      <c r="E2710" s="22">
        <f>IF(D2710="?OLD","!!!","")</f>
        <v/>
      </c>
      <c r="F2710" s="23" t="str">
        <f>IF(OR(E2710="",E2710="!!!"),"",IF(NOT(ISNA(VLOOKUP(E2710,E$1:E2709,1,FALSE()))),"OLD",IF(AND(E2710&lt;&gt;"",E2710&lt;&gt;"!!!"),"NEW","")))</f>
        <v> </v>
      </c>
      <c r="G2710" s="24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5" t="str">
        <f>IF(J2710&lt;&gt;1,"",IF(I2710="SBJ","CB","?"))</f>
        <v> </v>
      </c>
      <c r="I2710" s="26" t="str">
        <f>IF(OR(E2710="",E2710="!!!",F2710="NEW"),"",INDEX(B2709:B$2,-1+SUMPRODUCT(MAX(ROW(E2709:E$2)*(E2710=E2709:E$2)))))</f>
        <v> </v>
      </c>
      <c r="J2710" s="26" t="str">
        <f>IF(OR(E2710="",E2710="!!!",F2710="NEW"),"",COUNTBLANK(OFFSET(A$1,,,SUMPRODUCT(MAX(ROW(E$2:E2710)*(E2710=E$2:E2710)))))-COUNTBLANK(OFFSET(A$1,,,SUMPRODUCT(MAX(ROW(E$1:E2709)*(E2=E$1:E2709))))))</f>
        <v> </v>
      </c>
      <c r="K2710" s="26" t="str">
        <f>IF(OR(E2710="",E2710="!!!",F2710="NEW"),"",INDEX(J$1:J2709,SUMPRODUCT(MAX(ROW(E$1:E2709)*(E2710=E$1:E2709)))))</f>
        <v> </v>
      </c>
      <c r="L2710" s="27"/>
    </row>
    <row r="2711" spans="1:12">
      <c r="A2711" s="20" t="s">
        <v>714</v>
      </c>
      <c r="E2711" s="22">
        <f>IF(D2711="?OLD","!!!","")</f>
        <v/>
      </c>
      <c r="F2711" s="23" t="str">
        <f>IF(OR(E2711="",E2711="!!!"),"",IF(NOT(ISNA(VLOOKUP(E2711,E$1:E2710,1,FALSE()))),"OLD",IF(AND(E2711&lt;&gt;"",E2711&lt;&gt;"!!!"),"NEW","")))</f>
        <v> </v>
      </c>
      <c r="G2711" s="24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5" t="str">
        <f>IF(J2711&lt;&gt;1,"",IF(I2711="SBJ","CB","?"))</f>
        <v> </v>
      </c>
      <c r="I2711" s="26" t="str">
        <f>IF(OR(E2711="",E2711="!!!",F2711="NEW"),"",INDEX(B2710:B$2,-1+SUMPRODUCT(MAX(ROW(E2710:E$2)*(E2711=E2710:E$2)))))</f>
        <v> </v>
      </c>
      <c r="J2711" s="26" t="str">
        <f>IF(OR(E2711="",E2711="!!!",F2711="NEW"),"",COUNTBLANK(OFFSET(A$1,,,SUMPRODUCT(MAX(ROW(E$2:E2711)*(E2711=E$2:E2711)))))-COUNTBLANK(OFFSET(A$1,,,SUMPRODUCT(MAX(ROW(E$1:E2710)*(E2=E$1:E2710))))))</f>
        <v> </v>
      </c>
      <c r="K2711" s="26" t="str">
        <f>IF(OR(E2711="",E2711="!!!",F2711="NEW"),"",INDEX(J$1:J2710,SUMPRODUCT(MAX(ROW(E$1:E2710)*(E2711=E$1:E2710)))))</f>
        <v> </v>
      </c>
      <c r="L2711" s="27"/>
    </row>
    <row r="2712" spans="1:12">
      <c r="A2712" s="20" t="s">
        <v>1878</v>
      </c>
      <c r="B2712" s="21" t="s">
        <v>601</v>
      </c>
      <c r="C2712" s="21" t="s">
        <v>716</v>
      </c>
      <c r="D2712" s="21" t="s">
        <v>603</v>
      </c>
      <c r="E2712" s="22">
        <f>IF(D2712="?OLD","!!!","")</f>
        <v/>
      </c>
      <c r="F2712" s="23" t="str">
        <f>IF(OR(E2712="",E2712="!!!"),"",IF(NOT(ISNA(VLOOKUP(E2712,E$1:E2711,1,FALSE()))),"OLD",IF(AND(E2712&lt;&gt;"",E2712&lt;&gt;"!!!"),"NEW","")))</f>
        <v> </v>
      </c>
      <c r="G2712" s="24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5" t="str">
        <f>IF(J2712&lt;&gt;1,"",IF(I2712="SBJ","CB","?"))</f>
        <v> </v>
      </c>
      <c r="I2712" s="26" t="str">
        <f>IF(OR(E2712="",E2712="!!!",F2712="NEW"),"",INDEX(B2711:B$2,-1+SUMPRODUCT(MAX(ROW(E2711:E$2)*(E2712=E2711:E$2)))))</f>
        <v> </v>
      </c>
      <c r="J2712" s="26" t="str">
        <f>IF(OR(E2712="",E2712="!!!",F2712="NEW"),"",COUNTBLANK(OFFSET(A$1,,,SUMPRODUCT(MAX(ROW(E$2:E2712)*(E2712=E$2:E2712)))))-COUNTBLANK(OFFSET(A$1,,,SUMPRODUCT(MAX(ROW(E$1:E2711)*(E2=E$1:E2711))))))</f>
        <v> </v>
      </c>
      <c r="K2712" s="26" t="str">
        <f>IF(OR(E2712="",E2712="!!!",F2712="NEW"),"",INDEX(J$1:J2711,SUMPRODUCT(MAX(ROW(E$1:E2711)*(E2712=E$1:E2711)))))</f>
        <v> </v>
      </c>
      <c r="L2712" s="27"/>
    </row>
    <row r="2713" spans="1:12">
      <c r="A2713" s="20" t="s">
        <v>1879</v>
      </c>
      <c r="E2713" s="22">
        <f>IF(D2713="?OLD","!!!","")</f>
        <v/>
      </c>
      <c r="F2713" s="23" t="str">
        <f>IF(OR(E2713="",E2713="!!!"),"",IF(NOT(ISNA(VLOOKUP(E2713,E$1:E2712,1,FALSE()))),"OLD",IF(AND(E2713&lt;&gt;"",E2713&lt;&gt;"!!!"),"NEW","")))</f>
        <v> </v>
      </c>
      <c r="G2713" s="24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5" t="str">
        <f>IF(J2713&lt;&gt;1,"",IF(I2713="SBJ","CB","?"))</f>
        <v> </v>
      </c>
      <c r="I2713" s="26" t="str">
        <f>IF(OR(E2713="",E2713="!!!",F2713="NEW"),"",INDEX(B2712:B$2,-1+SUMPRODUCT(MAX(ROW(E2712:E$2)*(E2713=E2712:E$2)))))</f>
        <v> </v>
      </c>
      <c r="J2713" s="26" t="str">
        <f>IF(OR(E2713="",E2713="!!!",F2713="NEW"),"",COUNTBLANK(OFFSET(A$1,,,SUMPRODUCT(MAX(ROW(E$2:E2713)*(E2713=E$2:E2713)))))-COUNTBLANK(OFFSET(A$1,,,SUMPRODUCT(MAX(ROW(E$1:E2712)*(E2=E$1:E2712))))))</f>
        <v> </v>
      </c>
      <c r="K2713" s="26" t="str">
        <f>IF(OR(E2713="",E2713="!!!",F2713="NEW"),"",INDEX(J$1:J2712,SUMPRODUCT(MAX(ROW(E$1:E2712)*(E2713=E$1:E2712)))))</f>
        <v> </v>
      </c>
      <c r="L2713" s="27"/>
    </row>
    <row r="2714" spans="1:12">
      <c r="A2714" s="20" t="s">
        <v>623</v>
      </c>
      <c r="E2714" s="22">
        <f>IF(D2714="?OLD","!!!","")</f>
        <v/>
      </c>
      <c r="F2714" s="23" t="str">
        <f>IF(OR(E2714="",E2714="!!!"),"",IF(NOT(ISNA(VLOOKUP(E2714,E$1:E2713,1,FALSE()))),"OLD",IF(AND(E2714&lt;&gt;"",E2714&lt;&gt;"!!!"),"NEW","")))</f>
        <v> </v>
      </c>
      <c r="G2714" s="24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5" t="str">
        <f>IF(J2714&lt;&gt;1,"",IF(I2714="SBJ","CB","?"))</f>
        <v> </v>
      </c>
      <c r="I2714" s="26" t="str">
        <f>IF(OR(E2714="",E2714="!!!",F2714="NEW"),"",INDEX(B2713:B$2,-1+SUMPRODUCT(MAX(ROW(E2713:E$2)*(E2714=E2713:E$2)))))</f>
        <v> </v>
      </c>
      <c r="J2714" s="26" t="str">
        <f>IF(OR(E2714="",E2714="!!!",F2714="NEW"),"",COUNTBLANK(OFFSET(A$1,,,SUMPRODUCT(MAX(ROW(E$2:E2714)*(E2714=E$2:E2714)))))-COUNTBLANK(OFFSET(A$1,,,SUMPRODUCT(MAX(ROW(E$1:E2713)*(E2=E$1:E2713))))))</f>
        <v> </v>
      </c>
      <c r="K2714" s="26" t="str">
        <f>IF(OR(E2714="",E2714="!!!",F2714="NEW"),"",INDEX(J$1:J2713,SUMPRODUCT(MAX(ROW(E$1:E2713)*(E2714=E$1:E2713)))))</f>
        <v> </v>
      </c>
      <c r="L2714" s="27"/>
    </row>
    <row r="2715" spans="1:12">
      <c r="A2715" s="20" t="s">
        <v>824</v>
      </c>
      <c r="B2715" s="21" t="s">
        <v>640</v>
      </c>
      <c r="C2715" s="21" t="s">
        <v>602</v>
      </c>
      <c r="D2715" s="21" t="s">
        <v>603</v>
      </c>
      <c r="E2715" s="22">
        <f>IF(D2715="?OLD","!!!","")</f>
        <v/>
      </c>
      <c r="F2715" s="23" t="str">
        <f>IF(OR(E2715="",E2715="!!!"),"",IF(NOT(ISNA(VLOOKUP(E2715,E$1:E2714,1,FALSE()))),"OLD",IF(AND(E2715&lt;&gt;"",E2715&lt;&gt;"!!!"),"NEW","")))</f>
        <v> </v>
      </c>
      <c r="G2715" s="24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5" t="str">
        <f>IF(J2715&lt;&gt;1,"",IF(I2715="SBJ","CB","?"))</f>
        <v> </v>
      </c>
      <c r="I2715" s="26" t="str">
        <f>IF(OR(E2715="",E2715="!!!",F2715="NEW"),"",INDEX(B2714:B$2,-1+SUMPRODUCT(MAX(ROW(E2714:E$2)*(E2715=E2714:E$2)))))</f>
        <v> </v>
      </c>
      <c r="J2715" s="26" t="str">
        <f>IF(OR(E2715="",E2715="!!!",F2715="NEW"),"",COUNTBLANK(OFFSET(A$1,,,SUMPRODUCT(MAX(ROW(E$2:E2715)*(E2715=E$2:E2715)))))-COUNTBLANK(OFFSET(A$1,,,SUMPRODUCT(MAX(ROW(E$1:E2714)*(E2=E$1:E2714))))))</f>
        <v> </v>
      </c>
      <c r="K2715" s="26" t="str">
        <f>IF(OR(E2715="",E2715="!!!",F2715="NEW"),"",INDEX(J$1:J2714,SUMPRODUCT(MAX(ROW(E$1:E2714)*(E2715=E$1:E2714)))))</f>
        <v> </v>
      </c>
      <c r="L2715" s="27"/>
    </row>
    <row r="2716" spans="1:12">
      <c r="A2716" s="20" t="s">
        <v>1640</v>
      </c>
      <c r="E2716" s="22">
        <f>IF(D2716="?OLD","!!!","")</f>
        <v/>
      </c>
      <c r="F2716" s="23" t="str">
        <f>IF(OR(E2716="",E2716="!!!"),"",IF(NOT(ISNA(VLOOKUP(E2716,E$1:E2715,1,FALSE()))),"OLD",IF(AND(E2716&lt;&gt;"",E2716&lt;&gt;"!!!"),"NEW","")))</f>
        <v> </v>
      </c>
      <c r="G2716" s="24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5" t="str">
        <f>IF(J2716&lt;&gt;1,"",IF(I2716="SBJ","CB","?"))</f>
        <v> </v>
      </c>
      <c r="I2716" s="26" t="str">
        <f>IF(OR(E2716="",E2716="!!!",F2716="NEW"),"",INDEX(B2715:B$2,-1+SUMPRODUCT(MAX(ROW(E2715:E$2)*(E2716=E2715:E$2)))))</f>
        <v> </v>
      </c>
      <c r="J2716" s="26" t="str">
        <f>IF(OR(E2716="",E2716="!!!",F2716="NEW"),"",COUNTBLANK(OFFSET(A$1,,,SUMPRODUCT(MAX(ROW(E$2:E2716)*(E2716=E$2:E2716)))))-COUNTBLANK(OFFSET(A$1,,,SUMPRODUCT(MAX(ROW(E$1:E2715)*(E2=E$1:E2715))))))</f>
        <v> </v>
      </c>
      <c r="K2716" s="26" t="str">
        <f>IF(OR(E2716="",E2716="!!!",F2716="NEW"),"",INDEX(J$1:J2715,SUMPRODUCT(MAX(ROW(E$1:E2715)*(E2716=E$1:E2715)))))</f>
        <v> </v>
      </c>
      <c r="L2716" s="27"/>
    </row>
    <row r="2717" spans="1:12">
      <c r="A2717" s="20" t="s">
        <v>611</v>
      </c>
      <c r="E2717" s="22">
        <f>IF(D2717="?OLD","!!!","")</f>
        <v/>
      </c>
      <c r="F2717" s="23" t="str">
        <f>IF(OR(E2717="",E2717="!!!"),"",IF(NOT(ISNA(VLOOKUP(E2717,E$1:E2716,1,FALSE()))),"OLD",IF(AND(E2717&lt;&gt;"",E2717&lt;&gt;"!!!"),"NEW","")))</f>
        <v> </v>
      </c>
      <c r="G2717" s="24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5" t="str">
        <f>IF(J2717&lt;&gt;1,"",IF(I2717="SBJ","CB","?"))</f>
        <v> </v>
      </c>
      <c r="I2717" s="26" t="str">
        <f>IF(OR(E2717="",E2717="!!!",F2717="NEW"),"",INDEX(B2716:B$2,-1+SUMPRODUCT(MAX(ROW(E2716:E$2)*(E2717=E2716:E$2)))))</f>
        <v> </v>
      </c>
      <c r="J2717" s="26" t="str">
        <f>IF(OR(E2717="",E2717="!!!",F2717="NEW"),"",COUNTBLANK(OFFSET(A$1,,,SUMPRODUCT(MAX(ROW(E$2:E2717)*(E2717=E$2:E2717)))))-COUNTBLANK(OFFSET(A$1,,,SUMPRODUCT(MAX(ROW(E$1:E2716)*(E2=E$1:E2716))))))</f>
        <v> </v>
      </c>
      <c r="K2717" s="26" t="str">
        <f>IF(OR(E2717="",E2717="!!!",F2717="NEW"),"",INDEX(J$1:J2716,SUMPRODUCT(MAX(ROW(E$1:E2716)*(E2717=E$1:E2716)))))</f>
        <v> </v>
      </c>
      <c r="L2717" s="27"/>
    </row>
    <row r="2718" spans="1:12">
      <c r="A2718" s="20" t="s">
        <v>658</v>
      </c>
      <c r="E2718" s="22">
        <f>IF(D2718="?OLD","!!!","")</f>
        <v/>
      </c>
      <c r="F2718" s="23" t="str">
        <f>IF(OR(E2718="",E2718="!!!"),"",IF(NOT(ISNA(VLOOKUP(E2718,E$1:E2717,1,FALSE()))),"OLD",IF(AND(E2718&lt;&gt;"",E2718&lt;&gt;"!!!"),"NEW","")))</f>
        <v> </v>
      </c>
      <c r="G2718" s="24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5" t="str">
        <f>IF(J2718&lt;&gt;1,"",IF(I2718="SBJ","CB","?"))</f>
        <v> </v>
      </c>
      <c r="I2718" s="26" t="str">
        <f>IF(OR(E2718="",E2718="!!!",F2718="NEW"),"",INDEX(B2717:B$2,-1+SUMPRODUCT(MAX(ROW(E2717:E$2)*(E2718=E2717:E$2)))))</f>
        <v> </v>
      </c>
      <c r="J2718" s="26" t="str">
        <f>IF(OR(E2718="",E2718="!!!",F2718="NEW"),"",COUNTBLANK(OFFSET(A$1,,,SUMPRODUCT(MAX(ROW(E$2:E2718)*(E2718=E$2:E2718)))))-COUNTBLANK(OFFSET(A$1,,,SUMPRODUCT(MAX(ROW(E$1:E2717)*(E2=E$1:E2717))))))</f>
        <v> </v>
      </c>
      <c r="K2718" s="26" t="str">
        <f>IF(OR(E2718="",E2718="!!!",F2718="NEW"),"",INDEX(J$1:J2717,SUMPRODUCT(MAX(ROW(E$1:E2717)*(E2718=E$1:E2717)))))</f>
        <v> </v>
      </c>
      <c r="L2718" s="27"/>
    </row>
    <row r="2719" spans="1:12">
      <c r="A2719" s="20" t="s">
        <v>824</v>
      </c>
      <c r="B2719" s="21" t="s">
        <v>793</v>
      </c>
      <c r="C2719" s="21" t="s">
        <v>602</v>
      </c>
      <c r="D2719" s="21" t="s">
        <v>603</v>
      </c>
      <c r="E2719" s="22">
        <f>IF(D2719="?OLD","!!!","")</f>
        <v/>
      </c>
      <c r="F2719" s="23" t="str">
        <f>IF(OR(E2719="",E2719="!!!"),"",IF(NOT(ISNA(VLOOKUP(E2719,E$1:E2718,1,FALSE()))),"OLD",IF(AND(E2719&lt;&gt;"",E2719&lt;&gt;"!!!"),"NEW","")))</f>
        <v> </v>
      </c>
      <c r="G2719" s="24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5" t="str">
        <f>IF(J2719&lt;&gt;1,"",IF(I2719="SBJ","CB","?"))</f>
        <v> </v>
      </c>
      <c r="I2719" s="26" t="str">
        <f>IF(OR(E2719="",E2719="!!!",F2719="NEW"),"",INDEX(B2718:B$2,-1+SUMPRODUCT(MAX(ROW(E2718:E$2)*(E2719=E2718:E$2)))))</f>
        <v> </v>
      </c>
      <c r="J2719" s="26" t="str">
        <f>IF(OR(E2719="",E2719="!!!",F2719="NEW"),"",COUNTBLANK(OFFSET(A$1,,,SUMPRODUCT(MAX(ROW(E$2:E2719)*(E2719=E$2:E2719)))))-COUNTBLANK(OFFSET(A$1,,,SUMPRODUCT(MAX(ROW(E$1:E2718)*(E2=E$1:E2718))))))</f>
        <v> </v>
      </c>
      <c r="K2719" s="26" t="str">
        <f>IF(OR(E2719="",E2719="!!!",F2719="NEW"),"",INDEX(J$1:J2718,SUMPRODUCT(MAX(ROW(E$1:E2718)*(E2719=E$1:E2718)))))</f>
        <v> </v>
      </c>
      <c r="L2719" s="27"/>
    </row>
    <row r="2720" spans="1:12">
      <c r="A2720" s="20" t="s">
        <v>1880</v>
      </c>
      <c r="E2720" s="22">
        <f>IF(D2720="?OLD","!!!","")</f>
        <v/>
      </c>
      <c r="F2720" s="23" t="str">
        <f>IF(OR(E2720="",E2720="!!!"),"",IF(NOT(ISNA(VLOOKUP(E2720,E$1:E2719,1,FALSE()))),"OLD",IF(AND(E2720&lt;&gt;"",E2720&lt;&gt;"!!!"),"NEW","")))</f>
        <v> </v>
      </c>
      <c r="G2720" s="24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5" t="str">
        <f>IF(J2720&lt;&gt;1,"",IF(I2720="SBJ","CB","?"))</f>
        <v> </v>
      </c>
      <c r="I2720" s="26" t="str">
        <f>IF(OR(E2720="",E2720="!!!",F2720="NEW"),"",INDEX(B2719:B$2,-1+SUMPRODUCT(MAX(ROW(E2719:E$2)*(E2720=E2719:E$2)))))</f>
        <v> </v>
      </c>
      <c r="J2720" s="26" t="str">
        <f>IF(OR(E2720="",E2720="!!!",F2720="NEW"),"",COUNTBLANK(OFFSET(A$1,,,SUMPRODUCT(MAX(ROW(E$2:E2720)*(E2720=E$2:E2720)))))-COUNTBLANK(OFFSET(A$1,,,SUMPRODUCT(MAX(ROW(E$1:E2719)*(E2=E$1:E2719))))))</f>
        <v> </v>
      </c>
      <c r="K2720" s="26" t="str">
        <f>IF(OR(E2720="",E2720="!!!",F2720="NEW"),"",INDEX(J$1:J2719,SUMPRODUCT(MAX(ROW(E$1:E2719)*(E2720=E$1:E2719)))))</f>
        <v> </v>
      </c>
      <c r="L2720" s="27"/>
    </row>
    <row r="2721" spans="1:12">
      <c r="A2721" s="20" t="s">
        <v>1881</v>
      </c>
      <c r="E2721" s="22">
        <f>IF(D2721="?OLD","!!!","")</f>
        <v/>
      </c>
      <c r="F2721" s="23" t="str">
        <f>IF(OR(E2721="",E2721="!!!"),"",IF(NOT(ISNA(VLOOKUP(E2721,E$1:E2720,1,FALSE()))),"OLD",IF(AND(E2721&lt;&gt;"",E2721&lt;&gt;"!!!"),"NEW","")))</f>
        <v> </v>
      </c>
      <c r="G2721" s="24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5" t="str">
        <f>IF(J2721&lt;&gt;1,"",IF(I2721="SBJ","CB","?"))</f>
        <v> </v>
      </c>
      <c r="I2721" s="26" t="str">
        <f>IF(OR(E2721="",E2721="!!!",F2721="NEW"),"",INDEX(B2720:B$2,-1+SUMPRODUCT(MAX(ROW(E2720:E$2)*(E2721=E2720:E$2)))))</f>
        <v> </v>
      </c>
      <c r="J2721" s="26" t="str">
        <f>IF(OR(E2721="",E2721="!!!",F2721="NEW"),"",COUNTBLANK(OFFSET(A$1,,,SUMPRODUCT(MAX(ROW(E$2:E2721)*(E2721=E$2:E2721)))))-COUNTBLANK(OFFSET(A$1,,,SUMPRODUCT(MAX(ROW(E$1:E2720)*(E2=E$1:E2720))))))</f>
        <v> </v>
      </c>
      <c r="K2721" s="26" t="str">
        <f>IF(OR(E2721="",E2721="!!!",F2721="NEW"),"",INDEX(J$1:J2720,SUMPRODUCT(MAX(ROW(E$1:E2720)*(E2721=E$1:E2720)))))</f>
        <v> </v>
      </c>
      <c r="L2721" s="27"/>
    </row>
    <row r="2722" spans="1:12">
      <c r="A2722" s="20" t="s">
        <v>999</v>
      </c>
      <c r="E2722" s="22">
        <f>IF(D2722="?OLD","!!!","")</f>
        <v/>
      </c>
      <c r="F2722" s="23" t="str">
        <f>IF(OR(E2722="",E2722="!!!"),"",IF(NOT(ISNA(VLOOKUP(E2722,E$1:E2721,1,FALSE()))),"OLD",IF(AND(E2722&lt;&gt;"",E2722&lt;&gt;"!!!"),"NEW","")))</f>
        <v> </v>
      </c>
      <c r="G2722" s="24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5" t="str">
        <f>IF(J2722&lt;&gt;1,"",IF(I2722="SBJ","CB","?"))</f>
        <v> </v>
      </c>
      <c r="I2722" s="26" t="str">
        <f>IF(OR(E2722="",E2722="!!!",F2722="NEW"),"",INDEX(B2721:B$2,-1+SUMPRODUCT(MAX(ROW(E2721:E$2)*(E2722=E2721:E$2)))))</f>
        <v> </v>
      </c>
      <c r="J2722" s="26" t="str">
        <f>IF(OR(E2722="",E2722="!!!",F2722="NEW"),"",COUNTBLANK(OFFSET(A$1,,,SUMPRODUCT(MAX(ROW(E$2:E2722)*(E2722=E$2:E2722)))))-COUNTBLANK(OFFSET(A$1,,,SUMPRODUCT(MAX(ROW(E$1:E2721)*(E2=E$1:E2721))))))</f>
        <v> </v>
      </c>
      <c r="K2722" s="26" t="str">
        <f>IF(OR(E2722="",E2722="!!!",F2722="NEW"),"",INDEX(J$1:J2721,SUMPRODUCT(MAX(ROW(E$1:E2721)*(E2722=E$1:E2721)))))</f>
        <v> </v>
      </c>
      <c r="L2722" s="27"/>
    </row>
    <row r="2723" spans="1:12">
      <c r="A2723" s="20" t="s">
        <v>931</v>
      </c>
      <c r="E2723" s="22">
        <f>IF(D2723="?OLD","!!!","")</f>
        <v/>
      </c>
      <c r="F2723" s="23" t="str">
        <f>IF(OR(E2723="",E2723="!!!"),"",IF(NOT(ISNA(VLOOKUP(E2723,E$1:E2722,1,FALSE()))),"OLD",IF(AND(E2723&lt;&gt;"",E2723&lt;&gt;"!!!"),"NEW","")))</f>
        <v> </v>
      </c>
      <c r="G2723" s="24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5" t="str">
        <f>IF(J2723&lt;&gt;1,"",IF(I2723="SBJ","CB","?"))</f>
        <v> </v>
      </c>
      <c r="I2723" s="26" t="str">
        <f>IF(OR(E2723="",E2723="!!!",F2723="NEW"),"",INDEX(B2722:B$2,-1+SUMPRODUCT(MAX(ROW(E2722:E$2)*(E2723=E2722:E$2)))))</f>
        <v> </v>
      </c>
      <c r="J2723" s="26" t="str">
        <f>IF(OR(E2723="",E2723="!!!",F2723="NEW"),"",COUNTBLANK(OFFSET(A$1,,,SUMPRODUCT(MAX(ROW(E$2:E2723)*(E2723=E$2:E2723)))))-COUNTBLANK(OFFSET(A$1,,,SUMPRODUCT(MAX(ROW(E$1:E2722)*(E2=E$1:E2722))))))</f>
        <v> </v>
      </c>
      <c r="K2723" s="26" t="str">
        <f>IF(OR(E2723="",E2723="!!!",F2723="NEW"),"",INDEX(J$1:J2722,SUMPRODUCT(MAX(ROW(E$1:E2722)*(E2723=E$1:E2722)))))</f>
        <v> </v>
      </c>
      <c r="L2723" s="27"/>
    </row>
    <row r="2724" spans="1:12">
      <c r="A2724" s="20" t="s">
        <v>611</v>
      </c>
      <c r="E2724" s="22">
        <f>IF(D2724="?OLD","!!!","")</f>
        <v/>
      </c>
      <c r="F2724" s="23" t="str">
        <f>IF(OR(E2724="",E2724="!!!"),"",IF(NOT(ISNA(VLOOKUP(E2724,E$1:E2723,1,FALSE()))),"OLD",IF(AND(E2724&lt;&gt;"",E2724&lt;&gt;"!!!"),"NEW","")))</f>
        <v> </v>
      </c>
      <c r="G2724" s="24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5" t="str">
        <f>IF(J2724&lt;&gt;1,"",IF(I2724="SBJ","CB","?"))</f>
        <v> </v>
      </c>
      <c r="I2724" s="26" t="str">
        <f>IF(OR(E2724="",E2724="!!!",F2724="NEW"),"",INDEX(B2723:B$2,-1+SUMPRODUCT(MAX(ROW(E2723:E$2)*(E2724=E2723:E$2)))))</f>
        <v> </v>
      </c>
      <c r="J2724" s="26" t="str">
        <f>IF(OR(E2724="",E2724="!!!",F2724="NEW"),"",COUNTBLANK(OFFSET(A$1,,,SUMPRODUCT(MAX(ROW(E$2:E2724)*(E2724=E$2:E2724)))))-COUNTBLANK(OFFSET(A$1,,,SUMPRODUCT(MAX(ROW(E$1:E2723)*(E2=E$1:E2723))))))</f>
        <v> </v>
      </c>
      <c r="K2724" s="26" t="str">
        <f>IF(OR(E2724="",E2724="!!!",F2724="NEW"),"",INDEX(J$1:J2723,SUMPRODUCT(MAX(ROW(E$1:E2723)*(E2724=E$1:E2723)))))</f>
        <v> </v>
      </c>
      <c r="L2724" s="27"/>
    </row>
    <row r="2725" spans="1:12">
      <c r="A2725" s="20" t="s">
        <v>932</v>
      </c>
      <c r="B2725" s="21" t="s">
        <v>1367</v>
      </c>
      <c r="C2725" s="21" t="s">
        <v>614</v>
      </c>
      <c r="E2725" s="22">
        <f>IF(D2725="?OLD","!!!","")</f>
        <v/>
      </c>
      <c r="F2725" s="23" t="str">
        <f>IF(OR(E2725="",E2725="!!!"),"",IF(NOT(ISNA(VLOOKUP(E2725,E$1:E2724,1,FALSE()))),"OLD",IF(AND(E2725&lt;&gt;"",E2725&lt;&gt;"!!!"),"NEW","")))</f>
        <v> </v>
      </c>
      <c r="G2725" s="24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5" t="str">
        <f>IF(J2725&lt;&gt;1,"",IF(I2725="SBJ","CB","?"))</f>
        <v> </v>
      </c>
      <c r="I2725" s="26" t="str">
        <f>IF(OR(E2725="",E2725="!!!",F2725="NEW"),"",INDEX(B2724:B$2,-1+SUMPRODUCT(MAX(ROW(E2724:E$2)*(E2725=E2724:E$2)))))</f>
        <v> </v>
      </c>
      <c r="J2725" s="26" t="str">
        <f>IF(OR(E2725="",E2725="!!!",F2725="NEW"),"",COUNTBLANK(OFFSET(A$1,,,SUMPRODUCT(MAX(ROW(E$2:E2725)*(E2725=E$2:E2725)))))-COUNTBLANK(OFFSET(A$1,,,SUMPRODUCT(MAX(ROW(E$1:E2724)*(E2=E$1:E2724))))))</f>
        <v> </v>
      </c>
      <c r="K2725" s="26" t="str">
        <f>IF(OR(E2725="",E2725="!!!",F2725="NEW"),"",INDEX(J$1:J2724,SUMPRODUCT(MAX(ROW(E$1:E2724)*(E2725=E$1:E2724)))))</f>
        <v> </v>
      </c>
      <c r="L2725" s="27"/>
    </row>
    <row r="2726" spans="1:12">
      <c r="A2726" s="20" t="s">
        <v>1882</v>
      </c>
      <c r="E2726" s="22">
        <f>IF(D2726="?OLD","!!!","")</f>
        <v/>
      </c>
      <c r="F2726" s="23" t="str">
        <f>IF(OR(E2726="",E2726="!!!"),"",IF(NOT(ISNA(VLOOKUP(E2726,E$1:E2725,1,FALSE()))),"OLD",IF(AND(E2726&lt;&gt;"",E2726&lt;&gt;"!!!"),"NEW","")))</f>
        <v> </v>
      </c>
      <c r="G2726" s="24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5" t="str">
        <f>IF(J2726&lt;&gt;1,"",IF(I2726="SBJ","CB","?"))</f>
        <v> </v>
      </c>
      <c r="I2726" s="26" t="str">
        <f>IF(OR(E2726="",E2726="!!!",F2726="NEW"),"",INDEX(B2725:B$2,-1+SUMPRODUCT(MAX(ROW(E2725:E$2)*(E2726=E2725:E$2)))))</f>
        <v> </v>
      </c>
      <c r="J2726" s="26" t="str">
        <f>IF(OR(E2726="",E2726="!!!",F2726="NEW"),"",COUNTBLANK(OFFSET(A$1,,,SUMPRODUCT(MAX(ROW(E$2:E2726)*(E2726=E$2:E2726)))))-COUNTBLANK(OFFSET(A$1,,,SUMPRODUCT(MAX(ROW(E$1:E2725)*(E2=E$1:E2725))))))</f>
        <v> </v>
      </c>
      <c r="K2726" s="26" t="str">
        <f>IF(OR(E2726="",E2726="!!!",F2726="NEW"),"",INDEX(J$1:J2725,SUMPRODUCT(MAX(ROW(E$1:E2725)*(E2726=E$1:E2725)))))</f>
        <v> </v>
      </c>
      <c r="L2726" s="27"/>
    </row>
    <row r="2727" spans="1:12">
      <c r="A2727" s="20" t="s">
        <v>824</v>
      </c>
      <c r="B2727" s="21" t="s">
        <v>1121</v>
      </c>
      <c r="C2727" s="21" t="s">
        <v>602</v>
      </c>
      <c r="D2727" s="21" t="s">
        <v>603</v>
      </c>
      <c r="E2727" s="22">
        <f>IF(D2727="?OLD","!!!","")</f>
        <v/>
      </c>
      <c r="F2727" s="23" t="str">
        <f>IF(OR(E2727="",E2727="!!!"),"",IF(NOT(ISNA(VLOOKUP(E2727,E$1:E2726,1,FALSE()))),"OLD",IF(AND(E2727&lt;&gt;"",E2727&lt;&gt;"!!!"),"NEW","")))</f>
        <v> </v>
      </c>
      <c r="G2727" s="24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5" t="str">
        <f>IF(J2727&lt;&gt;1,"",IF(I2727="SBJ","CB","?"))</f>
        <v> </v>
      </c>
      <c r="I2727" s="26" t="str">
        <f>IF(OR(E2727="",E2727="!!!",F2727="NEW"),"",INDEX(B2726:B$2,-1+SUMPRODUCT(MAX(ROW(E2726:E$2)*(E2727=E2726:E$2)))))</f>
        <v> </v>
      </c>
      <c r="J2727" s="26" t="str">
        <f>IF(OR(E2727="",E2727="!!!",F2727="NEW"),"",COUNTBLANK(OFFSET(A$1,,,SUMPRODUCT(MAX(ROW(E$2:E2727)*(E2727=E$2:E2727)))))-COUNTBLANK(OFFSET(A$1,,,SUMPRODUCT(MAX(ROW(E$1:E2726)*(E2=E$1:E2726))))))</f>
        <v> </v>
      </c>
      <c r="K2727" s="26" t="str">
        <f>IF(OR(E2727="",E2727="!!!",F2727="NEW"),"",INDEX(J$1:J2726,SUMPRODUCT(MAX(ROW(E$1:E2726)*(E2727=E$1:E2726)))))</f>
        <v> </v>
      </c>
      <c r="L2727" s="27"/>
    </row>
    <row r="2728" spans="1:12">
      <c r="A2728" s="20" t="s">
        <v>928</v>
      </c>
      <c r="B2728" s="21" t="s">
        <v>1121</v>
      </c>
      <c r="C2728" s="21" t="s">
        <v>716</v>
      </c>
      <c r="D2728" s="21" t="s">
        <v>603</v>
      </c>
      <c r="E2728" s="22">
        <f>IF(D2728="?OLD","!!!","")</f>
        <v/>
      </c>
      <c r="F2728" s="23" t="str">
        <f>IF(OR(E2728="",E2728="!!!"),"",IF(NOT(ISNA(VLOOKUP(E2728,E$1:E2727,1,FALSE()))),"OLD",IF(AND(E2728&lt;&gt;"",E2728&lt;&gt;"!!!"),"NEW","")))</f>
        <v> </v>
      </c>
      <c r="G2728" s="24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5" t="str">
        <f>IF(J2728&lt;&gt;1,"",IF(I2728="SBJ","CB","?"))</f>
        <v> </v>
      </c>
      <c r="I2728" s="26" t="str">
        <f>IF(OR(E2728="",E2728="!!!",F2728="NEW"),"",INDEX(B2727:B$2,-1+SUMPRODUCT(MAX(ROW(E2727:E$2)*(E2728=E2727:E$2)))))</f>
        <v> </v>
      </c>
      <c r="J2728" s="26" t="str">
        <f>IF(OR(E2728="",E2728="!!!",F2728="NEW"),"",COUNTBLANK(OFFSET(A$1,,,SUMPRODUCT(MAX(ROW(E$2:E2728)*(E2728=E$2:E2728)))))-COUNTBLANK(OFFSET(A$1,,,SUMPRODUCT(MAX(ROW(E$1:E2727)*(E2=E$1:E2727))))))</f>
        <v> </v>
      </c>
      <c r="K2728" s="26" t="str">
        <f>IF(OR(E2728="",E2728="!!!",F2728="NEW"),"",INDEX(J$1:J2727,SUMPRODUCT(MAX(ROW(E$1:E2727)*(E2728=E$1:E2727)))))</f>
        <v> </v>
      </c>
      <c r="L2728" s="27"/>
    </row>
    <row r="2729" spans="1:12">
      <c r="A2729" s="20" t="s">
        <v>611</v>
      </c>
      <c r="E2729" s="22">
        <f>IF(D2729="?OLD","!!!","")</f>
        <v/>
      </c>
      <c r="F2729" s="23" t="str">
        <f>IF(OR(E2729="",E2729="!!!"),"",IF(NOT(ISNA(VLOOKUP(E2729,E$1:E2728,1,FALSE()))),"OLD",IF(AND(E2729&lt;&gt;"",E2729&lt;&gt;"!!!"),"NEW","")))</f>
        <v> </v>
      </c>
      <c r="G2729" s="24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5" t="str">
        <f>IF(J2729&lt;&gt;1,"",IF(I2729="SBJ","CB","?"))</f>
        <v> </v>
      </c>
      <c r="I2729" s="26" t="str">
        <f>IF(OR(E2729="",E2729="!!!",F2729="NEW"),"",INDEX(B2728:B$2,-1+SUMPRODUCT(MAX(ROW(E2728:E$2)*(E2729=E2728:E$2)))))</f>
        <v> </v>
      </c>
      <c r="J2729" s="26" t="str">
        <f>IF(OR(E2729="",E2729="!!!",F2729="NEW"),"",COUNTBLANK(OFFSET(A$1,,,SUMPRODUCT(MAX(ROW(E$2:E2729)*(E2729=E$2:E2729)))))-COUNTBLANK(OFFSET(A$1,,,SUMPRODUCT(MAX(ROW(E$1:E2728)*(E2=E$1:E2728))))))</f>
        <v> </v>
      </c>
      <c r="K2729" s="26" t="str">
        <f>IF(OR(E2729="",E2729="!!!",F2729="NEW"),"",INDEX(J$1:J2728,SUMPRODUCT(MAX(ROW(E$1:E2728)*(E2729=E$1:E2728)))))</f>
        <v> </v>
      </c>
      <c r="L2729" s="27"/>
    </row>
    <row r="2730" spans="1:12">
      <c r="A2730" s="20" t="s">
        <v>1004</v>
      </c>
      <c r="E2730" s="22">
        <f>IF(D2730="?OLD","!!!","")</f>
        <v/>
      </c>
      <c r="F2730" s="23" t="str">
        <f>IF(OR(E2730="",E2730="!!!"),"",IF(NOT(ISNA(VLOOKUP(E2730,E$1:E2729,1,FALSE()))),"OLD",IF(AND(E2730&lt;&gt;"",E2730&lt;&gt;"!!!"),"NEW","")))</f>
        <v> </v>
      </c>
      <c r="G2730" s="24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5" t="str">
        <f>IF(J2730&lt;&gt;1,"",IF(I2730="SBJ","CB","?"))</f>
        <v> </v>
      </c>
      <c r="I2730" s="26" t="str">
        <f>IF(OR(E2730="",E2730="!!!",F2730="NEW"),"",INDEX(B2729:B$2,-1+SUMPRODUCT(MAX(ROW(E2729:E$2)*(E2730=E2729:E$2)))))</f>
        <v> </v>
      </c>
      <c r="J2730" s="26" t="str">
        <f>IF(OR(E2730="",E2730="!!!",F2730="NEW"),"",COUNTBLANK(OFFSET(A$1,,,SUMPRODUCT(MAX(ROW(E$2:E2730)*(E2730=E$2:E2730)))))-COUNTBLANK(OFFSET(A$1,,,SUMPRODUCT(MAX(ROW(E$1:E2729)*(E2=E$1:E2729))))))</f>
        <v> </v>
      </c>
      <c r="K2730" s="26" t="str">
        <f>IF(OR(E2730="",E2730="!!!",F2730="NEW"),"",INDEX(J$1:J2729,SUMPRODUCT(MAX(ROW(E$1:E2729)*(E2730=E$1:E2729)))))</f>
        <v> </v>
      </c>
      <c r="L2730" s="27"/>
    </row>
    <row r="2731" spans="1:12">
      <c r="A2731" s="20" t="s">
        <v>931</v>
      </c>
      <c r="E2731" s="22">
        <f>IF(D2731="?OLD","!!!","")</f>
        <v/>
      </c>
      <c r="F2731" s="23" t="str">
        <f>IF(OR(E2731="",E2731="!!!"),"",IF(NOT(ISNA(VLOOKUP(E2731,E$1:E2730,1,FALSE()))),"OLD",IF(AND(E2731&lt;&gt;"",E2731&lt;&gt;"!!!"),"NEW","")))</f>
        <v> </v>
      </c>
      <c r="G2731" s="24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5" t="str">
        <f>IF(J2731&lt;&gt;1,"",IF(I2731="SBJ","CB","?"))</f>
        <v> </v>
      </c>
      <c r="I2731" s="26" t="str">
        <f>IF(OR(E2731="",E2731="!!!",F2731="NEW"),"",INDEX(B2730:B$2,-1+SUMPRODUCT(MAX(ROW(E2730:E$2)*(E2731=E2730:E$2)))))</f>
        <v> </v>
      </c>
      <c r="J2731" s="26" t="str">
        <f>IF(OR(E2731="",E2731="!!!",F2731="NEW"),"",COUNTBLANK(OFFSET(A$1,,,SUMPRODUCT(MAX(ROW(E$2:E2731)*(E2731=E$2:E2731)))))-COUNTBLANK(OFFSET(A$1,,,SUMPRODUCT(MAX(ROW(E$1:E2730)*(E2=E$1:E2730))))))</f>
        <v> </v>
      </c>
      <c r="K2731" s="26" t="str">
        <f>IF(OR(E2731="",E2731="!!!",F2731="NEW"),"",INDEX(J$1:J2730,SUMPRODUCT(MAX(ROW(E$1:E2730)*(E2731=E$1:E2730)))))</f>
        <v> </v>
      </c>
      <c r="L2731" s="27"/>
    </row>
    <row r="2732" spans="1:12">
      <c r="A2732" s="20" t="s">
        <v>611</v>
      </c>
      <c r="E2732" s="22">
        <f>IF(D2732="?OLD","!!!","")</f>
        <v/>
      </c>
      <c r="F2732" s="23" t="str">
        <f>IF(OR(E2732="",E2732="!!!"),"",IF(NOT(ISNA(VLOOKUP(E2732,E$1:E2731,1,FALSE()))),"OLD",IF(AND(E2732&lt;&gt;"",E2732&lt;&gt;"!!!"),"NEW","")))</f>
        <v> </v>
      </c>
      <c r="G2732" s="24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5" t="str">
        <f>IF(J2732&lt;&gt;1,"",IF(I2732="SBJ","CB","?"))</f>
        <v> </v>
      </c>
      <c r="I2732" s="26" t="str">
        <f>IF(OR(E2732="",E2732="!!!",F2732="NEW"),"",INDEX(B2731:B$2,-1+SUMPRODUCT(MAX(ROW(E2731:E$2)*(E2732=E2731:E$2)))))</f>
        <v> </v>
      </c>
      <c r="J2732" s="26" t="str">
        <f>IF(OR(E2732="",E2732="!!!",F2732="NEW"),"",COUNTBLANK(OFFSET(A$1,,,SUMPRODUCT(MAX(ROW(E$2:E2732)*(E2732=E$2:E2732)))))-COUNTBLANK(OFFSET(A$1,,,SUMPRODUCT(MAX(ROW(E$1:E2731)*(E2=E$1:E2731))))))</f>
        <v> </v>
      </c>
      <c r="K2732" s="26" t="str">
        <f>IF(OR(E2732="",E2732="!!!",F2732="NEW"),"",INDEX(J$1:J2731,SUMPRODUCT(MAX(ROW(E$1:E2731)*(E2732=E$1:E2731)))))</f>
        <v> </v>
      </c>
      <c r="L2732" s="27"/>
    </row>
    <row r="2733" spans="1:12">
      <c r="A2733" s="20" t="s">
        <v>932</v>
      </c>
      <c r="B2733" s="21" t="s">
        <v>1883</v>
      </c>
      <c r="C2733" s="21" t="s">
        <v>614</v>
      </c>
      <c r="E2733" s="22">
        <f>IF(D2733="?OLD","!!!","")</f>
        <v/>
      </c>
      <c r="F2733" s="23" t="str">
        <f>IF(OR(E2733="",E2733="!!!"),"",IF(NOT(ISNA(VLOOKUP(E2733,E$1:E2732,1,FALSE()))),"OLD",IF(AND(E2733&lt;&gt;"",E2733&lt;&gt;"!!!"),"NEW","")))</f>
        <v> </v>
      </c>
      <c r="G2733" s="24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5" t="str">
        <f>IF(J2733&lt;&gt;1,"",IF(I2733="SBJ","CB","?"))</f>
        <v> </v>
      </c>
      <c r="I2733" s="26" t="str">
        <f>IF(OR(E2733="",E2733="!!!",F2733="NEW"),"",INDEX(B2732:B$2,-1+SUMPRODUCT(MAX(ROW(E2732:E$2)*(E2733=E2732:E$2)))))</f>
        <v> </v>
      </c>
      <c r="J2733" s="26" t="str">
        <f>IF(OR(E2733="",E2733="!!!",F2733="NEW"),"",COUNTBLANK(OFFSET(A$1,,,SUMPRODUCT(MAX(ROW(E$2:E2733)*(E2733=E$2:E2733)))))-COUNTBLANK(OFFSET(A$1,,,SUMPRODUCT(MAX(ROW(E$1:E2732)*(E2=E$1:E2732))))))</f>
        <v> </v>
      </c>
      <c r="K2733" s="26" t="str">
        <f>IF(OR(E2733="",E2733="!!!",F2733="NEW"),"",INDEX(J$1:J2732,SUMPRODUCT(MAX(ROW(E$1:E2732)*(E2733=E$1:E2732)))))</f>
        <v> </v>
      </c>
      <c r="L2733" s="27"/>
    </row>
    <row r="2734" spans="1:12">
      <c r="A2734" s="20" t="s">
        <v>1884</v>
      </c>
      <c r="E2734" s="22">
        <f>IF(D2734="?OLD","!!!","")</f>
        <v/>
      </c>
      <c r="F2734" s="23" t="str">
        <f>IF(OR(E2734="",E2734="!!!"),"",IF(NOT(ISNA(VLOOKUP(E2734,E$1:E2733,1,FALSE()))),"OLD",IF(AND(E2734&lt;&gt;"",E2734&lt;&gt;"!!!"),"NEW","")))</f>
        <v> </v>
      </c>
      <c r="G2734" s="24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5" t="str">
        <f>IF(J2734&lt;&gt;1,"",IF(I2734="SBJ","CB","?"))</f>
        <v> </v>
      </c>
      <c r="I2734" s="26" t="str">
        <f>IF(OR(E2734="",E2734="!!!",F2734="NEW"),"",INDEX(B2733:B$2,-1+SUMPRODUCT(MAX(ROW(E2733:E$2)*(E2734=E2733:E$2)))))</f>
        <v> </v>
      </c>
      <c r="J2734" s="26" t="str">
        <f>IF(OR(E2734="",E2734="!!!",F2734="NEW"),"",COUNTBLANK(OFFSET(A$1,,,SUMPRODUCT(MAX(ROW(E$2:E2734)*(E2734=E$2:E2734)))))-COUNTBLANK(OFFSET(A$1,,,SUMPRODUCT(MAX(ROW(E$1:E2733)*(E2=E$1:E2733))))))</f>
        <v> </v>
      </c>
      <c r="K2734" s="26" t="str">
        <f>IF(OR(E2734="",E2734="!!!",F2734="NEW"),"",INDEX(J$1:J2733,SUMPRODUCT(MAX(ROW(E$1:E2733)*(E2734=E$1:E2733)))))</f>
        <v> </v>
      </c>
      <c r="L2734" s="27"/>
    </row>
    <row r="2735" spans="1:12">
      <c r="A2735" s="20" t="s">
        <v>824</v>
      </c>
      <c r="B2735" s="21" t="s">
        <v>1464</v>
      </c>
      <c r="C2735" s="21" t="s">
        <v>602</v>
      </c>
      <c r="D2735" s="21" t="s">
        <v>603</v>
      </c>
      <c r="E2735" s="22">
        <f>IF(D2735="?OLD","!!!","")</f>
        <v/>
      </c>
      <c r="F2735" s="23" t="str">
        <f>IF(OR(E2735="",E2735="!!!"),"",IF(NOT(ISNA(VLOOKUP(E2735,E$1:E2734,1,FALSE()))),"OLD",IF(AND(E2735&lt;&gt;"",E2735&lt;&gt;"!!!"),"NEW","")))</f>
        <v> </v>
      </c>
      <c r="G2735" s="24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5" t="str">
        <f>IF(J2735&lt;&gt;1,"",IF(I2735="SBJ","CB","?"))</f>
        <v> </v>
      </c>
      <c r="I2735" s="26" t="str">
        <f>IF(OR(E2735="",E2735="!!!",F2735="NEW"),"",INDEX(B2734:B$2,-1+SUMPRODUCT(MAX(ROW(E2734:E$2)*(E2735=E2734:E$2)))))</f>
        <v> </v>
      </c>
      <c r="J2735" s="26" t="str">
        <f>IF(OR(E2735="",E2735="!!!",F2735="NEW"),"",COUNTBLANK(OFFSET(A$1,,,SUMPRODUCT(MAX(ROW(E$2:E2735)*(E2735=E$2:E2735)))))-COUNTBLANK(OFFSET(A$1,,,SUMPRODUCT(MAX(ROW(E$1:E2734)*(E2=E$1:E2734))))))</f>
        <v> </v>
      </c>
      <c r="K2735" s="26" t="str">
        <f>IF(OR(E2735="",E2735="!!!",F2735="NEW"),"",INDEX(J$1:J2734,SUMPRODUCT(MAX(ROW(E$1:E2734)*(E2735=E$1:E2734)))))</f>
        <v> </v>
      </c>
      <c r="L2735" s="27"/>
    </row>
    <row r="2736" spans="1:12">
      <c r="A2736" s="20" t="s">
        <v>1885</v>
      </c>
      <c r="B2736" s="21" t="s">
        <v>1464</v>
      </c>
      <c r="E2736" s="22">
        <f>IF(D2736="?OLD","!!!","")</f>
        <v/>
      </c>
      <c r="F2736" s="23" t="str">
        <f>IF(OR(E2736="",E2736="!!!"),"",IF(NOT(ISNA(VLOOKUP(E2736,E$1:E2735,1,FALSE()))),"OLD",IF(AND(E2736&lt;&gt;"",E2736&lt;&gt;"!!!"),"NEW","")))</f>
        <v> </v>
      </c>
      <c r="G2736" s="24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5" t="str">
        <f>IF(J2736&lt;&gt;1,"",IF(I2736="SBJ","CB","?"))</f>
        <v> </v>
      </c>
      <c r="I2736" s="26" t="str">
        <f>IF(OR(E2736="",E2736="!!!",F2736="NEW"),"",INDEX(B2735:B$2,-1+SUMPRODUCT(MAX(ROW(E2735:E$2)*(E2736=E2735:E$2)))))</f>
        <v> </v>
      </c>
      <c r="J2736" s="26" t="str">
        <f>IF(OR(E2736="",E2736="!!!",F2736="NEW"),"",COUNTBLANK(OFFSET(A$1,,,SUMPRODUCT(MAX(ROW(E$2:E2736)*(E2736=E$2:E2736)))))-COUNTBLANK(OFFSET(A$1,,,SUMPRODUCT(MAX(ROW(E$1:E2735)*(E2=E$1:E2735))))))</f>
        <v> </v>
      </c>
      <c r="K2736" s="26" t="str">
        <f>IF(OR(E2736="",E2736="!!!",F2736="NEW"),"",INDEX(J$1:J2735,SUMPRODUCT(MAX(ROW(E$1:E2735)*(E2736=E$1:E2735)))))</f>
        <v> </v>
      </c>
      <c r="L2736" s="27"/>
    </row>
    <row r="2737" spans="1:12">
      <c r="A2737" s="20" t="s">
        <v>646</v>
      </c>
      <c r="E2737" s="22">
        <f>IF(D2737="?OLD","!!!","")</f>
        <v/>
      </c>
      <c r="F2737" s="23" t="str">
        <f>IF(OR(E2737="",E2737="!!!"),"",IF(NOT(ISNA(VLOOKUP(E2737,E$1:E2736,1,FALSE()))),"OLD",IF(AND(E2737&lt;&gt;"",E2737&lt;&gt;"!!!"),"NEW","")))</f>
        <v> </v>
      </c>
      <c r="G2737" s="24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5" t="str">
        <f>IF(J2737&lt;&gt;1,"",IF(I2737="SBJ","CB","?"))</f>
        <v> </v>
      </c>
      <c r="I2737" s="26" t="str">
        <f>IF(OR(E2737="",E2737="!!!",F2737="NEW"),"",INDEX(B2736:B$2,-1+SUMPRODUCT(MAX(ROW(E2736:E$2)*(E2737=E2736:E$2)))))</f>
        <v> </v>
      </c>
      <c r="J2737" s="26" t="str">
        <f>IF(OR(E2737="",E2737="!!!",F2737="NEW"),"",COUNTBLANK(OFFSET(A$1,,,SUMPRODUCT(MAX(ROW(E$2:E2737)*(E2737=E$2:E2737)))))-COUNTBLANK(OFFSET(A$1,,,SUMPRODUCT(MAX(ROW(E$1:E2736)*(E2=E$1:E2736))))))</f>
        <v> </v>
      </c>
      <c r="K2737" s="26" t="str">
        <f>IF(OR(E2737="",E2737="!!!",F2737="NEW"),"",INDEX(J$1:J2736,SUMPRODUCT(MAX(ROW(E$1:E2736)*(E2737=E$1:E2736)))))</f>
        <v> </v>
      </c>
      <c r="L2737" s="27"/>
    </row>
    <row r="2738" spans="1:12">
      <c r="A2738" s="20" t="s">
        <v>1884</v>
      </c>
      <c r="E2738" s="22">
        <f>IF(D2738="?OLD","!!!","")</f>
        <v/>
      </c>
      <c r="F2738" s="23" t="str">
        <f>IF(OR(E2738="",E2738="!!!"),"",IF(NOT(ISNA(VLOOKUP(E2738,E$1:E2737,1,FALSE()))),"OLD",IF(AND(E2738&lt;&gt;"",E2738&lt;&gt;"!!!"),"NEW","")))</f>
        <v> </v>
      </c>
      <c r="G2738" s="24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5" t="str">
        <f>IF(J2738&lt;&gt;1,"",IF(I2738="SBJ","CB","?"))</f>
        <v> </v>
      </c>
      <c r="I2738" s="26" t="str">
        <f>IF(OR(E2738="",E2738="!!!",F2738="NEW"),"",INDEX(B2737:B$2,-1+SUMPRODUCT(MAX(ROW(E2737:E$2)*(E2738=E2737:E$2)))))</f>
        <v> </v>
      </c>
      <c r="J2738" s="26" t="str">
        <f>IF(OR(E2738="",E2738="!!!",F2738="NEW"),"",COUNTBLANK(OFFSET(A$1,,,SUMPRODUCT(MAX(ROW(E$2:E2738)*(E2738=E$2:E2738)))))-COUNTBLANK(OFFSET(A$1,,,SUMPRODUCT(MAX(ROW(E$1:E2737)*(E2=E$1:E2737))))))</f>
        <v> </v>
      </c>
      <c r="K2738" s="26" t="str">
        <f>IF(OR(E2738="",E2738="!!!",F2738="NEW"),"",INDEX(J$1:J2737,SUMPRODUCT(MAX(ROW(E$1:E2737)*(E2738=E$1:E2737)))))</f>
        <v> </v>
      </c>
      <c r="L2738" s="27"/>
    </row>
    <row r="2739" spans="1:12">
      <c r="A2739" s="20" t="s">
        <v>639</v>
      </c>
      <c r="B2739" s="21" t="s">
        <v>1886</v>
      </c>
      <c r="C2739" s="21" t="s">
        <v>602</v>
      </c>
      <c r="D2739" s="21" t="s">
        <v>603</v>
      </c>
      <c r="E2739" s="22">
        <f>IF(D2739="?OLD","!!!","")</f>
        <v/>
      </c>
      <c r="F2739" s="23" t="str">
        <f>IF(OR(E2739="",E2739="!!!"),"",IF(NOT(ISNA(VLOOKUP(E2739,E$1:E2738,1,FALSE()))),"OLD",IF(AND(E2739&lt;&gt;"",E2739&lt;&gt;"!!!"),"NEW","")))</f>
        <v> </v>
      </c>
      <c r="G2739" s="24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5" t="str">
        <f>IF(J2739&lt;&gt;1,"",IF(I2739="SBJ","CB","?"))</f>
        <v> </v>
      </c>
      <c r="I2739" s="26" t="str">
        <f>IF(OR(E2739="",E2739="!!!",F2739="NEW"),"",INDEX(B2738:B$2,-1+SUMPRODUCT(MAX(ROW(E2738:E$2)*(E2739=E2738:E$2)))))</f>
        <v> </v>
      </c>
      <c r="J2739" s="26" t="str">
        <f>IF(OR(E2739="",E2739="!!!",F2739="NEW"),"",COUNTBLANK(OFFSET(A$1,,,SUMPRODUCT(MAX(ROW(E$2:E2739)*(E2739=E$2:E2739)))))-COUNTBLANK(OFFSET(A$1,,,SUMPRODUCT(MAX(ROW(E$1:E2738)*(E2=E$1:E2738))))))</f>
        <v> </v>
      </c>
      <c r="K2739" s="26" t="str">
        <f>IF(OR(E2739="",E2739="!!!",F2739="NEW"),"",INDEX(J$1:J2738,SUMPRODUCT(MAX(ROW(E$1:E2738)*(E2739=E$1:E2738)))))</f>
        <v> </v>
      </c>
      <c r="L2739" s="27"/>
    </row>
    <row r="2740" spans="1:12">
      <c r="A2740" s="20" t="s">
        <v>662</v>
      </c>
      <c r="E2740" s="22">
        <f>IF(D2740="?OLD","!!!","")</f>
        <v/>
      </c>
      <c r="F2740" s="23" t="str">
        <f>IF(OR(E2740="",E2740="!!!"),"",IF(NOT(ISNA(VLOOKUP(E2740,E$1:E2739,1,FALSE()))),"OLD",IF(AND(E2740&lt;&gt;"",E2740&lt;&gt;"!!!"),"NEW","")))</f>
        <v> </v>
      </c>
      <c r="G2740" s="24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5" t="str">
        <f>IF(J2740&lt;&gt;1,"",IF(I2740="SBJ","CB","?"))</f>
        <v> </v>
      </c>
      <c r="I2740" s="26" t="str">
        <f>IF(OR(E2740="",E2740="!!!",F2740="NEW"),"",INDEX(B2739:B$2,-1+SUMPRODUCT(MAX(ROW(E2739:E$2)*(E2740=E2739:E$2)))))</f>
        <v> </v>
      </c>
      <c r="J2740" s="26" t="str">
        <f>IF(OR(E2740="",E2740="!!!",F2740="NEW"),"",COUNTBLANK(OFFSET(A$1,,,SUMPRODUCT(MAX(ROW(E$2:E2740)*(E2740=E$2:E2740)))))-COUNTBLANK(OFFSET(A$1,,,SUMPRODUCT(MAX(ROW(E$1:E2739)*(E2=E$1:E2739))))))</f>
        <v> </v>
      </c>
      <c r="K2740" s="26" t="str">
        <f>IF(OR(E2740="",E2740="!!!",F2740="NEW"),"",INDEX(J$1:J2739,SUMPRODUCT(MAX(ROW(E$1:E2739)*(E2740=E$1:E2739)))))</f>
        <v> </v>
      </c>
      <c r="L2740" s="27"/>
    </row>
    <row r="2741" spans="1:12">
      <c r="A2741" s="20" t="s">
        <v>1286</v>
      </c>
      <c r="E2741" s="22">
        <f>IF(D2741="?OLD","!!!","")</f>
        <v/>
      </c>
      <c r="F2741" s="23" t="str">
        <f>IF(OR(E2741="",E2741="!!!"),"",IF(NOT(ISNA(VLOOKUP(E2741,E$1:E2740,1,FALSE()))),"OLD",IF(AND(E2741&lt;&gt;"",E2741&lt;&gt;"!!!"),"NEW","")))</f>
        <v> </v>
      </c>
      <c r="G2741" s="24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5" t="str">
        <f>IF(J2741&lt;&gt;1,"",IF(I2741="SBJ","CB","?"))</f>
        <v> </v>
      </c>
      <c r="I2741" s="26" t="str">
        <f>IF(OR(E2741="",E2741="!!!",F2741="NEW"),"",INDEX(B2740:B$2,-1+SUMPRODUCT(MAX(ROW(E2740:E$2)*(E2741=E2740:E$2)))))</f>
        <v> </v>
      </c>
      <c r="J2741" s="26" t="str">
        <f>IF(OR(E2741="",E2741="!!!",F2741="NEW"),"",COUNTBLANK(OFFSET(A$1,,,SUMPRODUCT(MAX(ROW(E$2:E2741)*(E2741=E$2:E2741)))))-COUNTBLANK(OFFSET(A$1,,,SUMPRODUCT(MAX(ROW(E$1:E2740)*(E2=E$1:E2740))))))</f>
        <v> </v>
      </c>
      <c r="K2741" s="26" t="str">
        <f>IF(OR(E2741="",E2741="!!!",F2741="NEW"),"",INDEX(J$1:J2740,SUMPRODUCT(MAX(ROW(E$1:E2740)*(E2741=E$1:E2740)))))</f>
        <v> </v>
      </c>
      <c r="L2741" s="27"/>
    </row>
    <row r="2742" spans="1:12">
      <c r="A2742" s="20" t="s">
        <v>633</v>
      </c>
      <c r="E2742" s="22">
        <f>IF(D2742="?OLD","!!!","")</f>
        <v/>
      </c>
      <c r="F2742" s="23" t="str">
        <f>IF(OR(E2742="",E2742="!!!"),"",IF(NOT(ISNA(VLOOKUP(E2742,E$1:E2741,1,FALSE()))),"OLD",IF(AND(E2742&lt;&gt;"",E2742&lt;&gt;"!!!"),"NEW","")))</f>
        <v> </v>
      </c>
      <c r="G2742" s="24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5" t="str">
        <f>IF(J2742&lt;&gt;1,"",IF(I2742="SBJ","CB","?"))</f>
        <v> </v>
      </c>
      <c r="I2742" s="26" t="str">
        <f>IF(OR(E2742="",E2742="!!!",F2742="NEW"),"",INDEX(B2741:B$2,-1+SUMPRODUCT(MAX(ROW(E2741:E$2)*(E2742=E2741:E$2)))))</f>
        <v> </v>
      </c>
      <c r="J2742" s="26" t="str">
        <f>IF(OR(E2742="",E2742="!!!",F2742="NEW"),"",COUNTBLANK(OFFSET(A$1,,,SUMPRODUCT(MAX(ROW(E$2:E2742)*(E2742=E$2:E2742)))))-COUNTBLANK(OFFSET(A$1,,,SUMPRODUCT(MAX(ROW(E$1:E2741)*(E2=E$1:E2741))))))</f>
        <v> </v>
      </c>
      <c r="K2742" s="26" t="str">
        <f>IF(OR(E2742="",E2742="!!!",F2742="NEW"),"",INDEX(J$1:J2741,SUMPRODUCT(MAX(ROW(E$1:E2741)*(E2742=E$1:E2741)))))</f>
        <v> </v>
      </c>
      <c r="L2742" s="27"/>
    </row>
    <row r="2743" spans="1:12">
      <c r="A2743" s="20"/>
    </row>
    <row r="2744" spans="1:12">
      <c r="A2744" s="20" t="s">
        <v>1887</v>
      </c>
    </row>
    <row r="2745" spans="1:12">
      <c r="A2745" s="20" t="s">
        <v>1888</v>
      </c>
      <c r="B2745" s="21" t="s">
        <v>640</v>
      </c>
      <c r="C2745" s="21" t="s">
        <v>602</v>
      </c>
      <c r="D2745" s="21" t="s">
        <v>603</v>
      </c>
      <c r="E2745" s="22">
        <f>IF(D2745="?OLD","!!!","")</f>
        <v/>
      </c>
      <c r="F2745" s="23" t="str">
        <f>IF(OR(E2745="",E2745="!!!"),"",IF(NOT(ISNA(VLOOKUP(E2745,E$1:E2744,1,FALSE()))),"OLD",IF(AND(E2745&lt;&gt;"",E2745&lt;&gt;"!!!"),"NEW","")))</f>
        <v> </v>
      </c>
      <c r="G2745" s="24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5" t="str">
        <f>IF(J2745&lt;&gt;1,"",IF(I2745="SBJ","CB","?"))</f>
        <v> </v>
      </c>
      <c r="I2745" s="26" t="str">
        <f>IF(OR(E2745="",E2745="!!!",F2745="NEW"),"",INDEX(B2744:B$2,-1+SUMPRODUCT(MAX(ROW(E2744:E$2)*(E2745=E2744:E$2)))))</f>
        <v> </v>
      </c>
      <c r="J2745" s="26" t="str">
        <f>IF(OR(E2745="",E2745="!!!",F2745="NEW"),"",COUNTBLANK(OFFSET(A$1,,,SUMPRODUCT(MAX(ROW(E$2:E2745)*(E2745=E$2:E2745)))))-COUNTBLANK(OFFSET(A$1,,,SUMPRODUCT(MAX(ROW(E$1:E2744)*(E2=E$1:E2744))))))</f>
        <v> </v>
      </c>
      <c r="K2745" s="26" t="str">
        <f>IF(OR(E2745="",E2745="!!!",F2745="NEW"),"",INDEX(J$1:J2744,SUMPRODUCT(MAX(ROW(E$1:E2744)*(E2745=E$1:E2744)))))</f>
        <v> </v>
      </c>
      <c r="L2745" s="27"/>
    </row>
    <row r="2746" spans="1:12">
      <c r="A2746" s="20" t="s">
        <v>611</v>
      </c>
      <c r="E2746" s="22">
        <f>IF(D2746="?OLD","!!!","")</f>
        <v/>
      </c>
      <c r="F2746" s="23" t="str">
        <f>IF(OR(E2746="",E2746="!!!"),"",IF(NOT(ISNA(VLOOKUP(E2746,E$1:E2745,1,FALSE()))),"OLD",IF(AND(E2746&lt;&gt;"",E2746&lt;&gt;"!!!"),"NEW","")))</f>
        <v> </v>
      </c>
      <c r="G2746" s="24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5" t="str">
        <f>IF(J2746&lt;&gt;1,"",IF(I2746="SBJ","CB","?"))</f>
        <v> </v>
      </c>
      <c r="I2746" s="26" t="str">
        <f>IF(OR(E2746="",E2746="!!!",F2746="NEW"),"",INDEX(B2745:B$2,-1+SUMPRODUCT(MAX(ROW(E2745:E$2)*(E2746=E2745:E$2)))))</f>
        <v> </v>
      </c>
      <c r="J2746" s="26" t="str">
        <f>IF(OR(E2746="",E2746="!!!",F2746="NEW"),"",COUNTBLANK(OFFSET(A$1,,,SUMPRODUCT(MAX(ROW(E$2:E2746)*(E2746=E$2:E2746)))))-COUNTBLANK(OFFSET(A$1,,,SUMPRODUCT(MAX(ROW(E$1:E2745)*(E2=E$1:E2745))))))</f>
        <v> </v>
      </c>
      <c r="K2746" s="26" t="str">
        <f>IF(OR(E2746="",E2746="!!!",F2746="NEW"),"",INDEX(J$1:J2745,SUMPRODUCT(MAX(ROW(E$1:E2745)*(E2746=E$1:E2745)))))</f>
        <v> </v>
      </c>
      <c r="L2746" s="27"/>
    </row>
    <row r="2747" spans="1:12">
      <c r="A2747" s="20" t="s">
        <v>658</v>
      </c>
      <c r="E2747" s="22">
        <f>IF(D2747="?OLD","!!!","")</f>
        <v/>
      </c>
      <c r="F2747" s="23" t="str">
        <f>IF(OR(E2747="",E2747="!!!"),"",IF(NOT(ISNA(VLOOKUP(E2747,E$1:E2746,1,FALSE()))),"OLD",IF(AND(E2747&lt;&gt;"",E2747&lt;&gt;"!!!"),"NEW","")))</f>
        <v> </v>
      </c>
      <c r="G2747" s="24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5" t="str">
        <f>IF(J2747&lt;&gt;1,"",IF(I2747="SBJ","CB","?"))</f>
        <v> </v>
      </c>
      <c r="I2747" s="26" t="str">
        <f>IF(OR(E2747="",E2747="!!!",F2747="NEW"),"",INDEX(B2746:B$2,-1+SUMPRODUCT(MAX(ROW(E2746:E$2)*(E2747=E2746:E$2)))))</f>
        <v> </v>
      </c>
      <c r="J2747" s="26" t="str">
        <f>IF(OR(E2747="",E2747="!!!",F2747="NEW"),"",COUNTBLANK(OFFSET(A$1,,,SUMPRODUCT(MAX(ROW(E$2:E2747)*(E2747=E$2:E2747)))))-COUNTBLANK(OFFSET(A$1,,,SUMPRODUCT(MAX(ROW(E$1:E2746)*(E2=E$1:E2746))))))</f>
        <v> </v>
      </c>
      <c r="K2747" s="26" t="str">
        <f>IF(OR(E2747="",E2747="!!!",F2747="NEW"),"",INDEX(J$1:J2746,SUMPRODUCT(MAX(ROW(E$1:E2746)*(E2747=E$1:E2746)))))</f>
        <v> </v>
      </c>
      <c r="L2747" s="27"/>
    </row>
    <row r="2748" spans="1:12">
      <c r="A2748" s="20" t="s">
        <v>918</v>
      </c>
      <c r="B2748" s="21" t="s">
        <v>801</v>
      </c>
      <c r="E2748" s="22">
        <f>IF(D2748="?OLD","!!!","")</f>
        <v/>
      </c>
      <c r="F2748" s="23" t="str">
        <f>IF(OR(E2748="",E2748="!!!"),"",IF(NOT(ISNA(VLOOKUP(E2748,E$1:E2747,1,FALSE()))),"OLD",IF(AND(E2748&lt;&gt;"",E2748&lt;&gt;"!!!"),"NEW","")))</f>
        <v> </v>
      </c>
      <c r="G2748" s="24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5" t="str">
        <f>IF(J2748&lt;&gt;1,"",IF(I2748="SBJ","CB","?"))</f>
        <v> </v>
      </c>
      <c r="I2748" s="26" t="str">
        <f>IF(OR(E2748="",E2748="!!!",F2748="NEW"),"",INDEX(B2747:B$2,-1+SUMPRODUCT(MAX(ROW(E2747:E$2)*(E2748=E2747:E$2)))))</f>
        <v> </v>
      </c>
      <c r="J2748" s="26" t="str">
        <f>IF(OR(E2748="",E2748="!!!",F2748="NEW"),"",COUNTBLANK(OFFSET(A$1,,,SUMPRODUCT(MAX(ROW(E$2:E2748)*(E2748=E$2:E2748)))))-COUNTBLANK(OFFSET(A$1,,,SUMPRODUCT(MAX(ROW(E$1:E2747)*(E2=E$1:E2747))))))</f>
        <v> </v>
      </c>
      <c r="K2748" s="26" t="str">
        <f>IF(OR(E2748="",E2748="!!!",F2748="NEW"),"",INDEX(J$1:J2747,SUMPRODUCT(MAX(ROW(E$1:E2747)*(E2748=E$1:E2747)))))</f>
        <v> </v>
      </c>
      <c r="L2748" s="27"/>
    </row>
    <row r="2749" spans="1:12">
      <c r="A2749" s="20" t="s">
        <v>1889</v>
      </c>
      <c r="E2749" s="22">
        <f>IF(D2749="?OLD","!!!","")</f>
        <v/>
      </c>
      <c r="F2749" s="23" t="str">
        <f>IF(OR(E2749="",E2749="!!!"),"",IF(NOT(ISNA(VLOOKUP(E2749,E$1:E2748,1,FALSE()))),"OLD",IF(AND(E2749&lt;&gt;"",E2749&lt;&gt;"!!!"),"NEW","")))</f>
        <v> </v>
      </c>
      <c r="G2749" s="24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5" t="str">
        <f>IF(J2749&lt;&gt;1,"",IF(I2749="SBJ","CB","?"))</f>
        <v> </v>
      </c>
      <c r="I2749" s="26" t="str">
        <f>IF(OR(E2749="",E2749="!!!",F2749="NEW"),"",INDEX(B2748:B$2,-1+SUMPRODUCT(MAX(ROW(E2748:E$2)*(E2749=E2748:E$2)))))</f>
        <v> </v>
      </c>
      <c r="J2749" s="26" t="str">
        <f>IF(OR(E2749="",E2749="!!!",F2749="NEW"),"",COUNTBLANK(OFFSET(A$1,,,SUMPRODUCT(MAX(ROW(E$2:E2749)*(E2749=E$2:E2749)))))-COUNTBLANK(OFFSET(A$1,,,SUMPRODUCT(MAX(ROW(E$1:E2748)*(E2=E$1:E2748))))))</f>
        <v> </v>
      </c>
      <c r="K2749" s="26" t="str">
        <f>IF(OR(E2749="",E2749="!!!",F2749="NEW"),"",INDEX(J$1:J2748,SUMPRODUCT(MAX(ROW(E$1:E2748)*(E2749=E$1:E2748)))))</f>
        <v> </v>
      </c>
      <c r="L2749" s="27"/>
    </row>
    <row r="2750" spans="1:12">
      <c r="A2750" s="20" t="s">
        <v>677</v>
      </c>
      <c r="E2750" s="22">
        <f>IF(D2750="?OLD","!!!","")</f>
        <v/>
      </c>
      <c r="F2750" s="23" t="str">
        <f>IF(OR(E2750="",E2750="!!!"),"",IF(NOT(ISNA(VLOOKUP(E2750,E$1:E2749,1,FALSE()))),"OLD",IF(AND(E2750&lt;&gt;"",E2750&lt;&gt;"!!!"),"NEW","")))</f>
        <v> </v>
      </c>
      <c r="G2750" s="24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5" t="str">
        <f>IF(J2750&lt;&gt;1,"",IF(I2750="SBJ","CB","?"))</f>
        <v> </v>
      </c>
      <c r="I2750" s="26" t="str">
        <f>IF(OR(E2750="",E2750="!!!",F2750="NEW"),"",INDEX(B2749:B$2,-1+SUMPRODUCT(MAX(ROW(E2749:E$2)*(E2750=E2749:E$2)))))</f>
        <v> </v>
      </c>
      <c r="J2750" s="26" t="str">
        <f>IF(OR(E2750="",E2750="!!!",F2750="NEW"),"",COUNTBLANK(OFFSET(A$1,,,SUMPRODUCT(MAX(ROW(E$2:E2750)*(E2750=E$2:E2750)))))-COUNTBLANK(OFFSET(A$1,,,SUMPRODUCT(MAX(ROW(E$1:E2749)*(E2=E$1:E2749))))))</f>
        <v> </v>
      </c>
      <c r="K2750" s="26" t="str">
        <f>IF(OR(E2750="",E2750="!!!",F2750="NEW"),"",INDEX(J$1:J2749,SUMPRODUCT(MAX(ROW(E$1:E2749)*(E2750=E$1:E2749)))))</f>
        <v> </v>
      </c>
      <c r="L2750" s="27"/>
    </row>
    <row r="2751" spans="1:12">
      <c r="A2751" s="20" t="s">
        <v>722</v>
      </c>
      <c r="B2751" s="21" t="s">
        <v>804</v>
      </c>
      <c r="C2751" s="21" t="s">
        <v>723</v>
      </c>
      <c r="D2751" s="21" t="s">
        <v>603</v>
      </c>
      <c r="E2751" s="22">
        <f>IF(D2751="?OLD","!!!","")</f>
        <v/>
      </c>
      <c r="F2751" s="23" t="str">
        <f>IF(OR(E2751="",E2751="!!!"),"",IF(NOT(ISNA(VLOOKUP(E2751,E$1:E2750,1,FALSE()))),"OLD",IF(AND(E2751&lt;&gt;"",E2751&lt;&gt;"!!!"),"NEW","")))</f>
        <v> </v>
      </c>
      <c r="G2751" s="24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5" t="str">
        <f>IF(J2751&lt;&gt;1,"",IF(I2751="SBJ","CB","?"))</f>
        <v> </v>
      </c>
      <c r="I2751" s="26" t="str">
        <f>IF(OR(E2751="",E2751="!!!",F2751="NEW"),"",INDEX(B2750:B$2,-1+SUMPRODUCT(MAX(ROW(E2750:E$2)*(E2751=E2750:E$2)))))</f>
        <v> </v>
      </c>
      <c r="J2751" s="26" t="str">
        <f>IF(OR(E2751="",E2751="!!!",F2751="NEW"),"",COUNTBLANK(OFFSET(A$1,,,SUMPRODUCT(MAX(ROW(E$2:E2751)*(E2751=E$2:E2751)))))-COUNTBLANK(OFFSET(A$1,,,SUMPRODUCT(MAX(ROW(E$1:E2750)*(E2=E$1:E2750))))))</f>
        <v> </v>
      </c>
      <c r="K2751" s="26" t="str">
        <f>IF(OR(E2751="",E2751="!!!",F2751="NEW"),"",INDEX(J$1:J2750,SUMPRODUCT(MAX(ROW(E$1:E2750)*(E2751=E$1:E2750)))))</f>
        <v> </v>
      </c>
      <c r="L2751" s="27"/>
    </row>
    <row r="2752" spans="1:12">
      <c r="A2752" s="20" t="s">
        <v>739</v>
      </c>
      <c r="E2752" s="22">
        <f>IF(D2752="?OLD","!!!","")</f>
        <v/>
      </c>
      <c r="F2752" s="23" t="str">
        <f>IF(OR(E2752="",E2752="!!!"),"",IF(NOT(ISNA(VLOOKUP(E2752,E$1:E2751,1,FALSE()))),"OLD",IF(AND(E2752&lt;&gt;"",E2752&lt;&gt;"!!!"),"NEW","")))</f>
        <v> </v>
      </c>
      <c r="G2752" s="24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5" t="str">
        <f>IF(J2752&lt;&gt;1,"",IF(I2752="SBJ","CB","?"))</f>
        <v> </v>
      </c>
      <c r="I2752" s="26" t="str">
        <f>IF(OR(E2752="",E2752="!!!",F2752="NEW"),"",INDEX(B2751:B$2,-1+SUMPRODUCT(MAX(ROW(E2751:E$2)*(E2752=E2751:E$2)))))</f>
        <v> </v>
      </c>
      <c r="J2752" s="26" t="str">
        <f>IF(OR(E2752="",E2752="!!!",F2752="NEW"),"",COUNTBLANK(OFFSET(A$1,,,SUMPRODUCT(MAX(ROW(E$2:E2752)*(E2752=E$2:E2752)))))-COUNTBLANK(OFFSET(A$1,,,SUMPRODUCT(MAX(ROW(E$1:E2751)*(E2=E$1:E2751))))))</f>
        <v> </v>
      </c>
      <c r="K2752" s="26" t="str">
        <f>IF(OR(E2752="",E2752="!!!",F2752="NEW"),"",INDEX(J$1:J2751,SUMPRODUCT(MAX(ROW(E$1:E2751)*(E2752=E$1:E2751)))))</f>
        <v> </v>
      </c>
      <c r="L2752" s="27"/>
    </row>
    <row r="2753" spans="1:12">
      <c r="A2753" s="20" t="s">
        <v>1890</v>
      </c>
      <c r="B2753" s="21" t="s">
        <v>659</v>
      </c>
      <c r="C2753" s="21" t="s">
        <v>614</v>
      </c>
      <c r="E2753" s="22">
        <f>IF(D2753="?OLD","!!!","")</f>
        <v/>
      </c>
      <c r="F2753" s="23" t="str">
        <f>IF(OR(E2753="",E2753="!!!"),"",IF(NOT(ISNA(VLOOKUP(E2753,E$1:E2752,1,FALSE()))),"OLD",IF(AND(E2753&lt;&gt;"",E2753&lt;&gt;"!!!"),"NEW","")))</f>
        <v> </v>
      </c>
      <c r="G2753" s="24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5" t="str">
        <f>IF(J2753&lt;&gt;1,"",IF(I2753="SBJ","CB","?"))</f>
        <v> </v>
      </c>
      <c r="I2753" s="26" t="str">
        <f>IF(OR(E2753="",E2753="!!!",F2753="NEW"),"",INDEX(B2752:B$2,-1+SUMPRODUCT(MAX(ROW(E2752:E$2)*(E2753=E2752:E$2)))))</f>
        <v> </v>
      </c>
      <c r="J2753" s="26" t="str">
        <f>IF(OR(E2753="",E2753="!!!",F2753="NEW"),"",COUNTBLANK(OFFSET(A$1,,,SUMPRODUCT(MAX(ROW(E$2:E2753)*(E2753=E$2:E2753)))))-COUNTBLANK(OFFSET(A$1,,,SUMPRODUCT(MAX(ROW(E$1:E2752)*(E2=E$1:E2752))))))</f>
        <v> </v>
      </c>
      <c r="K2753" s="26" t="str">
        <f>IF(OR(E2753="",E2753="!!!",F2753="NEW"),"",INDEX(J$1:J2752,SUMPRODUCT(MAX(ROW(E$1:E2752)*(E2753=E$1:E2752)))))</f>
        <v> </v>
      </c>
      <c r="L2753" s="27"/>
    </row>
    <row r="2754" spans="1:12">
      <c r="A2754" s="20" t="s">
        <v>1418</v>
      </c>
      <c r="E2754" s="22">
        <f>IF(D2754="?OLD","!!!","")</f>
        <v/>
      </c>
      <c r="F2754" s="23" t="str">
        <f>IF(OR(E2754="",E2754="!!!"),"",IF(NOT(ISNA(VLOOKUP(E2754,E$1:E2753,1,FALSE()))),"OLD",IF(AND(E2754&lt;&gt;"",E2754&lt;&gt;"!!!"),"NEW","")))</f>
        <v> </v>
      </c>
      <c r="G2754" s="24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5" t="str">
        <f>IF(J2754&lt;&gt;1,"",IF(I2754="SBJ","CB","?"))</f>
        <v> </v>
      </c>
      <c r="I2754" s="26" t="str">
        <f>IF(OR(E2754="",E2754="!!!",F2754="NEW"),"",INDEX(B2753:B$2,-1+SUMPRODUCT(MAX(ROW(E2753:E$2)*(E2754=E2753:E$2)))))</f>
        <v> </v>
      </c>
      <c r="J2754" s="26" t="str">
        <f>IF(OR(E2754="",E2754="!!!",F2754="NEW"),"",COUNTBLANK(OFFSET(A$1,,,SUMPRODUCT(MAX(ROW(E$2:E2754)*(E2754=E$2:E2754)))))-COUNTBLANK(OFFSET(A$1,,,SUMPRODUCT(MAX(ROW(E$1:E2753)*(E2=E$1:E2753))))))</f>
        <v> </v>
      </c>
      <c r="K2754" s="26" t="str">
        <f>IF(OR(E2754="",E2754="!!!",F2754="NEW"),"",INDEX(J$1:J2753,SUMPRODUCT(MAX(ROW(E$1:E2753)*(E2754=E$1:E2753)))))</f>
        <v> </v>
      </c>
      <c r="L2754" s="27"/>
    </row>
    <row r="2755" spans="1:12">
      <c r="A2755" s="20" t="s">
        <v>1891</v>
      </c>
      <c r="E2755" s="22">
        <f>IF(D2755="?OLD","!!!","")</f>
        <v/>
      </c>
      <c r="F2755" s="23" t="str">
        <f>IF(OR(E2755="",E2755="!!!"),"",IF(NOT(ISNA(VLOOKUP(E2755,E$1:E2754,1,FALSE()))),"OLD",IF(AND(E2755&lt;&gt;"",E2755&lt;&gt;"!!!"),"NEW","")))</f>
        <v> </v>
      </c>
      <c r="G2755" s="24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5" t="str">
        <f>IF(J2755&lt;&gt;1,"",IF(I2755="SBJ","CB","?"))</f>
        <v> </v>
      </c>
      <c r="I2755" s="26" t="str">
        <f>IF(OR(E2755="",E2755="!!!",F2755="NEW"),"",INDEX(B2754:B$2,-1+SUMPRODUCT(MAX(ROW(E2754:E$2)*(E2755=E2754:E$2)))))</f>
        <v> </v>
      </c>
      <c r="J2755" s="26" t="str">
        <f>IF(OR(E2755="",E2755="!!!",F2755="NEW"),"",COUNTBLANK(OFFSET(A$1,,,SUMPRODUCT(MAX(ROW(E$2:E2755)*(E2755=E$2:E2755)))))-COUNTBLANK(OFFSET(A$1,,,SUMPRODUCT(MAX(ROW(E$1:E2754)*(E2=E$1:E2754))))))</f>
        <v> </v>
      </c>
      <c r="K2755" s="26" t="str">
        <f>IF(OR(E2755="",E2755="!!!",F2755="NEW"),"",INDEX(J$1:J2754,SUMPRODUCT(MAX(ROW(E$1:E2754)*(E2755=E$1:E2754)))))</f>
        <v> </v>
      </c>
      <c r="L2755" s="27"/>
    </row>
    <row r="2756" spans="1:12">
      <c r="A2756" s="20" t="s">
        <v>605</v>
      </c>
      <c r="E2756" s="22">
        <f>IF(D2756="?OLD","!!!","")</f>
        <v/>
      </c>
      <c r="F2756" s="23" t="str">
        <f>IF(OR(E2756="",E2756="!!!"),"",IF(NOT(ISNA(VLOOKUP(E2756,E$1:E2755,1,FALSE()))),"OLD",IF(AND(E2756&lt;&gt;"",E2756&lt;&gt;"!!!"),"NEW","")))</f>
        <v> </v>
      </c>
      <c r="G2756" s="24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5" t="str">
        <f>IF(J2756&lt;&gt;1,"",IF(I2756="SBJ","CB","?"))</f>
        <v> </v>
      </c>
      <c r="I2756" s="26" t="str">
        <f>IF(OR(E2756="",E2756="!!!",F2756="NEW"),"",INDEX(B2755:B$2,-1+SUMPRODUCT(MAX(ROW(E2755:E$2)*(E2756=E2755:E$2)))))</f>
        <v> </v>
      </c>
      <c r="J2756" s="26" t="str">
        <f>IF(OR(E2756="",E2756="!!!",F2756="NEW"),"",COUNTBLANK(OFFSET(A$1,,,SUMPRODUCT(MAX(ROW(E$2:E2756)*(E2756=E$2:E2756)))))-COUNTBLANK(OFFSET(A$1,,,SUMPRODUCT(MAX(ROW(E$1:E2755)*(E2=E$1:E2755))))))</f>
        <v> </v>
      </c>
      <c r="K2756" s="26" t="str">
        <f>IF(OR(E2756="",E2756="!!!",F2756="NEW"),"",INDEX(J$1:J2755,SUMPRODUCT(MAX(ROW(E$1:E2755)*(E2756=E$1:E2755)))))</f>
        <v> </v>
      </c>
      <c r="L2756" s="27"/>
    </row>
    <row r="2757" spans="1:12">
      <c r="A2757" s="20" t="s">
        <v>1892</v>
      </c>
      <c r="E2757" s="22">
        <f>IF(D2757="?OLD","!!!","")</f>
        <v/>
      </c>
      <c r="F2757" s="23" t="str">
        <f>IF(OR(E2757="",E2757="!!!"),"",IF(NOT(ISNA(VLOOKUP(E2757,E$1:E2756,1,FALSE()))),"OLD",IF(AND(E2757&lt;&gt;"",E2757&lt;&gt;"!!!"),"NEW","")))</f>
        <v> </v>
      </c>
      <c r="G2757" s="24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5" t="str">
        <f>IF(J2757&lt;&gt;1,"",IF(I2757="SBJ","CB","?"))</f>
        <v> </v>
      </c>
      <c r="I2757" s="26" t="str">
        <f>IF(OR(E2757="",E2757="!!!",F2757="NEW"),"",INDEX(B2756:B$2,-1+SUMPRODUCT(MAX(ROW(E2756:E$2)*(E2757=E2756:E$2)))))</f>
        <v> </v>
      </c>
      <c r="J2757" s="26" t="str">
        <f>IF(OR(E2757="",E2757="!!!",F2757="NEW"),"",COUNTBLANK(OFFSET(A$1,,,SUMPRODUCT(MAX(ROW(E$2:E2757)*(E2757=E$2:E2757)))))-COUNTBLANK(OFFSET(A$1,,,SUMPRODUCT(MAX(ROW(E$1:E2756)*(E2=E$1:E2756))))))</f>
        <v> </v>
      </c>
      <c r="K2757" s="26" t="str">
        <f>IF(OR(E2757="",E2757="!!!",F2757="NEW"),"",INDEX(J$1:J2756,SUMPRODUCT(MAX(ROW(E$1:E2756)*(E2757=E$1:E2756)))))</f>
        <v> </v>
      </c>
      <c r="L2757" s="27"/>
    </row>
    <row r="2758" spans="1:12">
      <c r="A2758" s="20" t="s">
        <v>611</v>
      </c>
      <c r="E2758" s="22">
        <f>IF(D2758="?OLD","!!!","")</f>
        <v/>
      </c>
      <c r="F2758" s="23" t="str">
        <f>IF(OR(E2758="",E2758="!!!"),"",IF(NOT(ISNA(VLOOKUP(E2758,E$1:E2757,1,FALSE()))),"OLD",IF(AND(E2758&lt;&gt;"",E2758&lt;&gt;"!!!"),"NEW","")))</f>
        <v> </v>
      </c>
      <c r="G2758" s="24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5" t="str">
        <f>IF(J2758&lt;&gt;1,"",IF(I2758="SBJ","CB","?"))</f>
        <v> </v>
      </c>
      <c r="I2758" s="26" t="str">
        <f>IF(OR(E2758="",E2758="!!!",F2758="NEW"),"",INDEX(B2757:B$2,-1+SUMPRODUCT(MAX(ROW(E2757:E$2)*(E2758=E2757:E$2)))))</f>
        <v> </v>
      </c>
      <c r="J2758" s="26" t="str">
        <f>IF(OR(E2758="",E2758="!!!",F2758="NEW"),"",COUNTBLANK(OFFSET(A$1,,,SUMPRODUCT(MAX(ROW(E$2:E2758)*(E2758=E$2:E2758)))))-COUNTBLANK(OFFSET(A$1,,,SUMPRODUCT(MAX(ROW(E$1:E2757)*(E2=E$1:E2757))))))</f>
        <v> </v>
      </c>
      <c r="K2758" s="26" t="str">
        <f>IF(OR(E2758="",E2758="!!!",F2758="NEW"),"",INDEX(J$1:J2757,SUMPRODUCT(MAX(ROW(E$1:E2757)*(E2758=E$1:E2757)))))</f>
        <v> </v>
      </c>
      <c r="L2758" s="27"/>
    </row>
    <row r="2759" spans="1:12">
      <c r="A2759" s="20" t="s">
        <v>1893</v>
      </c>
      <c r="E2759" s="22">
        <f>IF(D2759="?OLD","!!!","")</f>
        <v/>
      </c>
      <c r="F2759" s="23" t="str">
        <f>IF(OR(E2759="",E2759="!!!"),"",IF(NOT(ISNA(VLOOKUP(E2759,E$1:E2758,1,FALSE()))),"OLD",IF(AND(E2759&lt;&gt;"",E2759&lt;&gt;"!!!"),"NEW","")))</f>
        <v> </v>
      </c>
      <c r="G2759" s="24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5" t="str">
        <f>IF(J2759&lt;&gt;1,"",IF(I2759="SBJ","CB","?"))</f>
        <v> </v>
      </c>
      <c r="I2759" s="26" t="str">
        <f>IF(OR(E2759="",E2759="!!!",F2759="NEW"),"",INDEX(B2758:B$2,-1+SUMPRODUCT(MAX(ROW(E2758:E$2)*(E2759=E2758:E$2)))))</f>
        <v> </v>
      </c>
      <c r="J2759" s="26" t="str">
        <f>IF(OR(E2759="",E2759="!!!",F2759="NEW"),"",COUNTBLANK(OFFSET(A$1,,,SUMPRODUCT(MAX(ROW(E$2:E2759)*(E2759=E$2:E2759)))))-COUNTBLANK(OFFSET(A$1,,,SUMPRODUCT(MAX(ROW(E$1:E2758)*(E2=E$1:E2758))))))</f>
        <v> </v>
      </c>
      <c r="K2759" s="26" t="str">
        <f>IF(OR(E2759="",E2759="!!!",F2759="NEW"),"",INDEX(J$1:J2758,SUMPRODUCT(MAX(ROW(E$1:E2758)*(E2759=E$1:E2758)))))</f>
        <v> </v>
      </c>
      <c r="L2759" s="27"/>
    </row>
    <row r="2760" spans="1:12">
      <c r="A2760" s="20" t="s">
        <v>1285</v>
      </c>
      <c r="E2760" s="22">
        <f>IF(D2760="?OLD","!!!","")</f>
        <v/>
      </c>
      <c r="F2760" s="23" t="str">
        <f>IF(OR(E2760="",E2760="!!!"),"",IF(NOT(ISNA(VLOOKUP(E2760,E$1:E2759,1,FALSE()))),"OLD",IF(AND(E2760&lt;&gt;"",E2760&lt;&gt;"!!!"),"NEW","")))</f>
        <v> </v>
      </c>
      <c r="G2760" s="24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5" t="str">
        <f>IF(J2760&lt;&gt;1,"",IF(I2760="SBJ","CB","?"))</f>
        <v> </v>
      </c>
      <c r="I2760" s="26" t="str">
        <f>IF(OR(E2760="",E2760="!!!",F2760="NEW"),"",INDEX(B2759:B$2,-1+SUMPRODUCT(MAX(ROW(E2759:E$2)*(E2760=E2759:E$2)))))</f>
        <v> </v>
      </c>
      <c r="J2760" s="26" t="str">
        <f>IF(OR(E2760="",E2760="!!!",F2760="NEW"),"",COUNTBLANK(OFFSET(A$1,,,SUMPRODUCT(MAX(ROW(E$2:E2760)*(E2760=E$2:E2760)))))-COUNTBLANK(OFFSET(A$1,,,SUMPRODUCT(MAX(ROW(E$1:E2759)*(E2=E$1:E2759))))))</f>
        <v> </v>
      </c>
      <c r="K2760" s="26" t="str">
        <f>IF(OR(E2760="",E2760="!!!",F2760="NEW"),"",INDEX(J$1:J2759,SUMPRODUCT(MAX(ROW(E$1:E2759)*(E2760=E$1:E2759)))))</f>
        <v> </v>
      </c>
      <c r="L2760" s="27"/>
    </row>
    <row r="2761" spans="1:12">
      <c r="A2761" s="20" t="s">
        <v>1894</v>
      </c>
      <c r="B2761" s="21" t="s">
        <v>868</v>
      </c>
      <c r="E2761" s="22">
        <f>IF(D2761="?OLD","!!!","")</f>
        <v/>
      </c>
      <c r="F2761" s="23" t="str">
        <f>IF(OR(E2761="",E2761="!!!"),"",IF(NOT(ISNA(VLOOKUP(E2761,E$1:E2760,1,FALSE()))),"OLD",IF(AND(E2761&lt;&gt;"",E2761&lt;&gt;"!!!"),"NEW","")))</f>
        <v> </v>
      </c>
      <c r="G2761" s="24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5" t="str">
        <f>IF(J2761&lt;&gt;1,"",IF(I2761="SBJ","CB","?"))</f>
        <v> </v>
      </c>
      <c r="I2761" s="26" t="str">
        <f>IF(OR(E2761="",E2761="!!!",F2761="NEW"),"",INDEX(B2760:B$2,-1+SUMPRODUCT(MAX(ROW(E2760:E$2)*(E2761=E2760:E$2)))))</f>
        <v> </v>
      </c>
      <c r="J2761" s="26" t="str">
        <f>IF(OR(E2761="",E2761="!!!",F2761="NEW"),"",COUNTBLANK(OFFSET(A$1,,,SUMPRODUCT(MAX(ROW(E$2:E2761)*(E2761=E$2:E2761)))))-COUNTBLANK(OFFSET(A$1,,,SUMPRODUCT(MAX(ROW(E$1:E2760)*(E2=E$1:E2760))))))</f>
        <v> </v>
      </c>
      <c r="K2761" s="26" t="str">
        <f>IF(OR(E2761="",E2761="!!!",F2761="NEW"),"",INDEX(J$1:J2760,SUMPRODUCT(MAX(ROW(E$1:E2760)*(E2761=E$1:E2760)))))</f>
        <v> </v>
      </c>
      <c r="L2761" s="27"/>
    </row>
    <row r="2762" spans="1:12">
      <c r="A2762" s="20" t="s">
        <v>611</v>
      </c>
      <c r="E2762" s="22">
        <f>IF(D2762="?OLD","!!!","")</f>
        <v/>
      </c>
      <c r="F2762" s="23" t="str">
        <f>IF(OR(E2762="",E2762="!!!"),"",IF(NOT(ISNA(VLOOKUP(E2762,E$1:E2761,1,FALSE()))),"OLD",IF(AND(E2762&lt;&gt;"",E2762&lt;&gt;"!!!"),"NEW","")))</f>
        <v> </v>
      </c>
      <c r="G2762" s="24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5" t="str">
        <f>IF(J2762&lt;&gt;1,"",IF(I2762="SBJ","CB","?"))</f>
        <v> </v>
      </c>
      <c r="I2762" s="26" t="str">
        <f>IF(OR(E2762="",E2762="!!!",F2762="NEW"),"",INDEX(B2761:B$2,-1+SUMPRODUCT(MAX(ROW(E2761:E$2)*(E2762=E2761:E$2)))))</f>
        <v> </v>
      </c>
      <c r="J2762" s="26" t="str">
        <f>IF(OR(E2762="",E2762="!!!",F2762="NEW"),"",COUNTBLANK(OFFSET(A$1,,,SUMPRODUCT(MAX(ROW(E$2:E2762)*(E2762=E$2:E2762)))))-COUNTBLANK(OFFSET(A$1,,,SUMPRODUCT(MAX(ROW(E$1:E2761)*(E2=E$1:E2761))))))</f>
        <v> </v>
      </c>
      <c r="K2762" s="26" t="str">
        <f>IF(OR(E2762="",E2762="!!!",F2762="NEW"),"",INDEX(J$1:J2761,SUMPRODUCT(MAX(ROW(E$1:E2761)*(E2762=E$1:E2761)))))</f>
        <v> </v>
      </c>
      <c r="L2762" s="27"/>
    </row>
    <row r="2763" spans="1:12">
      <c r="A2763" s="20" t="s">
        <v>863</v>
      </c>
      <c r="E2763" s="22">
        <f>IF(D2763="?OLD","!!!","")</f>
        <v/>
      </c>
      <c r="F2763" s="23" t="str">
        <f>IF(OR(E2763="",E2763="!!!"),"",IF(NOT(ISNA(VLOOKUP(E2763,E$1:E2762,1,FALSE()))),"OLD",IF(AND(E2763&lt;&gt;"",E2763&lt;&gt;"!!!"),"NEW","")))</f>
        <v> </v>
      </c>
      <c r="G2763" s="24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5" t="str">
        <f>IF(J2763&lt;&gt;1,"",IF(I2763="SBJ","CB","?"))</f>
        <v> </v>
      </c>
      <c r="I2763" s="26" t="str">
        <f>IF(OR(E2763="",E2763="!!!",F2763="NEW"),"",INDEX(B2762:B$2,-1+SUMPRODUCT(MAX(ROW(E2762:E$2)*(E2763=E2762:E$2)))))</f>
        <v> </v>
      </c>
      <c r="J2763" s="26" t="str">
        <f>IF(OR(E2763="",E2763="!!!",F2763="NEW"),"",COUNTBLANK(OFFSET(A$1,,,SUMPRODUCT(MAX(ROW(E$2:E2763)*(E2763=E$2:E2763)))))-COUNTBLANK(OFFSET(A$1,,,SUMPRODUCT(MAX(ROW(E$1:E2762)*(E2=E$1:E2762))))))</f>
        <v> </v>
      </c>
      <c r="K2763" s="26" t="str">
        <f>IF(OR(E2763="",E2763="!!!",F2763="NEW"),"",INDEX(J$1:J2762,SUMPRODUCT(MAX(ROW(E$1:E2762)*(E2763=E$1:E2762)))))</f>
        <v> </v>
      </c>
      <c r="L2763" s="27"/>
    </row>
    <row r="2764" spans="1:12">
      <c r="A2764" s="20" t="s">
        <v>1895</v>
      </c>
      <c r="E2764" s="22">
        <f>IF(D2764="?OLD","!!!","")</f>
        <v/>
      </c>
      <c r="F2764" s="23" t="str">
        <f>IF(OR(E2764="",E2764="!!!"),"",IF(NOT(ISNA(VLOOKUP(E2764,E$1:E2763,1,FALSE()))),"OLD",IF(AND(E2764&lt;&gt;"",E2764&lt;&gt;"!!!"),"NEW","")))</f>
        <v> </v>
      </c>
      <c r="G2764" s="24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5" t="str">
        <f>IF(J2764&lt;&gt;1,"",IF(I2764="SBJ","CB","?"))</f>
        <v> </v>
      </c>
      <c r="I2764" s="26" t="str">
        <f>IF(OR(E2764="",E2764="!!!",F2764="NEW"),"",INDEX(B2763:B$2,-1+SUMPRODUCT(MAX(ROW(E2763:E$2)*(E2764=E2763:E$2)))))</f>
        <v> </v>
      </c>
      <c r="J2764" s="26" t="str">
        <f>IF(OR(E2764="",E2764="!!!",F2764="NEW"),"",COUNTBLANK(OFFSET(A$1,,,SUMPRODUCT(MAX(ROW(E$2:E2764)*(E2764=E$2:E2764)))))-COUNTBLANK(OFFSET(A$1,,,SUMPRODUCT(MAX(ROW(E$1:E2763)*(E2=E$1:E2763))))))</f>
        <v> </v>
      </c>
      <c r="K2764" s="26" t="str">
        <f>IF(OR(E2764="",E2764="!!!",F2764="NEW"),"",INDEX(J$1:J2763,SUMPRODUCT(MAX(ROW(E$1:E2763)*(E2764=E$1:E2763)))))</f>
        <v> </v>
      </c>
      <c r="L2764" s="27"/>
    </row>
    <row r="2765" spans="1:12">
      <c r="A2765" s="20" t="s">
        <v>1353</v>
      </c>
      <c r="B2765" s="21" t="s">
        <v>810</v>
      </c>
      <c r="E2765" s="22">
        <f>IF(D2765="?OLD","!!!","")</f>
        <v/>
      </c>
      <c r="F2765" s="23" t="str">
        <f>IF(OR(E2765="",E2765="!!!"),"",IF(NOT(ISNA(VLOOKUP(E2765,E$1:E2764,1,FALSE()))),"OLD",IF(AND(E2765&lt;&gt;"",E2765&lt;&gt;"!!!"),"NEW","")))</f>
        <v> </v>
      </c>
      <c r="G2765" s="24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5" t="str">
        <f>IF(J2765&lt;&gt;1,"",IF(I2765="SBJ","CB","?"))</f>
        <v> </v>
      </c>
      <c r="I2765" s="26" t="str">
        <f>IF(OR(E2765="",E2765="!!!",F2765="NEW"),"",INDEX(B2764:B$2,-1+SUMPRODUCT(MAX(ROW(E2764:E$2)*(E2765=E2764:E$2)))))</f>
        <v> </v>
      </c>
      <c r="J2765" s="26" t="str">
        <f>IF(OR(E2765="",E2765="!!!",F2765="NEW"),"",COUNTBLANK(OFFSET(A$1,,,SUMPRODUCT(MAX(ROW(E$2:E2765)*(E2765=E$2:E2765)))))-COUNTBLANK(OFFSET(A$1,,,SUMPRODUCT(MAX(ROW(E$1:E2764)*(E2=E$1:E2764))))))</f>
        <v> </v>
      </c>
      <c r="K2765" s="26" t="str">
        <f>IF(OR(E2765="",E2765="!!!",F2765="NEW"),"",INDEX(J$1:J2764,SUMPRODUCT(MAX(ROW(E$1:E2764)*(E2765=E$1:E2764)))))</f>
        <v> </v>
      </c>
      <c r="L2765" s="27"/>
    </row>
    <row r="2766" spans="1:12">
      <c r="A2766" s="20" t="s">
        <v>1896</v>
      </c>
      <c r="E2766" s="22">
        <f>IF(D2766="?OLD","!!!","")</f>
        <v/>
      </c>
      <c r="F2766" s="23" t="str">
        <f>IF(OR(E2766="",E2766="!!!"),"",IF(NOT(ISNA(VLOOKUP(E2766,E$1:E2765,1,FALSE()))),"OLD",IF(AND(E2766&lt;&gt;"",E2766&lt;&gt;"!!!"),"NEW","")))</f>
        <v> </v>
      </c>
      <c r="G2766" s="24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5" t="str">
        <f>IF(J2766&lt;&gt;1,"",IF(I2766="SBJ","CB","?"))</f>
        <v> </v>
      </c>
      <c r="I2766" s="26" t="str">
        <f>IF(OR(E2766="",E2766="!!!",F2766="NEW"),"",INDEX(B2765:B$2,-1+SUMPRODUCT(MAX(ROW(E2765:E$2)*(E2766=E2765:E$2)))))</f>
        <v> </v>
      </c>
      <c r="J2766" s="26" t="str">
        <f>IF(OR(E2766="",E2766="!!!",F2766="NEW"),"",COUNTBLANK(OFFSET(A$1,,,SUMPRODUCT(MAX(ROW(E$2:E2766)*(E2766=E$2:E2766)))))-COUNTBLANK(OFFSET(A$1,,,SUMPRODUCT(MAX(ROW(E$1:E2765)*(E2=E$1:E2765))))))</f>
        <v> </v>
      </c>
      <c r="K2766" s="26" t="str">
        <f>IF(OR(E2766="",E2766="!!!",F2766="NEW"),"",INDEX(J$1:J2765,SUMPRODUCT(MAX(ROW(E$1:E2765)*(E2766=E$1:E2765)))))</f>
        <v> </v>
      </c>
      <c r="L2766" s="27"/>
    </row>
    <row r="2767" spans="1:12">
      <c r="A2767" s="20" t="s">
        <v>1897</v>
      </c>
      <c r="E2767" s="22">
        <f>IF(D2767="?OLD","!!!","")</f>
        <v/>
      </c>
      <c r="F2767" s="23" t="str">
        <f>IF(OR(E2767="",E2767="!!!"),"",IF(NOT(ISNA(VLOOKUP(E2767,E$1:E2766,1,FALSE()))),"OLD",IF(AND(E2767&lt;&gt;"",E2767&lt;&gt;"!!!"),"NEW","")))</f>
        <v> </v>
      </c>
      <c r="G2767" s="24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5" t="str">
        <f>IF(J2767&lt;&gt;1,"",IF(I2767="SBJ","CB","?"))</f>
        <v> </v>
      </c>
      <c r="I2767" s="26" t="str">
        <f>IF(OR(E2767="",E2767="!!!",F2767="NEW"),"",INDEX(B2766:B$2,-1+SUMPRODUCT(MAX(ROW(E2766:E$2)*(E2767=E2766:E$2)))))</f>
        <v> </v>
      </c>
      <c r="J2767" s="26" t="str">
        <f>IF(OR(E2767="",E2767="!!!",F2767="NEW"),"",COUNTBLANK(OFFSET(A$1,,,SUMPRODUCT(MAX(ROW(E$2:E2767)*(E2767=E$2:E2767)))))-COUNTBLANK(OFFSET(A$1,,,SUMPRODUCT(MAX(ROW(E$1:E2766)*(E2=E$1:E2766))))))</f>
        <v> </v>
      </c>
      <c r="K2767" s="26" t="str">
        <f>IF(OR(E2767="",E2767="!!!",F2767="NEW"),"",INDEX(J$1:J2766,SUMPRODUCT(MAX(ROW(E$1:E2766)*(E2767=E$1:E2766)))))</f>
        <v> </v>
      </c>
      <c r="L2767" s="27"/>
    </row>
    <row r="2768" spans="1:12">
      <c r="A2768" s="20" t="s">
        <v>633</v>
      </c>
      <c r="E2768" s="22">
        <f>IF(D2768="?OLD","!!!","")</f>
        <v/>
      </c>
      <c r="F2768" s="23" t="str">
        <f>IF(OR(E2768="",E2768="!!!"),"",IF(NOT(ISNA(VLOOKUP(E2768,E$1:E2767,1,FALSE()))),"OLD",IF(AND(E2768&lt;&gt;"",E2768&lt;&gt;"!!!"),"NEW","")))</f>
        <v> </v>
      </c>
      <c r="G2768" s="24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5" t="str">
        <f>IF(J2768&lt;&gt;1,"",IF(I2768="SBJ","CB","?"))</f>
        <v> </v>
      </c>
      <c r="I2768" s="26" t="str">
        <f>IF(OR(E2768="",E2768="!!!",F2768="NEW"),"",INDEX(B2767:B$2,-1+SUMPRODUCT(MAX(ROW(E2767:E$2)*(E2768=E2767:E$2)))))</f>
        <v> </v>
      </c>
      <c r="J2768" s="26" t="str">
        <f>IF(OR(E2768="",E2768="!!!",F2768="NEW"),"",COUNTBLANK(OFFSET(A$1,,,SUMPRODUCT(MAX(ROW(E$2:E2768)*(E2768=E$2:E2768)))))-COUNTBLANK(OFFSET(A$1,,,SUMPRODUCT(MAX(ROW(E$1:E2767)*(E2=E$1:E2767))))))</f>
        <v> </v>
      </c>
      <c r="K2768" s="26" t="str">
        <f>IF(OR(E2768="",E2768="!!!",F2768="NEW"),"",INDEX(J$1:J2767,SUMPRODUCT(MAX(ROW(E$1:E2767)*(E2768=E$1:E2767)))))</f>
        <v> </v>
      </c>
      <c r="L2768" s="27"/>
    </row>
    <row r="2769" spans="1:12">
      <c r="A2769" s="20"/>
    </row>
    <row r="2770" spans="1:12">
      <c r="A2770" s="20" t="s">
        <v>1898</v>
      </c>
    </row>
    <row r="2771" spans="1:12">
      <c r="A2771" s="20" t="s">
        <v>1045</v>
      </c>
      <c r="E2771" s="22">
        <f>IF(D2771="?OLD","!!!","")</f>
        <v/>
      </c>
      <c r="F2771" s="23" t="str">
        <f>IF(OR(E2771="",E2771="!!!"),"",IF(NOT(ISNA(VLOOKUP(E2771,E$1:E2770,1,FALSE()))),"OLD",IF(AND(E2771&lt;&gt;"",E2771&lt;&gt;"!!!"),"NEW","")))</f>
        <v> </v>
      </c>
      <c r="G2771" s="24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5" t="str">
        <f>IF(J2771&lt;&gt;1,"",IF(I2771="SBJ","CB","?"))</f>
        <v> </v>
      </c>
      <c r="I2771" s="26" t="str">
        <f>IF(OR(E2771="",E2771="!!!",F2771="NEW"),"",INDEX(B2770:B$2,-1+SUMPRODUCT(MAX(ROW(E2770:E$2)*(E2771=E2770:E$2)))))</f>
        <v> </v>
      </c>
      <c r="J2771" s="26" t="str">
        <f>IF(OR(E2771="",E2771="!!!",F2771="NEW"),"",COUNTBLANK(OFFSET(A$1,,,SUMPRODUCT(MAX(ROW(E$2:E2771)*(E2771=E$2:E2771)))))-COUNTBLANK(OFFSET(A$1,,,SUMPRODUCT(MAX(ROW(E$1:E2770)*(E2=E$1:E2770))))))</f>
        <v> </v>
      </c>
      <c r="K2771" s="26" t="str">
        <f>IF(OR(E2771="",E2771="!!!",F2771="NEW"),"",INDEX(J$1:J2770,SUMPRODUCT(MAX(ROW(E$1:E2770)*(E2771=E$1:E2770)))))</f>
        <v> </v>
      </c>
      <c r="L2771" s="27"/>
    </row>
    <row r="2772" spans="1:12">
      <c r="A2772" s="20" t="s">
        <v>1316</v>
      </c>
      <c r="B2772" s="21" t="s">
        <v>659</v>
      </c>
      <c r="C2772" s="21" t="s">
        <v>602</v>
      </c>
      <c r="D2772" s="21" t="s">
        <v>603</v>
      </c>
      <c r="E2772" s="22">
        <f>IF(D2772="?OLD","!!!","")</f>
        <v/>
      </c>
      <c r="F2772" s="23" t="str">
        <f>IF(OR(E2772="",E2772="!!!"),"",IF(NOT(ISNA(VLOOKUP(E2772,E$1:E2771,1,FALSE()))),"OLD",IF(AND(E2772&lt;&gt;"",E2772&lt;&gt;"!!!"),"NEW","")))</f>
        <v> </v>
      </c>
      <c r="G2772" s="24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5" t="str">
        <f>IF(J2772&lt;&gt;1,"",IF(I2772="SBJ","CB","?"))</f>
        <v> </v>
      </c>
      <c r="I2772" s="26" t="str">
        <f>IF(OR(E2772="",E2772="!!!",F2772="NEW"),"",INDEX(B2771:B$2,-1+SUMPRODUCT(MAX(ROW(E2771:E$2)*(E2772=E2771:E$2)))))</f>
        <v> </v>
      </c>
      <c r="J2772" s="26" t="str">
        <f>IF(OR(E2772="",E2772="!!!",F2772="NEW"),"",COUNTBLANK(OFFSET(A$1,,,SUMPRODUCT(MAX(ROW(E$2:E2772)*(E2772=E$2:E2772)))))-COUNTBLANK(OFFSET(A$1,,,SUMPRODUCT(MAX(ROW(E$1:E2771)*(E2=E$1:E2771))))))</f>
        <v> </v>
      </c>
      <c r="K2772" s="26" t="str">
        <f>IF(OR(E2772="",E2772="!!!",F2772="NEW"),"",INDEX(J$1:J2771,SUMPRODUCT(MAX(ROW(E$1:E2771)*(E2772=E$1:E2771)))))</f>
        <v> </v>
      </c>
      <c r="L2772" s="27"/>
    </row>
    <row r="2773" spans="1:12">
      <c r="A2773" s="20" t="s">
        <v>1691</v>
      </c>
      <c r="E2773" s="22">
        <f>IF(D2773="?OLD","!!!","")</f>
        <v/>
      </c>
      <c r="F2773" s="23" t="str">
        <f>IF(OR(E2773="",E2773="!!!"),"",IF(NOT(ISNA(VLOOKUP(E2773,E$1:E2772,1,FALSE()))),"OLD",IF(AND(E2773&lt;&gt;"",E2773&lt;&gt;"!!!"),"NEW","")))</f>
        <v> </v>
      </c>
      <c r="G2773" s="24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5" t="str">
        <f>IF(J2773&lt;&gt;1,"",IF(I2773="SBJ","CB","?"))</f>
        <v> </v>
      </c>
      <c r="I2773" s="26" t="str">
        <f>IF(OR(E2773="",E2773="!!!",F2773="NEW"),"",INDEX(B2772:B$2,-1+SUMPRODUCT(MAX(ROW(E2772:E$2)*(E2773=E2772:E$2)))))</f>
        <v> </v>
      </c>
      <c r="J2773" s="26" t="str">
        <f>IF(OR(E2773="",E2773="!!!",F2773="NEW"),"",COUNTBLANK(OFFSET(A$1,,,SUMPRODUCT(MAX(ROW(E$2:E2773)*(E2773=E$2:E2773)))))-COUNTBLANK(OFFSET(A$1,,,SUMPRODUCT(MAX(ROW(E$1:E2772)*(E2=E$1:E2772))))))</f>
        <v> </v>
      </c>
      <c r="K2773" s="26" t="str">
        <f>IF(OR(E2773="",E2773="!!!",F2773="NEW"),"",INDEX(J$1:J2772,SUMPRODUCT(MAX(ROW(E$1:E2772)*(E2773=E$1:E2772)))))</f>
        <v> </v>
      </c>
      <c r="L2773" s="27"/>
    </row>
    <row r="2774" spans="1:12">
      <c r="A2774" s="20" t="s">
        <v>1899</v>
      </c>
      <c r="B2774" s="21" t="s">
        <v>793</v>
      </c>
      <c r="C2774" s="21" t="s">
        <v>614</v>
      </c>
      <c r="E2774" s="22">
        <f>IF(D2774="?OLD","!!!","")</f>
        <v/>
      </c>
      <c r="F2774" s="23" t="str">
        <f>IF(OR(E2774="",E2774="!!!"),"",IF(NOT(ISNA(VLOOKUP(E2774,E$1:E2773,1,FALSE()))),"OLD",IF(AND(E2774&lt;&gt;"",E2774&lt;&gt;"!!!"),"NEW","")))</f>
        <v> </v>
      </c>
      <c r="G2774" s="24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5" t="str">
        <f>IF(J2774&lt;&gt;1,"",IF(I2774="SBJ","CB","?"))</f>
        <v> </v>
      </c>
      <c r="I2774" s="26" t="str">
        <f>IF(OR(E2774="",E2774="!!!",F2774="NEW"),"",INDEX(B2773:B$2,-1+SUMPRODUCT(MAX(ROW(E2773:E$2)*(E2774=E2773:E$2)))))</f>
        <v> </v>
      </c>
      <c r="J2774" s="26" t="str">
        <f>IF(OR(E2774="",E2774="!!!",F2774="NEW"),"",COUNTBLANK(OFFSET(A$1,,,SUMPRODUCT(MAX(ROW(E$2:E2774)*(E2774=E$2:E2774)))))-COUNTBLANK(OFFSET(A$1,,,SUMPRODUCT(MAX(ROW(E$1:E2773)*(E2=E$1:E2773))))))</f>
        <v> </v>
      </c>
      <c r="K2774" s="26" t="str">
        <f>IF(OR(E2774="",E2774="!!!",F2774="NEW"),"",INDEX(J$1:J2773,SUMPRODUCT(MAX(ROW(E$1:E2773)*(E2774=E$1:E2773)))))</f>
        <v> </v>
      </c>
      <c r="L2774" s="27"/>
    </row>
    <row r="2775" spans="1:12">
      <c r="A2775" s="20" t="s">
        <v>1900</v>
      </c>
      <c r="E2775" s="22">
        <f>IF(D2775="?OLD","!!!","")</f>
        <v/>
      </c>
      <c r="F2775" s="23" t="str">
        <f>IF(OR(E2775="",E2775="!!!"),"",IF(NOT(ISNA(VLOOKUP(E2775,E$1:E2774,1,FALSE()))),"OLD",IF(AND(E2775&lt;&gt;"",E2775&lt;&gt;"!!!"),"NEW","")))</f>
        <v> </v>
      </c>
      <c r="G2775" s="24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5" t="str">
        <f>IF(J2775&lt;&gt;1,"",IF(I2775="SBJ","CB","?"))</f>
        <v> </v>
      </c>
      <c r="I2775" s="26" t="str">
        <f>IF(OR(E2775="",E2775="!!!",F2775="NEW"),"",INDEX(B2774:B$2,-1+SUMPRODUCT(MAX(ROW(E2774:E$2)*(E2775=E2774:E$2)))))</f>
        <v> </v>
      </c>
      <c r="J2775" s="26" t="str">
        <f>IF(OR(E2775="",E2775="!!!",F2775="NEW"),"",COUNTBLANK(OFFSET(A$1,,,SUMPRODUCT(MAX(ROW(E$2:E2775)*(E2775=E$2:E2775)))))-COUNTBLANK(OFFSET(A$1,,,SUMPRODUCT(MAX(ROW(E$1:E2774)*(E2=E$1:E2774))))))</f>
        <v> </v>
      </c>
      <c r="K2775" s="26" t="str">
        <f>IF(OR(E2775="",E2775="!!!",F2775="NEW"),"",INDEX(J$1:J2774,SUMPRODUCT(MAX(ROW(E$1:E2774)*(E2775=E$1:E2774)))))</f>
        <v> </v>
      </c>
      <c r="L2775" s="27"/>
    </row>
    <row r="2776" spans="1:12">
      <c r="A2776" s="20" t="s">
        <v>1901</v>
      </c>
      <c r="B2776" s="21" t="s">
        <v>613</v>
      </c>
      <c r="E2776" s="22">
        <f>IF(D2776="?OLD","!!!","")</f>
        <v/>
      </c>
      <c r="F2776" s="23" t="str">
        <f>IF(OR(E2776="",E2776="!!!"),"",IF(NOT(ISNA(VLOOKUP(E2776,E$1:E2775,1,FALSE()))),"OLD",IF(AND(E2776&lt;&gt;"",E2776&lt;&gt;"!!!"),"NEW","")))</f>
        <v> </v>
      </c>
      <c r="G2776" s="24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5" t="str">
        <f>IF(J2776&lt;&gt;1,"",IF(I2776="SBJ","CB","?"))</f>
        <v> </v>
      </c>
      <c r="I2776" s="26" t="str">
        <f>IF(OR(E2776="",E2776="!!!",F2776="NEW"),"",INDEX(B2775:B$2,-1+SUMPRODUCT(MAX(ROW(E2775:E$2)*(E2776=E2775:E$2)))))</f>
        <v> </v>
      </c>
      <c r="J2776" s="26" t="str">
        <f>IF(OR(E2776="",E2776="!!!",F2776="NEW"),"",COUNTBLANK(OFFSET(A$1,,,SUMPRODUCT(MAX(ROW(E$2:E2776)*(E2776=E$2:E2776)))))-COUNTBLANK(OFFSET(A$1,,,SUMPRODUCT(MAX(ROW(E$1:E2775)*(E2=E$1:E2775))))))</f>
        <v> </v>
      </c>
      <c r="K2776" s="26" t="str">
        <f>IF(OR(E2776="",E2776="!!!",F2776="NEW"),"",INDEX(J$1:J2775,SUMPRODUCT(MAX(ROW(E$1:E2775)*(E2776=E$1:E2775)))))</f>
        <v> </v>
      </c>
      <c r="L2776" s="27"/>
    </row>
    <row r="2777" spans="1:12">
      <c r="A2777" s="20" t="s">
        <v>902</v>
      </c>
      <c r="E2777" s="22">
        <f>IF(D2777="?OLD","!!!","")</f>
        <v/>
      </c>
      <c r="F2777" s="23" t="str">
        <f>IF(OR(E2777="",E2777="!!!"),"",IF(NOT(ISNA(VLOOKUP(E2777,E$1:E2776,1,FALSE()))),"OLD",IF(AND(E2777&lt;&gt;"",E2777&lt;&gt;"!!!"),"NEW","")))</f>
        <v> </v>
      </c>
      <c r="G2777" s="24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5" t="str">
        <f>IF(J2777&lt;&gt;1,"",IF(I2777="SBJ","CB","?"))</f>
        <v> </v>
      </c>
      <c r="I2777" s="26" t="str">
        <f>IF(OR(E2777="",E2777="!!!",F2777="NEW"),"",INDEX(B2776:B$2,-1+SUMPRODUCT(MAX(ROW(E2776:E$2)*(E2777=E2776:E$2)))))</f>
        <v> </v>
      </c>
      <c r="J2777" s="26" t="str">
        <f>IF(OR(E2777="",E2777="!!!",F2777="NEW"),"",COUNTBLANK(OFFSET(A$1,,,SUMPRODUCT(MAX(ROW(E$2:E2777)*(E2777=E$2:E2777)))))-COUNTBLANK(OFFSET(A$1,,,SUMPRODUCT(MAX(ROW(E$1:E2776)*(E2=E$1:E2776))))))</f>
        <v> </v>
      </c>
      <c r="K2777" s="26" t="str">
        <f>IF(OR(E2777="",E2777="!!!",F2777="NEW"),"",INDEX(J$1:J2776,SUMPRODUCT(MAX(ROW(E$1:E2776)*(E2777=E$1:E2776)))))</f>
        <v> </v>
      </c>
      <c r="L2777" s="27"/>
    </row>
    <row r="2778" spans="1:12">
      <c r="A2778" s="20" t="s">
        <v>922</v>
      </c>
      <c r="B2778" s="21" t="s">
        <v>1349</v>
      </c>
      <c r="C2778" s="21" t="s">
        <v>733</v>
      </c>
      <c r="D2778" s="21" t="s">
        <v>603</v>
      </c>
      <c r="E2778" s="22">
        <f>IF(D2778="?OLD","!!!","")</f>
        <v/>
      </c>
      <c r="F2778" s="23" t="str">
        <f>IF(OR(E2778="",E2778="!!!"),"",IF(NOT(ISNA(VLOOKUP(E2778,E$1:E2777,1,FALSE()))),"OLD",IF(AND(E2778&lt;&gt;"",E2778&lt;&gt;"!!!"),"NEW","")))</f>
        <v> </v>
      </c>
      <c r="G2778" s="24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5" t="str">
        <f>IF(J2778&lt;&gt;1,"",IF(I2778="SBJ","CB","?"))</f>
        <v> </v>
      </c>
      <c r="I2778" s="26" t="str">
        <f>IF(OR(E2778="",E2778="!!!",F2778="NEW"),"",INDEX(B2777:B$2,-1+SUMPRODUCT(MAX(ROW(E2777:E$2)*(E2778=E2777:E$2)))))</f>
        <v> </v>
      </c>
      <c r="J2778" s="26" t="str">
        <f>IF(OR(E2778="",E2778="!!!",F2778="NEW"),"",COUNTBLANK(OFFSET(A$1,,,SUMPRODUCT(MAX(ROW(E$2:E2778)*(E2778=E$2:E2778)))))-COUNTBLANK(OFFSET(A$1,,,SUMPRODUCT(MAX(ROW(E$1:E2777)*(E2=E$1:E2777))))))</f>
        <v> </v>
      </c>
      <c r="K2778" s="26" t="str">
        <f>IF(OR(E2778="",E2778="!!!",F2778="NEW"),"",INDEX(J$1:J2777,SUMPRODUCT(MAX(ROW(E$1:E2777)*(E2778=E$1:E2777)))))</f>
        <v> </v>
      </c>
      <c r="L2778" s="27"/>
    </row>
    <row r="2779" spans="1:12">
      <c r="A2779" s="20" t="s">
        <v>1557</v>
      </c>
      <c r="E2779" s="22">
        <f>IF(D2779="?OLD","!!!","")</f>
        <v/>
      </c>
      <c r="F2779" s="23" t="str">
        <f>IF(OR(E2779="",E2779="!!!"),"",IF(NOT(ISNA(VLOOKUP(E2779,E$1:E2778,1,FALSE()))),"OLD",IF(AND(E2779&lt;&gt;"",E2779&lt;&gt;"!!!"),"NEW","")))</f>
        <v> </v>
      </c>
      <c r="G2779" s="24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5" t="str">
        <f>IF(J2779&lt;&gt;1,"",IF(I2779="SBJ","CB","?"))</f>
        <v> </v>
      </c>
      <c r="I2779" s="26" t="str">
        <f>IF(OR(E2779="",E2779="!!!",F2779="NEW"),"",INDEX(B2778:B$2,-1+SUMPRODUCT(MAX(ROW(E2778:E$2)*(E2779=E2778:E$2)))))</f>
        <v> </v>
      </c>
      <c r="J2779" s="26" t="str">
        <f>IF(OR(E2779="",E2779="!!!",F2779="NEW"),"",COUNTBLANK(OFFSET(A$1,,,SUMPRODUCT(MAX(ROW(E$2:E2779)*(E2779=E$2:E2779)))))-COUNTBLANK(OFFSET(A$1,,,SUMPRODUCT(MAX(ROW(E$1:E2778)*(E2=E$1:E2778))))))</f>
        <v> </v>
      </c>
      <c r="K2779" s="26" t="str">
        <f>IF(OR(E2779="",E2779="!!!",F2779="NEW"),"",INDEX(J$1:J2778,SUMPRODUCT(MAX(ROW(E$1:E2778)*(E2779=E$1:E2778)))))</f>
        <v> </v>
      </c>
      <c r="L2779" s="27"/>
    </row>
    <row r="2780" spans="1:12">
      <c r="A2780" s="20" t="s">
        <v>1902</v>
      </c>
      <c r="E2780" s="22">
        <f>IF(D2780="?OLD","!!!","")</f>
        <v/>
      </c>
      <c r="F2780" s="23" t="str">
        <f>IF(OR(E2780="",E2780="!!!"),"",IF(NOT(ISNA(VLOOKUP(E2780,E$1:E2779,1,FALSE()))),"OLD",IF(AND(E2780&lt;&gt;"",E2780&lt;&gt;"!!!"),"NEW","")))</f>
        <v> </v>
      </c>
      <c r="G2780" s="24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5" t="str">
        <f>IF(J2780&lt;&gt;1,"",IF(I2780="SBJ","CB","?"))</f>
        <v> </v>
      </c>
      <c r="I2780" s="26" t="str">
        <f>IF(OR(E2780="",E2780="!!!",F2780="NEW"),"",INDEX(B2779:B$2,-1+SUMPRODUCT(MAX(ROW(E2779:E$2)*(E2780=E2779:E$2)))))</f>
        <v> </v>
      </c>
      <c r="J2780" s="26" t="str">
        <f>IF(OR(E2780="",E2780="!!!",F2780="NEW"),"",COUNTBLANK(OFFSET(A$1,,,SUMPRODUCT(MAX(ROW(E$2:E2780)*(E2780=E$2:E2780)))))-COUNTBLANK(OFFSET(A$1,,,SUMPRODUCT(MAX(ROW(E$1:E2779)*(E2=E$1:E2779))))))</f>
        <v> </v>
      </c>
      <c r="K2780" s="26" t="str">
        <f>IF(OR(E2780="",E2780="!!!",F2780="NEW"),"",INDEX(J$1:J2779,SUMPRODUCT(MAX(ROW(E$1:E2779)*(E2780=E$1:E2779)))))</f>
        <v> </v>
      </c>
      <c r="L2780" s="27"/>
    </row>
    <row r="2781" spans="1:12">
      <c r="A2781" s="20" t="s">
        <v>677</v>
      </c>
      <c r="E2781" s="22">
        <f>IF(D2781="?OLD","!!!","")</f>
        <v/>
      </c>
      <c r="F2781" s="23" t="str">
        <f>IF(OR(E2781="",E2781="!!!"),"",IF(NOT(ISNA(VLOOKUP(E2781,E$1:E2780,1,FALSE()))),"OLD",IF(AND(E2781&lt;&gt;"",E2781&lt;&gt;"!!!"),"NEW","")))</f>
        <v> </v>
      </c>
      <c r="G2781" s="24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5" t="str">
        <f>IF(J2781&lt;&gt;1,"",IF(I2781="SBJ","CB","?"))</f>
        <v> </v>
      </c>
      <c r="I2781" s="26" t="str">
        <f>IF(OR(E2781="",E2781="!!!",F2781="NEW"),"",INDEX(B2780:B$2,-1+SUMPRODUCT(MAX(ROW(E2780:E$2)*(E2781=E2780:E$2)))))</f>
        <v> </v>
      </c>
      <c r="J2781" s="26" t="str">
        <f>IF(OR(E2781="",E2781="!!!",F2781="NEW"),"",COUNTBLANK(OFFSET(A$1,,,SUMPRODUCT(MAX(ROW(E$2:E2781)*(E2781=E$2:E2781)))))-COUNTBLANK(OFFSET(A$1,,,SUMPRODUCT(MAX(ROW(E$1:E2780)*(E2=E$1:E2780))))))</f>
        <v> </v>
      </c>
      <c r="K2781" s="26" t="str">
        <f>IF(OR(E2781="",E2781="!!!",F2781="NEW"),"",INDEX(J$1:J2780,SUMPRODUCT(MAX(ROW(E$1:E2780)*(E2781=E$1:E2780)))))</f>
        <v> </v>
      </c>
      <c r="L2781" s="27"/>
    </row>
    <row r="2782" spans="1:12">
      <c r="A2782" s="20" t="s">
        <v>752</v>
      </c>
      <c r="E2782" s="22">
        <f>IF(D2782="?OLD","!!!","")</f>
        <v/>
      </c>
      <c r="F2782" s="23" t="str">
        <f>IF(OR(E2782="",E2782="!!!"),"",IF(NOT(ISNA(VLOOKUP(E2782,E$1:E2781,1,FALSE()))),"OLD",IF(AND(E2782&lt;&gt;"",E2782&lt;&gt;"!!!"),"NEW","")))</f>
        <v> </v>
      </c>
      <c r="G2782" s="24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5" t="str">
        <f>IF(J2782&lt;&gt;1,"",IF(I2782="SBJ","CB","?"))</f>
        <v> </v>
      </c>
      <c r="I2782" s="26" t="str">
        <f>IF(OR(E2782="",E2782="!!!",F2782="NEW"),"",INDEX(B2781:B$2,-1+SUMPRODUCT(MAX(ROW(E2781:E$2)*(E2782=E2781:E$2)))))</f>
        <v> </v>
      </c>
      <c r="J2782" s="26" t="str">
        <f>IF(OR(E2782="",E2782="!!!",F2782="NEW"),"",COUNTBLANK(OFFSET(A$1,,,SUMPRODUCT(MAX(ROW(E$2:E2782)*(E2782=E$2:E2782)))))-COUNTBLANK(OFFSET(A$1,,,SUMPRODUCT(MAX(ROW(E$1:E2781)*(E2=E$1:E2781))))))</f>
        <v> </v>
      </c>
      <c r="K2782" s="26" t="str">
        <f>IF(OR(E2782="",E2782="!!!",F2782="NEW"),"",INDEX(J$1:J2781,SUMPRODUCT(MAX(ROW(E$1:E2781)*(E2782=E$1:E2781)))))</f>
        <v> </v>
      </c>
      <c r="L2782" s="27"/>
    </row>
    <row r="2783" spans="1:12">
      <c r="A2783" s="20" t="s">
        <v>1903</v>
      </c>
      <c r="B2783" s="21" t="s">
        <v>636</v>
      </c>
      <c r="E2783" s="22">
        <f>IF(D2783="?OLD","!!!","")</f>
        <v/>
      </c>
      <c r="F2783" s="23" t="str">
        <f>IF(OR(E2783="",E2783="!!!"),"",IF(NOT(ISNA(VLOOKUP(E2783,E$1:E2782,1,FALSE()))),"OLD",IF(AND(E2783&lt;&gt;"",E2783&lt;&gt;"!!!"),"NEW","")))</f>
        <v> </v>
      </c>
      <c r="G2783" s="24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5" t="str">
        <f>IF(J2783&lt;&gt;1,"",IF(I2783="SBJ","CB","?"))</f>
        <v> </v>
      </c>
      <c r="I2783" s="26" t="str">
        <f>IF(OR(E2783="",E2783="!!!",F2783="NEW"),"",INDEX(B2782:B$2,-1+SUMPRODUCT(MAX(ROW(E2782:E$2)*(E2783=E2782:E$2)))))</f>
        <v> </v>
      </c>
      <c r="J2783" s="26" t="str">
        <f>IF(OR(E2783="",E2783="!!!",F2783="NEW"),"",COUNTBLANK(OFFSET(A$1,,,SUMPRODUCT(MAX(ROW(E$2:E2783)*(E2783=E$2:E2783)))))-COUNTBLANK(OFFSET(A$1,,,SUMPRODUCT(MAX(ROW(E$1:E2782)*(E2=E$1:E2782))))))</f>
        <v> </v>
      </c>
      <c r="K2783" s="26" t="str">
        <f>IF(OR(E2783="",E2783="!!!",F2783="NEW"),"",INDEX(J$1:J2782,SUMPRODUCT(MAX(ROW(E$1:E2782)*(E2783=E$1:E2782)))))</f>
        <v> </v>
      </c>
      <c r="L2783" s="27"/>
    </row>
    <row r="2784" spans="1:12">
      <c r="A2784" s="20" t="s">
        <v>866</v>
      </c>
      <c r="E2784" s="22">
        <f>IF(D2784="?OLD","!!!","")</f>
        <v/>
      </c>
      <c r="F2784" s="23" t="str">
        <f>IF(OR(E2784="",E2784="!!!"),"",IF(NOT(ISNA(VLOOKUP(E2784,E$1:E2783,1,FALSE()))),"OLD",IF(AND(E2784&lt;&gt;"",E2784&lt;&gt;"!!!"),"NEW","")))</f>
        <v> </v>
      </c>
      <c r="G2784" s="24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5" t="str">
        <f>IF(J2784&lt;&gt;1,"",IF(I2784="SBJ","CB","?"))</f>
        <v> </v>
      </c>
      <c r="I2784" s="26" t="str">
        <f>IF(OR(E2784="",E2784="!!!",F2784="NEW"),"",INDEX(B2783:B$2,-1+SUMPRODUCT(MAX(ROW(E2783:E$2)*(E2784=E2783:E$2)))))</f>
        <v> </v>
      </c>
      <c r="J2784" s="26" t="str">
        <f>IF(OR(E2784="",E2784="!!!",F2784="NEW"),"",COUNTBLANK(OFFSET(A$1,,,SUMPRODUCT(MAX(ROW(E$2:E2784)*(E2784=E$2:E2784)))))-COUNTBLANK(OFFSET(A$1,,,SUMPRODUCT(MAX(ROW(E$1:E2783)*(E2=E$1:E2783))))))</f>
        <v> </v>
      </c>
      <c r="K2784" s="26" t="str">
        <f>IF(OR(E2784="",E2784="!!!",F2784="NEW"),"",INDEX(J$1:J2783,SUMPRODUCT(MAX(ROW(E$1:E2783)*(E2784=E$1:E2783)))))</f>
        <v> </v>
      </c>
      <c r="L2784" s="27"/>
    </row>
    <row r="2785" spans="1:12">
      <c r="A2785" s="20" t="s">
        <v>721</v>
      </c>
      <c r="E2785" s="22">
        <f>IF(D2785="?OLD","!!!","")</f>
        <v/>
      </c>
      <c r="F2785" s="23" t="str">
        <f>IF(OR(E2785="",E2785="!!!"),"",IF(NOT(ISNA(VLOOKUP(E2785,E$1:E2784,1,FALSE()))),"OLD",IF(AND(E2785&lt;&gt;"",E2785&lt;&gt;"!!!"),"NEW","")))</f>
        <v> </v>
      </c>
      <c r="G2785" s="24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5" t="str">
        <f>IF(J2785&lt;&gt;1,"",IF(I2785="SBJ","CB","?"))</f>
        <v> </v>
      </c>
      <c r="I2785" s="26" t="str">
        <f>IF(OR(E2785="",E2785="!!!",F2785="NEW"),"",INDEX(B2784:B$2,-1+SUMPRODUCT(MAX(ROW(E2784:E$2)*(E2785=E2784:E$2)))))</f>
        <v> </v>
      </c>
      <c r="J2785" s="26" t="str">
        <f>IF(OR(E2785="",E2785="!!!",F2785="NEW"),"",COUNTBLANK(OFFSET(A$1,,,SUMPRODUCT(MAX(ROW(E$2:E2785)*(E2785=E$2:E2785)))))-COUNTBLANK(OFFSET(A$1,,,SUMPRODUCT(MAX(ROW(E$1:E2784)*(E2=E$1:E2784))))))</f>
        <v> </v>
      </c>
      <c r="K2785" s="26" t="str">
        <f>IF(OR(E2785="",E2785="!!!",F2785="NEW"),"",INDEX(J$1:J2784,SUMPRODUCT(MAX(ROW(E$1:E2784)*(E2785=E$1:E2784)))))</f>
        <v> </v>
      </c>
      <c r="L2785" s="27"/>
    </row>
    <row r="2786" spans="1:12">
      <c r="A2786" s="20" t="s">
        <v>1904</v>
      </c>
      <c r="E2786" s="22">
        <f>IF(D2786="?OLD","!!!","")</f>
        <v/>
      </c>
      <c r="F2786" s="23" t="str">
        <f>IF(OR(E2786="",E2786="!!!"),"",IF(NOT(ISNA(VLOOKUP(E2786,E$1:E2785,1,FALSE()))),"OLD",IF(AND(E2786&lt;&gt;"",E2786&lt;&gt;"!!!"),"NEW","")))</f>
        <v> </v>
      </c>
      <c r="G2786" s="24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5" t="str">
        <f>IF(J2786&lt;&gt;1,"",IF(I2786="SBJ","CB","?"))</f>
        <v> </v>
      </c>
      <c r="I2786" s="26" t="str">
        <f>IF(OR(E2786="",E2786="!!!",F2786="NEW"),"",INDEX(B2785:B$2,-1+SUMPRODUCT(MAX(ROW(E2785:E$2)*(E2786=E2785:E$2)))))</f>
        <v> </v>
      </c>
      <c r="J2786" s="26" t="str">
        <f>IF(OR(E2786="",E2786="!!!",F2786="NEW"),"",COUNTBLANK(OFFSET(A$1,,,SUMPRODUCT(MAX(ROW(E$2:E2786)*(E2786=E$2:E2786)))))-COUNTBLANK(OFFSET(A$1,,,SUMPRODUCT(MAX(ROW(E$1:E2785)*(E2=E$1:E2785))))))</f>
        <v> </v>
      </c>
      <c r="K2786" s="26" t="str">
        <f>IF(OR(E2786="",E2786="!!!",F2786="NEW"),"",INDEX(J$1:J2785,SUMPRODUCT(MAX(ROW(E$1:E2785)*(E2786=E$1:E2785)))))</f>
        <v> </v>
      </c>
      <c r="L2786" s="27"/>
    </row>
    <row r="2787" spans="1:12">
      <c r="A2787" s="20" t="s">
        <v>677</v>
      </c>
      <c r="E2787" s="22">
        <f>IF(D2787="?OLD","!!!","")</f>
        <v/>
      </c>
      <c r="F2787" s="23" t="str">
        <f>IF(OR(E2787="",E2787="!!!"),"",IF(NOT(ISNA(VLOOKUP(E2787,E$1:E2786,1,FALSE()))),"OLD",IF(AND(E2787&lt;&gt;"",E2787&lt;&gt;"!!!"),"NEW","")))</f>
        <v> </v>
      </c>
      <c r="G2787" s="24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5" t="str">
        <f>IF(J2787&lt;&gt;1,"",IF(I2787="SBJ","CB","?"))</f>
        <v> </v>
      </c>
      <c r="I2787" s="26" t="str">
        <f>IF(OR(E2787="",E2787="!!!",F2787="NEW"),"",INDEX(B2786:B$2,-1+SUMPRODUCT(MAX(ROW(E2786:E$2)*(E2787=E2786:E$2)))))</f>
        <v> </v>
      </c>
      <c r="J2787" s="26" t="str">
        <f>IF(OR(E2787="",E2787="!!!",F2787="NEW"),"",COUNTBLANK(OFFSET(A$1,,,SUMPRODUCT(MAX(ROW(E$2:E2787)*(E2787=E$2:E2787)))))-COUNTBLANK(OFFSET(A$1,,,SUMPRODUCT(MAX(ROW(E$1:E2786)*(E2=E$1:E2786))))))</f>
        <v> </v>
      </c>
      <c r="K2787" s="26" t="str">
        <f>IF(OR(E2787="",E2787="!!!",F2787="NEW"),"",INDEX(J$1:J2786,SUMPRODUCT(MAX(ROW(E$1:E2786)*(E2787=E$1:E2786)))))</f>
        <v> </v>
      </c>
      <c r="L2787" s="27"/>
    </row>
    <row r="2788" spans="1:12">
      <c r="A2788" s="20" t="s">
        <v>646</v>
      </c>
      <c r="E2788" s="22">
        <f>IF(D2788="?OLD","!!!","")</f>
        <v/>
      </c>
      <c r="F2788" s="23" t="str">
        <f>IF(OR(E2788="",E2788="!!!"),"",IF(NOT(ISNA(VLOOKUP(E2788,E$1:E2787,1,FALSE()))),"OLD",IF(AND(E2788&lt;&gt;"",E2788&lt;&gt;"!!!"),"NEW","")))</f>
        <v> </v>
      </c>
      <c r="G2788" s="24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5" t="str">
        <f>IF(J2788&lt;&gt;1,"",IF(I2788="SBJ","CB","?"))</f>
        <v> </v>
      </c>
      <c r="I2788" s="26" t="str">
        <f>IF(OR(E2788="",E2788="!!!",F2788="NEW"),"",INDEX(B2787:B$2,-1+SUMPRODUCT(MAX(ROW(E2787:E$2)*(E2788=E2787:E$2)))))</f>
        <v> </v>
      </c>
      <c r="J2788" s="26" t="str">
        <f>IF(OR(E2788="",E2788="!!!",F2788="NEW"),"",COUNTBLANK(OFFSET(A$1,,,SUMPRODUCT(MAX(ROW(E$2:E2788)*(E2788=E$2:E2788)))))-COUNTBLANK(OFFSET(A$1,,,SUMPRODUCT(MAX(ROW(E$1:E2787)*(E2=E$1:E2787))))))</f>
        <v> </v>
      </c>
      <c r="K2788" s="26" t="str">
        <f>IF(OR(E2788="",E2788="!!!",F2788="NEW"),"",INDEX(J$1:J2787,SUMPRODUCT(MAX(ROW(E$1:E2787)*(E2788=E$1:E2787)))))</f>
        <v> </v>
      </c>
      <c r="L2788" s="27"/>
    </row>
    <row r="2789" spans="1:12">
      <c r="A2789" s="20" t="s">
        <v>64</v>
      </c>
      <c r="E2789" s="22">
        <f>IF(D2789="?OLD","!!!","")</f>
        <v/>
      </c>
      <c r="F2789" s="23" t="str">
        <f>IF(OR(E2789="",E2789="!!!"),"",IF(NOT(ISNA(VLOOKUP(E2789,E$1:E2788,1,FALSE()))),"OLD",IF(AND(E2789&lt;&gt;"",E2789&lt;&gt;"!!!"),"NEW","")))</f>
        <v> </v>
      </c>
      <c r="G2789" s="24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5" t="str">
        <f>IF(J2789&lt;&gt;1,"",IF(I2789="SBJ","CB","?"))</f>
        <v> </v>
      </c>
      <c r="I2789" s="26" t="str">
        <f>IF(OR(E2789="",E2789="!!!",F2789="NEW"),"",INDEX(B2788:B$2,-1+SUMPRODUCT(MAX(ROW(E2788:E$2)*(E2789=E2788:E$2)))))</f>
        <v> </v>
      </c>
      <c r="J2789" s="26" t="str">
        <f>IF(OR(E2789="",E2789="!!!",F2789="NEW"),"",COUNTBLANK(OFFSET(A$1,,,SUMPRODUCT(MAX(ROW(E$2:E2789)*(E2789=E$2:E2789)))))-COUNTBLANK(OFFSET(A$1,,,SUMPRODUCT(MAX(ROW(E$1:E2788)*(E2=E$1:E2788))))))</f>
        <v> </v>
      </c>
      <c r="K2789" s="26" t="str">
        <f>IF(OR(E2789="",E2789="!!!",F2789="NEW"),"",INDEX(J$1:J2788,SUMPRODUCT(MAX(ROW(E$1:E2788)*(E2789=E$1:E2788)))))</f>
        <v> </v>
      </c>
      <c r="L2789" s="27"/>
    </row>
    <row r="2790" spans="1:12">
      <c r="A2790" s="20" t="s">
        <v>1899</v>
      </c>
      <c r="B2790" s="21" t="s">
        <v>613</v>
      </c>
      <c r="C2790" s="21" t="s">
        <v>614</v>
      </c>
      <c r="E2790" s="22">
        <f>IF(D2790="?OLD","!!!","")</f>
        <v/>
      </c>
      <c r="F2790" s="23" t="str">
        <f>IF(OR(E2790="",E2790="!!!"),"",IF(NOT(ISNA(VLOOKUP(E2790,E$1:E2789,1,FALSE()))),"OLD",IF(AND(E2790&lt;&gt;"",E2790&lt;&gt;"!!!"),"NEW","")))</f>
        <v> </v>
      </c>
      <c r="G2790" s="24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5" t="str">
        <f>IF(J2790&lt;&gt;1,"",IF(I2790="SBJ","CB","?"))</f>
        <v> </v>
      </c>
      <c r="I2790" s="26" t="str">
        <f>IF(OR(E2790="",E2790="!!!",F2790="NEW"),"",INDEX(B2789:B$2,-1+SUMPRODUCT(MAX(ROW(E2789:E$2)*(E2790=E2789:E$2)))))</f>
        <v> </v>
      </c>
      <c r="J2790" s="26" t="str">
        <f>IF(OR(E2790="",E2790="!!!",F2790="NEW"),"",COUNTBLANK(OFFSET(A$1,,,SUMPRODUCT(MAX(ROW(E$2:E2790)*(E2790=E$2:E2790)))))-COUNTBLANK(OFFSET(A$1,,,SUMPRODUCT(MAX(ROW(E$1:E2789)*(E2=E$1:E2789))))))</f>
        <v> </v>
      </c>
      <c r="K2790" s="26" t="str">
        <f>IF(OR(E2790="",E2790="!!!",F2790="NEW"),"",INDEX(J$1:J2789,SUMPRODUCT(MAX(ROW(E$1:E2789)*(E2790=E$1:E2789)))))</f>
        <v> </v>
      </c>
      <c r="L2790" s="27"/>
    </row>
    <row r="2791" spans="1:12">
      <c r="A2791" s="20" t="s">
        <v>1905</v>
      </c>
      <c r="B2791" s="21" t="s">
        <v>613</v>
      </c>
      <c r="E2791" s="22">
        <f>IF(D2791="?OLD","!!!","")</f>
        <v/>
      </c>
      <c r="F2791" s="23" t="str">
        <f>IF(OR(E2791="",E2791="!!!"),"",IF(NOT(ISNA(VLOOKUP(E2791,E$1:E2790,1,FALSE()))),"OLD",IF(AND(E2791&lt;&gt;"",E2791&lt;&gt;"!!!"),"NEW","")))</f>
        <v> </v>
      </c>
      <c r="G2791" s="24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5" t="str">
        <f>IF(J2791&lt;&gt;1,"",IF(I2791="SBJ","CB","?"))</f>
        <v> </v>
      </c>
      <c r="I2791" s="26" t="str">
        <f>IF(OR(E2791="",E2791="!!!",F2791="NEW"),"",INDEX(B2790:B$2,-1+SUMPRODUCT(MAX(ROW(E2790:E$2)*(E2791=E2790:E$2)))))</f>
        <v> </v>
      </c>
      <c r="J2791" s="26" t="str">
        <f>IF(OR(E2791="",E2791="!!!",F2791="NEW"),"",COUNTBLANK(OFFSET(A$1,,,SUMPRODUCT(MAX(ROW(E$2:E2791)*(E2791=E$2:E2791)))))-COUNTBLANK(OFFSET(A$1,,,SUMPRODUCT(MAX(ROW(E$1:E2790)*(E2=E$1:E2790))))))</f>
        <v> </v>
      </c>
      <c r="K2791" s="26" t="str">
        <f>IF(OR(E2791="",E2791="!!!",F2791="NEW"),"",INDEX(J$1:J2790,SUMPRODUCT(MAX(ROW(E$1:E2790)*(E2791=E$1:E2790)))))</f>
        <v> </v>
      </c>
      <c r="L2791" s="27"/>
    </row>
    <row r="2792" spans="1:12">
      <c r="A2792" s="20" t="s">
        <v>662</v>
      </c>
      <c r="E2792" s="22">
        <f>IF(D2792="?OLD","!!!","")</f>
        <v/>
      </c>
      <c r="F2792" s="23" t="str">
        <f>IF(OR(E2792="",E2792="!!!"),"",IF(NOT(ISNA(VLOOKUP(E2792,E$1:E2791,1,FALSE()))),"OLD",IF(AND(E2792&lt;&gt;"",E2792&lt;&gt;"!!!"),"NEW","")))</f>
        <v> </v>
      </c>
      <c r="G2792" s="24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5" t="str">
        <f>IF(J2792&lt;&gt;1,"",IF(I2792="SBJ","CB","?"))</f>
        <v> </v>
      </c>
      <c r="I2792" s="26" t="str">
        <f>IF(OR(E2792="",E2792="!!!",F2792="NEW"),"",INDEX(B2791:B$2,-1+SUMPRODUCT(MAX(ROW(E2791:E$2)*(E2792=E2791:E$2)))))</f>
        <v> </v>
      </c>
      <c r="J2792" s="26" t="str">
        <f>IF(OR(E2792="",E2792="!!!",F2792="NEW"),"",COUNTBLANK(OFFSET(A$1,,,SUMPRODUCT(MAX(ROW(E$2:E2792)*(E2792=E$2:E2792)))))-COUNTBLANK(OFFSET(A$1,,,SUMPRODUCT(MAX(ROW(E$1:E2791)*(E2=E$1:E2791))))))</f>
        <v> </v>
      </c>
      <c r="K2792" s="26" t="str">
        <f>IF(OR(E2792="",E2792="!!!",F2792="NEW"),"",INDEX(J$1:J2791,SUMPRODUCT(MAX(ROW(E$1:E2791)*(E2792=E$1:E2791)))))</f>
        <v> </v>
      </c>
      <c r="L2792" s="27"/>
    </row>
    <row r="2793" spans="1:12">
      <c r="A2793" s="20" t="s">
        <v>1906</v>
      </c>
      <c r="E2793" s="22">
        <f>IF(D2793="?OLD","!!!","")</f>
        <v/>
      </c>
      <c r="F2793" s="23" t="str">
        <f>IF(OR(E2793="",E2793="!!!"),"",IF(NOT(ISNA(VLOOKUP(E2793,E$1:E2792,1,FALSE()))),"OLD",IF(AND(E2793&lt;&gt;"",E2793&lt;&gt;"!!!"),"NEW","")))</f>
        <v> </v>
      </c>
      <c r="G2793" s="24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5" t="str">
        <f>IF(J2793&lt;&gt;1,"",IF(I2793="SBJ","CB","?"))</f>
        <v> </v>
      </c>
      <c r="I2793" s="26" t="str">
        <f>IF(OR(E2793="",E2793="!!!",F2793="NEW"),"",INDEX(B2792:B$2,-1+SUMPRODUCT(MAX(ROW(E2792:E$2)*(E2793=E2792:E$2)))))</f>
        <v> </v>
      </c>
      <c r="J2793" s="26" t="str">
        <f>IF(OR(E2793="",E2793="!!!",F2793="NEW"),"",COUNTBLANK(OFFSET(A$1,,,SUMPRODUCT(MAX(ROW(E$2:E2793)*(E2793=E$2:E2793)))))-COUNTBLANK(OFFSET(A$1,,,SUMPRODUCT(MAX(ROW(E$1:E2792)*(E2=E$1:E2792))))))</f>
        <v> </v>
      </c>
      <c r="K2793" s="26" t="str">
        <f>IF(OR(E2793="",E2793="!!!",F2793="NEW"),"",INDEX(J$1:J2792,SUMPRODUCT(MAX(ROW(E$1:E2792)*(E2793=E$1:E2792)))))</f>
        <v> </v>
      </c>
      <c r="L2793" s="27"/>
    </row>
    <row r="2794" spans="1:12">
      <c r="A2794" s="20" t="s">
        <v>628</v>
      </c>
      <c r="E2794" s="22">
        <f>IF(D2794="?OLD","!!!","")</f>
        <v/>
      </c>
      <c r="F2794" s="23" t="str">
        <f>IF(OR(E2794="",E2794="!!!"),"",IF(NOT(ISNA(VLOOKUP(E2794,E$1:E2793,1,FALSE()))),"OLD",IF(AND(E2794&lt;&gt;"",E2794&lt;&gt;"!!!"),"NEW","")))</f>
        <v> </v>
      </c>
      <c r="G2794" s="24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5" t="str">
        <f>IF(J2794&lt;&gt;1,"",IF(I2794="SBJ","CB","?"))</f>
        <v> </v>
      </c>
      <c r="I2794" s="26" t="str">
        <f>IF(OR(E2794="",E2794="!!!",F2794="NEW"),"",INDEX(B2793:B$2,-1+SUMPRODUCT(MAX(ROW(E2793:E$2)*(E2794=E2793:E$2)))))</f>
        <v> </v>
      </c>
      <c r="J2794" s="26" t="str">
        <f>IF(OR(E2794="",E2794="!!!",F2794="NEW"),"",COUNTBLANK(OFFSET(A$1,,,SUMPRODUCT(MAX(ROW(E$2:E2794)*(E2794=E$2:E2794)))))-COUNTBLANK(OFFSET(A$1,,,SUMPRODUCT(MAX(ROW(E$1:E2793)*(E2=E$1:E2793))))))</f>
        <v> </v>
      </c>
      <c r="K2794" s="26" t="str">
        <f>IF(OR(E2794="",E2794="!!!",F2794="NEW"),"",INDEX(J$1:J2793,SUMPRODUCT(MAX(ROW(E$1:E2793)*(E2794=E$1:E2793)))))</f>
        <v> </v>
      </c>
      <c r="L2794" s="27"/>
    </row>
    <row r="2795" spans="1:12">
      <c r="A2795" s="20" t="s">
        <v>1156</v>
      </c>
      <c r="B2795" s="21" t="s">
        <v>1349</v>
      </c>
      <c r="C2795" s="21" t="s">
        <v>602</v>
      </c>
      <c r="D2795" s="21" t="s">
        <v>603</v>
      </c>
      <c r="E2795" s="22">
        <f>IF(D2795="?OLD","!!!","")</f>
        <v/>
      </c>
      <c r="F2795" s="23" t="str">
        <f>IF(OR(E2795="",E2795="!!!"),"",IF(NOT(ISNA(VLOOKUP(E2795,E$1:E2794,1,FALSE()))),"OLD",IF(AND(E2795&lt;&gt;"",E2795&lt;&gt;"!!!"),"NEW","")))</f>
        <v> </v>
      </c>
      <c r="G2795" s="24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5" t="str">
        <f>IF(J2795&lt;&gt;1,"",IF(I2795="SBJ","CB","?"))</f>
        <v> </v>
      </c>
      <c r="I2795" s="26" t="str">
        <f>IF(OR(E2795="",E2795="!!!",F2795="NEW"),"",INDEX(B2794:B$2,-1+SUMPRODUCT(MAX(ROW(E2794:E$2)*(E2795=E2794:E$2)))))</f>
        <v> </v>
      </c>
      <c r="J2795" s="26" t="str">
        <f>IF(OR(E2795="",E2795="!!!",F2795="NEW"),"",COUNTBLANK(OFFSET(A$1,,,SUMPRODUCT(MAX(ROW(E$2:E2795)*(E2795=E$2:E2795)))))-COUNTBLANK(OFFSET(A$1,,,SUMPRODUCT(MAX(ROW(E$1:E2794)*(E2=E$1:E2794))))))</f>
        <v> </v>
      </c>
      <c r="K2795" s="26" t="str">
        <f>IF(OR(E2795="",E2795="!!!",F2795="NEW"),"",INDEX(J$1:J2794,SUMPRODUCT(MAX(ROW(E$1:E2794)*(E2795=E$1:E2794)))))</f>
        <v> </v>
      </c>
      <c r="L2795" s="27"/>
    </row>
    <row r="2796" spans="1:12">
      <c r="A2796" s="20" t="s">
        <v>1907</v>
      </c>
      <c r="E2796" s="22">
        <f>IF(D2796="?OLD","!!!","")</f>
        <v/>
      </c>
      <c r="F2796" s="23" t="str">
        <f>IF(OR(E2796="",E2796="!!!"),"",IF(NOT(ISNA(VLOOKUP(E2796,E$1:E2795,1,FALSE()))),"OLD",IF(AND(E2796&lt;&gt;"",E2796&lt;&gt;"!!!"),"NEW","")))</f>
        <v> </v>
      </c>
      <c r="G2796" s="24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5" t="str">
        <f>IF(J2796&lt;&gt;1,"",IF(I2796="SBJ","CB","?"))</f>
        <v> </v>
      </c>
      <c r="I2796" s="26" t="str">
        <f>IF(OR(E2796="",E2796="!!!",F2796="NEW"),"",INDEX(B2795:B$2,-1+SUMPRODUCT(MAX(ROW(E2795:E$2)*(E2796=E2795:E$2)))))</f>
        <v> </v>
      </c>
      <c r="J2796" s="26" t="str">
        <f>IF(OR(E2796="",E2796="!!!",F2796="NEW"),"",COUNTBLANK(OFFSET(A$1,,,SUMPRODUCT(MAX(ROW(E$2:E2796)*(E2796=E$2:E2796)))))-COUNTBLANK(OFFSET(A$1,,,SUMPRODUCT(MAX(ROW(E$1:E2795)*(E2=E$1:E2795))))))</f>
        <v> </v>
      </c>
      <c r="K2796" s="26" t="str">
        <f>IF(OR(E2796="",E2796="!!!",F2796="NEW"),"",INDEX(J$1:J2795,SUMPRODUCT(MAX(ROW(E$1:E2795)*(E2796=E$1:E2795)))))</f>
        <v> </v>
      </c>
      <c r="L2796" s="27"/>
    </row>
    <row r="2797" spans="1:12">
      <c r="A2797" s="20" t="s">
        <v>611</v>
      </c>
      <c r="E2797" s="22">
        <f>IF(D2797="?OLD","!!!","")</f>
        <v/>
      </c>
      <c r="F2797" s="23" t="str">
        <f>IF(OR(E2797="",E2797="!!!"),"",IF(NOT(ISNA(VLOOKUP(E2797,E$1:E2796,1,FALSE()))),"OLD",IF(AND(E2797&lt;&gt;"",E2797&lt;&gt;"!!!"),"NEW","")))</f>
        <v> </v>
      </c>
      <c r="G2797" s="24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5" t="str">
        <f>IF(J2797&lt;&gt;1,"",IF(I2797="SBJ","CB","?"))</f>
        <v> </v>
      </c>
      <c r="I2797" s="26" t="str">
        <f>IF(OR(E2797="",E2797="!!!",F2797="NEW"),"",INDEX(B2796:B$2,-1+SUMPRODUCT(MAX(ROW(E2796:E$2)*(E2797=E2796:E$2)))))</f>
        <v> </v>
      </c>
      <c r="J2797" s="26" t="str">
        <f>IF(OR(E2797="",E2797="!!!",F2797="NEW"),"",COUNTBLANK(OFFSET(A$1,,,SUMPRODUCT(MAX(ROW(E$2:E2797)*(E2797=E$2:E2797)))))-COUNTBLANK(OFFSET(A$1,,,SUMPRODUCT(MAX(ROW(E$1:E2796)*(E2=E$1:E2796))))))</f>
        <v> </v>
      </c>
      <c r="K2797" s="26" t="str">
        <f>IF(OR(E2797="",E2797="!!!",F2797="NEW"),"",INDEX(J$1:J2796,SUMPRODUCT(MAX(ROW(E$1:E2796)*(E2797=E$1:E2796)))))</f>
        <v> </v>
      </c>
      <c r="L2797" s="27"/>
    </row>
    <row r="2798" spans="1:12">
      <c r="A2798" s="20" t="s">
        <v>239</v>
      </c>
      <c r="E2798" s="22">
        <f>IF(D2798="?OLD","!!!","")</f>
        <v/>
      </c>
      <c r="F2798" s="23" t="str">
        <f>IF(OR(E2798="",E2798="!!!"),"",IF(NOT(ISNA(VLOOKUP(E2798,E$1:E2797,1,FALSE()))),"OLD",IF(AND(E2798&lt;&gt;"",E2798&lt;&gt;"!!!"),"NEW","")))</f>
        <v> </v>
      </c>
      <c r="G2798" s="24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5" t="str">
        <f>IF(J2798&lt;&gt;1,"",IF(I2798="SBJ","CB","?"))</f>
        <v> </v>
      </c>
      <c r="I2798" s="26" t="str">
        <f>IF(OR(E2798="",E2798="!!!",F2798="NEW"),"",INDEX(B2797:B$2,-1+SUMPRODUCT(MAX(ROW(E2797:E$2)*(E2798=E2797:E$2)))))</f>
        <v> </v>
      </c>
      <c r="J2798" s="26" t="str">
        <f>IF(OR(E2798="",E2798="!!!",F2798="NEW"),"",COUNTBLANK(OFFSET(A$1,,,SUMPRODUCT(MAX(ROW(E$2:E2798)*(E2798=E$2:E2798)))))-COUNTBLANK(OFFSET(A$1,,,SUMPRODUCT(MAX(ROW(E$1:E2797)*(E2=E$1:E2797))))))</f>
        <v> </v>
      </c>
      <c r="K2798" s="26" t="str">
        <f>IF(OR(E2798="",E2798="!!!",F2798="NEW"),"",INDEX(J$1:J2797,SUMPRODUCT(MAX(ROW(E$1:E2797)*(E2798=E$1:E2797)))))</f>
        <v> </v>
      </c>
      <c r="L2798" s="27"/>
    </row>
    <row r="2799" spans="1:12">
      <c r="A2799" s="20" t="s">
        <v>722</v>
      </c>
      <c r="B2799" s="21" t="s">
        <v>601</v>
      </c>
      <c r="C2799" s="21" t="s">
        <v>723</v>
      </c>
      <c r="D2799" s="21" t="s">
        <v>603</v>
      </c>
      <c r="E2799" s="22">
        <f>IF(D2799="?OLD","!!!","")</f>
        <v/>
      </c>
      <c r="F2799" s="23" t="str">
        <f>IF(OR(E2799="",E2799="!!!"),"",IF(NOT(ISNA(VLOOKUP(E2799,E$1:E2798,1,FALSE()))),"OLD",IF(AND(E2799&lt;&gt;"",E2799&lt;&gt;"!!!"),"NEW","")))</f>
        <v> </v>
      </c>
      <c r="G2799" s="24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5" t="str">
        <f>IF(J2799&lt;&gt;1,"",IF(I2799="SBJ","CB","?"))</f>
        <v> </v>
      </c>
      <c r="I2799" s="26" t="str">
        <f>IF(OR(E2799="",E2799="!!!",F2799="NEW"),"",INDEX(B2798:B$2,-1+SUMPRODUCT(MAX(ROW(E2798:E$2)*(E2799=E2798:E$2)))))</f>
        <v> </v>
      </c>
      <c r="J2799" s="26" t="str">
        <f>IF(OR(E2799="",E2799="!!!",F2799="NEW"),"",COUNTBLANK(OFFSET(A$1,,,SUMPRODUCT(MAX(ROW(E$2:E2799)*(E2799=E$2:E2799)))))-COUNTBLANK(OFFSET(A$1,,,SUMPRODUCT(MAX(ROW(E$1:E2798)*(E2=E$1:E2798))))))</f>
        <v> </v>
      </c>
      <c r="K2799" s="26" t="str">
        <f>IF(OR(E2799="",E2799="!!!",F2799="NEW"),"",INDEX(J$1:J2798,SUMPRODUCT(MAX(ROW(E$1:E2798)*(E2799=E$1:E2798)))))</f>
        <v> </v>
      </c>
      <c r="L2799" s="27"/>
    </row>
    <row r="2800" spans="1:12">
      <c r="A2800" s="20" t="s">
        <v>1908</v>
      </c>
      <c r="E2800" s="22">
        <f>IF(D2800="?OLD","!!!","")</f>
        <v/>
      </c>
      <c r="F2800" s="23" t="str">
        <f>IF(OR(E2800="",E2800="!!!"),"",IF(NOT(ISNA(VLOOKUP(E2800,E$1:E2799,1,FALSE()))),"OLD",IF(AND(E2800&lt;&gt;"",E2800&lt;&gt;"!!!"),"NEW","")))</f>
        <v> </v>
      </c>
      <c r="G2800" s="24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5" t="str">
        <f>IF(J2800&lt;&gt;1,"",IF(I2800="SBJ","CB","?"))</f>
        <v> </v>
      </c>
      <c r="I2800" s="26" t="str">
        <f>IF(OR(E2800="",E2800="!!!",F2800="NEW"),"",INDEX(B2799:B$2,-1+SUMPRODUCT(MAX(ROW(E2799:E$2)*(E2800=E2799:E$2)))))</f>
        <v> </v>
      </c>
      <c r="J2800" s="26" t="str">
        <f>IF(OR(E2800="",E2800="!!!",F2800="NEW"),"",COUNTBLANK(OFFSET(A$1,,,SUMPRODUCT(MAX(ROW(E$2:E2800)*(E2800=E$2:E2800)))))-COUNTBLANK(OFFSET(A$1,,,SUMPRODUCT(MAX(ROW(E$1:E2799)*(E2=E$1:E2799))))))</f>
        <v> </v>
      </c>
      <c r="K2800" s="26" t="str">
        <f>IF(OR(E2800="",E2800="!!!",F2800="NEW"),"",INDEX(J$1:J2799,SUMPRODUCT(MAX(ROW(E$1:E2799)*(E2800=E$1:E2799)))))</f>
        <v> </v>
      </c>
      <c r="L2800" s="27"/>
    </row>
    <row r="2801" spans="1:12">
      <c r="A2801" s="20" t="s">
        <v>152</v>
      </c>
      <c r="E2801" s="22">
        <f>IF(D2801="?OLD","!!!","")</f>
        <v/>
      </c>
      <c r="F2801" s="23" t="str">
        <f>IF(OR(E2801="",E2801="!!!"),"",IF(NOT(ISNA(VLOOKUP(E2801,E$1:E2800,1,FALSE()))),"OLD",IF(AND(E2801&lt;&gt;"",E2801&lt;&gt;"!!!"),"NEW","")))</f>
        <v> </v>
      </c>
      <c r="G2801" s="24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5" t="str">
        <f>IF(J2801&lt;&gt;1,"",IF(I2801="SBJ","CB","?"))</f>
        <v> </v>
      </c>
      <c r="I2801" s="26" t="str">
        <f>IF(OR(E2801="",E2801="!!!",F2801="NEW"),"",INDEX(B2800:B$2,-1+SUMPRODUCT(MAX(ROW(E2800:E$2)*(E2801=E2800:E$2)))))</f>
        <v> </v>
      </c>
      <c r="J2801" s="26" t="str">
        <f>IF(OR(E2801="",E2801="!!!",F2801="NEW"),"",COUNTBLANK(OFFSET(A$1,,,SUMPRODUCT(MAX(ROW(E$2:E2801)*(E2801=E$2:E2801)))))-COUNTBLANK(OFFSET(A$1,,,SUMPRODUCT(MAX(ROW(E$1:E2800)*(E2=E$1:E2800))))))</f>
        <v> </v>
      </c>
      <c r="K2801" s="26" t="str">
        <f>IF(OR(E2801="",E2801="!!!",F2801="NEW"),"",INDEX(J$1:J2800,SUMPRODUCT(MAX(ROW(E$1:E2800)*(E2801=E$1:E2800)))))</f>
        <v> </v>
      </c>
      <c r="L2801" s="27"/>
    </row>
    <row r="2802" spans="1:12">
      <c r="A2802" s="20" t="s">
        <v>927</v>
      </c>
      <c r="B2802" s="21" t="s">
        <v>801</v>
      </c>
      <c r="C2802" s="21" t="s">
        <v>602</v>
      </c>
      <c r="D2802" s="21" t="s">
        <v>603</v>
      </c>
      <c r="E2802" s="22">
        <f>IF(D2802="?OLD","!!!","")</f>
        <v/>
      </c>
      <c r="F2802" s="23" t="str">
        <f>IF(OR(E2802="",E2802="!!!"),"",IF(NOT(ISNA(VLOOKUP(E2802,E$1:E2801,1,FALSE()))),"OLD",IF(AND(E2802&lt;&gt;"",E2802&lt;&gt;"!!!"),"NEW","")))</f>
        <v> </v>
      </c>
      <c r="G2802" s="24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5" t="str">
        <f>IF(J2802&lt;&gt;1,"",IF(I2802="SBJ","CB","?"))</f>
        <v> </v>
      </c>
      <c r="I2802" s="26" t="str">
        <f>IF(OR(E2802="",E2802="!!!",F2802="NEW"),"",INDEX(B2801:B$2,-1+SUMPRODUCT(MAX(ROW(E2801:E$2)*(E2802=E2801:E$2)))))</f>
        <v> </v>
      </c>
      <c r="J2802" s="26" t="str">
        <f>IF(OR(E2802="",E2802="!!!",F2802="NEW"),"",COUNTBLANK(OFFSET(A$1,,,SUMPRODUCT(MAX(ROW(E$2:E2802)*(E2802=E$2:E2802)))))-COUNTBLANK(OFFSET(A$1,,,SUMPRODUCT(MAX(ROW(E$1:E2801)*(E2=E$1:E2801))))))</f>
        <v> </v>
      </c>
      <c r="K2802" s="26" t="str">
        <f>IF(OR(E2802="",E2802="!!!",F2802="NEW"),"",INDEX(J$1:J2801,SUMPRODUCT(MAX(ROW(E$1:E2801)*(E2802=E$1:E2801)))))</f>
        <v> </v>
      </c>
      <c r="L2802" s="27"/>
    </row>
    <row r="2803" spans="1:12">
      <c r="A2803" s="20" t="s">
        <v>1909</v>
      </c>
      <c r="B2803" s="21" t="s">
        <v>801</v>
      </c>
      <c r="E2803" s="22">
        <f>IF(D2803="?OLD","!!!","")</f>
        <v/>
      </c>
      <c r="F2803" s="23" t="str">
        <f>IF(OR(E2803="",E2803="!!!"),"",IF(NOT(ISNA(VLOOKUP(E2803,E$1:E2802,1,FALSE()))),"OLD",IF(AND(E2803&lt;&gt;"",E2803&lt;&gt;"!!!"),"NEW","")))</f>
        <v> </v>
      </c>
      <c r="G2803" s="24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5" t="str">
        <f>IF(J2803&lt;&gt;1,"",IF(I2803="SBJ","CB","?"))</f>
        <v> </v>
      </c>
      <c r="I2803" s="26" t="str">
        <f>IF(OR(E2803="",E2803="!!!",F2803="NEW"),"",INDEX(B2802:B$2,-1+SUMPRODUCT(MAX(ROW(E2802:E$2)*(E2803=E2802:E$2)))))</f>
        <v> </v>
      </c>
      <c r="J2803" s="26" t="str">
        <f>IF(OR(E2803="",E2803="!!!",F2803="NEW"),"",COUNTBLANK(OFFSET(A$1,,,SUMPRODUCT(MAX(ROW(E$2:E2803)*(E2803=E$2:E2803)))))-COUNTBLANK(OFFSET(A$1,,,SUMPRODUCT(MAX(ROW(E$1:E2802)*(E2=E$1:E2802))))))</f>
        <v> </v>
      </c>
      <c r="K2803" s="26" t="str">
        <f>IF(OR(E2803="",E2803="!!!",F2803="NEW"),"",INDEX(J$1:J2802,SUMPRODUCT(MAX(ROW(E$1:E2802)*(E2803=E$1:E2802)))))</f>
        <v> </v>
      </c>
      <c r="L2803" s="27"/>
    </row>
    <row r="2804" spans="1:12">
      <c r="A2804" s="20" t="s">
        <v>662</v>
      </c>
      <c r="E2804" s="22">
        <f>IF(D2804="?OLD","!!!","")</f>
        <v/>
      </c>
      <c r="F2804" s="23" t="str">
        <f>IF(OR(E2804="",E2804="!!!"),"",IF(NOT(ISNA(VLOOKUP(E2804,E$1:E2803,1,FALSE()))),"OLD",IF(AND(E2804&lt;&gt;"",E2804&lt;&gt;"!!!"),"NEW","")))</f>
        <v> </v>
      </c>
      <c r="G2804" s="24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5" t="str">
        <f>IF(J2804&lt;&gt;1,"",IF(I2804="SBJ","CB","?"))</f>
        <v> </v>
      </c>
      <c r="I2804" s="26" t="str">
        <f>IF(OR(E2804="",E2804="!!!",F2804="NEW"),"",INDEX(B2803:B$2,-1+SUMPRODUCT(MAX(ROW(E2803:E$2)*(E2804=E2803:E$2)))))</f>
        <v> </v>
      </c>
      <c r="J2804" s="26" t="str">
        <f>IF(OR(E2804="",E2804="!!!",F2804="NEW"),"",COUNTBLANK(OFFSET(A$1,,,SUMPRODUCT(MAX(ROW(E$2:E2804)*(E2804=E$2:E2804)))))-COUNTBLANK(OFFSET(A$1,,,SUMPRODUCT(MAX(ROW(E$1:E2803)*(E2=E$1:E2803))))))</f>
        <v> </v>
      </c>
      <c r="K2804" s="26" t="str">
        <f>IF(OR(E2804="",E2804="!!!",F2804="NEW"),"",INDEX(J$1:J2803,SUMPRODUCT(MAX(ROW(E$1:E2803)*(E2804=E$1:E2803)))))</f>
        <v> </v>
      </c>
      <c r="L2804" s="27"/>
    </row>
    <row r="2805" spans="1:12">
      <c r="A2805" s="20" t="s">
        <v>1910</v>
      </c>
      <c r="E2805" s="22">
        <f>IF(D2805="?OLD","!!!","")</f>
        <v/>
      </c>
      <c r="F2805" s="23" t="str">
        <f>IF(OR(E2805="",E2805="!!!"),"",IF(NOT(ISNA(VLOOKUP(E2805,E$1:E2804,1,FALSE()))),"OLD",IF(AND(E2805&lt;&gt;"",E2805&lt;&gt;"!!!"),"NEW","")))</f>
        <v> </v>
      </c>
      <c r="G2805" s="24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5" t="str">
        <f>IF(J2805&lt;&gt;1,"",IF(I2805="SBJ","CB","?"))</f>
        <v> </v>
      </c>
      <c r="I2805" s="26" t="str">
        <f>IF(OR(E2805="",E2805="!!!",F2805="NEW"),"",INDEX(B2804:B$2,-1+SUMPRODUCT(MAX(ROW(E2804:E$2)*(E2805=E2804:E$2)))))</f>
        <v> </v>
      </c>
      <c r="J2805" s="26" t="str">
        <f>IF(OR(E2805="",E2805="!!!",F2805="NEW"),"",COUNTBLANK(OFFSET(A$1,,,SUMPRODUCT(MAX(ROW(E$2:E2805)*(E2805=E$2:E2805)))))-COUNTBLANK(OFFSET(A$1,,,SUMPRODUCT(MAX(ROW(E$1:E2804)*(E2=E$1:E2804))))))</f>
        <v> </v>
      </c>
      <c r="K2805" s="26" t="str">
        <f>IF(OR(E2805="",E2805="!!!",F2805="NEW"),"",INDEX(J$1:J2804,SUMPRODUCT(MAX(ROW(E$1:E2804)*(E2805=E$1:E2804)))))</f>
        <v> </v>
      </c>
      <c r="L2805" s="27"/>
    </row>
    <row r="2806" spans="1:12">
      <c r="A2806" s="20" t="s">
        <v>1911</v>
      </c>
      <c r="B2806" s="21" t="s">
        <v>609</v>
      </c>
      <c r="C2806" s="21" t="s">
        <v>644</v>
      </c>
      <c r="D2806" s="21" t="s">
        <v>603</v>
      </c>
      <c r="E2806" s="22">
        <f>IF(D2806="?OLD","!!!","")</f>
        <v/>
      </c>
      <c r="F2806" s="23" t="str">
        <f>IF(OR(E2806="",E2806="!!!"),"",IF(NOT(ISNA(VLOOKUP(E2806,E$1:E2805,1,FALSE()))),"OLD",IF(AND(E2806&lt;&gt;"",E2806&lt;&gt;"!!!"),"NEW","")))</f>
        <v> </v>
      </c>
      <c r="G2806" s="24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5" t="str">
        <f>IF(J2806&lt;&gt;1,"",IF(I2806="SBJ","CB","?"))</f>
        <v> </v>
      </c>
      <c r="I2806" s="26" t="str">
        <f>IF(OR(E2806="",E2806="!!!",F2806="NEW"),"",INDEX(B2805:B$2,-1+SUMPRODUCT(MAX(ROW(E2805:E$2)*(E2806=E2805:E$2)))))</f>
        <v> </v>
      </c>
      <c r="J2806" s="26" t="str">
        <f>IF(OR(E2806="",E2806="!!!",F2806="NEW"),"",COUNTBLANK(OFFSET(A$1,,,SUMPRODUCT(MAX(ROW(E$2:E2806)*(E2806=E$2:E2806)))))-COUNTBLANK(OFFSET(A$1,,,SUMPRODUCT(MAX(ROW(E$1:E2805)*(E2=E$1:E2805))))))</f>
        <v> </v>
      </c>
      <c r="K2806" s="26" t="str">
        <f>IF(OR(E2806="",E2806="!!!",F2806="NEW"),"",INDEX(J$1:J2805,SUMPRODUCT(MAX(ROW(E$1:E2805)*(E2806=E$1:E2805)))))</f>
        <v> </v>
      </c>
      <c r="L2806" s="27"/>
    </row>
    <row r="2807" spans="1:12">
      <c r="A2807" s="20" t="s">
        <v>802</v>
      </c>
      <c r="E2807" s="22">
        <f>IF(D2807="?OLD","!!!","")</f>
        <v/>
      </c>
      <c r="F2807" s="23" t="str">
        <f>IF(OR(E2807="",E2807="!!!"),"",IF(NOT(ISNA(VLOOKUP(E2807,E$1:E2806,1,FALSE()))),"OLD",IF(AND(E2807&lt;&gt;"",E2807&lt;&gt;"!!!"),"NEW","")))</f>
        <v> </v>
      </c>
      <c r="G2807" s="24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5" t="str">
        <f>IF(J2807&lt;&gt;1,"",IF(I2807="SBJ","CB","?"))</f>
        <v> </v>
      </c>
      <c r="I2807" s="26" t="str">
        <f>IF(OR(E2807="",E2807="!!!",F2807="NEW"),"",INDEX(B2806:B$2,-1+SUMPRODUCT(MAX(ROW(E2806:E$2)*(E2807=E2806:E$2)))))</f>
        <v> </v>
      </c>
      <c r="J2807" s="26" t="str">
        <f>IF(OR(E2807="",E2807="!!!",F2807="NEW"),"",COUNTBLANK(OFFSET(A$1,,,SUMPRODUCT(MAX(ROW(E$2:E2807)*(E2807=E$2:E2807)))))-COUNTBLANK(OFFSET(A$1,,,SUMPRODUCT(MAX(ROW(E$1:E2806)*(E2=E$1:E2806))))))</f>
        <v> </v>
      </c>
      <c r="K2807" s="26" t="str">
        <f>IF(OR(E2807="",E2807="!!!",F2807="NEW"),"",INDEX(J$1:J2806,SUMPRODUCT(MAX(ROW(E$1:E2806)*(E2807=E$1:E2806)))))</f>
        <v> </v>
      </c>
      <c r="L2807" s="27"/>
    </row>
    <row r="2808" spans="1:12">
      <c r="A2808" s="20" t="s">
        <v>842</v>
      </c>
      <c r="B2808" s="21" t="s">
        <v>804</v>
      </c>
      <c r="C2808" s="21" t="s">
        <v>716</v>
      </c>
      <c r="D2808" s="21" t="s">
        <v>603</v>
      </c>
      <c r="E2808" s="22">
        <f>IF(D2808="?OLD","!!!","")</f>
        <v/>
      </c>
      <c r="F2808" s="23" t="str">
        <f>IF(OR(E2808="",E2808="!!!"),"",IF(NOT(ISNA(VLOOKUP(E2808,E$1:E2807,1,FALSE()))),"OLD",IF(AND(E2808&lt;&gt;"",E2808&lt;&gt;"!!!"),"NEW","")))</f>
        <v> </v>
      </c>
      <c r="G2808" s="24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5" t="str">
        <f>IF(J2808&lt;&gt;1,"",IF(I2808="SBJ","CB","?"))</f>
        <v> </v>
      </c>
      <c r="I2808" s="26" t="str">
        <f>IF(OR(E2808="",E2808="!!!",F2808="NEW"),"",INDEX(B2807:B$2,-1+SUMPRODUCT(MAX(ROW(E2807:E$2)*(E2808=E2807:E$2)))))</f>
        <v> </v>
      </c>
      <c r="J2808" s="26" t="str">
        <f>IF(OR(E2808="",E2808="!!!",F2808="NEW"),"",COUNTBLANK(OFFSET(A$1,,,SUMPRODUCT(MAX(ROW(E$2:E2808)*(E2808=E$2:E2808)))))-COUNTBLANK(OFFSET(A$1,,,SUMPRODUCT(MAX(ROW(E$1:E2807)*(E2=E$1:E2807))))))</f>
        <v> </v>
      </c>
      <c r="K2808" s="26" t="str">
        <f>IF(OR(E2808="",E2808="!!!",F2808="NEW"),"",INDEX(J$1:J2807,SUMPRODUCT(MAX(ROW(E$1:E2807)*(E2808=E$1:E2807)))))</f>
        <v> </v>
      </c>
      <c r="L2808" s="27"/>
    </row>
    <row r="2809" spans="1:12">
      <c r="A2809" s="20" t="s">
        <v>633</v>
      </c>
      <c r="E2809" s="22">
        <f>IF(D2809="?OLD","!!!","")</f>
        <v/>
      </c>
      <c r="F2809" s="23" t="str">
        <f>IF(OR(E2809="",E2809="!!!"),"",IF(NOT(ISNA(VLOOKUP(E2809,E$1:E2808,1,FALSE()))),"OLD",IF(AND(E2809&lt;&gt;"",E2809&lt;&gt;"!!!"),"NEW","")))</f>
        <v> </v>
      </c>
      <c r="G2809" s="24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5" t="str">
        <f>IF(J2809&lt;&gt;1,"",IF(I2809="SBJ","CB","?"))</f>
        <v> </v>
      </c>
      <c r="I2809" s="26" t="str">
        <f>IF(OR(E2809="",E2809="!!!",F2809="NEW"),"",INDEX(B2808:B$2,-1+SUMPRODUCT(MAX(ROW(E2808:E$2)*(E2809=E2808:E$2)))))</f>
        <v> </v>
      </c>
      <c r="J2809" s="26" t="str">
        <f>IF(OR(E2809="",E2809="!!!",F2809="NEW"),"",COUNTBLANK(OFFSET(A$1,,,SUMPRODUCT(MAX(ROW(E$2:E2809)*(E2809=E$2:E2809)))))-COUNTBLANK(OFFSET(A$1,,,SUMPRODUCT(MAX(ROW(E$1:E2808)*(E2=E$1:E2808))))))</f>
        <v> </v>
      </c>
      <c r="K2809" s="26" t="str">
        <f>IF(OR(E2809="",E2809="!!!",F2809="NEW"),"",INDEX(J$1:J2808,SUMPRODUCT(MAX(ROW(E$1:E2808)*(E2809=E$1:E2808)))))</f>
        <v> </v>
      </c>
      <c r="L2809" s="27"/>
    </row>
    <row r="2810" spans="1:12">
      <c r="A2810" s="20"/>
    </row>
    <row r="2811" spans="1:12">
      <c r="A2811" s="20" t="s">
        <v>1912</v>
      </c>
    </row>
    <row r="2812" spans="1:12">
      <c r="A2812" s="20" t="s">
        <v>798</v>
      </c>
      <c r="E2812" s="22">
        <f>IF(D2812="?OLD","!!!","")</f>
        <v/>
      </c>
      <c r="F2812" s="23" t="str">
        <f>IF(OR(E2812="",E2812="!!!"),"",IF(NOT(ISNA(VLOOKUP(E2812,E$1:E2811,1,FALSE()))),"OLD",IF(AND(E2812&lt;&gt;"",E2812&lt;&gt;"!!!"),"NEW","")))</f>
        <v> </v>
      </c>
      <c r="G2812" s="24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5" t="str">
        <f>IF(J2812&lt;&gt;1,"",IF(I2812="SBJ","CB","?"))</f>
        <v> </v>
      </c>
      <c r="I2812" s="26" t="str">
        <f>IF(OR(E2812="",E2812="!!!",F2812="NEW"),"",INDEX(B2811:B$2,-1+SUMPRODUCT(MAX(ROW(E2811:E$2)*(E2812=E2811:E$2)))))</f>
        <v> </v>
      </c>
      <c r="J2812" s="26" t="str">
        <f>IF(OR(E2812="",E2812="!!!",F2812="NEW"),"",COUNTBLANK(OFFSET(A$1,,,SUMPRODUCT(MAX(ROW(E$2:E2812)*(E2812=E$2:E2812)))))-COUNTBLANK(OFFSET(A$1,,,SUMPRODUCT(MAX(ROW(E$1:E2811)*(E2=E$1:E2811))))))</f>
        <v> </v>
      </c>
      <c r="K2812" s="26" t="str">
        <f>IF(OR(E2812="",E2812="!!!",F2812="NEW"),"",INDEX(J$1:J2811,SUMPRODUCT(MAX(ROW(E$1:E2811)*(E2812=E$1:E2811)))))</f>
        <v> </v>
      </c>
      <c r="L2812" s="27"/>
    </row>
    <row r="2813" spans="1:12">
      <c r="A2813" s="20" t="s">
        <v>795</v>
      </c>
      <c r="E2813" s="22">
        <f>IF(D2813="?OLD","!!!","")</f>
        <v/>
      </c>
      <c r="F2813" s="23" t="str">
        <f>IF(OR(E2813="",E2813="!!!"),"",IF(NOT(ISNA(VLOOKUP(E2813,E$1:E2812,1,FALSE()))),"OLD",IF(AND(E2813&lt;&gt;"",E2813&lt;&gt;"!!!"),"NEW","")))</f>
        <v> </v>
      </c>
      <c r="G2813" s="24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5" t="str">
        <f>IF(J2813&lt;&gt;1,"",IF(I2813="SBJ","CB","?"))</f>
        <v> </v>
      </c>
      <c r="I2813" s="26" t="str">
        <f>IF(OR(E2813="",E2813="!!!",F2813="NEW"),"",INDEX(B2812:B$2,-1+SUMPRODUCT(MAX(ROW(E2812:E$2)*(E2813=E2812:E$2)))))</f>
        <v> </v>
      </c>
      <c r="J2813" s="26" t="str">
        <f>IF(OR(E2813="",E2813="!!!",F2813="NEW"),"",COUNTBLANK(OFFSET(A$1,,,SUMPRODUCT(MAX(ROW(E$2:E2813)*(E2813=E$2:E2813)))))-COUNTBLANK(OFFSET(A$1,,,SUMPRODUCT(MAX(ROW(E$1:E2812)*(E2=E$1:E2812))))))</f>
        <v> </v>
      </c>
      <c r="K2813" s="26" t="str">
        <f>IF(OR(E2813="",E2813="!!!",F2813="NEW"),"",INDEX(J$1:J2812,SUMPRODUCT(MAX(ROW(E$1:E2812)*(E2813=E$1:E2812)))))</f>
        <v> </v>
      </c>
      <c r="L2813" s="27"/>
    </row>
    <row r="2814" spans="1:12">
      <c r="A2814" s="20" t="s">
        <v>1353</v>
      </c>
      <c r="B2814" s="21" t="s">
        <v>601</v>
      </c>
      <c r="E2814" s="22">
        <f>IF(D2814="?OLD","!!!","")</f>
        <v/>
      </c>
      <c r="F2814" s="23" t="str">
        <f>IF(OR(E2814="",E2814="!!!"),"",IF(NOT(ISNA(VLOOKUP(E2814,E$1:E2813,1,FALSE()))),"OLD",IF(AND(E2814&lt;&gt;"",E2814&lt;&gt;"!!!"),"NEW","")))</f>
        <v> </v>
      </c>
      <c r="G2814" s="24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5" t="str">
        <f>IF(J2814&lt;&gt;1,"",IF(I2814="SBJ","CB","?"))</f>
        <v> </v>
      </c>
      <c r="I2814" s="26" t="str">
        <f>IF(OR(E2814="",E2814="!!!",F2814="NEW"),"",INDEX(B2813:B$2,-1+SUMPRODUCT(MAX(ROW(E2813:E$2)*(E2814=E2813:E$2)))))</f>
        <v> </v>
      </c>
      <c r="J2814" s="26" t="str">
        <f>IF(OR(E2814="",E2814="!!!",F2814="NEW"),"",COUNTBLANK(OFFSET(A$1,,,SUMPRODUCT(MAX(ROW(E$2:E2814)*(E2814=E$2:E2814)))))-COUNTBLANK(OFFSET(A$1,,,SUMPRODUCT(MAX(ROW(E$1:E2813)*(E2=E$1:E2813))))))</f>
        <v> </v>
      </c>
      <c r="K2814" s="26" t="str">
        <f>IF(OR(E2814="",E2814="!!!",F2814="NEW"),"",INDEX(J$1:J2813,SUMPRODUCT(MAX(ROW(E$1:E2813)*(E2814=E$1:E2813)))))</f>
        <v> </v>
      </c>
      <c r="L2814" s="27"/>
    </row>
    <row r="2815" spans="1:12">
      <c r="A2815" s="20" t="s">
        <v>1913</v>
      </c>
      <c r="E2815" s="22">
        <f>IF(D2815="?OLD","!!!","")</f>
        <v/>
      </c>
      <c r="F2815" s="23" t="str">
        <f>IF(OR(E2815="",E2815="!!!"),"",IF(NOT(ISNA(VLOOKUP(E2815,E$1:E2814,1,FALSE()))),"OLD",IF(AND(E2815&lt;&gt;"",E2815&lt;&gt;"!!!"),"NEW","")))</f>
        <v> </v>
      </c>
      <c r="G2815" s="24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5" t="str">
        <f>IF(J2815&lt;&gt;1,"",IF(I2815="SBJ","CB","?"))</f>
        <v> </v>
      </c>
      <c r="I2815" s="26" t="str">
        <f>IF(OR(E2815="",E2815="!!!",F2815="NEW"),"",INDEX(B2814:B$2,-1+SUMPRODUCT(MAX(ROW(E2814:E$2)*(E2815=E2814:E$2)))))</f>
        <v> </v>
      </c>
      <c r="J2815" s="26" t="str">
        <f>IF(OR(E2815="",E2815="!!!",F2815="NEW"),"",COUNTBLANK(OFFSET(A$1,,,SUMPRODUCT(MAX(ROW(E$2:E2815)*(E2815=E$2:E2815)))))-COUNTBLANK(OFFSET(A$1,,,SUMPRODUCT(MAX(ROW(E$1:E2814)*(E2=E$1:E2814))))))</f>
        <v> </v>
      </c>
      <c r="K2815" s="26" t="str">
        <f>IF(OR(E2815="",E2815="!!!",F2815="NEW"),"",INDEX(J$1:J2814,SUMPRODUCT(MAX(ROW(E$1:E2814)*(E2815=E$1:E2814)))))</f>
        <v> </v>
      </c>
      <c r="L2815" s="27"/>
    </row>
    <row r="2816" spans="1:12">
      <c r="A2816" s="20" t="s">
        <v>1914</v>
      </c>
      <c r="E2816" s="22">
        <f>IF(D2816="?OLD","!!!","")</f>
        <v/>
      </c>
      <c r="F2816" s="23" t="str">
        <f>IF(OR(E2816="",E2816="!!!"),"",IF(NOT(ISNA(VLOOKUP(E2816,E$1:E2815,1,FALSE()))),"OLD",IF(AND(E2816&lt;&gt;"",E2816&lt;&gt;"!!!"),"NEW","")))</f>
        <v> </v>
      </c>
      <c r="G2816" s="24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5" t="str">
        <f>IF(J2816&lt;&gt;1,"",IF(I2816="SBJ","CB","?"))</f>
        <v> </v>
      </c>
      <c r="I2816" s="26" t="str">
        <f>IF(OR(E2816="",E2816="!!!",F2816="NEW"),"",INDEX(B2815:B$2,-1+SUMPRODUCT(MAX(ROW(E2815:E$2)*(E2816=E2815:E$2)))))</f>
        <v> </v>
      </c>
      <c r="J2816" s="26" t="str">
        <f>IF(OR(E2816="",E2816="!!!",F2816="NEW"),"",COUNTBLANK(OFFSET(A$1,,,SUMPRODUCT(MAX(ROW(E$2:E2816)*(E2816=E$2:E2816)))))-COUNTBLANK(OFFSET(A$1,,,SUMPRODUCT(MAX(ROW(E$1:E2815)*(E2=E$1:E2815))))))</f>
        <v> </v>
      </c>
      <c r="K2816" s="26" t="str">
        <f>IF(OR(E2816="",E2816="!!!",F2816="NEW"),"",INDEX(J$1:J2815,SUMPRODUCT(MAX(ROW(E$1:E2815)*(E2816=E$1:E2815)))))</f>
        <v> </v>
      </c>
      <c r="L2816" s="27"/>
    </row>
    <row r="2817" spans="1:12">
      <c r="A2817" s="20" t="s">
        <v>1562</v>
      </c>
      <c r="B2817" s="21" t="s">
        <v>801</v>
      </c>
      <c r="E2817" s="22">
        <f>IF(D2817="?OLD","!!!","")</f>
        <v/>
      </c>
      <c r="F2817" s="23" t="str">
        <f>IF(OR(E2817="",E2817="!!!"),"",IF(NOT(ISNA(VLOOKUP(E2817,E$1:E2816,1,FALSE()))),"OLD",IF(AND(E2817&lt;&gt;"",E2817&lt;&gt;"!!!"),"NEW","")))</f>
        <v> </v>
      </c>
      <c r="G2817" s="24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5" t="str">
        <f>IF(J2817&lt;&gt;1,"",IF(I2817="SBJ","CB","?"))</f>
        <v> </v>
      </c>
      <c r="I2817" s="26" t="str">
        <f>IF(OR(E2817="",E2817="!!!",F2817="NEW"),"",INDEX(B2816:B$2,-1+SUMPRODUCT(MAX(ROW(E2816:E$2)*(E2817=E2816:E$2)))))</f>
        <v> </v>
      </c>
      <c r="J2817" s="26" t="str">
        <f>IF(OR(E2817="",E2817="!!!",F2817="NEW"),"",COUNTBLANK(OFFSET(A$1,,,SUMPRODUCT(MAX(ROW(E$2:E2817)*(E2817=E$2:E2817)))))-COUNTBLANK(OFFSET(A$1,,,SUMPRODUCT(MAX(ROW(E$1:E2816)*(E2=E$1:E2816))))))</f>
        <v> </v>
      </c>
      <c r="K2817" s="26" t="str">
        <f>IF(OR(E2817="",E2817="!!!",F2817="NEW"),"",INDEX(J$1:J2816,SUMPRODUCT(MAX(ROW(E$1:E2816)*(E2817=E$1:E2816)))))</f>
        <v> </v>
      </c>
      <c r="L2817" s="27"/>
    </row>
    <row r="2818" spans="1:12">
      <c r="A2818" s="20" t="s">
        <v>928</v>
      </c>
      <c r="B2818" s="21" t="s">
        <v>801</v>
      </c>
      <c r="E2818" s="22">
        <f>IF(D2818="?OLD","!!!","")</f>
        <v/>
      </c>
      <c r="F2818" s="23" t="str">
        <f>IF(OR(E2818="",E2818="!!!"),"",IF(NOT(ISNA(VLOOKUP(E2818,E$1:E2817,1,FALSE()))),"OLD",IF(AND(E2818&lt;&gt;"",E2818&lt;&gt;"!!!"),"NEW","")))</f>
        <v> </v>
      </c>
      <c r="G2818" s="24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5" t="str">
        <f>IF(J2818&lt;&gt;1,"",IF(I2818="SBJ","CB","?"))</f>
        <v> </v>
      </c>
      <c r="I2818" s="26" t="str">
        <f>IF(OR(E2818="",E2818="!!!",F2818="NEW"),"",INDEX(B2817:B$2,-1+SUMPRODUCT(MAX(ROW(E2817:E$2)*(E2818=E2817:E$2)))))</f>
        <v> </v>
      </c>
      <c r="J2818" s="26" t="str">
        <f>IF(OR(E2818="",E2818="!!!",F2818="NEW"),"",COUNTBLANK(OFFSET(A$1,,,SUMPRODUCT(MAX(ROW(E$2:E2818)*(E2818=E$2:E2818)))))-COUNTBLANK(OFFSET(A$1,,,SUMPRODUCT(MAX(ROW(E$1:E2817)*(E2=E$1:E2817))))))</f>
        <v> </v>
      </c>
      <c r="K2818" s="26" t="str">
        <f>IF(OR(E2818="",E2818="!!!",F2818="NEW"),"",INDEX(J$1:J2817,SUMPRODUCT(MAX(ROW(E$1:E2817)*(E2818=E$1:E2817)))))</f>
        <v> </v>
      </c>
      <c r="L2818" s="27"/>
    </row>
    <row r="2819" spans="1:12">
      <c r="A2819" s="20" t="s">
        <v>1897</v>
      </c>
      <c r="E2819" s="22">
        <f>IF(D2819="?OLD","!!!","")</f>
        <v/>
      </c>
      <c r="F2819" s="23" t="str">
        <f>IF(OR(E2819="",E2819="!!!"),"",IF(NOT(ISNA(VLOOKUP(E2819,E$1:E2818,1,FALSE()))),"OLD",IF(AND(E2819&lt;&gt;"",E2819&lt;&gt;"!!!"),"NEW","")))</f>
        <v> </v>
      </c>
      <c r="G2819" s="24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5" t="str">
        <f>IF(J2819&lt;&gt;1,"",IF(I2819="SBJ","CB","?"))</f>
        <v> </v>
      </c>
      <c r="I2819" s="26" t="str">
        <f>IF(OR(E2819="",E2819="!!!",F2819="NEW"),"",INDEX(B2818:B$2,-1+SUMPRODUCT(MAX(ROW(E2818:E$2)*(E2819=E2818:E$2)))))</f>
        <v> </v>
      </c>
      <c r="J2819" s="26" t="str">
        <f>IF(OR(E2819="",E2819="!!!",F2819="NEW"),"",COUNTBLANK(OFFSET(A$1,,,SUMPRODUCT(MAX(ROW(E$2:E2819)*(E2819=E$2:E2819)))))-COUNTBLANK(OFFSET(A$1,,,SUMPRODUCT(MAX(ROW(E$1:E2818)*(E2=E$1:E2818))))))</f>
        <v> </v>
      </c>
      <c r="K2819" s="26" t="str">
        <f>IF(OR(E2819="",E2819="!!!",F2819="NEW"),"",INDEX(J$1:J2818,SUMPRODUCT(MAX(ROW(E$1:E2818)*(E2819=E$1:E2818)))))</f>
        <v> </v>
      </c>
      <c r="L2819" s="27"/>
    </row>
    <row r="2820" spans="1:12">
      <c r="A2820" s="20" t="s">
        <v>633</v>
      </c>
      <c r="E2820" s="22">
        <f>IF(D2820="?OLD","!!!","")</f>
        <v/>
      </c>
      <c r="F2820" s="23" t="str">
        <f>IF(OR(E2820="",E2820="!!!"),"",IF(NOT(ISNA(VLOOKUP(E2820,E$1:E2819,1,FALSE()))),"OLD",IF(AND(E2820&lt;&gt;"",E2820&lt;&gt;"!!!"),"NEW","")))</f>
        <v> </v>
      </c>
      <c r="G2820" s="24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5" t="str">
        <f>IF(J2820&lt;&gt;1,"",IF(I2820="SBJ","CB","?"))</f>
        <v> </v>
      </c>
      <c r="I2820" s="26" t="str">
        <f>IF(OR(E2820="",E2820="!!!",F2820="NEW"),"",INDEX(B2819:B$2,-1+SUMPRODUCT(MAX(ROW(E2819:E$2)*(E2820=E2819:E$2)))))</f>
        <v> </v>
      </c>
      <c r="J2820" s="26" t="str">
        <f>IF(OR(E2820="",E2820="!!!",F2820="NEW"),"",COUNTBLANK(OFFSET(A$1,,,SUMPRODUCT(MAX(ROW(E$2:E2820)*(E2820=E$2:E2820)))))-COUNTBLANK(OFFSET(A$1,,,SUMPRODUCT(MAX(ROW(E$1:E2819)*(E2=E$1:E2819))))))</f>
        <v> </v>
      </c>
      <c r="K2820" s="26" t="str">
        <f>IF(OR(E2820="",E2820="!!!",F2820="NEW"),"",INDEX(J$1:J2819,SUMPRODUCT(MAX(ROW(E$1:E2819)*(E2820=E$1:E2819)))))</f>
        <v> </v>
      </c>
      <c r="L2820" s="27"/>
    </row>
    <row r="2821" spans="1:12">
      <c r="A2821" s="20"/>
    </row>
    <row r="2822" spans="1:12">
      <c r="A2822" s="20" t="s">
        <v>1915</v>
      </c>
      <c r="E2822" s="22">
        <f>IF(D2822="?OLD","!!!","")</f>
        <v/>
      </c>
      <c r="F2822" s="23" t="str">
        <f>IF(OR(E2822="",E2822="!!!"),"",IF(NOT(ISNA(VLOOKUP(E2822,E$1:E2821,1,FALSE()))),"OLD",IF(AND(E2822&lt;&gt;"",E2822&lt;&gt;"!!!"),"NEW","")))</f>
        <v> </v>
      </c>
      <c r="G2822" s="24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5" t="str">
        <f>IF(J2822&lt;&gt;1,"",IF(I2822="SBJ","CB","?"))</f>
        <v> </v>
      </c>
      <c r="I2822" s="26" t="str">
        <f>IF(OR(E2822="",E2822="!!!",F2822="NEW"),"",INDEX(B2821:B$2,-1+SUMPRODUCT(MAX(ROW(E2821:E$2)*(E2822=E2821:E$2)))))</f>
        <v> </v>
      </c>
      <c r="J2822" s="26" t="str">
        <f>IF(OR(E2822="",E2822="!!!",F2822="NEW"),"",COUNTBLANK(OFFSET(A$1,,,SUMPRODUCT(MAX(ROW(E$2:E2822)*(E2822=E$2:E2822)))))-COUNTBLANK(OFFSET(A$1,,,SUMPRODUCT(MAX(ROW(E$1:E2821)*(E2=E$1:E2821))))))</f>
        <v> </v>
      </c>
      <c r="K2822" s="26" t="str">
        <f>IF(OR(E2822="",E2822="!!!",F2822="NEW"),"",INDEX(J$1:J2821,SUMPRODUCT(MAX(ROW(E$1:E2821)*(E2822=E$1:E2821)))))</f>
        <v> </v>
      </c>
      <c r="L2822" s="27"/>
    </row>
    <row r="2823" spans="1:12">
      <c r="A2823" s="20" t="s">
        <v>1916</v>
      </c>
    </row>
    <row r="2824" spans="1:12">
      <c r="A2824" s="20" t="s">
        <v>1006</v>
      </c>
      <c r="E2824" s="22">
        <f>IF(D2824="?OLD","!!!","")</f>
        <v/>
      </c>
      <c r="F2824" s="23" t="str">
        <f>IF(OR(E2824="",E2824="!!!"),"",IF(NOT(ISNA(VLOOKUP(E2824,E$1:E2823,1,FALSE()))),"OLD",IF(AND(E2824&lt;&gt;"",E2824&lt;&gt;"!!!"),"NEW","")))</f>
        <v> </v>
      </c>
      <c r="G2824" s="24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5" t="str">
        <f>IF(J2824&lt;&gt;1,"",IF(I2824="SBJ","CB","?"))</f>
        <v> </v>
      </c>
      <c r="I2824" s="26" t="str">
        <f>IF(OR(E2824="",E2824="!!!",F2824="NEW"),"",INDEX(B2823:B$2,-1+SUMPRODUCT(MAX(ROW(E2823:E$2)*(E2824=E2823:E$2)))))</f>
        <v> </v>
      </c>
      <c r="J2824" s="26" t="str">
        <f>IF(OR(E2824="",E2824="!!!",F2824="NEW"),"",COUNTBLANK(OFFSET(A$1,,,SUMPRODUCT(MAX(ROW(E$2:E2824)*(E2824=E$2:E2824)))))-COUNTBLANK(OFFSET(A$1,,,SUMPRODUCT(MAX(ROW(E$1:E2823)*(E2=E$1:E2823))))))</f>
        <v> </v>
      </c>
      <c r="K2824" s="26" t="str">
        <f>IF(OR(E2824="",E2824="!!!",F2824="NEW"),"",INDEX(J$1:J2823,SUMPRODUCT(MAX(ROW(E$1:E2823)*(E2824=E$1:E2823)))))</f>
        <v> </v>
      </c>
      <c r="L2824" s="27"/>
    </row>
    <row r="2825" spans="1:12">
      <c r="A2825" s="20" t="s">
        <v>1917</v>
      </c>
      <c r="E2825" s="22">
        <f>IF(D2825="?OLD","!!!","")</f>
        <v/>
      </c>
      <c r="F2825" s="23" t="str">
        <f>IF(OR(E2825="",E2825="!!!"),"",IF(NOT(ISNA(VLOOKUP(E2825,E$1:E2824,1,FALSE()))),"OLD",IF(AND(E2825&lt;&gt;"",E2825&lt;&gt;"!!!"),"NEW","")))</f>
        <v> </v>
      </c>
      <c r="G2825" s="24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5" t="str">
        <f>IF(J2825&lt;&gt;1,"",IF(I2825="SBJ","CB","?"))</f>
        <v> </v>
      </c>
      <c r="I2825" s="26" t="str">
        <f>IF(OR(E2825="",E2825="!!!",F2825="NEW"),"",INDEX(B2824:B$2,-1+SUMPRODUCT(MAX(ROW(E2824:E$2)*(E2825=E2824:E$2)))))</f>
        <v> </v>
      </c>
      <c r="J2825" s="26" t="str">
        <f>IF(OR(E2825="",E2825="!!!",F2825="NEW"),"",COUNTBLANK(OFFSET(A$1,,,SUMPRODUCT(MAX(ROW(E$2:E2825)*(E2825=E$2:E2825)))))-COUNTBLANK(OFFSET(A$1,,,SUMPRODUCT(MAX(ROW(E$1:E2824)*(E2=E$1:E2824))))))</f>
        <v> </v>
      </c>
      <c r="K2825" s="26" t="str">
        <f>IF(OR(E2825="",E2825="!!!",F2825="NEW"),"",INDEX(J$1:J2824,SUMPRODUCT(MAX(ROW(E$1:E2824)*(E2825=E$1:E2824)))))</f>
        <v> </v>
      </c>
      <c r="L2825" s="27"/>
    </row>
    <row r="2826" spans="1:12">
      <c r="A2826" s="20" t="s">
        <v>611</v>
      </c>
      <c r="E2826" s="22">
        <f>IF(D2826="?OLD","!!!","")</f>
        <v/>
      </c>
      <c r="F2826" s="23" t="str">
        <f>IF(OR(E2826="",E2826="!!!"),"",IF(NOT(ISNA(VLOOKUP(E2826,E$1:E2825,1,FALSE()))),"OLD",IF(AND(E2826&lt;&gt;"",E2826&lt;&gt;"!!!"),"NEW","")))</f>
        <v> </v>
      </c>
      <c r="G2826" s="24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5" t="str">
        <f>IF(J2826&lt;&gt;1,"",IF(I2826="SBJ","CB","?"))</f>
        <v> </v>
      </c>
      <c r="I2826" s="26" t="str">
        <f>IF(OR(E2826="",E2826="!!!",F2826="NEW"),"",INDEX(B2825:B$2,-1+SUMPRODUCT(MAX(ROW(E2825:E$2)*(E2826=E2825:E$2)))))</f>
        <v> </v>
      </c>
      <c r="J2826" s="26" t="str">
        <f>IF(OR(E2826="",E2826="!!!",F2826="NEW"),"",COUNTBLANK(OFFSET(A$1,,,SUMPRODUCT(MAX(ROW(E$2:E2826)*(E2826=E$2:E2826)))))-COUNTBLANK(OFFSET(A$1,,,SUMPRODUCT(MAX(ROW(E$1:E2825)*(E2=E$1:E2825))))))</f>
        <v> </v>
      </c>
      <c r="K2826" s="26" t="str">
        <f>IF(OR(E2826="",E2826="!!!",F2826="NEW"),"",INDEX(J$1:J2825,SUMPRODUCT(MAX(ROW(E$1:E2825)*(E2826=E$1:E2825)))))</f>
        <v> </v>
      </c>
      <c r="L2826" s="27"/>
    </row>
    <row r="2827" spans="1:12">
      <c r="A2827" s="20" t="s">
        <v>1918</v>
      </c>
      <c r="E2827" s="22">
        <f>IF(D2827="?OLD","!!!","")</f>
        <v/>
      </c>
      <c r="F2827" s="23" t="str">
        <f>IF(OR(E2827="",E2827="!!!"),"",IF(NOT(ISNA(VLOOKUP(E2827,E$1:E2826,1,FALSE()))),"OLD",IF(AND(E2827&lt;&gt;"",E2827&lt;&gt;"!!!"),"NEW","")))</f>
        <v> </v>
      </c>
      <c r="G2827" s="24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5" t="str">
        <f>IF(J2827&lt;&gt;1,"",IF(I2827="SBJ","CB","?"))</f>
        <v> </v>
      </c>
      <c r="I2827" s="26" t="str">
        <f>IF(OR(E2827="",E2827="!!!",F2827="NEW"),"",INDEX(B2826:B$2,-1+SUMPRODUCT(MAX(ROW(E2826:E$2)*(E2827=E2826:E$2)))))</f>
        <v> </v>
      </c>
      <c r="J2827" s="26" t="str">
        <f>IF(OR(E2827="",E2827="!!!",F2827="NEW"),"",COUNTBLANK(OFFSET(A$1,,,SUMPRODUCT(MAX(ROW(E$2:E2827)*(E2827=E$2:E2827)))))-COUNTBLANK(OFFSET(A$1,,,SUMPRODUCT(MAX(ROW(E$1:E2826)*(E2=E$1:E2826))))))</f>
        <v> </v>
      </c>
      <c r="K2827" s="26" t="str">
        <f>IF(OR(E2827="",E2827="!!!",F2827="NEW"),"",INDEX(J$1:J2826,SUMPRODUCT(MAX(ROW(E$1:E2826)*(E2827=E$1:E2826)))))</f>
        <v> </v>
      </c>
      <c r="L2827" s="27"/>
    </row>
    <row r="2828" spans="1:12">
      <c r="A2828" s="20" t="s">
        <v>1919</v>
      </c>
      <c r="B2828" s="21" t="s">
        <v>601</v>
      </c>
      <c r="E2828" s="22">
        <f>IF(D2828="?OLD","!!!","")</f>
        <v/>
      </c>
      <c r="F2828" s="23" t="str">
        <f>IF(OR(E2828="",E2828="!!!"),"",IF(NOT(ISNA(VLOOKUP(E2828,E$1:E2827,1,FALSE()))),"OLD",IF(AND(E2828&lt;&gt;"",E2828&lt;&gt;"!!!"),"NEW","")))</f>
        <v> </v>
      </c>
      <c r="G2828" s="24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5" t="str">
        <f>IF(J2828&lt;&gt;1,"",IF(I2828="SBJ","CB","?"))</f>
        <v> </v>
      </c>
      <c r="I2828" s="26" t="str">
        <f>IF(OR(E2828="",E2828="!!!",F2828="NEW"),"",INDEX(B2827:B$2,-1+SUMPRODUCT(MAX(ROW(E2827:E$2)*(E2828=E2827:E$2)))))</f>
        <v> </v>
      </c>
      <c r="J2828" s="26" t="str">
        <f>IF(OR(E2828="",E2828="!!!",F2828="NEW"),"",COUNTBLANK(OFFSET(A$1,,,SUMPRODUCT(MAX(ROW(E$2:E2828)*(E2828=E$2:E2828)))))-COUNTBLANK(OFFSET(A$1,,,SUMPRODUCT(MAX(ROW(E$1:E2827)*(E2=E$1:E2827))))))</f>
        <v> </v>
      </c>
      <c r="K2828" s="26" t="str">
        <f>IF(OR(E2828="",E2828="!!!",F2828="NEW"),"",INDEX(J$1:J2827,SUMPRODUCT(MAX(ROW(E$1:E2827)*(E2828=E$1:E2827)))))</f>
        <v> </v>
      </c>
      <c r="L2828" s="27"/>
    </row>
    <row r="2829" spans="1:12">
      <c r="A2829" s="20" t="s">
        <v>842</v>
      </c>
      <c r="E2829" s="22">
        <f>IF(D2829="?OLD","!!!","")</f>
        <v/>
      </c>
      <c r="F2829" s="23" t="str">
        <f>IF(OR(E2829="",E2829="!!!"),"",IF(NOT(ISNA(VLOOKUP(E2829,E$1:E2828,1,FALSE()))),"OLD",IF(AND(E2829&lt;&gt;"",E2829&lt;&gt;"!!!"),"NEW","")))</f>
        <v> </v>
      </c>
      <c r="G2829" s="24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5" t="str">
        <f>IF(J2829&lt;&gt;1,"",IF(I2829="SBJ","CB","?"))</f>
        <v> </v>
      </c>
      <c r="I2829" s="26" t="str">
        <f>IF(OR(E2829="",E2829="!!!",F2829="NEW"),"",INDEX(B2828:B$2,-1+SUMPRODUCT(MAX(ROW(E2828:E$2)*(E2829=E2828:E$2)))))</f>
        <v> </v>
      </c>
      <c r="J2829" s="26" t="str">
        <f>IF(OR(E2829="",E2829="!!!",F2829="NEW"),"",COUNTBLANK(OFFSET(A$1,,,SUMPRODUCT(MAX(ROW(E$2:E2829)*(E2829=E$2:E2829)))))-COUNTBLANK(OFFSET(A$1,,,SUMPRODUCT(MAX(ROW(E$1:E2828)*(E2=E$1:E2828))))))</f>
        <v> </v>
      </c>
      <c r="K2829" s="26" t="str">
        <f>IF(OR(E2829="",E2829="!!!",F2829="NEW"),"",INDEX(J$1:J2828,SUMPRODUCT(MAX(ROW(E$1:E2828)*(E2829=E$1:E2828)))))</f>
        <v> </v>
      </c>
      <c r="L2829" s="27"/>
    </row>
    <row r="2830" spans="1:12">
      <c r="A2830" s="20" t="s">
        <v>1909</v>
      </c>
      <c r="E2830" s="22">
        <f>IF(D2830="?OLD","!!!","")</f>
        <v/>
      </c>
      <c r="F2830" s="23" t="str">
        <f>IF(OR(E2830="",E2830="!!!"),"",IF(NOT(ISNA(VLOOKUP(E2830,E$1:E2829,1,FALSE()))),"OLD",IF(AND(E2830&lt;&gt;"",E2830&lt;&gt;"!!!"),"NEW","")))</f>
        <v> </v>
      </c>
      <c r="G2830" s="24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5" t="str">
        <f>IF(J2830&lt;&gt;1,"",IF(I2830="SBJ","CB","?"))</f>
        <v> </v>
      </c>
      <c r="I2830" s="26" t="str">
        <f>IF(OR(E2830="",E2830="!!!",F2830="NEW"),"",INDEX(B2829:B$2,-1+SUMPRODUCT(MAX(ROW(E2829:E$2)*(E2830=E2829:E$2)))))</f>
        <v> </v>
      </c>
      <c r="J2830" s="26" t="str">
        <f>IF(OR(E2830="",E2830="!!!",F2830="NEW"),"",COUNTBLANK(OFFSET(A$1,,,SUMPRODUCT(MAX(ROW(E$2:E2830)*(E2830=E$2:E2830)))))-COUNTBLANK(OFFSET(A$1,,,SUMPRODUCT(MAX(ROW(E$1:E2829)*(E2=E$1:E2829))))))</f>
        <v> </v>
      </c>
      <c r="K2830" s="26" t="str">
        <f>IF(OR(E2830="",E2830="!!!",F2830="NEW"),"",INDEX(J$1:J2829,SUMPRODUCT(MAX(ROW(E$1:E2829)*(E2830=E$1:E2829)))))</f>
        <v> </v>
      </c>
      <c r="L2830" s="27"/>
    </row>
    <row r="2831" spans="1:12">
      <c r="A2831" s="20" t="s">
        <v>1812</v>
      </c>
      <c r="E2831" s="22">
        <f>IF(D2831="?OLD","!!!","")</f>
        <v/>
      </c>
      <c r="F2831" s="23" t="str">
        <f>IF(OR(E2831="",E2831="!!!"),"",IF(NOT(ISNA(VLOOKUP(E2831,E$1:E2830,1,FALSE()))),"OLD",IF(AND(E2831&lt;&gt;"",E2831&lt;&gt;"!!!"),"NEW","")))</f>
        <v> </v>
      </c>
      <c r="G2831" s="24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5" t="str">
        <f>IF(J2831&lt;&gt;1,"",IF(I2831="SBJ","CB","?"))</f>
        <v> </v>
      </c>
      <c r="I2831" s="26" t="str">
        <f>IF(OR(E2831="",E2831="!!!",F2831="NEW"),"",INDEX(B2830:B$2,-1+SUMPRODUCT(MAX(ROW(E2830:E$2)*(E2831=E2830:E$2)))))</f>
        <v> </v>
      </c>
      <c r="J2831" s="26" t="str">
        <f>IF(OR(E2831="",E2831="!!!",F2831="NEW"),"",COUNTBLANK(OFFSET(A$1,,,SUMPRODUCT(MAX(ROW(E$2:E2831)*(E2831=E$2:E2831)))))-COUNTBLANK(OFFSET(A$1,,,SUMPRODUCT(MAX(ROW(E$1:E2830)*(E2=E$1:E2830))))))</f>
        <v> </v>
      </c>
      <c r="K2831" s="26" t="str">
        <f>IF(OR(E2831="",E2831="!!!",F2831="NEW"),"",INDEX(J$1:J2830,SUMPRODUCT(MAX(ROW(E$1:E2830)*(E2831=E$1:E2830)))))</f>
        <v> </v>
      </c>
      <c r="L2831" s="27"/>
    </row>
    <row r="2832" spans="1:12">
      <c r="A2832" s="20" t="s">
        <v>1920</v>
      </c>
      <c r="E2832" s="22">
        <f>IF(D2832="?OLD","!!!","")</f>
        <v/>
      </c>
      <c r="F2832" s="23" t="str">
        <f>IF(OR(E2832="",E2832="!!!"),"",IF(NOT(ISNA(VLOOKUP(E2832,E$1:E2831,1,FALSE()))),"OLD",IF(AND(E2832&lt;&gt;"",E2832&lt;&gt;"!!!"),"NEW","")))</f>
        <v> </v>
      </c>
      <c r="G2832" s="24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5" t="str">
        <f>IF(J2832&lt;&gt;1,"",IF(I2832="SBJ","CB","?"))</f>
        <v> </v>
      </c>
      <c r="I2832" s="26" t="str">
        <f>IF(OR(E2832="",E2832="!!!",F2832="NEW"),"",INDEX(B2831:B$2,-1+SUMPRODUCT(MAX(ROW(E2831:E$2)*(E2832=E2831:E$2)))))</f>
        <v> </v>
      </c>
      <c r="J2832" s="26" t="str">
        <f>IF(OR(E2832="",E2832="!!!",F2832="NEW"),"",COUNTBLANK(OFFSET(A$1,,,SUMPRODUCT(MAX(ROW(E$2:E2832)*(E2832=E$2:E2832)))))-COUNTBLANK(OFFSET(A$1,,,SUMPRODUCT(MAX(ROW(E$1:E2831)*(E2=E$1:E2831))))))</f>
        <v> </v>
      </c>
      <c r="K2832" s="26" t="str">
        <f>IF(OR(E2832="",E2832="!!!",F2832="NEW"),"",INDEX(J$1:J2831,SUMPRODUCT(MAX(ROW(E$1:E2831)*(E2832=E$1:E2831)))))</f>
        <v> </v>
      </c>
      <c r="L2832" s="27"/>
    </row>
    <row r="2833" spans="1:12">
      <c r="A2833" s="20" t="s">
        <v>1815</v>
      </c>
      <c r="E2833" s="22">
        <f>IF(D2833="?OLD","!!!","")</f>
        <v/>
      </c>
      <c r="F2833" s="23" t="str">
        <f>IF(OR(E2833="",E2833="!!!"),"",IF(NOT(ISNA(VLOOKUP(E2833,E$1:E2832,1,FALSE()))),"OLD",IF(AND(E2833&lt;&gt;"",E2833&lt;&gt;"!!!"),"NEW","")))</f>
        <v> </v>
      </c>
      <c r="G2833" s="24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5" t="str">
        <f>IF(J2833&lt;&gt;1,"",IF(I2833="SBJ","CB","?"))</f>
        <v> </v>
      </c>
      <c r="I2833" s="26" t="str">
        <f>IF(OR(E2833="",E2833="!!!",F2833="NEW"),"",INDEX(B2832:B$2,-1+SUMPRODUCT(MAX(ROW(E2832:E$2)*(E2833=E2832:E$2)))))</f>
        <v> </v>
      </c>
      <c r="J2833" s="26" t="str">
        <f>IF(OR(E2833="",E2833="!!!",F2833="NEW"),"",COUNTBLANK(OFFSET(A$1,,,SUMPRODUCT(MAX(ROW(E$2:E2833)*(E2833=E$2:E2833)))))-COUNTBLANK(OFFSET(A$1,,,SUMPRODUCT(MAX(ROW(E$1:E2832)*(E2=E$1:E2832))))))</f>
        <v> </v>
      </c>
      <c r="K2833" s="26" t="str">
        <f>IF(OR(E2833="",E2833="!!!",F2833="NEW"),"",INDEX(J$1:J2832,SUMPRODUCT(MAX(ROW(E$1:E2832)*(E2833=E$1:E2832)))))</f>
        <v> </v>
      </c>
      <c r="L2833" s="27"/>
    </row>
    <row r="2834" spans="1:12">
      <c r="A2834" s="20" t="s">
        <v>1921</v>
      </c>
      <c r="E2834" s="22">
        <f>IF(D2834="?OLD","!!!","")</f>
        <v/>
      </c>
      <c r="F2834" s="23" t="str">
        <f>IF(OR(E2834="",E2834="!!!"),"",IF(NOT(ISNA(VLOOKUP(E2834,E$1:E2833,1,FALSE()))),"OLD",IF(AND(E2834&lt;&gt;"",E2834&lt;&gt;"!!!"),"NEW","")))</f>
        <v> </v>
      </c>
      <c r="G2834" s="24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5" t="str">
        <f>IF(J2834&lt;&gt;1,"",IF(I2834="SBJ","CB","?"))</f>
        <v> </v>
      </c>
      <c r="I2834" s="26" t="str">
        <f>IF(OR(E2834="",E2834="!!!",F2834="NEW"),"",INDEX(B2833:B$2,-1+SUMPRODUCT(MAX(ROW(E2833:E$2)*(E2834=E2833:E$2)))))</f>
        <v> </v>
      </c>
      <c r="J2834" s="26" t="str">
        <f>IF(OR(E2834="",E2834="!!!",F2834="NEW"),"",COUNTBLANK(OFFSET(A$1,,,SUMPRODUCT(MAX(ROW(E$2:E2834)*(E2834=E$2:E2834)))))-COUNTBLANK(OFFSET(A$1,,,SUMPRODUCT(MAX(ROW(E$1:E2833)*(E2=E$1:E2833))))))</f>
        <v> </v>
      </c>
      <c r="K2834" s="26" t="str">
        <f>IF(OR(E2834="",E2834="!!!",F2834="NEW"),"",INDEX(J$1:J2833,SUMPRODUCT(MAX(ROW(E$1:E2833)*(E2834=E$1:E2833)))))</f>
        <v> </v>
      </c>
      <c r="L2834" s="27"/>
    </row>
    <row r="2835" spans="1:12">
      <c r="A2835" s="20" t="s">
        <v>741</v>
      </c>
      <c r="E2835" s="22">
        <f>IF(D2835="?OLD","!!!","")</f>
        <v/>
      </c>
      <c r="F2835" s="23" t="str">
        <f>IF(OR(E2835="",E2835="!!!"),"",IF(NOT(ISNA(VLOOKUP(E2835,E$1:E2834,1,FALSE()))),"OLD",IF(AND(E2835&lt;&gt;"",E2835&lt;&gt;"!!!"),"NEW","")))</f>
        <v> </v>
      </c>
      <c r="G2835" s="24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5" t="str">
        <f>IF(J2835&lt;&gt;1,"",IF(I2835="SBJ","CB","?"))</f>
        <v> </v>
      </c>
      <c r="I2835" s="26" t="str">
        <f>IF(OR(E2835="",E2835="!!!",F2835="NEW"),"",INDEX(B2834:B$2,-1+SUMPRODUCT(MAX(ROW(E2834:E$2)*(E2835=E2834:E$2)))))</f>
        <v> </v>
      </c>
      <c r="J2835" s="26" t="str">
        <f>IF(OR(E2835="",E2835="!!!",F2835="NEW"),"",COUNTBLANK(OFFSET(A$1,,,SUMPRODUCT(MAX(ROW(E$2:E2835)*(E2835=E$2:E2835)))))-COUNTBLANK(OFFSET(A$1,,,SUMPRODUCT(MAX(ROW(E$1:E2834)*(E2=E$1:E2834))))))</f>
        <v> </v>
      </c>
      <c r="K2835" s="26" t="str">
        <f>IF(OR(E2835="",E2835="!!!",F2835="NEW"),"",INDEX(J$1:J2834,SUMPRODUCT(MAX(ROW(E$1:E2834)*(E2835=E$1:E2834)))))</f>
        <v> </v>
      </c>
      <c r="L2835" s="27"/>
    </row>
    <row r="2836" spans="1:12">
      <c r="A2836" s="20" t="s">
        <v>1922</v>
      </c>
      <c r="E2836" s="22">
        <f>IF(D2836="?OLD","!!!","")</f>
        <v/>
      </c>
      <c r="F2836" s="23" t="str">
        <f>IF(OR(E2836="",E2836="!!!"),"",IF(NOT(ISNA(VLOOKUP(E2836,E$1:E2835,1,FALSE()))),"OLD",IF(AND(E2836&lt;&gt;"",E2836&lt;&gt;"!!!"),"NEW","")))</f>
        <v> </v>
      </c>
      <c r="G2836" s="24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5" t="str">
        <f>IF(J2836&lt;&gt;1,"",IF(I2836="SBJ","CB","?"))</f>
        <v> </v>
      </c>
      <c r="I2836" s="26" t="str">
        <f>IF(OR(E2836="",E2836="!!!",F2836="NEW"),"",INDEX(B2835:B$2,-1+SUMPRODUCT(MAX(ROW(E2835:E$2)*(E2836=E2835:E$2)))))</f>
        <v> </v>
      </c>
      <c r="J2836" s="26" t="str">
        <f>IF(OR(E2836="",E2836="!!!",F2836="NEW"),"",COUNTBLANK(OFFSET(A$1,,,SUMPRODUCT(MAX(ROW(E$2:E2836)*(E2836=E$2:E2836)))))-COUNTBLANK(OFFSET(A$1,,,SUMPRODUCT(MAX(ROW(E$1:E2835)*(E2=E$1:E2835))))))</f>
        <v> </v>
      </c>
      <c r="K2836" s="26" t="str">
        <f>IF(OR(E2836="",E2836="!!!",F2836="NEW"),"",INDEX(J$1:J2835,SUMPRODUCT(MAX(ROW(E$1:E2835)*(E2836=E$1:E2835)))))</f>
        <v> </v>
      </c>
      <c r="L2836" s="27"/>
    </row>
    <row r="2837" spans="1:12">
      <c r="A2837" s="20" t="s">
        <v>1923</v>
      </c>
      <c r="E2837" s="22">
        <f>IF(D2837="?OLD","!!!","")</f>
        <v/>
      </c>
      <c r="F2837" s="23" t="str">
        <f>IF(OR(E2837="",E2837="!!!"),"",IF(NOT(ISNA(VLOOKUP(E2837,E$1:E2836,1,FALSE()))),"OLD",IF(AND(E2837&lt;&gt;"",E2837&lt;&gt;"!!!"),"NEW","")))</f>
        <v> </v>
      </c>
      <c r="G2837" s="24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5" t="str">
        <f>IF(J2837&lt;&gt;1,"",IF(I2837="SBJ","CB","?"))</f>
        <v> </v>
      </c>
      <c r="I2837" s="26" t="str">
        <f>IF(OR(E2837="",E2837="!!!",F2837="NEW"),"",INDEX(B2836:B$2,-1+SUMPRODUCT(MAX(ROW(E2836:E$2)*(E2837=E2836:E$2)))))</f>
        <v> </v>
      </c>
      <c r="J2837" s="26" t="str">
        <f>IF(OR(E2837="",E2837="!!!",F2837="NEW"),"",COUNTBLANK(OFFSET(A$1,,,SUMPRODUCT(MAX(ROW(E$2:E2837)*(E2837=E$2:E2837)))))-COUNTBLANK(OFFSET(A$1,,,SUMPRODUCT(MAX(ROW(E$1:E2836)*(E2=E$1:E2836))))))</f>
        <v> </v>
      </c>
      <c r="K2837" s="26" t="str">
        <f>IF(OR(E2837="",E2837="!!!",F2837="NEW"),"",INDEX(J$1:J2836,SUMPRODUCT(MAX(ROW(E$1:E2836)*(E2837=E$1:E2836)))))</f>
        <v> </v>
      </c>
      <c r="L2837" s="27"/>
    </row>
    <row r="2838" spans="1:12">
      <c r="A2838" s="20" t="s">
        <v>1924</v>
      </c>
      <c r="E2838" s="22">
        <f>IF(D2838="?OLD","!!!","")</f>
        <v/>
      </c>
      <c r="F2838" s="23" t="str">
        <f>IF(OR(E2838="",E2838="!!!"),"",IF(NOT(ISNA(VLOOKUP(E2838,E$1:E2837,1,FALSE()))),"OLD",IF(AND(E2838&lt;&gt;"",E2838&lt;&gt;"!!!"),"NEW","")))</f>
        <v> </v>
      </c>
      <c r="G2838" s="24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5" t="str">
        <f>IF(J2838&lt;&gt;1,"",IF(I2838="SBJ","CB","?"))</f>
        <v> </v>
      </c>
      <c r="I2838" s="26" t="str">
        <f>IF(OR(E2838="",E2838="!!!",F2838="NEW"),"",INDEX(B2837:B$2,-1+SUMPRODUCT(MAX(ROW(E2837:E$2)*(E2838=E2837:E$2)))))</f>
        <v> </v>
      </c>
      <c r="J2838" s="26" t="str">
        <f>IF(OR(E2838="",E2838="!!!",F2838="NEW"),"",COUNTBLANK(OFFSET(A$1,,,SUMPRODUCT(MAX(ROW(E$2:E2838)*(E2838=E$2:E2838)))))-COUNTBLANK(OFFSET(A$1,,,SUMPRODUCT(MAX(ROW(E$1:E2837)*(E2=E$1:E2837))))))</f>
        <v> </v>
      </c>
      <c r="K2838" s="26" t="str">
        <f>IF(OR(E2838="",E2838="!!!",F2838="NEW"),"",INDEX(J$1:J2837,SUMPRODUCT(MAX(ROW(E$1:E2837)*(E2838=E$1:E2837)))))</f>
        <v> </v>
      </c>
      <c r="L2838" s="27"/>
    </row>
    <row r="2839" spans="1:12">
      <c r="A2839" s="20" t="s">
        <v>633</v>
      </c>
      <c r="E2839" s="22">
        <f>IF(D2839="?OLD","!!!","")</f>
        <v/>
      </c>
      <c r="F2839" s="23" t="str">
        <f>IF(OR(E2839="",E2839="!!!"),"",IF(NOT(ISNA(VLOOKUP(E2839,E$1:E2838,1,FALSE()))),"OLD",IF(AND(E2839&lt;&gt;"",E2839&lt;&gt;"!!!"),"NEW","")))</f>
        <v> </v>
      </c>
      <c r="G2839" s="24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5" t="str">
        <f>IF(J2839&lt;&gt;1,"",IF(I2839="SBJ","CB","?"))</f>
        <v> </v>
      </c>
      <c r="I2839" s="26" t="str">
        <f>IF(OR(E2839="",E2839="!!!",F2839="NEW"),"",INDEX(B2838:B$2,-1+SUMPRODUCT(MAX(ROW(E2838:E$2)*(E2839=E2838:E$2)))))</f>
        <v> </v>
      </c>
      <c r="J2839" s="26" t="str">
        <f>IF(OR(E2839="",E2839="!!!",F2839="NEW"),"",COUNTBLANK(OFFSET(A$1,,,SUMPRODUCT(MAX(ROW(E$2:E2839)*(E2839=E$2:E2839)))))-COUNTBLANK(OFFSET(A$1,,,SUMPRODUCT(MAX(ROW(E$1:E2838)*(E2=E$1:E2838))))))</f>
        <v> </v>
      </c>
      <c r="K2839" s="26" t="str">
        <f>IF(OR(E2839="",E2839="!!!",F2839="NEW"),"",INDEX(J$1:J2838,SUMPRODUCT(MAX(ROW(E$1:E2838)*(E2839=E$1:E2838)))))</f>
        <v> </v>
      </c>
      <c r="L2839" s="27"/>
    </row>
    <row r="2840" spans="1:12">
      <c r="A2840" s="20" t="s">
        <v>1923</v>
      </c>
      <c r="E2840" s="22">
        <f>IF(D2840="?OLD","!!!","")</f>
        <v/>
      </c>
      <c r="F2840" s="23" t="str">
        <f>IF(OR(E2840="",E2840="!!!"),"",IF(NOT(ISNA(VLOOKUP(E2840,E$1:E2839,1,FALSE()))),"OLD",IF(AND(E2840&lt;&gt;"",E2840&lt;&gt;"!!!"),"NEW","")))</f>
        <v> </v>
      </c>
      <c r="G2840" s="24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5" t="str">
        <f>IF(J2840&lt;&gt;1,"",IF(I2840="SBJ","CB","?"))</f>
        <v> </v>
      </c>
      <c r="I2840" s="26" t="str">
        <f>IF(OR(E2840="",E2840="!!!",F2840="NEW"),"",INDEX(B2839:B$2,-1+SUMPRODUCT(MAX(ROW(E2839:E$2)*(E2840=E2839:E$2)))))</f>
        <v> </v>
      </c>
      <c r="J2840" s="26" t="str">
        <f>IF(OR(E2840="",E2840="!!!",F2840="NEW"),"",COUNTBLANK(OFFSET(A$1,,,SUMPRODUCT(MAX(ROW(E$2:E2840)*(E2840=E$2:E2840)))))-COUNTBLANK(OFFSET(A$1,,,SUMPRODUCT(MAX(ROW(E$1:E2839)*(E2=E$1:E2839))))))</f>
        <v> </v>
      </c>
      <c r="K2840" s="26" t="str">
        <f>IF(OR(E2840="",E2840="!!!",F2840="NEW"),"",INDEX(J$1:J2839,SUMPRODUCT(MAX(ROW(E$1:E2839)*(E2840=E$1:E2839)))))</f>
        <v> </v>
      </c>
      <c r="L2840" s="27"/>
    </row>
    <row r="2841" spans="1:12">
      <c r="A2841" s="20"/>
    </row>
    <row r="2842" spans="1:12">
      <c r="A2842" s="20" t="s">
        <v>1925</v>
      </c>
    </row>
    <row r="2843" spans="1:12">
      <c r="A2843" s="20" t="s">
        <v>1746</v>
      </c>
      <c r="B2843" s="21" t="s">
        <v>601</v>
      </c>
      <c r="C2843" s="21" t="s">
        <v>602</v>
      </c>
      <c r="D2843" s="21" t="s">
        <v>603</v>
      </c>
      <c r="E2843" s="22">
        <f>IF(D2843="?OLD","!!!","")</f>
        <v/>
      </c>
      <c r="F2843" s="23" t="str">
        <f>IF(OR(E2843="",E2843="!!!"),"",IF(NOT(ISNA(VLOOKUP(E2843,E$1:E2842,1,FALSE()))),"OLD",IF(AND(E2843&lt;&gt;"",E2843&lt;&gt;"!!!"),"NEW","")))</f>
        <v> </v>
      </c>
      <c r="G2843" s="24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5" t="str">
        <f>IF(J2843&lt;&gt;1,"",IF(I2843="SBJ","CB","?"))</f>
        <v> </v>
      </c>
      <c r="I2843" s="26" t="str">
        <f>IF(OR(E2843="",E2843="!!!",F2843="NEW"),"",INDEX(B2842:B$2,-1+SUMPRODUCT(MAX(ROW(E2842:E$2)*(E2843=E2842:E$2)))))</f>
        <v> </v>
      </c>
      <c r="J2843" s="26" t="str">
        <f>IF(OR(E2843="",E2843="!!!",F2843="NEW"),"",COUNTBLANK(OFFSET(A$1,,,SUMPRODUCT(MAX(ROW(E$2:E2843)*(E2843=E$2:E2843)))))-COUNTBLANK(OFFSET(A$1,,,SUMPRODUCT(MAX(ROW(E$1:E2842)*(E2=E$1:E2842))))))</f>
        <v> </v>
      </c>
      <c r="K2843" s="26" t="str">
        <f>IF(OR(E2843="",E2843="!!!",F2843="NEW"),"",INDEX(J$1:J2842,SUMPRODUCT(MAX(ROW(E$1:E2842)*(E2843=E$1:E2842)))))</f>
        <v> </v>
      </c>
      <c r="L2843" s="27"/>
    </row>
    <row r="2844" spans="1:12">
      <c r="A2844" s="20" t="s">
        <v>1908</v>
      </c>
      <c r="E2844" s="22">
        <f>IF(D2844="?OLD","!!!","")</f>
        <v/>
      </c>
      <c r="F2844" s="23" t="str">
        <f>IF(OR(E2844="",E2844="!!!"),"",IF(NOT(ISNA(VLOOKUP(E2844,E$1:E2843,1,FALSE()))),"OLD",IF(AND(E2844&lt;&gt;"",E2844&lt;&gt;"!!!"),"NEW","")))</f>
        <v> </v>
      </c>
      <c r="G2844" s="24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5" t="str">
        <f>IF(J2844&lt;&gt;1,"",IF(I2844="SBJ","CB","?"))</f>
        <v> </v>
      </c>
      <c r="I2844" s="26" t="str">
        <f>IF(OR(E2844="",E2844="!!!",F2844="NEW"),"",INDEX(B2843:B$2,-1+SUMPRODUCT(MAX(ROW(E2843:E$2)*(E2844=E2843:E$2)))))</f>
        <v> </v>
      </c>
      <c r="J2844" s="26" t="str">
        <f>IF(OR(E2844="",E2844="!!!",F2844="NEW"),"",COUNTBLANK(OFFSET(A$1,,,SUMPRODUCT(MAX(ROW(E$2:E2844)*(E2844=E$2:E2844)))))-COUNTBLANK(OFFSET(A$1,,,SUMPRODUCT(MAX(ROW(E$1:E2843)*(E2=E$1:E2843))))))</f>
        <v> </v>
      </c>
      <c r="K2844" s="26" t="str">
        <f>IF(OR(E2844="",E2844="!!!",F2844="NEW"),"",INDEX(J$1:J2843,SUMPRODUCT(MAX(ROW(E$1:E2843)*(E2844=E$1:E2843)))))</f>
        <v> </v>
      </c>
      <c r="L2844" s="27"/>
    </row>
    <row r="2845" spans="1:12">
      <c r="A2845" s="20" t="s">
        <v>1926</v>
      </c>
      <c r="E2845" s="22">
        <f>IF(D2845="?OLD","!!!","")</f>
        <v/>
      </c>
      <c r="F2845" s="23" t="str">
        <f>IF(OR(E2845="",E2845="!!!"),"",IF(NOT(ISNA(VLOOKUP(E2845,E$1:E2844,1,FALSE()))),"OLD",IF(AND(E2845&lt;&gt;"",E2845&lt;&gt;"!!!"),"NEW","")))</f>
        <v> </v>
      </c>
      <c r="G2845" s="24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5" t="str">
        <f>IF(J2845&lt;&gt;1,"",IF(I2845="SBJ","CB","?"))</f>
        <v> </v>
      </c>
      <c r="I2845" s="26" t="str">
        <f>IF(OR(E2845="",E2845="!!!",F2845="NEW"),"",INDEX(B2844:B$2,-1+SUMPRODUCT(MAX(ROW(E2844:E$2)*(E2845=E2844:E$2)))))</f>
        <v> </v>
      </c>
      <c r="J2845" s="26" t="str">
        <f>IF(OR(E2845="",E2845="!!!",F2845="NEW"),"",COUNTBLANK(OFFSET(A$1,,,SUMPRODUCT(MAX(ROW(E$2:E2845)*(E2845=E$2:E2845)))))-COUNTBLANK(OFFSET(A$1,,,SUMPRODUCT(MAX(ROW(E$1:E2844)*(E2=E$1:E2844))))))</f>
        <v> </v>
      </c>
      <c r="K2845" s="26" t="str">
        <f>IF(OR(E2845="",E2845="!!!",F2845="NEW"),"",INDEX(J$1:J2844,SUMPRODUCT(MAX(ROW(E$1:E2844)*(E2845=E$1:E2844)))))</f>
        <v> </v>
      </c>
      <c r="L2845" s="27"/>
    </row>
    <row r="2846" spans="1:12">
      <c r="A2846" s="20" t="s">
        <v>883</v>
      </c>
      <c r="E2846" s="22">
        <f>IF(D2846="?OLD","!!!","")</f>
        <v/>
      </c>
      <c r="F2846" s="23" t="str">
        <f>IF(OR(E2846="",E2846="!!!"),"",IF(NOT(ISNA(VLOOKUP(E2846,E$1:E2845,1,FALSE()))),"OLD",IF(AND(E2846&lt;&gt;"",E2846&lt;&gt;"!!!"),"NEW","")))</f>
        <v> </v>
      </c>
      <c r="G2846" s="24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5" t="str">
        <f>IF(J2846&lt;&gt;1,"",IF(I2846="SBJ","CB","?"))</f>
        <v> </v>
      </c>
      <c r="I2846" s="26" t="str">
        <f>IF(OR(E2846="",E2846="!!!",F2846="NEW"),"",INDEX(B2845:B$2,-1+SUMPRODUCT(MAX(ROW(E2845:E$2)*(E2846=E2845:E$2)))))</f>
        <v> </v>
      </c>
      <c r="J2846" s="26" t="str">
        <f>IF(OR(E2846="",E2846="!!!",F2846="NEW"),"",COUNTBLANK(OFFSET(A$1,,,SUMPRODUCT(MAX(ROW(E$2:E2846)*(E2846=E$2:E2846)))))-COUNTBLANK(OFFSET(A$1,,,SUMPRODUCT(MAX(ROW(E$1:E2845)*(E2=E$1:E2845))))))</f>
        <v> </v>
      </c>
      <c r="K2846" s="26" t="str">
        <f>IF(OR(E2846="",E2846="!!!",F2846="NEW"),"",INDEX(J$1:J2845,SUMPRODUCT(MAX(ROW(E$1:E2845)*(E2846=E$1:E2845)))))</f>
        <v> </v>
      </c>
      <c r="L2846" s="27"/>
    </row>
    <row r="2847" spans="1:12">
      <c r="A2847" s="20" t="s">
        <v>1927</v>
      </c>
      <c r="E2847" s="22">
        <f>IF(D2847="?OLD","!!!","")</f>
        <v/>
      </c>
      <c r="F2847" s="23" t="str">
        <f>IF(OR(E2847="",E2847="!!!"),"",IF(NOT(ISNA(VLOOKUP(E2847,E$1:E2846,1,FALSE()))),"OLD",IF(AND(E2847&lt;&gt;"",E2847&lt;&gt;"!!!"),"NEW","")))</f>
        <v> </v>
      </c>
      <c r="G2847" s="24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5" t="str">
        <f>IF(J2847&lt;&gt;1,"",IF(I2847="SBJ","CB","?"))</f>
        <v> </v>
      </c>
      <c r="I2847" s="26" t="str">
        <f>IF(OR(E2847="",E2847="!!!",F2847="NEW"),"",INDEX(B2846:B$2,-1+SUMPRODUCT(MAX(ROW(E2846:E$2)*(E2847=E2846:E$2)))))</f>
        <v> </v>
      </c>
      <c r="J2847" s="26" t="str">
        <f>IF(OR(E2847="",E2847="!!!",F2847="NEW"),"",COUNTBLANK(OFFSET(A$1,,,SUMPRODUCT(MAX(ROW(E$2:E2847)*(E2847=E$2:E2847)))))-COUNTBLANK(OFFSET(A$1,,,SUMPRODUCT(MAX(ROW(E$1:E2846)*(E2=E$1:E2846))))))</f>
        <v> </v>
      </c>
      <c r="K2847" s="26" t="str">
        <f>IF(OR(E2847="",E2847="!!!",F2847="NEW"),"",INDEX(J$1:J2846,SUMPRODUCT(MAX(ROW(E$1:E2846)*(E2847=E$1:E2846)))))</f>
        <v> </v>
      </c>
      <c r="L2847" s="27"/>
    </row>
    <row r="2848" spans="1:12">
      <c r="A2848" s="20" t="s">
        <v>1928</v>
      </c>
      <c r="E2848" s="22">
        <f>IF(D2848="?OLD","!!!","")</f>
        <v/>
      </c>
      <c r="F2848" s="23" t="str">
        <f>IF(OR(E2848="",E2848="!!!"),"",IF(NOT(ISNA(VLOOKUP(E2848,E$1:E2847,1,FALSE()))),"OLD",IF(AND(E2848&lt;&gt;"",E2848&lt;&gt;"!!!"),"NEW","")))</f>
        <v> </v>
      </c>
      <c r="G2848" s="24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5" t="str">
        <f>IF(J2848&lt;&gt;1,"",IF(I2848="SBJ","CB","?"))</f>
        <v> </v>
      </c>
      <c r="I2848" s="26" t="str">
        <f>IF(OR(E2848="",E2848="!!!",F2848="NEW"),"",INDEX(B2847:B$2,-1+SUMPRODUCT(MAX(ROW(E2847:E$2)*(E2848=E2847:E$2)))))</f>
        <v> </v>
      </c>
      <c r="J2848" s="26" t="str">
        <f>IF(OR(E2848="",E2848="!!!",F2848="NEW"),"",COUNTBLANK(OFFSET(A$1,,,SUMPRODUCT(MAX(ROW(E$2:E2848)*(E2848=E$2:E2848)))))-COUNTBLANK(OFFSET(A$1,,,SUMPRODUCT(MAX(ROW(E$1:E2847)*(E2=E$1:E2847))))))</f>
        <v> </v>
      </c>
      <c r="K2848" s="26" t="str">
        <f>IF(OR(E2848="",E2848="!!!",F2848="NEW"),"",INDEX(J$1:J2847,SUMPRODUCT(MAX(ROW(E$1:E2847)*(E2848=E$1:E2847)))))</f>
        <v> </v>
      </c>
      <c r="L2848" s="27"/>
    </row>
    <row r="2849" spans="1:12">
      <c r="A2849" s="20" t="s">
        <v>1929</v>
      </c>
      <c r="E2849" s="22">
        <f>IF(D2849="?OLD","!!!","")</f>
        <v/>
      </c>
      <c r="F2849" s="23" t="str">
        <f>IF(OR(E2849="",E2849="!!!"),"",IF(NOT(ISNA(VLOOKUP(E2849,E$1:E2848,1,FALSE()))),"OLD",IF(AND(E2849&lt;&gt;"",E2849&lt;&gt;"!!!"),"NEW","")))</f>
        <v> </v>
      </c>
      <c r="G2849" s="24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5" t="str">
        <f>IF(J2849&lt;&gt;1,"",IF(I2849="SBJ","CB","?"))</f>
        <v> </v>
      </c>
      <c r="I2849" s="26" t="str">
        <f>IF(OR(E2849="",E2849="!!!",F2849="NEW"),"",INDEX(B2848:B$2,-1+SUMPRODUCT(MAX(ROW(E2848:E$2)*(E2849=E2848:E$2)))))</f>
        <v> </v>
      </c>
      <c r="J2849" s="26" t="str">
        <f>IF(OR(E2849="",E2849="!!!",F2849="NEW"),"",COUNTBLANK(OFFSET(A$1,,,SUMPRODUCT(MAX(ROW(E$2:E2849)*(E2849=E$2:E2849)))))-COUNTBLANK(OFFSET(A$1,,,SUMPRODUCT(MAX(ROW(E$1:E2848)*(E2=E$1:E2848))))))</f>
        <v> </v>
      </c>
      <c r="K2849" s="26" t="str">
        <f>IF(OR(E2849="",E2849="!!!",F2849="NEW"),"",INDEX(J$1:J2848,SUMPRODUCT(MAX(ROW(E$1:E2848)*(E2849=E$1:E2848)))))</f>
        <v> </v>
      </c>
      <c r="L2849" s="27"/>
    </row>
    <row r="2850" spans="1:12">
      <c r="A2850" s="20" t="s">
        <v>611</v>
      </c>
      <c r="E2850" s="22">
        <f>IF(D2850="?OLD","!!!","")</f>
        <v/>
      </c>
      <c r="F2850" s="23" t="str">
        <f>IF(OR(E2850="",E2850="!!!"),"",IF(NOT(ISNA(VLOOKUP(E2850,E$1:E2849,1,FALSE()))),"OLD",IF(AND(E2850&lt;&gt;"",E2850&lt;&gt;"!!!"),"NEW","")))</f>
        <v> </v>
      </c>
      <c r="G2850" s="24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5" t="str">
        <f>IF(J2850&lt;&gt;1,"",IF(I2850="SBJ","CB","?"))</f>
        <v> </v>
      </c>
      <c r="I2850" s="26" t="str">
        <f>IF(OR(E2850="",E2850="!!!",F2850="NEW"),"",INDEX(B2849:B$2,-1+SUMPRODUCT(MAX(ROW(E2849:E$2)*(E2850=E2849:E$2)))))</f>
        <v> </v>
      </c>
      <c r="J2850" s="26" t="str">
        <f>IF(OR(E2850="",E2850="!!!",F2850="NEW"),"",COUNTBLANK(OFFSET(A$1,,,SUMPRODUCT(MAX(ROW(E$2:E2850)*(E2850=E$2:E2850)))))-COUNTBLANK(OFFSET(A$1,,,SUMPRODUCT(MAX(ROW(E$1:E2849)*(E2=E$1:E2849))))))</f>
        <v> </v>
      </c>
      <c r="K2850" s="26" t="str">
        <f>IF(OR(E2850="",E2850="!!!",F2850="NEW"),"",INDEX(J$1:J2849,SUMPRODUCT(MAX(ROW(E$1:E2849)*(E2850=E$1:E2849)))))</f>
        <v> </v>
      </c>
      <c r="L2850" s="27"/>
    </row>
    <row r="2851" spans="1:12">
      <c r="A2851" s="20" t="s">
        <v>1930</v>
      </c>
      <c r="E2851" s="22">
        <f>IF(D2851="?OLD","!!!","")</f>
        <v/>
      </c>
      <c r="F2851" s="23" t="str">
        <f>IF(OR(E2851="",E2851="!!!"),"",IF(NOT(ISNA(VLOOKUP(E2851,E$1:E2850,1,FALSE()))),"OLD",IF(AND(E2851&lt;&gt;"",E2851&lt;&gt;"!!!"),"NEW","")))</f>
        <v> </v>
      </c>
      <c r="G2851" s="24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5" t="str">
        <f>IF(J2851&lt;&gt;1,"",IF(I2851="SBJ","CB","?"))</f>
        <v> </v>
      </c>
      <c r="I2851" s="26" t="str">
        <f>IF(OR(E2851="",E2851="!!!",F2851="NEW"),"",INDEX(B2850:B$2,-1+SUMPRODUCT(MAX(ROW(E2850:E$2)*(E2851=E2850:E$2)))))</f>
        <v> </v>
      </c>
      <c r="J2851" s="26" t="str">
        <f>IF(OR(E2851="",E2851="!!!",F2851="NEW"),"",COUNTBLANK(OFFSET(A$1,,,SUMPRODUCT(MAX(ROW(E$2:E2851)*(E2851=E$2:E2851)))))-COUNTBLANK(OFFSET(A$1,,,SUMPRODUCT(MAX(ROW(E$1:E2850)*(E2=E$1:E2850))))))</f>
        <v> </v>
      </c>
      <c r="K2851" s="26" t="str">
        <f>IF(OR(E2851="",E2851="!!!",F2851="NEW"),"",INDEX(J$1:J2850,SUMPRODUCT(MAX(ROW(E$1:E2850)*(E2851=E$1:E2850)))))</f>
        <v> </v>
      </c>
      <c r="L2851" s="27"/>
    </row>
    <row r="2852" spans="1:12">
      <c r="A2852" s="20" t="s">
        <v>1117</v>
      </c>
      <c r="B2852" s="21" t="s">
        <v>793</v>
      </c>
      <c r="E2852" s="22">
        <f>IF(D2852="?OLD","!!!","")</f>
        <v/>
      </c>
      <c r="F2852" s="23" t="str">
        <f>IF(OR(E2852="",E2852="!!!"),"",IF(NOT(ISNA(VLOOKUP(E2852,E$1:E2851,1,FALSE()))),"OLD",IF(AND(E2852&lt;&gt;"",E2852&lt;&gt;"!!!"),"NEW","")))</f>
        <v> </v>
      </c>
      <c r="G2852" s="24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5" t="str">
        <f>IF(J2852&lt;&gt;1,"",IF(I2852="SBJ","CB","?"))</f>
        <v> </v>
      </c>
      <c r="I2852" s="26" t="str">
        <f>IF(OR(E2852="",E2852="!!!",F2852="NEW"),"",INDEX(B2851:B$2,-1+SUMPRODUCT(MAX(ROW(E2851:E$2)*(E2852=E2851:E$2)))))</f>
        <v> </v>
      </c>
      <c r="J2852" s="26" t="str">
        <f>IF(OR(E2852="",E2852="!!!",F2852="NEW"),"",COUNTBLANK(OFFSET(A$1,,,SUMPRODUCT(MAX(ROW(E$2:E2852)*(E2852=E$2:E2852)))))-COUNTBLANK(OFFSET(A$1,,,SUMPRODUCT(MAX(ROW(E$1:E2851)*(E2=E$1:E2851))))))</f>
        <v> </v>
      </c>
      <c r="K2852" s="26" t="str">
        <f>IF(OR(E2852="",E2852="!!!",F2852="NEW"),"",INDEX(J$1:J2851,SUMPRODUCT(MAX(ROW(E$1:E2851)*(E2852=E$1:E2851)))))</f>
        <v> </v>
      </c>
      <c r="L2852" s="27"/>
    </row>
    <row r="2853" spans="1:12">
      <c r="A2853" s="20" t="s">
        <v>1931</v>
      </c>
      <c r="E2853" s="22">
        <f>IF(D2853="?OLD","!!!","")</f>
        <v/>
      </c>
      <c r="F2853" s="23" t="str">
        <f>IF(OR(E2853="",E2853="!!!"),"",IF(NOT(ISNA(VLOOKUP(E2853,E$1:E2852,1,FALSE()))),"OLD",IF(AND(E2853&lt;&gt;"",E2853&lt;&gt;"!!!"),"NEW","")))</f>
        <v> </v>
      </c>
      <c r="G2853" s="24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5" t="str">
        <f>IF(J2853&lt;&gt;1,"",IF(I2853="SBJ","CB","?"))</f>
        <v> </v>
      </c>
      <c r="I2853" s="26" t="str">
        <f>IF(OR(E2853="",E2853="!!!",F2853="NEW"),"",INDEX(B2852:B$2,-1+SUMPRODUCT(MAX(ROW(E2852:E$2)*(E2853=E2852:E$2)))))</f>
        <v> </v>
      </c>
      <c r="J2853" s="26" t="str">
        <f>IF(OR(E2853="",E2853="!!!",F2853="NEW"),"",COUNTBLANK(OFFSET(A$1,,,SUMPRODUCT(MAX(ROW(E$2:E2853)*(E2853=E$2:E2853)))))-COUNTBLANK(OFFSET(A$1,,,SUMPRODUCT(MAX(ROW(E$1:E2852)*(E2=E$1:E2852))))))</f>
        <v> </v>
      </c>
      <c r="K2853" s="26" t="str">
        <f>IF(OR(E2853="",E2853="!!!",F2853="NEW"),"",INDEX(J$1:J2852,SUMPRODUCT(MAX(ROW(E$1:E2852)*(E2853=E$1:E2852)))))</f>
        <v> </v>
      </c>
      <c r="L2853" s="27"/>
    </row>
    <row r="2854" spans="1:12">
      <c r="A2854" s="20" t="s">
        <v>1932</v>
      </c>
      <c r="E2854" s="22">
        <f>IF(D2854="?OLD","!!!","")</f>
        <v/>
      </c>
      <c r="F2854" s="23" t="str">
        <f>IF(OR(E2854="",E2854="!!!"),"",IF(NOT(ISNA(VLOOKUP(E2854,E$1:E2853,1,FALSE()))),"OLD",IF(AND(E2854&lt;&gt;"",E2854&lt;&gt;"!!!"),"NEW","")))</f>
        <v> </v>
      </c>
      <c r="G2854" s="24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5" t="str">
        <f>IF(J2854&lt;&gt;1,"",IF(I2854="SBJ","CB","?"))</f>
        <v> </v>
      </c>
      <c r="I2854" s="26" t="str">
        <f>IF(OR(E2854="",E2854="!!!",F2854="NEW"),"",INDEX(B2853:B$2,-1+SUMPRODUCT(MAX(ROW(E2853:E$2)*(E2854=E2853:E$2)))))</f>
        <v> </v>
      </c>
      <c r="J2854" s="26" t="str">
        <f>IF(OR(E2854="",E2854="!!!",F2854="NEW"),"",COUNTBLANK(OFFSET(A$1,,,SUMPRODUCT(MAX(ROW(E$2:E2854)*(E2854=E$2:E2854)))))-COUNTBLANK(OFFSET(A$1,,,SUMPRODUCT(MAX(ROW(E$1:E2853)*(E2=E$1:E2853))))))</f>
        <v> </v>
      </c>
      <c r="K2854" s="26" t="str">
        <f>IF(OR(E2854="",E2854="!!!",F2854="NEW"),"",INDEX(J$1:J2853,SUMPRODUCT(MAX(ROW(E$1:E2853)*(E2854=E$1:E2853)))))</f>
        <v> </v>
      </c>
      <c r="L2854" s="27"/>
    </row>
    <row r="2855" spans="1:12">
      <c r="A2855" s="20" t="s">
        <v>633</v>
      </c>
      <c r="E2855" s="22">
        <f>IF(D2855="?OLD","!!!","")</f>
        <v/>
      </c>
      <c r="F2855" s="23" t="str">
        <f>IF(OR(E2855="",E2855="!!!"),"",IF(NOT(ISNA(VLOOKUP(E2855,E$1:E2854,1,FALSE()))),"OLD",IF(AND(E2855&lt;&gt;"",E2855&lt;&gt;"!!!"),"NEW","")))</f>
        <v> </v>
      </c>
      <c r="G2855" s="24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5" t="str">
        <f>IF(J2855&lt;&gt;1,"",IF(I2855="SBJ","CB","?"))</f>
        <v> </v>
      </c>
      <c r="I2855" s="26" t="str">
        <f>IF(OR(E2855="",E2855="!!!",F2855="NEW"),"",INDEX(B2854:B$2,-1+SUMPRODUCT(MAX(ROW(E2854:E$2)*(E2855=E2854:E$2)))))</f>
        <v> </v>
      </c>
      <c r="J2855" s="26" t="str">
        <f>IF(OR(E2855="",E2855="!!!",F2855="NEW"),"",COUNTBLANK(OFFSET(A$1,,,SUMPRODUCT(MAX(ROW(E$2:E2855)*(E2855=E$2:E2855)))))-COUNTBLANK(OFFSET(A$1,,,SUMPRODUCT(MAX(ROW(E$1:E2854)*(E2=E$1:E2854))))))</f>
        <v> </v>
      </c>
      <c r="K2855" s="26" t="str">
        <f>IF(OR(E2855="",E2855="!!!",F2855="NEW"),"",INDEX(J$1:J2854,SUMPRODUCT(MAX(ROW(E$1:E2854)*(E2855=E$1:E2854)))))</f>
        <v> </v>
      </c>
      <c r="L2855" s="27"/>
    </row>
    <row r="2856" spans="1:12">
      <c r="A2856" s="20"/>
    </row>
    <row r="2857" spans="1:12">
      <c r="A2857" s="20" t="s">
        <v>1933</v>
      </c>
    </row>
    <row r="2858" spans="1:12">
      <c r="A2858" s="20" t="s">
        <v>817</v>
      </c>
      <c r="E2858" s="22">
        <f>IF(D2858="?OLD","!!!","")</f>
        <v/>
      </c>
      <c r="F2858" s="23" t="str">
        <f>IF(OR(E2858="",E2858="!!!"),"",IF(NOT(ISNA(VLOOKUP(E2858,E$1:E2857,1,FALSE()))),"OLD",IF(AND(E2858&lt;&gt;"",E2858&lt;&gt;"!!!"),"NEW","")))</f>
        <v> </v>
      </c>
      <c r="G2858" s="24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5" t="str">
        <f>IF(J2858&lt;&gt;1,"",IF(I2858="SBJ","CB","?"))</f>
        <v> </v>
      </c>
      <c r="I2858" s="26" t="str">
        <f>IF(OR(E2858="",E2858="!!!",F2858="NEW"),"",INDEX(B2857:B$2,-1+SUMPRODUCT(MAX(ROW(E2857:E$2)*(E2858=E2857:E$2)))))</f>
        <v> </v>
      </c>
      <c r="J2858" s="26" t="str">
        <f>IF(OR(E2858="",E2858="!!!",F2858="NEW"),"",COUNTBLANK(OFFSET(A$1,,,SUMPRODUCT(MAX(ROW(E$2:E2858)*(E2858=E$2:E2858)))))-COUNTBLANK(OFFSET(A$1,,,SUMPRODUCT(MAX(ROW(E$1:E2857)*(E2=E$1:E2857))))))</f>
        <v> </v>
      </c>
      <c r="K2858" s="26" t="str">
        <f>IF(OR(E2858="",E2858="!!!",F2858="NEW"),"",INDEX(J$1:J2857,SUMPRODUCT(MAX(ROW(E$1:E2857)*(E2858=E$1:E2857)))))</f>
        <v> </v>
      </c>
      <c r="L2858" s="27"/>
    </row>
    <row r="2859" spans="1:12">
      <c r="A2859" s="20" t="s">
        <v>795</v>
      </c>
      <c r="E2859" s="22">
        <f>IF(D2859="?OLD","!!!","")</f>
        <v/>
      </c>
      <c r="F2859" s="23" t="str">
        <f>IF(OR(E2859="",E2859="!!!"),"",IF(NOT(ISNA(VLOOKUP(E2859,E$1:E2858,1,FALSE()))),"OLD",IF(AND(E2859&lt;&gt;"",E2859&lt;&gt;"!!!"),"NEW","")))</f>
        <v> </v>
      </c>
      <c r="G2859" s="24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5" t="str">
        <f>IF(J2859&lt;&gt;1,"",IF(I2859="SBJ","CB","?"))</f>
        <v> </v>
      </c>
      <c r="I2859" s="26" t="str">
        <f>IF(OR(E2859="",E2859="!!!",F2859="NEW"),"",INDEX(B2858:B$2,-1+SUMPRODUCT(MAX(ROW(E2858:E$2)*(E2859=E2858:E$2)))))</f>
        <v> </v>
      </c>
      <c r="J2859" s="26" t="str">
        <f>IF(OR(E2859="",E2859="!!!",F2859="NEW"),"",COUNTBLANK(OFFSET(A$1,,,SUMPRODUCT(MAX(ROW(E$2:E2859)*(E2859=E$2:E2859)))))-COUNTBLANK(OFFSET(A$1,,,SUMPRODUCT(MAX(ROW(E$1:E2858)*(E2=E$1:E2858))))))</f>
        <v> </v>
      </c>
      <c r="K2859" s="26" t="str">
        <f>IF(OR(E2859="",E2859="!!!",F2859="NEW"),"",INDEX(J$1:J2858,SUMPRODUCT(MAX(ROW(E$1:E2858)*(E2859=E$1:E2858)))))</f>
        <v> </v>
      </c>
      <c r="L2859" s="27"/>
    </row>
    <row r="2860" spans="1:12">
      <c r="A2860" s="20" t="s">
        <v>1934</v>
      </c>
      <c r="E2860" s="22">
        <f>IF(D2860="?OLD","!!!","")</f>
        <v/>
      </c>
      <c r="F2860" s="23" t="str">
        <f>IF(OR(E2860="",E2860="!!!"),"",IF(NOT(ISNA(VLOOKUP(E2860,E$1:E2859,1,FALSE()))),"OLD",IF(AND(E2860&lt;&gt;"",E2860&lt;&gt;"!!!"),"NEW","")))</f>
        <v> </v>
      </c>
      <c r="G2860" s="24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5" t="str">
        <f>IF(J2860&lt;&gt;1,"",IF(I2860="SBJ","CB","?"))</f>
        <v> </v>
      </c>
      <c r="I2860" s="26" t="str">
        <f>IF(OR(E2860="",E2860="!!!",F2860="NEW"),"",INDEX(B2859:B$2,-1+SUMPRODUCT(MAX(ROW(E2859:E$2)*(E2860=E2859:E$2)))))</f>
        <v> </v>
      </c>
      <c r="J2860" s="26" t="str">
        <f>IF(OR(E2860="",E2860="!!!",F2860="NEW"),"",COUNTBLANK(OFFSET(A$1,,,SUMPRODUCT(MAX(ROW(E$2:E2860)*(E2860=E$2:E2860)))))-COUNTBLANK(OFFSET(A$1,,,SUMPRODUCT(MAX(ROW(E$1:E2859)*(E2=E$1:E2859))))))</f>
        <v> </v>
      </c>
      <c r="K2860" s="26" t="str">
        <f>IF(OR(E2860="",E2860="!!!",F2860="NEW"),"",INDEX(J$1:J2859,SUMPRODUCT(MAX(ROW(E$1:E2859)*(E2860=E$1:E2859)))))</f>
        <v> </v>
      </c>
      <c r="L2860" s="27"/>
    </row>
    <row r="2861" spans="1:12">
      <c r="A2861" s="20" t="s">
        <v>1935</v>
      </c>
      <c r="E2861" s="22">
        <f>IF(D2861="?OLD","!!!","")</f>
        <v/>
      </c>
      <c r="F2861" s="23" t="str">
        <f>IF(OR(E2861="",E2861="!!!"),"",IF(NOT(ISNA(VLOOKUP(E2861,E$1:E2860,1,FALSE()))),"OLD",IF(AND(E2861&lt;&gt;"",E2861&lt;&gt;"!!!"),"NEW","")))</f>
        <v> </v>
      </c>
      <c r="G2861" s="24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5" t="str">
        <f>IF(J2861&lt;&gt;1,"",IF(I2861="SBJ","CB","?"))</f>
        <v> </v>
      </c>
      <c r="I2861" s="26" t="str">
        <f>IF(OR(E2861="",E2861="!!!",F2861="NEW"),"",INDEX(B2860:B$2,-1+SUMPRODUCT(MAX(ROW(E2860:E$2)*(E2861=E2860:E$2)))))</f>
        <v> </v>
      </c>
      <c r="J2861" s="26" t="str">
        <f>IF(OR(E2861="",E2861="!!!",F2861="NEW"),"",COUNTBLANK(OFFSET(A$1,,,SUMPRODUCT(MAX(ROW(E$2:E2861)*(E2861=E$2:E2861)))))-COUNTBLANK(OFFSET(A$1,,,SUMPRODUCT(MAX(ROW(E$1:E2860)*(E2=E$1:E2860))))))</f>
        <v> </v>
      </c>
      <c r="K2861" s="26" t="str">
        <f>IF(OR(E2861="",E2861="!!!",F2861="NEW"),"",INDEX(J$1:J2860,SUMPRODUCT(MAX(ROW(E$1:E2860)*(E2861=E$1:E2860)))))</f>
        <v> </v>
      </c>
      <c r="L2861" s="27"/>
    </row>
    <row r="2862" spans="1:12">
      <c r="A2862" s="20" t="s">
        <v>672</v>
      </c>
      <c r="E2862" s="22">
        <f>IF(D2862="?OLD","!!!","")</f>
        <v/>
      </c>
      <c r="F2862" s="23" t="str">
        <f>IF(OR(E2862="",E2862="!!!"),"",IF(NOT(ISNA(VLOOKUP(E2862,E$1:E2861,1,FALSE()))),"OLD",IF(AND(E2862&lt;&gt;"",E2862&lt;&gt;"!!!"),"NEW","")))</f>
        <v> </v>
      </c>
      <c r="G2862" s="24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5" t="str">
        <f>IF(J2862&lt;&gt;1,"",IF(I2862="SBJ","CB","?"))</f>
        <v> </v>
      </c>
      <c r="I2862" s="26" t="str">
        <f>IF(OR(E2862="",E2862="!!!",F2862="NEW"),"",INDEX(B2861:B$2,-1+SUMPRODUCT(MAX(ROW(E2861:E$2)*(E2862=E2861:E$2)))))</f>
        <v> </v>
      </c>
      <c r="J2862" s="26" t="str">
        <f>IF(OR(E2862="",E2862="!!!",F2862="NEW"),"",COUNTBLANK(OFFSET(A$1,,,SUMPRODUCT(MAX(ROW(E$2:E2862)*(E2862=E$2:E2862)))))-COUNTBLANK(OFFSET(A$1,,,SUMPRODUCT(MAX(ROW(E$1:E2861)*(E2=E$1:E2861))))))</f>
        <v> </v>
      </c>
      <c r="K2862" s="26" t="str">
        <f>IF(OR(E2862="",E2862="!!!",F2862="NEW"),"",INDEX(J$1:J2861,SUMPRODUCT(MAX(ROW(E$1:E2861)*(E2862=E$1:E2861)))))</f>
        <v> </v>
      </c>
      <c r="L2862" s="27"/>
    </row>
    <row r="2863" spans="1:12">
      <c r="A2863" s="20" t="s">
        <v>1936</v>
      </c>
      <c r="E2863" s="22">
        <f>IF(D2863="?OLD","!!!","")</f>
        <v/>
      </c>
      <c r="F2863" s="23" t="str">
        <f>IF(OR(E2863="",E2863="!!!"),"",IF(NOT(ISNA(VLOOKUP(E2863,E$1:E2862,1,FALSE()))),"OLD",IF(AND(E2863&lt;&gt;"",E2863&lt;&gt;"!!!"),"NEW","")))</f>
        <v> </v>
      </c>
      <c r="G2863" s="24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5" t="str">
        <f>IF(J2863&lt;&gt;1,"",IF(I2863="SBJ","CB","?"))</f>
        <v> </v>
      </c>
      <c r="I2863" s="26" t="str">
        <f>IF(OR(E2863="",E2863="!!!",F2863="NEW"),"",INDEX(B2862:B$2,-1+SUMPRODUCT(MAX(ROW(E2862:E$2)*(E2863=E2862:E$2)))))</f>
        <v> </v>
      </c>
      <c r="J2863" s="26" t="str">
        <f>IF(OR(E2863="",E2863="!!!",F2863="NEW"),"",COUNTBLANK(OFFSET(A$1,,,SUMPRODUCT(MAX(ROW(E$2:E2863)*(E2863=E$2:E2863)))))-COUNTBLANK(OFFSET(A$1,,,SUMPRODUCT(MAX(ROW(E$1:E2862)*(E2=E$1:E2862))))))</f>
        <v> </v>
      </c>
      <c r="K2863" s="26" t="str">
        <f>IF(OR(E2863="",E2863="!!!",F2863="NEW"),"",INDEX(J$1:J2862,SUMPRODUCT(MAX(ROW(E$1:E2862)*(E2863=E$1:E2862)))))</f>
        <v> </v>
      </c>
      <c r="L2863" s="27"/>
    </row>
    <row r="2864" spans="1:12">
      <c r="A2864" s="20" t="s">
        <v>267</v>
      </c>
      <c r="B2864" s="21" t="s">
        <v>636</v>
      </c>
      <c r="C2864" s="21" t="s">
        <v>906</v>
      </c>
      <c r="E2864" s="22">
        <f>IF(D2864="?OLD","!!!","")</f>
        <v/>
      </c>
      <c r="F2864" s="23" t="str">
        <f>IF(OR(E2864="",E2864="!!!"),"",IF(NOT(ISNA(VLOOKUP(E2864,E$1:E2863,1,FALSE()))),"OLD",IF(AND(E2864&lt;&gt;"",E2864&lt;&gt;"!!!"),"NEW","")))</f>
        <v> </v>
      </c>
      <c r="G2864" s="24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5" t="str">
        <f>IF(J2864&lt;&gt;1,"",IF(I2864="SBJ","CB","?"))</f>
        <v> </v>
      </c>
      <c r="I2864" s="26" t="str">
        <f>IF(OR(E2864="",E2864="!!!",F2864="NEW"),"",INDEX(B2863:B$2,-1+SUMPRODUCT(MAX(ROW(E2863:E$2)*(E2864=E2863:E$2)))))</f>
        <v> </v>
      </c>
      <c r="J2864" s="26" t="str">
        <f>IF(OR(E2864="",E2864="!!!",F2864="NEW"),"",COUNTBLANK(OFFSET(A$1,,,SUMPRODUCT(MAX(ROW(E$2:E2864)*(E2864=E$2:E2864)))))-COUNTBLANK(OFFSET(A$1,,,SUMPRODUCT(MAX(ROW(E$1:E2863)*(E2=E$1:E2863))))))</f>
        <v> </v>
      </c>
      <c r="K2864" s="26" t="str">
        <f>IF(OR(E2864="",E2864="!!!",F2864="NEW"),"",INDEX(J$1:J2863,SUMPRODUCT(MAX(ROW(E$1:E2863)*(E2864=E$1:E2863)))))</f>
        <v> </v>
      </c>
      <c r="L2864" s="27"/>
    </row>
    <row r="2865" spans="1:12">
      <c r="A2865" s="20" t="s">
        <v>908</v>
      </c>
      <c r="E2865" s="22">
        <f>IF(D2865="?OLD","!!!","")</f>
        <v/>
      </c>
      <c r="F2865" s="23" t="str">
        <f>IF(OR(E2865="",E2865="!!!"),"",IF(NOT(ISNA(VLOOKUP(E2865,E$1:E2864,1,FALSE()))),"OLD",IF(AND(E2865&lt;&gt;"",E2865&lt;&gt;"!!!"),"NEW","")))</f>
        <v> </v>
      </c>
      <c r="G2865" s="24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5" t="str">
        <f>IF(J2865&lt;&gt;1,"",IF(I2865="SBJ","CB","?"))</f>
        <v> </v>
      </c>
      <c r="I2865" s="26" t="str">
        <f>IF(OR(E2865="",E2865="!!!",F2865="NEW"),"",INDEX(B2864:B$2,-1+SUMPRODUCT(MAX(ROW(E2864:E$2)*(E2865=E2864:E$2)))))</f>
        <v> </v>
      </c>
      <c r="J2865" s="26" t="str">
        <f>IF(OR(E2865="",E2865="!!!",F2865="NEW"),"",COUNTBLANK(OFFSET(A$1,,,SUMPRODUCT(MAX(ROW(E$2:E2865)*(E2865=E$2:E2865)))))-COUNTBLANK(OFFSET(A$1,,,SUMPRODUCT(MAX(ROW(E$1:E2864)*(E2=E$1:E2864))))))</f>
        <v> </v>
      </c>
      <c r="K2865" s="26" t="str">
        <f>IF(OR(E2865="",E2865="!!!",F2865="NEW"),"",INDEX(J$1:J2864,SUMPRODUCT(MAX(ROW(E$1:E2864)*(E2865=E$1:E2864)))))</f>
        <v> </v>
      </c>
      <c r="L2865" s="27"/>
    </row>
    <row r="2866" spans="1:12">
      <c r="A2866" s="20" t="s">
        <v>907</v>
      </c>
      <c r="B2866" s="21" t="s">
        <v>659</v>
      </c>
      <c r="C2866" s="21" t="s">
        <v>602</v>
      </c>
      <c r="D2866" s="21" t="s">
        <v>603</v>
      </c>
      <c r="E2866" s="22">
        <f>IF(D2866="?OLD","!!!","")</f>
        <v/>
      </c>
      <c r="F2866" s="23" t="str">
        <f>IF(OR(E2866="",E2866="!!!"),"",IF(NOT(ISNA(VLOOKUP(E2866,E$1:E2865,1,FALSE()))),"OLD",IF(AND(E2866&lt;&gt;"",E2866&lt;&gt;"!!!"),"NEW","")))</f>
        <v> </v>
      </c>
      <c r="G2866" s="24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5" t="str">
        <f>IF(J2866&lt;&gt;1,"",IF(I2866="SBJ","CB","?"))</f>
        <v> </v>
      </c>
      <c r="I2866" s="26" t="str">
        <f>IF(OR(E2866="",E2866="!!!",F2866="NEW"),"",INDEX(B2865:B$2,-1+SUMPRODUCT(MAX(ROW(E2865:E$2)*(E2866=E2865:E$2)))))</f>
        <v> </v>
      </c>
      <c r="J2866" s="26" t="str">
        <f>IF(OR(E2866="",E2866="!!!",F2866="NEW"),"",COUNTBLANK(OFFSET(A$1,,,SUMPRODUCT(MAX(ROW(E$2:E2866)*(E2866=E$2:E2866)))))-COUNTBLANK(OFFSET(A$1,,,SUMPRODUCT(MAX(ROW(E$1:E2865)*(E2=E$1:E2865))))))</f>
        <v> </v>
      </c>
      <c r="K2866" s="26" t="str">
        <f>IF(OR(E2866="",E2866="!!!",F2866="NEW"),"",INDEX(J$1:J2865,SUMPRODUCT(MAX(ROW(E$1:E2865)*(E2866=E$1:E2865)))))</f>
        <v> </v>
      </c>
      <c r="L2866" s="27"/>
    </row>
    <row r="2867" spans="1:12">
      <c r="A2867" s="20" t="s">
        <v>1931</v>
      </c>
      <c r="E2867" s="22">
        <f>IF(D2867="?OLD","!!!","")</f>
        <v/>
      </c>
      <c r="F2867" s="23" t="str">
        <f>IF(OR(E2867="",E2867="!!!"),"",IF(NOT(ISNA(VLOOKUP(E2867,E$1:E2866,1,FALSE()))),"OLD",IF(AND(E2867&lt;&gt;"",E2867&lt;&gt;"!!!"),"NEW","")))</f>
        <v> </v>
      </c>
      <c r="G2867" s="24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5" t="str">
        <f>IF(J2867&lt;&gt;1,"",IF(I2867="SBJ","CB","?"))</f>
        <v> </v>
      </c>
      <c r="I2867" s="26" t="str">
        <f>IF(OR(E2867="",E2867="!!!",F2867="NEW"),"",INDEX(B2866:B$2,-1+SUMPRODUCT(MAX(ROW(E2866:E$2)*(E2867=E2866:E$2)))))</f>
        <v> </v>
      </c>
      <c r="J2867" s="26" t="str">
        <f>IF(OR(E2867="",E2867="!!!",F2867="NEW"),"",COUNTBLANK(OFFSET(A$1,,,SUMPRODUCT(MAX(ROW(E$2:E2867)*(E2867=E$2:E2867)))))-COUNTBLANK(OFFSET(A$1,,,SUMPRODUCT(MAX(ROW(E$1:E2866)*(E2=E$1:E2866))))))</f>
        <v> </v>
      </c>
      <c r="K2867" s="26" t="str">
        <f>IF(OR(E2867="",E2867="!!!",F2867="NEW"),"",INDEX(J$1:J2866,SUMPRODUCT(MAX(ROW(E$1:E2866)*(E2867=E$1:E2866)))))</f>
        <v> </v>
      </c>
      <c r="L2867" s="27"/>
    </row>
    <row r="2868" spans="1:12">
      <c r="A2868" s="20" t="s">
        <v>912</v>
      </c>
      <c r="E2868" s="22">
        <f>IF(D2868="?OLD","!!!","")</f>
        <v/>
      </c>
      <c r="F2868" s="23" t="str">
        <f>IF(OR(E2868="",E2868="!!!"),"",IF(NOT(ISNA(VLOOKUP(E2868,E$1:E2867,1,FALSE()))),"OLD",IF(AND(E2868&lt;&gt;"",E2868&lt;&gt;"!!!"),"NEW","")))</f>
        <v> </v>
      </c>
      <c r="G2868" s="24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5" t="str">
        <f>IF(J2868&lt;&gt;1,"",IF(I2868="SBJ","CB","?"))</f>
        <v> </v>
      </c>
      <c r="I2868" s="26" t="str">
        <f>IF(OR(E2868="",E2868="!!!",F2868="NEW"),"",INDEX(B2867:B$2,-1+SUMPRODUCT(MAX(ROW(E2867:E$2)*(E2868=E2867:E$2)))))</f>
        <v> </v>
      </c>
      <c r="J2868" s="26" t="str">
        <f>IF(OR(E2868="",E2868="!!!",F2868="NEW"),"",COUNTBLANK(OFFSET(A$1,,,SUMPRODUCT(MAX(ROW(E$2:E2868)*(E2868=E$2:E2868)))))-COUNTBLANK(OFFSET(A$1,,,SUMPRODUCT(MAX(ROW(E$1:E2867)*(E2=E$1:E2867))))))</f>
        <v> </v>
      </c>
      <c r="K2868" s="26" t="str">
        <f>IF(OR(E2868="",E2868="!!!",F2868="NEW"),"",INDEX(J$1:J2867,SUMPRODUCT(MAX(ROW(E$1:E2867)*(E2868=E$1:E2867)))))</f>
        <v> </v>
      </c>
      <c r="L2868" s="27"/>
    </row>
    <row r="2869" spans="1:12">
      <c r="A2869" s="20"/>
    </row>
    <row r="2870" spans="1:12">
      <c r="A2870" s="20" t="s">
        <v>1937</v>
      </c>
    </row>
    <row r="2871" spans="1:12">
      <c r="A2871" s="20" t="s">
        <v>1227</v>
      </c>
      <c r="E2871" s="22">
        <f>IF(D2871="?OLD","!!!","")</f>
        <v/>
      </c>
      <c r="F2871" s="23" t="str">
        <f>IF(OR(E2871="",E2871="!!!"),"",IF(NOT(ISNA(VLOOKUP(E2871,E$1:E2870,1,FALSE()))),"OLD",IF(AND(E2871&lt;&gt;"",E2871&lt;&gt;"!!!"),"NEW","")))</f>
        <v> </v>
      </c>
      <c r="G2871" s="24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5" t="str">
        <f>IF(J2871&lt;&gt;1,"",IF(I2871="SBJ","CB","?"))</f>
        <v> </v>
      </c>
      <c r="I2871" s="26" t="str">
        <f>IF(OR(E2871="",E2871="!!!",F2871="NEW"),"",INDEX(B2870:B$2,-1+SUMPRODUCT(MAX(ROW(E2870:E$2)*(E2871=E2870:E$2)))))</f>
        <v> </v>
      </c>
      <c r="J2871" s="26" t="str">
        <f>IF(OR(E2871="",E2871="!!!",F2871="NEW"),"",COUNTBLANK(OFFSET(A$1,,,SUMPRODUCT(MAX(ROW(E$2:E2871)*(E2871=E$2:E2871)))))-COUNTBLANK(OFFSET(A$1,,,SUMPRODUCT(MAX(ROW(E$1:E2870)*(E2=E$1:E2870))))))</f>
        <v> </v>
      </c>
      <c r="K2871" s="26" t="str">
        <f>IF(OR(E2871="",E2871="!!!",F2871="NEW"),"",INDEX(J$1:J2870,SUMPRODUCT(MAX(ROW(E$1:E2870)*(E2871=E$1:E2870)))))</f>
        <v> </v>
      </c>
      <c r="L2871" s="27"/>
    </row>
    <row r="2872" spans="1:12">
      <c r="A2872" s="20" t="s">
        <v>1938</v>
      </c>
      <c r="E2872" s="22">
        <f>IF(D2872="?OLD","!!!","")</f>
        <v/>
      </c>
      <c r="F2872" s="23" t="str">
        <f>IF(OR(E2872="",E2872="!!!"),"",IF(NOT(ISNA(VLOOKUP(E2872,E$1:E2871,1,FALSE()))),"OLD",IF(AND(E2872&lt;&gt;"",E2872&lt;&gt;"!!!"),"NEW","")))</f>
        <v> </v>
      </c>
      <c r="G2872" s="24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5" t="str">
        <f>IF(J2872&lt;&gt;1,"",IF(I2872="SBJ","CB","?"))</f>
        <v> </v>
      </c>
      <c r="I2872" s="26" t="str">
        <f>IF(OR(E2872="",E2872="!!!",F2872="NEW"),"",INDEX(B2871:B$2,-1+SUMPRODUCT(MAX(ROW(E2871:E$2)*(E2872=E2871:E$2)))))</f>
        <v> </v>
      </c>
      <c r="J2872" s="26" t="str">
        <f>IF(OR(E2872="",E2872="!!!",F2872="NEW"),"",COUNTBLANK(OFFSET(A$1,,,SUMPRODUCT(MAX(ROW(E$2:E2872)*(E2872=E$2:E2872)))))-COUNTBLANK(OFFSET(A$1,,,SUMPRODUCT(MAX(ROW(E$1:E2871)*(E2=E$1:E2871))))))</f>
        <v> </v>
      </c>
      <c r="K2872" s="26" t="str">
        <f>IF(OR(E2872="",E2872="!!!",F2872="NEW"),"",INDEX(J$1:J2871,SUMPRODUCT(MAX(ROW(E$1:E2871)*(E2872=E$1:E2871)))))</f>
        <v> </v>
      </c>
      <c r="L2872" s="27"/>
    </row>
    <row r="2873" spans="1:12">
      <c r="A2873" s="20" t="s">
        <v>1939</v>
      </c>
      <c r="E2873" s="22">
        <f>IF(D2873="?OLD","!!!","")</f>
        <v/>
      </c>
      <c r="F2873" s="23" t="str">
        <f>IF(OR(E2873="",E2873="!!!"),"",IF(NOT(ISNA(VLOOKUP(E2873,E$1:E2872,1,FALSE()))),"OLD",IF(AND(E2873&lt;&gt;"",E2873&lt;&gt;"!!!"),"NEW","")))</f>
        <v> </v>
      </c>
      <c r="G2873" s="24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5" t="str">
        <f>IF(J2873&lt;&gt;1,"",IF(I2873="SBJ","CB","?"))</f>
        <v> </v>
      </c>
      <c r="I2873" s="26" t="str">
        <f>IF(OR(E2873="",E2873="!!!",F2873="NEW"),"",INDEX(B2872:B$2,-1+SUMPRODUCT(MAX(ROW(E2872:E$2)*(E2873=E2872:E$2)))))</f>
        <v> </v>
      </c>
      <c r="J2873" s="26" t="str">
        <f>IF(OR(E2873="",E2873="!!!",F2873="NEW"),"",COUNTBLANK(OFFSET(A$1,,,SUMPRODUCT(MAX(ROW(E$2:E2873)*(E2873=E$2:E2873)))))-COUNTBLANK(OFFSET(A$1,,,SUMPRODUCT(MAX(ROW(E$1:E2872)*(E2=E$1:E2872))))))</f>
        <v> </v>
      </c>
      <c r="K2873" s="26" t="str">
        <f>IF(OR(E2873="",E2873="!!!",F2873="NEW"),"",INDEX(J$1:J2872,SUMPRODUCT(MAX(ROW(E$1:E2872)*(E2873=E$1:E2872)))))</f>
        <v> </v>
      </c>
      <c r="L2873" s="27"/>
    </row>
    <row r="2874" spans="1:12">
      <c r="A2874" s="20" t="s">
        <v>662</v>
      </c>
      <c r="E2874" s="22">
        <f>IF(D2874="?OLD","!!!","")</f>
        <v/>
      </c>
      <c r="F2874" s="23" t="str">
        <f>IF(OR(E2874="",E2874="!!!"),"",IF(NOT(ISNA(VLOOKUP(E2874,E$1:E2873,1,FALSE()))),"OLD",IF(AND(E2874&lt;&gt;"",E2874&lt;&gt;"!!!"),"NEW","")))</f>
        <v> </v>
      </c>
      <c r="G2874" s="24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5" t="str">
        <f>IF(J2874&lt;&gt;1,"",IF(I2874="SBJ","CB","?"))</f>
        <v> </v>
      </c>
      <c r="I2874" s="26" t="str">
        <f>IF(OR(E2874="",E2874="!!!",F2874="NEW"),"",INDEX(B2873:B$2,-1+SUMPRODUCT(MAX(ROW(E2873:E$2)*(E2874=E2873:E$2)))))</f>
        <v> </v>
      </c>
      <c r="J2874" s="26" t="str">
        <f>IF(OR(E2874="",E2874="!!!",F2874="NEW"),"",COUNTBLANK(OFFSET(A$1,,,SUMPRODUCT(MAX(ROW(E$2:E2874)*(E2874=E$2:E2874)))))-COUNTBLANK(OFFSET(A$1,,,SUMPRODUCT(MAX(ROW(E$1:E2873)*(E2=E$1:E2873))))))</f>
        <v> </v>
      </c>
      <c r="K2874" s="26" t="str">
        <f>IF(OR(E2874="",E2874="!!!",F2874="NEW"),"",INDEX(J$1:J2873,SUMPRODUCT(MAX(ROW(E$1:E2873)*(E2874=E$1:E2873)))))</f>
        <v> </v>
      </c>
      <c r="L2874" s="27"/>
    </row>
    <row r="2875" spans="1:12">
      <c r="A2875" s="20" t="s">
        <v>1940</v>
      </c>
      <c r="B2875" s="21" t="s">
        <v>640</v>
      </c>
      <c r="C2875" s="21" t="s">
        <v>631</v>
      </c>
      <c r="D2875" s="21" t="s">
        <v>603</v>
      </c>
      <c r="E2875" s="22">
        <f>IF(D2875="?OLD","!!!","")</f>
        <v/>
      </c>
      <c r="F2875" s="23" t="str">
        <f>IF(OR(E2875="",E2875="!!!"),"",IF(NOT(ISNA(VLOOKUP(E2875,E$1:E2874,1,FALSE()))),"OLD",IF(AND(E2875&lt;&gt;"",E2875&lt;&gt;"!!!"),"NEW","")))</f>
        <v> </v>
      </c>
      <c r="G2875" s="24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5" t="str">
        <f>IF(J2875&lt;&gt;1,"",IF(I2875="SBJ","CB","?"))</f>
        <v> </v>
      </c>
      <c r="I2875" s="26" t="str">
        <f>IF(OR(E2875="",E2875="!!!",F2875="NEW"),"",INDEX(B2874:B$2,-1+SUMPRODUCT(MAX(ROW(E2874:E$2)*(E2875=E2874:E$2)))))</f>
        <v> </v>
      </c>
      <c r="J2875" s="26" t="str">
        <f>IF(OR(E2875="",E2875="!!!",F2875="NEW"),"",COUNTBLANK(OFFSET(A$1,,,SUMPRODUCT(MAX(ROW(E$2:E2875)*(E2875=E$2:E2875)))))-COUNTBLANK(OFFSET(A$1,,,SUMPRODUCT(MAX(ROW(E$1:E2874)*(E2=E$1:E2874))))))</f>
        <v> </v>
      </c>
      <c r="K2875" s="26" t="str">
        <f>IF(OR(E2875="",E2875="!!!",F2875="NEW"),"",INDEX(J$1:J2874,SUMPRODUCT(MAX(ROW(E$1:E2874)*(E2875=E$1:E2874)))))</f>
        <v> </v>
      </c>
      <c r="L2875" s="27"/>
    </row>
    <row r="2876" spans="1:12">
      <c r="A2876" s="20" t="s">
        <v>1941</v>
      </c>
      <c r="E2876" s="22">
        <f>IF(D2876="?OLD","!!!","")</f>
        <v/>
      </c>
      <c r="F2876" s="23" t="str">
        <f>IF(OR(E2876="",E2876="!!!"),"",IF(NOT(ISNA(VLOOKUP(E2876,E$1:E2875,1,FALSE()))),"OLD",IF(AND(E2876&lt;&gt;"",E2876&lt;&gt;"!!!"),"NEW","")))</f>
        <v> </v>
      </c>
      <c r="G2876" s="24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5" t="str">
        <f>IF(J2876&lt;&gt;1,"",IF(I2876="SBJ","CB","?"))</f>
        <v> </v>
      </c>
      <c r="I2876" s="26" t="str">
        <f>IF(OR(E2876="",E2876="!!!",F2876="NEW"),"",INDEX(B2875:B$2,-1+SUMPRODUCT(MAX(ROW(E2875:E$2)*(E2876=E2875:E$2)))))</f>
        <v> </v>
      </c>
      <c r="J2876" s="26" t="str">
        <f>IF(OR(E2876="",E2876="!!!",F2876="NEW"),"",COUNTBLANK(OFFSET(A$1,,,SUMPRODUCT(MAX(ROW(E$2:E2876)*(E2876=E$2:E2876)))))-COUNTBLANK(OFFSET(A$1,,,SUMPRODUCT(MAX(ROW(E$1:E2875)*(E2=E$1:E2875))))))</f>
        <v> </v>
      </c>
      <c r="K2876" s="26" t="str">
        <f>IF(OR(E2876="",E2876="!!!",F2876="NEW"),"",INDEX(J$1:J2875,SUMPRODUCT(MAX(ROW(E$1:E2875)*(E2876=E$1:E2875)))))</f>
        <v> </v>
      </c>
      <c r="L2876" s="27"/>
    </row>
    <row r="2877" spans="1:12">
      <c r="A2877" s="20" t="s">
        <v>1942</v>
      </c>
      <c r="B2877" s="21" t="s">
        <v>652</v>
      </c>
      <c r="E2877" s="22">
        <f>IF(D2877="?OLD","!!!","")</f>
        <v/>
      </c>
      <c r="F2877" s="23" t="str">
        <f>IF(OR(E2877="",E2877="!!!"),"",IF(NOT(ISNA(VLOOKUP(E2877,E$1:E2876,1,FALSE()))),"OLD",IF(AND(E2877&lt;&gt;"",E2877&lt;&gt;"!!!"),"NEW","")))</f>
        <v> </v>
      </c>
      <c r="G2877" s="24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5" t="str">
        <f>IF(J2877&lt;&gt;1,"",IF(I2877="SBJ","CB","?"))</f>
        <v> </v>
      </c>
      <c r="I2877" s="26" t="str">
        <f>IF(OR(E2877="",E2877="!!!",F2877="NEW"),"",INDEX(B2876:B$2,-1+SUMPRODUCT(MAX(ROW(E2876:E$2)*(E2877=E2876:E$2)))))</f>
        <v> </v>
      </c>
      <c r="J2877" s="26" t="str">
        <f>IF(OR(E2877="",E2877="!!!",F2877="NEW"),"",COUNTBLANK(OFFSET(A$1,,,SUMPRODUCT(MAX(ROW(E$2:E2877)*(E2877=E$2:E2877)))))-COUNTBLANK(OFFSET(A$1,,,SUMPRODUCT(MAX(ROW(E$1:E2876)*(E2=E$1:E2876))))))</f>
        <v> </v>
      </c>
      <c r="K2877" s="26" t="str">
        <f>IF(OR(E2877="",E2877="!!!",F2877="NEW"),"",INDEX(J$1:J2876,SUMPRODUCT(MAX(ROW(E$1:E2876)*(E2877=E$1:E2876)))))</f>
        <v> </v>
      </c>
      <c r="L2877" s="27"/>
    </row>
    <row r="2878" spans="1:12">
      <c r="A2878" s="20" t="s">
        <v>611</v>
      </c>
      <c r="E2878" s="22">
        <f>IF(D2878="?OLD","!!!","")</f>
        <v/>
      </c>
      <c r="F2878" s="23" t="str">
        <f>IF(OR(E2878="",E2878="!!!"),"",IF(NOT(ISNA(VLOOKUP(E2878,E$1:E2877,1,FALSE()))),"OLD",IF(AND(E2878&lt;&gt;"",E2878&lt;&gt;"!!!"),"NEW","")))</f>
        <v> </v>
      </c>
      <c r="G2878" s="24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5" t="str">
        <f>IF(J2878&lt;&gt;1,"",IF(I2878="SBJ","CB","?"))</f>
        <v> </v>
      </c>
      <c r="I2878" s="26" t="str">
        <f>IF(OR(E2878="",E2878="!!!",F2878="NEW"),"",INDEX(B2877:B$2,-1+SUMPRODUCT(MAX(ROW(E2877:E$2)*(E2878=E2877:E$2)))))</f>
        <v> </v>
      </c>
      <c r="J2878" s="26" t="str">
        <f>IF(OR(E2878="",E2878="!!!",F2878="NEW"),"",COUNTBLANK(OFFSET(A$1,,,SUMPRODUCT(MAX(ROW(E$2:E2878)*(E2878=E$2:E2878)))))-COUNTBLANK(OFFSET(A$1,,,SUMPRODUCT(MAX(ROW(E$1:E2877)*(E2=E$1:E2877))))))</f>
        <v> </v>
      </c>
      <c r="K2878" s="26" t="str">
        <f>IF(OR(E2878="",E2878="!!!",F2878="NEW"),"",INDEX(J$1:J2877,SUMPRODUCT(MAX(ROW(E$1:E2877)*(E2878=E$1:E2877)))))</f>
        <v> </v>
      </c>
      <c r="L2878" s="27"/>
    </row>
    <row r="2879" spans="1:12">
      <c r="A2879" s="20" t="s">
        <v>1943</v>
      </c>
      <c r="E2879" s="22">
        <f>IF(D2879="?OLD","!!!","")</f>
        <v/>
      </c>
      <c r="F2879" s="23" t="str">
        <f>IF(OR(E2879="",E2879="!!!"),"",IF(NOT(ISNA(VLOOKUP(E2879,E$1:E2878,1,FALSE()))),"OLD",IF(AND(E2879&lt;&gt;"",E2879&lt;&gt;"!!!"),"NEW","")))</f>
        <v> </v>
      </c>
      <c r="G2879" s="24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5" t="str">
        <f>IF(J2879&lt;&gt;1,"",IF(I2879="SBJ","CB","?"))</f>
        <v> </v>
      </c>
      <c r="I2879" s="26" t="str">
        <f>IF(OR(E2879="",E2879="!!!",F2879="NEW"),"",INDEX(B2878:B$2,-1+SUMPRODUCT(MAX(ROW(E2878:E$2)*(E2879=E2878:E$2)))))</f>
        <v> </v>
      </c>
      <c r="J2879" s="26" t="str">
        <f>IF(OR(E2879="",E2879="!!!",F2879="NEW"),"",COUNTBLANK(OFFSET(A$1,,,SUMPRODUCT(MAX(ROW(E$2:E2879)*(E2879=E$2:E2879)))))-COUNTBLANK(OFFSET(A$1,,,SUMPRODUCT(MAX(ROW(E$1:E2878)*(E2=E$1:E2878))))))</f>
        <v> </v>
      </c>
      <c r="K2879" s="26" t="str">
        <f>IF(OR(E2879="",E2879="!!!",F2879="NEW"),"",INDEX(J$1:J2878,SUMPRODUCT(MAX(ROW(E$1:E2878)*(E2879=E$1:E2878)))))</f>
        <v> </v>
      </c>
      <c r="L2879" s="27"/>
    </row>
    <row r="2880" spans="1:12">
      <c r="A2880" s="20" t="s">
        <v>607</v>
      </c>
      <c r="E2880" s="22">
        <f>IF(D2880="?OLD","!!!","")</f>
        <v/>
      </c>
      <c r="F2880" s="23" t="str">
        <f>IF(OR(E2880="",E2880="!!!"),"",IF(NOT(ISNA(VLOOKUP(E2880,E$1:E2879,1,FALSE()))),"OLD",IF(AND(E2880&lt;&gt;"",E2880&lt;&gt;"!!!"),"NEW","")))</f>
        <v> </v>
      </c>
      <c r="G2880" s="24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5" t="str">
        <f>IF(J2880&lt;&gt;1,"",IF(I2880="SBJ","CB","?"))</f>
        <v> </v>
      </c>
      <c r="I2880" s="26" t="str">
        <f>IF(OR(E2880="",E2880="!!!",F2880="NEW"),"",INDEX(B2879:B$2,-1+SUMPRODUCT(MAX(ROW(E2879:E$2)*(E2880=E2879:E$2)))))</f>
        <v> </v>
      </c>
      <c r="J2880" s="26" t="str">
        <f>IF(OR(E2880="",E2880="!!!",F2880="NEW"),"",COUNTBLANK(OFFSET(A$1,,,SUMPRODUCT(MAX(ROW(E$2:E2880)*(E2880=E$2:E2880)))))-COUNTBLANK(OFFSET(A$1,,,SUMPRODUCT(MAX(ROW(E$1:E2879)*(E2=E$1:E2879))))))</f>
        <v> </v>
      </c>
      <c r="K2880" s="26" t="str">
        <f>IF(OR(E2880="",E2880="!!!",F2880="NEW"),"",INDEX(J$1:J2879,SUMPRODUCT(MAX(ROW(E$1:E2879)*(E2880=E$1:E2879)))))</f>
        <v> </v>
      </c>
      <c r="L2880" s="27"/>
    </row>
    <row r="2881" spans="1:12">
      <c r="A2881" s="20" t="s">
        <v>1944</v>
      </c>
      <c r="E2881" s="22">
        <f>IF(D2881="?OLD","!!!","")</f>
        <v/>
      </c>
      <c r="F2881" s="23" t="str">
        <f>IF(OR(E2881="",E2881="!!!"),"",IF(NOT(ISNA(VLOOKUP(E2881,E$1:E2880,1,FALSE()))),"OLD",IF(AND(E2881&lt;&gt;"",E2881&lt;&gt;"!!!"),"NEW","")))</f>
        <v> </v>
      </c>
      <c r="G2881" s="24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5" t="str">
        <f>IF(J2881&lt;&gt;1,"",IF(I2881="SBJ","CB","?"))</f>
        <v> </v>
      </c>
      <c r="I2881" s="26" t="str">
        <f>IF(OR(E2881="",E2881="!!!",F2881="NEW"),"",INDEX(B2880:B$2,-1+SUMPRODUCT(MAX(ROW(E2880:E$2)*(E2881=E2880:E$2)))))</f>
        <v> </v>
      </c>
      <c r="J2881" s="26" t="str">
        <f>IF(OR(E2881="",E2881="!!!",F2881="NEW"),"",COUNTBLANK(OFFSET(A$1,,,SUMPRODUCT(MAX(ROW(E$2:E2881)*(E2881=E$2:E2881)))))-COUNTBLANK(OFFSET(A$1,,,SUMPRODUCT(MAX(ROW(E$1:E2880)*(E2=E$1:E2880))))))</f>
        <v> </v>
      </c>
      <c r="K2881" s="26" t="str">
        <f>IF(OR(E2881="",E2881="!!!",F2881="NEW"),"",INDEX(J$1:J2880,SUMPRODUCT(MAX(ROW(E$1:E2880)*(E2881=E$1:E2880)))))</f>
        <v> </v>
      </c>
      <c r="L2881" s="27"/>
    </row>
    <row r="2882" spans="1:12">
      <c r="A2882" s="20" t="s">
        <v>883</v>
      </c>
      <c r="E2882" s="22">
        <f>IF(D2882="?OLD","!!!","")</f>
        <v/>
      </c>
      <c r="F2882" s="23" t="str">
        <f>IF(OR(E2882="",E2882="!!!"),"",IF(NOT(ISNA(VLOOKUP(E2882,E$1:E2881,1,FALSE()))),"OLD",IF(AND(E2882&lt;&gt;"",E2882&lt;&gt;"!!!"),"NEW","")))</f>
        <v> </v>
      </c>
      <c r="G2882" s="24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5" t="str">
        <f>IF(J2882&lt;&gt;1,"",IF(I2882="SBJ","CB","?"))</f>
        <v> </v>
      </c>
      <c r="I2882" s="26" t="str">
        <f>IF(OR(E2882="",E2882="!!!",F2882="NEW"),"",INDEX(B2881:B$2,-1+SUMPRODUCT(MAX(ROW(E2881:E$2)*(E2882=E2881:E$2)))))</f>
        <v> </v>
      </c>
      <c r="J2882" s="26" t="str">
        <f>IF(OR(E2882="",E2882="!!!",F2882="NEW"),"",COUNTBLANK(OFFSET(A$1,,,SUMPRODUCT(MAX(ROW(E$2:E2882)*(E2882=E$2:E2882)))))-COUNTBLANK(OFFSET(A$1,,,SUMPRODUCT(MAX(ROW(E$1:E2881)*(E2=E$1:E2881))))))</f>
        <v> </v>
      </c>
      <c r="K2882" s="26" t="str">
        <f>IF(OR(E2882="",E2882="!!!",F2882="NEW"),"",INDEX(J$1:J2881,SUMPRODUCT(MAX(ROW(E$1:E2881)*(E2882=E$1:E2881)))))</f>
        <v> </v>
      </c>
      <c r="L2882" s="27"/>
    </row>
    <row r="2883" spans="1:12">
      <c r="A2883" s="20" t="s">
        <v>1945</v>
      </c>
      <c r="E2883" s="22">
        <f>IF(D2883="?OLD","!!!","")</f>
        <v/>
      </c>
      <c r="F2883" s="23" t="str">
        <f>IF(OR(E2883="",E2883="!!!"),"",IF(NOT(ISNA(VLOOKUP(E2883,E$1:E2882,1,FALSE()))),"OLD",IF(AND(E2883&lt;&gt;"",E2883&lt;&gt;"!!!"),"NEW","")))</f>
        <v> </v>
      </c>
      <c r="G2883" s="24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5" t="str">
        <f>IF(J2883&lt;&gt;1,"",IF(I2883="SBJ","CB","?"))</f>
        <v> </v>
      </c>
      <c r="I2883" s="26" t="str">
        <f>IF(OR(E2883="",E2883="!!!",F2883="NEW"),"",INDEX(B2882:B$2,-1+SUMPRODUCT(MAX(ROW(E2882:E$2)*(E2883=E2882:E$2)))))</f>
        <v> </v>
      </c>
      <c r="J2883" s="26" t="str">
        <f>IF(OR(E2883="",E2883="!!!",F2883="NEW"),"",COUNTBLANK(OFFSET(A$1,,,SUMPRODUCT(MAX(ROW(E$2:E2883)*(E2883=E$2:E2883)))))-COUNTBLANK(OFFSET(A$1,,,SUMPRODUCT(MAX(ROW(E$1:E2882)*(E2=E$1:E2882))))))</f>
        <v> </v>
      </c>
      <c r="K2883" s="26" t="str">
        <f>IF(OR(E2883="",E2883="!!!",F2883="NEW"),"",INDEX(J$1:J2882,SUMPRODUCT(MAX(ROW(E$1:E2882)*(E2883=E$1:E2882)))))</f>
        <v> </v>
      </c>
      <c r="L2883" s="27"/>
    </row>
    <row r="2884" spans="1:12">
      <c r="A2884" s="20" t="s">
        <v>1946</v>
      </c>
      <c r="E2884" s="22">
        <f>IF(D2884="?OLD","!!!","")</f>
        <v/>
      </c>
      <c r="F2884" s="23" t="str">
        <f>IF(OR(E2884="",E2884="!!!"),"",IF(NOT(ISNA(VLOOKUP(E2884,E$1:E2883,1,FALSE()))),"OLD",IF(AND(E2884&lt;&gt;"",E2884&lt;&gt;"!!!"),"NEW","")))</f>
        <v> </v>
      </c>
      <c r="G2884" s="24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5" t="str">
        <f>IF(J2884&lt;&gt;1,"",IF(I2884="SBJ","CB","?"))</f>
        <v> </v>
      </c>
      <c r="I2884" s="26" t="str">
        <f>IF(OR(E2884="",E2884="!!!",F2884="NEW"),"",INDEX(B2883:B$2,-1+SUMPRODUCT(MAX(ROW(E2883:E$2)*(E2884=E2883:E$2)))))</f>
        <v> </v>
      </c>
      <c r="J2884" s="26" t="str">
        <f>IF(OR(E2884="",E2884="!!!",F2884="NEW"),"",COUNTBLANK(OFFSET(A$1,,,SUMPRODUCT(MAX(ROW(E$2:E2884)*(E2884=E$2:E2884)))))-COUNTBLANK(OFFSET(A$1,,,SUMPRODUCT(MAX(ROW(E$1:E2883)*(E2=E$1:E2883))))))</f>
        <v> </v>
      </c>
      <c r="K2884" s="26" t="str">
        <f>IF(OR(E2884="",E2884="!!!",F2884="NEW"),"",INDEX(J$1:J2883,SUMPRODUCT(MAX(ROW(E$1:E2883)*(E2884=E$1:E2883)))))</f>
        <v> </v>
      </c>
      <c r="L2884" s="27"/>
    </row>
    <row r="2885" spans="1:12">
      <c r="A2885" s="20" t="s">
        <v>1947</v>
      </c>
      <c r="E2885" s="22">
        <f>IF(D2885="?OLD","!!!","")</f>
        <v/>
      </c>
      <c r="F2885" s="23" t="str">
        <f>IF(OR(E2885="",E2885="!!!"),"",IF(NOT(ISNA(VLOOKUP(E2885,E$1:E2884,1,FALSE()))),"OLD",IF(AND(E2885&lt;&gt;"",E2885&lt;&gt;"!!!"),"NEW","")))</f>
        <v> </v>
      </c>
      <c r="G2885" s="24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5" t="str">
        <f>IF(J2885&lt;&gt;1,"",IF(I2885="SBJ","CB","?"))</f>
        <v> </v>
      </c>
      <c r="I2885" s="26" t="str">
        <f>IF(OR(E2885="",E2885="!!!",F2885="NEW"),"",INDEX(B2884:B$2,-1+SUMPRODUCT(MAX(ROW(E2884:E$2)*(E2885=E2884:E$2)))))</f>
        <v> </v>
      </c>
      <c r="J2885" s="26" t="str">
        <f>IF(OR(E2885="",E2885="!!!",F2885="NEW"),"",COUNTBLANK(OFFSET(A$1,,,SUMPRODUCT(MAX(ROW(E$2:E2885)*(E2885=E$2:E2885)))))-COUNTBLANK(OFFSET(A$1,,,SUMPRODUCT(MAX(ROW(E$1:E2884)*(E2=E$1:E2884))))))</f>
        <v> </v>
      </c>
      <c r="K2885" s="26" t="str">
        <f>IF(OR(E2885="",E2885="!!!",F2885="NEW"),"",INDEX(J$1:J2884,SUMPRODUCT(MAX(ROW(E$1:E2884)*(E2885=E$1:E2884)))))</f>
        <v> </v>
      </c>
      <c r="L2885" s="27"/>
    </row>
    <row r="2886" spans="1:12">
      <c r="A2886" s="20" t="s">
        <v>633</v>
      </c>
      <c r="E2886" s="22">
        <f>IF(D2886="?OLD","!!!","")</f>
        <v/>
      </c>
      <c r="F2886" s="23" t="str">
        <f>IF(OR(E2886="",E2886="!!!"),"",IF(NOT(ISNA(VLOOKUP(E2886,E$1:E2885,1,FALSE()))),"OLD",IF(AND(E2886&lt;&gt;"",E2886&lt;&gt;"!!!"),"NEW","")))</f>
        <v> </v>
      </c>
      <c r="G2886" s="24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5" t="str">
        <f>IF(J2886&lt;&gt;1,"",IF(I2886="SBJ","CB","?"))</f>
        <v> </v>
      </c>
      <c r="I2886" s="26" t="str">
        <f>IF(OR(E2886="",E2886="!!!",F2886="NEW"),"",INDEX(B2885:B$2,-1+SUMPRODUCT(MAX(ROW(E2885:E$2)*(E2886=E2885:E$2)))))</f>
        <v> </v>
      </c>
      <c r="J2886" s="26" t="str">
        <f>IF(OR(E2886="",E2886="!!!",F2886="NEW"),"",COUNTBLANK(OFFSET(A$1,,,SUMPRODUCT(MAX(ROW(E$2:E2886)*(E2886=E$2:E2886)))))-COUNTBLANK(OFFSET(A$1,,,SUMPRODUCT(MAX(ROW(E$1:E2885)*(E2=E$1:E2885))))))</f>
        <v> </v>
      </c>
      <c r="K2886" s="26" t="str">
        <f>IF(OR(E2886="",E2886="!!!",F2886="NEW"),"",INDEX(J$1:J2885,SUMPRODUCT(MAX(ROW(E$1:E2885)*(E2886=E$1:E2885)))))</f>
        <v> </v>
      </c>
      <c r="L2886" s="27"/>
    </row>
    <row r="2887" spans="1:12">
      <c r="A2887" s="20"/>
    </row>
    <row r="2888" spans="1:12">
      <c r="A2888" s="20" t="s">
        <v>1948</v>
      </c>
    </row>
    <row r="2889" spans="1:12">
      <c r="A2889" s="20" t="s">
        <v>1949</v>
      </c>
      <c r="E2889" s="22">
        <f>IF(D2889="?OLD","!!!","")</f>
        <v/>
      </c>
      <c r="F2889" s="23" t="str">
        <f>IF(OR(E2889="",E2889="!!!"),"",IF(NOT(ISNA(VLOOKUP(E2889,E$1:E2888,1,FALSE()))),"OLD",IF(AND(E2889&lt;&gt;"",E2889&lt;&gt;"!!!"),"NEW","")))</f>
        <v> </v>
      </c>
      <c r="G2889" s="24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5" t="str">
        <f>IF(J2889&lt;&gt;1,"",IF(I2889="SBJ","CB","?"))</f>
        <v> </v>
      </c>
      <c r="I2889" s="26" t="str">
        <f>IF(OR(E2889="",E2889="!!!",F2889="NEW"),"",INDEX(B2888:B$2,-1+SUMPRODUCT(MAX(ROW(E2888:E$2)*(E2889=E2888:E$2)))))</f>
        <v> </v>
      </c>
      <c r="J2889" s="26" t="str">
        <f>IF(OR(E2889="",E2889="!!!",F2889="NEW"),"",COUNTBLANK(OFFSET(A$1,,,SUMPRODUCT(MAX(ROW(E$2:E2889)*(E2889=E$2:E2889)))))-COUNTBLANK(OFFSET(A$1,,,SUMPRODUCT(MAX(ROW(E$1:E2888)*(E2=E$1:E2888))))))</f>
        <v> </v>
      </c>
      <c r="K2889" s="26" t="str">
        <f>IF(OR(E2889="",E2889="!!!",F2889="NEW"),"",INDEX(J$1:J2888,SUMPRODUCT(MAX(ROW(E$1:E2888)*(E2889=E$1:E2888)))))</f>
        <v> </v>
      </c>
      <c r="L2889" s="27"/>
    </row>
    <row r="2890" spans="1:12">
      <c r="A2890" s="20" t="s">
        <v>722</v>
      </c>
      <c r="B2890" s="21" t="s">
        <v>601</v>
      </c>
      <c r="C2890" s="21" t="s">
        <v>723</v>
      </c>
      <c r="D2890" s="21" t="s">
        <v>603</v>
      </c>
      <c r="E2890" s="22">
        <f>IF(D2890="?OLD","!!!","")</f>
        <v/>
      </c>
      <c r="F2890" s="23" t="str">
        <f>IF(OR(E2890="",E2890="!!!"),"",IF(NOT(ISNA(VLOOKUP(E2890,E$1:E2889,1,FALSE()))),"OLD",IF(AND(E2890&lt;&gt;"",E2890&lt;&gt;"!!!"),"NEW","")))</f>
        <v> </v>
      </c>
      <c r="G2890" s="24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5" t="str">
        <f>IF(J2890&lt;&gt;1,"",IF(I2890="SBJ","CB","?"))</f>
        <v> </v>
      </c>
      <c r="I2890" s="26" t="str">
        <f>IF(OR(E2890="",E2890="!!!",F2890="NEW"),"",INDEX(B2889:B$2,-1+SUMPRODUCT(MAX(ROW(E2889:E$2)*(E2890=E2889:E$2)))))</f>
        <v> </v>
      </c>
      <c r="J2890" s="26" t="str">
        <f>IF(OR(E2890="",E2890="!!!",F2890="NEW"),"",COUNTBLANK(OFFSET(A$1,,,SUMPRODUCT(MAX(ROW(E$2:E2890)*(E2890=E$2:E2890)))))-COUNTBLANK(OFFSET(A$1,,,SUMPRODUCT(MAX(ROW(E$1:E2889)*(E2=E$1:E2889))))))</f>
        <v> </v>
      </c>
      <c r="K2890" s="26" t="str">
        <f>IF(OR(E2890="",E2890="!!!",F2890="NEW"),"",INDEX(J$1:J2889,SUMPRODUCT(MAX(ROW(E$1:E2889)*(E2890=E$1:E2889)))))</f>
        <v> </v>
      </c>
      <c r="L2890" s="27"/>
    </row>
    <row r="2891" spans="1:12">
      <c r="A2891" s="20" t="s">
        <v>1950</v>
      </c>
      <c r="E2891" s="22">
        <f>IF(D2891="?OLD","!!!","")</f>
        <v/>
      </c>
      <c r="F2891" s="23" t="str">
        <f>IF(OR(E2891="",E2891="!!!"),"",IF(NOT(ISNA(VLOOKUP(E2891,E$1:E2890,1,FALSE()))),"OLD",IF(AND(E2891&lt;&gt;"",E2891&lt;&gt;"!!!"),"NEW","")))</f>
        <v> </v>
      </c>
      <c r="G2891" s="24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5" t="str">
        <f>IF(J2891&lt;&gt;1,"",IF(I2891="SBJ","CB","?"))</f>
        <v> </v>
      </c>
      <c r="I2891" s="26" t="str">
        <f>IF(OR(E2891="",E2891="!!!",F2891="NEW"),"",INDEX(B2890:B$2,-1+SUMPRODUCT(MAX(ROW(E2890:E$2)*(E2891=E2890:E$2)))))</f>
        <v> </v>
      </c>
      <c r="J2891" s="26" t="str">
        <f>IF(OR(E2891="",E2891="!!!",F2891="NEW"),"",COUNTBLANK(OFFSET(A$1,,,SUMPRODUCT(MAX(ROW(E$2:E2891)*(E2891=E$2:E2891)))))-COUNTBLANK(OFFSET(A$1,,,SUMPRODUCT(MAX(ROW(E$1:E2890)*(E2=E$1:E2890))))))</f>
        <v> </v>
      </c>
      <c r="K2891" s="26" t="str">
        <f>IF(OR(E2891="",E2891="!!!",F2891="NEW"),"",INDEX(J$1:J2890,SUMPRODUCT(MAX(ROW(E$1:E2890)*(E2891=E$1:E2890)))))</f>
        <v> </v>
      </c>
      <c r="L2891" s="27"/>
    </row>
    <row r="2892" spans="1:12">
      <c r="A2892" s="20" t="s">
        <v>1951</v>
      </c>
      <c r="E2892" s="22">
        <f>IF(D2892="?OLD","!!!","")</f>
        <v/>
      </c>
      <c r="F2892" s="23" t="str">
        <f>IF(OR(E2892="",E2892="!!!"),"",IF(NOT(ISNA(VLOOKUP(E2892,E$1:E2891,1,FALSE()))),"OLD",IF(AND(E2892&lt;&gt;"",E2892&lt;&gt;"!!!"),"NEW","")))</f>
        <v> </v>
      </c>
      <c r="G2892" s="24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5" t="str">
        <f>IF(J2892&lt;&gt;1,"",IF(I2892="SBJ","CB","?"))</f>
        <v> </v>
      </c>
      <c r="I2892" s="26" t="str">
        <f>IF(OR(E2892="",E2892="!!!",F2892="NEW"),"",INDEX(B2891:B$2,-1+SUMPRODUCT(MAX(ROW(E2891:E$2)*(E2892=E2891:E$2)))))</f>
        <v> </v>
      </c>
      <c r="J2892" s="26" t="str">
        <f>IF(OR(E2892="",E2892="!!!",F2892="NEW"),"",COUNTBLANK(OFFSET(A$1,,,SUMPRODUCT(MAX(ROW(E$2:E2892)*(E2892=E$2:E2892)))))-COUNTBLANK(OFFSET(A$1,,,SUMPRODUCT(MAX(ROW(E$1:E2891)*(E2=E$1:E2891))))))</f>
        <v> </v>
      </c>
      <c r="K2892" s="26" t="str">
        <f>IF(OR(E2892="",E2892="!!!",F2892="NEW"),"",INDEX(J$1:J2891,SUMPRODUCT(MAX(ROW(E$1:E2891)*(E2892=E$1:E2891)))))</f>
        <v> </v>
      </c>
      <c r="L2892" s="27"/>
    </row>
    <row r="2893" spans="1:12">
      <c r="A2893" s="20" t="s">
        <v>1952</v>
      </c>
      <c r="E2893" s="22">
        <f>IF(D2893="?OLD","!!!","")</f>
        <v/>
      </c>
      <c r="F2893" s="23" t="str">
        <f>IF(OR(E2893="",E2893="!!!"),"",IF(NOT(ISNA(VLOOKUP(E2893,E$1:E2892,1,FALSE()))),"OLD",IF(AND(E2893&lt;&gt;"",E2893&lt;&gt;"!!!"),"NEW","")))</f>
        <v> </v>
      </c>
      <c r="G2893" s="24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5" t="str">
        <f>IF(J2893&lt;&gt;1,"",IF(I2893="SBJ","CB","?"))</f>
        <v> </v>
      </c>
      <c r="I2893" s="26" t="str">
        <f>IF(OR(E2893="",E2893="!!!",F2893="NEW"),"",INDEX(B2892:B$2,-1+SUMPRODUCT(MAX(ROW(E2892:E$2)*(E2893=E2892:E$2)))))</f>
        <v> </v>
      </c>
      <c r="J2893" s="26" t="str">
        <f>IF(OR(E2893="",E2893="!!!",F2893="NEW"),"",COUNTBLANK(OFFSET(A$1,,,SUMPRODUCT(MAX(ROW(E$2:E2893)*(E2893=E$2:E2893)))))-COUNTBLANK(OFFSET(A$1,,,SUMPRODUCT(MAX(ROW(E$1:E2892)*(E2=E$1:E2892))))))</f>
        <v> </v>
      </c>
      <c r="K2893" s="26" t="str">
        <f>IF(OR(E2893="",E2893="!!!",F2893="NEW"),"",INDEX(J$1:J2892,SUMPRODUCT(MAX(ROW(E$1:E2892)*(E2893=E$1:E2892)))))</f>
        <v> </v>
      </c>
      <c r="L2893" s="27"/>
    </row>
    <row r="2894" spans="1:12">
      <c r="A2894" s="20" t="s">
        <v>611</v>
      </c>
      <c r="E2894" s="22">
        <f>IF(D2894="?OLD","!!!","")</f>
        <v/>
      </c>
      <c r="F2894" s="23" t="str">
        <f>IF(OR(E2894="",E2894="!!!"),"",IF(NOT(ISNA(VLOOKUP(E2894,E$1:E2893,1,FALSE()))),"OLD",IF(AND(E2894&lt;&gt;"",E2894&lt;&gt;"!!!"),"NEW","")))</f>
        <v> </v>
      </c>
      <c r="G2894" s="24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5" t="str">
        <f>IF(J2894&lt;&gt;1,"",IF(I2894="SBJ","CB","?"))</f>
        <v> </v>
      </c>
      <c r="I2894" s="26" t="str">
        <f>IF(OR(E2894="",E2894="!!!",F2894="NEW"),"",INDEX(B2893:B$2,-1+SUMPRODUCT(MAX(ROW(E2893:E$2)*(E2894=E2893:E$2)))))</f>
        <v> </v>
      </c>
      <c r="J2894" s="26" t="str">
        <f>IF(OR(E2894="",E2894="!!!",F2894="NEW"),"",COUNTBLANK(OFFSET(A$1,,,SUMPRODUCT(MAX(ROW(E$2:E2894)*(E2894=E$2:E2894)))))-COUNTBLANK(OFFSET(A$1,,,SUMPRODUCT(MAX(ROW(E$1:E2893)*(E2=E$1:E2893))))))</f>
        <v> </v>
      </c>
      <c r="K2894" s="26" t="str">
        <f>IF(OR(E2894="",E2894="!!!",F2894="NEW"),"",INDEX(J$1:J2893,SUMPRODUCT(MAX(ROW(E$1:E2893)*(E2894=E$1:E2893)))))</f>
        <v> </v>
      </c>
      <c r="L2894" s="27"/>
    </row>
    <row r="2895" spans="1:12">
      <c r="A2895" s="20" t="s">
        <v>638</v>
      </c>
      <c r="E2895" s="22">
        <f>IF(D2895="?OLD","!!!","")</f>
        <v/>
      </c>
      <c r="F2895" s="23" t="str">
        <f>IF(OR(E2895="",E2895="!!!"),"",IF(NOT(ISNA(VLOOKUP(E2895,E$1:E2894,1,FALSE()))),"OLD",IF(AND(E2895&lt;&gt;"",E2895&lt;&gt;"!!!"),"NEW","")))</f>
        <v> </v>
      </c>
      <c r="G2895" s="24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5" t="str">
        <f>IF(J2895&lt;&gt;1,"",IF(I2895="SBJ","CB","?"))</f>
        <v> </v>
      </c>
      <c r="I2895" s="26" t="str">
        <f>IF(OR(E2895="",E2895="!!!",F2895="NEW"),"",INDEX(B2894:B$2,-1+SUMPRODUCT(MAX(ROW(E2894:E$2)*(E2895=E2894:E$2)))))</f>
        <v> </v>
      </c>
      <c r="J2895" s="26" t="str">
        <f>IF(OR(E2895="",E2895="!!!",F2895="NEW"),"",COUNTBLANK(OFFSET(A$1,,,SUMPRODUCT(MAX(ROW(E$2:E2895)*(E2895=E$2:E2895)))))-COUNTBLANK(OFFSET(A$1,,,SUMPRODUCT(MAX(ROW(E$1:E2894)*(E2=E$1:E2894))))))</f>
        <v> </v>
      </c>
      <c r="K2895" s="26" t="str">
        <f>IF(OR(E2895="",E2895="!!!",F2895="NEW"),"",INDEX(J$1:J2894,SUMPRODUCT(MAX(ROW(E$1:E2894)*(E2895=E$1:E2894)))))</f>
        <v> </v>
      </c>
      <c r="L2895" s="27"/>
    </row>
    <row r="2896" spans="1:12">
      <c r="A2896" s="20" t="s">
        <v>1494</v>
      </c>
      <c r="B2896" s="21" t="s">
        <v>609</v>
      </c>
      <c r="C2896" s="21" t="s">
        <v>602</v>
      </c>
      <c r="D2896" s="21" t="s">
        <v>603</v>
      </c>
      <c r="E2896" s="22">
        <f>IF(D2896="?OLD","!!!","")</f>
        <v/>
      </c>
      <c r="F2896" s="23" t="str">
        <f>IF(OR(E2896="",E2896="!!!"),"",IF(NOT(ISNA(VLOOKUP(E2896,E$1:E2895,1,FALSE()))),"OLD",IF(AND(E2896&lt;&gt;"",E2896&lt;&gt;"!!!"),"NEW","")))</f>
        <v> </v>
      </c>
      <c r="G2896" s="24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5" t="str">
        <f>IF(J2896&lt;&gt;1,"",IF(I2896="SBJ","CB","?"))</f>
        <v> </v>
      </c>
      <c r="I2896" s="26" t="str">
        <f>IF(OR(E2896="",E2896="!!!",F2896="NEW"),"",INDEX(B2895:B$2,-1+SUMPRODUCT(MAX(ROW(E2895:E$2)*(E2896=E2895:E$2)))))</f>
        <v> </v>
      </c>
      <c r="J2896" s="26" t="str">
        <f>IF(OR(E2896="",E2896="!!!",F2896="NEW"),"",COUNTBLANK(OFFSET(A$1,,,SUMPRODUCT(MAX(ROW(E$2:E2896)*(E2896=E$2:E2896)))))-COUNTBLANK(OFFSET(A$1,,,SUMPRODUCT(MAX(ROW(E$1:E2895)*(E2=E$1:E2895))))))</f>
        <v> </v>
      </c>
      <c r="K2896" s="26" t="str">
        <f>IF(OR(E2896="",E2896="!!!",F2896="NEW"),"",INDEX(J$1:J2895,SUMPRODUCT(MAX(ROW(E$1:E2895)*(E2896=E$1:E2895)))))</f>
        <v> </v>
      </c>
      <c r="L2896" s="27"/>
    </row>
    <row r="2897" spans="1:12">
      <c r="A2897" s="20" t="s">
        <v>1953</v>
      </c>
      <c r="E2897" s="22">
        <f>IF(D2897="?OLD","!!!","")</f>
        <v/>
      </c>
      <c r="F2897" s="23" t="str">
        <f>IF(OR(E2897="",E2897="!!!"),"",IF(NOT(ISNA(VLOOKUP(E2897,E$1:E2896,1,FALSE()))),"OLD",IF(AND(E2897&lt;&gt;"",E2897&lt;&gt;"!!!"),"NEW","")))</f>
        <v> </v>
      </c>
      <c r="G2897" s="24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5" t="str">
        <f>IF(J2897&lt;&gt;1,"",IF(I2897="SBJ","CB","?"))</f>
        <v> </v>
      </c>
      <c r="I2897" s="26" t="str">
        <f>IF(OR(E2897="",E2897="!!!",F2897="NEW"),"",INDEX(B2896:B$2,-1+SUMPRODUCT(MAX(ROW(E2896:E$2)*(E2897=E2896:E$2)))))</f>
        <v> </v>
      </c>
      <c r="J2897" s="26" t="str">
        <f>IF(OR(E2897="",E2897="!!!",F2897="NEW"),"",COUNTBLANK(OFFSET(A$1,,,SUMPRODUCT(MAX(ROW(E$2:E2897)*(E2897=E$2:E2897)))))-COUNTBLANK(OFFSET(A$1,,,SUMPRODUCT(MAX(ROW(E$1:E2896)*(E2=E$1:E2896))))))</f>
        <v> </v>
      </c>
      <c r="K2897" s="26" t="str">
        <f>IF(OR(E2897="",E2897="!!!",F2897="NEW"),"",INDEX(J$1:J2896,SUMPRODUCT(MAX(ROW(E$1:E2896)*(E2897=E$1:E2896)))))</f>
        <v> </v>
      </c>
      <c r="L2897" s="27"/>
    </row>
    <row r="2898" spans="1:12">
      <c r="A2898" s="20" t="s">
        <v>611</v>
      </c>
      <c r="E2898" s="22">
        <f>IF(D2898="?OLD","!!!","")</f>
        <v/>
      </c>
      <c r="F2898" s="23" t="str">
        <f>IF(OR(E2898="",E2898="!!!"),"",IF(NOT(ISNA(VLOOKUP(E2898,E$1:E2897,1,FALSE()))),"OLD",IF(AND(E2898&lt;&gt;"",E2898&lt;&gt;"!!!"),"NEW","")))</f>
        <v> </v>
      </c>
      <c r="G2898" s="24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5" t="str">
        <f>IF(J2898&lt;&gt;1,"",IF(I2898="SBJ","CB","?"))</f>
        <v> </v>
      </c>
      <c r="I2898" s="26" t="str">
        <f>IF(OR(E2898="",E2898="!!!",F2898="NEW"),"",INDEX(B2897:B$2,-1+SUMPRODUCT(MAX(ROW(E2897:E$2)*(E2898=E2897:E$2)))))</f>
        <v> </v>
      </c>
      <c r="J2898" s="26" t="str">
        <f>IF(OR(E2898="",E2898="!!!",F2898="NEW"),"",COUNTBLANK(OFFSET(A$1,,,SUMPRODUCT(MAX(ROW(E$2:E2898)*(E2898=E$2:E2898)))))-COUNTBLANK(OFFSET(A$1,,,SUMPRODUCT(MAX(ROW(E$1:E2897)*(E2=E$1:E2897))))))</f>
        <v> </v>
      </c>
      <c r="K2898" s="26" t="str">
        <f>IF(OR(E2898="",E2898="!!!",F2898="NEW"),"",INDEX(J$1:J2897,SUMPRODUCT(MAX(ROW(E$1:E2897)*(E2898=E$1:E2897)))))</f>
        <v> </v>
      </c>
      <c r="L2898" s="27"/>
    </row>
    <row r="2899" spans="1:12">
      <c r="A2899" s="20" t="s">
        <v>662</v>
      </c>
      <c r="E2899" s="22">
        <f>IF(D2899="?OLD","!!!","")</f>
        <v/>
      </c>
      <c r="F2899" s="23" t="str">
        <f>IF(OR(E2899="",E2899="!!!"),"",IF(NOT(ISNA(VLOOKUP(E2899,E$1:E2898,1,FALSE()))),"OLD",IF(AND(E2899&lt;&gt;"",E2899&lt;&gt;"!!!"),"NEW","")))</f>
        <v> </v>
      </c>
      <c r="G2899" s="24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5" t="str">
        <f>IF(J2899&lt;&gt;1,"",IF(I2899="SBJ","CB","?"))</f>
        <v> </v>
      </c>
      <c r="I2899" s="26" t="str">
        <f>IF(OR(E2899="",E2899="!!!",F2899="NEW"),"",INDEX(B2898:B$2,-1+SUMPRODUCT(MAX(ROW(E2898:E$2)*(E2899=E2898:E$2)))))</f>
        <v> </v>
      </c>
      <c r="J2899" s="26" t="str">
        <f>IF(OR(E2899="",E2899="!!!",F2899="NEW"),"",COUNTBLANK(OFFSET(A$1,,,SUMPRODUCT(MAX(ROW(E$2:E2899)*(E2899=E$2:E2899)))))-COUNTBLANK(OFFSET(A$1,,,SUMPRODUCT(MAX(ROW(E$1:E2898)*(E2=E$1:E2898))))))</f>
        <v> </v>
      </c>
      <c r="K2899" s="26" t="str">
        <f>IF(OR(E2899="",E2899="!!!",F2899="NEW"),"",INDEX(J$1:J2898,SUMPRODUCT(MAX(ROW(E$1:E2898)*(E2899=E$1:E2898)))))</f>
        <v> </v>
      </c>
      <c r="L2899" s="27"/>
    </row>
    <row r="2900" spans="1:12">
      <c r="A2900" s="20" t="s">
        <v>1954</v>
      </c>
      <c r="B2900" s="21" t="s">
        <v>640</v>
      </c>
      <c r="C2900" s="21" t="s">
        <v>631</v>
      </c>
      <c r="D2900" s="21" t="s">
        <v>603</v>
      </c>
      <c r="E2900" s="22">
        <f>IF(D2900="?OLD","!!!","")</f>
        <v/>
      </c>
      <c r="F2900" s="23" t="str">
        <f>IF(OR(E2900="",E2900="!!!"),"",IF(NOT(ISNA(VLOOKUP(E2900,E$1:E2899,1,FALSE()))),"OLD",IF(AND(E2900&lt;&gt;"",E2900&lt;&gt;"!!!"),"NEW","")))</f>
        <v> </v>
      </c>
      <c r="G2900" s="24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5" t="str">
        <f>IF(J2900&lt;&gt;1,"",IF(I2900="SBJ","CB","?"))</f>
        <v> </v>
      </c>
      <c r="I2900" s="26" t="str">
        <f>IF(OR(E2900="",E2900="!!!",F2900="NEW"),"",INDEX(B2899:B$2,-1+SUMPRODUCT(MAX(ROW(E2899:E$2)*(E2900=E2899:E$2)))))</f>
        <v> </v>
      </c>
      <c r="J2900" s="26" t="str">
        <f>IF(OR(E2900="",E2900="!!!",F2900="NEW"),"",COUNTBLANK(OFFSET(A$1,,,SUMPRODUCT(MAX(ROW(E$2:E2900)*(E2900=E$2:E2900)))))-COUNTBLANK(OFFSET(A$1,,,SUMPRODUCT(MAX(ROW(E$1:E2899)*(E2=E$1:E2899))))))</f>
        <v> </v>
      </c>
      <c r="K2900" s="26" t="str">
        <f>IF(OR(E2900="",E2900="!!!",F2900="NEW"),"",INDEX(J$1:J2899,SUMPRODUCT(MAX(ROW(E$1:E2899)*(E2900=E$1:E2899)))))</f>
        <v> </v>
      </c>
      <c r="L2900" s="27"/>
    </row>
    <row r="2901" spans="1:12">
      <c r="A2901" s="20" t="s">
        <v>677</v>
      </c>
      <c r="E2901" s="22">
        <f>IF(D2901="?OLD","!!!","")</f>
        <v/>
      </c>
      <c r="F2901" s="23" t="str">
        <f>IF(OR(E2901="",E2901="!!!"),"",IF(NOT(ISNA(VLOOKUP(E2901,E$1:E2900,1,FALSE()))),"OLD",IF(AND(E2901&lt;&gt;"",E2901&lt;&gt;"!!!"),"NEW","")))</f>
        <v> </v>
      </c>
      <c r="G2901" s="24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5" t="str">
        <f>IF(J2901&lt;&gt;1,"",IF(I2901="SBJ","CB","?"))</f>
        <v> </v>
      </c>
      <c r="I2901" s="26" t="str">
        <f>IF(OR(E2901="",E2901="!!!",F2901="NEW"),"",INDEX(B2900:B$2,-1+SUMPRODUCT(MAX(ROW(E2900:E$2)*(E2901=E2900:E$2)))))</f>
        <v> </v>
      </c>
      <c r="J2901" s="26" t="str">
        <f>IF(OR(E2901="",E2901="!!!",F2901="NEW"),"",COUNTBLANK(OFFSET(A$1,,,SUMPRODUCT(MAX(ROW(E$2:E2901)*(E2901=E$2:E2901)))))-COUNTBLANK(OFFSET(A$1,,,SUMPRODUCT(MAX(ROW(E$1:E2900)*(E2=E$1:E2900))))))</f>
        <v> </v>
      </c>
      <c r="K2901" s="26" t="str">
        <f>IF(OR(E2901="",E2901="!!!",F2901="NEW"),"",INDEX(J$1:J2900,SUMPRODUCT(MAX(ROW(E$1:E2900)*(E2901=E$1:E2900)))))</f>
        <v> </v>
      </c>
      <c r="L2901" s="27"/>
    </row>
    <row r="2902" spans="1:12">
      <c r="A2902" s="20" t="s">
        <v>1955</v>
      </c>
      <c r="E2902" s="22">
        <f>IF(D2902="?OLD","!!!","")</f>
        <v/>
      </c>
      <c r="F2902" s="23" t="str">
        <f>IF(OR(E2902="",E2902="!!!"),"",IF(NOT(ISNA(VLOOKUP(E2902,E$1:E2901,1,FALSE()))),"OLD",IF(AND(E2902&lt;&gt;"",E2902&lt;&gt;"!!!"),"NEW","")))</f>
        <v> </v>
      </c>
      <c r="G2902" s="24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5" t="str">
        <f>IF(J2902&lt;&gt;1,"",IF(I2902="SBJ","CB","?"))</f>
        <v> </v>
      </c>
      <c r="I2902" s="26" t="str">
        <f>IF(OR(E2902="",E2902="!!!",F2902="NEW"),"",INDEX(B2901:B$2,-1+SUMPRODUCT(MAX(ROW(E2901:E$2)*(E2902=E2901:E$2)))))</f>
        <v> </v>
      </c>
      <c r="J2902" s="26" t="str">
        <f>IF(OR(E2902="",E2902="!!!",F2902="NEW"),"",COUNTBLANK(OFFSET(A$1,,,SUMPRODUCT(MAX(ROW(E$2:E2902)*(E2902=E$2:E2902)))))-COUNTBLANK(OFFSET(A$1,,,SUMPRODUCT(MAX(ROW(E$1:E2901)*(E2=E$1:E2901))))))</f>
        <v> </v>
      </c>
      <c r="K2902" s="26" t="str">
        <f>IF(OR(E2902="",E2902="!!!",F2902="NEW"),"",INDEX(J$1:J2901,SUMPRODUCT(MAX(ROW(E$1:E2901)*(E2902=E$1:E2901)))))</f>
        <v> </v>
      </c>
      <c r="L2902" s="27"/>
    </row>
    <row r="2903" spans="1:12">
      <c r="A2903" s="20" t="s">
        <v>633</v>
      </c>
      <c r="E2903" s="22">
        <f>IF(D2903="?OLD","!!!","")</f>
        <v/>
      </c>
      <c r="F2903" s="23" t="str">
        <f>IF(OR(E2903="",E2903="!!!"),"",IF(NOT(ISNA(VLOOKUP(E2903,E$1:E2902,1,FALSE()))),"OLD",IF(AND(E2903&lt;&gt;"",E2903&lt;&gt;"!!!"),"NEW","")))</f>
        <v> </v>
      </c>
      <c r="G2903" s="24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5" t="str">
        <f>IF(J2903&lt;&gt;1,"",IF(I2903="SBJ","CB","?"))</f>
        <v> </v>
      </c>
      <c r="I2903" s="26" t="str">
        <f>IF(OR(E2903="",E2903="!!!",F2903="NEW"),"",INDEX(B2902:B$2,-1+SUMPRODUCT(MAX(ROW(E2902:E$2)*(E2903=E2902:E$2)))))</f>
        <v> </v>
      </c>
      <c r="J2903" s="26" t="str">
        <f>IF(OR(E2903="",E2903="!!!",F2903="NEW"),"",COUNTBLANK(OFFSET(A$1,,,SUMPRODUCT(MAX(ROW(E$2:E2903)*(E2903=E$2:E2903)))))-COUNTBLANK(OFFSET(A$1,,,SUMPRODUCT(MAX(ROW(E$1:E2902)*(E2=E$1:E2902))))))</f>
        <v> </v>
      </c>
      <c r="K2903" s="26" t="str">
        <f>IF(OR(E2903="",E2903="!!!",F2903="NEW"),"",INDEX(J$1:J2902,SUMPRODUCT(MAX(ROW(E$1:E2902)*(E2903=E$1:E2902)))))</f>
        <v> </v>
      </c>
      <c r="L2903" s="27"/>
    </row>
    <row r="2904" spans="1:12">
      <c r="A2904" s="20"/>
    </row>
    <row r="2905" spans="1:12">
      <c r="A2905" s="20" t="s">
        <v>1956</v>
      </c>
    </row>
    <row r="2906" spans="1:12">
      <c r="A2906" s="20" t="s">
        <v>1957</v>
      </c>
      <c r="B2906" s="21" t="s">
        <v>601</v>
      </c>
      <c r="E2906" s="22">
        <f>IF(D2906="?OLD","!!!","")</f>
        <v/>
      </c>
      <c r="F2906" s="23" t="str">
        <f>IF(OR(E2906="",E2906="!!!"),"",IF(NOT(ISNA(VLOOKUP(E2906,E$1:E2905,1,FALSE()))),"OLD",IF(AND(E2906&lt;&gt;"",E2906&lt;&gt;"!!!"),"NEW","")))</f>
        <v> </v>
      </c>
      <c r="G2906" s="24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5" t="str">
        <f>IF(J2906&lt;&gt;1,"",IF(I2906="SBJ","CB","?"))</f>
        <v> </v>
      </c>
      <c r="I2906" s="26" t="str">
        <f>IF(OR(E2906="",E2906="!!!",F2906="NEW"),"",INDEX(B2905:B$2,-1+SUMPRODUCT(MAX(ROW(E2905:E$2)*(E2906=E2905:E$2)))))</f>
        <v> </v>
      </c>
      <c r="J2906" s="26" t="str">
        <f>IF(OR(E2906="",E2906="!!!",F2906="NEW"),"",COUNTBLANK(OFFSET(A$1,,,SUMPRODUCT(MAX(ROW(E$2:E2906)*(E2906=E$2:E2906)))))-COUNTBLANK(OFFSET(A$1,,,SUMPRODUCT(MAX(ROW(E$1:E2905)*(E2=E$1:E2905))))))</f>
        <v> </v>
      </c>
      <c r="K2906" s="26" t="str">
        <f>IF(OR(E2906="",E2906="!!!",F2906="NEW"),"",INDEX(J$1:J2905,SUMPRODUCT(MAX(ROW(E$1:E2905)*(E2906=E$1:E2905)))))</f>
        <v> </v>
      </c>
      <c r="L2906" s="27"/>
    </row>
    <row r="2907" spans="1:12">
      <c r="A2907" s="20" t="s">
        <v>1958</v>
      </c>
      <c r="E2907" s="22">
        <f>IF(D2907="?OLD","!!!","")</f>
        <v/>
      </c>
      <c r="F2907" s="23" t="str">
        <f>IF(OR(E2907="",E2907="!!!"),"",IF(NOT(ISNA(VLOOKUP(E2907,E$1:E2906,1,FALSE()))),"OLD",IF(AND(E2907&lt;&gt;"",E2907&lt;&gt;"!!!"),"NEW","")))</f>
        <v> </v>
      </c>
      <c r="G2907" s="24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5" t="str">
        <f>IF(J2907&lt;&gt;1,"",IF(I2907="SBJ","CB","?"))</f>
        <v> </v>
      </c>
      <c r="I2907" s="26" t="str">
        <f>IF(OR(E2907="",E2907="!!!",F2907="NEW"),"",INDEX(B2906:B$2,-1+SUMPRODUCT(MAX(ROW(E2906:E$2)*(E2907=E2906:E$2)))))</f>
        <v> </v>
      </c>
      <c r="J2907" s="26" t="str">
        <f>IF(OR(E2907="",E2907="!!!",F2907="NEW"),"",COUNTBLANK(OFFSET(A$1,,,SUMPRODUCT(MAX(ROW(E$2:E2907)*(E2907=E$2:E2907)))))-COUNTBLANK(OFFSET(A$1,,,SUMPRODUCT(MAX(ROW(E$1:E2906)*(E2=E$1:E2906))))))</f>
        <v> </v>
      </c>
      <c r="K2907" s="26" t="str">
        <f>IF(OR(E2907="",E2907="!!!",F2907="NEW"),"",INDEX(J$1:J2906,SUMPRODUCT(MAX(ROW(E$1:E2906)*(E2907=E$1:E2906)))))</f>
        <v> </v>
      </c>
      <c r="L2907" s="27"/>
    </row>
    <row r="2908" spans="1:12">
      <c r="A2908" s="20" t="s">
        <v>718</v>
      </c>
      <c r="E2908" s="22">
        <f>IF(D2908="?OLD","!!!","")</f>
        <v/>
      </c>
      <c r="F2908" s="23" t="str">
        <f>IF(OR(E2908="",E2908="!!!"),"",IF(NOT(ISNA(VLOOKUP(E2908,E$1:E2907,1,FALSE()))),"OLD",IF(AND(E2908&lt;&gt;"",E2908&lt;&gt;"!!!"),"NEW","")))</f>
        <v> </v>
      </c>
      <c r="G2908" s="24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5" t="str">
        <f>IF(J2908&lt;&gt;1,"",IF(I2908="SBJ","CB","?"))</f>
        <v> </v>
      </c>
      <c r="I2908" s="26" t="str">
        <f>IF(OR(E2908="",E2908="!!!",F2908="NEW"),"",INDEX(B2907:B$2,-1+SUMPRODUCT(MAX(ROW(E2907:E$2)*(E2908=E2907:E$2)))))</f>
        <v> </v>
      </c>
      <c r="J2908" s="26" t="str">
        <f>IF(OR(E2908="",E2908="!!!",F2908="NEW"),"",COUNTBLANK(OFFSET(A$1,,,SUMPRODUCT(MAX(ROW(E$2:E2908)*(E2908=E$2:E2908)))))-COUNTBLANK(OFFSET(A$1,,,SUMPRODUCT(MAX(ROW(E$1:E2907)*(E2=E$1:E2907))))))</f>
        <v> </v>
      </c>
      <c r="K2908" s="26" t="str">
        <f>IF(OR(E2908="",E2908="!!!",F2908="NEW"),"",INDEX(J$1:J2907,SUMPRODUCT(MAX(ROW(E$1:E2907)*(E2908=E$1:E2907)))))</f>
        <v> </v>
      </c>
      <c r="L2908" s="27"/>
    </row>
    <row r="2909" spans="1:12">
      <c r="A2909" s="20" t="s">
        <v>1959</v>
      </c>
      <c r="E2909" s="22">
        <f>IF(D2909="?OLD","!!!","")</f>
        <v/>
      </c>
      <c r="F2909" s="23" t="str">
        <f>IF(OR(E2909="",E2909="!!!"),"",IF(NOT(ISNA(VLOOKUP(E2909,E$1:E2908,1,FALSE()))),"OLD",IF(AND(E2909&lt;&gt;"",E2909&lt;&gt;"!!!"),"NEW","")))</f>
        <v> </v>
      </c>
      <c r="G2909" s="24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5" t="str">
        <f>IF(J2909&lt;&gt;1,"",IF(I2909="SBJ","CB","?"))</f>
        <v> </v>
      </c>
      <c r="I2909" s="26" t="str">
        <f>IF(OR(E2909="",E2909="!!!",F2909="NEW"),"",INDEX(B2908:B$2,-1+SUMPRODUCT(MAX(ROW(E2908:E$2)*(E2909=E2908:E$2)))))</f>
        <v> </v>
      </c>
      <c r="J2909" s="26" t="str">
        <f>IF(OR(E2909="",E2909="!!!",F2909="NEW"),"",COUNTBLANK(OFFSET(A$1,,,SUMPRODUCT(MAX(ROW(E$2:E2909)*(E2909=E$2:E2909)))))-COUNTBLANK(OFFSET(A$1,,,SUMPRODUCT(MAX(ROW(E$1:E2908)*(E2=E$1:E2908))))))</f>
        <v> </v>
      </c>
      <c r="K2909" s="26" t="str">
        <f>IF(OR(E2909="",E2909="!!!",F2909="NEW"),"",INDEX(J$1:J2908,SUMPRODUCT(MAX(ROW(E$1:E2908)*(E2909=E$1:E2908)))))</f>
        <v> </v>
      </c>
      <c r="L2909" s="27"/>
    </row>
    <row r="2910" spans="1:12">
      <c r="A2910" s="20" t="s">
        <v>611</v>
      </c>
      <c r="E2910" s="22">
        <f>IF(D2910="?OLD","!!!","")</f>
        <v/>
      </c>
      <c r="F2910" s="23" t="str">
        <f>IF(OR(E2910="",E2910="!!!"),"",IF(NOT(ISNA(VLOOKUP(E2910,E$1:E2909,1,FALSE()))),"OLD",IF(AND(E2910&lt;&gt;"",E2910&lt;&gt;"!!!"),"NEW","")))</f>
        <v> </v>
      </c>
      <c r="G2910" s="24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5" t="str">
        <f>IF(J2910&lt;&gt;1,"",IF(I2910="SBJ","CB","?"))</f>
        <v> </v>
      </c>
      <c r="I2910" s="26" t="str">
        <f>IF(OR(E2910="",E2910="!!!",F2910="NEW"),"",INDEX(B2909:B$2,-1+SUMPRODUCT(MAX(ROW(E2909:E$2)*(E2910=E2909:E$2)))))</f>
        <v> </v>
      </c>
      <c r="J2910" s="26" t="str">
        <f>IF(OR(E2910="",E2910="!!!",F2910="NEW"),"",COUNTBLANK(OFFSET(A$1,,,SUMPRODUCT(MAX(ROW(E$2:E2910)*(E2910=E$2:E2910)))))-COUNTBLANK(OFFSET(A$1,,,SUMPRODUCT(MAX(ROW(E$1:E2909)*(E2=E$1:E2909))))))</f>
        <v> </v>
      </c>
      <c r="K2910" s="26" t="str">
        <f>IF(OR(E2910="",E2910="!!!",F2910="NEW"),"",INDEX(J$1:J2909,SUMPRODUCT(MAX(ROW(E$1:E2909)*(E2910=E$1:E2909)))))</f>
        <v> </v>
      </c>
      <c r="L2910" s="27"/>
    </row>
    <row r="2911" spans="1:12">
      <c r="A2911" s="20" t="s">
        <v>1960</v>
      </c>
      <c r="E2911" s="22">
        <f>IF(D2911="?OLD","!!!","")</f>
        <v/>
      </c>
      <c r="F2911" s="23" t="str">
        <f>IF(OR(E2911="",E2911="!!!"),"",IF(NOT(ISNA(VLOOKUP(E2911,E$1:E2910,1,FALSE()))),"OLD",IF(AND(E2911&lt;&gt;"",E2911&lt;&gt;"!!!"),"NEW","")))</f>
        <v> </v>
      </c>
      <c r="G2911" s="24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5" t="str">
        <f>IF(J2911&lt;&gt;1,"",IF(I2911="SBJ","CB","?"))</f>
        <v> </v>
      </c>
      <c r="I2911" s="26" t="str">
        <f>IF(OR(E2911="",E2911="!!!",F2911="NEW"),"",INDEX(B2910:B$2,-1+SUMPRODUCT(MAX(ROW(E2910:E$2)*(E2911=E2910:E$2)))))</f>
        <v> </v>
      </c>
      <c r="J2911" s="26" t="str">
        <f>IF(OR(E2911="",E2911="!!!",F2911="NEW"),"",COUNTBLANK(OFFSET(A$1,,,SUMPRODUCT(MAX(ROW(E$2:E2911)*(E2911=E$2:E2911)))))-COUNTBLANK(OFFSET(A$1,,,SUMPRODUCT(MAX(ROW(E$1:E2910)*(E2=E$1:E2910))))))</f>
        <v> </v>
      </c>
      <c r="K2911" s="26" t="str">
        <f>IF(OR(E2911="",E2911="!!!",F2911="NEW"),"",INDEX(J$1:J2910,SUMPRODUCT(MAX(ROW(E$1:E2910)*(E2911=E$1:E2910)))))</f>
        <v> </v>
      </c>
      <c r="L2911" s="27"/>
    </row>
    <row r="2912" spans="1:12">
      <c r="A2912" s="20" t="s">
        <v>1550</v>
      </c>
      <c r="B2912" s="21" t="s">
        <v>609</v>
      </c>
      <c r="C2912" s="21" t="s">
        <v>614</v>
      </c>
      <c r="E2912" s="22">
        <f>IF(D2912="?OLD","!!!","")</f>
        <v/>
      </c>
      <c r="F2912" s="23" t="str">
        <f>IF(OR(E2912="",E2912="!!!"),"",IF(NOT(ISNA(VLOOKUP(E2912,E$1:E2911,1,FALSE()))),"OLD",IF(AND(E2912&lt;&gt;"",E2912&lt;&gt;"!!!"),"NEW","")))</f>
        <v> </v>
      </c>
      <c r="G2912" s="24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5" t="str">
        <f>IF(J2912&lt;&gt;1,"",IF(I2912="SBJ","CB","?"))</f>
        <v> </v>
      </c>
      <c r="I2912" s="26" t="str">
        <f>IF(OR(E2912="",E2912="!!!",F2912="NEW"),"",INDEX(B2911:B$2,-1+SUMPRODUCT(MAX(ROW(E2911:E$2)*(E2912=E2911:E$2)))))</f>
        <v> </v>
      </c>
      <c r="J2912" s="26" t="str">
        <f>IF(OR(E2912="",E2912="!!!",F2912="NEW"),"",COUNTBLANK(OFFSET(A$1,,,SUMPRODUCT(MAX(ROW(E$2:E2912)*(E2912=E$2:E2912)))))-COUNTBLANK(OFFSET(A$1,,,SUMPRODUCT(MAX(ROW(E$1:E2911)*(E2=E$1:E2911))))))</f>
        <v> </v>
      </c>
      <c r="K2912" s="26" t="str">
        <f>IF(OR(E2912="",E2912="!!!",F2912="NEW"),"",INDEX(J$1:J2911,SUMPRODUCT(MAX(ROW(E$1:E2911)*(E2912=E$1:E2911)))))</f>
        <v> </v>
      </c>
      <c r="L2912" s="27"/>
    </row>
    <row r="2913" spans="1:12">
      <c r="A2913" s="20" t="s">
        <v>638</v>
      </c>
      <c r="E2913" s="22">
        <f>IF(D2913="?OLD","!!!","")</f>
        <v/>
      </c>
      <c r="F2913" s="23" t="str">
        <f>IF(OR(E2913="",E2913="!!!"),"",IF(NOT(ISNA(VLOOKUP(E2913,E$1:E2912,1,FALSE()))),"OLD",IF(AND(E2913&lt;&gt;"",E2913&lt;&gt;"!!!"),"NEW","")))</f>
        <v> </v>
      </c>
      <c r="G2913" s="24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5" t="str">
        <f>IF(J2913&lt;&gt;1,"",IF(I2913="SBJ","CB","?"))</f>
        <v> </v>
      </c>
      <c r="I2913" s="26" t="str">
        <f>IF(OR(E2913="",E2913="!!!",F2913="NEW"),"",INDEX(B2912:B$2,-1+SUMPRODUCT(MAX(ROW(E2912:E$2)*(E2913=E2912:E$2)))))</f>
        <v> </v>
      </c>
      <c r="J2913" s="26" t="str">
        <f>IF(OR(E2913="",E2913="!!!",F2913="NEW"),"",COUNTBLANK(OFFSET(A$1,,,SUMPRODUCT(MAX(ROW(E$2:E2913)*(E2913=E$2:E2913)))))-COUNTBLANK(OFFSET(A$1,,,SUMPRODUCT(MAX(ROW(E$1:E2912)*(E2=E$1:E2912))))))</f>
        <v> </v>
      </c>
      <c r="K2913" s="26" t="str">
        <f>IF(OR(E2913="",E2913="!!!",F2913="NEW"),"",INDEX(J$1:J2912,SUMPRODUCT(MAX(ROW(E$1:E2912)*(E2913=E$1:E2912)))))</f>
        <v> </v>
      </c>
      <c r="L2913" s="27"/>
    </row>
    <row r="2914" spans="1:12">
      <c r="A2914" s="20" t="s">
        <v>1961</v>
      </c>
      <c r="E2914" s="22">
        <f>IF(D2914="?OLD","!!!","")</f>
        <v/>
      </c>
      <c r="F2914" s="23" t="str">
        <f>IF(OR(E2914="",E2914="!!!"),"",IF(NOT(ISNA(VLOOKUP(E2914,E$1:E2913,1,FALSE()))),"OLD",IF(AND(E2914&lt;&gt;"",E2914&lt;&gt;"!!!"),"NEW","")))</f>
        <v> </v>
      </c>
      <c r="G2914" s="24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5" t="str">
        <f>IF(J2914&lt;&gt;1,"",IF(I2914="SBJ","CB","?"))</f>
        <v> </v>
      </c>
      <c r="I2914" s="26" t="str">
        <f>IF(OR(E2914="",E2914="!!!",F2914="NEW"),"",INDEX(B2913:B$2,-1+SUMPRODUCT(MAX(ROW(E2913:E$2)*(E2914=E2913:E$2)))))</f>
        <v> </v>
      </c>
      <c r="J2914" s="26" t="str">
        <f>IF(OR(E2914="",E2914="!!!",F2914="NEW"),"",COUNTBLANK(OFFSET(A$1,,,SUMPRODUCT(MAX(ROW(E$2:E2914)*(E2914=E$2:E2914)))))-COUNTBLANK(OFFSET(A$1,,,SUMPRODUCT(MAX(ROW(E$1:E2913)*(E2=E$1:E2913))))))</f>
        <v> </v>
      </c>
      <c r="K2914" s="26" t="str">
        <f>IF(OR(E2914="",E2914="!!!",F2914="NEW"),"",INDEX(J$1:J2913,SUMPRODUCT(MAX(ROW(E$1:E2913)*(E2914=E$1:E2913)))))</f>
        <v> </v>
      </c>
      <c r="L2914" s="27"/>
    </row>
    <row r="2915" spans="1:12">
      <c r="A2915" s="20" t="s">
        <v>999</v>
      </c>
      <c r="E2915" s="22">
        <f>IF(D2915="?OLD","!!!","")</f>
        <v/>
      </c>
      <c r="F2915" s="23" t="str">
        <f>IF(OR(E2915="",E2915="!!!"),"",IF(NOT(ISNA(VLOOKUP(E2915,E$1:E2914,1,FALSE()))),"OLD",IF(AND(E2915&lt;&gt;"",E2915&lt;&gt;"!!!"),"NEW","")))</f>
        <v> </v>
      </c>
      <c r="G2915" s="24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5" t="str">
        <f>IF(J2915&lt;&gt;1,"",IF(I2915="SBJ","CB","?"))</f>
        <v> </v>
      </c>
      <c r="I2915" s="26" t="str">
        <f>IF(OR(E2915="",E2915="!!!",F2915="NEW"),"",INDEX(B2914:B$2,-1+SUMPRODUCT(MAX(ROW(E2914:E$2)*(E2915=E2914:E$2)))))</f>
        <v> </v>
      </c>
      <c r="J2915" s="26" t="str">
        <f>IF(OR(E2915="",E2915="!!!",F2915="NEW"),"",COUNTBLANK(OFFSET(A$1,,,SUMPRODUCT(MAX(ROW(E$2:E2915)*(E2915=E$2:E2915)))))-COUNTBLANK(OFFSET(A$1,,,SUMPRODUCT(MAX(ROW(E$1:E2914)*(E2=E$1:E2914))))))</f>
        <v> </v>
      </c>
      <c r="K2915" s="26" t="str">
        <f>IF(OR(E2915="",E2915="!!!",F2915="NEW"),"",INDEX(J$1:J2914,SUMPRODUCT(MAX(ROW(E$1:E2914)*(E2915=E$1:E2914)))))</f>
        <v> </v>
      </c>
      <c r="L2915" s="27"/>
    </row>
    <row r="2916" spans="1:12">
      <c r="A2916" s="20" t="s">
        <v>1962</v>
      </c>
      <c r="E2916" s="22">
        <f>IF(D2916="?OLD","!!!","")</f>
        <v/>
      </c>
      <c r="F2916" s="23" t="str">
        <f>IF(OR(E2916="",E2916="!!!"),"",IF(NOT(ISNA(VLOOKUP(E2916,E$1:E2915,1,FALSE()))),"OLD",IF(AND(E2916&lt;&gt;"",E2916&lt;&gt;"!!!"),"NEW","")))</f>
        <v> </v>
      </c>
      <c r="G2916" s="24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5" t="str">
        <f>IF(J2916&lt;&gt;1,"",IF(I2916="SBJ","CB","?"))</f>
        <v> </v>
      </c>
      <c r="I2916" s="26" t="str">
        <f>IF(OR(E2916="",E2916="!!!",F2916="NEW"),"",INDEX(B2915:B$2,-1+SUMPRODUCT(MAX(ROW(E2915:E$2)*(E2916=E2915:E$2)))))</f>
        <v> </v>
      </c>
      <c r="J2916" s="26" t="str">
        <f>IF(OR(E2916="",E2916="!!!",F2916="NEW"),"",COUNTBLANK(OFFSET(A$1,,,SUMPRODUCT(MAX(ROW(E$2:E2916)*(E2916=E$2:E2916)))))-COUNTBLANK(OFFSET(A$1,,,SUMPRODUCT(MAX(ROW(E$1:E2915)*(E2=E$1:E2915))))))</f>
        <v> </v>
      </c>
      <c r="K2916" s="26" t="str">
        <f>IF(OR(E2916="",E2916="!!!",F2916="NEW"),"",INDEX(J$1:J2915,SUMPRODUCT(MAX(ROW(E$1:E2915)*(E2916=E$1:E2915)))))</f>
        <v> </v>
      </c>
      <c r="L2916" s="27"/>
    </row>
    <row r="2917" spans="1:12">
      <c r="A2917" s="20" t="s">
        <v>611</v>
      </c>
      <c r="E2917" s="22">
        <f>IF(D2917="?OLD","!!!","")</f>
        <v/>
      </c>
      <c r="F2917" s="23" t="str">
        <f>IF(OR(E2917="",E2917="!!!"),"",IF(NOT(ISNA(VLOOKUP(E2917,E$1:E2916,1,FALSE()))),"OLD",IF(AND(E2917&lt;&gt;"",E2917&lt;&gt;"!!!"),"NEW","")))</f>
        <v> </v>
      </c>
      <c r="G2917" s="24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5" t="str">
        <f>IF(J2917&lt;&gt;1,"",IF(I2917="SBJ","CB","?"))</f>
        <v> </v>
      </c>
      <c r="I2917" s="26" t="str">
        <f>IF(OR(E2917="",E2917="!!!",F2917="NEW"),"",INDEX(B2916:B$2,-1+SUMPRODUCT(MAX(ROW(E2916:E$2)*(E2917=E2916:E$2)))))</f>
        <v> </v>
      </c>
      <c r="J2917" s="26" t="str">
        <f>IF(OR(E2917="",E2917="!!!",F2917="NEW"),"",COUNTBLANK(OFFSET(A$1,,,SUMPRODUCT(MAX(ROW(E$2:E2917)*(E2917=E$2:E2917)))))-COUNTBLANK(OFFSET(A$1,,,SUMPRODUCT(MAX(ROW(E$1:E2916)*(E2=E$1:E2916))))))</f>
        <v> </v>
      </c>
      <c r="K2917" s="26" t="str">
        <f>IF(OR(E2917="",E2917="!!!",F2917="NEW"),"",INDEX(J$1:J2916,SUMPRODUCT(MAX(ROW(E$1:E2916)*(E2917=E$1:E2916)))))</f>
        <v> </v>
      </c>
      <c r="L2917" s="27"/>
    </row>
    <row r="2918" spans="1:12">
      <c r="A2918" s="20" t="s">
        <v>847</v>
      </c>
      <c r="E2918" s="22">
        <f>IF(D2918="?OLD","!!!","")</f>
        <v/>
      </c>
      <c r="F2918" s="23" t="str">
        <f>IF(OR(E2918="",E2918="!!!"),"",IF(NOT(ISNA(VLOOKUP(E2918,E$1:E2917,1,FALSE()))),"OLD",IF(AND(E2918&lt;&gt;"",E2918&lt;&gt;"!!!"),"NEW","")))</f>
        <v> </v>
      </c>
      <c r="G2918" s="24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5" t="str">
        <f>IF(J2918&lt;&gt;1,"",IF(I2918="SBJ","CB","?"))</f>
        <v> </v>
      </c>
      <c r="I2918" s="26" t="str">
        <f>IF(OR(E2918="",E2918="!!!",F2918="NEW"),"",INDEX(B2917:B$2,-1+SUMPRODUCT(MAX(ROW(E2917:E$2)*(E2918=E2917:E$2)))))</f>
        <v> </v>
      </c>
      <c r="J2918" s="26" t="str">
        <f>IF(OR(E2918="",E2918="!!!",F2918="NEW"),"",COUNTBLANK(OFFSET(A$1,,,SUMPRODUCT(MAX(ROW(E$2:E2918)*(E2918=E$2:E2918)))))-COUNTBLANK(OFFSET(A$1,,,SUMPRODUCT(MAX(ROW(E$1:E2917)*(E2=E$1:E2917))))))</f>
        <v> </v>
      </c>
      <c r="K2918" s="26" t="str">
        <f>IF(OR(E2918="",E2918="!!!",F2918="NEW"),"",INDEX(J$1:J2917,SUMPRODUCT(MAX(ROW(E$1:E2917)*(E2918=E$1:E2917)))))</f>
        <v> </v>
      </c>
      <c r="L2918" s="27"/>
    </row>
    <row r="2919" spans="1:12">
      <c r="A2919" s="20" t="s">
        <v>1963</v>
      </c>
      <c r="B2919" s="21" t="s">
        <v>636</v>
      </c>
      <c r="E2919" s="22">
        <f>IF(D2919="?OLD","!!!","")</f>
        <v/>
      </c>
      <c r="F2919" s="23" t="str">
        <f>IF(OR(E2919="",E2919="!!!"),"",IF(NOT(ISNA(VLOOKUP(E2919,E$1:E2918,1,FALSE()))),"OLD",IF(AND(E2919&lt;&gt;"",E2919&lt;&gt;"!!!"),"NEW","")))</f>
        <v> </v>
      </c>
      <c r="G2919" s="24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5" t="str">
        <f>IF(J2919&lt;&gt;1,"",IF(I2919="SBJ","CB","?"))</f>
        <v> </v>
      </c>
      <c r="I2919" s="26" t="str">
        <f>IF(OR(E2919="",E2919="!!!",F2919="NEW"),"",INDEX(B2918:B$2,-1+SUMPRODUCT(MAX(ROW(E2918:E$2)*(E2919=E2918:E$2)))))</f>
        <v> </v>
      </c>
      <c r="J2919" s="26" t="str">
        <f>IF(OR(E2919="",E2919="!!!",F2919="NEW"),"",COUNTBLANK(OFFSET(A$1,,,SUMPRODUCT(MAX(ROW(E$2:E2919)*(E2919=E$2:E2919)))))-COUNTBLANK(OFFSET(A$1,,,SUMPRODUCT(MAX(ROW(E$1:E2918)*(E2=E$1:E2918))))))</f>
        <v> </v>
      </c>
      <c r="K2919" s="26" t="str">
        <f>IF(OR(E2919="",E2919="!!!",F2919="NEW"),"",INDEX(J$1:J2918,SUMPRODUCT(MAX(ROW(E$1:E2918)*(E2919=E$1:E2918)))))</f>
        <v> </v>
      </c>
      <c r="L2919" s="27"/>
    </row>
    <row r="2920" spans="1:12">
      <c r="A2920" s="20" t="s">
        <v>646</v>
      </c>
      <c r="E2920" s="22">
        <f>IF(D2920="?OLD","!!!","")</f>
        <v/>
      </c>
      <c r="F2920" s="23" t="str">
        <f>IF(OR(E2920="",E2920="!!!"),"",IF(NOT(ISNA(VLOOKUP(E2920,E$1:E2919,1,FALSE()))),"OLD",IF(AND(E2920&lt;&gt;"",E2920&lt;&gt;"!!!"),"NEW","")))</f>
        <v> </v>
      </c>
      <c r="G2920" s="24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5" t="str">
        <f>IF(J2920&lt;&gt;1,"",IF(I2920="SBJ","CB","?"))</f>
        <v> </v>
      </c>
      <c r="I2920" s="26" t="str">
        <f>IF(OR(E2920="",E2920="!!!",F2920="NEW"),"",INDEX(B2919:B$2,-1+SUMPRODUCT(MAX(ROW(E2919:E$2)*(E2920=E2919:E$2)))))</f>
        <v> </v>
      </c>
      <c r="J2920" s="26" t="str">
        <f>IF(OR(E2920="",E2920="!!!",F2920="NEW"),"",COUNTBLANK(OFFSET(A$1,,,SUMPRODUCT(MAX(ROW(E$2:E2920)*(E2920=E$2:E2920)))))-COUNTBLANK(OFFSET(A$1,,,SUMPRODUCT(MAX(ROW(E$1:E2919)*(E2=E$1:E2919))))))</f>
        <v> </v>
      </c>
      <c r="K2920" s="26" t="str">
        <f>IF(OR(E2920="",E2920="!!!",F2920="NEW"),"",INDEX(J$1:J2919,SUMPRODUCT(MAX(ROW(E$1:E2919)*(E2920=E$1:E2919)))))</f>
        <v> </v>
      </c>
      <c r="L2920" s="27"/>
    </row>
    <row r="2921" spans="1:12">
      <c r="A2921" s="20" t="s">
        <v>1964</v>
      </c>
      <c r="E2921" s="22">
        <f>IF(D2921="?OLD","!!!","")</f>
        <v/>
      </c>
      <c r="F2921" s="23" t="str">
        <f>IF(OR(E2921="",E2921="!!!"),"",IF(NOT(ISNA(VLOOKUP(E2921,E$1:E2920,1,FALSE()))),"OLD",IF(AND(E2921&lt;&gt;"",E2921&lt;&gt;"!!!"),"NEW","")))</f>
        <v> </v>
      </c>
      <c r="G2921" s="24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5" t="str">
        <f>IF(J2921&lt;&gt;1,"",IF(I2921="SBJ","CB","?"))</f>
        <v> </v>
      </c>
      <c r="I2921" s="26" t="str">
        <f>IF(OR(E2921="",E2921="!!!",F2921="NEW"),"",INDEX(B2920:B$2,-1+SUMPRODUCT(MAX(ROW(E2920:E$2)*(E2921=E2920:E$2)))))</f>
        <v> </v>
      </c>
      <c r="J2921" s="26" t="str">
        <f>IF(OR(E2921="",E2921="!!!",F2921="NEW"),"",COUNTBLANK(OFFSET(A$1,,,SUMPRODUCT(MAX(ROW(E$2:E2921)*(E2921=E$2:E2921)))))-COUNTBLANK(OFFSET(A$1,,,SUMPRODUCT(MAX(ROW(E$1:E2920)*(E2=E$1:E2920))))))</f>
        <v> </v>
      </c>
      <c r="K2921" s="26" t="str">
        <f>IF(OR(E2921="",E2921="!!!",F2921="NEW"),"",INDEX(J$1:J2920,SUMPRODUCT(MAX(ROW(E$1:E2920)*(E2921=E$1:E2920)))))</f>
        <v> </v>
      </c>
      <c r="L2921" s="27"/>
    </row>
    <row r="2922" spans="1:12">
      <c r="A2922" s="20" t="s">
        <v>1965</v>
      </c>
      <c r="E2922" s="22">
        <f>IF(D2922="?OLD","!!!","")</f>
        <v/>
      </c>
      <c r="F2922" s="23" t="str">
        <f>IF(OR(E2922="",E2922="!!!"),"",IF(NOT(ISNA(VLOOKUP(E2922,E$1:E2921,1,FALSE()))),"OLD",IF(AND(E2922&lt;&gt;"",E2922&lt;&gt;"!!!"),"NEW","")))</f>
        <v> </v>
      </c>
      <c r="G2922" s="24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5" t="str">
        <f>IF(J2922&lt;&gt;1,"",IF(I2922="SBJ","CB","?"))</f>
        <v> </v>
      </c>
      <c r="I2922" s="26" t="str">
        <f>IF(OR(E2922="",E2922="!!!",F2922="NEW"),"",INDEX(B2921:B$2,-1+SUMPRODUCT(MAX(ROW(E2921:E$2)*(E2922=E2921:E$2)))))</f>
        <v> </v>
      </c>
      <c r="J2922" s="26" t="str">
        <f>IF(OR(E2922="",E2922="!!!",F2922="NEW"),"",COUNTBLANK(OFFSET(A$1,,,SUMPRODUCT(MAX(ROW(E$2:E2922)*(E2922=E$2:E2922)))))-COUNTBLANK(OFFSET(A$1,,,SUMPRODUCT(MAX(ROW(E$1:E2921)*(E2=E$1:E2921))))))</f>
        <v> </v>
      </c>
      <c r="K2922" s="26" t="str">
        <f>IF(OR(E2922="",E2922="!!!",F2922="NEW"),"",INDEX(J$1:J2921,SUMPRODUCT(MAX(ROW(E$1:E2921)*(E2922=E$1:E2921)))))</f>
        <v> </v>
      </c>
      <c r="L2922" s="27"/>
    </row>
    <row r="2923" spans="1:12">
      <c r="A2923" s="20" t="s">
        <v>633</v>
      </c>
      <c r="E2923" s="22">
        <f>IF(D2923="?OLD","!!!","")</f>
        <v/>
      </c>
      <c r="F2923" s="23" t="str">
        <f>IF(OR(E2923="",E2923="!!!"),"",IF(NOT(ISNA(VLOOKUP(E2923,E$1:E2922,1,FALSE()))),"OLD",IF(AND(E2923&lt;&gt;"",E2923&lt;&gt;"!!!"),"NEW","")))</f>
        <v> </v>
      </c>
      <c r="G2923" s="24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5" t="str">
        <f>IF(J2923&lt;&gt;1,"",IF(I2923="SBJ","CB","?"))</f>
        <v> </v>
      </c>
      <c r="I2923" s="26" t="str">
        <f>IF(OR(E2923="",E2923="!!!",F2923="NEW"),"",INDEX(B2922:B$2,-1+SUMPRODUCT(MAX(ROW(E2922:E$2)*(E2923=E2922:E$2)))))</f>
        <v> </v>
      </c>
      <c r="J2923" s="26" t="str">
        <f>IF(OR(E2923="",E2923="!!!",F2923="NEW"),"",COUNTBLANK(OFFSET(A$1,,,SUMPRODUCT(MAX(ROW(E$2:E2923)*(E2923=E$2:E2923)))))-COUNTBLANK(OFFSET(A$1,,,SUMPRODUCT(MAX(ROW(E$1:E2922)*(E2=E$1:E2922))))))</f>
        <v> </v>
      </c>
      <c r="K2923" s="26" t="str">
        <f>IF(OR(E2923="",E2923="!!!",F2923="NEW"),"",INDEX(J$1:J2922,SUMPRODUCT(MAX(ROW(E$1:E2922)*(E2923=E$1:E2922)))))</f>
        <v> </v>
      </c>
      <c r="L2923" s="27"/>
    </row>
    <row r="2924" spans="1:12">
      <c r="A2924" s="20"/>
    </row>
    <row r="2925" spans="1:12">
      <c r="A2925" s="20" t="s">
        <v>1966</v>
      </c>
    </row>
    <row r="2926" spans="1:12">
      <c r="A2926" s="20" t="s">
        <v>1967</v>
      </c>
      <c r="E2926" s="22">
        <f>IF(D2926="?OLD","!!!","")</f>
        <v/>
      </c>
      <c r="F2926" s="23" t="str">
        <f>IF(OR(E2926="",E2926="!!!"),"",IF(NOT(ISNA(VLOOKUP(E2926,E$1:E2925,1,FALSE()))),"OLD",IF(AND(E2926&lt;&gt;"",E2926&lt;&gt;"!!!"),"NEW","")))</f>
        <v> </v>
      </c>
      <c r="G2926" s="24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5" t="str">
        <f>IF(J2926&lt;&gt;1,"",IF(I2926="SBJ","CB","?"))</f>
        <v> </v>
      </c>
      <c r="I2926" s="26" t="str">
        <f>IF(OR(E2926="",E2926="!!!",F2926="NEW"),"",INDEX(B2925:B$2,-1+SUMPRODUCT(MAX(ROW(E2925:E$2)*(E2926=E2925:E$2)))))</f>
        <v> </v>
      </c>
      <c r="J2926" s="26" t="str">
        <f>IF(OR(E2926="",E2926="!!!",F2926="NEW"),"",COUNTBLANK(OFFSET(A$1,,,SUMPRODUCT(MAX(ROW(E$2:E2926)*(E2926=E$2:E2926)))))-COUNTBLANK(OFFSET(A$1,,,SUMPRODUCT(MAX(ROW(E$1:E2925)*(E2=E$1:E2925))))))</f>
        <v> </v>
      </c>
      <c r="K2926" s="26" t="str">
        <f>IF(OR(E2926="",E2926="!!!",F2926="NEW"),"",INDEX(J$1:J2925,SUMPRODUCT(MAX(ROW(E$1:E2925)*(E2926=E$1:E2925)))))</f>
        <v> </v>
      </c>
      <c r="L2926" s="27"/>
    </row>
    <row r="2927" spans="1:12">
      <c r="A2927" s="20" t="s">
        <v>1019</v>
      </c>
      <c r="E2927" s="22">
        <f>IF(D2927="?OLD","!!!","")</f>
        <v/>
      </c>
      <c r="F2927" s="23" t="str">
        <f>IF(OR(E2927="",E2927="!!!"),"",IF(NOT(ISNA(VLOOKUP(E2927,E$1:E2926,1,FALSE()))),"OLD",IF(AND(E2927&lt;&gt;"",E2927&lt;&gt;"!!!"),"NEW","")))</f>
        <v> </v>
      </c>
      <c r="G2927" s="24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5" t="str">
        <f>IF(J2927&lt;&gt;1,"",IF(I2927="SBJ","CB","?"))</f>
        <v> </v>
      </c>
      <c r="I2927" s="26" t="str">
        <f>IF(OR(E2927="",E2927="!!!",F2927="NEW"),"",INDEX(B2926:B$2,-1+SUMPRODUCT(MAX(ROW(E2926:E$2)*(E2927=E2926:E$2)))))</f>
        <v> </v>
      </c>
      <c r="J2927" s="26" t="str">
        <f>IF(OR(E2927="",E2927="!!!",F2927="NEW"),"",COUNTBLANK(OFFSET(A$1,,,SUMPRODUCT(MAX(ROW(E$2:E2927)*(E2927=E$2:E2927)))))-COUNTBLANK(OFFSET(A$1,,,SUMPRODUCT(MAX(ROW(E$1:E2926)*(E2=E$1:E2926))))))</f>
        <v> </v>
      </c>
      <c r="K2927" s="26" t="str">
        <f>IF(OR(E2927="",E2927="!!!",F2927="NEW"),"",INDEX(J$1:J2926,SUMPRODUCT(MAX(ROW(E$1:E2926)*(E2927=E$1:E2926)))))</f>
        <v> </v>
      </c>
      <c r="L2927" s="27"/>
    </row>
    <row r="2928" spans="1:12">
      <c r="A2928" s="20" t="s">
        <v>611</v>
      </c>
      <c r="E2928" s="22">
        <f>IF(D2928="?OLD","!!!","")</f>
        <v/>
      </c>
      <c r="F2928" s="23" t="str">
        <f>IF(OR(E2928="",E2928="!!!"),"",IF(NOT(ISNA(VLOOKUP(E2928,E$1:E2927,1,FALSE()))),"OLD",IF(AND(E2928&lt;&gt;"",E2928&lt;&gt;"!!!"),"NEW","")))</f>
        <v> </v>
      </c>
      <c r="G2928" s="24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5" t="str">
        <f>IF(J2928&lt;&gt;1,"",IF(I2928="SBJ","CB","?"))</f>
        <v> </v>
      </c>
      <c r="I2928" s="26" t="str">
        <f>IF(OR(E2928="",E2928="!!!",F2928="NEW"),"",INDEX(B2927:B$2,-1+SUMPRODUCT(MAX(ROW(E2927:E$2)*(E2928=E2927:E$2)))))</f>
        <v> </v>
      </c>
      <c r="J2928" s="26" t="str">
        <f>IF(OR(E2928="",E2928="!!!",F2928="NEW"),"",COUNTBLANK(OFFSET(A$1,,,SUMPRODUCT(MAX(ROW(E$2:E2928)*(E2928=E$2:E2928)))))-COUNTBLANK(OFFSET(A$1,,,SUMPRODUCT(MAX(ROW(E$1:E2927)*(E2=E$1:E2927))))))</f>
        <v> </v>
      </c>
      <c r="K2928" s="26" t="str">
        <f>IF(OR(E2928="",E2928="!!!",F2928="NEW"),"",INDEX(J$1:J2927,SUMPRODUCT(MAX(ROW(E$1:E2927)*(E2928=E$1:E2927)))))</f>
        <v> </v>
      </c>
      <c r="L2928" s="27"/>
    </row>
    <row r="2929" spans="1:12">
      <c r="A2929" s="20" t="s">
        <v>662</v>
      </c>
      <c r="E2929" s="22">
        <f>IF(D2929="?OLD","!!!","")</f>
        <v/>
      </c>
      <c r="F2929" s="23" t="str">
        <f>IF(OR(E2929="",E2929="!!!"),"",IF(NOT(ISNA(VLOOKUP(E2929,E$1:E2928,1,FALSE()))),"OLD",IF(AND(E2929&lt;&gt;"",E2929&lt;&gt;"!!!"),"NEW","")))</f>
        <v> </v>
      </c>
      <c r="G2929" s="24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5" t="str">
        <f>IF(J2929&lt;&gt;1,"",IF(I2929="SBJ","CB","?"))</f>
        <v> </v>
      </c>
      <c r="I2929" s="26" t="str">
        <f>IF(OR(E2929="",E2929="!!!",F2929="NEW"),"",INDEX(B2928:B$2,-1+SUMPRODUCT(MAX(ROW(E2928:E$2)*(E2929=E2928:E$2)))))</f>
        <v> </v>
      </c>
      <c r="J2929" s="26" t="str">
        <f>IF(OR(E2929="",E2929="!!!",F2929="NEW"),"",COUNTBLANK(OFFSET(A$1,,,SUMPRODUCT(MAX(ROW(E$2:E2929)*(E2929=E$2:E2929)))))-COUNTBLANK(OFFSET(A$1,,,SUMPRODUCT(MAX(ROW(E$1:E2928)*(E2=E$1:E2928))))))</f>
        <v> </v>
      </c>
      <c r="K2929" s="26" t="str">
        <f>IF(OR(E2929="",E2929="!!!",F2929="NEW"),"",INDEX(J$1:J2928,SUMPRODUCT(MAX(ROW(E$1:E2928)*(E2929=E$1:E2928)))))</f>
        <v> </v>
      </c>
      <c r="L2929" s="27"/>
    </row>
    <row r="2930" spans="1:12">
      <c r="A2930" s="20" t="s">
        <v>1968</v>
      </c>
      <c r="E2930" s="22">
        <f>IF(D2930="?OLD","!!!","")</f>
        <v/>
      </c>
      <c r="F2930" s="23" t="str">
        <f>IF(OR(E2930="",E2930="!!!"),"",IF(NOT(ISNA(VLOOKUP(E2930,E$1:E2929,1,FALSE()))),"OLD",IF(AND(E2930&lt;&gt;"",E2930&lt;&gt;"!!!"),"NEW","")))</f>
        <v> </v>
      </c>
      <c r="G2930" s="24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5" t="str">
        <f>IF(J2930&lt;&gt;1,"",IF(I2930="SBJ","CB","?"))</f>
        <v> </v>
      </c>
      <c r="I2930" s="26" t="str">
        <f>IF(OR(E2930="",E2930="!!!",F2930="NEW"),"",INDEX(B2929:B$2,-1+SUMPRODUCT(MAX(ROW(E2929:E$2)*(E2930=E2929:E$2)))))</f>
        <v> </v>
      </c>
      <c r="J2930" s="26" t="str">
        <f>IF(OR(E2930="",E2930="!!!",F2930="NEW"),"",COUNTBLANK(OFFSET(A$1,,,SUMPRODUCT(MAX(ROW(E$2:E2930)*(E2930=E$2:E2930)))))-COUNTBLANK(OFFSET(A$1,,,SUMPRODUCT(MAX(ROW(E$1:E2929)*(E2=E$1:E2929))))))</f>
        <v> </v>
      </c>
      <c r="K2930" s="26" t="str">
        <f>IF(OR(E2930="",E2930="!!!",F2930="NEW"),"",INDEX(J$1:J2929,SUMPRODUCT(MAX(ROW(E$1:E2929)*(E2930=E$1:E2929)))))</f>
        <v> </v>
      </c>
      <c r="L2930" s="27"/>
    </row>
    <row r="2931" spans="1:12">
      <c r="A2931" s="20" t="s">
        <v>1969</v>
      </c>
      <c r="E2931" s="22">
        <f>IF(D2931="?OLD","!!!","")</f>
        <v/>
      </c>
      <c r="F2931" s="23" t="str">
        <f>IF(OR(E2931="",E2931="!!!"),"",IF(NOT(ISNA(VLOOKUP(E2931,E$1:E2930,1,FALSE()))),"OLD",IF(AND(E2931&lt;&gt;"",E2931&lt;&gt;"!!!"),"NEW","")))</f>
        <v> </v>
      </c>
      <c r="G2931" s="24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5" t="str">
        <f>IF(J2931&lt;&gt;1,"",IF(I2931="SBJ","CB","?"))</f>
        <v> </v>
      </c>
      <c r="I2931" s="26" t="str">
        <f>IF(OR(E2931="",E2931="!!!",F2931="NEW"),"",INDEX(B2930:B$2,-1+SUMPRODUCT(MAX(ROW(E2930:E$2)*(E2931=E2930:E$2)))))</f>
        <v> </v>
      </c>
      <c r="J2931" s="26" t="str">
        <f>IF(OR(E2931="",E2931="!!!",F2931="NEW"),"",COUNTBLANK(OFFSET(A$1,,,SUMPRODUCT(MAX(ROW(E$2:E2931)*(E2931=E$2:E2931)))))-COUNTBLANK(OFFSET(A$1,,,SUMPRODUCT(MAX(ROW(E$1:E2930)*(E2=E$1:E2930))))))</f>
        <v> </v>
      </c>
      <c r="K2931" s="26" t="str">
        <f>IF(OR(E2931="",E2931="!!!",F2931="NEW"),"",INDEX(J$1:J2930,SUMPRODUCT(MAX(ROW(E$1:E2930)*(E2931=E$1:E2930)))))</f>
        <v> </v>
      </c>
      <c r="L2931" s="27"/>
    </row>
    <row r="2932" spans="1:12">
      <c r="A2932" s="20" t="s">
        <v>1970</v>
      </c>
      <c r="E2932" s="22">
        <f>IF(D2932="?OLD","!!!","")</f>
        <v/>
      </c>
      <c r="F2932" s="23" t="str">
        <f>IF(OR(E2932="",E2932="!!!"),"",IF(NOT(ISNA(VLOOKUP(E2932,E$1:E2931,1,FALSE()))),"OLD",IF(AND(E2932&lt;&gt;"",E2932&lt;&gt;"!!!"),"NEW","")))</f>
        <v> </v>
      </c>
      <c r="G2932" s="24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5" t="str">
        <f>IF(J2932&lt;&gt;1,"",IF(I2932="SBJ","CB","?"))</f>
        <v> </v>
      </c>
      <c r="I2932" s="26" t="str">
        <f>IF(OR(E2932="",E2932="!!!",F2932="NEW"),"",INDEX(B2931:B$2,-1+SUMPRODUCT(MAX(ROW(E2931:E$2)*(E2932=E2931:E$2)))))</f>
        <v> </v>
      </c>
      <c r="J2932" s="26" t="str">
        <f>IF(OR(E2932="",E2932="!!!",F2932="NEW"),"",COUNTBLANK(OFFSET(A$1,,,SUMPRODUCT(MAX(ROW(E$2:E2932)*(E2932=E$2:E2932)))))-COUNTBLANK(OFFSET(A$1,,,SUMPRODUCT(MAX(ROW(E$1:E2931)*(E2=E$1:E2931))))))</f>
        <v> </v>
      </c>
      <c r="K2932" s="26" t="str">
        <f>IF(OR(E2932="",E2932="!!!",F2932="NEW"),"",INDEX(J$1:J2931,SUMPRODUCT(MAX(ROW(E$1:E2931)*(E2932=E$1:E2931)))))</f>
        <v> </v>
      </c>
      <c r="L2932" s="27"/>
    </row>
    <row r="2933" spans="1:12">
      <c r="A2933" s="20" t="s">
        <v>611</v>
      </c>
      <c r="E2933" s="22">
        <f>IF(D2933="?OLD","!!!","")</f>
        <v/>
      </c>
      <c r="F2933" s="23" t="str">
        <f>IF(OR(E2933="",E2933="!!!"),"",IF(NOT(ISNA(VLOOKUP(E2933,E$1:E2932,1,FALSE()))),"OLD",IF(AND(E2933&lt;&gt;"",E2933&lt;&gt;"!!!"),"NEW","")))</f>
        <v> </v>
      </c>
      <c r="G2933" s="24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5" t="str">
        <f>IF(J2933&lt;&gt;1,"",IF(I2933="SBJ","CB","?"))</f>
        <v> </v>
      </c>
      <c r="I2933" s="26" t="str">
        <f>IF(OR(E2933="",E2933="!!!",F2933="NEW"),"",INDEX(B2932:B$2,-1+SUMPRODUCT(MAX(ROW(E2932:E$2)*(E2933=E2932:E$2)))))</f>
        <v> </v>
      </c>
      <c r="J2933" s="26" t="str">
        <f>IF(OR(E2933="",E2933="!!!",F2933="NEW"),"",COUNTBLANK(OFFSET(A$1,,,SUMPRODUCT(MAX(ROW(E$2:E2933)*(E2933=E$2:E2933)))))-COUNTBLANK(OFFSET(A$1,,,SUMPRODUCT(MAX(ROW(E$1:E2932)*(E2=E$1:E2932))))))</f>
        <v> </v>
      </c>
      <c r="K2933" s="26" t="str">
        <f>IF(OR(E2933="",E2933="!!!",F2933="NEW"),"",INDEX(J$1:J2932,SUMPRODUCT(MAX(ROW(E$1:E2932)*(E2933=E$1:E2932)))))</f>
        <v> </v>
      </c>
      <c r="L2933" s="27"/>
    </row>
    <row r="2934" spans="1:12">
      <c r="A2934" s="20" t="s">
        <v>1971</v>
      </c>
      <c r="B2934" s="21" t="s">
        <v>652</v>
      </c>
      <c r="E2934" s="22">
        <f>IF(D2934="?OLD","!!!","")</f>
        <v/>
      </c>
      <c r="F2934" s="23" t="str">
        <f>IF(OR(E2934="",E2934="!!!"),"",IF(NOT(ISNA(VLOOKUP(E2934,E$1:E2933,1,FALSE()))),"OLD",IF(AND(E2934&lt;&gt;"",E2934&lt;&gt;"!!!"),"NEW","")))</f>
        <v> </v>
      </c>
      <c r="G2934" s="24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5" t="str">
        <f>IF(J2934&lt;&gt;1,"",IF(I2934="SBJ","CB","?"))</f>
        <v> </v>
      </c>
      <c r="I2934" s="26" t="str">
        <f>IF(OR(E2934="",E2934="!!!",F2934="NEW"),"",INDEX(B2933:B$2,-1+SUMPRODUCT(MAX(ROW(E2933:E$2)*(E2934=E2933:E$2)))))</f>
        <v> </v>
      </c>
      <c r="J2934" s="26" t="str">
        <f>IF(OR(E2934="",E2934="!!!",F2934="NEW"),"",COUNTBLANK(OFFSET(A$1,,,SUMPRODUCT(MAX(ROW(E$2:E2934)*(E2934=E$2:E2934)))))-COUNTBLANK(OFFSET(A$1,,,SUMPRODUCT(MAX(ROW(E$1:E2933)*(E2=E$1:E2933))))))</f>
        <v> </v>
      </c>
      <c r="K2934" s="26" t="str">
        <f>IF(OR(E2934="",E2934="!!!",F2934="NEW"),"",INDEX(J$1:J2933,SUMPRODUCT(MAX(ROW(E$1:E2933)*(E2934=E$1:E2933)))))</f>
        <v> </v>
      </c>
      <c r="L2934" s="27"/>
    </row>
    <row r="2935" spans="1:12">
      <c r="A2935" s="20" t="s">
        <v>1972</v>
      </c>
      <c r="E2935" s="22">
        <f>IF(D2935="?OLD","!!!","")</f>
        <v/>
      </c>
      <c r="F2935" s="23" t="str">
        <f>IF(OR(E2935="",E2935="!!!"),"",IF(NOT(ISNA(VLOOKUP(E2935,E$1:E2934,1,FALSE()))),"OLD",IF(AND(E2935&lt;&gt;"",E2935&lt;&gt;"!!!"),"NEW","")))</f>
        <v> </v>
      </c>
      <c r="G2935" s="24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5" t="str">
        <f>IF(J2935&lt;&gt;1,"",IF(I2935="SBJ","CB","?"))</f>
        <v> </v>
      </c>
      <c r="I2935" s="26" t="str">
        <f>IF(OR(E2935="",E2935="!!!",F2935="NEW"),"",INDEX(B2934:B$2,-1+SUMPRODUCT(MAX(ROW(E2934:E$2)*(E2935=E2934:E$2)))))</f>
        <v> </v>
      </c>
      <c r="J2935" s="26" t="str">
        <f>IF(OR(E2935="",E2935="!!!",F2935="NEW"),"",COUNTBLANK(OFFSET(A$1,,,SUMPRODUCT(MAX(ROW(E$2:E2935)*(E2935=E$2:E2935)))))-COUNTBLANK(OFFSET(A$1,,,SUMPRODUCT(MAX(ROW(E$1:E2934)*(E2=E$1:E2934))))))</f>
        <v> </v>
      </c>
      <c r="K2935" s="26" t="str">
        <f>IF(OR(E2935="",E2935="!!!",F2935="NEW"),"",INDEX(J$1:J2934,SUMPRODUCT(MAX(ROW(E$1:E2934)*(E2935=E$1:E2934)))))</f>
        <v> </v>
      </c>
      <c r="L2935" s="27"/>
    </row>
    <row r="2936" spans="1:12">
      <c r="A2936" s="20" t="s">
        <v>1973</v>
      </c>
      <c r="E2936" s="22">
        <f>IF(D2936="?OLD","!!!","")</f>
        <v/>
      </c>
      <c r="F2936" s="23" t="str">
        <f>IF(OR(E2936="",E2936="!!!"),"",IF(NOT(ISNA(VLOOKUP(E2936,E$1:E2935,1,FALSE()))),"OLD",IF(AND(E2936&lt;&gt;"",E2936&lt;&gt;"!!!"),"NEW","")))</f>
        <v> </v>
      </c>
      <c r="G2936" s="24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5" t="str">
        <f>IF(J2936&lt;&gt;1,"",IF(I2936="SBJ","CB","?"))</f>
        <v> </v>
      </c>
      <c r="I2936" s="26" t="str">
        <f>IF(OR(E2936="",E2936="!!!",F2936="NEW"),"",INDEX(B2935:B$2,-1+SUMPRODUCT(MAX(ROW(E2935:E$2)*(E2936=E2935:E$2)))))</f>
        <v> </v>
      </c>
      <c r="J2936" s="26" t="str">
        <f>IF(OR(E2936="",E2936="!!!",F2936="NEW"),"",COUNTBLANK(OFFSET(A$1,,,SUMPRODUCT(MAX(ROW(E$2:E2936)*(E2936=E$2:E2936)))))-COUNTBLANK(OFFSET(A$1,,,SUMPRODUCT(MAX(ROW(E$1:E2935)*(E2=E$1:E2935))))))</f>
        <v> </v>
      </c>
      <c r="K2936" s="26" t="str">
        <f>IF(OR(E2936="",E2936="!!!",F2936="NEW"),"",INDEX(J$1:J2935,SUMPRODUCT(MAX(ROW(E$1:E2935)*(E2936=E$1:E2935)))))</f>
        <v> </v>
      </c>
      <c r="L2936" s="27"/>
    </row>
    <row r="2937" spans="1:12">
      <c r="A2937" s="20" t="s">
        <v>1974</v>
      </c>
      <c r="B2937" s="21" t="s">
        <v>601</v>
      </c>
      <c r="E2937" s="22">
        <f>IF(D2937="?OLD","!!!","")</f>
        <v/>
      </c>
      <c r="F2937" s="23" t="str">
        <f>IF(OR(E2937="",E2937="!!!"),"",IF(NOT(ISNA(VLOOKUP(E2937,E$1:E2936,1,FALSE()))),"OLD",IF(AND(E2937&lt;&gt;"",E2937&lt;&gt;"!!!"),"NEW","")))</f>
        <v> </v>
      </c>
      <c r="G2937" s="24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5" t="str">
        <f>IF(J2937&lt;&gt;1,"",IF(I2937="SBJ","CB","?"))</f>
        <v> </v>
      </c>
      <c r="I2937" s="26" t="str">
        <f>IF(OR(E2937="",E2937="!!!",F2937="NEW"),"",INDEX(B2936:B$2,-1+SUMPRODUCT(MAX(ROW(E2936:E$2)*(E2937=E2936:E$2)))))</f>
        <v> </v>
      </c>
      <c r="J2937" s="26" t="str">
        <f>IF(OR(E2937="",E2937="!!!",F2937="NEW"),"",COUNTBLANK(OFFSET(A$1,,,SUMPRODUCT(MAX(ROW(E$2:E2937)*(E2937=E$2:E2937)))))-COUNTBLANK(OFFSET(A$1,,,SUMPRODUCT(MAX(ROW(E$1:E2936)*(E2=E$1:E2936))))))</f>
        <v> </v>
      </c>
      <c r="K2937" s="26" t="str">
        <f>IF(OR(E2937="",E2937="!!!",F2937="NEW"),"",INDEX(J$1:J2936,SUMPRODUCT(MAX(ROW(E$1:E2936)*(E2937=E$1:E2936)))))</f>
        <v> </v>
      </c>
      <c r="L2937" s="27"/>
    </row>
    <row r="2938" spans="1:12">
      <c r="A2938" s="20" t="s">
        <v>611</v>
      </c>
      <c r="E2938" s="22">
        <f>IF(D2938="?OLD","!!!","")</f>
        <v/>
      </c>
      <c r="F2938" s="23" t="str">
        <f>IF(OR(E2938="",E2938="!!!"),"",IF(NOT(ISNA(VLOOKUP(E2938,E$1:E2937,1,FALSE()))),"OLD",IF(AND(E2938&lt;&gt;"",E2938&lt;&gt;"!!!"),"NEW","")))</f>
        <v> </v>
      </c>
      <c r="G2938" s="24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5" t="str">
        <f>IF(J2938&lt;&gt;1,"",IF(I2938="SBJ","CB","?"))</f>
        <v> </v>
      </c>
      <c r="I2938" s="26" t="str">
        <f>IF(OR(E2938="",E2938="!!!",F2938="NEW"),"",INDEX(B2937:B$2,-1+SUMPRODUCT(MAX(ROW(E2937:E$2)*(E2938=E2937:E$2)))))</f>
        <v> </v>
      </c>
      <c r="J2938" s="26" t="str">
        <f>IF(OR(E2938="",E2938="!!!",F2938="NEW"),"",COUNTBLANK(OFFSET(A$1,,,SUMPRODUCT(MAX(ROW(E$2:E2938)*(E2938=E$2:E2938)))))-COUNTBLANK(OFFSET(A$1,,,SUMPRODUCT(MAX(ROW(E$1:E2937)*(E2=E$1:E2937))))))</f>
        <v> </v>
      </c>
      <c r="K2938" s="26" t="str">
        <f>IF(OR(E2938="",E2938="!!!",F2938="NEW"),"",INDEX(J$1:J2937,SUMPRODUCT(MAX(ROW(E$1:E2937)*(E2938=E$1:E2937)))))</f>
        <v> </v>
      </c>
      <c r="L2938" s="27"/>
    </row>
    <row r="2939" spans="1:12">
      <c r="A2939" s="20" t="s">
        <v>1975</v>
      </c>
      <c r="E2939" s="22">
        <f>IF(D2939="?OLD","!!!","")</f>
        <v/>
      </c>
      <c r="F2939" s="23" t="str">
        <f>IF(OR(E2939="",E2939="!!!"),"",IF(NOT(ISNA(VLOOKUP(E2939,E$1:E2938,1,FALSE()))),"OLD",IF(AND(E2939&lt;&gt;"",E2939&lt;&gt;"!!!"),"NEW","")))</f>
        <v> </v>
      </c>
      <c r="G2939" s="24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5" t="str">
        <f>IF(J2939&lt;&gt;1,"",IF(I2939="SBJ","CB","?"))</f>
        <v> </v>
      </c>
      <c r="I2939" s="26" t="str">
        <f>IF(OR(E2939="",E2939="!!!",F2939="NEW"),"",INDEX(B2938:B$2,-1+SUMPRODUCT(MAX(ROW(E2938:E$2)*(E2939=E2938:E$2)))))</f>
        <v> </v>
      </c>
      <c r="J2939" s="26" t="str">
        <f>IF(OR(E2939="",E2939="!!!",F2939="NEW"),"",COUNTBLANK(OFFSET(A$1,,,SUMPRODUCT(MAX(ROW(E$2:E2939)*(E2939=E$2:E2939)))))-COUNTBLANK(OFFSET(A$1,,,SUMPRODUCT(MAX(ROW(E$1:E2938)*(E2=E$1:E2938))))))</f>
        <v> </v>
      </c>
      <c r="K2939" s="26" t="str">
        <f>IF(OR(E2939="",E2939="!!!",F2939="NEW"),"",INDEX(J$1:J2938,SUMPRODUCT(MAX(ROW(E$1:E2938)*(E2939=E$1:E2938)))))</f>
        <v> </v>
      </c>
      <c r="L2939" s="27"/>
    </row>
    <row r="2940" spans="1:12">
      <c r="A2940" s="20" t="s">
        <v>1336</v>
      </c>
      <c r="B2940" s="21" t="s">
        <v>801</v>
      </c>
      <c r="C2940" s="21" t="s">
        <v>602</v>
      </c>
      <c r="D2940" s="21" t="s">
        <v>603</v>
      </c>
      <c r="E2940" s="22">
        <f>IF(D2940="?OLD","!!!","")</f>
        <v/>
      </c>
      <c r="F2940" s="23" t="str">
        <f>IF(OR(E2940="",E2940="!!!"),"",IF(NOT(ISNA(VLOOKUP(E2940,E$1:E2939,1,FALSE()))),"OLD",IF(AND(E2940&lt;&gt;"",E2940&lt;&gt;"!!!"),"NEW","")))</f>
        <v> </v>
      </c>
      <c r="G2940" s="24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5" t="str">
        <f>IF(J2940&lt;&gt;1,"",IF(I2940="SBJ","CB","?"))</f>
        <v> </v>
      </c>
      <c r="I2940" s="26" t="str">
        <f>IF(OR(E2940="",E2940="!!!",F2940="NEW"),"",INDEX(B2939:B$2,-1+SUMPRODUCT(MAX(ROW(E2939:E$2)*(E2940=E2939:E$2)))))</f>
        <v> </v>
      </c>
      <c r="J2940" s="26" t="str">
        <f>IF(OR(E2940="",E2940="!!!",F2940="NEW"),"",COUNTBLANK(OFFSET(A$1,,,SUMPRODUCT(MAX(ROW(E$2:E2940)*(E2940=E$2:E2940)))))-COUNTBLANK(OFFSET(A$1,,,SUMPRODUCT(MAX(ROW(E$1:E2939)*(E2=E$1:E2939))))))</f>
        <v> </v>
      </c>
      <c r="K2940" s="26" t="str">
        <f>IF(OR(E2940="",E2940="!!!",F2940="NEW"),"",INDEX(J$1:J2939,SUMPRODUCT(MAX(ROW(E$1:E2939)*(E2940=E$1:E2939)))))</f>
        <v> </v>
      </c>
      <c r="L2940" s="27"/>
    </row>
    <row r="2941" spans="1:12">
      <c r="A2941" s="20" t="s">
        <v>611</v>
      </c>
      <c r="E2941" s="22">
        <f>IF(D2941="?OLD","!!!","")</f>
        <v/>
      </c>
      <c r="F2941" s="23" t="str">
        <f>IF(OR(E2941="",E2941="!!!"),"",IF(NOT(ISNA(VLOOKUP(E2941,E$1:E2940,1,FALSE()))),"OLD",IF(AND(E2941&lt;&gt;"",E2941&lt;&gt;"!!!"),"NEW","")))</f>
        <v> </v>
      </c>
      <c r="G2941" s="24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5" t="str">
        <f>IF(J2941&lt;&gt;1,"",IF(I2941="SBJ","CB","?"))</f>
        <v> </v>
      </c>
      <c r="I2941" s="26" t="str">
        <f>IF(OR(E2941="",E2941="!!!",F2941="NEW"),"",INDEX(B2940:B$2,-1+SUMPRODUCT(MAX(ROW(E2940:E$2)*(E2941=E2940:E$2)))))</f>
        <v> </v>
      </c>
      <c r="J2941" s="26" t="str">
        <f>IF(OR(E2941="",E2941="!!!",F2941="NEW"),"",COUNTBLANK(OFFSET(A$1,,,SUMPRODUCT(MAX(ROW(E$2:E2941)*(E2941=E$2:E2941)))))-COUNTBLANK(OFFSET(A$1,,,SUMPRODUCT(MAX(ROW(E$1:E2940)*(E2=E$1:E2940))))))</f>
        <v> </v>
      </c>
      <c r="K2941" s="26" t="str">
        <f>IF(OR(E2941="",E2941="!!!",F2941="NEW"),"",INDEX(J$1:J2940,SUMPRODUCT(MAX(ROW(E$1:E2940)*(E2941=E$1:E2940)))))</f>
        <v> </v>
      </c>
      <c r="L2941" s="27"/>
    </row>
    <row r="2942" spans="1:12">
      <c r="A2942" s="20" t="s">
        <v>658</v>
      </c>
      <c r="E2942" s="22">
        <f>IF(D2942="?OLD","!!!","")</f>
        <v/>
      </c>
      <c r="F2942" s="23" t="str">
        <f>IF(OR(E2942="",E2942="!!!"),"",IF(NOT(ISNA(VLOOKUP(E2942,E$1:E2941,1,FALSE()))),"OLD",IF(AND(E2942&lt;&gt;"",E2942&lt;&gt;"!!!"),"NEW","")))</f>
        <v> </v>
      </c>
      <c r="G2942" s="24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5" t="str">
        <f>IF(J2942&lt;&gt;1,"",IF(I2942="SBJ","CB","?"))</f>
        <v> </v>
      </c>
      <c r="I2942" s="26" t="str">
        <f>IF(OR(E2942="",E2942="!!!",F2942="NEW"),"",INDEX(B2941:B$2,-1+SUMPRODUCT(MAX(ROW(E2941:E$2)*(E2942=E2941:E$2)))))</f>
        <v> </v>
      </c>
      <c r="J2942" s="26" t="str">
        <f>IF(OR(E2942="",E2942="!!!",F2942="NEW"),"",COUNTBLANK(OFFSET(A$1,,,SUMPRODUCT(MAX(ROW(E$2:E2942)*(E2942=E$2:E2942)))))-COUNTBLANK(OFFSET(A$1,,,SUMPRODUCT(MAX(ROW(E$1:E2941)*(E2=E$1:E2941))))))</f>
        <v> </v>
      </c>
      <c r="K2942" s="26" t="str">
        <f>IF(OR(E2942="",E2942="!!!",F2942="NEW"),"",INDEX(J$1:J2941,SUMPRODUCT(MAX(ROW(E$1:E2941)*(E2942=E$1:E2941)))))</f>
        <v> </v>
      </c>
      <c r="L2942" s="27"/>
    </row>
    <row r="2943" spans="1:12">
      <c r="A2943" s="20" t="s">
        <v>1309</v>
      </c>
      <c r="B2943" s="21" t="s">
        <v>659</v>
      </c>
      <c r="C2943" s="21" t="s">
        <v>602</v>
      </c>
      <c r="D2943" s="21" t="s">
        <v>603</v>
      </c>
      <c r="E2943" s="22">
        <f>IF(D2943="?OLD","!!!","")</f>
        <v/>
      </c>
      <c r="F2943" s="23" t="str">
        <f>IF(OR(E2943="",E2943="!!!"),"",IF(NOT(ISNA(VLOOKUP(E2943,E$1:E2942,1,FALSE()))),"OLD",IF(AND(E2943&lt;&gt;"",E2943&lt;&gt;"!!!"),"NEW","")))</f>
        <v> </v>
      </c>
      <c r="G2943" s="24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5" t="str">
        <f>IF(J2943&lt;&gt;1,"",IF(I2943="SBJ","CB","?"))</f>
        <v> </v>
      </c>
      <c r="I2943" s="26" t="str">
        <f>IF(OR(E2943="",E2943="!!!",F2943="NEW"),"",INDEX(B2942:B$2,-1+SUMPRODUCT(MAX(ROW(E2942:E$2)*(E2943=E2942:E$2)))))</f>
        <v> </v>
      </c>
      <c r="J2943" s="26" t="str">
        <f>IF(OR(E2943="",E2943="!!!",F2943="NEW"),"",COUNTBLANK(OFFSET(A$1,,,SUMPRODUCT(MAX(ROW(E$2:E2943)*(E2943=E$2:E2943)))))-COUNTBLANK(OFFSET(A$1,,,SUMPRODUCT(MAX(ROW(E$1:E2942)*(E2=E$1:E2942))))))</f>
        <v> </v>
      </c>
      <c r="K2943" s="26" t="str">
        <f>IF(OR(E2943="",E2943="!!!",F2943="NEW"),"",INDEX(J$1:J2942,SUMPRODUCT(MAX(ROW(E$1:E2942)*(E2943=E$1:E2942)))))</f>
        <v> </v>
      </c>
      <c r="L2943" s="27"/>
    </row>
    <row r="2944" spans="1:12">
      <c r="A2944" s="20" t="s">
        <v>1976</v>
      </c>
      <c r="E2944" s="22">
        <f>IF(D2944="?OLD","!!!","")</f>
        <v/>
      </c>
      <c r="F2944" s="23" t="str">
        <f>IF(OR(E2944="",E2944="!!!"),"",IF(NOT(ISNA(VLOOKUP(E2944,E$1:E2943,1,FALSE()))),"OLD",IF(AND(E2944&lt;&gt;"",E2944&lt;&gt;"!!!"),"NEW","")))</f>
        <v> </v>
      </c>
      <c r="G2944" s="24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5" t="str">
        <f>IF(J2944&lt;&gt;1,"",IF(I2944="SBJ","CB","?"))</f>
        <v> </v>
      </c>
      <c r="I2944" s="26" t="str">
        <f>IF(OR(E2944="",E2944="!!!",F2944="NEW"),"",INDEX(B2943:B$2,-1+SUMPRODUCT(MAX(ROW(E2943:E$2)*(E2944=E2943:E$2)))))</f>
        <v> </v>
      </c>
      <c r="J2944" s="26" t="str">
        <f>IF(OR(E2944="",E2944="!!!",F2944="NEW"),"",COUNTBLANK(OFFSET(A$1,,,SUMPRODUCT(MAX(ROW(E$2:E2944)*(E2944=E$2:E2944)))))-COUNTBLANK(OFFSET(A$1,,,SUMPRODUCT(MAX(ROW(E$1:E2943)*(E2=E$1:E2943))))))</f>
        <v> </v>
      </c>
      <c r="K2944" s="26" t="str">
        <f>IF(OR(E2944="",E2944="!!!",F2944="NEW"),"",INDEX(J$1:J2943,SUMPRODUCT(MAX(ROW(E$1:E2943)*(E2944=E$1:E2943)))))</f>
        <v> </v>
      </c>
      <c r="L2944" s="27"/>
    </row>
    <row r="2945" spans="1:12">
      <c r="A2945" s="20" t="s">
        <v>646</v>
      </c>
      <c r="E2945" s="22">
        <f>IF(D2945="?OLD","!!!","")</f>
        <v/>
      </c>
      <c r="F2945" s="23" t="str">
        <f>IF(OR(E2945="",E2945="!!!"),"",IF(NOT(ISNA(VLOOKUP(E2945,E$1:E2944,1,FALSE()))),"OLD",IF(AND(E2945&lt;&gt;"",E2945&lt;&gt;"!!!"),"NEW","")))</f>
        <v> </v>
      </c>
      <c r="G2945" s="24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5" t="str">
        <f>IF(J2945&lt;&gt;1,"",IF(I2945="SBJ","CB","?"))</f>
        <v> </v>
      </c>
      <c r="I2945" s="26" t="str">
        <f>IF(OR(E2945="",E2945="!!!",F2945="NEW"),"",INDEX(B2944:B$2,-1+SUMPRODUCT(MAX(ROW(E2944:E$2)*(E2945=E2944:E$2)))))</f>
        <v> </v>
      </c>
      <c r="J2945" s="26" t="str">
        <f>IF(OR(E2945="",E2945="!!!",F2945="NEW"),"",COUNTBLANK(OFFSET(A$1,,,SUMPRODUCT(MAX(ROW(E$2:E2945)*(E2945=E$2:E2945)))))-COUNTBLANK(OFFSET(A$1,,,SUMPRODUCT(MAX(ROW(E$1:E2944)*(E2=E$1:E2944))))))</f>
        <v> </v>
      </c>
      <c r="K2945" s="26" t="str">
        <f>IF(OR(E2945="",E2945="!!!",F2945="NEW"),"",INDEX(J$1:J2944,SUMPRODUCT(MAX(ROW(E$1:E2944)*(E2945=E$1:E2944)))))</f>
        <v> </v>
      </c>
      <c r="L2945" s="27"/>
    </row>
    <row r="2946" spans="1:12">
      <c r="A2946" s="20" t="s">
        <v>658</v>
      </c>
      <c r="E2946" s="22">
        <f>IF(D2946="?OLD","!!!","")</f>
        <v/>
      </c>
      <c r="F2946" s="23" t="str">
        <f>IF(OR(E2946="",E2946="!!!"),"",IF(NOT(ISNA(VLOOKUP(E2946,E$1:E2945,1,FALSE()))),"OLD",IF(AND(E2946&lt;&gt;"",E2946&lt;&gt;"!!!"),"NEW","")))</f>
        <v> </v>
      </c>
      <c r="G2946" s="24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5" t="str">
        <f>IF(J2946&lt;&gt;1,"",IF(I2946="SBJ","CB","?"))</f>
        <v> </v>
      </c>
      <c r="I2946" s="26" t="str">
        <f>IF(OR(E2946="",E2946="!!!",F2946="NEW"),"",INDEX(B2945:B$2,-1+SUMPRODUCT(MAX(ROW(E2945:E$2)*(E2946=E2945:E$2)))))</f>
        <v> </v>
      </c>
      <c r="J2946" s="26" t="str">
        <f>IF(OR(E2946="",E2946="!!!",F2946="NEW"),"",COUNTBLANK(OFFSET(A$1,,,SUMPRODUCT(MAX(ROW(E$2:E2946)*(E2946=E$2:E2946)))))-COUNTBLANK(OFFSET(A$1,,,SUMPRODUCT(MAX(ROW(E$1:E2945)*(E2=E$1:E2945))))))</f>
        <v> </v>
      </c>
      <c r="K2946" s="26" t="str">
        <f>IF(OR(E2946="",E2946="!!!",F2946="NEW"),"",INDEX(J$1:J2945,SUMPRODUCT(MAX(ROW(E$1:E2945)*(E2946=E$1:E2945)))))</f>
        <v> </v>
      </c>
      <c r="L2946" s="27"/>
    </row>
    <row r="2947" spans="1:12">
      <c r="A2947" s="20" t="s">
        <v>1309</v>
      </c>
      <c r="B2947" s="21" t="s">
        <v>616</v>
      </c>
      <c r="C2947" s="21" t="s">
        <v>602</v>
      </c>
      <c r="D2947" s="21" t="s">
        <v>603</v>
      </c>
      <c r="E2947" s="22">
        <f>IF(D2947="?OLD","!!!","")</f>
        <v/>
      </c>
      <c r="F2947" s="23" t="str">
        <f>IF(OR(E2947="",E2947="!!!"),"",IF(NOT(ISNA(VLOOKUP(E2947,E$1:E2946,1,FALSE()))),"OLD",IF(AND(E2947&lt;&gt;"",E2947&lt;&gt;"!!!"),"NEW","")))</f>
        <v> </v>
      </c>
      <c r="G2947" s="24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5" t="str">
        <f>IF(J2947&lt;&gt;1,"",IF(I2947="SBJ","CB","?"))</f>
        <v> </v>
      </c>
      <c r="I2947" s="26" t="str">
        <f>IF(OR(E2947="",E2947="!!!",F2947="NEW"),"",INDEX(B2946:B$2,-1+SUMPRODUCT(MAX(ROW(E2946:E$2)*(E2947=E2946:E$2)))))</f>
        <v> </v>
      </c>
      <c r="J2947" s="26" t="str">
        <f>IF(OR(E2947="",E2947="!!!",F2947="NEW"),"",COUNTBLANK(OFFSET(A$1,,,SUMPRODUCT(MAX(ROW(E$2:E2947)*(E2947=E$2:E2947)))))-COUNTBLANK(OFFSET(A$1,,,SUMPRODUCT(MAX(ROW(E$1:E2946)*(E2=E$1:E2946))))))</f>
        <v> </v>
      </c>
      <c r="K2947" s="26" t="str">
        <f>IF(OR(E2947="",E2947="!!!",F2947="NEW"),"",INDEX(J$1:J2946,SUMPRODUCT(MAX(ROW(E$1:E2946)*(E2947=E$1:E2946)))))</f>
        <v> </v>
      </c>
      <c r="L2947" s="27"/>
    </row>
    <row r="2948" spans="1:12">
      <c r="A2948" s="20" t="s">
        <v>1977</v>
      </c>
      <c r="E2948" s="22">
        <f>IF(D2948="?OLD","!!!","")</f>
        <v/>
      </c>
      <c r="F2948" s="23" t="str">
        <f>IF(OR(E2948="",E2948="!!!"),"",IF(NOT(ISNA(VLOOKUP(E2948,E$1:E2947,1,FALSE()))),"OLD",IF(AND(E2948&lt;&gt;"",E2948&lt;&gt;"!!!"),"NEW","")))</f>
        <v> </v>
      </c>
      <c r="G2948" s="24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5" t="str">
        <f>IF(J2948&lt;&gt;1,"",IF(I2948="SBJ","CB","?"))</f>
        <v> </v>
      </c>
      <c r="I2948" s="26" t="str">
        <f>IF(OR(E2948="",E2948="!!!",F2948="NEW"),"",INDEX(B2947:B$2,-1+SUMPRODUCT(MAX(ROW(E2947:E$2)*(E2948=E2947:E$2)))))</f>
        <v> </v>
      </c>
      <c r="J2948" s="26" t="str">
        <f>IF(OR(E2948="",E2948="!!!",F2948="NEW"),"",COUNTBLANK(OFFSET(A$1,,,SUMPRODUCT(MAX(ROW(E$2:E2948)*(E2948=E$2:E2948)))))-COUNTBLANK(OFFSET(A$1,,,SUMPRODUCT(MAX(ROW(E$1:E2947)*(E2=E$1:E2947))))))</f>
        <v> </v>
      </c>
      <c r="K2948" s="26" t="str">
        <f>IF(OR(E2948="",E2948="!!!",F2948="NEW"),"",INDEX(J$1:J2947,SUMPRODUCT(MAX(ROW(E$1:E2947)*(E2948=E$1:E2947)))))</f>
        <v> </v>
      </c>
      <c r="L2948" s="27"/>
    </row>
    <row r="2949" spans="1:12">
      <c r="A2949" s="20" t="s">
        <v>633</v>
      </c>
      <c r="E2949" s="22">
        <f>IF(D2949="?OLD","!!!","")</f>
        <v/>
      </c>
      <c r="F2949" s="23" t="str">
        <f>IF(OR(E2949="",E2949="!!!"),"",IF(NOT(ISNA(VLOOKUP(E2949,E$1:E2948,1,FALSE()))),"OLD",IF(AND(E2949&lt;&gt;"",E2949&lt;&gt;"!!!"),"NEW","")))</f>
        <v> </v>
      </c>
      <c r="G2949" s="24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5" t="str">
        <f>IF(J2949&lt;&gt;1,"",IF(I2949="SBJ","CB","?"))</f>
        <v> </v>
      </c>
      <c r="I2949" s="26" t="str">
        <f>IF(OR(E2949="",E2949="!!!",F2949="NEW"),"",INDEX(B2948:B$2,-1+SUMPRODUCT(MAX(ROW(E2948:E$2)*(E2949=E2948:E$2)))))</f>
        <v> </v>
      </c>
      <c r="J2949" s="26" t="str">
        <f>IF(OR(E2949="",E2949="!!!",F2949="NEW"),"",COUNTBLANK(OFFSET(A$1,,,SUMPRODUCT(MAX(ROW(E$2:E2949)*(E2949=E$2:E2949)))))-COUNTBLANK(OFFSET(A$1,,,SUMPRODUCT(MAX(ROW(E$1:E2948)*(E2=E$1:E2948))))))</f>
        <v> </v>
      </c>
      <c r="K2949" s="26" t="str">
        <f>IF(OR(E2949="",E2949="!!!",F2949="NEW"),"",INDEX(J$1:J2948,SUMPRODUCT(MAX(ROW(E$1:E2948)*(E2949=E$1:E2948)))))</f>
        <v> </v>
      </c>
      <c r="L2949" s="27"/>
    </row>
    <row r="2950" spans="1:12">
      <c r="A2950" s="20"/>
    </row>
    <row r="2951" spans="1:12">
      <c r="A2951" s="20" t="s">
        <v>1978</v>
      </c>
    </row>
    <row r="2952" spans="1:12">
      <c r="A2952" s="20" t="s">
        <v>1979</v>
      </c>
      <c r="E2952" s="22">
        <f>IF(D2952="?OLD","!!!","")</f>
        <v/>
      </c>
      <c r="F2952" s="23" t="str">
        <f>IF(OR(E2952="",E2952="!!!"),"",IF(NOT(ISNA(VLOOKUP(E2952,E$1:E2951,1,FALSE()))),"OLD",IF(AND(E2952&lt;&gt;"",E2952&lt;&gt;"!!!"),"NEW","")))</f>
        <v> </v>
      </c>
      <c r="G2952" s="24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5" t="str">
        <f>IF(J2952&lt;&gt;1,"",IF(I2952="SBJ","CB","?"))</f>
        <v> </v>
      </c>
      <c r="I2952" s="26" t="str">
        <f>IF(OR(E2952="",E2952="!!!",F2952="NEW"),"",INDEX(B2951:B$2,-1+SUMPRODUCT(MAX(ROW(E2951:E$2)*(E2952=E2951:E$2)))))</f>
        <v> </v>
      </c>
      <c r="J2952" s="26" t="str">
        <f>IF(OR(E2952="",E2952="!!!",F2952="NEW"),"",COUNTBLANK(OFFSET(A$1,,,SUMPRODUCT(MAX(ROW(E$2:E2952)*(E2952=E$2:E2952)))))-COUNTBLANK(OFFSET(A$1,,,SUMPRODUCT(MAX(ROW(E$1:E2951)*(E2=E$1:E2951))))))</f>
        <v> </v>
      </c>
      <c r="K2952" s="26" t="str">
        <f>IF(OR(E2952="",E2952="!!!",F2952="NEW"),"",INDEX(J$1:J2951,SUMPRODUCT(MAX(ROW(E$1:E2951)*(E2952=E$1:E2951)))))</f>
        <v> </v>
      </c>
      <c r="L2952" s="27"/>
    </row>
    <row r="2953" spans="1:12">
      <c r="A2953" s="20" t="s">
        <v>1980</v>
      </c>
      <c r="E2953" s="22">
        <f>IF(D2953="?OLD","!!!","")</f>
        <v/>
      </c>
      <c r="F2953" s="23" t="str">
        <f>IF(OR(E2953="",E2953="!!!"),"",IF(NOT(ISNA(VLOOKUP(E2953,E$1:E2952,1,FALSE()))),"OLD",IF(AND(E2953&lt;&gt;"",E2953&lt;&gt;"!!!"),"NEW","")))</f>
        <v> </v>
      </c>
      <c r="G2953" s="24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5" t="str">
        <f>IF(J2953&lt;&gt;1,"",IF(I2953="SBJ","CB","?"))</f>
        <v> </v>
      </c>
      <c r="I2953" s="26" t="str">
        <f>IF(OR(E2953="",E2953="!!!",F2953="NEW"),"",INDEX(B2952:B$2,-1+SUMPRODUCT(MAX(ROW(E2952:E$2)*(E2953=E2952:E$2)))))</f>
        <v> </v>
      </c>
      <c r="J2953" s="26" t="str">
        <f>IF(OR(E2953="",E2953="!!!",F2953="NEW"),"",COUNTBLANK(OFFSET(A$1,,,SUMPRODUCT(MAX(ROW(E$2:E2953)*(E2953=E$2:E2953)))))-COUNTBLANK(OFFSET(A$1,,,SUMPRODUCT(MAX(ROW(E$1:E2952)*(E2=E$1:E2952))))))</f>
        <v> </v>
      </c>
      <c r="K2953" s="26" t="str">
        <f>IF(OR(E2953="",E2953="!!!",F2953="NEW"),"",INDEX(J$1:J2952,SUMPRODUCT(MAX(ROW(E$1:E2952)*(E2953=E$1:E2952)))))</f>
        <v> </v>
      </c>
      <c r="L2953" s="27"/>
    </row>
    <row r="2954" spans="1:12">
      <c r="A2954" s="20" t="s">
        <v>1981</v>
      </c>
      <c r="B2954" s="21" t="s">
        <v>640</v>
      </c>
      <c r="C2954" s="21" t="s">
        <v>621</v>
      </c>
      <c r="E2954" s="22">
        <f>IF(D2954="?OLD","!!!","")</f>
        <v/>
      </c>
      <c r="F2954" s="23" t="str">
        <f>IF(OR(E2954="",E2954="!!!"),"",IF(NOT(ISNA(VLOOKUP(E2954,E$1:E2953,1,FALSE()))),"OLD",IF(AND(E2954&lt;&gt;"",E2954&lt;&gt;"!!!"),"NEW","")))</f>
        <v> </v>
      </c>
      <c r="G2954" s="24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5" t="str">
        <f>IF(J2954&lt;&gt;1,"",IF(I2954="SBJ","CB","?"))</f>
        <v> </v>
      </c>
      <c r="I2954" s="26" t="str">
        <f>IF(OR(E2954="",E2954="!!!",F2954="NEW"),"",INDEX(B2953:B$2,-1+SUMPRODUCT(MAX(ROW(E2953:E$2)*(E2954=E2953:E$2)))))</f>
        <v> </v>
      </c>
      <c r="J2954" s="26" t="str">
        <f>IF(OR(E2954="",E2954="!!!",F2954="NEW"),"",COUNTBLANK(OFFSET(A$1,,,SUMPRODUCT(MAX(ROW(E$2:E2954)*(E2954=E$2:E2954)))))-COUNTBLANK(OFFSET(A$1,,,SUMPRODUCT(MAX(ROW(E$1:E2953)*(E2=E$1:E2953))))))</f>
        <v> </v>
      </c>
      <c r="K2954" s="26" t="str">
        <f>IF(OR(E2954="",E2954="!!!",F2954="NEW"),"",INDEX(J$1:J2953,SUMPRODUCT(MAX(ROW(E$1:E2953)*(E2954=E$1:E2953)))))</f>
        <v> </v>
      </c>
      <c r="L2954" s="27"/>
    </row>
    <row r="2955" spans="1:12">
      <c r="A2955" s="20" t="s">
        <v>1309</v>
      </c>
      <c r="B2955" s="21" t="s">
        <v>601</v>
      </c>
      <c r="C2955" s="21" t="s">
        <v>602</v>
      </c>
      <c r="D2955" s="21" t="s">
        <v>603</v>
      </c>
      <c r="E2955" s="22">
        <f>IF(D2955="?OLD","!!!","")</f>
        <v/>
      </c>
      <c r="F2955" s="23" t="str">
        <f>IF(OR(E2955="",E2955="!!!"),"",IF(NOT(ISNA(VLOOKUP(E2955,E$1:E2954,1,FALSE()))),"OLD",IF(AND(E2955&lt;&gt;"",E2955&lt;&gt;"!!!"),"NEW","")))</f>
        <v> </v>
      </c>
      <c r="G2955" s="24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5" t="str">
        <f>IF(J2955&lt;&gt;1,"",IF(I2955="SBJ","CB","?"))</f>
        <v> </v>
      </c>
      <c r="I2955" s="26" t="str">
        <f>IF(OR(E2955="",E2955="!!!",F2955="NEW"),"",INDEX(B2954:B$2,-1+SUMPRODUCT(MAX(ROW(E2954:E$2)*(E2955=E2954:E$2)))))</f>
        <v> </v>
      </c>
      <c r="J2955" s="26" t="str">
        <f>IF(OR(E2955="",E2955="!!!",F2955="NEW"),"",COUNTBLANK(OFFSET(A$1,,,SUMPRODUCT(MAX(ROW(E$2:E2955)*(E2955=E$2:E2955)))))-COUNTBLANK(OFFSET(A$1,,,SUMPRODUCT(MAX(ROW(E$1:E2954)*(E2=E$1:E2954))))))</f>
        <v> </v>
      </c>
      <c r="K2955" s="26" t="str">
        <f>IF(OR(E2955="",E2955="!!!",F2955="NEW"),"",INDEX(J$1:J2954,SUMPRODUCT(MAX(ROW(E$1:E2954)*(E2955=E$1:E2954)))))</f>
        <v> </v>
      </c>
      <c r="L2955" s="27"/>
    </row>
    <row r="2956" spans="1:12">
      <c r="A2956" s="20" t="s">
        <v>1982</v>
      </c>
      <c r="E2956" s="22">
        <f>IF(D2956="?OLD","!!!","")</f>
        <v/>
      </c>
      <c r="F2956" s="23" t="str">
        <f>IF(OR(E2956="",E2956="!!!"),"",IF(NOT(ISNA(VLOOKUP(E2956,E$1:E2955,1,FALSE()))),"OLD",IF(AND(E2956&lt;&gt;"",E2956&lt;&gt;"!!!"),"NEW","")))</f>
        <v> </v>
      </c>
      <c r="G2956" s="24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5" t="str">
        <f>IF(J2956&lt;&gt;1,"",IF(I2956="SBJ","CB","?"))</f>
        <v> </v>
      </c>
      <c r="I2956" s="26" t="str">
        <f>IF(OR(E2956="",E2956="!!!",F2956="NEW"),"",INDEX(B2955:B$2,-1+SUMPRODUCT(MAX(ROW(E2955:E$2)*(E2956=E2955:E$2)))))</f>
        <v> </v>
      </c>
      <c r="J2956" s="26" t="str">
        <f>IF(OR(E2956="",E2956="!!!",F2956="NEW"),"",COUNTBLANK(OFFSET(A$1,,,SUMPRODUCT(MAX(ROW(E$2:E2956)*(E2956=E$2:E2956)))))-COUNTBLANK(OFFSET(A$1,,,SUMPRODUCT(MAX(ROW(E$1:E2955)*(E2=E$1:E2955))))))</f>
        <v> </v>
      </c>
      <c r="K2956" s="26" t="str">
        <f>IF(OR(E2956="",E2956="!!!",F2956="NEW"),"",INDEX(J$1:J2955,SUMPRODUCT(MAX(ROW(E$1:E2955)*(E2956=E$1:E2955)))))</f>
        <v> </v>
      </c>
      <c r="L2956" s="27"/>
    </row>
    <row r="2957" spans="1:12">
      <c r="A2957" s="20" t="s">
        <v>1983</v>
      </c>
      <c r="E2957" s="22">
        <f>IF(D2957="?OLD","!!!","")</f>
        <v/>
      </c>
      <c r="F2957" s="23" t="str">
        <f>IF(OR(E2957="",E2957="!!!"),"",IF(NOT(ISNA(VLOOKUP(E2957,E$1:E2956,1,FALSE()))),"OLD",IF(AND(E2957&lt;&gt;"",E2957&lt;&gt;"!!!"),"NEW","")))</f>
        <v> </v>
      </c>
      <c r="G2957" s="24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5" t="str">
        <f>IF(J2957&lt;&gt;1,"",IF(I2957="SBJ","CB","?"))</f>
        <v> </v>
      </c>
      <c r="I2957" s="26" t="str">
        <f>IF(OR(E2957="",E2957="!!!",F2957="NEW"),"",INDEX(B2956:B$2,-1+SUMPRODUCT(MAX(ROW(E2956:E$2)*(E2957=E2956:E$2)))))</f>
        <v> </v>
      </c>
      <c r="J2957" s="26" t="str">
        <f>IF(OR(E2957="",E2957="!!!",F2957="NEW"),"",COUNTBLANK(OFFSET(A$1,,,SUMPRODUCT(MAX(ROW(E$2:E2957)*(E2957=E$2:E2957)))))-COUNTBLANK(OFFSET(A$1,,,SUMPRODUCT(MAX(ROW(E$1:E2956)*(E2=E$1:E2956))))))</f>
        <v> </v>
      </c>
      <c r="K2957" s="26" t="str">
        <f>IF(OR(E2957="",E2957="!!!",F2957="NEW"),"",INDEX(J$1:J2956,SUMPRODUCT(MAX(ROW(E$1:E2956)*(E2957=E$1:E2956)))))</f>
        <v> </v>
      </c>
      <c r="L2957" s="27"/>
    </row>
    <row r="2958" spans="1:12">
      <c r="A2958" s="20" t="s">
        <v>1984</v>
      </c>
      <c r="B2958" s="21" t="s">
        <v>652</v>
      </c>
      <c r="E2958" s="22">
        <f>IF(D2958="?OLD","!!!","")</f>
        <v/>
      </c>
      <c r="F2958" s="23" t="str">
        <f>IF(OR(E2958="",E2958="!!!"),"",IF(NOT(ISNA(VLOOKUP(E2958,E$1:E2957,1,FALSE()))),"OLD",IF(AND(E2958&lt;&gt;"",E2958&lt;&gt;"!!!"),"NEW","")))</f>
        <v> </v>
      </c>
      <c r="G2958" s="24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5" t="str">
        <f>IF(J2958&lt;&gt;1,"",IF(I2958="SBJ","CB","?"))</f>
        <v> </v>
      </c>
      <c r="I2958" s="26" t="str">
        <f>IF(OR(E2958="",E2958="!!!",F2958="NEW"),"",INDEX(B2957:B$2,-1+SUMPRODUCT(MAX(ROW(E2957:E$2)*(E2958=E2957:E$2)))))</f>
        <v> </v>
      </c>
      <c r="J2958" s="26" t="str">
        <f>IF(OR(E2958="",E2958="!!!",F2958="NEW"),"",COUNTBLANK(OFFSET(A$1,,,SUMPRODUCT(MAX(ROW(E$2:E2958)*(E2958=E$2:E2958)))))-COUNTBLANK(OFFSET(A$1,,,SUMPRODUCT(MAX(ROW(E$1:E2957)*(E2=E$1:E2957))))))</f>
        <v> </v>
      </c>
      <c r="K2958" s="26" t="str">
        <f>IF(OR(E2958="",E2958="!!!",F2958="NEW"),"",INDEX(J$1:J2957,SUMPRODUCT(MAX(ROW(E$1:E2957)*(E2958=E$1:E2957)))))</f>
        <v> </v>
      </c>
      <c r="L2958" s="27"/>
    </row>
    <row r="2959" spans="1:12">
      <c r="A2959" s="20" t="s">
        <v>611</v>
      </c>
      <c r="E2959" s="22">
        <f>IF(D2959="?OLD","!!!","")</f>
        <v/>
      </c>
      <c r="F2959" s="23" t="str">
        <f>IF(OR(E2959="",E2959="!!!"),"",IF(NOT(ISNA(VLOOKUP(E2959,E$1:E2958,1,FALSE()))),"OLD",IF(AND(E2959&lt;&gt;"",E2959&lt;&gt;"!!!"),"NEW","")))</f>
        <v> </v>
      </c>
      <c r="G2959" s="24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5" t="str">
        <f>IF(J2959&lt;&gt;1,"",IF(I2959="SBJ","CB","?"))</f>
        <v> </v>
      </c>
      <c r="I2959" s="26" t="str">
        <f>IF(OR(E2959="",E2959="!!!",F2959="NEW"),"",INDEX(B2958:B$2,-1+SUMPRODUCT(MAX(ROW(E2958:E$2)*(E2959=E2958:E$2)))))</f>
        <v> </v>
      </c>
      <c r="J2959" s="26" t="str">
        <f>IF(OR(E2959="",E2959="!!!",F2959="NEW"),"",COUNTBLANK(OFFSET(A$1,,,SUMPRODUCT(MAX(ROW(E$2:E2959)*(E2959=E$2:E2959)))))-COUNTBLANK(OFFSET(A$1,,,SUMPRODUCT(MAX(ROW(E$1:E2958)*(E2=E$1:E2958))))))</f>
        <v> </v>
      </c>
      <c r="K2959" s="26" t="str">
        <f>IF(OR(E2959="",E2959="!!!",F2959="NEW"),"",INDEX(J$1:J2958,SUMPRODUCT(MAX(ROW(E$1:E2958)*(E2959=E$1:E2958)))))</f>
        <v> </v>
      </c>
      <c r="L2959" s="27"/>
    </row>
    <row r="2960" spans="1:12">
      <c r="A2960" s="20" t="s">
        <v>1309</v>
      </c>
      <c r="B2960" s="21" t="s">
        <v>636</v>
      </c>
      <c r="C2960" s="21" t="s">
        <v>602</v>
      </c>
      <c r="D2960" s="21" t="s">
        <v>603</v>
      </c>
      <c r="E2960" s="22">
        <f>IF(D2960="?OLD","!!!","")</f>
        <v/>
      </c>
      <c r="F2960" s="23" t="str">
        <f>IF(OR(E2960="",E2960="!!!"),"",IF(NOT(ISNA(VLOOKUP(E2960,E$1:E2959,1,FALSE()))),"OLD",IF(AND(E2960&lt;&gt;"",E2960&lt;&gt;"!!!"),"NEW","")))</f>
        <v> </v>
      </c>
      <c r="G2960" s="24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5" t="str">
        <f>IF(J2960&lt;&gt;1,"",IF(I2960="SBJ","CB","?"))</f>
        <v> </v>
      </c>
      <c r="I2960" s="26" t="str">
        <f>IF(OR(E2960="",E2960="!!!",F2960="NEW"),"",INDEX(B2959:B$2,-1+SUMPRODUCT(MAX(ROW(E2959:E$2)*(E2960=E2959:E$2)))))</f>
        <v> </v>
      </c>
      <c r="J2960" s="26" t="str">
        <f>IF(OR(E2960="",E2960="!!!",F2960="NEW"),"",COUNTBLANK(OFFSET(A$1,,,SUMPRODUCT(MAX(ROW(E$2:E2960)*(E2960=E$2:E2960)))))-COUNTBLANK(OFFSET(A$1,,,SUMPRODUCT(MAX(ROW(E$1:E2959)*(E2=E$1:E2959))))))</f>
        <v> </v>
      </c>
      <c r="K2960" s="26" t="str">
        <f>IF(OR(E2960="",E2960="!!!",F2960="NEW"),"",INDEX(J$1:J2959,SUMPRODUCT(MAX(ROW(E$1:E2959)*(E2960=E$1:E2959)))))</f>
        <v> </v>
      </c>
      <c r="L2960" s="27"/>
    </row>
    <row r="2961" spans="1:12">
      <c r="A2961" s="20" t="s">
        <v>1985</v>
      </c>
      <c r="E2961" s="22">
        <f>IF(D2961="?OLD","!!!","")</f>
        <v/>
      </c>
      <c r="F2961" s="23" t="str">
        <f>IF(OR(E2961="",E2961="!!!"),"",IF(NOT(ISNA(VLOOKUP(E2961,E$1:E2960,1,FALSE()))),"OLD",IF(AND(E2961&lt;&gt;"",E2961&lt;&gt;"!!!"),"NEW","")))</f>
        <v> </v>
      </c>
      <c r="G2961" s="24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5" t="str">
        <f>IF(J2961&lt;&gt;1,"",IF(I2961="SBJ","CB","?"))</f>
        <v> </v>
      </c>
      <c r="I2961" s="26" t="str">
        <f>IF(OR(E2961="",E2961="!!!",F2961="NEW"),"",INDEX(B2960:B$2,-1+SUMPRODUCT(MAX(ROW(E2960:E$2)*(E2961=E2960:E$2)))))</f>
        <v> </v>
      </c>
      <c r="J2961" s="26" t="str">
        <f>IF(OR(E2961="",E2961="!!!",F2961="NEW"),"",COUNTBLANK(OFFSET(A$1,,,SUMPRODUCT(MAX(ROW(E$2:E2961)*(E2961=E$2:E2961)))))-COUNTBLANK(OFFSET(A$1,,,SUMPRODUCT(MAX(ROW(E$1:E2960)*(E2=E$1:E2960))))))</f>
        <v> </v>
      </c>
      <c r="K2961" s="26" t="str">
        <f>IF(OR(E2961="",E2961="!!!",F2961="NEW"),"",INDEX(J$1:J2960,SUMPRODUCT(MAX(ROW(E$1:E2960)*(E2961=E$1:E2960)))))</f>
        <v> </v>
      </c>
      <c r="L2961" s="27"/>
    </row>
    <row r="2962" spans="1:12">
      <c r="A2962" s="20" t="s">
        <v>1986</v>
      </c>
      <c r="E2962" s="22">
        <f>IF(D2962="?OLD","!!!","")</f>
        <v/>
      </c>
      <c r="F2962" s="23" t="str">
        <f>IF(OR(E2962="",E2962="!!!"),"",IF(NOT(ISNA(VLOOKUP(E2962,E$1:E2961,1,FALSE()))),"OLD",IF(AND(E2962&lt;&gt;"",E2962&lt;&gt;"!!!"),"NEW","")))</f>
        <v> </v>
      </c>
      <c r="G2962" s="24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5" t="str">
        <f>IF(J2962&lt;&gt;1,"",IF(I2962="SBJ","CB","?"))</f>
        <v> </v>
      </c>
      <c r="I2962" s="26" t="str">
        <f>IF(OR(E2962="",E2962="!!!",F2962="NEW"),"",INDEX(B2961:B$2,-1+SUMPRODUCT(MAX(ROW(E2961:E$2)*(E2962=E2961:E$2)))))</f>
        <v> </v>
      </c>
      <c r="J2962" s="26" t="str">
        <f>IF(OR(E2962="",E2962="!!!",F2962="NEW"),"",COUNTBLANK(OFFSET(A$1,,,SUMPRODUCT(MAX(ROW(E$2:E2962)*(E2962=E$2:E2962)))))-COUNTBLANK(OFFSET(A$1,,,SUMPRODUCT(MAX(ROW(E$1:E2961)*(E2=E$1:E2961))))))</f>
        <v> </v>
      </c>
      <c r="K2962" s="26" t="str">
        <f>IF(OR(E2962="",E2962="!!!",F2962="NEW"),"",INDEX(J$1:J2961,SUMPRODUCT(MAX(ROW(E$1:E2961)*(E2962=E$1:E2961)))))</f>
        <v> </v>
      </c>
      <c r="L2962" s="27"/>
    </row>
    <row r="2963" spans="1:12">
      <c r="A2963" s="20" t="s">
        <v>1974</v>
      </c>
      <c r="B2963" s="21" t="s">
        <v>793</v>
      </c>
      <c r="E2963" s="22">
        <f>IF(D2963="?OLD","!!!","")</f>
        <v/>
      </c>
      <c r="F2963" s="23" t="str">
        <f>IF(OR(E2963="",E2963="!!!"),"",IF(NOT(ISNA(VLOOKUP(E2963,E$1:E2962,1,FALSE()))),"OLD",IF(AND(E2963&lt;&gt;"",E2963&lt;&gt;"!!!"),"NEW","")))</f>
        <v> </v>
      </c>
      <c r="G2963" s="24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5" t="str">
        <f>IF(J2963&lt;&gt;1,"",IF(I2963="SBJ","CB","?"))</f>
        <v> </v>
      </c>
      <c r="I2963" s="26" t="str">
        <f>IF(OR(E2963="",E2963="!!!",F2963="NEW"),"",INDEX(B2962:B$2,-1+SUMPRODUCT(MAX(ROW(E2962:E$2)*(E2963=E2962:E$2)))))</f>
        <v> </v>
      </c>
      <c r="J2963" s="26" t="str">
        <f>IF(OR(E2963="",E2963="!!!",F2963="NEW"),"",COUNTBLANK(OFFSET(A$1,,,SUMPRODUCT(MAX(ROW(E$2:E2963)*(E2963=E$2:E2963)))))-COUNTBLANK(OFFSET(A$1,,,SUMPRODUCT(MAX(ROW(E$1:E2962)*(E2=E$1:E2962))))))</f>
        <v> </v>
      </c>
      <c r="K2963" s="26" t="str">
        <f>IF(OR(E2963="",E2963="!!!",F2963="NEW"),"",INDEX(J$1:J2962,SUMPRODUCT(MAX(ROW(E$1:E2962)*(E2963=E$1:E2962)))))</f>
        <v> </v>
      </c>
      <c r="L2963" s="27"/>
    </row>
    <row r="2964" spans="1:12">
      <c r="A2964" s="20" t="s">
        <v>633</v>
      </c>
      <c r="E2964" s="22">
        <f>IF(D2964="?OLD","!!!","")</f>
        <v/>
      </c>
      <c r="F2964" s="23" t="str">
        <f>IF(OR(E2964="",E2964="!!!"),"",IF(NOT(ISNA(VLOOKUP(E2964,E$1:E2963,1,FALSE()))),"OLD",IF(AND(E2964&lt;&gt;"",E2964&lt;&gt;"!!!"),"NEW","")))</f>
        <v> </v>
      </c>
      <c r="G2964" s="24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5" t="str">
        <f>IF(J2964&lt;&gt;1,"",IF(I2964="SBJ","CB","?"))</f>
        <v> </v>
      </c>
      <c r="I2964" s="26" t="str">
        <f>IF(OR(E2964="",E2964="!!!",F2964="NEW"),"",INDEX(B2963:B$2,-1+SUMPRODUCT(MAX(ROW(E2963:E$2)*(E2964=E2963:E$2)))))</f>
        <v> </v>
      </c>
      <c r="J2964" s="26" t="str">
        <f>IF(OR(E2964="",E2964="!!!",F2964="NEW"),"",COUNTBLANK(OFFSET(A$1,,,SUMPRODUCT(MAX(ROW(E$2:E2964)*(E2964=E$2:E2964)))))-COUNTBLANK(OFFSET(A$1,,,SUMPRODUCT(MAX(ROW(E$1:E2963)*(E2=E$1:E2963))))))</f>
        <v> </v>
      </c>
      <c r="K2964" s="26" t="str">
        <f>IF(OR(E2964="",E2964="!!!",F2964="NEW"),"",INDEX(J$1:J2963,SUMPRODUCT(MAX(ROW(E$1:E2963)*(E2964=E$1:E2963)))))</f>
        <v> </v>
      </c>
      <c r="L2964" s="27"/>
    </row>
    <row r="2965" spans="1:12">
      <c r="A2965" s="20"/>
    </row>
    <row r="2966" spans="1:12">
      <c r="A2966" s="20" t="s">
        <v>1987</v>
      </c>
    </row>
    <row r="2967" spans="1:12">
      <c r="A2967" s="20" t="s">
        <v>1442</v>
      </c>
      <c r="E2967" s="22">
        <f>IF(D2967="?OLD","!!!","")</f>
        <v/>
      </c>
      <c r="F2967" s="23" t="str">
        <f>IF(OR(E2967="",E2967="!!!"),"",IF(NOT(ISNA(VLOOKUP(E2967,E$1:E2966,1,FALSE()))),"OLD",IF(AND(E2967&lt;&gt;"",E2967&lt;&gt;"!!!"),"NEW","")))</f>
        <v> </v>
      </c>
      <c r="G2967" s="24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5" t="str">
        <f>IF(J2967&lt;&gt;1,"",IF(I2967="SBJ","CB","?"))</f>
        <v> </v>
      </c>
      <c r="I2967" s="26" t="str">
        <f>IF(OR(E2967="",E2967="!!!",F2967="NEW"),"",INDEX(B2966:B$2,-1+SUMPRODUCT(MAX(ROW(E2966:E$2)*(E2967=E2966:E$2)))))</f>
        <v> </v>
      </c>
      <c r="J2967" s="26" t="str">
        <f>IF(OR(E2967="",E2967="!!!",F2967="NEW"),"",COUNTBLANK(OFFSET(A$1,,,SUMPRODUCT(MAX(ROW(E$2:E2967)*(E2967=E$2:E2967)))))-COUNTBLANK(OFFSET(A$1,,,SUMPRODUCT(MAX(ROW(E$1:E2966)*(E2=E$1:E2966))))))</f>
        <v> </v>
      </c>
      <c r="K2967" s="26" t="str">
        <f>IF(OR(E2967="",E2967="!!!",F2967="NEW"),"",INDEX(J$1:J2966,SUMPRODUCT(MAX(ROW(E$1:E2966)*(E2967=E$1:E2966)))))</f>
        <v> </v>
      </c>
      <c r="L2967" s="27"/>
    </row>
    <row r="2968" spans="1:12">
      <c r="A2968" s="20" t="s">
        <v>1988</v>
      </c>
      <c r="E2968" s="22">
        <f>IF(D2968="?OLD","!!!","")</f>
        <v/>
      </c>
      <c r="F2968" s="23" t="str">
        <f>IF(OR(E2968="",E2968="!!!"),"",IF(NOT(ISNA(VLOOKUP(E2968,E$1:E2967,1,FALSE()))),"OLD",IF(AND(E2968&lt;&gt;"",E2968&lt;&gt;"!!!"),"NEW","")))</f>
        <v> </v>
      </c>
      <c r="G2968" s="24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5" t="str">
        <f>IF(J2968&lt;&gt;1,"",IF(I2968="SBJ","CB","?"))</f>
        <v> </v>
      </c>
      <c r="I2968" s="26" t="str">
        <f>IF(OR(E2968="",E2968="!!!",F2968="NEW"),"",INDEX(B2967:B$2,-1+SUMPRODUCT(MAX(ROW(E2967:E$2)*(E2968=E2967:E$2)))))</f>
        <v> </v>
      </c>
      <c r="J2968" s="26" t="str">
        <f>IF(OR(E2968="",E2968="!!!",F2968="NEW"),"",COUNTBLANK(OFFSET(A$1,,,SUMPRODUCT(MAX(ROW(E$2:E2968)*(E2968=E$2:E2968)))))-COUNTBLANK(OFFSET(A$1,,,SUMPRODUCT(MAX(ROW(E$1:E2967)*(E2=E$1:E2967))))))</f>
        <v> </v>
      </c>
      <c r="K2968" s="26" t="str">
        <f>IF(OR(E2968="",E2968="!!!",F2968="NEW"),"",INDEX(J$1:J2967,SUMPRODUCT(MAX(ROW(E$1:E2967)*(E2968=E$1:E2967)))))</f>
        <v> </v>
      </c>
      <c r="L2968" s="27"/>
    </row>
    <row r="2969" spans="1:12">
      <c r="A2969" s="20" t="s">
        <v>677</v>
      </c>
      <c r="E2969" s="22">
        <f>IF(D2969="?OLD","!!!","")</f>
        <v/>
      </c>
      <c r="F2969" s="23" t="str">
        <f>IF(OR(E2969="",E2969="!!!"),"",IF(NOT(ISNA(VLOOKUP(E2969,E$1:E2968,1,FALSE()))),"OLD",IF(AND(E2969&lt;&gt;"",E2969&lt;&gt;"!!!"),"NEW","")))</f>
        <v> </v>
      </c>
      <c r="G2969" s="24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5" t="str">
        <f>IF(J2969&lt;&gt;1,"",IF(I2969="SBJ","CB","?"))</f>
        <v> </v>
      </c>
      <c r="I2969" s="26" t="str">
        <f>IF(OR(E2969="",E2969="!!!",F2969="NEW"),"",INDEX(B2968:B$2,-1+SUMPRODUCT(MAX(ROW(E2968:E$2)*(E2969=E2968:E$2)))))</f>
        <v> </v>
      </c>
      <c r="J2969" s="26" t="str">
        <f>IF(OR(E2969="",E2969="!!!",F2969="NEW"),"",COUNTBLANK(OFFSET(A$1,,,SUMPRODUCT(MAX(ROW(E$2:E2969)*(E2969=E$2:E2969)))))-COUNTBLANK(OFFSET(A$1,,,SUMPRODUCT(MAX(ROW(E$1:E2968)*(E2=E$1:E2968))))))</f>
        <v> </v>
      </c>
      <c r="K2969" s="26" t="str">
        <f>IF(OR(E2969="",E2969="!!!",F2969="NEW"),"",INDEX(J$1:J2968,SUMPRODUCT(MAX(ROW(E$1:E2968)*(E2969=E$1:E2968)))))</f>
        <v> </v>
      </c>
      <c r="L2969" s="27"/>
    </row>
    <row r="2970" spans="1:12">
      <c r="A2970" s="20" t="s">
        <v>1989</v>
      </c>
      <c r="E2970" s="22">
        <f>IF(D2970="?OLD","!!!","")</f>
        <v/>
      </c>
      <c r="F2970" s="23" t="str">
        <f>IF(OR(E2970="",E2970="!!!"),"",IF(NOT(ISNA(VLOOKUP(E2970,E$1:E2969,1,FALSE()))),"OLD",IF(AND(E2970&lt;&gt;"",E2970&lt;&gt;"!!!"),"NEW","")))</f>
        <v> </v>
      </c>
      <c r="G2970" s="24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5" t="str">
        <f>IF(J2970&lt;&gt;1,"",IF(I2970="SBJ","CB","?"))</f>
        <v> </v>
      </c>
      <c r="I2970" s="26" t="str">
        <f>IF(OR(E2970="",E2970="!!!",F2970="NEW"),"",INDEX(B2969:B$2,-1+SUMPRODUCT(MAX(ROW(E2969:E$2)*(E2970=E2969:E$2)))))</f>
        <v> </v>
      </c>
      <c r="J2970" s="26" t="str">
        <f>IF(OR(E2970="",E2970="!!!",F2970="NEW"),"",COUNTBLANK(OFFSET(A$1,,,SUMPRODUCT(MAX(ROW(E$2:E2970)*(E2970=E$2:E2970)))))-COUNTBLANK(OFFSET(A$1,,,SUMPRODUCT(MAX(ROW(E$1:E2969)*(E2=E$1:E2969))))))</f>
        <v> </v>
      </c>
      <c r="K2970" s="26" t="str">
        <f>IF(OR(E2970="",E2970="!!!",F2970="NEW"),"",INDEX(J$1:J2969,SUMPRODUCT(MAX(ROW(E$1:E2969)*(E2970=E$1:E2969)))))</f>
        <v> </v>
      </c>
      <c r="L2970" s="27"/>
    </row>
    <row r="2971" spans="1:12">
      <c r="A2971" s="20" t="s">
        <v>529</v>
      </c>
      <c r="E2971" s="22">
        <f>IF(D2971="?OLD","!!!","")</f>
        <v/>
      </c>
      <c r="F2971" s="23" t="str">
        <f>IF(OR(E2971="",E2971="!!!"),"",IF(NOT(ISNA(VLOOKUP(E2971,E$1:E2970,1,FALSE()))),"OLD",IF(AND(E2971&lt;&gt;"",E2971&lt;&gt;"!!!"),"NEW","")))</f>
        <v> </v>
      </c>
      <c r="G2971" s="24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5" t="str">
        <f>IF(J2971&lt;&gt;1,"",IF(I2971="SBJ","CB","?"))</f>
        <v> </v>
      </c>
      <c r="I2971" s="26" t="str">
        <f>IF(OR(E2971="",E2971="!!!",F2971="NEW"),"",INDEX(B2970:B$2,-1+SUMPRODUCT(MAX(ROW(E2970:E$2)*(E2971=E2970:E$2)))))</f>
        <v> </v>
      </c>
      <c r="J2971" s="26" t="str">
        <f>IF(OR(E2971="",E2971="!!!",F2971="NEW"),"",COUNTBLANK(OFFSET(A$1,,,SUMPRODUCT(MAX(ROW(E$2:E2971)*(E2971=E$2:E2971)))))-COUNTBLANK(OFFSET(A$1,,,SUMPRODUCT(MAX(ROW(E$1:E2970)*(E2=E$1:E2970))))))</f>
        <v> </v>
      </c>
      <c r="K2971" s="26" t="str">
        <f>IF(OR(E2971="",E2971="!!!",F2971="NEW"),"",INDEX(J$1:J2970,SUMPRODUCT(MAX(ROW(E$1:E2970)*(E2971=E$1:E2970)))))</f>
        <v> </v>
      </c>
      <c r="L2971" s="27"/>
    </row>
    <row r="2972" spans="1:12">
      <c r="A2972" s="20" t="s">
        <v>1990</v>
      </c>
      <c r="E2972" s="22">
        <f>IF(D2972="?OLD","!!!","")</f>
        <v/>
      </c>
      <c r="F2972" s="23" t="str">
        <f>IF(OR(E2972="",E2972="!!!"),"",IF(NOT(ISNA(VLOOKUP(E2972,E$1:E2971,1,FALSE()))),"OLD",IF(AND(E2972&lt;&gt;"",E2972&lt;&gt;"!!!"),"NEW","")))</f>
        <v> </v>
      </c>
      <c r="G2972" s="24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5" t="str">
        <f>IF(J2972&lt;&gt;1,"",IF(I2972="SBJ","CB","?"))</f>
        <v> </v>
      </c>
      <c r="I2972" s="26" t="str">
        <f>IF(OR(E2972="",E2972="!!!",F2972="NEW"),"",INDEX(B2971:B$2,-1+SUMPRODUCT(MAX(ROW(E2971:E$2)*(E2972=E2971:E$2)))))</f>
        <v> </v>
      </c>
      <c r="J2972" s="26" t="str">
        <f>IF(OR(E2972="",E2972="!!!",F2972="NEW"),"",COUNTBLANK(OFFSET(A$1,,,SUMPRODUCT(MAX(ROW(E$2:E2972)*(E2972=E$2:E2972)))))-COUNTBLANK(OFFSET(A$1,,,SUMPRODUCT(MAX(ROW(E$1:E2971)*(E2=E$1:E2971))))))</f>
        <v> </v>
      </c>
      <c r="K2972" s="26" t="str">
        <f>IF(OR(E2972="",E2972="!!!",F2972="NEW"),"",INDEX(J$1:J2971,SUMPRODUCT(MAX(ROW(E$1:E2971)*(E2972=E$1:E2971)))))</f>
        <v> </v>
      </c>
      <c r="L2972" s="27"/>
    </row>
    <row r="2973" spans="1:12">
      <c r="A2973" s="20" t="s">
        <v>662</v>
      </c>
      <c r="E2973" s="22">
        <f>IF(D2973="?OLD","!!!","")</f>
        <v/>
      </c>
      <c r="F2973" s="23" t="str">
        <f>IF(OR(E2973="",E2973="!!!"),"",IF(NOT(ISNA(VLOOKUP(E2973,E$1:E2972,1,FALSE()))),"OLD",IF(AND(E2973&lt;&gt;"",E2973&lt;&gt;"!!!"),"NEW","")))</f>
        <v> </v>
      </c>
      <c r="G2973" s="24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5" t="str">
        <f>IF(J2973&lt;&gt;1,"",IF(I2973="SBJ","CB","?"))</f>
        <v> </v>
      </c>
      <c r="I2973" s="26" t="str">
        <f>IF(OR(E2973="",E2973="!!!",F2973="NEW"),"",INDEX(B2972:B$2,-1+SUMPRODUCT(MAX(ROW(E2972:E$2)*(E2973=E2972:E$2)))))</f>
        <v> </v>
      </c>
      <c r="J2973" s="26" t="str">
        <f>IF(OR(E2973="",E2973="!!!",F2973="NEW"),"",COUNTBLANK(OFFSET(A$1,,,SUMPRODUCT(MAX(ROW(E$2:E2973)*(E2973=E$2:E2973)))))-COUNTBLANK(OFFSET(A$1,,,SUMPRODUCT(MAX(ROW(E$1:E2972)*(E2=E$1:E2972))))))</f>
        <v> </v>
      </c>
      <c r="K2973" s="26" t="str">
        <f>IF(OR(E2973="",E2973="!!!",F2973="NEW"),"",INDEX(J$1:J2972,SUMPRODUCT(MAX(ROW(E$1:E2972)*(E2973=E$1:E2972)))))</f>
        <v> </v>
      </c>
      <c r="L2973" s="27"/>
    </row>
    <row r="2974" spans="1:12">
      <c r="A2974" s="20" t="s">
        <v>1497</v>
      </c>
      <c r="E2974" s="22">
        <f>IF(D2974="?OLD","!!!","")</f>
        <v/>
      </c>
      <c r="F2974" s="23" t="str">
        <f>IF(OR(E2974="",E2974="!!!"),"",IF(NOT(ISNA(VLOOKUP(E2974,E$1:E2973,1,FALSE()))),"OLD",IF(AND(E2974&lt;&gt;"",E2974&lt;&gt;"!!!"),"NEW","")))</f>
        <v> </v>
      </c>
      <c r="G2974" s="24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5" t="str">
        <f>IF(J2974&lt;&gt;1,"",IF(I2974="SBJ","CB","?"))</f>
        <v> </v>
      </c>
      <c r="I2974" s="26" t="str">
        <f>IF(OR(E2974="",E2974="!!!",F2974="NEW"),"",INDEX(B2973:B$2,-1+SUMPRODUCT(MAX(ROW(E2973:E$2)*(E2974=E2973:E$2)))))</f>
        <v> </v>
      </c>
      <c r="J2974" s="26" t="str">
        <f>IF(OR(E2974="",E2974="!!!",F2974="NEW"),"",COUNTBLANK(OFFSET(A$1,,,SUMPRODUCT(MAX(ROW(E$2:E2974)*(E2974=E$2:E2974)))))-COUNTBLANK(OFFSET(A$1,,,SUMPRODUCT(MAX(ROW(E$1:E2973)*(E2=E$1:E2973))))))</f>
        <v> </v>
      </c>
      <c r="K2974" s="26" t="str">
        <f>IF(OR(E2974="",E2974="!!!",F2974="NEW"),"",INDEX(J$1:J2973,SUMPRODUCT(MAX(ROW(E$1:E2973)*(E2974=E$1:E2973)))))</f>
        <v> </v>
      </c>
      <c r="L2974" s="27"/>
    </row>
    <row r="2975" spans="1:12">
      <c r="A2975" s="20" t="s">
        <v>1012</v>
      </c>
      <c r="E2975" s="22">
        <f>IF(D2975="?OLD","!!!","")</f>
        <v/>
      </c>
      <c r="F2975" s="23" t="str">
        <f>IF(OR(E2975="",E2975="!!!"),"",IF(NOT(ISNA(VLOOKUP(E2975,E$1:E2974,1,FALSE()))),"OLD",IF(AND(E2975&lt;&gt;"",E2975&lt;&gt;"!!!"),"NEW","")))</f>
        <v> </v>
      </c>
      <c r="G2975" s="24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5" t="str">
        <f>IF(J2975&lt;&gt;1,"",IF(I2975="SBJ","CB","?"))</f>
        <v> </v>
      </c>
      <c r="I2975" s="26" t="str">
        <f>IF(OR(E2975="",E2975="!!!",F2975="NEW"),"",INDEX(B2974:B$2,-1+SUMPRODUCT(MAX(ROW(E2974:E$2)*(E2975=E2974:E$2)))))</f>
        <v> </v>
      </c>
      <c r="J2975" s="26" t="str">
        <f>IF(OR(E2975="",E2975="!!!",F2975="NEW"),"",COUNTBLANK(OFFSET(A$1,,,SUMPRODUCT(MAX(ROW(E$2:E2975)*(E2975=E$2:E2975)))))-COUNTBLANK(OFFSET(A$1,,,SUMPRODUCT(MAX(ROW(E$1:E2974)*(E2=E$1:E2974))))))</f>
        <v> </v>
      </c>
      <c r="K2975" s="26" t="str">
        <f>IF(OR(E2975="",E2975="!!!",F2975="NEW"),"",INDEX(J$1:J2974,SUMPRODUCT(MAX(ROW(E$1:E2974)*(E2975=E$1:E2974)))))</f>
        <v> </v>
      </c>
      <c r="L2975" s="27"/>
    </row>
    <row r="2976" spans="1:12">
      <c r="A2976" s="20" t="s">
        <v>1991</v>
      </c>
      <c r="B2976" s="21" t="s">
        <v>640</v>
      </c>
      <c r="C2976" s="21" t="s">
        <v>716</v>
      </c>
      <c r="D2976" s="21" t="s">
        <v>603</v>
      </c>
      <c r="E2976" s="22">
        <f>IF(D2976="?OLD","!!!","")</f>
        <v/>
      </c>
      <c r="F2976" s="23" t="str">
        <f>IF(OR(E2976="",E2976="!!!"),"",IF(NOT(ISNA(VLOOKUP(E2976,E$1:E2975,1,FALSE()))),"OLD",IF(AND(E2976&lt;&gt;"",E2976&lt;&gt;"!!!"),"NEW","")))</f>
        <v> </v>
      </c>
      <c r="G2976" s="24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5" t="str">
        <f>IF(J2976&lt;&gt;1,"",IF(I2976="SBJ","CB","?"))</f>
        <v> </v>
      </c>
      <c r="I2976" s="26" t="str">
        <f>IF(OR(E2976="",E2976="!!!",F2976="NEW"),"",INDEX(B2975:B$2,-1+SUMPRODUCT(MAX(ROW(E2975:E$2)*(E2976=E2975:E$2)))))</f>
        <v> </v>
      </c>
      <c r="J2976" s="26" t="str">
        <f>IF(OR(E2976="",E2976="!!!",F2976="NEW"),"",COUNTBLANK(OFFSET(A$1,,,SUMPRODUCT(MAX(ROW(E$2:E2976)*(E2976=E$2:E2976)))))-COUNTBLANK(OFFSET(A$1,,,SUMPRODUCT(MAX(ROW(E$1:E2975)*(E2=E$1:E2975))))))</f>
        <v> </v>
      </c>
      <c r="K2976" s="26" t="str">
        <f>IF(OR(E2976="",E2976="!!!",F2976="NEW"),"",INDEX(J$1:J2975,SUMPRODUCT(MAX(ROW(E$1:E2975)*(E2976=E$1:E2975)))))</f>
        <v> </v>
      </c>
      <c r="L2976" s="27"/>
    </row>
    <row r="2977" spans="1:12">
      <c r="A2977" s="20" t="s">
        <v>672</v>
      </c>
      <c r="E2977" s="22">
        <f>IF(D2977="?OLD","!!!","")</f>
        <v/>
      </c>
      <c r="F2977" s="23" t="str">
        <f>IF(OR(E2977="",E2977="!!!"),"",IF(NOT(ISNA(VLOOKUP(E2977,E$1:E2976,1,FALSE()))),"OLD",IF(AND(E2977&lt;&gt;"",E2977&lt;&gt;"!!!"),"NEW","")))</f>
        <v> </v>
      </c>
      <c r="G2977" s="24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5" t="str">
        <f>IF(J2977&lt;&gt;1,"",IF(I2977="SBJ","CB","?"))</f>
        <v> </v>
      </c>
      <c r="I2977" s="26" t="str">
        <f>IF(OR(E2977="",E2977="!!!",F2977="NEW"),"",INDEX(B2976:B$2,-1+SUMPRODUCT(MAX(ROW(E2976:E$2)*(E2977=E2976:E$2)))))</f>
        <v> </v>
      </c>
      <c r="J2977" s="26" t="str">
        <f>IF(OR(E2977="",E2977="!!!",F2977="NEW"),"",COUNTBLANK(OFFSET(A$1,,,SUMPRODUCT(MAX(ROW(E$2:E2977)*(E2977=E$2:E2977)))))-COUNTBLANK(OFFSET(A$1,,,SUMPRODUCT(MAX(ROW(E$1:E2976)*(E2=E$1:E2976))))))</f>
        <v> </v>
      </c>
      <c r="K2977" s="26" t="str">
        <f>IF(OR(E2977="",E2977="!!!",F2977="NEW"),"",INDEX(J$1:J2976,SUMPRODUCT(MAX(ROW(E$1:E2976)*(E2977=E$1:E2976)))))</f>
        <v> </v>
      </c>
      <c r="L2977" s="27"/>
    </row>
    <row r="2978" spans="1:12">
      <c r="A2978" s="20" t="s">
        <v>1992</v>
      </c>
      <c r="B2978" s="21" t="s">
        <v>793</v>
      </c>
      <c r="E2978" s="22">
        <f>IF(D2978="?OLD","!!!","")</f>
        <v/>
      </c>
      <c r="F2978" s="23" t="str">
        <f>IF(OR(E2978="",E2978="!!!"),"",IF(NOT(ISNA(VLOOKUP(E2978,E$1:E2977,1,FALSE()))),"OLD",IF(AND(E2978&lt;&gt;"",E2978&lt;&gt;"!!!"),"NEW","")))</f>
        <v> </v>
      </c>
      <c r="G2978" s="24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5" t="str">
        <f>IF(J2978&lt;&gt;1,"",IF(I2978="SBJ","CB","?"))</f>
        <v> </v>
      </c>
      <c r="I2978" s="26" t="str">
        <f>IF(OR(E2978="",E2978="!!!",F2978="NEW"),"",INDEX(B2977:B$2,-1+SUMPRODUCT(MAX(ROW(E2977:E$2)*(E2978=E2977:E$2)))))</f>
        <v> </v>
      </c>
      <c r="J2978" s="26" t="str">
        <f>IF(OR(E2978="",E2978="!!!",F2978="NEW"),"",COUNTBLANK(OFFSET(A$1,,,SUMPRODUCT(MAX(ROW(E$2:E2978)*(E2978=E$2:E2978)))))-COUNTBLANK(OFFSET(A$1,,,SUMPRODUCT(MAX(ROW(E$1:E2977)*(E2=E$1:E2977))))))</f>
        <v> </v>
      </c>
      <c r="K2978" s="26" t="str">
        <f>IF(OR(E2978="",E2978="!!!",F2978="NEW"),"",INDEX(J$1:J2977,SUMPRODUCT(MAX(ROW(E$1:E2977)*(E2978=E$1:E2977)))))</f>
        <v> </v>
      </c>
      <c r="L2978" s="27"/>
    </row>
    <row r="2979" spans="1:12">
      <c r="A2979" s="20" t="s">
        <v>1975</v>
      </c>
      <c r="E2979" s="22">
        <f>IF(D2979="?OLD","!!!","")</f>
        <v/>
      </c>
      <c r="F2979" s="23" t="str">
        <f>IF(OR(E2979="",E2979="!!!"),"",IF(NOT(ISNA(VLOOKUP(E2979,E$1:E2978,1,FALSE()))),"OLD",IF(AND(E2979&lt;&gt;"",E2979&lt;&gt;"!!!"),"NEW","")))</f>
        <v> </v>
      </c>
      <c r="G2979" s="24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5" t="str">
        <f>IF(J2979&lt;&gt;1,"",IF(I2979="SBJ","CB","?"))</f>
        <v> </v>
      </c>
      <c r="I2979" s="26" t="str">
        <f>IF(OR(E2979="",E2979="!!!",F2979="NEW"),"",INDEX(B2978:B$2,-1+SUMPRODUCT(MAX(ROW(E2978:E$2)*(E2979=E2978:E$2)))))</f>
        <v> </v>
      </c>
      <c r="J2979" s="26" t="str">
        <f>IF(OR(E2979="",E2979="!!!",F2979="NEW"),"",COUNTBLANK(OFFSET(A$1,,,SUMPRODUCT(MAX(ROW(E$2:E2979)*(E2979=E$2:E2979)))))-COUNTBLANK(OFFSET(A$1,,,SUMPRODUCT(MAX(ROW(E$1:E2978)*(E2=E$1:E2978))))))</f>
        <v> </v>
      </c>
      <c r="K2979" s="26" t="str">
        <f>IF(OR(E2979="",E2979="!!!",F2979="NEW"),"",INDEX(J$1:J2978,SUMPRODUCT(MAX(ROW(E$1:E2978)*(E2979=E$1:E2978)))))</f>
        <v> </v>
      </c>
      <c r="L2979" s="27"/>
    </row>
    <row r="2980" spans="1:12">
      <c r="A2980" s="20" t="s">
        <v>611</v>
      </c>
      <c r="E2980" s="22">
        <f>IF(D2980="?OLD","!!!","")</f>
        <v/>
      </c>
      <c r="F2980" s="23" t="str">
        <f>IF(OR(E2980="",E2980="!!!"),"",IF(NOT(ISNA(VLOOKUP(E2980,E$1:E2979,1,FALSE()))),"OLD",IF(AND(E2980&lt;&gt;"",E2980&lt;&gt;"!!!"),"NEW","")))</f>
        <v> </v>
      </c>
      <c r="G2980" s="24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5" t="str">
        <f>IF(J2980&lt;&gt;1,"",IF(I2980="SBJ","CB","?"))</f>
        <v> </v>
      </c>
      <c r="I2980" s="26" t="str">
        <f>IF(OR(E2980="",E2980="!!!",F2980="NEW"),"",INDEX(B2979:B$2,-1+SUMPRODUCT(MAX(ROW(E2979:E$2)*(E2980=E2979:E$2)))))</f>
        <v> </v>
      </c>
      <c r="J2980" s="26" t="str">
        <f>IF(OR(E2980="",E2980="!!!",F2980="NEW"),"",COUNTBLANK(OFFSET(A$1,,,SUMPRODUCT(MAX(ROW(E$2:E2980)*(E2980=E$2:E2980)))))-COUNTBLANK(OFFSET(A$1,,,SUMPRODUCT(MAX(ROW(E$1:E2979)*(E2=E$1:E2979))))))</f>
        <v> </v>
      </c>
      <c r="K2980" s="26" t="str">
        <f>IF(OR(E2980="",E2980="!!!",F2980="NEW"),"",INDEX(J$1:J2979,SUMPRODUCT(MAX(ROW(E$1:E2979)*(E2980=E$1:E2979)))))</f>
        <v> </v>
      </c>
      <c r="L2980" s="27"/>
    </row>
    <row r="2981" spans="1:12">
      <c r="A2981" s="20" t="s">
        <v>658</v>
      </c>
      <c r="E2981" s="22">
        <f>IF(D2981="?OLD","!!!","")</f>
        <v/>
      </c>
      <c r="F2981" s="23" t="str">
        <f>IF(OR(E2981="",E2981="!!!"),"",IF(NOT(ISNA(VLOOKUP(E2981,E$1:E2980,1,FALSE()))),"OLD",IF(AND(E2981&lt;&gt;"",E2981&lt;&gt;"!!!"),"NEW","")))</f>
        <v> </v>
      </c>
      <c r="G2981" s="24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5" t="str">
        <f>IF(J2981&lt;&gt;1,"",IF(I2981="SBJ","CB","?"))</f>
        <v> </v>
      </c>
      <c r="I2981" s="26" t="str">
        <f>IF(OR(E2981="",E2981="!!!",F2981="NEW"),"",INDEX(B2980:B$2,-1+SUMPRODUCT(MAX(ROW(E2980:E$2)*(E2981=E2980:E$2)))))</f>
        <v> </v>
      </c>
      <c r="J2981" s="26" t="str">
        <f>IF(OR(E2981="",E2981="!!!",F2981="NEW"),"",COUNTBLANK(OFFSET(A$1,,,SUMPRODUCT(MAX(ROW(E$2:E2981)*(E2981=E$2:E2981)))))-COUNTBLANK(OFFSET(A$1,,,SUMPRODUCT(MAX(ROW(E$1:E2980)*(E2=E$1:E2980))))))</f>
        <v> </v>
      </c>
      <c r="K2981" s="26" t="str">
        <f>IF(OR(E2981="",E2981="!!!",F2981="NEW"),"",INDEX(J$1:J2980,SUMPRODUCT(MAX(ROW(E$1:E2980)*(E2981=E$1:E2980)))))</f>
        <v> </v>
      </c>
      <c r="L2981" s="27"/>
    </row>
    <row r="2982" spans="1:12">
      <c r="A2982" s="20" t="s">
        <v>1309</v>
      </c>
      <c r="B2982" s="21" t="s">
        <v>616</v>
      </c>
      <c r="C2982" s="21" t="s">
        <v>602</v>
      </c>
      <c r="D2982" s="21" t="s">
        <v>603</v>
      </c>
      <c r="E2982" s="22">
        <f>IF(D2982="?OLD","!!!","")</f>
        <v/>
      </c>
      <c r="F2982" s="23" t="str">
        <f>IF(OR(E2982="",E2982="!!!"),"",IF(NOT(ISNA(VLOOKUP(E2982,E$1:E2981,1,FALSE()))),"OLD",IF(AND(E2982&lt;&gt;"",E2982&lt;&gt;"!!!"),"NEW","")))</f>
        <v> </v>
      </c>
      <c r="G2982" s="24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5" t="str">
        <f>IF(J2982&lt;&gt;1,"",IF(I2982="SBJ","CB","?"))</f>
        <v> </v>
      </c>
      <c r="I2982" s="26" t="str">
        <f>IF(OR(E2982="",E2982="!!!",F2982="NEW"),"",INDEX(B2981:B$2,-1+SUMPRODUCT(MAX(ROW(E2981:E$2)*(E2982=E2981:E$2)))))</f>
        <v> </v>
      </c>
      <c r="J2982" s="26" t="str">
        <f>IF(OR(E2982="",E2982="!!!",F2982="NEW"),"",COUNTBLANK(OFFSET(A$1,,,SUMPRODUCT(MAX(ROW(E$2:E2982)*(E2982=E$2:E2982)))))-COUNTBLANK(OFFSET(A$1,,,SUMPRODUCT(MAX(ROW(E$1:E2981)*(E2=E$1:E2981))))))</f>
        <v> </v>
      </c>
      <c r="K2982" s="26" t="str">
        <f>IF(OR(E2982="",E2982="!!!",F2982="NEW"),"",INDEX(J$1:J2981,SUMPRODUCT(MAX(ROW(E$1:E2981)*(E2982=E$1:E2981)))))</f>
        <v> </v>
      </c>
      <c r="L2982" s="27"/>
    </row>
    <row r="2983" spans="1:12">
      <c r="A2983" s="20" t="s">
        <v>1993</v>
      </c>
      <c r="E2983" s="22">
        <f>IF(D2983="?OLD","!!!","")</f>
        <v/>
      </c>
      <c r="F2983" s="23" t="str">
        <f>IF(OR(E2983="",E2983="!!!"),"",IF(NOT(ISNA(VLOOKUP(E2983,E$1:E2982,1,FALSE()))),"OLD",IF(AND(E2983&lt;&gt;"",E2983&lt;&gt;"!!!"),"NEW","")))</f>
        <v> </v>
      </c>
      <c r="G2983" s="24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5" t="str">
        <f>IF(J2983&lt;&gt;1,"",IF(I2983="SBJ","CB","?"))</f>
        <v> </v>
      </c>
      <c r="I2983" s="26" t="str">
        <f>IF(OR(E2983="",E2983="!!!",F2983="NEW"),"",INDEX(B2982:B$2,-1+SUMPRODUCT(MAX(ROW(E2982:E$2)*(E2983=E2982:E$2)))))</f>
        <v> </v>
      </c>
      <c r="J2983" s="26" t="str">
        <f>IF(OR(E2983="",E2983="!!!",F2983="NEW"),"",COUNTBLANK(OFFSET(A$1,,,SUMPRODUCT(MAX(ROW(E$2:E2983)*(E2983=E$2:E2983)))))-COUNTBLANK(OFFSET(A$1,,,SUMPRODUCT(MAX(ROW(E$1:E2982)*(E2=E$1:E2982))))))</f>
        <v> </v>
      </c>
      <c r="K2983" s="26" t="str">
        <f>IF(OR(E2983="",E2983="!!!",F2983="NEW"),"",INDEX(J$1:J2982,SUMPRODUCT(MAX(ROW(E$1:E2982)*(E2983=E$1:E2982)))))</f>
        <v> </v>
      </c>
      <c r="L2983" s="27"/>
    </row>
    <row r="2984" spans="1:12">
      <c r="A2984" s="20" t="s">
        <v>633</v>
      </c>
      <c r="E2984" s="22">
        <f>IF(D2984="?OLD","!!!","")</f>
        <v/>
      </c>
      <c r="F2984" s="23" t="str">
        <f>IF(OR(E2984="",E2984="!!!"),"",IF(NOT(ISNA(VLOOKUP(E2984,E$1:E2983,1,FALSE()))),"OLD",IF(AND(E2984&lt;&gt;"",E2984&lt;&gt;"!!!"),"NEW","")))</f>
        <v> </v>
      </c>
      <c r="G2984" s="24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5" t="str">
        <f>IF(J2984&lt;&gt;1,"",IF(I2984="SBJ","CB","?"))</f>
        <v> </v>
      </c>
      <c r="I2984" s="26" t="str">
        <f>IF(OR(E2984="",E2984="!!!",F2984="NEW"),"",INDEX(B2983:B$2,-1+SUMPRODUCT(MAX(ROW(E2983:E$2)*(E2984=E2983:E$2)))))</f>
        <v> </v>
      </c>
      <c r="J2984" s="26" t="str">
        <f>IF(OR(E2984="",E2984="!!!",F2984="NEW"),"",COUNTBLANK(OFFSET(A$1,,,SUMPRODUCT(MAX(ROW(E$2:E2984)*(E2984=E$2:E2984)))))-COUNTBLANK(OFFSET(A$1,,,SUMPRODUCT(MAX(ROW(E$1:E2983)*(E2=E$1:E2983))))))</f>
        <v> </v>
      </c>
      <c r="K2984" s="26" t="str">
        <f>IF(OR(E2984="",E2984="!!!",F2984="NEW"),"",INDEX(J$1:J2983,SUMPRODUCT(MAX(ROW(E$1:E2983)*(E2984=E$1:E2983)))))</f>
        <v> </v>
      </c>
      <c r="L2984" s="27"/>
    </row>
    <row r="2985" spans="1:12">
      <c r="A2985" s="20"/>
    </row>
    <row r="2986" spans="1:12">
      <c r="A2986" s="20" t="s">
        <v>1994</v>
      </c>
    </row>
    <row r="2987" spans="1:12">
      <c r="A2987" s="20" t="s">
        <v>1006</v>
      </c>
      <c r="E2987" s="22">
        <f>IF(D2987="?OLD","!!!","")</f>
        <v/>
      </c>
      <c r="F2987" s="23" t="str">
        <f>IF(OR(E2987="",E2987="!!!"),"",IF(NOT(ISNA(VLOOKUP(E2987,E$1:E2986,1,FALSE()))),"OLD",IF(AND(E2987&lt;&gt;"",E2987&lt;&gt;"!!!"),"NEW","")))</f>
        <v> </v>
      </c>
      <c r="G2987" s="24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5" t="str">
        <f>IF(J2987&lt;&gt;1,"",IF(I2987="SBJ","CB","?"))</f>
        <v> </v>
      </c>
      <c r="I2987" s="26" t="str">
        <f>IF(OR(E2987="",E2987="!!!",F2987="NEW"),"",INDEX(B2986:B$2,-1+SUMPRODUCT(MAX(ROW(E2986:E$2)*(E2987=E2986:E$2)))))</f>
        <v> </v>
      </c>
      <c r="J2987" s="26" t="str">
        <f>IF(OR(E2987="",E2987="!!!",F2987="NEW"),"",COUNTBLANK(OFFSET(A$1,,,SUMPRODUCT(MAX(ROW(E$2:E2987)*(E2987=E$2:E2987)))))-COUNTBLANK(OFFSET(A$1,,,SUMPRODUCT(MAX(ROW(E$1:E2986)*(E2=E$1:E2986))))))</f>
        <v> </v>
      </c>
      <c r="K2987" s="26" t="str">
        <f>IF(OR(E2987="",E2987="!!!",F2987="NEW"),"",INDEX(J$1:J2986,SUMPRODUCT(MAX(ROW(E$1:E2986)*(E2987=E$1:E2986)))))</f>
        <v> </v>
      </c>
      <c r="L2987" s="27"/>
    </row>
    <row r="2988" spans="1:12">
      <c r="A2988" s="20" t="s">
        <v>1019</v>
      </c>
      <c r="E2988" s="22">
        <f>IF(D2988="?OLD","!!!","")</f>
        <v/>
      </c>
      <c r="F2988" s="23" t="str">
        <f>IF(OR(E2988="",E2988="!!!"),"",IF(NOT(ISNA(VLOOKUP(E2988,E$1:E2987,1,FALSE()))),"OLD",IF(AND(E2988&lt;&gt;"",E2988&lt;&gt;"!!!"),"NEW","")))</f>
        <v> </v>
      </c>
      <c r="G2988" s="24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5" t="str">
        <f>IF(J2988&lt;&gt;1,"",IF(I2988="SBJ","CB","?"))</f>
        <v> </v>
      </c>
      <c r="I2988" s="26" t="str">
        <f>IF(OR(E2988="",E2988="!!!",F2988="NEW"),"",INDEX(B2987:B$2,-1+SUMPRODUCT(MAX(ROW(E2987:E$2)*(E2988=E2987:E$2)))))</f>
        <v> </v>
      </c>
      <c r="J2988" s="26" t="str">
        <f>IF(OR(E2988="",E2988="!!!",F2988="NEW"),"",COUNTBLANK(OFFSET(A$1,,,SUMPRODUCT(MAX(ROW(E$2:E2988)*(E2988=E$2:E2988)))))-COUNTBLANK(OFFSET(A$1,,,SUMPRODUCT(MAX(ROW(E$1:E2987)*(E2=E$1:E2987))))))</f>
        <v> </v>
      </c>
      <c r="K2988" s="26" t="str">
        <f>IF(OR(E2988="",E2988="!!!",F2988="NEW"),"",INDEX(J$1:J2987,SUMPRODUCT(MAX(ROW(E$1:E2987)*(E2988=E$1:E2987)))))</f>
        <v> </v>
      </c>
      <c r="L2988" s="27"/>
    </row>
    <row r="2989" spans="1:12">
      <c r="A2989" s="20" t="s">
        <v>658</v>
      </c>
      <c r="B2989" s="21" t="s">
        <v>601</v>
      </c>
      <c r="C2989" s="21" t="s">
        <v>614</v>
      </c>
      <c r="E2989" s="22">
        <f>IF(D2989="?OLD","!!!","")</f>
        <v/>
      </c>
      <c r="F2989" s="23" t="str">
        <f>IF(OR(E2989="",E2989="!!!"),"",IF(NOT(ISNA(VLOOKUP(E2989,E$1:E2988,1,FALSE()))),"OLD",IF(AND(E2989&lt;&gt;"",E2989&lt;&gt;"!!!"),"NEW","")))</f>
        <v> </v>
      </c>
      <c r="G2989" s="24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5" t="str">
        <f>IF(J2989&lt;&gt;1,"",IF(I2989="SBJ","CB","?"))</f>
        <v> </v>
      </c>
      <c r="I2989" s="26" t="str">
        <f>IF(OR(E2989="",E2989="!!!",F2989="NEW"),"",INDEX(B2988:B$2,-1+SUMPRODUCT(MAX(ROW(E2988:E$2)*(E2989=E2988:E$2)))))</f>
        <v> </v>
      </c>
      <c r="J2989" s="26" t="str">
        <f>IF(OR(E2989="",E2989="!!!",F2989="NEW"),"",COUNTBLANK(OFFSET(A$1,,,SUMPRODUCT(MAX(ROW(E$2:E2989)*(E2989=E$2:E2989)))))-COUNTBLANK(OFFSET(A$1,,,SUMPRODUCT(MAX(ROW(E$1:E2988)*(E2=E$1:E2988))))))</f>
        <v> </v>
      </c>
      <c r="K2989" s="26" t="str">
        <f>IF(OR(E2989="",E2989="!!!",F2989="NEW"),"",INDEX(J$1:J2988,SUMPRODUCT(MAX(ROW(E$1:E2988)*(E2989=E$1:E2988)))))</f>
        <v> </v>
      </c>
      <c r="L2989" s="27"/>
    </row>
    <row r="2990" spans="1:12">
      <c r="A2990" s="20" t="s">
        <v>1995</v>
      </c>
      <c r="E2990" s="22">
        <f>IF(D2990="?OLD","!!!","")</f>
        <v/>
      </c>
      <c r="F2990" s="23" t="str">
        <f>IF(OR(E2990="",E2990="!!!"),"",IF(NOT(ISNA(VLOOKUP(E2990,E$1:E2989,1,FALSE()))),"OLD",IF(AND(E2990&lt;&gt;"",E2990&lt;&gt;"!!!"),"NEW","")))</f>
        <v> </v>
      </c>
      <c r="G2990" s="24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5" t="str">
        <f>IF(J2990&lt;&gt;1,"",IF(I2990="SBJ","CB","?"))</f>
        <v> </v>
      </c>
      <c r="I2990" s="26" t="str">
        <f>IF(OR(E2990="",E2990="!!!",F2990="NEW"),"",INDEX(B2989:B$2,-1+SUMPRODUCT(MAX(ROW(E2989:E$2)*(E2990=E2989:E$2)))))</f>
        <v> </v>
      </c>
      <c r="J2990" s="26" t="str">
        <f>IF(OR(E2990="",E2990="!!!",F2990="NEW"),"",COUNTBLANK(OFFSET(A$1,,,SUMPRODUCT(MAX(ROW(E$2:E2990)*(E2990=E$2:E2990)))))-COUNTBLANK(OFFSET(A$1,,,SUMPRODUCT(MAX(ROW(E$1:E2989)*(E2=E$1:E2989))))))</f>
        <v> </v>
      </c>
      <c r="K2990" s="26" t="str">
        <f>IF(OR(E2990="",E2990="!!!",F2990="NEW"),"",INDEX(J$1:J2989,SUMPRODUCT(MAX(ROW(E$1:E2989)*(E2990=E$1:E2989)))))</f>
        <v> </v>
      </c>
      <c r="L2990" s="27"/>
    </row>
    <row r="2991" spans="1:12">
      <c r="A2991" s="20" t="s">
        <v>662</v>
      </c>
      <c r="E2991" s="22">
        <f>IF(D2991="?OLD","!!!","")</f>
        <v/>
      </c>
      <c r="F2991" s="23" t="str">
        <f>IF(OR(E2991="",E2991="!!!"),"",IF(NOT(ISNA(VLOOKUP(E2991,E$1:E2990,1,FALSE()))),"OLD",IF(AND(E2991&lt;&gt;"",E2991&lt;&gt;"!!!"),"NEW","")))</f>
        <v> </v>
      </c>
      <c r="G2991" s="24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5" t="str">
        <f>IF(J2991&lt;&gt;1,"",IF(I2991="SBJ","CB","?"))</f>
        <v> </v>
      </c>
      <c r="I2991" s="26" t="str">
        <f>IF(OR(E2991="",E2991="!!!",F2991="NEW"),"",INDEX(B2990:B$2,-1+SUMPRODUCT(MAX(ROW(E2990:E$2)*(E2991=E2990:E$2)))))</f>
        <v> </v>
      </c>
      <c r="J2991" s="26" t="str">
        <f>IF(OR(E2991="",E2991="!!!",F2991="NEW"),"",COUNTBLANK(OFFSET(A$1,,,SUMPRODUCT(MAX(ROW(E$2:E2991)*(E2991=E$2:E2991)))))-COUNTBLANK(OFFSET(A$1,,,SUMPRODUCT(MAX(ROW(E$1:E2990)*(E2=E$1:E2990))))))</f>
        <v> </v>
      </c>
      <c r="K2991" s="26" t="str">
        <f>IF(OR(E2991="",E2991="!!!",F2991="NEW"),"",INDEX(J$1:J2990,SUMPRODUCT(MAX(ROW(E$1:E2990)*(E2991=E$1:E2990)))))</f>
        <v> </v>
      </c>
      <c r="L2991" s="27"/>
    </row>
    <row r="2992" spans="1:12">
      <c r="A2992" s="20" t="s">
        <v>1726</v>
      </c>
      <c r="E2992" s="22">
        <f>IF(D2992="?OLD","!!!","")</f>
        <v/>
      </c>
      <c r="F2992" s="23" t="str">
        <f>IF(OR(E2992="",E2992="!!!"),"",IF(NOT(ISNA(VLOOKUP(E2992,E$1:E2991,1,FALSE()))),"OLD",IF(AND(E2992&lt;&gt;"",E2992&lt;&gt;"!!!"),"NEW","")))</f>
        <v> </v>
      </c>
      <c r="G2992" s="24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5" t="str">
        <f>IF(J2992&lt;&gt;1,"",IF(I2992="SBJ","CB","?"))</f>
        <v> </v>
      </c>
      <c r="I2992" s="26" t="str">
        <f>IF(OR(E2992="",E2992="!!!",F2992="NEW"),"",INDEX(B2991:B$2,-1+SUMPRODUCT(MAX(ROW(E2991:E$2)*(E2992=E2991:E$2)))))</f>
        <v> </v>
      </c>
      <c r="J2992" s="26" t="str">
        <f>IF(OR(E2992="",E2992="!!!",F2992="NEW"),"",COUNTBLANK(OFFSET(A$1,,,SUMPRODUCT(MAX(ROW(E$2:E2992)*(E2992=E$2:E2992)))))-COUNTBLANK(OFFSET(A$1,,,SUMPRODUCT(MAX(ROW(E$1:E2991)*(E2=E$1:E2991))))))</f>
        <v> </v>
      </c>
      <c r="K2992" s="26" t="str">
        <f>IF(OR(E2992="",E2992="!!!",F2992="NEW"),"",INDEX(J$1:J2991,SUMPRODUCT(MAX(ROW(E$1:E2991)*(E2992=E$1:E2991)))))</f>
        <v> </v>
      </c>
      <c r="L2992" s="27"/>
    </row>
    <row r="2993" spans="1:12">
      <c r="A2993" s="20" t="s">
        <v>1996</v>
      </c>
      <c r="E2993" s="22">
        <f>IF(D2993="?OLD","!!!","")</f>
        <v/>
      </c>
      <c r="F2993" s="23" t="str">
        <f>IF(OR(E2993="",E2993="!!!"),"",IF(NOT(ISNA(VLOOKUP(E2993,E$1:E2992,1,FALSE()))),"OLD",IF(AND(E2993&lt;&gt;"",E2993&lt;&gt;"!!!"),"NEW","")))</f>
        <v> </v>
      </c>
      <c r="G2993" s="24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5" t="str">
        <f>IF(J2993&lt;&gt;1,"",IF(I2993="SBJ","CB","?"))</f>
        <v> </v>
      </c>
      <c r="I2993" s="26" t="str">
        <f>IF(OR(E2993="",E2993="!!!",F2993="NEW"),"",INDEX(B2992:B$2,-1+SUMPRODUCT(MAX(ROW(E2992:E$2)*(E2993=E2992:E$2)))))</f>
        <v> </v>
      </c>
      <c r="J2993" s="26" t="str">
        <f>IF(OR(E2993="",E2993="!!!",F2993="NEW"),"",COUNTBLANK(OFFSET(A$1,,,SUMPRODUCT(MAX(ROW(E$2:E2993)*(E2993=E$2:E2993)))))-COUNTBLANK(OFFSET(A$1,,,SUMPRODUCT(MAX(ROW(E$1:E2992)*(E2=E$1:E2992))))))</f>
        <v> </v>
      </c>
      <c r="K2993" s="26" t="str">
        <f>IF(OR(E2993="",E2993="!!!",F2993="NEW"),"",INDEX(J$1:J2992,SUMPRODUCT(MAX(ROW(E$1:E2992)*(E2993=E$1:E2992)))))</f>
        <v> </v>
      </c>
      <c r="L2993" s="27"/>
    </row>
    <row r="2994" spans="1:12">
      <c r="A2994" s="20" t="s">
        <v>619</v>
      </c>
      <c r="B2994" s="21" t="s">
        <v>609</v>
      </c>
      <c r="C2994" s="21" t="s">
        <v>621</v>
      </c>
      <c r="E2994" s="22">
        <f>IF(D2994="?OLD","!!!","")</f>
        <v/>
      </c>
      <c r="F2994" s="23" t="str">
        <f>IF(OR(E2994="",E2994="!!!"),"",IF(NOT(ISNA(VLOOKUP(E2994,E$1:E2993,1,FALSE()))),"OLD",IF(AND(E2994&lt;&gt;"",E2994&lt;&gt;"!!!"),"NEW","")))</f>
        <v> </v>
      </c>
      <c r="G2994" s="24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5" t="str">
        <f>IF(J2994&lt;&gt;1,"",IF(I2994="SBJ","CB","?"))</f>
        <v> </v>
      </c>
      <c r="I2994" s="26" t="str">
        <f>IF(OR(E2994="",E2994="!!!",F2994="NEW"),"",INDEX(B2993:B$2,-1+SUMPRODUCT(MAX(ROW(E2993:E$2)*(E2994=E2993:E$2)))))</f>
        <v> </v>
      </c>
      <c r="J2994" s="26" t="str">
        <f>IF(OR(E2994="",E2994="!!!",F2994="NEW"),"",COUNTBLANK(OFFSET(A$1,,,SUMPRODUCT(MAX(ROW(E$2:E2994)*(E2994=E$2:E2994)))))-COUNTBLANK(OFFSET(A$1,,,SUMPRODUCT(MAX(ROW(E$1:E2993)*(E2=E$1:E2993))))))</f>
        <v> </v>
      </c>
      <c r="K2994" s="26" t="str">
        <f>IF(OR(E2994="",E2994="!!!",F2994="NEW"),"",INDEX(J$1:J2993,SUMPRODUCT(MAX(ROW(E$1:E2993)*(E2994=E$1:E2993)))))</f>
        <v> </v>
      </c>
      <c r="L2994" s="27"/>
    </row>
    <row r="2995" spans="1:12">
      <c r="A2995" s="20" t="s">
        <v>633</v>
      </c>
      <c r="E2995" s="22">
        <f>IF(D2995="?OLD","!!!","")</f>
        <v/>
      </c>
      <c r="F2995" s="23" t="str">
        <f>IF(OR(E2995="",E2995="!!!"),"",IF(NOT(ISNA(VLOOKUP(E2995,E$1:E2994,1,FALSE()))),"OLD",IF(AND(E2995&lt;&gt;"",E2995&lt;&gt;"!!!"),"NEW","")))</f>
        <v> </v>
      </c>
      <c r="G2995" s="24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5" t="str">
        <f>IF(J2995&lt;&gt;1,"",IF(I2995="SBJ","CB","?"))</f>
        <v> </v>
      </c>
      <c r="I2995" s="26" t="str">
        <f>IF(OR(E2995="",E2995="!!!",F2995="NEW"),"",INDEX(B2994:B$2,-1+SUMPRODUCT(MAX(ROW(E2994:E$2)*(E2995=E2994:E$2)))))</f>
        <v> </v>
      </c>
      <c r="J2995" s="26" t="str">
        <f>IF(OR(E2995="",E2995="!!!",F2995="NEW"),"",COUNTBLANK(OFFSET(A$1,,,SUMPRODUCT(MAX(ROW(E$2:E2995)*(E2995=E$2:E2995)))))-COUNTBLANK(OFFSET(A$1,,,SUMPRODUCT(MAX(ROW(E$1:E2994)*(E2=E$1:E2994))))))</f>
        <v> </v>
      </c>
      <c r="K2995" s="26" t="str">
        <f>IF(OR(E2995="",E2995="!!!",F2995="NEW"),"",INDEX(J$1:J2994,SUMPRODUCT(MAX(ROW(E$1:E2994)*(E2995=E$1:E2994)))))</f>
        <v> </v>
      </c>
      <c r="L2995" s="27"/>
    </row>
    <row r="2996" spans="1:12">
      <c r="A2996" s="20"/>
    </row>
    <row r="2997" spans="1:12">
      <c r="A2997" s="20" t="s">
        <v>1997</v>
      </c>
    </row>
    <row r="2998" spans="1:12">
      <c r="A2998" s="20" t="s">
        <v>1998</v>
      </c>
      <c r="E2998" s="22">
        <f>IF(D2998="?OLD","!!!","")</f>
        <v/>
      </c>
      <c r="F2998" s="23" t="str">
        <f>IF(OR(E2998="",E2998="!!!"),"",IF(NOT(ISNA(VLOOKUP(E2998,E$1:E2997,1,FALSE()))),"OLD",IF(AND(E2998&lt;&gt;"",E2998&lt;&gt;"!!!"),"NEW","")))</f>
        <v> </v>
      </c>
      <c r="G2998" s="24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5" t="str">
        <f>IF(J2998&lt;&gt;1,"",IF(I2998="SBJ","CB","?"))</f>
        <v> </v>
      </c>
      <c r="I2998" s="26" t="str">
        <f>IF(OR(E2998="",E2998="!!!",F2998="NEW"),"",INDEX(B2997:B$2,-1+SUMPRODUCT(MAX(ROW(E2997:E$2)*(E2998=E2997:E$2)))))</f>
        <v> </v>
      </c>
      <c r="J2998" s="26" t="str">
        <f>IF(OR(E2998="",E2998="!!!",F2998="NEW"),"",COUNTBLANK(OFFSET(A$1,,,SUMPRODUCT(MAX(ROW(E$2:E2998)*(E2998=E$2:E2998)))))-COUNTBLANK(OFFSET(A$1,,,SUMPRODUCT(MAX(ROW(E$1:E2997)*(E2=E$1:E2997))))))</f>
        <v> </v>
      </c>
      <c r="K2998" s="26" t="str">
        <f>IF(OR(E2998="",E2998="!!!",F2998="NEW"),"",INDEX(J$1:J2997,SUMPRODUCT(MAX(ROW(E$1:E2997)*(E2998=E$1:E2997)))))</f>
        <v> </v>
      </c>
      <c r="L2998" s="27"/>
    </row>
    <row r="2999" spans="1:12">
      <c r="A2999" s="20" t="s">
        <v>1999</v>
      </c>
      <c r="E2999" s="22">
        <f>IF(D2999="?OLD","!!!","")</f>
        <v/>
      </c>
      <c r="F2999" s="23" t="str">
        <f>IF(OR(E2999="",E2999="!!!"),"",IF(NOT(ISNA(VLOOKUP(E2999,E$1:E2998,1,FALSE()))),"OLD",IF(AND(E2999&lt;&gt;"",E2999&lt;&gt;"!!!"),"NEW","")))</f>
        <v> </v>
      </c>
      <c r="G2999" s="24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5" t="str">
        <f>IF(J2999&lt;&gt;1,"",IF(I2999="SBJ","CB","?"))</f>
        <v> </v>
      </c>
      <c r="I2999" s="26" t="str">
        <f>IF(OR(E2999="",E2999="!!!",F2999="NEW"),"",INDEX(B2998:B$2,-1+SUMPRODUCT(MAX(ROW(E2998:E$2)*(E2999=E2998:E$2)))))</f>
        <v> </v>
      </c>
      <c r="J2999" s="26" t="str">
        <f>IF(OR(E2999="",E2999="!!!",F2999="NEW"),"",COUNTBLANK(OFFSET(A$1,,,SUMPRODUCT(MAX(ROW(E$2:E2999)*(E2999=E$2:E2999)))))-COUNTBLANK(OFFSET(A$1,,,SUMPRODUCT(MAX(ROW(E$1:E2998)*(E2=E$1:E2998))))))</f>
        <v> </v>
      </c>
      <c r="K2999" s="26" t="str">
        <f>IF(OR(E2999="",E2999="!!!",F2999="NEW"),"",INDEX(J$1:J2998,SUMPRODUCT(MAX(ROW(E$1:E2998)*(E2999=E$1:E2998)))))</f>
        <v> </v>
      </c>
      <c r="L2999" s="27"/>
    </row>
    <row r="3000" spans="1:12">
      <c r="A3000" s="20" t="s">
        <v>611</v>
      </c>
      <c r="E3000" s="22">
        <f>IF(D3000="?OLD","!!!","")</f>
        <v/>
      </c>
      <c r="F3000" s="23" t="str">
        <f>IF(OR(E3000="",E3000="!!!"),"",IF(NOT(ISNA(VLOOKUP(E3000,E$1:E2999,1,FALSE()))),"OLD",IF(AND(E3000&lt;&gt;"",E3000&lt;&gt;"!!!"),"NEW","")))</f>
        <v> </v>
      </c>
      <c r="G3000" s="24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5" t="str">
        <f>IF(J3000&lt;&gt;1,"",IF(I3000="SBJ","CB","?"))</f>
        <v> </v>
      </c>
      <c r="I3000" s="26" t="str">
        <f>IF(OR(E3000="",E3000="!!!",F3000="NEW"),"",INDEX(B2999:B$2,-1+SUMPRODUCT(MAX(ROW(E2999:E$2)*(E3000=E2999:E$2)))))</f>
        <v> </v>
      </c>
      <c r="J3000" s="26" t="str">
        <f>IF(OR(E3000="",E3000="!!!",F3000="NEW"),"",COUNTBLANK(OFFSET(A$1,,,SUMPRODUCT(MAX(ROW(E$2:E3000)*(E3000=E$2:E3000)))))-COUNTBLANK(OFFSET(A$1,,,SUMPRODUCT(MAX(ROW(E$1:E2999)*(E2=E$1:E2999))))))</f>
        <v> </v>
      </c>
      <c r="K3000" s="26" t="str">
        <f>IF(OR(E3000="",E3000="!!!",F3000="NEW"),"",INDEX(J$1:J2999,SUMPRODUCT(MAX(ROW(E$1:E2999)*(E3000=E$1:E2999)))))</f>
        <v> </v>
      </c>
      <c r="L3000" s="27"/>
    </row>
    <row r="3001" spans="1:12">
      <c r="A3001" s="20" t="s">
        <v>932</v>
      </c>
      <c r="B3001" s="21" t="s">
        <v>659</v>
      </c>
      <c r="C3001" s="21" t="s">
        <v>614</v>
      </c>
      <c r="E3001" s="22">
        <f>IF(D3001="?OLD","!!!","")</f>
        <v/>
      </c>
      <c r="F3001" s="23" t="str">
        <f>IF(OR(E3001="",E3001="!!!"),"",IF(NOT(ISNA(VLOOKUP(E3001,E$1:E3000,1,FALSE()))),"OLD",IF(AND(E3001&lt;&gt;"",E3001&lt;&gt;"!!!"),"NEW","")))</f>
        <v> </v>
      </c>
      <c r="G3001" s="24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5" t="str">
        <f>IF(J3001&lt;&gt;1,"",IF(I3001="SBJ","CB","?"))</f>
        <v> </v>
      </c>
      <c r="I3001" s="26" t="str">
        <f>IF(OR(E3001="",E3001="!!!",F3001="NEW"),"",INDEX(B3000:B$2,-1+SUMPRODUCT(MAX(ROW(E3000:E$2)*(E3001=E3000:E$2)))))</f>
        <v> </v>
      </c>
      <c r="J3001" s="26" t="str">
        <f>IF(OR(E3001="",E3001="!!!",F3001="NEW"),"",COUNTBLANK(OFFSET(A$1,,,SUMPRODUCT(MAX(ROW(E$2:E3001)*(E3001=E$2:E3001)))))-COUNTBLANK(OFFSET(A$1,,,SUMPRODUCT(MAX(ROW(E$1:E3000)*(E2=E$1:E3000))))))</f>
        <v> </v>
      </c>
      <c r="K3001" s="26" t="str">
        <f>IF(OR(E3001="",E3001="!!!",F3001="NEW"),"",INDEX(J$1:J3000,SUMPRODUCT(MAX(ROW(E$1:E3000)*(E3001=E$1:E3000)))))</f>
        <v> </v>
      </c>
      <c r="L3001" s="27"/>
    </row>
    <row r="3002" spans="1:12">
      <c r="A3002" s="20" t="s">
        <v>1417</v>
      </c>
      <c r="E3002" s="22">
        <f>IF(D3002="?OLD","!!!","")</f>
        <v/>
      </c>
      <c r="F3002" s="23" t="str">
        <f>IF(OR(E3002="",E3002="!!!"),"",IF(NOT(ISNA(VLOOKUP(E3002,E$1:E3001,1,FALSE()))),"OLD",IF(AND(E3002&lt;&gt;"",E3002&lt;&gt;"!!!"),"NEW","")))</f>
        <v> </v>
      </c>
      <c r="G3002" s="24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5" t="str">
        <f>IF(J3002&lt;&gt;1,"",IF(I3002="SBJ","CB","?"))</f>
        <v> </v>
      </c>
      <c r="I3002" s="26" t="str">
        <f>IF(OR(E3002="",E3002="!!!",F3002="NEW"),"",INDEX(B3001:B$2,-1+SUMPRODUCT(MAX(ROW(E3001:E$2)*(E3002=E3001:E$2)))))</f>
        <v> </v>
      </c>
      <c r="J3002" s="26" t="str">
        <f>IF(OR(E3002="",E3002="!!!",F3002="NEW"),"",COUNTBLANK(OFFSET(A$1,,,SUMPRODUCT(MAX(ROW(E$2:E3002)*(E3002=E$2:E3002)))))-COUNTBLANK(OFFSET(A$1,,,SUMPRODUCT(MAX(ROW(E$1:E3001)*(E2=E$1:E3001))))))</f>
        <v> </v>
      </c>
      <c r="K3002" s="26" t="str">
        <f>IF(OR(E3002="",E3002="!!!",F3002="NEW"),"",INDEX(J$1:J3001,SUMPRODUCT(MAX(ROW(E$1:E3001)*(E3002=E$1:E3001)))))</f>
        <v> </v>
      </c>
      <c r="L3002" s="27"/>
    </row>
    <row r="3003" spans="1:12">
      <c r="A3003" s="20" t="s">
        <v>2000</v>
      </c>
      <c r="E3003" s="22">
        <f>IF(D3003="?OLD","!!!","")</f>
        <v/>
      </c>
      <c r="F3003" s="23" t="str">
        <f>IF(OR(E3003="",E3003="!!!"),"",IF(NOT(ISNA(VLOOKUP(E3003,E$1:E3002,1,FALSE()))),"OLD",IF(AND(E3003&lt;&gt;"",E3003&lt;&gt;"!!!"),"NEW","")))</f>
        <v> </v>
      </c>
      <c r="G3003" s="24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5" t="str">
        <f>IF(J3003&lt;&gt;1,"",IF(I3003="SBJ","CB","?"))</f>
        <v> </v>
      </c>
      <c r="I3003" s="26" t="str">
        <f>IF(OR(E3003="",E3003="!!!",F3003="NEW"),"",INDEX(B3002:B$2,-1+SUMPRODUCT(MAX(ROW(E3002:E$2)*(E3003=E3002:E$2)))))</f>
        <v> </v>
      </c>
      <c r="J3003" s="26" t="str">
        <f>IF(OR(E3003="",E3003="!!!",F3003="NEW"),"",COUNTBLANK(OFFSET(A$1,,,SUMPRODUCT(MAX(ROW(E$2:E3003)*(E3003=E$2:E3003)))))-COUNTBLANK(OFFSET(A$1,,,SUMPRODUCT(MAX(ROW(E$1:E3002)*(E2=E$1:E3002))))))</f>
        <v> </v>
      </c>
      <c r="K3003" s="26" t="str">
        <f>IF(OR(E3003="",E3003="!!!",F3003="NEW"),"",INDEX(J$1:J3002,SUMPRODUCT(MAX(ROW(E$1:E3002)*(E3003=E$1:E3002)))))</f>
        <v> </v>
      </c>
      <c r="L3003" s="27"/>
    </row>
    <row r="3004" spans="1:12">
      <c r="A3004" s="20" t="s">
        <v>2001</v>
      </c>
      <c r="B3004" s="21" t="s">
        <v>793</v>
      </c>
      <c r="E3004" s="22">
        <f>IF(D3004="?OLD","!!!","")</f>
        <v/>
      </c>
      <c r="F3004" s="23" t="str">
        <f>IF(OR(E3004="",E3004="!!!"),"",IF(NOT(ISNA(VLOOKUP(E3004,E$1:E3003,1,FALSE()))),"OLD",IF(AND(E3004&lt;&gt;"",E3004&lt;&gt;"!!!"),"NEW","")))</f>
        <v> </v>
      </c>
      <c r="G3004" s="24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5" t="str">
        <f>IF(J3004&lt;&gt;1,"",IF(I3004="SBJ","CB","?"))</f>
        <v> </v>
      </c>
      <c r="I3004" s="26" t="str">
        <f>IF(OR(E3004="",E3004="!!!",F3004="NEW"),"",INDEX(B3003:B$2,-1+SUMPRODUCT(MAX(ROW(E3003:E$2)*(E3004=E3003:E$2)))))</f>
        <v> </v>
      </c>
      <c r="J3004" s="26" t="str">
        <f>IF(OR(E3004="",E3004="!!!",F3004="NEW"),"",COUNTBLANK(OFFSET(A$1,,,SUMPRODUCT(MAX(ROW(E$2:E3004)*(E3004=E$2:E3004)))))-COUNTBLANK(OFFSET(A$1,,,SUMPRODUCT(MAX(ROW(E$1:E3003)*(E2=E$1:E3003))))))</f>
        <v> </v>
      </c>
      <c r="K3004" s="26" t="str">
        <f>IF(OR(E3004="",E3004="!!!",F3004="NEW"),"",INDEX(J$1:J3003,SUMPRODUCT(MAX(ROW(E$1:E3003)*(E3004=E$1:E3003)))))</f>
        <v> </v>
      </c>
      <c r="L3004" s="27"/>
    </row>
    <row r="3005" spans="1:12">
      <c r="A3005" s="20" t="s">
        <v>611</v>
      </c>
      <c r="E3005" s="22">
        <f>IF(D3005="?OLD","!!!","")</f>
        <v/>
      </c>
      <c r="F3005" s="23" t="str">
        <f>IF(OR(E3005="",E3005="!!!"),"",IF(NOT(ISNA(VLOOKUP(E3005,E$1:E3004,1,FALSE()))),"OLD",IF(AND(E3005&lt;&gt;"",E3005&lt;&gt;"!!!"),"NEW","")))</f>
        <v> </v>
      </c>
      <c r="G3005" s="24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5" t="str">
        <f>IF(J3005&lt;&gt;1,"",IF(I3005="SBJ","CB","?"))</f>
        <v> </v>
      </c>
      <c r="I3005" s="26" t="str">
        <f>IF(OR(E3005="",E3005="!!!",F3005="NEW"),"",INDEX(B3004:B$2,-1+SUMPRODUCT(MAX(ROW(E3004:E$2)*(E3005=E3004:E$2)))))</f>
        <v> </v>
      </c>
      <c r="J3005" s="26" t="str">
        <f>IF(OR(E3005="",E3005="!!!",F3005="NEW"),"",COUNTBLANK(OFFSET(A$1,,,SUMPRODUCT(MAX(ROW(E$2:E3005)*(E3005=E$2:E3005)))))-COUNTBLANK(OFFSET(A$1,,,SUMPRODUCT(MAX(ROW(E$1:E3004)*(E2=E$1:E3004))))))</f>
        <v> </v>
      </c>
      <c r="K3005" s="26" t="str">
        <f>IF(OR(E3005="",E3005="!!!",F3005="NEW"),"",INDEX(J$1:J3004,SUMPRODUCT(MAX(ROW(E$1:E3004)*(E3005=E$1:E3004)))))</f>
        <v> </v>
      </c>
      <c r="L3005" s="27"/>
    </row>
    <row r="3006" spans="1:12">
      <c r="A3006" s="20" t="s">
        <v>898</v>
      </c>
      <c r="E3006" s="22">
        <f>IF(D3006="?OLD","!!!","")</f>
        <v/>
      </c>
      <c r="F3006" s="23" t="str">
        <f>IF(OR(E3006="",E3006="!!!"),"",IF(NOT(ISNA(VLOOKUP(E3006,E$1:E3005,1,FALSE()))),"OLD",IF(AND(E3006&lt;&gt;"",E3006&lt;&gt;"!!!"),"NEW","")))</f>
        <v> </v>
      </c>
      <c r="G3006" s="24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5" t="str">
        <f>IF(J3006&lt;&gt;1,"",IF(I3006="SBJ","CB","?"))</f>
        <v> </v>
      </c>
      <c r="I3006" s="26" t="str">
        <f>IF(OR(E3006="",E3006="!!!",F3006="NEW"),"",INDEX(B3005:B$2,-1+SUMPRODUCT(MAX(ROW(E3005:E$2)*(E3006=E3005:E$2)))))</f>
        <v> </v>
      </c>
      <c r="J3006" s="26" t="str">
        <f>IF(OR(E3006="",E3006="!!!",F3006="NEW"),"",COUNTBLANK(OFFSET(A$1,,,SUMPRODUCT(MAX(ROW(E$2:E3006)*(E3006=E$2:E3006)))))-COUNTBLANK(OFFSET(A$1,,,SUMPRODUCT(MAX(ROW(E$1:E3005)*(E2=E$1:E3005))))))</f>
        <v> </v>
      </c>
      <c r="K3006" s="26" t="str">
        <f>IF(OR(E3006="",E3006="!!!",F3006="NEW"),"",INDEX(J$1:J3005,SUMPRODUCT(MAX(ROW(E$1:E3005)*(E3006=E$1:E3005)))))</f>
        <v> </v>
      </c>
      <c r="L3006" s="27"/>
    </row>
    <row r="3007" spans="1:12">
      <c r="A3007" s="20" t="s">
        <v>2002</v>
      </c>
      <c r="B3007" s="21" t="s">
        <v>601</v>
      </c>
      <c r="E3007" s="22">
        <f>IF(D3007="?OLD","!!!","")</f>
        <v/>
      </c>
      <c r="F3007" s="23" t="str">
        <f>IF(OR(E3007="",E3007="!!!"),"",IF(NOT(ISNA(VLOOKUP(E3007,E$1:E3006,1,FALSE()))),"OLD",IF(AND(E3007&lt;&gt;"",E3007&lt;&gt;"!!!"),"NEW","")))</f>
        <v> </v>
      </c>
      <c r="G3007" s="24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5" t="str">
        <f>IF(J3007&lt;&gt;1,"",IF(I3007="SBJ","CB","?"))</f>
        <v> </v>
      </c>
      <c r="I3007" s="26" t="str">
        <f>IF(OR(E3007="",E3007="!!!",F3007="NEW"),"",INDEX(B3006:B$2,-1+SUMPRODUCT(MAX(ROW(E3006:E$2)*(E3007=E3006:E$2)))))</f>
        <v> </v>
      </c>
      <c r="J3007" s="26" t="str">
        <f>IF(OR(E3007="",E3007="!!!",F3007="NEW"),"",COUNTBLANK(OFFSET(A$1,,,SUMPRODUCT(MAX(ROW(E$2:E3007)*(E3007=E$2:E3007)))))-COUNTBLANK(OFFSET(A$1,,,SUMPRODUCT(MAX(ROW(E$1:E3006)*(E2=E$1:E3006))))))</f>
        <v> </v>
      </c>
      <c r="K3007" s="26" t="str">
        <f>IF(OR(E3007="",E3007="!!!",F3007="NEW"),"",INDEX(J$1:J3006,SUMPRODUCT(MAX(ROW(E$1:E3006)*(E3007=E$1:E3006)))))</f>
        <v> </v>
      </c>
      <c r="L3007" s="27"/>
    </row>
    <row r="3008" spans="1:12">
      <c r="A3008" s="20" t="s">
        <v>2003</v>
      </c>
      <c r="E3008" s="22">
        <f>IF(D3008="?OLD","!!!","")</f>
        <v/>
      </c>
      <c r="F3008" s="23" t="str">
        <f>IF(OR(E3008="",E3008="!!!"),"",IF(NOT(ISNA(VLOOKUP(E3008,E$1:E3007,1,FALSE()))),"OLD",IF(AND(E3008&lt;&gt;"",E3008&lt;&gt;"!!!"),"NEW","")))</f>
        <v> </v>
      </c>
      <c r="G3008" s="24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5" t="str">
        <f>IF(J3008&lt;&gt;1,"",IF(I3008="SBJ","CB","?"))</f>
        <v> </v>
      </c>
      <c r="I3008" s="26" t="str">
        <f>IF(OR(E3008="",E3008="!!!",F3008="NEW"),"",INDEX(B3007:B$2,-1+SUMPRODUCT(MAX(ROW(E3007:E$2)*(E3008=E3007:E$2)))))</f>
        <v> </v>
      </c>
      <c r="J3008" s="26" t="str">
        <f>IF(OR(E3008="",E3008="!!!",F3008="NEW"),"",COUNTBLANK(OFFSET(A$1,,,SUMPRODUCT(MAX(ROW(E$2:E3008)*(E3008=E$2:E3008)))))-COUNTBLANK(OFFSET(A$1,,,SUMPRODUCT(MAX(ROW(E$1:E3007)*(E2=E$1:E3007))))))</f>
        <v> </v>
      </c>
      <c r="K3008" s="26" t="str">
        <f>IF(OR(E3008="",E3008="!!!",F3008="NEW"),"",INDEX(J$1:J3007,SUMPRODUCT(MAX(ROW(E$1:E3007)*(E3008=E$1:E3007)))))</f>
        <v> </v>
      </c>
      <c r="L3008" s="27"/>
    </row>
    <row r="3009" spans="1:12">
      <c r="A3009" s="20" t="s">
        <v>774</v>
      </c>
      <c r="B3009" s="21" t="s">
        <v>652</v>
      </c>
      <c r="E3009" s="22">
        <f>IF(D3009="?OLD","!!!","")</f>
        <v/>
      </c>
      <c r="F3009" s="23" t="str">
        <f>IF(OR(E3009="",E3009="!!!"),"",IF(NOT(ISNA(VLOOKUP(E3009,E$1:E3008,1,FALSE()))),"OLD",IF(AND(E3009&lt;&gt;"",E3009&lt;&gt;"!!!"),"NEW","")))</f>
        <v> </v>
      </c>
      <c r="G3009" s="24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5" t="str">
        <f>IF(J3009&lt;&gt;1,"",IF(I3009="SBJ","CB","?"))</f>
        <v> </v>
      </c>
      <c r="I3009" s="26" t="str">
        <f>IF(OR(E3009="",E3009="!!!",F3009="NEW"),"",INDEX(B3008:B$2,-1+SUMPRODUCT(MAX(ROW(E3008:E$2)*(E3009=E3008:E$2)))))</f>
        <v> </v>
      </c>
      <c r="J3009" s="26" t="str">
        <f>IF(OR(E3009="",E3009="!!!",F3009="NEW"),"",COUNTBLANK(OFFSET(A$1,,,SUMPRODUCT(MAX(ROW(E$2:E3009)*(E3009=E$2:E3009)))))-COUNTBLANK(OFFSET(A$1,,,SUMPRODUCT(MAX(ROW(E$1:E3008)*(E2=E$1:E3008))))))</f>
        <v> </v>
      </c>
      <c r="K3009" s="26" t="str">
        <f>IF(OR(E3009="",E3009="!!!",F3009="NEW"),"",INDEX(J$1:J3008,SUMPRODUCT(MAX(ROW(E$1:E3008)*(E3009=E$1:E3008)))))</f>
        <v> </v>
      </c>
      <c r="L3009" s="27"/>
    </row>
    <row r="3010" spans="1:12">
      <c r="A3010" s="20" t="s">
        <v>633</v>
      </c>
      <c r="E3010" s="22">
        <f>IF(D3010="?OLD","!!!","")</f>
        <v/>
      </c>
      <c r="F3010" s="23" t="str">
        <f>IF(OR(E3010="",E3010="!!!"),"",IF(NOT(ISNA(VLOOKUP(E3010,E$1:E3009,1,FALSE()))),"OLD",IF(AND(E3010&lt;&gt;"",E3010&lt;&gt;"!!!"),"NEW","")))</f>
        <v> </v>
      </c>
      <c r="G3010" s="24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5" t="str">
        <f>IF(J3010&lt;&gt;1,"",IF(I3010="SBJ","CB","?"))</f>
        <v> </v>
      </c>
      <c r="I3010" s="26" t="str">
        <f>IF(OR(E3010="",E3010="!!!",F3010="NEW"),"",INDEX(B3009:B$2,-1+SUMPRODUCT(MAX(ROW(E3009:E$2)*(E3010=E3009:E$2)))))</f>
        <v> </v>
      </c>
      <c r="J3010" s="26" t="str">
        <f>IF(OR(E3010="",E3010="!!!",F3010="NEW"),"",COUNTBLANK(OFFSET(A$1,,,SUMPRODUCT(MAX(ROW(E$2:E3010)*(E3010=E$2:E3010)))))-COUNTBLANK(OFFSET(A$1,,,SUMPRODUCT(MAX(ROW(E$1:E3009)*(E2=E$1:E3009))))))</f>
        <v> </v>
      </c>
      <c r="K3010" s="26" t="str">
        <f>IF(OR(E3010="",E3010="!!!",F3010="NEW"),"",INDEX(J$1:J3009,SUMPRODUCT(MAX(ROW(E$1:E3009)*(E3010=E$1:E3009)))))</f>
        <v> </v>
      </c>
      <c r="L3010" s="27"/>
    </row>
    <row r="3011" spans="1:12">
      <c r="A3011" s="20"/>
    </row>
    <row r="3012" spans="1:12">
      <c r="A3012" s="20" t="s">
        <v>2004</v>
      </c>
    </row>
    <row r="3013" spans="1:12">
      <c r="A3013" s="20" t="s">
        <v>2005</v>
      </c>
      <c r="B3013" s="21" t="s">
        <v>601</v>
      </c>
      <c r="E3013" s="22">
        <f>IF(D3013="?OLD","!!!","")</f>
        <v/>
      </c>
      <c r="F3013" s="23" t="str">
        <f>IF(OR(E3013="",E3013="!!!"),"",IF(NOT(ISNA(VLOOKUP(E3013,E$1:E3012,1,FALSE()))),"OLD",IF(AND(E3013&lt;&gt;"",E3013&lt;&gt;"!!!"),"NEW","")))</f>
        <v> </v>
      </c>
      <c r="G3013" s="24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5" t="str">
        <f>IF(J3013&lt;&gt;1,"",IF(I3013="SBJ","CB","?"))</f>
        <v> </v>
      </c>
      <c r="I3013" s="26" t="str">
        <f>IF(OR(E3013="",E3013="!!!",F3013="NEW"),"",INDEX(B3012:B$2,-1+SUMPRODUCT(MAX(ROW(E3012:E$2)*(E3013=E3012:E$2)))))</f>
        <v> </v>
      </c>
      <c r="J3013" s="26" t="str">
        <f>IF(OR(E3013="",E3013="!!!",F3013="NEW"),"",COUNTBLANK(OFFSET(A$1,,,SUMPRODUCT(MAX(ROW(E$2:E3013)*(E3013=E$2:E3013)))))-COUNTBLANK(OFFSET(A$1,,,SUMPRODUCT(MAX(ROW(E$1:E3012)*(E2=E$1:E3012))))))</f>
        <v> </v>
      </c>
      <c r="K3013" s="26" t="str">
        <f>IF(OR(E3013="",E3013="!!!",F3013="NEW"),"",INDEX(J$1:J3012,SUMPRODUCT(MAX(ROW(E$1:E3012)*(E3013=E$1:E3012)))))</f>
        <v> </v>
      </c>
      <c r="L3013" s="27"/>
    </row>
    <row r="3014" spans="1:12">
      <c r="A3014" s="20" t="s">
        <v>662</v>
      </c>
      <c r="E3014" s="22">
        <f>IF(D3014="?OLD","!!!","")</f>
        <v/>
      </c>
      <c r="F3014" s="23" t="str">
        <f>IF(OR(E3014="",E3014="!!!"),"",IF(NOT(ISNA(VLOOKUP(E3014,E$1:E3013,1,FALSE()))),"OLD",IF(AND(E3014&lt;&gt;"",E3014&lt;&gt;"!!!"),"NEW","")))</f>
        <v> </v>
      </c>
      <c r="G3014" s="24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5" t="str">
        <f>IF(J3014&lt;&gt;1,"",IF(I3014="SBJ","CB","?"))</f>
        <v> </v>
      </c>
      <c r="I3014" s="26" t="str">
        <f>IF(OR(E3014="",E3014="!!!",F3014="NEW"),"",INDEX(B3013:B$2,-1+SUMPRODUCT(MAX(ROW(E3013:E$2)*(E3014=E3013:E$2)))))</f>
        <v> </v>
      </c>
      <c r="J3014" s="26" t="str">
        <f>IF(OR(E3014="",E3014="!!!",F3014="NEW"),"",COUNTBLANK(OFFSET(A$1,,,SUMPRODUCT(MAX(ROW(E$2:E3014)*(E3014=E$2:E3014)))))-COUNTBLANK(OFFSET(A$1,,,SUMPRODUCT(MAX(ROW(E$1:E3013)*(E2=E$1:E3013))))))</f>
        <v> </v>
      </c>
      <c r="K3014" s="26" t="str">
        <f>IF(OR(E3014="",E3014="!!!",F3014="NEW"),"",INDEX(J$1:J3013,SUMPRODUCT(MAX(ROW(E$1:E3013)*(E3014=E$1:E3013)))))</f>
        <v> </v>
      </c>
      <c r="L3014" s="27"/>
    </row>
    <row r="3015" spans="1:12">
      <c r="A3015" s="20" t="s">
        <v>1497</v>
      </c>
      <c r="E3015" s="22">
        <f>IF(D3015="?OLD","!!!","")</f>
        <v/>
      </c>
      <c r="F3015" s="23" t="str">
        <f>IF(OR(E3015="",E3015="!!!"),"",IF(NOT(ISNA(VLOOKUP(E3015,E$1:E3014,1,FALSE()))),"OLD",IF(AND(E3015&lt;&gt;"",E3015&lt;&gt;"!!!"),"NEW","")))</f>
        <v> </v>
      </c>
      <c r="G3015" s="24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5" t="str">
        <f>IF(J3015&lt;&gt;1,"",IF(I3015="SBJ","CB","?"))</f>
        <v> </v>
      </c>
      <c r="I3015" s="26" t="str">
        <f>IF(OR(E3015="",E3015="!!!",F3015="NEW"),"",INDEX(B3014:B$2,-1+SUMPRODUCT(MAX(ROW(E3014:E$2)*(E3015=E3014:E$2)))))</f>
        <v> </v>
      </c>
      <c r="J3015" s="26" t="str">
        <f>IF(OR(E3015="",E3015="!!!",F3015="NEW"),"",COUNTBLANK(OFFSET(A$1,,,SUMPRODUCT(MAX(ROW(E$2:E3015)*(E3015=E$2:E3015)))))-COUNTBLANK(OFFSET(A$1,,,SUMPRODUCT(MAX(ROW(E$1:E3014)*(E2=E$1:E3014))))))</f>
        <v> </v>
      </c>
      <c r="K3015" s="26" t="str">
        <f>IF(OR(E3015="",E3015="!!!",F3015="NEW"),"",INDEX(J$1:J3014,SUMPRODUCT(MAX(ROW(E$1:E3014)*(E3015=E$1:E3014)))))</f>
        <v> </v>
      </c>
      <c r="L3015" s="27"/>
    </row>
    <row r="3016" spans="1:12">
      <c r="A3016" s="20" t="s">
        <v>1991</v>
      </c>
      <c r="B3016" s="21" t="s">
        <v>609</v>
      </c>
      <c r="C3016" s="21" t="s">
        <v>716</v>
      </c>
      <c r="D3016" s="21" t="s">
        <v>603</v>
      </c>
      <c r="E3016" s="22">
        <f>IF(D3016="?OLD","!!!","")</f>
        <v/>
      </c>
      <c r="F3016" s="23" t="str">
        <f>IF(OR(E3016="",E3016="!!!"),"",IF(NOT(ISNA(VLOOKUP(E3016,E$1:E3015,1,FALSE()))),"OLD",IF(AND(E3016&lt;&gt;"",E3016&lt;&gt;"!!!"),"NEW","")))</f>
        <v> </v>
      </c>
      <c r="G3016" s="24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5" t="str">
        <f>IF(J3016&lt;&gt;1,"",IF(I3016="SBJ","CB","?"))</f>
        <v> </v>
      </c>
      <c r="I3016" s="26" t="str">
        <f>IF(OR(E3016="",E3016="!!!",F3016="NEW"),"",INDEX(B3015:B$2,-1+SUMPRODUCT(MAX(ROW(E3015:E$2)*(E3016=E3015:E$2)))))</f>
        <v> </v>
      </c>
      <c r="J3016" s="26" t="str">
        <f>IF(OR(E3016="",E3016="!!!",F3016="NEW"),"",COUNTBLANK(OFFSET(A$1,,,SUMPRODUCT(MAX(ROW(E$2:E3016)*(E3016=E$2:E3016)))))-COUNTBLANK(OFFSET(A$1,,,SUMPRODUCT(MAX(ROW(E$1:E3015)*(E2=E$1:E3015))))))</f>
        <v> </v>
      </c>
      <c r="K3016" s="26" t="str">
        <f>IF(OR(E3016="",E3016="!!!",F3016="NEW"),"",INDEX(J$1:J3015,SUMPRODUCT(MAX(ROW(E$1:E3015)*(E3016=E$1:E3015)))))</f>
        <v> </v>
      </c>
      <c r="L3016" s="27"/>
    </row>
    <row r="3017" spans="1:12">
      <c r="A3017" s="20" t="s">
        <v>677</v>
      </c>
      <c r="E3017" s="22">
        <f>IF(D3017="?OLD","!!!","")</f>
        <v/>
      </c>
      <c r="F3017" s="23" t="str">
        <f>IF(OR(E3017="",E3017="!!!"),"",IF(NOT(ISNA(VLOOKUP(E3017,E$1:E3016,1,FALSE()))),"OLD",IF(AND(E3017&lt;&gt;"",E3017&lt;&gt;"!!!"),"NEW","")))</f>
        <v> </v>
      </c>
      <c r="G3017" s="24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5" t="str">
        <f>IF(J3017&lt;&gt;1,"",IF(I3017="SBJ","CB","?"))</f>
        <v> </v>
      </c>
      <c r="I3017" s="26" t="str">
        <f>IF(OR(E3017="",E3017="!!!",F3017="NEW"),"",INDEX(B3016:B$2,-1+SUMPRODUCT(MAX(ROW(E3016:E$2)*(E3017=E3016:E$2)))))</f>
        <v> </v>
      </c>
      <c r="J3017" s="26" t="str">
        <f>IF(OR(E3017="",E3017="!!!",F3017="NEW"),"",COUNTBLANK(OFFSET(A$1,,,SUMPRODUCT(MAX(ROW(E$2:E3017)*(E3017=E$2:E3017)))))-COUNTBLANK(OFFSET(A$1,,,SUMPRODUCT(MAX(ROW(E$1:E3016)*(E2=E$1:E3016))))))</f>
        <v> </v>
      </c>
      <c r="K3017" s="26" t="str">
        <f>IF(OR(E3017="",E3017="!!!",F3017="NEW"),"",INDEX(J$1:J3016,SUMPRODUCT(MAX(ROW(E$1:E3016)*(E3017=E$1:E3016)))))</f>
        <v> </v>
      </c>
      <c r="L3017" s="27"/>
    </row>
    <row r="3018" spans="1:12">
      <c r="A3018" s="20" t="s">
        <v>2006</v>
      </c>
      <c r="E3018" s="22">
        <f>IF(D3018="?OLD","!!!","")</f>
        <v/>
      </c>
      <c r="F3018" s="23" t="str">
        <f>IF(OR(E3018="",E3018="!!!"),"",IF(NOT(ISNA(VLOOKUP(E3018,E$1:E3017,1,FALSE()))),"OLD",IF(AND(E3018&lt;&gt;"",E3018&lt;&gt;"!!!"),"NEW","")))</f>
        <v> </v>
      </c>
      <c r="G3018" s="24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5" t="str">
        <f>IF(J3018&lt;&gt;1,"",IF(I3018="SBJ","CB","?"))</f>
        <v> </v>
      </c>
      <c r="I3018" s="26" t="str">
        <f>IF(OR(E3018="",E3018="!!!",F3018="NEW"),"",INDEX(B3017:B$2,-1+SUMPRODUCT(MAX(ROW(E3017:E$2)*(E3018=E3017:E$2)))))</f>
        <v> </v>
      </c>
      <c r="J3018" s="26" t="str">
        <f>IF(OR(E3018="",E3018="!!!",F3018="NEW"),"",COUNTBLANK(OFFSET(A$1,,,SUMPRODUCT(MAX(ROW(E$2:E3018)*(E3018=E$2:E3018)))))-COUNTBLANK(OFFSET(A$1,,,SUMPRODUCT(MAX(ROW(E$1:E3017)*(E2=E$1:E3017))))))</f>
        <v> </v>
      </c>
      <c r="K3018" s="26" t="str">
        <f>IF(OR(E3018="",E3018="!!!",F3018="NEW"),"",INDEX(J$1:J3017,SUMPRODUCT(MAX(ROW(E$1:E3017)*(E3018=E$1:E3017)))))</f>
        <v> </v>
      </c>
      <c r="L3018" s="27"/>
    </row>
    <row r="3019" spans="1:12">
      <c r="A3019" s="20" t="s">
        <v>1849</v>
      </c>
      <c r="E3019" s="22">
        <f>IF(D3019="?OLD","!!!","")</f>
        <v/>
      </c>
      <c r="F3019" s="23" t="str">
        <f>IF(OR(E3019="",E3019="!!!"),"",IF(NOT(ISNA(VLOOKUP(E3019,E$1:E3018,1,FALSE()))),"OLD",IF(AND(E3019&lt;&gt;"",E3019&lt;&gt;"!!!"),"NEW","")))</f>
        <v> </v>
      </c>
      <c r="G3019" s="24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5" t="str">
        <f>IF(J3019&lt;&gt;1,"",IF(I3019="SBJ","CB","?"))</f>
        <v> </v>
      </c>
      <c r="I3019" s="26" t="str">
        <f>IF(OR(E3019="",E3019="!!!",F3019="NEW"),"",INDEX(B3018:B$2,-1+SUMPRODUCT(MAX(ROW(E3018:E$2)*(E3019=E3018:E$2)))))</f>
        <v> </v>
      </c>
      <c r="J3019" s="26" t="str">
        <f>IF(OR(E3019="",E3019="!!!",F3019="NEW"),"",COUNTBLANK(OFFSET(A$1,,,SUMPRODUCT(MAX(ROW(E$2:E3019)*(E3019=E$2:E3019)))))-COUNTBLANK(OFFSET(A$1,,,SUMPRODUCT(MAX(ROW(E$1:E3018)*(E2=E$1:E3018))))))</f>
        <v> </v>
      </c>
      <c r="K3019" s="26" t="str">
        <f>IF(OR(E3019="",E3019="!!!",F3019="NEW"),"",INDEX(J$1:J3018,SUMPRODUCT(MAX(ROW(E$1:E3018)*(E3019=E$1:E3018)))))</f>
        <v> </v>
      </c>
      <c r="L3019" s="27"/>
    </row>
    <row r="3020" spans="1:12">
      <c r="A3020" s="20" t="s">
        <v>1245</v>
      </c>
      <c r="E3020" s="22">
        <f>IF(D3020="?OLD","!!!","")</f>
        <v/>
      </c>
      <c r="F3020" s="23" t="str">
        <f>IF(OR(E3020="",E3020="!!!"),"",IF(NOT(ISNA(VLOOKUP(E3020,E$1:E3019,1,FALSE()))),"OLD",IF(AND(E3020&lt;&gt;"",E3020&lt;&gt;"!!!"),"NEW","")))</f>
        <v> </v>
      </c>
      <c r="G3020" s="24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5" t="str">
        <f>IF(J3020&lt;&gt;1,"",IF(I3020="SBJ","CB","?"))</f>
        <v> </v>
      </c>
      <c r="I3020" s="26" t="str">
        <f>IF(OR(E3020="",E3020="!!!",F3020="NEW"),"",INDEX(B3019:B$2,-1+SUMPRODUCT(MAX(ROW(E3019:E$2)*(E3020=E3019:E$2)))))</f>
        <v> </v>
      </c>
      <c r="J3020" s="26" t="str">
        <f>IF(OR(E3020="",E3020="!!!",F3020="NEW"),"",COUNTBLANK(OFFSET(A$1,,,SUMPRODUCT(MAX(ROW(E$2:E3020)*(E3020=E$2:E3020)))))-COUNTBLANK(OFFSET(A$1,,,SUMPRODUCT(MAX(ROW(E$1:E3019)*(E2=E$1:E3019))))))</f>
        <v> </v>
      </c>
      <c r="K3020" s="26" t="str">
        <f>IF(OR(E3020="",E3020="!!!",F3020="NEW"),"",INDEX(J$1:J3019,SUMPRODUCT(MAX(ROW(E$1:E3019)*(E3020=E$1:E3019)))))</f>
        <v> </v>
      </c>
      <c r="L3020" s="27"/>
    </row>
    <row r="3021" spans="1:12">
      <c r="A3021" s="20" t="s">
        <v>662</v>
      </c>
      <c r="E3021" s="22">
        <f>IF(D3021="?OLD","!!!","")</f>
        <v/>
      </c>
      <c r="F3021" s="23" t="str">
        <f>IF(OR(E3021="",E3021="!!!"),"",IF(NOT(ISNA(VLOOKUP(E3021,E$1:E3020,1,FALSE()))),"OLD",IF(AND(E3021&lt;&gt;"",E3021&lt;&gt;"!!!"),"NEW","")))</f>
        <v> </v>
      </c>
      <c r="G3021" s="24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5" t="str">
        <f>IF(J3021&lt;&gt;1,"",IF(I3021="SBJ","CB","?"))</f>
        <v> </v>
      </c>
      <c r="I3021" s="26" t="str">
        <f>IF(OR(E3021="",E3021="!!!",F3021="NEW"),"",INDEX(B3020:B$2,-1+SUMPRODUCT(MAX(ROW(E3020:E$2)*(E3021=E3020:E$2)))))</f>
        <v> </v>
      </c>
      <c r="J3021" s="26" t="str">
        <f>IF(OR(E3021="",E3021="!!!",F3021="NEW"),"",COUNTBLANK(OFFSET(A$1,,,SUMPRODUCT(MAX(ROW(E$2:E3021)*(E3021=E$2:E3021)))))-COUNTBLANK(OFFSET(A$1,,,SUMPRODUCT(MAX(ROW(E$1:E3020)*(E2=E$1:E3020))))))</f>
        <v> </v>
      </c>
      <c r="K3021" s="26" t="str">
        <f>IF(OR(E3021="",E3021="!!!",F3021="NEW"),"",INDEX(J$1:J3020,SUMPRODUCT(MAX(ROW(E$1:E3020)*(E3021=E$1:E3020)))))</f>
        <v> </v>
      </c>
      <c r="L3021" s="27"/>
    </row>
    <row r="3022" spans="1:12">
      <c r="A3022" s="20" t="s">
        <v>2007</v>
      </c>
      <c r="E3022" s="22">
        <f>IF(D3022="?OLD","!!!","")</f>
        <v/>
      </c>
      <c r="F3022" s="23" t="str">
        <f>IF(OR(E3022="",E3022="!!!"),"",IF(NOT(ISNA(VLOOKUP(E3022,E$1:E3021,1,FALSE()))),"OLD",IF(AND(E3022&lt;&gt;"",E3022&lt;&gt;"!!!"),"NEW","")))</f>
        <v> </v>
      </c>
      <c r="G3022" s="24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5" t="str">
        <f>IF(J3022&lt;&gt;1,"",IF(I3022="SBJ","CB","?"))</f>
        <v> </v>
      </c>
      <c r="I3022" s="26" t="str">
        <f>IF(OR(E3022="",E3022="!!!",F3022="NEW"),"",INDEX(B3021:B$2,-1+SUMPRODUCT(MAX(ROW(E3021:E$2)*(E3022=E3021:E$2)))))</f>
        <v> </v>
      </c>
      <c r="J3022" s="26" t="str">
        <f>IF(OR(E3022="",E3022="!!!",F3022="NEW"),"",COUNTBLANK(OFFSET(A$1,,,SUMPRODUCT(MAX(ROW(E$2:E3022)*(E3022=E$2:E3022)))))-COUNTBLANK(OFFSET(A$1,,,SUMPRODUCT(MAX(ROW(E$1:E3021)*(E2=E$1:E3021))))))</f>
        <v> </v>
      </c>
      <c r="K3022" s="26" t="str">
        <f>IF(OR(E3022="",E3022="!!!",F3022="NEW"),"",INDEX(J$1:J3021,SUMPRODUCT(MAX(ROW(E$1:E3021)*(E3022=E$1:E3021)))))</f>
        <v> </v>
      </c>
      <c r="L3022" s="27"/>
    </row>
    <row r="3023" spans="1:12">
      <c r="A3023" s="20" t="s">
        <v>633</v>
      </c>
      <c r="E3023" s="22">
        <f>IF(D3023="?OLD","!!!","")</f>
        <v/>
      </c>
      <c r="F3023" s="23" t="str">
        <f>IF(OR(E3023="",E3023="!!!"),"",IF(NOT(ISNA(VLOOKUP(E3023,E$1:E3022,1,FALSE()))),"OLD",IF(AND(E3023&lt;&gt;"",E3023&lt;&gt;"!!!"),"NEW","")))</f>
        <v> </v>
      </c>
      <c r="G3023" s="24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5" t="str">
        <f>IF(J3023&lt;&gt;1,"",IF(I3023="SBJ","CB","?"))</f>
        <v> </v>
      </c>
      <c r="I3023" s="26" t="str">
        <f>IF(OR(E3023="",E3023="!!!",F3023="NEW"),"",INDEX(B3022:B$2,-1+SUMPRODUCT(MAX(ROW(E3022:E$2)*(E3023=E3022:E$2)))))</f>
        <v> </v>
      </c>
      <c r="J3023" s="26" t="str">
        <f>IF(OR(E3023="",E3023="!!!",F3023="NEW"),"",COUNTBLANK(OFFSET(A$1,,,SUMPRODUCT(MAX(ROW(E$2:E3023)*(E3023=E$2:E3023)))))-COUNTBLANK(OFFSET(A$1,,,SUMPRODUCT(MAX(ROW(E$1:E3022)*(E2=E$1:E3022))))))</f>
        <v> </v>
      </c>
      <c r="K3023" s="26" t="str">
        <f>IF(OR(E3023="",E3023="!!!",F3023="NEW"),"",INDEX(J$1:J3022,SUMPRODUCT(MAX(ROW(E$1:E3022)*(E3023=E$1:E3022)))))</f>
        <v> </v>
      </c>
      <c r="L3023" s="27"/>
    </row>
    <row r="3024" spans="1:12">
      <c r="A3024" s="20"/>
    </row>
    <row r="3025" spans="1:12">
      <c r="A3025" s="20" t="s">
        <v>2008</v>
      </c>
    </row>
    <row r="3026" spans="1:12">
      <c r="A3026" s="20" t="s">
        <v>2009</v>
      </c>
      <c r="B3026" s="21" t="s">
        <v>601</v>
      </c>
      <c r="E3026" s="22">
        <f>IF(D3026="?OLD","!!!","")</f>
        <v/>
      </c>
      <c r="F3026" s="23" t="str">
        <f>IF(OR(E3026="",E3026="!!!"),"",IF(NOT(ISNA(VLOOKUP(E3026,E$1:E3025,1,FALSE()))),"OLD",IF(AND(E3026&lt;&gt;"",E3026&lt;&gt;"!!!"),"NEW","")))</f>
        <v> </v>
      </c>
      <c r="G3026" s="24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5" t="str">
        <f>IF(J3026&lt;&gt;1,"",IF(I3026="SBJ","CB","?"))</f>
        <v> </v>
      </c>
      <c r="I3026" s="26" t="str">
        <f>IF(OR(E3026="",E3026="!!!",F3026="NEW"),"",INDEX(B3025:B$2,-1+SUMPRODUCT(MAX(ROW(E3025:E$2)*(E3026=E3025:E$2)))))</f>
        <v> </v>
      </c>
      <c r="J3026" s="26" t="str">
        <f>IF(OR(E3026="",E3026="!!!",F3026="NEW"),"",COUNTBLANK(OFFSET(A$1,,,SUMPRODUCT(MAX(ROW(E$2:E3026)*(E3026=E$2:E3026)))))-COUNTBLANK(OFFSET(A$1,,,SUMPRODUCT(MAX(ROW(E$1:E3025)*(E2=E$1:E3025))))))</f>
        <v> </v>
      </c>
      <c r="K3026" s="26" t="str">
        <f>IF(OR(E3026="",E3026="!!!",F3026="NEW"),"",INDEX(J$1:J3025,SUMPRODUCT(MAX(ROW(E$1:E3025)*(E3026=E$1:E3025)))))</f>
        <v> </v>
      </c>
      <c r="L3026" s="27"/>
    </row>
    <row r="3027" spans="1:12">
      <c r="A3027" s="20" t="s">
        <v>664</v>
      </c>
      <c r="E3027" s="22">
        <f>IF(D3027="?OLD","!!!","")</f>
        <v/>
      </c>
      <c r="F3027" s="23" t="str">
        <f>IF(OR(E3027="",E3027="!!!"),"",IF(NOT(ISNA(VLOOKUP(E3027,E$1:E3026,1,FALSE()))),"OLD",IF(AND(E3027&lt;&gt;"",E3027&lt;&gt;"!!!"),"NEW","")))</f>
        <v> </v>
      </c>
      <c r="G3027" s="24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5" t="str">
        <f>IF(J3027&lt;&gt;1,"",IF(I3027="SBJ","CB","?"))</f>
        <v> </v>
      </c>
      <c r="I3027" s="26" t="str">
        <f>IF(OR(E3027="",E3027="!!!",F3027="NEW"),"",INDEX(B3026:B$2,-1+SUMPRODUCT(MAX(ROW(E3026:E$2)*(E3027=E3026:E$2)))))</f>
        <v> </v>
      </c>
      <c r="J3027" s="26" t="str">
        <f>IF(OR(E3027="",E3027="!!!",F3027="NEW"),"",COUNTBLANK(OFFSET(A$1,,,SUMPRODUCT(MAX(ROW(E$2:E3027)*(E3027=E$2:E3027)))))-COUNTBLANK(OFFSET(A$1,,,SUMPRODUCT(MAX(ROW(E$1:E3026)*(E2=E$1:E3026))))))</f>
        <v> </v>
      </c>
      <c r="K3027" s="26" t="str">
        <f>IF(OR(E3027="",E3027="!!!",F3027="NEW"),"",INDEX(J$1:J3026,SUMPRODUCT(MAX(ROW(E$1:E3026)*(E3027=E$1:E3026)))))</f>
        <v> </v>
      </c>
      <c r="L3027" s="27"/>
    </row>
    <row r="3028" spans="1:12">
      <c r="A3028" s="20" t="s">
        <v>1024</v>
      </c>
      <c r="E3028" s="22">
        <f>IF(D3028="?OLD","!!!","")</f>
        <v/>
      </c>
      <c r="F3028" s="23" t="str">
        <f>IF(OR(E3028="",E3028="!!!"),"",IF(NOT(ISNA(VLOOKUP(E3028,E$1:E3027,1,FALSE()))),"OLD",IF(AND(E3028&lt;&gt;"",E3028&lt;&gt;"!!!"),"NEW","")))</f>
        <v> </v>
      </c>
      <c r="G3028" s="24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5" t="str">
        <f>IF(J3028&lt;&gt;1,"",IF(I3028="SBJ","CB","?"))</f>
        <v> </v>
      </c>
      <c r="I3028" s="26" t="str">
        <f>IF(OR(E3028="",E3028="!!!",F3028="NEW"),"",INDEX(B3027:B$2,-1+SUMPRODUCT(MAX(ROW(E3027:E$2)*(E3028=E3027:E$2)))))</f>
        <v> </v>
      </c>
      <c r="J3028" s="26" t="str">
        <f>IF(OR(E3028="",E3028="!!!",F3028="NEW"),"",COUNTBLANK(OFFSET(A$1,,,SUMPRODUCT(MAX(ROW(E$2:E3028)*(E3028=E$2:E3028)))))-COUNTBLANK(OFFSET(A$1,,,SUMPRODUCT(MAX(ROW(E$1:E3027)*(E2=E$1:E3027))))))</f>
        <v> </v>
      </c>
      <c r="K3028" s="26" t="str">
        <f>IF(OR(E3028="",E3028="!!!",F3028="NEW"),"",INDEX(J$1:J3027,SUMPRODUCT(MAX(ROW(E$1:E3027)*(E3028=E$1:E3027)))))</f>
        <v> </v>
      </c>
      <c r="L3028" s="27"/>
    </row>
    <row r="3029" spans="1:12">
      <c r="A3029" s="20" t="s">
        <v>662</v>
      </c>
      <c r="E3029" s="22">
        <f>IF(D3029="?OLD","!!!","")</f>
        <v/>
      </c>
      <c r="F3029" s="23" t="str">
        <f>IF(OR(E3029="",E3029="!!!"),"",IF(NOT(ISNA(VLOOKUP(E3029,E$1:E3028,1,FALSE()))),"OLD",IF(AND(E3029&lt;&gt;"",E3029&lt;&gt;"!!!"),"NEW","")))</f>
        <v> </v>
      </c>
      <c r="G3029" s="24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5" t="str">
        <f>IF(J3029&lt;&gt;1,"",IF(I3029="SBJ","CB","?"))</f>
        <v> </v>
      </c>
      <c r="I3029" s="26" t="str">
        <f>IF(OR(E3029="",E3029="!!!",F3029="NEW"),"",INDEX(B3028:B$2,-1+SUMPRODUCT(MAX(ROW(E3028:E$2)*(E3029=E3028:E$2)))))</f>
        <v> </v>
      </c>
      <c r="J3029" s="26" t="str">
        <f>IF(OR(E3029="",E3029="!!!",F3029="NEW"),"",COUNTBLANK(OFFSET(A$1,,,SUMPRODUCT(MAX(ROW(E$2:E3029)*(E3029=E$2:E3029)))))-COUNTBLANK(OFFSET(A$1,,,SUMPRODUCT(MAX(ROW(E$1:E3028)*(E2=E$1:E3028))))))</f>
        <v> </v>
      </c>
      <c r="K3029" s="26" t="str">
        <f>IF(OR(E3029="",E3029="!!!",F3029="NEW"),"",INDEX(J$1:J3028,SUMPRODUCT(MAX(ROW(E$1:E3028)*(E3029=E$1:E3028)))))</f>
        <v> </v>
      </c>
      <c r="L3029" s="27"/>
    </row>
    <row r="3030" spans="1:12">
      <c r="A3030" s="20" t="s">
        <v>2010</v>
      </c>
      <c r="B3030" s="21" t="s">
        <v>640</v>
      </c>
      <c r="C3030" s="21" t="s">
        <v>644</v>
      </c>
      <c r="D3030" s="21" t="s">
        <v>603</v>
      </c>
      <c r="E3030" s="22">
        <f>IF(D3030="?OLD","!!!","")</f>
        <v/>
      </c>
      <c r="F3030" s="23" t="str">
        <f>IF(OR(E3030="",E3030="!!!"),"",IF(NOT(ISNA(VLOOKUP(E3030,E$1:E3029,1,FALSE()))),"OLD",IF(AND(E3030&lt;&gt;"",E3030&lt;&gt;"!!!"),"NEW","")))</f>
        <v> </v>
      </c>
      <c r="G3030" s="24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5" t="str">
        <f>IF(J3030&lt;&gt;1,"",IF(I3030="SBJ","CB","?"))</f>
        <v> </v>
      </c>
      <c r="I3030" s="26" t="str">
        <f>IF(OR(E3030="",E3030="!!!",F3030="NEW"),"",INDEX(B3029:B$2,-1+SUMPRODUCT(MAX(ROW(E3029:E$2)*(E3030=E3029:E$2)))))</f>
        <v> </v>
      </c>
      <c r="J3030" s="26" t="str">
        <f>IF(OR(E3030="",E3030="!!!",F3030="NEW"),"",COUNTBLANK(OFFSET(A$1,,,SUMPRODUCT(MAX(ROW(E$2:E3030)*(E3030=E$2:E3030)))))-COUNTBLANK(OFFSET(A$1,,,SUMPRODUCT(MAX(ROW(E$1:E3029)*(E2=E$1:E3029))))))</f>
        <v> </v>
      </c>
      <c r="K3030" s="26" t="str">
        <f>IF(OR(E3030="",E3030="!!!",F3030="NEW"),"",INDEX(J$1:J3029,SUMPRODUCT(MAX(ROW(E$1:E3029)*(E3030=E$1:E3029)))))</f>
        <v> </v>
      </c>
      <c r="L3030" s="27"/>
    </row>
    <row r="3031" spans="1:12">
      <c r="A3031" s="20" t="s">
        <v>1099</v>
      </c>
      <c r="B3031" s="21" t="s">
        <v>640</v>
      </c>
      <c r="C3031" s="21" t="s">
        <v>723</v>
      </c>
      <c r="D3031" s="21" t="s">
        <v>603</v>
      </c>
      <c r="E3031" s="22">
        <f>IF(D3031="?OLD","!!!","")</f>
        <v/>
      </c>
      <c r="F3031" s="23" t="str">
        <f>IF(OR(E3031="",E3031="!!!"),"",IF(NOT(ISNA(VLOOKUP(E3031,E$1:E3030,1,FALSE()))),"OLD",IF(AND(E3031&lt;&gt;"",E3031&lt;&gt;"!!!"),"NEW","")))</f>
        <v> </v>
      </c>
      <c r="G3031" s="24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5" t="str">
        <f>IF(J3031&lt;&gt;1,"",IF(I3031="SBJ","CB","?"))</f>
        <v> </v>
      </c>
      <c r="I3031" s="26" t="str">
        <f>IF(OR(E3031="",E3031="!!!",F3031="NEW"),"",INDEX(B3030:B$2,-1+SUMPRODUCT(MAX(ROW(E3030:E$2)*(E3031=E3030:E$2)))))</f>
        <v> </v>
      </c>
      <c r="J3031" s="26" t="str">
        <f>IF(OR(E3031="",E3031="!!!",F3031="NEW"),"",COUNTBLANK(OFFSET(A$1,,,SUMPRODUCT(MAX(ROW(E$2:E3031)*(E3031=E$2:E3031)))))-COUNTBLANK(OFFSET(A$1,,,SUMPRODUCT(MAX(ROW(E$1:E3030)*(E2=E$1:E3030))))))</f>
        <v> </v>
      </c>
      <c r="K3031" s="26" t="str">
        <f>IF(OR(E3031="",E3031="!!!",F3031="NEW"),"",INDEX(J$1:J3030,SUMPRODUCT(MAX(ROW(E$1:E3030)*(E3031=E$1:E3030)))))</f>
        <v> </v>
      </c>
      <c r="L3031" s="27"/>
    </row>
    <row r="3032" spans="1:12">
      <c r="A3032" s="20" t="s">
        <v>611</v>
      </c>
      <c r="E3032" s="22">
        <f>IF(D3032="?OLD","!!!","")</f>
        <v/>
      </c>
      <c r="F3032" s="23" t="str">
        <f>IF(OR(E3032="",E3032="!!!"),"",IF(NOT(ISNA(VLOOKUP(E3032,E$1:E3031,1,FALSE()))),"OLD",IF(AND(E3032&lt;&gt;"",E3032&lt;&gt;"!!!"),"NEW","")))</f>
        <v> </v>
      </c>
      <c r="G3032" s="24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5" t="str">
        <f>IF(J3032&lt;&gt;1,"",IF(I3032="SBJ","CB","?"))</f>
        <v> </v>
      </c>
      <c r="I3032" s="26" t="str">
        <f>IF(OR(E3032="",E3032="!!!",F3032="NEW"),"",INDEX(B3031:B$2,-1+SUMPRODUCT(MAX(ROW(E3031:E$2)*(E3032=E3031:E$2)))))</f>
        <v> </v>
      </c>
      <c r="J3032" s="26" t="str">
        <f>IF(OR(E3032="",E3032="!!!",F3032="NEW"),"",COUNTBLANK(OFFSET(A$1,,,SUMPRODUCT(MAX(ROW(E$2:E3032)*(E3032=E$2:E3032)))))-COUNTBLANK(OFFSET(A$1,,,SUMPRODUCT(MAX(ROW(E$1:E3031)*(E2=E$1:E3031))))))</f>
        <v> </v>
      </c>
      <c r="K3032" s="26" t="str">
        <f>IF(OR(E3032="",E3032="!!!",F3032="NEW"),"",INDEX(J$1:J3031,SUMPRODUCT(MAX(ROW(E$1:E3031)*(E3032=E$1:E3031)))))</f>
        <v> </v>
      </c>
      <c r="L3032" s="27"/>
    </row>
    <row r="3033" spans="1:12">
      <c r="A3033" s="20" t="s">
        <v>658</v>
      </c>
      <c r="B3033" s="21" t="s">
        <v>793</v>
      </c>
      <c r="C3033" s="21" t="s">
        <v>614</v>
      </c>
      <c r="E3033" s="22">
        <f>IF(D3033="?OLD","!!!","")</f>
        <v/>
      </c>
      <c r="F3033" s="23" t="str">
        <f>IF(OR(E3033="",E3033="!!!"),"",IF(NOT(ISNA(VLOOKUP(E3033,E$1:E3032,1,FALSE()))),"OLD",IF(AND(E3033&lt;&gt;"",E3033&lt;&gt;"!!!"),"NEW","")))</f>
        <v> </v>
      </c>
      <c r="G3033" s="24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5" t="str">
        <f>IF(J3033&lt;&gt;1,"",IF(I3033="SBJ","CB","?"))</f>
        <v> </v>
      </c>
      <c r="I3033" s="26" t="str">
        <f>IF(OR(E3033="",E3033="!!!",F3033="NEW"),"",INDEX(B3032:B$2,-1+SUMPRODUCT(MAX(ROW(E3032:E$2)*(E3033=E3032:E$2)))))</f>
        <v> </v>
      </c>
      <c r="J3033" s="26" t="str">
        <f>IF(OR(E3033="",E3033="!!!",F3033="NEW"),"",COUNTBLANK(OFFSET(A$1,,,SUMPRODUCT(MAX(ROW(E$2:E3033)*(E3033=E$2:E3033)))))-COUNTBLANK(OFFSET(A$1,,,SUMPRODUCT(MAX(ROW(E$1:E3032)*(E2=E$1:E3032))))))</f>
        <v> </v>
      </c>
      <c r="K3033" s="26" t="str">
        <f>IF(OR(E3033="",E3033="!!!",F3033="NEW"),"",INDEX(J$1:J3032,SUMPRODUCT(MAX(ROW(E$1:E3032)*(E3033=E$1:E3032)))))</f>
        <v> </v>
      </c>
      <c r="L3033" s="27"/>
    </row>
    <row r="3034" spans="1:12">
      <c r="A3034" s="20" t="s">
        <v>2011</v>
      </c>
      <c r="E3034" s="22">
        <f>IF(D3034="?OLD","!!!","")</f>
        <v/>
      </c>
      <c r="F3034" s="23" t="str">
        <f>IF(OR(E3034="",E3034="!!!"),"",IF(NOT(ISNA(VLOOKUP(E3034,E$1:E3033,1,FALSE()))),"OLD",IF(AND(E3034&lt;&gt;"",E3034&lt;&gt;"!!!"),"NEW","")))</f>
        <v> </v>
      </c>
      <c r="G3034" s="24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5" t="str">
        <f>IF(J3034&lt;&gt;1,"",IF(I3034="SBJ","CB","?"))</f>
        <v> </v>
      </c>
      <c r="I3034" s="26" t="str">
        <f>IF(OR(E3034="",E3034="!!!",F3034="NEW"),"",INDEX(B3033:B$2,-1+SUMPRODUCT(MAX(ROW(E3033:E$2)*(E3034=E3033:E$2)))))</f>
        <v> </v>
      </c>
      <c r="J3034" s="26" t="str">
        <f>IF(OR(E3034="",E3034="!!!",F3034="NEW"),"",COUNTBLANK(OFFSET(A$1,,,SUMPRODUCT(MAX(ROW(E$2:E3034)*(E3034=E$2:E3034)))))-COUNTBLANK(OFFSET(A$1,,,SUMPRODUCT(MAX(ROW(E$1:E3033)*(E2=E$1:E3033))))))</f>
        <v> </v>
      </c>
      <c r="K3034" s="26" t="str">
        <f>IF(OR(E3034="",E3034="!!!",F3034="NEW"),"",INDEX(J$1:J3033,SUMPRODUCT(MAX(ROW(E$1:E3033)*(E3034=E$1:E3033)))))</f>
        <v> </v>
      </c>
      <c r="L3034" s="27"/>
    </row>
    <row r="3035" spans="1:12">
      <c r="A3035" s="20" t="s">
        <v>1145</v>
      </c>
      <c r="B3035" s="21" t="s">
        <v>659</v>
      </c>
      <c r="E3035" s="22">
        <f>IF(D3035="?OLD","!!!","")</f>
        <v/>
      </c>
      <c r="F3035" s="23" t="str">
        <f>IF(OR(E3035="",E3035="!!!"),"",IF(NOT(ISNA(VLOOKUP(E3035,E$1:E3034,1,FALSE()))),"OLD",IF(AND(E3035&lt;&gt;"",E3035&lt;&gt;"!!!"),"NEW","")))</f>
        <v> </v>
      </c>
      <c r="G3035" s="24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5" t="str">
        <f>IF(J3035&lt;&gt;1,"",IF(I3035="SBJ","CB","?"))</f>
        <v> </v>
      </c>
      <c r="I3035" s="26" t="str">
        <f>IF(OR(E3035="",E3035="!!!",F3035="NEW"),"",INDEX(B3034:B$2,-1+SUMPRODUCT(MAX(ROW(E3034:E$2)*(E3035=E3034:E$2)))))</f>
        <v> </v>
      </c>
      <c r="J3035" s="26" t="str">
        <f>IF(OR(E3035="",E3035="!!!",F3035="NEW"),"",COUNTBLANK(OFFSET(A$1,,,SUMPRODUCT(MAX(ROW(E$2:E3035)*(E3035=E$2:E3035)))))-COUNTBLANK(OFFSET(A$1,,,SUMPRODUCT(MAX(ROW(E$1:E3034)*(E2=E$1:E3034))))))</f>
        <v> </v>
      </c>
      <c r="K3035" s="26" t="str">
        <f>IF(OR(E3035="",E3035="!!!",F3035="NEW"),"",INDEX(J$1:J3034,SUMPRODUCT(MAX(ROW(E$1:E3034)*(E3035=E$1:E3034)))))</f>
        <v> </v>
      </c>
      <c r="L3035" s="27"/>
    </row>
    <row r="3036" spans="1:12">
      <c r="A3036" s="20" t="s">
        <v>633</v>
      </c>
      <c r="E3036" s="22">
        <f>IF(D3036="?OLD","!!!","")</f>
        <v/>
      </c>
      <c r="F3036" s="23" t="str">
        <f>IF(OR(E3036="",E3036="!!!"),"",IF(NOT(ISNA(VLOOKUP(E3036,E$1:E3035,1,FALSE()))),"OLD",IF(AND(E3036&lt;&gt;"",E3036&lt;&gt;"!!!"),"NEW","")))</f>
        <v> </v>
      </c>
      <c r="G3036" s="24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5" t="str">
        <f>IF(J3036&lt;&gt;1,"",IF(I3036="SBJ","CB","?"))</f>
        <v> </v>
      </c>
      <c r="I3036" s="26" t="str">
        <f>IF(OR(E3036="",E3036="!!!",F3036="NEW"),"",INDEX(B3035:B$2,-1+SUMPRODUCT(MAX(ROW(E3035:E$2)*(E3036=E3035:E$2)))))</f>
        <v> </v>
      </c>
      <c r="J3036" s="26" t="str">
        <f>IF(OR(E3036="",E3036="!!!",F3036="NEW"),"",COUNTBLANK(OFFSET(A$1,,,SUMPRODUCT(MAX(ROW(E$2:E3036)*(E3036=E$2:E3036)))))-COUNTBLANK(OFFSET(A$1,,,SUMPRODUCT(MAX(ROW(E$1:E3035)*(E2=E$1:E3035))))))</f>
        <v> </v>
      </c>
      <c r="K3036" s="26" t="str">
        <f>IF(OR(E3036="",E3036="!!!",F3036="NEW"),"",INDEX(J$1:J3035,SUMPRODUCT(MAX(ROW(E$1:E3035)*(E3036=E$1:E3035)))))</f>
        <v> </v>
      </c>
      <c r="L3036" s="27"/>
    </row>
    <row r="3037" spans="1:12">
      <c r="A3037" s="20"/>
    </row>
    <row r="3038" spans="1:12">
      <c r="A3038" s="20" t="s">
        <v>2012</v>
      </c>
    </row>
    <row r="3039" spans="1:12">
      <c r="A3039" s="20" t="s">
        <v>2013</v>
      </c>
      <c r="B3039" s="21" t="s">
        <v>652</v>
      </c>
      <c r="C3039" s="21" t="s">
        <v>602</v>
      </c>
      <c r="D3039" s="21" t="s">
        <v>603</v>
      </c>
      <c r="E3039" s="22">
        <f>IF(D3039="?OLD","!!!","")</f>
        <v/>
      </c>
      <c r="F3039" s="23" t="str">
        <f>IF(OR(E3039="",E3039="!!!"),"",IF(NOT(ISNA(VLOOKUP(E3039,E$1:E3038,1,FALSE()))),"OLD",IF(AND(E3039&lt;&gt;"",E3039&lt;&gt;"!!!"),"NEW","")))</f>
        <v> </v>
      </c>
      <c r="G3039" s="24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5" t="str">
        <f>IF(J3039&lt;&gt;1,"",IF(I3039="SBJ","CB","?"))</f>
        <v> </v>
      </c>
      <c r="I3039" s="26" t="str">
        <f>IF(OR(E3039="",E3039="!!!",F3039="NEW"),"",INDEX(B3038:B$2,-1+SUMPRODUCT(MAX(ROW(E3038:E$2)*(E3039=E3038:E$2)))))</f>
        <v> </v>
      </c>
      <c r="J3039" s="26" t="str">
        <f>IF(OR(E3039="",E3039="!!!",F3039="NEW"),"",COUNTBLANK(OFFSET(A$1,,,SUMPRODUCT(MAX(ROW(E$2:E3039)*(E3039=E$2:E3039)))))-COUNTBLANK(OFFSET(A$1,,,SUMPRODUCT(MAX(ROW(E$1:E3038)*(E2=E$1:E3038))))))</f>
        <v> </v>
      </c>
      <c r="K3039" s="26" t="str">
        <f>IF(OR(E3039="",E3039="!!!",F3039="NEW"),"",INDEX(J$1:J3038,SUMPRODUCT(MAX(ROW(E$1:E3038)*(E3039=E$1:E3038)))))</f>
        <v> </v>
      </c>
      <c r="L3039" s="27"/>
    </row>
    <row r="3040" spans="1:12">
      <c r="A3040" s="20" t="s">
        <v>861</v>
      </c>
      <c r="E3040" s="22">
        <f>IF(D3040="?OLD","!!!","")</f>
        <v/>
      </c>
      <c r="F3040" s="23" t="str">
        <f>IF(OR(E3040="",E3040="!!!"),"",IF(NOT(ISNA(VLOOKUP(E3040,E$1:E3039,1,FALSE()))),"OLD",IF(AND(E3040&lt;&gt;"",E3040&lt;&gt;"!!!"),"NEW","")))</f>
        <v> </v>
      </c>
      <c r="G3040" s="24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5" t="str">
        <f>IF(J3040&lt;&gt;1,"",IF(I3040="SBJ","CB","?"))</f>
        <v> </v>
      </c>
      <c r="I3040" s="26" t="str">
        <f>IF(OR(E3040="",E3040="!!!",F3040="NEW"),"",INDEX(B3039:B$2,-1+SUMPRODUCT(MAX(ROW(E3039:E$2)*(E3040=E3039:E$2)))))</f>
        <v> </v>
      </c>
      <c r="J3040" s="26" t="str">
        <f>IF(OR(E3040="",E3040="!!!",F3040="NEW"),"",COUNTBLANK(OFFSET(A$1,,,SUMPRODUCT(MAX(ROW(E$2:E3040)*(E3040=E$2:E3040)))))-COUNTBLANK(OFFSET(A$1,,,SUMPRODUCT(MAX(ROW(E$1:E3039)*(E2=E$1:E3039))))))</f>
        <v> </v>
      </c>
      <c r="K3040" s="26" t="str">
        <f>IF(OR(E3040="",E3040="!!!",F3040="NEW"),"",INDEX(J$1:J3039,SUMPRODUCT(MAX(ROW(E$1:E3039)*(E3040=E$1:E3039)))))</f>
        <v> </v>
      </c>
      <c r="L3040" s="27"/>
    </row>
    <row r="3041" spans="1:12">
      <c r="A3041" s="20" t="s">
        <v>1975</v>
      </c>
      <c r="E3041" s="22">
        <f>IF(D3041="?OLD","!!!","")</f>
        <v/>
      </c>
      <c r="F3041" s="23" t="str">
        <f>IF(OR(E3041="",E3041="!!!"),"",IF(NOT(ISNA(VLOOKUP(E3041,E$1:E3040,1,FALSE()))),"OLD",IF(AND(E3041&lt;&gt;"",E3041&lt;&gt;"!!!"),"NEW","")))</f>
        <v> </v>
      </c>
      <c r="G3041" s="24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5" t="str">
        <f>IF(J3041&lt;&gt;1,"",IF(I3041="SBJ","CB","?"))</f>
        <v> </v>
      </c>
      <c r="I3041" s="26" t="str">
        <f>IF(OR(E3041="",E3041="!!!",F3041="NEW"),"",INDEX(B3040:B$2,-1+SUMPRODUCT(MAX(ROW(E3040:E$2)*(E3041=E3040:E$2)))))</f>
        <v> </v>
      </c>
      <c r="J3041" s="26" t="str">
        <f>IF(OR(E3041="",E3041="!!!",F3041="NEW"),"",COUNTBLANK(OFFSET(A$1,,,SUMPRODUCT(MAX(ROW(E$2:E3041)*(E3041=E$2:E3041)))))-COUNTBLANK(OFFSET(A$1,,,SUMPRODUCT(MAX(ROW(E$1:E3040)*(E2=E$1:E3040))))))</f>
        <v> </v>
      </c>
      <c r="K3041" s="26" t="str">
        <f>IF(OR(E3041="",E3041="!!!",F3041="NEW"),"",INDEX(J$1:J3040,SUMPRODUCT(MAX(ROW(E$1:E3040)*(E3041=E$1:E3040)))))</f>
        <v> </v>
      </c>
      <c r="L3041" s="27"/>
    </row>
    <row r="3042" spans="1:12">
      <c r="A3042" s="20" t="s">
        <v>611</v>
      </c>
      <c r="E3042" s="22">
        <f>IF(D3042="?OLD","!!!","")</f>
        <v/>
      </c>
      <c r="F3042" s="23" t="str">
        <f>IF(OR(E3042="",E3042="!!!"),"",IF(NOT(ISNA(VLOOKUP(E3042,E$1:E3041,1,FALSE()))),"OLD",IF(AND(E3042&lt;&gt;"",E3042&lt;&gt;"!!!"),"NEW","")))</f>
        <v> </v>
      </c>
      <c r="G3042" s="24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5" t="str">
        <f>IF(J3042&lt;&gt;1,"",IF(I3042="SBJ","CB","?"))</f>
        <v> </v>
      </c>
      <c r="I3042" s="26" t="str">
        <f>IF(OR(E3042="",E3042="!!!",F3042="NEW"),"",INDEX(B3041:B$2,-1+SUMPRODUCT(MAX(ROW(E3041:E$2)*(E3042=E3041:E$2)))))</f>
        <v> </v>
      </c>
      <c r="J3042" s="26" t="str">
        <f>IF(OR(E3042="",E3042="!!!",F3042="NEW"),"",COUNTBLANK(OFFSET(A$1,,,SUMPRODUCT(MAX(ROW(E$2:E3042)*(E3042=E$2:E3042)))))-COUNTBLANK(OFFSET(A$1,,,SUMPRODUCT(MAX(ROW(E$1:E3041)*(E2=E$1:E3041))))))</f>
        <v> </v>
      </c>
      <c r="K3042" s="26" t="str">
        <f>IF(OR(E3042="",E3042="!!!",F3042="NEW"),"",INDEX(J$1:J3041,SUMPRODUCT(MAX(ROW(E$1:E3041)*(E3042=E$1:E3041)))))</f>
        <v> </v>
      </c>
      <c r="L3042" s="27"/>
    </row>
    <row r="3043" spans="1:12">
      <c r="A3043" s="20" t="s">
        <v>2014</v>
      </c>
      <c r="E3043" s="22">
        <f>IF(D3043="?OLD","!!!","")</f>
        <v/>
      </c>
      <c r="F3043" s="23" t="str">
        <f>IF(OR(E3043="",E3043="!!!"),"",IF(NOT(ISNA(VLOOKUP(E3043,E$1:E3042,1,FALSE()))),"OLD",IF(AND(E3043&lt;&gt;"",E3043&lt;&gt;"!!!"),"NEW","")))</f>
        <v> </v>
      </c>
      <c r="G3043" s="24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5" t="str">
        <f>IF(J3043&lt;&gt;1,"",IF(I3043="SBJ","CB","?"))</f>
        <v> </v>
      </c>
      <c r="I3043" s="26" t="str">
        <f>IF(OR(E3043="",E3043="!!!",F3043="NEW"),"",INDEX(B3042:B$2,-1+SUMPRODUCT(MAX(ROW(E3042:E$2)*(E3043=E3042:E$2)))))</f>
        <v> </v>
      </c>
      <c r="J3043" s="26" t="str">
        <f>IF(OR(E3043="",E3043="!!!",F3043="NEW"),"",COUNTBLANK(OFFSET(A$1,,,SUMPRODUCT(MAX(ROW(E$2:E3043)*(E3043=E$2:E3043)))))-COUNTBLANK(OFFSET(A$1,,,SUMPRODUCT(MAX(ROW(E$1:E3042)*(E2=E$1:E3042))))))</f>
        <v> </v>
      </c>
      <c r="K3043" s="26" t="str">
        <f>IF(OR(E3043="",E3043="!!!",F3043="NEW"),"",INDEX(J$1:J3042,SUMPRODUCT(MAX(ROW(E$1:E3042)*(E3043=E$1:E3042)))))</f>
        <v> </v>
      </c>
      <c r="L3043" s="27"/>
    </row>
    <row r="3044" spans="1:12">
      <c r="A3044" s="20" t="s">
        <v>677</v>
      </c>
      <c r="E3044" s="22">
        <f>IF(D3044="?OLD","!!!","")</f>
        <v/>
      </c>
      <c r="F3044" s="23" t="str">
        <f>IF(OR(E3044="",E3044="!!!"),"",IF(NOT(ISNA(VLOOKUP(E3044,E$1:E3043,1,FALSE()))),"OLD",IF(AND(E3044&lt;&gt;"",E3044&lt;&gt;"!!!"),"NEW","")))</f>
        <v> </v>
      </c>
      <c r="G3044" s="24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5" t="str">
        <f>IF(J3044&lt;&gt;1,"",IF(I3044="SBJ","CB","?"))</f>
        <v> </v>
      </c>
      <c r="I3044" s="26" t="str">
        <f>IF(OR(E3044="",E3044="!!!",F3044="NEW"),"",INDEX(B3043:B$2,-1+SUMPRODUCT(MAX(ROW(E3043:E$2)*(E3044=E3043:E$2)))))</f>
        <v> </v>
      </c>
      <c r="J3044" s="26" t="str">
        <f>IF(OR(E3044="",E3044="!!!",F3044="NEW"),"",COUNTBLANK(OFFSET(A$1,,,SUMPRODUCT(MAX(ROW(E$2:E3044)*(E3044=E$2:E3044)))))-COUNTBLANK(OFFSET(A$1,,,SUMPRODUCT(MAX(ROW(E$1:E3043)*(E2=E$1:E3043))))))</f>
        <v> </v>
      </c>
      <c r="K3044" s="26" t="str">
        <f>IF(OR(E3044="",E3044="!!!",F3044="NEW"),"",INDEX(J$1:J3043,SUMPRODUCT(MAX(ROW(E$1:E3043)*(E3044=E$1:E3043)))))</f>
        <v> </v>
      </c>
      <c r="L3044" s="27"/>
    </row>
    <row r="3045" spans="1:12">
      <c r="A3045" s="20" t="s">
        <v>1976</v>
      </c>
      <c r="B3045" s="21" t="s">
        <v>601</v>
      </c>
      <c r="E3045" s="22">
        <f>IF(D3045="?OLD","!!!","")</f>
        <v/>
      </c>
      <c r="F3045" s="23" t="str">
        <f>IF(OR(E3045="",E3045="!!!"),"",IF(NOT(ISNA(VLOOKUP(E3045,E$1:E3044,1,FALSE()))),"OLD",IF(AND(E3045&lt;&gt;"",E3045&lt;&gt;"!!!"),"NEW","")))</f>
        <v> </v>
      </c>
      <c r="G3045" s="24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5" t="str">
        <f>IF(J3045&lt;&gt;1,"",IF(I3045="SBJ","CB","?"))</f>
        <v> </v>
      </c>
      <c r="I3045" s="26" t="str">
        <f>IF(OR(E3045="",E3045="!!!",F3045="NEW"),"",INDEX(B3044:B$2,-1+SUMPRODUCT(MAX(ROW(E3044:E$2)*(E3045=E3044:E$2)))))</f>
        <v> </v>
      </c>
      <c r="J3045" s="26" t="str">
        <f>IF(OR(E3045="",E3045="!!!",F3045="NEW"),"",COUNTBLANK(OFFSET(A$1,,,SUMPRODUCT(MAX(ROW(E$2:E3045)*(E3045=E$2:E3045)))))-COUNTBLANK(OFFSET(A$1,,,SUMPRODUCT(MAX(ROW(E$1:E3044)*(E2=E$1:E3044))))))</f>
        <v> </v>
      </c>
      <c r="K3045" s="26" t="str">
        <f>IF(OR(E3045="",E3045="!!!",F3045="NEW"),"",INDEX(J$1:J3044,SUMPRODUCT(MAX(ROW(E$1:E3044)*(E3045=E$1:E3044)))))</f>
        <v> </v>
      </c>
      <c r="L3045" s="27"/>
    </row>
    <row r="3046" spans="1:12">
      <c r="A3046" s="20" t="s">
        <v>611</v>
      </c>
      <c r="E3046" s="22">
        <f>IF(D3046="?OLD","!!!","")</f>
        <v/>
      </c>
      <c r="F3046" s="23" t="str">
        <f>IF(OR(E3046="",E3046="!!!"),"",IF(NOT(ISNA(VLOOKUP(E3046,E$1:E3045,1,FALSE()))),"OLD",IF(AND(E3046&lt;&gt;"",E3046&lt;&gt;"!!!"),"NEW","")))</f>
        <v> </v>
      </c>
      <c r="G3046" s="24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5" t="str">
        <f>IF(J3046&lt;&gt;1,"",IF(I3046="SBJ","CB","?"))</f>
        <v> </v>
      </c>
      <c r="I3046" s="26" t="str">
        <f>IF(OR(E3046="",E3046="!!!",F3046="NEW"),"",INDEX(B3045:B$2,-1+SUMPRODUCT(MAX(ROW(E3045:E$2)*(E3046=E3045:E$2)))))</f>
        <v> </v>
      </c>
      <c r="J3046" s="26" t="str">
        <f>IF(OR(E3046="",E3046="!!!",F3046="NEW"),"",COUNTBLANK(OFFSET(A$1,,,SUMPRODUCT(MAX(ROW(E$2:E3046)*(E3046=E$2:E3046)))))-COUNTBLANK(OFFSET(A$1,,,SUMPRODUCT(MAX(ROW(E$1:E3045)*(E2=E$1:E3045))))))</f>
        <v> </v>
      </c>
      <c r="K3046" s="26" t="str">
        <f>IF(OR(E3046="",E3046="!!!",F3046="NEW"),"",INDEX(J$1:J3045,SUMPRODUCT(MAX(ROW(E$1:E3045)*(E3046=E$1:E3045)))))</f>
        <v> </v>
      </c>
      <c r="L3046" s="27"/>
    </row>
    <row r="3047" spans="1:12">
      <c r="A3047" s="20" t="s">
        <v>1019</v>
      </c>
      <c r="E3047" s="22">
        <f>IF(D3047="?OLD","!!!","")</f>
        <v/>
      </c>
      <c r="F3047" s="23" t="str">
        <f>IF(OR(E3047="",E3047="!!!"),"",IF(NOT(ISNA(VLOOKUP(E3047,E$1:E3046,1,FALSE()))),"OLD",IF(AND(E3047&lt;&gt;"",E3047&lt;&gt;"!!!"),"NEW","")))</f>
        <v> </v>
      </c>
      <c r="G3047" s="24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5" t="str">
        <f>IF(J3047&lt;&gt;1,"",IF(I3047="SBJ","CB","?"))</f>
        <v> </v>
      </c>
      <c r="I3047" s="26" t="str">
        <f>IF(OR(E3047="",E3047="!!!",F3047="NEW"),"",INDEX(B3046:B$2,-1+SUMPRODUCT(MAX(ROW(E3046:E$2)*(E3047=E3046:E$2)))))</f>
        <v> </v>
      </c>
      <c r="J3047" s="26" t="str">
        <f>IF(OR(E3047="",E3047="!!!",F3047="NEW"),"",COUNTBLANK(OFFSET(A$1,,,SUMPRODUCT(MAX(ROW(E$2:E3047)*(E3047=E$2:E3047)))))-COUNTBLANK(OFFSET(A$1,,,SUMPRODUCT(MAX(ROW(E$1:E3046)*(E2=E$1:E3046))))))</f>
        <v> </v>
      </c>
      <c r="K3047" s="26" t="str">
        <f>IF(OR(E3047="",E3047="!!!",F3047="NEW"),"",INDEX(J$1:J3046,SUMPRODUCT(MAX(ROW(E$1:E3046)*(E3047=E$1:E3046)))))</f>
        <v> </v>
      </c>
      <c r="L3047" s="27"/>
    </row>
    <row r="3048" spans="1:12">
      <c r="A3048" s="20" t="s">
        <v>677</v>
      </c>
      <c r="E3048" s="22">
        <f>IF(D3048="?OLD","!!!","")</f>
        <v/>
      </c>
      <c r="F3048" s="23" t="str">
        <f>IF(OR(E3048="",E3048="!!!"),"",IF(NOT(ISNA(VLOOKUP(E3048,E$1:E3047,1,FALSE()))),"OLD",IF(AND(E3048&lt;&gt;"",E3048&lt;&gt;"!!!"),"NEW","")))</f>
        <v> </v>
      </c>
      <c r="G3048" s="24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5" t="str">
        <f>IF(J3048&lt;&gt;1,"",IF(I3048="SBJ","CB","?"))</f>
        <v> </v>
      </c>
      <c r="I3048" s="26" t="str">
        <f>IF(OR(E3048="",E3048="!!!",F3048="NEW"),"",INDEX(B3047:B$2,-1+SUMPRODUCT(MAX(ROW(E3047:E$2)*(E3048=E3047:E$2)))))</f>
        <v> </v>
      </c>
      <c r="J3048" s="26" t="str">
        <f>IF(OR(E3048="",E3048="!!!",F3048="NEW"),"",COUNTBLANK(OFFSET(A$1,,,SUMPRODUCT(MAX(ROW(E$2:E3048)*(E3048=E$2:E3048)))))-COUNTBLANK(OFFSET(A$1,,,SUMPRODUCT(MAX(ROW(E$1:E3047)*(E2=E$1:E3047))))))</f>
        <v> </v>
      </c>
      <c r="K3048" s="26" t="str">
        <f>IF(OR(E3048="",E3048="!!!",F3048="NEW"),"",INDEX(J$1:J3047,SUMPRODUCT(MAX(ROW(E$1:E3047)*(E3048=E$1:E3047)))))</f>
        <v> </v>
      </c>
      <c r="L3048" s="27"/>
    </row>
    <row r="3049" spans="1:12">
      <c r="A3049" s="20" t="s">
        <v>2015</v>
      </c>
      <c r="E3049" s="22">
        <f>IF(D3049="?OLD","!!!","")</f>
        <v/>
      </c>
      <c r="F3049" s="23" t="str">
        <f>IF(OR(E3049="",E3049="!!!"),"",IF(NOT(ISNA(VLOOKUP(E3049,E$1:E3048,1,FALSE()))),"OLD",IF(AND(E3049&lt;&gt;"",E3049&lt;&gt;"!!!"),"NEW","")))</f>
        <v> </v>
      </c>
      <c r="G3049" s="24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5" t="str">
        <f>IF(J3049&lt;&gt;1,"",IF(I3049="SBJ","CB","?"))</f>
        <v> </v>
      </c>
      <c r="I3049" s="26" t="str">
        <f>IF(OR(E3049="",E3049="!!!",F3049="NEW"),"",INDEX(B3048:B$2,-1+SUMPRODUCT(MAX(ROW(E3048:E$2)*(E3049=E3048:E$2)))))</f>
        <v> </v>
      </c>
      <c r="J3049" s="26" t="str">
        <f>IF(OR(E3049="",E3049="!!!",F3049="NEW"),"",COUNTBLANK(OFFSET(A$1,,,SUMPRODUCT(MAX(ROW(E$2:E3049)*(E3049=E$2:E3049)))))-COUNTBLANK(OFFSET(A$1,,,SUMPRODUCT(MAX(ROW(E$1:E3048)*(E2=E$1:E3048))))))</f>
        <v> </v>
      </c>
      <c r="K3049" s="26" t="str">
        <f>IF(OR(E3049="",E3049="!!!",F3049="NEW"),"",INDEX(J$1:J3048,SUMPRODUCT(MAX(ROW(E$1:E3048)*(E3049=E$1:E3048)))))</f>
        <v> </v>
      </c>
      <c r="L3049" s="27"/>
    </row>
    <row r="3050" spans="1:12">
      <c r="A3050" s="20" t="s">
        <v>633</v>
      </c>
      <c r="E3050" s="22">
        <f>IF(D3050="?OLD","!!!","")</f>
        <v/>
      </c>
      <c r="F3050" s="23" t="str">
        <f>IF(OR(E3050="",E3050="!!!"),"",IF(NOT(ISNA(VLOOKUP(E3050,E$1:E3049,1,FALSE()))),"OLD",IF(AND(E3050&lt;&gt;"",E3050&lt;&gt;"!!!"),"NEW","")))</f>
        <v> </v>
      </c>
      <c r="G3050" s="24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5" t="str">
        <f>IF(J3050&lt;&gt;1,"",IF(I3050="SBJ","CB","?"))</f>
        <v> </v>
      </c>
      <c r="I3050" s="26" t="str">
        <f>IF(OR(E3050="",E3050="!!!",F3050="NEW"),"",INDEX(B3049:B$2,-1+SUMPRODUCT(MAX(ROW(E3049:E$2)*(E3050=E3049:E$2)))))</f>
        <v> </v>
      </c>
      <c r="J3050" s="26" t="str">
        <f>IF(OR(E3050="",E3050="!!!",F3050="NEW"),"",COUNTBLANK(OFFSET(A$1,,,SUMPRODUCT(MAX(ROW(E$2:E3050)*(E3050=E$2:E3050)))))-COUNTBLANK(OFFSET(A$1,,,SUMPRODUCT(MAX(ROW(E$1:E3049)*(E2=E$1:E3049))))))</f>
        <v> </v>
      </c>
      <c r="K3050" s="26" t="str">
        <f>IF(OR(E3050="",E3050="!!!",F3050="NEW"),"",INDEX(J$1:J3049,SUMPRODUCT(MAX(ROW(E$1:E3049)*(E3050=E$1:E3049)))))</f>
        <v> </v>
      </c>
      <c r="L3050" s="27"/>
    </row>
    <row r="3051" spans="1:12">
      <c r="A3051" s="20"/>
    </row>
    <row r="3052" spans="1:12">
      <c r="A3052" s="20" t="s">
        <v>2016</v>
      </c>
    </row>
    <row r="3053" spans="1:12">
      <c r="A3053" s="20" t="s">
        <v>1006</v>
      </c>
      <c r="E3053" s="22">
        <f>IF(D3053="?OLD","!!!","")</f>
        <v/>
      </c>
      <c r="F3053" s="23" t="str">
        <f>IF(OR(E3053="",E3053="!!!"),"",IF(NOT(ISNA(VLOOKUP(E3053,E$1:E3052,1,FALSE()))),"OLD",IF(AND(E3053&lt;&gt;"",E3053&lt;&gt;"!!!"),"NEW","")))</f>
        <v> </v>
      </c>
      <c r="G3053" s="24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5" t="str">
        <f>IF(J3053&lt;&gt;1,"",IF(I3053="SBJ","CB","?"))</f>
        <v> </v>
      </c>
      <c r="I3053" s="26" t="str">
        <f>IF(OR(E3053="",E3053="!!!",F3053="NEW"),"",INDEX(B3052:B$2,-1+SUMPRODUCT(MAX(ROW(E3052:E$2)*(E3053=E3052:E$2)))))</f>
        <v> </v>
      </c>
      <c r="J3053" s="26" t="str">
        <f>IF(OR(E3053="",E3053="!!!",F3053="NEW"),"",COUNTBLANK(OFFSET(A$1,,,SUMPRODUCT(MAX(ROW(E$2:E3053)*(E3053=E$2:E3053)))))-COUNTBLANK(OFFSET(A$1,,,SUMPRODUCT(MAX(ROW(E$1:E3052)*(E2=E$1:E3052))))))</f>
        <v> </v>
      </c>
      <c r="K3053" s="26" t="str">
        <f>IF(OR(E3053="",E3053="!!!",F3053="NEW"),"",INDEX(J$1:J3052,SUMPRODUCT(MAX(ROW(E$1:E3052)*(E3053=E$1:E3052)))))</f>
        <v> </v>
      </c>
      <c r="L3053" s="27"/>
    </row>
    <row r="3054" spans="1:12">
      <c r="A3054" s="20" t="s">
        <v>1309</v>
      </c>
      <c r="B3054" s="21" t="s">
        <v>601</v>
      </c>
      <c r="C3054" s="21" t="s">
        <v>602</v>
      </c>
      <c r="D3054" s="21" t="s">
        <v>603</v>
      </c>
      <c r="E3054" s="22">
        <f>IF(D3054="?OLD","!!!","")</f>
        <v/>
      </c>
      <c r="F3054" s="23" t="str">
        <f>IF(OR(E3054="",E3054="!!!"),"",IF(NOT(ISNA(VLOOKUP(E3054,E$1:E3053,1,FALSE()))),"OLD",IF(AND(E3054&lt;&gt;"",E3054&lt;&gt;"!!!"),"NEW","")))</f>
        <v> </v>
      </c>
      <c r="G3054" s="24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5" t="str">
        <f>IF(J3054&lt;&gt;1,"",IF(I3054="SBJ","CB","?"))</f>
        <v> </v>
      </c>
      <c r="I3054" s="26" t="str">
        <f>IF(OR(E3054="",E3054="!!!",F3054="NEW"),"",INDEX(B3053:B$2,-1+SUMPRODUCT(MAX(ROW(E3053:E$2)*(E3054=E3053:E$2)))))</f>
        <v> </v>
      </c>
      <c r="J3054" s="26" t="str">
        <f>IF(OR(E3054="",E3054="!!!",F3054="NEW"),"",COUNTBLANK(OFFSET(A$1,,,SUMPRODUCT(MAX(ROW(E$2:E3054)*(E3054=E$2:E3054)))))-COUNTBLANK(OFFSET(A$1,,,SUMPRODUCT(MAX(ROW(E$1:E3053)*(E2=E$1:E3053))))))</f>
        <v> </v>
      </c>
      <c r="K3054" s="26" t="str">
        <f>IF(OR(E3054="",E3054="!!!",F3054="NEW"),"",INDEX(J$1:J3053,SUMPRODUCT(MAX(ROW(E$1:E3053)*(E3054=E$1:E3053)))))</f>
        <v> </v>
      </c>
      <c r="L3054" s="27"/>
    </row>
    <row r="3055" spans="1:12">
      <c r="A3055" s="20" t="s">
        <v>2017</v>
      </c>
      <c r="E3055" s="22">
        <f>IF(D3055="?OLD","!!!","")</f>
        <v/>
      </c>
      <c r="F3055" s="23" t="str">
        <f>IF(OR(E3055="",E3055="!!!"),"",IF(NOT(ISNA(VLOOKUP(E3055,E$1:E3054,1,FALSE()))),"OLD",IF(AND(E3055&lt;&gt;"",E3055&lt;&gt;"!!!"),"NEW","")))</f>
        <v> </v>
      </c>
      <c r="G3055" s="24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5" t="str">
        <f>IF(J3055&lt;&gt;1,"",IF(I3055="SBJ","CB","?"))</f>
        <v> </v>
      </c>
      <c r="I3055" s="26" t="str">
        <f>IF(OR(E3055="",E3055="!!!",F3055="NEW"),"",INDEX(B3054:B$2,-1+SUMPRODUCT(MAX(ROW(E3054:E$2)*(E3055=E3054:E$2)))))</f>
        <v> </v>
      </c>
      <c r="J3055" s="26" t="str">
        <f>IF(OR(E3055="",E3055="!!!",F3055="NEW"),"",COUNTBLANK(OFFSET(A$1,,,SUMPRODUCT(MAX(ROW(E$2:E3055)*(E3055=E$2:E3055)))))-COUNTBLANK(OFFSET(A$1,,,SUMPRODUCT(MAX(ROW(E$1:E3054)*(E2=E$1:E3054))))))</f>
        <v> </v>
      </c>
      <c r="K3055" s="26" t="str">
        <f>IF(OR(E3055="",E3055="!!!",F3055="NEW"),"",INDEX(J$1:J3054,SUMPRODUCT(MAX(ROW(E$1:E3054)*(E3055=E$1:E3054)))))</f>
        <v> </v>
      </c>
      <c r="L3055" s="27"/>
    </row>
    <row r="3056" spans="1:12">
      <c r="A3056" s="20" t="s">
        <v>646</v>
      </c>
      <c r="E3056" s="22">
        <f>IF(D3056="?OLD","!!!","")</f>
        <v/>
      </c>
      <c r="F3056" s="23" t="str">
        <f>IF(OR(E3056="",E3056="!!!"),"",IF(NOT(ISNA(VLOOKUP(E3056,E$1:E3055,1,FALSE()))),"OLD",IF(AND(E3056&lt;&gt;"",E3056&lt;&gt;"!!!"),"NEW","")))</f>
        <v> </v>
      </c>
      <c r="G3056" s="24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5" t="str">
        <f>IF(J3056&lt;&gt;1,"",IF(I3056="SBJ","CB","?"))</f>
        <v> </v>
      </c>
      <c r="I3056" s="26" t="str">
        <f>IF(OR(E3056="",E3056="!!!",F3056="NEW"),"",INDEX(B3055:B$2,-1+SUMPRODUCT(MAX(ROW(E3055:E$2)*(E3056=E3055:E$2)))))</f>
        <v> </v>
      </c>
      <c r="J3056" s="26" t="str">
        <f>IF(OR(E3056="",E3056="!!!",F3056="NEW"),"",COUNTBLANK(OFFSET(A$1,,,SUMPRODUCT(MAX(ROW(E$2:E3056)*(E3056=E$2:E3056)))))-COUNTBLANK(OFFSET(A$1,,,SUMPRODUCT(MAX(ROW(E$1:E3055)*(E2=E$1:E3055))))))</f>
        <v> </v>
      </c>
      <c r="K3056" s="26" t="str">
        <f>IF(OR(E3056="",E3056="!!!",F3056="NEW"),"",INDEX(J$1:J3055,SUMPRODUCT(MAX(ROW(E$1:E3055)*(E3056=E$1:E3055)))))</f>
        <v> </v>
      </c>
      <c r="L3056" s="27"/>
    </row>
    <row r="3057" spans="1:12">
      <c r="A3057" s="20" t="s">
        <v>2018</v>
      </c>
      <c r="E3057" s="22">
        <f>IF(D3057="?OLD","!!!","")</f>
        <v/>
      </c>
      <c r="F3057" s="23" t="str">
        <f>IF(OR(E3057="",E3057="!!!"),"",IF(NOT(ISNA(VLOOKUP(E3057,E$1:E3056,1,FALSE()))),"OLD",IF(AND(E3057&lt;&gt;"",E3057&lt;&gt;"!!!"),"NEW","")))</f>
        <v> </v>
      </c>
      <c r="G3057" s="24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5" t="str">
        <f>IF(J3057&lt;&gt;1,"",IF(I3057="SBJ","CB","?"))</f>
        <v> </v>
      </c>
      <c r="I3057" s="26" t="str">
        <f>IF(OR(E3057="",E3057="!!!",F3057="NEW"),"",INDEX(B3056:B$2,-1+SUMPRODUCT(MAX(ROW(E3056:E$2)*(E3057=E3056:E$2)))))</f>
        <v> </v>
      </c>
      <c r="J3057" s="26" t="str">
        <f>IF(OR(E3057="",E3057="!!!",F3057="NEW"),"",COUNTBLANK(OFFSET(A$1,,,SUMPRODUCT(MAX(ROW(E$2:E3057)*(E3057=E$2:E3057)))))-COUNTBLANK(OFFSET(A$1,,,SUMPRODUCT(MAX(ROW(E$1:E3056)*(E2=E$1:E3056))))))</f>
        <v> </v>
      </c>
      <c r="K3057" s="26" t="str">
        <f>IF(OR(E3057="",E3057="!!!",F3057="NEW"),"",INDEX(J$1:J3056,SUMPRODUCT(MAX(ROW(E$1:E3056)*(E3057=E$1:E3056)))))</f>
        <v> </v>
      </c>
      <c r="L3057" s="27"/>
    </row>
    <row r="3058" spans="1:12">
      <c r="A3058" s="20" t="s">
        <v>902</v>
      </c>
      <c r="E3058" s="22">
        <f>IF(D3058="?OLD","!!!","")</f>
        <v/>
      </c>
      <c r="F3058" s="23" t="str">
        <f>IF(OR(E3058="",E3058="!!!"),"",IF(NOT(ISNA(VLOOKUP(E3058,E$1:E3057,1,FALSE()))),"OLD",IF(AND(E3058&lt;&gt;"",E3058&lt;&gt;"!!!"),"NEW","")))</f>
        <v> </v>
      </c>
      <c r="G3058" s="24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5" t="str">
        <f>IF(J3058&lt;&gt;1,"",IF(I3058="SBJ","CB","?"))</f>
        <v> </v>
      </c>
      <c r="I3058" s="26" t="str">
        <f>IF(OR(E3058="",E3058="!!!",F3058="NEW"),"",INDEX(B3057:B$2,-1+SUMPRODUCT(MAX(ROW(E3057:E$2)*(E3058=E3057:E$2)))))</f>
        <v> </v>
      </c>
      <c r="J3058" s="26" t="str">
        <f>IF(OR(E3058="",E3058="!!!",F3058="NEW"),"",COUNTBLANK(OFFSET(A$1,,,SUMPRODUCT(MAX(ROW(E$2:E3058)*(E3058=E$2:E3058)))))-COUNTBLANK(OFFSET(A$1,,,SUMPRODUCT(MAX(ROW(E$1:E3057)*(E2=E$1:E3057))))))</f>
        <v> </v>
      </c>
      <c r="K3058" s="26" t="str">
        <f>IF(OR(E3058="",E3058="!!!",F3058="NEW"),"",INDEX(J$1:J3057,SUMPRODUCT(MAX(ROW(E$1:E3057)*(E3058=E$1:E3057)))))</f>
        <v> </v>
      </c>
      <c r="L3058" s="27"/>
    </row>
    <row r="3059" spans="1:12">
      <c r="A3059" s="20" t="s">
        <v>1600</v>
      </c>
      <c r="B3059" s="21" t="s">
        <v>609</v>
      </c>
      <c r="C3059" s="21" t="s">
        <v>602</v>
      </c>
      <c r="D3059" s="21" t="s">
        <v>603</v>
      </c>
      <c r="E3059" s="22">
        <f>IF(D3059="?OLD","!!!","")</f>
        <v/>
      </c>
      <c r="F3059" s="23" t="str">
        <f>IF(OR(E3059="",E3059="!!!"),"",IF(NOT(ISNA(VLOOKUP(E3059,E$1:E3058,1,FALSE()))),"OLD",IF(AND(E3059&lt;&gt;"",E3059&lt;&gt;"!!!"),"NEW","")))</f>
        <v> </v>
      </c>
      <c r="G3059" s="24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5" t="str">
        <f>IF(J3059&lt;&gt;1,"",IF(I3059="SBJ","CB","?"))</f>
        <v> </v>
      </c>
      <c r="I3059" s="26" t="str">
        <f>IF(OR(E3059="",E3059="!!!",F3059="NEW"),"",INDEX(B3058:B$2,-1+SUMPRODUCT(MAX(ROW(E3058:E$2)*(E3059=E3058:E$2)))))</f>
        <v> </v>
      </c>
      <c r="J3059" s="26" t="str">
        <f>IF(OR(E3059="",E3059="!!!",F3059="NEW"),"",COUNTBLANK(OFFSET(A$1,,,SUMPRODUCT(MAX(ROW(E$2:E3059)*(E3059=E$2:E3059)))))-COUNTBLANK(OFFSET(A$1,,,SUMPRODUCT(MAX(ROW(E$1:E3058)*(E2=E$1:E3058))))))</f>
        <v> </v>
      </c>
      <c r="K3059" s="26" t="str">
        <f>IF(OR(E3059="",E3059="!!!",F3059="NEW"),"",INDEX(J$1:J3058,SUMPRODUCT(MAX(ROW(E$1:E3058)*(E3059=E$1:E3058)))))</f>
        <v> </v>
      </c>
      <c r="L3059" s="27"/>
    </row>
    <row r="3060" spans="1:12">
      <c r="A3060" s="20" t="s">
        <v>2019</v>
      </c>
      <c r="E3060" s="22">
        <f>IF(D3060="?OLD","!!!","")</f>
        <v/>
      </c>
      <c r="F3060" s="23" t="str">
        <f>IF(OR(E3060="",E3060="!!!"),"",IF(NOT(ISNA(VLOOKUP(E3060,E$1:E3059,1,FALSE()))),"OLD",IF(AND(E3060&lt;&gt;"",E3060&lt;&gt;"!!!"),"NEW","")))</f>
        <v> </v>
      </c>
      <c r="G3060" s="24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5" t="str">
        <f>IF(J3060&lt;&gt;1,"",IF(I3060="SBJ","CB","?"))</f>
        <v> </v>
      </c>
      <c r="I3060" s="26" t="str">
        <f>IF(OR(E3060="",E3060="!!!",F3060="NEW"),"",INDEX(B3059:B$2,-1+SUMPRODUCT(MAX(ROW(E3059:E$2)*(E3060=E3059:E$2)))))</f>
        <v> </v>
      </c>
      <c r="J3060" s="26" t="str">
        <f>IF(OR(E3060="",E3060="!!!",F3060="NEW"),"",COUNTBLANK(OFFSET(A$1,,,SUMPRODUCT(MAX(ROW(E$2:E3060)*(E3060=E$2:E3060)))))-COUNTBLANK(OFFSET(A$1,,,SUMPRODUCT(MAX(ROW(E$1:E3059)*(E2=E$1:E3059))))))</f>
        <v> </v>
      </c>
      <c r="K3060" s="26" t="str">
        <f>IF(OR(E3060="",E3060="!!!",F3060="NEW"),"",INDEX(J$1:J3059,SUMPRODUCT(MAX(ROW(E$1:E3059)*(E3060=E$1:E3059)))))</f>
        <v> </v>
      </c>
      <c r="L3060" s="27"/>
    </row>
    <row r="3061" spans="1:12">
      <c r="A3061" s="20" t="s">
        <v>633</v>
      </c>
      <c r="E3061" s="22">
        <f>IF(D3061="?OLD","!!!","")</f>
        <v/>
      </c>
      <c r="F3061" s="23" t="str">
        <f>IF(OR(E3061="",E3061="!!!"),"",IF(NOT(ISNA(VLOOKUP(E3061,E$1:E3060,1,FALSE()))),"OLD",IF(AND(E3061&lt;&gt;"",E3061&lt;&gt;"!!!"),"NEW","")))</f>
        <v> </v>
      </c>
      <c r="G3061" s="24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5" t="str">
        <f>IF(J3061&lt;&gt;1,"",IF(I3061="SBJ","CB","?"))</f>
        <v> </v>
      </c>
      <c r="I3061" s="26" t="str">
        <f>IF(OR(E3061="",E3061="!!!",F3061="NEW"),"",INDEX(B3060:B$2,-1+SUMPRODUCT(MAX(ROW(E3060:E$2)*(E3061=E3060:E$2)))))</f>
        <v> </v>
      </c>
      <c r="J3061" s="26" t="str">
        <f>IF(OR(E3061="",E3061="!!!",F3061="NEW"),"",COUNTBLANK(OFFSET(A$1,,,SUMPRODUCT(MAX(ROW(E$2:E3061)*(E3061=E$2:E3061)))))-COUNTBLANK(OFFSET(A$1,,,SUMPRODUCT(MAX(ROW(E$1:E3060)*(E2=E$1:E3060))))))</f>
        <v> </v>
      </c>
      <c r="K3061" s="26" t="str">
        <f>IF(OR(E3061="",E3061="!!!",F3061="NEW"),"",INDEX(J$1:J3060,SUMPRODUCT(MAX(ROW(E$1:E3060)*(E3061=E$1:E3060)))))</f>
        <v> </v>
      </c>
      <c r="L3061" s="27"/>
    </row>
    <row r="3062" spans="1:12">
      <c r="A3062" s="20"/>
    </row>
    <row r="3063" spans="1:12">
      <c r="A3063" s="20" t="s">
        <v>2020</v>
      </c>
    </row>
    <row r="3064" spans="1:12">
      <c r="A3064" s="20" t="s">
        <v>1967</v>
      </c>
      <c r="E3064" s="22">
        <f>IF(D3064="?OLD","!!!","")</f>
        <v/>
      </c>
      <c r="F3064" s="23" t="str">
        <f>IF(OR(E3064="",E3064="!!!"),"",IF(NOT(ISNA(VLOOKUP(E3064,E$1:E3063,1,FALSE()))),"OLD",IF(AND(E3064&lt;&gt;"",E3064&lt;&gt;"!!!"),"NEW","")))</f>
        <v> </v>
      </c>
      <c r="G3064" s="24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5" t="str">
        <f>IF(J3064&lt;&gt;1,"",IF(I3064="SBJ","CB","?"))</f>
        <v> </v>
      </c>
      <c r="I3064" s="26" t="str">
        <f>IF(OR(E3064="",E3064="!!!",F3064="NEW"),"",INDEX(B3063:B$2,-1+SUMPRODUCT(MAX(ROW(E3063:E$2)*(E3064=E3063:E$2)))))</f>
        <v> </v>
      </c>
      <c r="J3064" s="26" t="str">
        <f>IF(OR(E3064="",E3064="!!!",F3064="NEW"),"",COUNTBLANK(OFFSET(A$1,,,SUMPRODUCT(MAX(ROW(E$2:E3064)*(E3064=E$2:E3064)))))-COUNTBLANK(OFFSET(A$1,,,SUMPRODUCT(MAX(ROW(E$1:E3063)*(E2=E$1:E3063))))))</f>
        <v> </v>
      </c>
      <c r="K3064" s="26" t="str">
        <f>IF(OR(E3064="",E3064="!!!",F3064="NEW"),"",INDEX(J$1:J3063,SUMPRODUCT(MAX(ROW(E$1:E3063)*(E3064=E$1:E3063)))))</f>
        <v> </v>
      </c>
      <c r="L3064" s="27"/>
    </row>
    <row r="3065" spans="1:12">
      <c r="A3065" s="20" t="s">
        <v>1019</v>
      </c>
      <c r="E3065" s="22">
        <f>IF(D3065="?OLD","!!!","")</f>
        <v/>
      </c>
      <c r="F3065" s="23" t="str">
        <f>IF(OR(E3065="",E3065="!!!"),"",IF(NOT(ISNA(VLOOKUP(E3065,E$1:E3064,1,FALSE()))),"OLD",IF(AND(E3065&lt;&gt;"",E3065&lt;&gt;"!!!"),"NEW","")))</f>
        <v> </v>
      </c>
      <c r="G3065" s="24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5" t="str">
        <f>IF(J3065&lt;&gt;1,"",IF(I3065="SBJ","CB","?"))</f>
        <v> </v>
      </c>
      <c r="I3065" s="26" t="str">
        <f>IF(OR(E3065="",E3065="!!!",F3065="NEW"),"",INDEX(B3064:B$2,-1+SUMPRODUCT(MAX(ROW(E3064:E$2)*(E3065=E3064:E$2)))))</f>
        <v> </v>
      </c>
      <c r="J3065" s="26" t="str">
        <f>IF(OR(E3065="",E3065="!!!",F3065="NEW"),"",COUNTBLANK(OFFSET(A$1,,,SUMPRODUCT(MAX(ROW(E$2:E3065)*(E3065=E$2:E3065)))))-COUNTBLANK(OFFSET(A$1,,,SUMPRODUCT(MAX(ROW(E$1:E3064)*(E2=E$1:E3064))))))</f>
        <v> </v>
      </c>
      <c r="K3065" s="26" t="str">
        <f>IF(OR(E3065="",E3065="!!!",F3065="NEW"),"",INDEX(J$1:J3064,SUMPRODUCT(MAX(ROW(E$1:E3064)*(E3065=E$1:E3064)))))</f>
        <v> </v>
      </c>
      <c r="L3065" s="27"/>
    </row>
    <row r="3066" spans="1:12">
      <c r="A3066" s="20" t="s">
        <v>611</v>
      </c>
      <c r="E3066" s="22">
        <f>IF(D3066="?OLD","!!!","")</f>
        <v/>
      </c>
      <c r="F3066" s="23" t="str">
        <f>IF(OR(E3066="",E3066="!!!"),"",IF(NOT(ISNA(VLOOKUP(E3066,E$1:E3065,1,FALSE()))),"OLD",IF(AND(E3066&lt;&gt;"",E3066&lt;&gt;"!!!"),"NEW","")))</f>
        <v> </v>
      </c>
      <c r="G3066" s="24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5" t="str">
        <f>IF(J3066&lt;&gt;1,"",IF(I3066="SBJ","CB","?"))</f>
        <v> </v>
      </c>
      <c r="I3066" s="26" t="str">
        <f>IF(OR(E3066="",E3066="!!!",F3066="NEW"),"",INDEX(B3065:B$2,-1+SUMPRODUCT(MAX(ROW(E3065:E$2)*(E3066=E3065:E$2)))))</f>
        <v> </v>
      </c>
      <c r="J3066" s="26" t="str">
        <f>IF(OR(E3066="",E3066="!!!",F3066="NEW"),"",COUNTBLANK(OFFSET(A$1,,,SUMPRODUCT(MAX(ROW(E$2:E3066)*(E3066=E$2:E3066)))))-COUNTBLANK(OFFSET(A$1,,,SUMPRODUCT(MAX(ROW(E$1:E3065)*(E2=E$1:E3065))))))</f>
        <v> </v>
      </c>
      <c r="K3066" s="26" t="str">
        <f>IF(OR(E3066="",E3066="!!!",F3066="NEW"),"",INDEX(J$1:J3065,SUMPRODUCT(MAX(ROW(E$1:E3065)*(E3066=E$1:E3065)))))</f>
        <v> </v>
      </c>
      <c r="L3066" s="27"/>
    </row>
    <row r="3067" spans="1:12">
      <c r="A3067" s="20" t="s">
        <v>615</v>
      </c>
      <c r="B3067" s="21" t="s">
        <v>601</v>
      </c>
      <c r="C3067" s="21" t="s">
        <v>602</v>
      </c>
      <c r="D3067" s="21" t="s">
        <v>603</v>
      </c>
      <c r="E3067" s="22">
        <f>IF(D3067="?OLD","!!!","")</f>
        <v/>
      </c>
      <c r="F3067" s="23" t="str">
        <f>IF(OR(E3067="",E3067="!!!"),"",IF(NOT(ISNA(VLOOKUP(E3067,E$1:E3066,1,FALSE()))),"OLD",IF(AND(E3067&lt;&gt;"",E3067&lt;&gt;"!!!"),"NEW","")))</f>
        <v> </v>
      </c>
      <c r="G3067" s="24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5" t="str">
        <f>IF(J3067&lt;&gt;1,"",IF(I3067="SBJ","CB","?"))</f>
        <v> </v>
      </c>
      <c r="I3067" s="26" t="str">
        <f>IF(OR(E3067="",E3067="!!!",F3067="NEW"),"",INDEX(B3066:B$2,-1+SUMPRODUCT(MAX(ROW(E3066:E$2)*(E3067=E3066:E$2)))))</f>
        <v> </v>
      </c>
      <c r="J3067" s="26" t="str">
        <f>IF(OR(E3067="",E3067="!!!",F3067="NEW"),"",COUNTBLANK(OFFSET(A$1,,,SUMPRODUCT(MAX(ROW(E$2:E3067)*(E3067=E$2:E3067)))))-COUNTBLANK(OFFSET(A$1,,,SUMPRODUCT(MAX(ROW(E$1:E3066)*(E2=E$1:E3066))))))</f>
        <v> </v>
      </c>
      <c r="K3067" s="26" t="str">
        <f>IF(OR(E3067="",E3067="!!!",F3067="NEW"),"",INDEX(J$1:J3066,SUMPRODUCT(MAX(ROW(E$1:E3066)*(E3067=E$1:E3066)))))</f>
        <v> </v>
      </c>
      <c r="L3067" s="27"/>
    </row>
    <row r="3068" spans="1:12">
      <c r="A3068" s="20" t="s">
        <v>1083</v>
      </c>
      <c r="E3068" s="22">
        <f>IF(D3068="?OLD","!!!","")</f>
        <v/>
      </c>
      <c r="F3068" s="23" t="str">
        <f>IF(OR(E3068="",E3068="!!!"),"",IF(NOT(ISNA(VLOOKUP(E3068,E$1:E3067,1,FALSE()))),"OLD",IF(AND(E3068&lt;&gt;"",E3068&lt;&gt;"!!!"),"NEW","")))</f>
        <v> </v>
      </c>
      <c r="G3068" s="24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5" t="str">
        <f>IF(J3068&lt;&gt;1,"",IF(I3068="SBJ","CB","?"))</f>
        <v> </v>
      </c>
      <c r="I3068" s="26" t="str">
        <f>IF(OR(E3068="",E3068="!!!",F3068="NEW"),"",INDEX(B3067:B$2,-1+SUMPRODUCT(MAX(ROW(E3067:E$2)*(E3068=E3067:E$2)))))</f>
        <v> </v>
      </c>
      <c r="J3068" s="26" t="str">
        <f>IF(OR(E3068="",E3068="!!!",F3068="NEW"),"",COUNTBLANK(OFFSET(A$1,,,SUMPRODUCT(MAX(ROW(E$2:E3068)*(E3068=E$2:E3068)))))-COUNTBLANK(OFFSET(A$1,,,SUMPRODUCT(MAX(ROW(E$1:E3067)*(E2=E$1:E3067))))))</f>
        <v> </v>
      </c>
      <c r="K3068" s="26" t="str">
        <f>IF(OR(E3068="",E3068="!!!",F3068="NEW"),"",INDEX(J$1:J3067,SUMPRODUCT(MAX(ROW(E$1:E3067)*(E3068=E$1:E3067)))))</f>
        <v> </v>
      </c>
      <c r="L3068" s="27"/>
    </row>
    <row r="3069" spans="1:12">
      <c r="A3069" s="20" t="s">
        <v>611</v>
      </c>
      <c r="E3069" s="22">
        <f>IF(D3069="?OLD","!!!","")</f>
        <v/>
      </c>
      <c r="F3069" s="23" t="str">
        <f>IF(OR(E3069="",E3069="!!!"),"",IF(NOT(ISNA(VLOOKUP(E3069,E$1:E3068,1,FALSE()))),"OLD",IF(AND(E3069&lt;&gt;"",E3069&lt;&gt;"!!!"),"NEW","")))</f>
        <v> </v>
      </c>
      <c r="G3069" s="24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5" t="str">
        <f>IF(J3069&lt;&gt;1,"",IF(I3069="SBJ","CB","?"))</f>
        <v> </v>
      </c>
      <c r="I3069" s="26" t="str">
        <f>IF(OR(E3069="",E3069="!!!",F3069="NEW"),"",INDEX(B3068:B$2,-1+SUMPRODUCT(MAX(ROW(E3068:E$2)*(E3069=E3068:E$2)))))</f>
        <v> </v>
      </c>
      <c r="J3069" s="26" t="str">
        <f>IF(OR(E3069="",E3069="!!!",F3069="NEW"),"",COUNTBLANK(OFFSET(A$1,,,SUMPRODUCT(MAX(ROW(E$2:E3069)*(E3069=E$2:E3069)))))-COUNTBLANK(OFFSET(A$1,,,SUMPRODUCT(MAX(ROW(E$1:E3068)*(E2=E$1:E3068))))))</f>
        <v> </v>
      </c>
      <c r="K3069" s="26" t="str">
        <f>IF(OR(E3069="",E3069="!!!",F3069="NEW"),"",INDEX(J$1:J3068,SUMPRODUCT(MAX(ROW(E$1:E3068)*(E3069=E$1:E3068)))))</f>
        <v> </v>
      </c>
      <c r="L3069" s="27"/>
    </row>
    <row r="3070" spans="1:12">
      <c r="A3070" s="20" t="s">
        <v>658</v>
      </c>
      <c r="E3070" s="22">
        <f>IF(D3070="?OLD","!!!","")</f>
        <v/>
      </c>
      <c r="F3070" s="23" t="str">
        <f>IF(OR(E3070="",E3070="!!!"),"",IF(NOT(ISNA(VLOOKUP(E3070,E$1:E3069,1,FALSE()))),"OLD",IF(AND(E3070&lt;&gt;"",E3070&lt;&gt;"!!!"),"NEW","")))</f>
        <v> </v>
      </c>
      <c r="G3070" s="24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5" t="str">
        <f>IF(J3070&lt;&gt;1,"",IF(I3070="SBJ","CB","?"))</f>
        <v> </v>
      </c>
      <c r="I3070" s="26" t="str">
        <f>IF(OR(E3070="",E3070="!!!",F3070="NEW"),"",INDEX(B3069:B$2,-1+SUMPRODUCT(MAX(ROW(E3069:E$2)*(E3070=E3069:E$2)))))</f>
        <v> </v>
      </c>
      <c r="J3070" s="26" t="str">
        <f>IF(OR(E3070="",E3070="!!!",F3070="NEW"),"",COUNTBLANK(OFFSET(A$1,,,SUMPRODUCT(MAX(ROW(E$2:E3070)*(E3070=E$2:E3070)))))-COUNTBLANK(OFFSET(A$1,,,SUMPRODUCT(MAX(ROW(E$1:E3069)*(E2=E$1:E3069))))))</f>
        <v> </v>
      </c>
      <c r="K3070" s="26" t="str">
        <f>IF(OR(E3070="",E3070="!!!",F3070="NEW"),"",INDEX(J$1:J3069,SUMPRODUCT(MAX(ROW(E$1:E3069)*(E3070=E$1:E3069)))))</f>
        <v> </v>
      </c>
      <c r="L3070" s="27"/>
    </row>
    <row r="3071" spans="1:12">
      <c r="A3071" s="20" t="s">
        <v>1356</v>
      </c>
      <c r="E3071" s="22">
        <f>IF(D3071="?OLD","!!!","")</f>
        <v/>
      </c>
      <c r="F3071" s="23" t="str">
        <f>IF(OR(E3071="",E3071="!!!"),"",IF(NOT(ISNA(VLOOKUP(E3071,E$1:E3070,1,FALSE()))),"OLD",IF(AND(E3071&lt;&gt;"",E3071&lt;&gt;"!!!"),"NEW","")))</f>
        <v> </v>
      </c>
      <c r="G3071" s="24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5" t="str">
        <f>IF(J3071&lt;&gt;1,"",IF(I3071="SBJ","CB","?"))</f>
        <v> </v>
      </c>
      <c r="I3071" s="26" t="str">
        <f>IF(OR(E3071="",E3071="!!!",F3071="NEW"),"",INDEX(B3070:B$2,-1+SUMPRODUCT(MAX(ROW(E3070:E$2)*(E3071=E3070:E$2)))))</f>
        <v> </v>
      </c>
      <c r="J3071" s="26" t="str">
        <f>IF(OR(E3071="",E3071="!!!",F3071="NEW"),"",COUNTBLANK(OFFSET(A$1,,,SUMPRODUCT(MAX(ROW(E$2:E3071)*(E3071=E$2:E3071)))))-COUNTBLANK(OFFSET(A$1,,,SUMPRODUCT(MAX(ROW(E$1:E3070)*(E2=E$1:E3070))))))</f>
        <v> </v>
      </c>
      <c r="K3071" s="26" t="str">
        <f>IF(OR(E3071="",E3071="!!!",F3071="NEW"),"",INDEX(J$1:J3070,SUMPRODUCT(MAX(ROW(E$1:E3070)*(E3071=E$1:E3070)))))</f>
        <v> </v>
      </c>
      <c r="L3071" s="27"/>
    </row>
    <row r="3072" spans="1:12">
      <c r="A3072" s="20" t="s">
        <v>2021</v>
      </c>
      <c r="E3072" s="22">
        <f>IF(D3072="?OLD","!!!","")</f>
        <v/>
      </c>
      <c r="F3072" s="23" t="str">
        <f>IF(OR(E3072="",E3072="!!!"),"",IF(NOT(ISNA(VLOOKUP(E3072,E$1:E3071,1,FALSE()))),"OLD",IF(AND(E3072&lt;&gt;"",E3072&lt;&gt;"!!!"),"NEW","")))</f>
        <v> </v>
      </c>
      <c r="G3072" s="24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5" t="str">
        <f>IF(J3072&lt;&gt;1,"",IF(I3072="SBJ","CB","?"))</f>
        <v> </v>
      </c>
      <c r="I3072" s="26" t="str">
        <f>IF(OR(E3072="",E3072="!!!",F3072="NEW"),"",INDEX(B3071:B$2,-1+SUMPRODUCT(MAX(ROW(E3071:E$2)*(E3072=E3071:E$2)))))</f>
        <v> </v>
      </c>
      <c r="J3072" s="26" t="str">
        <f>IF(OR(E3072="",E3072="!!!",F3072="NEW"),"",COUNTBLANK(OFFSET(A$1,,,SUMPRODUCT(MAX(ROW(E$2:E3072)*(E3072=E$2:E3072)))))-COUNTBLANK(OFFSET(A$1,,,SUMPRODUCT(MAX(ROW(E$1:E3071)*(E2=E$1:E3071))))))</f>
        <v> </v>
      </c>
      <c r="K3072" s="26" t="str">
        <f>IF(OR(E3072="",E3072="!!!",F3072="NEW"),"",INDEX(J$1:J3071,SUMPRODUCT(MAX(ROW(E$1:E3071)*(E3072=E$1:E3071)))))</f>
        <v> </v>
      </c>
      <c r="L3072" s="27"/>
    </row>
    <row r="3073" spans="1:12">
      <c r="A3073" s="20" t="s">
        <v>1359</v>
      </c>
      <c r="B3073" s="21" t="s">
        <v>636</v>
      </c>
      <c r="E3073" s="22">
        <f>IF(D3073="?OLD","!!!","")</f>
        <v/>
      </c>
      <c r="F3073" s="23" t="str">
        <f>IF(OR(E3073="",E3073="!!!"),"",IF(NOT(ISNA(VLOOKUP(E3073,E$1:E3072,1,FALSE()))),"OLD",IF(AND(E3073&lt;&gt;"",E3073&lt;&gt;"!!!"),"NEW","")))</f>
        <v> </v>
      </c>
      <c r="G3073" s="24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5" t="str">
        <f>IF(J3073&lt;&gt;1,"",IF(I3073="SBJ","CB","?"))</f>
        <v> </v>
      </c>
      <c r="I3073" s="26" t="str">
        <f>IF(OR(E3073="",E3073="!!!",F3073="NEW"),"",INDEX(B3072:B$2,-1+SUMPRODUCT(MAX(ROW(E3072:E$2)*(E3073=E3072:E$2)))))</f>
        <v> </v>
      </c>
      <c r="J3073" s="26" t="str">
        <f>IF(OR(E3073="",E3073="!!!",F3073="NEW"),"",COUNTBLANK(OFFSET(A$1,,,SUMPRODUCT(MAX(ROW(E$2:E3073)*(E3073=E$2:E3073)))))-COUNTBLANK(OFFSET(A$1,,,SUMPRODUCT(MAX(ROW(E$1:E3072)*(E2=E$1:E3072))))))</f>
        <v> </v>
      </c>
      <c r="K3073" s="26" t="str">
        <f>IF(OR(E3073="",E3073="!!!",F3073="NEW"),"",INDEX(J$1:J3072,SUMPRODUCT(MAX(ROW(E$1:E3072)*(E3073=E$1:E3072)))))</f>
        <v> </v>
      </c>
      <c r="L3073" s="27"/>
    </row>
    <row r="3074" spans="1:12">
      <c r="A3074" s="20" t="s">
        <v>677</v>
      </c>
      <c r="E3074" s="22">
        <f>IF(D3074="?OLD","!!!","")</f>
        <v/>
      </c>
      <c r="F3074" s="23" t="str">
        <f>IF(OR(E3074="",E3074="!!!"),"",IF(NOT(ISNA(VLOOKUP(E3074,E$1:E3073,1,FALSE()))),"OLD",IF(AND(E3074&lt;&gt;"",E3074&lt;&gt;"!!!"),"NEW","")))</f>
        <v> </v>
      </c>
      <c r="G3074" s="24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5" t="str">
        <f>IF(J3074&lt;&gt;1,"",IF(I3074="SBJ","CB","?"))</f>
        <v> </v>
      </c>
      <c r="I3074" s="26" t="str">
        <f>IF(OR(E3074="",E3074="!!!",F3074="NEW"),"",INDEX(B3073:B$2,-1+SUMPRODUCT(MAX(ROW(E3073:E$2)*(E3074=E3073:E$2)))))</f>
        <v> </v>
      </c>
      <c r="J3074" s="26" t="str">
        <f>IF(OR(E3074="",E3074="!!!",F3074="NEW"),"",COUNTBLANK(OFFSET(A$1,,,SUMPRODUCT(MAX(ROW(E$2:E3074)*(E3074=E$2:E3074)))))-COUNTBLANK(OFFSET(A$1,,,SUMPRODUCT(MAX(ROW(E$1:E3073)*(E2=E$1:E3073))))))</f>
        <v> </v>
      </c>
      <c r="K3074" s="26" t="str">
        <f>IF(OR(E3074="",E3074="!!!",F3074="NEW"),"",INDEX(J$1:J3073,SUMPRODUCT(MAX(ROW(E$1:E3073)*(E3074=E$1:E3073)))))</f>
        <v> </v>
      </c>
      <c r="L3074" s="27"/>
    </row>
    <row r="3075" spans="1:12">
      <c r="A3075" s="20" t="s">
        <v>722</v>
      </c>
      <c r="B3075" s="21" t="s">
        <v>616</v>
      </c>
      <c r="C3075" s="21" t="s">
        <v>723</v>
      </c>
      <c r="D3075" s="21" t="s">
        <v>603</v>
      </c>
      <c r="E3075" s="22">
        <f>IF(D3075="?OLD","!!!","")</f>
        <v/>
      </c>
      <c r="F3075" s="23" t="str">
        <f>IF(OR(E3075="",E3075="!!!"),"",IF(NOT(ISNA(VLOOKUP(E3075,E$1:E3074,1,FALSE()))),"OLD",IF(AND(E3075&lt;&gt;"",E3075&lt;&gt;"!!!"),"NEW","")))</f>
        <v> </v>
      </c>
      <c r="G3075" s="24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5" t="str">
        <f>IF(J3075&lt;&gt;1,"",IF(I3075="SBJ","CB","?"))</f>
        <v> </v>
      </c>
      <c r="I3075" s="26" t="str">
        <f>IF(OR(E3075="",E3075="!!!",F3075="NEW"),"",INDEX(B3074:B$2,-1+SUMPRODUCT(MAX(ROW(E3074:E$2)*(E3075=E3074:E$2)))))</f>
        <v> </v>
      </c>
      <c r="J3075" s="26" t="str">
        <f>IF(OR(E3075="",E3075="!!!",F3075="NEW"),"",COUNTBLANK(OFFSET(A$1,,,SUMPRODUCT(MAX(ROW(E$2:E3075)*(E3075=E$2:E3075)))))-COUNTBLANK(OFFSET(A$1,,,SUMPRODUCT(MAX(ROW(E$1:E3074)*(E2=E$1:E3074))))))</f>
        <v> </v>
      </c>
      <c r="K3075" s="26" t="str">
        <f>IF(OR(E3075="",E3075="!!!",F3075="NEW"),"",INDEX(J$1:J3074,SUMPRODUCT(MAX(ROW(E$1:E3074)*(E3075=E$1:E3074)))))</f>
        <v> </v>
      </c>
      <c r="L3075" s="27"/>
    </row>
    <row r="3076" spans="1:12">
      <c r="A3076" s="20" t="s">
        <v>2022</v>
      </c>
      <c r="E3076" s="22">
        <f>IF(D3076="?OLD","!!!","")</f>
        <v/>
      </c>
      <c r="F3076" s="23" t="str">
        <f>IF(OR(E3076="",E3076="!!!"),"",IF(NOT(ISNA(VLOOKUP(E3076,E$1:E3075,1,FALSE()))),"OLD",IF(AND(E3076&lt;&gt;"",E3076&lt;&gt;"!!!"),"NEW","")))</f>
        <v> </v>
      </c>
      <c r="G3076" s="24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5" t="str">
        <f>IF(J3076&lt;&gt;1,"",IF(I3076="SBJ","CB","?"))</f>
        <v> </v>
      </c>
      <c r="I3076" s="26" t="str">
        <f>IF(OR(E3076="",E3076="!!!",F3076="NEW"),"",INDEX(B3075:B$2,-1+SUMPRODUCT(MAX(ROW(E3075:E$2)*(E3076=E3075:E$2)))))</f>
        <v> </v>
      </c>
      <c r="J3076" s="26" t="str">
        <f>IF(OR(E3076="",E3076="!!!",F3076="NEW"),"",COUNTBLANK(OFFSET(A$1,,,SUMPRODUCT(MAX(ROW(E$2:E3076)*(E3076=E$2:E3076)))))-COUNTBLANK(OFFSET(A$1,,,SUMPRODUCT(MAX(ROW(E$1:E3075)*(E2=E$1:E3075))))))</f>
        <v> </v>
      </c>
      <c r="K3076" s="26" t="str">
        <f>IF(OR(E3076="",E3076="!!!",F3076="NEW"),"",INDEX(J$1:J3075,SUMPRODUCT(MAX(ROW(E$1:E3075)*(E3076=E$1:E3075)))))</f>
        <v> </v>
      </c>
      <c r="L3076" s="27"/>
    </row>
    <row r="3077" spans="1:12">
      <c r="A3077" s="20" t="s">
        <v>2023</v>
      </c>
      <c r="E3077" s="22">
        <f>IF(D3077="?OLD","!!!","")</f>
        <v/>
      </c>
      <c r="F3077" s="23" t="str">
        <f>IF(OR(E3077="",E3077="!!!"),"",IF(NOT(ISNA(VLOOKUP(E3077,E$1:E3076,1,FALSE()))),"OLD",IF(AND(E3077&lt;&gt;"",E3077&lt;&gt;"!!!"),"NEW","")))</f>
        <v> </v>
      </c>
      <c r="G3077" s="24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5" t="str">
        <f>IF(J3077&lt;&gt;1,"",IF(I3077="SBJ","CB","?"))</f>
        <v> </v>
      </c>
      <c r="I3077" s="26" t="str">
        <f>IF(OR(E3077="",E3077="!!!",F3077="NEW"),"",INDEX(B3076:B$2,-1+SUMPRODUCT(MAX(ROW(E3076:E$2)*(E3077=E3076:E$2)))))</f>
        <v> </v>
      </c>
      <c r="J3077" s="26" t="str">
        <f>IF(OR(E3077="",E3077="!!!",F3077="NEW"),"",COUNTBLANK(OFFSET(A$1,,,SUMPRODUCT(MAX(ROW(E$2:E3077)*(E3077=E$2:E3077)))))-COUNTBLANK(OFFSET(A$1,,,SUMPRODUCT(MAX(ROW(E$1:E3076)*(E2=E$1:E3076))))))</f>
        <v> </v>
      </c>
      <c r="K3077" s="26" t="str">
        <f>IF(OR(E3077="",E3077="!!!",F3077="NEW"),"",INDEX(J$1:J3076,SUMPRODUCT(MAX(ROW(E$1:E3076)*(E3077=E$1:E3076)))))</f>
        <v> </v>
      </c>
      <c r="L3077" s="27"/>
    </row>
    <row r="3078" spans="1:12">
      <c r="A3078" s="20" t="s">
        <v>611</v>
      </c>
      <c r="E3078" s="22">
        <f>IF(D3078="?OLD","!!!","")</f>
        <v/>
      </c>
      <c r="F3078" s="23" t="str">
        <f>IF(OR(E3078="",E3078="!!!"),"",IF(NOT(ISNA(VLOOKUP(E3078,E$1:E3077,1,FALSE()))),"OLD",IF(AND(E3078&lt;&gt;"",E3078&lt;&gt;"!!!"),"NEW","")))</f>
        <v> </v>
      </c>
      <c r="G3078" s="24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5" t="str">
        <f>IF(J3078&lt;&gt;1,"",IF(I3078="SBJ","CB","?"))</f>
        <v> </v>
      </c>
      <c r="I3078" s="26" t="str">
        <f>IF(OR(E3078="",E3078="!!!",F3078="NEW"),"",INDEX(B3077:B$2,-1+SUMPRODUCT(MAX(ROW(E3077:E$2)*(E3078=E3077:E$2)))))</f>
        <v> </v>
      </c>
      <c r="J3078" s="26" t="str">
        <f>IF(OR(E3078="",E3078="!!!",F3078="NEW"),"",COUNTBLANK(OFFSET(A$1,,,SUMPRODUCT(MAX(ROW(E$2:E3078)*(E3078=E$2:E3078)))))-COUNTBLANK(OFFSET(A$1,,,SUMPRODUCT(MAX(ROW(E$1:E3077)*(E2=E$1:E3077))))))</f>
        <v> </v>
      </c>
      <c r="K3078" s="26" t="str">
        <f>IF(OR(E3078="",E3078="!!!",F3078="NEW"),"",INDEX(J$1:J3077,SUMPRODUCT(MAX(ROW(E$1:E3077)*(E3078=E$1:E3077)))))</f>
        <v> </v>
      </c>
      <c r="L3078" s="27"/>
    </row>
    <row r="3079" spans="1:12">
      <c r="A3079" s="20" t="s">
        <v>2024</v>
      </c>
      <c r="E3079" s="22">
        <f>IF(D3079="?OLD","!!!","")</f>
        <v/>
      </c>
      <c r="F3079" s="23" t="str">
        <f>IF(OR(E3079="",E3079="!!!"),"",IF(NOT(ISNA(VLOOKUP(E3079,E$1:E3078,1,FALSE()))),"OLD",IF(AND(E3079&lt;&gt;"",E3079&lt;&gt;"!!!"),"NEW","")))</f>
        <v> </v>
      </c>
      <c r="G3079" s="24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5" t="str">
        <f>IF(J3079&lt;&gt;1,"",IF(I3079="SBJ","CB","?"))</f>
        <v> </v>
      </c>
      <c r="I3079" s="26" t="str">
        <f>IF(OR(E3079="",E3079="!!!",F3079="NEW"),"",INDEX(B3078:B$2,-1+SUMPRODUCT(MAX(ROW(E3078:E$2)*(E3079=E3078:E$2)))))</f>
        <v> </v>
      </c>
      <c r="J3079" s="26" t="str">
        <f>IF(OR(E3079="",E3079="!!!",F3079="NEW"),"",COUNTBLANK(OFFSET(A$1,,,SUMPRODUCT(MAX(ROW(E$2:E3079)*(E3079=E$2:E3079)))))-COUNTBLANK(OFFSET(A$1,,,SUMPRODUCT(MAX(ROW(E$1:E3078)*(E2=E$1:E3078))))))</f>
        <v> </v>
      </c>
      <c r="K3079" s="26" t="str">
        <f>IF(OR(E3079="",E3079="!!!",F3079="NEW"),"",INDEX(J$1:J3078,SUMPRODUCT(MAX(ROW(E$1:E3078)*(E3079=E$1:E3078)))))</f>
        <v> </v>
      </c>
      <c r="L3079" s="27"/>
    </row>
    <row r="3080" spans="1:12">
      <c r="A3080" s="20" t="s">
        <v>2023</v>
      </c>
      <c r="B3080" s="21" t="s">
        <v>616</v>
      </c>
      <c r="E3080" s="22">
        <f>IF(D3080="?OLD","!!!","")</f>
        <v/>
      </c>
      <c r="F3080" s="23" t="str">
        <f>IF(OR(E3080="",E3080="!!!"),"",IF(NOT(ISNA(VLOOKUP(E3080,E$1:E3079,1,FALSE()))),"OLD",IF(AND(E3080&lt;&gt;"",E3080&lt;&gt;"!!!"),"NEW","")))</f>
        <v> </v>
      </c>
      <c r="G3080" s="24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5" t="str">
        <f>IF(J3080&lt;&gt;1,"",IF(I3080="SBJ","CB","?"))</f>
        <v> </v>
      </c>
      <c r="I3080" s="26" t="str">
        <f>IF(OR(E3080="",E3080="!!!",F3080="NEW"),"",INDEX(B3079:B$2,-1+SUMPRODUCT(MAX(ROW(E3079:E$2)*(E3080=E3079:E$2)))))</f>
        <v> </v>
      </c>
      <c r="J3080" s="26" t="str">
        <f>IF(OR(E3080="",E3080="!!!",F3080="NEW"),"",COUNTBLANK(OFFSET(A$1,,,SUMPRODUCT(MAX(ROW(E$2:E3080)*(E3080=E$2:E3080)))))-COUNTBLANK(OFFSET(A$1,,,SUMPRODUCT(MAX(ROW(E$1:E3079)*(E2=E$1:E3079))))))</f>
        <v> </v>
      </c>
      <c r="K3080" s="26" t="str">
        <f>IF(OR(E3080="",E3080="!!!",F3080="NEW"),"",INDEX(J$1:J3079,SUMPRODUCT(MAX(ROW(E$1:E3079)*(E3080=E$1:E3079)))))</f>
        <v> </v>
      </c>
      <c r="L3080" s="27"/>
    </row>
    <row r="3081" spans="1:12">
      <c r="A3081" s="20" t="s">
        <v>664</v>
      </c>
      <c r="E3081" s="22">
        <f>IF(D3081="?OLD","!!!","")</f>
        <v/>
      </c>
      <c r="F3081" s="23" t="str">
        <f>IF(OR(E3081="",E3081="!!!"),"",IF(NOT(ISNA(VLOOKUP(E3081,E$1:E3080,1,FALSE()))),"OLD",IF(AND(E3081&lt;&gt;"",E3081&lt;&gt;"!!!"),"NEW","")))</f>
        <v> </v>
      </c>
      <c r="G3081" s="24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5" t="str">
        <f>IF(J3081&lt;&gt;1,"",IF(I3081="SBJ","CB","?"))</f>
        <v> </v>
      </c>
      <c r="I3081" s="26" t="str">
        <f>IF(OR(E3081="",E3081="!!!",F3081="NEW"),"",INDEX(B3080:B$2,-1+SUMPRODUCT(MAX(ROW(E3080:E$2)*(E3081=E3080:E$2)))))</f>
        <v> </v>
      </c>
      <c r="J3081" s="26" t="str">
        <f>IF(OR(E3081="",E3081="!!!",F3081="NEW"),"",COUNTBLANK(OFFSET(A$1,,,SUMPRODUCT(MAX(ROW(E$2:E3081)*(E3081=E$2:E3081)))))-COUNTBLANK(OFFSET(A$1,,,SUMPRODUCT(MAX(ROW(E$1:E3080)*(E2=E$1:E3080))))))</f>
        <v> </v>
      </c>
      <c r="K3081" s="26" t="str">
        <f>IF(OR(E3081="",E3081="!!!",F3081="NEW"),"",INDEX(J$1:J3080,SUMPRODUCT(MAX(ROW(E$1:E3080)*(E3081=E$1:E3080)))))</f>
        <v> </v>
      </c>
      <c r="L3081" s="27"/>
    </row>
    <row r="3082" spans="1:12">
      <c r="A3082" s="20" t="s">
        <v>811</v>
      </c>
      <c r="E3082" s="22">
        <f>IF(D3082="?OLD","!!!","")</f>
        <v/>
      </c>
      <c r="F3082" s="23" t="str">
        <f>IF(OR(E3082="",E3082="!!!"),"",IF(NOT(ISNA(VLOOKUP(E3082,E$1:E3081,1,FALSE()))),"OLD",IF(AND(E3082&lt;&gt;"",E3082&lt;&gt;"!!!"),"NEW","")))</f>
        <v> </v>
      </c>
      <c r="G3082" s="24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5" t="str">
        <f>IF(J3082&lt;&gt;1,"",IF(I3082="SBJ","CB","?"))</f>
        <v> </v>
      </c>
      <c r="I3082" s="26" t="str">
        <f>IF(OR(E3082="",E3082="!!!",F3082="NEW"),"",INDEX(B3081:B$2,-1+SUMPRODUCT(MAX(ROW(E3081:E$2)*(E3082=E3081:E$2)))))</f>
        <v> </v>
      </c>
      <c r="J3082" s="26" t="str">
        <f>IF(OR(E3082="",E3082="!!!",F3082="NEW"),"",COUNTBLANK(OFFSET(A$1,,,SUMPRODUCT(MAX(ROW(E$2:E3082)*(E3082=E$2:E3082)))))-COUNTBLANK(OFFSET(A$1,,,SUMPRODUCT(MAX(ROW(E$1:E3081)*(E2=E$1:E3081))))))</f>
        <v> </v>
      </c>
      <c r="K3082" s="26" t="str">
        <f>IF(OR(E3082="",E3082="!!!",F3082="NEW"),"",INDEX(J$1:J3081,SUMPRODUCT(MAX(ROW(E$1:E3081)*(E3082=E$1:E3081)))))</f>
        <v> </v>
      </c>
      <c r="L3082" s="27"/>
    </row>
    <row r="3083" spans="1:12">
      <c r="A3083" s="20" t="s">
        <v>2025</v>
      </c>
      <c r="E3083" s="22">
        <f>IF(D3083="?OLD","!!!","")</f>
        <v/>
      </c>
      <c r="F3083" s="23" t="str">
        <f>IF(OR(E3083="",E3083="!!!"),"",IF(NOT(ISNA(VLOOKUP(E3083,E$1:E3082,1,FALSE()))),"OLD",IF(AND(E3083&lt;&gt;"",E3083&lt;&gt;"!!!"),"NEW","")))</f>
        <v> </v>
      </c>
      <c r="G3083" s="24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5" t="str">
        <f>IF(J3083&lt;&gt;1,"",IF(I3083="SBJ","CB","?"))</f>
        <v> </v>
      </c>
      <c r="I3083" s="26" t="str">
        <f>IF(OR(E3083="",E3083="!!!",F3083="NEW"),"",INDEX(B3082:B$2,-1+SUMPRODUCT(MAX(ROW(E3082:E$2)*(E3083=E3082:E$2)))))</f>
        <v> </v>
      </c>
      <c r="J3083" s="26" t="str">
        <f>IF(OR(E3083="",E3083="!!!",F3083="NEW"),"",COUNTBLANK(OFFSET(A$1,,,SUMPRODUCT(MAX(ROW(E$2:E3083)*(E3083=E$2:E3083)))))-COUNTBLANK(OFFSET(A$1,,,SUMPRODUCT(MAX(ROW(E$1:E3082)*(E2=E$1:E3082))))))</f>
        <v> </v>
      </c>
      <c r="K3083" s="26" t="str">
        <f>IF(OR(E3083="",E3083="!!!",F3083="NEW"),"",INDEX(J$1:J3082,SUMPRODUCT(MAX(ROW(E$1:E3082)*(E3083=E$1:E3082)))))</f>
        <v> </v>
      </c>
      <c r="L3083" s="27"/>
    </row>
    <row r="3084" spans="1:12">
      <c r="A3084" s="20" t="s">
        <v>633</v>
      </c>
      <c r="E3084" s="22">
        <f>IF(D3084="?OLD","!!!","")</f>
        <v/>
      </c>
      <c r="F3084" s="23" t="str">
        <f>IF(OR(E3084="",E3084="!!!"),"",IF(NOT(ISNA(VLOOKUP(E3084,E$1:E3083,1,FALSE()))),"OLD",IF(AND(E3084&lt;&gt;"",E3084&lt;&gt;"!!!"),"NEW","")))</f>
        <v> </v>
      </c>
      <c r="G3084" s="24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5" t="str">
        <f>IF(J3084&lt;&gt;1,"",IF(I3084="SBJ","CB","?"))</f>
        <v> </v>
      </c>
      <c r="I3084" s="26" t="str">
        <f>IF(OR(E3084="",E3084="!!!",F3084="NEW"),"",INDEX(B3083:B$2,-1+SUMPRODUCT(MAX(ROW(E3083:E$2)*(E3084=E3083:E$2)))))</f>
        <v> </v>
      </c>
      <c r="J3084" s="26" t="str">
        <f>IF(OR(E3084="",E3084="!!!",F3084="NEW"),"",COUNTBLANK(OFFSET(A$1,,,SUMPRODUCT(MAX(ROW(E$2:E3084)*(E3084=E$2:E3084)))))-COUNTBLANK(OFFSET(A$1,,,SUMPRODUCT(MAX(ROW(E$1:E3083)*(E2=E$1:E3083))))))</f>
        <v> </v>
      </c>
      <c r="K3084" s="26" t="str">
        <f>IF(OR(E3084="",E3084="!!!",F3084="NEW"),"",INDEX(J$1:J3083,SUMPRODUCT(MAX(ROW(E$1:E3083)*(E3084=E$1:E3083)))))</f>
        <v> </v>
      </c>
      <c r="L3084" s="27"/>
    </row>
    <row r="3085" spans="1:12">
      <c r="A3085" s="20"/>
    </row>
    <row r="3086" spans="1:12">
      <c r="A3086" s="20" t="s">
        <v>2026</v>
      </c>
    </row>
    <row r="3087" spans="1:12">
      <c r="A3087" s="20" t="s">
        <v>1746</v>
      </c>
      <c r="B3087" s="21" t="s">
        <v>601</v>
      </c>
      <c r="C3087" s="21" t="s">
        <v>602</v>
      </c>
      <c r="D3087" s="21" t="s">
        <v>603</v>
      </c>
      <c r="E3087" s="22">
        <f>IF(D3087="?OLD","!!!","")</f>
        <v/>
      </c>
      <c r="F3087" s="23" t="str">
        <f>IF(OR(E3087="",E3087="!!!"),"",IF(NOT(ISNA(VLOOKUP(E3087,E$1:E3086,1,FALSE()))),"OLD",IF(AND(E3087&lt;&gt;"",E3087&lt;&gt;"!!!"),"NEW","")))</f>
        <v> </v>
      </c>
      <c r="G3087" s="24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5" t="str">
        <f>IF(J3087&lt;&gt;1,"",IF(I3087="SBJ","CB","?"))</f>
        <v> </v>
      </c>
      <c r="I3087" s="26" t="str">
        <f>IF(OR(E3087="",E3087="!!!",F3087="NEW"),"",INDEX(B3086:B$2,-1+SUMPRODUCT(MAX(ROW(E3086:E$2)*(E3087=E3086:E$2)))))</f>
        <v> </v>
      </c>
      <c r="J3087" s="26" t="str">
        <f>IF(OR(E3087="",E3087="!!!",F3087="NEW"),"",COUNTBLANK(OFFSET(A$1,,,SUMPRODUCT(MAX(ROW(E$2:E3087)*(E3087=E$2:E3087)))))-COUNTBLANK(OFFSET(A$1,,,SUMPRODUCT(MAX(ROW(E$1:E3086)*(E2=E$1:E3086))))))</f>
        <v> </v>
      </c>
      <c r="K3087" s="26" t="str">
        <f>IF(OR(E3087="",E3087="!!!",F3087="NEW"),"",INDEX(J$1:J3086,SUMPRODUCT(MAX(ROW(E$1:E3086)*(E3087=E$1:E3086)))))</f>
        <v> </v>
      </c>
      <c r="L3087" s="27"/>
    </row>
    <row r="3088" spans="1:12">
      <c r="A3088" s="20" t="s">
        <v>664</v>
      </c>
      <c r="E3088" s="22">
        <f>IF(D3088="?OLD","!!!","")</f>
        <v/>
      </c>
      <c r="F3088" s="23" t="str">
        <f>IF(OR(E3088="",E3088="!!!"),"",IF(NOT(ISNA(VLOOKUP(E3088,E$1:E3087,1,FALSE()))),"OLD",IF(AND(E3088&lt;&gt;"",E3088&lt;&gt;"!!!"),"NEW","")))</f>
        <v> </v>
      </c>
      <c r="G3088" s="24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5" t="str">
        <f>IF(J3088&lt;&gt;1,"",IF(I3088="SBJ","CB","?"))</f>
        <v> </v>
      </c>
      <c r="I3088" s="26" t="str">
        <f>IF(OR(E3088="",E3088="!!!",F3088="NEW"),"",INDEX(B3087:B$2,-1+SUMPRODUCT(MAX(ROW(E3087:E$2)*(E3088=E3087:E$2)))))</f>
        <v> </v>
      </c>
      <c r="J3088" s="26" t="str">
        <f>IF(OR(E3088="",E3088="!!!",F3088="NEW"),"",COUNTBLANK(OFFSET(A$1,,,SUMPRODUCT(MAX(ROW(E$2:E3088)*(E3088=E$2:E3088)))))-COUNTBLANK(OFFSET(A$1,,,SUMPRODUCT(MAX(ROW(E$1:E3087)*(E2=E$1:E3087))))))</f>
        <v> </v>
      </c>
      <c r="K3088" s="26" t="str">
        <f>IF(OR(E3088="",E3088="!!!",F3088="NEW"),"",INDEX(J$1:J3087,SUMPRODUCT(MAX(ROW(E$1:E3087)*(E3088=E$1:E3087)))))</f>
        <v> </v>
      </c>
      <c r="L3088" s="27"/>
    </row>
    <row r="3089" spans="1:12">
      <c r="A3089" s="20" t="s">
        <v>2027</v>
      </c>
      <c r="E3089" s="22">
        <f>IF(D3089="?OLD","!!!","")</f>
        <v/>
      </c>
      <c r="F3089" s="23" t="str">
        <f>IF(OR(E3089="",E3089="!!!"),"",IF(NOT(ISNA(VLOOKUP(E3089,E$1:E3088,1,FALSE()))),"OLD",IF(AND(E3089&lt;&gt;"",E3089&lt;&gt;"!!!"),"NEW","")))</f>
        <v> </v>
      </c>
      <c r="G3089" s="24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5" t="str">
        <f>IF(J3089&lt;&gt;1,"",IF(I3089="SBJ","CB","?"))</f>
        <v> </v>
      </c>
      <c r="I3089" s="26" t="str">
        <f>IF(OR(E3089="",E3089="!!!",F3089="NEW"),"",INDEX(B3088:B$2,-1+SUMPRODUCT(MAX(ROW(E3088:E$2)*(E3089=E3088:E$2)))))</f>
        <v> </v>
      </c>
      <c r="J3089" s="26" t="str">
        <f>IF(OR(E3089="",E3089="!!!",F3089="NEW"),"",COUNTBLANK(OFFSET(A$1,,,SUMPRODUCT(MAX(ROW(E$2:E3089)*(E3089=E$2:E3089)))))-COUNTBLANK(OFFSET(A$1,,,SUMPRODUCT(MAX(ROW(E$1:E3088)*(E2=E$1:E3088))))))</f>
        <v> </v>
      </c>
      <c r="K3089" s="26" t="str">
        <f>IF(OR(E3089="",E3089="!!!",F3089="NEW"),"",INDEX(J$1:J3088,SUMPRODUCT(MAX(ROW(E$1:E3088)*(E3089=E$1:E3088)))))</f>
        <v> </v>
      </c>
      <c r="L3089" s="27"/>
    </row>
    <row r="3090" spans="1:12">
      <c r="A3090" s="20" t="s">
        <v>2028</v>
      </c>
      <c r="E3090" s="22">
        <f>IF(D3090="?OLD","!!!","")</f>
        <v/>
      </c>
      <c r="F3090" s="23" t="str">
        <f>IF(OR(E3090="",E3090="!!!"),"",IF(NOT(ISNA(VLOOKUP(E3090,E$1:E3089,1,FALSE()))),"OLD",IF(AND(E3090&lt;&gt;"",E3090&lt;&gt;"!!!"),"NEW","")))</f>
        <v> </v>
      </c>
      <c r="G3090" s="24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5" t="str">
        <f>IF(J3090&lt;&gt;1,"",IF(I3090="SBJ","CB","?"))</f>
        <v> </v>
      </c>
      <c r="I3090" s="26" t="str">
        <f>IF(OR(E3090="",E3090="!!!",F3090="NEW"),"",INDEX(B3089:B$2,-1+SUMPRODUCT(MAX(ROW(E3089:E$2)*(E3090=E3089:E$2)))))</f>
        <v> </v>
      </c>
      <c r="J3090" s="26" t="str">
        <f>IF(OR(E3090="",E3090="!!!",F3090="NEW"),"",COUNTBLANK(OFFSET(A$1,,,SUMPRODUCT(MAX(ROW(E$2:E3090)*(E3090=E$2:E3090)))))-COUNTBLANK(OFFSET(A$1,,,SUMPRODUCT(MAX(ROW(E$1:E3089)*(E2=E$1:E3089))))))</f>
        <v> </v>
      </c>
      <c r="K3090" s="26" t="str">
        <f>IF(OR(E3090="",E3090="!!!",F3090="NEW"),"",INDEX(J$1:J3089,SUMPRODUCT(MAX(ROW(E$1:E3089)*(E3090=E$1:E3089)))))</f>
        <v> </v>
      </c>
      <c r="L3090" s="27"/>
    </row>
    <row r="3091" spans="1:12">
      <c r="A3091" s="20" t="s">
        <v>633</v>
      </c>
      <c r="E3091" s="22">
        <f>IF(D3091="?OLD","!!!","")</f>
        <v/>
      </c>
      <c r="F3091" s="23" t="str">
        <f>IF(OR(E3091="",E3091="!!!"),"",IF(NOT(ISNA(VLOOKUP(E3091,E$1:E3090,1,FALSE()))),"OLD",IF(AND(E3091&lt;&gt;"",E3091&lt;&gt;"!!!"),"NEW","")))</f>
        <v> </v>
      </c>
      <c r="G3091" s="24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5" t="str">
        <f>IF(J3091&lt;&gt;1,"",IF(I3091="SBJ","CB","?"))</f>
        <v> </v>
      </c>
      <c r="I3091" s="26" t="str">
        <f>IF(OR(E3091="",E3091="!!!",F3091="NEW"),"",INDEX(B3090:B$2,-1+SUMPRODUCT(MAX(ROW(E3090:E$2)*(E3091=E3090:E$2)))))</f>
        <v> </v>
      </c>
      <c r="J3091" s="26" t="str">
        <f>IF(OR(E3091="",E3091="!!!",F3091="NEW"),"",COUNTBLANK(OFFSET(A$1,,,SUMPRODUCT(MAX(ROW(E$2:E3091)*(E3091=E$2:E3091)))))-COUNTBLANK(OFFSET(A$1,,,SUMPRODUCT(MAX(ROW(E$1:E3090)*(E2=E$1:E3090))))))</f>
        <v> </v>
      </c>
      <c r="K3091" s="26" t="str">
        <f>IF(OR(E3091="",E3091="!!!",F3091="NEW"),"",INDEX(J$1:J3090,SUMPRODUCT(MAX(ROW(E$1:E3090)*(E3091=E$1:E3090)))))</f>
        <v> </v>
      </c>
      <c r="L3091" s="27"/>
    </row>
    <row r="3092" spans="1:12">
      <c r="A3092" s="20"/>
    </row>
    <row r="3093" spans="1:12">
      <c r="A3093" s="20" t="s">
        <v>2029</v>
      </c>
    </row>
    <row r="3094" spans="1:12">
      <c r="A3094" s="20" t="s">
        <v>1746</v>
      </c>
      <c r="B3094" s="21" t="s">
        <v>601</v>
      </c>
      <c r="C3094" s="21" t="s">
        <v>602</v>
      </c>
      <c r="D3094" s="21" t="s">
        <v>603</v>
      </c>
      <c r="E3094" s="22">
        <f>IF(D3094="?OLD","!!!","")</f>
        <v/>
      </c>
      <c r="F3094" s="23" t="str">
        <f>IF(OR(E3094="",E3094="!!!"),"",IF(NOT(ISNA(VLOOKUP(E3094,E$1:E3093,1,FALSE()))),"OLD",IF(AND(E3094&lt;&gt;"",E3094&lt;&gt;"!!!"),"NEW","")))</f>
        <v> </v>
      </c>
      <c r="G3094" s="24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5" t="str">
        <f>IF(J3094&lt;&gt;1,"",IF(I3094="SBJ","CB","?"))</f>
        <v> </v>
      </c>
      <c r="I3094" s="26" t="str">
        <f>IF(OR(E3094="",E3094="!!!",F3094="NEW"),"",INDEX(B3093:B$2,-1+SUMPRODUCT(MAX(ROW(E3093:E$2)*(E3094=E3093:E$2)))))</f>
        <v> </v>
      </c>
      <c r="J3094" s="26" t="str">
        <f>IF(OR(E3094="",E3094="!!!",F3094="NEW"),"",COUNTBLANK(OFFSET(A$1,,,SUMPRODUCT(MAX(ROW(E$2:E3094)*(E3094=E$2:E3094)))))-COUNTBLANK(OFFSET(A$1,,,SUMPRODUCT(MAX(ROW(E$1:E3093)*(E2=E$1:E3093))))))</f>
        <v> </v>
      </c>
      <c r="K3094" s="26" t="str">
        <f>IF(OR(E3094="",E3094="!!!",F3094="NEW"),"",INDEX(J$1:J3093,SUMPRODUCT(MAX(ROW(E$1:E3093)*(E3094=E$1:E3093)))))</f>
        <v> </v>
      </c>
      <c r="L3094" s="27"/>
    </row>
    <row r="3095" spans="1:12">
      <c r="A3095" s="20" t="s">
        <v>1150</v>
      </c>
      <c r="E3095" s="22">
        <f>IF(D3095="?OLD","!!!","")</f>
        <v/>
      </c>
      <c r="F3095" s="23" t="str">
        <f>IF(OR(E3095="",E3095="!!!"),"",IF(NOT(ISNA(VLOOKUP(E3095,E$1:E3094,1,FALSE()))),"OLD",IF(AND(E3095&lt;&gt;"",E3095&lt;&gt;"!!!"),"NEW","")))</f>
        <v> </v>
      </c>
      <c r="G3095" s="24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5" t="str">
        <f>IF(J3095&lt;&gt;1,"",IF(I3095="SBJ","CB","?"))</f>
        <v> </v>
      </c>
      <c r="I3095" s="26" t="str">
        <f>IF(OR(E3095="",E3095="!!!",F3095="NEW"),"",INDEX(B3094:B$2,-1+SUMPRODUCT(MAX(ROW(E3094:E$2)*(E3095=E3094:E$2)))))</f>
        <v> </v>
      </c>
      <c r="J3095" s="26" t="str">
        <f>IF(OR(E3095="",E3095="!!!",F3095="NEW"),"",COUNTBLANK(OFFSET(A$1,,,SUMPRODUCT(MAX(ROW(E$2:E3095)*(E3095=E$2:E3095)))))-COUNTBLANK(OFFSET(A$1,,,SUMPRODUCT(MAX(ROW(E$1:E3094)*(E2=E$1:E3094))))))</f>
        <v> </v>
      </c>
      <c r="K3095" s="26" t="str">
        <f>IF(OR(E3095="",E3095="!!!",F3095="NEW"),"",INDEX(J$1:J3094,SUMPRODUCT(MAX(ROW(E$1:E3094)*(E3095=E$1:E3094)))))</f>
        <v> </v>
      </c>
      <c r="L3095" s="27"/>
    </row>
    <row r="3096" spans="1:12">
      <c r="A3096" s="20" t="s">
        <v>664</v>
      </c>
      <c r="E3096" s="22">
        <f>IF(D3096="?OLD","!!!","")</f>
        <v/>
      </c>
      <c r="F3096" s="23" t="str">
        <f>IF(OR(E3096="",E3096="!!!"),"",IF(NOT(ISNA(VLOOKUP(E3096,E$1:E3095,1,FALSE()))),"OLD",IF(AND(E3096&lt;&gt;"",E3096&lt;&gt;"!!!"),"NEW","")))</f>
        <v> </v>
      </c>
      <c r="G3096" s="24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5" t="str">
        <f>IF(J3096&lt;&gt;1,"",IF(I3096="SBJ","CB","?"))</f>
        <v> </v>
      </c>
      <c r="I3096" s="26" t="str">
        <f>IF(OR(E3096="",E3096="!!!",F3096="NEW"),"",INDEX(B3095:B$2,-1+SUMPRODUCT(MAX(ROW(E3095:E$2)*(E3096=E3095:E$2)))))</f>
        <v> </v>
      </c>
      <c r="J3096" s="26" t="str">
        <f>IF(OR(E3096="",E3096="!!!",F3096="NEW"),"",COUNTBLANK(OFFSET(A$1,,,SUMPRODUCT(MAX(ROW(E$2:E3096)*(E3096=E$2:E3096)))))-COUNTBLANK(OFFSET(A$1,,,SUMPRODUCT(MAX(ROW(E$1:E3095)*(E2=E$1:E3095))))))</f>
        <v> </v>
      </c>
      <c r="K3096" s="26" t="str">
        <f>IF(OR(E3096="",E3096="!!!",F3096="NEW"),"",INDEX(J$1:J3095,SUMPRODUCT(MAX(ROW(E$1:E3095)*(E3096=E$1:E3095)))))</f>
        <v> </v>
      </c>
      <c r="L3096" s="27"/>
    </row>
    <row r="3097" spans="1:12">
      <c r="A3097" s="20" t="s">
        <v>811</v>
      </c>
      <c r="E3097" s="22">
        <f>IF(D3097="?OLD","!!!","")</f>
        <v/>
      </c>
      <c r="F3097" s="23" t="str">
        <f>IF(OR(E3097="",E3097="!!!"),"",IF(NOT(ISNA(VLOOKUP(E3097,E$1:E3096,1,FALSE()))),"OLD",IF(AND(E3097&lt;&gt;"",E3097&lt;&gt;"!!!"),"NEW","")))</f>
        <v> </v>
      </c>
      <c r="G3097" s="24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5" t="str">
        <f>IF(J3097&lt;&gt;1,"",IF(I3097="SBJ","CB","?"))</f>
        <v> </v>
      </c>
      <c r="I3097" s="26" t="str">
        <f>IF(OR(E3097="",E3097="!!!",F3097="NEW"),"",INDEX(B3096:B$2,-1+SUMPRODUCT(MAX(ROW(E3096:E$2)*(E3097=E3096:E$2)))))</f>
        <v> </v>
      </c>
      <c r="J3097" s="26" t="str">
        <f>IF(OR(E3097="",E3097="!!!",F3097="NEW"),"",COUNTBLANK(OFFSET(A$1,,,SUMPRODUCT(MAX(ROW(E$2:E3097)*(E3097=E$2:E3097)))))-COUNTBLANK(OFFSET(A$1,,,SUMPRODUCT(MAX(ROW(E$1:E3096)*(E2=E$1:E3096))))))</f>
        <v> </v>
      </c>
      <c r="K3097" s="26" t="str">
        <f>IF(OR(E3097="",E3097="!!!",F3097="NEW"),"",INDEX(J$1:J3096,SUMPRODUCT(MAX(ROW(E$1:E3096)*(E3097=E$1:E3096)))))</f>
        <v> </v>
      </c>
      <c r="L3097" s="27"/>
    </row>
    <row r="3098" spans="1:12">
      <c r="A3098" s="20" t="s">
        <v>1863</v>
      </c>
      <c r="E3098" s="22">
        <f>IF(D3098="?OLD","!!!","")</f>
        <v/>
      </c>
      <c r="F3098" s="23" t="str">
        <f>IF(OR(E3098="",E3098="!!!"),"",IF(NOT(ISNA(VLOOKUP(E3098,E$1:E3097,1,FALSE()))),"OLD",IF(AND(E3098&lt;&gt;"",E3098&lt;&gt;"!!!"),"NEW","")))</f>
        <v> </v>
      </c>
      <c r="G3098" s="24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5" t="str">
        <f>IF(J3098&lt;&gt;1,"",IF(I3098="SBJ","CB","?"))</f>
        <v> </v>
      </c>
      <c r="I3098" s="26" t="str">
        <f>IF(OR(E3098="",E3098="!!!",F3098="NEW"),"",INDEX(B3097:B$2,-1+SUMPRODUCT(MAX(ROW(E3097:E$2)*(E3098=E3097:E$2)))))</f>
        <v> </v>
      </c>
      <c r="J3098" s="26" t="str">
        <f>IF(OR(E3098="",E3098="!!!",F3098="NEW"),"",COUNTBLANK(OFFSET(A$1,,,SUMPRODUCT(MAX(ROW(E$2:E3098)*(E3098=E$2:E3098)))))-COUNTBLANK(OFFSET(A$1,,,SUMPRODUCT(MAX(ROW(E$1:E3097)*(E2=E$1:E3097))))))</f>
        <v> </v>
      </c>
      <c r="K3098" s="26" t="str">
        <f>IF(OR(E3098="",E3098="!!!",F3098="NEW"),"",INDEX(J$1:J3097,SUMPRODUCT(MAX(ROW(E$1:E3097)*(E3098=E$1:E3097)))))</f>
        <v> </v>
      </c>
      <c r="L3098" s="27"/>
    </row>
    <row r="3099" spans="1:12">
      <c r="A3099" s="20" t="s">
        <v>2030</v>
      </c>
      <c r="E3099" s="22">
        <f>IF(D3099="?OLD","!!!","")</f>
        <v/>
      </c>
      <c r="F3099" s="23" t="str">
        <f>IF(OR(E3099="",E3099="!!!"),"",IF(NOT(ISNA(VLOOKUP(E3099,E$1:E3098,1,FALSE()))),"OLD",IF(AND(E3099&lt;&gt;"",E3099&lt;&gt;"!!!"),"NEW","")))</f>
        <v> </v>
      </c>
      <c r="G3099" s="24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5" t="str">
        <f>IF(J3099&lt;&gt;1,"",IF(I3099="SBJ","CB","?"))</f>
        <v> </v>
      </c>
      <c r="I3099" s="26" t="str">
        <f>IF(OR(E3099="",E3099="!!!",F3099="NEW"),"",INDEX(B3098:B$2,-1+SUMPRODUCT(MAX(ROW(E3098:E$2)*(E3099=E3098:E$2)))))</f>
        <v> </v>
      </c>
      <c r="J3099" s="26" t="str">
        <f>IF(OR(E3099="",E3099="!!!",F3099="NEW"),"",COUNTBLANK(OFFSET(A$1,,,SUMPRODUCT(MAX(ROW(E$2:E3099)*(E3099=E$2:E3099)))))-COUNTBLANK(OFFSET(A$1,,,SUMPRODUCT(MAX(ROW(E$1:E3098)*(E2=E$1:E3098))))))</f>
        <v> </v>
      </c>
      <c r="K3099" s="26" t="str">
        <f>IF(OR(E3099="",E3099="!!!",F3099="NEW"),"",INDEX(J$1:J3098,SUMPRODUCT(MAX(ROW(E$1:E3098)*(E3099=E$1:E3098)))))</f>
        <v> </v>
      </c>
      <c r="L3099" s="27"/>
    </row>
    <row r="3100" spans="1:12">
      <c r="A3100" s="20" t="s">
        <v>611</v>
      </c>
      <c r="E3100" s="22">
        <f>IF(D3100="?OLD","!!!","")</f>
        <v/>
      </c>
      <c r="F3100" s="23" t="str">
        <f>IF(OR(E3100="",E3100="!!!"),"",IF(NOT(ISNA(VLOOKUP(E3100,E$1:E3099,1,FALSE()))),"OLD",IF(AND(E3100&lt;&gt;"",E3100&lt;&gt;"!!!"),"NEW","")))</f>
        <v> </v>
      </c>
      <c r="G3100" s="24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5" t="str">
        <f>IF(J3100&lt;&gt;1,"",IF(I3100="SBJ","CB","?"))</f>
        <v> </v>
      </c>
      <c r="I3100" s="26" t="str">
        <f>IF(OR(E3100="",E3100="!!!",F3100="NEW"),"",INDEX(B3099:B$2,-1+SUMPRODUCT(MAX(ROW(E3099:E$2)*(E3100=E3099:E$2)))))</f>
        <v> </v>
      </c>
      <c r="J3100" s="26" t="str">
        <f>IF(OR(E3100="",E3100="!!!",F3100="NEW"),"",COUNTBLANK(OFFSET(A$1,,,SUMPRODUCT(MAX(ROW(E$2:E3100)*(E3100=E$2:E3100)))))-COUNTBLANK(OFFSET(A$1,,,SUMPRODUCT(MAX(ROW(E$1:E3099)*(E2=E$1:E3099))))))</f>
        <v> </v>
      </c>
      <c r="K3100" s="26" t="str">
        <f>IF(OR(E3100="",E3100="!!!",F3100="NEW"),"",INDEX(J$1:J3099,SUMPRODUCT(MAX(ROW(E$1:E3099)*(E3100=E$1:E3099)))))</f>
        <v> </v>
      </c>
      <c r="L3100" s="27"/>
    </row>
    <row r="3101" spans="1:12">
      <c r="A3101" s="20" t="s">
        <v>2031</v>
      </c>
      <c r="E3101" s="22">
        <f>IF(D3101="?OLD","!!!","")</f>
        <v/>
      </c>
      <c r="F3101" s="23" t="str">
        <f>IF(OR(E3101="",E3101="!!!"),"",IF(NOT(ISNA(VLOOKUP(E3101,E$1:E3100,1,FALSE()))),"OLD",IF(AND(E3101&lt;&gt;"",E3101&lt;&gt;"!!!"),"NEW","")))</f>
        <v> </v>
      </c>
      <c r="G3101" s="24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5" t="str">
        <f>IF(J3101&lt;&gt;1,"",IF(I3101="SBJ","CB","?"))</f>
        <v> </v>
      </c>
      <c r="I3101" s="26" t="str">
        <f>IF(OR(E3101="",E3101="!!!",F3101="NEW"),"",INDEX(B3100:B$2,-1+SUMPRODUCT(MAX(ROW(E3100:E$2)*(E3101=E3100:E$2)))))</f>
        <v> </v>
      </c>
      <c r="J3101" s="26" t="str">
        <f>IF(OR(E3101="",E3101="!!!",F3101="NEW"),"",COUNTBLANK(OFFSET(A$1,,,SUMPRODUCT(MAX(ROW(E$2:E3101)*(E3101=E$2:E3101)))))-COUNTBLANK(OFFSET(A$1,,,SUMPRODUCT(MAX(ROW(E$1:E3100)*(E2=E$1:E3100))))))</f>
        <v> </v>
      </c>
      <c r="K3101" s="26" t="str">
        <f>IF(OR(E3101="",E3101="!!!",F3101="NEW"),"",INDEX(J$1:J3100,SUMPRODUCT(MAX(ROW(E$1:E3100)*(E3101=E$1:E3100)))))</f>
        <v> </v>
      </c>
      <c r="L3101" s="27"/>
    </row>
    <row r="3102" spans="1:12">
      <c r="A3102" s="20" t="s">
        <v>2032</v>
      </c>
      <c r="B3102" s="21" t="s">
        <v>640</v>
      </c>
      <c r="C3102" s="21" t="s">
        <v>716</v>
      </c>
      <c r="D3102" s="21" t="s">
        <v>603</v>
      </c>
      <c r="E3102" s="22">
        <f>IF(D3102="?OLD","!!!","")</f>
        <v/>
      </c>
      <c r="F3102" s="23" t="str">
        <f>IF(OR(E3102="",E3102="!!!"),"",IF(NOT(ISNA(VLOOKUP(E3102,E$1:E3101,1,FALSE()))),"OLD",IF(AND(E3102&lt;&gt;"",E3102&lt;&gt;"!!!"),"NEW","")))</f>
        <v> </v>
      </c>
      <c r="G3102" s="24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5" t="str">
        <f>IF(J3102&lt;&gt;1,"",IF(I3102="SBJ","CB","?"))</f>
        <v> </v>
      </c>
      <c r="I3102" s="26" t="str">
        <f>IF(OR(E3102="",E3102="!!!",F3102="NEW"),"",INDEX(B3101:B$2,-1+SUMPRODUCT(MAX(ROW(E3101:E$2)*(E3102=E3101:E$2)))))</f>
        <v> </v>
      </c>
      <c r="J3102" s="26" t="str">
        <f>IF(OR(E3102="",E3102="!!!",F3102="NEW"),"",COUNTBLANK(OFFSET(A$1,,,SUMPRODUCT(MAX(ROW(E$2:E3102)*(E3102=E$2:E3102)))))-COUNTBLANK(OFFSET(A$1,,,SUMPRODUCT(MAX(ROW(E$1:E3101)*(E2=E$1:E3101))))))</f>
        <v> </v>
      </c>
      <c r="K3102" s="26" t="str">
        <f>IF(OR(E3102="",E3102="!!!",F3102="NEW"),"",INDEX(J$1:J3101,SUMPRODUCT(MAX(ROW(E$1:E3101)*(E3102=E$1:E3101)))))</f>
        <v> </v>
      </c>
      <c r="L3102" s="27"/>
    </row>
    <row r="3103" spans="1:12">
      <c r="A3103" s="20" t="s">
        <v>611</v>
      </c>
      <c r="E3103" s="22">
        <f>IF(D3103="?OLD","!!!","")</f>
        <v/>
      </c>
      <c r="F3103" s="23" t="str">
        <f>IF(OR(E3103="",E3103="!!!"),"",IF(NOT(ISNA(VLOOKUP(E3103,E$1:E3102,1,FALSE()))),"OLD",IF(AND(E3103&lt;&gt;"",E3103&lt;&gt;"!!!"),"NEW","")))</f>
        <v> </v>
      </c>
      <c r="G3103" s="24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5" t="str">
        <f>IF(J3103&lt;&gt;1,"",IF(I3103="SBJ","CB","?"))</f>
        <v> </v>
      </c>
      <c r="I3103" s="26" t="str">
        <f>IF(OR(E3103="",E3103="!!!",F3103="NEW"),"",INDEX(B3102:B$2,-1+SUMPRODUCT(MAX(ROW(E3102:E$2)*(E3103=E3102:E$2)))))</f>
        <v> </v>
      </c>
      <c r="J3103" s="26" t="str">
        <f>IF(OR(E3103="",E3103="!!!",F3103="NEW"),"",COUNTBLANK(OFFSET(A$1,,,SUMPRODUCT(MAX(ROW(E$2:E3103)*(E3103=E$2:E3103)))))-COUNTBLANK(OFFSET(A$1,,,SUMPRODUCT(MAX(ROW(E$1:E3102)*(E2=E$1:E3102))))))</f>
        <v> </v>
      </c>
      <c r="K3103" s="26" t="str">
        <f>IF(OR(E3103="",E3103="!!!",F3103="NEW"),"",INDEX(J$1:J3102,SUMPRODUCT(MAX(ROW(E$1:E3102)*(E3103=E$1:E3102)))))</f>
        <v> </v>
      </c>
      <c r="L3103" s="27"/>
    </row>
    <row r="3104" spans="1:12">
      <c r="A3104" s="20" t="s">
        <v>1863</v>
      </c>
      <c r="E3104" s="22">
        <f>IF(D3104="?OLD","!!!","")</f>
        <v/>
      </c>
      <c r="F3104" s="23" t="str">
        <f>IF(OR(E3104="",E3104="!!!"),"",IF(NOT(ISNA(VLOOKUP(E3104,E$1:E3103,1,FALSE()))),"OLD",IF(AND(E3104&lt;&gt;"",E3104&lt;&gt;"!!!"),"NEW","")))</f>
        <v> </v>
      </c>
      <c r="G3104" s="24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5" t="str">
        <f>IF(J3104&lt;&gt;1,"",IF(I3104="SBJ","CB","?"))</f>
        <v> </v>
      </c>
      <c r="I3104" s="26" t="str">
        <f>IF(OR(E3104="",E3104="!!!",F3104="NEW"),"",INDEX(B3103:B$2,-1+SUMPRODUCT(MAX(ROW(E3103:E$2)*(E3104=E3103:E$2)))))</f>
        <v> </v>
      </c>
      <c r="J3104" s="26" t="str">
        <f>IF(OR(E3104="",E3104="!!!",F3104="NEW"),"",COUNTBLANK(OFFSET(A$1,,,SUMPRODUCT(MAX(ROW(E$2:E3104)*(E3104=E$2:E3104)))))-COUNTBLANK(OFFSET(A$1,,,SUMPRODUCT(MAX(ROW(E$1:E3103)*(E2=E$1:E3103))))))</f>
        <v> </v>
      </c>
      <c r="K3104" s="26" t="str">
        <f>IF(OR(E3104="",E3104="!!!",F3104="NEW"),"",INDEX(J$1:J3103,SUMPRODUCT(MAX(ROW(E$1:E3103)*(E3104=E$1:E3103)))))</f>
        <v> </v>
      </c>
      <c r="L3104" s="27"/>
    </row>
    <row r="3105" spans="1:12">
      <c r="A3105" s="20" t="s">
        <v>2033</v>
      </c>
      <c r="E3105" s="22">
        <f>IF(D3105="?OLD","!!!","")</f>
        <v/>
      </c>
      <c r="F3105" s="23" t="str">
        <f>IF(OR(E3105="",E3105="!!!"),"",IF(NOT(ISNA(VLOOKUP(E3105,E$1:E3104,1,FALSE()))),"OLD",IF(AND(E3105&lt;&gt;"",E3105&lt;&gt;"!!!"),"NEW","")))</f>
        <v> </v>
      </c>
      <c r="G3105" s="24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5" t="str">
        <f>IF(J3105&lt;&gt;1,"",IF(I3105="SBJ","CB","?"))</f>
        <v> </v>
      </c>
      <c r="I3105" s="26" t="str">
        <f>IF(OR(E3105="",E3105="!!!",F3105="NEW"),"",INDEX(B3104:B$2,-1+SUMPRODUCT(MAX(ROW(E3104:E$2)*(E3105=E3104:E$2)))))</f>
        <v> </v>
      </c>
      <c r="J3105" s="26" t="str">
        <f>IF(OR(E3105="",E3105="!!!",F3105="NEW"),"",COUNTBLANK(OFFSET(A$1,,,SUMPRODUCT(MAX(ROW(E$2:E3105)*(E3105=E$2:E3105)))))-COUNTBLANK(OFFSET(A$1,,,SUMPRODUCT(MAX(ROW(E$1:E3104)*(E2=E$1:E3104))))))</f>
        <v> </v>
      </c>
      <c r="K3105" s="26" t="str">
        <f>IF(OR(E3105="",E3105="!!!",F3105="NEW"),"",INDEX(J$1:J3104,SUMPRODUCT(MAX(ROW(E$1:E3104)*(E3105=E$1:E3104)))))</f>
        <v> </v>
      </c>
      <c r="L3105" s="27"/>
    </row>
    <row r="3106" spans="1:12">
      <c r="A3106" s="20" t="s">
        <v>1120</v>
      </c>
      <c r="B3106" s="21" t="s">
        <v>609</v>
      </c>
      <c r="C3106" s="21" t="s">
        <v>716</v>
      </c>
      <c r="D3106" s="21" t="s">
        <v>603</v>
      </c>
      <c r="E3106" s="22">
        <f>IF(D3106="?OLD","!!!","")</f>
        <v/>
      </c>
      <c r="F3106" s="23" t="str">
        <f>IF(OR(E3106="",E3106="!!!"),"",IF(NOT(ISNA(VLOOKUP(E3106,E$1:E3105,1,FALSE()))),"OLD",IF(AND(E3106&lt;&gt;"",E3106&lt;&gt;"!!!"),"NEW","")))</f>
        <v> </v>
      </c>
      <c r="G3106" s="24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5" t="str">
        <f>IF(J3106&lt;&gt;1,"",IF(I3106="SBJ","CB","?"))</f>
        <v> </v>
      </c>
      <c r="I3106" s="26" t="str">
        <f>IF(OR(E3106="",E3106="!!!",F3106="NEW"),"",INDEX(B3105:B$2,-1+SUMPRODUCT(MAX(ROW(E3105:E$2)*(E3106=E3105:E$2)))))</f>
        <v> </v>
      </c>
      <c r="J3106" s="26" t="str">
        <f>IF(OR(E3106="",E3106="!!!",F3106="NEW"),"",COUNTBLANK(OFFSET(A$1,,,SUMPRODUCT(MAX(ROW(E$2:E3106)*(E3106=E$2:E3106)))))-COUNTBLANK(OFFSET(A$1,,,SUMPRODUCT(MAX(ROW(E$1:E3105)*(E2=E$1:E3105))))))</f>
        <v> </v>
      </c>
      <c r="K3106" s="26" t="str">
        <f>IF(OR(E3106="",E3106="!!!",F3106="NEW"),"",INDEX(J$1:J3105,SUMPRODUCT(MAX(ROW(E$1:E3105)*(E3106=E$1:E3105)))))</f>
        <v> </v>
      </c>
      <c r="L3106" s="27"/>
    </row>
    <row r="3107" spans="1:12">
      <c r="A3107" s="20" t="s">
        <v>2034</v>
      </c>
      <c r="E3107" s="22">
        <f>IF(D3107="?OLD","!!!","")</f>
        <v/>
      </c>
      <c r="F3107" s="23" t="str">
        <f>IF(OR(E3107="",E3107="!!!"),"",IF(NOT(ISNA(VLOOKUP(E3107,E$1:E3106,1,FALSE()))),"OLD",IF(AND(E3107&lt;&gt;"",E3107&lt;&gt;"!!!"),"NEW","")))</f>
        <v> </v>
      </c>
      <c r="G3107" s="24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5" t="str">
        <f>IF(J3107&lt;&gt;1,"",IF(I3107="SBJ","CB","?"))</f>
        <v> </v>
      </c>
      <c r="I3107" s="26" t="str">
        <f>IF(OR(E3107="",E3107="!!!",F3107="NEW"),"",INDEX(B3106:B$2,-1+SUMPRODUCT(MAX(ROW(E3106:E$2)*(E3107=E3106:E$2)))))</f>
        <v> </v>
      </c>
      <c r="J3107" s="26" t="str">
        <f>IF(OR(E3107="",E3107="!!!",F3107="NEW"),"",COUNTBLANK(OFFSET(A$1,,,SUMPRODUCT(MAX(ROW(E$2:E3107)*(E3107=E$2:E3107)))))-COUNTBLANK(OFFSET(A$1,,,SUMPRODUCT(MAX(ROW(E$1:E3106)*(E2=E$1:E3106))))))</f>
        <v> </v>
      </c>
      <c r="K3107" s="26" t="str">
        <f>IF(OR(E3107="",E3107="!!!",F3107="NEW"),"",INDEX(J$1:J3106,SUMPRODUCT(MAX(ROW(E$1:E3106)*(E3107=E$1:E3106)))))</f>
        <v> </v>
      </c>
      <c r="L3107" s="27"/>
    </row>
    <row r="3108" spans="1:12">
      <c r="A3108" s="20" t="s">
        <v>633</v>
      </c>
      <c r="E3108" s="22">
        <f>IF(D3108="?OLD","!!!","")</f>
        <v/>
      </c>
      <c r="F3108" s="23" t="str">
        <f>IF(OR(E3108="",E3108="!!!"),"",IF(NOT(ISNA(VLOOKUP(E3108,E$1:E3107,1,FALSE()))),"OLD",IF(AND(E3108&lt;&gt;"",E3108&lt;&gt;"!!!"),"NEW","")))</f>
        <v> </v>
      </c>
      <c r="G3108" s="24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5" t="str">
        <f>IF(J3108&lt;&gt;1,"",IF(I3108="SBJ","CB","?"))</f>
        <v> </v>
      </c>
      <c r="I3108" s="26" t="str">
        <f>IF(OR(E3108="",E3108="!!!",F3108="NEW"),"",INDEX(B3107:B$2,-1+SUMPRODUCT(MAX(ROW(E3107:E$2)*(E3108=E3107:E$2)))))</f>
        <v> </v>
      </c>
      <c r="J3108" s="26" t="str">
        <f>IF(OR(E3108="",E3108="!!!",F3108="NEW"),"",COUNTBLANK(OFFSET(A$1,,,SUMPRODUCT(MAX(ROW(E$2:E3108)*(E3108=E$2:E3108)))))-COUNTBLANK(OFFSET(A$1,,,SUMPRODUCT(MAX(ROW(E$1:E3107)*(E2=E$1:E3107))))))</f>
        <v> </v>
      </c>
      <c r="K3108" s="26" t="str">
        <f>IF(OR(E3108="",E3108="!!!",F3108="NEW"),"",INDEX(J$1:J3107,SUMPRODUCT(MAX(ROW(E$1:E3107)*(E3108=E$1:E3107)))))</f>
        <v> </v>
      </c>
      <c r="L3108" s="27"/>
    </row>
    <row r="3109" spans="1:12">
      <c r="A3109" s="20"/>
    </row>
    <row r="3110" spans="1:12">
      <c r="A3110" s="20" t="s">
        <v>2035</v>
      </c>
    </row>
    <row r="3111" spans="1:12">
      <c r="A3111" s="20" t="s">
        <v>1045</v>
      </c>
      <c r="E3111" s="22">
        <f>IF(D3111="?OLD","!!!","")</f>
        <v/>
      </c>
      <c r="F3111" s="23" t="str">
        <f>IF(OR(E3111="",E3111="!!!"),"",IF(NOT(ISNA(VLOOKUP(E3111,E$1:E3110,1,FALSE()))),"OLD",IF(AND(E3111&lt;&gt;"",E3111&lt;&gt;"!!!"),"NEW","")))</f>
        <v> </v>
      </c>
      <c r="G3111" s="24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5" t="str">
        <f>IF(J3111&lt;&gt;1,"",IF(I3111="SBJ","CB","?"))</f>
        <v> </v>
      </c>
      <c r="I3111" s="26" t="str">
        <f>IF(OR(E3111="",E3111="!!!",F3111="NEW"),"",INDEX(B3110:B$2,-1+SUMPRODUCT(MAX(ROW(E3110:E$2)*(E3111=E3110:E$2)))))</f>
        <v> </v>
      </c>
      <c r="J3111" s="26" t="str">
        <f>IF(OR(E3111="",E3111="!!!",F3111="NEW"),"",COUNTBLANK(OFFSET(A$1,,,SUMPRODUCT(MAX(ROW(E$2:E3111)*(E3111=E$2:E3111)))))-COUNTBLANK(OFFSET(A$1,,,SUMPRODUCT(MAX(ROW(E$1:E3110)*(E2=E$1:E3110))))))</f>
        <v> </v>
      </c>
      <c r="K3111" s="26" t="str">
        <f>IF(OR(E3111="",E3111="!!!",F3111="NEW"),"",INDEX(J$1:J3110,SUMPRODUCT(MAX(ROW(E$1:E3110)*(E3111=E$1:E3110)))))</f>
        <v> </v>
      </c>
      <c r="L3111" s="27"/>
    </row>
    <row r="3112" spans="1:12">
      <c r="A3112" s="20" t="s">
        <v>1012</v>
      </c>
      <c r="E3112" s="22">
        <f>IF(D3112="?OLD","!!!","")</f>
        <v/>
      </c>
      <c r="F3112" s="23" t="str">
        <f>IF(OR(E3112="",E3112="!!!"),"",IF(NOT(ISNA(VLOOKUP(E3112,E$1:E3111,1,FALSE()))),"OLD",IF(AND(E3112&lt;&gt;"",E3112&lt;&gt;"!!!"),"NEW","")))</f>
        <v> </v>
      </c>
      <c r="G3112" s="24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5" t="str">
        <f>IF(J3112&lt;&gt;1,"",IF(I3112="SBJ","CB","?"))</f>
        <v> </v>
      </c>
      <c r="I3112" s="26" t="str">
        <f>IF(OR(E3112="",E3112="!!!",F3112="NEW"),"",INDEX(B3111:B$2,-1+SUMPRODUCT(MAX(ROW(E3111:E$2)*(E3112=E3111:E$2)))))</f>
        <v> </v>
      </c>
      <c r="J3112" s="26" t="str">
        <f>IF(OR(E3112="",E3112="!!!",F3112="NEW"),"",COUNTBLANK(OFFSET(A$1,,,SUMPRODUCT(MAX(ROW(E$2:E3112)*(E3112=E$2:E3112)))))-COUNTBLANK(OFFSET(A$1,,,SUMPRODUCT(MAX(ROW(E$1:E3111)*(E2=E$1:E3111))))))</f>
        <v> </v>
      </c>
      <c r="K3112" s="26" t="str">
        <f>IF(OR(E3112="",E3112="!!!",F3112="NEW"),"",INDEX(J$1:J3111,SUMPRODUCT(MAX(ROW(E$1:E3111)*(E3112=E$1:E3111)))))</f>
        <v> </v>
      </c>
      <c r="L3112" s="27"/>
    </row>
    <row r="3113" spans="1:12">
      <c r="A3113" s="20" t="s">
        <v>611</v>
      </c>
      <c r="E3113" s="22">
        <f>IF(D3113="?OLD","!!!","")</f>
        <v/>
      </c>
      <c r="F3113" s="23" t="str">
        <f>IF(OR(E3113="",E3113="!!!"),"",IF(NOT(ISNA(VLOOKUP(E3113,E$1:E3112,1,FALSE()))),"OLD",IF(AND(E3113&lt;&gt;"",E3113&lt;&gt;"!!!"),"NEW","")))</f>
        <v> </v>
      </c>
      <c r="G3113" s="24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5" t="str">
        <f>IF(J3113&lt;&gt;1,"",IF(I3113="SBJ","CB","?"))</f>
        <v> </v>
      </c>
      <c r="I3113" s="26" t="str">
        <f>IF(OR(E3113="",E3113="!!!",F3113="NEW"),"",INDEX(B3112:B$2,-1+SUMPRODUCT(MAX(ROW(E3112:E$2)*(E3113=E3112:E$2)))))</f>
        <v> </v>
      </c>
      <c r="J3113" s="26" t="str">
        <f>IF(OR(E3113="",E3113="!!!",F3113="NEW"),"",COUNTBLANK(OFFSET(A$1,,,SUMPRODUCT(MAX(ROW(E$2:E3113)*(E3113=E$2:E3113)))))-COUNTBLANK(OFFSET(A$1,,,SUMPRODUCT(MAX(ROW(E$1:E3112)*(E2=E$1:E3112))))))</f>
        <v> </v>
      </c>
      <c r="K3113" s="26" t="str">
        <f>IF(OR(E3113="",E3113="!!!",F3113="NEW"),"",INDEX(J$1:J3112,SUMPRODUCT(MAX(ROW(E$1:E3112)*(E3113=E$1:E3112)))))</f>
        <v> </v>
      </c>
      <c r="L3113" s="27"/>
    </row>
    <row r="3114" spans="1:12">
      <c r="A3114" s="20" t="s">
        <v>2036</v>
      </c>
      <c r="E3114" s="22">
        <f>IF(D3114="?OLD","!!!","")</f>
        <v/>
      </c>
      <c r="F3114" s="23" t="str">
        <f>IF(OR(E3114="",E3114="!!!"),"",IF(NOT(ISNA(VLOOKUP(E3114,E$1:E3113,1,FALSE()))),"OLD",IF(AND(E3114&lt;&gt;"",E3114&lt;&gt;"!!!"),"NEW","")))</f>
        <v> </v>
      </c>
      <c r="G3114" s="24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5" t="str">
        <f>IF(J3114&lt;&gt;1,"",IF(I3114="SBJ","CB","?"))</f>
        <v> </v>
      </c>
      <c r="I3114" s="26" t="str">
        <f>IF(OR(E3114="",E3114="!!!",F3114="NEW"),"",INDEX(B3113:B$2,-1+SUMPRODUCT(MAX(ROW(E3113:E$2)*(E3114=E3113:E$2)))))</f>
        <v> </v>
      </c>
      <c r="J3114" s="26" t="str">
        <f>IF(OR(E3114="",E3114="!!!",F3114="NEW"),"",COUNTBLANK(OFFSET(A$1,,,SUMPRODUCT(MAX(ROW(E$2:E3114)*(E3114=E$2:E3114)))))-COUNTBLANK(OFFSET(A$1,,,SUMPRODUCT(MAX(ROW(E$1:E3113)*(E2=E$1:E3113))))))</f>
        <v> </v>
      </c>
      <c r="K3114" s="26" t="str">
        <f>IF(OR(E3114="",E3114="!!!",F3114="NEW"),"",INDEX(J$1:J3113,SUMPRODUCT(MAX(ROW(E$1:E3113)*(E3114=E$1:E3113)))))</f>
        <v> </v>
      </c>
      <c r="L3114" s="27"/>
    </row>
    <row r="3115" spans="1:12">
      <c r="A3115" s="20" t="s">
        <v>611</v>
      </c>
      <c r="E3115" s="22">
        <f>IF(D3115="?OLD","!!!","")</f>
        <v/>
      </c>
      <c r="F3115" s="23" t="str">
        <f>IF(OR(E3115="",E3115="!!!"),"",IF(NOT(ISNA(VLOOKUP(E3115,E$1:E3114,1,FALSE()))),"OLD",IF(AND(E3115&lt;&gt;"",E3115&lt;&gt;"!!!"),"NEW","")))</f>
        <v> </v>
      </c>
      <c r="G3115" s="24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5" t="str">
        <f>IF(J3115&lt;&gt;1,"",IF(I3115="SBJ","CB","?"))</f>
        <v> </v>
      </c>
      <c r="I3115" s="26" t="str">
        <f>IF(OR(E3115="",E3115="!!!",F3115="NEW"),"",INDEX(B3114:B$2,-1+SUMPRODUCT(MAX(ROW(E3114:E$2)*(E3115=E3114:E$2)))))</f>
        <v> </v>
      </c>
      <c r="J3115" s="26" t="str">
        <f>IF(OR(E3115="",E3115="!!!",F3115="NEW"),"",COUNTBLANK(OFFSET(A$1,,,SUMPRODUCT(MAX(ROW(E$2:E3115)*(E3115=E$2:E3115)))))-COUNTBLANK(OFFSET(A$1,,,SUMPRODUCT(MAX(ROW(E$1:E3114)*(E2=E$1:E3114))))))</f>
        <v> </v>
      </c>
      <c r="K3115" s="26" t="str">
        <f>IF(OR(E3115="",E3115="!!!",F3115="NEW"),"",INDEX(J$1:J3114,SUMPRODUCT(MAX(ROW(E$1:E3114)*(E3115=E$1:E3114)))))</f>
        <v> </v>
      </c>
      <c r="L3115" s="27"/>
    </row>
    <row r="3116" spans="1:12">
      <c r="A3116" s="20" t="s">
        <v>2037</v>
      </c>
      <c r="E3116" s="22">
        <f>IF(D3116="?OLD","!!!","")</f>
        <v/>
      </c>
      <c r="F3116" s="23" t="str">
        <f>IF(OR(E3116="",E3116="!!!"),"",IF(NOT(ISNA(VLOOKUP(E3116,E$1:E3115,1,FALSE()))),"OLD",IF(AND(E3116&lt;&gt;"",E3116&lt;&gt;"!!!"),"NEW","")))</f>
        <v> </v>
      </c>
      <c r="G3116" s="24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5" t="str">
        <f>IF(J3116&lt;&gt;1,"",IF(I3116="SBJ","CB","?"))</f>
        <v> </v>
      </c>
      <c r="I3116" s="26" t="str">
        <f>IF(OR(E3116="",E3116="!!!",F3116="NEW"),"",INDEX(B3115:B$2,-1+SUMPRODUCT(MAX(ROW(E3115:E$2)*(E3116=E3115:E$2)))))</f>
        <v> </v>
      </c>
      <c r="J3116" s="26" t="str">
        <f>IF(OR(E3116="",E3116="!!!",F3116="NEW"),"",COUNTBLANK(OFFSET(A$1,,,SUMPRODUCT(MAX(ROW(E$2:E3116)*(E3116=E$2:E3116)))))-COUNTBLANK(OFFSET(A$1,,,SUMPRODUCT(MAX(ROW(E$1:E3115)*(E2=E$1:E3115))))))</f>
        <v> </v>
      </c>
      <c r="K3116" s="26" t="str">
        <f>IF(OR(E3116="",E3116="!!!",F3116="NEW"),"",INDEX(J$1:J3115,SUMPRODUCT(MAX(ROW(E$1:E3115)*(E3116=E$1:E3115)))))</f>
        <v> </v>
      </c>
      <c r="L3116" s="27"/>
    </row>
    <row r="3117" spans="1:12">
      <c r="A3117" s="20" t="s">
        <v>918</v>
      </c>
      <c r="B3117" s="21" t="s">
        <v>801</v>
      </c>
      <c r="E3117" s="22">
        <f>IF(D3117="?OLD","!!!","")</f>
        <v/>
      </c>
      <c r="F3117" s="23" t="str">
        <f>IF(OR(E3117="",E3117="!!!"),"",IF(NOT(ISNA(VLOOKUP(E3117,E$1:E3116,1,FALSE()))),"OLD",IF(AND(E3117&lt;&gt;"",E3117&lt;&gt;"!!!"),"NEW","")))</f>
        <v> </v>
      </c>
      <c r="G3117" s="24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5" t="str">
        <f>IF(J3117&lt;&gt;1,"",IF(I3117="SBJ","CB","?"))</f>
        <v> </v>
      </c>
      <c r="I3117" s="26" t="str">
        <f>IF(OR(E3117="",E3117="!!!",F3117="NEW"),"",INDEX(B3116:B$2,-1+SUMPRODUCT(MAX(ROW(E3116:E$2)*(E3117=E3116:E$2)))))</f>
        <v> </v>
      </c>
      <c r="J3117" s="26" t="str">
        <f>IF(OR(E3117="",E3117="!!!",F3117="NEW"),"",COUNTBLANK(OFFSET(A$1,,,SUMPRODUCT(MAX(ROW(E$2:E3117)*(E3117=E$2:E3117)))))-COUNTBLANK(OFFSET(A$1,,,SUMPRODUCT(MAX(ROW(E$1:E3116)*(E2=E$1:E3116))))))</f>
        <v> </v>
      </c>
      <c r="K3117" s="26" t="str">
        <f>IF(OR(E3117="",E3117="!!!",F3117="NEW"),"",INDEX(J$1:J3116,SUMPRODUCT(MAX(ROW(E$1:E3116)*(E3117=E$1:E3116)))))</f>
        <v> </v>
      </c>
      <c r="L3117" s="27"/>
    </row>
    <row r="3118" spans="1:12">
      <c r="A3118" s="20" t="s">
        <v>2023</v>
      </c>
      <c r="B3118" s="21" t="s">
        <v>801</v>
      </c>
      <c r="E3118" s="22">
        <f>IF(D3118="?OLD","!!!","")</f>
        <v/>
      </c>
      <c r="F3118" s="23" t="str">
        <f>IF(OR(E3118="",E3118="!!!"),"",IF(NOT(ISNA(VLOOKUP(E3118,E$1:E3117,1,FALSE()))),"OLD",IF(AND(E3118&lt;&gt;"",E3118&lt;&gt;"!!!"),"NEW","")))</f>
        <v> </v>
      </c>
      <c r="G3118" s="24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5" t="str">
        <f>IF(J3118&lt;&gt;1,"",IF(I3118="SBJ","CB","?"))</f>
        <v> </v>
      </c>
      <c r="I3118" s="26" t="str">
        <f>IF(OR(E3118="",E3118="!!!",F3118="NEW"),"",INDEX(B3117:B$2,-1+SUMPRODUCT(MAX(ROW(E3117:E$2)*(E3118=E3117:E$2)))))</f>
        <v> </v>
      </c>
      <c r="J3118" s="26" t="str">
        <f>IF(OR(E3118="",E3118="!!!",F3118="NEW"),"",COUNTBLANK(OFFSET(A$1,,,SUMPRODUCT(MAX(ROW(E$2:E3118)*(E3118=E$2:E3118)))))-COUNTBLANK(OFFSET(A$1,,,SUMPRODUCT(MAX(ROW(E$1:E3117)*(E2=E$1:E3117))))))</f>
        <v> </v>
      </c>
      <c r="K3118" s="26" t="str">
        <f>IF(OR(E3118="",E3118="!!!",F3118="NEW"),"",INDEX(J$1:J3117,SUMPRODUCT(MAX(ROW(E$1:E3117)*(E3118=E$1:E3117)))))</f>
        <v> </v>
      </c>
      <c r="L3118" s="27"/>
    </row>
    <row r="3119" spans="1:12">
      <c r="A3119" s="20" t="s">
        <v>611</v>
      </c>
      <c r="E3119" s="22">
        <f>IF(D3119="?OLD","!!!","")</f>
        <v/>
      </c>
      <c r="F3119" s="23" t="str">
        <f>IF(OR(E3119="",E3119="!!!"),"",IF(NOT(ISNA(VLOOKUP(E3119,E$1:E3118,1,FALSE()))),"OLD",IF(AND(E3119&lt;&gt;"",E3119&lt;&gt;"!!!"),"NEW","")))</f>
        <v> </v>
      </c>
      <c r="G3119" s="24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5" t="str">
        <f>IF(J3119&lt;&gt;1,"",IF(I3119="SBJ","CB","?"))</f>
        <v> </v>
      </c>
      <c r="I3119" s="26" t="str">
        <f>IF(OR(E3119="",E3119="!!!",F3119="NEW"),"",INDEX(B3118:B$2,-1+SUMPRODUCT(MAX(ROW(E3118:E$2)*(E3119=E3118:E$2)))))</f>
        <v> </v>
      </c>
      <c r="J3119" s="26" t="str">
        <f>IF(OR(E3119="",E3119="!!!",F3119="NEW"),"",COUNTBLANK(OFFSET(A$1,,,SUMPRODUCT(MAX(ROW(E$2:E3119)*(E3119=E$2:E3119)))))-COUNTBLANK(OFFSET(A$1,,,SUMPRODUCT(MAX(ROW(E$1:E3118)*(E2=E$1:E3118))))))</f>
        <v> </v>
      </c>
      <c r="K3119" s="26" t="str">
        <f>IF(OR(E3119="",E3119="!!!",F3119="NEW"),"",INDEX(J$1:J3118,SUMPRODUCT(MAX(ROW(E$1:E3118)*(E3119=E$1:E3118)))))</f>
        <v> </v>
      </c>
      <c r="L3119" s="27"/>
    </row>
    <row r="3120" spans="1:12">
      <c r="A3120" s="20" t="s">
        <v>739</v>
      </c>
      <c r="E3120" s="22">
        <f>IF(D3120="?OLD","!!!","")</f>
        <v/>
      </c>
      <c r="F3120" s="23" t="str">
        <f>IF(OR(E3120="",E3120="!!!"),"",IF(NOT(ISNA(VLOOKUP(E3120,E$1:E3119,1,FALSE()))),"OLD",IF(AND(E3120&lt;&gt;"",E3120&lt;&gt;"!!!"),"NEW","")))</f>
        <v> </v>
      </c>
      <c r="G3120" s="24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5" t="str">
        <f>IF(J3120&lt;&gt;1,"",IF(I3120="SBJ","CB","?"))</f>
        <v> </v>
      </c>
      <c r="I3120" s="26" t="str">
        <f>IF(OR(E3120="",E3120="!!!",F3120="NEW"),"",INDEX(B3119:B$2,-1+SUMPRODUCT(MAX(ROW(E3119:E$2)*(E3120=E3119:E$2)))))</f>
        <v> </v>
      </c>
      <c r="J3120" s="26" t="str">
        <f>IF(OR(E3120="",E3120="!!!",F3120="NEW"),"",COUNTBLANK(OFFSET(A$1,,,SUMPRODUCT(MAX(ROW(E$2:E3120)*(E3120=E$2:E3120)))))-COUNTBLANK(OFFSET(A$1,,,SUMPRODUCT(MAX(ROW(E$1:E3119)*(E2=E$1:E3119))))))</f>
        <v> </v>
      </c>
      <c r="K3120" s="26" t="str">
        <f>IF(OR(E3120="",E3120="!!!",F3120="NEW"),"",INDEX(J$1:J3119,SUMPRODUCT(MAX(ROW(E$1:E3119)*(E3120=E$1:E3119)))))</f>
        <v> </v>
      </c>
      <c r="L3120" s="27"/>
    </row>
    <row r="3121" spans="1:12">
      <c r="A3121" s="20" t="s">
        <v>419</v>
      </c>
      <c r="B3121" s="21" t="s">
        <v>659</v>
      </c>
      <c r="C3121" s="21" t="s">
        <v>602</v>
      </c>
      <c r="D3121" s="21" t="s">
        <v>603</v>
      </c>
      <c r="E3121" s="22">
        <f>IF(D3121="?OLD","!!!","")</f>
        <v/>
      </c>
      <c r="F3121" s="23" t="str">
        <f>IF(OR(E3121="",E3121="!!!"),"",IF(NOT(ISNA(VLOOKUP(E3121,E$1:E3120,1,FALSE()))),"OLD",IF(AND(E3121&lt;&gt;"",E3121&lt;&gt;"!!!"),"NEW","")))</f>
        <v> </v>
      </c>
      <c r="G3121" s="24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5" t="str">
        <f>IF(J3121&lt;&gt;1,"",IF(I3121="SBJ","CB","?"))</f>
        <v> </v>
      </c>
      <c r="I3121" s="26" t="str">
        <f>IF(OR(E3121="",E3121="!!!",F3121="NEW"),"",INDEX(B3120:B$2,-1+SUMPRODUCT(MAX(ROW(E3120:E$2)*(E3121=E3120:E$2)))))</f>
        <v> </v>
      </c>
      <c r="J3121" s="26" t="str">
        <f>IF(OR(E3121="",E3121="!!!",F3121="NEW"),"",COUNTBLANK(OFFSET(A$1,,,SUMPRODUCT(MAX(ROW(E$2:E3121)*(E3121=E$2:E3121)))))-COUNTBLANK(OFFSET(A$1,,,SUMPRODUCT(MAX(ROW(E$1:E3120)*(E2=E$1:E3120))))))</f>
        <v> </v>
      </c>
      <c r="K3121" s="26" t="str">
        <f>IF(OR(E3121="",E3121="!!!",F3121="NEW"),"",INDEX(J$1:J3120,SUMPRODUCT(MAX(ROW(E$1:E3120)*(E3121=E$1:E3120)))))</f>
        <v> </v>
      </c>
      <c r="L3121" s="27"/>
    </row>
    <row r="3122" spans="1:12">
      <c r="A3122" s="20" t="s">
        <v>2038</v>
      </c>
      <c r="E3122" s="22">
        <f>IF(D3122="?OLD","!!!","")</f>
        <v/>
      </c>
      <c r="F3122" s="23" t="str">
        <f>IF(OR(E3122="",E3122="!!!"),"",IF(NOT(ISNA(VLOOKUP(E3122,E$1:E3121,1,FALSE()))),"OLD",IF(AND(E3122&lt;&gt;"",E3122&lt;&gt;"!!!"),"NEW","")))</f>
        <v> </v>
      </c>
      <c r="G3122" s="24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5" t="str">
        <f>IF(J3122&lt;&gt;1,"",IF(I3122="SBJ","CB","?"))</f>
        <v> </v>
      </c>
      <c r="I3122" s="26" t="str">
        <f>IF(OR(E3122="",E3122="!!!",F3122="NEW"),"",INDEX(B3121:B$2,-1+SUMPRODUCT(MAX(ROW(E3121:E$2)*(E3122=E3121:E$2)))))</f>
        <v> </v>
      </c>
      <c r="J3122" s="26" t="str">
        <f>IF(OR(E3122="",E3122="!!!",F3122="NEW"),"",COUNTBLANK(OFFSET(A$1,,,SUMPRODUCT(MAX(ROW(E$2:E3122)*(E3122=E$2:E3122)))))-COUNTBLANK(OFFSET(A$1,,,SUMPRODUCT(MAX(ROW(E$1:E3121)*(E2=E$1:E3121))))))</f>
        <v> </v>
      </c>
      <c r="K3122" s="26" t="str">
        <f>IF(OR(E3122="",E3122="!!!",F3122="NEW"),"",INDEX(J$1:J3121,SUMPRODUCT(MAX(ROW(E$1:E3121)*(E3122=E$1:E3121)))))</f>
        <v> </v>
      </c>
      <c r="L3122" s="27"/>
    </row>
    <row r="3123" spans="1:12">
      <c r="A3123" s="20" t="s">
        <v>2039</v>
      </c>
      <c r="B3123" s="21" t="s">
        <v>793</v>
      </c>
      <c r="E3123" s="22">
        <f>IF(D3123="?OLD","!!!","")</f>
        <v/>
      </c>
      <c r="F3123" s="23" t="str">
        <f>IF(OR(E3123="",E3123="!!!"),"",IF(NOT(ISNA(VLOOKUP(E3123,E$1:E3122,1,FALSE()))),"OLD",IF(AND(E3123&lt;&gt;"",E3123&lt;&gt;"!!!"),"NEW","")))</f>
        <v> </v>
      </c>
      <c r="G3123" s="24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5" t="str">
        <f>IF(J3123&lt;&gt;1,"",IF(I3123="SBJ","CB","?"))</f>
        <v> </v>
      </c>
      <c r="I3123" s="26" t="str">
        <f>IF(OR(E3123="",E3123="!!!",F3123="NEW"),"",INDEX(B3122:B$2,-1+SUMPRODUCT(MAX(ROW(E3122:E$2)*(E3123=E3122:E$2)))))</f>
        <v> </v>
      </c>
      <c r="J3123" s="26" t="str">
        <f>IF(OR(E3123="",E3123="!!!",F3123="NEW"),"",COUNTBLANK(OFFSET(A$1,,,SUMPRODUCT(MAX(ROW(E$2:E3123)*(E3123=E$2:E3123)))))-COUNTBLANK(OFFSET(A$1,,,SUMPRODUCT(MAX(ROW(E$1:E3122)*(E2=E$1:E3122))))))</f>
        <v> </v>
      </c>
      <c r="K3123" s="26" t="str">
        <f>IF(OR(E3123="",E3123="!!!",F3123="NEW"),"",INDEX(J$1:J3122,SUMPRODUCT(MAX(ROW(E$1:E3122)*(E3123=E$1:E3122)))))</f>
        <v> </v>
      </c>
      <c r="L3123" s="27"/>
    </row>
    <row r="3124" spans="1:12">
      <c r="A3124" s="20" t="s">
        <v>611</v>
      </c>
      <c r="E3124" s="22">
        <f>IF(D3124="?OLD","!!!","")</f>
        <v/>
      </c>
      <c r="F3124" s="23" t="str">
        <f>IF(OR(E3124="",E3124="!!!"),"",IF(NOT(ISNA(VLOOKUP(E3124,E$1:E3123,1,FALSE()))),"OLD",IF(AND(E3124&lt;&gt;"",E3124&lt;&gt;"!!!"),"NEW","")))</f>
        <v> </v>
      </c>
      <c r="G3124" s="24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5" t="str">
        <f>IF(J3124&lt;&gt;1,"",IF(I3124="SBJ","CB","?"))</f>
        <v> </v>
      </c>
      <c r="I3124" s="26" t="str">
        <f>IF(OR(E3124="",E3124="!!!",F3124="NEW"),"",INDEX(B3123:B$2,-1+SUMPRODUCT(MAX(ROW(E3123:E$2)*(E3124=E3123:E$2)))))</f>
        <v> </v>
      </c>
      <c r="J3124" s="26" t="str">
        <f>IF(OR(E3124="",E3124="!!!",F3124="NEW"),"",COUNTBLANK(OFFSET(A$1,,,SUMPRODUCT(MAX(ROW(E$2:E3124)*(E3124=E$2:E3124)))))-COUNTBLANK(OFFSET(A$1,,,SUMPRODUCT(MAX(ROW(E$1:E3123)*(E2=E$1:E3123))))))</f>
        <v> </v>
      </c>
      <c r="K3124" s="26" t="str">
        <f>IF(OR(E3124="",E3124="!!!",F3124="NEW"),"",INDEX(J$1:J3123,SUMPRODUCT(MAX(ROW(E$1:E3123)*(E3124=E$1:E3123)))))</f>
        <v> </v>
      </c>
      <c r="L3124" s="27"/>
    </row>
    <row r="3125" spans="1:12">
      <c r="A3125" s="20" t="s">
        <v>2040</v>
      </c>
      <c r="E3125" s="22">
        <f>IF(D3125="?OLD","!!!","")</f>
        <v/>
      </c>
      <c r="F3125" s="23" t="str">
        <f>IF(OR(E3125="",E3125="!!!"),"",IF(NOT(ISNA(VLOOKUP(E3125,E$1:E3124,1,FALSE()))),"OLD",IF(AND(E3125&lt;&gt;"",E3125&lt;&gt;"!!!"),"NEW","")))</f>
        <v> </v>
      </c>
      <c r="G3125" s="24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5" t="str">
        <f>IF(J3125&lt;&gt;1,"",IF(I3125="SBJ","CB","?"))</f>
        <v> </v>
      </c>
      <c r="I3125" s="26" t="str">
        <f>IF(OR(E3125="",E3125="!!!",F3125="NEW"),"",INDEX(B3124:B$2,-1+SUMPRODUCT(MAX(ROW(E3124:E$2)*(E3125=E3124:E$2)))))</f>
        <v> </v>
      </c>
      <c r="J3125" s="26" t="str">
        <f>IF(OR(E3125="",E3125="!!!",F3125="NEW"),"",COUNTBLANK(OFFSET(A$1,,,SUMPRODUCT(MAX(ROW(E$2:E3125)*(E3125=E$2:E3125)))))-COUNTBLANK(OFFSET(A$1,,,SUMPRODUCT(MAX(ROW(E$1:E3124)*(E2=E$1:E3124))))))</f>
        <v> </v>
      </c>
      <c r="K3125" s="26" t="str">
        <f>IF(OR(E3125="",E3125="!!!",F3125="NEW"),"",INDEX(J$1:J3124,SUMPRODUCT(MAX(ROW(E$1:E3124)*(E3125=E$1:E3124)))))</f>
        <v> </v>
      </c>
      <c r="L3125" s="27"/>
    </row>
    <row r="3126" spans="1:12">
      <c r="A3126" s="20" t="s">
        <v>2041</v>
      </c>
      <c r="B3126" s="21" t="s">
        <v>652</v>
      </c>
      <c r="E3126" s="22">
        <f>IF(D3126="?OLD","!!!","")</f>
        <v/>
      </c>
      <c r="F3126" s="23" t="str">
        <f>IF(OR(E3126="",E3126="!!!"),"",IF(NOT(ISNA(VLOOKUP(E3126,E$1:E3125,1,FALSE()))),"OLD",IF(AND(E3126&lt;&gt;"",E3126&lt;&gt;"!!!"),"NEW","")))</f>
        <v> </v>
      </c>
      <c r="G3126" s="24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5" t="str">
        <f>IF(J3126&lt;&gt;1,"",IF(I3126="SBJ","CB","?"))</f>
        <v> </v>
      </c>
      <c r="I3126" s="26" t="str">
        <f>IF(OR(E3126="",E3126="!!!",F3126="NEW"),"",INDEX(B3125:B$2,-1+SUMPRODUCT(MAX(ROW(E3125:E$2)*(E3126=E3125:E$2)))))</f>
        <v> </v>
      </c>
      <c r="J3126" s="26" t="str">
        <f>IF(OR(E3126="",E3126="!!!",F3126="NEW"),"",COUNTBLANK(OFFSET(A$1,,,SUMPRODUCT(MAX(ROW(E$2:E3126)*(E3126=E$2:E3126)))))-COUNTBLANK(OFFSET(A$1,,,SUMPRODUCT(MAX(ROW(E$1:E3125)*(E2=E$1:E3125))))))</f>
        <v> </v>
      </c>
      <c r="K3126" s="26" t="str">
        <f>IF(OR(E3126="",E3126="!!!",F3126="NEW"),"",INDEX(J$1:J3125,SUMPRODUCT(MAX(ROW(E$1:E3125)*(E3126=E$1:E3125)))))</f>
        <v> </v>
      </c>
      <c r="L3126" s="27"/>
    </row>
    <row r="3127" spans="1:12">
      <c r="A3127" s="20" t="s">
        <v>662</v>
      </c>
      <c r="E3127" s="22">
        <f>IF(D3127="?OLD","!!!","")</f>
        <v/>
      </c>
      <c r="F3127" s="23" t="str">
        <f>IF(OR(E3127="",E3127="!!!"),"",IF(NOT(ISNA(VLOOKUP(E3127,E$1:E3126,1,FALSE()))),"OLD",IF(AND(E3127&lt;&gt;"",E3127&lt;&gt;"!!!"),"NEW","")))</f>
        <v> </v>
      </c>
      <c r="G3127" s="24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5" t="str">
        <f>IF(J3127&lt;&gt;1,"",IF(I3127="SBJ","CB","?"))</f>
        <v> </v>
      </c>
      <c r="I3127" s="26" t="str">
        <f>IF(OR(E3127="",E3127="!!!",F3127="NEW"),"",INDEX(B3126:B$2,-1+SUMPRODUCT(MAX(ROW(E3126:E$2)*(E3127=E3126:E$2)))))</f>
        <v> </v>
      </c>
      <c r="J3127" s="26" t="str">
        <f>IF(OR(E3127="",E3127="!!!",F3127="NEW"),"",COUNTBLANK(OFFSET(A$1,,,SUMPRODUCT(MAX(ROW(E$2:E3127)*(E3127=E$2:E3127)))))-COUNTBLANK(OFFSET(A$1,,,SUMPRODUCT(MAX(ROW(E$1:E3126)*(E2=E$1:E3126))))))</f>
        <v> </v>
      </c>
      <c r="K3127" s="26" t="str">
        <f>IF(OR(E3127="",E3127="!!!",F3127="NEW"),"",INDEX(J$1:J3126,SUMPRODUCT(MAX(ROW(E$1:E3126)*(E3127=E$1:E3126)))))</f>
        <v> </v>
      </c>
      <c r="L3127" s="27"/>
    </row>
    <row r="3128" spans="1:12">
      <c r="A3128" s="20" t="s">
        <v>1562</v>
      </c>
      <c r="E3128" s="22">
        <f>IF(D3128="?OLD","!!!","")</f>
        <v/>
      </c>
      <c r="F3128" s="23" t="str">
        <f>IF(OR(E3128="",E3128="!!!"),"",IF(NOT(ISNA(VLOOKUP(E3128,E$1:E3127,1,FALSE()))),"OLD",IF(AND(E3128&lt;&gt;"",E3128&lt;&gt;"!!!"),"NEW","")))</f>
        <v> </v>
      </c>
      <c r="G3128" s="24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5" t="str">
        <f>IF(J3128&lt;&gt;1,"",IF(I3128="SBJ","CB","?"))</f>
        <v> </v>
      </c>
      <c r="I3128" s="26" t="str">
        <f>IF(OR(E3128="",E3128="!!!",F3128="NEW"),"",INDEX(B3127:B$2,-1+SUMPRODUCT(MAX(ROW(E3127:E$2)*(E3128=E3127:E$2)))))</f>
        <v> </v>
      </c>
      <c r="J3128" s="26" t="str">
        <f>IF(OR(E3128="",E3128="!!!",F3128="NEW"),"",COUNTBLANK(OFFSET(A$1,,,SUMPRODUCT(MAX(ROW(E$2:E3128)*(E3128=E$2:E3128)))))-COUNTBLANK(OFFSET(A$1,,,SUMPRODUCT(MAX(ROW(E$1:E3127)*(E2=E$1:E3127))))))</f>
        <v> </v>
      </c>
      <c r="K3128" s="26" t="str">
        <f>IF(OR(E3128="",E3128="!!!",F3128="NEW"),"",INDEX(J$1:J3127,SUMPRODUCT(MAX(ROW(E$1:E3127)*(E3128=E$1:E3127)))))</f>
        <v> </v>
      </c>
      <c r="L3128" s="27"/>
    </row>
    <row r="3129" spans="1:12">
      <c r="A3129" s="20" t="s">
        <v>646</v>
      </c>
      <c r="E3129" s="22">
        <f>IF(D3129="?OLD","!!!","")</f>
        <v/>
      </c>
      <c r="F3129" s="23" t="str">
        <f>IF(OR(E3129="",E3129="!!!"),"",IF(NOT(ISNA(VLOOKUP(E3129,E$1:E3128,1,FALSE()))),"OLD",IF(AND(E3129&lt;&gt;"",E3129&lt;&gt;"!!!"),"NEW","")))</f>
        <v> </v>
      </c>
      <c r="G3129" s="24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5" t="str">
        <f>IF(J3129&lt;&gt;1,"",IF(I3129="SBJ","CB","?"))</f>
        <v> </v>
      </c>
      <c r="I3129" s="26" t="str">
        <f>IF(OR(E3129="",E3129="!!!",F3129="NEW"),"",INDEX(B3128:B$2,-1+SUMPRODUCT(MAX(ROW(E3128:E$2)*(E3129=E3128:E$2)))))</f>
        <v> </v>
      </c>
      <c r="J3129" s="26" t="str">
        <f>IF(OR(E3129="",E3129="!!!",F3129="NEW"),"",COUNTBLANK(OFFSET(A$1,,,SUMPRODUCT(MAX(ROW(E$2:E3129)*(E3129=E$2:E3129)))))-COUNTBLANK(OFFSET(A$1,,,SUMPRODUCT(MAX(ROW(E$1:E3128)*(E2=E$1:E3128))))))</f>
        <v> </v>
      </c>
      <c r="K3129" s="26" t="str">
        <f>IF(OR(E3129="",E3129="!!!",F3129="NEW"),"",INDEX(J$1:J3128,SUMPRODUCT(MAX(ROW(E$1:E3128)*(E3129=E$1:E3128)))))</f>
        <v> </v>
      </c>
      <c r="L3129" s="27"/>
    </row>
    <row r="3130" spans="1:12">
      <c r="A3130" s="20" t="s">
        <v>662</v>
      </c>
      <c r="E3130" s="22">
        <f>IF(D3130="?OLD","!!!","")</f>
        <v/>
      </c>
      <c r="F3130" s="23" t="str">
        <f>IF(OR(E3130="",E3130="!!!"),"",IF(NOT(ISNA(VLOOKUP(E3130,E$1:E3129,1,FALSE()))),"OLD",IF(AND(E3130&lt;&gt;"",E3130&lt;&gt;"!!!"),"NEW","")))</f>
        <v> </v>
      </c>
      <c r="G3130" s="24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5" t="str">
        <f>IF(J3130&lt;&gt;1,"",IF(I3130="SBJ","CB","?"))</f>
        <v> </v>
      </c>
      <c r="I3130" s="26" t="str">
        <f>IF(OR(E3130="",E3130="!!!",F3130="NEW"),"",INDEX(B3129:B$2,-1+SUMPRODUCT(MAX(ROW(E3129:E$2)*(E3130=E3129:E$2)))))</f>
        <v> </v>
      </c>
      <c r="J3130" s="26" t="str">
        <f>IF(OR(E3130="",E3130="!!!",F3130="NEW"),"",COUNTBLANK(OFFSET(A$1,,,SUMPRODUCT(MAX(ROW(E$2:E3130)*(E3130=E$2:E3130)))))-COUNTBLANK(OFFSET(A$1,,,SUMPRODUCT(MAX(ROW(E$1:E3129)*(E2=E$1:E3129))))))</f>
        <v> </v>
      </c>
      <c r="K3130" s="26" t="str">
        <f>IF(OR(E3130="",E3130="!!!",F3130="NEW"),"",INDEX(J$1:J3129,SUMPRODUCT(MAX(ROW(E$1:E3129)*(E3130=E$1:E3129)))))</f>
        <v> </v>
      </c>
      <c r="L3130" s="27"/>
    </row>
    <row r="3131" spans="1:12">
      <c r="A3131" s="20" t="s">
        <v>784</v>
      </c>
      <c r="E3131" s="22">
        <f>IF(D3131="?OLD","!!!","")</f>
        <v/>
      </c>
      <c r="F3131" s="23" t="str">
        <f>IF(OR(E3131="",E3131="!!!"),"",IF(NOT(ISNA(VLOOKUP(E3131,E$1:E3130,1,FALSE()))),"OLD",IF(AND(E3131&lt;&gt;"",E3131&lt;&gt;"!!!"),"NEW","")))</f>
        <v> </v>
      </c>
      <c r="G3131" s="24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5" t="str">
        <f>IF(J3131&lt;&gt;1,"",IF(I3131="SBJ","CB","?"))</f>
        <v> </v>
      </c>
      <c r="I3131" s="26" t="str">
        <f>IF(OR(E3131="",E3131="!!!",F3131="NEW"),"",INDEX(B3130:B$2,-1+SUMPRODUCT(MAX(ROW(E3130:E$2)*(E3131=E3130:E$2)))))</f>
        <v> </v>
      </c>
      <c r="J3131" s="26" t="str">
        <f>IF(OR(E3131="",E3131="!!!",F3131="NEW"),"",COUNTBLANK(OFFSET(A$1,,,SUMPRODUCT(MAX(ROW(E$2:E3131)*(E3131=E$2:E3131)))))-COUNTBLANK(OFFSET(A$1,,,SUMPRODUCT(MAX(ROW(E$1:E3130)*(E2=E$1:E3130))))))</f>
        <v> </v>
      </c>
      <c r="K3131" s="26" t="str">
        <f>IF(OR(E3131="",E3131="!!!",F3131="NEW"),"",INDEX(J$1:J3130,SUMPRODUCT(MAX(ROW(E$1:E3130)*(E3131=E$1:E3130)))))</f>
        <v> </v>
      </c>
      <c r="L3131" s="27"/>
    </row>
    <row r="3132" spans="1:12">
      <c r="A3132" s="20" t="s">
        <v>611</v>
      </c>
      <c r="E3132" s="22">
        <f>IF(D3132="?OLD","!!!","")</f>
        <v/>
      </c>
      <c r="F3132" s="23" t="str">
        <f>IF(OR(E3132="",E3132="!!!"),"",IF(NOT(ISNA(VLOOKUP(E3132,E$1:E3131,1,FALSE()))),"OLD",IF(AND(E3132&lt;&gt;"",E3132&lt;&gt;"!!!"),"NEW","")))</f>
        <v> </v>
      </c>
      <c r="G3132" s="24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5" t="str">
        <f>IF(J3132&lt;&gt;1,"",IF(I3132="SBJ","CB","?"))</f>
        <v> </v>
      </c>
      <c r="I3132" s="26" t="str">
        <f>IF(OR(E3132="",E3132="!!!",F3132="NEW"),"",INDEX(B3131:B$2,-1+SUMPRODUCT(MAX(ROW(E3131:E$2)*(E3132=E3131:E$2)))))</f>
        <v> </v>
      </c>
      <c r="J3132" s="26" t="str">
        <f>IF(OR(E3132="",E3132="!!!",F3132="NEW"),"",COUNTBLANK(OFFSET(A$1,,,SUMPRODUCT(MAX(ROW(E$2:E3132)*(E3132=E$2:E3132)))))-COUNTBLANK(OFFSET(A$1,,,SUMPRODUCT(MAX(ROW(E$1:E3131)*(E2=E$1:E3131))))))</f>
        <v> </v>
      </c>
      <c r="K3132" s="26" t="str">
        <f>IF(OR(E3132="",E3132="!!!",F3132="NEW"),"",INDEX(J$1:J3131,SUMPRODUCT(MAX(ROW(E$1:E3131)*(E3132=E$1:E3131)))))</f>
        <v> </v>
      </c>
      <c r="L3132" s="27"/>
    </row>
    <row r="3133" spans="1:12">
      <c r="A3133" s="20" t="s">
        <v>934</v>
      </c>
      <c r="E3133" s="22">
        <f>IF(D3133="?OLD","!!!","")</f>
        <v/>
      </c>
      <c r="F3133" s="23" t="str">
        <f>IF(OR(E3133="",E3133="!!!"),"",IF(NOT(ISNA(VLOOKUP(E3133,E$1:E3132,1,FALSE()))),"OLD",IF(AND(E3133&lt;&gt;"",E3133&lt;&gt;"!!!"),"NEW","")))</f>
        <v> </v>
      </c>
      <c r="G3133" s="24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5" t="str">
        <f>IF(J3133&lt;&gt;1,"",IF(I3133="SBJ","CB","?"))</f>
        <v> </v>
      </c>
      <c r="I3133" s="26" t="str">
        <f>IF(OR(E3133="",E3133="!!!",F3133="NEW"),"",INDEX(B3132:B$2,-1+SUMPRODUCT(MAX(ROW(E3132:E$2)*(E3133=E3132:E$2)))))</f>
        <v> </v>
      </c>
      <c r="J3133" s="26" t="str">
        <f>IF(OR(E3133="",E3133="!!!",F3133="NEW"),"",COUNTBLANK(OFFSET(A$1,,,SUMPRODUCT(MAX(ROW(E$2:E3133)*(E3133=E$2:E3133)))))-COUNTBLANK(OFFSET(A$1,,,SUMPRODUCT(MAX(ROW(E$1:E3132)*(E2=E$1:E3132))))))</f>
        <v> </v>
      </c>
      <c r="K3133" s="26" t="str">
        <f>IF(OR(E3133="",E3133="!!!",F3133="NEW"),"",INDEX(J$1:J3132,SUMPRODUCT(MAX(ROW(E$1:E3132)*(E3133=E$1:E3132)))))</f>
        <v> </v>
      </c>
      <c r="L3133" s="27"/>
    </row>
    <row r="3134" spans="1:12">
      <c r="A3134" s="20" t="s">
        <v>2042</v>
      </c>
      <c r="E3134" s="22">
        <f>IF(D3134="?OLD","!!!","")</f>
        <v/>
      </c>
      <c r="F3134" s="23" t="str">
        <f>IF(OR(E3134="",E3134="!!!"),"",IF(NOT(ISNA(VLOOKUP(E3134,E$1:E3133,1,FALSE()))),"OLD",IF(AND(E3134&lt;&gt;"",E3134&lt;&gt;"!!!"),"NEW","")))</f>
        <v> </v>
      </c>
      <c r="G3134" s="24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5" t="str">
        <f>IF(J3134&lt;&gt;1,"",IF(I3134="SBJ","CB","?"))</f>
        <v> </v>
      </c>
      <c r="I3134" s="26" t="str">
        <f>IF(OR(E3134="",E3134="!!!",F3134="NEW"),"",INDEX(B3133:B$2,-1+SUMPRODUCT(MAX(ROW(E3133:E$2)*(E3134=E3133:E$2)))))</f>
        <v> </v>
      </c>
      <c r="J3134" s="26" t="str">
        <f>IF(OR(E3134="",E3134="!!!",F3134="NEW"),"",COUNTBLANK(OFFSET(A$1,,,SUMPRODUCT(MAX(ROW(E$2:E3134)*(E3134=E$2:E3134)))))-COUNTBLANK(OFFSET(A$1,,,SUMPRODUCT(MAX(ROW(E$1:E3133)*(E2=E$1:E3133))))))</f>
        <v> </v>
      </c>
      <c r="K3134" s="26" t="str">
        <f>IF(OR(E3134="",E3134="!!!",F3134="NEW"),"",INDEX(J$1:J3133,SUMPRODUCT(MAX(ROW(E$1:E3133)*(E3134=E$1:E3133)))))</f>
        <v> </v>
      </c>
      <c r="L3134" s="27"/>
    </row>
    <row r="3135" spans="1:12">
      <c r="A3135" s="20" t="s">
        <v>646</v>
      </c>
      <c r="E3135" s="22">
        <f>IF(D3135="?OLD","!!!","")</f>
        <v/>
      </c>
      <c r="F3135" s="23" t="str">
        <f>IF(OR(E3135="",E3135="!!!"),"",IF(NOT(ISNA(VLOOKUP(E3135,E$1:E3134,1,FALSE()))),"OLD",IF(AND(E3135&lt;&gt;"",E3135&lt;&gt;"!!!"),"NEW","")))</f>
        <v> </v>
      </c>
      <c r="G3135" s="24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5" t="str">
        <f>IF(J3135&lt;&gt;1,"",IF(I3135="SBJ","CB","?"))</f>
        <v> </v>
      </c>
      <c r="I3135" s="26" t="str">
        <f>IF(OR(E3135="",E3135="!!!",F3135="NEW"),"",INDEX(B3134:B$2,-1+SUMPRODUCT(MAX(ROW(E3134:E$2)*(E3135=E3134:E$2)))))</f>
        <v> </v>
      </c>
      <c r="J3135" s="26" t="str">
        <f>IF(OR(E3135="",E3135="!!!",F3135="NEW"),"",COUNTBLANK(OFFSET(A$1,,,SUMPRODUCT(MAX(ROW(E$2:E3135)*(E3135=E$2:E3135)))))-COUNTBLANK(OFFSET(A$1,,,SUMPRODUCT(MAX(ROW(E$1:E3134)*(E2=E$1:E3134))))))</f>
        <v> </v>
      </c>
      <c r="K3135" s="26" t="str">
        <f>IF(OR(E3135="",E3135="!!!",F3135="NEW"),"",INDEX(J$1:J3134,SUMPRODUCT(MAX(ROW(E$1:E3134)*(E3135=E$1:E3134)))))</f>
        <v> </v>
      </c>
      <c r="L3135" s="27"/>
    </row>
    <row r="3136" spans="1:12">
      <c r="A3136" s="20" t="s">
        <v>2043</v>
      </c>
      <c r="E3136" s="22">
        <f>IF(D3136="?OLD","!!!","")</f>
        <v/>
      </c>
      <c r="F3136" s="23" t="str">
        <f>IF(OR(E3136="",E3136="!!!"),"",IF(NOT(ISNA(VLOOKUP(E3136,E$1:E3135,1,FALSE()))),"OLD",IF(AND(E3136&lt;&gt;"",E3136&lt;&gt;"!!!"),"NEW","")))</f>
        <v> </v>
      </c>
      <c r="G3136" s="24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5" t="str">
        <f>IF(J3136&lt;&gt;1,"",IF(I3136="SBJ","CB","?"))</f>
        <v> </v>
      </c>
      <c r="I3136" s="26" t="str">
        <f>IF(OR(E3136="",E3136="!!!",F3136="NEW"),"",INDEX(B3135:B$2,-1+SUMPRODUCT(MAX(ROW(E3135:E$2)*(E3136=E3135:E$2)))))</f>
        <v> </v>
      </c>
      <c r="J3136" s="26" t="str">
        <f>IF(OR(E3136="",E3136="!!!",F3136="NEW"),"",COUNTBLANK(OFFSET(A$1,,,SUMPRODUCT(MAX(ROW(E$2:E3136)*(E3136=E$2:E3136)))))-COUNTBLANK(OFFSET(A$1,,,SUMPRODUCT(MAX(ROW(E$1:E3135)*(E2=E$1:E3135))))))</f>
        <v> </v>
      </c>
      <c r="K3136" s="26" t="str">
        <f>IF(OR(E3136="",E3136="!!!",F3136="NEW"),"",INDEX(J$1:J3135,SUMPRODUCT(MAX(ROW(E$1:E3135)*(E3136=E$1:E3135)))))</f>
        <v> </v>
      </c>
      <c r="L3136" s="27"/>
    </row>
    <row r="3137" spans="1:12">
      <c r="A3137" s="20" t="s">
        <v>2044</v>
      </c>
      <c r="E3137" s="22">
        <f>IF(D3137="?OLD","!!!","")</f>
        <v/>
      </c>
      <c r="F3137" s="23" t="str">
        <f>IF(OR(E3137="",E3137="!!!"),"",IF(NOT(ISNA(VLOOKUP(E3137,E$1:E3136,1,FALSE()))),"OLD",IF(AND(E3137&lt;&gt;"",E3137&lt;&gt;"!!!"),"NEW","")))</f>
        <v> </v>
      </c>
      <c r="G3137" s="24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5" t="str">
        <f>IF(J3137&lt;&gt;1,"",IF(I3137="SBJ","CB","?"))</f>
        <v> </v>
      </c>
      <c r="I3137" s="26" t="str">
        <f>IF(OR(E3137="",E3137="!!!",F3137="NEW"),"",INDEX(B3136:B$2,-1+SUMPRODUCT(MAX(ROW(E3136:E$2)*(E3137=E3136:E$2)))))</f>
        <v> </v>
      </c>
      <c r="J3137" s="26" t="str">
        <f>IF(OR(E3137="",E3137="!!!",F3137="NEW"),"",COUNTBLANK(OFFSET(A$1,,,SUMPRODUCT(MAX(ROW(E$2:E3137)*(E3137=E$2:E3137)))))-COUNTBLANK(OFFSET(A$1,,,SUMPRODUCT(MAX(ROW(E$1:E3136)*(E2=E$1:E3136))))))</f>
        <v> </v>
      </c>
      <c r="K3137" s="26" t="str">
        <f>IF(OR(E3137="",E3137="!!!",F3137="NEW"),"",INDEX(J$1:J3136,SUMPRODUCT(MAX(ROW(E$1:E3136)*(E3137=E$1:E3136)))))</f>
        <v> </v>
      </c>
      <c r="L3137" s="27"/>
    </row>
    <row r="3138" spans="1:12">
      <c r="A3138" s="20" t="s">
        <v>611</v>
      </c>
      <c r="E3138" s="22">
        <f>IF(D3138="?OLD","!!!","")</f>
        <v/>
      </c>
      <c r="F3138" s="23" t="str">
        <f>IF(OR(E3138="",E3138="!!!"),"",IF(NOT(ISNA(VLOOKUP(E3138,E$1:E3137,1,FALSE()))),"OLD",IF(AND(E3138&lt;&gt;"",E3138&lt;&gt;"!!!"),"NEW","")))</f>
        <v> </v>
      </c>
      <c r="G3138" s="24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5" t="str">
        <f>IF(J3138&lt;&gt;1,"",IF(I3138="SBJ","CB","?"))</f>
        <v> </v>
      </c>
      <c r="I3138" s="26" t="str">
        <f>IF(OR(E3138="",E3138="!!!",F3138="NEW"),"",INDEX(B3137:B$2,-1+SUMPRODUCT(MAX(ROW(E3137:E$2)*(E3138=E3137:E$2)))))</f>
        <v> </v>
      </c>
      <c r="J3138" s="26" t="str">
        <f>IF(OR(E3138="",E3138="!!!",F3138="NEW"),"",COUNTBLANK(OFFSET(A$1,,,SUMPRODUCT(MAX(ROW(E$2:E3138)*(E3138=E$2:E3138)))))-COUNTBLANK(OFFSET(A$1,,,SUMPRODUCT(MAX(ROW(E$1:E3137)*(E2=E$1:E3137))))))</f>
        <v> </v>
      </c>
      <c r="K3138" s="26" t="str">
        <f>IF(OR(E3138="",E3138="!!!",F3138="NEW"),"",INDEX(J$1:J3137,SUMPRODUCT(MAX(ROW(E$1:E3137)*(E3138=E$1:E3137)))))</f>
        <v> </v>
      </c>
      <c r="L3138" s="27"/>
    </row>
    <row r="3139" spans="1:12">
      <c r="A3139" s="20" t="s">
        <v>239</v>
      </c>
      <c r="E3139" s="22">
        <f>IF(D3139="?OLD","!!!","")</f>
        <v/>
      </c>
      <c r="F3139" s="23" t="str">
        <f>IF(OR(E3139="",E3139="!!!"),"",IF(NOT(ISNA(VLOOKUP(E3139,E$1:E3138,1,FALSE()))),"OLD",IF(AND(E3139&lt;&gt;"",E3139&lt;&gt;"!!!"),"NEW","")))</f>
        <v> </v>
      </c>
      <c r="G3139" s="24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5" t="str">
        <f>IF(J3139&lt;&gt;1,"",IF(I3139="SBJ","CB","?"))</f>
        <v> </v>
      </c>
      <c r="I3139" s="26" t="str">
        <f>IF(OR(E3139="",E3139="!!!",F3139="NEW"),"",INDEX(B3138:B$2,-1+SUMPRODUCT(MAX(ROW(E3138:E$2)*(E3139=E3138:E$2)))))</f>
        <v> </v>
      </c>
      <c r="J3139" s="26" t="str">
        <f>IF(OR(E3139="",E3139="!!!",F3139="NEW"),"",COUNTBLANK(OFFSET(A$1,,,SUMPRODUCT(MAX(ROW(E$2:E3139)*(E3139=E$2:E3139)))))-COUNTBLANK(OFFSET(A$1,,,SUMPRODUCT(MAX(ROW(E$1:E3138)*(E2=E$1:E3138))))))</f>
        <v> </v>
      </c>
      <c r="K3139" s="26" t="str">
        <f>IF(OR(E3139="",E3139="!!!",F3139="NEW"),"",INDEX(J$1:J3138,SUMPRODUCT(MAX(ROW(E$1:E3138)*(E3139=E$1:E3138)))))</f>
        <v> </v>
      </c>
      <c r="L3139" s="27"/>
    </row>
    <row r="3140" spans="1:12">
      <c r="A3140" s="20" t="s">
        <v>907</v>
      </c>
      <c r="B3140" s="21" t="s">
        <v>636</v>
      </c>
      <c r="C3140" s="21" t="s">
        <v>602</v>
      </c>
      <c r="D3140" s="21" t="s">
        <v>603</v>
      </c>
      <c r="E3140" s="22">
        <f>IF(D3140="?OLD","!!!","")</f>
        <v/>
      </c>
      <c r="F3140" s="23" t="str">
        <f>IF(OR(E3140="",E3140="!!!"),"",IF(NOT(ISNA(VLOOKUP(E3140,E$1:E3139,1,FALSE()))),"OLD",IF(AND(E3140&lt;&gt;"",E3140&lt;&gt;"!!!"),"NEW","")))</f>
        <v> </v>
      </c>
      <c r="G3140" s="24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5" t="str">
        <f>IF(J3140&lt;&gt;1,"",IF(I3140="SBJ","CB","?"))</f>
        <v> </v>
      </c>
      <c r="I3140" s="26" t="str">
        <f>IF(OR(E3140="",E3140="!!!",F3140="NEW"),"",INDEX(B3139:B$2,-1+SUMPRODUCT(MAX(ROW(E3139:E$2)*(E3140=E3139:E$2)))))</f>
        <v> </v>
      </c>
      <c r="J3140" s="26" t="str">
        <f>IF(OR(E3140="",E3140="!!!",F3140="NEW"),"",COUNTBLANK(OFFSET(A$1,,,SUMPRODUCT(MAX(ROW(E$2:E3140)*(E3140=E$2:E3140)))))-COUNTBLANK(OFFSET(A$1,,,SUMPRODUCT(MAX(ROW(E$1:E3139)*(E2=E$1:E3139))))))</f>
        <v> </v>
      </c>
      <c r="K3140" s="26" t="str">
        <f>IF(OR(E3140="",E3140="!!!",F3140="NEW"),"",INDEX(J$1:J3139,SUMPRODUCT(MAX(ROW(E$1:E3139)*(E3140=E$1:E3139)))))</f>
        <v> </v>
      </c>
      <c r="L3140" s="27"/>
    </row>
    <row r="3141" spans="1:12">
      <c r="A3141" s="20" t="s">
        <v>2045</v>
      </c>
      <c r="E3141" s="22">
        <f>IF(D3141="?OLD","!!!","")</f>
        <v/>
      </c>
      <c r="F3141" s="23" t="str">
        <f>IF(OR(E3141="",E3141="!!!"),"",IF(NOT(ISNA(VLOOKUP(E3141,E$1:E3140,1,FALSE()))),"OLD",IF(AND(E3141&lt;&gt;"",E3141&lt;&gt;"!!!"),"NEW","")))</f>
        <v> </v>
      </c>
      <c r="G3141" s="24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5" t="str">
        <f>IF(J3141&lt;&gt;1,"",IF(I3141="SBJ","CB","?"))</f>
        <v> </v>
      </c>
      <c r="I3141" s="26" t="str">
        <f>IF(OR(E3141="",E3141="!!!",F3141="NEW"),"",INDEX(B3140:B$2,-1+SUMPRODUCT(MAX(ROW(E3140:E$2)*(E3141=E3140:E$2)))))</f>
        <v> </v>
      </c>
      <c r="J3141" s="26" t="str">
        <f>IF(OR(E3141="",E3141="!!!",F3141="NEW"),"",COUNTBLANK(OFFSET(A$1,,,SUMPRODUCT(MAX(ROW(E$2:E3141)*(E3141=E$2:E3141)))))-COUNTBLANK(OFFSET(A$1,,,SUMPRODUCT(MAX(ROW(E$1:E3140)*(E2=E$1:E3140))))))</f>
        <v> </v>
      </c>
      <c r="K3141" s="26" t="str">
        <f>IF(OR(E3141="",E3141="!!!",F3141="NEW"),"",INDEX(J$1:J3140,SUMPRODUCT(MAX(ROW(E$1:E3140)*(E3141=E$1:E3140)))))</f>
        <v> </v>
      </c>
      <c r="L3141" s="27"/>
    </row>
    <row r="3142" spans="1:12">
      <c r="A3142" s="20" t="s">
        <v>1273</v>
      </c>
      <c r="E3142" s="22">
        <f>IF(D3142="?OLD","!!!","")</f>
        <v/>
      </c>
      <c r="F3142" s="23" t="str">
        <f>IF(OR(E3142="",E3142="!!!"),"",IF(NOT(ISNA(VLOOKUP(E3142,E$1:E3141,1,FALSE()))),"OLD",IF(AND(E3142&lt;&gt;"",E3142&lt;&gt;"!!!"),"NEW","")))</f>
        <v> </v>
      </c>
      <c r="G3142" s="24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5" t="str">
        <f>IF(J3142&lt;&gt;1,"",IF(I3142="SBJ","CB","?"))</f>
        <v> </v>
      </c>
      <c r="I3142" s="26" t="str">
        <f>IF(OR(E3142="",E3142="!!!",F3142="NEW"),"",INDEX(B3141:B$2,-1+SUMPRODUCT(MAX(ROW(E3141:E$2)*(E3142=E3141:E$2)))))</f>
        <v> </v>
      </c>
      <c r="J3142" s="26" t="str">
        <f>IF(OR(E3142="",E3142="!!!",F3142="NEW"),"",COUNTBLANK(OFFSET(A$1,,,SUMPRODUCT(MAX(ROW(E$2:E3142)*(E3142=E$2:E3142)))))-COUNTBLANK(OFFSET(A$1,,,SUMPRODUCT(MAX(ROW(E$1:E3141)*(E2=E$1:E3141))))))</f>
        <v> </v>
      </c>
      <c r="K3142" s="26" t="str">
        <f>IF(OR(E3142="",E3142="!!!",F3142="NEW"),"",INDEX(J$1:J3141,SUMPRODUCT(MAX(ROW(E$1:E3141)*(E3142=E$1:E3141)))))</f>
        <v> </v>
      </c>
      <c r="L3142" s="27"/>
    </row>
    <row r="3143" spans="1:12">
      <c r="A3143" s="20" t="s">
        <v>2046</v>
      </c>
      <c r="E3143" s="22">
        <f>IF(D3143="?OLD","!!!","")</f>
        <v/>
      </c>
      <c r="F3143" s="23" t="str">
        <f>IF(OR(E3143="",E3143="!!!"),"",IF(NOT(ISNA(VLOOKUP(E3143,E$1:E3142,1,FALSE()))),"OLD",IF(AND(E3143&lt;&gt;"",E3143&lt;&gt;"!!!"),"NEW","")))</f>
        <v> </v>
      </c>
      <c r="G3143" s="24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5" t="str">
        <f>IF(J3143&lt;&gt;1,"",IF(I3143="SBJ","CB","?"))</f>
        <v> </v>
      </c>
      <c r="I3143" s="26" t="str">
        <f>IF(OR(E3143="",E3143="!!!",F3143="NEW"),"",INDEX(B3142:B$2,-1+SUMPRODUCT(MAX(ROW(E3142:E$2)*(E3143=E3142:E$2)))))</f>
        <v> </v>
      </c>
      <c r="J3143" s="26" t="str">
        <f>IF(OR(E3143="",E3143="!!!",F3143="NEW"),"",COUNTBLANK(OFFSET(A$1,,,SUMPRODUCT(MAX(ROW(E$2:E3143)*(E3143=E$2:E3143)))))-COUNTBLANK(OFFSET(A$1,,,SUMPRODUCT(MAX(ROW(E$1:E3142)*(E2=E$1:E3142))))))</f>
        <v> </v>
      </c>
      <c r="K3143" s="26" t="str">
        <f>IF(OR(E3143="",E3143="!!!",F3143="NEW"),"",INDEX(J$1:J3142,SUMPRODUCT(MAX(ROW(E$1:E3142)*(E3143=E$1:E3142)))))</f>
        <v> </v>
      </c>
      <c r="L3143" s="27"/>
    </row>
    <row r="3144" spans="1:12">
      <c r="A3144" s="20" t="s">
        <v>2047</v>
      </c>
      <c r="B3144" s="21" t="s">
        <v>804</v>
      </c>
      <c r="C3144" s="21" t="s">
        <v>733</v>
      </c>
      <c r="D3144" s="21" t="s">
        <v>603</v>
      </c>
      <c r="E3144" s="22">
        <f>IF(D3144="?OLD","!!!","")</f>
        <v/>
      </c>
      <c r="F3144" s="23" t="str">
        <f>IF(OR(E3144="",E3144="!!!"),"",IF(NOT(ISNA(VLOOKUP(E3144,E$1:E3143,1,FALSE()))),"OLD",IF(AND(E3144&lt;&gt;"",E3144&lt;&gt;"!!!"),"NEW","")))</f>
        <v> </v>
      </c>
      <c r="G3144" s="24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5" t="str">
        <f>IF(J3144&lt;&gt;1,"",IF(I3144="SBJ","CB","?"))</f>
        <v> </v>
      </c>
      <c r="I3144" s="26" t="str">
        <f>IF(OR(E3144="",E3144="!!!",F3144="NEW"),"",INDEX(B3143:B$2,-1+SUMPRODUCT(MAX(ROW(E3143:E$2)*(E3144=E3143:E$2)))))</f>
        <v> </v>
      </c>
      <c r="J3144" s="26" t="str">
        <f>IF(OR(E3144="",E3144="!!!",F3144="NEW"),"",COUNTBLANK(OFFSET(A$1,,,SUMPRODUCT(MAX(ROW(E$2:E3144)*(E3144=E$2:E3144)))))-COUNTBLANK(OFFSET(A$1,,,SUMPRODUCT(MAX(ROW(E$1:E3143)*(E2=E$1:E3143))))))</f>
        <v> </v>
      </c>
      <c r="K3144" s="26" t="str">
        <f>IF(OR(E3144="",E3144="!!!",F3144="NEW"),"",INDEX(J$1:J3143,SUMPRODUCT(MAX(ROW(E$1:E3143)*(E3144=E$1:E3143)))))</f>
        <v> </v>
      </c>
      <c r="L3144" s="27"/>
    </row>
    <row r="3145" spans="1:12">
      <c r="A3145" s="20" t="s">
        <v>895</v>
      </c>
      <c r="B3145" s="21" t="s">
        <v>801</v>
      </c>
      <c r="E3145" s="22">
        <f>IF(D3145="?OLD","!!!","")</f>
        <v/>
      </c>
      <c r="F3145" s="23" t="str">
        <f>IF(OR(E3145="",E3145="!!!"),"",IF(NOT(ISNA(VLOOKUP(E3145,E$1:E3144,1,FALSE()))),"OLD",IF(AND(E3145&lt;&gt;"",E3145&lt;&gt;"!!!"),"NEW","")))</f>
        <v> </v>
      </c>
      <c r="G3145" s="24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5" t="str">
        <f>IF(J3145&lt;&gt;1,"",IF(I3145="SBJ","CB","?"))</f>
        <v> </v>
      </c>
      <c r="I3145" s="26" t="str">
        <f>IF(OR(E3145="",E3145="!!!",F3145="NEW"),"",INDEX(B3144:B$2,-1+SUMPRODUCT(MAX(ROW(E3144:E$2)*(E3145=E3144:E$2)))))</f>
        <v> </v>
      </c>
      <c r="J3145" s="26" t="str">
        <f>IF(OR(E3145="",E3145="!!!",F3145="NEW"),"",COUNTBLANK(OFFSET(A$1,,,SUMPRODUCT(MAX(ROW(E$2:E3145)*(E3145=E$2:E3145)))))-COUNTBLANK(OFFSET(A$1,,,SUMPRODUCT(MAX(ROW(E$1:E3144)*(E2=E$1:E3144))))))</f>
        <v> </v>
      </c>
      <c r="K3145" s="26" t="str">
        <f>IF(OR(E3145="",E3145="!!!",F3145="NEW"),"",INDEX(J$1:J3144,SUMPRODUCT(MAX(ROW(E$1:E3144)*(E3145=E$1:E3144)))))</f>
        <v> </v>
      </c>
      <c r="L3145" s="27"/>
    </row>
    <row r="3146" spans="1:12">
      <c r="A3146" s="20" t="s">
        <v>633</v>
      </c>
      <c r="E3146" s="22">
        <f>IF(D3146="?OLD","!!!","")</f>
        <v/>
      </c>
      <c r="F3146" s="23" t="str">
        <f>IF(OR(E3146="",E3146="!!!"),"",IF(NOT(ISNA(VLOOKUP(E3146,E$1:E3145,1,FALSE()))),"OLD",IF(AND(E3146&lt;&gt;"",E3146&lt;&gt;"!!!"),"NEW","")))</f>
        <v> </v>
      </c>
      <c r="G3146" s="24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5" t="str">
        <f>IF(J3146&lt;&gt;1,"",IF(I3146="SBJ","CB","?"))</f>
        <v> </v>
      </c>
      <c r="I3146" s="26" t="str">
        <f>IF(OR(E3146="",E3146="!!!",F3146="NEW"),"",INDEX(B3145:B$2,-1+SUMPRODUCT(MAX(ROW(E3145:E$2)*(E3146=E3145:E$2)))))</f>
        <v> </v>
      </c>
      <c r="J3146" s="26" t="str">
        <f>IF(OR(E3146="",E3146="!!!",F3146="NEW"),"",COUNTBLANK(OFFSET(A$1,,,SUMPRODUCT(MAX(ROW(E$2:E3146)*(E3146=E$2:E3146)))))-COUNTBLANK(OFFSET(A$1,,,SUMPRODUCT(MAX(ROW(E$1:E3145)*(E2=E$1:E3145))))))</f>
        <v> </v>
      </c>
      <c r="K3146" s="26" t="str">
        <f>IF(OR(E3146="",E3146="!!!",F3146="NEW"),"",INDEX(J$1:J3145,SUMPRODUCT(MAX(ROW(E$1:E3145)*(E3146=E$1:E3145)))))</f>
        <v> </v>
      </c>
      <c r="L3146" s="27"/>
    </row>
    <row r="3147" spans="1:12">
      <c r="A3147" s="20"/>
    </row>
    <row r="3148" spans="1:12">
      <c r="A3148" s="20" t="s">
        <v>2048</v>
      </c>
    </row>
    <row r="3149" spans="1:12">
      <c r="A3149" s="20" t="s">
        <v>1045</v>
      </c>
      <c r="E3149" s="22">
        <f>IF(D3149="?OLD","!!!","")</f>
        <v/>
      </c>
      <c r="F3149" s="23" t="str">
        <f>IF(OR(E3149="",E3149="!!!"),"",IF(NOT(ISNA(VLOOKUP(E3149,E$1:E3148,1,FALSE()))),"OLD",IF(AND(E3149&lt;&gt;"",E3149&lt;&gt;"!!!"),"NEW","")))</f>
        <v> </v>
      </c>
      <c r="G3149" s="24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5" t="str">
        <f>IF(J3149&lt;&gt;1,"",IF(I3149="SBJ","CB","?"))</f>
        <v> </v>
      </c>
      <c r="I3149" s="26" t="str">
        <f>IF(OR(E3149="",E3149="!!!",F3149="NEW"),"",INDEX(B3148:B$2,-1+SUMPRODUCT(MAX(ROW(E3148:E$2)*(E3149=E3148:E$2)))))</f>
        <v> </v>
      </c>
      <c r="J3149" s="26" t="str">
        <f>IF(OR(E3149="",E3149="!!!",F3149="NEW"),"",COUNTBLANK(OFFSET(A$1,,,SUMPRODUCT(MAX(ROW(E$2:E3149)*(E3149=E$2:E3149)))))-COUNTBLANK(OFFSET(A$1,,,SUMPRODUCT(MAX(ROW(E$1:E3148)*(E2=E$1:E3148))))))</f>
        <v> </v>
      </c>
      <c r="K3149" s="26" t="str">
        <f>IF(OR(E3149="",E3149="!!!",F3149="NEW"),"",INDEX(J$1:J3148,SUMPRODUCT(MAX(ROW(E$1:E3148)*(E3149=E$1:E3148)))))</f>
        <v> </v>
      </c>
      <c r="L3149" s="27"/>
    </row>
    <row r="3150" spans="1:12">
      <c r="A3150" s="20" t="s">
        <v>1353</v>
      </c>
      <c r="B3150" s="21" t="s">
        <v>636</v>
      </c>
      <c r="E3150" s="22">
        <f>IF(D3150="?OLD","!!!","")</f>
        <v/>
      </c>
      <c r="F3150" s="23" t="str">
        <f>IF(OR(E3150="",E3150="!!!"),"",IF(NOT(ISNA(VLOOKUP(E3150,E$1:E3149,1,FALSE()))),"OLD",IF(AND(E3150&lt;&gt;"",E3150&lt;&gt;"!!!"),"NEW","")))</f>
        <v> </v>
      </c>
      <c r="G3150" s="24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5" t="str">
        <f>IF(J3150&lt;&gt;1,"",IF(I3150="SBJ","CB","?"))</f>
        <v> </v>
      </c>
      <c r="I3150" s="26" t="str">
        <f>IF(OR(E3150="",E3150="!!!",F3150="NEW"),"",INDEX(B3149:B$2,-1+SUMPRODUCT(MAX(ROW(E3149:E$2)*(E3150=E3149:E$2)))))</f>
        <v> </v>
      </c>
      <c r="J3150" s="26" t="str">
        <f>IF(OR(E3150="",E3150="!!!",F3150="NEW"),"",COUNTBLANK(OFFSET(A$1,,,SUMPRODUCT(MAX(ROW(E$2:E3150)*(E3150=E$2:E3150)))))-COUNTBLANK(OFFSET(A$1,,,SUMPRODUCT(MAX(ROW(E$1:E3149)*(E2=E$1:E3149))))))</f>
        <v> </v>
      </c>
      <c r="K3150" s="26" t="str">
        <f>IF(OR(E3150="",E3150="!!!",F3150="NEW"),"",INDEX(J$1:J3149,SUMPRODUCT(MAX(ROW(E$1:E3149)*(E3150=E$1:E3149)))))</f>
        <v> </v>
      </c>
      <c r="L3150" s="27"/>
    </row>
    <row r="3151" spans="1:12">
      <c r="A3151" s="20" t="s">
        <v>2049</v>
      </c>
      <c r="E3151" s="22">
        <f>IF(D3151="?OLD","!!!","")</f>
        <v/>
      </c>
      <c r="F3151" s="23" t="str">
        <f>IF(OR(E3151="",E3151="!!!"),"",IF(NOT(ISNA(VLOOKUP(E3151,E$1:E3150,1,FALSE()))),"OLD",IF(AND(E3151&lt;&gt;"",E3151&lt;&gt;"!!!"),"NEW","")))</f>
        <v> </v>
      </c>
      <c r="G3151" s="24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5" t="str">
        <f>IF(J3151&lt;&gt;1,"",IF(I3151="SBJ","CB","?"))</f>
        <v> </v>
      </c>
      <c r="I3151" s="26" t="str">
        <f>IF(OR(E3151="",E3151="!!!",F3151="NEW"),"",INDEX(B3150:B$2,-1+SUMPRODUCT(MAX(ROW(E3150:E$2)*(E3151=E3150:E$2)))))</f>
        <v> </v>
      </c>
      <c r="J3151" s="26" t="str">
        <f>IF(OR(E3151="",E3151="!!!",F3151="NEW"),"",COUNTBLANK(OFFSET(A$1,,,SUMPRODUCT(MAX(ROW(E$2:E3151)*(E3151=E$2:E3151)))))-COUNTBLANK(OFFSET(A$1,,,SUMPRODUCT(MAX(ROW(E$1:E3150)*(E2=E$1:E3150))))))</f>
        <v> </v>
      </c>
      <c r="K3151" s="26" t="str">
        <f>IF(OR(E3151="",E3151="!!!",F3151="NEW"),"",INDEX(J$1:J3150,SUMPRODUCT(MAX(ROW(E$1:E3150)*(E3151=E$1:E3150)))))</f>
        <v> </v>
      </c>
      <c r="L3151" s="27"/>
    </row>
    <row r="3152" spans="1:12">
      <c r="A3152" s="20" t="s">
        <v>870</v>
      </c>
      <c r="E3152" s="22">
        <f>IF(D3152="?OLD","!!!","")</f>
        <v/>
      </c>
      <c r="F3152" s="23" t="str">
        <f>IF(OR(E3152="",E3152="!!!"),"",IF(NOT(ISNA(VLOOKUP(E3152,E$1:E3151,1,FALSE()))),"OLD",IF(AND(E3152&lt;&gt;"",E3152&lt;&gt;"!!!"),"NEW","")))</f>
        <v> </v>
      </c>
      <c r="G3152" s="24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5" t="str">
        <f>IF(J3152&lt;&gt;1,"",IF(I3152="SBJ","CB","?"))</f>
        <v> </v>
      </c>
      <c r="I3152" s="26" t="str">
        <f>IF(OR(E3152="",E3152="!!!",F3152="NEW"),"",INDEX(B3151:B$2,-1+SUMPRODUCT(MAX(ROW(E3151:E$2)*(E3152=E3151:E$2)))))</f>
        <v> </v>
      </c>
      <c r="J3152" s="26" t="str">
        <f>IF(OR(E3152="",E3152="!!!",F3152="NEW"),"",COUNTBLANK(OFFSET(A$1,,,SUMPRODUCT(MAX(ROW(E$2:E3152)*(E3152=E$2:E3152)))))-COUNTBLANK(OFFSET(A$1,,,SUMPRODUCT(MAX(ROW(E$1:E3151)*(E2=E$1:E3151))))))</f>
        <v> </v>
      </c>
      <c r="K3152" s="26" t="str">
        <f>IF(OR(E3152="",E3152="!!!",F3152="NEW"),"",INDEX(J$1:J3151,SUMPRODUCT(MAX(ROW(E$1:E3151)*(E3152=E$1:E3151)))))</f>
        <v> </v>
      </c>
      <c r="L3152" s="27"/>
    </row>
    <row r="3153" spans="1:12">
      <c r="A3153" s="20" t="s">
        <v>2050</v>
      </c>
      <c r="B3153" s="21" t="s">
        <v>609</v>
      </c>
      <c r="C3153" s="21" t="s">
        <v>716</v>
      </c>
      <c r="D3153" s="21" t="s">
        <v>603</v>
      </c>
      <c r="E3153" s="22">
        <f>IF(D3153="?OLD","!!!","")</f>
        <v/>
      </c>
      <c r="F3153" s="23" t="str">
        <f>IF(OR(E3153="",E3153="!!!"),"",IF(NOT(ISNA(VLOOKUP(E3153,E$1:E3152,1,FALSE()))),"OLD",IF(AND(E3153&lt;&gt;"",E3153&lt;&gt;"!!!"),"NEW","")))</f>
        <v> </v>
      </c>
      <c r="G3153" s="24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5" t="str">
        <f>IF(J3153&lt;&gt;1,"",IF(I3153="SBJ","CB","?"))</f>
        <v> </v>
      </c>
      <c r="I3153" s="26" t="str">
        <f>IF(OR(E3153="",E3153="!!!",F3153="NEW"),"",INDEX(B3152:B$2,-1+SUMPRODUCT(MAX(ROW(E3152:E$2)*(E3153=E3152:E$2)))))</f>
        <v> </v>
      </c>
      <c r="J3153" s="26" t="str">
        <f>IF(OR(E3153="",E3153="!!!",F3153="NEW"),"",COUNTBLANK(OFFSET(A$1,,,SUMPRODUCT(MAX(ROW(E$2:E3153)*(E3153=E$2:E3153)))))-COUNTBLANK(OFFSET(A$1,,,SUMPRODUCT(MAX(ROW(E$1:E3152)*(E2=E$1:E3152))))))</f>
        <v> </v>
      </c>
      <c r="K3153" s="26" t="str">
        <f>IF(OR(E3153="",E3153="!!!",F3153="NEW"),"",INDEX(J$1:J3152,SUMPRODUCT(MAX(ROW(E$1:E3152)*(E3153=E$1:E3152)))))</f>
        <v> </v>
      </c>
      <c r="L3153" s="27"/>
    </row>
    <row r="3154" spans="1:12">
      <c r="A3154" s="20" t="s">
        <v>611</v>
      </c>
      <c r="E3154" s="22">
        <f>IF(D3154="?OLD","!!!","")</f>
        <v/>
      </c>
      <c r="F3154" s="23" t="str">
        <f>IF(OR(E3154="",E3154="!!!"),"",IF(NOT(ISNA(VLOOKUP(E3154,E$1:E3153,1,FALSE()))),"OLD",IF(AND(E3154&lt;&gt;"",E3154&lt;&gt;"!!!"),"NEW","")))</f>
        <v> </v>
      </c>
      <c r="G3154" s="24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5" t="str">
        <f>IF(J3154&lt;&gt;1,"",IF(I3154="SBJ","CB","?"))</f>
        <v> </v>
      </c>
      <c r="I3154" s="26" t="str">
        <f>IF(OR(E3154="",E3154="!!!",F3154="NEW"),"",INDEX(B3153:B$2,-1+SUMPRODUCT(MAX(ROW(E3153:E$2)*(E3154=E3153:E$2)))))</f>
        <v> </v>
      </c>
      <c r="J3154" s="26" t="str">
        <f>IF(OR(E3154="",E3154="!!!",F3154="NEW"),"",COUNTBLANK(OFFSET(A$1,,,SUMPRODUCT(MAX(ROW(E$2:E3154)*(E3154=E$2:E3154)))))-COUNTBLANK(OFFSET(A$1,,,SUMPRODUCT(MAX(ROW(E$1:E3153)*(E2=E$1:E3153))))))</f>
        <v> </v>
      </c>
      <c r="K3154" s="26" t="str">
        <f>IF(OR(E3154="",E3154="!!!",F3154="NEW"),"",INDEX(J$1:J3153,SUMPRODUCT(MAX(ROW(E$1:E3153)*(E3154=E$1:E3153)))))</f>
        <v> </v>
      </c>
      <c r="L3154" s="27"/>
    </row>
    <row r="3155" spans="1:12">
      <c r="A3155" s="20" t="s">
        <v>239</v>
      </c>
      <c r="E3155" s="22">
        <f>IF(D3155="?OLD","!!!","")</f>
        <v/>
      </c>
      <c r="F3155" s="23" t="str">
        <f>IF(OR(E3155="",E3155="!!!"),"",IF(NOT(ISNA(VLOOKUP(E3155,E$1:E3154,1,FALSE()))),"OLD",IF(AND(E3155&lt;&gt;"",E3155&lt;&gt;"!!!"),"NEW","")))</f>
        <v> </v>
      </c>
      <c r="G3155" s="24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5" t="str">
        <f>IF(J3155&lt;&gt;1,"",IF(I3155="SBJ","CB","?"))</f>
        <v> </v>
      </c>
      <c r="I3155" s="26" t="str">
        <f>IF(OR(E3155="",E3155="!!!",F3155="NEW"),"",INDEX(B3154:B$2,-1+SUMPRODUCT(MAX(ROW(E3154:E$2)*(E3155=E3154:E$2)))))</f>
        <v> </v>
      </c>
      <c r="J3155" s="26" t="str">
        <f>IF(OR(E3155="",E3155="!!!",F3155="NEW"),"",COUNTBLANK(OFFSET(A$1,,,SUMPRODUCT(MAX(ROW(E$2:E3155)*(E3155=E$2:E3155)))))-COUNTBLANK(OFFSET(A$1,,,SUMPRODUCT(MAX(ROW(E$1:E3154)*(E2=E$1:E3154))))))</f>
        <v> </v>
      </c>
      <c r="K3155" s="26" t="str">
        <f>IF(OR(E3155="",E3155="!!!",F3155="NEW"),"",INDEX(J$1:J3154,SUMPRODUCT(MAX(ROW(E$1:E3154)*(E3155=E$1:E3154)))))</f>
        <v> </v>
      </c>
      <c r="L3155" s="27"/>
    </row>
    <row r="3156" spans="1:12">
      <c r="A3156" s="20" t="s">
        <v>907</v>
      </c>
      <c r="B3156" s="21" t="s">
        <v>601</v>
      </c>
      <c r="C3156" s="21" t="s">
        <v>602</v>
      </c>
      <c r="D3156" s="21" t="s">
        <v>603</v>
      </c>
      <c r="E3156" s="22">
        <f>IF(D3156="?OLD","!!!","")</f>
        <v/>
      </c>
      <c r="F3156" s="23" t="str">
        <f>IF(OR(E3156="",E3156="!!!"),"",IF(NOT(ISNA(VLOOKUP(E3156,E$1:E3155,1,FALSE()))),"OLD",IF(AND(E3156&lt;&gt;"",E3156&lt;&gt;"!!!"),"NEW","")))</f>
        <v> </v>
      </c>
      <c r="G3156" s="24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5" t="str">
        <f>IF(J3156&lt;&gt;1,"",IF(I3156="SBJ","CB","?"))</f>
        <v> </v>
      </c>
      <c r="I3156" s="26" t="str">
        <f>IF(OR(E3156="",E3156="!!!",F3156="NEW"),"",INDEX(B3155:B$2,-1+SUMPRODUCT(MAX(ROW(E3155:E$2)*(E3156=E3155:E$2)))))</f>
        <v> </v>
      </c>
      <c r="J3156" s="26" t="str">
        <f>IF(OR(E3156="",E3156="!!!",F3156="NEW"),"",COUNTBLANK(OFFSET(A$1,,,SUMPRODUCT(MAX(ROW(E$2:E3156)*(E3156=E$2:E3156)))))-COUNTBLANK(OFFSET(A$1,,,SUMPRODUCT(MAX(ROW(E$1:E3155)*(E2=E$1:E3155))))))</f>
        <v> </v>
      </c>
      <c r="K3156" s="26" t="str">
        <f>IF(OR(E3156="",E3156="!!!",F3156="NEW"),"",INDEX(J$1:J3155,SUMPRODUCT(MAX(ROW(E$1:E3155)*(E3156=E$1:E3155)))))</f>
        <v> </v>
      </c>
      <c r="L3156" s="27"/>
    </row>
    <row r="3157" spans="1:12">
      <c r="A3157" s="20" t="s">
        <v>2051</v>
      </c>
      <c r="E3157" s="22">
        <f>IF(D3157="?OLD","!!!","")</f>
        <v/>
      </c>
      <c r="F3157" s="23" t="str">
        <f>IF(OR(E3157="",E3157="!!!"),"",IF(NOT(ISNA(VLOOKUP(E3157,E$1:E3156,1,FALSE()))),"OLD",IF(AND(E3157&lt;&gt;"",E3157&lt;&gt;"!!!"),"NEW","")))</f>
        <v> </v>
      </c>
      <c r="G3157" s="24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5" t="str">
        <f>IF(J3157&lt;&gt;1,"",IF(I3157="SBJ","CB","?"))</f>
        <v> </v>
      </c>
      <c r="I3157" s="26" t="str">
        <f>IF(OR(E3157="",E3157="!!!",F3157="NEW"),"",INDEX(B3156:B$2,-1+SUMPRODUCT(MAX(ROW(E3156:E$2)*(E3157=E3156:E$2)))))</f>
        <v> </v>
      </c>
      <c r="J3157" s="26" t="str">
        <f>IF(OR(E3157="",E3157="!!!",F3157="NEW"),"",COUNTBLANK(OFFSET(A$1,,,SUMPRODUCT(MAX(ROW(E$2:E3157)*(E3157=E$2:E3157)))))-COUNTBLANK(OFFSET(A$1,,,SUMPRODUCT(MAX(ROW(E$1:E3156)*(E2=E$1:E3156))))))</f>
        <v> </v>
      </c>
      <c r="K3157" s="26" t="str">
        <f>IF(OR(E3157="",E3157="!!!",F3157="NEW"),"",INDEX(J$1:J3156,SUMPRODUCT(MAX(ROW(E$1:E3156)*(E3157=E$1:E3156)))))</f>
        <v> </v>
      </c>
      <c r="L3157" s="27"/>
    </row>
    <row r="3158" spans="1:12">
      <c r="A3158" s="20" t="s">
        <v>2052</v>
      </c>
      <c r="E3158" s="22">
        <f>IF(D3158="?OLD","!!!","")</f>
        <v/>
      </c>
      <c r="F3158" s="23" t="str">
        <f>IF(OR(E3158="",E3158="!!!"),"",IF(NOT(ISNA(VLOOKUP(E3158,E$1:E3157,1,FALSE()))),"OLD",IF(AND(E3158&lt;&gt;"",E3158&lt;&gt;"!!!"),"NEW","")))</f>
        <v> </v>
      </c>
      <c r="G3158" s="24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5" t="str">
        <f>IF(J3158&lt;&gt;1,"",IF(I3158="SBJ","CB","?"))</f>
        <v> </v>
      </c>
      <c r="I3158" s="26" t="str">
        <f>IF(OR(E3158="",E3158="!!!",F3158="NEW"),"",INDEX(B3157:B$2,-1+SUMPRODUCT(MAX(ROW(E3157:E$2)*(E3158=E3157:E$2)))))</f>
        <v> </v>
      </c>
      <c r="J3158" s="26" t="str">
        <f>IF(OR(E3158="",E3158="!!!",F3158="NEW"),"",COUNTBLANK(OFFSET(A$1,,,SUMPRODUCT(MAX(ROW(E$2:E3158)*(E3158=E$2:E3158)))))-COUNTBLANK(OFFSET(A$1,,,SUMPRODUCT(MAX(ROW(E$1:E3157)*(E2=E$1:E3157))))))</f>
        <v> </v>
      </c>
      <c r="K3158" s="26" t="str">
        <f>IF(OR(E3158="",E3158="!!!",F3158="NEW"),"",INDEX(J$1:J3157,SUMPRODUCT(MAX(ROW(E$1:E3157)*(E3158=E$1:E3157)))))</f>
        <v> </v>
      </c>
      <c r="L3158" s="27"/>
    </row>
    <row r="3159" spans="1:12">
      <c r="A3159" s="20" t="s">
        <v>1945</v>
      </c>
      <c r="E3159" s="22">
        <f>IF(D3159="?OLD","!!!","")</f>
        <v/>
      </c>
      <c r="F3159" s="23" t="str">
        <f>IF(OR(E3159="",E3159="!!!"),"",IF(NOT(ISNA(VLOOKUP(E3159,E$1:E3158,1,FALSE()))),"OLD",IF(AND(E3159&lt;&gt;"",E3159&lt;&gt;"!!!"),"NEW","")))</f>
        <v> </v>
      </c>
      <c r="G3159" s="24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5" t="str">
        <f>IF(J3159&lt;&gt;1,"",IF(I3159="SBJ","CB","?"))</f>
        <v> </v>
      </c>
      <c r="I3159" s="26" t="str">
        <f>IF(OR(E3159="",E3159="!!!",F3159="NEW"),"",INDEX(B3158:B$2,-1+SUMPRODUCT(MAX(ROW(E3158:E$2)*(E3159=E3158:E$2)))))</f>
        <v> </v>
      </c>
      <c r="J3159" s="26" t="str">
        <f>IF(OR(E3159="",E3159="!!!",F3159="NEW"),"",COUNTBLANK(OFFSET(A$1,,,SUMPRODUCT(MAX(ROW(E$2:E3159)*(E3159=E$2:E3159)))))-COUNTBLANK(OFFSET(A$1,,,SUMPRODUCT(MAX(ROW(E$1:E3158)*(E2=E$1:E3158))))))</f>
        <v> </v>
      </c>
      <c r="K3159" s="26" t="str">
        <f>IF(OR(E3159="",E3159="!!!",F3159="NEW"),"",INDEX(J$1:J3158,SUMPRODUCT(MAX(ROW(E$1:E3158)*(E3159=E$1:E3158)))))</f>
        <v> </v>
      </c>
      <c r="L3159" s="27"/>
    </row>
    <row r="3160" spans="1:12">
      <c r="A3160" s="20" t="s">
        <v>905</v>
      </c>
      <c r="B3160" s="21" t="s">
        <v>801</v>
      </c>
      <c r="E3160" s="22">
        <f>IF(D3160="?OLD","!!!","")</f>
        <v/>
      </c>
      <c r="F3160" s="23" t="str">
        <f>IF(OR(E3160="",E3160="!!!"),"",IF(NOT(ISNA(VLOOKUP(E3160,E$1:E3159,1,FALSE()))),"OLD",IF(AND(E3160&lt;&gt;"",E3160&lt;&gt;"!!!"),"NEW","")))</f>
        <v> </v>
      </c>
      <c r="G3160" s="24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5" t="str">
        <f>IF(J3160&lt;&gt;1,"",IF(I3160="SBJ","CB","?"))</f>
        <v> </v>
      </c>
      <c r="I3160" s="26" t="str">
        <f>IF(OR(E3160="",E3160="!!!",F3160="NEW"),"",INDEX(B3159:B$2,-1+SUMPRODUCT(MAX(ROW(E3159:E$2)*(E3160=E3159:E$2)))))</f>
        <v> </v>
      </c>
      <c r="J3160" s="26" t="str">
        <f>IF(OR(E3160="",E3160="!!!",F3160="NEW"),"",COUNTBLANK(OFFSET(A$1,,,SUMPRODUCT(MAX(ROW(E$2:E3160)*(E3160=E$2:E3160)))))-COUNTBLANK(OFFSET(A$1,,,SUMPRODUCT(MAX(ROW(E$1:E3159)*(E2=E$1:E3159))))))</f>
        <v> </v>
      </c>
      <c r="K3160" s="26" t="str">
        <f>IF(OR(E3160="",E3160="!!!",F3160="NEW"),"",INDEX(J$1:J3159,SUMPRODUCT(MAX(ROW(E$1:E3159)*(E3160=E$1:E3159)))))</f>
        <v> </v>
      </c>
      <c r="L3160" s="27"/>
    </row>
    <row r="3161" spans="1:12">
      <c r="A3161" s="20" t="s">
        <v>611</v>
      </c>
      <c r="E3161" s="22">
        <f>IF(D3161="?OLD","!!!","")</f>
        <v/>
      </c>
      <c r="F3161" s="23" t="str">
        <f>IF(OR(E3161="",E3161="!!!"),"",IF(NOT(ISNA(VLOOKUP(E3161,E$1:E3160,1,FALSE()))),"OLD",IF(AND(E3161&lt;&gt;"",E3161&lt;&gt;"!!!"),"NEW","")))</f>
        <v> </v>
      </c>
      <c r="G3161" s="24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5" t="str">
        <f>IF(J3161&lt;&gt;1,"",IF(I3161="SBJ","CB","?"))</f>
        <v> </v>
      </c>
      <c r="I3161" s="26" t="str">
        <f>IF(OR(E3161="",E3161="!!!",F3161="NEW"),"",INDEX(B3160:B$2,-1+SUMPRODUCT(MAX(ROW(E3160:E$2)*(E3161=E3160:E$2)))))</f>
        <v> </v>
      </c>
      <c r="J3161" s="26" t="str">
        <f>IF(OR(E3161="",E3161="!!!",F3161="NEW"),"",COUNTBLANK(OFFSET(A$1,,,SUMPRODUCT(MAX(ROW(E$2:E3161)*(E3161=E$2:E3161)))))-COUNTBLANK(OFFSET(A$1,,,SUMPRODUCT(MAX(ROW(E$1:E3160)*(E2=E$1:E3160))))))</f>
        <v> </v>
      </c>
      <c r="K3161" s="26" t="str">
        <f>IF(OR(E3161="",E3161="!!!",F3161="NEW"),"",INDEX(J$1:J3160,SUMPRODUCT(MAX(ROW(E$1:E3160)*(E3161=E$1:E3160)))))</f>
        <v> </v>
      </c>
      <c r="L3161" s="27"/>
    </row>
    <row r="3162" spans="1:12">
      <c r="A3162" s="20" t="s">
        <v>2053</v>
      </c>
      <c r="E3162" s="22">
        <f>IF(D3162="?OLD","!!!","")</f>
        <v/>
      </c>
      <c r="F3162" s="23" t="str">
        <f>IF(OR(E3162="",E3162="!!!"),"",IF(NOT(ISNA(VLOOKUP(E3162,E$1:E3161,1,FALSE()))),"OLD",IF(AND(E3162&lt;&gt;"",E3162&lt;&gt;"!!!"),"NEW","")))</f>
        <v> </v>
      </c>
      <c r="G3162" s="24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5" t="str">
        <f>IF(J3162&lt;&gt;1,"",IF(I3162="SBJ","CB","?"))</f>
        <v> </v>
      </c>
      <c r="I3162" s="26" t="str">
        <f>IF(OR(E3162="",E3162="!!!",F3162="NEW"),"",INDEX(B3161:B$2,-1+SUMPRODUCT(MAX(ROW(E3161:E$2)*(E3162=E3161:E$2)))))</f>
        <v> </v>
      </c>
      <c r="J3162" s="26" t="str">
        <f>IF(OR(E3162="",E3162="!!!",F3162="NEW"),"",COUNTBLANK(OFFSET(A$1,,,SUMPRODUCT(MAX(ROW(E$2:E3162)*(E3162=E$2:E3162)))))-COUNTBLANK(OFFSET(A$1,,,SUMPRODUCT(MAX(ROW(E$1:E3161)*(E2=E$1:E3161))))))</f>
        <v> </v>
      </c>
      <c r="K3162" s="26" t="str">
        <f>IF(OR(E3162="",E3162="!!!",F3162="NEW"),"",INDEX(J$1:J3161,SUMPRODUCT(MAX(ROW(E$1:E3161)*(E3162=E$1:E3161)))))</f>
        <v> </v>
      </c>
      <c r="L3162" s="27"/>
    </row>
    <row r="3163" spans="1:12">
      <c r="A3163" s="20" t="s">
        <v>2054</v>
      </c>
      <c r="E3163" s="22">
        <f>IF(D3163="?OLD","!!!","")</f>
        <v/>
      </c>
      <c r="F3163" s="23" t="str">
        <f>IF(OR(E3163="",E3163="!!!"),"",IF(NOT(ISNA(VLOOKUP(E3163,E$1:E3162,1,FALSE()))),"OLD",IF(AND(E3163&lt;&gt;"",E3163&lt;&gt;"!!!"),"NEW","")))</f>
        <v> </v>
      </c>
      <c r="G3163" s="24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5" t="str">
        <f>IF(J3163&lt;&gt;1,"",IF(I3163="SBJ","CB","?"))</f>
        <v> </v>
      </c>
      <c r="I3163" s="26" t="str">
        <f>IF(OR(E3163="",E3163="!!!",F3163="NEW"),"",INDEX(B3162:B$2,-1+SUMPRODUCT(MAX(ROW(E3162:E$2)*(E3163=E3162:E$2)))))</f>
        <v> </v>
      </c>
      <c r="J3163" s="26" t="str">
        <f>IF(OR(E3163="",E3163="!!!",F3163="NEW"),"",COUNTBLANK(OFFSET(A$1,,,SUMPRODUCT(MAX(ROW(E$2:E3163)*(E3163=E$2:E3163)))))-COUNTBLANK(OFFSET(A$1,,,SUMPRODUCT(MAX(ROW(E$1:E3162)*(E2=E$1:E3162))))))</f>
        <v> </v>
      </c>
      <c r="K3163" s="26" t="str">
        <f>IF(OR(E3163="",E3163="!!!",F3163="NEW"),"",INDEX(J$1:J3162,SUMPRODUCT(MAX(ROW(E$1:E3162)*(E3163=E$1:E3162)))))</f>
        <v> </v>
      </c>
      <c r="L3163" s="27"/>
    </row>
    <row r="3164" spans="1:12">
      <c r="A3164" s="20" t="s">
        <v>2055</v>
      </c>
      <c r="E3164" s="22">
        <f>IF(D3164="?OLD","!!!","")</f>
        <v/>
      </c>
      <c r="F3164" s="23" t="str">
        <f>IF(OR(E3164="",E3164="!!!"),"",IF(NOT(ISNA(VLOOKUP(E3164,E$1:E3163,1,FALSE()))),"OLD",IF(AND(E3164&lt;&gt;"",E3164&lt;&gt;"!!!"),"NEW","")))</f>
        <v> </v>
      </c>
      <c r="G3164" s="24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5" t="str">
        <f>IF(J3164&lt;&gt;1,"",IF(I3164="SBJ","CB","?"))</f>
        <v> </v>
      </c>
      <c r="I3164" s="26" t="str">
        <f>IF(OR(E3164="",E3164="!!!",F3164="NEW"),"",INDEX(B3163:B$2,-1+SUMPRODUCT(MAX(ROW(E3163:E$2)*(E3164=E3163:E$2)))))</f>
        <v> </v>
      </c>
      <c r="J3164" s="26" t="str">
        <f>IF(OR(E3164="",E3164="!!!",F3164="NEW"),"",COUNTBLANK(OFFSET(A$1,,,SUMPRODUCT(MAX(ROW(E$2:E3164)*(E3164=E$2:E3164)))))-COUNTBLANK(OFFSET(A$1,,,SUMPRODUCT(MAX(ROW(E$1:E3163)*(E2=E$1:E3163))))))</f>
        <v> </v>
      </c>
      <c r="K3164" s="26" t="str">
        <f>IF(OR(E3164="",E3164="!!!",F3164="NEW"),"",INDEX(J$1:J3163,SUMPRODUCT(MAX(ROW(E$1:E3163)*(E3164=E$1:E3163)))))</f>
        <v> </v>
      </c>
      <c r="L3164" s="27"/>
    </row>
    <row r="3165" spans="1:12">
      <c r="A3165" s="20" t="s">
        <v>633</v>
      </c>
      <c r="E3165" s="22">
        <f>IF(D3165="?OLD","!!!","")</f>
        <v/>
      </c>
      <c r="F3165" s="23" t="str">
        <f>IF(OR(E3165="",E3165="!!!"),"",IF(NOT(ISNA(VLOOKUP(E3165,E$1:E3164,1,FALSE()))),"OLD",IF(AND(E3165&lt;&gt;"",E3165&lt;&gt;"!!!"),"NEW","")))</f>
        <v> </v>
      </c>
      <c r="G3165" s="24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5" t="str">
        <f>IF(J3165&lt;&gt;1,"",IF(I3165="SBJ","CB","?"))</f>
        <v> </v>
      </c>
      <c r="I3165" s="26" t="str">
        <f>IF(OR(E3165="",E3165="!!!",F3165="NEW"),"",INDEX(B3164:B$2,-1+SUMPRODUCT(MAX(ROW(E3164:E$2)*(E3165=E3164:E$2)))))</f>
        <v> </v>
      </c>
      <c r="J3165" s="26" t="str">
        <f>IF(OR(E3165="",E3165="!!!",F3165="NEW"),"",COUNTBLANK(OFFSET(A$1,,,SUMPRODUCT(MAX(ROW(E$2:E3165)*(E3165=E$2:E3165)))))-COUNTBLANK(OFFSET(A$1,,,SUMPRODUCT(MAX(ROW(E$1:E3164)*(E2=E$1:E3164))))))</f>
        <v> </v>
      </c>
      <c r="K3165" s="26" t="str">
        <f>IF(OR(E3165="",E3165="!!!",F3165="NEW"),"",INDEX(J$1:J3164,SUMPRODUCT(MAX(ROW(E$1:E3164)*(E3165=E$1:E3164)))))</f>
        <v> </v>
      </c>
      <c r="L3165" s="27"/>
    </row>
    <row r="3166" spans="1:12">
      <c r="A3166" s="20"/>
    </row>
    <row r="3167" spans="1:12">
      <c r="A3167" s="20" t="s">
        <v>2056</v>
      </c>
    </row>
    <row r="3168" spans="1:12">
      <c r="A3168" s="20" t="s">
        <v>600</v>
      </c>
      <c r="B3168" s="21" t="s">
        <v>601</v>
      </c>
      <c r="C3168" s="21" t="s">
        <v>602</v>
      </c>
      <c r="D3168" s="21" t="s">
        <v>603</v>
      </c>
      <c r="E3168" s="22">
        <f>IF(D3168="?OLD","!!!","")</f>
        <v/>
      </c>
      <c r="F3168" s="23" t="str">
        <f>IF(OR(E3168="",E3168="!!!"),"",IF(NOT(ISNA(VLOOKUP(E3168,E$1:E3167,1,FALSE()))),"OLD",IF(AND(E3168&lt;&gt;"",E3168&lt;&gt;"!!!"),"NEW","")))</f>
        <v> </v>
      </c>
      <c r="G3168" s="24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5" t="str">
        <f>IF(J3168&lt;&gt;1,"",IF(I3168="SBJ","CB","?"))</f>
        <v> </v>
      </c>
      <c r="I3168" s="26" t="str">
        <f>IF(OR(E3168="",E3168="!!!",F3168="NEW"),"",INDEX(B3167:B$2,-1+SUMPRODUCT(MAX(ROW(E3167:E$2)*(E3168=E3167:E$2)))))</f>
        <v> </v>
      </c>
      <c r="J3168" s="26" t="str">
        <f>IF(OR(E3168="",E3168="!!!",F3168="NEW"),"",COUNTBLANK(OFFSET(A$1,,,SUMPRODUCT(MAX(ROW(E$2:E3168)*(E3168=E$2:E3168)))))-COUNTBLANK(OFFSET(A$1,,,SUMPRODUCT(MAX(ROW(E$1:E3167)*(E2=E$1:E3167))))))</f>
        <v> </v>
      </c>
      <c r="K3168" s="26" t="str">
        <f>IF(OR(E3168="",E3168="!!!",F3168="NEW"),"",INDEX(J$1:J3167,SUMPRODUCT(MAX(ROW(E$1:E3167)*(E3168=E$1:E3167)))))</f>
        <v> </v>
      </c>
      <c r="L3168" s="27"/>
    </row>
    <row r="3169" spans="1:12">
      <c r="A3169" s="20" t="s">
        <v>604</v>
      </c>
      <c r="E3169" s="22">
        <f>IF(D3169="?OLD","!!!","")</f>
        <v/>
      </c>
      <c r="F3169" s="23" t="str">
        <f>IF(OR(E3169="",E3169="!!!"),"",IF(NOT(ISNA(VLOOKUP(E3169,E$1:E3168,1,FALSE()))),"OLD",IF(AND(E3169&lt;&gt;"",E3169&lt;&gt;"!!!"),"NEW","")))</f>
        <v> </v>
      </c>
      <c r="G3169" s="24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5" t="str">
        <f>IF(J3169&lt;&gt;1,"",IF(I3169="SBJ","CB","?"))</f>
        <v> </v>
      </c>
      <c r="I3169" s="26" t="str">
        <f>IF(OR(E3169="",E3169="!!!",F3169="NEW"),"",INDEX(B3168:B$2,-1+SUMPRODUCT(MAX(ROW(E3168:E$2)*(E3169=E3168:E$2)))))</f>
        <v> </v>
      </c>
      <c r="J3169" s="26" t="str">
        <f>IF(OR(E3169="",E3169="!!!",F3169="NEW"),"",COUNTBLANK(OFFSET(A$1,,,SUMPRODUCT(MAX(ROW(E$2:E3169)*(E3169=E$2:E3169)))))-COUNTBLANK(OFFSET(A$1,,,SUMPRODUCT(MAX(ROW(E$1:E3168)*(E2=E$1:E3168))))))</f>
        <v> </v>
      </c>
      <c r="K3169" s="26" t="str">
        <f>IF(OR(E3169="",E3169="!!!",F3169="NEW"),"",INDEX(J$1:J3168,SUMPRODUCT(MAX(ROW(E$1:E3168)*(E3169=E$1:E3168)))))</f>
        <v> </v>
      </c>
      <c r="L3169" s="27"/>
    </row>
    <row r="3170" spans="1:12">
      <c r="A3170" s="20" t="s">
        <v>605</v>
      </c>
      <c r="E3170" s="22">
        <f>IF(D3170="?OLD","!!!","")</f>
        <v/>
      </c>
      <c r="F3170" s="23" t="str">
        <f>IF(OR(E3170="",E3170="!!!"),"",IF(NOT(ISNA(VLOOKUP(E3170,E$1:E3169,1,FALSE()))),"OLD",IF(AND(E3170&lt;&gt;"",E3170&lt;&gt;"!!!"),"NEW","")))</f>
        <v> </v>
      </c>
      <c r="G3170" s="24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5" t="str">
        <f>IF(J3170&lt;&gt;1,"",IF(I3170="SBJ","CB","?"))</f>
        <v> </v>
      </c>
      <c r="I3170" s="26" t="str">
        <f>IF(OR(E3170="",E3170="!!!",F3170="NEW"),"",INDEX(B3169:B$2,-1+SUMPRODUCT(MAX(ROW(E3169:E$2)*(E3170=E3169:E$2)))))</f>
        <v> </v>
      </c>
      <c r="J3170" s="26" t="str">
        <f>IF(OR(E3170="",E3170="!!!",F3170="NEW"),"",COUNTBLANK(OFFSET(A$1,,,SUMPRODUCT(MAX(ROW(E$2:E3170)*(E3170=E$2:E3170)))))-COUNTBLANK(OFFSET(A$1,,,SUMPRODUCT(MAX(ROW(E$1:E3169)*(E2=E$1:E3169))))))</f>
        <v> </v>
      </c>
      <c r="K3170" s="26" t="str">
        <f>IF(OR(E3170="",E3170="!!!",F3170="NEW"),"",INDEX(J$1:J3169,SUMPRODUCT(MAX(ROW(E$1:E3169)*(E3170=E$1:E3169)))))</f>
        <v> </v>
      </c>
      <c r="L3170" s="27"/>
    </row>
    <row r="3171" spans="1:12">
      <c r="A3171" s="20" t="s">
        <v>2057</v>
      </c>
      <c r="E3171" s="22">
        <f>IF(D3171="?OLD","!!!","")</f>
        <v/>
      </c>
      <c r="F3171" s="23" t="str">
        <f>IF(OR(E3171="",E3171="!!!"),"",IF(NOT(ISNA(VLOOKUP(E3171,E$1:E3170,1,FALSE()))),"OLD",IF(AND(E3171&lt;&gt;"",E3171&lt;&gt;"!!!"),"NEW","")))</f>
        <v> </v>
      </c>
      <c r="G3171" s="24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5" t="str">
        <f>IF(J3171&lt;&gt;1,"",IF(I3171="SBJ","CB","?"))</f>
        <v> </v>
      </c>
      <c r="I3171" s="26" t="str">
        <f>IF(OR(E3171="",E3171="!!!",F3171="NEW"),"",INDEX(B3170:B$2,-1+SUMPRODUCT(MAX(ROW(E3170:E$2)*(E3171=E3170:E$2)))))</f>
        <v> </v>
      </c>
      <c r="J3171" s="26" t="str">
        <f>IF(OR(E3171="",E3171="!!!",F3171="NEW"),"",COUNTBLANK(OFFSET(A$1,,,SUMPRODUCT(MAX(ROW(E$2:E3171)*(E3171=E$2:E3171)))))-COUNTBLANK(OFFSET(A$1,,,SUMPRODUCT(MAX(ROW(E$1:E3170)*(E2=E$1:E3170))))))</f>
        <v> </v>
      </c>
      <c r="K3171" s="26" t="str">
        <f>IF(OR(E3171="",E3171="!!!",F3171="NEW"),"",INDEX(J$1:J3170,SUMPRODUCT(MAX(ROW(E$1:E3170)*(E3171=E$1:E3170)))))</f>
        <v> </v>
      </c>
      <c r="L3171" s="27"/>
    </row>
    <row r="3172" spans="1:12">
      <c r="A3172" s="20" t="s">
        <v>2058</v>
      </c>
      <c r="E3172" s="22">
        <f>IF(D3172="?OLD","!!!","")</f>
        <v/>
      </c>
      <c r="F3172" s="23" t="str">
        <f>IF(OR(E3172="",E3172="!!!"),"",IF(NOT(ISNA(VLOOKUP(E3172,E$1:E3171,1,FALSE()))),"OLD",IF(AND(E3172&lt;&gt;"",E3172&lt;&gt;"!!!"),"NEW","")))</f>
        <v> </v>
      </c>
      <c r="G3172" s="24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5" t="str">
        <f>IF(J3172&lt;&gt;1,"",IF(I3172="SBJ","CB","?"))</f>
        <v> </v>
      </c>
      <c r="I3172" s="26" t="str">
        <f>IF(OR(E3172="",E3172="!!!",F3172="NEW"),"",INDEX(B3171:B$2,-1+SUMPRODUCT(MAX(ROW(E3171:E$2)*(E3172=E3171:E$2)))))</f>
        <v> </v>
      </c>
      <c r="J3172" s="26" t="str">
        <f>IF(OR(E3172="",E3172="!!!",F3172="NEW"),"",COUNTBLANK(OFFSET(A$1,,,SUMPRODUCT(MAX(ROW(E$2:E3172)*(E3172=E$2:E3172)))))-COUNTBLANK(OFFSET(A$1,,,SUMPRODUCT(MAX(ROW(E$1:E3171)*(E2=E$1:E3171))))))</f>
        <v> </v>
      </c>
      <c r="K3172" s="26" t="str">
        <f>IF(OR(E3172="",E3172="!!!",F3172="NEW"),"",INDEX(J$1:J3171,SUMPRODUCT(MAX(ROW(E$1:E3171)*(E3172=E$1:E3171)))))</f>
        <v> </v>
      </c>
      <c r="L3172" s="27"/>
    </row>
    <row r="3173" spans="1:12">
      <c r="A3173" s="20" t="s">
        <v>1368</v>
      </c>
      <c r="B3173" s="21" t="s">
        <v>801</v>
      </c>
      <c r="C3173" s="21" t="s">
        <v>602</v>
      </c>
      <c r="D3173" s="21" t="s">
        <v>603</v>
      </c>
      <c r="E3173" s="22">
        <f>IF(D3173="?OLD","!!!","")</f>
        <v/>
      </c>
      <c r="F3173" s="23" t="str">
        <f>IF(OR(E3173="",E3173="!!!"),"",IF(NOT(ISNA(VLOOKUP(E3173,E$1:E3172,1,FALSE()))),"OLD",IF(AND(E3173&lt;&gt;"",E3173&lt;&gt;"!!!"),"NEW","")))</f>
        <v> </v>
      </c>
      <c r="G3173" s="24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5" t="str">
        <f>IF(J3173&lt;&gt;1,"",IF(I3173="SBJ","CB","?"))</f>
        <v> </v>
      </c>
      <c r="I3173" s="26" t="str">
        <f>IF(OR(E3173="",E3173="!!!",F3173="NEW"),"",INDEX(B3172:B$2,-1+SUMPRODUCT(MAX(ROW(E3172:E$2)*(E3173=E3172:E$2)))))</f>
        <v> </v>
      </c>
      <c r="J3173" s="26" t="str">
        <f>IF(OR(E3173="",E3173="!!!",F3173="NEW"),"",COUNTBLANK(OFFSET(A$1,,,SUMPRODUCT(MAX(ROW(E$2:E3173)*(E3173=E$2:E3173)))))-COUNTBLANK(OFFSET(A$1,,,SUMPRODUCT(MAX(ROW(E$1:E3172)*(E2=E$1:E3172))))))</f>
        <v> </v>
      </c>
      <c r="K3173" s="26" t="str">
        <f>IF(OR(E3173="",E3173="!!!",F3173="NEW"),"",INDEX(J$1:J3172,SUMPRODUCT(MAX(ROW(E$1:E3172)*(E3173=E$1:E3172)))))</f>
        <v> </v>
      </c>
      <c r="L3173" s="27"/>
    </row>
    <row r="3174" spans="1:12">
      <c r="A3174" s="20" t="s">
        <v>2059</v>
      </c>
      <c r="B3174" s="21" t="s">
        <v>801</v>
      </c>
      <c r="E3174" s="22">
        <f>IF(D3174="?OLD","!!!","")</f>
        <v/>
      </c>
      <c r="F3174" s="23" t="str">
        <f>IF(OR(E3174="",E3174="!!!"),"",IF(NOT(ISNA(VLOOKUP(E3174,E$1:E3173,1,FALSE()))),"OLD",IF(AND(E3174&lt;&gt;"",E3174&lt;&gt;"!!!"),"NEW","")))</f>
        <v> </v>
      </c>
      <c r="G3174" s="24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5" t="str">
        <f>IF(J3174&lt;&gt;1,"",IF(I3174="SBJ","CB","?"))</f>
        <v> </v>
      </c>
      <c r="I3174" s="26" t="str">
        <f>IF(OR(E3174="",E3174="!!!",F3174="NEW"),"",INDEX(B3173:B$2,-1+SUMPRODUCT(MAX(ROW(E3173:E$2)*(E3174=E3173:E$2)))))</f>
        <v> </v>
      </c>
      <c r="J3174" s="26" t="str">
        <f>IF(OR(E3174="",E3174="!!!",F3174="NEW"),"",COUNTBLANK(OFFSET(A$1,,,SUMPRODUCT(MAX(ROW(E$2:E3174)*(E3174=E$2:E3174)))))-COUNTBLANK(OFFSET(A$1,,,SUMPRODUCT(MAX(ROW(E$1:E3173)*(E2=E$1:E3173))))))</f>
        <v> </v>
      </c>
      <c r="K3174" s="26" t="str">
        <f>IF(OR(E3174="",E3174="!!!",F3174="NEW"),"",INDEX(J$1:J3173,SUMPRODUCT(MAX(ROW(E$1:E3173)*(E3174=E$1:E3173)))))</f>
        <v> </v>
      </c>
      <c r="L3174" s="27"/>
    </row>
    <row r="3175" spans="1:12">
      <c r="A3175" s="20" t="s">
        <v>2060</v>
      </c>
      <c r="E3175" s="22">
        <f>IF(D3175="?OLD","!!!","")</f>
        <v/>
      </c>
      <c r="F3175" s="23" t="str">
        <f>IF(OR(E3175="",E3175="!!!"),"",IF(NOT(ISNA(VLOOKUP(E3175,E$1:E3174,1,FALSE()))),"OLD",IF(AND(E3175&lt;&gt;"",E3175&lt;&gt;"!!!"),"NEW","")))</f>
        <v> </v>
      </c>
      <c r="G3175" s="24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5" t="str">
        <f>IF(J3175&lt;&gt;1,"",IF(I3175="SBJ","CB","?"))</f>
        <v> </v>
      </c>
      <c r="I3175" s="26" t="str">
        <f>IF(OR(E3175="",E3175="!!!",F3175="NEW"),"",INDEX(B3174:B$2,-1+SUMPRODUCT(MAX(ROW(E3174:E$2)*(E3175=E3174:E$2)))))</f>
        <v> </v>
      </c>
      <c r="J3175" s="26" t="str">
        <f>IF(OR(E3175="",E3175="!!!",F3175="NEW"),"",COUNTBLANK(OFFSET(A$1,,,SUMPRODUCT(MAX(ROW(E$2:E3175)*(E3175=E$2:E3175)))))-COUNTBLANK(OFFSET(A$1,,,SUMPRODUCT(MAX(ROW(E$1:E3174)*(E2=E$1:E3174))))))</f>
        <v> </v>
      </c>
      <c r="K3175" s="26" t="str">
        <f>IF(OR(E3175="",E3175="!!!",F3175="NEW"),"",INDEX(J$1:J3174,SUMPRODUCT(MAX(ROW(E$1:E3174)*(E3175=E$1:E3174)))))</f>
        <v> </v>
      </c>
      <c r="L3175" s="27"/>
    </row>
    <row r="3176" spans="1:12">
      <c r="A3176" s="20" t="s">
        <v>2061</v>
      </c>
      <c r="E3176" s="22">
        <f>IF(D3176="?OLD","!!!","")</f>
        <v/>
      </c>
      <c r="F3176" s="23" t="str">
        <f>IF(OR(E3176="",E3176="!!!"),"",IF(NOT(ISNA(VLOOKUP(E3176,E$1:E3175,1,FALSE()))),"OLD",IF(AND(E3176&lt;&gt;"",E3176&lt;&gt;"!!!"),"NEW","")))</f>
        <v> </v>
      </c>
      <c r="G3176" s="24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5" t="str">
        <f>IF(J3176&lt;&gt;1,"",IF(I3176="SBJ","CB","?"))</f>
        <v> </v>
      </c>
      <c r="I3176" s="26" t="str">
        <f>IF(OR(E3176="",E3176="!!!",F3176="NEW"),"",INDEX(B3175:B$2,-1+SUMPRODUCT(MAX(ROW(E3175:E$2)*(E3176=E3175:E$2)))))</f>
        <v> </v>
      </c>
      <c r="J3176" s="26" t="str">
        <f>IF(OR(E3176="",E3176="!!!",F3176="NEW"),"",COUNTBLANK(OFFSET(A$1,,,SUMPRODUCT(MAX(ROW(E$2:E3176)*(E3176=E$2:E3176)))))-COUNTBLANK(OFFSET(A$1,,,SUMPRODUCT(MAX(ROW(E$1:E3175)*(E2=E$1:E3175))))))</f>
        <v> </v>
      </c>
      <c r="K3176" s="26" t="str">
        <f>IF(OR(E3176="",E3176="!!!",F3176="NEW"),"",INDEX(J$1:J3175,SUMPRODUCT(MAX(ROW(E$1:E3175)*(E3176=E$1:E3175)))))</f>
        <v> </v>
      </c>
      <c r="L3176" s="27"/>
    </row>
    <row r="3177" spans="1:12">
      <c r="A3177" s="20" t="s">
        <v>2062</v>
      </c>
      <c r="E3177" s="22">
        <f>IF(D3177="?OLD","!!!","")</f>
        <v/>
      </c>
      <c r="F3177" s="23" t="str">
        <f>IF(OR(E3177="",E3177="!!!"),"",IF(NOT(ISNA(VLOOKUP(E3177,E$1:E3176,1,FALSE()))),"OLD",IF(AND(E3177&lt;&gt;"",E3177&lt;&gt;"!!!"),"NEW","")))</f>
        <v> </v>
      </c>
      <c r="G3177" s="24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5" t="str">
        <f>IF(J3177&lt;&gt;1,"",IF(I3177="SBJ","CB","?"))</f>
        <v> </v>
      </c>
      <c r="I3177" s="26" t="str">
        <f>IF(OR(E3177="",E3177="!!!",F3177="NEW"),"",INDEX(B3176:B$2,-1+SUMPRODUCT(MAX(ROW(E3176:E$2)*(E3177=E3176:E$2)))))</f>
        <v> </v>
      </c>
      <c r="J3177" s="26" t="str">
        <f>IF(OR(E3177="",E3177="!!!",F3177="NEW"),"",COUNTBLANK(OFFSET(A$1,,,SUMPRODUCT(MAX(ROW(E$2:E3177)*(E3177=E$2:E3177)))))-COUNTBLANK(OFFSET(A$1,,,SUMPRODUCT(MAX(ROW(E$1:E3176)*(E2=E$1:E3176))))))</f>
        <v> </v>
      </c>
      <c r="K3177" s="26" t="str">
        <f>IF(OR(E3177="",E3177="!!!",F3177="NEW"),"",INDEX(J$1:J3176,SUMPRODUCT(MAX(ROW(E$1:E3176)*(E3177=E$1:E3176)))))</f>
        <v> </v>
      </c>
      <c r="L3177" s="27"/>
    </row>
    <row r="3178" spans="1:12">
      <c r="A3178" s="20" t="s">
        <v>2063</v>
      </c>
      <c r="B3178" s="21" t="s">
        <v>620</v>
      </c>
      <c r="C3178" s="21" t="s">
        <v>644</v>
      </c>
      <c r="D3178" s="21" t="s">
        <v>603</v>
      </c>
      <c r="E3178" s="22">
        <f>IF(D3178="?OLD","!!!","")</f>
        <v/>
      </c>
      <c r="F3178" s="23" t="str">
        <f>IF(OR(E3178="",E3178="!!!"),"",IF(NOT(ISNA(VLOOKUP(E3178,E$1:E3177,1,FALSE()))),"OLD",IF(AND(E3178&lt;&gt;"",E3178&lt;&gt;"!!!"),"NEW","")))</f>
        <v> </v>
      </c>
      <c r="G3178" s="24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5" t="str">
        <f>IF(J3178&lt;&gt;1,"",IF(I3178="SBJ","CB","?"))</f>
        <v> </v>
      </c>
      <c r="I3178" s="26" t="str">
        <f>IF(OR(E3178="",E3178="!!!",F3178="NEW"),"",INDEX(B3177:B$2,-1+SUMPRODUCT(MAX(ROW(E3177:E$2)*(E3178=E3177:E$2)))))</f>
        <v> </v>
      </c>
      <c r="J3178" s="26" t="str">
        <f>IF(OR(E3178="",E3178="!!!",F3178="NEW"),"",COUNTBLANK(OFFSET(A$1,,,SUMPRODUCT(MAX(ROW(E$2:E3178)*(E3178=E$2:E3178)))))-COUNTBLANK(OFFSET(A$1,,,SUMPRODUCT(MAX(ROW(E$1:E3177)*(E2=E$1:E3177))))))</f>
        <v> </v>
      </c>
      <c r="K3178" s="26" t="str">
        <f>IF(OR(E3178="",E3178="!!!",F3178="NEW"),"",INDEX(J$1:J3177,SUMPRODUCT(MAX(ROW(E$1:E3177)*(E3178=E$1:E3177)))))</f>
        <v> </v>
      </c>
      <c r="L3178" s="27"/>
    </row>
    <row r="3179" spans="1:12">
      <c r="A3179" s="20" t="s">
        <v>2064</v>
      </c>
      <c r="B3179" s="21" t="s">
        <v>815</v>
      </c>
      <c r="C3179" s="21" t="s">
        <v>631</v>
      </c>
      <c r="D3179" s="21" t="s">
        <v>603</v>
      </c>
      <c r="E3179" s="22">
        <f>IF(D3179="?OLD","!!!","")</f>
        <v/>
      </c>
      <c r="F3179" s="23" t="str">
        <f>IF(OR(E3179="",E3179="!!!"),"",IF(NOT(ISNA(VLOOKUP(E3179,E$1:E3178,1,FALSE()))),"OLD",IF(AND(E3179&lt;&gt;"",E3179&lt;&gt;"!!!"),"NEW","")))</f>
        <v> </v>
      </c>
      <c r="G3179" s="24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5" t="str">
        <f>IF(J3179&lt;&gt;1,"",IF(I3179="SBJ","CB","?"))</f>
        <v> </v>
      </c>
      <c r="I3179" s="26" t="str">
        <f>IF(OR(E3179="",E3179="!!!",F3179="NEW"),"",INDEX(B3178:B$2,-1+SUMPRODUCT(MAX(ROW(E3178:E$2)*(E3179=E3178:E$2)))))</f>
        <v> </v>
      </c>
      <c r="J3179" s="26" t="str">
        <f>IF(OR(E3179="",E3179="!!!",F3179="NEW"),"",COUNTBLANK(OFFSET(A$1,,,SUMPRODUCT(MAX(ROW(E$2:E3179)*(E3179=E$2:E3179)))))-COUNTBLANK(OFFSET(A$1,,,SUMPRODUCT(MAX(ROW(E$1:E3178)*(E2=E$1:E3178))))))</f>
        <v> </v>
      </c>
      <c r="K3179" s="26" t="str">
        <f>IF(OR(E3179="",E3179="!!!",F3179="NEW"),"",INDEX(J$1:J3178,SUMPRODUCT(MAX(ROW(E$1:E3178)*(E3179=E$1:E3178)))))</f>
        <v> </v>
      </c>
      <c r="L3179" s="27"/>
    </row>
    <row r="3180" spans="1:12">
      <c r="A3180" s="20" t="s">
        <v>611</v>
      </c>
      <c r="E3180" s="22">
        <f>IF(D3180="?OLD","!!!","")</f>
        <v/>
      </c>
      <c r="F3180" s="23" t="str">
        <f>IF(OR(E3180="",E3180="!!!"),"",IF(NOT(ISNA(VLOOKUP(E3180,E$1:E3179,1,FALSE()))),"OLD",IF(AND(E3180&lt;&gt;"",E3180&lt;&gt;"!!!"),"NEW","")))</f>
        <v> </v>
      </c>
      <c r="G3180" s="24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5" t="str">
        <f>IF(J3180&lt;&gt;1,"",IF(I3180="SBJ","CB","?"))</f>
        <v> </v>
      </c>
      <c r="I3180" s="26" t="str">
        <f>IF(OR(E3180="",E3180="!!!",F3180="NEW"),"",INDEX(B3179:B$2,-1+SUMPRODUCT(MAX(ROW(E3179:E$2)*(E3180=E3179:E$2)))))</f>
        <v> </v>
      </c>
      <c r="J3180" s="26" t="str">
        <f>IF(OR(E3180="",E3180="!!!",F3180="NEW"),"",COUNTBLANK(OFFSET(A$1,,,SUMPRODUCT(MAX(ROW(E$2:E3180)*(E3180=E$2:E3180)))))-COUNTBLANK(OFFSET(A$1,,,SUMPRODUCT(MAX(ROW(E$1:E3179)*(E2=E$1:E3179))))))</f>
        <v> </v>
      </c>
      <c r="K3180" s="26" t="str">
        <f>IF(OR(E3180="",E3180="!!!",F3180="NEW"),"",INDEX(J$1:J3179,SUMPRODUCT(MAX(ROW(E$1:E3179)*(E3180=E$1:E3179)))))</f>
        <v> </v>
      </c>
      <c r="L3180" s="27"/>
    </row>
    <row r="3181" spans="1:12">
      <c r="A3181" s="20" t="s">
        <v>1015</v>
      </c>
      <c r="E3181" s="22">
        <f>IF(D3181="?OLD","!!!","")</f>
        <v/>
      </c>
      <c r="F3181" s="23" t="str">
        <f>IF(OR(E3181="",E3181="!!!"),"",IF(NOT(ISNA(VLOOKUP(E3181,E$1:E3180,1,FALSE()))),"OLD",IF(AND(E3181&lt;&gt;"",E3181&lt;&gt;"!!!"),"NEW","")))</f>
        <v> </v>
      </c>
      <c r="G3181" s="24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5" t="str">
        <f>IF(J3181&lt;&gt;1,"",IF(I3181="SBJ","CB","?"))</f>
        <v> </v>
      </c>
      <c r="I3181" s="26" t="str">
        <f>IF(OR(E3181="",E3181="!!!",F3181="NEW"),"",INDEX(B3180:B$2,-1+SUMPRODUCT(MAX(ROW(E3180:E$2)*(E3181=E3180:E$2)))))</f>
        <v> </v>
      </c>
      <c r="J3181" s="26" t="str">
        <f>IF(OR(E3181="",E3181="!!!",F3181="NEW"),"",COUNTBLANK(OFFSET(A$1,,,SUMPRODUCT(MAX(ROW(E$2:E3181)*(E3181=E$2:E3181)))))-COUNTBLANK(OFFSET(A$1,,,SUMPRODUCT(MAX(ROW(E$1:E3180)*(E2=E$1:E3180))))))</f>
        <v> </v>
      </c>
      <c r="K3181" s="26" t="str">
        <f>IF(OR(E3181="",E3181="!!!",F3181="NEW"),"",INDEX(J$1:J3180,SUMPRODUCT(MAX(ROW(E$1:E3180)*(E3181=E$1:E3180)))))</f>
        <v> </v>
      </c>
      <c r="L3181" s="27"/>
    </row>
    <row r="3182" spans="1:12">
      <c r="A3182" s="20" t="s">
        <v>1709</v>
      </c>
      <c r="B3182" s="21" t="s">
        <v>749</v>
      </c>
      <c r="C3182" s="21" t="s">
        <v>614</v>
      </c>
      <c r="E3182" s="22">
        <f>IF(D3182="?OLD","!!!","")</f>
        <v/>
      </c>
      <c r="F3182" s="23" t="str">
        <f>IF(OR(E3182="",E3182="!!!"),"",IF(NOT(ISNA(VLOOKUP(E3182,E$1:E3181,1,FALSE()))),"OLD",IF(AND(E3182&lt;&gt;"",E3182&lt;&gt;"!!!"),"NEW","")))</f>
        <v> </v>
      </c>
      <c r="G3182" s="24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5" t="str">
        <f>IF(J3182&lt;&gt;1,"",IF(I3182="SBJ","CB","?"))</f>
        <v> </v>
      </c>
      <c r="I3182" s="26" t="str">
        <f>IF(OR(E3182="",E3182="!!!",F3182="NEW"),"",INDEX(B3181:B$2,-1+SUMPRODUCT(MAX(ROW(E3181:E$2)*(E3182=E3181:E$2)))))</f>
        <v> </v>
      </c>
      <c r="J3182" s="26" t="str">
        <f>IF(OR(E3182="",E3182="!!!",F3182="NEW"),"",COUNTBLANK(OFFSET(A$1,,,SUMPRODUCT(MAX(ROW(E$2:E3182)*(E3182=E$2:E3182)))))-COUNTBLANK(OFFSET(A$1,,,SUMPRODUCT(MAX(ROW(E$1:E3181)*(E2=E$1:E3181))))))</f>
        <v> </v>
      </c>
      <c r="K3182" s="26" t="str">
        <f>IF(OR(E3182="",E3182="!!!",F3182="NEW"),"",INDEX(J$1:J3181,SUMPRODUCT(MAX(ROW(E$1:E3181)*(E3182=E$1:E3181)))))</f>
        <v> </v>
      </c>
      <c r="L3182" s="27"/>
    </row>
    <row r="3183" spans="1:12">
      <c r="A3183" s="20" t="s">
        <v>824</v>
      </c>
      <c r="B3183" s="21" t="s">
        <v>1121</v>
      </c>
      <c r="C3183" s="21" t="s">
        <v>602</v>
      </c>
      <c r="D3183" s="21" t="s">
        <v>603</v>
      </c>
      <c r="E3183" s="22">
        <f>IF(D3183="?OLD","!!!","")</f>
        <v/>
      </c>
      <c r="F3183" s="23" t="str">
        <f>IF(OR(E3183="",E3183="!!!"),"",IF(NOT(ISNA(VLOOKUP(E3183,E$1:E3182,1,FALSE()))),"OLD",IF(AND(E3183&lt;&gt;"",E3183&lt;&gt;"!!!"),"NEW","")))</f>
        <v> </v>
      </c>
      <c r="G3183" s="24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5" t="str">
        <f>IF(J3183&lt;&gt;1,"",IF(I3183="SBJ","CB","?"))</f>
        <v> </v>
      </c>
      <c r="I3183" s="26" t="str">
        <f>IF(OR(E3183="",E3183="!!!",F3183="NEW"),"",INDEX(B3182:B$2,-1+SUMPRODUCT(MAX(ROW(E3182:E$2)*(E3183=E3182:E$2)))))</f>
        <v> </v>
      </c>
      <c r="J3183" s="26" t="str">
        <f>IF(OR(E3183="",E3183="!!!",F3183="NEW"),"",COUNTBLANK(OFFSET(A$1,,,SUMPRODUCT(MAX(ROW(E$2:E3183)*(E3183=E$2:E3183)))))-COUNTBLANK(OFFSET(A$1,,,SUMPRODUCT(MAX(ROW(E$1:E3182)*(E2=E$1:E3182))))))</f>
        <v> </v>
      </c>
      <c r="K3183" s="26" t="str">
        <f>IF(OR(E3183="",E3183="!!!",F3183="NEW"),"",INDEX(J$1:J3182,SUMPRODUCT(MAX(ROW(E$1:E3182)*(E3183=E$1:E3182)))))</f>
        <v> </v>
      </c>
      <c r="L3183" s="27"/>
    </row>
    <row r="3184" spans="1:12">
      <c r="A3184" s="20" t="s">
        <v>2065</v>
      </c>
      <c r="E3184" s="22">
        <f>IF(D3184="?OLD","!!!","")</f>
        <v/>
      </c>
      <c r="F3184" s="23" t="str">
        <f>IF(OR(E3184="",E3184="!!!"),"",IF(NOT(ISNA(VLOOKUP(E3184,E$1:E3183,1,FALSE()))),"OLD",IF(AND(E3184&lt;&gt;"",E3184&lt;&gt;"!!!"),"NEW","")))</f>
        <v> </v>
      </c>
      <c r="G3184" s="24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5" t="str">
        <f>IF(J3184&lt;&gt;1,"",IF(I3184="SBJ","CB","?"))</f>
        <v> </v>
      </c>
      <c r="I3184" s="26" t="str">
        <f>IF(OR(E3184="",E3184="!!!",F3184="NEW"),"",INDEX(B3183:B$2,-1+SUMPRODUCT(MAX(ROW(E3183:E$2)*(E3184=E3183:E$2)))))</f>
        <v> </v>
      </c>
      <c r="J3184" s="26" t="str">
        <f>IF(OR(E3184="",E3184="!!!",F3184="NEW"),"",COUNTBLANK(OFFSET(A$1,,,SUMPRODUCT(MAX(ROW(E$2:E3184)*(E3184=E$2:E3184)))))-COUNTBLANK(OFFSET(A$1,,,SUMPRODUCT(MAX(ROW(E$1:E3183)*(E2=E$1:E3183))))))</f>
        <v> </v>
      </c>
      <c r="K3184" s="26" t="str">
        <f>IF(OR(E3184="",E3184="!!!",F3184="NEW"),"",INDEX(J$1:J3183,SUMPRODUCT(MAX(ROW(E$1:E3183)*(E3184=E$1:E3183)))))</f>
        <v> </v>
      </c>
      <c r="L3184" s="27"/>
    </row>
    <row r="3185" spans="1:12">
      <c r="A3185" s="20" t="s">
        <v>732</v>
      </c>
      <c r="B3185" s="21" t="s">
        <v>782</v>
      </c>
      <c r="C3185" s="21" t="s">
        <v>733</v>
      </c>
      <c r="D3185" s="21" t="s">
        <v>603</v>
      </c>
      <c r="E3185" s="22">
        <f>IF(D3185="?OLD","!!!","")</f>
        <v/>
      </c>
      <c r="F3185" s="23" t="str">
        <f>IF(OR(E3185="",E3185="!!!"),"",IF(NOT(ISNA(VLOOKUP(E3185,E$1:E3184,1,FALSE()))),"OLD",IF(AND(E3185&lt;&gt;"",E3185&lt;&gt;"!!!"),"NEW","")))</f>
        <v> </v>
      </c>
      <c r="G3185" s="24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5" t="str">
        <f>IF(J3185&lt;&gt;1,"",IF(I3185="SBJ","CB","?"))</f>
        <v> </v>
      </c>
      <c r="I3185" s="26" t="str">
        <f>IF(OR(E3185="",E3185="!!!",F3185="NEW"),"",INDEX(B3184:B$2,-1+SUMPRODUCT(MAX(ROW(E3184:E$2)*(E3185=E3184:E$2)))))</f>
        <v> </v>
      </c>
      <c r="J3185" s="26" t="str">
        <f>IF(OR(E3185="",E3185="!!!",F3185="NEW"),"",COUNTBLANK(OFFSET(A$1,,,SUMPRODUCT(MAX(ROW(E$2:E3185)*(E3185=E$2:E3185)))))-COUNTBLANK(OFFSET(A$1,,,SUMPRODUCT(MAX(ROW(E$1:E3184)*(E2=E$1:E3184))))))</f>
        <v> </v>
      </c>
      <c r="K3185" s="26" t="str">
        <f>IF(OR(E3185="",E3185="!!!",F3185="NEW"),"",INDEX(J$1:J3184,SUMPRODUCT(MAX(ROW(E$1:E3184)*(E3185=E$1:E3184)))))</f>
        <v> </v>
      </c>
      <c r="L3185" s="27"/>
    </row>
    <row r="3186" spans="1:12">
      <c r="A3186" s="20" t="s">
        <v>2066</v>
      </c>
      <c r="B3186" s="21" t="s">
        <v>1367</v>
      </c>
      <c r="E3186" s="22">
        <f>IF(D3186="?OLD","!!!","")</f>
        <v/>
      </c>
      <c r="F3186" s="23" t="str">
        <f>IF(OR(E3186="",E3186="!!!"),"",IF(NOT(ISNA(VLOOKUP(E3186,E$1:E3185,1,FALSE()))),"OLD",IF(AND(E3186&lt;&gt;"",E3186&lt;&gt;"!!!"),"NEW","")))</f>
        <v> </v>
      </c>
      <c r="G3186" s="24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5" t="str">
        <f>IF(J3186&lt;&gt;1,"",IF(I3186="SBJ","CB","?"))</f>
        <v> </v>
      </c>
      <c r="I3186" s="26" t="str">
        <f>IF(OR(E3186="",E3186="!!!",F3186="NEW"),"",INDEX(B3185:B$2,-1+SUMPRODUCT(MAX(ROW(E3185:E$2)*(E3186=E3185:E$2)))))</f>
        <v> </v>
      </c>
      <c r="J3186" s="26" t="str">
        <f>IF(OR(E3186="",E3186="!!!",F3186="NEW"),"",COUNTBLANK(OFFSET(A$1,,,SUMPRODUCT(MAX(ROW(E$2:E3186)*(E3186=E$2:E3186)))))-COUNTBLANK(OFFSET(A$1,,,SUMPRODUCT(MAX(ROW(E$1:E3185)*(E2=E$1:E3185))))))</f>
        <v> </v>
      </c>
      <c r="K3186" s="26" t="str">
        <f>IF(OR(E3186="",E3186="!!!",F3186="NEW"),"",INDEX(J$1:J3185,SUMPRODUCT(MAX(ROW(E$1:E3185)*(E3186=E$1:E3185)))))</f>
        <v> </v>
      </c>
      <c r="L3186" s="27"/>
    </row>
    <row r="3187" spans="1:12">
      <c r="A3187" s="20" t="s">
        <v>2067</v>
      </c>
      <c r="B3187" s="21" t="s">
        <v>782</v>
      </c>
      <c r="C3187" s="21" t="s">
        <v>631</v>
      </c>
      <c r="D3187" s="21" t="s">
        <v>603</v>
      </c>
      <c r="E3187" s="22">
        <f>IF(D3187="?OLD","!!!","")</f>
        <v/>
      </c>
      <c r="F3187" s="23" t="str">
        <f>IF(OR(E3187="",E3187="!!!"),"",IF(NOT(ISNA(VLOOKUP(E3187,E$1:E3186,1,FALSE()))),"OLD",IF(AND(E3187&lt;&gt;"",E3187&lt;&gt;"!!!"),"NEW","")))</f>
        <v> </v>
      </c>
      <c r="G3187" s="24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5" t="str">
        <f>IF(J3187&lt;&gt;1,"",IF(I3187="SBJ","CB","?"))</f>
        <v> </v>
      </c>
      <c r="I3187" s="26" t="str">
        <f>IF(OR(E3187="",E3187="!!!",F3187="NEW"),"",INDEX(B3186:B$2,-1+SUMPRODUCT(MAX(ROW(E3186:E$2)*(E3187=E3186:E$2)))))</f>
        <v> </v>
      </c>
      <c r="J3187" s="26" t="str">
        <f>IF(OR(E3187="",E3187="!!!",F3187="NEW"),"",COUNTBLANK(OFFSET(A$1,,,SUMPRODUCT(MAX(ROW(E$2:E3187)*(E3187=E$2:E3187)))))-COUNTBLANK(OFFSET(A$1,,,SUMPRODUCT(MAX(ROW(E$1:E3186)*(E2=E$1:E3186))))))</f>
        <v> </v>
      </c>
      <c r="K3187" s="26" t="str">
        <f>IF(OR(E3187="",E3187="!!!",F3187="NEW"),"",INDEX(J$1:J3186,SUMPRODUCT(MAX(ROW(E$1:E3186)*(E3187=E$1:E3186)))))</f>
        <v> </v>
      </c>
      <c r="L3187" s="27"/>
    </row>
    <row r="3188" spans="1:12">
      <c r="A3188" s="20" t="s">
        <v>2068</v>
      </c>
      <c r="B3188" s="21" t="s">
        <v>2069</v>
      </c>
      <c r="C3188" s="21" t="s">
        <v>631</v>
      </c>
      <c r="D3188" s="21" t="s">
        <v>603</v>
      </c>
      <c r="E3188" s="22">
        <f>IF(D3188="?OLD","!!!","")</f>
        <v/>
      </c>
      <c r="F3188" s="23" t="str">
        <f>IF(OR(E3188="",E3188="!!!"),"",IF(NOT(ISNA(VLOOKUP(E3188,E$1:E3187,1,FALSE()))),"OLD",IF(AND(E3188&lt;&gt;"",E3188&lt;&gt;"!!!"),"NEW","")))</f>
        <v> </v>
      </c>
      <c r="G3188" s="24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5" t="str">
        <f>IF(J3188&lt;&gt;1,"",IF(I3188="SBJ","CB","?"))</f>
        <v> </v>
      </c>
      <c r="I3188" s="26" t="str">
        <f>IF(OR(E3188="",E3188="!!!",F3188="NEW"),"",INDEX(B3187:B$2,-1+SUMPRODUCT(MAX(ROW(E3187:E$2)*(E3188=E3187:E$2)))))</f>
        <v> </v>
      </c>
      <c r="J3188" s="26" t="str">
        <f>IF(OR(E3188="",E3188="!!!",F3188="NEW"),"",COUNTBLANK(OFFSET(A$1,,,SUMPRODUCT(MAX(ROW(E$2:E3188)*(E3188=E$2:E3188)))))-COUNTBLANK(OFFSET(A$1,,,SUMPRODUCT(MAX(ROW(E$1:E3187)*(E2=E$1:E3187))))))</f>
        <v> </v>
      </c>
      <c r="K3188" s="26" t="str">
        <f>IF(OR(E3188="",E3188="!!!",F3188="NEW"),"",INDEX(J$1:J3187,SUMPRODUCT(MAX(ROW(E$1:E3187)*(E3188=E$1:E3187)))))</f>
        <v> </v>
      </c>
      <c r="L3188" s="27"/>
    </row>
    <row r="3189" spans="1:12">
      <c r="A3189" s="20" t="s">
        <v>633</v>
      </c>
      <c r="E3189" s="22">
        <f>IF(D3189="?OLD","!!!","")</f>
        <v/>
      </c>
      <c r="F3189" s="23" t="str">
        <f>IF(OR(E3189="",E3189="!!!"),"",IF(NOT(ISNA(VLOOKUP(E3189,E$1:E3188,1,FALSE()))),"OLD",IF(AND(E3189&lt;&gt;"",E3189&lt;&gt;"!!!"),"NEW","")))</f>
        <v> </v>
      </c>
      <c r="G3189" s="24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5" t="str">
        <f>IF(J3189&lt;&gt;1,"",IF(I3189="SBJ","CB","?"))</f>
        <v> </v>
      </c>
      <c r="I3189" s="26" t="str">
        <f>IF(OR(E3189="",E3189="!!!",F3189="NEW"),"",INDEX(B3188:B$2,-1+SUMPRODUCT(MAX(ROW(E3188:E$2)*(E3189=E3188:E$2)))))</f>
        <v> </v>
      </c>
      <c r="J3189" s="26" t="str">
        <f>IF(OR(E3189="",E3189="!!!",F3189="NEW"),"",COUNTBLANK(OFFSET(A$1,,,SUMPRODUCT(MAX(ROW(E$2:E3189)*(E3189=E$2:E3189)))))-COUNTBLANK(OFFSET(A$1,,,SUMPRODUCT(MAX(ROW(E$1:E3188)*(E2=E$1:E3188))))))</f>
        <v> </v>
      </c>
      <c r="K3189" s="26" t="str">
        <f>IF(OR(E3189="",E3189="!!!",F3189="NEW"),"",INDEX(J$1:J3188,SUMPRODUCT(MAX(ROW(E$1:E3188)*(E3189=E$1:E3188)))))</f>
        <v> </v>
      </c>
      <c r="L3189" s="27"/>
    </row>
    <row r="3190" spans="1:12">
      <c r="A3190" s="20"/>
    </row>
    <row r="3191" spans="1:12">
      <c r="A3191" s="20" t="s">
        <v>2070</v>
      </c>
    </row>
    <row r="3192" spans="1:12">
      <c r="A3192" s="20" t="s">
        <v>2071</v>
      </c>
      <c r="B3192" s="21" t="s">
        <v>601</v>
      </c>
      <c r="E3192" s="22">
        <f>IF(D3192="?OLD","!!!","")</f>
        <v/>
      </c>
      <c r="F3192" s="23" t="str">
        <f>IF(OR(E3192="",E3192="!!!"),"",IF(NOT(ISNA(VLOOKUP(E3192,E$1:E3191,1,FALSE()))),"OLD",IF(AND(E3192&lt;&gt;"",E3192&lt;&gt;"!!!"),"NEW","")))</f>
        <v> </v>
      </c>
      <c r="G3192" s="24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5" t="str">
        <f>IF(J3192&lt;&gt;1,"",IF(I3192="SBJ","CB","?"))</f>
        <v> </v>
      </c>
      <c r="I3192" s="26" t="str">
        <f>IF(OR(E3192="",E3192="!!!",F3192="NEW"),"",INDEX(B3191:B$2,-1+SUMPRODUCT(MAX(ROW(E3191:E$2)*(E3192=E3191:E$2)))))</f>
        <v> </v>
      </c>
      <c r="J3192" s="26" t="str">
        <f>IF(OR(E3192="",E3192="!!!",F3192="NEW"),"",COUNTBLANK(OFFSET(A$1,,,SUMPRODUCT(MAX(ROW(E$2:E3192)*(E3192=E$2:E3192)))))-COUNTBLANK(OFFSET(A$1,,,SUMPRODUCT(MAX(ROW(E$1:E3191)*(E2=E$1:E3191))))))</f>
        <v> </v>
      </c>
      <c r="K3192" s="26" t="str">
        <f>IF(OR(E3192="",E3192="!!!",F3192="NEW"),"",INDEX(J$1:J3191,SUMPRODUCT(MAX(ROW(E$1:E3191)*(E3192=E$1:E3191)))))</f>
        <v> </v>
      </c>
      <c r="L3192" s="27"/>
    </row>
    <row r="3193" spans="1:12">
      <c r="A3193" s="20" t="s">
        <v>1950</v>
      </c>
      <c r="E3193" s="22">
        <f>IF(D3193="?OLD","!!!","")</f>
        <v/>
      </c>
      <c r="F3193" s="23" t="str">
        <f>IF(OR(E3193="",E3193="!!!"),"",IF(NOT(ISNA(VLOOKUP(E3193,E$1:E3192,1,FALSE()))),"OLD",IF(AND(E3193&lt;&gt;"",E3193&lt;&gt;"!!!"),"NEW","")))</f>
        <v> </v>
      </c>
      <c r="G3193" s="24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5" t="str">
        <f>IF(J3193&lt;&gt;1,"",IF(I3193="SBJ","CB","?"))</f>
        <v> </v>
      </c>
      <c r="I3193" s="26" t="str">
        <f>IF(OR(E3193="",E3193="!!!",F3193="NEW"),"",INDEX(B3192:B$2,-1+SUMPRODUCT(MAX(ROW(E3192:E$2)*(E3193=E3192:E$2)))))</f>
        <v> </v>
      </c>
      <c r="J3193" s="26" t="str">
        <f>IF(OR(E3193="",E3193="!!!",F3193="NEW"),"",COUNTBLANK(OFFSET(A$1,,,SUMPRODUCT(MAX(ROW(E$2:E3193)*(E3193=E$2:E3193)))))-COUNTBLANK(OFFSET(A$1,,,SUMPRODUCT(MAX(ROW(E$1:E3192)*(E2=E$1:E3192))))))</f>
        <v> </v>
      </c>
      <c r="K3193" s="26" t="str">
        <f>IF(OR(E3193="",E3193="!!!",F3193="NEW"),"",INDEX(J$1:J3192,SUMPRODUCT(MAX(ROW(E$1:E3192)*(E3193=E$1:E3192)))))</f>
        <v> </v>
      </c>
      <c r="L3193" s="27"/>
    </row>
    <row r="3194" spans="1:12">
      <c r="A3194" s="20" t="s">
        <v>2072</v>
      </c>
      <c r="E3194" s="22">
        <f>IF(D3194="?OLD","!!!","")</f>
        <v/>
      </c>
      <c r="F3194" s="23" t="str">
        <f>IF(OR(E3194="",E3194="!!!"),"",IF(NOT(ISNA(VLOOKUP(E3194,E$1:E3193,1,FALSE()))),"OLD",IF(AND(E3194&lt;&gt;"",E3194&lt;&gt;"!!!"),"NEW","")))</f>
        <v> </v>
      </c>
      <c r="G3194" s="24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5" t="str">
        <f>IF(J3194&lt;&gt;1,"",IF(I3194="SBJ","CB","?"))</f>
        <v> </v>
      </c>
      <c r="I3194" s="26" t="str">
        <f>IF(OR(E3194="",E3194="!!!",F3194="NEW"),"",INDEX(B3193:B$2,-1+SUMPRODUCT(MAX(ROW(E3193:E$2)*(E3194=E3193:E$2)))))</f>
        <v> </v>
      </c>
      <c r="J3194" s="26" t="str">
        <f>IF(OR(E3194="",E3194="!!!",F3194="NEW"),"",COUNTBLANK(OFFSET(A$1,,,SUMPRODUCT(MAX(ROW(E$2:E3194)*(E3194=E$2:E3194)))))-COUNTBLANK(OFFSET(A$1,,,SUMPRODUCT(MAX(ROW(E$1:E3193)*(E2=E$1:E3193))))))</f>
        <v> </v>
      </c>
      <c r="K3194" s="26" t="str">
        <f>IF(OR(E3194="",E3194="!!!",F3194="NEW"),"",INDEX(J$1:J3193,SUMPRODUCT(MAX(ROW(E$1:E3193)*(E3194=E$1:E3193)))))</f>
        <v> </v>
      </c>
      <c r="L3194" s="27"/>
    </row>
    <row r="3195" spans="1:12">
      <c r="A3195" s="20" t="s">
        <v>611</v>
      </c>
      <c r="E3195" s="22">
        <f>IF(D3195="?OLD","!!!","")</f>
        <v/>
      </c>
      <c r="F3195" s="23" t="str">
        <f>IF(OR(E3195="",E3195="!!!"),"",IF(NOT(ISNA(VLOOKUP(E3195,E$1:E3194,1,FALSE()))),"OLD",IF(AND(E3195&lt;&gt;"",E3195&lt;&gt;"!!!"),"NEW","")))</f>
        <v> </v>
      </c>
      <c r="G3195" s="24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5" t="str">
        <f>IF(J3195&lt;&gt;1,"",IF(I3195="SBJ","CB","?"))</f>
        <v> </v>
      </c>
      <c r="I3195" s="26" t="str">
        <f>IF(OR(E3195="",E3195="!!!",F3195="NEW"),"",INDEX(B3194:B$2,-1+SUMPRODUCT(MAX(ROW(E3194:E$2)*(E3195=E3194:E$2)))))</f>
        <v> </v>
      </c>
      <c r="J3195" s="26" t="str">
        <f>IF(OR(E3195="",E3195="!!!",F3195="NEW"),"",COUNTBLANK(OFFSET(A$1,,,SUMPRODUCT(MAX(ROW(E$2:E3195)*(E3195=E$2:E3195)))))-COUNTBLANK(OFFSET(A$1,,,SUMPRODUCT(MAX(ROW(E$1:E3194)*(E2=E$1:E3194))))))</f>
        <v> </v>
      </c>
      <c r="K3195" s="26" t="str">
        <f>IF(OR(E3195="",E3195="!!!",F3195="NEW"),"",INDEX(J$1:J3194,SUMPRODUCT(MAX(ROW(E$1:E3194)*(E3195=E$1:E3194)))))</f>
        <v> </v>
      </c>
      <c r="L3195" s="27"/>
    </row>
    <row r="3196" spans="1:12">
      <c r="A3196" s="20" t="s">
        <v>2073</v>
      </c>
      <c r="E3196" s="22">
        <f>IF(D3196="?OLD","!!!","")</f>
        <v/>
      </c>
      <c r="F3196" s="23" t="str">
        <f>IF(OR(E3196="",E3196="!!!"),"",IF(NOT(ISNA(VLOOKUP(E3196,E$1:E3195,1,FALSE()))),"OLD",IF(AND(E3196&lt;&gt;"",E3196&lt;&gt;"!!!"),"NEW","")))</f>
        <v> </v>
      </c>
      <c r="G3196" s="24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5" t="str">
        <f>IF(J3196&lt;&gt;1,"",IF(I3196="SBJ","CB","?"))</f>
        <v> </v>
      </c>
      <c r="I3196" s="26" t="str">
        <f>IF(OR(E3196="",E3196="!!!",F3196="NEW"),"",INDEX(B3195:B$2,-1+SUMPRODUCT(MAX(ROW(E3195:E$2)*(E3196=E3195:E$2)))))</f>
        <v> </v>
      </c>
      <c r="J3196" s="26" t="str">
        <f>IF(OR(E3196="",E3196="!!!",F3196="NEW"),"",COUNTBLANK(OFFSET(A$1,,,SUMPRODUCT(MAX(ROW(E$2:E3196)*(E3196=E$2:E3196)))))-COUNTBLANK(OFFSET(A$1,,,SUMPRODUCT(MAX(ROW(E$1:E3195)*(E2=E$1:E3195))))))</f>
        <v> </v>
      </c>
      <c r="K3196" s="26" t="str">
        <f>IF(OR(E3196="",E3196="!!!",F3196="NEW"),"",INDEX(J$1:J3195,SUMPRODUCT(MAX(ROW(E$1:E3195)*(E3196=E$1:E3195)))))</f>
        <v> </v>
      </c>
      <c r="L3196" s="27"/>
    </row>
    <row r="3197" spans="1:12">
      <c r="A3197" s="20" t="s">
        <v>2074</v>
      </c>
      <c r="E3197" s="22">
        <f>IF(D3197="?OLD","!!!","")</f>
        <v/>
      </c>
      <c r="F3197" s="23" t="str">
        <f>IF(OR(E3197="",E3197="!!!"),"",IF(NOT(ISNA(VLOOKUP(E3197,E$1:E3196,1,FALSE()))),"OLD",IF(AND(E3197&lt;&gt;"",E3197&lt;&gt;"!!!"),"NEW","")))</f>
        <v> </v>
      </c>
      <c r="G3197" s="24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5" t="str">
        <f>IF(J3197&lt;&gt;1,"",IF(I3197="SBJ","CB","?"))</f>
        <v> </v>
      </c>
      <c r="I3197" s="26" t="str">
        <f>IF(OR(E3197="",E3197="!!!",F3197="NEW"),"",INDEX(B3196:B$2,-1+SUMPRODUCT(MAX(ROW(E3196:E$2)*(E3197=E3196:E$2)))))</f>
        <v> </v>
      </c>
      <c r="J3197" s="26" t="str">
        <f>IF(OR(E3197="",E3197="!!!",F3197="NEW"),"",COUNTBLANK(OFFSET(A$1,,,SUMPRODUCT(MAX(ROW(E$2:E3197)*(E3197=E$2:E3197)))))-COUNTBLANK(OFFSET(A$1,,,SUMPRODUCT(MAX(ROW(E$1:E3196)*(E2=E$1:E3196))))))</f>
        <v> </v>
      </c>
      <c r="K3197" s="26" t="str">
        <f>IF(OR(E3197="",E3197="!!!",F3197="NEW"),"",INDEX(J$1:J3196,SUMPRODUCT(MAX(ROW(E$1:E3196)*(E3197=E$1:E3196)))))</f>
        <v> </v>
      </c>
      <c r="L3197" s="27"/>
    </row>
    <row r="3198" spans="1:12">
      <c r="A3198" s="20" t="s">
        <v>2075</v>
      </c>
      <c r="E3198" s="22">
        <f>IF(D3198="?OLD","!!!","")</f>
        <v/>
      </c>
      <c r="F3198" s="23" t="str">
        <f>IF(OR(E3198="",E3198="!!!"),"",IF(NOT(ISNA(VLOOKUP(E3198,E$1:E3197,1,FALSE()))),"OLD",IF(AND(E3198&lt;&gt;"",E3198&lt;&gt;"!!!"),"NEW","")))</f>
        <v> </v>
      </c>
      <c r="G3198" s="24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5" t="str">
        <f>IF(J3198&lt;&gt;1,"",IF(I3198="SBJ","CB","?"))</f>
        <v> </v>
      </c>
      <c r="I3198" s="26" t="str">
        <f>IF(OR(E3198="",E3198="!!!",F3198="NEW"),"",INDEX(B3197:B$2,-1+SUMPRODUCT(MAX(ROW(E3197:E$2)*(E3198=E3197:E$2)))))</f>
        <v> </v>
      </c>
      <c r="J3198" s="26" t="str">
        <f>IF(OR(E3198="",E3198="!!!",F3198="NEW"),"",COUNTBLANK(OFFSET(A$1,,,SUMPRODUCT(MAX(ROW(E$2:E3198)*(E3198=E$2:E3198)))))-COUNTBLANK(OFFSET(A$1,,,SUMPRODUCT(MAX(ROW(E$1:E3197)*(E2=E$1:E3197))))))</f>
        <v> </v>
      </c>
      <c r="K3198" s="26" t="str">
        <f>IF(OR(E3198="",E3198="!!!",F3198="NEW"),"",INDEX(J$1:J3197,SUMPRODUCT(MAX(ROW(E$1:E3197)*(E3198=E$1:E3197)))))</f>
        <v> </v>
      </c>
      <c r="L3198" s="27"/>
    </row>
    <row r="3199" spans="1:12">
      <c r="A3199" s="20" t="s">
        <v>2076</v>
      </c>
      <c r="B3199" s="21" t="s">
        <v>804</v>
      </c>
      <c r="C3199" s="21" t="s">
        <v>621</v>
      </c>
      <c r="E3199" s="22">
        <f>IF(D3199="?OLD","!!!","")</f>
        <v/>
      </c>
      <c r="F3199" s="23" t="str">
        <f>IF(OR(E3199="",E3199="!!!"),"",IF(NOT(ISNA(VLOOKUP(E3199,E$1:E3198,1,FALSE()))),"OLD",IF(AND(E3199&lt;&gt;"",E3199&lt;&gt;"!!!"),"NEW","")))</f>
        <v> </v>
      </c>
      <c r="G3199" s="24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5" t="str">
        <f>IF(J3199&lt;&gt;1,"",IF(I3199="SBJ","CB","?"))</f>
        <v> </v>
      </c>
      <c r="I3199" s="26" t="str">
        <f>IF(OR(E3199="",E3199="!!!",F3199="NEW"),"",INDEX(B3198:B$2,-1+SUMPRODUCT(MAX(ROW(E3198:E$2)*(E3199=E3198:E$2)))))</f>
        <v> </v>
      </c>
      <c r="J3199" s="26" t="str">
        <f>IF(OR(E3199="",E3199="!!!",F3199="NEW"),"",COUNTBLANK(OFFSET(A$1,,,SUMPRODUCT(MAX(ROW(E$2:E3199)*(E3199=E$2:E3199)))))-COUNTBLANK(OFFSET(A$1,,,SUMPRODUCT(MAX(ROW(E$1:E3198)*(E2=E$1:E3198))))))</f>
        <v> </v>
      </c>
      <c r="K3199" s="26" t="str">
        <f>IF(OR(E3199="",E3199="!!!",F3199="NEW"),"",INDEX(J$1:J3198,SUMPRODUCT(MAX(ROW(E$1:E3198)*(E3199=E$1:E3198)))))</f>
        <v> </v>
      </c>
      <c r="L3199" s="27"/>
    </row>
    <row r="3200" spans="1:12">
      <c r="A3200" s="20" t="s">
        <v>633</v>
      </c>
      <c r="E3200" s="22">
        <f>IF(D3200="?OLD","!!!","")</f>
        <v/>
      </c>
      <c r="F3200" s="23" t="str">
        <f>IF(OR(E3200="",E3200="!!!"),"",IF(NOT(ISNA(VLOOKUP(E3200,E$1:E3199,1,FALSE()))),"OLD",IF(AND(E3200&lt;&gt;"",E3200&lt;&gt;"!!!"),"NEW","")))</f>
        <v> </v>
      </c>
      <c r="G3200" s="24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5" t="str">
        <f>IF(J3200&lt;&gt;1,"",IF(I3200="SBJ","CB","?"))</f>
        <v> </v>
      </c>
      <c r="I3200" s="26" t="str">
        <f>IF(OR(E3200="",E3200="!!!",F3200="NEW"),"",INDEX(B3199:B$2,-1+SUMPRODUCT(MAX(ROW(E3199:E$2)*(E3200=E3199:E$2)))))</f>
        <v> </v>
      </c>
      <c r="J3200" s="26" t="str">
        <f>IF(OR(E3200="",E3200="!!!",F3200="NEW"),"",COUNTBLANK(OFFSET(A$1,,,SUMPRODUCT(MAX(ROW(E$2:E3200)*(E3200=E$2:E3200)))))-COUNTBLANK(OFFSET(A$1,,,SUMPRODUCT(MAX(ROW(E$1:E3199)*(E2=E$1:E3199))))))</f>
        <v> </v>
      </c>
      <c r="K3200" s="26" t="str">
        <f>IF(OR(E3200="",E3200="!!!",F3200="NEW"),"",INDEX(J$1:J3199,SUMPRODUCT(MAX(ROW(E$1:E3199)*(E3200=E$1:E3199)))))</f>
        <v> </v>
      </c>
      <c r="L3200" s="27"/>
    </row>
    <row r="3201" spans="1:12">
      <c r="A3201" s="20"/>
    </row>
    <row r="3202" spans="1:12">
      <c r="A3202" s="20" t="s">
        <v>2077</v>
      </c>
    </row>
    <row r="3203" spans="1:12">
      <c r="A3203" s="20" t="s">
        <v>2078</v>
      </c>
      <c r="E3203" s="22">
        <f>IF(D3203="?OLD","!!!","")</f>
        <v/>
      </c>
      <c r="F3203" s="23" t="str">
        <f>IF(OR(E3203="",E3203="!!!"),"",IF(NOT(ISNA(VLOOKUP(E3203,E$1:E3202,1,FALSE()))),"OLD",IF(AND(E3203&lt;&gt;"",E3203&lt;&gt;"!!!"),"NEW","")))</f>
        <v> </v>
      </c>
      <c r="G3203" s="24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5" t="str">
        <f>IF(J3203&lt;&gt;1,"",IF(I3203="SBJ","CB","?"))</f>
        <v> </v>
      </c>
      <c r="I3203" s="26" t="str">
        <f>IF(OR(E3203="",E3203="!!!",F3203="NEW"),"",INDEX(B3202:B$2,-1+SUMPRODUCT(MAX(ROW(E3202:E$2)*(E3203=E3202:E$2)))))</f>
        <v> </v>
      </c>
      <c r="J3203" s="26" t="str">
        <f>IF(OR(E3203="",E3203="!!!",F3203="NEW"),"",COUNTBLANK(OFFSET(A$1,,,SUMPRODUCT(MAX(ROW(E$2:E3203)*(E3203=E$2:E3203)))))-COUNTBLANK(OFFSET(A$1,,,SUMPRODUCT(MAX(ROW(E$1:E3202)*(E2=E$1:E3202))))))</f>
        <v> </v>
      </c>
      <c r="K3203" s="26" t="str">
        <f>IF(OR(E3203="",E3203="!!!",F3203="NEW"),"",INDEX(J$1:J3202,SUMPRODUCT(MAX(ROW(E$1:E3202)*(E3203=E$1:E3202)))))</f>
        <v> </v>
      </c>
      <c r="L3203" s="27"/>
    </row>
    <row r="3204" spans="1:12">
      <c r="A3204" s="20" t="s">
        <v>919</v>
      </c>
      <c r="B3204" s="21" t="s">
        <v>652</v>
      </c>
      <c r="E3204" s="22">
        <f>IF(D3204="?OLD","!!!","")</f>
        <v/>
      </c>
      <c r="F3204" s="23" t="str">
        <f>IF(OR(E3204="",E3204="!!!"),"",IF(NOT(ISNA(VLOOKUP(E3204,E$1:E3203,1,FALSE()))),"OLD",IF(AND(E3204&lt;&gt;"",E3204&lt;&gt;"!!!"),"NEW","")))</f>
        <v> </v>
      </c>
      <c r="G3204" s="24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5" t="str">
        <f>IF(J3204&lt;&gt;1,"",IF(I3204="SBJ","CB","?"))</f>
        <v> </v>
      </c>
      <c r="I3204" s="26" t="str">
        <f>IF(OR(E3204="",E3204="!!!",F3204="NEW"),"",INDEX(B3203:B$2,-1+SUMPRODUCT(MAX(ROW(E3203:E$2)*(E3204=E3203:E$2)))))</f>
        <v> </v>
      </c>
      <c r="J3204" s="26" t="str">
        <f>IF(OR(E3204="",E3204="!!!",F3204="NEW"),"",COUNTBLANK(OFFSET(A$1,,,SUMPRODUCT(MAX(ROW(E$2:E3204)*(E3204=E$2:E3204)))))-COUNTBLANK(OFFSET(A$1,,,SUMPRODUCT(MAX(ROW(E$1:E3203)*(E2=E$1:E3203))))))</f>
        <v> </v>
      </c>
      <c r="K3204" s="26" t="str">
        <f>IF(OR(E3204="",E3204="!!!",F3204="NEW"),"",INDEX(J$1:J3203,SUMPRODUCT(MAX(ROW(E$1:E3203)*(E3204=E$1:E3203)))))</f>
        <v> </v>
      </c>
      <c r="L3204" s="27"/>
    </row>
    <row r="3205" spans="1:12">
      <c r="A3205" s="20" t="s">
        <v>2079</v>
      </c>
      <c r="E3205" s="22">
        <f>IF(D3205="?OLD","!!!","")</f>
        <v/>
      </c>
      <c r="F3205" s="23" t="str">
        <f>IF(OR(E3205="",E3205="!!!"),"",IF(NOT(ISNA(VLOOKUP(E3205,E$1:E3204,1,FALSE()))),"OLD",IF(AND(E3205&lt;&gt;"",E3205&lt;&gt;"!!!"),"NEW","")))</f>
        <v> </v>
      </c>
      <c r="G3205" s="24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5" t="str">
        <f>IF(J3205&lt;&gt;1,"",IF(I3205="SBJ","CB","?"))</f>
        <v> </v>
      </c>
      <c r="I3205" s="26" t="str">
        <f>IF(OR(E3205="",E3205="!!!",F3205="NEW"),"",INDEX(B3204:B$2,-1+SUMPRODUCT(MAX(ROW(E3204:E$2)*(E3205=E3204:E$2)))))</f>
        <v> </v>
      </c>
      <c r="J3205" s="26" t="str">
        <f>IF(OR(E3205="",E3205="!!!",F3205="NEW"),"",COUNTBLANK(OFFSET(A$1,,,SUMPRODUCT(MAX(ROW(E$2:E3205)*(E3205=E$2:E3205)))))-COUNTBLANK(OFFSET(A$1,,,SUMPRODUCT(MAX(ROW(E$1:E3204)*(E2=E$1:E3204))))))</f>
        <v> </v>
      </c>
      <c r="K3205" s="26" t="str">
        <f>IF(OR(E3205="",E3205="!!!",F3205="NEW"),"",INDEX(J$1:J3204,SUMPRODUCT(MAX(ROW(E$1:E3204)*(E3205=E$1:E3204)))))</f>
        <v> </v>
      </c>
      <c r="L3205" s="27"/>
    </row>
    <row r="3206" spans="1:12">
      <c r="A3206" s="20" t="s">
        <v>2080</v>
      </c>
      <c r="B3206" s="21" t="s">
        <v>601</v>
      </c>
      <c r="C3206" s="21" t="s">
        <v>631</v>
      </c>
      <c r="D3206" s="21" t="s">
        <v>603</v>
      </c>
      <c r="E3206" s="22">
        <f>IF(D3206="?OLD","!!!","")</f>
        <v/>
      </c>
      <c r="F3206" s="23" t="str">
        <f>IF(OR(E3206="",E3206="!!!"),"",IF(NOT(ISNA(VLOOKUP(E3206,E$1:E3205,1,FALSE()))),"OLD",IF(AND(E3206&lt;&gt;"",E3206&lt;&gt;"!!!"),"NEW","")))</f>
        <v> </v>
      </c>
      <c r="G3206" s="24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5" t="str">
        <f>IF(J3206&lt;&gt;1,"",IF(I3206="SBJ","CB","?"))</f>
        <v> </v>
      </c>
      <c r="I3206" s="26" t="str">
        <f>IF(OR(E3206="",E3206="!!!",F3206="NEW"),"",INDEX(B3205:B$2,-1+SUMPRODUCT(MAX(ROW(E3205:E$2)*(E3206=E3205:E$2)))))</f>
        <v> </v>
      </c>
      <c r="J3206" s="26" t="str">
        <f>IF(OR(E3206="",E3206="!!!",F3206="NEW"),"",COUNTBLANK(OFFSET(A$1,,,SUMPRODUCT(MAX(ROW(E$2:E3206)*(E3206=E$2:E3206)))))-COUNTBLANK(OFFSET(A$1,,,SUMPRODUCT(MAX(ROW(E$1:E3205)*(E2=E$1:E3205))))))</f>
        <v> </v>
      </c>
      <c r="K3206" s="26" t="str">
        <f>IF(OR(E3206="",E3206="!!!",F3206="NEW"),"",INDEX(J$1:J3205,SUMPRODUCT(MAX(ROW(E$1:E3205)*(E3206=E$1:E3205)))))</f>
        <v> </v>
      </c>
      <c r="L3206" s="27"/>
    </row>
    <row r="3207" spans="1:12">
      <c r="A3207" s="20" t="s">
        <v>611</v>
      </c>
      <c r="E3207" s="22">
        <f>IF(D3207="?OLD","!!!","")</f>
        <v/>
      </c>
      <c r="F3207" s="23" t="str">
        <f>IF(OR(E3207="",E3207="!!!"),"",IF(NOT(ISNA(VLOOKUP(E3207,E$1:E3206,1,FALSE()))),"OLD",IF(AND(E3207&lt;&gt;"",E3207&lt;&gt;"!!!"),"NEW","")))</f>
        <v> </v>
      </c>
      <c r="G3207" s="24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5" t="str">
        <f>IF(J3207&lt;&gt;1,"",IF(I3207="SBJ","CB","?"))</f>
        <v> </v>
      </c>
      <c r="I3207" s="26" t="str">
        <f>IF(OR(E3207="",E3207="!!!",F3207="NEW"),"",INDEX(B3206:B$2,-1+SUMPRODUCT(MAX(ROW(E3206:E$2)*(E3207=E3206:E$2)))))</f>
        <v> </v>
      </c>
      <c r="J3207" s="26" t="str">
        <f>IF(OR(E3207="",E3207="!!!",F3207="NEW"),"",COUNTBLANK(OFFSET(A$1,,,SUMPRODUCT(MAX(ROW(E$2:E3207)*(E3207=E$2:E3207)))))-COUNTBLANK(OFFSET(A$1,,,SUMPRODUCT(MAX(ROW(E$1:E3206)*(E2=E$1:E3206))))))</f>
        <v> </v>
      </c>
      <c r="K3207" s="26" t="str">
        <f>IF(OR(E3207="",E3207="!!!",F3207="NEW"),"",INDEX(J$1:J3206,SUMPRODUCT(MAX(ROW(E$1:E3206)*(E3207=E$1:E3206)))))</f>
        <v> </v>
      </c>
      <c r="L3207" s="27"/>
    </row>
    <row r="3208" spans="1:12">
      <c r="A3208" s="20" t="s">
        <v>664</v>
      </c>
      <c r="E3208" s="22">
        <f>IF(D3208="?OLD","!!!","")</f>
        <v/>
      </c>
      <c r="F3208" s="23" t="str">
        <f>IF(OR(E3208="",E3208="!!!"),"",IF(NOT(ISNA(VLOOKUP(E3208,E$1:E3207,1,FALSE()))),"OLD",IF(AND(E3208&lt;&gt;"",E3208&lt;&gt;"!!!"),"NEW","")))</f>
        <v> </v>
      </c>
      <c r="G3208" s="24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5" t="str">
        <f>IF(J3208&lt;&gt;1,"",IF(I3208="SBJ","CB","?"))</f>
        <v> </v>
      </c>
      <c r="I3208" s="26" t="str">
        <f>IF(OR(E3208="",E3208="!!!",F3208="NEW"),"",INDEX(B3207:B$2,-1+SUMPRODUCT(MAX(ROW(E3207:E$2)*(E3208=E3207:E$2)))))</f>
        <v> </v>
      </c>
      <c r="J3208" s="26" t="str">
        <f>IF(OR(E3208="",E3208="!!!",F3208="NEW"),"",COUNTBLANK(OFFSET(A$1,,,SUMPRODUCT(MAX(ROW(E$2:E3208)*(E3208=E$2:E3208)))))-COUNTBLANK(OFFSET(A$1,,,SUMPRODUCT(MAX(ROW(E$1:E3207)*(E2=E$1:E3207))))))</f>
        <v> </v>
      </c>
      <c r="K3208" s="26" t="str">
        <f>IF(OR(E3208="",E3208="!!!",F3208="NEW"),"",INDEX(J$1:J3207,SUMPRODUCT(MAX(ROW(E$1:E3207)*(E3208=E$1:E3207)))))</f>
        <v> </v>
      </c>
      <c r="L3208" s="27"/>
    </row>
    <row r="3209" spans="1:12">
      <c r="A3209" s="20" t="s">
        <v>2080</v>
      </c>
      <c r="B3209" s="21" t="s">
        <v>636</v>
      </c>
      <c r="C3209" s="21" t="s">
        <v>631</v>
      </c>
      <c r="D3209" s="21" t="s">
        <v>603</v>
      </c>
      <c r="E3209" s="22">
        <f>IF(D3209="?OLD","!!!","")</f>
        <v/>
      </c>
      <c r="F3209" s="23" t="str">
        <f>IF(OR(E3209="",E3209="!!!"),"",IF(NOT(ISNA(VLOOKUP(E3209,E$1:E3208,1,FALSE()))),"OLD",IF(AND(E3209&lt;&gt;"",E3209&lt;&gt;"!!!"),"NEW","")))</f>
        <v> </v>
      </c>
      <c r="G3209" s="24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5" t="str">
        <f>IF(J3209&lt;&gt;1,"",IF(I3209="SBJ","CB","?"))</f>
        <v> </v>
      </c>
      <c r="I3209" s="26" t="str">
        <f>IF(OR(E3209="",E3209="!!!",F3209="NEW"),"",INDEX(B3208:B$2,-1+SUMPRODUCT(MAX(ROW(E3208:E$2)*(E3209=E3208:E$2)))))</f>
        <v> </v>
      </c>
      <c r="J3209" s="26" t="str">
        <f>IF(OR(E3209="",E3209="!!!",F3209="NEW"),"",COUNTBLANK(OFFSET(A$1,,,SUMPRODUCT(MAX(ROW(E$2:E3209)*(E3209=E$2:E3209)))))-COUNTBLANK(OFFSET(A$1,,,SUMPRODUCT(MAX(ROW(E$1:E3208)*(E2=E$1:E3208))))))</f>
        <v> </v>
      </c>
      <c r="K3209" s="26" t="str">
        <f>IF(OR(E3209="",E3209="!!!",F3209="NEW"),"",INDEX(J$1:J3208,SUMPRODUCT(MAX(ROW(E$1:E3208)*(E3209=E$1:E3208)))))</f>
        <v> </v>
      </c>
      <c r="L3209" s="27"/>
    </row>
    <row r="3210" spans="1:12">
      <c r="A3210" s="20" t="s">
        <v>2081</v>
      </c>
      <c r="E3210" s="22">
        <f>IF(D3210="?OLD","!!!","")</f>
        <v/>
      </c>
      <c r="F3210" s="23" t="str">
        <f>IF(OR(E3210="",E3210="!!!"),"",IF(NOT(ISNA(VLOOKUP(E3210,E$1:E3209,1,FALSE()))),"OLD",IF(AND(E3210&lt;&gt;"",E3210&lt;&gt;"!!!"),"NEW","")))</f>
        <v> </v>
      </c>
      <c r="G3210" s="24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5" t="str">
        <f>IF(J3210&lt;&gt;1,"",IF(I3210="SBJ","CB","?"))</f>
        <v> </v>
      </c>
      <c r="I3210" s="26" t="str">
        <f>IF(OR(E3210="",E3210="!!!",F3210="NEW"),"",INDEX(B3209:B$2,-1+SUMPRODUCT(MAX(ROW(E3209:E$2)*(E3210=E3209:E$2)))))</f>
        <v> </v>
      </c>
      <c r="J3210" s="26" t="str">
        <f>IF(OR(E3210="",E3210="!!!",F3210="NEW"),"",COUNTBLANK(OFFSET(A$1,,,SUMPRODUCT(MAX(ROW(E$2:E3210)*(E3210=E$2:E3210)))))-COUNTBLANK(OFFSET(A$1,,,SUMPRODUCT(MAX(ROW(E$1:E3209)*(E2=E$1:E3209))))))</f>
        <v> </v>
      </c>
      <c r="K3210" s="26" t="str">
        <f>IF(OR(E3210="",E3210="!!!",F3210="NEW"),"",INDEX(J$1:J3209,SUMPRODUCT(MAX(ROW(E$1:E3209)*(E3210=E$1:E3209)))))</f>
        <v> </v>
      </c>
      <c r="L3210" s="27"/>
    </row>
    <row r="3211" spans="1:12">
      <c r="A3211" s="20" t="s">
        <v>611</v>
      </c>
      <c r="E3211" s="22">
        <f>IF(D3211="?OLD","!!!","")</f>
        <v/>
      </c>
      <c r="F3211" s="23" t="str">
        <f>IF(OR(E3211="",E3211="!!!"),"",IF(NOT(ISNA(VLOOKUP(E3211,E$1:E3210,1,FALSE()))),"OLD",IF(AND(E3211&lt;&gt;"",E3211&lt;&gt;"!!!"),"NEW","")))</f>
        <v> </v>
      </c>
      <c r="G3211" s="24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5" t="str">
        <f>IF(J3211&lt;&gt;1,"",IF(I3211="SBJ","CB","?"))</f>
        <v> </v>
      </c>
      <c r="I3211" s="26" t="str">
        <f>IF(OR(E3211="",E3211="!!!",F3211="NEW"),"",INDEX(B3210:B$2,-1+SUMPRODUCT(MAX(ROW(E3210:E$2)*(E3211=E3210:E$2)))))</f>
        <v> </v>
      </c>
      <c r="J3211" s="26" t="str">
        <f>IF(OR(E3211="",E3211="!!!",F3211="NEW"),"",COUNTBLANK(OFFSET(A$1,,,SUMPRODUCT(MAX(ROW(E$2:E3211)*(E3211=E$2:E3211)))))-COUNTBLANK(OFFSET(A$1,,,SUMPRODUCT(MAX(ROW(E$1:E3210)*(E2=E$1:E3210))))))</f>
        <v> </v>
      </c>
      <c r="K3211" s="26" t="str">
        <f>IF(OR(E3211="",E3211="!!!",F3211="NEW"),"",INDEX(J$1:J3210,SUMPRODUCT(MAX(ROW(E$1:E3210)*(E3211=E$1:E3210)))))</f>
        <v> </v>
      </c>
      <c r="L3211" s="27"/>
    </row>
    <row r="3212" spans="1:12">
      <c r="A3212" s="20" t="s">
        <v>664</v>
      </c>
      <c r="E3212" s="22">
        <f>IF(D3212="?OLD","!!!","")</f>
        <v/>
      </c>
      <c r="F3212" s="23" t="str">
        <f>IF(OR(E3212="",E3212="!!!"),"",IF(NOT(ISNA(VLOOKUP(E3212,E$1:E3211,1,FALSE()))),"OLD",IF(AND(E3212&lt;&gt;"",E3212&lt;&gt;"!!!"),"NEW","")))</f>
        <v> </v>
      </c>
      <c r="G3212" s="24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5" t="str">
        <f>IF(J3212&lt;&gt;1,"",IF(I3212="SBJ","CB","?"))</f>
        <v> </v>
      </c>
      <c r="I3212" s="26" t="str">
        <f>IF(OR(E3212="",E3212="!!!",F3212="NEW"),"",INDEX(B3211:B$2,-1+SUMPRODUCT(MAX(ROW(E3211:E$2)*(E3212=E3211:E$2)))))</f>
        <v> </v>
      </c>
      <c r="J3212" s="26" t="str">
        <f>IF(OR(E3212="",E3212="!!!",F3212="NEW"),"",COUNTBLANK(OFFSET(A$1,,,SUMPRODUCT(MAX(ROW(E$2:E3212)*(E3212=E$2:E3212)))))-COUNTBLANK(OFFSET(A$1,,,SUMPRODUCT(MAX(ROW(E$1:E3211)*(E2=E$1:E3211))))))</f>
        <v> </v>
      </c>
      <c r="K3212" s="26" t="str">
        <f>IF(OR(E3212="",E3212="!!!",F3212="NEW"),"",INDEX(J$1:J3211,SUMPRODUCT(MAX(ROW(E$1:E3211)*(E3212=E$1:E3211)))))</f>
        <v> </v>
      </c>
      <c r="L3212" s="27"/>
    </row>
    <row r="3213" spans="1:12">
      <c r="A3213" s="20" t="s">
        <v>2080</v>
      </c>
      <c r="B3213" s="21" t="s">
        <v>640</v>
      </c>
      <c r="C3213" s="21" t="s">
        <v>631</v>
      </c>
      <c r="D3213" s="21" t="s">
        <v>603</v>
      </c>
      <c r="E3213" s="22">
        <f>IF(D3213="?OLD","!!!","")</f>
        <v/>
      </c>
      <c r="F3213" s="23" t="str">
        <f>IF(OR(E3213="",E3213="!!!"),"",IF(NOT(ISNA(VLOOKUP(E3213,E$1:E3212,1,FALSE()))),"OLD",IF(AND(E3213&lt;&gt;"",E3213&lt;&gt;"!!!"),"NEW","")))</f>
        <v> </v>
      </c>
      <c r="G3213" s="24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5" t="str">
        <f>IF(J3213&lt;&gt;1,"",IF(I3213="SBJ","CB","?"))</f>
        <v> </v>
      </c>
      <c r="I3213" s="26" t="str">
        <f>IF(OR(E3213="",E3213="!!!",F3213="NEW"),"",INDEX(B3212:B$2,-1+SUMPRODUCT(MAX(ROW(E3212:E$2)*(E3213=E3212:E$2)))))</f>
        <v> </v>
      </c>
      <c r="J3213" s="26" t="str">
        <f>IF(OR(E3213="",E3213="!!!",F3213="NEW"),"",COUNTBLANK(OFFSET(A$1,,,SUMPRODUCT(MAX(ROW(E$2:E3213)*(E3213=E$2:E3213)))))-COUNTBLANK(OFFSET(A$1,,,SUMPRODUCT(MAX(ROW(E$1:E3212)*(E2=E$1:E3212))))))</f>
        <v> </v>
      </c>
      <c r="K3213" s="26" t="str">
        <f>IF(OR(E3213="",E3213="!!!",F3213="NEW"),"",INDEX(J$1:J3212,SUMPRODUCT(MAX(ROW(E$1:E3212)*(E3213=E$1:E3212)))))</f>
        <v> </v>
      </c>
      <c r="L3213" s="27"/>
    </row>
    <row r="3214" spans="1:12">
      <c r="A3214" s="20" t="s">
        <v>2082</v>
      </c>
      <c r="E3214" s="22">
        <f>IF(D3214="?OLD","!!!","")</f>
        <v/>
      </c>
      <c r="F3214" s="23" t="str">
        <f>IF(OR(E3214="",E3214="!!!"),"",IF(NOT(ISNA(VLOOKUP(E3214,E$1:E3213,1,FALSE()))),"OLD",IF(AND(E3214&lt;&gt;"",E3214&lt;&gt;"!!!"),"NEW","")))</f>
        <v> </v>
      </c>
      <c r="G3214" s="24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5" t="str">
        <f>IF(J3214&lt;&gt;1,"",IF(I3214="SBJ","CB","?"))</f>
        <v> </v>
      </c>
      <c r="I3214" s="26" t="str">
        <f>IF(OR(E3214="",E3214="!!!",F3214="NEW"),"",INDEX(B3213:B$2,-1+SUMPRODUCT(MAX(ROW(E3213:E$2)*(E3214=E3213:E$2)))))</f>
        <v> </v>
      </c>
      <c r="J3214" s="26" t="str">
        <f>IF(OR(E3214="",E3214="!!!",F3214="NEW"),"",COUNTBLANK(OFFSET(A$1,,,SUMPRODUCT(MAX(ROW(E$2:E3214)*(E3214=E$2:E3214)))))-COUNTBLANK(OFFSET(A$1,,,SUMPRODUCT(MAX(ROW(E$1:E3213)*(E2=E$1:E3213))))))</f>
        <v> </v>
      </c>
      <c r="K3214" s="26" t="str">
        <f>IF(OR(E3214="",E3214="!!!",F3214="NEW"),"",INDEX(J$1:J3213,SUMPRODUCT(MAX(ROW(E$1:E3213)*(E3214=E$1:E3213)))))</f>
        <v> </v>
      </c>
      <c r="L3214" s="27"/>
    </row>
    <row r="3215" spans="1:12">
      <c r="A3215" s="20" t="s">
        <v>611</v>
      </c>
      <c r="E3215" s="22">
        <f>IF(D3215="?OLD","!!!","")</f>
        <v/>
      </c>
      <c r="F3215" s="23" t="str">
        <f>IF(OR(E3215="",E3215="!!!"),"",IF(NOT(ISNA(VLOOKUP(E3215,E$1:E3214,1,FALSE()))),"OLD",IF(AND(E3215&lt;&gt;"",E3215&lt;&gt;"!!!"),"NEW","")))</f>
        <v> </v>
      </c>
      <c r="G3215" s="24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5" t="str">
        <f>IF(J3215&lt;&gt;1,"",IF(I3215="SBJ","CB","?"))</f>
        <v> </v>
      </c>
      <c r="I3215" s="26" t="str">
        <f>IF(OR(E3215="",E3215="!!!",F3215="NEW"),"",INDEX(B3214:B$2,-1+SUMPRODUCT(MAX(ROW(E3214:E$2)*(E3215=E3214:E$2)))))</f>
        <v> </v>
      </c>
      <c r="J3215" s="26" t="str">
        <f>IF(OR(E3215="",E3215="!!!",F3215="NEW"),"",COUNTBLANK(OFFSET(A$1,,,SUMPRODUCT(MAX(ROW(E$2:E3215)*(E3215=E$2:E3215)))))-COUNTBLANK(OFFSET(A$1,,,SUMPRODUCT(MAX(ROW(E$1:E3214)*(E2=E$1:E3214))))))</f>
        <v> </v>
      </c>
      <c r="K3215" s="26" t="str">
        <f>IF(OR(E3215="",E3215="!!!",F3215="NEW"),"",INDEX(J$1:J3214,SUMPRODUCT(MAX(ROW(E$1:E3214)*(E3215=E$1:E3214)))))</f>
        <v> </v>
      </c>
      <c r="L3215" s="27"/>
    </row>
    <row r="3216" spans="1:12">
      <c r="A3216" s="20" t="s">
        <v>863</v>
      </c>
      <c r="E3216" s="22">
        <f>IF(D3216="?OLD","!!!","")</f>
        <v/>
      </c>
      <c r="F3216" s="23" t="str">
        <f>IF(OR(E3216="",E3216="!!!"),"",IF(NOT(ISNA(VLOOKUP(E3216,E$1:E3215,1,FALSE()))),"OLD",IF(AND(E3216&lt;&gt;"",E3216&lt;&gt;"!!!"),"NEW","")))</f>
        <v> </v>
      </c>
      <c r="G3216" s="24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5" t="str">
        <f>IF(J3216&lt;&gt;1,"",IF(I3216="SBJ","CB","?"))</f>
        <v> </v>
      </c>
      <c r="I3216" s="26" t="str">
        <f>IF(OR(E3216="",E3216="!!!",F3216="NEW"),"",INDEX(B3215:B$2,-1+SUMPRODUCT(MAX(ROW(E3215:E$2)*(E3216=E3215:E$2)))))</f>
        <v> </v>
      </c>
      <c r="J3216" s="26" t="str">
        <f>IF(OR(E3216="",E3216="!!!",F3216="NEW"),"",COUNTBLANK(OFFSET(A$1,,,SUMPRODUCT(MAX(ROW(E$2:E3216)*(E3216=E$2:E3216)))))-COUNTBLANK(OFFSET(A$1,,,SUMPRODUCT(MAX(ROW(E$1:E3215)*(E2=E$1:E3215))))))</f>
        <v> </v>
      </c>
      <c r="K3216" s="26" t="str">
        <f>IF(OR(E3216="",E3216="!!!",F3216="NEW"),"",INDEX(J$1:J3215,SUMPRODUCT(MAX(ROW(E$1:E3215)*(E3216=E$1:E3215)))))</f>
        <v> </v>
      </c>
      <c r="L3216" s="27"/>
    </row>
    <row r="3217" spans="1:12">
      <c r="A3217" s="20" t="s">
        <v>2080</v>
      </c>
      <c r="B3217" s="21" t="s">
        <v>640</v>
      </c>
      <c r="C3217" s="21" t="s">
        <v>631</v>
      </c>
      <c r="D3217" s="21" t="s">
        <v>603</v>
      </c>
      <c r="E3217" s="22">
        <f>IF(D3217="?OLD","!!!","")</f>
        <v/>
      </c>
      <c r="F3217" s="23" t="str">
        <f>IF(OR(E3217="",E3217="!!!"),"",IF(NOT(ISNA(VLOOKUP(E3217,E$1:E3216,1,FALSE()))),"OLD",IF(AND(E3217&lt;&gt;"",E3217&lt;&gt;"!!!"),"NEW","")))</f>
        <v> </v>
      </c>
      <c r="G3217" s="24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5" t="str">
        <f>IF(J3217&lt;&gt;1,"",IF(I3217="SBJ","CB","?"))</f>
        <v> </v>
      </c>
      <c r="I3217" s="26" t="str">
        <f>IF(OR(E3217="",E3217="!!!",F3217="NEW"),"",INDEX(B3216:B$2,-1+SUMPRODUCT(MAX(ROW(E3216:E$2)*(E3217=E3216:E$2)))))</f>
        <v> </v>
      </c>
      <c r="J3217" s="26" t="str">
        <f>IF(OR(E3217="",E3217="!!!",F3217="NEW"),"",COUNTBLANK(OFFSET(A$1,,,SUMPRODUCT(MAX(ROW(E$2:E3217)*(E3217=E$2:E3217)))))-COUNTBLANK(OFFSET(A$1,,,SUMPRODUCT(MAX(ROW(E$1:E3216)*(E2=E$1:E3216))))))</f>
        <v> </v>
      </c>
      <c r="K3217" s="26" t="str">
        <f>IF(OR(E3217="",E3217="!!!",F3217="NEW"),"",INDEX(J$1:J3216,SUMPRODUCT(MAX(ROW(E$1:E3216)*(E3217=E$1:E3216)))))</f>
        <v> </v>
      </c>
      <c r="L3217" s="27"/>
    </row>
    <row r="3218" spans="1:12">
      <c r="A3218" s="20" t="s">
        <v>611</v>
      </c>
      <c r="E3218" s="22">
        <f>IF(D3218="?OLD","!!!","")</f>
        <v/>
      </c>
      <c r="F3218" s="23" t="str">
        <f>IF(OR(E3218="",E3218="!!!"),"",IF(NOT(ISNA(VLOOKUP(E3218,E$1:E3217,1,FALSE()))),"OLD",IF(AND(E3218&lt;&gt;"",E3218&lt;&gt;"!!!"),"NEW","")))</f>
        <v> </v>
      </c>
      <c r="G3218" s="24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5" t="str">
        <f>IF(J3218&lt;&gt;1,"",IF(I3218="SBJ","CB","?"))</f>
        <v> </v>
      </c>
      <c r="I3218" s="26" t="str">
        <f>IF(OR(E3218="",E3218="!!!",F3218="NEW"),"",INDEX(B3217:B$2,-1+SUMPRODUCT(MAX(ROW(E3217:E$2)*(E3218=E3217:E$2)))))</f>
        <v> </v>
      </c>
      <c r="J3218" s="26" t="str">
        <f>IF(OR(E3218="",E3218="!!!",F3218="NEW"),"",COUNTBLANK(OFFSET(A$1,,,SUMPRODUCT(MAX(ROW(E$2:E3218)*(E3218=E$2:E3218)))))-COUNTBLANK(OFFSET(A$1,,,SUMPRODUCT(MAX(ROW(E$1:E3217)*(E2=E$1:E3217))))))</f>
        <v> </v>
      </c>
      <c r="K3218" s="26" t="str">
        <f>IF(OR(E3218="",E3218="!!!",F3218="NEW"),"",INDEX(J$1:J3217,SUMPRODUCT(MAX(ROW(E$1:E3217)*(E3218=E$1:E3217)))))</f>
        <v> </v>
      </c>
      <c r="L3218" s="27"/>
    </row>
    <row r="3219" spans="1:12">
      <c r="A3219" s="20" t="s">
        <v>2073</v>
      </c>
      <c r="E3219" s="22">
        <f>IF(D3219="?OLD","!!!","")</f>
        <v/>
      </c>
      <c r="F3219" s="23" t="str">
        <f>IF(OR(E3219="",E3219="!!!"),"",IF(NOT(ISNA(VLOOKUP(E3219,E$1:E3218,1,FALSE()))),"OLD",IF(AND(E3219&lt;&gt;"",E3219&lt;&gt;"!!!"),"NEW","")))</f>
        <v> </v>
      </c>
      <c r="G3219" s="24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5" t="str">
        <f>IF(J3219&lt;&gt;1,"",IF(I3219="SBJ","CB","?"))</f>
        <v> </v>
      </c>
      <c r="I3219" s="26" t="str">
        <f>IF(OR(E3219="",E3219="!!!",F3219="NEW"),"",INDEX(B3218:B$2,-1+SUMPRODUCT(MAX(ROW(E3218:E$2)*(E3219=E3218:E$2)))))</f>
        <v> </v>
      </c>
      <c r="J3219" s="26" t="str">
        <f>IF(OR(E3219="",E3219="!!!",F3219="NEW"),"",COUNTBLANK(OFFSET(A$1,,,SUMPRODUCT(MAX(ROW(E$2:E3219)*(E3219=E$2:E3219)))))-COUNTBLANK(OFFSET(A$1,,,SUMPRODUCT(MAX(ROW(E$1:E3218)*(E2=E$1:E3218))))))</f>
        <v> </v>
      </c>
      <c r="K3219" s="26" t="str">
        <f>IF(OR(E3219="",E3219="!!!",F3219="NEW"),"",INDEX(J$1:J3218,SUMPRODUCT(MAX(ROW(E$1:E3218)*(E3219=E$1:E3218)))))</f>
        <v> </v>
      </c>
      <c r="L3219" s="27"/>
    </row>
    <row r="3220" spans="1:12">
      <c r="A3220" s="20" t="s">
        <v>2074</v>
      </c>
      <c r="E3220" s="22">
        <f>IF(D3220="?OLD","!!!","")</f>
        <v/>
      </c>
      <c r="F3220" s="23" t="str">
        <f>IF(OR(E3220="",E3220="!!!"),"",IF(NOT(ISNA(VLOOKUP(E3220,E$1:E3219,1,FALSE()))),"OLD",IF(AND(E3220&lt;&gt;"",E3220&lt;&gt;"!!!"),"NEW","")))</f>
        <v> </v>
      </c>
      <c r="G3220" s="24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5" t="str">
        <f>IF(J3220&lt;&gt;1,"",IF(I3220="SBJ","CB","?"))</f>
        <v> </v>
      </c>
      <c r="I3220" s="26" t="str">
        <f>IF(OR(E3220="",E3220="!!!",F3220="NEW"),"",INDEX(B3219:B$2,-1+SUMPRODUCT(MAX(ROW(E3219:E$2)*(E3220=E3219:E$2)))))</f>
        <v> </v>
      </c>
      <c r="J3220" s="26" t="str">
        <f>IF(OR(E3220="",E3220="!!!",F3220="NEW"),"",COUNTBLANK(OFFSET(A$1,,,SUMPRODUCT(MAX(ROW(E$2:E3220)*(E3220=E$2:E3220)))))-COUNTBLANK(OFFSET(A$1,,,SUMPRODUCT(MAX(ROW(E$1:E3219)*(E2=E$1:E3219))))))</f>
        <v> </v>
      </c>
      <c r="K3220" s="26" t="str">
        <f>IF(OR(E3220="",E3220="!!!",F3220="NEW"),"",INDEX(J$1:J3219,SUMPRODUCT(MAX(ROW(E$1:E3219)*(E3220=E$1:E3219)))))</f>
        <v> </v>
      </c>
      <c r="L3220" s="27"/>
    </row>
    <row r="3221" spans="1:12">
      <c r="A3221" s="20" t="s">
        <v>2075</v>
      </c>
      <c r="E3221" s="22">
        <f>IF(D3221="?OLD","!!!","")</f>
        <v/>
      </c>
      <c r="F3221" s="23" t="str">
        <f>IF(OR(E3221="",E3221="!!!"),"",IF(NOT(ISNA(VLOOKUP(E3221,E$1:E3220,1,FALSE()))),"OLD",IF(AND(E3221&lt;&gt;"",E3221&lt;&gt;"!!!"),"NEW","")))</f>
        <v> </v>
      </c>
      <c r="G3221" s="24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5" t="str">
        <f>IF(J3221&lt;&gt;1,"",IF(I3221="SBJ","CB","?"))</f>
        <v> </v>
      </c>
      <c r="I3221" s="26" t="str">
        <f>IF(OR(E3221="",E3221="!!!",F3221="NEW"),"",INDEX(B3220:B$2,-1+SUMPRODUCT(MAX(ROW(E3220:E$2)*(E3221=E3220:E$2)))))</f>
        <v> </v>
      </c>
      <c r="J3221" s="26" t="str">
        <f>IF(OR(E3221="",E3221="!!!",F3221="NEW"),"",COUNTBLANK(OFFSET(A$1,,,SUMPRODUCT(MAX(ROW(E$2:E3221)*(E3221=E$2:E3221)))))-COUNTBLANK(OFFSET(A$1,,,SUMPRODUCT(MAX(ROW(E$1:E3220)*(E2=E$1:E3220))))))</f>
        <v> </v>
      </c>
      <c r="K3221" s="26" t="str">
        <f>IF(OR(E3221="",E3221="!!!",F3221="NEW"),"",INDEX(J$1:J3220,SUMPRODUCT(MAX(ROW(E$1:E3220)*(E3221=E$1:E3220)))))</f>
        <v> </v>
      </c>
      <c r="L3221" s="27"/>
    </row>
    <row r="3222" spans="1:12">
      <c r="A3222" s="20" t="s">
        <v>842</v>
      </c>
      <c r="B3222" s="21" t="s">
        <v>804</v>
      </c>
      <c r="C3222" s="21" t="s">
        <v>621</v>
      </c>
      <c r="E3222" s="22">
        <f>IF(D3222="?OLD","!!!","")</f>
        <v/>
      </c>
      <c r="F3222" s="23" t="str">
        <f>IF(OR(E3222="",E3222="!!!"),"",IF(NOT(ISNA(VLOOKUP(E3222,E$1:E3221,1,FALSE()))),"OLD",IF(AND(E3222&lt;&gt;"",E3222&lt;&gt;"!!!"),"NEW","")))</f>
        <v> </v>
      </c>
      <c r="G3222" s="24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5" t="str">
        <f>IF(J3222&lt;&gt;1,"",IF(I3222="SBJ","CB","?"))</f>
        <v> </v>
      </c>
      <c r="I3222" s="26" t="str">
        <f>IF(OR(E3222="",E3222="!!!",F3222="NEW"),"",INDEX(B3221:B$2,-1+SUMPRODUCT(MAX(ROW(E3221:E$2)*(E3222=E3221:E$2)))))</f>
        <v> </v>
      </c>
      <c r="J3222" s="26" t="str">
        <f>IF(OR(E3222="",E3222="!!!",F3222="NEW"),"",COUNTBLANK(OFFSET(A$1,,,SUMPRODUCT(MAX(ROW(E$2:E3222)*(E3222=E$2:E3222)))))-COUNTBLANK(OFFSET(A$1,,,SUMPRODUCT(MAX(ROW(E$1:E3221)*(E2=E$1:E3221))))))</f>
        <v> </v>
      </c>
      <c r="K3222" s="26" t="str">
        <f>IF(OR(E3222="",E3222="!!!",F3222="NEW"),"",INDEX(J$1:J3221,SUMPRODUCT(MAX(ROW(E$1:E3221)*(E3222=E$1:E3221)))))</f>
        <v> </v>
      </c>
      <c r="L3222" s="27"/>
    </row>
    <row r="3223" spans="1:12">
      <c r="A3223" s="20" t="s">
        <v>646</v>
      </c>
      <c r="E3223" s="22">
        <f>IF(D3223="?OLD","!!!","")</f>
        <v/>
      </c>
      <c r="F3223" s="23" t="str">
        <f>IF(OR(E3223="",E3223="!!!"),"",IF(NOT(ISNA(VLOOKUP(E3223,E$1:E3222,1,FALSE()))),"OLD",IF(AND(E3223&lt;&gt;"",E3223&lt;&gt;"!!!"),"NEW","")))</f>
        <v> </v>
      </c>
      <c r="G3223" s="24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5" t="str">
        <f>IF(J3223&lt;&gt;1,"",IF(I3223="SBJ","CB","?"))</f>
        <v> </v>
      </c>
      <c r="I3223" s="26" t="str">
        <f>IF(OR(E3223="",E3223="!!!",F3223="NEW"),"",INDEX(B3222:B$2,-1+SUMPRODUCT(MAX(ROW(E3222:E$2)*(E3223=E3222:E$2)))))</f>
        <v> </v>
      </c>
      <c r="J3223" s="26" t="str">
        <f>IF(OR(E3223="",E3223="!!!",F3223="NEW"),"",COUNTBLANK(OFFSET(A$1,,,SUMPRODUCT(MAX(ROW(E$2:E3223)*(E3223=E$2:E3223)))))-COUNTBLANK(OFFSET(A$1,,,SUMPRODUCT(MAX(ROW(E$1:E3222)*(E2=E$1:E3222))))))</f>
        <v> </v>
      </c>
      <c r="K3223" s="26" t="str">
        <f>IF(OR(E3223="",E3223="!!!",F3223="NEW"),"",INDEX(J$1:J3222,SUMPRODUCT(MAX(ROW(E$1:E3222)*(E3223=E$1:E3222)))))</f>
        <v> </v>
      </c>
      <c r="L3223" s="27"/>
    </row>
    <row r="3224" spans="1:12">
      <c r="A3224" s="20" t="s">
        <v>2083</v>
      </c>
      <c r="E3224" s="22">
        <f>IF(D3224="?OLD","!!!","")</f>
        <v/>
      </c>
      <c r="F3224" s="23" t="str">
        <f>IF(OR(E3224="",E3224="!!!"),"",IF(NOT(ISNA(VLOOKUP(E3224,E$1:E3223,1,FALSE()))),"OLD",IF(AND(E3224&lt;&gt;"",E3224&lt;&gt;"!!!"),"NEW","")))</f>
        <v> </v>
      </c>
      <c r="G3224" s="24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5" t="str">
        <f>IF(J3224&lt;&gt;1,"",IF(I3224="SBJ","CB","?"))</f>
        <v> </v>
      </c>
      <c r="I3224" s="26" t="str">
        <f>IF(OR(E3224="",E3224="!!!",F3224="NEW"),"",INDEX(B3223:B$2,-1+SUMPRODUCT(MAX(ROW(E3223:E$2)*(E3224=E3223:E$2)))))</f>
        <v> </v>
      </c>
      <c r="J3224" s="26" t="str">
        <f>IF(OR(E3224="",E3224="!!!",F3224="NEW"),"",COUNTBLANK(OFFSET(A$1,,,SUMPRODUCT(MAX(ROW(E$2:E3224)*(E3224=E$2:E3224)))))-COUNTBLANK(OFFSET(A$1,,,SUMPRODUCT(MAX(ROW(E$1:E3223)*(E2=E$1:E3223))))))</f>
        <v> </v>
      </c>
      <c r="K3224" s="26" t="str">
        <f>IF(OR(E3224="",E3224="!!!",F3224="NEW"),"",INDEX(J$1:J3223,SUMPRODUCT(MAX(ROW(E$1:E3223)*(E3224=E$1:E3223)))))</f>
        <v> </v>
      </c>
      <c r="L3224" s="27"/>
    </row>
    <row r="3225" spans="1:12">
      <c r="A3225" s="20" t="s">
        <v>672</v>
      </c>
      <c r="E3225" s="22">
        <f>IF(D3225="?OLD","!!!","")</f>
        <v/>
      </c>
      <c r="F3225" s="23" t="str">
        <f>IF(OR(E3225="",E3225="!!!"),"",IF(NOT(ISNA(VLOOKUP(E3225,E$1:E3224,1,FALSE()))),"OLD",IF(AND(E3225&lt;&gt;"",E3225&lt;&gt;"!!!"),"NEW","")))</f>
        <v> </v>
      </c>
      <c r="G3225" s="24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5" t="str">
        <f>IF(J3225&lt;&gt;1,"",IF(I3225="SBJ","CB","?"))</f>
        <v> </v>
      </c>
      <c r="I3225" s="26" t="str">
        <f>IF(OR(E3225="",E3225="!!!",F3225="NEW"),"",INDEX(B3224:B$2,-1+SUMPRODUCT(MAX(ROW(E3224:E$2)*(E3225=E3224:E$2)))))</f>
        <v> </v>
      </c>
      <c r="J3225" s="26" t="str">
        <f>IF(OR(E3225="",E3225="!!!",F3225="NEW"),"",COUNTBLANK(OFFSET(A$1,,,SUMPRODUCT(MAX(ROW(E$2:E3225)*(E3225=E$2:E3225)))))-COUNTBLANK(OFFSET(A$1,,,SUMPRODUCT(MAX(ROW(E$1:E3224)*(E2=E$1:E3224))))))</f>
        <v> </v>
      </c>
      <c r="K3225" s="26" t="str">
        <f>IF(OR(E3225="",E3225="!!!",F3225="NEW"),"",INDEX(J$1:J3224,SUMPRODUCT(MAX(ROW(E$1:E3224)*(E3225=E$1:E3224)))))</f>
        <v> </v>
      </c>
      <c r="L3225" s="27"/>
    </row>
    <row r="3226" spans="1:12">
      <c r="A3226" s="20" t="s">
        <v>2084</v>
      </c>
      <c r="E3226" s="22">
        <f>IF(D3226="?OLD","!!!","")</f>
        <v/>
      </c>
      <c r="F3226" s="23" t="str">
        <f>IF(OR(E3226="",E3226="!!!"),"",IF(NOT(ISNA(VLOOKUP(E3226,E$1:E3225,1,FALSE()))),"OLD",IF(AND(E3226&lt;&gt;"",E3226&lt;&gt;"!!!"),"NEW","")))</f>
        <v> </v>
      </c>
      <c r="G3226" s="24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5" t="str">
        <f>IF(J3226&lt;&gt;1,"",IF(I3226="SBJ","CB","?"))</f>
        <v> </v>
      </c>
      <c r="I3226" s="26" t="str">
        <f>IF(OR(E3226="",E3226="!!!",F3226="NEW"),"",INDEX(B3225:B$2,-1+SUMPRODUCT(MAX(ROW(E3225:E$2)*(E3226=E3225:E$2)))))</f>
        <v> </v>
      </c>
      <c r="J3226" s="26" t="str">
        <f>IF(OR(E3226="",E3226="!!!",F3226="NEW"),"",COUNTBLANK(OFFSET(A$1,,,SUMPRODUCT(MAX(ROW(E$2:E3226)*(E3226=E$2:E3226)))))-COUNTBLANK(OFFSET(A$1,,,SUMPRODUCT(MAX(ROW(E$1:E3225)*(E2=E$1:E3225))))))</f>
        <v> </v>
      </c>
      <c r="K3226" s="26" t="str">
        <f>IF(OR(E3226="",E3226="!!!",F3226="NEW"),"",INDEX(J$1:J3225,SUMPRODUCT(MAX(ROW(E$1:E3225)*(E3226=E$1:E3225)))))</f>
        <v> </v>
      </c>
      <c r="L3226" s="27"/>
    </row>
    <row r="3227" spans="1:12">
      <c r="A3227" s="20" t="s">
        <v>1055</v>
      </c>
      <c r="E3227" s="22">
        <f>IF(D3227="?OLD","!!!","")</f>
        <v/>
      </c>
      <c r="F3227" s="23" t="str">
        <f>IF(OR(E3227="",E3227="!!!"),"",IF(NOT(ISNA(VLOOKUP(E3227,E$1:E3226,1,FALSE()))),"OLD",IF(AND(E3227&lt;&gt;"",E3227&lt;&gt;"!!!"),"NEW","")))</f>
        <v> </v>
      </c>
      <c r="G3227" s="24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5" t="str">
        <f>IF(J3227&lt;&gt;1,"",IF(I3227="SBJ","CB","?"))</f>
        <v> </v>
      </c>
      <c r="I3227" s="26" t="str">
        <f>IF(OR(E3227="",E3227="!!!",F3227="NEW"),"",INDEX(B3226:B$2,-1+SUMPRODUCT(MAX(ROW(E3226:E$2)*(E3227=E3226:E$2)))))</f>
        <v> </v>
      </c>
      <c r="J3227" s="26" t="str">
        <f>IF(OR(E3227="",E3227="!!!",F3227="NEW"),"",COUNTBLANK(OFFSET(A$1,,,SUMPRODUCT(MAX(ROW(E$2:E3227)*(E3227=E$2:E3227)))))-COUNTBLANK(OFFSET(A$1,,,SUMPRODUCT(MAX(ROW(E$1:E3226)*(E2=E$1:E3226))))))</f>
        <v> </v>
      </c>
      <c r="K3227" s="26" t="str">
        <f>IF(OR(E3227="",E3227="!!!",F3227="NEW"),"",INDEX(J$1:J3226,SUMPRODUCT(MAX(ROW(E$1:E3226)*(E3227=E$1:E3226)))))</f>
        <v> </v>
      </c>
      <c r="L3227" s="27"/>
    </row>
    <row r="3228" spans="1:12">
      <c r="A3228" s="20" t="s">
        <v>1110</v>
      </c>
      <c r="B3228" s="21" t="s">
        <v>1349</v>
      </c>
      <c r="C3228" s="21" t="s">
        <v>602</v>
      </c>
      <c r="D3228" s="21" t="s">
        <v>603</v>
      </c>
      <c r="E3228" s="22">
        <f>IF(D3228="?OLD","!!!","")</f>
        <v/>
      </c>
      <c r="F3228" s="23" t="str">
        <f>IF(OR(E3228="",E3228="!!!"),"",IF(NOT(ISNA(VLOOKUP(E3228,E$1:E3227,1,FALSE()))),"OLD",IF(AND(E3228&lt;&gt;"",E3228&lt;&gt;"!!!"),"NEW","")))</f>
        <v> </v>
      </c>
      <c r="G3228" s="24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5" t="str">
        <f>IF(J3228&lt;&gt;1,"",IF(I3228="SBJ","CB","?"))</f>
        <v> </v>
      </c>
      <c r="I3228" s="26" t="str">
        <f>IF(OR(E3228="",E3228="!!!",F3228="NEW"),"",INDEX(B3227:B$2,-1+SUMPRODUCT(MAX(ROW(E3227:E$2)*(E3228=E3227:E$2)))))</f>
        <v> </v>
      </c>
      <c r="J3228" s="26" t="str">
        <f>IF(OR(E3228="",E3228="!!!",F3228="NEW"),"",COUNTBLANK(OFFSET(A$1,,,SUMPRODUCT(MAX(ROW(E$2:E3228)*(E3228=E$2:E3228)))))-COUNTBLANK(OFFSET(A$1,,,SUMPRODUCT(MAX(ROW(E$1:E3227)*(E2=E$1:E3227))))))</f>
        <v> </v>
      </c>
      <c r="K3228" s="26" t="str">
        <f>IF(OR(E3228="",E3228="!!!",F3228="NEW"),"",INDEX(J$1:J3227,SUMPRODUCT(MAX(ROW(E$1:E3227)*(E3228=E$1:E3227)))))</f>
        <v> </v>
      </c>
      <c r="L3228" s="27"/>
    </row>
    <row r="3229" spans="1:12">
      <c r="A3229" s="20" t="s">
        <v>1376</v>
      </c>
      <c r="E3229" s="22">
        <f>IF(D3229="?OLD","!!!","")</f>
        <v/>
      </c>
      <c r="F3229" s="23" t="str">
        <f>IF(OR(E3229="",E3229="!!!"),"",IF(NOT(ISNA(VLOOKUP(E3229,E$1:E3228,1,FALSE()))),"OLD",IF(AND(E3229&lt;&gt;"",E3229&lt;&gt;"!!!"),"NEW","")))</f>
        <v> </v>
      </c>
      <c r="G3229" s="24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5" t="str">
        <f>IF(J3229&lt;&gt;1,"",IF(I3229="SBJ","CB","?"))</f>
        <v> </v>
      </c>
      <c r="I3229" s="26" t="str">
        <f>IF(OR(E3229="",E3229="!!!",F3229="NEW"),"",INDEX(B3228:B$2,-1+SUMPRODUCT(MAX(ROW(E3228:E$2)*(E3229=E3228:E$2)))))</f>
        <v> </v>
      </c>
      <c r="J3229" s="26" t="str">
        <f>IF(OR(E3229="",E3229="!!!",F3229="NEW"),"",COUNTBLANK(OFFSET(A$1,,,SUMPRODUCT(MAX(ROW(E$2:E3229)*(E3229=E$2:E3229)))))-COUNTBLANK(OFFSET(A$1,,,SUMPRODUCT(MAX(ROW(E$1:E3228)*(E2=E$1:E3228))))))</f>
        <v> </v>
      </c>
      <c r="K3229" s="26" t="str">
        <f>IF(OR(E3229="",E3229="!!!",F3229="NEW"),"",INDEX(J$1:J3228,SUMPRODUCT(MAX(ROW(E$1:E3228)*(E3229=E$1:E3228)))))</f>
        <v> </v>
      </c>
      <c r="L3229" s="27"/>
    </row>
    <row r="3230" spans="1:12">
      <c r="A3230" s="20" t="s">
        <v>755</v>
      </c>
      <c r="E3230" s="22">
        <f>IF(D3230="?OLD","!!!","")</f>
        <v/>
      </c>
      <c r="F3230" s="23" t="str">
        <f>IF(OR(E3230="",E3230="!!!"),"",IF(NOT(ISNA(VLOOKUP(E3230,E$1:E3229,1,FALSE()))),"OLD",IF(AND(E3230&lt;&gt;"",E3230&lt;&gt;"!!!"),"NEW","")))</f>
        <v> </v>
      </c>
      <c r="G3230" s="24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5" t="str">
        <f>IF(J3230&lt;&gt;1,"",IF(I3230="SBJ","CB","?"))</f>
        <v> </v>
      </c>
      <c r="I3230" s="26" t="str">
        <f>IF(OR(E3230="",E3230="!!!",F3230="NEW"),"",INDEX(B3229:B$2,-1+SUMPRODUCT(MAX(ROW(E3229:E$2)*(E3230=E3229:E$2)))))</f>
        <v> </v>
      </c>
      <c r="J3230" s="26" t="str">
        <f>IF(OR(E3230="",E3230="!!!",F3230="NEW"),"",COUNTBLANK(OFFSET(A$1,,,SUMPRODUCT(MAX(ROW(E$2:E3230)*(E3230=E$2:E3230)))))-COUNTBLANK(OFFSET(A$1,,,SUMPRODUCT(MAX(ROW(E$1:E3229)*(E2=E$1:E3229))))))</f>
        <v> </v>
      </c>
      <c r="K3230" s="26" t="str">
        <f>IF(OR(E3230="",E3230="!!!",F3230="NEW"),"",INDEX(J$1:J3229,SUMPRODUCT(MAX(ROW(E$1:E3229)*(E3230=E$1:E3229)))))</f>
        <v> </v>
      </c>
      <c r="L3230" s="27"/>
    </row>
    <row r="3231" spans="1:12">
      <c r="A3231" s="20" t="s">
        <v>1967</v>
      </c>
      <c r="E3231" s="22">
        <f>IF(D3231="?OLD","!!!","")</f>
        <v/>
      </c>
      <c r="F3231" s="23" t="str">
        <f>IF(OR(E3231="",E3231="!!!"),"",IF(NOT(ISNA(VLOOKUP(E3231,E$1:E3230,1,FALSE()))),"OLD",IF(AND(E3231&lt;&gt;"",E3231&lt;&gt;"!!!"),"NEW","")))</f>
        <v> </v>
      </c>
      <c r="G3231" s="24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5" t="str">
        <f>IF(J3231&lt;&gt;1,"",IF(I3231="SBJ","CB","?"))</f>
        <v> </v>
      </c>
      <c r="I3231" s="26" t="str">
        <f>IF(OR(E3231="",E3231="!!!",F3231="NEW"),"",INDEX(B3230:B$2,-1+SUMPRODUCT(MAX(ROW(E3230:E$2)*(E3231=E3230:E$2)))))</f>
        <v> </v>
      </c>
      <c r="J3231" s="26" t="str">
        <f>IF(OR(E3231="",E3231="!!!",F3231="NEW"),"",COUNTBLANK(OFFSET(A$1,,,SUMPRODUCT(MAX(ROW(E$2:E3231)*(E3231=E$2:E3231)))))-COUNTBLANK(OFFSET(A$1,,,SUMPRODUCT(MAX(ROW(E$1:E3230)*(E2=E$1:E3230))))))</f>
        <v> </v>
      </c>
      <c r="K3231" s="26" t="str">
        <f>IF(OR(E3231="",E3231="!!!",F3231="NEW"),"",INDEX(J$1:J3230,SUMPRODUCT(MAX(ROW(E$1:E3230)*(E3231=E$1:E3230)))))</f>
        <v> </v>
      </c>
      <c r="L3231" s="27"/>
    </row>
    <row r="3232" spans="1:12">
      <c r="A3232" s="20" t="s">
        <v>2085</v>
      </c>
      <c r="E3232" s="22">
        <f>IF(D3232="?OLD","!!!","")</f>
        <v/>
      </c>
      <c r="F3232" s="23" t="str">
        <f>IF(OR(E3232="",E3232="!!!"),"",IF(NOT(ISNA(VLOOKUP(E3232,E$1:E3231,1,FALSE()))),"OLD",IF(AND(E3232&lt;&gt;"",E3232&lt;&gt;"!!!"),"NEW","")))</f>
        <v> </v>
      </c>
      <c r="G3232" s="24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5" t="str">
        <f>IF(J3232&lt;&gt;1,"",IF(I3232="SBJ","CB","?"))</f>
        <v> </v>
      </c>
      <c r="I3232" s="26" t="str">
        <f>IF(OR(E3232="",E3232="!!!",F3232="NEW"),"",INDEX(B3231:B$2,-1+SUMPRODUCT(MAX(ROW(E3231:E$2)*(E3232=E3231:E$2)))))</f>
        <v> </v>
      </c>
      <c r="J3232" s="26" t="str">
        <f>IF(OR(E3232="",E3232="!!!",F3232="NEW"),"",COUNTBLANK(OFFSET(A$1,,,SUMPRODUCT(MAX(ROW(E$2:E3232)*(E3232=E$2:E3232)))))-COUNTBLANK(OFFSET(A$1,,,SUMPRODUCT(MAX(ROW(E$1:E3231)*(E2=E$1:E3231))))))</f>
        <v> </v>
      </c>
      <c r="K3232" s="26" t="str">
        <f>IF(OR(E3232="",E3232="!!!",F3232="NEW"),"",INDEX(J$1:J3231,SUMPRODUCT(MAX(ROW(E$1:E3231)*(E3232=E$1:E3231)))))</f>
        <v> </v>
      </c>
      <c r="L3232" s="27"/>
    </row>
    <row r="3233" spans="1:12">
      <c r="A3233" s="20" t="s">
        <v>1012</v>
      </c>
      <c r="E3233" s="22">
        <f>IF(D3233="?OLD","!!!","")</f>
        <v/>
      </c>
      <c r="F3233" s="23" t="str">
        <f>IF(OR(E3233="",E3233="!!!"),"",IF(NOT(ISNA(VLOOKUP(E3233,E$1:E3232,1,FALSE()))),"OLD",IF(AND(E3233&lt;&gt;"",E3233&lt;&gt;"!!!"),"NEW","")))</f>
        <v> </v>
      </c>
      <c r="G3233" s="24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5" t="str">
        <f>IF(J3233&lt;&gt;1,"",IF(I3233="SBJ","CB","?"))</f>
        <v> </v>
      </c>
      <c r="I3233" s="26" t="str">
        <f>IF(OR(E3233="",E3233="!!!",F3233="NEW"),"",INDEX(B3232:B$2,-1+SUMPRODUCT(MAX(ROW(E3232:E$2)*(E3233=E3232:E$2)))))</f>
        <v> </v>
      </c>
      <c r="J3233" s="26" t="str">
        <f>IF(OR(E3233="",E3233="!!!",F3233="NEW"),"",COUNTBLANK(OFFSET(A$1,,,SUMPRODUCT(MAX(ROW(E$2:E3233)*(E3233=E$2:E3233)))))-COUNTBLANK(OFFSET(A$1,,,SUMPRODUCT(MAX(ROW(E$1:E3232)*(E2=E$1:E3232))))))</f>
        <v> </v>
      </c>
      <c r="K3233" s="26" t="str">
        <f>IF(OR(E3233="",E3233="!!!",F3233="NEW"),"",INDEX(J$1:J3232,SUMPRODUCT(MAX(ROW(E$1:E3232)*(E3233=E$1:E3232)))))</f>
        <v> </v>
      </c>
      <c r="L3233" s="27"/>
    </row>
    <row r="3234" spans="1:12">
      <c r="A3234" s="20" t="s">
        <v>1055</v>
      </c>
      <c r="E3234" s="22">
        <f>IF(D3234="?OLD","!!!","")</f>
        <v/>
      </c>
      <c r="F3234" s="23" t="str">
        <f>IF(OR(E3234="",E3234="!!!"),"",IF(NOT(ISNA(VLOOKUP(E3234,E$1:E3233,1,FALSE()))),"OLD",IF(AND(E3234&lt;&gt;"",E3234&lt;&gt;"!!!"),"NEW","")))</f>
        <v> </v>
      </c>
      <c r="G3234" s="24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5" t="str">
        <f>IF(J3234&lt;&gt;1,"",IF(I3234="SBJ","CB","?"))</f>
        <v> </v>
      </c>
      <c r="I3234" s="26" t="str">
        <f>IF(OR(E3234="",E3234="!!!",F3234="NEW"),"",INDEX(B3233:B$2,-1+SUMPRODUCT(MAX(ROW(E3233:E$2)*(E3234=E3233:E$2)))))</f>
        <v> </v>
      </c>
      <c r="J3234" s="26" t="str">
        <f>IF(OR(E3234="",E3234="!!!",F3234="NEW"),"",COUNTBLANK(OFFSET(A$1,,,SUMPRODUCT(MAX(ROW(E$2:E3234)*(E3234=E$2:E3234)))))-COUNTBLANK(OFFSET(A$1,,,SUMPRODUCT(MAX(ROW(E$1:E3233)*(E2=E$1:E3233))))))</f>
        <v> </v>
      </c>
      <c r="K3234" s="26" t="str">
        <f>IF(OR(E3234="",E3234="!!!",F3234="NEW"),"",INDEX(J$1:J3233,SUMPRODUCT(MAX(ROW(E$1:E3233)*(E3234=E$1:E3233)))))</f>
        <v> </v>
      </c>
      <c r="L3234" s="27"/>
    </row>
    <row r="3235" spans="1:12">
      <c r="A3235" s="20" t="s">
        <v>1110</v>
      </c>
      <c r="B3235" s="21" t="s">
        <v>815</v>
      </c>
      <c r="C3235" s="21" t="s">
        <v>602</v>
      </c>
      <c r="D3235" s="21" t="s">
        <v>603</v>
      </c>
      <c r="E3235" s="22">
        <f>IF(D3235="?OLD","!!!","")</f>
        <v/>
      </c>
      <c r="F3235" s="23" t="str">
        <f>IF(OR(E3235="",E3235="!!!"),"",IF(NOT(ISNA(VLOOKUP(E3235,E$1:E3234,1,FALSE()))),"OLD",IF(AND(E3235&lt;&gt;"",E3235&lt;&gt;"!!!"),"NEW","")))</f>
        <v> </v>
      </c>
      <c r="G3235" s="24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5" t="str">
        <f>IF(J3235&lt;&gt;1,"",IF(I3235="SBJ","CB","?"))</f>
        <v> </v>
      </c>
      <c r="I3235" s="26" t="str">
        <f>IF(OR(E3235="",E3235="!!!",F3235="NEW"),"",INDEX(B3234:B$2,-1+SUMPRODUCT(MAX(ROW(E3234:E$2)*(E3235=E3234:E$2)))))</f>
        <v> </v>
      </c>
      <c r="J3235" s="26" t="str">
        <f>IF(OR(E3235="",E3235="!!!",F3235="NEW"),"",COUNTBLANK(OFFSET(A$1,,,SUMPRODUCT(MAX(ROW(E$2:E3235)*(E3235=E$2:E3235)))))-COUNTBLANK(OFFSET(A$1,,,SUMPRODUCT(MAX(ROW(E$1:E3234)*(E2=E$1:E3234))))))</f>
        <v> </v>
      </c>
      <c r="K3235" s="26" t="str">
        <f>IF(OR(E3235="",E3235="!!!",F3235="NEW"),"",INDEX(J$1:J3234,SUMPRODUCT(MAX(ROW(E$1:E3234)*(E3235=E$1:E3234)))))</f>
        <v> </v>
      </c>
      <c r="L3235" s="27"/>
    </row>
    <row r="3236" spans="1:12">
      <c r="A3236" s="20" t="s">
        <v>1376</v>
      </c>
      <c r="E3236" s="22">
        <f>IF(D3236="?OLD","!!!","")</f>
        <v/>
      </c>
      <c r="F3236" s="23" t="str">
        <f>IF(OR(E3236="",E3236="!!!"),"",IF(NOT(ISNA(VLOOKUP(E3236,E$1:E3235,1,FALSE()))),"OLD",IF(AND(E3236&lt;&gt;"",E3236&lt;&gt;"!!!"),"NEW","")))</f>
        <v> </v>
      </c>
      <c r="G3236" s="24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5" t="str">
        <f>IF(J3236&lt;&gt;1,"",IF(I3236="SBJ","CB","?"))</f>
        <v> </v>
      </c>
      <c r="I3236" s="26" t="str">
        <f>IF(OR(E3236="",E3236="!!!",F3236="NEW"),"",INDEX(B3235:B$2,-1+SUMPRODUCT(MAX(ROW(E3235:E$2)*(E3236=E3235:E$2)))))</f>
        <v> </v>
      </c>
      <c r="J3236" s="26" t="str">
        <f>IF(OR(E3236="",E3236="!!!",F3236="NEW"),"",COUNTBLANK(OFFSET(A$1,,,SUMPRODUCT(MAX(ROW(E$2:E3236)*(E3236=E$2:E3236)))))-COUNTBLANK(OFFSET(A$1,,,SUMPRODUCT(MAX(ROW(E$1:E3235)*(E2=E$1:E3235))))))</f>
        <v> </v>
      </c>
      <c r="K3236" s="26" t="str">
        <f>IF(OR(E3236="",E3236="!!!",F3236="NEW"),"",INDEX(J$1:J3235,SUMPRODUCT(MAX(ROW(E$1:E3235)*(E3236=E$1:E3235)))))</f>
        <v> </v>
      </c>
      <c r="L3236" s="27"/>
    </row>
    <row r="3237" spans="1:12">
      <c r="A3237" s="20" t="s">
        <v>633</v>
      </c>
      <c r="E3237" s="22">
        <f>IF(D3237="?OLD","!!!","")</f>
        <v/>
      </c>
      <c r="F3237" s="23" t="str">
        <f>IF(OR(E3237="",E3237="!!!"),"",IF(NOT(ISNA(VLOOKUP(E3237,E$1:E3236,1,FALSE()))),"OLD",IF(AND(E3237&lt;&gt;"",E3237&lt;&gt;"!!!"),"NEW","")))</f>
        <v> </v>
      </c>
      <c r="G3237" s="24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5" t="str">
        <f>IF(J3237&lt;&gt;1,"",IF(I3237="SBJ","CB","?"))</f>
        <v> </v>
      </c>
      <c r="I3237" s="26" t="str">
        <f>IF(OR(E3237="",E3237="!!!",F3237="NEW"),"",INDEX(B3236:B$2,-1+SUMPRODUCT(MAX(ROW(E3236:E$2)*(E3237=E3236:E$2)))))</f>
        <v> </v>
      </c>
      <c r="J3237" s="26" t="str">
        <f>IF(OR(E3237="",E3237="!!!",F3237="NEW"),"",COUNTBLANK(OFFSET(A$1,,,SUMPRODUCT(MAX(ROW(E$2:E3237)*(E3237=E$2:E3237)))))-COUNTBLANK(OFFSET(A$1,,,SUMPRODUCT(MAX(ROW(E$1:E3236)*(E2=E$1:E3236))))))</f>
        <v> </v>
      </c>
      <c r="K3237" s="26" t="str">
        <f>IF(OR(E3237="",E3237="!!!",F3237="NEW"),"",INDEX(J$1:J3236,SUMPRODUCT(MAX(ROW(E$1:E3236)*(E3237=E$1:E3236)))))</f>
        <v> </v>
      </c>
      <c r="L3237" s="27"/>
    </row>
    <row r="3238" spans="1:12">
      <c r="A3238" s="20"/>
    </row>
    <row r="3239" spans="1:12">
      <c r="A3239" s="20" t="s">
        <v>2086</v>
      </c>
    </row>
    <row r="3240" spans="1:12">
      <c r="A3240" s="20" t="s">
        <v>2087</v>
      </c>
      <c r="E3240" s="22">
        <f>IF(D3240="?OLD","!!!","")</f>
        <v/>
      </c>
      <c r="F3240" s="23" t="str">
        <f>IF(OR(E3240="",E3240="!!!"),"",IF(NOT(ISNA(VLOOKUP(E3240,E$1:E3239,1,FALSE()))),"OLD",IF(AND(E3240&lt;&gt;"",E3240&lt;&gt;"!!!"),"NEW","")))</f>
        <v> </v>
      </c>
      <c r="G3240" s="24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5" t="str">
        <f>IF(J3240&lt;&gt;1,"",IF(I3240="SBJ","CB","?"))</f>
        <v> </v>
      </c>
      <c r="I3240" s="26" t="str">
        <f>IF(OR(E3240="",E3240="!!!",F3240="NEW"),"",INDEX(B3239:B$2,-1+SUMPRODUCT(MAX(ROW(E3239:E$2)*(E3240=E3239:E$2)))))</f>
        <v> </v>
      </c>
      <c r="J3240" s="26" t="str">
        <f>IF(OR(E3240="",E3240="!!!",F3240="NEW"),"",COUNTBLANK(OFFSET(A$1,,,SUMPRODUCT(MAX(ROW(E$2:E3240)*(E3240=E$2:E3240)))))-COUNTBLANK(OFFSET(A$1,,,SUMPRODUCT(MAX(ROW(E$1:E3239)*(E2=E$1:E3239))))))</f>
        <v> </v>
      </c>
      <c r="K3240" s="26" t="str">
        <f>IF(OR(E3240="",E3240="!!!",F3240="NEW"),"",INDEX(J$1:J3239,SUMPRODUCT(MAX(ROW(E$1:E3239)*(E3240=E$1:E3239)))))</f>
        <v> </v>
      </c>
      <c r="L3240" s="27"/>
    </row>
    <row r="3241" spans="1:12">
      <c r="A3241" s="20" t="s">
        <v>1756</v>
      </c>
      <c r="B3241" s="21" t="s">
        <v>652</v>
      </c>
      <c r="C3241" s="21" t="s">
        <v>602</v>
      </c>
      <c r="D3241" s="21" t="s">
        <v>603</v>
      </c>
      <c r="E3241" s="22">
        <f>IF(D3241="?OLD","!!!","")</f>
        <v/>
      </c>
      <c r="F3241" s="23" t="str">
        <f>IF(OR(E3241="",E3241="!!!"),"",IF(NOT(ISNA(VLOOKUP(E3241,E$1:E3240,1,FALSE()))),"OLD",IF(AND(E3241&lt;&gt;"",E3241&lt;&gt;"!!!"),"NEW","")))</f>
        <v> </v>
      </c>
      <c r="G3241" s="24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5" t="str">
        <f>IF(J3241&lt;&gt;1,"",IF(I3241="SBJ","CB","?"))</f>
        <v> </v>
      </c>
      <c r="I3241" s="26" t="str">
        <f>IF(OR(E3241="",E3241="!!!",F3241="NEW"),"",INDEX(B3240:B$2,-1+SUMPRODUCT(MAX(ROW(E3240:E$2)*(E3241=E3240:E$2)))))</f>
        <v> </v>
      </c>
      <c r="J3241" s="26" t="str">
        <f>IF(OR(E3241="",E3241="!!!",F3241="NEW"),"",COUNTBLANK(OFFSET(A$1,,,SUMPRODUCT(MAX(ROW(E$2:E3241)*(E3241=E$2:E3241)))))-COUNTBLANK(OFFSET(A$1,,,SUMPRODUCT(MAX(ROW(E$1:E3240)*(E2=E$1:E3240))))))</f>
        <v> </v>
      </c>
      <c r="K3241" s="26" t="str">
        <f>IF(OR(E3241="",E3241="!!!",F3241="NEW"),"",INDEX(J$1:J3240,SUMPRODUCT(MAX(ROW(E$1:E3240)*(E3241=E$1:E3240)))))</f>
        <v> </v>
      </c>
      <c r="L3241" s="27"/>
    </row>
    <row r="3242" spans="1:12">
      <c r="A3242" s="20" t="s">
        <v>633</v>
      </c>
      <c r="E3242" s="22">
        <f>IF(D3242="?OLD","!!!","")</f>
        <v/>
      </c>
      <c r="F3242" s="23" t="str">
        <f>IF(OR(E3242="",E3242="!!!"),"",IF(NOT(ISNA(VLOOKUP(E3242,E$1:E3241,1,FALSE()))),"OLD",IF(AND(E3242&lt;&gt;"",E3242&lt;&gt;"!!!"),"NEW","")))</f>
        <v> </v>
      </c>
      <c r="G3242" s="24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5" t="str">
        <f>IF(J3242&lt;&gt;1,"",IF(I3242="SBJ","CB","?"))</f>
        <v> </v>
      </c>
      <c r="I3242" s="26" t="str">
        <f>IF(OR(E3242="",E3242="!!!",F3242="NEW"),"",INDEX(B3241:B$2,-1+SUMPRODUCT(MAX(ROW(E3241:E$2)*(E3242=E3241:E$2)))))</f>
        <v> </v>
      </c>
      <c r="J3242" s="26" t="str">
        <f>IF(OR(E3242="",E3242="!!!",F3242="NEW"),"",COUNTBLANK(OFFSET(A$1,,,SUMPRODUCT(MAX(ROW(E$2:E3242)*(E3242=E$2:E3242)))))-COUNTBLANK(OFFSET(A$1,,,SUMPRODUCT(MAX(ROW(E$1:E3241)*(E2=E$1:E3241))))))</f>
        <v> </v>
      </c>
      <c r="K3242" s="26" t="str">
        <f>IF(OR(E3242="",E3242="!!!",F3242="NEW"),"",INDEX(J$1:J3241,SUMPRODUCT(MAX(ROW(E$1:E3241)*(E3242=E$1:E3241)))))</f>
        <v> </v>
      </c>
      <c r="L3242" s="27"/>
    </row>
    <row r="3243" spans="1:12">
      <c r="A324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2024-12-05T18:03:23Z</dcterms:created>
  <dcterms:modified xsi:type="dcterms:W3CDTF">2024-12-05T18:03:23Z</dcterms:modified>
</cp:coreProperties>
</file>