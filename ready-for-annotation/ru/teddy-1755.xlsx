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<sst xmlns="http://schemas.openxmlformats.org/spreadsheetml/2006/main" count="5918" uniqueCount="2068">
  <si>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</si>
  <si>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</si>
  <si>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</si>
  <si>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</si>
  <si>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</si>
  <si>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</si>
  <si>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</si>
  <si>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</si>
  <si>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</si>
  <si>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</si>
  <si>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</si>
  <si>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</si>
  <si>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</si>
  <si>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видео</t>
  </si>
  <si>
    <t>( Видео ) Николас Негропонте : Можем переключить на видеодиск , который уже в режиме проигрывания ?</t>
  </si>
  <si>
    <t>file://conllu/ru/teddy-1755.conllu#s1_0</t>
  </si>
  <si>
    <t>3</t>
  </si>
  <si>
    <t>интересный</t>
  </si>
  <si>
    <t>Мне по-настоящему интересно , как взаимодействуют люди и компьютеры .</t>
  </si>
  <si>
    <t>file://conllu/ru/teddy-1755.conllu#s2_0</t>
  </si>
  <si>
    <t>6</t>
  </si>
  <si>
    <t>пользоваться</t>
  </si>
  <si>
    <t>Вскоре в будущем мы будем пользоваться ТВ экранами или их эквивалентом для чтения электронных книг .</t>
  </si>
  <si>
    <t>file://conllu/ru/teddy-1755.conllu#s3_0</t>
  </si>
  <si>
    <t>4</t>
  </si>
  <si>
    <t>музыка</t>
  </si>
  <si>
    <t>( Музыка , разговоры )</t>
  </si>
  <si>
    <t>file://conllu/ru/teddy-1755.conllu#s4_0</t>
  </si>
  <si>
    <t>5</t>
  </si>
  <si>
    <t>В сенсорных высокотехнологичных дисплеях интересно то , что можно на них работать , не отрывая пальцев .</t>
  </si>
  <si>
    <t>file://conllu/ru/teddy-1755.conllu#s5_0</t>
  </si>
  <si>
    <t>быть</t>
  </si>
  <si>
    <t>Есть и другой вариант , когда компьютеры физически расположены на человеке .</t>
  </si>
  <si>
    <t>file://conllu/ru/teddy-1755.conllu#s6_0</t>
  </si>
  <si>
    <t>7</t>
  </si>
  <si>
    <t>стать</t>
  </si>
  <si>
    <t>Внезапно 11-го сентября мир стал шире .</t>
  </si>
  <si>
    <t>file://conllu/ru/teddy-1755.conllu#s7_0</t>
  </si>
  <si>
    <t>8</t>
  </si>
  <si>
    <t>Нн</t>
  </si>
  <si>
    <t>НН : Спасибо .</t>
  </si>
  <si>
    <t>file://conllu/ru/teddy-1755.conllu#s8_0</t>
  </si>
  <si>
    <t>9</t>
  </si>
  <si>
    <t>аплодисменты</t>
  </si>
  <si>
    <t>( Аплодисменты ) Спасибо .</t>
  </si>
  <si>
    <t>file://conllu/ru/teddy-1755.conllu#s9_0</t>
  </si>
  <si>
    <t>10</t>
  </si>
  <si>
    <t>просить (просить просить)</t>
  </si>
  <si>
    <t>Когда меня попросили выступить с речью , меня также попросили просмотреть все мои 14 выступлений на TED , в хронологическом порядке .</t>
  </si>
  <si>
    <t>file://conllu/ru/teddy-1755.conllu#s10_0</t>
  </si>
  <si>
    <t>11</t>
  </si>
  <si>
    <t>длиться</t>
  </si>
  <si>
    <t>Первое длилось 2 часа .</t>
  </si>
  <si>
    <t>file://conllu/ru/teddy-1755.conllu#s11_0</t>
  </si>
  <si>
    <t>12</t>
  </si>
  <si>
    <t>час</t>
  </si>
  <si>
    <t>Второе — час , а затем остальные — по пол часа , и всё , что я заметил , это как моя лысина увеличивается .</t>
  </si>
  <si>
    <t>file://conllu/ru/teddy-1755.conllu#s12_0</t>
  </si>
  <si>
    <t>13</t>
  </si>
  <si>
    <t>представить</t>
  </si>
  <si>
    <t>( Смех ) Представьте увидеть свою жизнь , 30 её лет , прошедшей перед глазами .</t>
  </si>
  <si>
    <t>file://conllu/ru/teddy-1755.conllu#s13_0</t>
  </si>
  <si>
    <t>14</t>
  </si>
  <si>
    <t>быть (быть шокируюстый)</t>
  </si>
  <si>
    <t>Для меня , по крайней мере , это было шокирующе .</t>
  </si>
  <si>
    <t>file://conllu/ru/teddy-1755.conllu#s14_0</t>
  </si>
  <si>
    <t>15</t>
  </si>
  <si>
    <t>пытаться</t>
  </si>
  <si>
    <t>В моём выступлении я попытаюсь поделить с вами тем , что произошло за эти 30 лет , а затем сделаю предсказание и немного расскажу вам , что я делаю дальше .</t>
  </si>
  <si>
    <t>file://conllu/ru/teddy-1755.conllu#s15_0</t>
  </si>
  <si>
    <t>16</t>
  </si>
  <si>
    <t>слайд</t>
  </si>
  <si>
    <t>На слайде первый TED в моей жизни .</t>
  </si>
  <si>
    <t>file://conllu/ru/teddy-1755.conllu#s16_0</t>
  </si>
  <si>
    <t>17</t>
  </si>
  <si>
    <t>важный</t>
  </si>
  <si>
    <t>Он настолько же важен , ведь до него я провёл 15 лет в исследованиях , у меня был тыл , так что выступить было просто .</t>
  </si>
  <si>
    <t>file://conllu/ru/teddy-1755.conllu#s17_0</t>
  </si>
  <si>
    <t>18</t>
  </si>
  <si>
    <t>то</t>
  </si>
  <si>
    <t>Не то чтобы я был Фидель Кастро и мог говорить 2 часа подряд , или Баки Фуллер .</t>
  </si>
  <si>
    <t>file://conllu/ru/teddy-1755.conllu#s18_0</t>
  </si>
  <si>
    <t>19</t>
  </si>
  <si>
    <t>У меня было 15 лет материала и Media Lab , готовая к открытию .</t>
  </si>
  <si>
    <t>file://conllu/ru/teddy-1755.conllu#s19_0</t>
  </si>
  <si>
    <t>20</t>
  </si>
  <si>
    <t>быть (быть легкий)</t>
  </si>
  <si>
    <t>Так что было легко .</t>
  </si>
  <si>
    <t>file://conllu/ru/teddy-1755.conllu#s20_0</t>
  </si>
  <si>
    <t>21</t>
  </si>
  <si>
    <t>Но есть кое-что об этом периоде и произошедшем , что действительно важно .</t>
  </si>
  <si>
    <t>file://conllu/ru/teddy-1755.conllu#s21_0</t>
  </si>
  <si>
    <t>22</t>
  </si>
  <si>
    <t>первый</t>
  </si>
  <si>
    <t>Первое : это был период , когда компьютеры ещё не были для людей .</t>
  </si>
  <si>
    <t>file://conllu/ru/teddy-1755.conllu#s22_0</t>
  </si>
  <si>
    <t>23</t>
  </si>
  <si>
    <t>другой</t>
  </si>
  <si>
    <t>А другое , происходящее в этот период : нас считали изнеженными компьютерными учёными .</t>
  </si>
  <si>
    <t>file://conllu/ru/teddy-1755.conllu#s23_0</t>
  </si>
  <si>
    <t>24</t>
  </si>
  <si>
    <t>серьезный</t>
  </si>
  <si>
    <t>Вроде как не серьёзные .</t>
  </si>
  <si>
    <t>file://conllu/ru/teddy-1755.conllu#s24_0</t>
  </si>
  <si>
    <t>25</t>
  </si>
  <si>
    <t>показать</t>
  </si>
  <si>
    <t>Я покажу вам , в ретроспективе , более интересное и более принятое , чем оно было в то время .</t>
  </si>
  <si>
    <t>file://conllu/ru/teddy-1755.conllu#s25_0</t>
  </si>
  <si>
    <t>26</t>
  </si>
  <si>
    <t>год</t>
  </si>
  <si>
    <t>Я охарактеризую годы и даже вернусь в прошлое к своей самой ранней работе .</t>
  </si>
  <si>
    <t>file://conllu/ru/teddy-1755.conllu#s26_0</t>
  </si>
  <si>
    <t>27</t>
  </si>
  <si>
    <t>Это то , чем я занимался в 60-е : весьма прямое манипулирование , под сильным влиянием , пока изучал архитектуру архитектора Моше Сафди .</t>
  </si>
  <si>
    <t>file://conllu/ru/teddy-1755.conllu#s27_0</t>
  </si>
  <si>
    <t>28</t>
  </si>
  <si>
    <t>мочь</t>
  </si>
  <si>
    <t>Можете видеть , что мы даже создали роботизированные штуки , способные строить структуры типа среды обитания .</t>
  </si>
  <si>
    <t>file://conllu/ru/teddy-1755.conllu#s28_0</t>
  </si>
  <si>
    <t>29</t>
  </si>
  <si>
    <t>быть (быть Media)</t>
  </si>
  <si>
    <t>Для меня это было ещё не Media Lab , но начало того , что я называл сенсорных технологий .</t>
  </si>
  <si>
    <t>file://conllu/ru/teddy-1755.conllu#s29_0</t>
  </si>
  <si>
    <t>30</t>
  </si>
  <si>
    <t>выбрать</t>
  </si>
  <si>
    <t>Я выбрал пальцы частично потом , что все считали это нелепым .</t>
  </si>
  <si>
    <t>file://conllu/ru/teddy-1755.conllu#s30_0</t>
  </si>
  <si>
    <t>31</t>
  </si>
  <si>
    <t>опубликовать</t>
  </si>
  <si>
    <t>Были опубликованы статьи о том , как глупо использовать пальцы .</t>
  </si>
  <si>
    <t>file://conllu/ru/teddy-1755.conllu#s31_0</t>
  </si>
  <si>
    <t>32</t>
  </si>
  <si>
    <t>причина</t>
  </si>
  <si>
    <t>3 причины : первая — у них низкое разрешение , вторая — рука будет заграждать то , на что смотришь , и третья , моя любимая причина , — пальцы будут пачкать экран , следовательно , пальцы никогда не станут средством для манипуляций .</t>
  </si>
  <si>
    <t>file://conllu/ru/teddy-1755.conllu#s32_0</t>
  </si>
  <si>
    <t>33</t>
  </si>
  <si>
    <t>устройство</t>
  </si>
  <si>
    <t>Это — устройство , созданное нами в 70-х , который никогда даже не был выбран .</t>
  </si>
  <si>
    <t>file://conllu/ru/teddy-1755.conllu#s33_0</t>
  </si>
  <si>
    <t>34</t>
  </si>
  <si>
    <t>сенсорный</t>
  </si>
  <si>
    <t>Он не просто сенсорно чувствителен , но и чувствителен к давлению .</t>
  </si>
  <si>
    <t>file://conllu/ru/teddy-1755.conllu#s34_0</t>
  </si>
  <si>
    <t>35</t>
  </si>
  <si>
    <t>голос</t>
  </si>
  <si>
    <t>( Видео ) Голос : Жёлтый круг , там .</t>
  </si>
  <si>
    <t>file://conllu/ru/teddy-1755.conllu#s35_0</t>
  </si>
  <si>
    <t>36</t>
  </si>
  <si>
    <t>НН : Более поздняя работа , и опять же , до TED1 , — ( Видео ) Голос : Сдвинь его налево от ромба .</t>
  </si>
  <si>
    <t>file://conllu/ru/teddy-1755.conllu#s36_0</t>
  </si>
  <si>
    <t>37</t>
  </si>
  <si>
    <t>там</t>
  </si>
  <si>
    <t>Создай там большой зелёный круг .</t>
  </si>
  <si>
    <t>file://conllu/ru/teddy-1755.conllu#s37_0</t>
  </si>
  <si>
    <t>38</t>
  </si>
  <si>
    <t>мужчина</t>
  </si>
  <si>
    <t>Мужчина : Ах , чёрт возьми !</t>
  </si>
  <si>
    <t>file://conllu/ru/teddy-1755.conllu#s38_0</t>
  </si>
  <si>
    <t>39</t>
  </si>
  <si>
    <t>НН :</t>
  </si>
  <si>
    <t>file://conllu/ru/teddy-1755.conllu#s39_0</t>
  </si>
  <si>
    <t>40</t>
  </si>
  <si>
    <t>предназначить</t>
  </si>
  <si>
    <t>Это предназначено для параллельного интерфейса , то есть когда говоришь и показываешь , то есть было , если желаете , множество каналов .</t>
  </si>
  <si>
    <t>file://conllu/ru/teddy-1755.conllu#s40_0</t>
  </si>
  <si>
    <t>41</t>
  </si>
  <si>
    <t>случиться</t>
  </si>
  <si>
    <t>Затем случился Энтеббе .</t>
  </si>
  <si>
    <t>file://conllu/ru/teddy-1755.conllu#s41_0</t>
  </si>
  <si>
    <t>42</t>
  </si>
  <si>
    <t>1976 год .</t>
  </si>
  <si>
    <t>file://conllu/ru/teddy-1755.conllu#s42_0</t>
  </si>
  <si>
    <t>43</t>
  </si>
  <si>
    <t>Потому?</t>
  </si>
  <si>
    <t>угнать</t>
  </si>
  <si>
    <t>Самолёт Air France был угнан , транспортирован в Энтеббе , и израильтяне не просто провели выдающуюся спасательную операцию , они сделали это частично потому , что практиковались на физической модели аэропорта .</t>
  </si>
  <si>
    <t>file://conllu/ru/teddy-1755.conllu#s43_0</t>
  </si>
  <si>
    <t>44</t>
  </si>
  <si>
    <t>создать</t>
  </si>
  <si>
    <t>Так как они построили аэропорт , они создали модель в пустыне , а когда прибыли в Энтеббе , то знали куда идти , ибо , по сути , были там .</t>
  </si>
  <si>
    <t>file://conllu/ru/teddy-1755.conllu#s44_0</t>
  </si>
  <si>
    <t>45</t>
  </si>
  <si>
    <t>ответить (ответить просить)</t>
  </si>
  <si>
    <t>Правительство США попросило некоторых из нас , 1976 год , могли ли мы повторить это в вычислительном смысле , и , конечно , некоторые , вроде меня , ответили да .</t>
  </si>
  <si>
    <t>file://conllu/ru/teddy-1755.conllu#s45_0</t>
  </si>
  <si>
    <t>46</t>
  </si>
  <si>
    <t>мгновенно</t>
  </si>
  <si>
    <t>Мгновенно у нас на руках контракт с Министерством Обороны , и мы создаём этот грузовик и прицеп .</t>
  </si>
  <si>
    <t>file://conllu/ru/teddy-1755.conllu#s46_0</t>
  </si>
  <si>
    <t>47</t>
  </si>
  <si>
    <t>Мы создали своего рода симуляцию , ведь были видео-диски , и , опять же , это был 76-й год .</t>
  </si>
  <si>
    <t>file://conllu/ru/teddy-1755.conllu#s47_0</t>
  </si>
  <si>
    <t>48</t>
  </si>
  <si>
    <t>затем</t>
  </si>
  <si>
    <t>А затем , годами позднее , вот этот грузовик и Google Maps .</t>
  </si>
  <si>
    <t>file://conllu/ru/teddy-1755.conllu#s48_0</t>
  </si>
  <si>
    <t>49</t>
  </si>
  <si>
    <t>думать</t>
  </si>
  <si>
    <t>Люди всё ещё думали : нет , это не серьёзная компьютерная наука .</t>
  </si>
  <si>
    <t>file://conllu/ru/teddy-1755.conllu#s49_0</t>
  </si>
  <si>
    <t>50</t>
  </si>
  <si>
    <t>И был такой человек по имени Джерри Вейснер , — к слову , президент MIT — который считал это компьютерной наукой .</t>
  </si>
  <si>
    <t>file://conllu/ru/teddy-1755.conllu#s50_0</t>
  </si>
  <si>
    <t>51</t>
  </si>
  <si>
    <t>один</t>
  </si>
  <si>
    <t>Одним из законов для любого , кто в жизни хочет что-то начать : убедись , что твой президент в деле .</t>
  </si>
  <si>
    <t>file://conllu/ru/teddy-1755.conllu#s51_0</t>
  </si>
  <si>
    <t>52</t>
  </si>
  <si>
    <t>Пока?</t>
  </si>
  <si>
    <t>заниматься</t>
  </si>
  <si>
    <t>Так что , пока я занимался Media Lab , как будто горилла за рулём .</t>
  </si>
  <si>
    <t>file://conllu/ru/teddy-1755.conllu#s52_0</t>
  </si>
  <si>
    <t>53</t>
  </si>
  <si>
    <t>заглянуть</t>
  </si>
  <si>
    <t>Если бы вас остановили за превышение скорости , полицейский заглянул бы в окно , увидел бы , кто сидит на переднем сидении , и такой :</t>
  </si>
  <si>
    <t>file://conllu/ru/teddy-1755.conllu#s53_0</t>
  </si>
  <si>
    <t>54</t>
  </si>
  <si>
    <t>«о</t>
  </si>
  <si>
    <t>«О , езжайте , сэр» .</t>
  </si>
  <si>
    <t>file://conllu/ru/teddy-1755.conllu#s54_0</t>
  </si>
  <si>
    <t>55</t>
  </si>
  <si>
    <t>сойти</t>
  </si>
  <si>
    <t>У нас это сошло с рук .</t>
  </si>
  <si>
    <t>file://conllu/ru/teddy-1755.conllu#s55_0</t>
  </si>
  <si>
    <t>56</t>
  </si>
  <si>
    <t>И это миленькое устройство , между прочим .</t>
  </si>
  <si>
    <t>file://conllu/ru/teddy-1755.conllu#s56_0</t>
  </si>
  <si>
    <t>57</t>
  </si>
  <si>
    <t>фотография</t>
  </si>
  <si>
    <t>Это линзовидная фотография Джерри Вайснера , где единственным объектом , который меняется , являются губы .</t>
  </si>
  <si>
    <t>file://conllu/ru/teddy-1755.conllu#s57_0</t>
  </si>
  <si>
    <t>58</t>
  </si>
  <si>
    <t>синхронизироваться</t>
  </si>
  <si>
    <t>Когда двигаешь эту часть лентикулярного листа его фотографии , она будет синхронизироваться с губами с нулевой пропускной способностью .</t>
  </si>
  <si>
    <t>file://conllu/ru/teddy-1755.conllu#s58_0</t>
  </si>
  <si>
    <t>59</t>
  </si>
  <si>
    <t>В то время это была конференц- связь Это было в Media Lab — то , что мы намеревались создать , что в мире компьютеров , издательств , и тому подобных сложится воедино .</t>
  </si>
  <si>
    <t>file://conllu/ru/teddy-1755.conllu#s59_0</t>
  </si>
  <si>
    <t>60</t>
  </si>
  <si>
    <t>принять</t>
  </si>
  <si>
    <t>Опять же , не принято единодушно , но большей частью сообщества TED ранних лет .</t>
  </si>
  <si>
    <t>file://conllu/ru/teddy-1755.conllu#s60_0</t>
  </si>
  <si>
    <t>61</t>
  </si>
  <si>
    <t>быть (быть цель)</t>
  </si>
  <si>
    <t>А это и было нашей целью .</t>
  </si>
  <si>
    <t>file://conllu/ru/teddy-1755.conllu#s61_0</t>
  </si>
  <si>
    <t>62</t>
  </si>
  <si>
    <t>И это создало Media Lab .</t>
  </si>
  <si>
    <t>file://conllu/ru/teddy-1755.conllu#s62_0</t>
  </si>
  <si>
    <t>63</t>
  </si>
  <si>
    <t>И из-за моего возраста могу сказать с полной уверенностью : я был в будущем .</t>
  </si>
  <si>
    <t>file://conllu/ru/teddy-1755.conllu#s63_0</t>
  </si>
  <si>
    <t>64</t>
  </si>
  <si>
    <t>быть (быть там)</t>
  </si>
  <si>
    <t>По факту , несколько раз я был там .</t>
  </si>
  <si>
    <t>file://conllu/ru/teddy-1755.conllu#s64_0</t>
  </si>
  <si>
    <t>65</t>
  </si>
  <si>
    <t>И причина тому , что множество раз в жизни я говорил : «О , через 10 лет это произойдёт» , а потом 10 лет проходили .</t>
  </si>
  <si>
    <t>file://conllu/ru/teddy-1755.conllu#s65_0</t>
  </si>
  <si>
    <t>66</t>
  </si>
  <si>
    <t>говорить</t>
  </si>
  <si>
    <t>И ты говоришь : «О , через 5 лет произойдёт» .</t>
  </si>
  <si>
    <t>file://conllu/ru/teddy-1755.conllu#s66_0</t>
  </si>
  <si>
    <t>67</t>
  </si>
  <si>
    <t>проходить</t>
  </si>
  <si>
    <t>И 5 лет проходило .</t>
  </si>
  <si>
    <t>file://conllu/ru/teddy-1755.conllu#s67_0</t>
  </si>
  <si>
    <t>68</t>
  </si>
  <si>
    <t>Я говорю это с некоторым чувством , что был в будущем несколько раз .</t>
  </si>
  <si>
    <t>file://conllu/ru/teddy-1755.conllu#s68_0</t>
  </si>
  <si>
    <t>69</t>
  </si>
  <si>
    <t>цитируемай</t>
  </si>
  <si>
    <t>Самая цитируемая сказанная мной фраза — информационные технологии не о компьютерах — поначалу не получила резонанса , а затем — да , потому как люди уловили , что средство подачи информации не было главным .</t>
  </si>
  <si>
    <t>file://conllu/ru/teddy-1755.conllu#s69_0</t>
  </si>
  <si>
    <t>70</t>
  </si>
  <si>
    <t>показывать</t>
  </si>
  <si>
    <t>Я показываю этот автомобиль с несколько неказистом слайде , чтобы , опять же , рассказать вам историю , немного иллюстрирующую мою жизнь .</t>
  </si>
  <si>
    <t>file://conllu/ru/teddy-1755.conllu#s70_0</t>
  </si>
  <si>
    <t>71</t>
  </si>
  <si>
    <t>работа</t>
  </si>
  <si>
    <t>Это — работа моего студента , защитившего диссертацию «Водитель на заднем сидении» .</t>
  </si>
  <si>
    <t>file://conllu/ru/teddy-1755.conllu#s71_0</t>
  </si>
  <si>
    <t>72</t>
  </si>
  <si>
    <t>Это случилось на расцвете GPS , автомобиль имел данные о своём нахождении и мог передать голосовые инструкции водителю : когда повернуть направо , когда налево и так далее .</t>
  </si>
  <si>
    <t>file://conllu/ru/teddy-1755.conllu#s72_0</t>
  </si>
  <si>
    <t>73</t>
  </si>
  <si>
    <t>оказаться</t>
  </si>
  <si>
    <t>Оказалось , что многое в инструкциях того периода было довольно сложным , например , что значит «поверните направо на следующем повороте» ?</t>
  </si>
  <si>
    <t>file://conllu/ru/teddy-1755.conllu#s73_0</t>
  </si>
  <si>
    <t>74</t>
  </si>
  <si>
    <t>она</t>
  </si>
  <si>
    <t>Если подъезжаешь к улице , то следующий поворот направо , должно быть , после неё .</t>
  </si>
  <si>
    <t>file://conllu/ru/teddy-1755.conllu#s74_0</t>
  </si>
  <si>
    <t>75</t>
  </si>
  <si>
    <t>много</t>
  </si>
  <si>
    <t>И много там таких проблем .</t>
  </si>
  <si>
    <t>file://conllu/ru/teddy-1755.conllu#s75_0</t>
  </si>
  <si>
    <t>76</t>
  </si>
  <si>
    <t>защитить</t>
  </si>
  <si>
    <t>Студент защитил отличную диссертацию , а бюро патентов MIT сказало : «Не патентуй .</t>
  </si>
  <si>
    <t>file://conllu/ru/teddy-1755.conllu#s76_0</t>
  </si>
  <si>
    <t>77</t>
  </si>
  <si>
    <t>Такой патент никогда не примут .</t>
  </si>
  <si>
    <t>file://conllu/ru/teddy-1755.conllu#s77_0</t>
  </si>
  <si>
    <t>78</t>
  </si>
  <si>
    <t>большой</t>
  </si>
  <si>
    <t>Обязательства слишком большие .</t>
  </si>
  <si>
    <t>file://conllu/ru/teddy-1755.conllu#s78_0</t>
  </si>
  <si>
    <t>79</t>
  </si>
  <si>
    <t>Будут проблемы со страховкой .</t>
  </si>
  <si>
    <t>file://conllu/ru/teddy-1755.conllu#s79_0</t>
  </si>
  <si>
    <t>80</t>
  </si>
  <si>
    <t>патентуй»</t>
  </si>
  <si>
    <t>Не патентуй» .</t>
  </si>
  <si>
    <t>file://conllu/ru/teddy-1755.conllu#s80_0</t>
  </si>
  <si>
    <t>81</t>
  </si>
  <si>
    <t>И мы не стали .</t>
  </si>
  <si>
    <t>file://conllu/ru/teddy-1755.conllu#s81_0</t>
  </si>
  <si>
    <t>82</t>
  </si>
  <si>
    <t>видеть (видеть показывать)</t>
  </si>
  <si>
    <t>Но это показывает , как люди иногда не видят происходящего .</t>
  </si>
  <si>
    <t>file://conllu/ru/teddy-1755.conllu#s82_0</t>
  </si>
  <si>
    <t>83</t>
  </si>
  <si>
    <t>Некоторые работы — быстренько пробегусь — различные сенсорные устройства .</t>
  </si>
  <si>
    <t>file://conllu/ru/teddy-1755.conllu#s83_0</t>
  </si>
  <si>
    <t>84</t>
  </si>
  <si>
    <t>Можете узнать тут молодого Йо-Йо Ма и проследить за его движениями , как он играет на виолончели или гипер виолончели .</t>
  </si>
  <si>
    <t>file://conllu/ru/teddy-1755.conllu#s84_0</t>
  </si>
  <si>
    <t>85</t>
  </si>
  <si>
    <t>ходить</t>
  </si>
  <si>
    <t>Так парни и ходили в то время .</t>
  </si>
  <si>
    <t>file://conllu/ru/teddy-1755.conllu#s85_0</t>
  </si>
  <si>
    <t>86</t>
  </si>
  <si>
    <t>опрятный</t>
  </si>
  <si>
    <t>Теперь это немного опрятнее и общепринято .</t>
  </si>
  <si>
    <t>file://conllu/ru/teddy-1755.conllu#s86_0</t>
  </si>
  <si>
    <t>87</t>
  </si>
  <si>
    <t>упомянуть (упомянуть хотеть)</t>
  </si>
  <si>
    <t>Хочу быстро упомянуть трёх героев .</t>
  </si>
  <si>
    <t>file://conllu/ru/teddy-1755.conllu#s87_0</t>
  </si>
  <si>
    <t>88</t>
  </si>
  <si>
    <t>Марвин</t>
  </si>
  <si>
    <t>Марвин Минский , многому научивший меня о здравом смысле .</t>
  </si>
  <si>
    <t>file://conllu/ru/teddy-1755.conllu#s88_0</t>
  </si>
  <si>
    <t>89</t>
  </si>
  <si>
    <t>сказать</t>
  </si>
  <si>
    <t>Коротко скажу о Мюриэле Купере имевшей важное значение для Рикки Вурмана , да и для TED , и когда она поднялась на сцену , первое , что она сказала , было : «Я познакомила Рикки с Никки» .</t>
  </si>
  <si>
    <t>file://conllu/ru/teddy-1755.conllu#s89_0</t>
  </si>
  <si>
    <t>90</t>
  </si>
  <si>
    <t>зоть</t>
  </si>
  <si>
    <t>А никто меня не зовёт Никки , а Ричарда — Рикки , так что никто не знал , о ком она говорила .</t>
  </si>
  <si>
    <t>file://conllu/ru/teddy-1755.conllu#s90_0</t>
  </si>
  <si>
    <t>91</t>
  </si>
  <si>
    <t>Сеймур</t>
  </si>
  <si>
    <t>И , конечно же , Сеймур Пейперт — человек , сказавший : «Нельзя думать о мышлении , если только не думаешь о мышлении о чём-то» .</t>
  </si>
  <si>
    <t>file://conllu/ru/teddy-1755.conllu#s91_0</t>
  </si>
  <si>
    <t>92</t>
  </si>
  <si>
    <t>Можете поразмышлять над этим позднее — весьма глубокое утверждение .</t>
  </si>
  <si>
    <t>file://conllu/ru/teddy-1755.conllu#s92_0</t>
  </si>
  <si>
    <t>93</t>
  </si>
  <si>
    <t>Я показываю некоторые слайды с TED 2 , возможно , немного глуповатые .</t>
  </si>
  <si>
    <t>file://conllu/ru/teddy-1755.conllu#s93_0</t>
  </si>
  <si>
    <t>94</t>
  </si>
  <si>
    <t>Тогда я думал , что смысл телевидения в отображении .</t>
  </si>
  <si>
    <t>file://conllu/ru/teddy-1755.conllu#s94_0</t>
  </si>
  <si>
    <t>95</t>
  </si>
  <si>
    <t>пройти</t>
  </si>
  <si>
    <t>Теперь мы прошли TED 1 и где-то во временах TED 2 .</t>
  </si>
  <si>
    <t>file://conllu/ru/teddy-1755.conllu#s95_0</t>
  </si>
  <si>
    <t>96</t>
  </si>
  <si>
    <t>хотеться</t>
  </si>
  <si>
    <t>Тут мне бы хотелось упомянуть : хотя вы и можете представить себе интеллект в устройствах , сегодня я смотрю на некоторые работы в области интернета вещей и думаю , что они , своего рода , трагически жалкие потому как происходит следующее : берёт человек панель от духовки и накладывает её на мобильник , или дверной ключ на мобильник , просто берёт и даёт вам , а это , по сути , то , что вам не нужно .</t>
  </si>
  <si>
    <t>file://conllu/ru/teddy-1755.conllu#s96_0</t>
  </si>
  <si>
    <t>97</t>
  </si>
  <si>
    <t>отвечать (отвечать хотеть)</t>
  </si>
  <si>
    <t>Вы хотите ставить курицу в духовку , а духовка будет отвечать : «О , это — курица ! » — и готовит курицу .</t>
  </si>
  <si>
    <t>file://conllu/ru/teddy-1755.conllu#s97_0</t>
  </si>
  <si>
    <t>98</t>
  </si>
  <si>
    <t>«Так</t>
  </si>
  <si>
    <t>«Так , приготовление курицы для Николаса , а он её любит так-то и так-то» .</t>
  </si>
  <si>
    <t>file://conllu/ru/teddy-1755.conllu#s98_0</t>
  </si>
  <si>
    <t>99</t>
  </si>
  <si>
    <t>начать</t>
  </si>
  <si>
    <t>Вместо того , чтобы интеллект внедрить в устройство , мы сегодня начали обратно ставить его на сотовые или ближе к пользователю — не особо просвещённый взгляд на интернет вещей .</t>
  </si>
  <si>
    <t>file://conllu/ru/teddy-1755.conllu#s99_0</t>
  </si>
  <si>
    <t>100</t>
  </si>
  <si>
    <t>телевидение</t>
  </si>
  <si>
    <t>Снова телевидение .</t>
  </si>
  <si>
    <t>file://conllu/ru/teddy-1755.conllu#s100_0</t>
  </si>
  <si>
    <t>101</t>
  </si>
  <si>
    <t>Сегодня я говорил , что телевидение тогда , в 1990-м году , телевидение будущего выглядело вот так .</t>
  </si>
  <si>
    <t>file://conllu/ru/teddy-1755.conllu#s101_0</t>
  </si>
  <si>
    <t>102</t>
  </si>
  <si>
    <t>посмеиваться</t>
  </si>
  <si>
    <t>Люди цинично посмеивались , смеялись без особого признания .</t>
  </si>
  <si>
    <t>file://conllu/ru/teddy-1755.conllu#s102_0</t>
  </si>
  <si>
    <t>103</t>
  </si>
  <si>
    <t>телекоммуникация</t>
  </si>
  <si>
    <t>Телекоммуникации в 1990-х .</t>
  </si>
  <si>
    <t>file://conllu/ru/teddy-1755.conllu#s103_0</t>
  </si>
  <si>
    <t>104</t>
  </si>
  <si>
    <t>решить</t>
  </si>
  <si>
    <t>Джордж Гилдер решил , что назовёт эту диаграмму «выключатель Негропонте» .</t>
  </si>
  <si>
    <t>file://conllu/ru/teddy-1755.conllu#s104_0</t>
  </si>
  <si>
    <t>105</t>
  </si>
  <si>
    <t>известный</t>
  </si>
  <si>
    <t>Я несколько менее известен , чем Джордж , так что , когда он назвал её «выключатель Негропонте» , название привязалось , но идея того , что устройства на земле пойдут в воздух , а штуки из воздуха перейдут на землю , принялась .</t>
  </si>
  <si>
    <t>file://conllu/ru/teddy-1755.conllu#s105_0</t>
  </si>
  <si>
    <t>106</t>
  </si>
  <si>
    <t>Это — оригинальный слайд того года , и он работал строго по плану .</t>
  </si>
  <si>
    <t>file://conllu/ru/teddy-1755.conllu#s106_0</t>
  </si>
  <si>
    <t>107</t>
  </si>
  <si>
    <t>запустить</t>
  </si>
  <si>
    <t>Мы запустили журнал Wired .</t>
  </si>
  <si>
    <t>file://conllu/ru/teddy-1755.conllu#s107_0</t>
  </si>
  <si>
    <t>108</t>
  </si>
  <si>
    <t>ставить</t>
  </si>
  <si>
    <t>Помню , мы периодически ставили колонку администратора , и один недовольный родитель позвонил с жалобами , что его сын отказался от подписки на Sports Illustrated в пользу Wired .</t>
  </si>
  <si>
    <t>file://conllu/ru/teddy-1755.conllu#s108_0</t>
  </si>
  <si>
    <t>109</t>
  </si>
  <si>
    <t>спросить</t>
  </si>
  <si>
    <t>Он спросил : «Вы какой-то порно журнал или что-то такое ? » , и никак не мог взять в толк , почему его сын интересуется Wired .</t>
  </si>
  <si>
    <t>file://conllu/ru/teddy-1755.conllu#s109_0</t>
  </si>
  <si>
    <t>110</t>
  </si>
  <si>
    <t>ускориться</t>
  </si>
  <si>
    <t>Немного ускорюсь .</t>
  </si>
  <si>
    <t>file://conllu/ru/teddy-1755.conllu#s110_0</t>
  </si>
  <si>
    <t>111</t>
  </si>
  <si>
    <t>Вот моё любимое — 1995 год , последняя страница журнала Newsweek .</t>
  </si>
  <si>
    <t>file://conllu/ru/teddy-1755.conllu#s111_0</t>
  </si>
  <si>
    <t>112</t>
  </si>
  <si>
    <t>ладно</t>
  </si>
  <si>
    <t>Ладно .</t>
  </si>
  <si>
    <t>file://conllu/ru/teddy-1755.conllu#s112_0</t>
  </si>
  <si>
    <t>113</t>
  </si>
  <si>
    <t>читать</t>
  </si>
  <si>
    <t>Читайте .</t>
  </si>
  <si>
    <t>file://conllu/ru/teddy-1755.conllu#s113_0</t>
  </si>
  <si>
    <t>114</t>
  </si>
  <si>
    <t>смех</t>
  </si>
  <si>
    <t>( Смех ) [ Николас Негропонте , директор MIT Media Lab , прогнозирует , что скоро книги и газеты будут продаваться в интернет .</t>
  </si>
  <si>
    <t>file://conllu/ru/teddy-1755.conllu#s114_0</t>
  </si>
  <si>
    <t>115</t>
  </si>
  <si>
    <t>да</t>
  </si>
  <si>
    <t>Ну да . ]</t>
  </si>
  <si>
    <t>file://conllu/ru/teddy-1755.conllu#s115_0</t>
  </si>
  <si>
    <t>116</t>
  </si>
  <si>
    <t>Признать</t>
  </si>
  <si>
    <t>Признайте , приятно , по крайней мере , мне , когда кто-то говорит , как чертовски вы неправы .</t>
  </si>
  <si>
    <t>file://conllu/ru/teddy-1755.conllu#s116_0</t>
  </si>
  <si>
    <t>117</t>
  </si>
  <si>
    <t>выйти</t>
  </si>
  <si>
    <t>Вышла книга «Жизнь в цифровом мире» .</t>
  </si>
  <si>
    <t>file://conllu/ru/teddy-1755.conllu#s117_0</t>
  </si>
  <si>
    <t>118</t>
  </si>
  <si>
    <t>дать</t>
  </si>
  <si>
    <t>Мне это дало возможность стать более известным в профессиональной прессе и вынести свои идеи в свет , а также позволило нам построить новую Media Lab , которую , если вы не были , стоит посетить , ведь это прекрасное архитектурное строение , кроме того , что восхитительное место работы .</t>
  </si>
  <si>
    <t>file://conllu/ru/teddy-1755.conllu#s118_0</t>
  </si>
  <si>
    <t>119</t>
  </si>
  <si>
    <t>Вот о чём мы говорили на TED .</t>
  </si>
  <si>
    <t>file://conllu/ru/teddy-1755.conllu#s119_0</t>
  </si>
  <si>
    <t>120</t>
  </si>
  <si>
    <t>мультимедиа</t>
  </si>
  <si>
    <t>[ Сегодня мультимедиа — громоздкая .</t>
  </si>
  <si>
    <t>file://conllu/ru/teddy-1755.conllu#s120_0</t>
  </si>
  <si>
    <t>121</t>
  </si>
  <si>
    <t>измениться</t>
  </si>
  <si>
    <t>Это изменится , когда появятся компактные , яркие , экраны с высоким разрешением — 1995 год ] .</t>
  </si>
  <si>
    <t>file://conllu/ru/teddy-1755.conllu#s121_0</t>
  </si>
  <si>
    <t>122</t>
  </si>
  <si>
    <t>дожить</t>
  </si>
  <si>
    <t>Мы дожили и до них .</t>
  </si>
  <si>
    <t>file://conllu/ru/teddy-1755.conllu#s122_0</t>
  </si>
  <si>
    <t>123</t>
  </si>
  <si>
    <t>ожидать</t>
  </si>
  <si>
    <t>Я ожидал этого каждый год .</t>
  </si>
  <si>
    <t>file://conllu/ru/teddy-1755.conllu#s123_0</t>
  </si>
  <si>
    <t>124</t>
  </si>
  <si>
    <t>быть (быть вечеринка)</t>
  </si>
  <si>
    <t>Это была вечеринка , какой Рикки Вурман никогда не видывал , он пригласил своих старых друзей , включая меня .</t>
  </si>
  <si>
    <t>file://conllu/ru/teddy-1755.conllu#s124_0</t>
  </si>
  <si>
    <t>125</t>
  </si>
  <si>
    <t>перемениться</t>
  </si>
  <si>
    <t>А затем что-то для меня переменилось коренным образом .</t>
  </si>
  <si>
    <t>file://conllu/ru/teddy-1755.conllu#s125_0</t>
  </si>
  <si>
    <t>126</t>
  </si>
  <si>
    <t>увлёчься</t>
  </si>
  <si>
    <t>Я больше увлёкся компьютерами и образованием под влиянием Сеймура , особенно рассматривая образование , как нечто , наиболее приближенное к компьютерному программированию .</t>
  </si>
  <si>
    <t>file://conllu/ru/teddy-1755.conllu#s126_0</t>
  </si>
  <si>
    <t>127</t>
  </si>
  <si>
    <t>нужный</t>
  </si>
  <si>
    <t>Когда пишешь компьютерную программу , нужно не просто составить список параметров , применить некий алгоритм , и перевести его в набор инструкций , но , если там есть ошибка , а во всех программах она есть , необходимо её удалить .</t>
  </si>
  <si>
    <t>file://conllu/ru/teddy-1755.conllu#s127_0</t>
  </si>
  <si>
    <t>128</t>
  </si>
  <si>
    <t>Далее?</t>
  </si>
  <si>
    <t>Нужно влезть туда , поменять программу и выполнить заново , и так далее .</t>
  </si>
  <si>
    <t>file://conllu/ru/teddy-1755.conllu#s128_0</t>
  </si>
  <si>
    <t>129</t>
  </si>
  <si>
    <t>аналог</t>
  </si>
  <si>
    <t>Вот такая итерация — весьма удачный аналог обучению .</t>
  </si>
  <si>
    <t>file://conllu/ru/teddy-1755.conllu#s129_0</t>
  </si>
  <si>
    <t>130</t>
  </si>
  <si>
    <t>привести</t>
  </si>
  <si>
    <t>Это привело меня к собственной работе с Сеймуром в таких местах , как Камбоджа , и началу программы «Ноутбук каждому ребёнку» .</t>
  </si>
  <si>
    <t>file://conllu/ru/teddy-1755.conllu#s130_0</t>
  </si>
  <si>
    <t>131</t>
  </si>
  <si>
    <t>достаточный</t>
  </si>
  <si>
    <t>Достаточно TED выступлений Пройдусь очень быстро .</t>
  </si>
  <si>
    <t>file://conllu/ru/teddy-1755.conllu#s131_0</t>
  </si>
  <si>
    <t>132</t>
  </si>
  <si>
    <t>Это дало нам шанс делать нечто в относительно широком масштабе в области образования , развития и вычислительной техники .</t>
  </si>
  <si>
    <t>file://conllu/ru/teddy-1755.conllu#s132_0</t>
  </si>
  <si>
    <t>133</t>
  </si>
  <si>
    <t>знать</t>
  </si>
  <si>
    <t>Не так много людей знают , что «Ноутбук каждому ребёнку» был проектом стоимостью 1 миллиард долларов .</t>
  </si>
  <si>
    <t>file://conllu/ru/teddy-1755.conllu#s133_0</t>
  </si>
  <si>
    <t>134</t>
  </si>
  <si>
    <t>быть (быть год)</t>
  </si>
  <si>
    <t>Так оно и есть все 7 лет , что я им руковожу , но важнее всего , что Всемирный Банк ничего не внёс , АМР — тоже ничего .</t>
  </si>
  <si>
    <t>file://conllu/ru/teddy-1755.conllu#s134_0</t>
  </si>
  <si>
    <t>135</t>
  </si>
  <si>
    <t>быть (быть страна)</t>
  </si>
  <si>
    <t>По большей части , это были страны , использующие свои ресурсы , что весьма интересно .</t>
  </si>
  <si>
    <t>file://conllu/ru/teddy-1755.conllu#s135_0</t>
  </si>
  <si>
    <t>136</t>
  </si>
  <si>
    <t>быть (быть интересный)</t>
  </si>
  <si>
    <t>Для меня это было очень интересно в свете того , что я планировал далее .</t>
  </si>
  <si>
    <t>file://conllu/ru/teddy-1755.conllu#s136_0</t>
  </si>
  <si>
    <t>137</t>
  </si>
  <si>
    <t>заработать</t>
  </si>
  <si>
    <t>Вот во всех этих местах программа заработала .</t>
  </si>
  <si>
    <t>file://conllu/ru/teddy-1755.conllu#s137_0</t>
  </si>
  <si>
    <t>138</t>
  </si>
  <si>
    <t>провести</t>
  </si>
  <si>
    <t>Затем я провёл эксперимент , которой имел место в Эфиопии .</t>
  </si>
  <si>
    <t>file://conllu/ru/teddy-1755.conllu#s138_0</t>
  </si>
  <si>
    <t>139</t>
  </si>
  <si>
    <t>И вот , каким он был .</t>
  </si>
  <si>
    <t>file://conllu/ru/teddy-1755.conllu#s139_0</t>
  </si>
  <si>
    <t>140</t>
  </si>
  <si>
    <t>эксперимент</t>
  </si>
  <si>
    <t>Эксперимент в том , возможно ли обучение там , где нет школ .</t>
  </si>
  <si>
    <t>file://conllu/ru/teddy-1755.conllu#s140_0</t>
  </si>
  <si>
    <t>141</t>
  </si>
  <si>
    <t>раздасть</t>
  </si>
  <si>
    <t>Мы раздали планшеты без каких-либо инструкций и позволили детям разобраться самим .</t>
  </si>
  <si>
    <t>file://conllu/ru/teddy-1755.conllu#s141_0</t>
  </si>
  <si>
    <t>142</t>
  </si>
  <si>
    <t>включать</t>
  </si>
  <si>
    <t>За короткое время они не только их включили и стали использовать вплоть до 50 приложений на ребёнка в течение пяти дней , они распевали песенку АВС за двухнедельный период , и они взломали Андроид за 6 месяцев .</t>
  </si>
  <si>
    <t>file://conllu/ru/teddy-1755.conllu#s142_0</t>
  </si>
  <si>
    <t>143</t>
  </si>
  <si>
    <t>быть (быть занятный)</t>
  </si>
  <si>
    <t>Вот это было очень занятно .</t>
  </si>
  <si>
    <t>file://conllu/ru/teddy-1755.conllu#s143_0</t>
  </si>
  <si>
    <t>144</t>
  </si>
  <si>
    <t>вот</t>
  </si>
  <si>
    <t>Вот , пожалуй , лучшее фото , что у меня есть .</t>
  </si>
  <si>
    <t>file://conllu/ru/teddy-1755.conllu#s144_0</t>
  </si>
  <si>
    <t>145</t>
  </si>
  <si>
    <t>провозгласить</t>
  </si>
  <si>
    <t>Ребёнок справа для вас как бы провозгласил себя учителем .</t>
  </si>
  <si>
    <t>file://conllu/ru/teddy-1755.conllu#s145_0</t>
  </si>
  <si>
    <t>146</t>
  </si>
  <si>
    <t>смотреть</t>
  </si>
  <si>
    <t>Посмотрите на малыша слева и далее .</t>
  </si>
  <si>
    <t>file://conllu/ru/teddy-1755.conllu#s146_0</t>
  </si>
  <si>
    <t>147</t>
  </si>
  <si>
    <t>нет</t>
  </si>
  <si>
    <t>Совсем нет взрослых здесь .</t>
  </si>
  <si>
    <t>file://conllu/ru/teddy-1755.conllu#s147_0</t>
  </si>
  <si>
    <t>148</t>
  </si>
  <si>
    <t>задуматься</t>
  </si>
  <si>
    <t>Я задумался : а можно ли сделать то же самое в более крупном масштабе ?</t>
  </si>
  <si>
    <t>file://conllu/ru/teddy-1755.conllu#s148_0</t>
  </si>
  <si>
    <t>149</t>
  </si>
  <si>
    <t>хватать</t>
  </si>
  <si>
    <t>Чего не хватает ?</t>
  </si>
  <si>
    <t>file://conllu/ru/teddy-1755.conllu#s149_0</t>
  </si>
  <si>
    <t>150</t>
  </si>
  <si>
    <t>писать (писать давать)</t>
  </si>
  <si>
    <t>Дети сейчас дают пресс-конференцию , и как бы пишут на грязи .</t>
  </si>
  <si>
    <t>file://conllu/ru/teddy-1755.conllu#s150_0</t>
  </si>
  <si>
    <t>151</t>
  </si>
  <si>
    <t>ответ</t>
  </si>
  <si>
    <t>И ответ : а чего не хватает ?</t>
  </si>
  <si>
    <t>file://conllu/ru/teddy-1755.conllu#s151_0</t>
  </si>
  <si>
    <t>152</t>
  </si>
  <si>
    <t>пропуще</t>
  </si>
  <si>
    <t>Я пропущу свой прогноз , так как времени мало , и вот вопрос : что произойдёт ?</t>
  </si>
  <si>
    <t>file://conllu/ru/teddy-1755.conllu#s152_0</t>
  </si>
  <si>
    <t>153</t>
  </si>
  <si>
    <t>Думаю , трудность в том , чтобы присоединить последний миллиард людей , что совсем иначе , нежели подключение следующего миллиарда , а иначе это потому , что следующий миллиард это как фрукт , висящий низко , а вот последний миллиард — это деревни .</t>
  </si>
  <si>
    <t>file://conllu/ru/teddy-1755.conllu#s153_0</t>
  </si>
  <si>
    <t>154</t>
  </si>
  <si>
    <t>понятие</t>
  </si>
  <si>
    <t>Деревенские и бедные люди — понятия разные .</t>
  </si>
  <si>
    <t>file://conllu/ru/teddy-1755.conllu#s154_0</t>
  </si>
  <si>
    <t>155</t>
  </si>
  <si>
    <t>создаёться</t>
  </si>
  <si>
    <t>Бедность обычно создаётся нашим обществом , а люди в этом обществе вовсе не бедны в том же смысле .</t>
  </si>
  <si>
    <t>file://conllu/ru/teddy-1755.conllu#s155_0</t>
  </si>
  <si>
    <t>156</t>
  </si>
  <si>
    <t>простовать</t>
  </si>
  <si>
    <t>Может , они и простоваты , но способ подхода к ним , установки связи с ними история программы «Ноутбук каждому ребёнку» и эксперимент в Эфиопии вселяют в меня уверенность , что мы можем сделать это за короткое время .</t>
  </si>
  <si>
    <t>file://conllu/ru/teddy-1755.conllu#s156_0</t>
  </si>
  <si>
    <t>157</t>
  </si>
  <si>
    <t>таков</t>
  </si>
  <si>
    <t>Мой план таков — к сожалению , я не смог привезти своих партнёров , чтобы представить их , — сделать это с помощью стационарного спутника .</t>
  </si>
  <si>
    <t>file://conllu/ru/teddy-1755.conllu#s157_0</t>
  </si>
  <si>
    <t>158</t>
  </si>
  <si>
    <t>По многим причинам стационарные спутники — не самое лучшее решение , но и по многим причинам — да .</t>
  </si>
  <si>
    <t>file://conllu/ru/teddy-1755.conllu#s158_0</t>
  </si>
  <si>
    <t>159</t>
  </si>
  <si>
    <t>можно</t>
  </si>
  <si>
    <t>За 2 миллиарда долларов можно подключить более 100 миллионов человек , но я выбрал 2 — оставлю тут изображение на слайде .</t>
  </si>
  <si>
    <t>file://conllu/ru/teddy-1755.conllu#s159_0</t>
  </si>
  <si>
    <t>160</t>
  </si>
  <si>
    <t>сумма</t>
  </si>
  <si>
    <t>2 миллиарда долларов — сумма , которые мы тратили в Афганистане еженедельно .</t>
  </si>
  <si>
    <t>file://conllu/ru/teddy-1755.conllu#s160_0</t>
  </si>
  <si>
    <t>161</t>
  </si>
  <si>
    <t>надо</t>
  </si>
  <si>
    <t>Конечно , если мы сможем подключить Африку и последний миллиард человек за такую сумму , то надо это сделать .</t>
  </si>
  <si>
    <t>file://conllu/ru/teddy-1755.conllu#s161_0</t>
  </si>
  <si>
    <t>162</t>
  </si>
  <si>
    <t>Спасибо большое .</t>
  </si>
  <si>
    <t>file://conllu/ru/teddy-1755.conllu#s162_0</t>
  </si>
  <si>
    <t>163</t>
  </si>
  <si>
    <t>( Аплодисменты ) Крис Андерсон :</t>
  </si>
  <si>
    <t>file://conllu/ru/teddy-1755.conllu#s163_0</t>
  </si>
  <si>
    <t>164</t>
  </si>
  <si>
    <t>подождать</t>
  </si>
  <si>
    <t>Подождите немного .</t>
  </si>
  <si>
    <t>file://conllu/ru/teddy-1755.conllu#s164_0</t>
  </si>
  <si>
    <t>165</t>
  </si>
  <si>
    <t>НН : Вы мне выделите дополнительное время ?</t>
  </si>
  <si>
    <t>file://conllu/ru/teddy-1755.conllu#s165_0</t>
  </si>
  <si>
    <t>166</t>
  </si>
  <si>
    <t>к</t>
  </si>
  <si>
    <t>КА : Нет , но это было чертовски умно .</t>
  </si>
  <si>
    <t>file://conllu/ru/teddy-1755.conllu#s166_0</t>
  </si>
  <si>
    <t>167</t>
  </si>
  <si>
    <t>ход</t>
  </si>
  <si>
    <t>Отличный ход .</t>
  </si>
  <si>
    <t>file://conllu/ru/teddy-1755.conllu#s167_0</t>
  </si>
  <si>
    <t>168</t>
  </si>
  <si>
    <t>Николы</t>
  </si>
  <si>
    <t>Николас , каков ваш прогноз ?</t>
  </si>
  <si>
    <t>file://conllu/ru/teddy-1755.conllu#s168_0</t>
  </si>
  <si>
    <t>169</t>
  </si>
  <si>
    <t>НН : Спасибо , за вопрос .</t>
  </si>
  <si>
    <t>file://conllu/ru/teddy-1755.conllu#s169_0</t>
  </si>
  <si>
    <t>170</t>
  </si>
  <si>
    <t>Я скажу , каков мой прогноз .</t>
  </si>
  <si>
    <t>file://conllu/ru/teddy-1755.conllu#s170_0</t>
  </si>
  <si>
    <t>171</t>
  </si>
  <si>
    <t>предсказание</t>
  </si>
  <si>
    <t>Моё предсказание , именно предсказание , на срок через 30 лет .</t>
  </si>
  <si>
    <t>file://conllu/ru/teddy-1755.conllu#s171_0</t>
  </si>
  <si>
    <t>172</t>
  </si>
  <si>
    <t>Меня здесь не будет .</t>
  </si>
  <si>
    <t>file://conllu/ru/teddy-1755.conllu#s172_0</t>
  </si>
  <si>
    <t>173</t>
  </si>
  <si>
    <t>кое-что</t>
  </si>
  <si>
    <t>Кое-что об обучении чтению : мы потребляли большие объёмы информации , проходящие через глаза .</t>
  </si>
  <si>
    <t>file://conllu/ru/teddy-1755.conllu#s173_0</t>
  </si>
  <si>
    <t>174</t>
  </si>
  <si>
    <t>канал</t>
  </si>
  <si>
    <t>Вероятно , это очень неэффективный канал .</t>
  </si>
  <si>
    <t>file://conllu/ru/teddy-1755.conllu#s174_0</t>
  </si>
  <si>
    <t>175</t>
  </si>
  <si>
    <t>Моё предсказание : мы будем проглатывать информацию .</t>
  </si>
  <si>
    <t>file://conllu/ru/teddy-1755.conllu#s175_0</t>
  </si>
  <si>
    <t>176</t>
  </si>
  <si>
    <t>Принимать</t>
  </si>
  <si>
    <t>Принимаешь таблетку — и ты знаешь английский .</t>
  </si>
  <si>
    <t>file://conllu/ru/teddy-1755.conllu#s176_0</t>
  </si>
  <si>
    <t>177</t>
  </si>
  <si>
    <t>Другую — и знаешь Шекспира .</t>
  </si>
  <si>
    <t>file://conllu/ru/teddy-1755.conllu#s177_0</t>
  </si>
  <si>
    <t>178</t>
  </si>
  <si>
    <t>И сделать это можно через кровь .</t>
  </si>
  <si>
    <t>file://conllu/ru/teddy-1755.conllu#s178_0</t>
  </si>
  <si>
    <t>179</t>
  </si>
  <si>
    <t>доходить</t>
  </si>
  <si>
    <t>Как только она попадает в кровь , по сосудам доходит до мозга , и так как таблетка знает , что у мозга есть разные зоны , она вводит информацию в нужную .</t>
  </si>
  <si>
    <t>file://conllu/ru/teddy-1755.conllu#s179_0</t>
  </si>
  <si>
    <t>180</t>
  </si>
  <si>
    <t>проглатывание</t>
  </si>
  <si>
    <t>Так что — проглатывание .</t>
  </si>
  <si>
    <t>file://conllu/ru/teddy-1755.conllu#s180_0</t>
  </si>
  <si>
    <t>181</t>
  </si>
  <si>
    <t>КА : Ты когда-нибудь общался с Реем Курцвейлом ?</t>
  </si>
  <si>
    <t>file://conllu/ru/teddy-1755.conllu#s181_0</t>
  </si>
  <si>
    <t>182</t>
  </si>
  <si>
    <t>НН : Нет , но я общался с Эдом Бойденом и одним из присутствующих спикеров , Хью Херром , и ещё другими людьми .</t>
  </si>
  <si>
    <t>file://conllu/ru/teddy-1755.conllu#s182_0</t>
  </si>
  <si>
    <t>183</t>
  </si>
  <si>
    <t>так</t>
  </si>
  <si>
    <t>Это не так уж и надуманно , так что — через 30 лет .</t>
  </si>
  <si>
    <t>file://conllu/ru/teddy-1755.conllu#s183_0</t>
  </si>
  <si>
    <t>184</t>
  </si>
  <si>
    <t>КА : Посмотрим .</t>
  </si>
  <si>
    <t>file://conllu/ru/teddy-1755.conllu#s184_0</t>
  </si>
  <si>
    <t>185</t>
  </si>
  <si>
    <t>вернёться</t>
  </si>
  <si>
    <t>Мы вернёмся и через 30 лет прокрутим это видео , и потом все примем красную таблетку .</t>
  </si>
  <si>
    <t>file://conllu/ru/teddy-1755.conllu#s185_0</t>
  </si>
  <si>
    <t>186</t>
  </si>
  <si>
    <t>спасибо</t>
  </si>
  <si>
    <t>Спасибо за это .</t>
  </si>
  <si>
    <t>file://conllu/ru/teddy-1755.conllu#s186_0</t>
  </si>
  <si>
    <t>187</t>
  </si>
  <si>
    <t>Николас</t>
  </si>
  <si>
    <t>Николас Негропонте !</t>
  </si>
  <si>
    <t>file://conllu/ru/teddy-1755.conllu#s187_0</t>
  </si>
  <si>
    <t>188</t>
  </si>
  <si>
    <t>file://conllu/ru/teddy-1755.conllu#s188_0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</si>
  <si>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</si>
  <si>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</si>
  <si>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</si>
  <si>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</si>
  <si>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</si>
  <si>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</si>
  <si>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</si>
  <si>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</si>
  <si>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</si>
  <si>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</si>
  <si>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</si>
  <si>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(Видео) Николас Негропонте: Можем переключить на видеодиск, который уже в режиме проигрывания?</t>
  </si>
  <si>
    <t>(</t>
  </si>
  <si>
    <t>Видео</t>
  </si>
  <si>
    <t>)</t>
  </si>
  <si>
    <t>SBJ</t>
  </si>
  <si>
    <t>ne</t>
  </si>
  <si>
    <t>?OLD</t>
  </si>
  <si>
    <t>Негропонте</t>
  </si>
  <si>
    <t>other_2</t>
  </si>
  <si>
    <t>:</t>
  </si>
  <si>
    <t>Можем</t>
  </si>
  <si>
    <t>переключить</t>
  </si>
  <si>
    <t>на</t>
  </si>
  <si>
    <t>видеодиск</t>
  </si>
  <si>
    <t>,</t>
  </si>
  <si>
    <t>который</t>
  </si>
  <si>
    <t>SBJ_6</t>
  </si>
  <si>
    <t>pron.pint</t>
  </si>
  <si>
    <t>уже</t>
  </si>
  <si>
    <t>в</t>
  </si>
  <si>
    <t>режиме</t>
  </si>
  <si>
    <t>проигрывания</t>
  </si>
  <si>
    <t>?</t>
  </si>
  <si>
    <t># text = Мне по-настоящему интересно, как взаимодействуют люди и компьютеры.</t>
  </si>
  <si>
    <t>Мне</t>
  </si>
  <si>
    <t>OBJ</t>
  </si>
  <si>
    <t>pron</t>
  </si>
  <si>
    <t>по-настоящему</t>
  </si>
  <si>
    <t>интересно</t>
  </si>
  <si>
    <t>как</t>
  </si>
  <si>
    <t>взаимодействуют</t>
  </si>
  <si>
    <t>люди</t>
  </si>
  <si>
    <t>SBJ_2</t>
  </si>
  <si>
    <t>и</t>
  </si>
  <si>
    <t>компьютеры</t>
  </si>
  <si>
    <t>.</t>
  </si>
  <si>
    <t># text = Вскоре в будущем мы будем пользоваться ТВ-экранами или их эквивалентом для чтения электронных книг.</t>
  </si>
  <si>
    <t>Вскоре</t>
  </si>
  <si>
    <t>будущем</t>
  </si>
  <si>
    <t>мы</t>
  </si>
  <si>
    <t>будем</t>
  </si>
  <si>
    <t>ТВ</t>
  </si>
  <si>
    <t>экранами</t>
  </si>
  <si>
    <t>или</t>
  </si>
  <si>
    <t>их</t>
  </si>
  <si>
    <t>эквивалентом</t>
  </si>
  <si>
    <t>для</t>
  </si>
  <si>
    <t>чтения</t>
  </si>
  <si>
    <t>электронных</t>
  </si>
  <si>
    <t>книг</t>
  </si>
  <si>
    <t># text = (Музыка, разговоры)</t>
  </si>
  <si>
    <t>Музыка</t>
  </si>
  <si>
    <t>разговоры</t>
  </si>
  <si>
    <t># text = В сенсорных высокотехнологичных дисплеях интересно то, что можно на них работать, не отрывая пальцев.</t>
  </si>
  <si>
    <t>В</t>
  </si>
  <si>
    <t>сенсорных</t>
  </si>
  <si>
    <t>высокотехнологичных</t>
  </si>
  <si>
    <t>дисплеях</t>
  </si>
  <si>
    <t>pron.pds</t>
  </si>
  <si>
    <t>что</t>
  </si>
  <si>
    <t>них</t>
  </si>
  <si>
    <t>other_4</t>
  </si>
  <si>
    <t>работать</t>
  </si>
  <si>
    <t>не</t>
  </si>
  <si>
    <t>отрывая</t>
  </si>
  <si>
    <t>пальцев</t>
  </si>
  <si>
    <t># text = Есть и другой вариант, когда компьютеры физически расположены на человеке.</t>
  </si>
  <si>
    <t>Есть</t>
  </si>
  <si>
    <t>вариант</t>
  </si>
  <si>
    <t>когда</t>
  </si>
  <si>
    <t>SBJ_3</t>
  </si>
  <si>
    <t>физически</t>
  </si>
  <si>
    <t>расположены</t>
  </si>
  <si>
    <t>человеке</t>
  </si>
  <si>
    <t># text = Внезапно 11-го сентября мир стал шире.</t>
  </si>
  <si>
    <t>Внезапно</t>
  </si>
  <si>
    <t>11-го</t>
  </si>
  <si>
    <t>сентября</t>
  </si>
  <si>
    <t>мир</t>
  </si>
  <si>
    <t>стал</t>
  </si>
  <si>
    <t>шире</t>
  </si>
  <si>
    <t># text = НН: Спасибо.</t>
  </si>
  <si>
    <t>НН</t>
  </si>
  <si>
    <t>Спасибо</t>
  </si>
  <si>
    <t># text = (Аплодисменты) Спасибо.</t>
  </si>
  <si>
    <t>Аплодисменты</t>
  </si>
  <si>
    <t># text = Когда меня попросили выступить с речью, меня также попросили просмотреть все мои 14 выступлений на TED, в хронологическом порядке.</t>
  </si>
  <si>
    <t>Когда</t>
  </si>
  <si>
    <t>меня</t>
  </si>
  <si>
    <t>OBJ_2</t>
  </si>
  <si>
    <t>попросили</t>
  </si>
  <si>
    <t>выступить</t>
  </si>
  <si>
    <t>с</t>
  </si>
  <si>
    <t>речью</t>
  </si>
  <si>
    <t>также</t>
  </si>
  <si>
    <t>просмотреть</t>
  </si>
  <si>
    <t>все</t>
  </si>
  <si>
    <t>мои</t>
  </si>
  <si>
    <t>indef-np.quant</t>
  </si>
  <si>
    <t>выступлений</t>
  </si>
  <si>
    <t>TED</t>
  </si>
  <si>
    <t>other_3</t>
  </si>
  <si>
    <t>хронологическом</t>
  </si>
  <si>
    <t>порядке</t>
  </si>
  <si>
    <t># text = Первое длилось 2 часа.</t>
  </si>
  <si>
    <t>Первое</t>
  </si>
  <si>
    <t>длилось</t>
  </si>
  <si>
    <t>часа</t>
  </si>
  <si>
    <t>other</t>
  </si>
  <si>
    <t># text = Второе — час, а затем остальные — по полчаса, и всё, что я заметил, это как моя лысина увеличивается.</t>
  </si>
  <si>
    <t>Второе</t>
  </si>
  <si>
    <t>—</t>
  </si>
  <si>
    <t>а</t>
  </si>
  <si>
    <t>остальные</t>
  </si>
  <si>
    <t>по</t>
  </si>
  <si>
    <t>пол</t>
  </si>
  <si>
    <t>всё</t>
  </si>
  <si>
    <t>OBJ_4</t>
  </si>
  <si>
    <t>я</t>
  </si>
  <si>
    <t>SBJ_4</t>
  </si>
  <si>
    <t>заметил</t>
  </si>
  <si>
    <t>это</t>
  </si>
  <si>
    <t>моя</t>
  </si>
  <si>
    <t>pron.ppos</t>
  </si>
  <si>
    <t>лысина</t>
  </si>
  <si>
    <t>увеличивается</t>
  </si>
  <si>
    <t># text = (Смех) Представьте увидеть свою жизнь, 30 её лет, прошедшей перед глазами.</t>
  </si>
  <si>
    <t>Смех</t>
  </si>
  <si>
    <t>Представьте</t>
  </si>
  <si>
    <t>увидеть</t>
  </si>
  <si>
    <t>свою</t>
  </si>
  <si>
    <t>жизнь</t>
  </si>
  <si>
    <t>её</t>
  </si>
  <si>
    <t>лет</t>
  </si>
  <si>
    <t>прошедшей</t>
  </si>
  <si>
    <t>перед</t>
  </si>
  <si>
    <t>глазами</t>
  </si>
  <si>
    <t># text = Для меня, по крайней мере, это было шокирующе.</t>
  </si>
  <si>
    <t>Для</t>
  </si>
  <si>
    <t>крайней</t>
  </si>
  <si>
    <t>мере</t>
  </si>
  <si>
    <t>было</t>
  </si>
  <si>
    <t>шокирующе</t>
  </si>
  <si>
    <t># text = В моём выступлении я попытаюсь поделить с вами тем, что произошло за эти 30 лет, а затем сделаю предсказание и немного расскажу вам, что я делаю дальше.</t>
  </si>
  <si>
    <t>моём</t>
  </si>
  <si>
    <t>выступлении</t>
  </si>
  <si>
    <t>попытаюсь</t>
  </si>
  <si>
    <t>поделить</t>
  </si>
  <si>
    <t>вами</t>
  </si>
  <si>
    <t>тем</t>
  </si>
  <si>
    <t>произошло</t>
  </si>
  <si>
    <t>за</t>
  </si>
  <si>
    <t>эти</t>
  </si>
  <si>
    <t>сделаю</t>
  </si>
  <si>
    <t>немного</t>
  </si>
  <si>
    <t>расскажу</t>
  </si>
  <si>
    <t>вам</t>
  </si>
  <si>
    <t>OBJ_3</t>
  </si>
  <si>
    <t>делаю</t>
  </si>
  <si>
    <t>дальше</t>
  </si>
  <si>
    <t># text = На слайде первый TED в моей жизни.</t>
  </si>
  <si>
    <t>На</t>
  </si>
  <si>
    <t>слайде</t>
  </si>
  <si>
    <t>моей</t>
  </si>
  <si>
    <t>жизни</t>
  </si>
  <si>
    <t># text = Он настолько же важен, ведь до него я провёл 15 лет в исследованиях, у меня был тыл, так что выступить было просто.</t>
  </si>
  <si>
    <t>Он</t>
  </si>
  <si>
    <t>настолько</t>
  </si>
  <si>
    <t>же</t>
  </si>
  <si>
    <t>важен</t>
  </si>
  <si>
    <t>ведь</t>
  </si>
  <si>
    <t>до</t>
  </si>
  <si>
    <t>него</t>
  </si>
  <si>
    <t>провёл</t>
  </si>
  <si>
    <t>исследованиях</t>
  </si>
  <si>
    <t>у</t>
  </si>
  <si>
    <t>был</t>
  </si>
  <si>
    <t>тыл</t>
  </si>
  <si>
    <t>просто</t>
  </si>
  <si>
    <t># text = Не то чтобы я был Фидель Кастро и мог говорить 2 часа подряд, или Баки Фуллер.</t>
  </si>
  <si>
    <t>Не</t>
  </si>
  <si>
    <t>чтобы</t>
  </si>
  <si>
    <t>Фидель</t>
  </si>
  <si>
    <t>Кастро</t>
  </si>
  <si>
    <t>мог</t>
  </si>
  <si>
    <t>подряд</t>
  </si>
  <si>
    <t>Баки</t>
  </si>
  <si>
    <t>Фуллер</t>
  </si>
  <si>
    <t># text = У меня было 15 лет материала и Media Lab, готовая к открытию.</t>
  </si>
  <si>
    <t>У</t>
  </si>
  <si>
    <t>материала</t>
  </si>
  <si>
    <t>Media</t>
  </si>
  <si>
    <t>Lab</t>
  </si>
  <si>
    <t>готовая</t>
  </si>
  <si>
    <t>открытию</t>
  </si>
  <si>
    <t># text = Так что было легко.</t>
  </si>
  <si>
    <t>Так</t>
  </si>
  <si>
    <t>легко</t>
  </si>
  <si>
    <t># text = Но есть кое-что об этом периоде и произошедшем, что действительно важно.</t>
  </si>
  <si>
    <t>Но</t>
  </si>
  <si>
    <t>есть</t>
  </si>
  <si>
    <t>об</t>
  </si>
  <si>
    <t>этом</t>
  </si>
  <si>
    <t>периоде</t>
  </si>
  <si>
    <t>def-np.dem</t>
  </si>
  <si>
    <t>произошедшем</t>
  </si>
  <si>
    <t>действительно</t>
  </si>
  <si>
    <t>важно</t>
  </si>
  <si>
    <t># text = Первое: это был период, когда компьютеры ещё не были для людей.</t>
  </si>
  <si>
    <t>период</t>
  </si>
  <si>
    <t>ещё</t>
  </si>
  <si>
    <t>были</t>
  </si>
  <si>
    <t>людей</t>
  </si>
  <si>
    <t># text = А другое, происходящее в этот период: нас считали изнеженными компьютерными учёными.</t>
  </si>
  <si>
    <t>А</t>
  </si>
  <si>
    <t>другое</t>
  </si>
  <si>
    <t>происходящее</t>
  </si>
  <si>
    <t>этот</t>
  </si>
  <si>
    <t>нас</t>
  </si>
  <si>
    <t>считали</t>
  </si>
  <si>
    <t>изнеженными</t>
  </si>
  <si>
    <t>компьютерными</t>
  </si>
  <si>
    <t>учёными</t>
  </si>
  <si>
    <t># text = Вроде как не серьёзные.</t>
  </si>
  <si>
    <t>Вроде</t>
  </si>
  <si>
    <t>серьёзные</t>
  </si>
  <si>
    <t># text = Я покажу вам, в ретроспективе, более интересное и более принятое, чем оно было в то время.</t>
  </si>
  <si>
    <t>Я</t>
  </si>
  <si>
    <t>покажу</t>
  </si>
  <si>
    <t>ретроспективе</t>
  </si>
  <si>
    <t>более</t>
  </si>
  <si>
    <t>интересное</t>
  </si>
  <si>
    <t>принятое</t>
  </si>
  <si>
    <t>чем</t>
  </si>
  <si>
    <t>оно</t>
  </si>
  <si>
    <t>время</t>
  </si>
  <si>
    <t>other_6</t>
  </si>
  <si>
    <t># text = Я охарактеризую годы и даже вернусь в прошлое к своей самой ранней работе.</t>
  </si>
  <si>
    <t>охарактеризую</t>
  </si>
  <si>
    <t>годы</t>
  </si>
  <si>
    <t>даже</t>
  </si>
  <si>
    <t>вернусь</t>
  </si>
  <si>
    <t>прошлое</t>
  </si>
  <si>
    <t>своей</t>
  </si>
  <si>
    <t>самой</t>
  </si>
  <si>
    <t>ранней</t>
  </si>
  <si>
    <t>работе</t>
  </si>
  <si>
    <t># text = Это то, чем я занимался в 60-е: весьма прямое манипулирование, под сильным влиянием, пока изучал архитектуру архитектора Моше Сафди.</t>
  </si>
  <si>
    <t>Это</t>
  </si>
  <si>
    <t>занимался</t>
  </si>
  <si>
    <t>60-е</t>
  </si>
  <si>
    <t>весьма</t>
  </si>
  <si>
    <t>прямое</t>
  </si>
  <si>
    <t>манипулирование</t>
  </si>
  <si>
    <t>под</t>
  </si>
  <si>
    <t>сильным</t>
  </si>
  <si>
    <t>влиянием</t>
  </si>
  <si>
    <t>пока</t>
  </si>
  <si>
    <t>изучал</t>
  </si>
  <si>
    <t>архитектуру</t>
  </si>
  <si>
    <t>архитектора</t>
  </si>
  <si>
    <t>Моше</t>
  </si>
  <si>
    <t>Сафди</t>
  </si>
  <si>
    <t>other_7</t>
  </si>
  <si>
    <t># text = Можете видеть, что мы даже создали роботизированные штуки, способные строить структуры типа среды обитания.</t>
  </si>
  <si>
    <t>Можете</t>
  </si>
  <si>
    <t>видеть</t>
  </si>
  <si>
    <t>создали</t>
  </si>
  <si>
    <t>роботизированные</t>
  </si>
  <si>
    <t>штуки</t>
  </si>
  <si>
    <t>способные</t>
  </si>
  <si>
    <t>строить</t>
  </si>
  <si>
    <t>структуры</t>
  </si>
  <si>
    <t>OBJ_6</t>
  </si>
  <si>
    <t>типа</t>
  </si>
  <si>
    <t>среды</t>
  </si>
  <si>
    <t>обитания</t>
  </si>
  <si>
    <t># text = Для меня это было ещё не Media Lab, но начало того, что я называл сенсорных технологий.</t>
  </si>
  <si>
    <t>но</t>
  </si>
  <si>
    <t>начало</t>
  </si>
  <si>
    <t>def-np.poss</t>
  </si>
  <si>
    <t>того</t>
  </si>
  <si>
    <t>называл</t>
  </si>
  <si>
    <t>технологий</t>
  </si>
  <si>
    <t># text = Я выбрал пальцы частично потом, что все считали это нелепым.</t>
  </si>
  <si>
    <t>выбрал</t>
  </si>
  <si>
    <t>пальцы</t>
  </si>
  <si>
    <t>частично</t>
  </si>
  <si>
    <t>потом</t>
  </si>
  <si>
    <t>нелепым</t>
  </si>
  <si>
    <t># text = Были опубликованы статьи о том, как глупо использовать пальцы.</t>
  </si>
  <si>
    <t>Были</t>
  </si>
  <si>
    <t>опубликованы</t>
  </si>
  <si>
    <t>статьи</t>
  </si>
  <si>
    <t>о</t>
  </si>
  <si>
    <t>том</t>
  </si>
  <si>
    <t>глупо</t>
  </si>
  <si>
    <t>использовать</t>
  </si>
  <si>
    <t>OBJ_5</t>
  </si>
  <si>
    <t># text = 3 причины: первая — у них низкое разрешение, вторая — рука будет заграждать то, на что смотришь, и третья, моя любимая причина, — пальцы будут пачкать экран, следовательно, пальцы никогда не станут средством для манипуляций.</t>
  </si>
  <si>
    <t>причины</t>
  </si>
  <si>
    <t>первая</t>
  </si>
  <si>
    <t>низкое</t>
  </si>
  <si>
    <t>разрешение</t>
  </si>
  <si>
    <t>вторая</t>
  </si>
  <si>
    <t>рука</t>
  </si>
  <si>
    <t>SBJ_5</t>
  </si>
  <si>
    <t>будет</t>
  </si>
  <si>
    <t>заграждать</t>
  </si>
  <si>
    <t>смотришь</t>
  </si>
  <si>
    <t>третья</t>
  </si>
  <si>
    <t>любимая</t>
  </si>
  <si>
    <t>SBJ_8</t>
  </si>
  <si>
    <t>будут</t>
  </si>
  <si>
    <t>пачкать</t>
  </si>
  <si>
    <t>экран</t>
  </si>
  <si>
    <t>OBJ_8</t>
  </si>
  <si>
    <t>следовательно</t>
  </si>
  <si>
    <t>SBJ_9</t>
  </si>
  <si>
    <t>никогда</t>
  </si>
  <si>
    <t>станут</t>
  </si>
  <si>
    <t>средством</t>
  </si>
  <si>
    <t>манипуляций</t>
  </si>
  <si>
    <t># text = Это — устройство, созданное нами в 70-х, который никогда даже не был выбран.</t>
  </si>
  <si>
    <t>созданное</t>
  </si>
  <si>
    <t>нами</t>
  </si>
  <si>
    <t>70-х</t>
  </si>
  <si>
    <t>выбран</t>
  </si>
  <si>
    <t># text = Он не просто сенсорно-чувствителен, но и чувствителен к давлению.</t>
  </si>
  <si>
    <t>сенсорно</t>
  </si>
  <si>
    <t>чувствителен</t>
  </si>
  <si>
    <t>давлению</t>
  </si>
  <si>
    <t># text = (Видео) Голос: Жёлтый круг, там.</t>
  </si>
  <si>
    <t>Голос</t>
  </si>
  <si>
    <t>Жёлтый</t>
  </si>
  <si>
    <t>круг</t>
  </si>
  <si>
    <t># text = НН: Более поздняя работа, и опять же, до TED1,— (Видео) Голос: Сдвинь его налево от ромба.</t>
  </si>
  <si>
    <t>Более</t>
  </si>
  <si>
    <t>поздняя</t>
  </si>
  <si>
    <t>опять</t>
  </si>
  <si>
    <t>TED1</t>
  </si>
  <si>
    <t>other_5</t>
  </si>
  <si>
    <t>Сдвинь</t>
  </si>
  <si>
    <t>его</t>
  </si>
  <si>
    <t>налево</t>
  </si>
  <si>
    <t>от</t>
  </si>
  <si>
    <t>ромба</t>
  </si>
  <si>
    <t># text = Создай там большой зелёный круг.</t>
  </si>
  <si>
    <t>Создай</t>
  </si>
  <si>
    <t>зелёный</t>
  </si>
  <si>
    <t># text = Мужчина: Ах, чёрт возьми!</t>
  </si>
  <si>
    <t>Мужчина</t>
  </si>
  <si>
    <t>Ах</t>
  </si>
  <si>
    <t>чёрт</t>
  </si>
  <si>
    <t>возьми</t>
  </si>
  <si>
    <t>!</t>
  </si>
  <si>
    <t># text = НН:</t>
  </si>
  <si>
    <t># text = Это предназначено для параллельного интерфейса, то есть когда говоришь и показываешь, то есть было, если желаете, множество каналов.</t>
  </si>
  <si>
    <t>предназначено</t>
  </si>
  <si>
    <t>параллельного</t>
  </si>
  <si>
    <t>интерфейса</t>
  </si>
  <si>
    <t>говоришь</t>
  </si>
  <si>
    <t>показываешь</t>
  </si>
  <si>
    <t>если</t>
  </si>
  <si>
    <t>желаете</t>
  </si>
  <si>
    <t>множество</t>
  </si>
  <si>
    <t>каналов</t>
  </si>
  <si>
    <t># text = Затем случился Энтеббе.</t>
  </si>
  <si>
    <t>Затем</t>
  </si>
  <si>
    <t>случился</t>
  </si>
  <si>
    <t>Энтеббе</t>
  </si>
  <si>
    <t># text = 1976 год.</t>
  </si>
  <si>
    <t>1976</t>
  </si>
  <si>
    <t># text = Самолёт Air France был угнан, транспортирован в Энтеббе, и израильтяне не просто провели выдающуюся спасательную операцию, они сделали это частично потому, что практиковались на физической модели аэропорта.</t>
  </si>
  <si>
    <t>Самолёт</t>
  </si>
  <si>
    <t>Air</t>
  </si>
  <si>
    <t>France</t>
  </si>
  <si>
    <t>угнан</t>
  </si>
  <si>
    <t>транспортирован</t>
  </si>
  <si>
    <t>израильтяне</t>
  </si>
  <si>
    <t>провели</t>
  </si>
  <si>
    <t>выдающуюся</t>
  </si>
  <si>
    <t>спасательную</t>
  </si>
  <si>
    <t>операцию</t>
  </si>
  <si>
    <t>они</t>
  </si>
  <si>
    <t>сделали</t>
  </si>
  <si>
    <t>потому</t>
  </si>
  <si>
    <t>практиковались</t>
  </si>
  <si>
    <t>физической</t>
  </si>
  <si>
    <t>модели</t>
  </si>
  <si>
    <t>аэропорта</t>
  </si>
  <si>
    <t># text = Так как они построили аэропорт, они создали модель в пустыне, а когда прибыли в Энтеббе, то знали куда идти, ибо, по сути, были там.</t>
  </si>
  <si>
    <t>построили</t>
  </si>
  <si>
    <t>аэропорт</t>
  </si>
  <si>
    <t>модель</t>
  </si>
  <si>
    <t>пустыне</t>
  </si>
  <si>
    <t>прибыли</t>
  </si>
  <si>
    <t>знали</t>
  </si>
  <si>
    <t>куда</t>
  </si>
  <si>
    <t>идти</t>
  </si>
  <si>
    <t>ибо</t>
  </si>
  <si>
    <t>сути</t>
  </si>
  <si>
    <t># text = Правительство США попросило некоторых из нас, 1976 год, могли ли мы повторить это в вычислительном смысле, и, конечно, некоторые, вроде меня, ответили да.</t>
  </si>
  <si>
    <t>Правительство</t>
  </si>
  <si>
    <t>США</t>
  </si>
  <si>
    <t>попросило</t>
  </si>
  <si>
    <t>некоторых</t>
  </si>
  <si>
    <t>из</t>
  </si>
  <si>
    <t>могли</t>
  </si>
  <si>
    <t>ли</t>
  </si>
  <si>
    <t>повторить</t>
  </si>
  <si>
    <t>вычислительном</t>
  </si>
  <si>
    <t>смысле</t>
  </si>
  <si>
    <t>конечно</t>
  </si>
  <si>
    <t>некоторые</t>
  </si>
  <si>
    <t>вроде</t>
  </si>
  <si>
    <t>ответили</t>
  </si>
  <si>
    <t># text = Мгновенно у нас на руках контракт с Министерством Обороны, и мы создаём этот грузовик и прицеп.</t>
  </si>
  <si>
    <t>Мгновенно</t>
  </si>
  <si>
    <t>руках</t>
  </si>
  <si>
    <t>контракт</t>
  </si>
  <si>
    <t>Министерством</t>
  </si>
  <si>
    <t>Обороны</t>
  </si>
  <si>
    <t>создаём</t>
  </si>
  <si>
    <t>грузовик</t>
  </si>
  <si>
    <t>прицеп</t>
  </si>
  <si>
    <t># text = Мы создали своего рода симуляцию, ведь были видео-диски, и, опять же, это был 76-й год.</t>
  </si>
  <si>
    <t>Мы</t>
  </si>
  <si>
    <t>своего</t>
  </si>
  <si>
    <t>рода</t>
  </si>
  <si>
    <t>симуляцию</t>
  </si>
  <si>
    <t>видео-диски</t>
  </si>
  <si>
    <t>76-й</t>
  </si>
  <si>
    <t># text = А затем, годами позднее, вот этот грузовик и Google Maps.</t>
  </si>
  <si>
    <t>годами</t>
  </si>
  <si>
    <t>позднее</t>
  </si>
  <si>
    <t>Google</t>
  </si>
  <si>
    <t>Maps</t>
  </si>
  <si>
    <t># text = Люди всё ещё думали: нет, это не серьёзная компьютерная наука.</t>
  </si>
  <si>
    <t>Люди</t>
  </si>
  <si>
    <t>думали</t>
  </si>
  <si>
    <t>серьёзная</t>
  </si>
  <si>
    <t>компьютерная</t>
  </si>
  <si>
    <t>наука</t>
  </si>
  <si>
    <t># text = И был такой человек по имени Джерри Вейснер, — к слову, президент MIT — который считал это компьютерной наукой.</t>
  </si>
  <si>
    <t>И</t>
  </si>
  <si>
    <t>такой</t>
  </si>
  <si>
    <t>человек</t>
  </si>
  <si>
    <t>имени</t>
  </si>
  <si>
    <t>Джерри</t>
  </si>
  <si>
    <t>Вейснер</t>
  </si>
  <si>
    <t>слову</t>
  </si>
  <si>
    <t>президент</t>
  </si>
  <si>
    <t>MIT</t>
  </si>
  <si>
    <t>считал</t>
  </si>
  <si>
    <t>компьютерной</t>
  </si>
  <si>
    <t>наукой</t>
  </si>
  <si>
    <t># text = Одним из законов для любого, кто в жизни хочет что-то начать: убедись, что твой президент в деле.</t>
  </si>
  <si>
    <t>Одним</t>
  </si>
  <si>
    <t>законов</t>
  </si>
  <si>
    <t>любого</t>
  </si>
  <si>
    <t>кто</t>
  </si>
  <si>
    <t>хочет</t>
  </si>
  <si>
    <t>что-то</t>
  </si>
  <si>
    <t>убедись</t>
  </si>
  <si>
    <t>твой</t>
  </si>
  <si>
    <t>other_8</t>
  </si>
  <si>
    <t>SBJ_7</t>
  </si>
  <si>
    <t>деле</t>
  </si>
  <si>
    <t># text = Так что, пока я занимался Media Lab, как будто горилла за рулём.</t>
  </si>
  <si>
    <t>будто</t>
  </si>
  <si>
    <t>горилла</t>
  </si>
  <si>
    <t>рулём</t>
  </si>
  <si>
    <t># text = Если бы вас остановили за превышение скорости, полицейский заглянул бы в окно, увидел бы, кто сидит на переднем сидении, и такой:</t>
  </si>
  <si>
    <t>Если</t>
  </si>
  <si>
    <t>бы</t>
  </si>
  <si>
    <t>вас</t>
  </si>
  <si>
    <t>остановили</t>
  </si>
  <si>
    <t>превышение</t>
  </si>
  <si>
    <t>скорости</t>
  </si>
  <si>
    <t>полицейский</t>
  </si>
  <si>
    <t>заглянул</t>
  </si>
  <si>
    <t>окно</t>
  </si>
  <si>
    <t>увидел</t>
  </si>
  <si>
    <t>сидит</t>
  </si>
  <si>
    <t>переднем</t>
  </si>
  <si>
    <t>сидении</t>
  </si>
  <si>
    <t># text = «О, езжайте, сэр».</t>
  </si>
  <si>
    <t>«О</t>
  </si>
  <si>
    <t>езжайте</t>
  </si>
  <si>
    <t>сэр»</t>
  </si>
  <si>
    <t># text = У нас это сошло с рук.</t>
  </si>
  <si>
    <t>сошло</t>
  </si>
  <si>
    <t>рук</t>
  </si>
  <si>
    <t># text = И это миленькое устройство, между прочим.</t>
  </si>
  <si>
    <t>миленькое</t>
  </si>
  <si>
    <t>между</t>
  </si>
  <si>
    <t>прочим</t>
  </si>
  <si>
    <t># text = Это линзовидная фотография Джерри Вайснера, где единственным объектом, который меняется, являются губы.</t>
  </si>
  <si>
    <t>линзовидная</t>
  </si>
  <si>
    <t>Вайснера</t>
  </si>
  <si>
    <t>где</t>
  </si>
  <si>
    <t>единственным</t>
  </si>
  <si>
    <t>объектом</t>
  </si>
  <si>
    <t>меняется</t>
  </si>
  <si>
    <t>являются</t>
  </si>
  <si>
    <t>губы</t>
  </si>
  <si>
    <t># text = Когда двигаешь эту часть лентикулярного листа его фотографии, она будет синхронизироваться с губами с нулевой пропускной способностью.</t>
  </si>
  <si>
    <t>двигаешь</t>
  </si>
  <si>
    <t>эту</t>
  </si>
  <si>
    <t>часть</t>
  </si>
  <si>
    <t>лентикулярного</t>
  </si>
  <si>
    <t>листа</t>
  </si>
  <si>
    <t>фотографии</t>
  </si>
  <si>
    <t>губами</t>
  </si>
  <si>
    <t>нулевой</t>
  </si>
  <si>
    <t>пропускной</t>
  </si>
  <si>
    <t>способностью</t>
  </si>
  <si>
    <t># text = В то время это была конференц-связь Это было в Media Lab — то, что мы намеревались создать, что в мире компьютеров, издательств, и тому подобных сложится воедино.</t>
  </si>
  <si>
    <t>была</t>
  </si>
  <si>
    <t>конференц-</t>
  </si>
  <si>
    <t>связь</t>
  </si>
  <si>
    <t>намеревались</t>
  </si>
  <si>
    <t>мире</t>
  </si>
  <si>
    <t>компьютеров</t>
  </si>
  <si>
    <t>издательств</t>
  </si>
  <si>
    <t>тому</t>
  </si>
  <si>
    <t>подобных</t>
  </si>
  <si>
    <t>сложится</t>
  </si>
  <si>
    <t>воедино</t>
  </si>
  <si>
    <t># text = Опять же, не принято единодушно, но большей частью сообщества TED ранних лет.</t>
  </si>
  <si>
    <t>Опять</t>
  </si>
  <si>
    <t>принято</t>
  </si>
  <si>
    <t>единодушно</t>
  </si>
  <si>
    <t>большей</t>
  </si>
  <si>
    <t>частью</t>
  </si>
  <si>
    <t>сообщества</t>
  </si>
  <si>
    <t>ранних</t>
  </si>
  <si>
    <t># text = А это и было нашей целью.</t>
  </si>
  <si>
    <t>нашей</t>
  </si>
  <si>
    <t>целью</t>
  </si>
  <si>
    <t># text = И это создало Media Lab.</t>
  </si>
  <si>
    <t>создало</t>
  </si>
  <si>
    <t># text = И из-за моего возраста могу сказать с полной уверенностью: я был в будущем.</t>
  </si>
  <si>
    <t>из-за</t>
  </si>
  <si>
    <t>моего</t>
  </si>
  <si>
    <t>возраста</t>
  </si>
  <si>
    <t>могу</t>
  </si>
  <si>
    <t>полной</t>
  </si>
  <si>
    <t>уверенностью</t>
  </si>
  <si>
    <t># text = По факту, несколько раз я был там.</t>
  </si>
  <si>
    <t>По</t>
  </si>
  <si>
    <t>факту</t>
  </si>
  <si>
    <t>несколько</t>
  </si>
  <si>
    <t>раз</t>
  </si>
  <si>
    <t># text = И причина тому, что множество раз в жизни я говорил: «О, через 10 лет это произойдёт», а потом 10 лет проходили.</t>
  </si>
  <si>
    <t>говорил</t>
  </si>
  <si>
    <t>через</t>
  </si>
  <si>
    <t>произойдёт»</t>
  </si>
  <si>
    <t>проходили</t>
  </si>
  <si>
    <t># text = И ты говоришь: «О, через 5 лет произойдёт».</t>
  </si>
  <si>
    <t>ты</t>
  </si>
  <si>
    <t># text = И 5 лет проходило.</t>
  </si>
  <si>
    <t>проходило</t>
  </si>
  <si>
    <t># text = Я говорю это с некоторым чувством, что был в будущем несколько раз.</t>
  </si>
  <si>
    <t>говорю</t>
  </si>
  <si>
    <t>некоторым</t>
  </si>
  <si>
    <t>чувством</t>
  </si>
  <si>
    <t>indef-np</t>
  </si>
  <si>
    <t># text = Самая цитируемая сказанная мной фраза — информационные технологии не о компьютерах — поначалу не получила резонанса, а затем — да, потому как люди уловили, что средство подачи информации не было главным.</t>
  </si>
  <si>
    <t>Самая</t>
  </si>
  <si>
    <t>цитируемая</t>
  </si>
  <si>
    <t>сказанная</t>
  </si>
  <si>
    <t>мной</t>
  </si>
  <si>
    <t>фраза</t>
  </si>
  <si>
    <t>информационные</t>
  </si>
  <si>
    <t>технологии</t>
  </si>
  <si>
    <t>компьютерах</t>
  </si>
  <si>
    <t>поначалу</t>
  </si>
  <si>
    <t>получила</t>
  </si>
  <si>
    <t>резонанса</t>
  </si>
  <si>
    <t>уловили</t>
  </si>
  <si>
    <t>средство</t>
  </si>
  <si>
    <t>подачи</t>
  </si>
  <si>
    <t>информации</t>
  </si>
  <si>
    <t>главным</t>
  </si>
  <si>
    <t># text = Я показываю этот автомобиль с несколько неказистом слайде, чтобы, опять же, рассказать вам историю, немного иллюстрирующую мою жизнь.</t>
  </si>
  <si>
    <t>показываю</t>
  </si>
  <si>
    <t>автомобиль</t>
  </si>
  <si>
    <t>неказистом</t>
  </si>
  <si>
    <t>рассказать</t>
  </si>
  <si>
    <t>историю</t>
  </si>
  <si>
    <t>иллюстрирующую</t>
  </si>
  <si>
    <t>мою</t>
  </si>
  <si>
    <t># text = Это — работа моего студента, защитившего диссертацию «Водитель на заднем сидении».</t>
  </si>
  <si>
    <t>студента</t>
  </si>
  <si>
    <t>защитившего</t>
  </si>
  <si>
    <t>диссертацию</t>
  </si>
  <si>
    <t>«Водитель</t>
  </si>
  <si>
    <t>заднем</t>
  </si>
  <si>
    <t>сидении»</t>
  </si>
  <si>
    <t># text = Это случилось на расцвете GPS, автомобиль имел данные о своём нахождении и мог передать голосовые инструкции водителю: когда повернуть направо, когда налево и так далее.</t>
  </si>
  <si>
    <t>случилось</t>
  </si>
  <si>
    <t>расцвете</t>
  </si>
  <si>
    <t>GPS</t>
  </si>
  <si>
    <t>имел</t>
  </si>
  <si>
    <t>данные</t>
  </si>
  <si>
    <t>своём</t>
  </si>
  <si>
    <t>нахождении</t>
  </si>
  <si>
    <t>передать</t>
  </si>
  <si>
    <t>голосовые</t>
  </si>
  <si>
    <t>инструкции</t>
  </si>
  <si>
    <t>водителю</t>
  </si>
  <si>
    <t>повернуть</t>
  </si>
  <si>
    <t>направо</t>
  </si>
  <si>
    <t>далее</t>
  </si>
  <si>
    <t># text = Оказалось, что многое в инструкциях того периода было довольно сложным, например, что значит «поверните направо на следующем повороте»?</t>
  </si>
  <si>
    <t>Оказалось</t>
  </si>
  <si>
    <t>многое</t>
  </si>
  <si>
    <t>инструкциях</t>
  </si>
  <si>
    <t>периода</t>
  </si>
  <si>
    <t>довольно</t>
  </si>
  <si>
    <t>сложным</t>
  </si>
  <si>
    <t>например</t>
  </si>
  <si>
    <t>значит</t>
  </si>
  <si>
    <t>«поверните</t>
  </si>
  <si>
    <t>следующем</t>
  </si>
  <si>
    <t>повороте»</t>
  </si>
  <si>
    <t># text = Если подъезжаешь к улице, то следующий поворот направо, должно быть, после неё.</t>
  </si>
  <si>
    <t>подъезжаешь</t>
  </si>
  <si>
    <t>улице</t>
  </si>
  <si>
    <t>следующий</t>
  </si>
  <si>
    <t>поворот</t>
  </si>
  <si>
    <t>должно</t>
  </si>
  <si>
    <t>после</t>
  </si>
  <si>
    <t>неё</t>
  </si>
  <si>
    <t># text = И много там таких проблем.</t>
  </si>
  <si>
    <t>таких</t>
  </si>
  <si>
    <t>проблем</t>
  </si>
  <si>
    <t># text = Студент защитил отличную диссертацию, а бюро патентов MIT сказало: «Не патентуй.</t>
  </si>
  <si>
    <t>Студент</t>
  </si>
  <si>
    <t>защитил</t>
  </si>
  <si>
    <t>отличную</t>
  </si>
  <si>
    <t>бюро</t>
  </si>
  <si>
    <t>патентов</t>
  </si>
  <si>
    <t>сказало</t>
  </si>
  <si>
    <t>«Не</t>
  </si>
  <si>
    <t>патентуй</t>
  </si>
  <si>
    <t># text = Такой патент никогда не примут.</t>
  </si>
  <si>
    <t>Такой</t>
  </si>
  <si>
    <t>патент</t>
  </si>
  <si>
    <t>примут</t>
  </si>
  <si>
    <t># text = Обязательства слишком большие.</t>
  </si>
  <si>
    <t>Обязательства</t>
  </si>
  <si>
    <t>слишком</t>
  </si>
  <si>
    <t>большие</t>
  </si>
  <si>
    <t># text = Будут проблемы со страховкой.</t>
  </si>
  <si>
    <t>Будут</t>
  </si>
  <si>
    <t>проблемы</t>
  </si>
  <si>
    <t>со</t>
  </si>
  <si>
    <t>страховкой</t>
  </si>
  <si>
    <t># text = Не патентуй».</t>
  </si>
  <si>
    <t># text = И мы не стали.</t>
  </si>
  <si>
    <t>стали</t>
  </si>
  <si>
    <t># text = Но это показывает, как люди иногда не видят происходящего.</t>
  </si>
  <si>
    <t>показывает</t>
  </si>
  <si>
    <t>иногда</t>
  </si>
  <si>
    <t>видят</t>
  </si>
  <si>
    <t>происходящего</t>
  </si>
  <si>
    <t># text = Некоторые работы — быстренько пробегусь — различные сенсорные устройства.</t>
  </si>
  <si>
    <t>Некоторые</t>
  </si>
  <si>
    <t>работы</t>
  </si>
  <si>
    <t>быстренько</t>
  </si>
  <si>
    <t>пробегусь</t>
  </si>
  <si>
    <t>различные</t>
  </si>
  <si>
    <t>сенсорные</t>
  </si>
  <si>
    <t>устройства</t>
  </si>
  <si>
    <t># text = Можете узнать тут молодого Йо-Йо Ма и проследить за его движениями, как он играет на виолончели или гипер-виолончели.</t>
  </si>
  <si>
    <t>узнать</t>
  </si>
  <si>
    <t>тут</t>
  </si>
  <si>
    <t>молодого</t>
  </si>
  <si>
    <t>Йо-Йо</t>
  </si>
  <si>
    <t>Ма</t>
  </si>
  <si>
    <t>проследить</t>
  </si>
  <si>
    <t>движениями</t>
  </si>
  <si>
    <t>он</t>
  </si>
  <si>
    <t>играет</t>
  </si>
  <si>
    <t>виолончели</t>
  </si>
  <si>
    <t>гипер</t>
  </si>
  <si>
    <t># text = Так парни и ходили в то время.</t>
  </si>
  <si>
    <t>парни</t>
  </si>
  <si>
    <t>ходили</t>
  </si>
  <si>
    <t># text = Теперь это немного опрятнее и общепринято.</t>
  </si>
  <si>
    <t>Теперь</t>
  </si>
  <si>
    <t>опрятнее</t>
  </si>
  <si>
    <t>общепринято</t>
  </si>
  <si>
    <t># text = Хочу быстро упомянуть трёх героев.</t>
  </si>
  <si>
    <t>Хочу</t>
  </si>
  <si>
    <t>быстро</t>
  </si>
  <si>
    <t>упомянуть</t>
  </si>
  <si>
    <t>трёх</t>
  </si>
  <si>
    <t>героев</t>
  </si>
  <si>
    <t># text = Марвин Минский, многому научивший меня о здравом смысле.</t>
  </si>
  <si>
    <t>Минский</t>
  </si>
  <si>
    <t>многому</t>
  </si>
  <si>
    <t>научивший</t>
  </si>
  <si>
    <t>здравом</t>
  </si>
  <si>
    <t># text = Коротко скажу о Мюриэле Купере имевшей важное значение для Рикки Вурмана, да и для TED, и когда она поднялась на сцену, первое, что она сказала, было: «Я познакомила Рикки с Никки».</t>
  </si>
  <si>
    <t>Коротко</t>
  </si>
  <si>
    <t>скажу</t>
  </si>
  <si>
    <t>Мюриэле</t>
  </si>
  <si>
    <t>Купере</t>
  </si>
  <si>
    <t>имевшей</t>
  </si>
  <si>
    <t>важное</t>
  </si>
  <si>
    <t>значение</t>
  </si>
  <si>
    <t>Рикки</t>
  </si>
  <si>
    <t>Вурмана</t>
  </si>
  <si>
    <t>поднялась</t>
  </si>
  <si>
    <t>сцену</t>
  </si>
  <si>
    <t>первое</t>
  </si>
  <si>
    <t>сказала</t>
  </si>
  <si>
    <t>«Я</t>
  </si>
  <si>
    <t>познакомила</t>
  </si>
  <si>
    <t>Никки»</t>
  </si>
  <si>
    <t># text = А никто меня не зовёт Никки, а Ричарда — Рикки, так что никто не знал, о ком она говорила.</t>
  </si>
  <si>
    <t>никто</t>
  </si>
  <si>
    <t>pron.pind</t>
  </si>
  <si>
    <t>зовёт</t>
  </si>
  <si>
    <t>Никки</t>
  </si>
  <si>
    <t>Ричарда</t>
  </si>
  <si>
    <t>знал</t>
  </si>
  <si>
    <t>ком</t>
  </si>
  <si>
    <t>говорила</t>
  </si>
  <si>
    <t># text = И, конечно же, Сеймур Пейперт — человек, сказавший: «Нельзя думать о мышлении, если только не думаешь о мышлении о чём-то».</t>
  </si>
  <si>
    <t>Пейперт</t>
  </si>
  <si>
    <t>сказавший</t>
  </si>
  <si>
    <t>«Нельзя</t>
  </si>
  <si>
    <t>мышлении</t>
  </si>
  <si>
    <t>только</t>
  </si>
  <si>
    <t>думаешь</t>
  </si>
  <si>
    <t>чём-то»</t>
  </si>
  <si>
    <t># text = Можете поразмышлять над этим позднее — весьма глубокое утверждение.</t>
  </si>
  <si>
    <t>поразмышлять</t>
  </si>
  <si>
    <t>над</t>
  </si>
  <si>
    <t>этим</t>
  </si>
  <si>
    <t>глубокое</t>
  </si>
  <si>
    <t>утверждение</t>
  </si>
  <si>
    <t># text = Я показываю некоторые слайды с TED 2, возможно, немного глуповатые.</t>
  </si>
  <si>
    <t>слайды</t>
  </si>
  <si>
    <t>возможно</t>
  </si>
  <si>
    <t>глуповатые</t>
  </si>
  <si>
    <t># text = Тогда я думал, что смысл телевидения в отображении.</t>
  </si>
  <si>
    <t>Тогда</t>
  </si>
  <si>
    <t>думал</t>
  </si>
  <si>
    <t>смысл</t>
  </si>
  <si>
    <t>телевидения</t>
  </si>
  <si>
    <t>отображении</t>
  </si>
  <si>
    <t># text = Теперь мы прошли TED 1 и где-то во временах TED 2.</t>
  </si>
  <si>
    <t>прошли</t>
  </si>
  <si>
    <t>где-то</t>
  </si>
  <si>
    <t>во</t>
  </si>
  <si>
    <t>временах</t>
  </si>
  <si>
    <t># text = Тут мне бы хотелось упомянуть: хотя вы и можете представить себе интеллект в устройствах, сегодня я смотрю на некоторые работы в области интернета вещей и думаю, что они, своего рода, трагически жалкие потому как происходит следующее: берёт человек панель от духовки и накладывает её на мобильник, или дверной ключ на мобильник, просто берёт и даёт вам, а это, по сути, то, что вам не нужно.</t>
  </si>
  <si>
    <t>Тут</t>
  </si>
  <si>
    <t>мне</t>
  </si>
  <si>
    <t>хотелось</t>
  </si>
  <si>
    <t>хотя</t>
  </si>
  <si>
    <t>вы</t>
  </si>
  <si>
    <t>можете</t>
  </si>
  <si>
    <t>себе</t>
  </si>
  <si>
    <t>интеллект</t>
  </si>
  <si>
    <t>устройствах</t>
  </si>
  <si>
    <t>сегодня</t>
  </si>
  <si>
    <t>смотрю</t>
  </si>
  <si>
    <t>области</t>
  </si>
  <si>
    <t>интернета</t>
  </si>
  <si>
    <t>вещей</t>
  </si>
  <si>
    <t>думаю</t>
  </si>
  <si>
    <t>трагически</t>
  </si>
  <si>
    <t>жалкие</t>
  </si>
  <si>
    <t>происходит</t>
  </si>
  <si>
    <t>следующее</t>
  </si>
  <si>
    <t>берёт</t>
  </si>
  <si>
    <t>панель</t>
  </si>
  <si>
    <t>духовки</t>
  </si>
  <si>
    <t>накладывает</t>
  </si>
  <si>
    <t>мобильник</t>
  </si>
  <si>
    <t>дверной</t>
  </si>
  <si>
    <t>ключ</t>
  </si>
  <si>
    <t>даёт</t>
  </si>
  <si>
    <t>нужно</t>
  </si>
  <si>
    <t># text = Вы хотите ставить курицу в духовку, а духовка будет отвечать: «О, это — курица!» — и готовит курицу.</t>
  </si>
  <si>
    <t>Вы</t>
  </si>
  <si>
    <t>хотите</t>
  </si>
  <si>
    <t>курицу</t>
  </si>
  <si>
    <t>духовку</t>
  </si>
  <si>
    <t>духовка</t>
  </si>
  <si>
    <t>отвечать</t>
  </si>
  <si>
    <t>курица</t>
  </si>
  <si>
    <t>»</t>
  </si>
  <si>
    <t>готовит</t>
  </si>
  <si>
    <t># text = «Так, приготовление курицы для Николаса, а он её любит так-то и так-то».</t>
  </si>
  <si>
    <t>приготовление</t>
  </si>
  <si>
    <t>курицы</t>
  </si>
  <si>
    <t>Николаса</t>
  </si>
  <si>
    <t>любит</t>
  </si>
  <si>
    <t>так-то</t>
  </si>
  <si>
    <t>так-то»</t>
  </si>
  <si>
    <t># text = Вместо того, чтобы интеллект внедрить в устройство, мы сегодня начали обратно ставить его на сотовые или ближе к пользователю — не особо просвещённый взгляд на интернет вещей.</t>
  </si>
  <si>
    <t>Вместо</t>
  </si>
  <si>
    <t>внедрить</t>
  </si>
  <si>
    <t>начали</t>
  </si>
  <si>
    <t>обратно</t>
  </si>
  <si>
    <t>сотовые</t>
  </si>
  <si>
    <t>ближе</t>
  </si>
  <si>
    <t>пользователю</t>
  </si>
  <si>
    <t>особо</t>
  </si>
  <si>
    <t>просвещённый</t>
  </si>
  <si>
    <t>взгляд</t>
  </si>
  <si>
    <t>интернет</t>
  </si>
  <si>
    <t># text = Снова телевидение.</t>
  </si>
  <si>
    <t>Снова</t>
  </si>
  <si>
    <t># text = Сегодня я говорил, что телевидение тогда, в 1990-м году, телевидение будущего выглядело вот так.</t>
  </si>
  <si>
    <t>Сегодня</t>
  </si>
  <si>
    <t>тогда</t>
  </si>
  <si>
    <t>1990-м</t>
  </si>
  <si>
    <t>году</t>
  </si>
  <si>
    <t>будущего</t>
  </si>
  <si>
    <t>выглядело</t>
  </si>
  <si>
    <t># text = Люди цинично посмеивались, смеялись без особого признания.</t>
  </si>
  <si>
    <t>цинично</t>
  </si>
  <si>
    <t>посмеивались</t>
  </si>
  <si>
    <t>смеялись</t>
  </si>
  <si>
    <t>без</t>
  </si>
  <si>
    <t>особого</t>
  </si>
  <si>
    <t>признания</t>
  </si>
  <si>
    <t># text = Телекоммуникации в 1990-х.</t>
  </si>
  <si>
    <t>Телекоммуникации</t>
  </si>
  <si>
    <t>1990-х</t>
  </si>
  <si>
    <t># text = Джордж Гилдер решил, что назовёт эту диаграмму «выключатель Негропонте».</t>
  </si>
  <si>
    <t>Джордж</t>
  </si>
  <si>
    <t>Гилдер</t>
  </si>
  <si>
    <t>решил</t>
  </si>
  <si>
    <t>назовёт</t>
  </si>
  <si>
    <t>диаграмму</t>
  </si>
  <si>
    <t>«выключатель</t>
  </si>
  <si>
    <t>Негропонте»</t>
  </si>
  <si>
    <t># text = Я несколько менее известен, чем Джордж, так что, когда он назвал её «выключатель Негропонте», название привязалось, но идея того, что устройства на земле пойдут в воздух, а штуки из воздуха перейдут на землю, принялась.</t>
  </si>
  <si>
    <t>менее</t>
  </si>
  <si>
    <t>известен</t>
  </si>
  <si>
    <t>назвал</t>
  </si>
  <si>
    <t>название</t>
  </si>
  <si>
    <t>привязалось</t>
  </si>
  <si>
    <t>идея</t>
  </si>
  <si>
    <t>земле</t>
  </si>
  <si>
    <t>пойдут</t>
  </si>
  <si>
    <t>воздух</t>
  </si>
  <si>
    <t>воздуха</t>
  </si>
  <si>
    <t>перейдут</t>
  </si>
  <si>
    <t>землю</t>
  </si>
  <si>
    <t>принялась</t>
  </si>
  <si>
    <t># text = Это — оригинальный слайд того года, и он работал строго по плану.</t>
  </si>
  <si>
    <t>оригинальный</t>
  </si>
  <si>
    <t>года</t>
  </si>
  <si>
    <t>работал</t>
  </si>
  <si>
    <t>строго</t>
  </si>
  <si>
    <t>плану</t>
  </si>
  <si>
    <t># text = Мы запустили журнал Wired.</t>
  </si>
  <si>
    <t>запустили</t>
  </si>
  <si>
    <t>журнал</t>
  </si>
  <si>
    <t>Wired</t>
  </si>
  <si>
    <t># text = Помню, мы периодически ставили колонку администратора, и один недовольный родитель позвонил с жалобами, что его сын отказался от подписки на Sports Illustrated в пользу Wired.</t>
  </si>
  <si>
    <t>Помню</t>
  </si>
  <si>
    <t>периодически</t>
  </si>
  <si>
    <t>ставили</t>
  </si>
  <si>
    <t>колонку</t>
  </si>
  <si>
    <t>администратора</t>
  </si>
  <si>
    <t>недовольный</t>
  </si>
  <si>
    <t>родитель</t>
  </si>
  <si>
    <t>позвонил</t>
  </si>
  <si>
    <t>жалобами</t>
  </si>
  <si>
    <t>сын</t>
  </si>
  <si>
    <t>отказался</t>
  </si>
  <si>
    <t>подписки</t>
  </si>
  <si>
    <t>Sports</t>
  </si>
  <si>
    <t>Illustrated</t>
  </si>
  <si>
    <t>пользу</t>
  </si>
  <si>
    <t># text = Он спросил: «Вы какой-то порно-журнал или что-то такое?», и никак не мог взять в толк, почему его сын интересуется Wired.</t>
  </si>
  <si>
    <t>спросил</t>
  </si>
  <si>
    <t>«Вы</t>
  </si>
  <si>
    <t>какой-то</t>
  </si>
  <si>
    <t>порно</t>
  </si>
  <si>
    <t>такое</t>
  </si>
  <si>
    <t>никак</t>
  </si>
  <si>
    <t>взять</t>
  </si>
  <si>
    <t>толк</t>
  </si>
  <si>
    <t>почему</t>
  </si>
  <si>
    <t>интересуется</t>
  </si>
  <si>
    <t># text = Немного ускорюсь.</t>
  </si>
  <si>
    <t>Немного</t>
  </si>
  <si>
    <t>ускорюсь</t>
  </si>
  <si>
    <t># text = Вот моё любимое — 1995 год, последняя страница журнала Newsweek.</t>
  </si>
  <si>
    <t>Вот</t>
  </si>
  <si>
    <t>моё</t>
  </si>
  <si>
    <t>любимое</t>
  </si>
  <si>
    <t>1995</t>
  </si>
  <si>
    <t>последняя</t>
  </si>
  <si>
    <t>страница</t>
  </si>
  <si>
    <t>журнала</t>
  </si>
  <si>
    <t>Newsweek</t>
  </si>
  <si>
    <t># text = Ладно.</t>
  </si>
  <si>
    <t>Ладно</t>
  </si>
  <si>
    <t># text = Читайте.</t>
  </si>
  <si>
    <t>Читайте</t>
  </si>
  <si>
    <t># text = (Смех) [Николас Негропонте, директор MIT Media Lab, прогнозирует, что скоро книги и газеты будут продаваться в интернет.</t>
  </si>
  <si>
    <t>[</t>
  </si>
  <si>
    <t>директор</t>
  </si>
  <si>
    <t>прогнозирует</t>
  </si>
  <si>
    <t>скоро</t>
  </si>
  <si>
    <t>книги</t>
  </si>
  <si>
    <t>газеты</t>
  </si>
  <si>
    <t>продаваться</t>
  </si>
  <si>
    <t># text = Ну да.]</t>
  </si>
  <si>
    <t>Ну</t>
  </si>
  <si>
    <t>]</t>
  </si>
  <si>
    <t># text = Признайте, приятно, по крайней мере, мне, когда кто-то говорит, как чертовски вы неправы.</t>
  </si>
  <si>
    <t>Признайте</t>
  </si>
  <si>
    <t>приятно</t>
  </si>
  <si>
    <t>кто-то</t>
  </si>
  <si>
    <t>говорит</t>
  </si>
  <si>
    <t>чертовски</t>
  </si>
  <si>
    <t>неправы</t>
  </si>
  <si>
    <t># text = Вышла книга «Жизнь в цифровом мире».</t>
  </si>
  <si>
    <t>Вышла</t>
  </si>
  <si>
    <t>книга</t>
  </si>
  <si>
    <t>«Жизнь</t>
  </si>
  <si>
    <t>цифровом</t>
  </si>
  <si>
    <t>мире»</t>
  </si>
  <si>
    <t># text = Мне это дало возможность стать более известным в профессиональной прессе и вынести свои идеи в свет, а также позволило нам построить новую Media Lab, которую, если вы не были, стоит посетить, ведь это прекрасное архитектурное строение, кроме того, что восхитительное место работы.</t>
  </si>
  <si>
    <t>дало</t>
  </si>
  <si>
    <t>возможность</t>
  </si>
  <si>
    <t>известным</t>
  </si>
  <si>
    <t>профессиональной</t>
  </si>
  <si>
    <t>прессе</t>
  </si>
  <si>
    <t>вынести</t>
  </si>
  <si>
    <t>свои</t>
  </si>
  <si>
    <t>идеи</t>
  </si>
  <si>
    <t>свет</t>
  </si>
  <si>
    <t>позволило</t>
  </si>
  <si>
    <t>нам</t>
  </si>
  <si>
    <t>построить</t>
  </si>
  <si>
    <t>новую</t>
  </si>
  <si>
    <t>которую</t>
  </si>
  <si>
    <t>стоит</t>
  </si>
  <si>
    <t>посетить</t>
  </si>
  <si>
    <t>прекрасное</t>
  </si>
  <si>
    <t>архитектурное</t>
  </si>
  <si>
    <t>строение</t>
  </si>
  <si>
    <t>кроме</t>
  </si>
  <si>
    <t>восхитительное</t>
  </si>
  <si>
    <t>место</t>
  </si>
  <si>
    <t>OBJ_7</t>
  </si>
  <si>
    <t># text = Вот о чём мы говорили на TED.</t>
  </si>
  <si>
    <t>чём</t>
  </si>
  <si>
    <t>говорили</t>
  </si>
  <si>
    <t># text = [Сегодня мультимедиа — громоздкая.</t>
  </si>
  <si>
    <t>громоздкая</t>
  </si>
  <si>
    <t># text = Это изменится, когда появятся компактные, яркие, экраны с высоким разрешением — 1995 год].</t>
  </si>
  <si>
    <t>изменится</t>
  </si>
  <si>
    <t>появятся</t>
  </si>
  <si>
    <t>компактные</t>
  </si>
  <si>
    <t>яркие</t>
  </si>
  <si>
    <t>экраны</t>
  </si>
  <si>
    <t>высоким</t>
  </si>
  <si>
    <t>разрешением</t>
  </si>
  <si>
    <t># text = Мы дожили и до них.</t>
  </si>
  <si>
    <t>дожили</t>
  </si>
  <si>
    <t># text = Я ожидал этого каждый год.</t>
  </si>
  <si>
    <t>ожидал</t>
  </si>
  <si>
    <t>этого</t>
  </si>
  <si>
    <t>каждый</t>
  </si>
  <si>
    <t># text = Это была вечеринка, какой Рикки Вурман никогда не видывал, он пригласил своих старых друзей, включая меня.</t>
  </si>
  <si>
    <t>вечеринка</t>
  </si>
  <si>
    <t>какой</t>
  </si>
  <si>
    <t>Вурман</t>
  </si>
  <si>
    <t>видывал</t>
  </si>
  <si>
    <t>пригласил</t>
  </si>
  <si>
    <t>своих</t>
  </si>
  <si>
    <t>старых</t>
  </si>
  <si>
    <t>друзей</t>
  </si>
  <si>
    <t>включая</t>
  </si>
  <si>
    <t># text = А затем что-то для меня переменилось коренным образом.</t>
  </si>
  <si>
    <t>переменилось</t>
  </si>
  <si>
    <t>коренным</t>
  </si>
  <si>
    <t>образом</t>
  </si>
  <si>
    <t># text = Я больше увлёкся компьютерами и образованием под влиянием Сеймура, особенно рассматривая образование, как нечто, наиболее приближенное к компьютерному программированию.</t>
  </si>
  <si>
    <t>больше</t>
  </si>
  <si>
    <t>увлёкся</t>
  </si>
  <si>
    <t>компьютерами</t>
  </si>
  <si>
    <t>образованием</t>
  </si>
  <si>
    <t>Сеймура</t>
  </si>
  <si>
    <t>особенно</t>
  </si>
  <si>
    <t>рассматривая</t>
  </si>
  <si>
    <t>образование</t>
  </si>
  <si>
    <t>нечто</t>
  </si>
  <si>
    <t>наиболее</t>
  </si>
  <si>
    <t>приближенное</t>
  </si>
  <si>
    <t>компьютерному</t>
  </si>
  <si>
    <t>программированию</t>
  </si>
  <si>
    <t># text = Когда пишешь компьютерную программу, нужно не просто составить список параметров, применить некий алгоритм, и перевести его в набор инструкций, но, если там есть ошибка, а во всех программах она есть, необходимо её удалить.</t>
  </si>
  <si>
    <t>пишешь</t>
  </si>
  <si>
    <t>компьютерную</t>
  </si>
  <si>
    <t>программу</t>
  </si>
  <si>
    <t>составить</t>
  </si>
  <si>
    <t>список</t>
  </si>
  <si>
    <t>параметров</t>
  </si>
  <si>
    <t>применить</t>
  </si>
  <si>
    <t>некий</t>
  </si>
  <si>
    <t>алгоритм</t>
  </si>
  <si>
    <t>перевести</t>
  </si>
  <si>
    <t>набор</t>
  </si>
  <si>
    <t>инструкций</t>
  </si>
  <si>
    <t>ошибка</t>
  </si>
  <si>
    <t>всех</t>
  </si>
  <si>
    <t>программах</t>
  </si>
  <si>
    <t>необходимо</t>
  </si>
  <si>
    <t>удалить</t>
  </si>
  <si>
    <t># text = Нужно влезть туда, поменять программу и выполнить заново, и так далее.</t>
  </si>
  <si>
    <t>Нужно</t>
  </si>
  <si>
    <t>влезть</t>
  </si>
  <si>
    <t>туда</t>
  </si>
  <si>
    <t>поменять</t>
  </si>
  <si>
    <t>выполнить</t>
  </si>
  <si>
    <t>заново</t>
  </si>
  <si>
    <t># text = Вот такая итерация — весьма удачный аналог обучению.</t>
  </si>
  <si>
    <t>такая</t>
  </si>
  <si>
    <t>итерация</t>
  </si>
  <si>
    <t>удачный</t>
  </si>
  <si>
    <t>обучению</t>
  </si>
  <si>
    <t># text = Это привело меня к собственной работе с Сеймуром в таких местах, как Камбоджа, и началу программы «Ноутбук каждому ребёнку».</t>
  </si>
  <si>
    <t>привело</t>
  </si>
  <si>
    <t>собственной</t>
  </si>
  <si>
    <t>Сеймуром</t>
  </si>
  <si>
    <t>местах</t>
  </si>
  <si>
    <t>Камбоджа</t>
  </si>
  <si>
    <t>началу</t>
  </si>
  <si>
    <t>программы</t>
  </si>
  <si>
    <t>«Ноутбук</t>
  </si>
  <si>
    <t>каждому</t>
  </si>
  <si>
    <t>ребёнку»</t>
  </si>
  <si>
    <t># text = Достаточно TED выступлений Пройдусь очень быстро.</t>
  </si>
  <si>
    <t>Достаточно</t>
  </si>
  <si>
    <t>Пройдусь</t>
  </si>
  <si>
    <t>очень</t>
  </si>
  <si>
    <t># text = Это дало нам шанс делать нечто в относительно широком масштабе в области образования, развития и вычислительной техники.</t>
  </si>
  <si>
    <t>шанс</t>
  </si>
  <si>
    <t>делать</t>
  </si>
  <si>
    <t>относительно</t>
  </si>
  <si>
    <t>широком</t>
  </si>
  <si>
    <t>масштабе</t>
  </si>
  <si>
    <t>образования</t>
  </si>
  <si>
    <t>развития</t>
  </si>
  <si>
    <t>вычислительной</t>
  </si>
  <si>
    <t>техники</t>
  </si>
  <si>
    <t># text = Не так много людей знают, что «Ноутбук каждому ребёнку» был проектом стоимостью 1 миллиард долларов.</t>
  </si>
  <si>
    <t>знают</t>
  </si>
  <si>
    <t>проектом</t>
  </si>
  <si>
    <t>стоимостью</t>
  </si>
  <si>
    <t>миллиард</t>
  </si>
  <si>
    <t>долларов</t>
  </si>
  <si>
    <t># text = Так оно и есть все 7 лет, что я им руковожу, но важнее всего, что Всемирный Банк ничего не внёс, АМР — тоже ничего.</t>
  </si>
  <si>
    <t>им</t>
  </si>
  <si>
    <t>руковожу</t>
  </si>
  <si>
    <t>важнее</t>
  </si>
  <si>
    <t>всего</t>
  </si>
  <si>
    <t>Всемирный</t>
  </si>
  <si>
    <t>Банк</t>
  </si>
  <si>
    <t>ничего</t>
  </si>
  <si>
    <t>внёс</t>
  </si>
  <si>
    <t>АМР</t>
  </si>
  <si>
    <t>тоже</t>
  </si>
  <si>
    <t># text = По большей части, это были страны, использующие свои ресурсы, что весьма интересно.</t>
  </si>
  <si>
    <t>части</t>
  </si>
  <si>
    <t>страны</t>
  </si>
  <si>
    <t>использующие</t>
  </si>
  <si>
    <t>ресурсы</t>
  </si>
  <si>
    <t># text = Для меня это было очень интересно в свете того, что я планировал далее.</t>
  </si>
  <si>
    <t>свете</t>
  </si>
  <si>
    <t>планировал</t>
  </si>
  <si>
    <t># text = Вот во всех этих местах программа заработала.</t>
  </si>
  <si>
    <t>этих</t>
  </si>
  <si>
    <t>программа</t>
  </si>
  <si>
    <t>заработала</t>
  </si>
  <si>
    <t># text = Затем я провёл эксперимент, которой имел место в Эфиопии.</t>
  </si>
  <si>
    <t>которой</t>
  </si>
  <si>
    <t>Эфиопии</t>
  </si>
  <si>
    <t># text = И вот, каким он был.</t>
  </si>
  <si>
    <t>каким</t>
  </si>
  <si>
    <t># text = Эксперимент в том, возможно ли обучение там, где нет школ.</t>
  </si>
  <si>
    <t>Эксперимент</t>
  </si>
  <si>
    <t>обучение</t>
  </si>
  <si>
    <t>школ</t>
  </si>
  <si>
    <t># text = Мы раздали планшеты без каких-либо инструкций и позволили детям разобраться самим.</t>
  </si>
  <si>
    <t>раздали</t>
  </si>
  <si>
    <t>планшеты</t>
  </si>
  <si>
    <t>каких-либо</t>
  </si>
  <si>
    <t>позволили</t>
  </si>
  <si>
    <t>детям</t>
  </si>
  <si>
    <t>разобраться</t>
  </si>
  <si>
    <t>самим</t>
  </si>
  <si>
    <t># text = За короткое время они не только их включили и стали использовать вплоть до 50 приложений на ребёнка в течение пяти дней, они распевали песенку АВС за двухнедельный период, и они взломали Андроид за 6 месяцев.</t>
  </si>
  <si>
    <t>За</t>
  </si>
  <si>
    <t>короткое</t>
  </si>
  <si>
    <t>включили</t>
  </si>
  <si>
    <t>вплоть</t>
  </si>
  <si>
    <t>приложений</t>
  </si>
  <si>
    <t>ребёнка</t>
  </si>
  <si>
    <t>течение</t>
  </si>
  <si>
    <t>пяти</t>
  </si>
  <si>
    <t>дней</t>
  </si>
  <si>
    <t>распевали</t>
  </si>
  <si>
    <t>песенку</t>
  </si>
  <si>
    <t>АВС</t>
  </si>
  <si>
    <t>двухнедельный</t>
  </si>
  <si>
    <t>взломали</t>
  </si>
  <si>
    <t>Андроид</t>
  </si>
  <si>
    <t>месяцев</t>
  </si>
  <si>
    <t># text = Вот это было очень занятно.</t>
  </si>
  <si>
    <t>занятно</t>
  </si>
  <si>
    <t># text = Вот, пожалуй, лучшее фото, что у меня есть.</t>
  </si>
  <si>
    <t>пожалуй</t>
  </si>
  <si>
    <t>лучшее</t>
  </si>
  <si>
    <t>фото</t>
  </si>
  <si>
    <t># text = Ребёнок справа для вас как бы провозгласил себя учителем.</t>
  </si>
  <si>
    <t>Ребёнок</t>
  </si>
  <si>
    <t>справа</t>
  </si>
  <si>
    <t>провозгласил</t>
  </si>
  <si>
    <t>себя</t>
  </si>
  <si>
    <t>учителем</t>
  </si>
  <si>
    <t># text = Посмотрите на малыша слева и далее.</t>
  </si>
  <si>
    <t>Посмотрите</t>
  </si>
  <si>
    <t>малыша</t>
  </si>
  <si>
    <t>слева</t>
  </si>
  <si>
    <t># text = Совсем нет взрослых здесь.</t>
  </si>
  <si>
    <t>Совсем</t>
  </si>
  <si>
    <t>взрослых</t>
  </si>
  <si>
    <t>здесь</t>
  </si>
  <si>
    <t># text = Я задумался: а можно ли сделать то же самое в более крупном масштабе?</t>
  </si>
  <si>
    <t>задумался</t>
  </si>
  <si>
    <t>сделать</t>
  </si>
  <si>
    <t>самое</t>
  </si>
  <si>
    <t>крупном</t>
  </si>
  <si>
    <t># text = Чего не хватает?</t>
  </si>
  <si>
    <t>Чего</t>
  </si>
  <si>
    <t>хватает</t>
  </si>
  <si>
    <t># text = Дети сейчас дают пресс-конференцию, и как бы пишут на грязи.</t>
  </si>
  <si>
    <t>Дети</t>
  </si>
  <si>
    <t>сейчас</t>
  </si>
  <si>
    <t>дают</t>
  </si>
  <si>
    <t>пресс-конференцию</t>
  </si>
  <si>
    <t>пишут</t>
  </si>
  <si>
    <t>грязи</t>
  </si>
  <si>
    <t># text = И ответ: а чего не хватает?</t>
  </si>
  <si>
    <t>чего</t>
  </si>
  <si>
    <t># text = Я пропущу свой прогноз, так как времени мало, и вот вопрос: что произойдёт?</t>
  </si>
  <si>
    <t>пропущу</t>
  </si>
  <si>
    <t>свой</t>
  </si>
  <si>
    <t>прогноз</t>
  </si>
  <si>
    <t>времени</t>
  </si>
  <si>
    <t>мало</t>
  </si>
  <si>
    <t>вопрос</t>
  </si>
  <si>
    <t>произойдёт</t>
  </si>
  <si>
    <t># text = Думаю, трудность в том, чтобы присоединить последний миллиард людей, что совсем иначе, нежели подключение следующего миллиарда, а иначе это потому, что следующий миллиард это как фрукт, висящий низко, а вот последний миллиард — это деревни.</t>
  </si>
  <si>
    <t>Думаю</t>
  </si>
  <si>
    <t>трудность</t>
  </si>
  <si>
    <t>присоединить</t>
  </si>
  <si>
    <t>последний</t>
  </si>
  <si>
    <t>совсем</t>
  </si>
  <si>
    <t>иначе</t>
  </si>
  <si>
    <t>нежели</t>
  </si>
  <si>
    <t>подключение</t>
  </si>
  <si>
    <t>следующего</t>
  </si>
  <si>
    <t>миллиарда</t>
  </si>
  <si>
    <t>фрукт</t>
  </si>
  <si>
    <t>висящий</t>
  </si>
  <si>
    <t>низко</t>
  </si>
  <si>
    <t>деревни</t>
  </si>
  <si>
    <t># text = Деревенские и бедные люди — понятия разные.</t>
  </si>
  <si>
    <t>Деревенские</t>
  </si>
  <si>
    <t>бедные</t>
  </si>
  <si>
    <t>понятия</t>
  </si>
  <si>
    <t>разные</t>
  </si>
  <si>
    <t># text = Бедность обычно создаётся нашим обществом, а люди в этом обществе вовсе не бедны в том же смысле.</t>
  </si>
  <si>
    <t>Бедность</t>
  </si>
  <si>
    <t>обычно</t>
  </si>
  <si>
    <t>создаётся</t>
  </si>
  <si>
    <t>нашим</t>
  </si>
  <si>
    <t>обществом</t>
  </si>
  <si>
    <t>обществе</t>
  </si>
  <si>
    <t>вовсе</t>
  </si>
  <si>
    <t>бедны</t>
  </si>
  <si>
    <t># text = Может, они и простоваты, но способ подхода к ним, установки связи с ними история программы «Ноутбук каждому ребёнку» и эксперимент в Эфиопии вселяют в меня уверенность, что мы можем сделать это за короткое время.</t>
  </si>
  <si>
    <t>Может</t>
  </si>
  <si>
    <t>простоваты</t>
  </si>
  <si>
    <t>способ</t>
  </si>
  <si>
    <t>подхода</t>
  </si>
  <si>
    <t>ним</t>
  </si>
  <si>
    <t>установки</t>
  </si>
  <si>
    <t>связи</t>
  </si>
  <si>
    <t>ними</t>
  </si>
  <si>
    <t>история</t>
  </si>
  <si>
    <t>вселяют</t>
  </si>
  <si>
    <t>уверенность</t>
  </si>
  <si>
    <t>можем</t>
  </si>
  <si>
    <t># text = Мой план таков — к сожалению, я не смог привезти своих партнёров, чтобы представить их, — сделать это с помощью стационарного спутника.</t>
  </si>
  <si>
    <t>Мой</t>
  </si>
  <si>
    <t>план</t>
  </si>
  <si>
    <t>сожалению</t>
  </si>
  <si>
    <t>смог</t>
  </si>
  <si>
    <t>привезти</t>
  </si>
  <si>
    <t>партнёров</t>
  </si>
  <si>
    <t>помощью</t>
  </si>
  <si>
    <t>стационарного</t>
  </si>
  <si>
    <t>спутника</t>
  </si>
  <si>
    <t># text = По многим причинам стационарные спутники — не самое лучшее решение, но и по многим причинам — да.</t>
  </si>
  <si>
    <t>многим</t>
  </si>
  <si>
    <t>причинам</t>
  </si>
  <si>
    <t>стационарные</t>
  </si>
  <si>
    <t>спутники</t>
  </si>
  <si>
    <t>решение</t>
  </si>
  <si>
    <t># text = За 2 миллиарда долларов можно подключить более 100 миллионов человек, но я выбрал 2 — оставлю тут изображение на слайде.</t>
  </si>
  <si>
    <t>подключить</t>
  </si>
  <si>
    <t>миллионов</t>
  </si>
  <si>
    <t>оставлю</t>
  </si>
  <si>
    <t>изображение</t>
  </si>
  <si>
    <t># text = 2 миллиарда долларов — сумма, которые мы тратили в Афганистане еженедельно.</t>
  </si>
  <si>
    <t>которые</t>
  </si>
  <si>
    <t>тратили</t>
  </si>
  <si>
    <t>Афганистане</t>
  </si>
  <si>
    <t>еженедельно</t>
  </si>
  <si>
    <t># text = Конечно, если мы сможем подключить Африку и последний миллиард человек за такую сумму, то надо это сделать.</t>
  </si>
  <si>
    <t>Конечно</t>
  </si>
  <si>
    <t>сможем</t>
  </si>
  <si>
    <t>Африку</t>
  </si>
  <si>
    <t>такую</t>
  </si>
  <si>
    <t>сумму</t>
  </si>
  <si>
    <t># text = Спасибо большое.</t>
  </si>
  <si>
    <t>большое</t>
  </si>
  <si>
    <t># text = (Аплодисменты) Крис Андерсон:</t>
  </si>
  <si>
    <t>Крис</t>
  </si>
  <si>
    <t>Андерсон</t>
  </si>
  <si>
    <t># text = Подождите немного.</t>
  </si>
  <si>
    <t>Подождите</t>
  </si>
  <si>
    <t># text = НН: Вы мне выделите дополнительное время?</t>
  </si>
  <si>
    <t>выделите</t>
  </si>
  <si>
    <t>дополнительное</t>
  </si>
  <si>
    <t># text = КА: Нет, но это было чертовски умно.</t>
  </si>
  <si>
    <t>КА</t>
  </si>
  <si>
    <t>Нет</t>
  </si>
  <si>
    <t>умно</t>
  </si>
  <si>
    <t># text = Отличный ход.</t>
  </si>
  <si>
    <t>Отличный</t>
  </si>
  <si>
    <t># text = Николас, каков ваш прогноз?</t>
  </si>
  <si>
    <t>каков</t>
  </si>
  <si>
    <t>ваш</t>
  </si>
  <si>
    <t># text = НН: Спасибо, за вопрос.</t>
  </si>
  <si>
    <t># text = Я скажу, каков мой прогноз.</t>
  </si>
  <si>
    <t>мой</t>
  </si>
  <si>
    <t># text = Моё предсказание, именно предсказание, на срок через 30 лет.</t>
  </si>
  <si>
    <t>Моё</t>
  </si>
  <si>
    <t>именно</t>
  </si>
  <si>
    <t>срок</t>
  </si>
  <si>
    <t># text = Меня здесь не будет.</t>
  </si>
  <si>
    <t>Меня</t>
  </si>
  <si>
    <t># text = Кое-что об обучении чтению: мы потребляли большие объёмы информации, проходящие через глаза.</t>
  </si>
  <si>
    <t>Кое-что</t>
  </si>
  <si>
    <t>обучении</t>
  </si>
  <si>
    <t>чтению</t>
  </si>
  <si>
    <t>потребляли</t>
  </si>
  <si>
    <t>объёмы</t>
  </si>
  <si>
    <t>проходящие</t>
  </si>
  <si>
    <t>глаза</t>
  </si>
  <si>
    <t># text = Вероятно, это очень неэффективный канал.</t>
  </si>
  <si>
    <t>Вероятно</t>
  </si>
  <si>
    <t>неэффективный</t>
  </si>
  <si>
    <t># text = Моё предсказание: мы будем проглатывать информацию.</t>
  </si>
  <si>
    <t>проглатывать</t>
  </si>
  <si>
    <t>информацию</t>
  </si>
  <si>
    <t># text = Принимаешь таблетку — и ты знаешь английский.</t>
  </si>
  <si>
    <t>Принимаешь</t>
  </si>
  <si>
    <t>таблетку</t>
  </si>
  <si>
    <t>знаешь</t>
  </si>
  <si>
    <t>английский</t>
  </si>
  <si>
    <t># text = Другую — и знаешь Шекспира.</t>
  </si>
  <si>
    <t>Другую</t>
  </si>
  <si>
    <t>Шекспира</t>
  </si>
  <si>
    <t># text = И сделать это можно через кровь.</t>
  </si>
  <si>
    <t>кровь</t>
  </si>
  <si>
    <t># text = Как только она попадает в кровь, по сосудам доходит до мозга, и так как таблетка знает, что у мозга есть разные зоны, она вводит информацию в нужную.</t>
  </si>
  <si>
    <t>Как</t>
  </si>
  <si>
    <t>попадает</t>
  </si>
  <si>
    <t>сосудам</t>
  </si>
  <si>
    <t>доходит</t>
  </si>
  <si>
    <t>мозга</t>
  </si>
  <si>
    <t>таблетка</t>
  </si>
  <si>
    <t>знает</t>
  </si>
  <si>
    <t>зоны</t>
  </si>
  <si>
    <t>вводит</t>
  </si>
  <si>
    <t>нужную</t>
  </si>
  <si>
    <t># text = Так что — проглатывание.</t>
  </si>
  <si>
    <t># text = КА: Ты когда-нибудь общался с Реем Курцвейлом?</t>
  </si>
  <si>
    <t>Ты</t>
  </si>
  <si>
    <t>когда-нибудь</t>
  </si>
  <si>
    <t>общался</t>
  </si>
  <si>
    <t>Реем</t>
  </si>
  <si>
    <t>Курцвейлом</t>
  </si>
  <si>
    <t># text = НН: Нет, но я общался с Эдом Бойденом и одним из присутствующих спикеров, Хью Херром, и ещё другими людьми.</t>
  </si>
  <si>
    <t>Эдом</t>
  </si>
  <si>
    <t>Бойденом</t>
  </si>
  <si>
    <t>одним</t>
  </si>
  <si>
    <t>присутствующих</t>
  </si>
  <si>
    <t>спикеров</t>
  </si>
  <si>
    <t>Хью</t>
  </si>
  <si>
    <t>Херром</t>
  </si>
  <si>
    <t>другими</t>
  </si>
  <si>
    <t>людьми</t>
  </si>
  <si>
    <t># text = Это не так уж и надуманно, так что — через 30 лет.</t>
  </si>
  <si>
    <t>уж</t>
  </si>
  <si>
    <t>надуманно</t>
  </si>
  <si>
    <t># text = КА: Посмотрим.</t>
  </si>
  <si>
    <t>Посмотрим</t>
  </si>
  <si>
    <t># text = Мы вернёмся и через 30 лет прокрутим это видео, и потом все примем красную таблетку.</t>
  </si>
  <si>
    <t>вернёмся</t>
  </si>
  <si>
    <t>прокрутим</t>
  </si>
  <si>
    <t>примем</t>
  </si>
  <si>
    <t>красную</t>
  </si>
  <si>
    <t># text = Спасибо за это.</t>
  </si>
  <si>
    <t># text = Николас Негропонте!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</si>
</sst>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16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11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28</v>
      </c>
      <c r="C6" s="6" t="s">
        <v>12</v>
      </c>
      <c r="D6" s="7" t="s">
        <v>17</v>
      </c>
      <c r="E6" s="8" t="s">
        <v>29</v>
      </c>
      <c r="F6" s="6" t="s">
        <v>30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20</v>
      </c>
      <c r="B7" s="6" t="s">
        <v>10</v>
      </c>
      <c r="C7" s="6" t="s">
        <v>12</v>
      </c>
      <c r="D7" s="7" t="s">
        <v>31</v>
      </c>
      <c r="E7" s="8" t="s">
        <v>32</v>
      </c>
      <c r="F7" s="6" t="s">
        <v>33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34</v>
      </c>
      <c r="B8" s="6" t="s">
        <v>28</v>
      </c>
      <c r="C8" s="6" t="s">
        <v>12</v>
      </c>
      <c r="D8" s="7" t="s">
        <v>35</v>
      </c>
      <c r="E8" s="8" t="s">
        <v>36</v>
      </c>
      <c r="F8" s="6" t="s">
        <v>37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38</v>
      </c>
      <c r="B9" s="6" t="s">
        <v>10</v>
      </c>
      <c r="C9" s="6" t="s">
        <v>12</v>
      </c>
      <c r="D9" s="7" t="s">
        <v>39</v>
      </c>
      <c r="E9" s="8" t="s">
        <v>40</v>
      </c>
      <c r="F9" s="6" t="s">
        <v>41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42</v>
      </c>
      <c r="B10" s="6" t="s">
        <v>11</v>
      </c>
      <c r="C10" s="6" t="s">
        <v>12</v>
      </c>
      <c r="D10" s="7" t="s">
        <v>43</v>
      </c>
      <c r="E10" s="8" t="s">
        <v>44</v>
      </c>
      <c r="F10" s="6" t="s">
        <v>45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46</v>
      </c>
      <c r="B11" s="6" t="s">
        <v>16</v>
      </c>
      <c r="C11" s="6" t="s">
        <v>12</v>
      </c>
      <c r="D11" s="7" t="s">
        <v>47</v>
      </c>
      <c r="E11" s="8" t="s">
        <v>48</v>
      </c>
      <c r="F11" s="6" t="s">
        <v>49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50</v>
      </c>
      <c r="B12" s="6" t="s">
        <v>11</v>
      </c>
      <c r="C12" s="6" t="s">
        <v>12</v>
      </c>
      <c r="D12" s="7" t="s">
        <v>51</v>
      </c>
      <c r="E12" s="8" t="s">
        <v>52</v>
      </c>
      <c r="F12" s="6" t="s">
        <v>53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16</v>
      </c>
      <c r="C13" s="6" t="s">
        <v>12</v>
      </c>
      <c r="D13" s="7" t="s">
        <v>55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24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42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28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11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24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11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16</v>
      </c>
      <c r="C20" s="6" t="s">
        <v>12</v>
      </c>
      <c r="D20" s="7" t="s">
        <v>31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16</v>
      </c>
      <c r="C21" s="6" t="s">
        <v>12</v>
      </c>
      <c r="D21" s="7" t="s">
        <v>86</v>
      </c>
      <c r="E21" s="8" t="s">
        <v>87</v>
      </c>
      <c r="F21" s="6" t="s">
        <v>88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11</v>
      </c>
      <c r="C22" s="6" t="s">
        <v>12</v>
      </c>
      <c r="D22" s="7" t="s">
        <v>31</v>
      </c>
      <c r="E22" s="8" t="s">
        <v>90</v>
      </c>
      <c r="F22" s="6" t="s">
        <v>91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92</v>
      </c>
      <c r="B23" s="6" t="s">
        <v>10</v>
      </c>
      <c r="C23" s="6" t="s">
        <v>12</v>
      </c>
      <c r="D23" s="7" t="s">
        <v>93</v>
      </c>
      <c r="E23" s="8" t="s">
        <v>94</v>
      </c>
      <c r="F23" s="6" t="s">
        <v>95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96</v>
      </c>
      <c r="B24" s="6" t="s">
        <v>11</v>
      </c>
      <c r="C24" s="6" t="s">
        <v>12</v>
      </c>
      <c r="D24" s="7" t="s">
        <v>97</v>
      </c>
      <c r="E24" s="8" t="s">
        <v>98</v>
      </c>
      <c r="F24" s="6" t="s">
        <v>99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100</v>
      </c>
      <c r="B25" s="6" t="s">
        <v>24</v>
      </c>
      <c r="C25" s="6" t="s">
        <v>12</v>
      </c>
      <c r="D25" s="7" t="s">
        <v>101</v>
      </c>
      <c r="E25" s="8" t="s">
        <v>102</v>
      </c>
      <c r="F25" s="6" t="s">
        <v>103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104</v>
      </c>
      <c r="B26" s="6" t="s">
        <v>11</v>
      </c>
      <c r="C26" s="6" t="s">
        <v>12</v>
      </c>
      <c r="D26" s="7" t="s">
        <v>105</v>
      </c>
      <c r="E26" s="8" t="s">
        <v>106</v>
      </c>
      <c r="F26" s="6" t="s">
        <v>107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108</v>
      </c>
      <c r="B27" s="6" t="s">
        <v>16</v>
      </c>
      <c r="C27" s="6" t="s">
        <v>12</v>
      </c>
      <c r="D27" s="7" t="s">
        <v>109</v>
      </c>
      <c r="E27" s="8" t="s">
        <v>110</v>
      </c>
      <c r="F27" s="6" t="s">
        <v>111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112</v>
      </c>
      <c r="B28" s="6" t="s">
        <v>11</v>
      </c>
      <c r="C28" s="6" t="s">
        <v>12</v>
      </c>
      <c r="D28" s="7" t="s">
        <v>79</v>
      </c>
      <c r="E28" s="8" t="s">
        <v>113</v>
      </c>
      <c r="F28" s="6" t="s">
        <v>114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10</v>
      </c>
      <c r="C29" s="6" t="s">
        <v>12</v>
      </c>
      <c r="D29" s="7" t="s">
        <v>116</v>
      </c>
      <c r="E29" s="8" t="s">
        <v>117</v>
      </c>
      <c r="F29" s="6" t="s">
        <v>118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119</v>
      </c>
      <c r="B30" s="6" t="s">
        <v>24</v>
      </c>
      <c r="C30" s="6" t="s">
        <v>12</v>
      </c>
      <c r="D30" s="7" t="s">
        <v>120</v>
      </c>
      <c r="E30" s="8" t="s">
        <v>121</v>
      </c>
      <c r="F30" s="6" t="s">
        <v>122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123</v>
      </c>
      <c r="B31" s="6" t="s">
        <v>11</v>
      </c>
      <c r="C31" s="6" t="s">
        <v>12</v>
      </c>
      <c r="D31" s="7" t="s">
        <v>124</v>
      </c>
      <c r="E31" s="8" t="s">
        <v>125</v>
      </c>
      <c r="F31" s="6" t="s">
        <v>126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127</v>
      </c>
      <c r="B32" s="6" t="s">
        <v>11</v>
      </c>
      <c r="C32" s="6" t="s">
        <v>12</v>
      </c>
      <c r="D32" s="7" t="s">
        <v>128</v>
      </c>
      <c r="E32" s="8" t="s">
        <v>129</v>
      </c>
      <c r="F32" s="6" t="s">
        <v>130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131</v>
      </c>
      <c r="B33" s="6" t="s">
        <v>11</v>
      </c>
      <c r="C33" s="6" t="s">
        <v>12</v>
      </c>
      <c r="D33" s="7" t="s">
        <v>132</v>
      </c>
      <c r="E33" s="8" t="s">
        <v>133</v>
      </c>
      <c r="F33" s="6" t="s">
        <v>134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135</v>
      </c>
      <c r="B34" s="6" t="s">
        <v>16</v>
      </c>
      <c r="C34" s="6" t="s">
        <v>12</v>
      </c>
      <c r="D34" s="7" t="s">
        <v>136</v>
      </c>
      <c r="E34" s="8" t="s">
        <v>137</v>
      </c>
      <c r="F34" s="6" t="s">
        <v>138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139</v>
      </c>
      <c r="B35" s="6" t="s">
        <v>24</v>
      </c>
      <c r="C35" s="6" t="s">
        <v>12</v>
      </c>
      <c r="D35" s="7" t="s">
        <v>140</v>
      </c>
      <c r="E35" s="8" t="s">
        <v>141</v>
      </c>
      <c r="F35" s="6" t="s">
        <v>142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143</v>
      </c>
      <c r="B36" s="6" t="s">
        <v>24</v>
      </c>
      <c r="C36" s="6" t="s">
        <v>12</v>
      </c>
      <c r="D36" s="7" t="s">
        <v>144</v>
      </c>
      <c r="E36" s="8" t="s">
        <v>145</v>
      </c>
      <c r="F36" s="6" t="s">
        <v>146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147</v>
      </c>
      <c r="B37" s="6" t="s">
        <v>10</v>
      </c>
      <c r="C37" s="6" t="s">
        <v>12</v>
      </c>
      <c r="D37" s="7" t="s">
        <v>39</v>
      </c>
      <c r="E37" s="8" t="s">
        <v>148</v>
      </c>
      <c r="F37" s="6" t="s">
        <v>149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150</v>
      </c>
      <c r="B38" s="6" t="s">
        <v>11</v>
      </c>
      <c r="C38" s="6" t="s">
        <v>12</v>
      </c>
      <c r="D38" s="7" t="s">
        <v>151</v>
      </c>
      <c r="E38" s="8" t="s">
        <v>152</v>
      </c>
      <c r="F38" s="6" t="s">
        <v>153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154</v>
      </c>
      <c r="B39" s="6" t="s">
        <v>10</v>
      </c>
      <c r="C39" s="6" t="s">
        <v>12</v>
      </c>
      <c r="D39" s="7" t="s">
        <v>155</v>
      </c>
      <c r="E39" s="8" t="s">
        <v>156</v>
      </c>
      <c r="F39" s="6" t="s">
        <v>157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158</v>
      </c>
      <c r="B40" s="6" t="s">
        <v>10</v>
      </c>
      <c r="C40" s="6" t="s">
        <v>12</v>
      </c>
      <c r="D40" s="7" t="s">
        <v>39</v>
      </c>
      <c r="E40" s="8" t="s">
        <v>159</v>
      </c>
      <c r="F40" s="6" t="s">
        <v>160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161</v>
      </c>
      <c r="B41" s="6" t="s">
        <v>11</v>
      </c>
      <c r="C41" s="6" t="s">
        <v>12</v>
      </c>
      <c r="D41" s="7" t="s">
        <v>162</v>
      </c>
      <c r="E41" s="8" t="s">
        <v>163</v>
      </c>
      <c r="F41" s="6" t="s">
        <v>164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165</v>
      </c>
      <c r="B42" s="6" t="s">
        <v>11</v>
      </c>
      <c r="C42" s="6" t="s">
        <v>12</v>
      </c>
      <c r="D42" s="7" t="s">
        <v>166</v>
      </c>
      <c r="E42" s="8" t="s">
        <v>167</v>
      </c>
      <c r="F42" s="6" t="s">
        <v>168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169</v>
      </c>
      <c r="B43" s="6" t="s">
        <v>11</v>
      </c>
      <c r="C43" s="6" t="s">
        <v>12</v>
      </c>
      <c r="D43" s="7" t="s">
        <v>109</v>
      </c>
      <c r="E43" s="8" t="s">
        <v>170</v>
      </c>
      <c r="F43" s="6" t="s">
        <v>171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172</v>
      </c>
      <c r="B44" s="6" t="s">
        <v>28</v>
      </c>
      <c r="C44" s="6" t="s">
        <v>173</v>
      </c>
      <c r="D44" s="7" t="s">
        <v>174</v>
      </c>
      <c r="E44" s="8" t="s">
        <v>175</v>
      </c>
      <c r="F44" s="6" t="s">
        <v>176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177</v>
      </c>
      <c r="B45" s="6" t="s">
        <v>38</v>
      </c>
      <c r="C45" s="6" t="s">
        <v>12</v>
      </c>
      <c r="D45" s="7" t="s">
        <v>178</v>
      </c>
      <c r="E45" s="8" t="s">
        <v>179</v>
      </c>
      <c r="F45" s="6" t="s">
        <v>180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181</v>
      </c>
      <c r="B46" s="6" t="s">
        <v>119</v>
      </c>
      <c r="C46" s="6" t="s">
        <v>12</v>
      </c>
      <c r="D46" s="7" t="s">
        <v>182</v>
      </c>
      <c r="E46" s="8" t="s">
        <v>183</v>
      </c>
      <c r="F46" s="6" t="s">
        <v>184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185</v>
      </c>
      <c r="B47" s="6" t="s">
        <v>10</v>
      </c>
      <c r="C47" s="6" t="s">
        <v>12</v>
      </c>
      <c r="D47" s="7" t="s">
        <v>186</v>
      </c>
      <c r="E47" s="8" t="s">
        <v>187</v>
      </c>
      <c r="F47" s="6" t="s">
        <v>188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189</v>
      </c>
      <c r="B48" s="6" t="s">
        <v>11</v>
      </c>
      <c r="C48" s="6" t="s">
        <v>12</v>
      </c>
      <c r="D48" s="7" t="s">
        <v>178</v>
      </c>
      <c r="E48" s="8" t="s">
        <v>190</v>
      </c>
      <c r="F48" s="6" t="s">
        <v>191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192</v>
      </c>
      <c r="B49" s="6" t="s">
        <v>11</v>
      </c>
      <c r="C49" s="6" t="s">
        <v>12</v>
      </c>
      <c r="D49" s="7" t="s">
        <v>193</v>
      </c>
      <c r="E49" s="8" t="s">
        <v>194</v>
      </c>
      <c r="F49" s="6" t="s">
        <v>195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196</v>
      </c>
      <c r="B50" s="6" t="s">
        <v>24</v>
      </c>
      <c r="C50" s="6" t="s">
        <v>12</v>
      </c>
      <c r="D50" s="7" t="s">
        <v>197</v>
      </c>
      <c r="E50" s="8" t="s">
        <v>198</v>
      </c>
      <c r="F50" s="6" t="s">
        <v>199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200</v>
      </c>
      <c r="B51" s="6" t="s">
        <v>11</v>
      </c>
      <c r="C51" s="6" t="s">
        <v>12</v>
      </c>
      <c r="D51" s="7" t="s">
        <v>31</v>
      </c>
      <c r="E51" s="8" t="s">
        <v>201</v>
      </c>
      <c r="F51" s="6" t="s">
        <v>202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203</v>
      </c>
      <c r="B52" s="6" t="s">
        <v>10</v>
      </c>
      <c r="C52" s="6" t="s">
        <v>12</v>
      </c>
      <c r="D52" s="7" t="s">
        <v>204</v>
      </c>
      <c r="E52" s="8" t="s">
        <v>205</v>
      </c>
      <c r="F52" s="6" t="s">
        <v>206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207</v>
      </c>
      <c r="B53" s="6" t="s">
        <v>20</v>
      </c>
      <c r="C53" s="6" t="s">
        <v>208</v>
      </c>
      <c r="D53" s="7" t="s">
        <v>209</v>
      </c>
      <c r="E53" s="8" t="s">
        <v>210</v>
      </c>
      <c r="F53" s="6" t="s">
        <v>211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212</v>
      </c>
      <c r="B54" s="6" t="s">
        <v>46</v>
      </c>
      <c r="C54" s="6" t="s">
        <v>12</v>
      </c>
      <c r="D54" s="7" t="s">
        <v>213</v>
      </c>
      <c r="E54" s="8" t="s">
        <v>214</v>
      </c>
      <c r="F54" s="6" t="s">
        <v>215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216</v>
      </c>
      <c r="B55" s="6" t="s">
        <v>10</v>
      </c>
      <c r="C55" s="6" t="s">
        <v>12</v>
      </c>
      <c r="D55" s="7" t="s">
        <v>217</v>
      </c>
      <c r="E55" s="8" t="s">
        <v>218</v>
      </c>
      <c r="F55" s="6" t="s">
        <v>219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220</v>
      </c>
      <c r="B56" s="6" t="s">
        <v>24</v>
      </c>
      <c r="C56" s="6" t="s">
        <v>12</v>
      </c>
      <c r="D56" s="7" t="s">
        <v>221</v>
      </c>
      <c r="E56" s="8" t="s">
        <v>222</v>
      </c>
      <c r="F56" s="6" t="s">
        <v>223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224</v>
      </c>
      <c r="B57" s="6" t="s">
        <v>24</v>
      </c>
      <c r="C57" s="6" t="s">
        <v>12</v>
      </c>
      <c r="D57" s="7" t="s">
        <v>136</v>
      </c>
      <c r="E57" s="8" t="s">
        <v>225</v>
      </c>
      <c r="F57" s="6" t="s">
        <v>226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227</v>
      </c>
      <c r="B58" s="6" t="s">
        <v>16</v>
      </c>
      <c r="C58" s="6" t="s">
        <v>12</v>
      </c>
      <c r="D58" s="7" t="s">
        <v>228</v>
      </c>
      <c r="E58" s="8" t="s">
        <v>229</v>
      </c>
      <c r="F58" s="6" t="s">
        <v>230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231</v>
      </c>
      <c r="B59" s="6" t="s">
        <v>54</v>
      </c>
      <c r="C59" s="6" t="s">
        <v>12</v>
      </c>
      <c r="D59" s="7" t="s">
        <v>232</v>
      </c>
      <c r="E59" s="8" t="s">
        <v>233</v>
      </c>
      <c r="F59" s="6" t="s">
        <v>234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235</v>
      </c>
      <c r="B60" s="6" t="s">
        <v>28</v>
      </c>
      <c r="C60" s="6" t="s">
        <v>12</v>
      </c>
      <c r="D60" s="7" t="s">
        <v>120</v>
      </c>
      <c r="E60" s="8" t="s">
        <v>236</v>
      </c>
      <c r="F60" s="6" t="s">
        <v>237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238</v>
      </c>
      <c r="B61" s="6" t="s">
        <v>28</v>
      </c>
      <c r="C61" s="6" t="s">
        <v>12</v>
      </c>
      <c r="D61" s="7" t="s">
        <v>239</v>
      </c>
      <c r="E61" s="8" t="s">
        <v>240</v>
      </c>
      <c r="F61" s="6" t="s">
        <v>241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242</v>
      </c>
      <c r="B62" s="6" t="s">
        <v>24</v>
      </c>
      <c r="C62" s="6" t="s">
        <v>12</v>
      </c>
      <c r="D62" s="7" t="s">
        <v>243</v>
      </c>
      <c r="E62" s="8" t="s">
        <v>244</v>
      </c>
      <c r="F62" s="6" t="s">
        <v>245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246</v>
      </c>
      <c r="B63" s="6" t="s">
        <v>16</v>
      </c>
      <c r="C63" s="6" t="s">
        <v>12</v>
      </c>
      <c r="D63" s="7" t="s">
        <v>178</v>
      </c>
      <c r="E63" s="8" t="s">
        <v>247</v>
      </c>
      <c r="F63" s="6" t="s">
        <v>248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249</v>
      </c>
      <c r="B64" s="6" t="s">
        <v>28</v>
      </c>
      <c r="C64" s="6" t="s">
        <v>12</v>
      </c>
      <c r="D64" s="7" t="s">
        <v>116</v>
      </c>
      <c r="E64" s="8" t="s">
        <v>250</v>
      </c>
      <c r="F64" s="6" t="s">
        <v>251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252</v>
      </c>
      <c r="B65" s="6" t="s">
        <v>34</v>
      </c>
      <c r="C65" s="6" t="s">
        <v>12</v>
      </c>
      <c r="D65" s="7" t="s">
        <v>253</v>
      </c>
      <c r="E65" s="8" t="s">
        <v>254</v>
      </c>
      <c r="F65" s="6" t="s">
        <v>255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256</v>
      </c>
      <c r="B66" s="6" t="s">
        <v>11</v>
      </c>
      <c r="C66" s="6" t="s">
        <v>12</v>
      </c>
      <c r="D66" s="7" t="s">
        <v>132</v>
      </c>
      <c r="E66" s="8" t="s">
        <v>257</v>
      </c>
      <c r="F66" s="6" t="s">
        <v>258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259</v>
      </c>
      <c r="B67" s="6" t="s">
        <v>16</v>
      </c>
      <c r="C67" s="6" t="s">
        <v>12</v>
      </c>
      <c r="D67" s="7" t="s">
        <v>260</v>
      </c>
      <c r="E67" s="8" t="s">
        <v>261</v>
      </c>
      <c r="F67" s="6" t="s">
        <v>262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263</v>
      </c>
      <c r="B68" s="6" t="s">
        <v>24</v>
      </c>
      <c r="C68" s="6" t="s">
        <v>12</v>
      </c>
      <c r="D68" s="7" t="s">
        <v>264</v>
      </c>
      <c r="E68" s="8" t="s">
        <v>265</v>
      </c>
      <c r="F68" s="6" t="s">
        <v>266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267</v>
      </c>
      <c r="B69" s="6" t="s">
        <v>11</v>
      </c>
      <c r="C69" s="6" t="s">
        <v>12</v>
      </c>
      <c r="D69" s="7" t="s">
        <v>260</v>
      </c>
      <c r="E69" s="8" t="s">
        <v>268</v>
      </c>
      <c r="F69" s="6" t="s">
        <v>269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270</v>
      </c>
      <c r="B70" s="6" t="s">
        <v>11</v>
      </c>
      <c r="C70" s="6" t="s">
        <v>12</v>
      </c>
      <c r="D70" s="7" t="s">
        <v>271</v>
      </c>
      <c r="E70" s="8" t="s">
        <v>272</v>
      </c>
      <c r="F70" s="6" t="s">
        <v>273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274</v>
      </c>
      <c r="B71" s="6" t="s">
        <v>11</v>
      </c>
      <c r="C71" s="6" t="s">
        <v>12</v>
      </c>
      <c r="D71" s="7" t="s">
        <v>275</v>
      </c>
      <c r="E71" s="8" t="s">
        <v>276</v>
      </c>
      <c r="F71" s="6" t="s">
        <v>277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278</v>
      </c>
      <c r="B72" s="6" t="s">
        <v>16</v>
      </c>
      <c r="C72" s="6" t="s">
        <v>12</v>
      </c>
      <c r="D72" s="7" t="s">
        <v>279</v>
      </c>
      <c r="E72" s="8" t="s">
        <v>280</v>
      </c>
      <c r="F72" s="6" t="s">
        <v>281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282</v>
      </c>
      <c r="B73" s="6" t="s">
        <v>11</v>
      </c>
      <c r="C73" s="6" t="s">
        <v>12</v>
      </c>
      <c r="D73" s="7" t="s">
        <v>166</v>
      </c>
      <c r="E73" s="8" t="s">
        <v>283</v>
      </c>
      <c r="F73" s="6" t="s">
        <v>284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285</v>
      </c>
      <c r="B74" s="6" t="s">
        <v>10</v>
      </c>
      <c r="C74" s="6" t="s">
        <v>12</v>
      </c>
      <c r="D74" s="7" t="s">
        <v>286</v>
      </c>
      <c r="E74" s="8" t="s">
        <v>287</v>
      </c>
      <c r="F74" s="6" t="s">
        <v>288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289</v>
      </c>
      <c r="B75" s="6" t="s">
        <v>66</v>
      </c>
      <c r="C75" s="6" t="s">
        <v>12</v>
      </c>
      <c r="D75" s="7" t="s">
        <v>290</v>
      </c>
      <c r="E75" s="8" t="s">
        <v>291</v>
      </c>
      <c r="F75" s="6" t="s">
        <v>292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293</v>
      </c>
      <c r="B76" s="6" t="s">
        <v>11</v>
      </c>
      <c r="C76" s="6" t="s">
        <v>12</v>
      </c>
      <c r="D76" s="7" t="s">
        <v>294</v>
      </c>
      <c r="E76" s="8" t="s">
        <v>295</v>
      </c>
      <c r="F76" s="6" t="s">
        <v>296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297</v>
      </c>
      <c r="B77" s="6" t="s">
        <v>11</v>
      </c>
      <c r="C77" s="6" t="s">
        <v>12</v>
      </c>
      <c r="D77" s="7" t="s">
        <v>298</v>
      </c>
      <c r="E77" s="8" t="s">
        <v>299</v>
      </c>
      <c r="F77" s="6" t="s">
        <v>300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301</v>
      </c>
      <c r="B78" s="6" t="s">
        <v>28</v>
      </c>
      <c r="C78" s="6" t="s">
        <v>12</v>
      </c>
      <c r="D78" s="7" t="s">
        <v>239</v>
      </c>
      <c r="E78" s="8" t="s">
        <v>302</v>
      </c>
      <c r="F78" s="6" t="s">
        <v>303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304</v>
      </c>
      <c r="B79" s="6" t="s">
        <v>16</v>
      </c>
      <c r="C79" s="6" t="s">
        <v>12</v>
      </c>
      <c r="D79" s="7" t="s">
        <v>305</v>
      </c>
      <c r="E79" s="8" t="s">
        <v>306</v>
      </c>
      <c r="F79" s="6" t="s">
        <v>307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308</v>
      </c>
      <c r="B80" s="6" t="s">
        <v>10</v>
      </c>
      <c r="C80" s="6" t="s">
        <v>12</v>
      </c>
      <c r="D80" s="7" t="s">
        <v>31</v>
      </c>
      <c r="E80" s="8" t="s">
        <v>309</v>
      </c>
      <c r="F80" s="6" t="s">
        <v>310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311</v>
      </c>
      <c r="B81" s="6" t="s">
        <v>11</v>
      </c>
      <c r="C81" s="6" t="s">
        <v>12</v>
      </c>
      <c r="D81" s="7" t="s">
        <v>312</v>
      </c>
      <c r="E81" s="8" t="s">
        <v>313</v>
      </c>
      <c r="F81" s="6" t="s">
        <v>314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315</v>
      </c>
      <c r="B82" s="6" t="s">
        <v>24</v>
      </c>
      <c r="C82" s="6" t="s">
        <v>12</v>
      </c>
      <c r="D82" s="7" t="s">
        <v>35</v>
      </c>
      <c r="E82" s="8" t="s">
        <v>316</v>
      </c>
      <c r="F82" s="6" t="s">
        <v>317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318</v>
      </c>
      <c r="B83" s="6" t="s">
        <v>42</v>
      </c>
      <c r="C83" s="6" t="s">
        <v>12</v>
      </c>
      <c r="D83" s="7" t="s">
        <v>319</v>
      </c>
      <c r="E83" s="8" t="s">
        <v>320</v>
      </c>
      <c r="F83" s="6" t="s">
        <v>321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322</v>
      </c>
      <c r="B84" s="6" t="s">
        <v>42</v>
      </c>
      <c r="C84" s="6" t="s">
        <v>12</v>
      </c>
      <c r="D84" s="7" t="s">
        <v>136</v>
      </c>
      <c r="E84" s="8" t="s">
        <v>323</v>
      </c>
      <c r="F84" s="6" t="s">
        <v>324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325</v>
      </c>
      <c r="B85" s="6" t="s">
        <v>10</v>
      </c>
      <c r="C85" s="6" t="s">
        <v>12</v>
      </c>
      <c r="D85" s="7" t="s">
        <v>116</v>
      </c>
      <c r="E85" s="8" t="s">
        <v>326</v>
      </c>
      <c r="F85" s="6" t="s">
        <v>327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328</v>
      </c>
      <c r="B86" s="6" t="s">
        <v>24</v>
      </c>
      <c r="C86" s="6" t="s">
        <v>12</v>
      </c>
      <c r="D86" s="7" t="s">
        <v>329</v>
      </c>
      <c r="E86" s="8" t="s">
        <v>330</v>
      </c>
      <c r="F86" s="6" t="s">
        <v>331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332</v>
      </c>
      <c r="B87" s="6" t="s">
        <v>24</v>
      </c>
      <c r="C87" s="6" t="s">
        <v>12</v>
      </c>
      <c r="D87" s="7" t="s">
        <v>333</v>
      </c>
      <c r="E87" s="8" t="s">
        <v>334</v>
      </c>
      <c r="F87" s="6" t="s">
        <v>335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336</v>
      </c>
      <c r="B88" s="6" t="s">
        <v>16</v>
      </c>
      <c r="C88" s="6" t="s">
        <v>12</v>
      </c>
      <c r="D88" s="7" t="s">
        <v>337</v>
      </c>
      <c r="E88" s="8" t="s">
        <v>338</v>
      </c>
      <c r="F88" s="6" t="s">
        <v>339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340</v>
      </c>
      <c r="B89" s="6" t="s">
        <v>10</v>
      </c>
      <c r="C89" s="6" t="s">
        <v>12</v>
      </c>
      <c r="D89" s="7" t="s">
        <v>341</v>
      </c>
      <c r="E89" s="8" t="s">
        <v>342</v>
      </c>
      <c r="F89" s="6" t="s">
        <v>343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344</v>
      </c>
      <c r="B90" s="6" t="s">
        <v>11</v>
      </c>
      <c r="C90" s="6" t="s">
        <v>12</v>
      </c>
      <c r="D90" s="7" t="s">
        <v>345</v>
      </c>
      <c r="E90" s="8" t="s">
        <v>346</v>
      </c>
      <c r="F90" s="6" t="s">
        <v>347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348</v>
      </c>
      <c r="B91" s="6" t="s">
        <v>28</v>
      </c>
      <c r="C91" s="6" t="s">
        <v>12</v>
      </c>
      <c r="D91" s="7" t="s">
        <v>349</v>
      </c>
      <c r="E91" s="8" t="s">
        <v>350</v>
      </c>
      <c r="F91" s="6" t="s">
        <v>351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352</v>
      </c>
      <c r="B92" s="6" t="s">
        <v>20</v>
      </c>
      <c r="C92" s="6" t="s">
        <v>12</v>
      </c>
      <c r="D92" s="7" t="s">
        <v>353</v>
      </c>
      <c r="E92" s="8" t="s">
        <v>354</v>
      </c>
      <c r="F92" s="6" t="s">
        <v>355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356</v>
      </c>
      <c r="B93" s="6" t="s">
        <v>10</v>
      </c>
      <c r="C93" s="6" t="s">
        <v>12</v>
      </c>
      <c r="D93" s="7" t="s">
        <v>116</v>
      </c>
      <c r="E93" s="8" t="s">
        <v>357</v>
      </c>
      <c r="F93" s="6" t="s">
        <v>358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359</v>
      </c>
      <c r="B94" s="6" t="s">
        <v>11</v>
      </c>
      <c r="C94" s="6" t="s">
        <v>12</v>
      </c>
      <c r="D94" s="7" t="s">
        <v>275</v>
      </c>
      <c r="E94" s="8" t="s">
        <v>360</v>
      </c>
      <c r="F94" s="6" t="s">
        <v>361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362</v>
      </c>
      <c r="B95" s="6" t="s">
        <v>16</v>
      </c>
      <c r="C95" s="6" t="s">
        <v>12</v>
      </c>
      <c r="D95" s="7" t="s">
        <v>197</v>
      </c>
      <c r="E95" s="8" t="s">
        <v>363</v>
      </c>
      <c r="F95" s="6" t="s">
        <v>364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365</v>
      </c>
      <c r="B96" s="6" t="s">
        <v>16</v>
      </c>
      <c r="C96" s="6" t="s">
        <v>12</v>
      </c>
      <c r="D96" s="7" t="s">
        <v>366</v>
      </c>
      <c r="E96" s="8" t="s">
        <v>367</v>
      </c>
      <c r="F96" s="6" t="s">
        <v>368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369</v>
      </c>
      <c r="B97" s="6" t="s">
        <v>24</v>
      </c>
      <c r="C97" s="6" t="s">
        <v>12</v>
      </c>
      <c r="D97" s="7" t="s">
        <v>370</v>
      </c>
      <c r="E97" s="8" t="s">
        <v>371</v>
      </c>
      <c r="F97" s="6" t="s">
        <v>372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373</v>
      </c>
      <c r="B98" s="6" t="s">
        <v>50</v>
      </c>
      <c r="C98" s="6" t="s">
        <v>12</v>
      </c>
      <c r="D98" s="7" t="s">
        <v>374</v>
      </c>
      <c r="E98" s="8" t="s">
        <v>375</v>
      </c>
      <c r="F98" s="6" t="s">
        <v>376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377</v>
      </c>
      <c r="B99" s="6" t="s">
        <v>10</v>
      </c>
      <c r="C99" s="6" t="s">
        <v>12</v>
      </c>
      <c r="D99" s="7" t="s">
        <v>378</v>
      </c>
      <c r="E99" s="8" t="s">
        <v>379</v>
      </c>
      <c r="F99" s="6" t="s">
        <v>380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381</v>
      </c>
      <c r="B100" s="6" t="s">
        <v>54</v>
      </c>
      <c r="C100" s="6" t="s">
        <v>12</v>
      </c>
      <c r="D100" s="7" t="s">
        <v>382</v>
      </c>
      <c r="E100" s="8" t="s">
        <v>383</v>
      </c>
      <c r="F100" s="6" t="s">
        <v>384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385</v>
      </c>
      <c r="B101" s="6" t="s">
        <v>11</v>
      </c>
      <c r="C101" s="6" t="s">
        <v>12</v>
      </c>
      <c r="D101" s="7" t="s">
        <v>386</v>
      </c>
      <c r="E101" s="8" t="s">
        <v>387</v>
      </c>
      <c r="F101" s="6" t="s">
        <v>388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389</v>
      </c>
      <c r="B102" s="6" t="s">
        <v>16</v>
      </c>
      <c r="C102" s="6" t="s">
        <v>12</v>
      </c>
      <c r="D102" s="7" t="s">
        <v>260</v>
      </c>
      <c r="E102" s="8" t="s">
        <v>390</v>
      </c>
      <c r="F102" s="6" t="s">
        <v>391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392</v>
      </c>
      <c r="B103" s="6" t="s">
        <v>16</v>
      </c>
      <c r="C103" s="6" t="s">
        <v>12</v>
      </c>
      <c r="D103" s="7" t="s">
        <v>393</v>
      </c>
      <c r="E103" s="8" t="s">
        <v>394</v>
      </c>
      <c r="F103" s="6" t="s">
        <v>395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396</v>
      </c>
      <c r="B104" s="6" t="s">
        <v>10</v>
      </c>
      <c r="C104" s="6" t="s">
        <v>12</v>
      </c>
      <c r="D104" s="7" t="s">
        <v>397</v>
      </c>
      <c r="E104" s="8" t="s">
        <v>398</v>
      </c>
      <c r="F104" s="6" t="s">
        <v>399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400</v>
      </c>
      <c r="B105" s="6" t="s">
        <v>16</v>
      </c>
      <c r="C105" s="6" t="s">
        <v>12</v>
      </c>
      <c r="D105" s="7" t="s">
        <v>401</v>
      </c>
      <c r="E105" s="8" t="s">
        <v>402</v>
      </c>
      <c r="F105" s="6" t="s">
        <v>403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404</v>
      </c>
      <c r="B106" s="6" t="s">
        <v>24</v>
      </c>
      <c r="C106" s="6" t="s">
        <v>12</v>
      </c>
      <c r="D106" s="7" t="s">
        <v>405</v>
      </c>
      <c r="E106" s="8" t="s">
        <v>406</v>
      </c>
      <c r="F106" s="6" t="s">
        <v>407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408</v>
      </c>
      <c r="B107" s="6" t="s">
        <v>24</v>
      </c>
      <c r="C107" s="6" t="s">
        <v>12</v>
      </c>
      <c r="D107" s="7" t="s">
        <v>71</v>
      </c>
      <c r="E107" s="8" t="s">
        <v>409</v>
      </c>
      <c r="F107" s="6" t="s">
        <v>410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411</v>
      </c>
      <c r="B108" s="6" t="s">
        <v>11</v>
      </c>
      <c r="C108" s="6" t="s">
        <v>12</v>
      </c>
      <c r="D108" s="7" t="s">
        <v>412</v>
      </c>
      <c r="E108" s="8" t="s">
        <v>413</v>
      </c>
      <c r="F108" s="6" t="s">
        <v>414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415</v>
      </c>
      <c r="B109" s="6" t="s">
        <v>28</v>
      </c>
      <c r="C109" s="6" t="s">
        <v>12</v>
      </c>
      <c r="D109" s="7" t="s">
        <v>416</v>
      </c>
      <c r="E109" s="8" t="s">
        <v>417</v>
      </c>
      <c r="F109" s="6" t="s">
        <v>418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419</v>
      </c>
      <c r="B110" s="6" t="s">
        <v>11</v>
      </c>
      <c r="C110" s="6" t="s">
        <v>12</v>
      </c>
      <c r="D110" s="7" t="s">
        <v>420</v>
      </c>
      <c r="E110" s="8" t="s">
        <v>421</v>
      </c>
      <c r="F110" s="6" t="s">
        <v>422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423</v>
      </c>
      <c r="B111" s="6" t="s">
        <v>11</v>
      </c>
      <c r="C111" s="6" t="s">
        <v>12</v>
      </c>
      <c r="D111" s="7" t="s">
        <v>424</v>
      </c>
      <c r="E111" s="8" t="s">
        <v>425</v>
      </c>
      <c r="F111" s="6" t="s">
        <v>426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427</v>
      </c>
      <c r="B112" s="6" t="s">
        <v>20</v>
      </c>
      <c r="C112" s="6" t="s">
        <v>12</v>
      </c>
      <c r="D112" s="7" t="s">
        <v>109</v>
      </c>
      <c r="E112" s="8" t="s">
        <v>428</v>
      </c>
      <c r="F112" s="6" t="s">
        <v>429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430</v>
      </c>
      <c r="B113" s="6" t="s">
        <v>10</v>
      </c>
      <c r="C113" s="6" t="s">
        <v>12</v>
      </c>
      <c r="D113" s="7" t="s">
        <v>431</v>
      </c>
      <c r="E113" s="8" t="s">
        <v>432</v>
      </c>
      <c r="F113" s="6" t="s">
        <v>433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434</v>
      </c>
      <c r="B114" s="6" t="s">
        <v>10</v>
      </c>
      <c r="C114" s="6" t="s">
        <v>12</v>
      </c>
      <c r="D114" s="7" t="s">
        <v>435</v>
      </c>
      <c r="E114" s="8" t="s">
        <v>436</v>
      </c>
      <c r="F114" s="6" t="s">
        <v>437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438</v>
      </c>
      <c r="B115" s="6" t="s">
        <v>11</v>
      </c>
      <c r="C115" s="6" t="s">
        <v>12</v>
      </c>
      <c r="D115" s="7" t="s">
        <v>439</v>
      </c>
      <c r="E115" s="8" t="s">
        <v>440</v>
      </c>
      <c r="F115" s="6" t="s">
        <v>441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442</v>
      </c>
      <c r="B116" s="6" t="s">
        <v>11</v>
      </c>
      <c r="C116" s="6" t="s">
        <v>12</v>
      </c>
      <c r="D116" s="7" t="s">
        <v>443</v>
      </c>
      <c r="E116" s="8" t="s">
        <v>444</v>
      </c>
      <c r="F116" s="6" t="s">
        <v>445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446</v>
      </c>
      <c r="B117" s="6" t="s">
        <v>10</v>
      </c>
      <c r="C117" s="6" t="s">
        <v>12</v>
      </c>
      <c r="D117" s="7" t="s">
        <v>447</v>
      </c>
      <c r="E117" s="8" t="s">
        <v>448</v>
      </c>
      <c r="F117" s="6" t="s">
        <v>449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450</v>
      </c>
      <c r="B118" s="6" t="s">
        <v>10</v>
      </c>
      <c r="C118" s="6" t="s">
        <v>12</v>
      </c>
      <c r="D118" s="7" t="s">
        <v>451</v>
      </c>
      <c r="E118" s="8" t="s">
        <v>452</v>
      </c>
      <c r="F118" s="6" t="s">
        <v>453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454</v>
      </c>
      <c r="B119" s="6" t="s">
        <v>16</v>
      </c>
      <c r="C119" s="6" t="s">
        <v>12</v>
      </c>
      <c r="D119" s="7" t="s">
        <v>455</v>
      </c>
      <c r="E119" s="8" t="s">
        <v>456</v>
      </c>
      <c r="F119" s="6" t="s">
        <v>457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458</v>
      </c>
      <c r="B120" s="6" t="s">
        <v>28</v>
      </c>
      <c r="C120" s="6" t="s">
        <v>12</v>
      </c>
      <c r="D120" s="7" t="s">
        <v>260</v>
      </c>
      <c r="E120" s="8" t="s">
        <v>459</v>
      </c>
      <c r="F120" s="6" t="s">
        <v>460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461</v>
      </c>
      <c r="B121" s="6" t="s">
        <v>16</v>
      </c>
      <c r="C121" s="6" t="s">
        <v>12</v>
      </c>
      <c r="D121" s="7" t="s">
        <v>462</v>
      </c>
      <c r="E121" s="8" t="s">
        <v>463</v>
      </c>
      <c r="F121" s="6" t="s">
        <v>464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465</v>
      </c>
      <c r="B122" s="6" t="s">
        <v>11</v>
      </c>
      <c r="C122" s="6" t="s">
        <v>12</v>
      </c>
      <c r="D122" s="7" t="s">
        <v>466</v>
      </c>
      <c r="E122" s="8" t="s">
        <v>467</v>
      </c>
      <c r="F122" s="6" t="s">
        <v>468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469</v>
      </c>
      <c r="B123" s="6" t="s">
        <v>11</v>
      </c>
      <c r="C123" s="6" t="s">
        <v>12</v>
      </c>
      <c r="D123" s="7" t="s">
        <v>470</v>
      </c>
      <c r="E123" s="8" t="s">
        <v>471</v>
      </c>
      <c r="F123" s="6" t="s">
        <v>472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473</v>
      </c>
      <c r="B124" s="6" t="s">
        <v>11</v>
      </c>
      <c r="C124" s="6" t="s">
        <v>12</v>
      </c>
      <c r="D124" s="7" t="s">
        <v>474</v>
      </c>
      <c r="E124" s="8" t="s">
        <v>475</v>
      </c>
      <c r="F124" s="6" t="s">
        <v>476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477</v>
      </c>
      <c r="B125" s="6" t="s">
        <v>11</v>
      </c>
      <c r="C125" s="6" t="s">
        <v>12</v>
      </c>
      <c r="D125" s="7" t="s">
        <v>478</v>
      </c>
      <c r="E125" s="8" t="s">
        <v>479</v>
      </c>
      <c r="F125" s="6" t="s">
        <v>480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481</v>
      </c>
      <c r="B126" s="6" t="s">
        <v>20</v>
      </c>
      <c r="C126" s="6" t="s">
        <v>12</v>
      </c>
      <c r="D126" s="7" t="s">
        <v>482</v>
      </c>
      <c r="E126" s="8" t="s">
        <v>483</v>
      </c>
      <c r="F126" s="6" t="s">
        <v>484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485</v>
      </c>
      <c r="B127" s="6" t="s">
        <v>16</v>
      </c>
      <c r="C127" s="6" t="s">
        <v>12</v>
      </c>
      <c r="D127" s="7" t="s">
        <v>486</v>
      </c>
      <c r="E127" s="8" t="s">
        <v>487</v>
      </c>
      <c r="F127" s="6" t="s">
        <v>488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489</v>
      </c>
      <c r="B128" s="6" t="s">
        <v>20</v>
      </c>
      <c r="C128" s="6" t="s">
        <v>12</v>
      </c>
      <c r="D128" s="7" t="s">
        <v>490</v>
      </c>
      <c r="E128" s="8" t="s">
        <v>491</v>
      </c>
      <c r="F128" s="6" t="s">
        <v>492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493</v>
      </c>
      <c r="B129" s="6" t="s">
        <v>10</v>
      </c>
      <c r="C129" s="6" t="s">
        <v>494</v>
      </c>
      <c r="D129" s="7" t="s">
        <v>490</v>
      </c>
      <c r="E129" s="8" t="s">
        <v>495</v>
      </c>
      <c r="F129" s="6" t="s">
        <v>496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497</v>
      </c>
      <c r="B130" s="6" t="s">
        <v>34</v>
      </c>
      <c r="C130" s="6" t="s">
        <v>12</v>
      </c>
      <c r="D130" s="7" t="s">
        <v>498</v>
      </c>
      <c r="E130" s="8" t="s">
        <v>499</v>
      </c>
      <c r="F130" s="6" t="s">
        <v>500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501</v>
      </c>
      <c r="B131" s="6" t="s">
        <v>11</v>
      </c>
      <c r="C131" s="6" t="s">
        <v>12</v>
      </c>
      <c r="D131" s="7" t="s">
        <v>502</v>
      </c>
      <c r="E131" s="8" t="s">
        <v>503</v>
      </c>
      <c r="F131" s="6" t="s">
        <v>504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505</v>
      </c>
      <c r="B132" s="6" t="s">
        <v>10</v>
      </c>
      <c r="C132" s="6" t="s">
        <v>12</v>
      </c>
      <c r="D132" s="7" t="s">
        <v>506</v>
      </c>
      <c r="E132" s="8" t="s">
        <v>507</v>
      </c>
      <c r="F132" s="6" t="s">
        <v>508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509</v>
      </c>
      <c r="B133" s="6" t="s">
        <v>11</v>
      </c>
      <c r="C133" s="6" t="s">
        <v>12</v>
      </c>
      <c r="D133" s="7" t="s">
        <v>455</v>
      </c>
      <c r="E133" s="8" t="s">
        <v>510</v>
      </c>
      <c r="F133" s="6" t="s">
        <v>511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512</v>
      </c>
      <c r="B134" s="6" t="s">
        <v>28</v>
      </c>
      <c r="C134" s="6" t="s">
        <v>12</v>
      </c>
      <c r="D134" s="7" t="s">
        <v>513</v>
      </c>
      <c r="E134" s="8" t="s">
        <v>514</v>
      </c>
      <c r="F134" s="6" t="s">
        <v>515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516</v>
      </c>
      <c r="B135" s="6" t="s">
        <v>24</v>
      </c>
      <c r="C135" s="6" t="s">
        <v>12</v>
      </c>
      <c r="D135" s="7" t="s">
        <v>517</v>
      </c>
      <c r="E135" s="8" t="s">
        <v>518</v>
      </c>
      <c r="F135" s="6" t="s">
        <v>519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520</v>
      </c>
      <c r="B136" s="6" t="s">
        <v>20</v>
      </c>
      <c r="C136" s="6" t="s">
        <v>12</v>
      </c>
      <c r="D136" s="7" t="s">
        <v>521</v>
      </c>
      <c r="E136" s="8" t="s">
        <v>522</v>
      </c>
      <c r="F136" s="6" t="s">
        <v>523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524</v>
      </c>
      <c r="B137" s="6" t="s">
        <v>24</v>
      </c>
      <c r="C137" s="6" t="s">
        <v>12</v>
      </c>
      <c r="D137" s="7" t="s">
        <v>525</v>
      </c>
      <c r="E137" s="8" t="s">
        <v>526</v>
      </c>
      <c r="F137" s="6" t="s">
        <v>527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528</v>
      </c>
      <c r="B138" s="6" t="s">
        <v>34</v>
      </c>
      <c r="C138" s="6" t="s">
        <v>12</v>
      </c>
      <c r="D138" s="7" t="s">
        <v>529</v>
      </c>
      <c r="E138" s="8" t="s">
        <v>530</v>
      </c>
      <c r="F138" s="6" t="s">
        <v>531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532</v>
      </c>
      <c r="B139" s="6" t="s">
        <v>16</v>
      </c>
      <c r="C139" s="6" t="s">
        <v>12</v>
      </c>
      <c r="D139" s="7" t="s">
        <v>533</v>
      </c>
      <c r="E139" s="8" t="s">
        <v>534</v>
      </c>
      <c r="F139" s="6" t="s">
        <v>535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536</v>
      </c>
      <c r="B140" s="6" t="s">
        <v>20</v>
      </c>
      <c r="C140" s="6" t="s">
        <v>12</v>
      </c>
      <c r="D140" s="7" t="s">
        <v>31</v>
      </c>
      <c r="E140" s="8" t="s">
        <v>537</v>
      </c>
      <c r="F140" s="6" t="s">
        <v>538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539</v>
      </c>
      <c r="B141" s="6" t="s">
        <v>10</v>
      </c>
      <c r="C141" s="6" t="s">
        <v>12</v>
      </c>
      <c r="D141" s="7" t="s">
        <v>540</v>
      </c>
      <c r="E141" s="8" t="s">
        <v>541</v>
      </c>
      <c r="F141" s="6" t="s">
        <v>542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543</v>
      </c>
      <c r="B142" s="6" t="s">
        <v>11</v>
      </c>
      <c r="C142" s="6" t="s">
        <v>12</v>
      </c>
      <c r="D142" s="7" t="s">
        <v>544</v>
      </c>
      <c r="E142" s="8" t="s">
        <v>545</v>
      </c>
      <c r="F142" s="6" t="s">
        <v>546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547</v>
      </c>
      <c r="B143" s="6" t="s">
        <v>38</v>
      </c>
      <c r="C143" s="6" t="s">
        <v>12</v>
      </c>
      <c r="D143" s="7" t="s">
        <v>548</v>
      </c>
      <c r="E143" s="8" t="s">
        <v>549</v>
      </c>
      <c r="F143" s="6" t="s">
        <v>550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551</v>
      </c>
      <c r="B144" s="6" t="s">
        <v>16</v>
      </c>
      <c r="C144" s="6" t="s">
        <v>12</v>
      </c>
      <c r="D144" s="7" t="s">
        <v>552</v>
      </c>
      <c r="E144" s="8" t="s">
        <v>553</v>
      </c>
      <c r="F144" s="6" t="s">
        <v>554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555</v>
      </c>
      <c r="B145" s="6" t="s">
        <v>10</v>
      </c>
      <c r="C145" s="6" t="s">
        <v>12</v>
      </c>
      <c r="D145" s="7" t="s">
        <v>556</v>
      </c>
      <c r="E145" s="8" t="s">
        <v>557</v>
      </c>
      <c r="F145" s="6" t="s">
        <v>558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559</v>
      </c>
      <c r="B146" s="6" t="s">
        <v>34</v>
      </c>
      <c r="C146" s="6" t="s">
        <v>12</v>
      </c>
      <c r="D146" s="7" t="s">
        <v>560</v>
      </c>
      <c r="E146" s="8" t="s">
        <v>561</v>
      </c>
      <c r="F146" s="6" t="s">
        <v>562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563</v>
      </c>
      <c r="B147" s="6" t="s">
        <v>10</v>
      </c>
      <c r="C147" s="6" t="s">
        <v>12</v>
      </c>
      <c r="D147" s="7" t="s">
        <v>564</v>
      </c>
      <c r="E147" s="8" t="s">
        <v>565</v>
      </c>
      <c r="F147" s="6" t="s">
        <v>566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567</v>
      </c>
      <c r="B148" s="6" t="s">
        <v>11</v>
      </c>
      <c r="C148" s="6" t="s">
        <v>12</v>
      </c>
      <c r="D148" s="7" t="s">
        <v>568</v>
      </c>
      <c r="E148" s="8" t="s">
        <v>569</v>
      </c>
      <c r="F148" s="6" t="s">
        <v>570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571</v>
      </c>
      <c r="B149" s="6" t="s">
        <v>11</v>
      </c>
      <c r="C149" s="6" t="s">
        <v>12</v>
      </c>
      <c r="D149" s="7" t="s">
        <v>572</v>
      </c>
      <c r="E149" s="8" t="s">
        <v>573</v>
      </c>
      <c r="F149" s="6" t="s">
        <v>574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  <row r="150" spans="1:10" ht="60" customHeight="1">
      <c r="A150" s="6" t="s">
        <v>575</v>
      </c>
      <c r="B150" s="6" t="s">
        <v>16</v>
      </c>
      <c r="C150" s="6" t="s">
        <v>12</v>
      </c>
      <c r="D150" s="7" t="s">
        <v>576</v>
      </c>
      <c r="E150" s="8" t="s">
        <v>577</v>
      </c>
      <c r="F150" s="6" t="s">
        <v>578</v>
      </c>
      <c r="G150" s="9">
        <f>IF(A150=1,"_",IF(C150="_","???",C150))</f>
        <v/>
      </c>
      <c r="H150" s="10" t="s">
        <v>12</v>
      </c>
      <c r="I150" s="11" t="s">
        <v>12</v>
      </c>
      <c r="J150" s="12"/>
    </row>
    <row r="151" spans="1:10" ht="60" customHeight="1">
      <c r="A151" s="6" t="s">
        <v>579</v>
      </c>
      <c r="B151" s="6" t="s">
        <v>42</v>
      </c>
      <c r="C151" s="6" t="s">
        <v>12</v>
      </c>
      <c r="D151" s="7" t="s">
        <v>580</v>
      </c>
      <c r="E151" s="8" t="s">
        <v>581</v>
      </c>
      <c r="F151" s="6" t="s">
        <v>582</v>
      </c>
      <c r="G151" s="9">
        <f>IF(A151=1,"_",IF(C151="_","???",C151))</f>
        <v/>
      </c>
      <c r="H151" s="10" t="s">
        <v>12</v>
      </c>
      <c r="I151" s="11" t="s">
        <v>12</v>
      </c>
      <c r="J151" s="12"/>
    </row>
    <row r="152" spans="1:10" ht="60" customHeight="1">
      <c r="A152" s="6" t="s">
        <v>583</v>
      </c>
      <c r="B152" s="6" t="s">
        <v>11</v>
      </c>
      <c r="C152" s="6" t="s">
        <v>12</v>
      </c>
      <c r="D152" s="7" t="s">
        <v>584</v>
      </c>
      <c r="E152" s="8" t="s">
        <v>585</v>
      </c>
      <c r="F152" s="6" t="s">
        <v>586</v>
      </c>
      <c r="G152" s="9">
        <f>IF(A152=1,"_",IF(C152="_","???",C152))</f>
        <v/>
      </c>
      <c r="H152" s="10" t="s">
        <v>12</v>
      </c>
      <c r="I152" s="11" t="s">
        <v>12</v>
      </c>
      <c r="J152" s="12"/>
    </row>
    <row r="153" spans="1:10" ht="60" customHeight="1">
      <c r="A153" s="6" t="s">
        <v>587</v>
      </c>
      <c r="B153" s="6" t="s">
        <v>11</v>
      </c>
      <c r="C153" s="6" t="s">
        <v>12</v>
      </c>
      <c r="D153" s="7" t="s">
        <v>588</v>
      </c>
      <c r="E153" s="8" t="s">
        <v>589</v>
      </c>
      <c r="F153" s="6" t="s">
        <v>590</v>
      </c>
      <c r="G153" s="9">
        <f>IF(A153=1,"_",IF(C153="_","???",C153))</f>
        <v/>
      </c>
      <c r="H153" s="10" t="s">
        <v>12</v>
      </c>
      <c r="I153" s="11" t="s">
        <v>12</v>
      </c>
      <c r="J153" s="12"/>
    </row>
    <row r="154" spans="1:10" ht="60" customHeight="1">
      <c r="A154" s="6" t="s">
        <v>591</v>
      </c>
      <c r="B154" s="6" t="s">
        <v>28</v>
      </c>
      <c r="C154" s="6" t="s">
        <v>173</v>
      </c>
      <c r="D154" s="7" t="s">
        <v>79</v>
      </c>
      <c r="E154" s="8" t="s">
        <v>592</v>
      </c>
      <c r="F154" s="6" t="s">
        <v>593</v>
      </c>
      <c r="G154" s="9">
        <f>IF(A154=1,"_",IF(C154="_","???",C154))</f>
        <v/>
      </c>
      <c r="H154" s="10" t="s">
        <v>12</v>
      </c>
      <c r="I154" s="11" t="s">
        <v>12</v>
      </c>
      <c r="J154" s="12"/>
    </row>
    <row r="155" spans="1:10" ht="60" customHeight="1">
      <c r="A155" s="6" t="s">
        <v>594</v>
      </c>
      <c r="B155" s="6" t="s">
        <v>20</v>
      </c>
      <c r="C155" s="6" t="s">
        <v>12</v>
      </c>
      <c r="D155" s="7" t="s">
        <v>595</v>
      </c>
      <c r="E155" s="8" t="s">
        <v>596</v>
      </c>
      <c r="F155" s="6" t="s">
        <v>597</v>
      </c>
      <c r="G155" s="9">
        <f>IF(A155=1,"_",IF(C155="_","???",C155))</f>
        <v/>
      </c>
      <c r="H155" s="10" t="s">
        <v>12</v>
      </c>
      <c r="I155" s="11" t="s">
        <v>12</v>
      </c>
      <c r="J155" s="12"/>
    </row>
    <row r="156" spans="1:10" ht="60" customHeight="1">
      <c r="A156" s="6" t="s">
        <v>598</v>
      </c>
      <c r="B156" s="6" t="s">
        <v>16</v>
      </c>
      <c r="C156" s="6" t="s">
        <v>12</v>
      </c>
      <c r="D156" s="7" t="s">
        <v>599</v>
      </c>
      <c r="E156" s="8" t="s">
        <v>600</v>
      </c>
      <c r="F156" s="6" t="s">
        <v>601</v>
      </c>
      <c r="G156" s="9">
        <f>IF(A156=1,"_",IF(C156="_","???",C156))</f>
        <v/>
      </c>
      <c r="H156" s="10" t="s">
        <v>12</v>
      </c>
      <c r="I156" s="11" t="s">
        <v>12</v>
      </c>
      <c r="J156" s="12"/>
    </row>
    <row r="157" spans="1:10" ht="60" customHeight="1">
      <c r="A157" s="6" t="s">
        <v>602</v>
      </c>
      <c r="B157" s="6" t="s">
        <v>28</v>
      </c>
      <c r="C157" s="6" t="s">
        <v>12</v>
      </c>
      <c r="D157" s="7" t="s">
        <v>603</v>
      </c>
      <c r="E157" s="8" t="s">
        <v>604</v>
      </c>
      <c r="F157" s="6" t="s">
        <v>605</v>
      </c>
      <c r="G157" s="9">
        <f>IF(A157=1,"_",IF(C157="_","???",C157))</f>
        <v/>
      </c>
      <c r="H157" s="10" t="s">
        <v>12</v>
      </c>
      <c r="I157" s="11" t="s">
        <v>12</v>
      </c>
      <c r="J157" s="12"/>
    </row>
    <row r="158" spans="1:10" ht="60" customHeight="1">
      <c r="A158" s="6" t="s">
        <v>606</v>
      </c>
      <c r="B158" s="6" t="s">
        <v>16</v>
      </c>
      <c r="C158" s="6" t="s">
        <v>12</v>
      </c>
      <c r="D158" s="7" t="s">
        <v>607</v>
      </c>
      <c r="E158" s="8" t="s">
        <v>608</v>
      </c>
      <c r="F158" s="6" t="s">
        <v>609</v>
      </c>
      <c r="G158" s="9">
        <f>IF(A158=1,"_",IF(C158="_","???",C158))</f>
        <v/>
      </c>
      <c r="H158" s="10" t="s">
        <v>12</v>
      </c>
      <c r="I158" s="11" t="s">
        <v>12</v>
      </c>
      <c r="J158" s="12"/>
    </row>
    <row r="159" spans="1:10" ht="60" customHeight="1">
      <c r="A159" s="6" t="s">
        <v>610</v>
      </c>
      <c r="B159" s="6" t="s">
        <v>16</v>
      </c>
      <c r="C159" s="6" t="s">
        <v>12</v>
      </c>
      <c r="D159" s="7" t="s">
        <v>132</v>
      </c>
      <c r="E159" s="8" t="s">
        <v>611</v>
      </c>
      <c r="F159" s="6" t="s">
        <v>612</v>
      </c>
      <c r="G159" s="9">
        <f>IF(A159=1,"_",IF(C159="_","???",C159))</f>
        <v/>
      </c>
      <c r="H159" s="10" t="s">
        <v>12</v>
      </c>
      <c r="I159" s="11" t="s">
        <v>12</v>
      </c>
      <c r="J159" s="12"/>
    </row>
    <row r="160" spans="1:10" ht="60" customHeight="1">
      <c r="A160" s="6" t="s">
        <v>613</v>
      </c>
      <c r="B160" s="6" t="s">
        <v>28</v>
      </c>
      <c r="C160" s="6" t="s">
        <v>12</v>
      </c>
      <c r="D160" s="7" t="s">
        <v>614</v>
      </c>
      <c r="E160" s="8" t="s">
        <v>615</v>
      </c>
      <c r="F160" s="6" t="s">
        <v>616</v>
      </c>
      <c r="G160" s="9">
        <f>IF(A160=1,"_",IF(C160="_","???",C160))</f>
        <v/>
      </c>
      <c r="H160" s="10" t="s">
        <v>12</v>
      </c>
      <c r="I160" s="11" t="s">
        <v>12</v>
      </c>
      <c r="J160" s="12"/>
    </row>
    <row r="161" spans="1:10" ht="60" customHeight="1">
      <c r="A161" s="6" t="s">
        <v>617</v>
      </c>
      <c r="B161" s="6" t="s">
        <v>28</v>
      </c>
      <c r="C161" s="6" t="s">
        <v>12</v>
      </c>
      <c r="D161" s="7" t="s">
        <v>618</v>
      </c>
      <c r="E161" s="8" t="s">
        <v>619</v>
      </c>
      <c r="F161" s="6" t="s">
        <v>620</v>
      </c>
      <c r="G161" s="9">
        <f>IF(A161=1,"_",IF(C161="_","???",C161))</f>
        <v/>
      </c>
      <c r="H161" s="10" t="s">
        <v>12</v>
      </c>
      <c r="I161" s="11" t="s">
        <v>12</v>
      </c>
      <c r="J161" s="12"/>
    </row>
    <row r="162" spans="1:10" ht="60" customHeight="1">
      <c r="A162" s="6" t="s">
        <v>621</v>
      </c>
      <c r="B162" s="6" t="s">
        <v>74</v>
      </c>
      <c r="C162" s="6" t="s">
        <v>12</v>
      </c>
      <c r="D162" s="7" t="s">
        <v>622</v>
      </c>
      <c r="E162" s="8" t="s">
        <v>623</v>
      </c>
      <c r="F162" s="6" t="s">
        <v>624</v>
      </c>
      <c r="G162" s="9">
        <f>IF(A162=1,"_",IF(C162="_","???",C162))</f>
        <v/>
      </c>
      <c r="H162" s="10" t="s">
        <v>12</v>
      </c>
      <c r="I162" s="11" t="s">
        <v>12</v>
      </c>
      <c r="J162" s="12"/>
    </row>
    <row r="163" spans="1:10" ht="60" customHeight="1">
      <c r="A163" s="6" t="s">
        <v>625</v>
      </c>
      <c r="B163" s="6" t="s">
        <v>11</v>
      </c>
      <c r="C163" s="6" t="s">
        <v>12</v>
      </c>
      <c r="D163" s="7" t="s">
        <v>305</v>
      </c>
      <c r="E163" s="8" t="s">
        <v>626</v>
      </c>
      <c r="F163" s="6" t="s">
        <v>627</v>
      </c>
      <c r="G163" s="9">
        <f>IF(A163=1,"_",IF(C163="_","???",C163))</f>
        <v/>
      </c>
      <c r="H163" s="10" t="s">
        <v>12</v>
      </c>
      <c r="I163" s="11" t="s">
        <v>12</v>
      </c>
      <c r="J163" s="12"/>
    </row>
    <row r="164" spans="1:10" ht="60" customHeight="1">
      <c r="A164" s="6" t="s">
        <v>628</v>
      </c>
      <c r="B164" s="6" t="s">
        <v>11</v>
      </c>
      <c r="C164" s="6" t="s">
        <v>12</v>
      </c>
      <c r="D164" s="7" t="s">
        <v>43</v>
      </c>
      <c r="E164" s="8" t="s">
        <v>629</v>
      </c>
      <c r="F164" s="6" t="s">
        <v>630</v>
      </c>
      <c r="G164" s="9">
        <f>IF(A164=1,"_",IF(C164="_","???",C164))</f>
        <v/>
      </c>
      <c r="H164" s="10" t="s">
        <v>12</v>
      </c>
      <c r="I164" s="11" t="s">
        <v>12</v>
      </c>
      <c r="J164" s="12"/>
    </row>
    <row r="165" spans="1:10" ht="60" customHeight="1">
      <c r="A165" s="6" t="s">
        <v>631</v>
      </c>
      <c r="B165" s="6" t="s">
        <v>10</v>
      </c>
      <c r="C165" s="6" t="s">
        <v>12</v>
      </c>
      <c r="D165" s="7" t="s">
        <v>632</v>
      </c>
      <c r="E165" s="8" t="s">
        <v>633</v>
      </c>
      <c r="F165" s="6" t="s">
        <v>634</v>
      </c>
      <c r="G165" s="9">
        <f>IF(A165=1,"_",IF(C165="_","???",C165))</f>
        <v/>
      </c>
      <c r="H165" s="10" t="s">
        <v>12</v>
      </c>
      <c r="I165" s="11" t="s">
        <v>12</v>
      </c>
      <c r="J165" s="12"/>
    </row>
    <row r="166" spans="1:10" ht="60" customHeight="1">
      <c r="A166" s="6" t="s">
        <v>635</v>
      </c>
      <c r="B166" s="6" t="s">
        <v>10</v>
      </c>
      <c r="C166" s="6" t="s">
        <v>12</v>
      </c>
      <c r="D166" s="7" t="s">
        <v>39</v>
      </c>
      <c r="E166" s="8" t="s">
        <v>636</v>
      </c>
      <c r="F166" s="6" t="s">
        <v>637</v>
      </c>
      <c r="G166" s="9">
        <f>IF(A166=1,"_",IF(C166="_","???",C166))</f>
        <v/>
      </c>
      <c r="H166" s="10" t="s">
        <v>12</v>
      </c>
      <c r="I166" s="11" t="s">
        <v>12</v>
      </c>
      <c r="J166" s="12"/>
    </row>
    <row r="167" spans="1:10" ht="60" customHeight="1">
      <c r="A167" s="6" t="s">
        <v>638</v>
      </c>
      <c r="B167" s="6" t="s">
        <v>10</v>
      </c>
      <c r="C167" s="6" t="s">
        <v>12</v>
      </c>
      <c r="D167" s="7" t="s">
        <v>639</v>
      </c>
      <c r="E167" s="8" t="s">
        <v>640</v>
      </c>
      <c r="F167" s="6" t="s">
        <v>641</v>
      </c>
      <c r="G167" s="9">
        <f>IF(A167=1,"_",IF(C167="_","???",C167))</f>
        <v/>
      </c>
      <c r="H167" s="10" t="s">
        <v>12</v>
      </c>
      <c r="I167" s="11" t="s">
        <v>12</v>
      </c>
      <c r="J167" s="12"/>
    </row>
    <row r="168" spans="1:10" ht="60" customHeight="1">
      <c r="A168" s="6" t="s">
        <v>642</v>
      </c>
      <c r="B168" s="6" t="s">
        <v>11</v>
      </c>
      <c r="C168" s="6" t="s">
        <v>12</v>
      </c>
      <c r="D168" s="7" t="s">
        <v>643</v>
      </c>
      <c r="E168" s="8" t="s">
        <v>644</v>
      </c>
      <c r="F168" s="6" t="s">
        <v>645</v>
      </c>
      <c r="G168" s="9">
        <f>IF(A168=1,"_",IF(C168="_","???",C168))</f>
        <v/>
      </c>
      <c r="H168" s="10" t="s">
        <v>12</v>
      </c>
      <c r="I168" s="11" t="s">
        <v>12</v>
      </c>
      <c r="J168" s="12"/>
    </row>
    <row r="169" spans="1:10" ht="60" customHeight="1">
      <c r="A169" s="6" t="s">
        <v>646</v>
      </c>
      <c r="B169" s="6" t="s">
        <v>10</v>
      </c>
      <c r="C169" s="6" t="s">
        <v>12</v>
      </c>
      <c r="D169" s="7" t="s">
        <v>647</v>
      </c>
      <c r="E169" s="8" t="s">
        <v>648</v>
      </c>
      <c r="F169" s="6" t="s">
        <v>649</v>
      </c>
      <c r="G169" s="9">
        <f>IF(A169=1,"_",IF(C169="_","???",C169))</f>
        <v/>
      </c>
      <c r="H169" s="10" t="s">
        <v>12</v>
      </c>
      <c r="I169" s="11" t="s">
        <v>12</v>
      </c>
      <c r="J169" s="12"/>
    </row>
    <row r="170" spans="1:10" ht="60" customHeight="1">
      <c r="A170" s="6" t="s">
        <v>650</v>
      </c>
      <c r="B170" s="6" t="s">
        <v>10</v>
      </c>
      <c r="C170" s="6" t="s">
        <v>12</v>
      </c>
      <c r="D170" s="7" t="s">
        <v>39</v>
      </c>
      <c r="E170" s="8" t="s">
        <v>651</v>
      </c>
      <c r="F170" s="6" t="s">
        <v>652</v>
      </c>
      <c r="G170" s="9">
        <f>IF(A170=1,"_",IF(C170="_","???",C170))</f>
        <v/>
      </c>
      <c r="H170" s="10" t="s">
        <v>12</v>
      </c>
      <c r="I170" s="11" t="s">
        <v>12</v>
      </c>
      <c r="J170" s="12"/>
    </row>
    <row r="171" spans="1:10" ht="60" customHeight="1">
      <c r="A171" s="6" t="s">
        <v>653</v>
      </c>
      <c r="B171" s="6" t="s">
        <v>11</v>
      </c>
      <c r="C171" s="6" t="s">
        <v>12</v>
      </c>
      <c r="D171" s="7" t="s">
        <v>345</v>
      </c>
      <c r="E171" s="8" t="s">
        <v>654</v>
      </c>
      <c r="F171" s="6" t="s">
        <v>655</v>
      </c>
      <c r="G171" s="9">
        <f>IF(A171=1,"_",IF(C171="_","???",C171))</f>
        <v/>
      </c>
      <c r="H171" s="10" t="s">
        <v>12</v>
      </c>
      <c r="I171" s="11" t="s">
        <v>12</v>
      </c>
      <c r="J171" s="12"/>
    </row>
    <row r="172" spans="1:10" ht="60" customHeight="1">
      <c r="A172" s="6" t="s">
        <v>656</v>
      </c>
      <c r="B172" s="6" t="s">
        <v>11</v>
      </c>
      <c r="C172" s="6" t="s">
        <v>12</v>
      </c>
      <c r="D172" s="7" t="s">
        <v>657</v>
      </c>
      <c r="E172" s="8" t="s">
        <v>658</v>
      </c>
      <c r="F172" s="6" t="s">
        <v>659</v>
      </c>
      <c r="G172" s="9">
        <f>IF(A172=1,"_",IF(C172="_","???",C172))</f>
        <v/>
      </c>
      <c r="H172" s="10" t="s">
        <v>12</v>
      </c>
      <c r="I172" s="11" t="s">
        <v>12</v>
      </c>
      <c r="J172" s="12"/>
    </row>
    <row r="173" spans="1:10" ht="60" customHeight="1">
      <c r="A173" s="6" t="s">
        <v>660</v>
      </c>
      <c r="B173" s="6" t="s">
        <v>24</v>
      </c>
      <c r="C173" s="6" t="s">
        <v>12</v>
      </c>
      <c r="D173" s="7" t="s">
        <v>31</v>
      </c>
      <c r="E173" s="8" t="s">
        <v>661</v>
      </c>
      <c r="F173" s="6" t="s">
        <v>662</v>
      </c>
      <c r="G173" s="9">
        <f>IF(A173=1,"_",IF(C173="_","???",C173))</f>
        <v/>
      </c>
      <c r="H173" s="10" t="s">
        <v>12</v>
      </c>
      <c r="I173" s="11" t="s">
        <v>12</v>
      </c>
      <c r="J173" s="12"/>
    </row>
    <row r="174" spans="1:10" ht="60" customHeight="1">
      <c r="A174" s="6" t="s">
        <v>663</v>
      </c>
      <c r="B174" s="6" t="s">
        <v>10</v>
      </c>
      <c r="C174" s="6" t="s">
        <v>12</v>
      </c>
      <c r="D174" s="7" t="s">
        <v>664</v>
      </c>
      <c r="E174" s="8" t="s">
        <v>665</v>
      </c>
      <c r="F174" s="6" t="s">
        <v>666</v>
      </c>
      <c r="G174" s="9">
        <f>IF(A174=1,"_",IF(C174="_","???",C174))</f>
        <v/>
      </c>
      <c r="H174" s="10" t="s">
        <v>12</v>
      </c>
      <c r="I174" s="11" t="s">
        <v>12</v>
      </c>
      <c r="J174" s="12"/>
    </row>
    <row r="175" spans="1:10" ht="60" customHeight="1">
      <c r="A175" s="6" t="s">
        <v>667</v>
      </c>
      <c r="B175" s="6" t="s">
        <v>20</v>
      </c>
      <c r="C175" s="6" t="s">
        <v>12</v>
      </c>
      <c r="D175" s="7" t="s">
        <v>668</v>
      </c>
      <c r="E175" s="8" t="s">
        <v>669</v>
      </c>
      <c r="F175" s="6" t="s">
        <v>670</v>
      </c>
      <c r="G175" s="9">
        <f>IF(A175=1,"_",IF(C175="_","???",C175))</f>
        <v/>
      </c>
      <c r="H175" s="10" t="s">
        <v>12</v>
      </c>
      <c r="I175" s="11" t="s">
        <v>12</v>
      </c>
      <c r="J175" s="12"/>
    </row>
    <row r="176" spans="1:10" ht="60" customHeight="1">
      <c r="A176" s="6" t="s">
        <v>671</v>
      </c>
      <c r="B176" s="6" t="s">
        <v>11</v>
      </c>
      <c r="C176" s="6" t="s">
        <v>12</v>
      </c>
      <c r="D176" s="7" t="s">
        <v>657</v>
      </c>
      <c r="E176" s="8" t="s">
        <v>672</v>
      </c>
      <c r="F176" s="6" t="s">
        <v>673</v>
      </c>
      <c r="G176" s="9">
        <f>IF(A176=1,"_",IF(C176="_","???",C176))</f>
        <v/>
      </c>
      <c r="H176" s="10" t="s">
        <v>12</v>
      </c>
      <c r="I176" s="11" t="s">
        <v>12</v>
      </c>
      <c r="J176" s="12"/>
    </row>
    <row r="177" spans="1:10" ht="60" customHeight="1">
      <c r="A177" s="6" t="s">
        <v>674</v>
      </c>
      <c r="B177" s="6" t="s">
        <v>10</v>
      </c>
      <c r="C177" s="6" t="s">
        <v>12</v>
      </c>
      <c r="D177" s="7" t="s">
        <v>675</v>
      </c>
      <c r="E177" s="8" t="s">
        <v>676</v>
      </c>
      <c r="F177" s="6" t="s">
        <v>677</v>
      </c>
      <c r="G177" s="9">
        <f>IF(A177=1,"_",IF(C177="_","???",C177))</f>
        <v/>
      </c>
      <c r="H177" s="10" t="s">
        <v>12</v>
      </c>
      <c r="I177" s="11" t="s">
        <v>12</v>
      </c>
      <c r="J177" s="12"/>
    </row>
    <row r="178" spans="1:10" ht="60" customHeight="1">
      <c r="A178" s="6" t="s">
        <v>678</v>
      </c>
      <c r="B178" s="6" t="s">
        <v>10</v>
      </c>
      <c r="C178" s="6" t="s">
        <v>12</v>
      </c>
      <c r="D178" s="7" t="s">
        <v>97</v>
      </c>
      <c r="E178" s="8" t="s">
        <v>679</v>
      </c>
      <c r="F178" s="6" t="s">
        <v>680</v>
      </c>
      <c r="G178" s="9">
        <f>IF(A178=1,"_",IF(C178="_","???",C178))</f>
        <v/>
      </c>
      <c r="H178" s="10" t="s">
        <v>12</v>
      </c>
      <c r="I178" s="11" t="s">
        <v>12</v>
      </c>
      <c r="J178" s="12"/>
    </row>
    <row r="179" spans="1:10" ht="60" customHeight="1">
      <c r="A179" s="6" t="s">
        <v>681</v>
      </c>
      <c r="B179" s="6" t="s">
        <v>24</v>
      </c>
      <c r="C179" s="6" t="s">
        <v>12</v>
      </c>
      <c r="D179" s="7" t="s">
        <v>614</v>
      </c>
      <c r="E179" s="8" t="s">
        <v>682</v>
      </c>
      <c r="F179" s="6" t="s">
        <v>683</v>
      </c>
      <c r="G179" s="9">
        <f>IF(A179=1,"_",IF(C179="_","???",C179))</f>
        <v/>
      </c>
      <c r="H179" s="10" t="s">
        <v>12</v>
      </c>
      <c r="I179" s="11" t="s">
        <v>12</v>
      </c>
      <c r="J179" s="12"/>
    </row>
    <row r="180" spans="1:10" ht="60" customHeight="1">
      <c r="A180" s="6" t="s">
        <v>684</v>
      </c>
      <c r="B180" s="6" t="s">
        <v>46</v>
      </c>
      <c r="C180" s="6" t="s">
        <v>12</v>
      </c>
      <c r="D180" s="7" t="s">
        <v>685</v>
      </c>
      <c r="E180" s="8" t="s">
        <v>686</v>
      </c>
      <c r="F180" s="6" t="s">
        <v>687</v>
      </c>
      <c r="G180" s="9">
        <f>IF(A180=1,"_",IF(C180="_","???",C180))</f>
        <v/>
      </c>
      <c r="H180" s="10" t="s">
        <v>12</v>
      </c>
      <c r="I180" s="11" t="s">
        <v>12</v>
      </c>
      <c r="J180" s="12"/>
    </row>
    <row r="181" spans="1:10" ht="60" customHeight="1">
      <c r="A181" s="6" t="s">
        <v>688</v>
      </c>
      <c r="B181" s="6" t="s">
        <v>24</v>
      </c>
      <c r="C181" s="6" t="s">
        <v>12</v>
      </c>
      <c r="D181" s="7" t="s">
        <v>689</v>
      </c>
      <c r="E181" s="8" t="s">
        <v>690</v>
      </c>
      <c r="F181" s="6" t="s">
        <v>691</v>
      </c>
      <c r="G181" s="9">
        <f>IF(A181=1,"_",IF(C181="_","???",C181))</f>
        <v/>
      </c>
      <c r="H181" s="10" t="s">
        <v>12</v>
      </c>
      <c r="I181" s="11" t="s">
        <v>12</v>
      </c>
      <c r="J181" s="12"/>
    </row>
    <row r="182" spans="1:10" ht="60" customHeight="1">
      <c r="A182" s="6" t="s">
        <v>692</v>
      </c>
      <c r="B182" s="6" t="s">
        <v>10</v>
      </c>
      <c r="C182" s="6" t="s">
        <v>12</v>
      </c>
      <c r="D182" s="7" t="s">
        <v>639</v>
      </c>
      <c r="E182" s="8" t="s">
        <v>693</v>
      </c>
      <c r="F182" s="6" t="s">
        <v>694</v>
      </c>
      <c r="G182" s="9">
        <f>IF(A182=1,"_",IF(C182="_","???",C182))</f>
        <v/>
      </c>
      <c r="H182" s="10" t="s">
        <v>12</v>
      </c>
      <c r="I182" s="11" t="s">
        <v>12</v>
      </c>
      <c r="J182" s="12"/>
    </row>
    <row r="183" spans="1:10" ht="60" customHeight="1">
      <c r="A183" s="6" t="s">
        <v>695</v>
      </c>
      <c r="B183" s="6" t="s">
        <v>10</v>
      </c>
      <c r="C183" s="6" t="s">
        <v>12</v>
      </c>
      <c r="D183" s="7" t="s">
        <v>39</v>
      </c>
      <c r="E183" s="8" t="s">
        <v>696</v>
      </c>
      <c r="F183" s="6" t="s">
        <v>697</v>
      </c>
      <c r="G183" s="9">
        <f>IF(A183=1,"_",IF(C183="_","???",C183))</f>
        <v/>
      </c>
      <c r="H183" s="10" t="s">
        <v>12</v>
      </c>
      <c r="I183" s="11" t="s">
        <v>12</v>
      </c>
      <c r="J183" s="12"/>
    </row>
    <row r="184" spans="1:10" ht="60" customHeight="1">
      <c r="A184" s="6" t="s">
        <v>698</v>
      </c>
      <c r="B184" s="6" t="s">
        <v>16</v>
      </c>
      <c r="C184" s="6" t="s">
        <v>12</v>
      </c>
      <c r="D184" s="7" t="s">
        <v>699</v>
      </c>
      <c r="E184" s="8" t="s">
        <v>700</v>
      </c>
      <c r="F184" s="6" t="s">
        <v>701</v>
      </c>
      <c r="G184" s="9">
        <f>IF(A184=1,"_",IF(C184="_","???",C184))</f>
        <v/>
      </c>
      <c r="H184" s="10" t="s">
        <v>12</v>
      </c>
      <c r="I184" s="11" t="s">
        <v>12</v>
      </c>
      <c r="J184" s="12"/>
    </row>
    <row r="185" spans="1:10" ht="60" customHeight="1">
      <c r="A185" s="6" t="s">
        <v>702</v>
      </c>
      <c r="B185" s="6" t="s">
        <v>10</v>
      </c>
      <c r="C185" s="6" t="s">
        <v>12</v>
      </c>
      <c r="D185" s="7" t="s">
        <v>639</v>
      </c>
      <c r="E185" s="8" t="s">
        <v>703</v>
      </c>
      <c r="F185" s="6" t="s">
        <v>704</v>
      </c>
      <c r="G185" s="9">
        <f>IF(A185=1,"_",IF(C185="_","???",C185))</f>
        <v/>
      </c>
      <c r="H185" s="10" t="s">
        <v>12</v>
      </c>
      <c r="I185" s="11" t="s">
        <v>12</v>
      </c>
      <c r="J185" s="12"/>
    </row>
    <row r="186" spans="1:10" ht="60" customHeight="1">
      <c r="A186" s="6" t="s">
        <v>705</v>
      </c>
      <c r="B186" s="6" t="s">
        <v>11</v>
      </c>
      <c r="C186" s="6" t="s">
        <v>12</v>
      </c>
      <c r="D186" s="7" t="s">
        <v>706</v>
      </c>
      <c r="E186" s="8" t="s">
        <v>707</v>
      </c>
      <c r="F186" s="6" t="s">
        <v>708</v>
      </c>
      <c r="G186" s="9">
        <f>IF(A186=1,"_",IF(C186="_","???",C186))</f>
        <v/>
      </c>
      <c r="H186" s="10" t="s">
        <v>12</v>
      </c>
      <c r="I186" s="11" t="s">
        <v>12</v>
      </c>
      <c r="J186" s="12"/>
    </row>
    <row r="187" spans="1:10" ht="60" customHeight="1">
      <c r="A187" s="6" t="s">
        <v>709</v>
      </c>
      <c r="B187" s="6" t="s">
        <v>10</v>
      </c>
      <c r="C187" s="6" t="s">
        <v>12</v>
      </c>
      <c r="D187" s="7" t="s">
        <v>710</v>
      </c>
      <c r="E187" s="8" t="s">
        <v>711</v>
      </c>
      <c r="F187" s="6" t="s">
        <v>712</v>
      </c>
      <c r="G187" s="9">
        <f>IF(A187=1,"_",IF(C187="_","???",C187))</f>
        <v/>
      </c>
      <c r="H187" s="10" t="s">
        <v>12</v>
      </c>
      <c r="I187" s="11" t="s">
        <v>12</v>
      </c>
      <c r="J187" s="12"/>
    </row>
    <row r="188" spans="1:10" ht="60" customHeight="1">
      <c r="A188" s="6" t="s">
        <v>713</v>
      </c>
      <c r="B188" s="6" t="s">
        <v>10</v>
      </c>
      <c r="C188" s="6" t="s">
        <v>12</v>
      </c>
      <c r="D188" s="7" t="s">
        <v>714</v>
      </c>
      <c r="E188" s="8" t="s">
        <v>715</v>
      </c>
      <c r="F188" s="6" t="s">
        <v>716</v>
      </c>
      <c r="G188" s="9">
        <f>IF(A188=1,"_",IF(C188="_","???",C188))</f>
        <v/>
      </c>
      <c r="H188" s="10" t="s">
        <v>12</v>
      </c>
      <c r="I188" s="11" t="s">
        <v>12</v>
      </c>
      <c r="J188" s="12"/>
    </row>
    <row r="189" spans="1:10" ht="60" customHeight="1">
      <c r="A189" s="6" t="s">
        <v>717</v>
      </c>
      <c r="B189" s="6" t="s">
        <v>10</v>
      </c>
      <c r="C189" s="6" t="s">
        <v>12</v>
      </c>
      <c r="D189" s="7" t="s">
        <v>39</v>
      </c>
      <c r="E189" s="8" t="s">
        <v>40</v>
      </c>
      <c r="F189" s="6" t="s">
        <v>718</v>
      </c>
      <c r="G189" s="9">
        <f>IF(A189=1,"_",IF(C189="_","???",C189))</f>
        <v/>
      </c>
      <c r="H189" s="10" t="s">
        <v>12</v>
      </c>
      <c r="I189" s="11" t="s">
        <v>12</v>
      </c>
      <c r="J18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14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719</v>
      </c>
      <c r="B1" s="13" t="s">
        <v>720</v>
      </c>
      <c r="C1" s="13" t="s">
        <v>721</v>
      </c>
      <c r="D1" s="13" t="s">
        <v>722</v>
      </c>
      <c r="E1" s="14" t="s">
        <v>723</v>
      </c>
      <c r="F1" s="15" t="s">
        <v>724</v>
      </c>
      <c r="G1" s="16" t="s">
        <v>725</v>
      </c>
      <c r="H1" s="17" t="s">
        <v>726</v>
      </c>
      <c r="I1" s="18" t="s">
        <v>727</v>
      </c>
      <c r="J1" s="18" t="s">
        <v>728</v>
      </c>
      <c r="K1" s="18" t="s">
        <v>729</v>
      </c>
      <c r="L1" s="19" t="s">
        <v>9</v>
      </c>
    </row>
    <row r="2" spans="1:12">
      <c r="A2" s="20" t="s">
        <v>730</v>
      </c>
    </row>
    <row r="3" spans="1:12">
      <c r="A3" s="20" t="s">
        <v>731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732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733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714</v>
      </c>
      <c r="B6" s="27" t="s">
        <v>734</v>
      </c>
      <c r="C6" s="27" t="s">
        <v>735</v>
      </c>
      <c r="D6" s="27" t="s">
        <v>736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737</v>
      </c>
      <c r="B7" s="27" t="s">
        <v>738</v>
      </c>
      <c r="C7" s="27" t="s">
        <v>735</v>
      </c>
      <c r="D7" s="27" t="s">
        <v>736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739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740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741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742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743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744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745</v>
      </c>
      <c r="B14" s="27" t="s">
        <v>746</v>
      </c>
      <c r="C14" s="27" t="s">
        <v>747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748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749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750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751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752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/>
    </row>
    <row r="21" spans="1:12">
      <c r="A21" s="20" t="s">
        <v>753</v>
      </c>
    </row>
    <row r="22" spans="1:12">
      <c r="A22" s="20" t="s">
        <v>754</v>
      </c>
      <c r="B22" s="27" t="s">
        <v>755</v>
      </c>
      <c r="C22" s="27" t="s">
        <v>756</v>
      </c>
      <c r="D22" s="27" t="s">
        <v>736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757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758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744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759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760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761</v>
      </c>
      <c r="B28" s="27" t="s">
        <v>762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763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764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765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/>
    </row>
    <row r="33" spans="1:12">
      <c r="A33" s="20" t="s">
        <v>766</v>
      </c>
    </row>
    <row r="34" spans="1:12">
      <c r="A34" s="20" t="s">
        <v>767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749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768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769</v>
      </c>
      <c r="B37" s="27" t="s">
        <v>734</v>
      </c>
      <c r="C37" s="27" t="s">
        <v>756</v>
      </c>
      <c r="D37" s="27" t="s">
        <v>736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770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771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772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773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774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775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776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777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778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779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765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/>
    </row>
    <row r="52" spans="1:12">
      <c r="A52" s="20" t="s">
        <v>780</v>
      </c>
    </row>
    <row r="53" spans="1:12">
      <c r="A53" s="20" t="s">
        <v>731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781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744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782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733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/>
    </row>
    <row r="59" spans="1:12">
      <c r="A59" s="20" t="s">
        <v>783</v>
      </c>
    </row>
    <row r="60" spans="1:12">
      <c r="A60" s="20" t="s">
        <v>784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785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786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787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758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79</v>
      </c>
      <c r="B65" s="27" t="s">
        <v>734</v>
      </c>
      <c r="C65" s="27" t="s">
        <v>788</v>
      </c>
      <c r="D65" s="27" t="s">
        <v>736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744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789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614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742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790</v>
      </c>
      <c r="B70" s="27" t="s">
        <v>791</v>
      </c>
      <c r="C70" s="27" t="s">
        <v>756</v>
      </c>
      <c r="D70" s="27" t="s">
        <v>736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792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744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793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794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795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765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/>
    </row>
    <row r="78" spans="1:12">
      <c r="A78" s="20" t="s">
        <v>796</v>
      </c>
    </row>
    <row r="79" spans="1:12">
      <c r="A79" s="20" t="s">
        <v>797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763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97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798</v>
      </c>
      <c r="B82" s="27" t="s">
        <v>734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744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799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764</v>
      </c>
      <c r="B85" s="27" t="s">
        <v>800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801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802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742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803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765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/>
    </row>
    <row r="92" spans="1:12">
      <c r="A92" s="20" t="s">
        <v>804</v>
      </c>
    </row>
    <row r="93" spans="1:12">
      <c r="A93" s="20" t="s">
        <v>805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806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807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808</v>
      </c>
      <c r="B96" s="27" t="s">
        <v>734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809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810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765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/>
    </row>
    <row r="101" spans="1:12">
      <c r="A101" s="20" t="s">
        <v>811</v>
      </c>
    </row>
    <row r="102" spans="1:12">
      <c r="A102" s="20" t="s">
        <v>812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739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813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765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/>
    </row>
    <row r="107" spans="1:12">
      <c r="A107" s="20" t="s">
        <v>814</v>
      </c>
    </row>
    <row r="108" spans="1:12">
      <c r="A108" s="20" t="s">
        <v>731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815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733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813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765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/>
    </row>
    <row r="114" spans="1:12">
      <c r="A114" s="20" t="s">
        <v>816</v>
      </c>
    </row>
    <row r="115" spans="1:12">
      <c r="A115" s="20" t="s">
        <v>817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818</v>
      </c>
      <c r="B116" s="27" t="s">
        <v>819</v>
      </c>
      <c r="C116" s="27" t="s">
        <v>756</v>
      </c>
      <c r="D116" s="27" t="s">
        <v>736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820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821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822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823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744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818</v>
      </c>
      <c r="B122" s="27" t="s">
        <v>755</v>
      </c>
      <c r="C122" s="27" t="s">
        <v>756</v>
      </c>
      <c r="D122" s="27" t="s">
        <v>736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824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820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825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826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827</v>
      </c>
      <c r="B127" s="27" t="s">
        <v>819</v>
      </c>
      <c r="C127" s="27" t="s">
        <v>828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62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829</v>
      </c>
      <c r="B129" s="27" t="s">
        <v>738</v>
      </c>
      <c r="C129" s="27" t="s">
        <v>828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742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830</v>
      </c>
      <c r="B131" s="27" t="s">
        <v>831</v>
      </c>
      <c r="C131" s="27" t="s">
        <v>735</v>
      </c>
      <c r="D131" s="27" t="s">
        <v>736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744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749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832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833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765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/>
    </row>
    <row r="138" spans="1:12">
      <c r="A138" s="20" t="s">
        <v>834</v>
      </c>
    </row>
    <row r="139" spans="1:12">
      <c r="A139" s="20" t="s">
        <v>835</v>
      </c>
      <c r="B139" s="27" t="s">
        <v>734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836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11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837</v>
      </c>
      <c r="B142" s="27" t="s">
        <v>838</v>
      </c>
      <c r="C142" s="27" t="s">
        <v>828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765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/>
    </row>
    <row r="145" spans="1:12">
      <c r="A145" s="20" t="s">
        <v>839</v>
      </c>
    </row>
    <row r="146" spans="1:12">
      <c r="A146" s="20" t="s">
        <v>840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841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55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744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842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193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843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841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844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845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837</v>
      </c>
      <c r="B156" s="27" t="s">
        <v>738</v>
      </c>
      <c r="C156" s="27" t="s">
        <v>828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744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763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846</v>
      </c>
      <c r="B159" s="27" t="s">
        <v>738</v>
      </c>
      <c r="C159" s="27" t="s">
        <v>756</v>
      </c>
      <c r="D159" s="27" t="s">
        <v>736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744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789</v>
      </c>
      <c r="B161" s="27" t="s">
        <v>847</v>
      </c>
      <c r="C161" s="27" t="s">
        <v>747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848</v>
      </c>
      <c r="B162" s="27" t="s">
        <v>849</v>
      </c>
      <c r="C162" s="27" t="s">
        <v>756</v>
      </c>
      <c r="D162" s="27" t="s">
        <v>736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850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744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851</v>
      </c>
      <c r="B165" s="27" t="s">
        <v>762</v>
      </c>
      <c r="C165" s="27" t="s">
        <v>788</v>
      </c>
      <c r="D165" s="27" t="s">
        <v>736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759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852</v>
      </c>
      <c r="B167" s="27" t="s">
        <v>831</v>
      </c>
      <c r="C167" s="27" t="s">
        <v>853</v>
      </c>
      <c r="D167" s="27" t="s">
        <v>736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854</v>
      </c>
      <c r="B168" s="27" t="s">
        <v>762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855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765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/>
    </row>
    <row r="172" spans="1:12">
      <c r="A172" s="20" t="s">
        <v>856</v>
      </c>
    </row>
    <row r="173" spans="1:12">
      <c r="A173" s="20" t="s">
        <v>731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857</v>
      </c>
      <c r="B174" s="27" t="s">
        <v>734</v>
      </c>
      <c r="C174" s="27" t="s">
        <v>735</v>
      </c>
      <c r="D174" s="27" t="s">
        <v>736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733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858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859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860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861</v>
      </c>
      <c r="B179" s="27" t="s">
        <v>819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744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123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862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863</v>
      </c>
      <c r="B183" s="27" t="s">
        <v>831</v>
      </c>
      <c r="C183" s="27" t="s">
        <v>828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744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864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865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866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765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/>
    </row>
    <row r="190" spans="1:12">
      <c r="A190" s="20" t="s">
        <v>867</v>
      </c>
    </row>
    <row r="191" spans="1:12">
      <c r="A191" s="20" t="s">
        <v>868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818</v>
      </c>
      <c r="B192" s="27" t="s">
        <v>838</v>
      </c>
      <c r="C192" s="27" t="s">
        <v>756</v>
      </c>
      <c r="D192" s="27" t="s">
        <v>736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744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844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869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870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744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851</v>
      </c>
      <c r="B198" s="27" t="s">
        <v>734</v>
      </c>
      <c r="C198" s="27" t="s">
        <v>788</v>
      </c>
      <c r="D198" s="27" t="s">
        <v>736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871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872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765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/>
    </row>
    <row r="203" spans="1:12">
      <c r="A203" s="20" t="s">
        <v>873</v>
      </c>
    </row>
    <row r="204" spans="1:12">
      <c r="A204" s="20" t="s">
        <v>784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874</v>
      </c>
      <c r="B205" s="27" t="s">
        <v>738</v>
      </c>
      <c r="C205" s="27" t="s">
        <v>853</v>
      </c>
      <c r="D205" s="27" t="s">
        <v>736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875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848</v>
      </c>
      <c r="B207" s="27" t="s">
        <v>734</v>
      </c>
      <c r="C207" s="27" t="s">
        <v>756</v>
      </c>
      <c r="D207" s="27" t="s">
        <v>736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876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877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822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878</v>
      </c>
      <c r="B211" s="27" t="s">
        <v>738</v>
      </c>
      <c r="C211" s="27" t="s">
        <v>756</v>
      </c>
      <c r="D211" s="27" t="s">
        <v>736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879</v>
      </c>
      <c r="B212" s="27" t="s">
        <v>738</v>
      </c>
      <c r="C212" s="27" t="s">
        <v>788</v>
      </c>
      <c r="D212" s="27" t="s">
        <v>736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744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789</v>
      </c>
      <c r="B214" s="27" t="s">
        <v>849</v>
      </c>
      <c r="C214" s="27" t="s">
        <v>747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880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881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882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123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863</v>
      </c>
      <c r="B219" s="27" t="s">
        <v>791</v>
      </c>
      <c r="C219" s="27" t="s">
        <v>828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744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842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193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883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657</v>
      </c>
      <c r="B224" s="27" t="s">
        <v>819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763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884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885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886</v>
      </c>
      <c r="B228" s="27" t="s">
        <v>819</v>
      </c>
      <c r="C228" s="27" t="s">
        <v>756</v>
      </c>
      <c r="D228" s="27" t="s">
        <v>736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744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789</v>
      </c>
      <c r="B230" s="27" t="s">
        <v>887</v>
      </c>
      <c r="C230" s="27" t="s">
        <v>747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848</v>
      </c>
      <c r="B231" s="27" t="s">
        <v>800</v>
      </c>
      <c r="C231" s="27" t="s">
        <v>756</v>
      </c>
      <c r="D231" s="27" t="s">
        <v>736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888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889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765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/>
    </row>
    <row r="236" spans="1:12">
      <c r="A236" s="20" t="s">
        <v>890</v>
      </c>
    </row>
    <row r="237" spans="1:12">
      <c r="A237" s="20" t="s">
        <v>891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892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93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830</v>
      </c>
      <c r="B240" s="27" t="s">
        <v>838</v>
      </c>
      <c r="C240" s="27" t="s">
        <v>735</v>
      </c>
      <c r="D240" s="27" t="s">
        <v>736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749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893</v>
      </c>
      <c r="B242" s="27" t="s">
        <v>738</v>
      </c>
      <c r="C242" s="27" t="s">
        <v>853</v>
      </c>
      <c r="D242" s="27" t="s">
        <v>736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894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765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/>
    </row>
    <row r="246" spans="1:12">
      <c r="A246" s="20" t="s">
        <v>895</v>
      </c>
    </row>
    <row r="247" spans="1:12">
      <c r="A247" s="20" t="s">
        <v>896</v>
      </c>
      <c r="B247" s="27" t="s">
        <v>734</v>
      </c>
      <c r="C247" s="27" t="s">
        <v>756</v>
      </c>
      <c r="D247" s="27" t="s">
        <v>736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897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898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899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744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900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901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902</v>
      </c>
      <c r="B254" s="27" t="s">
        <v>831</v>
      </c>
      <c r="C254" s="27" t="s">
        <v>756</v>
      </c>
      <c r="D254" s="27" t="s">
        <v>736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848</v>
      </c>
      <c r="B255" s="27" t="s">
        <v>800</v>
      </c>
      <c r="C255" s="27" t="s">
        <v>756</v>
      </c>
      <c r="D255" s="27" t="s">
        <v>736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903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66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863</v>
      </c>
      <c r="B258" s="27" t="s">
        <v>831</v>
      </c>
      <c r="C258" s="27" t="s">
        <v>828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749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904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744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905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818</v>
      </c>
      <c r="B263" s="27" t="s">
        <v>791</v>
      </c>
      <c r="C263" s="27" t="s">
        <v>756</v>
      </c>
      <c r="D263" s="27" t="s">
        <v>736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906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907</v>
      </c>
      <c r="B265" s="27" t="s">
        <v>849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744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699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789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821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871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908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765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909</v>
      </c>
    </row>
    <row r="275" spans="1:12">
      <c r="A275" s="20" t="s">
        <v>910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79</v>
      </c>
      <c r="B276" s="27" t="s">
        <v>838</v>
      </c>
      <c r="C276" s="27" t="s">
        <v>788</v>
      </c>
      <c r="D276" s="27" t="s">
        <v>736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911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848</v>
      </c>
      <c r="B278" s="27" t="s">
        <v>762</v>
      </c>
      <c r="C278" s="27" t="s">
        <v>756</v>
      </c>
      <c r="D278" s="27" t="s">
        <v>736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906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912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913</v>
      </c>
      <c r="B281" s="27" t="s">
        <v>738</v>
      </c>
      <c r="C281" s="27" t="s">
        <v>735</v>
      </c>
      <c r="D281" s="27" t="s">
        <v>736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763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914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260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11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837</v>
      </c>
      <c r="B286" s="27" t="s">
        <v>791</v>
      </c>
      <c r="C286" s="27" t="s">
        <v>828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915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744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773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916</v>
      </c>
      <c r="B290" s="27" t="s">
        <v>738</v>
      </c>
      <c r="C290" s="27" t="s">
        <v>735</v>
      </c>
      <c r="D290" s="27" t="s">
        <v>736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917</v>
      </c>
      <c r="B291" s="27" t="s">
        <v>831</v>
      </c>
      <c r="C291" s="27" t="s">
        <v>735</v>
      </c>
      <c r="D291" s="27" t="s">
        <v>736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765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918</v>
      </c>
    </row>
    <row r="295" spans="1:12">
      <c r="A295" s="20" t="s">
        <v>919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818</v>
      </c>
      <c r="B296" s="27" t="s">
        <v>838</v>
      </c>
      <c r="C296" s="27" t="s">
        <v>756</v>
      </c>
      <c r="D296" s="27" t="s">
        <v>736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871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66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863</v>
      </c>
      <c r="B299" s="27" t="s">
        <v>734</v>
      </c>
      <c r="C299" s="27" t="s">
        <v>828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920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763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921</v>
      </c>
      <c r="B302" s="27" t="s">
        <v>738</v>
      </c>
      <c r="C302" s="27" t="s">
        <v>735</v>
      </c>
      <c r="D302" s="27" t="s">
        <v>736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922</v>
      </c>
      <c r="B303" s="27" t="s">
        <v>738</v>
      </c>
      <c r="C303" s="27" t="s">
        <v>735</v>
      </c>
      <c r="D303" s="27" t="s">
        <v>736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744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923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639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924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765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925</v>
      </c>
    </row>
    <row r="311" spans="1:12">
      <c r="A311" s="20" t="s">
        <v>926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789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871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927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765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/>
    </row>
    <row r="317" spans="1:12">
      <c r="A317" s="20" t="s">
        <v>928</v>
      </c>
    </row>
    <row r="318" spans="1:12">
      <c r="A318" s="20" t="s">
        <v>929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930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664</v>
      </c>
      <c r="B320" s="27" t="s">
        <v>755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931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932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933</v>
      </c>
      <c r="B323" s="27" t="s">
        <v>738</v>
      </c>
      <c r="C323" s="27" t="s">
        <v>934</v>
      </c>
      <c r="D323" s="27" t="s">
        <v>736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763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935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744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789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936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937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765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/>
    </row>
    <row r="332" spans="1:12">
      <c r="A332" s="20" t="s">
        <v>938</v>
      </c>
    </row>
    <row r="333" spans="1:12">
      <c r="A333" s="20" t="s">
        <v>835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739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851</v>
      </c>
      <c r="B335" s="27" t="s">
        <v>762</v>
      </c>
      <c r="C335" s="27" t="s">
        <v>788</v>
      </c>
      <c r="D335" s="27" t="s">
        <v>736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906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939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744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799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764</v>
      </c>
      <c r="B340" s="27" t="s">
        <v>800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940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793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941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776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942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765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/>
    </row>
    <row r="348" spans="1:12">
      <c r="A348" s="20" t="s">
        <v>943</v>
      </c>
    </row>
    <row r="349" spans="1:12">
      <c r="A349" s="20" t="s">
        <v>944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945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744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946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749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947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939</v>
      </c>
      <c r="B355" s="27" t="s">
        <v>738</v>
      </c>
      <c r="C355" s="27" t="s">
        <v>934</v>
      </c>
      <c r="D355" s="27" t="s">
        <v>736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739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948</v>
      </c>
      <c r="B357" s="27" t="s">
        <v>847</v>
      </c>
      <c r="C357" s="27" t="s">
        <v>756</v>
      </c>
      <c r="D357" s="27" t="s">
        <v>736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949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950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951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952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765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/>
    </row>
    <row r="364" spans="1:12">
      <c r="A364" s="20" t="s">
        <v>953</v>
      </c>
    </row>
    <row r="365" spans="1:12">
      <c r="A365" s="20" t="s">
        <v>954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759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793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955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765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/>
    </row>
    <row r="371" spans="1:12">
      <c r="A371" s="20" t="s">
        <v>956</v>
      </c>
    </row>
    <row r="372" spans="1:12">
      <c r="A372" s="20" t="s">
        <v>957</v>
      </c>
      <c r="B372" s="27" t="s">
        <v>734</v>
      </c>
      <c r="C372" s="27" t="s">
        <v>756</v>
      </c>
      <c r="D372" s="27" t="s">
        <v>736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958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886</v>
      </c>
      <c r="B374" s="27" t="s">
        <v>755</v>
      </c>
      <c r="C374" s="27" t="s">
        <v>756</v>
      </c>
      <c r="D374" s="27" t="s">
        <v>736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744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749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959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744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960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961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763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960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962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744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963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964</v>
      </c>
      <c r="B386" s="27" t="s">
        <v>746</v>
      </c>
      <c r="C386" s="27" t="s">
        <v>756</v>
      </c>
      <c r="D386" s="27" t="s">
        <v>736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871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749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79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965</v>
      </c>
      <c r="B390" s="27" t="s">
        <v>966</v>
      </c>
      <c r="C390" s="27" t="s">
        <v>934</v>
      </c>
      <c r="D390" s="27" t="s">
        <v>736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765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/>
    </row>
    <row r="393" spans="1:12">
      <c r="A393" s="20" t="s">
        <v>967</v>
      </c>
    </row>
    <row r="394" spans="1:12">
      <c r="A394" s="20" t="s">
        <v>957</v>
      </c>
      <c r="B394" s="27" t="s">
        <v>734</v>
      </c>
      <c r="C394" s="27" t="s">
        <v>756</v>
      </c>
      <c r="D394" s="27" t="s">
        <v>736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968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969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763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970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971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749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972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639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973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974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975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976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765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/>
    </row>
    <row r="409" spans="1:12">
      <c r="A409" s="20" t="s">
        <v>977</v>
      </c>
    </row>
    <row r="410" spans="1:12">
      <c r="A410" s="20" t="s">
        <v>978</v>
      </c>
      <c r="B410" s="27" t="s">
        <v>734</v>
      </c>
      <c r="C410" s="27" t="s">
        <v>788</v>
      </c>
      <c r="D410" s="27" t="s">
        <v>736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79</v>
      </c>
      <c r="B411" s="27" t="s">
        <v>838</v>
      </c>
      <c r="C411" s="27" t="s">
        <v>788</v>
      </c>
      <c r="D411" s="27" t="s">
        <v>736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744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963</v>
      </c>
      <c r="B413" s="27" t="s">
        <v>738</v>
      </c>
      <c r="C413" s="27" t="s">
        <v>747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848</v>
      </c>
      <c r="B414" s="27" t="s">
        <v>762</v>
      </c>
      <c r="C414" s="27" t="s">
        <v>756</v>
      </c>
      <c r="D414" s="27" t="s">
        <v>736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979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749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980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739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981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982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983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744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984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985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986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744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987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988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989</v>
      </c>
      <c r="B429" s="27" t="s">
        <v>847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990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991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992</v>
      </c>
      <c r="B432" s="27" t="s">
        <v>993</v>
      </c>
      <c r="C432" s="27" t="s">
        <v>735</v>
      </c>
      <c r="D432" s="27" t="s">
        <v>736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765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/>
    </row>
    <row r="435" spans="1:12">
      <c r="A435" s="20" t="s">
        <v>994</v>
      </c>
    </row>
    <row r="436" spans="1:12">
      <c r="A436" s="20" t="s">
        <v>995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996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744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789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769</v>
      </c>
      <c r="B440" s="27" t="s">
        <v>800</v>
      </c>
      <c r="C440" s="27" t="s">
        <v>756</v>
      </c>
      <c r="D440" s="27" t="s">
        <v>736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970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997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998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999</v>
      </c>
      <c r="B444" s="27" t="s">
        <v>887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744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1000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1001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1002</v>
      </c>
      <c r="B448" s="27" t="s">
        <v>1003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1004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1005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1006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765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/>
    </row>
    <row r="454" spans="1:12">
      <c r="A454" s="20" t="s">
        <v>1007</v>
      </c>
    </row>
    <row r="455" spans="1:12">
      <c r="A455" s="20" t="s">
        <v>868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818</v>
      </c>
      <c r="B456" s="27" t="s">
        <v>838</v>
      </c>
      <c r="C456" s="27" t="s">
        <v>756</v>
      </c>
      <c r="D456" s="27" t="s">
        <v>736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851</v>
      </c>
      <c r="B457" s="27" t="s">
        <v>734</v>
      </c>
      <c r="C457" s="27" t="s">
        <v>788</v>
      </c>
      <c r="D457" s="27" t="s">
        <v>736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871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940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793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921</v>
      </c>
      <c r="B461" s="27" t="s">
        <v>838</v>
      </c>
      <c r="C461" s="27" t="s">
        <v>735</v>
      </c>
      <c r="D461" s="27" t="s">
        <v>736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922</v>
      </c>
      <c r="B462" s="27" t="s">
        <v>838</v>
      </c>
      <c r="C462" s="27" t="s">
        <v>735</v>
      </c>
      <c r="D462" s="27" t="s">
        <v>736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744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1008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1009</v>
      </c>
      <c r="B465" s="27" t="s">
        <v>838</v>
      </c>
      <c r="C465" s="27" t="s">
        <v>1010</v>
      </c>
      <c r="D465" s="27" t="s">
        <v>736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1011</v>
      </c>
      <c r="B466" s="27" t="s">
        <v>738</v>
      </c>
      <c r="C466" s="27" t="s">
        <v>788</v>
      </c>
      <c r="D466" s="27" t="s">
        <v>736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744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789</v>
      </c>
      <c r="B468" s="27" t="s">
        <v>847</v>
      </c>
      <c r="C468" s="27" t="s">
        <v>747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848</v>
      </c>
      <c r="B469" s="27" t="s">
        <v>849</v>
      </c>
      <c r="C469" s="27" t="s">
        <v>756</v>
      </c>
      <c r="D469" s="27" t="s">
        <v>736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1012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785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1013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765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/>
    </row>
    <row r="475" spans="1:12">
      <c r="A475" s="20" t="s">
        <v>1014</v>
      </c>
    </row>
    <row r="476" spans="1:12">
      <c r="A476" s="20" t="s">
        <v>957</v>
      </c>
      <c r="B476" s="27" t="s">
        <v>734</v>
      </c>
      <c r="C476" s="27" t="s">
        <v>756</v>
      </c>
      <c r="D476" s="27" t="s">
        <v>736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1015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1016</v>
      </c>
      <c r="B478" s="27" t="s">
        <v>755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1017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1018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744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789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826</v>
      </c>
      <c r="B483" s="27" t="s">
        <v>762</v>
      </c>
      <c r="C483" s="27" t="s">
        <v>756</v>
      </c>
      <c r="D483" s="27" t="s">
        <v>736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949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851</v>
      </c>
      <c r="B485" s="27" t="s">
        <v>819</v>
      </c>
      <c r="C485" s="27" t="s">
        <v>788</v>
      </c>
      <c r="D485" s="27" t="s">
        <v>736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1019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765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1020</v>
      </c>
    </row>
    <row r="490" spans="1:12">
      <c r="A490" s="20" t="s">
        <v>1021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1022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1023</v>
      </c>
      <c r="B492" s="27" t="s">
        <v>734</v>
      </c>
      <c r="C492" s="27" t="s">
        <v>1010</v>
      </c>
      <c r="D492" s="27" t="s">
        <v>736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1024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1025</v>
      </c>
      <c r="B494" s="27" t="s">
        <v>738</v>
      </c>
      <c r="C494" s="27" t="s">
        <v>788</v>
      </c>
      <c r="D494" s="27" t="s">
        <v>736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744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759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1026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1027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1016</v>
      </c>
      <c r="B499" s="27" t="s">
        <v>1028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765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/>
    </row>
    <row r="502" spans="1:12">
      <c r="A502" s="20" t="s">
        <v>1029</v>
      </c>
    </row>
    <row r="503" spans="1:12">
      <c r="A503" s="20" t="s">
        <v>16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1030</v>
      </c>
      <c r="B504" s="27" t="s">
        <v>838</v>
      </c>
      <c r="C504" s="27" t="s">
        <v>828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739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1031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841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905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790</v>
      </c>
      <c r="B509" s="27" t="s">
        <v>738</v>
      </c>
      <c r="C509" s="27" t="s">
        <v>756</v>
      </c>
      <c r="D509" s="27" t="s">
        <v>736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1032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1033</v>
      </c>
      <c r="B511" s="27" t="s">
        <v>762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744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1034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841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1035</v>
      </c>
      <c r="B515" s="27" t="s">
        <v>1036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1037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1038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79</v>
      </c>
      <c r="B518" s="27" t="s">
        <v>1028</v>
      </c>
      <c r="C518" s="27" t="s">
        <v>788</v>
      </c>
      <c r="D518" s="27" t="s">
        <v>736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744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742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789</v>
      </c>
      <c r="B521" s="27" t="s">
        <v>993</v>
      </c>
      <c r="C521" s="27" t="s">
        <v>747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1039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744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763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1040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744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852</v>
      </c>
      <c r="B527" s="27" t="s">
        <v>993</v>
      </c>
      <c r="C527" s="27" t="s">
        <v>853</v>
      </c>
      <c r="D527" s="27" t="s">
        <v>736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1041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132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744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841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1016</v>
      </c>
      <c r="B532" s="27" t="s">
        <v>1042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1043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1044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1045</v>
      </c>
      <c r="B535" s="27" t="s">
        <v>1046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744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1047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744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1016</v>
      </c>
      <c r="B539" s="27" t="s">
        <v>1048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1049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793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1050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1051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776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1052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765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/>
    </row>
    <row r="548" spans="1:12">
      <c r="A548" s="20" t="s">
        <v>1053</v>
      </c>
    </row>
    <row r="549" spans="1:12">
      <c r="A549" s="20" t="s">
        <v>978</v>
      </c>
      <c r="B549" s="27" t="s">
        <v>734</v>
      </c>
      <c r="C549" s="27" t="s">
        <v>788</v>
      </c>
      <c r="D549" s="27" t="s">
        <v>736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841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136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744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1054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1055</v>
      </c>
      <c r="B554" s="27" t="s">
        <v>738</v>
      </c>
      <c r="C554" s="27" t="s">
        <v>756</v>
      </c>
      <c r="D554" s="27" t="s">
        <v>736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749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1056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744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745</v>
      </c>
      <c r="B558" s="27" t="s">
        <v>849</v>
      </c>
      <c r="C558" s="27" t="s">
        <v>747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1049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970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793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906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1057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765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/>
    </row>
    <row r="566" spans="1:12">
      <c r="A566" s="20" t="s">
        <v>1058</v>
      </c>
    </row>
    <row r="567" spans="1:12">
      <c r="A567" s="20" t="s">
        <v>896</v>
      </c>
      <c r="B567" s="27" t="s">
        <v>734</v>
      </c>
      <c r="C567" s="27" t="s">
        <v>756</v>
      </c>
      <c r="D567" s="27" t="s">
        <v>736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793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908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1059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1060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744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1008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763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1060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639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1061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765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/>
    </row>
    <row r="581" spans="1:12">
      <c r="A581" s="20" t="s">
        <v>1062</v>
      </c>
    </row>
    <row r="582" spans="1:12">
      <c r="A582" s="20" t="s">
        <v>731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732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733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1063</v>
      </c>
      <c r="B585" s="27" t="s">
        <v>838</v>
      </c>
      <c r="C585" s="27" t="s">
        <v>735</v>
      </c>
      <c r="D585" s="27" t="s">
        <v>736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739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1064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1065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744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151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765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/>
    </row>
    <row r="593" spans="1:12">
      <c r="A593" s="20" t="s">
        <v>1066</v>
      </c>
    </row>
    <row r="594" spans="1:12">
      <c r="A594" s="20" t="s">
        <v>812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739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1067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1068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279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744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763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1069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898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744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901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1070</v>
      </c>
      <c r="B605" s="27" t="s">
        <v>791</v>
      </c>
      <c r="C605" s="27" t="s">
        <v>735</v>
      </c>
      <c r="D605" s="27" t="s">
        <v>736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744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841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731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732</v>
      </c>
      <c r="B609" s="27" t="s">
        <v>1071</v>
      </c>
      <c r="C609" s="27" t="s">
        <v>735</v>
      </c>
      <c r="D609" s="27" t="s">
        <v>736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733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1063</v>
      </c>
      <c r="B611" s="27" t="s">
        <v>738</v>
      </c>
      <c r="C611" s="27" t="s">
        <v>735</v>
      </c>
      <c r="D611" s="27" t="s">
        <v>736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739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1072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1073</v>
      </c>
      <c r="B614" s="27" t="s">
        <v>847</v>
      </c>
      <c r="C614" s="27" t="s">
        <v>756</v>
      </c>
      <c r="D614" s="27" t="s">
        <v>736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1074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1075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1076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765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/>
    </row>
    <row r="620" spans="1:12">
      <c r="A620" s="20" t="s">
        <v>1077</v>
      </c>
    </row>
    <row r="621" spans="1:12">
      <c r="A621" s="20" t="s">
        <v>1078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151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305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1079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1065</v>
      </c>
      <c r="B625" s="27" t="s">
        <v>734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765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/>
    </row>
    <row r="628" spans="1:12">
      <c r="A628" s="20" t="s">
        <v>1080</v>
      </c>
    </row>
    <row r="629" spans="1:12">
      <c r="A629" s="20" t="s">
        <v>1081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739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1082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744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1083</v>
      </c>
      <c r="B633" s="27" t="s">
        <v>762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1084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1085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1086</v>
      </c>
    </row>
    <row r="638" spans="1:12">
      <c r="A638" s="20" t="s">
        <v>812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739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/>
    </row>
    <row r="641" spans="1:12">
      <c r="A641" s="20" t="s">
        <v>1087</v>
      </c>
    </row>
    <row r="642" spans="1:12">
      <c r="A642" s="20" t="s">
        <v>978</v>
      </c>
      <c r="B642" s="27" t="s">
        <v>734</v>
      </c>
      <c r="C642" s="27" t="s">
        <v>788</v>
      </c>
      <c r="D642" s="27" t="s">
        <v>736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1088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776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1089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1090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744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79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930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799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1091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763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1092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744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79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930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871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744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1093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1094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744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1095</v>
      </c>
      <c r="B662" s="27" t="s">
        <v>800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1096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765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/>
    </row>
    <row r="666" spans="1:12">
      <c r="A666" s="20" t="s">
        <v>1097</v>
      </c>
    </row>
    <row r="667" spans="1:12">
      <c r="A667" s="20" t="s">
        <v>1098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1099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1100</v>
      </c>
      <c r="B669" s="27" t="s">
        <v>734</v>
      </c>
      <c r="C669" s="27" t="s">
        <v>735</v>
      </c>
      <c r="D669" s="27" t="s">
        <v>736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765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/>
    </row>
    <row r="672" spans="1:12">
      <c r="A672" s="20" t="s">
        <v>1101</v>
      </c>
    </row>
    <row r="673" spans="1:12">
      <c r="A673" s="20" t="s">
        <v>1102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109</v>
      </c>
      <c r="B674" s="27" t="s">
        <v>838</v>
      </c>
      <c r="C674" s="27" t="s">
        <v>828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765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/>
    </row>
    <row r="677" spans="1:12">
      <c r="A677" s="20" t="s">
        <v>1103</v>
      </c>
    </row>
    <row r="678" spans="1:12">
      <c r="A678" s="20" t="s">
        <v>1104</v>
      </c>
      <c r="B678" s="27" t="s">
        <v>734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1105</v>
      </c>
      <c r="B679" s="27" t="s">
        <v>738</v>
      </c>
      <c r="C679" s="27" t="s">
        <v>735</v>
      </c>
      <c r="D679" s="27" t="s">
        <v>736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1106</v>
      </c>
      <c r="B680" s="27" t="s">
        <v>738</v>
      </c>
      <c r="C680" s="27" t="s">
        <v>735</v>
      </c>
      <c r="D680" s="27" t="s">
        <v>736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906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1107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744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1108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749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1100</v>
      </c>
      <c r="B686" s="27" t="s">
        <v>738</v>
      </c>
      <c r="C686" s="27" t="s">
        <v>735</v>
      </c>
      <c r="D686" s="27" t="s">
        <v>736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744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763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1109</v>
      </c>
      <c r="B689" s="27" t="s">
        <v>762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793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908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1110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1111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1112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1113</v>
      </c>
      <c r="B695" s="27" t="s">
        <v>819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744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1114</v>
      </c>
      <c r="B697" s="27" t="s">
        <v>762</v>
      </c>
      <c r="C697" s="27" t="s">
        <v>756</v>
      </c>
      <c r="D697" s="27" t="s">
        <v>736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1115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851</v>
      </c>
      <c r="B699" s="27" t="s">
        <v>819</v>
      </c>
      <c r="C699" s="27" t="s">
        <v>788</v>
      </c>
      <c r="D699" s="27" t="s">
        <v>736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1017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1116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744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789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1117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742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1118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1119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1120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765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/>
    </row>
    <row r="711" spans="1:12">
      <c r="A711" s="20" t="s">
        <v>1121</v>
      </c>
    </row>
    <row r="712" spans="1:12">
      <c r="A712" s="20" t="s">
        <v>926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759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1114</v>
      </c>
      <c r="B714" s="27" t="s">
        <v>762</v>
      </c>
      <c r="C714" s="27" t="s">
        <v>756</v>
      </c>
      <c r="D714" s="27" t="s">
        <v>736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1122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1123</v>
      </c>
      <c r="B716" s="27" t="s">
        <v>819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744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1114</v>
      </c>
      <c r="B718" s="27" t="s">
        <v>734</v>
      </c>
      <c r="C718" s="27" t="s">
        <v>756</v>
      </c>
      <c r="D718" s="27" t="s">
        <v>736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997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1124</v>
      </c>
      <c r="B720" s="27" t="s">
        <v>755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749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1125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744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842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799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1126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749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1100</v>
      </c>
      <c r="B728" s="27" t="s">
        <v>831</v>
      </c>
      <c r="C728" s="27" t="s">
        <v>735</v>
      </c>
      <c r="D728" s="27" t="s">
        <v>736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744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79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1127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1128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1129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744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1130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744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844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1131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744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941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151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765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/>
    </row>
    <row r="744" spans="1:12">
      <c r="A744" s="20" t="s">
        <v>1132</v>
      </c>
    </row>
    <row r="745" spans="1:12">
      <c r="A745" s="20" t="s">
        <v>1133</v>
      </c>
      <c r="B745" s="27" t="s">
        <v>734</v>
      </c>
      <c r="C745" s="27" t="s">
        <v>1010</v>
      </c>
      <c r="D745" s="27" t="s">
        <v>736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1134</v>
      </c>
      <c r="B746" s="27" t="s">
        <v>738</v>
      </c>
      <c r="C746" s="27" t="s">
        <v>735</v>
      </c>
      <c r="D746" s="27" t="s">
        <v>736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1135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1136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1137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948</v>
      </c>
      <c r="B750" s="27" t="s">
        <v>738</v>
      </c>
      <c r="C750" s="27" t="s">
        <v>756</v>
      </c>
      <c r="D750" s="27" t="s">
        <v>736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744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1102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109</v>
      </c>
      <c r="B753" s="27" t="s">
        <v>738</v>
      </c>
      <c r="C753" s="27" t="s">
        <v>828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744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1138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1139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769</v>
      </c>
      <c r="B757" s="27" t="s">
        <v>762</v>
      </c>
      <c r="C757" s="27" t="s">
        <v>756</v>
      </c>
      <c r="D757" s="27" t="s">
        <v>736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1140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851</v>
      </c>
      <c r="B759" s="27" t="s">
        <v>887</v>
      </c>
      <c r="C759" s="27" t="s">
        <v>788</v>
      </c>
      <c r="D759" s="27" t="s">
        <v>736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749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1141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1142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744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763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744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1143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744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1144</v>
      </c>
      <c r="B768" s="27" t="s">
        <v>762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744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1145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818</v>
      </c>
      <c r="B771" s="27" t="s">
        <v>738</v>
      </c>
      <c r="C771" s="27" t="s">
        <v>756</v>
      </c>
      <c r="D771" s="27" t="s">
        <v>736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744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1146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443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765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/>
    </row>
    <row r="777" spans="1:12">
      <c r="A777" s="20" t="s">
        <v>1147</v>
      </c>
    </row>
    <row r="778" spans="1:12">
      <c r="A778" s="20" t="s">
        <v>1148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905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948</v>
      </c>
      <c r="B780" s="27" t="s">
        <v>838</v>
      </c>
      <c r="C780" s="27" t="s">
        <v>756</v>
      </c>
      <c r="D780" s="27" t="s">
        <v>736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742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1149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1150</v>
      </c>
      <c r="B783" s="27" t="s">
        <v>734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822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1151</v>
      </c>
      <c r="B785" s="27" t="s">
        <v>738</v>
      </c>
      <c r="C785" s="27" t="s">
        <v>735</v>
      </c>
      <c r="D785" s="27" t="s">
        <v>736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1152</v>
      </c>
      <c r="B786" s="27" t="s">
        <v>831</v>
      </c>
      <c r="C786" s="27" t="s">
        <v>735</v>
      </c>
      <c r="D786" s="27" t="s">
        <v>736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744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763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769</v>
      </c>
      <c r="B789" s="27" t="s">
        <v>838</v>
      </c>
      <c r="C789" s="27" t="s">
        <v>756</v>
      </c>
      <c r="D789" s="27" t="s">
        <v>736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1153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947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1154</v>
      </c>
      <c r="B792" s="27" t="s">
        <v>738</v>
      </c>
      <c r="C792" s="27" t="s">
        <v>934</v>
      </c>
      <c r="D792" s="27" t="s">
        <v>736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763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1155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765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/>
    </row>
    <row r="797" spans="1:12">
      <c r="A797" s="20" t="s">
        <v>1156</v>
      </c>
    </row>
    <row r="798" spans="1:12">
      <c r="A798" s="20" t="s">
        <v>1157</v>
      </c>
      <c r="B798" s="27" t="s">
        <v>734</v>
      </c>
      <c r="C798" s="27" t="s">
        <v>756</v>
      </c>
      <c r="D798" s="27" t="s">
        <v>736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997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1158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1159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1160</v>
      </c>
      <c r="B802" s="27" t="s">
        <v>755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744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900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941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1161</v>
      </c>
      <c r="B806" s="27" t="s">
        <v>762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744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763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744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1069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898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744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851</v>
      </c>
      <c r="B813" s="27" t="s">
        <v>800</v>
      </c>
      <c r="C813" s="27" t="s">
        <v>788</v>
      </c>
      <c r="D813" s="27" t="s">
        <v>736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906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1162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109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765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/>
    </row>
    <row r="819" spans="1:12">
      <c r="A819" s="20" t="s">
        <v>1163</v>
      </c>
    </row>
    <row r="820" spans="1:12">
      <c r="A820" s="20" t="s">
        <v>944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193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744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1164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1165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744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556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947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1154</v>
      </c>
      <c r="B828" s="27" t="s">
        <v>762</v>
      </c>
      <c r="C828" s="27" t="s">
        <v>934</v>
      </c>
      <c r="D828" s="27" t="s">
        <v>736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763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1166</v>
      </c>
      <c r="B830" s="27" t="s">
        <v>831</v>
      </c>
      <c r="C830" s="27" t="s">
        <v>735</v>
      </c>
      <c r="D830" s="27" t="s">
        <v>736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1167</v>
      </c>
      <c r="B831" s="27" t="s">
        <v>791</v>
      </c>
      <c r="C831" s="27" t="s">
        <v>735</v>
      </c>
      <c r="D831" s="27" t="s">
        <v>736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765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/>
    </row>
    <row r="834" spans="1:12">
      <c r="A834" s="20" t="s">
        <v>1168</v>
      </c>
    </row>
    <row r="835" spans="1:12">
      <c r="A835" s="20" t="s">
        <v>1169</v>
      </c>
      <c r="B835" s="27" t="s">
        <v>734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846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940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1170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739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568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744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851</v>
      </c>
      <c r="B842" s="27" t="s">
        <v>762</v>
      </c>
      <c r="C842" s="27" t="s">
        <v>788</v>
      </c>
      <c r="D842" s="27" t="s">
        <v>736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793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1171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1172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1173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765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/>
    </row>
    <row r="849" spans="1:12">
      <c r="A849" s="20" t="s">
        <v>1174</v>
      </c>
    </row>
    <row r="850" spans="1:12">
      <c r="A850" s="20" t="s">
        <v>1175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906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1176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1177</v>
      </c>
      <c r="B853" s="27" t="s">
        <v>734</v>
      </c>
      <c r="C853" s="27" t="s">
        <v>788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844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1178</v>
      </c>
      <c r="B855" s="27" t="s">
        <v>738</v>
      </c>
      <c r="C855" s="27" t="s">
        <v>1010</v>
      </c>
      <c r="D855" s="27" t="s">
        <v>736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1179</v>
      </c>
      <c r="B856" s="27" t="s">
        <v>831</v>
      </c>
      <c r="C856" s="27" t="s">
        <v>735</v>
      </c>
      <c r="D856" s="27" t="s">
        <v>736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1180</v>
      </c>
      <c r="B857" s="27" t="s">
        <v>738</v>
      </c>
      <c r="C857" s="27" t="s">
        <v>735</v>
      </c>
      <c r="D857" s="27" t="s">
        <v>736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744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841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639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1181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744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1182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1183</v>
      </c>
      <c r="B864" s="27" t="s">
        <v>791</v>
      </c>
      <c r="C864" s="27" t="s">
        <v>735</v>
      </c>
      <c r="D864" s="27" t="s">
        <v>736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841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745</v>
      </c>
      <c r="B866" s="27" t="s">
        <v>1036</v>
      </c>
      <c r="C866" s="27" t="s">
        <v>747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1184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851</v>
      </c>
      <c r="B868" s="27" t="s">
        <v>1028</v>
      </c>
      <c r="C868" s="27" t="s">
        <v>788</v>
      </c>
      <c r="D868" s="27" t="s">
        <v>736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1185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1186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765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/>
    </row>
    <row r="873" spans="1:12">
      <c r="A873" s="20" t="s">
        <v>1187</v>
      </c>
    </row>
    <row r="874" spans="1:12">
      <c r="A874" s="20" t="s">
        <v>1188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1137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1189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776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1190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744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1191</v>
      </c>
      <c r="B880" s="27" t="s">
        <v>849</v>
      </c>
      <c r="C880" s="27" t="s">
        <v>747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749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894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1192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1193</v>
      </c>
      <c r="B884" s="27" t="s">
        <v>1028</v>
      </c>
      <c r="C884" s="27" t="s">
        <v>747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382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739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1194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744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789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1195</v>
      </c>
      <c r="B890" s="27" t="s">
        <v>1196</v>
      </c>
      <c r="C890" s="27" t="s">
        <v>853</v>
      </c>
      <c r="D890" s="27" t="s">
        <v>736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1182</v>
      </c>
      <c r="B891" s="27" t="s">
        <v>1197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749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1198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765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/>
    </row>
    <row r="896" spans="1:12">
      <c r="A896" s="20" t="s">
        <v>1199</v>
      </c>
    </row>
    <row r="897" spans="1:12">
      <c r="A897" s="20" t="s">
        <v>926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789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744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987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848</v>
      </c>
      <c r="B901" s="27" t="s">
        <v>734</v>
      </c>
      <c r="C901" s="27" t="s">
        <v>756</v>
      </c>
      <c r="D901" s="27" t="s">
        <v>736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979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921</v>
      </c>
      <c r="B903" s="27" t="s">
        <v>755</v>
      </c>
      <c r="C903" s="27" t="s">
        <v>735</v>
      </c>
      <c r="D903" s="27" t="s">
        <v>736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922</v>
      </c>
      <c r="B904" s="27" t="s">
        <v>738</v>
      </c>
      <c r="C904" s="27" t="s">
        <v>735</v>
      </c>
      <c r="D904" s="27" t="s">
        <v>736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744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759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1200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1201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881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1202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765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/>
    </row>
    <row r="913" spans="1:12">
      <c r="A913" s="20" t="s">
        <v>1203</v>
      </c>
    </row>
    <row r="914" spans="1:12">
      <c r="A914" s="20" t="s">
        <v>1204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1205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1206</v>
      </c>
      <c r="B916" s="27" t="s">
        <v>819</v>
      </c>
      <c r="C916" s="27" t="s">
        <v>756</v>
      </c>
      <c r="D916" s="27" t="s">
        <v>736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1207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881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1208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1209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744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1210</v>
      </c>
      <c r="B922" s="27" t="s">
        <v>734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1211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1205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749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1212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744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1213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1205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744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1191</v>
      </c>
      <c r="B931" s="27" t="s">
        <v>800</v>
      </c>
      <c r="C931" s="27" t="s">
        <v>747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1214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742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1215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1216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744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763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1176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739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/>
    </row>
    <row r="941" spans="1:12">
      <c r="A941" s="20" t="s">
        <v>1217</v>
      </c>
    </row>
    <row r="942" spans="1:12">
      <c r="A942" s="20" t="s">
        <v>1218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744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1219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744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1220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765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/>
    </row>
    <row r="949" spans="1:12">
      <c r="A949" s="20" t="s">
        <v>1221</v>
      </c>
    </row>
    <row r="950" spans="1:12">
      <c r="A950" s="20" t="s">
        <v>919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948</v>
      </c>
      <c r="B951" s="27" t="s">
        <v>838</v>
      </c>
      <c r="C951" s="27" t="s">
        <v>756</v>
      </c>
      <c r="D951" s="27" t="s">
        <v>736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851</v>
      </c>
      <c r="B952" s="27" t="s">
        <v>734</v>
      </c>
      <c r="C952" s="27" t="s">
        <v>788</v>
      </c>
      <c r="D952" s="27" t="s">
        <v>736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1222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822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1223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765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/>
    </row>
    <row r="958" spans="1:12">
      <c r="A958" s="20" t="s">
        <v>1224</v>
      </c>
    </row>
    <row r="959" spans="1:12">
      <c r="A959" s="20" t="s">
        <v>1175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851</v>
      </c>
      <c r="B960" s="27" t="s">
        <v>734</v>
      </c>
      <c r="C960" s="27" t="s">
        <v>788</v>
      </c>
      <c r="D960" s="27" t="s">
        <v>736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1225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136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744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1226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1227</v>
      </c>
      <c r="B965" s="27" t="s">
        <v>738</v>
      </c>
      <c r="C965" s="27" t="s">
        <v>756</v>
      </c>
      <c r="D965" s="27" t="s">
        <v>736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765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/>
    </row>
    <row r="968" spans="1:12">
      <c r="A968" s="20" t="s">
        <v>1228</v>
      </c>
    </row>
    <row r="969" spans="1:12">
      <c r="A969" s="20" t="s">
        <v>978</v>
      </c>
      <c r="B969" s="27" t="s">
        <v>734</v>
      </c>
      <c r="C969" s="27" t="s">
        <v>788</v>
      </c>
      <c r="D969" s="27" t="s">
        <v>736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1229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228</v>
      </c>
      <c r="B971" s="27" t="s">
        <v>838</v>
      </c>
      <c r="C971" s="27" t="s">
        <v>1010</v>
      </c>
      <c r="D971" s="27" t="s">
        <v>736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1179</v>
      </c>
      <c r="B972" s="27" t="s">
        <v>838</v>
      </c>
      <c r="C972" s="27" t="s">
        <v>735</v>
      </c>
      <c r="D972" s="27" t="s">
        <v>736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1230</v>
      </c>
      <c r="B973" s="27" t="s">
        <v>738</v>
      </c>
      <c r="C973" s="27" t="s">
        <v>735</v>
      </c>
      <c r="D973" s="27" t="s">
        <v>736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744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1231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1232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1233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744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745</v>
      </c>
      <c r="B979" s="27" t="s">
        <v>800</v>
      </c>
      <c r="C979" s="27" t="s">
        <v>747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1234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744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1235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1236</v>
      </c>
      <c r="B983" s="27" t="s">
        <v>849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765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/>
    </row>
    <row r="986" spans="1:12">
      <c r="A986" s="20" t="s">
        <v>1237</v>
      </c>
    </row>
    <row r="987" spans="1:12">
      <c r="A987" s="20" t="s">
        <v>817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1238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1239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1240</v>
      </c>
      <c r="B990" s="27" t="s">
        <v>819</v>
      </c>
      <c r="C990" s="27" t="s">
        <v>934</v>
      </c>
      <c r="D990" s="27" t="s">
        <v>736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1241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1242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1073</v>
      </c>
      <c r="B993" s="27" t="s">
        <v>1071</v>
      </c>
      <c r="C993" s="27" t="s">
        <v>853</v>
      </c>
      <c r="D993" s="27" t="s">
        <v>736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1243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744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290</v>
      </c>
      <c r="B996" s="27" t="s">
        <v>734</v>
      </c>
      <c r="C996" s="27" t="s">
        <v>756</v>
      </c>
      <c r="D996" s="27" t="s">
        <v>736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1037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232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822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1244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822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1245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1246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1247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765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/>
    </row>
    <row r="1007" spans="1:12">
      <c r="A1007" s="20" t="s">
        <v>1248</v>
      </c>
    </row>
    <row r="1008" spans="1:12">
      <c r="A1008" s="20" t="s">
        <v>784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79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965</v>
      </c>
      <c r="B1010" s="27" t="s">
        <v>838</v>
      </c>
      <c r="C1010" s="27" t="s">
        <v>934</v>
      </c>
      <c r="D1010" s="27" t="s">
        <v>736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851</v>
      </c>
      <c r="B1011" s="27" t="s">
        <v>734</v>
      </c>
      <c r="C1011" s="27" t="s">
        <v>788</v>
      </c>
      <c r="D1011" s="27" t="s">
        <v>736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1249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1250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1251</v>
      </c>
      <c r="B1014" s="27" t="s">
        <v>734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978</v>
      </c>
      <c r="B1015" s="27" t="s">
        <v>734</v>
      </c>
      <c r="C1015" s="27" t="s">
        <v>788</v>
      </c>
      <c r="D1015" s="27" t="s">
        <v>736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871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749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921</v>
      </c>
      <c r="B1018" s="27" t="s">
        <v>838</v>
      </c>
      <c r="C1018" s="27" t="s">
        <v>735</v>
      </c>
      <c r="D1018" s="27" t="s">
        <v>736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922</v>
      </c>
      <c r="B1019" s="27" t="s">
        <v>838</v>
      </c>
      <c r="C1019" s="27" t="s">
        <v>735</v>
      </c>
      <c r="D1019" s="27" t="s">
        <v>736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841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79</v>
      </c>
      <c r="B1021" s="27" t="s">
        <v>838</v>
      </c>
      <c r="C1021" s="27" t="s">
        <v>788</v>
      </c>
      <c r="D1021" s="27" t="s">
        <v>736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744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789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769</v>
      </c>
      <c r="B1024" s="27" t="s">
        <v>800</v>
      </c>
      <c r="C1024" s="27" t="s">
        <v>756</v>
      </c>
      <c r="D1024" s="27" t="s">
        <v>736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1252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178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744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789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749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1253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1254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744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1255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744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763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1256</v>
      </c>
      <c r="B1036" s="27" t="s">
        <v>1028</v>
      </c>
      <c r="C1036" s="27" t="s">
        <v>788</v>
      </c>
      <c r="D1036" s="27" t="s">
        <v>736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1257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1258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1259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765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/>
    </row>
    <row r="1042" spans="1:12">
      <c r="A1042" s="20" t="s">
        <v>1260</v>
      </c>
    </row>
    <row r="1043" spans="1:12">
      <c r="A1043" s="20" t="s">
        <v>1261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898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744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793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1262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1263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744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1008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1264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1265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1266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830</v>
      </c>
      <c r="B1054" s="27" t="s">
        <v>791</v>
      </c>
      <c r="C1054" s="27" t="s">
        <v>735</v>
      </c>
      <c r="D1054" s="27" t="s">
        <v>736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1267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863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765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/>
    </row>
    <row r="1059" spans="1:12">
      <c r="A1059" s="20" t="s">
        <v>1268</v>
      </c>
    </row>
    <row r="1060" spans="1:12">
      <c r="A1060" s="20" t="s">
        <v>944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851</v>
      </c>
      <c r="B1061" s="27" t="s">
        <v>734</v>
      </c>
      <c r="C1061" s="27" t="s">
        <v>788</v>
      </c>
      <c r="D1061" s="27" t="s">
        <v>736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763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871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1269</v>
      </c>
      <c r="B1064" s="27" t="s">
        <v>838</v>
      </c>
      <c r="C1064" s="27" t="s">
        <v>853</v>
      </c>
      <c r="D1064" s="27" t="s">
        <v>736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1270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765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/>
    </row>
    <row r="1068" spans="1:12">
      <c r="A1068" s="20" t="s">
        <v>1271</v>
      </c>
    </row>
    <row r="1069" spans="1:12">
      <c r="A1069" s="20" t="s">
        <v>1175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851</v>
      </c>
      <c r="B1070" s="27" t="s">
        <v>734</v>
      </c>
      <c r="C1070" s="27" t="s">
        <v>788</v>
      </c>
      <c r="D1070" s="27" t="s">
        <v>736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1272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921</v>
      </c>
      <c r="B1072" s="27" t="s">
        <v>838</v>
      </c>
      <c r="C1072" s="27" t="s">
        <v>735</v>
      </c>
      <c r="D1072" s="27" t="s">
        <v>736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922</v>
      </c>
      <c r="B1073" s="27" t="s">
        <v>838</v>
      </c>
      <c r="C1073" s="27" t="s">
        <v>735</v>
      </c>
      <c r="D1073" s="27" t="s">
        <v>736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765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/>
    </row>
    <row r="1076" spans="1:12">
      <c r="A1076" s="20" t="s">
        <v>1273</v>
      </c>
    </row>
    <row r="1077" spans="1:12">
      <c r="A1077" s="20" t="s">
        <v>1175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1274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1275</v>
      </c>
      <c r="B1079" s="27" t="s">
        <v>738</v>
      </c>
      <c r="C1079" s="27" t="s">
        <v>853</v>
      </c>
      <c r="D1079" s="27" t="s">
        <v>736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1276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1277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345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822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1278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1279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739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848</v>
      </c>
      <c r="B1087" s="27" t="s">
        <v>800</v>
      </c>
      <c r="C1087" s="27" t="s">
        <v>756</v>
      </c>
      <c r="D1087" s="27" t="s">
        <v>736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906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749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768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765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/>
    </row>
    <row r="1093" spans="1:12">
      <c r="A1093" s="20" t="s">
        <v>1280</v>
      </c>
    </row>
    <row r="1094" spans="1:12">
      <c r="A1094" s="20" t="s">
        <v>1281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1282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744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1283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1284</v>
      </c>
      <c r="B1098" s="27" t="s">
        <v>838</v>
      </c>
      <c r="C1098" s="27" t="s">
        <v>828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848</v>
      </c>
      <c r="B1099" s="27" t="s">
        <v>734</v>
      </c>
      <c r="C1099" s="27" t="s">
        <v>756</v>
      </c>
      <c r="D1099" s="27" t="s">
        <v>736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906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151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765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/>
    </row>
    <row r="1104" spans="1:12">
      <c r="A1104" s="20" t="s">
        <v>1285</v>
      </c>
    </row>
    <row r="1105" spans="1:12">
      <c r="A1105" s="20" t="s">
        <v>1175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132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1256</v>
      </c>
      <c r="B1107" s="27" t="s">
        <v>755</v>
      </c>
      <c r="C1107" s="27" t="s">
        <v>788</v>
      </c>
      <c r="D1107" s="27" t="s">
        <v>736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744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789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1095</v>
      </c>
      <c r="B1110" s="27" t="s">
        <v>800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1284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749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894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848</v>
      </c>
      <c r="B1114" s="27" t="s">
        <v>800</v>
      </c>
      <c r="C1114" s="27" t="s">
        <v>756</v>
      </c>
      <c r="D1114" s="27" t="s">
        <v>736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1286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739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1218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744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1287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46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863</v>
      </c>
      <c r="B1121" s="27" t="s">
        <v>1071</v>
      </c>
      <c r="C1121" s="27" t="s">
        <v>828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851</v>
      </c>
      <c r="B1122" s="27" t="s">
        <v>849</v>
      </c>
      <c r="C1122" s="27" t="s">
        <v>788</v>
      </c>
      <c r="D1122" s="27" t="s">
        <v>736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1288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744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842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1018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46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863</v>
      </c>
      <c r="B1128" s="27" t="s">
        <v>1071</v>
      </c>
      <c r="C1128" s="27" t="s">
        <v>828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1289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765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/>
    </row>
    <row r="1132" spans="1:12">
      <c r="A1132" s="20" t="s">
        <v>1290</v>
      </c>
    </row>
    <row r="1133" spans="1:12">
      <c r="A1133" s="20" t="s">
        <v>1175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1291</v>
      </c>
      <c r="B1134" s="27" t="s">
        <v>734</v>
      </c>
      <c r="C1134" s="27" t="s">
        <v>756</v>
      </c>
      <c r="D1134" s="27" t="s">
        <v>736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1091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739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1218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744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1287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28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863</v>
      </c>
      <c r="B1141" s="27" t="s">
        <v>738</v>
      </c>
      <c r="C1141" s="27" t="s">
        <v>828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1288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765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/>
    </row>
    <row r="1145" spans="1:12">
      <c r="A1145" s="20" t="s">
        <v>1292</v>
      </c>
    </row>
    <row r="1146" spans="1:12">
      <c r="A1146" s="20" t="s">
        <v>1175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28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863</v>
      </c>
      <c r="B1148" s="27" t="s">
        <v>734</v>
      </c>
      <c r="C1148" s="27" t="s">
        <v>828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1293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765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/>
    </row>
    <row r="1152" spans="1:12">
      <c r="A1152" s="20" t="s">
        <v>1294</v>
      </c>
    </row>
    <row r="1153" spans="1:12">
      <c r="A1153" s="20" t="s">
        <v>957</v>
      </c>
      <c r="B1153" s="27" t="s">
        <v>734</v>
      </c>
      <c r="C1153" s="27" t="s">
        <v>756</v>
      </c>
      <c r="D1153" s="27" t="s">
        <v>736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1295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851</v>
      </c>
      <c r="B1155" s="27" t="s">
        <v>755</v>
      </c>
      <c r="C1155" s="27" t="s">
        <v>788</v>
      </c>
      <c r="D1155" s="27" t="s">
        <v>736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822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1296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1297</v>
      </c>
      <c r="B1158" s="27" t="s">
        <v>838</v>
      </c>
      <c r="C1158" s="27" t="s">
        <v>1298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744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789</v>
      </c>
      <c r="B1160" s="27" t="s">
        <v>800</v>
      </c>
      <c r="C1160" s="27" t="s">
        <v>747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906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749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768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1283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1284</v>
      </c>
      <c r="B1165" s="27" t="s">
        <v>887</v>
      </c>
      <c r="C1165" s="27" t="s">
        <v>828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765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/>
    </row>
    <row r="1168" spans="1:12">
      <c r="A1168" s="20" t="s">
        <v>1299</v>
      </c>
    </row>
    <row r="1169" spans="1:12">
      <c r="A1169" s="20" t="s">
        <v>1300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1301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1302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1303</v>
      </c>
      <c r="B1172" s="27" t="s">
        <v>791</v>
      </c>
      <c r="C1172" s="27" t="s">
        <v>756</v>
      </c>
      <c r="D1172" s="27" t="s">
        <v>736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1304</v>
      </c>
      <c r="B1173" s="27" t="s">
        <v>762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841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1305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1306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793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1024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1307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841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1308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793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1309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1310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744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842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193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841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443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744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1116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759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761</v>
      </c>
      <c r="B1193" s="27" t="s">
        <v>849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1311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744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789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1312</v>
      </c>
      <c r="B1197" s="27" t="s">
        <v>1036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1313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1314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793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871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1315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765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/>
    </row>
    <row r="1205" spans="1:12">
      <c r="A1205" s="20" t="s">
        <v>1316</v>
      </c>
    </row>
    <row r="1206" spans="1:12">
      <c r="A1206" s="20" t="s">
        <v>957</v>
      </c>
      <c r="B1206" s="27" t="s">
        <v>734</v>
      </c>
      <c r="C1206" s="27" t="s">
        <v>756</v>
      </c>
      <c r="D1206" s="27" t="s">
        <v>736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1317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947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1318</v>
      </c>
      <c r="B1209" s="27" t="s">
        <v>755</v>
      </c>
      <c r="C1209" s="27" t="s">
        <v>934</v>
      </c>
      <c r="D1209" s="27" t="s">
        <v>736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822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1283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1319</v>
      </c>
      <c r="B1212" s="27" t="s">
        <v>838</v>
      </c>
      <c r="C1212" s="27" t="s">
        <v>828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892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744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911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744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1069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898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744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1320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886</v>
      </c>
      <c r="B1221" s="27" t="s">
        <v>819</v>
      </c>
      <c r="C1221" s="27" t="s">
        <v>756</v>
      </c>
      <c r="D1221" s="27" t="s">
        <v>736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1321</v>
      </c>
      <c r="B1222" s="27" t="s">
        <v>819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744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884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1322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1323</v>
      </c>
      <c r="B1226" s="27" t="s">
        <v>1071</v>
      </c>
      <c r="C1226" s="27" t="s">
        <v>853</v>
      </c>
      <c r="D1226" s="27" t="s">
        <v>736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861</v>
      </c>
      <c r="B1227" s="27" t="s">
        <v>847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765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/>
    </row>
    <row r="1230" spans="1:12">
      <c r="A1230" s="20" t="s">
        <v>1324</v>
      </c>
    </row>
    <row r="1231" spans="1:12">
      <c r="A1231" s="20" t="s">
        <v>978</v>
      </c>
      <c r="B1231" s="27" t="s">
        <v>734</v>
      </c>
      <c r="C1231" s="27" t="s">
        <v>788</v>
      </c>
      <c r="D1231" s="27" t="s">
        <v>736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841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279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1275</v>
      </c>
      <c r="B1234" s="27" t="s">
        <v>738</v>
      </c>
      <c r="C1234" s="27" t="s">
        <v>853</v>
      </c>
      <c r="D1234" s="27" t="s">
        <v>736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1325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744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1326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1327</v>
      </c>
      <c r="B1238" s="27" t="s">
        <v>887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1328</v>
      </c>
      <c r="B1239" s="27" t="s">
        <v>800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742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1329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1330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765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/>
    </row>
    <row r="1245" spans="1:12">
      <c r="A1245" s="20" t="s">
        <v>1331</v>
      </c>
    </row>
    <row r="1246" spans="1:12">
      <c r="A1246" s="20" t="s">
        <v>978</v>
      </c>
      <c r="B1246" s="27" t="s">
        <v>734</v>
      </c>
      <c r="C1246" s="27" t="s">
        <v>788</v>
      </c>
      <c r="D1246" s="27" t="s">
        <v>736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1332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742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1333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1334</v>
      </c>
      <c r="B1250" s="27" t="s">
        <v>738</v>
      </c>
      <c r="C1250" s="27" t="s">
        <v>735</v>
      </c>
      <c r="D1250" s="27" t="s">
        <v>736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744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1318</v>
      </c>
      <c r="B1252" s="27" t="s">
        <v>762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1335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1336</v>
      </c>
      <c r="B1254" s="27" t="s">
        <v>819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1024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1337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1338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763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914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1339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1340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1341</v>
      </c>
      <c r="B1262" s="27" t="s">
        <v>887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1342</v>
      </c>
      <c r="B1263" s="27" t="s">
        <v>887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739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799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1343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1344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744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799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1074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763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699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1345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765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/>
    </row>
    <row r="1276" spans="1:12">
      <c r="A1276" s="20" t="s">
        <v>1346</v>
      </c>
    </row>
    <row r="1277" spans="1:12">
      <c r="A1277" s="20" t="s">
        <v>1347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744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789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1348</v>
      </c>
      <c r="B1280" s="27" t="s">
        <v>762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749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1349</v>
      </c>
      <c r="B1282" s="27" t="s">
        <v>831</v>
      </c>
      <c r="C1282" s="27" t="s">
        <v>1010</v>
      </c>
      <c r="D1282" s="27" t="s">
        <v>736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1011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1350</v>
      </c>
      <c r="B1284" s="27" t="s">
        <v>791</v>
      </c>
      <c r="C1284" s="27" t="s">
        <v>934</v>
      </c>
      <c r="D1284" s="27" t="s">
        <v>736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871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1351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1352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744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1353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744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789</v>
      </c>
      <c r="B1291" s="27" t="s">
        <v>887</v>
      </c>
      <c r="C1291" s="27" t="s">
        <v>747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1354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1355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1344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742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1356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1357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752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/>
    </row>
    <row r="1300" spans="1:12">
      <c r="A1300" s="20" t="s">
        <v>1358</v>
      </c>
    </row>
    <row r="1301" spans="1:12">
      <c r="A1301" s="20" t="s">
        <v>1204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1359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639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1360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744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79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1361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1362</v>
      </c>
      <c r="B1308" s="27" t="s">
        <v>734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1344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744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1363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31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744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1364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1365</v>
      </c>
      <c r="B1315" s="27" t="s">
        <v>838</v>
      </c>
      <c r="C1315" s="27" t="s">
        <v>756</v>
      </c>
      <c r="D1315" s="27" t="s">
        <v>736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765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/>
    </row>
    <row r="1318" spans="1:12">
      <c r="A1318" s="20" t="s">
        <v>1366</v>
      </c>
    </row>
    <row r="1319" spans="1:12">
      <c r="A1319" s="20" t="s">
        <v>1175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294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151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1367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1368</v>
      </c>
      <c r="B1323" s="27" t="s">
        <v>838</v>
      </c>
      <c r="C1323" s="27" t="s">
        <v>788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765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/>
    </row>
    <row r="1326" spans="1:12">
      <c r="A1326" s="20" t="s">
        <v>1369</v>
      </c>
    </row>
    <row r="1327" spans="1:12">
      <c r="A1327" s="20" t="s">
        <v>1370</v>
      </c>
      <c r="B1327" s="27" t="s">
        <v>734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1371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1372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1327</v>
      </c>
      <c r="B1330" s="27" t="s">
        <v>755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744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842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1373</v>
      </c>
      <c r="B1333" s="27" t="s">
        <v>762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1374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1183</v>
      </c>
      <c r="B1335" s="27" t="s">
        <v>791</v>
      </c>
      <c r="C1335" s="27" t="s">
        <v>735</v>
      </c>
      <c r="D1335" s="27" t="s">
        <v>736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1375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739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1376</v>
      </c>
      <c r="B1338" s="27" t="s">
        <v>800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1377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765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/>
    </row>
    <row r="1342" spans="1:12">
      <c r="A1342" s="20" t="s">
        <v>1378</v>
      </c>
    </row>
    <row r="1343" spans="1:12">
      <c r="A1343" s="20" t="s">
        <v>1379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1380</v>
      </c>
      <c r="B1344" s="27" t="s">
        <v>734</v>
      </c>
      <c r="C1344" s="27" t="s">
        <v>788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1049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793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1381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765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/>
    </row>
    <row r="1350" spans="1:12">
      <c r="A1350" s="20" t="s">
        <v>1382</v>
      </c>
    </row>
    <row r="1351" spans="1:12">
      <c r="A1351" s="20" t="s">
        <v>1383</v>
      </c>
      <c r="B1351" s="27" t="s">
        <v>734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1384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1385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765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/>
    </row>
    <row r="1356" spans="1:12">
      <c r="A1356" s="20" t="s">
        <v>1386</v>
      </c>
    </row>
    <row r="1357" spans="1:12">
      <c r="A1357" s="20" t="s">
        <v>1387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1388</v>
      </c>
      <c r="B1358" s="27" t="s">
        <v>734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1389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1390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765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/>
    </row>
    <row r="1363" spans="1:12">
      <c r="A1363" s="20" t="s">
        <v>1391</v>
      </c>
    </row>
    <row r="1364" spans="1:12">
      <c r="A1364" s="20" t="s">
        <v>910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312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765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/>
    </row>
    <row r="1368" spans="1:12">
      <c r="A1368" s="20" t="s">
        <v>1392</v>
      </c>
    </row>
    <row r="1369" spans="1:12">
      <c r="A1369" s="20" t="s">
        <v>1175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769</v>
      </c>
      <c r="B1370" s="27" t="s">
        <v>734</v>
      </c>
      <c r="C1370" s="27" t="s">
        <v>756</v>
      </c>
      <c r="D1370" s="27" t="s">
        <v>736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793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1393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765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/>
    </row>
    <row r="1375" spans="1:12">
      <c r="A1375" s="20" t="s">
        <v>1394</v>
      </c>
    </row>
    <row r="1376" spans="1:12">
      <c r="A1376" s="20" t="s">
        <v>929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851</v>
      </c>
      <c r="B1377" s="27" t="s">
        <v>734</v>
      </c>
      <c r="C1377" s="27" t="s">
        <v>788</v>
      </c>
      <c r="D1377" s="27" t="s">
        <v>736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1395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744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759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761</v>
      </c>
      <c r="B1381" s="27" t="s">
        <v>762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1396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793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1397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1398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765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/>
    </row>
    <row r="1388" spans="1:12">
      <c r="A1388" s="20" t="s">
        <v>1399</v>
      </c>
    </row>
    <row r="1389" spans="1:12">
      <c r="A1389" s="20" t="s">
        <v>1400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1401</v>
      </c>
      <c r="B1390" s="27" t="s">
        <v>734</v>
      </c>
      <c r="C1390" s="27" t="s">
        <v>1298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841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1402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1403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841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1404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1405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1406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765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/>
    </row>
    <row r="1400" spans="1:12">
      <c r="A1400" s="20" t="s">
        <v>1407</v>
      </c>
    </row>
    <row r="1401" spans="1:12">
      <c r="A1401" s="20" t="s">
        <v>995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1408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1409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1410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1411</v>
      </c>
      <c r="B1405" s="27" t="s">
        <v>738</v>
      </c>
      <c r="C1405" s="27" t="s">
        <v>1010</v>
      </c>
      <c r="D1405" s="27" t="s">
        <v>736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1412</v>
      </c>
      <c r="B1406" s="27" t="s">
        <v>831</v>
      </c>
      <c r="C1406" s="27" t="s">
        <v>735</v>
      </c>
      <c r="D1406" s="27" t="s">
        <v>736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763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1413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881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1073</v>
      </c>
      <c r="B1410" s="27" t="s">
        <v>791</v>
      </c>
      <c r="C1410" s="27" t="s">
        <v>853</v>
      </c>
      <c r="D1410" s="27" t="s">
        <v>736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1414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744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759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1415</v>
      </c>
      <c r="B1414" s="27" t="s">
        <v>849</v>
      </c>
      <c r="C1414" s="27" t="s">
        <v>756</v>
      </c>
      <c r="D1414" s="27" t="s">
        <v>736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1416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742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1417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773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1418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12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1417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765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/>
    </row>
    <row r="1424" spans="1:12">
      <c r="A1424" s="20" t="s">
        <v>1419</v>
      </c>
    </row>
    <row r="1425" spans="1:12">
      <c r="A1425" s="20" t="s">
        <v>926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1420</v>
      </c>
      <c r="B1426" s="27" t="s">
        <v>734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763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1421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749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79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965</v>
      </c>
      <c r="B1431" s="27" t="s">
        <v>838</v>
      </c>
      <c r="C1431" s="27" t="s">
        <v>934</v>
      </c>
      <c r="D1431" s="27" t="s">
        <v>736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765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/>
    </row>
    <row r="1434" spans="1:12">
      <c r="A1434" s="20" t="s">
        <v>1422</v>
      </c>
    </row>
    <row r="1435" spans="1:12">
      <c r="A1435" s="20" t="s">
        <v>1423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851</v>
      </c>
      <c r="B1436" s="27" t="s">
        <v>734</v>
      </c>
      <c r="C1436" s="27" t="s">
        <v>788</v>
      </c>
      <c r="D1436" s="27" t="s">
        <v>736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884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1424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763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1425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765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/>
    </row>
    <row r="1443" spans="1:12">
      <c r="A1443" s="20" t="s">
        <v>1426</v>
      </c>
    </row>
    <row r="1444" spans="1:12">
      <c r="A1444" s="20" t="s">
        <v>1427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1428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1429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1430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1431</v>
      </c>
      <c r="B1448" s="27" t="s">
        <v>838</v>
      </c>
      <c r="C1448" s="27" t="s">
        <v>828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765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/>
    </row>
    <row r="1451" spans="1:12">
      <c r="A1451" s="20" t="s">
        <v>1432</v>
      </c>
    </row>
    <row r="1452" spans="1:12">
      <c r="A1452" s="20" t="s">
        <v>341</v>
      </c>
      <c r="B1452" s="27" t="s">
        <v>838</v>
      </c>
      <c r="C1452" s="27" t="s">
        <v>735</v>
      </c>
      <c r="D1452" s="27" t="s">
        <v>736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1433</v>
      </c>
      <c r="B1453" s="27" t="s">
        <v>838</v>
      </c>
      <c r="C1453" s="27" t="s">
        <v>735</v>
      </c>
      <c r="D1453" s="27" t="s">
        <v>736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744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1434</v>
      </c>
      <c r="B1455" s="27" t="s">
        <v>819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1435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818</v>
      </c>
      <c r="B1457" s="27" t="s">
        <v>819</v>
      </c>
      <c r="C1457" s="27" t="s">
        <v>756</v>
      </c>
      <c r="D1457" s="27" t="s">
        <v>736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1024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1436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1142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765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/>
    </row>
    <row r="1463" spans="1:12">
      <c r="A1463" s="20" t="s">
        <v>1437</v>
      </c>
    </row>
    <row r="1464" spans="1:12">
      <c r="A1464" s="20" t="s">
        <v>1438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1439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1024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1440</v>
      </c>
      <c r="B1467" s="27" t="s">
        <v>838</v>
      </c>
      <c r="C1467" s="27" t="s">
        <v>735</v>
      </c>
      <c r="D1467" s="27" t="s">
        <v>736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1441</v>
      </c>
      <c r="B1468" s="27" t="s">
        <v>738</v>
      </c>
      <c r="C1468" s="27" t="s">
        <v>735</v>
      </c>
      <c r="D1468" s="27" t="s">
        <v>736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1442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1443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1444</v>
      </c>
      <c r="B1471" s="27" t="s">
        <v>819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776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1445</v>
      </c>
      <c r="B1473" s="27" t="s">
        <v>738</v>
      </c>
      <c r="C1473" s="27" t="s">
        <v>735</v>
      </c>
      <c r="D1473" s="27" t="s">
        <v>736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1446</v>
      </c>
      <c r="B1474" s="27" t="s">
        <v>831</v>
      </c>
      <c r="C1474" s="27" t="s">
        <v>735</v>
      </c>
      <c r="D1474" s="27" t="s">
        <v>736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744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443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763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776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830</v>
      </c>
      <c r="B1479" s="27" t="s">
        <v>738</v>
      </c>
      <c r="C1479" s="27" t="s">
        <v>735</v>
      </c>
      <c r="D1479" s="27" t="s">
        <v>736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744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763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799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290</v>
      </c>
      <c r="B1483" s="27" t="s">
        <v>800</v>
      </c>
      <c r="C1483" s="27" t="s">
        <v>756</v>
      </c>
      <c r="D1483" s="27" t="s">
        <v>736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1447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742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1448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744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1449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744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789</v>
      </c>
      <c r="B1490" s="27" t="s">
        <v>1028</v>
      </c>
      <c r="C1490" s="27" t="s">
        <v>747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290</v>
      </c>
      <c r="B1491" s="27" t="s">
        <v>1036</v>
      </c>
      <c r="C1491" s="27" t="s">
        <v>756</v>
      </c>
      <c r="D1491" s="27" t="s">
        <v>736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1450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744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871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739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1451</v>
      </c>
      <c r="B1496" s="27" t="s">
        <v>746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1452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1445</v>
      </c>
      <c r="B1498" s="27" t="s">
        <v>1003</v>
      </c>
      <c r="C1498" s="27" t="s">
        <v>735</v>
      </c>
      <c r="D1498" s="27" t="s">
        <v>736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822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1453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765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/>
    </row>
    <row r="1503" spans="1:12">
      <c r="A1503" s="20" t="s">
        <v>1454</v>
      </c>
    </row>
    <row r="1504" spans="1:12">
      <c r="A1504" s="20" t="s">
        <v>944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1455</v>
      </c>
      <c r="B1505" s="27" t="s">
        <v>734</v>
      </c>
      <c r="C1505" s="27" t="s">
        <v>1456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818</v>
      </c>
      <c r="B1506" s="27" t="s">
        <v>838</v>
      </c>
      <c r="C1506" s="27" t="s">
        <v>756</v>
      </c>
      <c r="D1506" s="27" t="s">
        <v>736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793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1457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1458</v>
      </c>
      <c r="B1509" s="27" t="s">
        <v>734</v>
      </c>
      <c r="C1509" s="27" t="s">
        <v>735</v>
      </c>
      <c r="D1509" s="27" t="s">
        <v>736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744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842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1459</v>
      </c>
      <c r="B1512" s="27" t="s">
        <v>838</v>
      </c>
      <c r="C1512" s="27" t="s">
        <v>735</v>
      </c>
      <c r="D1512" s="27" t="s">
        <v>736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841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1445</v>
      </c>
      <c r="B1514" s="27" t="s">
        <v>738</v>
      </c>
      <c r="C1514" s="27" t="s">
        <v>735</v>
      </c>
      <c r="D1514" s="27" t="s">
        <v>736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744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699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789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1455</v>
      </c>
      <c r="B1518" s="27" t="s">
        <v>762</v>
      </c>
      <c r="C1518" s="27" t="s">
        <v>1456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793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1460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744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1024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1461</v>
      </c>
      <c r="B1523" s="27" t="s">
        <v>831</v>
      </c>
      <c r="C1523" s="27" t="s">
        <v>747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290</v>
      </c>
      <c r="B1524" s="27" t="s">
        <v>800</v>
      </c>
      <c r="C1524" s="27" t="s">
        <v>756</v>
      </c>
      <c r="D1524" s="27" t="s">
        <v>736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1462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765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/>
    </row>
    <row r="1528" spans="1:12">
      <c r="A1528" s="20" t="s">
        <v>1463</v>
      </c>
    </row>
    <row r="1529" spans="1:12">
      <c r="A1529" s="20" t="s">
        <v>1175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744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1143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898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744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353</v>
      </c>
      <c r="B1534" s="27" t="s">
        <v>838</v>
      </c>
      <c r="C1534" s="27" t="s">
        <v>735</v>
      </c>
      <c r="D1534" s="27" t="s">
        <v>736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1464</v>
      </c>
      <c r="B1535" s="27" t="s">
        <v>838</v>
      </c>
      <c r="C1535" s="27" t="s">
        <v>735</v>
      </c>
      <c r="D1535" s="27" t="s">
        <v>736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841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1177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744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1465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739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1466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197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1024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1467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744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1093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1468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793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1469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1024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1467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1024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1470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765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/>
    </row>
    <row r="1556" spans="1:12">
      <c r="A1556" s="20" t="s">
        <v>1471</v>
      </c>
    </row>
    <row r="1557" spans="1:12">
      <c r="A1557" s="20" t="s">
        <v>995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1472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1473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1474</v>
      </c>
      <c r="B1560" s="27" t="s">
        <v>738</v>
      </c>
      <c r="C1560" s="27" t="s">
        <v>788</v>
      </c>
      <c r="D1560" s="27" t="s">
        <v>736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1165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841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981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1475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1476</v>
      </c>
      <c r="B1565" s="27" t="s">
        <v>819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765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/>
    </row>
    <row r="1568" spans="1:12">
      <c r="A1568" s="20" t="s">
        <v>1477</v>
      </c>
    </row>
    <row r="1569" spans="1:12">
      <c r="A1569" s="20" t="s">
        <v>957</v>
      </c>
      <c r="B1569" s="27" t="s">
        <v>734</v>
      </c>
      <c r="C1569" s="27" t="s">
        <v>756</v>
      </c>
      <c r="D1569" s="27" t="s">
        <v>736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1317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1144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1478</v>
      </c>
      <c r="B1572" s="27" t="s">
        <v>755</v>
      </c>
      <c r="C1572" s="27" t="s">
        <v>1298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822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830</v>
      </c>
      <c r="B1574" s="27" t="s">
        <v>838</v>
      </c>
      <c r="C1574" s="27" t="s">
        <v>735</v>
      </c>
      <c r="D1574" s="27" t="s">
        <v>736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11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744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1479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744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884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1480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765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/>
    </row>
    <row r="1583" spans="1:12">
      <c r="A1583" s="20" t="s">
        <v>1481</v>
      </c>
    </row>
    <row r="1584" spans="1:12">
      <c r="A1584" s="20" t="s">
        <v>1482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848</v>
      </c>
      <c r="B1585" s="27" t="s">
        <v>734</v>
      </c>
      <c r="C1585" s="27" t="s">
        <v>756</v>
      </c>
      <c r="D1585" s="27" t="s">
        <v>736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1483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744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789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1484</v>
      </c>
      <c r="B1589" s="27" t="s">
        <v>762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1485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749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1486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765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/>
    </row>
    <row r="1595" spans="1:12">
      <c r="A1595" s="20" t="s">
        <v>1487</v>
      </c>
    </row>
    <row r="1596" spans="1:12">
      <c r="A1596" s="20" t="s">
        <v>1423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769</v>
      </c>
      <c r="B1597" s="27" t="s">
        <v>734</v>
      </c>
      <c r="C1597" s="27" t="s">
        <v>756</v>
      </c>
      <c r="D1597" s="27" t="s">
        <v>736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1488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830</v>
      </c>
      <c r="B1599" s="27" t="s">
        <v>838</v>
      </c>
      <c r="C1599" s="27" t="s">
        <v>735</v>
      </c>
      <c r="D1599" s="27" t="s">
        <v>736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10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763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1489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1490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1491</v>
      </c>
      <c r="B1604" s="27" t="s">
        <v>838</v>
      </c>
      <c r="C1604" s="27" t="s">
        <v>828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830</v>
      </c>
      <c r="B1605" s="27" t="s">
        <v>738</v>
      </c>
      <c r="C1605" s="27" t="s">
        <v>735</v>
      </c>
      <c r="D1605" s="27" t="s">
        <v>736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11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765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/>
    </row>
    <row r="1609" spans="1:12">
      <c r="A1609" s="20" t="s">
        <v>1492</v>
      </c>
    </row>
    <row r="1610" spans="1:12">
      <c r="A1610" s="20" t="s">
        <v>1493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1494</v>
      </c>
      <c r="B1611" s="27" t="s">
        <v>755</v>
      </c>
      <c r="C1611" s="27" t="s">
        <v>756</v>
      </c>
      <c r="D1611" s="27" t="s">
        <v>736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1205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1495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1429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739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1496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1497</v>
      </c>
      <c r="B1617" s="27" t="s">
        <v>849</v>
      </c>
      <c r="C1617" s="27" t="s">
        <v>756</v>
      </c>
      <c r="D1617" s="27" t="s">
        <v>736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763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1498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59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1499</v>
      </c>
      <c r="B1621" s="27" t="s">
        <v>1028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1500</v>
      </c>
      <c r="B1622" s="27" t="s">
        <v>1028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749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1501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744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1502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848</v>
      </c>
      <c r="B1627" s="27" t="s">
        <v>800</v>
      </c>
      <c r="C1627" s="27" t="s">
        <v>756</v>
      </c>
      <c r="D1627" s="27" t="s">
        <v>736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1503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742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1144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1401</v>
      </c>
      <c r="B1631" s="27" t="s">
        <v>831</v>
      </c>
      <c r="C1631" s="27" t="s">
        <v>1298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749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1504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1505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1506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763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1507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744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789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1114</v>
      </c>
      <c r="B1640" s="27" t="s">
        <v>1036</v>
      </c>
      <c r="C1640" s="27" t="s">
        <v>756</v>
      </c>
      <c r="D1640" s="27" t="s">
        <v>736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744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1158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1159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744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1508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1509</v>
      </c>
      <c r="B1646" s="27" t="s">
        <v>1036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1116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759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1510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1511</v>
      </c>
      <c r="B1650" s="27" t="s">
        <v>746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739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1512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1177</v>
      </c>
      <c r="B1653" s="27" t="s">
        <v>1042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1513</v>
      </c>
      <c r="B1654" s="27" t="s">
        <v>1197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1075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1514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763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1515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862</v>
      </c>
      <c r="B1659" s="27" t="s">
        <v>1046</v>
      </c>
      <c r="C1659" s="27" t="s">
        <v>756</v>
      </c>
      <c r="D1659" s="27" t="s">
        <v>736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742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1516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744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773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1517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1518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742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1516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744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908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1512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763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1519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886</v>
      </c>
      <c r="B1673" s="27" t="s">
        <v>1003</v>
      </c>
      <c r="C1673" s="27" t="s">
        <v>756</v>
      </c>
      <c r="D1673" s="27" t="s">
        <v>736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744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842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851</v>
      </c>
      <c r="B1676" s="27" t="s">
        <v>746</v>
      </c>
      <c r="C1676" s="27" t="s">
        <v>788</v>
      </c>
      <c r="D1676" s="27" t="s">
        <v>736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744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844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1131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744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79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744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789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886</v>
      </c>
      <c r="B1684" s="27" t="s">
        <v>1003</v>
      </c>
      <c r="C1684" s="27" t="s">
        <v>756</v>
      </c>
      <c r="D1684" s="27" t="s">
        <v>736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793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1520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765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/>
    </row>
    <row r="1689" spans="1:12">
      <c r="A1689" s="20" t="s">
        <v>1521</v>
      </c>
    </row>
    <row r="1690" spans="1:12">
      <c r="A1690" s="20" t="s">
        <v>1522</v>
      </c>
      <c r="B1690" s="27" t="s">
        <v>734</v>
      </c>
      <c r="C1690" s="27" t="s">
        <v>756</v>
      </c>
      <c r="D1690" s="27" t="s">
        <v>736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1523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416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1524</v>
      </c>
      <c r="B1693" s="27" t="s">
        <v>819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749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1525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744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842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1526</v>
      </c>
      <c r="B1698" s="27" t="s">
        <v>762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1037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1527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739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1218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744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851</v>
      </c>
      <c r="B1704" s="27" t="s">
        <v>849</v>
      </c>
      <c r="C1704" s="27" t="s">
        <v>788</v>
      </c>
      <c r="D1704" s="27" t="s">
        <v>736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841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1528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1085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1529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841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763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1530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1524</v>
      </c>
      <c r="B1712" s="27" t="s">
        <v>1028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765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/>
    </row>
    <row r="1715" spans="1:12">
      <c r="A1715" s="20" t="s">
        <v>1531</v>
      </c>
    </row>
    <row r="1716" spans="1:12">
      <c r="A1716" s="20" t="s">
        <v>378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744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1532</v>
      </c>
      <c r="B1718" s="27" t="s">
        <v>838</v>
      </c>
      <c r="C1718" s="27" t="s">
        <v>1010</v>
      </c>
      <c r="D1718" s="27" t="s">
        <v>736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1533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776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1534</v>
      </c>
      <c r="B1721" s="27" t="s">
        <v>738</v>
      </c>
      <c r="C1721" s="27" t="s">
        <v>735</v>
      </c>
      <c r="D1721" s="27" t="s">
        <v>736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744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842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1415</v>
      </c>
      <c r="B1724" s="27" t="s">
        <v>762</v>
      </c>
      <c r="C1724" s="27" t="s">
        <v>756</v>
      </c>
      <c r="D1724" s="27" t="s">
        <v>736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862</v>
      </c>
      <c r="B1725" s="27" t="s">
        <v>738</v>
      </c>
      <c r="C1725" s="27" t="s">
        <v>756</v>
      </c>
      <c r="D1725" s="27" t="s">
        <v>736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1535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1536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763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1537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765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/>
    </row>
    <row r="1732" spans="1:12">
      <c r="A1732" s="20" t="s">
        <v>1538</v>
      </c>
    </row>
    <row r="1733" spans="1:12">
      <c r="A1733" s="20" t="s">
        <v>1539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1011</v>
      </c>
      <c r="B1734" s="27" t="s">
        <v>838</v>
      </c>
      <c r="C1734" s="27" t="s">
        <v>788</v>
      </c>
      <c r="D1734" s="27" t="s">
        <v>736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744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911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1500</v>
      </c>
      <c r="B1737" s="27" t="s">
        <v>800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1540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749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136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744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769</v>
      </c>
      <c r="B1742" s="27" t="s">
        <v>734</v>
      </c>
      <c r="C1742" s="27" t="s">
        <v>756</v>
      </c>
      <c r="D1742" s="27" t="s">
        <v>736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1502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1541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1542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416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1073</v>
      </c>
      <c r="B1747" s="27" t="s">
        <v>819</v>
      </c>
      <c r="C1747" s="27" t="s">
        <v>756</v>
      </c>
      <c r="D1747" s="27" t="s">
        <v>736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742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1543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773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1544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639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1545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841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793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1546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1547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1548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742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1549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1506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765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/>
    </row>
    <row r="1764" spans="1:12">
      <c r="A1764" s="20" t="s">
        <v>1550</v>
      </c>
    </row>
    <row r="1765" spans="1:12">
      <c r="A1765" s="20" t="s">
        <v>1551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386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765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/>
    </row>
    <row r="1769" spans="1:12">
      <c r="A1769" s="20" t="s">
        <v>1552</v>
      </c>
    </row>
    <row r="1770" spans="1:12">
      <c r="A1770" s="20" t="s">
        <v>1553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848</v>
      </c>
      <c r="B1771" s="27" t="s">
        <v>734</v>
      </c>
      <c r="C1771" s="27" t="s">
        <v>756</v>
      </c>
      <c r="D1771" s="27" t="s">
        <v>736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1286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744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789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386</v>
      </c>
      <c r="B1775" s="27" t="s">
        <v>762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1554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744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749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1555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1556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744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386</v>
      </c>
      <c r="B1782" s="27" t="s">
        <v>762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1557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1558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556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699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765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/>
    </row>
    <row r="1789" spans="1:12">
      <c r="A1789" s="20" t="s">
        <v>1559</v>
      </c>
    </row>
    <row r="1790" spans="1:12">
      <c r="A1790" s="20" t="s">
        <v>1169</v>
      </c>
      <c r="B1790" s="27" t="s">
        <v>734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1560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1561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744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1562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1563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1564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1565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765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/>
    </row>
    <row r="1800" spans="1:12">
      <c r="A1800" s="20" t="s">
        <v>1566</v>
      </c>
    </row>
    <row r="1801" spans="1:12">
      <c r="A1801" s="20" t="s">
        <v>1567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749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1568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765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/>
    </row>
    <row r="1806" spans="1:12">
      <c r="A1806" s="20" t="s">
        <v>1569</v>
      </c>
    </row>
    <row r="1807" spans="1:12">
      <c r="A1807" s="20" t="s">
        <v>1570</v>
      </c>
      <c r="B1807" s="27" t="s">
        <v>734</v>
      </c>
      <c r="C1807" s="27" t="s">
        <v>735</v>
      </c>
      <c r="D1807" s="27" t="s">
        <v>736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1571</v>
      </c>
      <c r="B1808" s="27" t="s">
        <v>738</v>
      </c>
      <c r="C1808" s="27" t="s">
        <v>735</v>
      </c>
      <c r="D1808" s="27" t="s">
        <v>736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1572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744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789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1573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1239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1574</v>
      </c>
      <c r="B1814" s="27" t="s">
        <v>819</v>
      </c>
      <c r="C1814" s="27" t="s">
        <v>934</v>
      </c>
      <c r="D1814" s="27" t="s">
        <v>736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1575</v>
      </c>
      <c r="B1815" s="27" t="s">
        <v>762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1576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765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/>
    </row>
    <row r="1819" spans="1:12">
      <c r="A1819" s="20" t="s">
        <v>1577</v>
      </c>
    </row>
    <row r="1820" spans="1:12">
      <c r="A1820" s="20" t="s">
        <v>957</v>
      </c>
      <c r="B1820" s="27" t="s">
        <v>734</v>
      </c>
      <c r="C1820" s="27" t="s">
        <v>756</v>
      </c>
      <c r="D1820" s="27" t="s">
        <v>736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1283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1578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1579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744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963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1570</v>
      </c>
      <c r="B1826" s="27" t="s">
        <v>738</v>
      </c>
      <c r="C1826" s="27" t="s">
        <v>735</v>
      </c>
      <c r="D1826" s="27" t="s">
        <v>736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744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699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789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744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799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1415</v>
      </c>
      <c r="B1832" s="27" t="s">
        <v>762</v>
      </c>
      <c r="C1832" s="27" t="s">
        <v>756</v>
      </c>
      <c r="D1832" s="27" t="s">
        <v>736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1580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862</v>
      </c>
      <c r="B1834" s="27" t="s">
        <v>738</v>
      </c>
      <c r="C1834" s="27" t="s">
        <v>756</v>
      </c>
      <c r="D1834" s="27" t="s">
        <v>736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1575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1576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744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1581</v>
      </c>
      <c r="B1838" s="27" t="s">
        <v>762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1582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744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1008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1583</v>
      </c>
      <c r="B1842" s="27" t="s">
        <v>762</v>
      </c>
      <c r="C1842" s="27" t="s">
        <v>1010</v>
      </c>
      <c r="D1842" s="27" t="s">
        <v>736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1011</v>
      </c>
      <c r="B1843" s="27" t="s">
        <v>831</v>
      </c>
      <c r="C1843" s="27" t="s">
        <v>788</v>
      </c>
      <c r="D1843" s="27" t="s">
        <v>736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744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789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1406</v>
      </c>
      <c r="B1846" s="27" t="s">
        <v>1036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742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1584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1585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749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1586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744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842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999</v>
      </c>
      <c r="B1854" s="27" t="s">
        <v>746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1137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1587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1588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742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1589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744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1590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765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/>
    </row>
    <row r="1864" spans="1:12">
      <c r="A1864" s="20" t="s">
        <v>1591</v>
      </c>
    </row>
    <row r="1865" spans="1:12">
      <c r="A1865" s="20" t="s">
        <v>978</v>
      </c>
      <c r="B1865" s="27" t="s">
        <v>734</v>
      </c>
      <c r="C1865" s="27" t="s">
        <v>788</v>
      </c>
      <c r="D1865" s="27" t="s">
        <v>736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841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1592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71</v>
      </c>
      <c r="B1868" s="27" t="s">
        <v>838</v>
      </c>
      <c r="C1868" s="27" t="s">
        <v>1010</v>
      </c>
      <c r="D1868" s="27" t="s">
        <v>736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1011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1593</v>
      </c>
      <c r="B1870" s="27" t="s">
        <v>838</v>
      </c>
      <c r="C1870" s="27" t="s">
        <v>934</v>
      </c>
      <c r="D1870" s="27" t="s">
        <v>736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744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763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1415</v>
      </c>
      <c r="B1873" s="27" t="s">
        <v>762</v>
      </c>
      <c r="C1873" s="27" t="s">
        <v>756</v>
      </c>
      <c r="D1873" s="27" t="s">
        <v>736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1594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1595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844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1596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765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/>
    </row>
    <row r="1880" spans="1:12">
      <c r="A1880" s="20" t="s">
        <v>1597</v>
      </c>
    </row>
    <row r="1881" spans="1:12">
      <c r="A1881" s="20" t="s">
        <v>1157</v>
      </c>
      <c r="B1881" s="27" t="s">
        <v>734</v>
      </c>
      <c r="C1881" s="27" t="s">
        <v>756</v>
      </c>
      <c r="D1881" s="27" t="s">
        <v>736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1598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1599</v>
      </c>
      <c r="B1883" s="27" t="s">
        <v>755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1600</v>
      </c>
      <c r="B1884" s="27" t="s">
        <v>738</v>
      </c>
      <c r="C1884" s="27" t="s">
        <v>735</v>
      </c>
      <c r="D1884" s="27" t="s">
        <v>736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765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/>
    </row>
    <row r="1887" spans="1:12">
      <c r="A1887" s="20" t="s">
        <v>1601</v>
      </c>
    </row>
    <row r="1888" spans="1:12">
      <c r="A1888" s="20" t="s">
        <v>1602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744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769</v>
      </c>
      <c r="B1890" s="27" t="s">
        <v>734</v>
      </c>
      <c r="C1890" s="27" t="s">
        <v>756</v>
      </c>
      <c r="D1890" s="27" t="s">
        <v>736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1603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1604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1605</v>
      </c>
      <c r="B1893" s="27" t="s">
        <v>755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1606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744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763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204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1607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1608</v>
      </c>
      <c r="B1899" s="27" t="s">
        <v>762</v>
      </c>
      <c r="C1899" s="27" t="s">
        <v>828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1609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822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1610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744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789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1073</v>
      </c>
      <c r="B1905" s="27" t="s">
        <v>791</v>
      </c>
      <c r="C1905" s="27" t="s">
        <v>756</v>
      </c>
      <c r="D1905" s="27" t="s">
        <v>736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1611</v>
      </c>
      <c r="B1906" s="27" t="s">
        <v>800</v>
      </c>
      <c r="C1906" s="27" t="s">
        <v>1010</v>
      </c>
      <c r="D1906" s="27" t="s">
        <v>736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1612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1075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1613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742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1614</v>
      </c>
      <c r="B1911" s="27" t="s">
        <v>791</v>
      </c>
      <c r="C1911" s="27" t="s">
        <v>735</v>
      </c>
      <c r="D1911" s="27" t="s">
        <v>736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1615</v>
      </c>
      <c r="B1912" s="27" t="s">
        <v>791</v>
      </c>
      <c r="C1912" s="27" t="s">
        <v>735</v>
      </c>
      <c r="D1912" s="27" t="s">
        <v>736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749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1616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1600</v>
      </c>
      <c r="B1915" s="27" t="s">
        <v>791</v>
      </c>
      <c r="C1915" s="27" t="s">
        <v>735</v>
      </c>
      <c r="D1915" s="27" t="s">
        <v>736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765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/>
    </row>
    <row r="1918" spans="1:12">
      <c r="A1918" s="20" t="s">
        <v>1617</v>
      </c>
    </row>
    <row r="1919" spans="1:12">
      <c r="A1919" s="20" t="s">
        <v>896</v>
      </c>
      <c r="B1919" s="27" t="s">
        <v>734</v>
      </c>
      <c r="C1919" s="27" t="s">
        <v>756</v>
      </c>
      <c r="D1919" s="27" t="s">
        <v>736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1618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739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1619</v>
      </c>
      <c r="B1922" s="27" t="s">
        <v>762</v>
      </c>
      <c r="C1922" s="27" t="s">
        <v>1298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1620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1621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12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1599</v>
      </c>
      <c r="B1926" s="27" t="s">
        <v>755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773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1193</v>
      </c>
      <c r="B1928" s="27" t="s">
        <v>738</v>
      </c>
      <c r="C1928" s="27" t="s">
        <v>747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1622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752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1529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744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763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1623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793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914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1624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749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1625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744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1626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1073</v>
      </c>
      <c r="B1942" s="27" t="s">
        <v>966</v>
      </c>
      <c r="C1942" s="27" t="s">
        <v>756</v>
      </c>
      <c r="D1942" s="27" t="s">
        <v>736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1611</v>
      </c>
      <c r="B1943" s="27" t="s">
        <v>1036</v>
      </c>
      <c r="C1943" s="27" t="s">
        <v>1010</v>
      </c>
      <c r="D1943" s="27" t="s">
        <v>736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1627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1600</v>
      </c>
      <c r="B1945" s="27" t="s">
        <v>1071</v>
      </c>
      <c r="C1945" s="27" t="s">
        <v>735</v>
      </c>
      <c r="D1945" s="27" t="s">
        <v>736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765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/>
    </row>
    <row r="1948" spans="1:12">
      <c r="A1948" s="20" t="s">
        <v>1628</v>
      </c>
    </row>
    <row r="1949" spans="1:12">
      <c r="A1949" s="20" t="s">
        <v>1629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1630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765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/>
    </row>
    <row r="1953" spans="1:12">
      <c r="A1953" s="20" t="s">
        <v>1631</v>
      </c>
    </row>
    <row r="1954" spans="1:12">
      <c r="A1954" s="20" t="s">
        <v>1632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1633</v>
      </c>
      <c r="B1955" s="27" t="s">
        <v>734</v>
      </c>
      <c r="C1955" s="27" t="s">
        <v>756</v>
      </c>
      <c r="D1955" s="27" t="s">
        <v>736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1634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841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1635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109</v>
      </c>
      <c r="B1959" s="27" t="s">
        <v>838</v>
      </c>
      <c r="C1959" s="27" t="s">
        <v>828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744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1636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1637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1638</v>
      </c>
      <c r="B1963" s="27" t="s">
        <v>738</v>
      </c>
      <c r="C1963" s="27" t="s">
        <v>1010</v>
      </c>
      <c r="D1963" s="27" t="s">
        <v>736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1639</v>
      </c>
      <c r="B1964" s="27" t="s">
        <v>831</v>
      </c>
      <c r="C1964" s="27" t="s">
        <v>735</v>
      </c>
      <c r="D1964" s="27" t="s">
        <v>736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765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/>
    </row>
    <row r="1967" spans="1:12">
      <c r="A1967" s="20" t="s">
        <v>1640</v>
      </c>
    </row>
    <row r="1968" spans="1:12">
      <c r="A1968" s="20" t="s">
        <v>1641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765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/>
    </row>
    <row r="1971" spans="1:12">
      <c r="A1971" s="20" t="s">
        <v>1642</v>
      </c>
    </row>
    <row r="1972" spans="1:12">
      <c r="A1972" s="20" t="s">
        <v>1643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765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/>
    </row>
    <row r="1975" spans="1:12">
      <c r="A1975" s="20" t="s">
        <v>1644</v>
      </c>
    </row>
    <row r="1976" spans="1:12">
      <c r="A1976" s="20" t="s">
        <v>731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857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733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1645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714</v>
      </c>
      <c r="B1980" s="27" t="s">
        <v>838</v>
      </c>
      <c r="C1980" s="27" t="s">
        <v>735</v>
      </c>
      <c r="D1980" s="27" t="s">
        <v>736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737</v>
      </c>
      <c r="B1981" s="27" t="s">
        <v>738</v>
      </c>
      <c r="C1981" s="27" t="s">
        <v>735</v>
      </c>
      <c r="D1981" s="27" t="s">
        <v>736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744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1646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1183</v>
      </c>
      <c r="B1984" s="27" t="s">
        <v>831</v>
      </c>
      <c r="C1984" s="27" t="s">
        <v>735</v>
      </c>
      <c r="D1984" s="27" t="s">
        <v>736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921</v>
      </c>
      <c r="B1985" s="27" t="s">
        <v>831</v>
      </c>
      <c r="C1985" s="27" t="s">
        <v>735</v>
      </c>
      <c r="D1985" s="27" t="s">
        <v>736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922</v>
      </c>
      <c r="B1986" s="27" t="s">
        <v>831</v>
      </c>
      <c r="C1986" s="27" t="s">
        <v>735</v>
      </c>
      <c r="D1986" s="27" t="s">
        <v>736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744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1647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744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789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1648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1649</v>
      </c>
      <c r="B1992" s="27" t="s">
        <v>800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763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1650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1043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1651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749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1549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765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/>
    </row>
    <row r="2001" spans="1:12">
      <c r="A2001" s="20" t="s">
        <v>1652</v>
      </c>
    </row>
    <row r="2002" spans="1:12">
      <c r="A2002" s="20" t="s">
        <v>1653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443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765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1654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/>
    </row>
    <row r="2007" spans="1:12">
      <c r="A2007" s="20" t="s">
        <v>1655</v>
      </c>
    </row>
    <row r="2008" spans="1:12">
      <c r="A2008" s="20" t="s">
        <v>1656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744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1657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744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844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869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870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744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1494</v>
      </c>
      <c r="B2016" s="27" t="s">
        <v>838</v>
      </c>
      <c r="C2016" s="27" t="s">
        <v>756</v>
      </c>
      <c r="D2016" s="27" t="s">
        <v>736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744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799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1658</v>
      </c>
      <c r="B2019" s="27" t="s">
        <v>800</v>
      </c>
      <c r="C2019" s="27" t="s">
        <v>747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1659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744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759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1660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1497</v>
      </c>
      <c r="B2024" s="27" t="s">
        <v>849</v>
      </c>
      <c r="C2024" s="27" t="s">
        <v>756</v>
      </c>
      <c r="D2024" s="27" t="s">
        <v>736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1661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765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/>
    </row>
    <row r="2028" spans="1:12">
      <c r="A2028" s="20" t="s">
        <v>1662</v>
      </c>
    </row>
    <row r="2029" spans="1:12">
      <c r="A2029" s="20" t="s">
        <v>1663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1664</v>
      </c>
      <c r="B2030" s="27" t="s">
        <v>734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1665</v>
      </c>
      <c r="B2031" s="27" t="s">
        <v>738</v>
      </c>
      <c r="C2031" s="27" t="s">
        <v>735</v>
      </c>
      <c r="D2031" s="27" t="s">
        <v>736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749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1666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1667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765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/>
    </row>
    <row r="2037" spans="1:12">
      <c r="A2037" s="20" t="s">
        <v>1668</v>
      </c>
    </row>
    <row r="2038" spans="1:12">
      <c r="A2038" s="20" t="s">
        <v>754</v>
      </c>
      <c r="B2038" s="27" t="s">
        <v>755</v>
      </c>
      <c r="C2038" s="27" t="s">
        <v>756</v>
      </c>
      <c r="D2038" s="27" t="s">
        <v>736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851</v>
      </c>
      <c r="B2039" s="27" t="s">
        <v>734</v>
      </c>
      <c r="C2039" s="27" t="s">
        <v>788</v>
      </c>
      <c r="D2039" s="27" t="s">
        <v>736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1669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1670</v>
      </c>
      <c r="B2041" s="27" t="s">
        <v>755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35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960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1671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749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1672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1673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763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1674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1675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1676</v>
      </c>
      <c r="B2051" s="27" t="s">
        <v>847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749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1677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744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842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824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1678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1679</v>
      </c>
      <c r="B2058" s="27" t="s">
        <v>819</v>
      </c>
      <c r="C2058" s="27" t="s">
        <v>756</v>
      </c>
      <c r="D2058" s="27" t="s">
        <v>736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1680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1681</v>
      </c>
      <c r="B2060" s="27" t="s">
        <v>887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921</v>
      </c>
      <c r="B2061" s="27" t="s">
        <v>791</v>
      </c>
      <c r="C2061" s="27" t="s">
        <v>735</v>
      </c>
      <c r="D2061" s="27" t="s">
        <v>736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922</v>
      </c>
      <c r="B2062" s="27" t="s">
        <v>791</v>
      </c>
      <c r="C2062" s="27" t="s">
        <v>735</v>
      </c>
      <c r="D2062" s="27" t="s">
        <v>736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744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1682</v>
      </c>
      <c r="B2064" s="27" t="s">
        <v>1003</v>
      </c>
      <c r="C2064" s="27" t="s">
        <v>747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744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1093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1497</v>
      </c>
      <c r="B2067" s="27" t="s">
        <v>746</v>
      </c>
      <c r="C2067" s="27" t="s">
        <v>756</v>
      </c>
      <c r="D2067" s="27" t="s">
        <v>736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793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941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744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1683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1684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744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900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851</v>
      </c>
      <c r="B2075" s="27" t="s">
        <v>1071</v>
      </c>
      <c r="C2075" s="27" t="s">
        <v>788</v>
      </c>
      <c r="D2075" s="27" t="s">
        <v>736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1685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1686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1687</v>
      </c>
      <c r="B2078" s="27" t="s">
        <v>791</v>
      </c>
      <c r="C2078" s="27" t="s">
        <v>934</v>
      </c>
      <c r="D2078" s="27" t="s">
        <v>736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744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1688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1011</v>
      </c>
      <c r="B2081" s="27" t="s">
        <v>1071</v>
      </c>
      <c r="C2081" s="27" t="s">
        <v>788</v>
      </c>
      <c r="D2081" s="27" t="s">
        <v>736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744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789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1689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1690</v>
      </c>
      <c r="B2085" s="27" t="s">
        <v>1691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1401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765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/>
    </row>
    <row r="2089" spans="1:12">
      <c r="A2089" s="20" t="s">
        <v>1692</v>
      </c>
    </row>
    <row r="2090" spans="1:12">
      <c r="A2090" s="20" t="s">
        <v>1632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1024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1693</v>
      </c>
      <c r="B2092" s="27" t="s">
        <v>838</v>
      </c>
      <c r="C2092" s="27" t="s">
        <v>747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769</v>
      </c>
      <c r="B2093" s="27" t="s">
        <v>734</v>
      </c>
      <c r="C2093" s="27" t="s">
        <v>756</v>
      </c>
      <c r="D2093" s="27" t="s">
        <v>736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1694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742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830</v>
      </c>
      <c r="B2096" s="27" t="s">
        <v>838</v>
      </c>
      <c r="C2096" s="27" t="s">
        <v>735</v>
      </c>
      <c r="D2096" s="27" t="s">
        <v>736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765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/>
    </row>
    <row r="2099" spans="1:12">
      <c r="A2099" s="20" t="s">
        <v>1695</v>
      </c>
    </row>
    <row r="2100" spans="1:12">
      <c r="A2100" s="20" t="s">
        <v>1645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1553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462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841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1696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765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/>
    </row>
    <row r="2107" spans="1:12">
      <c r="A2107" s="20" t="s">
        <v>1697</v>
      </c>
    </row>
    <row r="2108" spans="1:12">
      <c r="A2108" s="20" t="s">
        <v>978</v>
      </c>
      <c r="B2108" s="27" t="s">
        <v>734</v>
      </c>
      <c r="C2108" s="27" t="s">
        <v>788</v>
      </c>
      <c r="D2108" s="27" t="s">
        <v>736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1698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744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799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1699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1700</v>
      </c>
      <c r="B2113" s="27" t="s">
        <v>762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744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1701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744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1702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822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 t="s">
        <v>1703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1704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841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1635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109</v>
      </c>
      <c r="B2123" s="27" t="s">
        <v>1071</v>
      </c>
      <c r="C2123" s="27" t="s">
        <v>828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1654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765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/>
    </row>
    <row r="2127" spans="1:12">
      <c r="A2127" s="20" t="s">
        <v>1705</v>
      </c>
    </row>
    <row r="2128" spans="1:12">
      <c r="A2128" s="20" t="s">
        <v>1157</v>
      </c>
      <c r="B2128" s="27" t="s">
        <v>734</v>
      </c>
      <c r="C2128" s="27" t="s">
        <v>756</v>
      </c>
      <c r="D2128" s="27" t="s">
        <v>736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1706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763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901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790</v>
      </c>
      <c r="B2132" s="27" t="s">
        <v>838</v>
      </c>
      <c r="C2132" s="27" t="s">
        <v>756</v>
      </c>
      <c r="D2132" s="27" t="s">
        <v>736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765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/>
    </row>
    <row r="2135" spans="1:12">
      <c r="A2135" s="20" t="s">
        <v>1707</v>
      </c>
    </row>
    <row r="2136" spans="1:12">
      <c r="A2136" s="20" t="s">
        <v>957</v>
      </c>
      <c r="B2136" s="27" t="s">
        <v>734</v>
      </c>
      <c r="C2136" s="27" t="s">
        <v>756</v>
      </c>
      <c r="D2136" s="27" t="s">
        <v>736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1708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1709</v>
      </c>
      <c r="B2138" s="27" t="s">
        <v>838</v>
      </c>
      <c r="C2138" s="27" t="s">
        <v>788</v>
      </c>
      <c r="D2138" s="27" t="s">
        <v>736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1710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109</v>
      </c>
      <c r="B2140" s="27" t="s">
        <v>838</v>
      </c>
      <c r="C2140" s="27" t="s">
        <v>828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765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/>
    </row>
    <row r="2143" spans="1:12">
      <c r="A2143" s="20" t="s">
        <v>1711</v>
      </c>
    </row>
    <row r="2144" spans="1:12">
      <c r="A2144" s="20" t="s">
        <v>978</v>
      </c>
      <c r="B2144" s="27" t="s">
        <v>734</v>
      </c>
      <c r="C2144" s="27" t="s">
        <v>788</v>
      </c>
      <c r="D2144" s="27" t="s">
        <v>736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1249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1712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744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1713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1445</v>
      </c>
      <c r="B2149" s="27" t="s">
        <v>762</v>
      </c>
      <c r="C2149" s="27" t="s">
        <v>735</v>
      </c>
      <c r="D2149" s="27" t="s">
        <v>736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1714</v>
      </c>
      <c r="B2150" s="27" t="s">
        <v>831</v>
      </c>
      <c r="C2150" s="27" t="s">
        <v>735</v>
      </c>
      <c r="D2150" s="27" t="s">
        <v>736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1049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793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1715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744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1415</v>
      </c>
      <c r="B2155" s="27" t="s">
        <v>762</v>
      </c>
      <c r="C2155" s="27" t="s">
        <v>756</v>
      </c>
      <c r="D2155" s="27" t="s">
        <v>736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1716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1717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1718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1719</v>
      </c>
      <c r="B2159" s="27" t="s">
        <v>819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744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1720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818</v>
      </c>
      <c r="B2162" s="27" t="s">
        <v>819</v>
      </c>
      <c r="C2162" s="27" t="s">
        <v>756</v>
      </c>
      <c r="D2162" s="27" t="s">
        <v>736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765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/>
    </row>
    <row r="2165" spans="1:12">
      <c r="A2165" s="20" t="s">
        <v>1721</v>
      </c>
    </row>
    <row r="2166" spans="1:12">
      <c r="A2166" s="20" t="s">
        <v>944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193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1193</v>
      </c>
      <c r="B2168" s="27" t="s">
        <v>755</v>
      </c>
      <c r="C2168" s="27" t="s">
        <v>747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776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818</v>
      </c>
      <c r="B2170" s="27" t="s">
        <v>838</v>
      </c>
      <c r="C2170" s="27" t="s">
        <v>756</v>
      </c>
      <c r="D2170" s="27" t="s">
        <v>736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1722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1723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1724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765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/>
    </row>
    <row r="2176" spans="1:12">
      <c r="A2176" s="20" t="s">
        <v>1725</v>
      </c>
    </row>
    <row r="2177" spans="1:12">
      <c r="A2177" s="20" t="s">
        <v>957</v>
      </c>
      <c r="B2177" s="27" t="s">
        <v>734</v>
      </c>
      <c r="C2177" s="27" t="s">
        <v>756</v>
      </c>
      <c r="D2177" s="27" t="s">
        <v>736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1726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1727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1728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763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1729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984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986</v>
      </c>
      <c r="B2184" s="27" t="s">
        <v>831</v>
      </c>
      <c r="C2184" s="27" t="s">
        <v>1010</v>
      </c>
      <c r="D2184" s="27" t="s">
        <v>736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1730</v>
      </c>
      <c r="B2185" s="27" t="s">
        <v>791</v>
      </c>
      <c r="C2185" s="27" t="s">
        <v>735</v>
      </c>
      <c r="D2185" s="27" t="s">
        <v>736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744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1731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1732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1733</v>
      </c>
      <c r="B2189" s="27" t="s">
        <v>819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744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759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1734</v>
      </c>
      <c r="B2192" s="27" t="s">
        <v>738</v>
      </c>
      <c r="C2192" s="27" t="s">
        <v>788</v>
      </c>
      <c r="D2192" s="27" t="s">
        <v>736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744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1735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1736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639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1737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1738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765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/>
    </row>
    <row r="2201" spans="1:12">
      <c r="A2201" s="20" t="s">
        <v>1739</v>
      </c>
    </row>
    <row r="2202" spans="1:12">
      <c r="A2202" s="20" t="s">
        <v>817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1740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1741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1742</v>
      </c>
      <c r="B2205" s="27" t="s">
        <v>819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744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1520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793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 t="s">
        <v>908</v>
      </c>
      <c r="E2209" s="21">
        <f>IF(D2209="?OLD","!!!","")</f>
        <v/>
      </c>
      <c r="F2209" s="22" t="str">
        <f>IF(OR(E2209="",E2209="!!!"),"",IF(NOT(ISNA(VLOOKUP(E2209,E$1:E2208,1,FALSE()))),"OLD",IF(AND(E2209&lt;&gt;"",E2209&lt;&gt;"!!!"),"NEW","")))</f>
        <v> </v>
      </c>
      <c r="G2209" s="23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4" t="str">
        <f>IF(J2209&lt;&gt;1,"",IF(I2209="SBJ","CB","?"))</f>
        <v> </v>
      </c>
      <c r="I2209" s="25" t="str">
        <f>IF(OR(E2209="",E2209="!!!",F2209="NEW"),"",INDEX(B2208:B$2,-1+SUMPRODUCT(MAX(ROW(E2208:E$2)*(E2209=E2208:E$2)))))</f>
        <v> </v>
      </c>
      <c r="J2209" s="25" t="str">
        <f>IF(OR(E2209="",E2209="!!!",F2209="NEW"),"",COUNTBLANK(OFFSET(A$1,,,SUMPRODUCT(MAX(ROW(E$2:E2209)*(E2209=E$2:E2209)))))-COUNTBLANK(OFFSET(A$1,,,SUMPRODUCT(MAX(ROW(E$1:E2208)*(E2=E$1:E2208))))))</f>
        <v> </v>
      </c>
      <c r="K2209" s="25" t="str">
        <f>IF(OR(E2209="",E2209="!!!",F2209="NEW"),"",INDEX(J$1:J2208,SUMPRODUCT(MAX(ROW(E$1:E2208)*(E2209=E$1:E2208)))))</f>
        <v> </v>
      </c>
      <c r="L2209" s="26"/>
    </row>
    <row r="2210" spans="1:12">
      <c r="A2210" s="20" t="s">
        <v>1743</v>
      </c>
      <c r="E2210" s="21">
        <f>IF(D2210="?OLD","!!!","")</f>
        <v/>
      </c>
      <c r="F2210" s="22" t="str">
        <f>IF(OR(E2210="",E2210="!!!"),"",IF(NOT(ISNA(VLOOKUP(E2210,E$1:E2209,1,FALSE()))),"OLD",IF(AND(E2210&lt;&gt;"",E2210&lt;&gt;"!!!"),"NEW","")))</f>
        <v> </v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4" t="str">
        <f>IF(J2210&lt;&gt;1,"",IF(I2210="SBJ","CB","?"))</f>
        <v> </v>
      </c>
      <c r="I2210" s="25" t="str">
        <f>IF(OR(E2210="",E2210="!!!",F2210="NEW"),"",INDEX(B2209:B$2,-1+SUMPRODUCT(MAX(ROW(E2209:E$2)*(E2210=E2209:E$2)))))</f>
        <v> </v>
      </c>
      <c r="J2210" s="25" t="str">
        <f>IF(OR(E2210="",E2210="!!!",F2210="NEW"),"",COUNTBLANK(OFFSET(A$1,,,SUMPRODUCT(MAX(ROW(E$2:E2210)*(E2210=E$2:E2210)))))-COUNTBLANK(OFFSET(A$1,,,SUMPRODUCT(MAX(ROW(E$1:E2209)*(E2=E$1:E2209))))))</f>
        <v> </v>
      </c>
      <c r="K2210" s="25" t="str">
        <f>IF(OR(E2210="",E2210="!!!",F2210="NEW"),"",INDEX(J$1:J2209,SUMPRODUCT(MAX(ROW(E$1:E2209)*(E2210=E$1:E2209)))))</f>
        <v> </v>
      </c>
      <c r="L2210" s="26"/>
    </row>
    <row r="2211" spans="1:12">
      <c r="A2211" s="20" t="s">
        <v>1744</v>
      </c>
      <c r="B2211" s="27" t="s">
        <v>819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1745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744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1746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1747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1748</v>
      </c>
      <c r="B2216" s="27" t="s">
        <v>887</v>
      </c>
      <c r="C2216" s="27" t="s">
        <v>1298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744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763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1749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1073</v>
      </c>
      <c r="B2220" s="27" t="s">
        <v>819</v>
      </c>
      <c r="C2220" s="27" t="s">
        <v>756</v>
      </c>
      <c r="D2220" s="27" t="s">
        <v>736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749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1750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1751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744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1008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744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1093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151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930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1752</v>
      </c>
      <c r="B2230" s="27" t="s">
        <v>849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744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842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1490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 t="s">
        <v>1753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1754</v>
      </c>
      <c r="B2235" s="27" t="s">
        <v>1071</v>
      </c>
      <c r="C2235" s="27" t="s">
        <v>828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290</v>
      </c>
      <c r="B2236" s="27" t="s">
        <v>1036</v>
      </c>
      <c r="C2236" s="27" t="s">
        <v>756</v>
      </c>
      <c r="D2236" s="27" t="s">
        <v>736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930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744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1755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862</v>
      </c>
      <c r="B2240" s="27" t="s">
        <v>847</v>
      </c>
      <c r="C2240" s="27" t="s">
        <v>756</v>
      </c>
      <c r="D2240" s="27" t="s">
        <v>736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1756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765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/>
    </row>
    <row r="2244" spans="1:12">
      <c r="A2244" s="20" t="s">
        <v>1757</v>
      </c>
    </row>
    <row r="2245" spans="1:12">
      <c r="A2245" s="20" t="s">
        <v>1758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1759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1760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744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1761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1742</v>
      </c>
      <c r="B2250" s="27" t="s">
        <v>887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763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1762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1763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744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763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699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1345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765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/>
    </row>
    <row r="2260" spans="1:12">
      <c r="A2260" s="20" t="s">
        <v>1764</v>
      </c>
    </row>
    <row r="2261" spans="1:12">
      <c r="A2261" s="20" t="s">
        <v>1632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1765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1766</v>
      </c>
      <c r="B2263" s="27" t="s">
        <v>734</v>
      </c>
      <c r="C2263" s="27" t="s">
        <v>788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841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981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1767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498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1768</v>
      </c>
      <c r="B2268" s="27" t="s">
        <v>755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765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/>
    </row>
    <row r="2271" spans="1:12">
      <c r="A2271" s="20" t="s">
        <v>1769</v>
      </c>
    </row>
    <row r="2272" spans="1:12">
      <c r="A2272" s="20" t="s">
        <v>978</v>
      </c>
      <c r="B2272" s="27" t="s">
        <v>734</v>
      </c>
      <c r="C2272" s="27" t="s">
        <v>788</v>
      </c>
      <c r="D2272" s="27" t="s">
        <v>736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1770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818</v>
      </c>
      <c r="B2274" s="27" t="s">
        <v>755</v>
      </c>
      <c r="C2274" s="27" t="s">
        <v>756</v>
      </c>
      <c r="D2274" s="27" t="s">
        <v>736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639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1771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976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822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1772</v>
      </c>
      <c r="B2279" s="27" t="s">
        <v>738</v>
      </c>
      <c r="C2279" s="27" t="s">
        <v>735</v>
      </c>
      <c r="D2279" s="27" t="s">
        <v>736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 t="s">
        <v>749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 t="s">
        <v>1367</v>
      </c>
      <c r="E2281" s="21">
        <f>IF(D2281="?OLD","!!!","")</f>
        <v/>
      </c>
      <c r="F2281" s="22" t="str">
        <f>IF(OR(E2281="",E2281="!!!"),"",IF(NOT(ISNA(VLOOKUP(E2281,E$1:E2280,1,FALSE()))),"OLD",IF(AND(E2281&lt;&gt;"",E2281&lt;&gt;"!!!"),"NEW","")))</f>
        <v> </v>
      </c>
      <c r="G2281" s="23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4" t="str">
        <f>IF(J2281&lt;&gt;1,"",IF(I2281="SBJ","CB","?"))</f>
        <v> </v>
      </c>
      <c r="I2281" s="25" t="str">
        <f>IF(OR(E2281="",E2281="!!!",F2281="NEW"),"",INDEX(B2280:B$2,-1+SUMPRODUCT(MAX(ROW(E2280:E$2)*(E2281=E2280:E$2)))))</f>
        <v> </v>
      </c>
      <c r="J2281" s="25" t="str">
        <f>IF(OR(E2281="",E2281="!!!",F2281="NEW"),"",COUNTBLANK(OFFSET(A$1,,,SUMPRODUCT(MAX(ROW(E$2:E2281)*(E2281=E$2:E2281)))))-COUNTBLANK(OFFSET(A$1,,,SUMPRODUCT(MAX(ROW(E$1:E2280)*(E2=E$1:E2280))))))</f>
        <v> </v>
      </c>
      <c r="K2281" s="25" t="str">
        <f>IF(OR(E2281="",E2281="!!!",F2281="NEW"),"",INDEX(J$1:J2280,SUMPRODUCT(MAX(ROW(E$1:E2280)*(E2281=E$1:E2280)))))</f>
        <v> </v>
      </c>
      <c r="L2281" s="26"/>
    </row>
    <row r="2282" spans="1:12">
      <c r="A2282" s="20" t="s">
        <v>1773</v>
      </c>
      <c r="B2282" s="27" t="s">
        <v>738</v>
      </c>
      <c r="C2282" s="27" t="s">
        <v>788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744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759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1774</v>
      </c>
      <c r="B2285" s="27" t="s">
        <v>791</v>
      </c>
      <c r="C2285" s="27" t="s">
        <v>735</v>
      </c>
      <c r="D2285" s="27" t="s">
        <v>736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744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763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1775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1776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1777</v>
      </c>
      <c r="B2290" s="27" t="s">
        <v>831</v>
      </c>
      <c r="C2290" s="27" t="s">
        <v>735</v>
      </c>
      <c r="D2290" s="27" t="s">
        <v>736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1778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1779</v>
      </c>
      <c r="B2292" s="27" t="s">
        <v>738</v>
      </c>
      <c r="C2292" s="27" t="s">
        <v>828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765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/>
    </row>
    <row r="2295" spans="1:12">
      <c r="A2295" s="20" t="s">
        <v>1780</v>
      </c>
    </row>
    <row r="2296" spans="1:12">
      <c r="A2296" s="20" t="s">
        <v>1781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830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 t="s">
        <v>829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 t="s">
        <v>1782</v>
      </c>
      <c r="E2299" s="21">
        <f>IF(D2299="?OLD","!!!","")</f>
        <v/>
      </c>
      <c r="F2299" s="22" t="str">
        <f>IF(OR(E2299="",E2299="!!!"),"",IF(NOT(ISNA(VLOOKUP(E2299,E$1:E2298,1,FALSE()))),"OLD",IF(AND(E2299&lt;&gt;"",E2299&lt;&gt;"!!!"),"NEW","")))</f>
        <v> </v>
      </c>
      <c r="G2299" s="23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4" t="str">
        <f>IF(J2299&lt;&gt;1,"",IF(I2299="SBJ","CB","?"))</f>
        <v> </v>
      </c>
      <c r="I2299" s="25" t="str">
        <f>IF(OR(E2299="",E2299="!!!",F2299="NEW"),"",INDEX(B2298:B$2,-1+SUMPRODUCT(MAX(ROW(E2298:E$2)*(E2299=E2298:E$2)))))</f>
        <v> </v>
      </c>
      <c r="J2299" s="25" t="str">
        <f>IF(OR(E2299="",E2299="!!!",F2299="NEW"),"",COUNTBLANK(OFFSET(A$1,,,SUMPRODUCT(MAX(ROW(E$2:E2299)*(E2299=E$2:E2299)))))-COUNTBLANK(OFFSET(A$1,,,SUMPRODUCT(MAX(ROW(E$1:E2298)*(E2=E$1:E2298))))))</f>
        <v> </v>
      </c>
      <c r="K2299" s="25" t="str">
        <f>IF(OR(E2299="",E2299="!!!",F2299="NEW"),"",INDEX(J$1:J2298,SUMPRODUCT(MAX(ROW(E$1:E2298)*(E2299=E$1:E2298)))))</f>
        <v> </v>
      </c>
      <c r="L2299" s="26"/>
    </row>
    <row r="2300" spans="1:12">
      <c r="A2300" s="20" t="s">
        <v>1783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1428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765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/>
    </row>
    <row r="2304" spans="1:12">
      <c r="A2304" s="20" t="s">
        <v>1784</v>
      </c>
    </row>
    <row r="2305" spans="1:12">
      <c r="A2305" s="20" t="s">
        <v>978</v>
      </c>
      <c r="B2305" s="27" t="s">
        <v>734</v>
      </c>
      <c r="C2305" s="27" t="s">
        <v>788</v>
      </c>
      <c r="D2305" s="27" t="s">
        <v>736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1669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 t="s">
        <v>1679</v>
      </c>
      <c r="B2307" s="27" t="s">
        <v>755</v>
      </c>
      <c r="C2307" s="27" t="s">
        <v>756</v>
      </c>
      <c r="D2307" s="27" t="s">
        <v>736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1785</v>
      </c>
      <c r="B2308" s="27" t="s">
        <v>755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1786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1734</v>
      </c>
      <c r="B2310" s="27" t="s">
        <v>738</v>
      </c>
      <c r="C2310" s="27" t="s">
        <v>788</v>
      </c>
      <c r="D2310" s="27" t="s">
        <v>736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749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1787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1788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1789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749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1504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 t="s">
        <v>1790</v>
      </c>
      <c r="E2317" s="21">
        <f>IF(D2317="?OLD","!!!","")</f>
        <v/>
      </c>
      <c r="F2317" s="22" t="str">
        <f>IF(OR(E2317="",E2317="!!!"),"",IF(NOT(ISNA(VLOOKUP(E2317,E$1:E2316,1,FALSE()))),"OLD",IF(AND(E2317&lt;&gt;"",E2317&lt;&gt;"!!!"),"NEW","")))</f>
        <v> </v>
      </c>
      <c r="G2317" s="23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4" t="str">
        <f>IF(J2317&lt;&gt;1,"",IF(I2317="SBJ","CB","?"))</f>
        <v> </v>
      </c>
      <c r="I2317" s="25" t="str">
        <f>IF(OR(E2317="",E2317="!!!",F2317="NEW"),"",INDEX(B2316:B$2,-1+SUMPRODUCT(MAX(ROW(E2316:E$2)*(E2317=E2316:E$2)))))</f>
        <v> </v>
      </c>
      <c r="J2317" s="25" t="str">
        <f>IF(OR(E2317="",E2317="!!!",F2317="NEW"),"",COUNTBLANK(OFFSET(A$1,,,SUMPRODUCT(MAX(ROW(E$2:E2317)*(E2317=E$2:E2317)))))-COUNTBLANK(OFFSET(A$1,,,SUMPRODUCT(MAX(ROW(E$1:E2316)*(E2=E$1:E2316))))))</f>
        <v> </v>
      </c>
      <c r="K2317" s="25" t="str">
        <f>IF(OR(E2317="",E2317="!!!",F2317="NEW"),"",INDEX(J$1:J2316,SUMPRODUCT(MAX(ROW(E$1:E2316)*(E2317=E$1:E2316)))))</f>
        <v> </v>
      </c>
      <c r="L2317" s="26"/>
    </row>
    <row r="2318" spans="1:12">
      <c r="A2318" s="20" t="s">
        <v>744</v>
      </c>
      <c r="E2318" s="21">
        <f>IF(D2318="?OLD","!!!","")</f>
        <v/>
      </c>
      <c r="F2318" s="22" t="str">
        <f>IF(OR(E2318="",E2318="!!!"),"",IF(NOT(ISNA(VLOOKUP(E2318,E$1:E2317,1,FALSE()))),"OLD",IF(AND(E2318&lt;&gt;"",E2318&lt;&gt;"!!!"),"NEW","")))</f>
        <v> </v>
      </c>
      <c r="G2318" s="23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4" t="str">
        <f>IF(J2318&lt;&gt;1,"",IF(I2318="SBJ","CB","?"))</f>
        <v> </v>
      </c>
      <c r="I2318" s="25" t="str">
        <f>IF(OR(E2318="",E2318="!!!",F2318="NEW"),"",INDEX(B2317:B$2,-1+SUMPRODUCT(MAX(ROW(E2317:E$2)*(E2318=E2317:E$2)))))</f>
        <v> </v>
      </c>
      <c r="J2318" s="25" t="str">
        <f>IF(OR(E2318="",E2318="!!!",F2318="NEW"),"",COUNTBLANK(OFFSET(A$1,,,SUMPRODUCT(MAX(ROW(E$2:E2318)*(E2318=E$2:E2318)))))-COUNTBLANK(OFFSET(A$1,,,SUMPRODUCT(MAX(ROW(E$1:E2317)*(E2=E$1:E2317))))))</f>
        <v> </v>
      </c>
      <c r="K2318" s="25" t="str">
        <f>IF(OR(E2318="",E2318="!!!",F2318="NEW"),"",INDEX(J$1:J2317,SUMPRODUCT(MAX(ROW(E$1:E2317)*(E2318=E$1:E2317)))))</f>
        <v> </v>
      </c>
      <c r="L2318" s="26"/>
    </row>
    <row r="2319" spans="1:12">
      <c r="A2319" s="20" t="s">
        <v>1791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763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1792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1793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765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/>
    </row>
    <row r="2325" spans="1:12">
      <c r="A2325" s="20" t="s">
        <v>1794</v>
      </c>
    </row>
    <row r="2326" spans="1:12">
      <c r="A2326" s="20" t="s">
        <v>910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699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 t="s">
        <v>294</v>
      </c>
      <c r="B2328" s="27" t="s">
        <v>734</v>
      </c>
      <c r="E2328" s="21">
        <f>IF(D2328="?OLD","!!!","")</f>
        <v/>
      </c>
      <c r="F2328" s="22" t="str">
        <f>IF(OR(E2328="",E2328="!!!"),"",IF(NOT(ISNA(VLOOKUP(E2328,E$1:E2327,1,FALSE()))),"OLD",IF(AND(E2328&lt;&gt;"",E2328&lt;&gt;"!!!"),"NEW","")))</f>
        <v> </v>
      </c>
      <c r="G2328" s="23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4" t="str">
        <f>IF(J2328&lt;&gt;1,"",IF(I2328="SBJ","CB","?"))</f>
        <v> </v>
      </c>
      <c r="I2328" s="25" t="str">
        <f>IF(OR(E2328="",E2328="!!!",F2328="NEW"),"",INDEX(B2327:B$2,-1+SUMPRODUCT(MAX(ROW(E2327:E$2)*(E2328=E2327:E$2)))))</f>
        <v> </v>
      </c>
      <c r="J2328" s="25" t="str">
        <f>IF(OR(E2328="",E2328="!!!",F2328="NEW"),"",COUNTBLANK(OFFSET(A$1,,,SUMPRODUCT(MAX(ROW(E$2:E2328)*(E2328=E$2:E2328)))))-COUNTBLANK(OFFSET(A$1,,,SUMPRODUCT(MAX(ROW(E$1:E2327)*(E2=E$1:E2327))))))</f>
        <v> </v>
      </c>
      <c r="K2328" s="25" t="str">
        <f>IF(OR(E2328="",E2328="!!!",F2328="NEW"),"",INDEX(J$1:J2327,SUMPRODUCT(MAX(ROW(E$1:E2327)*(E2328=E$1:E2327)))))</f>
        <v> </v>
      </c>
      <c r="L2328" s="26"/>
    </row>
    <row r="2329" spans="1:12">
      <c r="A2329" s="20" t="s">
        <v>942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1795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744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789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1777</v>
      </c>
      <c r="B2333" s="27" t="s">
        <v>762</v>
      </c>
      <c r="C2333" s="27" t="s">
        <v>735</v>
      </c>
      <c r="D2333" s="27" t="s">
        <v>736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1778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1779</v>
      </c>
      <c r="B2335" s="27" t="s">
        <v>831</v>
      </c>
      <c r="C2335" s="27" t="s">
        <v>828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 t="s">
        <v>906</v>
      </c>
      <c r="E2336" s="21">
        <f>IF(D2336="?OLD","!!!","")</f>
        <v/>
      </c>
      <c r="F2336" s="22" t="str">
        <f>IF(OR(E2336="",E2336="!!!"),"",IF(NOT(ISNA(VLOOKUP(E2336,E$1:E2335,1,FALSE()))),"OLD",IF(AND(E2336&lt;&gt;"",E2336&lt;&gt;"!!!"),"NEW","")))</f>
        <v> </v>
      </c>
      <c r="G2336" s="23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4" t="str">
        <f>IF(J2336&lt;&gt;1,"",IF(I2336="SBJ","CB","?"))</f>
        <v> </v>
      </c>
      <c r="I2336" s="25" t="str">
        <f>IF(OR(E2336="",E2336="!!!",F2336="NEW"),"",INDEX(B2335:B$2,-1+SUMPRODUCT(MAX(ROW(E2335:E$2)*(E2336=E2335:E$2)))))</f>
        <v> </v>
      </c>
      <c r="J2336" s="25" t="str">
        <f>IF(OR(E2336="",E2336="!!!",F2336="NEW"),"",COUNTBLANK(OFFSET(A$1,,,SUMPRODUCT(MAX(ROW(E$2:E2336)*(E2336=E$2:E2336)))))-COUNTBLANK(OFFSET(A$1,,,SUMPRODUCT(MAX(ROW(E$1:E2335)*(E2=E$1:E2335))))))</f>
        <v> </v>
      </c>
      <c r="K2336" s="25" t="str">
        <f>IF(OR(E2336="",E2336="!!!",F2336="NEW"),"",INDEX(J$1:J2335,SUMPRODUCT(MAX(ROW(E$1:E2335)*(E2336=E$1:E2335)))))</f>
        <v> </v>
      </c>
      <c r="L2336" s="26"/>
    </row>
    <row r="2337" spans="1:12">
      <c r="A2337" s="20" t="s">
        <v>1796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1797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10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1798</v>
      </c>
      <c r="B2340" s="27" t="s">
        <v>791</v>
      </c>
      <c r="C2340" s="27" t="s">
        <v>828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1799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765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/>
    </row>
    <row r="2344" spans="1:12">
      <c r="A2344" s="20" t="s">
        <v>1800</v>
      </c>
    </row>
    <row r="2345" spans="1:12">
      <c r="A2345" s="20" t="s">
        <v>926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964</v>
      </c>
      <c r="B2346" s="27" t="s">
        <v>734</v>
      </c>
      <c r="C2346" s="27" t="s">
        <v>756</v>
      </c>
      <c r="D2346" s="27" t="s">
        <v>736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763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930</v>
      </c>
      <c r="E2348" s="21">
        <f>IF(D2348="?OLD","!!!","")</f>
        <v/>
      </c>
      <c r="F2348" s="22" t="str">
        <f>IF(OR(E2348="",E2348="!!!"),"",IF(NOT(ISNA(VLOOKUP(E2348,E$1:E2347,1,FALSE()))),"OLD",IF(AND(E2348&lt;&gt;"",E2348&lt;&gt;"!!!"),"NEW","")))</f>
        <v> </v>
      </c>
      <c r="G2348" s="23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4" t="str">
        <f>IF(J2348&lt;&gt;1,"",IF(I2348="SBJ","CB","?"))</f>
        <v> </v>
      </c>
      <c r="I2348" s="25" t="str">
        <f>IF(OR(E2348="",E2348="!!!",F2348="NEW"),"",INDEX(B2347:B$2,-1+SUMPRODUCT(MAX(ROW(E2347:E$2)*(E2348=E2347:E$2)))))</f>
        <v> </v>
      </c>
      <c r="J2348" s="25" t="str">
        <f>IF(OR(E2348="",E2348="!!!",F2348="NEW"),"",COUNTBLANK(OFFSET(A$1,,,SUMPRODUCT(MAX(ROW(E$2:E2348)*(E2348=E$2:E2348)))))-COUNTBLANK(OFFSET(A$1,,,SUMPRODUCT(MAX(ROW(E$1:E2347)*(E2=E$1:E2347))))))</f>
        <v> </v>
      </c>
      <c r="K2348" s="25" t="str">
        <f>IF(OR(E2348="",E2348="!!!",F2348="NEW"),"",INDEX(J$1:J2347,SUMPRODUCT(MAX(ROW(E$1:E2347)*(E2348=E$1:E2347)))))</f>
        <v> </v>
      </c>
      <c r="L2348" s="26"/>
    </row>
    <row r="2349" spans="1:12">
      <c r="A2349" s="20" t="s">
        <v>826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34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863</v>
      </c>
      <c r="B2351" s="27" t="s">
        <v>838</v>
      </c>
      <c r="C2351" s="27" t="s">
        <v>828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744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789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848</v>
      </c>
      <c r="B2354" s="27" t="s">
        <v>762</v>
      </c>
      <c r="C2354" s="27" t="s">
        <v>756</v>
      </c>
      <c r="D2354" s="27" t="s">
        <v>736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1801</v>
      </c>
      <c r="B2355" s="27" t="s">
        <v>819</v>
      </c>
      <c r="C2355" s="27" t="s">
        <v>756</v>
      </c>
      <c r="D2355" s="27" t="s">
        <v>736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1802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744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1008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1803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1804</v>
      </c>
      <c r="B2360" s="27" t="s">
        <v>738</v>
      </c>
      <c r="C2360" s="27" t="s">
        <v>756</v>
      </c>
      <c r="D2360" s="27" t="s">
        <v>736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744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789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1805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1806</v>
      </c>
      <c r="B2364" s="27" t="s">
        <v>800</v>
      </c>
      <c r="C2364" s="27" t="s">
        <v>735</v>
      </c>
      <c r="D2364" s="27" t="s">
        <v>736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1807</v>
      </c>
      <c r="B2365" s="27" t="s">
        <v>831</v>
      </c>
      <c r="C2365" s="27" t="s">
        <v>1456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793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1808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744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1809</v>
      </c>
      <c r="B2369" s="27" t="s">
        <v>849</v>
      </c>
      <c r="C2369" s="27" t="s">
        <v>735</v>
      </c>
      <c r="D2369" s="27" t="s">
        <v>736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841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 t="s">
        <v>1810</v>
      </c>
      <c r="E2371" s="21">
        <f>IF(D2371="?OLD","!!!","")</f>
        <v/>
      </c>
      <c r="F2371" s="22" t="str">
        <f>IF(OR(E2371="",E2371="!!!"),"",IF(NOT(ISNA(VLOOKUP(E2371,E$1:E2370,1,FALSE()))),"OLD",IF(AND(E2371&lt;&gt;"",E2371&lt;&gt;"!!!"),"NEW","")))</f>
        <v> </v>
      </c>
      <c r="G2371" s="23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4" t="str">
        <f>IF(J2371&lt;&gt;1,"",IF(I2371="SBJ","CB","?"))</f>
        <v> </v>
      </c>
      <c r="I2371" s="25" t="str">
        <f>IF(OR(E2371="",E2371="!!!",F2371="NEW"),"",INDEX(B2370:B$2,-1+SUMPRODUCT(MAX(ROW(E2370:E$2)*(E2371=E2370:E$2)))))</f>
        <v> </v>
      </c>
      <c r="J2371" s="25" t="str">
        <f>IF(OR(E2371="",E2371="!!!",F2371="NEW"),"",COUNTBLANK(OFFSET(A$1,,,SUMPRODUCT(MAX(ROW(E$2:E2371)*(E2371=E$2:E2371)))))-COUNTBLANK(OFFSET(A$1,,,SUMPRODUCT(MAX(ROW(E$1:E2370)*(E2=E$1:E2370))))))</f>
        <v> </v>
      </c>
      <c r="K2371" s="25" t="str">
        <f>IF(OR(E2371="",E2371="!!!",F2371="NEW"),"",INDEX(J$1:J2370,SUMPRODUCT(MAX(ROW(E$1:E2370)*(E2371=E$1:E2370)))))</f>
        <v> </v>
      </c>
      <c r="L2371" s="26"/>
    </row>
    <row r="2372" spans="1:12">
      <c r="A2372" s="20" t="s">
        <v>1807</v>
      </c>
      <c r="B2372" s="27" t="s">
        <v>831</v>
      </c>
      <c r="C2372" s="27" t="s">
        <v>1456</v>
      </c>
      <c r="E2372" s="21">
        <f>IF(D2372="?OLD","!!!","")</f>
        <v/>
      </c>
      <c r="F2372" s="22" t="str">
        <f>IF(OR(E2372="",E2372="!!!"),"",IF(NOT(ISNA(VLOOKUP(E2372,E$1:E2371,1,FALSE()))),"OLD",IF(AND(E2372&lt;&gt;"",E2372&lt;&gt;"!!!"),"NEW","")))</f>
        <v> </v>
      </c>
      <c r="G2372" s="23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4" t="str">
        <f>IF(J2372&lt;&gt;1,"",IF(I2372="SBJ","CB","?"))</f>
        <v> </v>
      </c>
      <c r="I2372" s="25" t="str">
        <f>IF(OR(E2372="",E2372="!!!",F2372="NEW"),"",INDEX(B2371:B$2,-1+SUMPRODUCT(MAX(ROW(E2371:E$2)*(E2372=E2371:E$2)))))</f>
        <v> </v>
      </c>
      <c r="J2372" s="25" t="str">
        <f>IF(OR(E2372="",E2372="!!!",F2372="NEW"),"",COUNTBLANK(OFFSET(A$1,,,SUMPRODUCT(MAX(ROW(E$2:E2372)*(E2372=E$2:E2372)))))-COUNTBLANK(OFFSET(A$1,,,SUMPRODUCT(MAX(ROW(E$1:E2371)*(E2=E$1:E2371))))))</f>
        <v> </v>
      </c>
      <c r="K2372" s="25" t="str">
        <f>IF(OR(E2372="",E2372="!!!",F2372="NEW"),"",INDEX(J$1:J2371,SUMPRODUCT(MAX(ROW(E$1:E2371)*(E2372=E$1:E2371)))))</f>
        <v> </v>
      </c>
      <c r="L2372" s="26"/>
    </row>
    <row r="2373" spans="1:12">
      <c r="A2373" s="20" t="s">
        <v>765</v>
      </c>
      <c r="E2373" s="21">
        <f>IF(D2373="?OLD","!!!","")</f>
        <v/>
      </c>
      <c r="F2373" s="22" t="str">
        <f>IF(OR(E2373="",E2373="!!!"),"",IF(NOT(ISNA(VLOOKUP(E2373,E$1:E2372,1,FALSE()))),"OLD",IF(AND(E2373&lt;&gt;"",E2373&lt;&gt;"!!!"),"NEW","")))</f>
        <v> </v>
      </c>
      <c r="G2373" s="23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4" t="str">
        <f>IF(J2373&lt;&gt;1,"",IF(I2373="SBJ","CB","?"))</f>
        <v> </v>
      </c>
      <c r="I2373" s="25" t="str">
        <f>IF(OR(E2373="",E2373="!!!",F2373="NEW"),"",INDEX(B2372:B$2,-1+SUMPRODUCT(MAX(ROW(E2372:E$2)*(E2373=E2372:E$2)))))</f>
        <v> </v>
      </c>
      <c r="J2373" s="25" t="str">
        <f>IF(OR(E2373="",E2373="!!!",F2373="NEW"),"",COUNTBLANK(OFFSET(A$1,,,SUMPRODUCT(MAX(ROW(E$2:E2373)*(E2373=E$2:E2373)))))-COUNTBLANK(OFFSET(A$1,,,SUMPRODUCT(MAX(ROW(E$1:E2372)*(E2=E$1:E2372))))))</f>
        <v> </v>
      </c>
      <c r="K2373" s="25" t="str">
        <f>IF(OR(E2373="",E2373="!!!",F2373="NEW"),"",INDEX(J$1:J2372,SUMPRODUCT(MAX(ROW(E$1:E2372)*(E2373=E$1:E2372)))))</f>
        <v> </v>
      </c>
      <c r="L2373" s="26"/>
    </row>
    <row r="2374" spans="1:12">
      <c r="A2374" s="20"/>
    </row>
    <row r="2375" spans="1:12">
      <c r="A2375" s="20" t="s">
        <v>1811</v>
      </c>
    </row>
    <row r="2376" spans="1:12">
      <c r="A2376" s="20" t="s">
        <v>1281</v>
      </c>
      <c r="E2376" s="21">
        <f>IF(D2376="?OLD","!!!","")</f>
        <v/>
      </c>
      <c r="F2376" s="22" t="str">
        <f>IF(OR(E2376="",E2376="!!!"),"",IF(NOT(ISNA(VLOOKUP(E2376,E$1:E2375,1,FALSE()))),"OLD",IF(AND(E2376&lt;&gt;"",E2376&lt;&gt;"!!!"),"NEW","")))</f>
        <v> </v>
      </c>
      <c r="G2376" s="23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4" t="str">
        <f>IF(J2376&lt;&gt;1,"",IF(I2376="SBJ","CB","?"))</f>
        <v> </v>
      </c>
      <c r="I2376" s="25" t="str">
        <f>IF(OR(E2376="",E2376="!!!",F2376="NEW"),"",INDEX(B2375:B$2,-1+SUMPRODUCT(MAX(ROW(E2375:E$2)*(E2376=E2375:E$2)))))</f>
        <v> </v>
      </c>
      <c r="J2376" s="25" t="str">
        <f>IF(OR(E2376="",E2376="!!!",F2376="NEW"),"",COUNTBLANK(OFFSET(A$1,,,SUMPRODUCT(MAX(ROW(E$2:E2376)*(E2376=E$2:E2376)))))-COUNTBLANK(OFFSET(A$1,,,SUMPRODUCT(MAX(ROW(E$1:E2375)*(E2=E$1:E2375))))))</f>
        <v> </v>
      </c>
      <c r="K2376" s="25" t="str">
        <f>IF(OR(E2376="",E2376="!!!",F2376="NEW"),"",INDEX(J$1:J2375,SUMPRODUCT(MAX(ROW(E$1:E2375)*(E2376=E$1:E2375)))))</f>
        <v> </v>
      </c>
      <c r="L2376" s="26"/>
    </row>
    <row r="2377" spans="1:12">
      <c r="A2377" s="20" t="s">
        <v>1264</v>
      </c>
      <c r="E2377" s="21">
        <f>IF(D2377="?OLD","!!!","")</f>
        <v/>
      </c>
      <c r="F2377" s="22" t="str">
        <f>IF(OR(E2377="",E2377="!!!"),"",IF(NOT(ISNA(VLOOKUP(E2377,E$1:E2376,1,FALSE()))),"OLD",IF(AND(E2377&lt;&gt;"",E2377&lt;&gt;"!!!"),"NEW","")))</f>
        <v> </v>
      </c>
      <c r="G2377" s="23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4" t="str">
        <f>IF(J2377&lt;&gt;1,"",IF(I2377="SBJ","CB","?"))</f>
        <v> </v>
      </c>
      <c r="I2377" s="25" t="str">
        <f>IF(OR(E2377="",E2377="!!!",F2377="NEW"),"",INDEX(B2376:B$2,-1+SUMPRODUCT(MAX(ROW(E2376:E$2)*(E2377=E2376:E$2)))))</f>
        <v> </v>
      </c>
      <c r="J2377" s="25" t="str">
        <f>IF(OR(E2377="",E2377="!!!",F2377="NEW"),"",COUNTBLANK(OFFSET(A$1,,,SUMPRODUCT(MAX(ROW(E$2:E2377)*(E2377=E$2:E2377)))))-COUNTBLANK(OFFSET(A$1,,,SUMPRODUCT(MAX(ROW(E$1:E2376)*(E2=E$1:E2376))))))</f>
        <v> </v>
      </c>
      <c r="K2377" s="25" t="str">
        <f>IF(OR(E2377="",E2377="!!!",F2377="NEW"),"",INDEX(J$1:J2376,SUMPRODUCT(MAX(ROW(E$1:E2376)*(E2377=E$1:E2376)))))</f>
        <v> </v>
      </c>
      <c r="L2377" s="26"/>
    </row>
    <row r="2378" spans="1:12">
      <c r="A2378" s="20" t="s">
        <v>1812</v>
      </c>
      <c r="E2378" s="21">
        <f>IF(D2378="?OLD","!!!","")</f>
        <v/>
      </c>
      <c r="F2378" s="22" t="str">
        <f>IF(OR(E2378="",E2378="!!!"),"",IF(NOT(ISNA(VLOOKUP(E2378,E$1:E2377,1,FALSE()))),"OLD",IF(AND(E2378&lt;&gt;"",E2378&lt;&gt;"!!!"),"NEW","")))</f>
        <v> </v>
      </c>
      <c r="G2378" s="23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4" t="str">
        <f>IF(J2378&lt;&gt;1,"",IF(I2378="SBJ","CB","?"))</f>
        <v> </v>
      </c>
      <c r="I2378" s="25" t="str">
        <f>IF(OR(E2378="",E2378="!!!",F2378="NEW"),"",INDEX(B2377:B$2,-1+SUMPRODUCT(MAX(ROW(E2377:E$2)*(E2378=E2377:E$2)))))</f>
        <v> </v>
      </c>
      <c r="J2378" s="25" t="str">
        <f>IF(OR(E2378="",E2378="!!!",F2378="NEW"),"",COUNTBLANK(OFFSET(A$1,,,SUMPRODUCT(MAX(ROW(E$2:E2378)*(E2378=E$2:E2378)))))-COUNTBLANK(OFFSET(A$1,,,SUMPRODUCT(MAX(ROW(E$1:E2377)*(E2=E$1:E2377))))))</f>
        <v> </v>
      </c>
      <c r="K2378" s="25" t="str">
        <f>IF(OR(E2378="",E2378="!!!",F2378="NEW"),"",INDEX(J$1:J2377,SUMPRODUCT(MAX(ROW(E$1:E2377)*(E2378=E$1:E2377)))))</f>
        <v> </v>
      </c>
      <c r="L2378" s="26"/>
    </row>
    <row r="2379" spans="1:12">
      <c r="A2379" s="20" t="s">
        <v>744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851</v>
      </c>
      <c r="B2380" s="27" t="s">
        <v>734</v>
      </c>
      <c r="C2380" s="27" t="s">
        <v>788</v>
      </c>
      <c r="D2380" s="27" t="s">
        <v>736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941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1813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744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1814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 t="s">
        <v>1675</v>
      </c>
      <c r="E2385" s="21">
        <f>IF(D2385="?OLD","!!!","")</f>
        <v/>
      </c>
      <c r="F2385" s="22" t="str">
        <f>IF(OR(E2385="",E2385="!!!"),"",IF(NOT(ISNA(VLOOKUP(E2385,E$1:E2384,1,FALSE()))),"OLD",IF(AND(E2385&lt;&gt;"",E2385&lt;&gt;"!!!"),"NEW","")))</f>
        <v> </v>
      </c>
      <c r="G2385" s="23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4" t="str">
        <f>IF(J2385&lt;&gt;1,"",IF(I2385="SBJ","CB","?"))</f>
        <v> </v>
      </c>
      <c r="I2385" s="25" t="str">
        <f>IF(OR(E2385="",E2385="!!!",F2385="NEW"),"",INDEX(B2384:B$2,-1+SUMPRODUCT(MAX(ROW(E2384:E$2)*(E2385=E2384:E$2)))))</f>
        <v> </v>
      </c>
      <c r="J2385" s="25" t="str">
        <f>IF(OR(E2385="",E2385="!!!",F2385="NEW"),"",COUNTBLANK(OFFSET(A$1,,,SUMPRODUCT(MAX(ROW(E$2:E2385)*(E2385=E$2:E2385)))))-COUNTBLANK(OFFSET(A$1,,,SUMPRODUCT(MAX(ROW(E$1:E2384)*(E2=E$1:E2384))))))</f>
        <v> </v>
      </c>
      <c r="K2385" s="25" t="str">
        <f>IF(OR(E2385="",E2385="!!!",F2385="NEW"),"",INDEX(J$1:J2384,SUMPRODUCT(MAX(ROW(E$1:E2384)*(E2385=E$1:E2384)))))</f>
        <v> </v>
      </c>
      <c r="L2385" s="26"/>
    </row>
    <row r="2386" spans="1:12">
      <c r="A2386" s="20" t="s">
        <v>1815</v>
      </c>
      <c r="B2386" s="27" t="s">
        <v>819</v>
      </c>
      <c r="E2386" s="21">
        <f>IF(D2386="?OLD","!!!","")</f>
        <v/>
      </c>
      <c r="F2386" s="22" t="str">
        <f>IF(OR(E2386="",E2386="!!!"),"",IF(NOT(ISNA(VLOOKUP(E2386,E$1:E2385,1,FALSE()))),"OLD",IF(AND(E2386&lt;&gt;"",E2386&lt;&gt;"!!!"),"NEW","")))</f>
        <v> </v>
      </c>
      <c r="G2386" s="23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4" t="str">
        <f>IF(J2386&lt;&gt;1,"",IF(I2386="SBJ","CB","?"))</f>
        <v> </v>
      </c>
      <c r="I2386" s="25" t="str">
        <f>IF(OR(E2386="",E2386="!!!",F2386="NEW"),"",INDEX(B2385:B$2,-1+SUMPRODUCT(MAX(ROW(E2385:E$2)*(E2386=E2385:E$2)))))</f>
        <v> </v>
      </c>
      <c r="J2386" s="25" t="str">
        <f>IF(OR(E2386="",E2386="!!!",F2386="NEW"),"",COUNTBLANK(OFFSET(A$1,,,SUMPRODUCT(MAX(ROW(E$2:E2386)*(E2386=E$2:E2386)))))-COUNTBLANK(OFFSET(A$1,,,SUMPRODUCT(MAX(ROW(E$1:E2385)*(E2=E$1:E2385))))))</f>
        <v> </v>
      </c>
      <c r="K2386" s="25" t="str">
        <f>IF(OR(E2386="",E2386="!!!",F2386="NEW"),"",INDEX(J$1:J2385,SUMPRODUCT(MAX(ROW(E$1:E2385)*(E2386=E$1:E2385)))))</f>
        <v> </v>
      </c>
      <c r="L2386" s="26"/>
    </row>
    <row r="2387" spans="1:12">
      <c r="A2387" s="20" t="s">
        <v>744</v>
      </c>
      <c r="E2387" s="21">
        <f>IF(D2387="?OLD","!!!","")</f>
        <v/>
      </c>
      <c r="F2387" s="22" t="str">
        <f>IF(OR(E2387="",E2387="!!!"),"",IF(NOT(ISNA(VLOOKUP(E2387,E$1:E2386,1,FALSE()))),"OLD",IF(AND(E2387&lt;&gt;"",E2387&lt;&gt;"!!!"),"NEW","")))</f>
        <v> </v>
      </c>
      <c r="G2387" s="23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4" t="str">
        <f>IF(J2387&lt;&gt;1,"",IF(I2387="SBJ","CB","?"))</f>
        <v> </v>
      </c>
      <c r="I2387" s="25" t="str">
        <f>IF(OR(E2387="",E2387="!!!",F2387="NEW"),"",INDEX(B2386:B$2,-1+SUMPRODUCT(MAX(ROW(E2386:E$2)*(E2387=E2386:E$2)))))</f>
        <v> </v>
      </c>
      <c r="J2387" s="25" t="str">
        <f>IF(OR(E2387="",E2387="!!!",F2387="NEW"),"",COUNTBLANK(OFFSET(A$1,,,SUMPRODUCT(MAX(ROW(E$2:E2387)*(E2387=E$2:E2387)))))-COUNTBLANK(OFFSET(A$1,,,SUMPRODUCT(MAX(ROW(E$1:E2386)*(E2=E$1:E2386))))))</f>
        <v> </v>
      </c>
      <c r="K2387" s="25" t="str">
        <f>IF(OR(E2387="",E2387="!!!",F2387="NEW"),"",INDEX(J$1:J2386,SUMPRODUCT(MAX(ROW(E$1:E2386)*(E2387=E$1:E2386)))))</f>
        <v> </v>
      </c>
      <c r="L2387" s="26"/>
    </row>
    <row r="2388" spans="1:12">
      <c r="A2388" s="20" t="s">
        <v>789</v>
      </c>
      <c r="B2388" s="27" t="s">
        <v>762</v>
      </c>
      <c r="C2388" s="27" t="s">
        <v>747</v>
      </c>
      <c r="E2388" s="21">
        <f>IF(D2388="?OLD","!!!","")</f>
        <v/>
      </c>
      <c r="F2388" s="22" t="str">
        <f>IF(OR(E2388="",E2388="!!!"),"",IF(NOT(ISNA(VLOOKUP(E2388,E$1:E2387,1,FALSE()))),"OLD",IF(AND(E2388&lt;&gt;"",E2388&lt;&gt;"!!!"),"NEW","")))</f>
        <v> </v>
      </c>
      <c r="G2388" s="23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4" t="str">
        <f>IF(J2388&lt;&gt;1,"",IF(I2388="SBJ","CB","?"))</f>
        <v> </v>
      </c>
      <c r="I2388" s="25" t="str">
        <f>IF(OR(E2388="",E2388="!!!",F2388="NEW"),"",INDEX(B2387:B$2,-1+SUMPRODUCT(MAX(ROW(E2387:E$2)*(E2388=E2387:E$2)))))</f>
        <v> </v>
      </c>
      <c r="J2388" s="25" t="str">
        <f>IF(OR(E2388="",E2388="!!!",F2388="NEW"),"",COUNTBLANK(OFFSET(A$1,,,SUMPRODUCT(MAX(ROW(E$2:E2388)*(E2388=E$2:E2388)))))-COUNTBLANK(OFFSET(A$1,,,SUMPRODUCT(MAX(ROW(E$1:E2387)*(E2=E$1:E2387))))))</f>
        <v> </v>
      </c>
      <c r="K2388" s="25" t="str">
        <f>IF(OR(E2388="",E2388="!!!",F2388="NEW"),"",INDEX(J$1:J2387,SUMPRODUCT(MAX(ROW(E$1:E2387)*(E2388=E$1:E2387)))))</f>
        <v> </v>
      </c>
      <c r="L2388" s="26"/>
    </row>
    <row r="2389" spans="1:12">
      <c r="A2389" s="20" t="s">
        <v>981</v>
      </c>
      <c r="E2389" s="21">
        <f>IF(D2389="?OLD","!!!","")</f>
        <v/>
      </c>
      <c r="F2389" s="22" t="str">
        <f>IF(OR(E2389="",E2389="!!!"),"",IF(NOT(ISNA(VLOOKUP(E2389,E$1:E2388,1,FALSE()))),"OLD",IF(AND(E2389&lt;&gt;"",E2389&lt;&gt;"!!!"),"NEW","")))</f>
        <v> </v>
      </c>
      <c r="G2389" s="23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4" t="str">
        <f>IF(J2389&lt;&gt;1,"",IF(I2389="SBJ","CB","?"))</f>
        <v> </v>
      </c>
      <c r="I2389" s="25" t="str">
        <f>IF(OR(E2389="",E2389="!!!",F2389="NEW"),"",INDEX(B2388:B$2,-1+SUMPRODUCT(MAX(ROW(E2388:E$2)*(E2389=E2388:E$2)))))</f>
        <v> </v>
      </c>
      <c r="J2389" s="25" t="str">
        <f>IF(OR(E2389="",E2389="!!!",F2389="NEW"),"",COUNTBLANK(OFFSET(A$1,,,SUMPRODUCT(MAX(ROW(E$2:E2389)*(E2389=E$2:E2389)))))-COUNTBLANK(OFFSET(A$1,,,SUMPRODUCT(MAX(ROW(E$1:E2388)*(E2=E$1:E2388))))))</f>
        <v> </v>
      </c>
      <c r="K2389" s="25" t="str">
        <f>IF(OR(E2389="",E2389="!!!",F2389="NEW"),"",INDEX(J$1:J2388,SUMPRODUCT(MAX(ROW(E$1:E2388)*(E2389=E$1:E2388)))))</f>
        <v> </v>
      </c>
      <c r="L2389" s="26"/>
    </row>
    <row r="2390" spans="1:12">
      <c r="A2390" s="20" t="s">
        <v>758</v>
      </c>
      <c r="E2390" s="21">
        <f>IF(D2390="?OLD","!!!","")</f>
        <v/>
      </c>
      <c r="F2390" s="22" t="str">
        <f>IF(OR(E2390="",E2390="!!!"),"",IF(NOT(ISNA(VLOOKUP(E2390,E$1:E2389,1,FALSE()))),"OLD",IF(AND(E2390&lt;&gt;"",E2390&lt;&gt;"!!!"),"NEW","")))</f>
        <v> </v>
      </c>
      <c r="G2390" s="23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4" t="str">
        <f>IF(J2390&lt;&gt;1,"",IF(I2390="SBJ","CB","?"))</f>
        <v> </v>
      </c>
      <c r="I2390" s="25" t="str">
        <f>IF(OR(E2390="",E2390="!!!",F2390="NEW"),"",INDEX(B2389:B$2,-1+SUMPRODUCT(MAX(ROW(E2389:E$2)*(E2390=E2389:E$2)))))</f>
        <v> </v>
      </c>
      <c r="J2390" s="25" t="str">
        <f>IF(OR(E2390="",E2390="!!!",F2390="NEW"),"",COUNTBLANK(OFFSET(A$1,,,SUMPRODUCT(MAX(ROW(E$2:E2390)*(E2390=E$2:E2390)))))-COUNTBLANK(OFFSET(A$1,,,SUMPRODUCT(MAX(ROW(E$1:E2389)*(E2=E$1:E2389))))))</f>
        <v> </v>
      </c>
      <c r="K2390" s="25" t="str">
        <f>IF(OR(E2390="",E2390="!!!",F2390="NEW"),"",INDEX(J$1:J2389,SUMPRODUCT(MAX(ROW(E$1:E2389)*(E2390=E$1:E2389)))))</f>
        <v> </v>
      </c>
      <c r="L2390" s="26"/>
    </row>
    <row r="2391" spans="1:12">
      <c r="A2391" s="20" t="s">
        <v>765</v>
      </c>
      <c r="E2391" s="21">
        <f>IF(D2391="?OLD","!!!","")</f>
        <v/>
      </c>
      <c r="F2391" s="22" t="str">
        <f>IF(OR(E2391="",E2391="!!!"),"",IF(NOT(ISNA(VLOOKUP(E2391,E$1:E2390,1,FALSE()))),"OLD",IF(AND(E2391&lt;&gt;"",E2391&lt;&gt;"!!!"),"NEW","")))</f>
        <v> </v>
      </c>
      <c r="G2391" s="23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4" t="str">
        <f>IF(J2391&lt;&gt;1,"",IF(I2391="SBJ","CB","?"))</f>
        <v> </v>
      </c>
      <c r="I2391" s="25" t="str">
        <f>IF(OR(E2391="",E2391="!!!",F2391="NEW"),"",INDEX(B2390:B$2,-1+SUMPRODUCT(MAX(ROW(E2390:E$2)*(E2391=E2390:E$2)))))</f>
        <v> </v>
      </c>
      <c r="J2391" s="25" t="str">
        <f>IF(OR(E2391="",E2391="!!!",F2391="NEW"),"",COUNTBLANK(OFFSET(A$1,,,SUMPRODUCT(MAX(ROW(E$2:E2391)*(E2391=E$2:E2391)))))-COUNTBLANK(OFFSET(A$1,,,SUMPRODUCT(MAX(ROW(E$1:E2390)*(E2=E$1:E2390))))))</f>
        <v> </v>
      </c>
      <c r="K2391" s="25" t="str">
        <f>IF(OR(E2391="",E2391="!!!",F2391="NEW"),"",INDEX(J$1:J2390,SUMPRODUCT(MAX(ROW(E$1:E2390)*(E2391=E$1:E2390)))))</f>
        <v> </v>
      </c>
      <c r="L2391" s="26"/>
    </row>
    <row r="2392" spans="1:12">
      <c r="A2392" s="20"/>
    </row>
    <row r="2393" spans="1:12">
      <c r="A2393" s="20" t="s">
        <v>1816</v>
      </c>
    </row>
    <row r="2394" spans="1:12">
      <c r="A2394" s="20" t="s">
        <v>868</v>
      </c>
      <c r="E2394" s="21">
        <f>IF(D2394="?OLD","!!!","")</f>
        <v/>
      </c>
      <c r="F2394" s="22" t="str">
        <f>IF(OR(E2394="",E2394="!!!"),"",IF(NOT(ISNA(VLOOKUP(E2394,E$1:E2393,1,FALSE()))),"OLD",IF(AND(E2394&lt;&gt;"",E2394&lt;&gt;"!!!"),"NEW","")))</f>
        <v> </v>
      </c>
      <c r="G2394" s="23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4" t="str">
        <f>IF(J2394&lt;&gt;1,"",IF(I2394="SBJ","CB","?"))</f>
        <v> </v>
      </c>
      <c r="I2394" s="25" t="str">
        <f>IF(OR(E2394="",E2394="!!!",F2394="NEW"),"",INDEX(B2393:B$2,-1+SUMPRODUCT(MAX(ROW(E2393:E$2)*(E2394=E2393:E$2)))))</f>
        <v> </v>
      </c>
      <c r="J2394" s="25" t="str">
        <f>IF(OR(E2394="",E2394="!!!",F2394="NEW"),"",COUNTBLANK(OFFSET(A$1,,,SUMPRODUCT(MAX(ROW(E$2:E2394)*(E2394=E$2:E2394)))))-COUNTBLANK(OFFSET(A$1,,,SUMPRODUCT(MAX(ROW(E$1:E2393)*(E2=E$1:E2393))))))</f>
        <v> </v>
      </c>
      <c r="K2394" s="25" t="str">
        <f>IF(OR(E2394="",E2394="!!!",F2394="NEW"),"",INDEX(J$1:J2393,SUMPRODUCT(MAX(ROW(E$1:E2393)*(E2394=E$1:E2393)))))</f>
        <v> </v>
      </c>
      <c r="L2394" s="26"/>
    </row>
    <row r="2395" spans="1:12">
      <c r="A2395" s="20" t="s">
        <v>818</v>
      </c>
      <c r="B2395" s="27" t="s">
        <v>838</v>
      </c>
      <c r="C2395" s="27" t="s">
        <v>756</v>
      </c>
      <c r="D2395" s="27" t="s">
        <v>736</v>
      </c>
      <c r="E2395" s="21">
        <f>IF(D2395="?OLD","!!!","")</f>
        <v/>
      </c>
      <c r="F2395" s="22" t="str">
        <f>IF(OR(E2395="",E2395="!!!"),"",IF(NOT(ISNA(VLOOKUP(E2395,E$1:E2394,1,FALSE()))),"OLD",IF(AND(E2395&lt;&gt;"",E2395&lt;&gt;"!!!"),"NEW","")))</f>
        <v> </v>
      </c>
      <c r="G2395" s="23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4" t="str">
        <f>IF(J2395&lt;&gt;1,"",IF(I2395="SBJ","CB","?"))</f>
        <v> </v>
      </c>
      <c r="I2395" s="25" t="str">
        <f>IF(OR(E2395="",E2395="!!!",F2395="NEW"),"",INDEX(B2394:B$2,-1+SUMPRODUCT(MAX(ROW(E2394:E$2)*(E2395=E2394:E$2)))))</f>
        <v> </v>
      </c>
      <c r="J2395" s="25" t="str">
        <f>IF(OR(E2395="",E2395="!!!",F2395="NEW"),"",COUNTBLANK(OFFSET(A$1,,,SUMPRODUCT(MAX(ROW(E$2:E2395)*(E2395=E$2:E2395)))))-COUNTBLANK(OFFSET(A$1,,,SUMPRODUCT(MAX(ROW(E$1:E2394)*(E2=E$1:E2394))))))</f>
        <v> </v>
      </c>
      <c r="K2395" s="25" t="str">
        <f>IF(OR(E2395="",E2395="!!!",F2395="NEW"),"",INDEX(J$1:J2394,SUMPRODUCT(MAX(ROW(E$1:E2394)*(E2395=E$1:E2394)))))</f>
        <v> </v>
      </c>
      <c r="L2395" s="26"/>
    </row>
    <row r="2396" spans="1:12">
      <c r="A2396" s="20" t="s">
        <v>851</v>
      </c>
      <c r="B2396" s="27" t="s">
        <v>734</v>
      </c>
      <c r="C2396" s="27" t="s">
        <v>788</v>
      </c>
      <c r="D2396" s="27" t="s">
        <v>736</v>
      </c>
      <c r="E2396" s="21">
        <f>IF(D2396="?OLD","!!!","")</f>
        <v/>
      </c>
      <c r="F2396" s="22" t="str">
        <f>IF(OR(E2396="",E2396="!!!"),"",IF(NOT(ISNA(VLOOKUP(E2396,E$1:E2395,1,FALSE()))),"OLD",IF(AND(E2396&lt;&gt;"",E2396&lt;&gt;"!!!"),"NEW","")))</f>
        <v> </v>
      </c>
      <c r="G2396" s="23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4" t="str">
        <f>IF(J2396&lt;&gt;1,"",IF(I2396="SBJ","CB","?"))</f>
        <v> </v>
      </c>
      <c r="I2396" s="25" t="str">
        <f>IF(OR(E2396="",E2396="!!!",F2396="NEW"),"",INDEX(B2395:B$2,-1+SUMPRODUCT(MAX(ROW(E2395:E$2)*(E2396=E2395:E$2)))))</f>
        <v> </v>
      </c>
      <c r="J2396" s="25" t="str">
        <f>IF(OR(E2396="",E2396="!!!",F2396="NEW"),"",COUNTBLANK(OFFSET(A$1,,,SUMPRODUCT(MAX(ROW(E$2:E2396)*(E2396=E$2:E2396)))))-COUNTBLANK(OFFSET(A$1,,,SUMPRODUCT(MAX(ROW(E$1:E2395)*(E2=E$1:E2395))))))</f>
        <v> </v>
      </c>
      <c r="K2396" s="25" t="str">
        <f>IF(OR(E2396="",E2396="!!!",F2396="NEW"),"",INDEX(J$1:J2395,SUMPRODUCT(MAX(ROW(E$1:E2395)*(E2396=E$1:E2395)))))</f>
        <v> </v>
      </c>
      <c r="L2396" s="26"/>
    </row>
    <row r="2397" spans="1:12">
      <c r="A2397" s="20" t="s">
        <v>871</v>
      </c>
      <c r="E2397" s="21">
        <f>IF(D2397="?OLD","!!!","")</f>
        <v/>
      </c>
      <c r="F2397" s="22" t="str">
        <f>IF(OR(E2397="",E2397="!!!"),"",IF(NOT(ISNA(VLOOKUP(E2397,E$1:E2396,1,FALSE()))),"OLD",IF(AND(E2397&lt;&gt;"",E2397&lt;&gt;"!!!"),"NEW","")))</f>
        <v> </v>
      </c>
      <c r="G2397" s="23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4" t="str">
        <f>IF(J2397&lt;&gt;1,"",IF(I2397="SBJ","CB","?"))</f>
        <v> </v>
      </c>
      <c r="I2397" s="25" t="str">
        <f>IF(OR(E2397="",E2397="!!!",F2397="NEW"),"",INDEX(B2396:B$2,-1+SUMPRODUCT(MAX(ROW(E2396:E$2)*(E2397=E2396:E$2)))))</f>
        <v> </v>
      </c>
      <c r="J2397" s="25" t="str">
        <f>IF(OR(E2397="",E2397="!!!",F2397="NEW"),"",COUNTBLANK(OFFSET(A$1,,,SUMPRODUCT(MAX(ROW(E$2:E2397)*(E2397=E$2:E2397)))))-COUNTBLANK(OFFSET(A$1,,,SUMPRODUCT(MAX(ROW(E$1:E2396)*(E2=E$1:E2396))))))</f>
        <v> </v>
      </c>
      <c r="K2397" s="25" t="str">
        <f>IF(OR(E2397="",E2397="!!!",F2397="NEW"),"",INDEX(J$1:J2396,SUMPRODUCT(MAX(ROW(E$1:E2396)*(E2397=E$1:E2396)))))</f>
        <v> </v>
      </c>
      <c r="L2397" s="26"/>
    </row>
    <row r="2398" spans="1:12">
      <c r="A2398" s="20" t="s">
        <v>1783</v>
      </c>
      <c r="E2398" s="21">
        <f>IF(D2398="?OLD","!!!","")</f>
        <v/>
      </c>
      <c r="F2398" s="22" t="str">
        <f>IF(OR(E2398="",E2398="!!!"),"",IF(NOT(ISNA(VLOOKUP(E2398,E$1:E2397,1,FALSE()))),"OLD",IF(AND(E2398&lt;&gt;"",E2398&lt;&gt;"!!!"),"NEW","")))</f>
        <v> </v>
      </c>
      <c r="G2398" s="23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4" t="str">
        <f>IF(J2398&lt;&gt;1,"",IF(I2398="SBJ","CB","?"))</f>
        <v> </v>
      </c>
      <c r="I2398" s="25" t="str">
        <f>IF(OR(E2398="",E2398="!!!",F2398="NEW"),"",INDEX(B2397:B$2,-1+SUMPRODUCT(MAX(ROW(E2397:E$2)*(E2398=E2397:E$2)))))</f>
        <v> </v>
      </c>
      <c r="J2398" s="25" t="str">
        <f>IF(OR(E2398="",E2398="!!!",F2398="NEW"),"",COUNTBLANK(OFFSET(A$1,,,SUMPRODUCT(MAX(ROW(E$2:E2398)*(E2398=E$2:E2398)))))-COUNTBLANK(OFFSET(A$1,,,SUMPRODUCT(MAX(ROW(E$1:E2397)*(E2=E$1:E2397))))))</f>
        <v> </v>
      </c>
      <c r="K2398" s="25" t="str">
        <f>IF(OR(E2398="",E2398="!!!",F2398="NEW"),"",INDEX(J$1:J2397,SUMPRODUCT(MAX(ROW(E$1:E2397)*(E2398=E$1:E2397)))))</f>
        <v> </v>
      </c>
      <c r="L2398" s="26"/>
    </row>
    <row r="2399" spans="1:12">
      <c r="A2399" s="20" t="s">
        <v>758</v>
      </c>
      <c r="E2399" s="21">
        <f>IF(D2399="?OLD","!!!","")</f>
        <v/>
      </c>
      <c r="F2399" s="22" t="str">
        <f>IF(OR(E2399="",E2399="!!!"),"",IF(NOT(ISNA(VLOOKUP(E2399,E$1:E2398,1,FALSE()))),"OLD",IF(AND(E2399&lt;&gt;"",E2399&lt;&gt;"!!!"),"NEW","")))</f>
        <v> </v>
      </c>
      <c r="G2399" s="23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4" t="str">
        <f>IF(J2399&lt;&gt;1,"",IF(I2399="SBJ","CB","?"))</f>
        <v> </v>
      </c>
      <c r="I2399" s="25" t="str">
        <f>IF(OR(E2399="",E2399="!!!",F2399="NEW"),"",INDEX(B2398:B$2,-1+SUMPRODUCT(MAX(ROW(E2398:E$2)*(E2399=E2398:E$2)))))</f>
        <v> </v>
      </c>
      <c r="J2399" s="25" t="str">
        <f>IF(OR(E2399="",E2399="!!!",F2399="NEW"),"",COUNTBLANK(OFFSET(A$1,,,SUMPRODUCT(MAX(ROW(E$2:E2399)*(E2399=E$2:E2399)))))-COUNTBLANK(OFFSET(A$1,,,SUMPRODUCT(MAX(ROW(E$1:E2398)*(E2=E$1:E2398))))))</f>
        <v> </v>
      </c>
      <c r="K2399" s="25" t="str">
        <f>IF(OR(E2399="",E2399="!!!",F2399="NEW"),"",INDEX(J$1:J2398,SUMPRODUCT(MAX(ROW(E$1:E2398)*(E2399=E$1:E2398)))))</f>
        <v> </v>
      </c>
      <c r="L2399" s="26"/>
    </row>
    <row r="2400" spans="1:12">
      <c r="A2400" s="20" t="s">
        <v>749</v>
      </c>
      <c r="E2400" s="21">
        <f>IF(D2400="?OLD","!!!","")</f>
        <v/>
      </c>
      <c r="F2400" s="22" t="str">
        <f>IF(OR(E2400="",E2400="!!!"),"",IF(NOT(ISNA(VLOOKUP(E2400,E$1:E2399,1,FALSE()))),"OLD",IF(AND(E2400&lt;&gt;"",E2400&lt;&gt;"!!!"),"NEW","")))</f>
        <v> </v>
      </c>
      <c r="G2400" s="23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4" t="str">
        <f>IF(J2400&lt;&gt;1,"",IF(I2400="SBJ","CB","?"))</f>
        <v> </v>
      </c>
      <c r="I2400" s="25" t="str">
        <f>IF(OR(E2400="",E2400="!!!",F2400="NEW"),"",INDEX(B2399:B$2,-1+SUMPRODUCT(MAX(ROW(E2399:E$2)*(E2400=E2399:E$2)))))</f>
        <v> </v>
      </c>
      <c r="J2400" s="25" t="str">
        <f>IF(OR(E2400="",E2400="!!!",F2400="NEW"),"",COUNTBLANK(OFFSET(A$1,,,SUMPRODUCT(MAX(ROW(E$2:E2400)*(E2400=E$2:E2400)))))-COUNTBLANK(OFFSET(A$1,,,SUMPRODUCT(MAX(ROW(E$1:E2399)*(E2=E$1:E2399))))))</f>
        <v> </v>
      </c>
      <c r="K2400" s="25" t="str">
        <f>IF(OR(E2400="",E2400="!!!",F2400="NEW"),"",INDEX(J$1:J2399,SUMPRODUCT(MAX(ROW(E$1:E2399)*(E2400=E$1:E2399)))))</f>
        <v> </v>
      </c>
      <c r="L2400" s="26"/>
    </row>
    <row r="2401" spans="1:12">
      <c r="A2401" s="20" t="s">
        <v>1817</v>
      </c>
      <c r="B2401" s="27" t="s">
        <v>838</v>
      </c>
      <c r="C2401" s="27" t="s">
        <v>1010</v>
      </c>
      <c r="D2401" s="27" t="s">
        <v>736</v>
      </c>
      <c r="E2401" s="21">
        <f>IF(D2401="?OLD","!!!","")</f>
        <v/>
      </c>
      <c r="F2401" s="22" t="str">
        <f>IF(OR(E2401="",E2401="!!!"),"",IF(NOT(ISNA(VLOOKUP(E2401,E$1:E2400,1,FALSE()))),"OLD",IF(AND(E2401&lt;&gt;"",E2401&lt;&gt;"!!!"),"NEW","")))</f>
        <v> </v>
      </c>
      <c r="G2401" s="23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4" t="str">
        <f>IF(J2401&lt;&gt;1,"",IF(I2401="SBJ","CB","?"))</f>
        <v> </v>
      </c>
      <c r="I2401" s="25" t="str">
        <f>IF(OR(E2401="",E2401="!!!",F2401="NEW"),"",INDEX(B2400:B$2,-1+SUMPRODUCT(MAX(ROW(E2400:E$2)*(E2401=E2400:E$2)))))</f>
        <v> </v>
      </c>
      <c r="J2401" s="25" t="str">
        <f>IF(OR(E2401="",E2401="!!!",F2401="NEW"),"",COUNTBLANK(OFFSET(A$1,,,SUMPRODUCT(MAX(ROW(E$2:E2401)*(E2401=E$2:E2401)))))-COUNTBLANK(OFFSET(A$1,,,SUMPRODUCT(MAX(ROW(E$1:E2400)*(E2=E$1:E2400))))))</f>
        <v> </v>
      </c>
      <c r="K2401" s="25" t="str">
        <f>IF(OR(E2401="",E2401="!!!",F2401="NEW"),"",INDEX(J$1:J2400,SUMPRODUCT(MAX(ROW(E$1:E2400)*(E2401=E$1:E2400)))))</f>
        <v> </v>
      </c>
      <c r="L2401" s="26"/>
    </row>
    <row r="2402" spans="1:12">
      <c r="A2402" s="20" t="s">
        <v>1011</v>
      </c>
      <c r="B2402" s="27" t="s">
        <v>738</v>
      </c>
      <c r="C2402" s="27" t="s">
        <v>788</v>
      </c>
      <c r="D2402" s="27" t="s">
        <v>736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744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789</v>
      </c>
      <c r="B2404" s="27" t="s">
        <v>847</v>
      </c>
      <c r="C2404" s="27" t="s">
        <v>747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 t="s">
        <v>848</v>
      </c>
      <c r="B2405" s="27" t="s">
        <v>849</v>
      </c>
      <c r="C2405" s="27" t="s">
        <v>756</v>
      </c>
      <c r="D2405" s="27" t="s">
        <v>736</v>
      </c>
      <c r="E2405" s="21">
        <f>IF(D2405="?OLD","!!!","")</f>
        <v/>
      </c>
      <c r="F2405" s="22" t="str">
        <f>IF(OR(E2405="",E2405="!!!"),"",IF(NOT(ISNA(VLOOKUP(E2405,E$1:E2404,1,FALSE()))),"OLD",IF(AND(E2405&lt;&gt;"",E2405&lt;&gt;"!!!"),"NEW","")))</f>
        <v> </v>
      </c>
      <c r="G2405" s="23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4" t="str">
        <f>IF(J2405&lt;&gt;1,"",IF(I2405="SBJ","CB","?"))</f>
        <v> </v>
      </c>
      <c r="I2405" s="25" t="str">
        <f>IF(OR(E2405="",E2405="!!!",F2405="NEW"),"",INDEX(B2404:B$2,-1+SUMPRODUCT(MAX(ROW(E2404:E$2)*(E2405=E2404:E$2)))))</f>
        <v> </v>
      </c>
      <c r="J2405" s="25" t="str">
        <f>IF(OR(E2405="",E2405="!!!",F2405="NEW"),"",COUNTBLANK(OFFSET(A$1,,,SUMPRODUCT(MAX(ROW(E$2:E2405)*(E2405=E$2:E2405)))))-COUNTBLANK(OFFSET(A$1,,,SUMPRODUCT(MAX(ROW(E$1:E2404)*(E2=E$1:E2404))))))</f>
        <v> </v>
      </c>
      <c r="K2405" s="25" t="str">
        <f>IF(OR(E2405="",E2405="!!!",F2405="NEW"),"",INDEX(J$1:J2404,SUMPRODUCT(MAX(ROW(E$1:E2404)*(E2405=E$1:E2404)))))</f>
        <v> </v>
      </c>
      <c r="L2405" s="26"/>
    </row>
    <row r="2406" spans="1:12">
      <c r="A2406" s="20" t="s">
        <v>1818</v>
      </c>
      <c r="E2406" s="21">
        <f>IF(D2406="?OLD","!!!","")</f>
        <v/>
      </c>
      <c r="F2406" s="22" t="str">
        <f>IF(OR(E2406="",E2406="!!!"),"",IF(NOT(ISNA(VLOOKUP(E2406,E$1:E2405,1,FALSE()))),"OLD",IF(AND(E2406&lt;&gt;"",E2406&lt;&gt;"!!!"),"NEW","")))</f>
        <v> </v>
      </c>
      <c r="G2406" s="23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4" t="str">
        <f>IF(J2406&lt;&gt;1,"",IF(I2406="SBJ","CB","?"))</f>
        <v> </v>
      </c>
      <c r="I2406" s="25" t="str">
        <f>IF(OR(E2406="",E2406="!!!",F2406="NEW"),"",INDEX(B2405:B$2,-1+SUMPRODUCT(MAX(ROW(E2405:E$2)*(E2406=E2405:E$2)))))</f>
        <v> </v>
      </c>
      <c r="J2406" s="25" t="str">
        <f>IF(OR(E2406="",E2406="!!!",F2406="NEW"),"",COUNTBLANK(OFFSET(A$1,,,SUMPRODUCT(MAX(ROW(E$2:E2406)*(E2406=E$2:E2406)))))-COUNTBLANK(OFFSET(A$1,,,SUMPRODUCT(MAX(ROW(E$1:E2405)*(E2=E$1:E2405))))))</f>
        <v> </v>
      </c>
      <c r="K2406" s="25" t="str">
        <f>IF(OR(E2406="",E2406="!!!",F2406="NEW"),"",INDEX(J$1:J2405,SUMPRODUCT(MAX(ROW(E$1:E2405)*(E2406=E$1:E2405)))))</f>
        <v> </v>
      </c>
      <c r="L2406" s="26"/>
    </row>
    <row r="2407" spans="1:12">
      <c r="A2407" s="20" t="s">
        <v>1345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 t="s">
        <v>765</v>
      </c>
      <c r="E2408" s="21">
        <f>IF(D2408="?OLD","!!!","")</f>
        <v/>
      </c>
      <c r="F2408" s="22" t="str">
        <f>IF(OR(E2408="",E2408="!!!"),"",IF(NOT(ISNA(VLOOKUP(E2408,E$1:E2407,1,FALSE()))),"OLD",IF(AND(E2408&lt;&gt;"",E2408&lt;&gt;"!!!"),"NEW","")))</f>
        <v> </v>
      </c>
      <c r="G2408" s="23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4" t="str">
        <f>IF(J2408&lt;&gt;1,"",IF(I2408="SBJ","CB","?"))</f>
        <v> </v>
      </c>
      <c r="I2408" s="25" t="str">
        <f>IF(OR(E2408="",E2408="!!!",F2408="NEW"),"",INDEX(B2407:B$2,-1+SUMPRODUCT(MAX(ROW(E2407:E$2)*(E2408=E2407:E$2)))))</f>
        <v> </v>
      </c>
      <c r="J2408" s="25" t="str">
        <f>IF(OR(E2408="",E2408="!!!",F2408="NEW"),"",COUNTBLANK(OFFSET(A$1,,,SUMPRODUCT(MAX(ROW(E$2:E2408)*(E2408=E$2:E2408)))))-COUNTBLANK(OFFSET(A$1,,,SUMPRODUCT(MAX(ROW(E$1:E2407)*(E2=E$1:E2407))))))</f>
        <v> </v>
      </c>
      <c r="K2408" s="25" t="str">
        <f>IF(OR(E2408="",E2408="!!!",F2408="NEW"),"",INDEX(J$1:J2407,SUMPRODUCT(MAX(ROW(E$1:E2407)*(E2408=E$1:E2407)))))</f>
        <v> </v>
      </c>
      <c r="L2408" s="26"/>
    </row>
    <row r="2409" spans="1:12">
      <c r="A2409" s="20"/>
    </row>
    <row r="2410" spans="1:12">
      <c r="A2410" s="20" t="s">
        <v>1819</v>
      </c>
    </row>
    <row r="2411" spans="1:12">
      <c r="A2411" s="20" t="s">
        <v>1632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 t="s">
        <v>1490</v>
      </c>
      <c r="E2412" s="21">
        <f>IF(D2412="?OLD","!!!","")</f>
        <v/>
      </c>
      <c r="F2412" s="22" t="str">
        <f>IF(OR(E2412="",E2412="!!!"),"",IF(NOT(ISNA(VLOOKUP(E2412,E$1:E2411,1,FALSE()))),"OLD",IF(AND(E2412&lt;&gt;"",E2412&lt;&gt;"!!!"),"NEW","")))</f>
        <v> </v>
      </c>
      <c r="G2412" s="23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4" t="str">
        <f>IF(J2412&lt;&gt;1,"",IF(I2412="SBJ","CB","?"))</f>
        <v> </v>
      </c>
      <c r="I2412" s="25" t="str">
        <f>IF(OR(E2412="",E2412="!!!",F2412="NEW"),"",INDEX(B2411:B$2,-1+SUMPRODUCT(MAX(ROW(E2411:E$2)*(E2412=E2411:E$2)))))</f>
        <v> </v>
      </c>
      <c r="J2412" s="25" t="str">
        <f>IF(OR(E2412="",E2412="!!!",F2412="NEW"),"",COUNTBLANK(OFFSET(A$1,,,SUMPRODUCT(MAX(ROW(E$2:E2412)*(E2412=E$2:E2412)))))-COUNTBLANK(OFFSET(A$1,,,SUMPRODUCT(MAX(ROW(E$1:E2411)*(E2=E$1:E2411))))))</f>
        <v> </v>
      </c>
      <c r="K2412" s="25" t="str">
        <f>IF(OR(E2412="",E2412="!!!",F2412="NEW"),"",INDEX(J$1:J2411,SUMPRODUCT(MAX(ROW(E$1:E2411)*(E2412=E$1:E2411)))))</f>
        <v> </v>
      </c>
      <c r="L2412" s="26"/>
    </row>
    <row r="2413" spans="1:12">
      <c r="A2413" s="20" t="s">
        <v>1753</v>
      </c>
      <c r="E2413" s="21">
        <f>IF(D2413="?OLD","!!!","")</f>
        <v/>
      </c>
      <c r="F2413" s="22" t="str">
        <f>IF(OR(E2413="",E2413="!!!"),"",IF(NOT(ISNA(VLOOKUP(E2413,E$1:E2412,1,FALSE()))),"OLD",IF(AND(E2413&lt;&gt;"",E2413&lt;&gt;"!!!"),"NEW","")))</f>
        <v> </v>
      </c>
      <c r="G2413" s="23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4" t="str">
        <f>IF(J2413&lt;&gt;1,"",IF(I2413="SBJ","CB","?"))</f>
        <v> </v>
      </c>
      <c r="I2413" s="25" t="str">
        <f>IF(OR(E2413="",E2413="!!!",F2413="NEW"),"",INDEX(B2412:B$2,-1+SUMPRODUCT(MAX(ROW(E2412:E$2)*(E2413=E2412:E$2)))))</f>
        <v> </v>
      </c>
      <c r="J2413" s="25" t="str">
        <f>IF(OR(E2413="",E2413="!!!",F2413="NEW"),"",COUNTBLANK(OFFSET(A$1,,,SUMPRODUCT(MAX(ROW(E$2:E2413)*(E2413=E$2:E2413)))))-COUNTBLANK(OFFSET(A$1,,,SUMPRODUCT(MAX(ROW(E$1:E2412)*(E2=E$1:E2412))))))</f>
        <v> </v>
      </c>
      <c r="K2413" s="25" t="str">
        <f>IF(OR(E2413="",E2413="!!!",F2413="NEW"),"",INDEX(J$1:J2412,SUMPRODUCT(MAX(ROW(E$1:E2412)*(E2413=E$1:E2412)))))</f>
        <v> </v>
      </c>
      <c r="L2413" s="26"/>
    </row>
    <row r="2414" spans="1:12">
      <c r="A2414" s="20" t="s">
        <v>1820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1773</v>
      </c>
      <c r="B2415" s="27" t="s">
        <v>838</v>
      </c>
      <c r="C2415" s="27" t="s">
        <v>934</v>
      </c>
      <c r="D2415" s="27" t="s">
        <v>736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 t="s">
        <v>1821</v>
      </c>
      <c r="B2416" s="27" t="s">
        <v>734</v>
      </c>
      <c r="E2416" s="21">
        <f>IF(D2416="?OLD","!!!","")</f>
        <v/>
      </c>
      <c r="F2416" s="22" t="str">
        <f>IF(OR(E2416="",E2416="!!!"),"",IF(NOT(ISNA(VLOOKUP(E2416,E$1:E2415,1,FALSE()))),"OLD",IF(AND(E2416&lt;&gt;"",E2416&lt;&gt;"!!!"),"NEW","")))</f>
        <v> </v>
      </c>
      <c r="G2416" s="23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4" t="str">
        <f>IF(J2416&lt;&gt;1,"",IF(I2416="SBJ","CB","?"))</f>
        <v> </v>
      </c>
      <c r="I2416" s="25" t="str">
        <f>IF(OR(E2416="",E2416="!!!",F2416="NEW"),"",INDEX(B2415:B$2,-1+SUMPRODUCT(MAX(ROW(E2415:E$2)*(E2416=E2415:E$2)))))</f>
        <v> </v>
      </c>
      <c r="J2416" s="25" t="str">
        <f>IF(OR(E2416="",E2416="!!!",F2416="NEW"),"",COUNTBLANK(OFFSET(A$1,,,SUMPRODUCT(MAX(ROW(E$2:E2416)*(E2416=E$2:E2416)))))-COUNTBLANK(OFFSET(A$1,,,SUMPRODUCT(MAX(ROW(E$1:E2415)*(E2=E$1:E2415))))))</f>
        <v> </v>
      </c>
      <c r="K2416" s="25" t="str">
        <f>IF(OR(E2416="",E2416="!!!",F2416="NEW"),"",INDEX(J$1:J2415,SUMPRODUCT(MAX(ROW(E$1:E2415)*(E2416=E$1:E2415)))))</f>
        <v> </v>
      </c>
      <c r="L2416" s="26"/>
    </row>
    <row r="2417" spans="1:12">
      <c r="A2417" s="20" t="s">
        <v>1822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765</v>
      </c>
      <c r="E2418" s="21">
        <f>IF(D2418="?OLD","!!!","")</f>
        <v/>
      </c>
      <c r="F2418" s="22" t="str">
        <f>IF(OR(E2418="",E2418="!!!"),"",IF(NOT(ISNA(VLOOKUP(E2418,E$1:E2417,1,FALSE()))),"OLD",IF(AND(E2418&lt;&gt;"",E2418&lt;&gt;"!!!"),"NEW","")))</f>
        <v> </v>
      </c>
      <c r="G2418" s="23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4" t="str">
        <f>IF(J2418&lt;&gt;1,"",IF(I2418="SBJ","CB","?"))</f>
        <v> </v>
      </c>
      <c r="I2418" s="25" t="str">
        <f>IF(OR(E2418="",E2418="!!!",F2418="NEW"),"",INDEX(B2417:B$2,-1+SUMPRODUCT(MAX(ROW(E2417:E$2)*(E2418=E2417:E$2)))))</f>
        <v> </v>
      </c>
      <c r="J2418" s="25" t="str">
        <f>IF(OR(E2418="",E2418="!!!",F2418="NEW"),"",COUNTBLANK(OFFSET(A$1,,,SUMPRODUCT(MAX(ROW(E$2:E2418)*(E2418=E$2:E2418)))))-COUNTBLANK(OFFSET(A$1,,,SUMPRODUCT(MAX(ROW(E$1:E2417)*(E2=E$1:E2417))))))</f>
        <v> </v>
      </c>
      <c r="K2418" s="25" t="str">
        <f>IF(OR(E2418="",E2418="!!!",F2418="NEW"),"",INDEX(J$1:J2417,SUMPRODUCT(MAX(ROW(E$1:E2417)*(E2418=E$1:E2417)))))</f>
        <v> </v>
      </c>
      <c r="L2418" s="26"/>
    </row>
    <row r="2419" spans="1:12">
      <c r="A2419" s="20"/>
    </row>
    <row r="2420" spans="1:12">
      <c r="A2420" s="20" t="s">
        <v>1823</v>
      </c>
    </row>
    <row r="2421" spans="1:12">
      <c r="A2421" s="20" t="s">
        <v>1098</v>
      </c>
      <c r="E2421" s="21">
        <f>IF(D2421="?OLD","!!!","")</f>
        <v/>
      </c>
      <c r="F2421" s="22" t="str">
        <f>IF(OR(E2421="",E2421="!!!"),"",IF(NOT(ISNA(VLOOKUP(E2421,E$1:E2420,1,FALSE()))),"OLD",IF(AND(E2421&lt;&gt;"",E2421&lt;&gt;"!!!"),"NEW","")))</f>
        <v> </v>
      </c>
      <c r="G2421" s="23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4" t="str">
        <f>IF(J2421&lt;&gt;1,"",IF(I2421="SBJ","CB","?"))</f>
        <v> </v>
      </c>
      <c r="I2421" s="25" t="str">
        <f>IF(OR(E2421="",E2421="!!!",F2421="NEW"),"",INDEX(B2420:B$2,-1+SUMPRODUCT(MAX(ROW(E2420:E$2)*(E2421=E2420:E$2)))))</f>
        <v> </v>
      </c>
      <c r="J2421" s="25" t="str">
        <f>IF(OR(E2421="",E2421="!!!",F2421="NEW"),"",COUNTBLANK(OFFSET(A$1,,,SUMPRODUCT(MAX(ROW(E$2:E2421)*(E2421=E$2:E2421)))))-COUNTBLANK(OFFSET(A$1,,,SUMPRODUCT(MAX(ROW(E$1:E2420)*(E2=E$1:E2420))))))</f>
        <v> </v>
      </c>
      <c r="K2421" s="25" t="str">
        <f>IF(OR(E2421="",E2421="!!!",F2421="NEW"),"",INDEX(J$1:J2420,SUMPRODUCT(MAX(ROW(E$1:E2420)*(E2421=E$1:E2420)))))</f>
        <v> </v>
      </c>
      <c r="L2421" s="26"/>
    </row>
    <row r="2422" spans="1:12">
      <c r="A2422" s="20" t="s">
        <v>848</v>
      </c>
      <c r="B2422" s="27" t="s">
        <v>734</v>
      </c>
      <c r="C2422" s="27" t="s">
        <v>756</v>
      </c>
      <c r="D2422" s="27" t="s">
        <v>736</v>
      </c>
      <c r="E2422" s="21">
        <f>IF(D2422="?OLD","!!!","")</f>
        <v/>
      </c>
      <c r="F2422" s="22" t="str">
        <f>IF(OR(E2422="",E2422="!!!"),"",IF(NOT(ISNA(VLOOKUP(E2422,E$1:E2421,1,FALSE()))),"OLD",IF(AND(E2422&lt;&gt;"",E2422&lt;&gt;"!!!"),"NEW","")))</f>
        <v> </v>
      </c>
      <c r="G2422" s="23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4" t="str">
        <f>IF(J2422&lt;&gt;1,"",IF(I2422="SBJ","CB","?"))</f>
        <v> </v>
      </c>
      <c r="I2422" s="25" t="str">
        <f>IF(OR(E2422="",E2422="!!!",F2422="NEW"),"",INDEX(B2421:B$2,-1+SUMPRODUCT(MAX(ROW(E2421:E$2)*(E2422=E2421:E$2)))))</f>
        <v> </v>
      </c>
      <c r="J2422" s="25" t="str">
        <f>IF(OR(E2422="",E2422="!!!",F2422="NEW"),"",COUNTBLANK(OFFSET(A$1,,,SUMPRODUCT(MAX(ROW(E$2:E2422)*(E2422=E$2:E2422)))))-COUNTBLANK(OFFSET(A$1,,,SUMPRODUCT(MAX(ROW(E$1:E2421)*(E2=E$1:E2421))))))</f>
        <v> </v>
      </c>
      <c r="K2422" s="25" t="str">
        <f>IF(OR(E2422="",E2422="!!!",F2422="NEW"),"",INDEX(J$1:J2421,SUMPRODUCT(MAX(ROW(E$1:E2421)*(E2422=E$1:E2421)))))</f>
        <v> </v>
      </c>
      <c r="L2422" s="26"/>
    </row>
    <row r="2423" spans="1:12">
      <c r="A2423" s="20" t="s">
        <v>903</v>
      </c>
      <c r="E2423" s="21">
        <f>IF(D2423="?OLD","!!!","")</f>
        <v/>
      </c>
      <c r="F2423" s="22" t="str">
        <f>IF(OR(E2423="",E2423="!!!"),"",IF(NOT(ISNA(VLOOKUP(E2423,E$1:E2422,1,FALSE()))),"OLD",IF(AND(E2423&lt;&gt;"",E2423&lt;&gt;"!!!"),"NEW","")))</f>
        <v> </v>
      </c>
      <c r="G2423" s="23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4" t="str">
        <f>IF(J2423&lt;&gt;1,"",IF(I2423="SBJ","CB","?"))</f>
        <v> </v>
      </c>
      <c r="I2423" s="25" t="str">
        <f>IF(OR(E2423="",E2423="!!!",F2423="NEW"),"",INDEX(B2422:B$2,-1+SUMPRODUCT(MAX(ROW(E2422:E$2)*(E2423=E2422:E$2)))))</f>
        <v> </v>
      </c>
      <c r="J2423" s="25" t="str">
        <f>IF(OR(E2423="",E2423="!!!",F2423="NEW"),"",COUNTBLANK(OFFSET(A$1,,,SUMPRODUCT(MAX(ROW(E$2:E2423)*(E2423=E$2:E2423)))))-COUNTBLANK(OFFSET(A$1,,,SUMPRODUCT(MAX(ROW(E$1:E2422)*(E2=E$1:E2422))))))</f>
        <v> </v>
      </c>
      <c r="K2423" s="25" t="str">
        <f>IF(OR(E2423="",E2423="!!!",F2423="NEW"),"",INDEX(J$1:J2422,SUMPRODUCT(MAX(ROW(E$1:E2422)*(E2423=E$1:E2422)))))</f>
        <v> </v>
      </c>
      <c r="L2423" s="26"/>
    </row>
    <row r="2424" spans="1:12">
      <c r="A2424" s="20" t="s">
        <v>540</v>
      </c>
      <c r="B2424" s="27" t="s">
        <v>755</v>
      </c>
      <c r="E2424" s="21">
        <f>IF(D2424="?OLD","!!!","")</f>
        <v/>
      </c>
      <c r="F2424" s="22" t="str">
        <f>IF(OR(E2424="",E2424="!!!"),"",IF(NOT(ISNA(VLOOKUP(E2424,E$1:E2423,1,FALSE()))),"OLD",IF(AND(E2424&lt;&gt;"",E2424&lt;&gt;"!!!"),"NEW","")))</f>
        <v> </v>
      </c>
      <c r="G2424" s="23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4" t="str">
        <f>IF(J2424&lt;&gt;1,"",IF(I2424="SBJ","CB","?"))</f>
        <v> </v>
      </c>
      <c r="I2424" s="25" t="str">
        <f>IF(OR(E2424="",E2424="!!!",F2424="NEW"),"",INDEX(B2423:B$2,-1+SUMPRODUCT(MAX(ROW(E2423:E$2)*(E2424=E2423:E$2)))))</f>
        <v> </v>
      </c>
      <c r="J2424" s="25" t="str">
        <f>IF(OR(E2424="",E2424="!!!",F2424="NEW"),"",COUNTBLANK(OFFSET(A$1,,,SUMPRODUCT(MAX(ROW(E$2:E2424)*(E2424=E$2:E2424)))))-COUNTBLANK(OFFSET(A$1,,,SUMPRODUCT(MAX(ROW(E$1:E2423)*(E2=E$1:E2423))))))</f>
        <v> </v>
      </c>
      <c r="K2424" s="25" t="str">
        <f>IF(OR(E2424="",E2424="!!!",F2424="NEW"),"",INDEX(J$1:J2423,SUMPRODUCT(MAX(ROW(E$1:E2423)*(E2424=E$1:E2423)))))</f>
        <v> </v>
      </c>
      <c r="L2424" s="26"/>
    </row>
    <row r="2425" spans="1:12">
      <c r="A2425" s="20" t="s">
        <v>744</v>
      </c>
      <c r="E2425" s="21">
        <f>IF(D2425="?OLD","!!!","")</f>
        <v/>
      </c>
      <c r="F2425" s="22" t="str">
        <f>IF(OR(E2425="",E2425="!!!"),"",IF(NOT(ISNA(VLOOKUP(E2425,E$1:E2424,1,FALSE()))),"OLD",IF(AND(E2425&lt;&gt;"",E2425&lt;&gt;"!!!"),"NEW","")))</f>
        <v> </v>
      </c>
      <c r="G2425" s="23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4" t="str">
        <f>IF(J2425&lt;&gt;1,"",IF(I2425="SBJ","CB","?"))</f>
        <v> </v>
      </c>
      <c r="I2425" s="25" t="str">
        <f>IF(OR(E2425="",E2425="!!!",F2425="NEW"),"",INDEX(B2424:B$2,-1+SUMPRODUCT(MAX(ROW(E2424:E$2)*(E2425=E2424:E$2)))))</f>
        <v> </v>
      </c>
      <c r="J2425" s="25" t="str">
        <f>IF(OR(E2425="",E2425="!!!",F2425="NEW"),"",COUNTBLANK(OFFSET(A$1,,,SUMPRODUCT(MAX(ROW(E$2:E2425)*(E2425=E$2:E2425)))))-COUNTBLANK(OFFSET(A$1,,,SUMPRODUCT(MAX(ROW(E$1:E2424)*(E2=E$1:E2424))))))</f>
        <v> </v>
      </c>
      <c r="K2425" s="25" t="str">
        <f>IF(OR(E2425="",E2425="!!!",F2425="NEW"),"",INDEX(J$1:J2424,SUMPRODUCT(MAX(ROW(E$1:E2424)*(E2425=E$1:E2424)))))</f>
        <v> </v>
      </c>
      <c r="L2425" s="26"/>
    </row>
    <row r="2426" spans="1:12">
      <c r="A2426" s="20" t="s">
        <v>1824</v>
      </c>
      <c r="B2426" s="27" t="s">
        <v>831</v>
      </c>
      <c r="C2426" s="27" t="s">
        <v>747</v>
      </c>
      <c r="E2426" s="21">
        <f>IF(D2426="?OLD","!!!","")</f>
        <v/>
      </c>
      <c r="F2426" s="22" t="str">
        <f>IF(OR(E2426="",E2426="!!!"),"",IF(NOT(ISNA(VLOOKUP(E2426,E$1:E2425,1,FALSE()))),"OLD",IF(AND(E2426&lt;&gt;"",E2426&lt;&gt;"!!!"),"NEW","")))</f>
        <v> </v>
      </c>
      <c r="G2426" s="23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4" t="str">
        <f>IF(J2426&lt;&gt;1,"",IF(I2426="SBJ","CB","?"))</f>
        <v> </v>
      </c>
      <c r="I2426" s="25" t="str">
        <f>IF(OR(E2426="",E2426="!!!",F2426="NEW"),"",INDEX(B2425:B$2,-1+SUMPRODUCT(MAX(ROW(E2425:E$2)*(E2426=E2425:E$2)))))</f>
        <v> </v>
      </c>
      <c r="J2426" s="25" t="str">
        <f>IF(OR(E2426="",E2426="!!!",F2426="NEW"),"",COUNTBLANK(OFFSET(A$1,,,SUMPRODUCT(MAX(ROW(E$2:E2426)*(E2426=E$2:E2426)))))-COUNTBLANK(OFFSET(A$1,,,SUMPRODUCT(MAX(ROW(E$1:E2425)*(E2=E$1:E2425))))))</f>
        <v> </v>
      </c>
      <c r="K2426" s="25" t="str">
        <f>IF(OR(E2426="",E2426="!!!",F2426="NEW"),"",INDEX(J$1:J2425,SUMPRODUCT(MAX(ROW(E$1:E2425)*(E2426=E$1:E2425)))))</f>
        <v> </v>
      </c>
      <c r="L2426" s="26"/>
    </row>
    <row r="2427" spans="1:12">
      <c r="A2427" s="20" t="s">
        <v>1335</v>
      </c>
      <c r="E2427" s="21">
        <f>IF(D2427="?OLD","!!!","")</f>
        <v/>
      </c>
      <c r="F2427" s="22" t="str">
        <f>IF(OR(E2427="",E2427="!!!"),"",IF(NOT(ISNA(VLOOKUP(E2427,E$1:E2426,1,FALSE()))),"OLD",IF(AND(E2427&lt;&gt;"",E2427&lt;&gt;"!!!"),"NEW","")))</f>
        <v> </v>
      </c>
      <c r="G2427" s="23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4" t="str">
        <f>IF(J2427&lt;&gt;1,"",IF(I2427="SBJ","CB","?"))</f>
        <v> </v>
      </c>
      <c r="I2427" s="25" t="str">
        <f>IF(OR(E2427="",E2427="!!!",F2427="NEW"),"",INDEX(B2426:B$2,-1+SUMPRODUCT(MAX(ROW(E2426:E$2)*(E2427=E2426:E$2)))))</f>
        <v> </v>
      </c>
      <c r="J2427" s="25" t="str">
        <f>IF(OR(E2427="",E2427="!!!",F2427="NEW"),"",COUNTBLANK(OFFSET(A$1,,,SUMPRODUCT(MAX(ROW(E$2:E2427)*(E2427=E$2:E2427)))))-COUNTBLANK(OFFSET(A$1,,,SUMPRODUCT(MAX(ROW(E$1:E2426)*(E2=E$1:E2426))))))</f>
        <v> </v>
      </c>
      <c r="K2427" s="25" t="str">
        <f>IF(OR(E2427="",E2427="!!!",F2427="NEW"),"",INDEX(J$1:J2426,SUMPRODUCT(MAX(ROW(E$1:E2426)*(E2427=E$1:E2426)))))</f>
        <v> </v>
      </c>
      <c r="L2427" s="26"/>
    </row>
    <row r="2428" spans="1:12">
      <c r="A2428" s="20" t="s">
        <v>1690</v>
      </c>
      <c r="B2428" s="27" t="s">
        <v>887</v>
      </c>
      <c r="E2428" s="21">
        <f>IF(D2428="?OLD","!!!","")</f>
        <v/>
      </c>
      <c r="F2428" s="22" t="str">
        <f>IF(OR(E2428="",E2428="!!!"),"",IF(NOT(ISNA(VLOOKUP(E2428,E$1:E2427,1,FALSE()))),"OLD",IF(AND(E2428&lt;&gt;"",E2428&lt;&gt;"!!!"),"NEW","")))</f>
        <v> </v>
      </c>
      <c r="G2428" s="23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4" t="str">
        <f>IF(J2428&lt;&gt;1,"",IF(I2428="SBJ","CB","?"))</f>
        <v> </v>
      </c>
      <c r="I2428" s="25" t="str">
        <f>IF(OR(E2428="",E2428="!!!",F2428="NEW"),"",INDEX(B2427:B$2,-1+SUMPRODUCT(MAX(ROW(E2427:E$2)*(E2428=E2427:E$2)))))</f>
        <v> </v>
      </c>
      <c r="J2428" s="25" t="str">
        <f>IF(OR(E2428="",E2428="!!!",F2428="NEW"),"",COUNTBLANK(OFFSET(A$1,,,SUMPRODUCT(MAX(ROW(E$2:E2428)*(E2428=E$2:E2428)))))-COUNTBLANK(OFFSET(A$1,,,SUMPRODUCT(MAX(ROW(E$1:E2427)*(E2=E$1:E2427))))))</f>
        <v> </v>
      </c>
      <c r="K2428" s="25" t="str">
        <f>IF(OR(E2428="",E2428="!!!",F2428="NEW"),"",INDEX(J$1:J2427,SUMPRODUCT(MAX(ROW(E$1:E2427)*(E2428=E$1:E2427)))))</f>
        <v> </v>
      </c>
      <c r="L2428" s="26"/>
    </row>
    <row r="2429" spans="1:12">
      <c r="A2429" s="20" t="s">
        <v>749</v>
      </c>
      <c r="E2429" s="21">
        <f>IF(D2429="?OLD","!!!","")</f>
        <v/>
      </c>
      <c r="F2429" s="22" t="str">
        <f>IF(OR(E2429="",E2429="!!!"),"",IF(NOT(ISNA(VLOOKUP(E2429,E$1:E2428,1,FALSE()))),"OLD",IF(AND(E2429&lt;&gt;"",E2429&lt;&gt;"!!!"),"NEW","")))</f>
        <v> </v>
      </c>
      <c r="G2429" s="23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4" t="str">
        <f>IF(J2429&lt;&gt;1,"",IF(I2429="SBJ","CB","?"))</f>
        <v> </v>
      </c>
      <c r="I2429" s="25" t="str">
        <f>IF(OR(E2429="",E2429="!!!",F2429="NEW"),"",INDEX(B2428:B$2,-1+SUMPRODUCT(MAX(ROW(E2428:E$2)*(E2429=E2428:E$2)))))</f>
        <v> </v>
      </c>
      <c r="J2429" s="25" t="str">
        <f>IF(OR(E2429="",E2429="!!!",F2429="NEW"),"",COUNTBLANK(OFFSET(A$1,,,SUMPRODUCT(MAX(ROW(E$2:E2429)*(E2429=E$2:E2429)))))-COUNTBLANK(OFFSET(A$1,,,SUMPRODUCT(MAX(ROW(E$1:E2428)*(E2=E$1:E2428))))))</f>
        <v> </v>
      </c>
      <c r="K2429" s="25" t="str">
        <f>IF(OR(E2429="",E2429="!!!",F2429="NEW"),"",INDEX(J$1:J2428,SUMPRODUCT(MAX(ROW(E$1:E2428)*(E2429=E$1:E2428)))))</f>
        <v> </v>
      </c>
      <c r="L2429" s="26"/>
    </row>
    <row r="2430" spans="1:12">
      <c r="A2430" s="20" t="s">
        <v>1825</v>
      </c>
      <c r="B2430" s="27" t="s">
        <v>791</v>
      </c>
      <c r="C2430" s="27" t="s">
        <v>735</v>
      </c>
      <c r="D2430" s="27" t="s">
        <v>736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 t="s">
        <v>765</v>
      </c>
      <c r="E2431" s="21">
        <f>IF(D2431="?OLD","!!!","")</f>
        <v/>
      </c>
      <c r="F2431" s="22" t="str">
        <f>IF(OR(E2431="",E2431="!!!"),"",IF(NOT(ISNA(VLOOKUP(E2431,E$1:E2430,1,FALSE()))),"OLD",IF(AND(E2431&lt;&gt;"",E2431&lt;&gt;"!!!"),"NEW","")))</f>
        <v> </v>
      </c>
      <c r="G2431" s="23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4" t="str">
        <f>IF(J2431&lt;&gt;1,"",IF(I2431="SBJ","CB","?"))</f>
        <v> </v>
      </c>
      <c r="I2431" s="25" t="str">
        <f>IF(OR(E2431="",E2431="!!!",F2431="NEW"),"",INDEX(B2430:B$2,-1+SUMPRODUCT(MAX(ROW(E2430:E$2)*(E2431=E2430:E$2)))))</f>
        <v> </v>
      </c>
      <c r="J2431" s="25" t="str">
        <f>IF(OR(E2431="",E2431="!!!",F2431="NEW"),"",COUNTBLANK(OFFSET(A$1,,,SUMPRODUCT(MAX(ROW(E$2:E2431)*(E2431=E$2:E2431)))))-COUNTBLANK(OFFSET(A$1,,,SUMPRODUCT(MAX(ROW(E$1:E2430)*(E2=E$1:E2430))))))</f>
        <v> </v>
      </c>
      <c r="K2431" s="25" t="str">
        <f>IF(OR(E2431="",E2431="!!!",F2431="NEW"),"",INDEX(J$1:J2430,SUMPRODUCT(MAX(ROW(E$1:E2430)*(E2431=E$1:E2430)))))</f>
        <v> </v>
      </c>
      <c r="L2431" s="26"/>
    </row>
    <row r="2432" spans="1:12">
      <c r="A2432" s="20"/>
    </row>
    <row r="2433" spans="1:12">
      <c r="A2433" s="20" t="s">
        <v>1826</v>
      </c>
    </row>
    <row r="2434" spans="1:12">
      <c r="A2434" s="20" t="s">
        <v>1175</v>
      </c>
      <c r="E2434" s="21">
        <f>IF(D2434="?OLD","!!!","")</f>
        <v/>
      </c>
      <c r="F2434" s="22" t="str">
        <f>IF(OR(E2434="",E2434="!!!"),"",IF(NOT(ISNA(VLOOKUP(E2434,E$1:E2433,1,FALSE()))),"OLD",IF(AND(E2434&lt;&gt;"",E2434&lt;&gt;"!!!"),"NEW","")))</f>
        <v> </v>
      </c>
      <c r="G2434" s="23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4" t="str">
        <f>IF(J2434&lt;&gt;1,"",IF(I2434="SBJ","CB","?"))</f>
        <v> </v>
      </c>
      <c r="I2434" s="25" t="str">
        <f>IF(OR(E2434="",E2434="!!!",F2434="NEW"),"",INDEX(B2433:B$2,-1+SUMPRODUCT(MAX(ROW(E2433:E$2)*(E2434=E2433:E$2)))))</f>
        <v> </v>
      </c>
      <c r="J2434" s="25" t="str">
        <f>IF(OR(E2434="",E2434="!!!",F2434="NEW"),"",COUNTBLANK(OFFSET(A$1,,,SUMPRODUCT(MAX(ROW(E$2:E2434)*(E2434=E$2:E2434)))))-COUNTBLANK(OFFSET(A$1,,,SUMPRODUCT(MAX(ROW(E$1:E2433)*(E2=E$1:E2433))))))</f>
        <v> </v>
      </c>
      <c r="K2434" s="25" t="str">
        <f>IF(OR(E2434="",E2434="!!!",F2434="NEW"),"",INDEX(J$1:J2433,SUMPRODUCT(MAX(ROW(E$1:E2433)*(E2434=E$1:E2433)))))</f>
        <v> </v>
      </c>
      <c r="L2434" s="26"/>
    </row>
    <row r="2435" spans="1:12">
      <c r="A2435" s="20" t="s">
        <v>556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 t="s">
        <v>744</v>
      </c>
      <c r="E2436" s="21">
        <f>IF(D2436="?OLD","!!!","")</f>
        <v/>
      </c>
      <c r="F2436" s="22" t="str">
        <f>IF(OR(E2436="",E2436="!!!"),"",IF(NOT(ISNA(VLOOKUP(E2436,E$1:E2435,1,FALSE()))),"OLD",IF(AND(E2436&lt;&gt;"",E2436&lt;&gt;"!!!"),"NEW","")))</f>
        <v> </v>
      </c>
      <c r="G2436" s="23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4" t="str">
        <f>IF(J2436&lt;&gt;1,"",IF(I2436="SBJ","CB","?"))</f>
        <v> </v>
      </c>
      <c r="I2436" s="25" t="str">
        <f>IF(OR(E2436="",E2436="!!!",F2436="NEW"),"",INDEX(B2435:B$2,-1+SUMPRODUCT(MAX(ROW(E2435:E$2)*(E2436=E2435:E$2)))))</f>
        <v> </v>
      </c>
      <c r="J2436" s="25" t="str">
        <f>IF(OR(E2436="",E2436="!!!",F2436="NEW"),"",COUNTBLANK(OFFSET(A$1,,,SUMPRODUCT(MAX(ROW(E$2:E2436)*(E2436=E$2:E2436)))))-COUNTBLANK(OFFSET(A$1,,,SUMPRODUCT(MAX(ROW(E$1:E2435)*(E2=E$1:E2435))))))</f>
        <v> </v>
      </c>
      <c r="K2436" s="25" t="str">
        <f>IF(OR(E2436="",E2436="!!!",F2436="NEW"),"",INDEX(J$1:J2435,SUMPRODUCT(MAX(ROW(E$1:E2435)*(E2436=E$1:E2435)))))</f>
        <v> </v>
      </c>
      <c r="L2436" s="26"/>
    </row>
    <row r="2437" spans="1:12">
      <c r="A2437" s="20" t="s">
        <v>1827</v>
      </c>
      <c r="E2437" s="21">
        <f>IF(D2437="?OLD","!!!","")</f>
        <v/>
      </c>
      <c r="F2437" s="22" t="str">
        <f>IF(OR(E2437="",E2437="!!!"),"",IF(NOT(ISNA(VLOOKUP(E2437,E$1:E2436,1,FALSE()))),"OLD",IF(AND(E2437&lt;&gt;"",E2437&lt;&gt;"!!!"),"NEW","")))</f>
        <v> </v>
      </c>
      <c r="G2437" s="23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4" t="str">
        <f>IF(J2437&lt;&gt;1,"",IF(I2437="SBJ","CB","?"))</f>
        <v> </v>
      </c>
      <c r="I2437" s="25" t="str">
        <f>IF(OR(E2437="",E2437="!!!",F2437="NEW"),"",INDEX(B2436:B$2,-1+SUMPRODUCT(MAX(ROW(E2436:E$2)*(E2437=E2436:E$2)))))</f>
        <v> </v>
      </c>
      <c r="J2437" s="25" t="str">
        <f>IF(OR(E2437="",E2437="!!!",F2437="NEW"),"",COUNTBLANK(OFFSET(A$1,,,SUMPRODUCT(MAX(ROW(E$2:E2437)*(E2437=E$2:E2437)))))-COUNTBLANK(OFFSET(A$1,,,SUMPRODUCT(MAX(ROW(E$1:E2436)*(E2=E$1:E2436))))))</f>
        <v> </v>
      </c>
      <c r="K2437" s="25" t="str">
        <f>IF(OR(E2437="",E2437="!!!",F2437="NEW"),"",INDEX(J$1:J2436,SUMPRODUCT(MAX(ROW(E$1:E2436)*(E2437=E$1:E2436)))))</f>
        <v> </v>
      </c>
      <c r="L2437" s="26"/>
    </row>
    <row r="2438" spans="1:12">
      <c r="A2438" s="20" t="s">
        <v>1415</v>
      </c>
      <c r="B2438" s="27" t="s">
        <v>734</v>
      </c>
      <c r="C2438" s="27" t="s">
        <v>756</v>
      </c>
      <c r="D2438" s="27" t="s">
        <v>736</v>
      </c>
      <c r="E2438" s="21">
        <f>IF(D2438="?OLD","!!!","")</f>
        <v/>
      </c>
      <c r="F2438" s="22" t="str">
        <f>IF(OR(E2438="",E2438="!!!"),"",IF(NOT(ISNA(VLOOKUP(E2438,E$1:E2437,1,FALSE()))),"OLD",IF(AND(E2438&lt;&gt;"",E2438&lt;&gt;"!!!"),"NEW","")))</f>
        <v> </v>
      </c>
      <c r="G2438" s="23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4" t="str">
        <f>IF(J2438&lt;&gt;1,"",IF(I2438="SBJ","CB","?"))</f>
        <v> </v>
      </c>
      <c r="I2438" s="25" t="str">
        <f>IF(OR(E2438="",E2438="!!!",F2438="NEW"),"",INDEX(B2437:B$2,-1+SUMPRODUCT(MAX(ROW(E2437:E$2)*(E2438=E2437:E$2)))))</f>
        <v> </v>
      </c>
      <c r="J2438" s="25" t="str">
        <f>IF(OR(E2438="",E2438="!!!",F2438="NEW"),"",COUNTBLANK(OFFSET(A$1,,,SUMPRODUCT(MAX(ROW(E$2:E2438)*(E2438=E$2:E2438)))))-COUNTBLANK(OFFSET(A$1,,,SUMPRODUCT(MAX(ROW(E$1:E2437)*(E2=E$1:E2437))))))</f>
        <v> </v>
      </c>
      <c r="K2438" s="25" t="str">
        <f>IF(OR(E2438="",E2438="!!!",F2438="NEW"),"",INDEX(J$1:J2437,SUMPRODUCT(MAX(ROW(E$1:E2437)*(E2438=E$1:E2437)))))</f>
        <v> </v>
      </c>
      <c r="L2438" s="26"/>
    </row>
    <row r="2439" spans="1:12">
      <c r="A2439" s="20" t="s">
        <v>906</v>
      </c>
      <c r="E2439" s="21">
        <f>IF(D2439="?OLD","!!!","")</f>
        <v/>
      </c>
      <c r="F2439" s="22" t="str">
        <f>IF(OR(E2439="",E2439="!!!"),"",IF(NOT(ISNA(VLOOKUP(E2439,E$1:E2438,1,FALSE()))),"OLD",IF(AND(E2439&lt;&gt;"",E2439&lt;&gt;"!!!"),"NEW","")))</f>
        <v> </v>
      </c>
      <c r="G2439" s="23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4" t="str">
        <f>IF(J2439&lt;&gt;1,"",IF(I2439="SBJ","CB","?"))</f>
        <v> </v>
      </c>
      <c r="I2439" s="25" t="str">
        <f>IF(OR(E2439="",E2439="!!!",F2439="NEW"),"",INDEX(B2438:B$2,-1+SUMPRODUCT(MAX(ROW(E2438:E$2)*(E2439=E2438:E$2)))))</f>
        <v> </v>
      </c>
      <c r="J2439" s="25" t="str">
        <f>IF(OR(E2439="",E2439="!!!",F2439="NEW"),"",COUNTBLANK(OFFSET(A$1,,,SUMPRODUCT(MAX(ROW(E$2:E2439)*(E2439=E$2:E2439)))))-COUNTBLANK(OFFSET(A$1,,,SUMPRODUCT(MAX(ROW(E$1:E2438)*(E2=E$1:E2438))))))</f>
        <v> </v>
      </c>
      <c r="K2439" s="25" t="str">
        <f>IF(OR(E2439="",E2439="!!!",F2439="NEW"),"",INDEX(J$1:J2438,SUMPRODUCT(MAX(ROW(E$1:E2438)*(E2439=E$1:E2438)))))</f>
        <v> </v>
      </c>
      <c r="L2439" s="26"/>
    </row>
    <row r="2440" spans="1:12">
      <c r="A2440" s="20" t="s">
        <v>765</v>
      </c>
      <c r="E2440" s="21">
        <f>IF(D2440="?OLD","!!!","")</f>
        <v/>
      </c>
      <c r="F2440" s="22" t="str">
        <f>IF(OR(E2440="",E2440="!!!"),"",IF(NOT(ISNA(VLOOKUP(E2440,E$1:E2439,1,FALSE()))),"OLD",IF(AND(E2440&lt;&gt;"",E2440&lt;&gt;"!!!"),"NEW","")))</f>
        <v> </v>
      </c>
      <c r="G2440" s="23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4" t="str">
        <f>IF(J2440&lt;&gt;1,"",IF(I2440="SBJ","CB","?"))</f>
        <v> </v>
      </c>
      <c r="I2440" s="25" t="str">
        <f>IF(OR(E2440="",E2440="!!!",F2440="NEW"),"",INDEX(B2439:B$2,-1+SUMPRODUCT(MAX(ROW(E2439:E$2)*(E2440=E2439:E$2)))))</f>
        <v> </v>
      </c>
      <c r="J2440" s="25" t="str">
        <f>IF(OR(E2440="",E2440="!!!",F2440="NEW"),"",COUNTBLANK(OFFSET(A$1,,,SUMPRODUCT(MAX(ROW(E$2:E2440)*(E2440=E$2:E2440)))))-COUNTBLANK(OFFSET(A$1,,,SUMPRODUCT(MAX(ROW(E$1:E2439)*(E2=E$1:E2439))))))</f>
        <v> </v>
      </c>
      <c r="K2440" s="25" t="str">
        <f>IF(OR(E2440="",E2440="!!!",F2440="NEW"),"",INDEX(J$1:J2439,SUMPRODUCT(MAX(ROW(E$1:E2439)*(E2440=E$1:E2439)))))</f>
        <v> </v>
      </c>
      <c r="L2440" s="26"/>
    </row>
    <row r="2441" spans="1:12">
      <c r="A2441" s="20"/>
    </row>
    <row r="2442" spans="1:12">
      <c r="A2442" s="20" t="s">
        <v>1828</v>
      </c>
    </row>
    <row r="2443" spans="1:12">
      <c r="A2443" s="20" t="s">
        <v>1829</v>
      </c>
      <c r="B2443" s="27" t="s">
        <v>838</v>
      </c>
      <c r="C2443" s="27" t="s">
        <v>1010</v>
      </c>
      <c r="D2443" s="27" t="s">
        <v>736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749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1025</v>
      </c>
      <c r="B2445" s="27" t="s">
        <v>838</v>
      </c>
      <c r="C2445" s="27" t="s">
        <v>788</v>
      </c>
      <c r="D2445" s="27" t="s">
        <v>736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 t="s">
        <v>744</v>
      </c>
      <c r="E2446" s="21">
        <f>IF(D2446="?OLD","!!!","")</f>
        <v/>
      </c>
      <c r="F2446" s="22" t="str">
        <f>IF(OR(E2446="",E2446="!!!"),"",IF(NOT(ISNA(VLOOKUP(E2446,E$1:E2445,1,FALSE()))),"OLD",IF(AND(E2446&lt;&gt;"",E2446&lt;&gt;"!!!"),"NEW","")))</f>
        <v> </v>
      </c>
      <c r="G2446" s="23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4" t="str">
        <f>IF(J2446&lt;&gt;1,"",IF(I2446="SBJ","CB","?"))</f>
        <v> </v>
      </c>
      <c r="I2446" s="25" t="str">
        <f>IF(OR(E2446="",E2446="!!!",F2446="NEW"),"",INDEX(B2445:B$2,-1+SUMPRODUCT(MAX(ROW(E2445:E$2)*(E2446=E2445:E$2)))))</f>
        <v> </v>
      </c>
      <c r="J2446" s="25" t="str">
        <f>IF(OR(E2446="",E2446="!!!",F2446="NEW"),"",COUNTBLANK(OFFSET(A$1,,,SUMPRODUCT(MAX(ROW(E$2:E2446)*(E2446=E$2:E2446)))))-COUNTBLANK(OFFSET(A$1,,,SUMPRODUCT(MAX(ROW(E$1:E2445)*(E2=E$1:E2445))))))</f>
        <v> </v>
      </c>
      <c r="K2446" s="25" t="str">
        <f>IF(OR(E2446="",E2446="!!!",F2446="NEW"),"",INDEX(J$1:J2445,SUMPRODUCT(MAX(ROW(E$1:E2445)*(E2446=E$1:E2445)))))</f>
        <v> </v>
      </c>
      <c r="L2446" s="26"/>
    </row>
    <row r="2447" spans="1:12">
      <c r="A2447" s="20" t="s">
        <v>1479</v>
      </c>
      <c r="E2447" s="21">
        <f>IF(D2447="?OLD","!!!","")</f>
        <v/>
      </c>
      <c r="F2447" s="22" t="str">
        <f>IF(OR(E2447="",E2447="!!!"),"",IF(NOT(ISNA(VLOOKUP(E2447,E$1:E2446,1,FALSE()))),"OLD",IF(AND(E2447&lt;&gt;"",E2447&lt;&gt;"!!!"),"NEW","")))</f>
        <v> </v>
      </c>
      <c r="G2447" s="23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4" t="str">
        <f>IF(J2447&lt;&gt;1,"",IF(I2447="SBJ","CB","?"))</f>
        <v> </v>
      </c>
      <c r="I2447" s="25" t="str">
        <f>IF(OR(E2447="",E2447="!!!",F2447="NEW"),"",INDEX(B2446:B$2,-1+SUMPRODUCT(MAX(ROW(E2446:E$2)*(E2447=E2446:E$2)))))</f>
        <v> </v>
      </c>
      <c r="J2447" s="25" t="str">
        <f>IF(OR(E2447="",E2447="!!!",F2447="NEW"),"",COUNTBLANK(OFFSET(A$1,,,SUMPRODUCT(MAX(ROW(E$2:E2447)*(E2447=E$2:E2447)))))-COUNTBLANK(OFFSET(A$1,,,SUMPRODUCT(MAX(ROW(E$1:E2446)*(E2=E$1:E2446))))))</f>
        <v> </v>
      </c>
      <c r="K2447" s="25" t="str">
        <f>IF(OR(E2447="",E2447="!!!",F2447="NEW"),"",INDEX(J$1:J2446,SUMPRODUCT(MAX(ROW(E$1:E2446)*(E2447=E$1:E2446)))))</f>
        <v> </v>
      </c>
      <c r="L2447" s="26"/>
    </row>
    <row r="2448" spans="1:12">
      <c r="A2448" s="20" t="s">
        <v>1139</v>
      </c>
      <c r="E2448" s="21">
        <f>IF(D2448="?OLD","!!!","")</f>
        <v/>
      </c>
      <c r="F2448" s="22" t="str">
        <f>IF(OR(E2448="",E2448="!!!"),"",IF(NOT(ISNA(VLOOKUP(E2448,E$1:E2447,1,FALSE()))),"OLD",IF(AND(E2448&lt;&gt;"",E2448&lt;&gt;"!!!"),"NEW","")))</f>
        <v> </v>
      </c>
      <c r="G2448" s="23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4" t="str">
        <f>IF(J2448&lt;&gt;1,"",IF(I2448="SBJ","CB","?"))</f>
        <v> </v>
      </c>
      <c r="I2448" s="25" t="str">
        <f>IF(OR(E2448="",E2448="!!!",F2448="NEW"),"",INDEX(B2447:B$2,-1+SUMPRODUCT(MAX(ROW(E2447:E$2)*(E2448=E2447:E$2)))))</f>
        <v> </v>
      </c>
      <c r="J2448" s="25" t="str">
        <f>IF(OR(E2448="",E2448="!!!",F2448="NEW"),"",COUNTBLANK(OFFSET(A$1,,,SUMPRODUCT(MAX(ROW(E$2:E2448)*(E2448=E$2:E2448)))))-COUNTBLANK(OFFSET(A$1,,,SUMPRODUCT(MAX(ROW(E$1:E2447)*(E2=E$1:E2447))))))</f>
        <v> </v>
      </c>
      <c r="K2448" s="25" t="str">
        <f>IF(OR(E2448="",E2448="!!!",F2448="NEW"),"",INDEX(J$1:J2447,SUMPRODUCT(MAX(ROW(E$1:E2447)*(E2448=E$1:E2447)))))</f>
        <v> </v>
      </c>
      <c r="L2448" s="26"/>
    </row>
    <row r="2449" spans="1:12">
      <c r="A2449" s="20" t="s">
        <v>1830</v>
      </c>
      <c r="E2449" s="21">
        <f>IF(D2449="?OLD","!!!","")</f>
        <v/>
      </c>
      <c r="F2449" s="22" t="str">
        <f>IF(OR(E2449="",E2449="!!!"),"",IF(NOT(ISNA(VLOOKUP(E2449,E$1:E2448,1,FALSE()))),"OLD",IF(AND(E2449&lt;&gt;"",E2449&lt;&gt;"!!!"),"NEW","")))</f>
        <v> </v>
      </c>
      <c r="G2449" s="23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4" t="str">
        <f>IF(J2449&lt;&gt;1,"",IF(I2449="SBJ","CB","?"))</f>
        <v> </v>
      </c>
      <c r="I2449" s="25" t="str">
        <f>IF(OR(E2449="",E2449="!!!",F2449="NEW"),"",INDEX(B2448:B$2,-1+SUMPRODUCT(MAX(ROW(E2448:E$2)*(E2449=E2448:E$2)))))</f>
        <v> </v>
      </c>
      <c r="J2449" s="25" t="str">
        <f>IF(OR(E2449="",E2449="!!!",F2449="NEW"),"",COUNTBLANK(OFFSET(A$1,,,SUMPRODUCT(MAX(ROW(E$2:E2449)*(E2449=E$2:E2449)))))-COUNTBLANK(OFFSET(A$1,,,SUMPRODUCT(MAX(ROW(E$1:E2448)*(E2=E$1:E2448))))))</f>
        <v> </v>
      </c>
      <c r="K2449" s="25" t="str">
        <f>IF(OR(E2449="",E2449="!!!",F2449="NEW"),"",INDEX(J$1:J2448,SUMPRODUCT(MAX(ROW(E$1:E2448)*(E2449=E$1:E2448)))))</f>
        <v> </v>
      </c>
      <c r="L2449" s="26"/>
    </row>
    <row r="2450" spans="1:12">
      <c r="A2450" s="20" t="s">
        <v>151</v>
      </c>
      <c r="E2450" s="21">
        <f>IF(D2450="?OLD","!!!","")</f>
        <v/>
      </c>
      <c r="F2450" s="22" t="str">
        <f>IF(OR(E2450="",E2450="!!!"),"",IF(NOT(ISNA(VLOOKUP(E2450,E$1:E2449,1,FALSE()))),"OLD",IF(AND(E2450&lt;&gt;"",E2450&lt;&gt;"!!!"),"NEW","")))</f>
        <v> </v>
      </c>
      <c r="G2450" s="23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4" t="str">
        <f>IF(J2450&lt;&gt;1,"",IF(I2450="SBJ","CB","?"))</f>
        <v> </v>
      </c>
      <c r="I2450" s="25" t="str">
        <f>IF(OR(E2450="",E2450="!!!",F2450="NEW"),"",INDEX(B2449:B$2,-1+SUMPRODUCT(MAX(ROW(E2449:E$2)*(E2450=E2449:E$2)))))</f>
        <v> </v>
      </c>
      <c r="J2450" s="25" t="str">
        <f>IF(OR(E2450="",E2450="!!!",F2450="NEW"),"",COUNTBLANK(OFFSET(A$1,,,SUMPRODUCT(MAX(ROW(E$2:E2450)*(E2450=E$2:E2450)))))-COUNTBLANK(OFFSET(A$1,,,SUMPRODUCT(MAX(ROW(E$1:E2449)*(E2=E$1:E2449))))))</f>
        <v> </v>
      </c>
      <c r="K2450" s="25" t="str">
        <f>IF(OR(E2450="",E2450="!!!",F2450="NEW"),"",INDEX(J$1:J2449,SUMPRODUCT(MAX(ROW(E$1:E2449)*(E2450=E$1:E2449)))))</f>
        <v> </v>
      </c>
      <c r="L2450" s="26"/>
    </row>
    <row r="2451" spans="1:12">
      <c r="A2451" s="20" t="s">
        <v>744</v>
      </c>
      <c r="E2451" s="21">
        <f>IF(D2451="?OLD","!!!","")</f>
        <v/>
      </c>
      <c r="F2451" s="22" t="str">
        <f>IF(OR(E2451="",E2451="!!!"),"",IF(NOT(ISNA(VLOOKUP(E2451,E$1:E2450,1,FALSE()))),"OLD",IF(AND(E2451&lt;&gt;"",E2451&lt;&gt;"!!!"),"NEW","")))</f>
        <v> </v>
      </c>
      <c r="G2451" s="23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4" t="str">
        <f>IF(J2451&lt;&gt;1,"",IF(I2451="SBJ","CB","?"))</f>
        <v> </v>
      </c>
      <c r="I2451" s="25" t="str">
        <f>IF(OR(E2451="",E2451="!!!",F2451="NEW"),"",INDEX(B2450:B$2,-1+SUMPRODUCT(MAX(ROW(E2450:E$2)*(E2451=E2450:E$2)))))</f>
        <v> </v>
      </c>
      <c r="J2451" s="25" t="str">
        <f>IF(OR(E2451="",E2451="!!!",F2451="NEW"),"",COUNTBLANK(OFFSET(A$1,,,SUMPRODUCT(MAX(ROW(E$2:E2451)*(E2451=E$2:E2451)))))-COUNTBLANK(OFFSET(A$1,,,SUMPRODUCT(MAX(ROW(E$1:E2450)*(E2=E$1:E2450))))))</f>
        <v> </v>
      </c>
      <c r="K2451" s="25" t="str">
        <f>IF(OR(E2451="",E2451="!!!",F2451="NEW"),"",INDEX(J$1:J2450,SUMPRODUCT(MAX(ROW(E$1:E2450)*(E2451=E$1:E2450)))))</f>
        <v> </v>
      </c>
      <c r="L2451" s="26"/>
    </row>
    <row r="2452" spans="1:12">
      <c r="A2452" s="20" t="s">
        <v>1231</v>
      </c>
      <c r="E2452" s="21">
        <f>IF(D2452="?OLD","!!!","")</f>
        <v/>
      </c>
      <c r="F2452" s="22" t="str">
        <f>IF(OR(E2452="",E2452="!!!"),"",IF(NOT(ISNA(VLOOKUP(E2452,E$1:E2451,1,FALSE()))),"OLD",IF(AND(E2452&lt;&gt;"",E2452&lt;&gt;"!!!"),"NEW","")))</f>
        <v> </v>
      </c>
      <c r="G2452" s="23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4" t="str">
        <f>IF(J2452&lt;&gt;1,"",IF(I2452="SBJ","CB","?"))</f>
        <v> </v>
      </c>
      <c r="I2452" s="25" t="str">
        <f>IF(OR(E2452="",E2452="!!!",F2452="NEW"),"",INDEX(B2451:B$2,-1+SUMPRODUCT(MAX(ROW(E2451:E$2)*(E2452=E2451:E$2)))))</f>
        <v> </v>
      </c>
      <c r="J2452" s="25" t="str">
        <f>IF(OR(E2452="",E2452="!!!",F2452="NEW"),"",COUNTBLANK(OFFSET(A$1,,,SUMPRODUCT(MAX(ROW(E$2:E2452)*(E2452=E$2:E2452)))))-COUNTBLANK(OFFSET(A$1,,,SUMPRODUCT(MAX(ROW(E$1:E2451)*(E2=E$1:E2451))))))</f>
        <v> </v>
      </c>
      <c r="K2452" s="25" t="str">
        <f>IF(OR(E2452="",E2452="!!!",F2452="NEW"),"",INDEX(J$1:J2451,SUMPRODUCT(MAX(ROW(E$1:E2451)*(E2452=E$1:E2451)))))</f>
        <v> </v>
      </c>
      <c r="L2452" s="26"/>
    </row>
    <row r="2453" spans="1:12">
      <c r="A2453" s="20" t="s">
        <v>568</v>
      </c>
      <c r="E2453" s="21">
        <f>IF(D2453="?OLD","!!!","")</f>
        <v/>
      </c>
      <c r="F2453" s="22" t="str">
        <f>IF(OR(E2453="",E2453="!!!"),"",IF(NOT(ISNA(VLOOKUP(E2453,E$1:E2452,1,FALSE()))),"OLD",IF(AND(E2453&lt;&gt;"",E2453&lt;&gt;"!!!"),"NEW","")))</f>
        <v> </v>
      </c>
      <c r="G2453" s="23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4" t="str">
        <f>IF(J2453&lt;&gt;1,"",IF(I2453="SBJ","CB","?"))</f>
        <v> </v>
      </c>
      <c r="I2453" s="25" t="str">
        <f>IF(OR(E2453="",E2453="!!!",F2453="NEW"),"",INDEX(B2452:B$2,-1+SUMPRODUCT(MAX(ROW(E2452:E$2)*(E2453=E2452:E$2)))))</f>
        <v> </v>
      </c>
      <c r="J2453" s="25" t="str">
        <f>IF(OR(E2453="",E2453="!!!",F2453="NEW"),"",COUNTBLANK(OFFSET(A$1,,,SUMPRODUCT(MAX(ROW(E$2:E2453)*(E2453=E$2:E2453)))))-COUNTBLANK(OFFSET(A$1,,,SUMPRODUCT(MAX(ROW(E$1:E2452)*(E2=E$1:E2452))))))</f>
        <v> </v>
      </c>
      <c r="K2453" s="25" t="str">
        <f>IF(OR(E2453="",E2453="!!!",F2453="NEW"),"",INDEX(J$1:J2452,SUMPRODUCT(MAX(ROW(E$1:E2452)*(E2453=E$1:E2452)))))</f>
        <v> </v>
      </c>
      <c r="L2453" s="26"/>
    </row>
    <row r="2454" spans="1:12">
      <c r="A2454" s="20" t="s">
        <v>1831</v>
      </c>
      <c r="B2454" s="27" t="s">
        <v>1036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 t="s">
        <v>765</v>
      </c>
      <c r="E2455" s="21">
        <f>IF(D2455="?OLD","!!!","")</f>
        <v/>
      </c>
      <c r="F2455" s="22" t="str">
        <f>IF(OR(E2455="",E2455="!!!"),"",IF(NOT(ISNA(VLOOKUP(E2455,E$1:E2454,1,FALSE()))),"OLD",IF(AND(E2455&lt;&gt;"",E2455&lt;&gt;"!!!"),"NEW","")))</f>
        <v> </v>
      </c>
      <c r="G2455" s="23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4" t="str">
        <f>IF(J2455&lt;&gt;1,"",IF(I2455="SBJ","CB","?"))</f>
        <v> </v>
      </c>
      <c r="I2455" s="25" t="str">
        <f>IF(OR(E2455="",E2455="!!!",F2455="NEW"),"",INDEX(B2454:B$2,-1+SUMPRODUCT(MAX(ROW(E2454:E$2)*(E2455=E2454:E$2)))))</f>
        <v> </v>
      </c>
      <c r="J2455" s="25" t="str">
        <f>IF(OR(E2455="",E2455="!!!",F2455="NEW"),"",COUNTBLANK(OFFSET(A$1,,,SUMPRODUCT(MAX(ROW(E$2:E2455)*(E2455=E$2:E2455)))))-COUNTBLANK(OFFSET(A$1,,,SUMPRODUCT(MAX(ROW(E$1:E2454)*(E2=E$1:E2454))))))</f>
        <v> </v>
      </c>
      <c r="K2455" s="25" t="str">
        <f>IF(OR(E2455="",E2455="!!!",F2455="NEW"),"",INDEX(J$1:J2454,SUMPRODUCT(MAX(ROW(E$1:E2454)*(E2455=E$1:E2454)))))</f>
        <v> </v>
      </c>
      <c r="L2455" s="26"/>
    </row>
    <row r="2456" spans="1:12">
      <c r="A2456" s="20"/>
    </row>
    <row r="2457" spans="1:12">
      <c r="A2457" s="20" t="s">
        <v>1832</v>
      </c>
    </row>
    <row r="2458" spans="1:12">
      <c r="A2458" s="20" t="s">
        <v>1157</v>
      </c>
      <c r="B2458" s="27" t="s">
        <v>734</v>
      </c>
      <c r="C2458" s="27" t="s">
        <v>756</v>
      </c>
      <c r="D2458" s="27" t="s">
        <v>736</v>
      </c>
      <c r="E2458" s="21">
        <f>IF(D2458="?OLD","!!!","")</f>
        <v/>
      </c>
      <c r="F2458" s="22" t="str">
        <f>IF(OR(E2458="",E2458="!!!"),"",IF(NOT(ISNA(VLOOKUP(E2458,E$1:E2457,1,FALSE()))),"OLD",IF(AND(E2458&lt;&gt;"",E2458&lt;&gt;"!!!"),"NEW","")))</f>
        <v> </v>
      </c>
      <c r="G2458" s="23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4" t="str">
        <f>IF(J2458&lt;&gt;1,"",IF(I2458="SBJ","CB","?"))</f>
        <v> </v>
      </c>
      <c r="I2458" s="25" t="str">
        <f>IF(OR(E2458="",E2458="!!!",F2458="NEW"),"",INDEX(B2457:B$2,-1+SUMPRODUCT(MAX(ROW(E2457:E$2)*(E2458=E2457:E$2)))))</f>
        <v> </v>
      </c>
      <c r="J2458" s="25" t="str">
        <f>IF(OR(E2458="",E2458="!!!",F2458="NEW"),"",COUNTBLANK(OFFSET(A$1,,,SUMPRODUCT(MAX(ROW(E$2:E2458)*(E2458=E$2:E2458)))))-COUNTBLANK(OFFSET(A$1,,,SUMPRODUCT(MAX(ROW(E$1:E2457)*(E2=E$1:E2457))))))</f>
        <v> </v>
      </c>
      <c r="K2458" s="25" t="str">
        <f>IF(OR(E2458="",E2458="!!!",F2458="NEW"),"",INDEX(J$1:J2457,SUMPRODUCT(MAX(ROW(E$1:E2457)*(E2458=E$1:E2457)))))</f>
        <v> </v>
      </c>
      <c r="L2458" s="26"/>
    </row>
    <row r="2459" spans="1:12">
      <c r="A2459" s="20" t="s">
        <v>1833</v>
      </c>
      <c r="E2459" s="21">
        <f>IF(D2459="?OLD","!!!","")</f>
        <v/>
      </c>
      <c r="F2459" s="22" t="str">
        <f>IF(OR(E2459="",E2459="!!!"),"",IF(NOT(ISNA(VLOOKUP(E2459,E$1:E2458,1,FALSE()))),"OLD",IF(AND(E2459&lt;&gt;"",E2459&lt;&gt;"!!!"),"NEW","")))</f>
        <v> </v>
      </c>
      <c r="G2459" s="23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4" t="str">
        <f>IF(J2459&lt;&gt;1,"",IF(I2459="SBJ","CB","?"))</f>
        <v> </v>
      </c>
      <c r="I2459" s="25" t="str">
        <f>IF(OR(E2459="",E2459="!!!",F2459="NEW"),"",INDEX(B2458:B$2,-1+SUMPRODUCT(MAX(ROW(E2458:E$2)*(E2459=E2458:E$2)))))</f>
        <v> </v>
      </c>
      <c r="J2459" s="25" t="str">
        <f>IF(OR(E2459="",E2459="!!!",F2459="NEW"),"",COUNTBLANK(OFFSET(A$1,,,SUMPRODUCT(MAX(ROW(E$2:E2459)*(E2459=E$2:E2459)))))-COUNTBLANK(OFFSET(A$1,,,SUMPRODUCT(MAX(ROW(E$1:E2458)*(E2=E$1:E2458))))))</f>
        <v> </v>
      </c>
      <c r="K2459" s="25" t="str">
        <f>IF(OR(E2459="",E2459="!!!",F2459="NEW"),"",INDEX(J$1:J2458,SUMPRODUCT(MAX(ROW(E$1:E2458)*(E2459=E$1:E2458)))))</f>
        <v> </v>
      </c>
      <c r="L2459" s="26"/>
    </row>
    <row r="2460" spans="1:12">
      <c r="A2460" s="20" t="s">
        <v>1834</v>
      </c>
      <c r="B2460" s="27" t="s">
        <v>755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1563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1835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 t="s">
        <v>1751</v>
      </c>
      <c r="B2463" s="27" t="s">
        <v>838</v>
      </c>
      <c r="C2463" s="27" t="s">
        <v>1298</v>
      </c>
      <c r="E2463" s="21">
        <f>IF(D2463="?OLD","!!!","")</f>
        <v/>
      </c>
      <c r="F2463" s="22" t="str">
        <f>IF(OR(E2463="",E2463="!!!"),"",IF(NOT(ISNA(VLOOKUP(E2463,E$1:E2462,1,FALSE()))),"OLD",IF(AND(E2463&lt;&gt;"",E2463&lt;&gt;"!!!"),"NEW","")))</f>
        <v> </v>
      </c>
      <c r="G2463" s="23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4" t="str">
        <f>IF(J2463&lt;&gt;1,"",IF(I2463="SBJ","CB","?"))</f>
        <v> </v>
      </c>
      <c r="I2463" s="25" t="str">
        <f>IF(OR(E2463="",E2463="!!!",F2463="NEW"),"",INDEX(B2462:B$2,-1+SUMPRODUCT(MAX(ROW(E2462:E$2)*(E2463=E2462:E$2)))))</f>
        <v> </v>
      </c>
      <c r="J2463" s="25" t="str">
        <f>IF(OR(E2463="",E2463="!!!",F2463="NEW"),"",COUNTBLANK(OFFSET(A$1,,,SUMPRODUCT(MAX(ROW(E$2:E2463)*(E2463=E$2:E2463)))))-COUNTBLANK(OFFSET(A$1,,,SUMPRODUCT(MAX(ROW(E$1:E2462)*(E2=E$1:E2462))))))</f>
        <v> </v>
      </c>
      <c r="K2463" s="25" t="str">
        <f>IF(OR(E2463="",E2463="!!!",F2463="NEW"),"",INDEX(J$1:J2462,SUMPRODUCT(MAX(ROW(E$1:E2462)*(E2463=E$1:E2462)))))</f>
        <v> </v>
      </c>
      <c r="L2463" s="26"/>
    </row>
    <row r="2464" spans="1:12">
      <c r="A2464" s="20" t="s">
        <v>763</v>
      </c>
      <c r="E2464" s="21">
        <f>IF(D2464="?OLD","!!!","")</f>
        <v/>
      </c>
      <c r="F2464" s="22" t="str">
        <f>IF(OR(E2464="",E2464="!!!"),"",IF(NOT(ISNA(VLOOKUP(E2464,E$1:E2463,1,FALSE()))),"OLD",IF(AND(E2464&lt;&gt;"",E2464&lt;&gt;"!!!"),"NEW","")))</f>
        <v> </v>
      </c>
      <c r="G2464" s="23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4" t="str">
        <f>IF(J2464&lt;&gt;1,"",IF(I2464="SBJ","CB","?"))</f>
        <v> </v>
      </c>
      <c r="I2464" s="25" t="str">
        <f>IF(OR(E2464="",E2464="!!!",F2464="NEW"),"",INDEX(B2463:B$2,-1+SUMPRODUCT(MAX(ROW(E2463:E$2)*(E2464=E2463:E$2)))))</f>
        <v> </v>
      </c>
      <c r="J2464" s="25" t="str">
        <f>IF(OR(E2464="",E2464="!!!",F2464="NEW"),"",COUNTBLANK(OFFSET(A$1,,,SUMPRODUCT(MAX(ROW(E$2:E2464)*(E2464=E$2:E2464)))))-COUNTBLANK(OFFSET(A$1,,,SUMPRODUCT(MAX(ROW(E$1:E2463)*(E2=E$1:E2463))))))</f>
        <v> </v>
      </c>
      <c r="K2464" s="25" t="str">
        <f>IF(OR(E2464="",E2464="!!!",F2464="NEW"),"",INDEX(J$1:J2463,SUMPRODUCT(MAX(ROW(E$1:E2463)*(E2464=E$1:E2463)))))</f>
        <v> </v>
      </c>
      <c r="L2464" s="26"/>
    </row>
    <row r="2465" spans="1:12">
      <c r="A2465" s="20" t="s">
        <v>1836</v>
      </c>
      <c r="E2465" s="21">
        <f>IF(D2465="?OLD","!!!","")</f>
        <v/>
      </c>
      <c r="F2465" s="22" t="str">
        <f>IF(OR(E2465="",E2465="!!!"),"",IF(NOT(ISNA(VLOOKUP(E2465,E$1:E2464,1,FALSE()))),"OLD",IF(AND(E2465&lt;&gt;"",E2465&lt;&gt;"!!!"),"NEW","")))</f>
        <v> </v>
      </c>
      <c r="G2465" s="23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4" t="str">
        <f>IF(J2465&lt;&gt;1,"",IF(I2465="SBJ","CB","?"))</f>
        <v> </v>
      </c>
      <c r="I2465" s="25" t="str">
        <f>IF(OR(E2465="",E2465="!!!",F2465="NEW"),"",INDEX(B2464:B$2,-1+SUMPRODUCT(MAX(ROW(E2464:E$2)*(E2465=E2464:E$2)))))</f>
        <v> </v>
      </c>
      <c r="J2465" s="25" t="str">
        <f>IF(OR(E2465="",E2465="!!!",F2465="NEW"),"",COUNTBLANK(OFFSET(A$1,,,SUMPRODUCT(MAX(ROW(E$2:E2465)*(E2465=E$2:E2465)))))-COUNTBLANK(OFFSET(A$1,,,SUMPRODUCT(MAX(ROW(E$1:E2464)*(E2=E$1:E2464))))))</f>
        <v> </v>
      </c>
      <c r="K2465" s="25" t="str">
        <f>IF(OR(E2465="",E2465="!!!",F2465="NEW"),"",INDEX(J$1:J2464,SUMPRODUCT(MAX(ROW(E$1:E2464)*(E2465=E$1:E2464)))))</f>
        <v> </v>
      </c>
      <c r="L2465" s="26"/>
    </row>
    <row r="2466" spans="1:12">
      <c r="A2466" s="20" t="s">
        <v>1837</v>
      </c>
      <c r="B2466" s="27" t="s">
        <v>819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 t="s">
        <v>1838</v>
      </c>
      <c r="E2467" s="21">
        <f>IF(D2467="?OLD","!!!","")</f>
        <v/>
      </c>
      <c r="F2467" s="22" t="str">
        <f>IF(OR(E2467="",E2467="!!!"),"",IF(NOT(ISNA(VLOOKUP(E2467,E$1:E2466,1,FALSE()))),"OLD",IF(AND(E2467&lt;&gt;"",E2467&lt;&gt;"!!!"),"NEW","")))</f>
        <v> </v>
      </c>
      <c r="G2467" s="23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4" t="str">
        <f>IF(J2467&lt;&gt;1,"",IF(I2467="SBJ","CB","?"))</f>
        <v> </v>
      </c>
      <c r="I2467" s="25" t="str">
        <f>IF(OR(E2467="",E2467="!!!",F2467="NEW"),"",INDEX(B2466:B$2,-1+SUMPRODUCT(MAX(ROW(E2466:E$2)*(E2467=E2466:E$2)))))</f>
        <v> </v>
      </c>
      <c r="J2467" s="25" t="str">
        <f>IF(OR(E2467="",E2467="!!!",F2467="NEW"),"",COUNTBLANK(OFFSET(A$1,,,SUMPRODUCT(MAX(ROW(E$2:E2467)*(E2467=E$2:E2467)))))-COUNTBLANK(OFFSET(A$1,,,SUMPRODUCT(MAX(ROW(E$1:E2466)*(E2=E$1:E2466))))))</f>
        <v> </v>
      </c>
      <c r="K2467" s="25" t="str">
        <f>IF(OR(E2467="",E2467="!!!",F2467="NEW"),"",INDEX(J$1:J2466,SUMPRODUCT(MAX(ROW(E$1:E2466)*(E2467=E$1:E2466)))))</f>
        <v> </v>
      </c>
      <c r="L2467" s="26"/>
    </row>
    <row r="2468" spans="1:12">
      <c r="A2468" s="20" t="s">
        <v>1839</v>
      </c>
      <c r="B2468" s="27" t="s">
        <v>887</v>
      </c>
      <c r="E2468" s="21">
        <f>IF(D2468="?OLD","!!!","")</f>
        <v/>
      </c>
      <c r="F2468" s="22" t="str">
        <f>IF(OR(E2468="",E2468="!!!"),"",IF(NOT(ISNA(VLOOKUP(E2468,E$1:E2467,1,FALSE()))),"OLD",IF(AND(E2468&lt;&gt;"",E2468&lt;&gt;"!!!"),"NEW","")))</f>
        <v> </v>
      </c>
      <c r="G2468" s="23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4" t="str">
        <f>IF(J2468&lt;&gt;1,"",IF(I2468="SBJ","CB","?"))</f>
        <v> </v>
      </c>
      <c r="I2468" s="25" t="str">
        <f>IF(OR(E2468="",E2468="!!!",F2468="NEW"),"",INDEX(B2467:B$2,-1+SUMPRODUCT(MAX(ROW(E2467:E$2)*(E2468=E2467:E$2)))))</f>
        <v> </v>
      </c>
      <c r="J2468" s="25" t="str">
        <f>IF(OR(E2468="",E2468="!!!",F2468="NEW"),"",COUNTBLANK(OFFSET(A$1,,,SUMPRODUCT(MAX(ROW(E$2:E2468)*(E2468=E$2:E2468)))))-COUNTBLANK(OFFSET(A$1,,,SUMPRODUCT(MAX(ROW(E$1:E2467)*(E2=E$1:E2467))))))</f>
        <v> </v>
      </c>
      <c r="K2468" s="25" t="str">
        <f>IF(OR(E2468="",E2468="!!!",F2468="NEW"),"",INDEX(J$1:J2467,SUMPRODUCT(MAX(ROW(E$1:E2467)*(E2468=E$1:E2467)))))</f>
        <v> </v>
      </c>
      <c r="L2468" s="26"/>
    </row>
    <row r="2469" spans="1:12">
      <c r="A2469" s="20" t="s">
        <v>765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/>
    </row>
    <row r="2471" spans="1:12">
      <c r="A2471" s="20" t="s">
        <v>1840</v>
      </c>
    </row>
    <row r="2472" spans="1:12">
      <c r="A2472" s="20" t="s">
        <v>1841</v>
      </c>
      <c r="E2472" s="21">
        <f>IF(D2472="?OLD","!!!","")</f>
        <v/>
      </c>
      <c r="F2472" s="22" t="str">
        <f>IF(OR(E2472="",E2472="!!!"),"",IF(NOT(ISNA(VLOOKUP(E2472,E$1:E2471,1,FALSE()))),"OLD",IF(AND(E2472&lt;&gt;"",E2472&lt;&gt;"!!!"),"NEW","")))</f>
        <v> </v>
      </c>
      <c r="G2472" s="23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4" t="str">
        <f>IF(J2472&lt;&gt;1,"",IF(I2472="SBJ","CB","?"))</f>
        <v> </v>
      </c>
      <c r="I2472" s="25" t="str">
        <f>IF(OR(E2472="",E2472="!!!",F2472="NEW"),"",INDEX(B2471:B$2,-1+SUMPRODUCT(MAX(ROW(E2471:E$2)*(E2472=E2471:E$2)))))</f>
        <v> </v>
      </c>
      <c r="J2472" s="25" t="str">
        <f>IF(OR(E2472="",E2472="!!!",F2472="NEW"),"",COUNTBLANK(OFFSET(A$1,,,SUMPRODUCT(MAX(ROW(E$2:E2472)*(E2472=E$2:E2472)))))-COUNTBLANK(OFFSET(A$1,,,SUMPRODUCT(MAX(ROW(E$1:E2471)*(E2=E$1:E2471))))))</f>
        <v> </v>
      </c>
      <c r="K2472" s="25" t="str">
        <f>IF(OR(E2472="",E2472="!!!",F2472="NEW"),"",INDEX(J$1:J2471,SUMPRODUCT(MAX(ROW(E$1:E2471)*(E2472=E$1:E2471)))))</f>
        <v> </v>
      </c>
      <c r="L2472" s="26"/>
    </row>
    <row r="2473" spans="1:12">
      <c r="A2473" s="20" t="s">
        <v>1842</v>
      </c>
      <c r="E2473" s="21">
        <f>IF(D2473="?OLD","!!!","")</f>
        <v/>
      </c>
      <c r="F2473" s="22" t="str">
        <f>IF(OR(E2473="",E2473="!!!"),"",IF(NOT(ISNA(VLOOKUP(E2473,E$1:E2472,1,FALSE()))),"OLD",IF(AND(E2473&lt;&gt;"",E2473&lt;&gt;"!!!"),"NEW","")))</f>
        <v> </v>
      </c>
      <c r="G2473" s="23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4" t="str">
        <f>IF(J2473&lt;&gt;1,"",IF(I2473="SBJ","CB","?"))</f>
        <v> </v>
      </c>
      <c r="I2473" s="25" t="str">
        <f>IF(OR(E2473="",E2473="!!!",F2473="NEW"),"",INDEX(B2472:B$2,-1+SUMPRODUCT(MAX(ROW(E2472:E$2)*(E2473=E2472:E$2)))))</f>
        <v> </v>
      </c>
      <c r="J2473" s="25" t="str">
        <f>IF(OR(E2473="",E2473="!!!",F2473="NEW"),"",COUNTBLANK(OFFSET(A$1,,,SUMPRODUCT(MAX(ROW(E$2:E2473)*(E2473=E$2:E2473)))))-COUNTBLANK(OFFSET(A$1,,,SUMPRODUCT(MAX(ROW(E$1:E2472)*(E2=E$1:E2472))))))</f>
        <v> </v>
      </c>
      <c r="K2473" s="25" t="str">
        <f>IF(OR(E2473="",E2473="!!!",F2473="NEW"),"",INDEX(J$1:J2472,SUMPRODUCT(MAX(ROW(E$1:E2472)*(E2473=E$1:E2472)))))</f>
        <v> </v>
      </c>
      <c r="L2473" s="26"/>
    </row>
    <row r="2474" spans="1:12">
      <c r="A2474" s="20" t="s">
        <v>965</v>
      </c>
      <c r="E2474" s="21">
        <f>IF(D2474="?OLD","!!!","")</f>
        <v/>
      </c>
      <c r="F2474" s="22" t="str">
        <f>IF(OR(E2474="",E2474="!!!"),"",IF(NOT(ISNA(VLOOKUP(E2474,E$1:E2473,1,FALSE()))),"OLD",IF(AND(E2474&lt;&gt;"",E2474&lt;&gt;"!!!"),"NEW","")))</f>
        <v> </v>
      </c>
      <c r="G2474" s="23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4" t="str">
        <f>IF(J2474&lt;&gt;1,"",IF(I2474="SBJ","CB","?"))</f>
        <v> </v>
      </c>
      <c r="I2474" s="25" t="str">
        <f>IF(OR(E2474="",E2474="!!!",F2474="NEW"),"",INDEX(B2473:B$2,-1+SUMPRODUCT(MAX(ROW(E2473:E$2)*(E2474=E2473:E$2)))))</f>
        <v> </v>
      </c>
      <c r="J2474" s="25" t="str">
        <f>IF(OR(E2474="",E2474="!!!",F2474="NEW"),"",COUNTBLANK(OFFSET(A$1,,,SUMPRODUCT(MAX(ROW(E$2:E2474)*(E2474=E$2:E2474)))))-COUNTBLANK(OFFSET(A$1,,,SUMPRODUCT(MAX(ROW(E$1:E2473)*(E2=E$1:E2473))))))</f>
        <v> </v>
      </c>
      <c r="K2474" s="25" t="str">
        <f>IF(OR(E2474="",E2474="!!!",F2474="NEW"),"",INDEX(J$1:J2473,SUMPRODUCT(MAX(ROW(E$1:E2473)*(E2474=E$1:E2473)))))</f>
        <v> </v>
      </c>
      <c r="L2474" s="26"/>
    </row>
    <row r="2475" spans="1:12">
      <c r="A2475" s="20" t="s">
        <v>1114</v>
      </c>
      <c r="B2475" s="27" t="s">
        <v>734</v>
      </c>
      <c r="C2475" s="27" t="s">
        <v>756</v>
      </c>
      <c r="D2475" s="27" t="s">
        <v>736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 t="s">
        <v>793</v>
      </c>
      <c r="E2476" s="21">
        <f>IF(D2476="?OLD","!!!","")</f>
        <v/>
      </c>
      <c r="F2476" s="22" t="str">
        <f>IF(OR(E2476="",E2476="!!!"),"",IF(NOT(ISNA(VLOOKUP(E2476,E$1:E2475,1,FALSE()))),"OLD",IF(AND(E2476&lt;&gt;"",E2476&lt;&gt;"!!!"),"NEW","")))</f>
        <v> </v>
      </c>
      <c r="G2476" s="23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4" t="str">
        <f>IF(J2476&lt;&gt;1,"",IF(I2476="SBJ","CB","?"))</f>
        <v> </v>
      </c>
      <c r="I2476" s="25" t="str">
        <f>IF(OR(E2476="",E2476="!!!",F2476="NEW"),"",INDEX(B2475:B$2,-1+SUMPRODUCT(MAX(ROW(E2475:E$2)*(E2476=E2475:E$2)))))</f>
        <v> </v>
      </c>
      <c r="J2476" s="25" t="str">
        <f>IF(OR(E2476="",E2476="!!!",F2476="NEW"),"",COUNTBLANK(OFFSET(A$1,,,SUMPRODUCT(MAX(ROW(E$2:E2476)*(E2476=E$2:E2476)))))-COUNTBLANK(OFFSET(A$1,,,SUMPRODUCT(MAX(ROW(E$1:E2475)*(E2=E$1:E2475))))))</f>
        <v> </v>
      </c>
      <c r="K2476" s="25" t="str">
        <f>IF(OR(E2476="",E2476="!!!",F2476="NEW"),"",INDEX(J$1:J2475,SUMPRODUCT(MAX(ROW(E$1:E2475)*(E2476=E$1:E2475)))))</f>
        <v> </v>
      </c>
      <c r="L2476" s="26"/>
    </row>
    <row r="2477" spans="1:12">
      <c r="A2477" s="20" t="s">
        <v>1468</v>
      </c>
      <c r="E2477" s="21">
        <f>IF(D2477="?OLD","!!!","")</f>
        <v/>
      </c>
      <c r="F2477" s="22" t="str">
        <f>IF(OR(E2477="",E2477="!!!"),"",IF(NOT(ISNA(VLOOKUP(E2477,E$1:E2476,1,FALSE()))),"OLD",IF(AND(E2477&lt;&gt;"",E2477&lt;&gt;"!!!"),"NEW","")))</f>
        <v> </v>
      </c>
      <c r="G2477" s="23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4" t="str">
        <f>IF(J2477&lt;&gt;1,"",IF(I2477="SBJ","CB","?"))</f>
        <v> </v>
      </c>
      <c r="I2477" s="25" t="str">
        <f>IF(OR(E2477="",E2477="!!!",F2477="NEW"),"",INDEX(B2476:B$2,-1+SUMPRODUCT(MAX(ROW(E2476:E$2)*(E2477=E2476:E$2)))))</f>
        <v> </v>
      </c>
      <c r="J2477" s="25" t="str">
        <f>IF(OR(E2477="",E2477="!!!",F2477="NEW"),"",COUNTBLANK(OFFSET(A$1,,,SUMPRODUCT(MAX(ROW(E$2:E2477)*(E2477=E$2:E2477)))))-COUNTBLANK(OFFSET(A$1,,,SUMPRODUCT(MAX(ROW(E$1:E2476)*(E2=E$1:E2476))))))</f>
        <v> </v>
      </c>
      <c r="K2477" s="25" t="str">
        <f>IF(OR(E2477="",E2477="!!!",F2477="NEW"),"",INDEX(J$1:J2476,SUMPRODUCT(MAX(ROW(E$1:E2476)*(E2477=E$1:E2476)))))</f>
        <v> </v>
      </c>
      <c r="L2477" s="26"/>
    </row>
    <row r="2478" spans="1:12">
      <c r="A2478" s="20" t="s">
        <v>774</v>
      </c>
      <c r="B2478" s="27" t="s">
        <v>755</v>
      </c>
      <c r="C2478" s="27" t="s">
        <v>756</v>
      </c>
      <c r="D2478" s="27" t="s">
        <v>736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1843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763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 t="s">
        <v>1393</v>
      </c>
      <c r="E2481" s="21">
        <f>IF(D2481="?OLD","!!!","")</f>
        <v/>
      </c>
      <c r="F2481" s="22" t="str">
        <f>IF(OR(E2481="",E2481="!!!"),"",IF(NOT(ISNA(VLOOKUP(E2481,E$1:E2480,1,FALSE()))),"OLD",IF(AND(E2481&lt;&gt;"",E2481&lt;&gt;"!!!"),"NEW","")))</f>
        <v> </v>
      </c>
      <c r="G2481" s="23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4" t="str">
        <f>IF(J2481&lt;&gt;1,"",IF(I2481="SBJ","CB","?"))</f>
        <v> </v>
      </c>
      <c r="I2481" s="25" t="str">
        <f>IF(OR(E2481="",E2481="!!!",F2481="NEW"),"",INDEX(B2480:B$2,-1+SUMPRODUCT(MAX(ROW(E2480:E$2)*(E2481=E2480:E$2)))))</f>
        <v> </v>
      </c>
      <c r="J2481" s="25" t="str">
        <f>IF(OR(E2481="",E2481="!!!",F2481="NEW"),"",COUNTBLANK(OFFSET(A$1,,,SUMPRODUCT(MAX(ROW(E$2:E2481)*(E2481=E$2:E2481)))))-COUNTBLANK(OFFSET(A$1,,,SUMPRODUCT(MAX(ROW(E$1:E2480)*(E2=E$1:E2480))))))</f>
        <v> </v>
      </c>
      <c r="K2481" s="25" t="str">
        <f>IF(OR(E2481="",E2481="!!!",F2481="NEW"),"",INDEX(J$1:J2480,SUMPRODUCT(MAX(ROW(E$1:E2480)*(E2481=E$1:E2480)))))</f>
        <v> </v>
      </c>
      <c r="L2481" s="26"/>
    </row>
    <row r="2482" spans="1:12">
      <c r="A2482" s="20" t="s">
        <v>1027</v>
      </c>
      <c r="E2482" s="21">
        <f>IF(D2482="?OLD","!!!","")</f>
        <v/>
      </c>
      <c r="F2482" s="22" t="str">
        <f>IF(OR(E2482="",E2482="!!!"),"",IF(NOT(ISNA(VLOOKUP(E2482,E$1:E2481,1,FALSE()))),"OLD",IF(AND(E2482&lt;&gt;"",E2482&lt;&gt;"!!!"),"NEW","")))</f>
        <v> </v>
      </c>
      <c r="G2482" s="23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4" t="str">
        <f>IF(J2482&lt;&gt;1,"",IF(I2482="SBJ","CB","?"))</f>
        <v> </v>
      </c>
      <c r="I2482" s="25" t="str">
        <f>IF(OR(E2482="",E2482="!!!",F2482="NEW"),"",INDEX(B2481:B$2,-1+SUMPRODUCT(MAX(ROW(E2481:E$2)*(E2482=E2481:E$2)))))</f>
        <v> </v>
      </c>
      <c r="J2482" s="25" t="str">
        <f>IF(OR(E2482="",E2482="!!!",F2482="NEW"),"",COUNTBLANK(OFFSET(A$1,,,SUMPRODUCT(MAX(ROW(E$2:E2482)*(E2482=E$2:E2482)))))-COUNTBLANK(OFFSET(A$1,,,SUMPRODUCT(MAX(ROW(E$1:E2481)*(E2=E$1:E2481))))))</f>
        <v> </v>
      </c>
      <c r="K2482" s="25" t="str">
        <f>IF(OR(E2482="",E2482="!!!",F2482="NEW"),"",INDEX(J$1:J2481,SUMPRODUCT(MAX(ROW(E$1:E2481)*(E2482=E$1:E2481)))))</f>
        <v> </v>
      </c>
      <c r="L2482" s="26"/>
    </row>
    <row r="2483" spans="1:12">
      <c r="A2483" s="20" t="s">
        <v>1844</v>
      </c>
      <c r="E2483" s="21">
        <f>IF(D2483="?OLD","!!!","")</f>
        <v/>
      </c>
      <c r="F2483" s="22" t="str">
        <f>IF(OR(E2483="",E2483="!!!"),"",IF(NOT(ISNA(VLOOKUP(E2483,E$1:E2482,1,FALSE()))),"OLD",IF(AND(E2483&lt;&gt;"",E2483&lt;&gt;"!!!"),"NEW","")))</f>
        <v> </v>
      </c>
      <c r="G2483" s="23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4" t="str">
        <f>IF(J2483&lt;&gt;1,"",IF(I2483="SBJ","CB","?"))</f>
        <v> </v>
      </c>
      <c r="I2483" s="25" t="str">
        <f>IF(OR(E2483="",E2483="!!!",F2483="NEW"),"",INDEX(B2482:B$2,-1+SUMPRODUCT(MAX(ROW(E2482:E$2)*(E2483=E2482:E$2)))))</f>
        <v> </v>
      </c>
      <c r="J2483" s="25" t="str">
        <f>IF(OR(E2483="",E2483="!!!",F2483="NEW"),"",COUNTBLANK(OFFSET(A$1,,,SUMPRODUCT(MAX(ROW(E$2:E2483)*(E2483=E$2:E2483)))))-COUNTBLANK(OFFSET(A$1,,,SUMPRODUCT(MAX(ROW(E$1:E2482)*(E2=E$1:E2482))))))</f>
        <v> </v>
      </c>
      <c r="K2483" s="25" t="str">
        <f>IF(OR(E2483="",E2483="!!!",F2483="NEW"),"",INDEX(J$1:J2482,SUMPRODUCT(MAX(ROW(E$1:E2482)*(E2483=E$1:E2482)))))</f>
        <v> </v>
      </c>
      <c r="L2483" s="26"/>
    </row>
    <row r="2484" spans="1:12">
      <c r="A2484" s="20" t="s">
        <v>901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 t="s">
        <v>200</v>
      </c>
      <c r="E2485" s="21">
        <f>IF(D2485="?OLD","!!!","")</f>
        <v/>
      </c>
      <c r="F2485" s="22" t="str">
        <f>IF(OR(E2485="",E2485="!!!"),"",IF(NOT(ISNA(VLOOKUP(E2485,E$1:E2484,1,FALSE()))),"OLD",IF(AND(E2485&lt;&gt;"",E2485&lt;&gt;"!!!"),"NEW","")))</f>
        <v> </v>
      </c>
      <c r="G2485" s="23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4" t="str">
        <f>IF(J2485&lt;&gt;1,"",IF(I2485="SBJ","CB","?"))</f>
        <v> </v>
      </c>
      <c r="I2485" s="25" t="str">
        <f>IF(OR(E2485="",E2485="!!!",F2485="NEW"),"",INDEX(B2484:B$2,-1+SUMPRODUCT(MAX(ROW(E2484:E$2)*(E2485=E2484:E$2)))))</f>
        <v> </v>
      </c>
      <c r="J2485" s="25" t="str">
        <f>IF(OR(E2485="",E2485="!!!",F2485="NEW"),"",COUNTBLANK(OFFSET(A$1,,,SUMPRODUCT(MAX(ROW(E$2:E2485)*(E2485=E$2:E2485)))))-COUNTBLANK(OFFSET(A$1,,,SUMPRODUCT(MAX(ROW(E$1:E2484)*(E2=E$1:E2484))))))</f>
        <v> </v>
      </c>
      <c r="K2485" s="25" t="str">
        <f>IF(OR(E2485="",E2485="!!!",F2485="NEW"),"",INDEX(J$1:J2484,SUMPRODUCT(MAX(ROW(E$1:E2484)*(E2485=E$1:E2484)))))</f>
        <v> </v>
      </c>
      <c r="L2485" s="26"/>
    </row>
    <row r="2486" spans="1:12">
      <c r="A2486" s="20" t="s">
        <v>1845</v>
      </c>
      <c r="B2486" s="27" t="s">
        <v>831</v>
      </c>
      <c r="C2486" s="27" t="s">
        <v>828</v>
      </c>
      <c r="E2486" s="21">
        <f>IF(D2486="?OLD","!!!","")</f>
        <v/>
      </c>
      <c r="F2486" s="22" t="str">
        <f>IF(OR(E2486="",E2486="!!!"),"",IF(NOT(ISNA(VLOOKUP(E2486,E$1:E2485,1,FALSE()))),"OLD",IF(AND(E2486&lt;&gt;"",E2486&lt;&gt;"!!!"),"NEW","")))</f>
        <v> </v>
      </c>
      <c r="G2486" s="23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4" t="str">
        <f>IF(J2486&lt;&gt;1,"",IF(I2486="SBJ","CB","?"))</f>
        <v> </v>
      </c>
      <c r="I2486" s="25" t="str">
        <f>IF(OR(E2486="",E2486="!!!",F2486="NEW"),"",INDEX(B2485:B$2,-1+SUMPRODUCT(MAX(ROW(E2485:E$2)*(E2486=E2485:E$2)))))</f>
        <v> </v>
      </c>
      <c r="J2486" s="25" t="str">
        <f>IF(OR(E2486="",E2486="!!!",F2486="NEW"),"",COUNTBLANK(OFFSET(A$1,,,SUMPRODUCT(MAX(ROW(E$2:E2486)*(E2486=E$2:E2486)))))-COUNTBLANK(OFFSET(A$1,,,SUMPRODUCT(MAX(ROW(E$1:E2485)*(E2=E$1:E2485))))))</f>
        <v> </v>
      </c>
      <c r="K2486" s="25" t="str">
        <f>IF(OR(E2486="",E2486="!!!",F2486="NEW"),"",INDEX(J$1:J2485,SUMPRODUCT(MAX(ROW(E$1:E2485)*(E2486=E$1:E2485)))))</f>
        <v> </v>
      </c>
      <c r="L2486" s="26"/>
    </row>
    <row r="2487" spans="1:12">
      <c r="A2487" s="20" t="s">
        <v>742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 t="s">
        <v>1846</v>
      </c>
      <c r="E2488" s="21">
        <f>IF(D2488="?OLD","!!!","")</f>
        <v/>
      </c>
      <c r="F2488" s="22" t="str">
        <f>IF(OR(E2488="",E2488="!!!"),"",IF(NOT(ISNA(VLOOKUP(E2488,E$1:E2487,1,FALSE()))),"OLD",IF(AND(E2488&lt;&gt;"",E2488&lt;&gt;"!!!"),"NEW","")))</f>
        <v> </v>
      </c>
      <c r="G2488" s="23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4" t="str">
        <f>IF(J2488&lt;&gt;1,"",IF(I2488="SBJ","CB","?"))</f>
        <v> </v>
      </c>
      <c r="I2488" s="25" t="str">
        <f>IF(OR(E2488="",E2488="!!!",F2488="NEW"),"",INDEX(B2487:B$2,-1+SUMPRODUCT(MAX(ROW(E2487:E$2)*(E2488=E2487:E$2)))))</f>
        <v> </v>
      </c>
      <c r="J2488" s="25" t="str">
        <f>IF(OR(E2488="",E2488="!!!",F2488="NEW"),"",COUNTBLANK(OFFSET(A$1,,,SUMPRODUCT(MAX(ROW(E$2:E2488)*(E2488=E$2:E2488)))))-COUNTBLANK(OFFSET(A$1,,,SUMPRODUCT(MAX(ROW(E$1:E2487)*(E2=E$1:E2487))))))</f>
        <v> </v>
      </c>
      <c r="K2488" s="25" t="str">
        <f>IF(OR(E2488="",E2488="!!!",F2488="NEW"),"",INDEX(J$1:J2487,SUMPRODUCT(MAX(ROW(E$1:E2487)*(E2488=E$1:E2487)))))</f>
        <v> </v>
      </c>
      <c r="L2488" s="26"/>
    </row>
    <row r="2489" spans="1:12">
      <c r="A2489" s="20" t="s">
        <v>749</v>
      </c>
      <c r="E2489" s="21">
        <f>IF(D2489="?OLD","!!!","")</f>
        <v/>
      </c>
      <c r="F2489" s="22" t="str">
        <f>IF(OR(E2489="",E2489="!!!"),"",IF(NOT(ISNA(VLOOKUP(E2489,E$1:E2488,1,FALSE()))),"OLD",IF(AND(E2489&lt;&gt;"",E2489&lt;&gt;"!!!"),"NEW","")))</f>
        <v> </v>
      </c>
      <c r="G2489" s="23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4" t="str">
        <f>IF(J2489&lt;&gt;1,"",IF(I2489="SBJ","CB","?"))</f>
        <v> </v>
      </c>
      <c r="I2489" s="25" t="str">
        <f>IF(OR(E2489="",E2489="!!!",F2489="NEW"),"",INDEX(B2488:B$2,-1+SUMPRODUCT(MAX(ROW(E2488:E$2)*(E2489=E2488:E$2)))))</f>
        <v> </v>
      </c>
      <c r="J2489" s="25" t="str">
        <f>IF(OR(E2489="",E2489="!!!",F2489="NEW"),"",COUNTBLANK(OFFSET(A$1,,,SUMPRODUCT(MAX(ROW(E$2:E2489)*(E2489=E$2:E2489)))))-COUNTBLANK(OFFSET(A$1,,,SUMPRODUCT(MAX(ROW(E$1:E2488)*(E2=E$1:E2488))))))</f>
        <v> </v>
      </c>
      <c r="K2489" s="25" t="str">
        <f>IF(OR(E2489="",E2489="!!!",F2489="NEW"),"",INDEX(J$1:J2488,SUMPRODUCT(MAX(ROW(E$1:E2488)*(E2489=E$1:E2488)))))</f>
        <v> </v>
      </c>
      <c r="L2489" s="26"/>
    </row>
    <row r="2490" spans="1:12">
      <c r="A2490" s="20" t="s">
        <v>1847</v>
      </c>
      <c r="E2490" s="21">
        <f>IF(D2490="?OLD","!!!","")</f>
        <v/>
      </c>
      <c r="F2490" s="22" t="str">
        <f>IF(OR(E2490="",E2490="!!!"),"",IF(NOT(ISNA(VLOOKUP(E2490,E$1:E2489,1,FALSE()))),"OLD",IF(AND(E2490&lt;&gt;"",E2490&lt;&gt;"!!!"),"NEW","")))</f>
        <v> </v>
      </c>
      <c r="G2490" s="23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4" t="str">
        <f>IF(J2490&lt;&gt;1,"",IF(I2490="SBJ","CB","?"))</f>
        <v> </v>
      </c>
      <c r="I2490" s="25" t="str">
        <f>IF(OR(E2490="",E2490="!!!",F2490="NEW"),"",INDEX(B2489:B$2,-1+SUMPRODUCT(MAX(ROW(E2489:E$2)*(E2490=E2489:E$2)))))</f>
        <v> </v>
      </c>
      <c r="J2490" s="25" t="str">
        <f>IF(OR(E2490="",E2490="!!!",F2490="NEW"),"",COUNTBLANK(OFFSET(A$1,,,SUMPRODUCT(MAX(ROW(E$2:E2490)*(E2490=E$2:E2490)))))-COUNTBLANK(OFFSET(A$1,,,SUMPRODUCT(MAX(ROW(E$1:E2489)*(E2=E$1:E2489))))))</f>
        <v> </v>
      </c>
      <c r="K2490" s="25" t="str">
        <f>IF(OR(E2490="",E2490="!!!",F2490="NEW"),"",INDEX(J$1:J2489,SUMPRODUCT(MAX(ROW(E$1:E2489)*(E2490=E$1:E2489)))))</f>
        <v> </v>
      </c>
      <c r="L2490" s="26"/>
    </row>
    <row r="2491" spans="1:12">
      <c r="A2491" s="20" t="s">
        <v>1848</v>
      </c>
      <c r="E2491" s="21">
        <f>IF(D2491="?OLD","!!!","")</f>
        <v/>
      </c>
      <c r="F2491" s="22" t="str">
        <f>IF(OR(E2491="",E2491="!!!"),"",IF(NOT(ISNA(VLOOKUP(E2491,E$1:E2490,1,FALSE()))),"OLD",IF(AND(E2491&lt;&gt;"",E2491&lt;&gt;"!!!"),"NEW","")))</f>
        <v> </v>
      </c>
      <c r="G2491" s="23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4" t="str">
        <f>IF(J2491&lt;&gt;1,"",IF(I2491="SBJ","CB","?"))</f>
        <v> </v>
      </c>
      <c r="I2491" s="25" t="str">
        <f>IF(OR(E2491="",E2491="!!!",F2491="NEW"),"",INDEX(B2490:B$2,-1+SUMPRODUCT(MAX(ROW(E2490:E$2)*(E2491=E2490:E$2)))))</f>
        <v> </v>
      </c>
      <c r="J2491" s="25" t="str">
        <f>IF(OR(E2491="",E2491="!!!",F2491="NEW"),"",COUNTBLANK(OFFSET(A$1,,,SUMPRODUCT(MAX(ROW(E$2:E2491)*(E2491=E$2:E2491)))))-COUNTBLANK(OFFSET(A$1,,,SUMPRODUCT(MAX(ROW(E$1:E2490)*(E2=E$1:E2490))))))</f>
        <v> </v>
      </c>
      <c r="K2491" s="25" t="str">
        <f>IF(OR(E2491="",E2491="!!!",F2491="NEW"),"",INDEX(J$1:J2490,SUMPRODUCT(MAX(ROW(E$1:E2490)*(E2491=E$1:E2490)))))</f>
        <v> </v>
      </c>
      <c r="L2491" s="26"/>
    </row>
    <row r="2492" spans="1:12">
      <c r="A2492" s="20" t="s">
        <v>1849</v>
      </c>
      <c r="B2492" s="27" t="s">
        <v>1071</v>
      </c>
      <c r="C2492" s="27" t="s">
        <v>828</v>
      </c>
      <c r="E2492" s="21">
        <f>IF(D2492="?OLD","!!!","")</f>
        <v/>
      </c>
      <c r="F2492" s="22" t="str">
        <f>IF(OR(E2492="",E2492="!!!"),"",IF(NOT(ISNA(VLOOKUP(E2492,E$1:E2491,1,FALSE()))),"OLD",IF(AND(E2492&lt;&gt;"",E2492&lt;&gt;"!!!"),"NEW","")))</f>
        <v> </v>
      </c>
      <c r="G2492" s="23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4" t="str">
        <f>IF(J2492&lt;&gt;1,"",IF(I2492="SBJ","CB","?"))</f>
        <v> </v>
      </c>
      <c r="I2492" s="25" t="str">
        <f>IF(OR(E2492="",E2492="!!!",F2492="NEW"),"",INDEX(B2491:B$2,-1+SUMPRODUCT(MAX(ROW(E2491:E$2)*(E2492=E2491:E$2)))))</f>
        <v> </v>
      </c>
      <c r="J2492" s="25" t="str">
        <f>IF(OR(E2492="",E2492="!!!",F2492="NEW"),"",COUNTBLANK(OFFSET(A$1,,,SUMPRODUCT(MAX(ROW(E$2:E2492)*(E2492=E$2:E2492)))))-COUNTBLANK(OFFSET(A$1,,,SUMPRODUCT(MAX(ROW(E$1:E2491)*(E2=E$1:E2491))))))</f>
        <v> </v>
      </c>
      <c r="K2492" s="25" t="str">
        <f>IF(OR(E2492="",E2492="!!!",F2492="NEW"),"",INDEX(J$1:J2491,SUMPRODUCT(MAX(ROW(E$1:E2491)*(E2492=E$1:E2491)))))</f>
        <v> </v>
      </c>
      <c r="L2492" s="26"/>
    </row>
    <row r="2493" spans="1:12">
      <c r="A2493" s="20" t="s">
        <v>744</v>
      </c>
      <c r="E2493" s="21">
        <f>IF(D2493="?OLD","!!!","")</f>
        <v/>
      </c>
      <c r="F2493" s="22" t="str">
        <f>IF(OR(E2493="",E2493="!!!"),"",IF(NOT(ISNA(VLOOKUP(E2493,E$1:E2492,1,FALSE()))),"OLD",IF(AND(E2493&lt;&gt;"",E2493&lt;&gt;"!!!"),"NEW","")))</f>
        <v> </v>
      </c>
      <c r="G2493" s="23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4" t="str">
        <f>IF(J2493&lt;&gt;1,"",IF(I2493="SBJ","CB","?"))</f>
        <v> </v>
      </c>
      <c r="I2493" s="25" t="str">
        <f>IF(OR(E2493="",E2493="!!!",F2493="NEW"),"",INDEX(B2492:B$2,-1+SUMPRODUCT(MAX(ROW(E2492:E$2)*(E2493=E2492:E$2)))))</f>
        <v> </v>
      </c>
      <c r="J2493" s="25" t="str">
        <f>IF(OR(E2493="",E2493="!!!",F2493="NEW"),"",COUNTBLANK(OFFSET(A$1,,,SUMPRODUCT(MAX(ROW(E$2:E2493)*(E2493=E$2:E2493)))))-COUNTBLANK(OFFSET(A$1,,,SUMPRODUCT(MAX(ROW(E$1:E2492)*(E2=E$1:E2492))))))</f>
        <v> </v>
      </c>
      <c r="K2493" s="25" t="str">
        <f>IF(OR(E2493="",E2493="!!!",F2493="NEW"),"",INDEX(J$1:J2492,SUMPRODUCT(MAX(ROW(E$1:E2492)*(E2493=E$1:E2492)))))</f>
        <v> </v>
      </c>
      <c r="L2493" s="26"/>
    </row>
    <row r="2494" spans="1:12">
      <c r="A2494" s="20" t="s">
        <v>1114</v>
      </c>
      <c r="B2494" s="27" t="s">
        <v>762</v>
      </c>
      <c r="C2494" s="27" t="s">
        <v>756</v>
      </c>
      <c r="D2494" s="27" t="s">
        <v>736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 t="s">
        <v>1850</v>
      </c>
      <c r="E2495" s="21">
        <f>IF(D2495="?OLD","!!!","")</f>
        <v/>
      </c>
      <c r="F2495" s="22" t="str">
        <f>IF(OR(E2495="",E2495="!!!"),"",IF(NOT(ISNA(VLOOKUP(E2495,E$1:E2494,1,FALSE()))),"OLD",IF(AND(E2495&lt;&gt;"",E2495&lt;&gt;"!!!"),"NEW","")))</f>
        <v> </v>
      </c>
      <c r="G2495" s="23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4" t="str">
        <f>IF(J2495&lt;&gt;1,"",IF(I2495="SBJ","CB","?"))</f>
        <v> </v>
      </c>
      <c r="I2495" s="25" t="str">
        <f>IF(OR(E2495="",E2495="!!!",F2495="NEW"),"",INDEX(B2494:B$2,-1+SUMPRODUCT(MAX(ROW(E2494:E$2)*(E2495=E2494:E$2)))))</f>
        <v> </v>
      </c>
      <c r="J2495" s="25" t="str">
        <f>IF(OR(E2495="",E2495="!!!",F2495="NEW"),"",COUNTBLANK(OFFSET(A$1,,,SUMPRODUCT(MAX(ROW(E$2:E2495)*(E2495=E$2:E2495)))))-COUNTBLANK(OFFSET(A$1,,,SUMPRODUCT(MAX(ROW(E$1:E2494)*(E2=E$1:E2494))))))</f>
        <v> </v>
      </c>
      <c r="K2495" s="25" t="str">
        <f>IF(OR(E2495="",E2495="!!!",F2495="NEW"),"",INDEX(J$1:J2494,SUMPRODUCT(MAX(ROW(E$1:E2494)*(E2495=E$1:E2494)))))</f>
        <v> </v>
      </c>
      <c r="L2495" s="26"/>
    </row>
    <row r="2496" spans="1:12">
      <c r="A2496" s="20" t="s">
        <v>1851</v>
      </c>
      <c r="B2496" s="27" t="s">
        <v>819</v>
      </c>
      <c r="E2496" s="21">
        <f>IF(D2496="?OLD","!!!","")</f>
        <v/>
      </c>
      <c r="F2496" s="22" t="str">
        <f>IF(OR(E2496="",E2496="!!!"),"",IF(NOT(ISNA(VLOOKUP(E2496,E$1:E2495,1,FALSE()))),"OLD",IF(AND(E2496&lt;&gt;"",E2496&lt;&gt;"!!!"),"NEW","")))</f>
        <v> </v>
      </c>
      <c r="G2496" s="23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4" t="str">
        <f>IF(J2496&lt;&gt;1,"",IF(I2496="SBJ","CB","?"))</f>
        <v> </v>
      </c>
      <c r="I2496" s="25" t="str">
        <f>IF(OR(E2496="",E2496="!!!",F2496="NEW"),"",INDEX(B2495:B$2,-1+SUMPRODUCT(MAX(ROW(E2495:E$2)*(E2496=E2495:E$2)))))</f>
        <v> </v>
      </c>
      <c r="J2496" s="25" t="str">
        <f>IF(OR(E2496="",E2496="!!!",F2496="NEW"),"",COUNTBLANK(OFFSET(A$1,,,SUMPRODUCT(MAX(ROW(E$2:E2496)*(E2496=E$2:E2496)))))-COUNTBLANK(OFFSET(A$1,,,SUMPRODUCT(MAX(ROW(E$1:E2495)*(E2=E$1:E2495))))))</f>
        <v> </v>
      </c>
      <c r="K2496" s="25" t="str">
        <f>IF(OR(E2496="",E2496="!!!",F2496="NEW"),"",INDEX(J$1:J2495,SUMPRODUCT(MAX(ROW(E$1:E2495)*(E2496=E$1:E2495)))))</f>
        <v> </v>
      </c>
      <c r="L2496" s="26"/>
    </row>
    <row r="2497" spans="1:12">
      <c r="A2497" s="20" t="s">
        <v>1852</v>
      </c>
      <c r="B2497" s="27" t="s">
        <v>831</v>
      </c>
      <c r="C2497" s="27" t="s">
        <v>735</v>
      </c>
      <c r="D2497" s="27" t="s">
        <v>736</v>
      </c>
      <c r="E2497" s="21">
        <f>IF(D2497="?OLD","!!!","")</f>
        <v/>
      </c>
      <c r="F2497" s="22" t="str">
        <f>IF(OR(E2497="",E2497="!!!"),"",IF(NOT(ISNA(VLOOKUP(E2497,E$1:E2496,1,FALSE()))),"OLD",IF(AND(E2497&lt;&gt;"",E2497&lt;&gt;"!!!"),"NEW","")))</f>
        <v> </v>
      </c>
      <c r="G2497" s="23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4" t="str">
        <f>IF(J2497&lt;&gt;1,"",IF(I2497="SBJ","CB","?"))</f>
        <v> </v>
      </c>
      <c r="I2497" s="25" t="str">
        <f>IF(OR(E2497="",E2497="!!!",F2497="NEW"),"",INDEX(B2496:B$2,-1+SUMPRODUCT(MAX(ROW(E2496:E$2)*(E2497=E2496:E$2)))))</f>
        <v> </v>
      </c>
      <c r="J2497" s="25" t="str">
        <f>IF(OR(E2497="",E2497="!!!",F2497="NEW"),"",COUNTBLANK(OFFSET(A$1,,,SUMPRODUCT(MAX(ROW(E$2:E2497)*(E2497=E$2:E2497)))))-COUNTBLANK(OFFSET(A$1,,,SUMPRODUCT(MAX(ROW(E$1:E2496)*(E2=E$1:E2496))))))</f>
        <v> </v>
      </c>
      <c r="K2497" s="25" t="str">
        <f>IF(OR(E2497="",E2497="!!!",F2497="NEW"),"",INDEX(J$1:J2496,SUMPRODUCT(MAX(ROW(E$1:E2496)*(E2497=E$1:E2496)))))</f>
        <v> </v>
      </c>
      <c r="L2497" s="26"/>
    </row>
    <row r="2498" spans="1:12">
      <c r="A2498" s="20" t="s">
        <v>881</v>
      </c>
      <c r="E2498" s="21">
        <f>IF(D2498="?OLD","!!!","")</f>
        <v/>
      </c>
      <c r="F2498" s="22" t="str">
        <f>IF(OR(E2498="",E2498="!!!"),"",IF(NOT(ISNA(VLOOKUP(E2498,E$1:E2497,1,FALSE()))),"OLD",IF(AND(E2498&lt;&gt;"",E2498&lt;&gt;"!!!"),"NEW","")))</f>
        <v> </v>
      </c>
      <c r="G2498" s="23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4" t="str">
        <f>IF(J2498&lt;&gt;1,"",IF(I2498="SBJ","CB","?"))</f>
        <v> </v>
      </c>
      <c r="I2498" s="25" t="str">
        <f>IF(OR(E2498="",E2498="!!!",F2498="NEW"),"",INDEX(B2497:B$2,-1+SUMPRODUCT(MAX(ROW(E2497:E$2)*(E2498=E2497:E$2)))))</f>
        <v> </v>
      </c>
      <c r="J2498" s="25" t="str">
        <f>IF(OR(E2498="",E2498="!!!",F2498="NEW"),"",COUNTBLANK(OFFSET(A$1,,,SUMPRODUCT(MAX(ROW(E$2:E2498)*(E2498=E$2:E2498)))))-COUNTBLANK(OFFSET(A$1,,,SUMPRODUCT(MAX(ROW(E$1:E2497)*(E2=E$1:E2497))))))</f>
        <v> </v>
      </c>
      <c r="K2498" s="25" t="str">
        <f>IF(OR(E2498="",E2498="!!!",F2498="NEW"),"",INDEX(J$1:J2497,SUMPRODUCT(MAX(ROW(E$1:E2497)*(E2498=E$1:E2497)))))</f>
        <v> </v>
      </c>
      <c r="L2498" s="26"/>
    </row>
    <row r="2499" spans="1:12">
      <c r="A2499" s="20" t="s">
        <v>1853</v>
      </c>
      <c r="E2499" s="21">
        <f>IF(D2499="?OLD","!!!","")</f>
        <v/>
      </c>
      <c r="F2499" s="22" t="str">
        <f>IF(OR(E2499="",E2499="!!!"),"",IF(NOT(ISNA(VLOOKUP(E2499,E$1:E2498,1,FALSE()))),"OLD",IF(AND(E2499&lt;&gt;"",E2499&lt;&gt;"!!!"),"NEW","")))</f>
        <v> </v>
      </c>
      <c r="G2499" s="23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4" t="str">
        <f>IF(J2499&lt;&gt;1,"",IF(I2499="SBJ","CB","?"))</f>
        <v> </v>
      </c>
      <c r="I2499" s="25" t="str">
        <f>IF(OR(E2499="",E2499="!!!",F2499="NEW"),"",INDEX(B2498:B$2,-1+SUMPRODUCT(MAX(ROW(E2498:E$2)*(E2499=E2498:E$2)))))</f>
        <v> </v>
      </c>
      <c r="J2499" s="25" t="str">
        <f>IF(OR(E2499="",E2499="!!!",F2499="NEW"),"",COUNTBLANK(OFFSET(A$1,,,SUMPRODUCT(MAX(ROW(E$2:E2499)*(E2499=E$2:E2499)))))-COUNTBLANK(OFFSET(A$1,,,SUMPRODUCT(MAX(ROW(E$1:E2498)*(E2=E$1:E2498))))))</f>
        <v> </v>
      </c>
      <c r="K2499" s="25" t="str">
        <f>IF(OR(E2499="",E2499="!!!",F2499="NEW"),"",INDEX(J$1:J2498,SUMPRODUCT(MAX(ROW(E$1:E2498)*(E2499=E$1:E2498)))))</f>
        <v> </v>
      </c>
      <c r="L2499" s="26"/>
    </row>
    <row r="2500" spans="1:12">
      <c r="A2500" s="20" t="s">
        <v>939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 t="s">
        <v>744</v>
      </c>
      <c r="E2501" s="21">
        <f>IF(D2501="?OLD","!!!","")</f>
        <v/>
      </c>
      <c r="F2501" s="22" t="str">
        <f>IF(OR(E2501="",E2501="!!!"),"",IF(NOT(ISNA(VLOOKUP(E2501,E$1:E2500,1,FALSE()))),"OLD",IF(AND(E2501&lt;&gt;"",E2501&lt;&gt;"!!!"),"NEW","")))</f>
        <v> </v>
      </c>
      <c r="G2501" s="23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4" t="str">
        <f>IF(J2501&lt;&gt;1,"",IF(I2501="SBJ","CB","?"))</f>
        <v> </v>
      </c>
      <c r="I2501" s="25" t="str">
        <f>IF(OR(E2501="",E2501="!!!",F2501="NEW"),"",INDEX(B2500:B$2,-1+SUMPRODUCT(MAX(ROW(E2500:E$2)*(E2501=E2500:E$2)))))</f>
        <v> </v>
      </c>
      <c r="J2501" s="25" t="str">
        <f>IF(OR(E2501="",E2501="!!!",F2501="NEW"),"",COUNTBLANK(OFFSET(A$1,,,SUMPRODUCT(MAX(ROW(E$2:E2501)*(E2501=E$2:E2501)))))-COUNTBLANK(OFFSET(A$1,,,SUMPRODUCT(MAX(ROW(E$1:E2500)*(E2=E$1:E2500))))))</f>
        <v> </v>
      </c>
      <c r="K2501" s="25" t="str">
        <f>IF(OR(E2501="",E2501="!!!",F2501="NEW"),"",INDEX(J$1:J2500,SUMPRODUCT(MAX(ROW(E$1:E2500)*(E2501=E$1:E2500)))))</f>
        <v> </v>
      </c>
      <c r="L2501" s="26"/>
    </row>
    <row r="2502" spans="1:12">
      <c r="A2502" s="20" t="s">
        <v>763</v>
      </c>
      <c r="E2502" s="21">
        <f>IF(D2502="?OLD","!!!","")</f>
        <v/>
      </c>
      <c r="F2502" s="22" t="str">
        <f>IF(OR(E2502="",E2502="!!!"),"",IF(NOT(ISNA(VLOOKUP(E2502,E$1:E2501,1,FALSE()))),"OLD",IF(AND(E2502&lt;&gt;"",E2502&lt;&gt;"!!!"),"NEW","")))</f>
        <v> </v>
      </c>
      <c r="G2502" s="23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4" t="str">
        <f>IF(J2502&lt;&gt;1,"",IF(I2502="SBJ","CB","?"))</f>
        <v> </v>
      </c>
      <c r="I2502" s="25" t="str">
        <f>IF(OR(E2502="",E2502="!!!",F2502="NEW"),"",INDEX(B2501:B$2,-1+SUMPRODUCT(MAX(ROW(E2501:E$2)*(E2502=E2501:E$2)))))</f>
        <v> </v>
      </c>
      <c r="J2502" s="25" t="str">
        <f>IF(OR(E2502="",E2502="!!!",F2502="NEW"),"",COUNTBLANK(OFFSET(A$1,,,SUMPRODUCT(MAX(ROW(E$2:E2502)*(E2502=E$2:E2502)))))-COUNTBLANK(OFFSET(A$1,,,SUMPRODUCT(MAX(ROW(E$1:E2501)*(E2=E$1:E2501))))))</f>
        <v> </v>
      </c>
      <c r="K2502" s="25" t="str">
        <f>IF(OR(E2502="",E2502="!!!",F2502="NEW"),"",INDEX(J$1:J2501,SUMPRODUCT(MAX(ROW(E$1:E2501)*(E2502=E$1:E2501)))))</f>
        <v> </v>
      </c>
      <c r="L2502" s="26"/>
    </row>
    <row r="2503" spans="1:12">
      <c r="A2503" s="20" t="s">
        <v>1114</v>
      </c>
      <c r="B2503" s="27" t="s">
        <v>762</v>
      </c>
      <c r="C2503" s="27" t="s">
        <v>756</v>
      </c>
      <c r="D2503" s="27" t="s">
        <v>736</v>
      </c>
      <c r="E2503" s="21">
        <f>IF(D2503="?OLD","!!!","")</f>
        <v/>
      </c>
      <c r="F2503" s="22" t="str">
        <f>IF(OR(E2503="",E2503="!!!"),"",IF(NOT(ISNA(VLOOKUP(E2503,E$1:E2502,1,FALSE()))),"OLD",IF(AND(E2503&lt;&gt;"",E2503&lt;&gt;"!!!"),"NEW","")))</f>
        <v> </v>
      </c>
      <c r="G2503" s="23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4" t="str">
        <f>IF(J2503&lt;&gt;1,"",IF(I2503="SBJ","CB","?"))</f>
        <v> </v>
      </c>
      <c r="I2503" s="25" t="str">
        <f>IF(OR(E2503="",E2503="!!!",F2503="NEW"),"",INDEX(B2502:B$2,-1+SUMPRODUCT(MAX(ROW(E2502:E$2)*(E2503=E2502:E$2)))))</f>
        <v> </v>
      </c>
      <c r="J2503" s="25" t="str">
        <f>IF(OR(E2503="",E2503="!!!",F2503="NEW"),"",COUNTBLANK(OFFSET(A$1,,,SUMPRODUCT(MAX(ROW(E$2:E2503)*(E2503=E$2:E2503)))))-COUNTBLANK(OFFSET(A$1,,,SUMPRODUCT(MAX(ROW(E$1:E2502)*(E2=E$1:E2502))))))</f>
        <v> </v>
      </c>
      <c r="K2503" s="25" t="str">
        <f>IF(OR(E2503="",E2503="!!!",F2503="NEW"),"",INDEX(J$1:J2502,SUMPRODUCT(MAX(ROW(E$1:E2502)*(E2503=E$1:E2502)))))</f>
        <v> </v>
      </c>
      <c r="L2503" s="26"/>
    </row>
    <row r="2504" spans="1:12">
      <c r="A2504" s="20" t="s">
        <v>1854</v>
      </c>
      <c r="E2504" s="21">
        <f>IF(D2504="?OLD","!!!","")</f>
        <v/>
      </c>
      <c r="F2504" s="22" t="str">
        <f>IF(OR(E2504="",E2504="!!!"),"",IF(NOT(ISNA(VLOOKUP(E2504,E$1:E2503,1,FALSE()))),"OLD",IF(AND(E2504&lt;&gt;"",E2504&lt;&gt;"!!!"),"NEW","")))</f>
        <v> </v>
      </c>
      <c r="G2504" s="23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4" t="str">
        <f>IF(J2504&lt;&gt;1,"",IF(I2504="SBJ","CB","?"))</f>
        <v> </v>
      </c>
      <c r="I2504" s="25" t="str">
        <f>IF(OR(E2504="",E2504="!!!",F2504="NEW"),"",INDEX(B2503:B$2,-1+SUMPRODUCT(MAX(ROW(E2503:E$2)*(E2504=E2503:E$2)))))</f>
        <v> </v>
      </c>
      <c r="J2504" s="25" t="str">
        <f>IF(OR(E2504="",E2504="!!!",F2504="NEW"),"",COUNTBLANK(OFFSET(A$1,,,SUMPRODUCT(MAX(ROW(E$2:E2504)*(E2504=E$2:E2504)))))-COUNTBLANK(OFFSET(A$1,,,SUMPRODUCT(MAX(ROW(E$1:E2503)*(E2=E$1:E2503))))))</f>
        <v> </v>
      </c>
      <c r="K2504" s="25" t="str">
        <f>IF(OR(E2504="",E2504="!!!",F2504="NEW"),"",INDEX(J$1:J2503,SUMPRODUCT(MAX(ROW(E$1:E2503)*(E2504=E$1:E2503)))))</f>
        <v> </v>
      </c>
      <c r="L2504" s="26"/>
    </row>
    <row r="2505" spans="1:12">
      <c r="A2505" s="20" t="s">
        <v>1855</v>
      </c>
      <c r="B2505" s="27" t="s">
        <v>819</v>
      </c>
      <c r="C2505" s="27" t="s">
        <v>735</v>
      </c>
      <c r="D2505" s="27" t="s">
        <v>736</v>
      </c>
      <c r="E2505" s="21">
        <f>IF(D2505="?OLD","!!!","")</f>
        <v/>
      </c>
      <c r="F2505" s="22" t="str">
        <f>IF(OR(E2505="",E2505="!!!"),"",IF(NOT(ISNA(VLOOKUP(E2505,E$1:E2504,1,FALSE()))),"OLD",IF(AND(E2505&lt;&gt;"",E2505&lt;&gt;"!!!"),"NEW","")))</f>
        <v> </v>
      </c>
      <c r="G2505" s="23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4" t="str">
        <f>IF(J2505&lt;&gt;1,"",IF(I2505="SBJ","CB","?"))</f>
        <v> </v>
      </c>
      <c r="I2505" s="25" t="str">
        <f>IF(OR(E2505="",E2505="!!!",F2505="NEW"),"",INDEX(B2504:B$2,-1+SUMPRODUCT(MAX(ROW(E2504:E$2)*(E2505=E2504:E$2)))))</f>
        <v> </v>
      </c>
      <c r="J2505" s="25" t="str">
        <f>IF(OR(E2505="",E2505="!!!",F2505="NEW"),"",COUNTBLANK(OFFSET(A$1,,,SUMPRODUCT(MAX(ROW(E$2:E2505)*(E2505=E$2:E2505)))))-COUNTBLANK(OFFSET(A$1,,,SUMPRODUCT(MAX(ROW(E$1:E2504)*(E2=E$1:E2504))))))</f>
        <v> </v>
      </c>
      <c r="K2505" s="25" t="str">
        <f>IF(OR(E2505="",E2505="!!!",F2505="NEW"),"",INDEX(J$1:J2504,SUMPRODUCT(MAX(ROW(E$1:E2504)*(E2505=E$1:E2504)))))</f>
        <v> </v>
      </c>
      <c r="L2505" s="26"/>
    </row>
    <row r="2506" spans="1:12">
      <c r="A2506" s="20" t="s">
        <v>881</v>
      </c>
      <c r="E2506" s="21">
        <f>IF(D2506="?OLD","!!!","")</f>
        <v/>
      </c>
      <c r="F2506" s="22" t="str">
        <f>IF(OR(E2506="",E2506="!!!"),"",IF(NOT(ISNA(VLOOKUP(E2506,E$1:E2505,1,FALSE()))),"OLD",IF(AND(E2506&lt;&gt;"",E2506&lt;&gt;"!!!"),"NEW","")))</f>
        <v> </v>
      </c>
      <c r="G2506" s="23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4" t="str">
        <f>IF(J2506&lt;&gt;1,"",IF(I2506="SBJ","CB","?"))</f>
        <v> </v>
      </c>
      <c r="I2506" s="25" t="str">
        <f>IF(OR(E2506="",E2506="!!!",F2506="NEW"),"",INDEX(B2505:B$2,-1+SUMPRODUCT(MAX(ROW(E2505:E$2)*(E2506=E2505:E$2)))))</f>
        <v> </v>
      </c>
      <c r="J2506" s="25" t="str">
        <f>IF(OR(E2506="",E2506="!!!",F2506="NEW"),"",COUNTBLANK(OFFSET(A$1,,,SUMPRODUCT(MAX(ROW(E$2:E2506)*(E2506=E$2:E2506)))))-COUNTBLANK(OFFSET(A$1,,,SUMPRODUCT(MAX(ROW(E$1:E2505)*(E2=E$1:E2505))))))</f>
        <v> </v>
      </c>
      <c r="K2506" s="25" t="str">
        <f>IF(OR(E2506="",E2506="!!!",F2506="NEW"),"",INDEX(J$1:J2505,SUMPRODUCT(MAX(ROW(E$1:E2505)*(E2506=E$1:E2505)))))</f>
        <v> </v>
      </c>
      <c r="L2506" s="26"/>
    </row>
    <row r="2507" spans="1:12">
      <c r="A2507" s="20" t="s">
        <v>20</v>
      </c>
      <c r="E2507" s="21">
        <f>IF(D2507="?OLD","!!!","")</f>
        <v/>
      </c>
      <c r="F2507" s="22" t="str">
        <f>IF(OR(E2507="",E2507="!!!"),"",IF(NOT(ISNA(VLOOKUP(E2507,E$1:E2506,1,FALSE()))),"OLD",IF(AND(E2507&lt;&gt;"",E2507&lt;&gt;"!!!"),"NEW","")))</f>
        <v> </v>
      </c>
      <c r="G2507" s="23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4" t="str">
        <f>IF(J2507&lt;&gt;1,"",IF(I2507="SBJ","CB","?"))</f>
        <v> </v>
      </c>
      <c r="I2507" s="25" t="str">
        <f>IF(OR(E2507="",E2507="!!!",F2507="NEW"),"",INDEX(B2506:B$2,-1+SUMPRODUCT(MAX(ROW(E2506:E$2)*(E2507=E2506:E$2)))))</f>
        <v> </v>
      </c>
      <c r="J2507" s="25" t="str">
        <f>IF(OR(E2507="",E2507="!!!",F2507="NEW"),"",COUNTBLANK(OFFSET(A$1,,,SUMPRODUCT(MAX(ROW(E$2:E2507)*(E2507=E$2:E2507)))))-COUNTBLANK(OFFSET(A$1,,,SUMPRODUCT(MAX(ROW(E$1:E2506)*(E2=E$1:E2506))))))</f>
        <v> </v>
      </c>
      <c r="K2507" s="25" t="str">
        <f>IF(OR(E2507="",E2507="!!!",F2507="NEW"),"",INDEX(J$1:J2506,SUMPRODUCT(MAX(ROW(E$1:E2506)*(E2507=E$1:E2506)))))</f>
        <v> </v>
      </c>
      <c r="L2507" s="26"/>
    </row>
    <row r="2508" spans="1:12">
      <c r="A2508" s="20" t="s">
        <v>1856</v>
      </c>
      <c r="B2508" s="27" t="s">
        <v>738</v>
      </c>
      <c r="C2508" s="27" t="s">
        <v>828</v>
      </c>
      <c r="E2508" s="21">
        <f>IF(D2508="?OLD","!!!","")</f>
        <v/>
      </c>
      <c r="F2508" s="22" t="str">
        <f>IF(OR(E2508="",E2508="!!!"),"",IF(NOT(ISNA(VLOOKUP(E2508,E$1:E2507,1,FALSE()))),"OLD",IF(AND(E2508&lt;&gt;"",E2508&lt;&gt;"!!!"),"NEW","")))</f>
        <v> </v>
      </c>
      <c r="G2508" s="23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4" t="str">
        <f>IF(J2508&lt;&gt;1,"",IF(I2508="SBJ","CB","?"))</f>
        <v> </v>
      </c>
      <c r="I2508" s="25" t="str">
        <f>IF(OR(E2508="",E2508="!!!",F2508="NEW"),"",INDEX(B2507:B$2,-1+SUMPRODUCT(MAX(ROW(E2507:E$2)*(E2508=E2507:E$2)))))</f>
        <v> </v>
      </c>
      <c r="J2508" s="25" t="str">
        <f>IF(OR(E2508="",E2508="!!!",F2508="NEW"),"",COUNTBLANK(OFFSET(A$1,,,SUMPRODUCT(MAX(ROW(E$2:E2508)*(E2508=E$2:E2508)))))-COUNTBLANK(OFFSET(A$1,,,SUMPRODUCT(MAX(ROW(E$1:E2507)*(E2=E$1:E2507))))))</f>
        <v> </v>
      </c>
      <c r="K2508" s="25" t="str">
        <f>IF(OR(E2508="",E2508="!!!",F2508="NEW"),"",INDEX(J$1:J2507,SUMPRODUCT(MAX(ROW(E$1:E2507)*(E2508=E$1:E2507)))))</f>
        <v> </v>
      </c>
      <c r="L2508" s="26"/>
    </row>
    <row r="2509" spans="1:12">
      <c r="A2509" s="20" t="s">
        <v>765</v>
      </c>
      <c r="E2509" s="21">
        <f>IF(D2509="?OLD","!!!","")</f>
        <v/>
      </c>
      <c r="F2509" s="22" t="str">
        <f>IF(OR(E2509="",E2509="!!!"),"",IF(NOT(ISNA(VLOOKUP(E2509,E$1:E2508,1,FALSE()))),"OLD",IF(AND(E2509&lt;&gt;"",E2509&lt;&gt;"!!!"),"NEW","")))</f>
        <v> </v>
      </c>
      <c r="G2509" s="23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4" t="str">
        <f>IF(J2509&lt;&gt;1,"",IF(I2509="SBJ","CB","?"))</f>
        <v> </v>
      </c>
      <c r="I2509" s="25" t="str">
        <f>IF(OR(E2509="",E2509="!!!",F2509="NEW"),"",INDEX(B2508:B$2,-1+SUMPRODUCT(MAX(ROW(E2508:E$2)*(E2509=E2508:E$2)))))</f>
        <v> </v>
      </c>
      <c r="J2509" s="25" t="str">
        <f>IF(OR(E2509="",E2509="!!!",F2509="NEW"),"",COUNTBLANK(OFFSET(A$1,,,SUMPRODUCT(MAX(ROW(E$2:E2509)*(E2509=E$2:E2509)))))-COUNTBLANK(OFFSET(A$1,,,SUMPRODUCT(MAX(ROW(E$1:E2508)*(E2=E$1:E2508))))))</f>
        <v> </v>
      </c>
      <c r="K2509" s="25" t="str">
        <f>IF(OR(E2509="",E2509="!!!",F2509="NEW"),"",INDEX(J$1:J2508,SUMPRODUCT(MAX(ROW(E$1:E2508)*(E2509=E$1:E2508)))))</f>
        <v> </v>
      </c>
      <c r="L2509" s="26"/>
    </row>
    <row r="2510" spans="1:12">
      <c r="A2510" s="20"/>
    </row>
    <row r="2511" spans="1:12">
      <c r="A2511" s="20" t="s">
        <v>1857</v>
      </c>
    </row>
    <row r="2512" spans="1:12">
      <c r="A2512" s="20" t="s">
        <v>1632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 t="s">
        <v>851</v>
      </c>
      <c r="B2513" s="27" t="s">
        <v>734</v>
      </c>
      <c r="C2513" s="27" t="s">
        <v>788</v>
      </c>
      <c r="D2513" s="27" t="s">
        <v>736</v>
      </c>
      <c r="E2513" s="21">
        <f>IF(D2513="?OLD","!!!","")</f>
        <v/>
      </c>
      <c r="F2513" s="22" t="str">
        <f>IF(OR(E2513="",E2513="!!!"),"",IF(NOT(ISNA(VLOOKUP(E2513,E$1:E2512,1,FALSE()))),"OLD",IF(AND(E2513&lt;&gt;"",E2513&lt;&gt;"!!!"),"NEW","")))</f>
        <v> </v>
      </c>
      <c r="G2513" s="23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4" t="str">
        <f>IF(J2513&lt;&gt;1,"",IF(I2513="SBJ","CB","?"))</f>
        <v> </v>
      </c>
      <c r="I2513" s="25" t="str">
        <f>IF(OR(E2513="",E2513="!!!",F2513="NEW"),"",INDEX(B2512:B$2,-1+SUMPRODUCT(MAX(ROW(E2512:E$2)*(E2513=E2512:E$2)))))</f>
        <v> </v>
      </c>
      <c r="J2513" s="25" t="str">
        <f>IF(OR(E2513="",E2513="!!!",F2513="NEW"),"",COUNTBLANK(OFFSET(A$1,,,SUMPRODUCT(MAX(ROW(E$2:E2513)*(E2513=E$2:E2513)))))-COUNTBLANK(OFFSET(A$1,,,SUMPRODUCT(MAX(ROW(E$1:E2512)*(E2=E$1:E2512))))))</f>
        <v> </v>
      </c>
      <c r="K2513" s="25" t="str">
        <f>IF(OR(E2513="",E2513="!!!",F2513="NEW"),"",INDEX(J$1:J2512,SUMPRODUCT(MAX(ROW(E$1:E2512)*(E2513=E$1:E2512)))))</f>
        <v> </v>
      </c>
      <c r="L2513" s="26"/>
    </row>
    <row r="2514" spans="1:12">
      <c r="A2514" s="20" t="s">
        <v>871</v>
      </c>
      <c r="E2514" s="21">
        <f>IF(D2514="?OLD","!!!","")</f>
        <v/>
      </c>
      <c r="F2514" s="22" t="str">
        <f>IF(OR(E2514="",E2514="!!!"),"",IF(NOT(ISNA(VLOOKUP(E2514,E$1:E2513,1,FALSE()))),"OLD",IF(AND(E2514&lt;&gt;"",E2514&lt;&gt;"!!!"),"NEW","")))</f>
        <v> </v>
      </c>
      <c r="G2514" s="23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4" t="str">
        <f>IF(J2514&lt;&gt;1,"",IF(I2514="SBJ","CB","?"))</f>
        <v> </v>
      </c>
      <c r="I2514" s="25" t="str">
        <f>IF(OR(E2514="",E2514="!!!",F2514="NEW"),"",INDEX(B2513:B$2,-1+SUMPRODUCT(MAX(ROW(E2513:E$2)*(E2514=E2513:E$2)))))</f>
        <v> </v>
      </c>
      <c r="J2514" s="25" t="str">
        <f>IF(OR(E2514="",E2514="!!!",F2514="NEW"),"",COUNTBLANK(OFFSET(A$1,,,SUMPRODUCT(MAX(ROW(E$2:E2514)*(E2514=E$2:E2514)))))-COUNTBLANK(OFFSET(A$1,,,SUMPRODUCT(MAX(ROW(E$1:E2513)*(E2=E$1:E2513))))))</f>
        <v> </v>
      </c>
      <c r="K2514" s="25" t="str">
        <f>IF(OR(E2514="",E2514="!!!",F2514="NEW"),"",INDEX(J$1:J2513,SUMPRODUCT(MAX(ROW(E$1:E2513)*(E2514=E$1:E2513)))))</f>
        <v> </v>
      </c>
      <c r="L2514" s="26"/>
    </row>
    <row r="2515" spans="1:12">
      <c r="A2515" s="20" t="s">
        <v>1783</v>
      </c>
      <c r="E2515" s="21">
        <f>IF(D2515="?OLD","!!!","")</f>
        <v/>
      </c>
      <c r="F2515" s="22" t="str">
        <f>IF(OR(E2515="",E2515="!!!"),"",IF(NOT(ISNA(VLOOKUP(E2515,E$1:E2514,1,FALSE()))),"OLD",IF(AND(E2515&lt;&gt;"",E2515&lt;&gt;"!!!"),"NEW","")))</f>
        <v> </v>
      </c>
      <c r="G2515" s="23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4" t="str">
        <f>IF(J2515&lt;&gt;1,"",IF(I2515="SBJ","CB","?"))</f>
        <v> </v>
      </c>
      <c r="I2515" s="25" t="str">
        <f>IF(OR(E2515="",E2515="!!!",F2515="NEW"),"",INDEX(B2514:B$2,-1+SUMPRODUCT(MAX(ROW(E2514:E$2)*(E2515=E2514:E$2)))))</f>
        <v> </v>
      </c>
      <c r="J2515" s="25" t="str">
        <f>IF(OR(E2515="",E2515="!!!",F2515="NEW"),"",COUNTBLANK(OFFSET(A$1,,,SUMPRODUCT(MAX(ROW(E$2:E2515)*(E2515=E$2:E2515)))))-COUNTBLANK(OFFSET(A$1,,,SUMPRODUCT(MAX(ROW(E$1:E2514)*(E2=E$1:E2514))))))</f>
        <v> </v>
      </c>
      <c r="K2515" s="25" t="str">
        <f>IF(OR(E2515="",E2515="!!!",F2515="NEW"),"",INDEX(J$1:J2514,SUMPRODUCT(MAX(ROW(E$1:E2514)*(E2515=E$1:E2514)))))</f>
        <v> </v>
      </c>
      <c r="L2515" s="26"/>
    </row>
    <row r="2516" spans="1:12">
      <c r="A2516" s="20" t="s">
        <v>1858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 t="s">
        <v>765</v>
      </c>
      <c r="E2517" s="21">
        <f>IF(D2517="?OLD","!!!","")</f>
        <v/>
      </c>
      <c r="F2517" s="22" t="str">
        <f>IF(OR(E2517="",E2517="!!!"),"",IF(NOT(ISNA(VLOOKUP(E2517,E$1:E2516,1,FALSE()))),"OLD",IF(AND(E2517&lt;&gt;"",E2517&lt;&gt;"!!!"),"NEW","")))</f>
        <v> </v>
      </c>
      <c r="G2517" s="23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4" t="str">
        <f>IF(J2517&lt;&gt;1,"",IF(I2517="SBJ","CB","?"))</f>
        <v> </v>
      </c>
      <c r="I2517" s="25" t="str">
        <f>IF(OR(E2517="",E2517="!!!",F2517="NEW"),"",INDEX(B2516:B$2,-1+SUMPRODUCT(MAX(ROW(E2516:E$2)*(E2517=E2516:E$2)))))</f>
        <v> </v>
      </c>
      <c r="J2517" s="25" t="str">
        <f>IF(OR(E2517="",E2517="!!!",F2517="NEW"),"",COUNTBLANK(OFFSET(A$1,,,SUMPRODUCT(MAX(ROW(E$2:E2517)*(E2517=E$2:E2517)))))-COUNTBLANK(OFFSET(A$1,,,SUMPRODUCT(MAX(ROW(E$1:E2516)*(E2=E$1:E2516))))))</f>
        <v> </v>
      </c>
      <c r="K2517" s="25" t="str">
        <f>IF(OR(E2517="",E2517="!!!",F2517="NEW"),"",INDEX(J$1:J2516,SUMPRODUCT(MAX(ROW(E$1:E2516)*(E2517=E$1:E2516)))))</f>
        <v> </v>
      </c>
      <c r="L2517" s="26"/>
    </row>
    <row r="2518" spans="1:12">
      <c r="A2518" s="20"/>
    </row>
    <row r="2519" spans="1:12">
      <c r="A2519" s="20" t="s">
        <v>1859</v>
      </c>
    </row>
    <row r="2520" spans="1:12">
      <c r="A2520" s="20" t="s">
        <v>1632</v>
      </c>
      <c r="E2520" s="21">
        <f>IF(D2520="?OLD","!!!","")</f>
        <v/>
      </c>
      <c r="F2520" s="22" t="str">
        <f>IF(OR(E2520="",E2520="!!!"),"",IF(NOT(ISNA(VLOOKUP(E2520,E$1:E2519,1,FALSE()))),"OLD",IF(AND(E2520&lt;&gt;"",E2520&lt;&gt;"!!!"),"NEW","")))</f>
        <v> </v>
      </c>
      <c r="G2520" s="23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4" t="str">
        <f>IF(J2520&lt;&gt;1,"",IF(I2520="SBJ","CB","?"))</f>
        <v> </v>
      </c>
      <c r="I2520" s="25" t="str">
        <f>IF(OR(E2520="",E2520="!!!",F2520="NEW"),"",INDEX(B2519:B$2,-1+SUMPRODUCT(MAX(ROW(E2519:E$2)*(E2520=E2519:E$2)))))</f>
        <v> </v>
      </c>
      <c r="J2520" s="25" t="str">
        <f>IF(OR(E2520="",E2520="!!!",F2520="NEW"),"",COUNTBLANK(OFFSET(A$1,,,SUMPRODUCT(MAX(ROW(E$2:E2520)*(E2520=E$2:E2520)))))-COUNTBLANK(OFFSET(A$1,,,SUMPRODUCT(MAX(ROW(E$1:E2519)*(E2=E$1:E2519))))))</f>
        <v> </v>
      </c>
      <c r="K2520" s="25" t="str">
        <f>IF(OR(E2520="",E2520="!!!",F2520="NEW"),"",INDEX(J$1:J2519,SUMPRODUCT(MAX(ROW(E$1:E2519)*(E2520=E$1:E2519)))))</f>
        <v> </v>
      </c>
      <c r="L2520" s="26"/>
    </row>
    <row r="2521" spans="1:12">
      <c r="A2521" s="20" t="s">
        <v>744</v>
      </c>
      <c r="E2521" s="21">
        <f>IF(D2521="?OLD","!!!","")</f>
        <v/>
      </c>
      <c r="F2521" s="22" t="str">
        <f>IF(OR(E2521="",E2521="!!!"),"",IF(NOT(ISNA(VLOOKUP(E2521,E$1:E2520,1,FALSE()))),"OLD",IF(AND(E2521&lt;&gt;"",E2521&lt;&gt;"!!!"),"NEW","")))</f>
        <v> </v>
      </c>
      <c r="G2521" s="23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4" t="str">
        <f>IF(J2521&lt;&gt;1,"",IF(I2521="SBJ","CB","?"))</f>
        <v> </v>
      </c>
      <c r="I2521" s="25" t="str">
        <f>IF(OR(E2521="",E2521="!!!",F2521="NEW"),"",INDEX(B2520:B$2,-1+SUMPRODUCT(MAX(ROW(E2520:E$2)*(E2521=E2520:E$2)))))</f>
        <v> </v>
      </c>
      <c r="J2521" s="25" t="str">
        <f>IF(OR(E2521="",E2521="!!!",F2521="NEW"),"",COUNTBLANK(OFFSET(A$1,,,SUMPRODUCT(MAX(ROW(E$2:E2521)*(E2521=E$2:E2521)))))-COUNTBLANK(OFFSET(A$1,,,SUMPRODUCT(MAX(ROW(E$1:E2520)*(E2=E$1:E2520))))))</f>
        <v> </v>
      </c>
      <c r="K2521" s="25" t="str">
        <f>IF(OR(E2521="",E2521="!!!",F2521="NEW"),"",INDEX(J$1:J2520,SUMPRODUCT(MAX(ROW(E$1:E2520)*(E2521=E$1:E2520)))))</f>
        <v> </v>
      </c>
      <c r="L2521" s="26"/>
    </row>
    <row r="2522" spans="1:12">
      <c r="A2522" s="20" t="s">
        <v>1860</v>
      </c>
      <c r="E2522" s="21">
        <f>IF(D2522="?OLD","!!!","")</f>
        <v/>
      </c>
      <c r="F2522" s="22" t="str">
        <f>IF(OR(E2522="",E2522="!!!"),"",IF(NOT(ISNA(VLOOKUP(E2522,E$1:E2521,1,FALSE()))),"OLD",IF(AND(E2522&lt;&gt;"",E2522&lt;&gt;"!!!"),"NEW","")))</f>
        <v> </v>
      </c>
      <c r="G2522" s="23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4" t="str">
        <f>IF(J2522&lt;&gt;1,"",IF(I2522="SBJ","CB","?"))</f>
        <v> </v>
      </c>
      <c r="I2522" s="25" t="str">
        <f>IF(OR(E2522="",E2522="!!!",F2522="NEW"),"",INDEX(B2521:B$2,-1+SUMPRODUCT(MAX(ROW(E2521:E$2)*(E2522=E2521:E$2)))))</f>
        <v> </v>
      </c>
      <c r="J2522" s="25" t="str">
        <f>IF(OR(E2522="",E2522="!!!",F2522="NEW"),"",COUNTBLANK(OFFSET(A$1,,,SUMPRODUCT(MAX(ROW(E$2:E2522)*(E2522=E$2:E2522)))))-COUNTBLANK(OFFSET(A$1,,,SUMPRODUCT(MAX(ROW(E$1:E2521)*(E2=E$1:E2521))))))</f>
        <v> </v>
      </c>
      <c r="K2522" s="25" t="str">
        <f>IF(OR(E2522="",E2522="!!!",F2522="NEW"),"",INDEX(J$1:J2521,SUMPRODUCT(MAX(ROW(E$1:E2521)*(E2522=E$1:E2521)))))</f>
        <v> </v>
      </c>
      <c r="L2522" s="26"/>
    </row>
    <row r="2523" spans="1:12">
      <c r="A2523" s="20" t="s">
        <v>744</v>
      </c>
      <c r="E2523" s="21">
        <f>IF(D2523="?OLD","!!!","")</f>
        <v/>
      </c>
      <c r="F2523" s="22" t="str">
        <f>IF(OR(E2523="",E2523="!!!"),"",IF(NOT(ISNA(VLOOKUP(E2523,E$1:E2522,1,FALSE()))),"OLD",IF(AND(E2523&lt;&gt;"",E2523&lt;&gt;"!!!"),"NEW","")))</f>
        <v> </v>
      </c>
      <c r="G2523" s="23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4" t="str">
        <f>IF(J2523&lt;&gt;1,"",IF(I2523="SBJ","CB","?"))</f>
        <v> </v>
      </c>
      <c r="I2523" s="25" t="str">
        <f>IF(OR(E2523="",E2523="!!!",F2523="NEW"),"",INDEX(B2522:B$2,-1+SUMPRODUCT(MAX(ROW(E2522:E$2)*(E2523=E2522:E$2)))))</f>
        <v> </v>
      </c>
      <c r="J2523" s="25" t="str">
        <f>IF(OR(E2523="",E2523="!!!",F2523="NEW"),"",COUNTBLANK(OFFSET(A$1,,,SUMPRODUCT(MAX(ROW(E$2:E2523)*(E2523=E$2:E2523)))))-COUNTBLANK(OFFSET(A$1,,,SUMPRODUCT(MAX(ROW(E$1:E2522)*(E2=E$1:E2522))))))</f>
        <v> </v>
      </c>
      <c r="K2523" s="25" t="str">
        <f>IF(OR(E2523="",E2523="!!!",F2523="NEW"),"",INDEX(J$1:J2522,SUMPRODUCT(MAX(ROW(E$1:E2522)*(E2523=E$1:E2522)))))</f>
        <v> </v>
      </c>
      <c r="L2523" s="26"/>
    </row>
    <row r="2524" spans="1:12">
      <c r="A2524" s="20" t="s">
        <v>1861</v>
      </c>
      <c r="E2524" s="21">
        <f>IF(D2524="?OLD","!!!","")</f>
        <v/>
      </c>
      <c r="F2524" s="22" t="str">
        <f>IF(OR(E2524="",E2524="!!!"),"",IF(NOT(ISNA(VLOOKUP(E2524,E$1:E2523,1,FALSE()))),"OLD",IF(AND(E2524&lt;&gt;"",E2524&lt;&gt;"!!!"),"NEW","")))</f>
        <v> </v>
      </c>
      <c r="G2524" s="23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4" t="str">
        <f>IF(J2524&lt;&gt;1,"",IF(I2524="SBJ","CB","?"))</f>
        <v> </v>
      </c>
      <c r="I2524" s="25" t="str">
        <f>IF(OR(E2524="",E2524="!!!",F2524="NEW"),"",INDEX(B2523:B$2,-1+SUMPRODUCT(MAX(ROW(E2523:E$2)*(E2524=E2523:E$2)))))</f>
        <v> </v>
      </c>
      <c r="J2524" s="25" t="str">
        <f>IF(OR(E2524="",E2524="!!!",F2524="NEW"),"",COUNTBLANK(OFFSET(A$1,,,SUMPRODUCT(MAX(ROW(E$2:E2524)*(E2524=E$2:E2524)))))-COUNTBLANK(OFFSET(A$1,,,SUMPRODUCT(MAX(ROW(E$1:E2523)*(E2=E$1:E2523))))))</f>
        <v> </v>
      </c>
      <c r="K2524" s="25" t="str">
        <f>IF(OR(E2524="",E2524="!!!",F2524="NEW"),"",INDEX(J$1:J2523,SUMPRODUCT(MAX(ROW(E$1:E2523)*(E2524=E$1:E2523)))))</f>
        <v> </v>
      </c>
      <c r="L2524" s="26"/>
    </row>
    <row r="2525" spans="1:12">
      <c r="A2525" s="20" t="s">
        <v>1862</v>
      </c>
      <c r="B2525" s="27" t="s">
        <v>734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 t="s">
        <v>744</v>
      </c>
      <c r="E2526" s="21">
        <f>IF(D2526="?OLD","!!!","")</f>
        <v/>
      </c>
      <c r="F2526" s="22" t="str">
        <f>IF(OR(E2526="",E2526="!!!"),"",IF(NOT(ISNA(VLOOKUP(E2526,E$1:E2525,1,FALSE()))),"OLD",IF(AND(E2526&lt;&gt;"",E2526&lt;&gt;"!!!"),"NEW","")))</f>
        <v> </v>
      </c>
      <c r="G2526" s="23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4" t="str">
        <f>IF(J2526&lt;&gt;1,"",IF(I2526="SBJ","CB","?"))</f>
        <v> </v>
      </c>
      <c r="I2526" s="25" t="str">
        <f>IF(OR(E2526="",E2526="!!!",F2526="NEW"),"",INDEX(B2525:B$2,-1+SUMPRODUCT(MAX(ROW(E2525:E$2)*(E2526=E2525:E$2)))))</f>
        <v> </v>
      </c>
      <c r="J2526" s="25" t="str">
        <f>IF(OR(E2526="",E2526="!!!",F2526="NEW"),"",COUNTBLANK(OFFSET(A$1,,,SUMPRODUCT(MAX(ROW(E$2:E2526)*(E2526=E$2:E2526)))))-COUNTBLANK(OFFSET(A$1,,,SUMPRODUCT(MAX(ROW(E$1:E2525)*(E2=E$1:E2525))))))</f>
        <v> </v>
      </c>
      <c r="K2526" s="25" t="str">
        <f>IF(OR(E2526="",E2526="!!!",F2526="NEW"),"",INDEX(J$1:J2525,SUMPRODUCT(MAX(ROW(E$1:E2525)*(E2526=E$1:E2525)))))</f>
        <v> </v>
      </c>
      <c r="L2526" s="26"/>
    </row>
    <row r="2527" spans="1:12">
      <c r="A2527" s="20" t="s">
        <v>789</v>
      </c>
      <c r="E2527" s="21">
        <f>IF(D2527="?OLD","!!!","")</f>
        <v/>
      </c>
      <c r="F2527" s="22" t="str">
        <f>IF(OR(E2527="",E2527="!!!"),"",IF(NOT(ISNA(VLOOKUP(E2527,E$1:E2526,1,FALSE()))),"OLD",IF(AND(E2527&lt;&gt;"",E2527&lt;&gt;"!!!"),"NEW","")))</f>
        <v> </v>
      </c>
      <c r="G2527" s="23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4" t="str">
        <f>IF(J2527&lt;&gt;1,"",IF(I2527="SBJ","CB","?"))</f>
        <v> </v>
      </c>
      <c r="I2527" s="25" t="str">
        <f>IF(OR(E2527="",E2527="!!!",F2527="NEW"),"",INDEX(B2526:B$2,-1+SUMPRODUCT(MAX(ROW(E2526:E$2)*(E2527=E2526:E$2)))))</f>
        <v> </v>
      </c>
      <c r="J2527" s="25" t="str">
        <f>IF(OR(E2527="",E2527="!!!",F2527="NEW"),"",COUNTBLANK(OFFSET(A$1,,,SUMPRODUCT(MAX(ROW(E$2:E2527)*(E2527=E$2:E2527)))))-COUNTBLANK(OFFSET(A$1,,,SUMPRODUCT(MAX(ROW(E$1:E2526)*(E2=E$1:E2526))))))</f>
        <v> </v>
      </c>
      <c r="K2527" s="25" t="str">
        <f>IF(OR(E2527="",E2527="!!!",F2527="NEW"),"",INDEX(J$1:J2526,SUMPRODUCT(MAX(ROW(E$1:E2526)*(E2527=E$1:E2526)))))</f>
        <v> </v>
      </c>
      <c r="L2527" s="26"/>
    </row>
    <row r="2528" spans="1:12">
      <c r="A2528" s="20" t="s">
        <v>905</v>
      </c>
      <c r="E2528" s="21">
        <f>IF(D2528="?OLD","!!!","")</f>
        <v/>
      </c>
      <c r="F2528" s="22" t="str">
        <f>IF(OR(E2528="",E2528="!!!"),"",IF(NOT(ISNA(VLOOKUP(E2528,E$1:E2527,1,FALSE()))),"OLD",IF(AND(E2528&lt;&gt;"",E2528&lt;&gt;"!!!"),"NEW","")))</f>
        <v> </v>
      </c>
      <c r="G2528" s="23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4" t="str">
        <f>IF(J2528&lt;&gt;1,"",IF(I2528="SBJ","CB","?"))</f>
        <v> </v>
      </c>
      <c r="I2528" s="25" t="str">
        <f>IF(OR(E2528="",E2528="!!!",F2528="NEW"),"",INDEX(B2527:B$2,-1+SUMPRODUCT(MAX(ROW(E2527:E$2)*(E2528=E2527:E$2)))))</f>
        <v> </v>
      </c>
      <c r="J2528" s="25" t="str">
        <f>IF(OR(E2528="",E2528="!!!",F2528="NEW"),"",COUNTBLANK(OFFSET(A$1,,,SUMPRODUCT(MAX(ROW(E$2:E2528)*(E2528=E$2:E2528)))))-COUNTBLANK(OFFSET(A$1,,,SUMPRODUCT(MAX(ROW(E$1:E2527)*(E2=E$1:E2527))))))</f>
        <v> </v>
      </c>
      <c r="K2528" s="25" t="str">
        <f>IF(OR(E2528="",E2528="!!!",F2528="NEW"),"",INDEX(J$1:J2527,SUMPRODUCT(MAX(ROW(E$1:E2527)*(E2528=E$1:E2527)))))</f>
        <v> </v>
      </c>
      <c r="L2528" s="26"/>
    </row>
    <row r="2529" spans="1:12">
      <c r="A2529" s="20" t="s">
        <v>818</v>
      </c>
      <c r="B2529" s="27" t="s">
        <v>831</v>
      </c>
      <c r="C2529" s="27" t="s">
        <v>756</v>
      </c>
      <c r="D2529" s="27" t="s">
        <v>736</v>
      </c>
      <c r="E2529" s="21">
        <f>IF(D2529="?OLD","!!!","")</f>
        <v/>
      </c>
      <c r="F2529" s="22" t="str">
        <f>IF(OR(E2529="",E2529="!!!"),"",IF(NOT(ISNA(VLOOKUP(E2529,E$1:E2528,1,FALSE()))),"OLD",IF(AND(E2529&lt;&gt;"",E2529&lt;&gt;"!!!"),"NEW","")))</f>
        <v> </v>
      </c>
      <c r="G2529" s="23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4" t="str">
        <f>IF(J2529&lt;&gt;1,"",IF(I2529="SBJ","CB","?"))</f>
        <v> </v>
      </c>
      <c r="I2529" s="25" t="str">
        <f>IF(OR(E2529="",E2529="!!!",F2529="NEW"),"",INDEX(B2528:B$2,-1+SUMPRODUCT(MAX(ROW(E2528:E$2)*(E2529=E2528:E$2)))))</f>
        <v> </v>
      </c>
      <c r="J2529" s="25" t="str">
        <f>IF(OR(E2529="",E2529="!!!",F2529="NEW"),"",COUNTBLANK(OFFSET(A$1,,,SUMPRODUCT(MAX(ROW(E$2:E2529)*(E2529=E$2:E2529)))))-COUNTBLANK(OFFSET(A$1,,,SUMPRODUCT(MAX(ROW(E$1:E2528)*(E2=E$1:E2528))))))</f>
        <v> </v>
      </c>
      <c r="K2529" s="25" t="str">
        <f>IF(OR(E2529="",E2529="!!!",F2529="NEW"),"",INDEX(J$1:J2528,SUMPRODUCT(MAX(ROW(E$1:E2528)*(E2529=E$1:E2528)))))</f>
        <v> </v>
      </c>
      <c r="L2529" s="26"/>
    </row>
    <row r="2530" spans="1:12">
      <c r="A2530" s="20" t="s">
        <v>930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765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/>
    </row>
    <row r="2533" spans="1:12">
      <c r="A2533" s="20" t="s">
        <v>1863</v>
      </c>
    </row>
    <row r="2534" spans="1:12">
      <c r="A2534" s="20" t="s">
        <v>1864</v>
      </c>
      <c r="B2534" s="27" t="s">
        <v>734</v>
      </c>
      <c r="E2534" s="21">
        <f>IF(D2534="?OLD","!!!","")</f>
        <v/>
      </c>
      <c r="F2534" s="22" t="str">
        <f>IF(OR(E2534="",E2534="!!!"),"",IF(NOT(ISNA(VLOOKUP(E2534,E$1:E2533,1,FALSE()))),"OLD",IF(AND(E2534&lt;&gt;"",E2534&lt;&gt;"!!!"),"NEW","")))</f>
        <v> </v>
      </c>
      <c r="G2534" s="23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4" t="str">
        <f>IF(J2534&lt;&gt;1,"",IF(I2534="SBJ","CB","?"))</f>
        <v> </v>
      </c>
      <c r="I2534" s="25" t="str">
        <f>IF(OR(E2534="",E2534="!!!",F2534="NEW"),"",INDEX(B2533:B$2,-1+SUMPRODUCT(MAX(ROW(E2533:E$2)*(E2534=E2533:E$2)))))</f>
        <v> </v>
      </c>
      <c r="J2534" s="25" t="str">
        <f>IF(OR(E2534="",E2534="!!!",F2534="NEW"),"",COUNTBLANK(OFFSET(A$1,,,SUMPRODUCT(MAX(ROW(E$2:E2534)*(E2534=E$2:E2534)))))-COUNTBLANK(OFFSET(A$1,,,SUMPRODUCT(MAX(ROW(E$1:E2533)*(E2=E$1:E2533))))))</f>
        <v> </v>
      </c>
      <c r="K2534" s="25" t="str">
        <f>IF(OR(E2534="",E2534="!!!",F2534="NEW"),"",INDEX(J$1:J2533,SUMPRODUCT(MAX(ROW(E$1:E2533)*(E2534=E$1:E2533)))))</f>
        <v> </v>
      </c>
      <c r="L2534" s="26"/>
    </row>
    <row r="2535" spans="1:12">
      <c r="A2535" s="20" t="s">
        <v>1865</v>
      </c>
      <c r="E2535" s="21">
        <f>IF(D2535="?OLD","!!!","")</f>
        <v/>
      </c>
      <c r="F2535" s="22" t="str">
        <f>IF(OR(E2535="",E2535="!!!"),"",IF(NOT(ISNA(VLOOKUP(E2535,E$1:E2534,1,FALSE()))),"OLD",IF(AND(E2535&lt;&gt;"",E2535&lt;&gt;"!!!"),"NEW","")))</f>
        <v> </v>
      </c>
      <c r="G2535" s="23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4" t="str">
        <f>IF(J2535&lt;&gt;1,"",IF(I2535="SBJ","CB","?"))</f>
        <v> </v>
      </c>
      <c r="I2535" s="25" t="str">
        <f>IF(OR(E2535="",E2535="!!!",F2535="NEW"),"",INDEX(B2534:B$2,-1+SUMPRODUCT(MAX(ROW(E2534:E$2)*(E2535=E2534:E$2)))))</f>
        <v> </v>
      </c>
      <c r="J2535" s="25" t="str">
        <f>IF(OR(E2535="",E2535="!!!",F2535="NEW"),"",COUNTBLANK(OFFSET(A$1,,,SUMPRODUCT(MAX(ROW(E$2:E2535)*(E2535=E$2:E2535)))))-COUNTBLANK(OFFSET(A$1,,,SUMPRODUCT(MAX(ROW(E$1:E2534)*(E2=E$1:E2534))))))</f>
        <v> </v>
      </c>
      <c r="K2535" s="25" t="str">
        <f>IF(OR(E2535="",E2535="!!!",F2535="NEW"),"",INDEX(J$1:J2534,SUMPRODUCT(MAX(ROW(E$1:E2534)*(E2535=E$1:E2534)))))</f>
        <v> </v>
      </c>
      <c r="L2535" s="26"/>
    </row>
    <row r="2536" spans="1:12">
      <c r="A2536" s="20" t="s">
        <v>776</v>
      </c>
      <c r="E2536" s="21">
        <f>IF(D2536="?OLD","!!!","")</f>
        <v/>
      </c>
      <c r="F2536" s="22" t="str">
        <f>IF(OR(E2536="",E2536="!!!"),"",IF(NOT(ISNA(VLOOKUP(E2536,E$1:E2535,1,FALSE()))),"OLD",IF(AND(E2536&lt;&gt;"",E2536&lt;&gt;"!!!"),"NEW","")))</f>
        <v> </v>
      </c>
      <c r="G2536" s="23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4" t="str">
        <f>IF(J2536&lt;&gt;1,"",IF(I2536="SBJ","CB","?"))</f>
        <v> </v>
      </c>
      <c r="I2536" s="25" t="str">
        <f>IF(OR(E2536="",E2536="!!!",F2536="NEW"),"",INDEX(B2535:B$2,-1+SUMPRODUCT(MAX(ROW(E2535:E$2)*(E2536=E2535:E$2)))))</f>
        <v> </v>
      </c>
      <c r="J2536" s="25" t="str">
        <f>IF(OR(E2536="",E2536="!!!",F2536="NEW"),"",COUNTBLANK(OFFSET(A$1,,,SUMPRODUCT(MAX(ROW(E$2:E2536)*(E2536=E$2:E2536)))))-COUNTBLANK(OFFSET(A$1,,,SUMPRODUCT(MAX(ROW(E$1:E2535)*(E2=E$1:E2535))))))</f>
        <v> </v>
      </c>
      <c r="K2536" s="25" t="str">
        <f>IF(OR(E2536="",E2536="!!!",F2536="NEW"),"",INDEX(J$1:J2535,SUMPRODUCT(MAX(ROW(E$1:E2535)*(E2536=E$1:E2535)))))</f>
        <v> </v>
      </c>
      <c r="L2536" s="26"/>
    </row>
    <row r="2537" spans="1:12">
      <c r="A2537" s="20" t="s">
        <v>1206</v>
      </c>
      <c r="B2537" s="27" t="s">
        <v>838</v>
      </c>
      <c r="C2537" s="27" t="s">
        <v>756</v>
      </c>
      <c r="D2537" s="27" t="s">
        <v>736</v>
      </c>
      <c r="E2537" s="21">
        <f>IF(D2537="?OLD","!!!","")</f>
        <v/>
      </c>
      <c r="F2537" s="22" t="str">
        <f>IF(OR(E2537="",E2537="!!!"),"",IF(NOT(ISNA(VLOOKUP(E2537,E$1:E2536,1,FALSE()))),"OLD",IF(AND(E2537&lt;&gt;"",E2537&lt;&gt;"!!!"),"NEW","")))</f>
        <v> </v>
      </c>
      <c r="G2537" s="23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4" t="str">
        <f>IF(J2537&lt;&gt;1,"",IF(I2537="SBJ","CB","?"))</f>
        <v> </v>
      </c>
      <c r="I2537" s="25" t="str">
        <f>IF(OR(E2537="",E2537="!!!",F2537="NEW"),"",INDEX(B2536:B$2,-1+SUMPRODUCT(MAX(ROW(E2536:E$2)*(E2537=E2536:E$2)))))</f>
        <v> </v>
      </c>
      <c r="J2537" s="25" t="str">
        <f>IF(OR(E2537="",E2537="!!!",F2537="NEW"),"",COUNTBLANK(OFFSET(A$1,,,SUMPRODUCT(MAX(ROW(E$2:E2537)*(E2537=E$2:E2537)))))-COUNTBLANK(OFFSET(A$1,,,SUMPRODUCT(MAX(ROW(E$1:E2536)*(E2=E$1:E2536))))))</f>
        <v> </v>
      </c>
      <c r="K2537" s="25" t="str">
        <f>IF(OR(E2537="",E2537="!!!",F2537="NEW"),"",INDEX(J$1:J2536,SUMPRODUCT(MAX(ROW(E$1:E2536)*(E2537=E$1:E2536)))))</f>
        <v> </v>
      </c>
      <c r="L2537" s="26"/>
    </row>
    <row r="2538" spans="1:12">
      <c r="A2538" s="20" t="s">
        <v>759</v>
      </c>
      <c r="E2538" s="21">
        <f>IF(D2538="?OLD","!!!","")</f>
        <v/>
      </c>
      <c r="F2538" s="22" t="str">
        <f>IF(OR(E2538="",E2538="!!!"),"",IF(NOT(ISNA(VLOOKUP(E2538,E$1:E2537,1,FALSE()))),"OLD",IF(AND(E2538&lt;&gt;"",E2538&lt;&gt;"!!!"),"NEW","")))</f>
        <v> </v>
      </c>
      <c r="G2538" s="23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4" t="str">
        <f>IF(J2538&lt;&gt;1,"",IF(I2538="SBJ","CB","?"))</f>
        <v> </v>
      </c>
      <c r="I2538" s="25" t="str">
        <f>IF(OR(E2538="",E2538="!!!",F2538="NEW"),"",INDEX(B2537:B$2,-1+SUMPRODUCT(MAX(ROW(E2537:E$2)*(E2538=E2537:E$2)))))</f>
        <v> </v>
      </c>
      <c r="J2538" s="25" t="str">
        <f>IF(OR(E2538="",E2538="!!!",F2538="NEW"),"",COUNTBLANK(OFFSET(A$1,,,SUMPRODUCT(MAX(ROW(E$2:E2538)*(E2538=E$2:E2538)))))-COUNTBLANK(OFFSET(A$1,,,SUMPRODUCT(MAX(ROW(E$1:E2537)*(E2=E$1:E2537))))))</f>
        <v> </v>
      </c>
      <c r="K2538" s="25" t="str">
        <f>IF(OR(E2538="",E2538="!!!",F2538="NEW"),"",INDEX(J$1:J2537,SUMPRODUCT(MAX(ROW(E$1:E2537)*(E2538=E$1:E2537)))))</f>
        <v> </v>
      </c>
      <c r="L2538" s="26"/>
    </row>
    <row r="2539" spans="1:12">
      <c r="A2539" s="20" t="s">
        <v>1205</v>
      </c>
      <c r="E2539" s="21">
        <f>IF(D2539="?OLD","!!!","")</f>
        <v/>
      </c>
      <c r="F2539" s="22" t="str">
        <f>IF(OR(E2539="",E2539="!!!"),"",IF(NOT(ISNA(VLOOKUP(E2539,E$1:E2538,1,FALSE()))),"OLD",IF(AND(E2539&lt;&gt;"",E2539&lt;&gt;"!!!"),"NEW","")))</f>
        <v> </v>
      </c>
      <c r="G2539" s="23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4" t="str">
        <f>IF(J2539&lt;&gt;1,"",IF(I2539="SBJ","CB","?"))</f>
        <v> </v>
      </c>
      <c r="I2539" s="25" t="str">
        <f>IF(OR(E2539="",E2539="!!!",F2539="NEW"),"",INDEX(B2538:B$2,-1+SUMPRODUCT(MAX(ROW(E2538:E$2)*(E2539=E2538:E$2)))))</f>
        <v> </v>
      </c>
      <c r="J2539" s="25" t="str">
        <f>IF(OR(E2539="",E2539="!!!",F2539="NEW"),"",COUNTBLANK(OFFSET(A$1,,,SUMPRODUCT(MAX(ROW(E$2:E2539)*(E2539=E$2:E2539)))))-COUNTBLANK(OFFSET(A$1,,,SUMPRODUCT(MAX(ROW(E$1:E2538)*(E2=E$1:E2538))))))</f>
        <v> </v>
      </c>
      <c r="K2539" s="25" t="str">
        <f>IF(OR(E2539="",E2539="!!!",F2539="NEW"),"",INDEX(J$1:J2538,SUMPRODUCT(MAX(ROW(E$1:E2538)*(E2539=E$1:E2538)))))</f>
        <v> </v>
      </c>
      <c r="L2539" s="26"/>
    </row>
    <row r="2540" spans="1:12">
      <c r="A2540" s="20" t="s">
        <v>1866</v>
      </c>
      <c r="E2540" s="21">
        <f>IF(D2540="?OLD","!!!","")</f>
        <v/>
      </c>
      <c r="F2540" s="22" t="str">
        <f>IF(OR(E2540="",E2540="!!!"),"",IF(NOT(ISNA(VLOOKUP(E2540,E$1:E2539,1,FALSE()))),"OLD",IF(AND(E2540&lt;&gt;"",E2540&lt;&gt;"!!!"),"NEW","")))</f>
        <v> </v>
      </c>
      <c r="G2540" s="23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4" t="str">
        <f>IF(J2540&lt;&gt;1,"",IF(I2540="SBJ","CB","?"))</f>
        <v> </v>
      </c>
      <c r="I2540" s="25" t="str">
        <f>IF(OR(E2540="",E2540="!!!",F2540="NEW"),"",INDEX(B2539:B$2,-1+SUMPRODUCT(MAX(ROW(E2539:E$2)*(E2540=E2539:E$2)))))</f>
        <v> </v>
      </c>
      <c r="J2540" s="25" t="str">
        <f>IF(OR(E2540="",E2540="!!!",F2540="NEW"),"",COUNTBLANK(OFFSET(A$1,,,SUMPRODUCT(MAX(ROW(E$2:E2540)*(E2540=E$2:E2540)))))-COUNTBLANK(OFFSET(A$1,,,SUMPRODUCT(MAX(ROW(E$1:E2539)*(E2=E$1:E2539))))))</f>
        <v> </v>
      </c>
      <c r="K2540" s="25" t="str">
        <f>IF(OR(E2540="",E2540="!!!",F2540="NEW"),"",INDEX(J$1:J2539,SUMPRODUCT(MAX(ROW(E$1:E2539)*(E2540=E$1:E2539)))))</f>
        <v> </v>
      </c>
      <c r="L2540" s="26"/>
    </row>
    <row r="2541" spans="1:12">
      <c r="A2541" s="20" t="s">
        <v>1867</v>
      </c>
      <c r="B2541" s="27" t="s">
        <v>755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1868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765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/>
    </row>
    <row r="2545" spans="1:12">
      <c r="A2545" s="20" t="s">
        <v>1869</v>
      </c>
    </row>
    <row r="2546" spans="1:12">
      <c r="A2546" s="20" t="s">
        <v>1870</v>
      </c>
      <c r="E2546" s="21">
        <f>IF(D2546="?OLD","!!!","")</f>
        <v/>
      </c>
      <c r="F2546" s="22" t="str">
        <f>IF(OR(E2546="",E2546="!!!"),"",IF(NOT(ISNA(VLOOKUP(E2546,E$1:E2545,1,FALSE()))),"OLD",IF(AND(E2546&lt;&gt;"",E2546&lt;&gt;"!!!"),"NEW","")))</f>
        <v> </v>
      </c>
      <c r="G2546" s="23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4" t="str">
        <f>IF(J2546&lt;&gt;1,"",IF(I2546="SBJ","CB","?"))</f>
        <v> </v>
      </c>
      <c r="I2546" s="25" t="str">
        <f>IF(OR(E2546="",E2546="!!!",F2546="NEW"),"",INDEX(B2545:B$2,-1+SUMPRODUCT(MAX(ROW(E2545:E$2)*(E2546=E2545:E$2)))))</f>
        <v> </v>
      </c>
      <c r="J2546" s="25" t="str">
        <f>IF(OR(E2546="",E2546="!!!",F2546="NEW"),"",COUNTBLANK(OFFSET(A$1,,,SUMPRODUCT(MAX(ROW(E$2:E2546)*(E2546=E$2:E2546)))))-COUNTBLANK(OFFSET(A$1,,,SUMPRODUCT(MAX(ROW(E$1:E2545)*(E2=E$1:E2545))))))</f>
        <v> </v>
      </c>
      <c r="K2546" s="25" t="str">
        <f>IF(OR(E2546="",E2546="!!!",F2546="NEW"),"",INDEX(J$1:J2545,SUMPRODUCT(MAX(ROW(E$1:E2545)*(E2546=E$1:E2545)))))</f>
        <v> </v>
      </c>
      <c r="L2546" s="26"/>
    </row>
    <row r="2547" spans="1:12">
      <c r="A2547" s="20" t="s">
        <v>742</v>
      </c>
      <c r="E2547" s="21">
        <f>IF(D2547="?OLD","!!!","")</f>
        <v/>
      </c>
      <c r="F2547" s="22" t="str">
        <f>IF(OR(E2547="",E2547="!!!"),"",IF(NOT(ISNA(VLOOKUP(E2547,E$1:E2546,1,FALSE()))),"OLD",IF(AND(E2547&lt;&gt;"",E2547&lt;&gt;"!!!"),"NEW","")))</f>
        <v> </v>
      </c>
      <c r="G2547" s="23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4" t="str">
        <f>IF(J2547&lt;&gt;1,"",IF(I2547="SBJ","CB","?"))</f>
        <v> </v>
      </c>
      <c r="I2547" s="25" t="str">
        <f>IF(OR(E2547="",E2547="!!!",F2547="NEW"),"",INDEX(B2546:B$2,-1+SUMPRODUCT(MAX(ROW(E2546:E$2)*(E2547=E2546:E$2)))))</f>
        <v> </v>
      </c>
      <c r="J2547" s="25" t="str">
        <f>IF(OR(E2547="",E2547="!!!",F2547="NEW"),"",COUNTBLANK(OFFSET(A$1,,,SUMPRODUCT(MAX(ROW(E$2:E2547)*(E2547=E$2:E2547)))))-COUNTBLANK(OFFSET(A$1,,,SUMPRODUCT(MAX(ROW(E$1:E2546)*(E2=E$1:E2546))))))</f>
        <v> </v>
      </c>
      <c r="K2547" s="25" t="str">
        <f>IF(OR(E2547="",E2547="!!!",F2547="NEW"),"",INDEX(J$1:J2546,SUMPRODUCT(MAX(ROW(E$1:E2546)*(E2547=E$1:E2546)))))</f>
        <v> </v>
      </c>
      <c r="L2547" s="26"/>
    </row>
    <row r="2548" spans="1:12">
      <c r="A2548" s="20" t="s">
        <v>1871</v>
      </c>
      <c r="E2548" s="21">
        <f>IF(D2548="?OLD","!!!","")</f>
        <v/>
      </c>
      <c r="F2548" s="22" t="str">
        <f>IF(OR(E2548="",E2548="!!!"),"",IF(NOT(ISNA(VLOOKUP(E2548,E$1:E2547,1,FALSE()))),"OLD",IF(AND(E2548&lt;&gt;"",E2548&lt;&gt;"!!!"),"NEW","")))</f>
        <v> </v>
      </c>
      <c r="G2548" s="23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4" t="str">
        <f>IF(J2548&lt;&gt;1,"",IF(I2548="SBJ","CB","?"))</f>
        <v> </v>
      </c>
      <c r="I2548" s="25" t="str">
        <f>IF(OR(E2548="",E2548="!!!",F2548="NEW"),"",INDEX(B2547:B$2,-1+SUMPRODUCT(MAX(ROW(E2547:E$2)*(E2548=E2547:E$2)))))</f>
        <v> </v>
      </c>
      <c r="J2548" s="25" t="str">
        <f>IF(OR(E2548="",E2548="!!!",F2548="NEW"),"",COUNTBLANK(OFFSET(A$1,,,SUMPRODUCT(MAX(ROW(E$2:E2548)*(E2548=E$2:E2548)))))-COUNTBLANK(OFFSET(A$1,,,SUMPRODUCT(MAX(ROW(E$1:E2547)*(E2=E$1:E2547))))))</f>
        <v> </v>
      </c>
      <c r="K2548" s="25" t="str">
        <f>IF(OR(E2548="",E2548="!!!",F2548="NEW"),"",INDEX(J$1:J2547,SUMPRODUCT(MAX(ROW(E$1:E2547)*(E2548=E$1:E2547)))))</f>
        <v> </v>
      </c>
      <c r="L2548" s="26"/>
    </row>
    <row r="2549" spans="1:12">
      <c r="A2549" s="20" t="s">
        <v>1872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763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 t="s">
        <v>1345</v>
      </c>
      <c r="E2551" s="21">
        <f>IF(D2551="?OLD","!!!","")</f>
        <v/>
      </c>
      <c r="F2551" s="22" t="str">
        <f>IF(OR(E2551="",E2551="!!!"),"",IF(NOT(ISNA(VLOOKUP(E2551,E$1:E2550,1,FALSE()))),"OLD",IF(AND(E2551&lt;&gt;"",E2551&lt;&gt;"!!!"),"NEW","")))</f>
        <v> </v>
      </c>
      <c r="G2551" s="23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4" t="str">
        <f>IF(J2551&lt;&gt;1,"",IF(I2551="SBJ","CB","?"))</f>
        <v> </v>
      </c>
      <c r="I2551" s="25" t="str">
        <f>IF(OR(E2551="",E2551="!!!",F2551="NEW"),"",INDEX(B2550:B$2,-1+SUMPRODUCT(MAX(ROW(E2550:E$2)*(E2551=E2550:E$2)))))</f>
        <v> </v>
      </c>
      <c r="J2551" s="25" t="str">
        <f>IF(OR(E2551="",E2551="!!!",F2551="NEW"),"",COUNTBLANK(OFFSET(A$1,,,SUMPRODUCT(MAX(ROW(E$2:E2551)*(E2551=E$2:E2551)))))-COUNTBLANK(OFFSET(A$1,,,SUMPRODUCT(MAX(ROW(E$1:E2550)*(E2=E$1:E2550))))))</f>
        <v> </v>
      </c>
      <c r="K2551" s="25" t="str">
        <f>IF(OR(E2551="",E2551="!!!",F2551="NEW"),"",INDEX(J$1:J2550,SUMPRODUCT(MAX(ROW(E$1:E2550)*(E2551=E$1:E2550)))))</f>
        <v> </v>
      </c>
      <c r="L2551" s="26"/>
    </row>
    <row r="2552" spans="1:12">
      <c r="A2552" s="20" t="s">
        <v>765</v>
      </c>
      <c r="E2552" s="21">
        <f>IF(D2552="?OLD","!!!","")</f>
        <v/>
      </c>
      <c r="F2552" s="22" t="str">
        <f>IF(OR(E2552="",E2552="!!!"),"",IF(NOT(ISNA(VLOOKUP(E2552,E$1:E2551,1,FALSE()))),"OLD",IF(AND(E2552&lt;&gt;"",E2552&lt;&gt;"!!!"),"NEW","")))</f>
        <v> </v>
      </c>
      <c r="G2552" s="23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4" t="str">
        <f>IF(J2552&lt;&gt;1,"",IF(I2552="SBJ","CB","?"))</f>
        <v> </v>
      </c>
      <c r="I2552" s="25" t="str">
        <f>IF(OR(E2552="",E2552="!!!",F2552="NEW"),"",INDEX(B2551:B$2,-1+SUMPRODUCT(MAX(ROW(E2551:E$2)*(E2552=E2551:E$2)))))</f>
        <v> </v>
      </c>
      <c r="J2552" s="25" t="str">
        <f>IF(OR(E2552="",E2552="!!!",F2552="NEW"),"",COUNTBLANK(OFFSET(A$1,,,SUMPRODUCT(MAX(ROW(E$2:E2552)*(E2552=E$2:E2552)))))-COUNTBLANK(OFFSET(A$1,,,SUMPRODUCT(MAX(ROW(E$1:E2551)*(E2=E$1:E2551))))))</f>
        <v> </v>
      </c>
      <c r="K2552" s="25" t="str">
        <f>IF(OR(E2552="",E2552="!!!",F2552="NEW"),"",INDEX(J$1:J2551,SUMPRODUCT(MAX(ROW(E$1:E2551)*(E2552=E$1:E2551)))))</f>
        <v> </v>
      </c>
      <c r="L2552" s="26"/>
    </row>
    <row r="2553" spans="1:12">
      <c r="A2553" s="20"/>
    </row>
    <row r="2554" spans="1:12">
      <c r="A2554" s="20" t="s">
        <v>1873</v>
      </c>
    </row>
    <row r="2555" spans="1:12">
      <c r="A2555" s="20" t="s">
        <v>1874</v>
      </c>
      <c r="E2555" s="21">
        <f>IF(D2555="?OLD","!!!","")</f>
        <v/>
      </c>
      <c r="F2555" s="22" t="str">
        <f>IF(OR(E2555="",E2555="!!!"),"",IF(NOT(ISNA(VLOOKUP(E2555,E$1:E2554,1,FALSE()))),"OLD",IF(AND(E2555&lt;&gt;"",E2555&lt;&gt;"!!!"),"NEW","")))</f>
        <v> </v>
      </c>
      <c r="G2555" s="23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4" t="str">
        <f>IF(J2555&lt;&gt;1,"",IF(I2555="SBJ","CB","?"))</f>
        <v> </v>
      </c>
      <c r="I2555" s="25" t="str">
        <f>IF(OR(E2555="",E2555="!!!",F2555="NEW"),"",INDEX(B2554:B$2,-1+SUMPRODUCT(MAX(ROW(E2554:E$2)*(E2555=E2554:E$2)))))</f>
        <v> </v>
      </c>
      <c r="J2555" s="25" t="str">
        <f>IF(OR(E2555="",E2555="!!!",F2555="NEW"),"",COUNTBLANK(OFFSET(A$1,,,SUMPRODUCT(MAX(ROW(E$2:E2555)*(E2555=E$2:E2555)))))-COUNTBLANK(OFFSET(A$1,,,SUMPRODUCT(MAX(ROW(E$1:E2554)*(E2=E$1:E2554))))))</f>
        <v> </v>
      </c>
      <c r="K2555" s="25" t="str">
        <f>IF(OR(E2555="",E2555="!!!",F2555="NEW"),"",INDEX(J$1:J2554,SUMPRODUCT(MAX(ROW(E$1:E2554)*(E2555=E$1:E2554)))))</f>
        <v> </v>
      </c>
      <c r="L2555" s="26"/>
    </row>
    <row r="2556" spans="1:12">
      <c r="A2556" s="20" t="s">
        <v>568</v>
      </c>
      <c r="E2556" s="21">
        <f>IF(D2556="?OLD","!!!","")</f>
        <v/>
      </c>
      <c r="F2556" s="22" t="str">
        <f>IF(OR(E2556="",E2556="!!!"),"",IF(NOT(ISNA(VLOOKUP(E2556,E$1:E2555,1,FALSE()))),"OLD",IF(AND(E2556&lt;&gt;"",E2556&lt;&gt;"!!!"),"NEW","")))</f>
        <v> </v>
      </c>
      <c r="G2556" s="23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4" t="str">
        <f>IF(J2556&lt;&gt;1,"",IF(I2556="SBJ","CB","?"))</f>
        <v> </v>
      </c>
      <c r="I2556" s="25" t="str">
        <f>IF(OR(E2556="",E2556="!!!",F2556="NEW"),"",INDEX(B2555:B$2,-1+SUMPRODUCT(MAX(ROW(E2555:E$2)*(E2556=E2555:E$2)))))</f>
        <v> </v>
      </c>
      <c r="J2556" s="25" t="str">
        <f>IF(OR(E2556="",E2556="!!!",F2556="NEW"),"",COUNTBLANK(OFFSET(A$1,,,SUMPRODUCT(MAX(ROW(E$2:E2556)*(E2556=E$2:E2556)))))-COUNTBLANK(OFFSET(A$1,,,SUMPRODUCT(MAX(ROW(E$1:E2555)*(E2=E$1:E2555))))))</f>
        <v> </v>
      </c>
      <c r="K2556" s="25" t="str">
        <f>IF(OR(E2556="",E2556="!!!",F2556="NEW"),"",INDEX(J$1:J2555,SUMPRODUCT(MAX(ROW(E$1:E2555)*(E2556=E$1:E2555)))))</f>
        <v> </v>
      </c>
      <c r="L2556" s="26"/>
    </row>
    <row r="2557" spans="1:12">
      <c r="A2557" s="20" t="s">
        <v>1875</v>
      </c>
      <c r="B2557" s="27" t="s">
        <v>734</v>
      </c>
      <c r="E2557" s="21">
        <f>IF(D2557="?OLD","!!!","")</f>
        <v/>
      </c>
      <c r="F2557" s="22" t="str">
        <f>IF(OR(E2557="",E2557="!!!"),"",IF(NOT(ISNA(VLOOKUP(E2557,E$1:E2556,1,FALSE()))),"OLD",IF(AND(E2557&lt;&gt;"",E2557&lt;&gt;"!!!"),"NEW","")))</f>
        <v> </v>
      </c>
      <c r="G2557" s="23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4" t="str">
        <f>IF(J2557&lt;&gt;1,"",IF(I2557="SBJ","CB","?"))</f>
        <v> </v>
      </c>
      <c r="I2557" s="25" t="str">
        <f>IF(OR(E2557="",E2557="!!!",F2557="NEW"),"",INDEX(B2556:B$2,-1+SUMPRODUCT(MAX(ROW(E2556:E$2)*(E2557=E2556:E$2)))))</f>
        <v> </v>
      </c>
      <c r="J2557" s="25" t="str">
        <f>IF(OR(E2557="",E2557="!!!",F2557="NEW"),"",COUNTBLANK(OFFSET(A$1,,,SUMPRODUCT(MAX(ROW(E$2:E2557)*(E2557=E$2:E2557)))))-COUNTBLANK(OFFSET(A$1,,,SUMPRODUCT(MAX(ROW(E$1:E2556)*(E2=E$1:E2556))))))</f>
        <v> </v>
      </c>
      <c r="K2557" s="25" t="str">
        <f>IF(OR(E2557="",E2557="!!!",F2557="NEW"),"",INDEX(J$1:J2556,SUMPRODUCT(MAX(ROW(E$1:E2556)*(E2557=E$1:E2556)))))</f>
        <v> </v>
      </c>
      <c r="L2557" s="26"/>
    </row>
    <row r="2558" spans="1:12">
      <c r="A2558" s="20" t="s">
        <v>1876</v>
      </c>
      <c r="E2558" s="21">
        <f>IF(D2558="?OLD","!!!","")</f>
        <v/>
      </c>
      <c r="F2558" s="22" t="str">
        <f>IF(OR(E2558="",E2558="!!!"),"",IF(NOT(ISNA(VLOOKUP(E2558,E$1:E2557,1,FALSE()))),"OLD",IF(AND(E2558&lt;&gt;"",E2558&lt;&gt;"!!!"),"NEW","")))</f>
        <v> </v>
      </c>
      <c r="G2558" s="23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4" t="str">
        <f>IF(J2558&lt;&gt;1,"",IF(I2558="SBJ","CB","?"))</f>
        <v> </v>
      </c>
      <c r="I2558" s="25" t="str">
        <f>IF(OR(E2558="",E2558="!!!",F2558="NEW"),"",INDEX(B2557:B$2,-1+SUMPRODUCT(MAX(ROW(E2557:E$2)*(E2558=E2557:E$2)))))</f>
        <v> </v>
      </c>
      <c r="J2558" s="25" t="str">
        <f>IF(OR(E2558="",E2558="!!!",F2558="NEW"),"",COUNTBLANK(OFFSET(A$1,,,SUMPRODUCT(MAX(ROW(E$2:E2558)*(E2558=E$2:E2558)))))-COUNTBLANK(OFFSET(A$1,,,SUMPRODUCT(MAX(ROW(E$1:E2557)*(E2=E$1:E2557))))))</f>
        <v> </v>
      </c>
      <c r="K2558" s="25" t="str">
        <f>IF(OR(E2558="",E2558="!!!",F2558="NEW"),"",INDEX(J$1:J2557,SUMPRODUCT(MAX(ROW(E$1:E2557)*(E2558=E$1:E2557)))))</f>
        <v> </v>
      </c>
      <c r="L2558" s="26"/>
    </row>
    <row r="2559" spans="1:12">
      <c r="A2559" s="20" t="s">
        <v>765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/>
    </row>
    <row r="2561" spans="1:12">
      <c r="A2561" s="20" t="s">
        <v>1877</v>
      </c>
    </row>
    <row r="2562" spans="1:12">
      <c r="A2562" s="20" t="s">
        <v>957</v>
      </c>
      <c r="B2562" s="27" t="s">
        <v>734</v>
      </c>
      <c r="C2562" s="27" t="s">
        <v>756</v>
      </c>
      <c r="D2562" s="27" t="s">
        <v>736</v>
      </c>
      <c r="E2562" s="21">
        <f>IF(D2562="?OLD","!!!","")</f>
        <v/>
      </c>
      <c r="F2562" s="22" t="str">
        <f>IF(OR(E2562="",E2562="!!!"),"",IF(NOT(ISNA(VLOOKUP(E2562,E$1:E2561,1,FALSE()))),"OLD",IF(AND(E2562&lt;&gt;"",E2562&lt;&gt;"!!!"),"NEW","")))</f>
        <v> </v>
      </c>
      <c r="G2562" s="23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4" t="str">
        <f>IF(J2562&lt;&gt;1,"",IF(I2562="SBJ","CB","?"))</f>
        <v> </v>
      </c>
      <c r="I2562" s="25" t="str">
        <f>IF(OR(E2562="",E2562="!!!",F2562="NEW"),"",INDEX(B2561:B$2,-1+SUMPRODUCT(MAX(ROW(E2561:E$2)*(E2562=E2561:E$2)))))</f>
        <v> </v>
      </c>
      <c r="J2562" s="25" t="str">
        <f>IF(OR(E2562="",E2562="!!!",F2562="NEW"),"",COUNTBLANK(OFFSET(A$1,,,SUMPRODUCT(MAX(ROW(E$2:E2562)*(E2562=E$2:E2562)))))-COUNTBLANK(OFFSET(A$1,,,SUMPRODUCT(MAX(ROW(E$1:E2561)*(E2=E$1:E2561))))))</f>
        <v> </v>
      </c>
      <c r="K2562" s="25" t="str">
        <f>IF(OR(E2562="",E2562="!!!",F2562="NEW"),"",INDEX(J$1:J2561,SUMPRODUCT(MAX(ROW(E$1:E2561)*(E2562=E$1:E2561)))))</f>
        <v> </v>
      </c>
      <c r="L2562" s="26"/>
    </row>
    <row r="2563" spans="1:12">
      <c r="A2563" s="20" t="s">
        <v>1878</v>
      </c>
      <c r="E2563" s="21">
        <f>IF(D2563="?OLD","!!!","")</f>
        <v/>
      </c>
      <c r="F2563" s="22" t="str">
        <f>IF(OR(E2563="",E2563="!!!"),"",IF(NOT(ISNA(VLOOKUP(E2563,E$1:E2562,1,FALSE()))),"OLD",IF(AND(E2563&lt;&gt;"",E2563&lt;&gt;"!!!"),"NEW","")))</f>
        <v> </v>
      </c>
      <c r="G2563" s="23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4" t="str">
        <f>IF(J2563&lt;&gt;1,"",IF(I2563="SBJ","CB","?"))</f>
        <v> </v>
      </c>
      <c r="I2563" s="25" t="str">
        <f>IF(OR(E2563="",E2563="!!!",F2563="NEW"),"",INDEX(B2562:B$2,-1+SUMPRODUCT(MAX(ROW(E2562:E$2)*(E2563=E2562:E$2)))))</f>
        <v> </v>
      </c>
      <c r="J2563" s="25" t="str">
        <f>IF(OR(E2563="",E2563="!!!",F2563="NEW"),"",COUNTBLANK(OFFSET(A$1,,,SUMPRODUCT(MAX(ROW(E$2:E2563)*(E2563=E$2:E2563)))))-COUNTBLANK(OFFSET(A$1,,,SUMPRODUCT(MAX(ROW(E$1:E2562)*(E2=E$1:E2562))))))</f>
        <v> </v>
      </c>
      <c r="K2563" s="25" t="str">
        <f>IF(OR(E2563="",E2563="!!!",F2563="NEW"),"",INDEX(J$1:J2562,SUMPRODUCT(MAX(ROW(E$1:E2562)*(E2563=E$1:E2562)))))</f>
        <v> </v>
      </c>
      <c r="L2563" s="26"/>
    </row>
    <row r="2564" spans="1:12">
      <c r="A2564" s="20" t="s">
        <v>739</v>
      </c>
      <c r="E2564" s="21">
        <f>IF(D2564="?OLD","!!!","")</f>
        <v/>
      </c>
      <c r="F2564" s="22" t="str">
        <f>IF(OR(E2564="",E2564="!!!"),"",IF(NOT(ISNA(VLOOKUP(E2564,E$1:E2563,1,FALSE()))),"OLD",IF(AND(E2564&lt;&gt;"",E2564&lt;&gt;"!!!"),"NEW","")))</f>
        <v> </v>
      </c>
      <c r="G2564" s="23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4" t="str">
        <f>IF(J2564&lt;&gt;1,"",IF(I2564="SBJ","CB","?"))</f>
        <v> </v>
      </c>
      <c r="I2564" s="25" t="str">
        <f>IF(OR(E2564="",E2564="!!!",F2564="NEW"),"",INDEX(B2563:B$2,-1+SUMPRODUCT(MAX(ROW(E2563:E$2)*(E2564=E2563:E$2)))))</f>
        <v> </v>
      </c>
      <c r="J2564" s="25" t="str">
        <f>IF(OR(E2564="",E2564="!!!",F2564="NEW"),"",COUNTBLANK(OFFSET(A$1,,,SUMPRODUCT(MAX(ROW(E$2:E2564)*(E2564=E$2:E2564)))))-COUNTBLANK(OFFSET(A$1,,,SUMPRODUCT(MAX(ROW(E$1:E2563)*(E2=E$1:E2563))))))</f>
        <v> </v>
      </c>
      <c r="K2564" s="25" t="str">
        <f>IF(OR(E2564="",E2564="!!!",F2564="NEW"),"",INDEX(J$1:J2563,SUMPRODUCT(MAX(ROW(E$1:E2563)*(E2564=E$1:E2563)))))</f>
        <v> </v>
      </c>
      <c r="L2564" s="26"/>
    </row>
    <row r="2565" spans="1:12">
      <c r="A2565" s="20" t="s">
        <v>842</v>
      </c>
      <c r="E2565" s="21">
        <f>IF(D2565="?OLD","!!!","")</f>
        <v/>
      </c>
      <c r="F2565" s="22" t="str">
        <f>IF(OR(E2565="",E2565="!!!"),"",IF(NOT(ISNA(VLOOKUP(E2565,E$1:E2564,1,FALSE()))),"OLD",IF(AND(E2565&lt;&gt;"",E2565&lt;&gt;"!!!"),"NEW","")))</f>
        <v> </v>
      </c>
      <c r="G2565" s="23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4" t="str">
        <f>IF(J2565&lt;&gt;1,"",IF(I2565="SBJ","CB","?"))</f>
        <v> </v>
      </c>
      <c r="I2565" s="25" t="str">
        <f>IF(OR(E2565="",E2565="!!!",F2565="NEW"),"",INDEX(B2564:B$2,-1+SUMPRODUCT(MAX(ROW(E2564:E$2)*(E2565=E2564:E$2)))))</f>
        <v> </v>
      </c>
      <c r="J2565" s="25" t="str">
        <f>IF(OR(E2565="",E2565="!!!",F2565="NEW"),"",COUNTBLANK(OFFSET(A$1,,,SUMPRODUCT(MAX(ROW(E$2:E2565)*(E2565=E$2:E2565)))))-COUNTBLANK(OFFSET(A$1,,,SUMPRODUCT(MAX(ROW(E$1:E2564)*(E2=E$1:E2564))))))</f>
        <v> </v>
      </c>
      <c r="K2565" s="25" t="str">
        <f>IF(OR(E2565="",E2565="!!!",F2565="NEW"),"",INDEX(J$1:J2564,SUMPRODUCT(MAX(ROW(E$1:E2564)*(E2565=E$1:E2564)))))</f>
        <v> </v>
      </c>
      <c r="L2565" s="26"/>
    </row>
    <row r="2566" spans="1:12">
      <c r="A2566" s="20" t="s">
        <v>614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 t="s">
        <v>1139</v>
      </c>
      <c r="E2567" s="21">
        <f>IF(D2567="?OLD","!!!","")</f>
        <v/>
      </c>
      <c r="F2567" s="22" t="str">
        <f>IF(OR(E2567="",E2567="!!!"),"",IF(NOT(ISNA(VLOOKUP(E2567,E$1:E2566,1,FALSE()))),"OLD",IF(AND(E2567&lt;&gt;"",E2567&lt;&gt;"!!!"),"NEW","")))</f>
        <v> </v>
      </c>
      <c r="G2567" s="23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4" t="str">
        <f>IF(J2567&lt;&gt;1,"",IF(I2567="SBJ","CB","?"))</f>
        <v> </v>
      </c>
      <c r="I2567" s="25" t="str">
        <f>IF(OR(E2567="",E2567="!!!",F2567="NEW"),"",INDEX(B2566:B$2,-1+SUMPRODUCT(MAX(ROW(E2566:E$2)*(E2567=E2566:E$2)))))</f>
        <v> </v>
      </c>
      <c r="J2567" s="25" t="str">
        <f>IF(OR(E2567="",E2567="!!!",F2567="NEW"),"",COUNTBLANK(OFFSET(A$1,,,SUMPRODUCT(MAX(ROW(E$2:E2567)*(E2567=E$2:E2567)))))-COUNTBLANK(OFFSET(A$1,,,SUMPRODUCT(MAX(ROW(E$1:E2566)*(E2=E$1:E2566))))))</f>
        <v> </v>
      </c>
      <c r="K2567" s="25" t="str">
        <f>IF(OR(E2567="",E2567="!!!",F2567="NEW"),"",INDEX(J$1:J2566,SUMPRODUCT(MAX(ROW(E$1:E2566)*(E2567=E$1:E2566)))))</f>
        <v> </v>
      </c>
      <c r="L2567" s="26"/>
    </row>
    <row r="2568" spans="1:12">
      <c r="A2568" s="20" t="s">
        <v>1879</v>
      </c>
      <c r="E2568" s="21">
        <f>IF(D2568="?OLD","!!!","")</f>
        <v/>
      </c>
      <c r="F2568" s="22" t="str">
        <f>IF(OR(E2568="",E2568="!!!"),"",IF(NOT(ISNA(VLOOKUP(E2568,E$1:E2567,1,FALSE()))),"OLD",IF(AND(E2568&lt;&gt;"",E2568&lt;&gt;"!!!"),"NEW","")))</f>
        <v> </v>
      </c>
      <c r="G2568" s="23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4" t="str">
        <f>IF(J2568&lt;&gt;1,"",IF(I2568="SBJ","CB","?"))</f>
        <v> </v>
      </c>
      <c r="I2568" s="25" t="str">
        <f>IF(OR(E2568="",E2568="!!!",F2568="NEW"),"",INDEX(B2567:B$2,-1+SUMPRODUCT(MAX(ROW(E2567:E$2)*(E2568=E2567:E$2)))))</f>
        <v> </v>
      </c>
      <c r="J2568" s="25" t="str">
        <f>IF(OR(E2568="",E2568="!!!",F2568="NEW"),"",COUNTBLANK(OFFSET(A$1,,,SUMPRODUCT(MAX(ROW(E$2:E2568)*(E2568=E$2:E2568)))))-COUNTBLANK(OFFSET(A$1,,,SUMPRODUCT(MAX(ROW(E$1:E2567)*(E2=E$1:E2567))))))</f>
        <v> </v>
      </c>
      <c r="K2568" s="25" t="str">
        <f>IF(OR(E2568="",E2568="!!!",F2568="NEW"),"",INDEX(J$1:J2567,SUMPRODUCT(MAX(ROW(E$1:E2567)*(E2568=E$1:E2567)))))</f>
        <v> </v>
      </c>
      <c r="L2568" s="26"/>
    </row>
    <row r="2569" spans="1:12">
      <c r="A2569" s="20" t="s">
        <v>79</v>
      </c>
      <c r="B2569" s="27" t="s">
        <v>887</v>
      </c>
      <c r="C2569" s="27" t="s">
        <v>788</v>
      </c>
      <c r="D2569" s="27" t="s">
        <v>736</v>
      </c>
      <c r="E2569" s="21">
        <f>IF(D2569="?OLD","!!!","")</f>
        <v/>
      </c>
      <c r="F2569" s="22" t="str">
        <f>IF(OR(E2569="",E2569="!!!"),"",IF(NOT(ISNA(VLOOKUP(E2569,E$1:E2568,1,FALSE()))),"OLD",IF(AND(E2569&lt;&gt;"",E2569&lt;&gt;"!!!"),"NEW","")))</f>
        <v> </v>
      </c>
      <c r="G2569" s="23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4" t="str">
        <f>IF(J2569&lt;&gt;1,"",IF(I2569="SBJ","CB","?"))</f>
        <v> </v>
      </c>
      <c r="I2569" s="25" t="str">
        <f>IF(OR(E2569="",E2569="!!!",F2569="NEW"),"",INDEX(B2568:B$2,-1+SUMPRODUCT(MAX(ROW(E2568:E$2)*(E2569=E2568:E$2)))))</f>
        <v> </v>
      </c>
      <c r="J2569" s="25" t="str">
        <f>IF(OR(E2569="",E2569="!!!",F2569="NEW"),"",COUNTBLANK(OFFSET(A$1,,,SUMPRODUCT(MAX(ROW(E$2:E2569)*(E2569=E$2:E2569)))))-COUNTBLANK(OFFSET(A$1,,,SUMPRODUCT(MAX(ROW(E$1:E2568)*(E2=E$1:E2568))))))</f>
        <v> </v>
      </c>
      <c r="K2569" s="25" t="str">
        <f>IF(OR(E2569="",E2569="!!!",F2569="NEW"),"",INDEX(J$1:J2568,SUMPRODUCT(MAX(ROW(E$1:E2568)*(E2569=E$1:E2568)))))</f>
        <v> </v>
      </c>
      <c r="L2569" s="26"/>
    </row>
    <row r="2570" spans="1:12">
      <c r="A2570" s="20" t="s">
        <v>898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 t="s">
        <v>1880</v>
      </c>
      <c r="E2571" s="21">
        <f>IF(D2571="?OLD","!!!","")</f>
        <v/>
      </c>
      <c r="F2571" s="22" t="str">
        <f>IF(OR(E2571="",E2571="!!!"),"",IF(NOT(ISNA(VLOOKUP(E2571,E$1:E2570,1,FALSE()))),"OLD",IF(AND(E2571&lt;&gt;"",E2571&lt;&gt;"!!!"),"NEW","")))</f>
        <v> </v>
      </c>
      <c r="G2571" s="23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4" t="str">
        <f>IF(J2571&lt;&gt;1,"",IF(I2571="SBJ","CB","?"))</f>
        <v> </v>
      </c>
      <c r="I2571" s="25" t="str">
        <f>IF(OR(E2571="",E2571="!!!",F2571="NEW"),"",INDEX(B2570:B$2,-1+SUMPRODUCT(MAX(ROW(E2570:E$2)*(E2571=E2570:E$2)))))</f>
        <v> </v>
      </c>
      <c r="J2571" s="25" t="str">
        <f>IF(OR(E2571="",E2571="!!!",F2571="NEW"),"",COUNTBLANK(OFFSET(A$1,,,SUMPRODUCT(MAX(ROW(E$2:E2571)*(E2571=E$2:E2571)))))-COUNTBLANK(OFFSET(A$1,,,SUMPRODUCT(MAX(ROW(E$1:E2570)*(E2=E$1:E2570))))))</f>
        <v> </v>
      </c>
      <c r="K2571" s="25" t="str">
        <f>IF(OR(E2571="",E2571="!!!",F2571="NEW"),"",INDEX(J$1:J2570,SUMPRODUCT(MAX(ROW(E$1:E2570)*(E2571=E$1:E2570)))))</f>
        <v> </v>
      </c>
      <c r="L2571" s="26"/>
    </row>
    <row r="2572" spans="1:12">
      <c r="A2572" s="20" t="s">
        <v>749</v>
      </c>
      <c r="E2572" s="21">
        <f>IF(D2572="?OLD","!!!","")</f>
        <v/>
      </c>
      <c r="F2572" s="22" t="str">
        <f>IF(OR(E2572="",E2572="!!!"),"",IF(NOT(ISNA(VLOOKUP(E2572,E$1:E2571,1,FALSE()))),"OLD",IF(AND(E2572&lt;&gt;"",E2572&lt;&gt;"!!!"),"NEW","")))</f>
        <v> </v>
      </c>
      <c r="G2572" s="23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4" t="str">
        <f>IF(J2572&lt;&gt;1,"",IF(I2572="SBJ","CB","?"))</f>
        <v> </v>
      </c>
      <c r="I2572" s="25" t="str">
        <f>IF(OR(E2572="",E2572="!!!",F2572="NEW"),"",INDEX(B2571:B$2,-1+SUMPRODUCT(MAX(ROW(E2571:E$2)*(E2572=E2571:E$2)))))</f>
        <v> </v>
      </c>
      <c r="J2572" s="25" t="str">
        <f>IF(OR(E2572="",E2572="!!!",F2572="NEW"),"",COUNTBLANK(OFFSET(A$1,,,SUMPRODUCT(MAX(ROW(E$2:E2572)*(E2572=E$2:E2572)))))-COUNTBLANK(OFFSET(A$1,,,SUMPRODUCT(MAX(ROW(E$1:E2571)*(E2=E$1:E2571))))))</f>
        <v> </v>
      </c>
      <c r="K2572" s="25" t="str">
        <f>IF(OR(E2572="",E2572="!!!",F2572="NEW"),"",INDEX(J$1:J2571,SUMPRODUCT(MAX(ROW(E$1:E2571)*(E2572=E$1:E2571)))))</f>
        <v> </v>
      </c>
      <c r="L2572" s="26"/>
    </row>
    <row r="2573" spans="1:12">
      <c r="A2573" s="20" t="s">
        <v>960</v>
      </c>
      <c r="E2573" s="21">
        <f>IF(D2573="?OLD","!!!","")</f>
        <v/>
      </c>
      <c r="F2573" s="22" t="str">
        <f>IF(OR(E2573="",E2573="!!!"),"",IF(NOT(ISNA(VLOOKUP(E2573,E$1:E2572,1,FALSE()))),"OLD",IF(AND(E2573&lt;&gt;"",E2573&lt;&gt;"!!!"),"NEW","")))</f>
        <v> </v>
      </c>
      <c r="G2573" s="23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4" t="str">
        <f>IF(J2573&lt;&gt;1,"",IF(I2573="SBJ","CB","?"))</f>
        <v> </v>
      </c>
      <c r="I2573" s="25" t="str">
        <f>IF(OR(E2573="",E2573="!!!",F2573="NEW"),"",INDEX(B2572:B$2,-1+SUMPRODUCT(MAX(ROW(E2572:E$2)*(E2573=E2572:E$2)))))</f>
        <v> </v>
      </c>
      <c r="J2573" s="25" t="str">
        <f>IF(OR(E2573="",E2573="!!!",F2573="NEW"),"",COUNTBLANK(OFFSET(A$1,,,SUMPRODUCT(MAX(ROW(E$2:E2573)*(E2573=E$2:E2573)))))-COUNTBLANK(OFFSET(A$1,,,SUMPRODUCT(MAX(ROW(E$1:E2572)*(E2=E$1:E2572))))))</f>
        <v> </v>
      </c>
      <c r="K2573" s="25" t="str">
        <f>IF(OR(E2573="",E2573="!!!",F2573="NEW"),"",INDEX(J$1:J2572,SUMPRODUCT(MAX(ROW(E$1:E2572)*(E2573=E$1:E2572)))))</f>
        <v> </v>
      </c>
      <c r="L2573" s="26"/>
    </row>
    <row r="2574" spans="1:12">
      <c r="A2574" s="20" t="s">
        <v>1881</v>
      </c>
      <c r="E2574" s="21">
        <f>IF(D2574="?OLD","!!!","")</f>
        <v/>
      </c>
      <c r="F2574" s="22" t="str">
        <f>IF(OR(E2574="",E2574="!!!"),"",IF(NOT(ISNA(VLOOKUP(E2574,E$1:E2573,1,FALSE()))),"OLD",IF(AND(E2574&lt;&gt;"",E2574&lt;&gt;"!!!"),"NEW","")))</f>
        <v> </v>
      </c>
      <c r="G2574" s="23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4" t="str">
        <f>IF(J2574&lt;&gt;1,"",IF(I2574="SBJ","CB","?"))</f>
        <v> </v>
      </c>
      <c r="I2574" s="25" t="str">
        <f>IF(OR(E2574="",E2574="!!!",F2574="NEW"),"",INDEX(B2573:B$2,-1+SUMPRODUCT(MAX(ROW(E2573:E$2)*(E2574=E2573:E$2)))))</f>
        <v> </v>
      </c>
      <c r="J2574" s="25" t="str">
        <f>IF(OR(E2574="",E2574="!!!",F2574="NEW"),"",COUNTBLANK(OFFSET(A$1,,,SUMPRODUCT(MAX(ROW(E$2:E2574)*(E2574=E$2:E2574)))))-COUNTBLANK(OFFSET(A$1,,,SUMPRODUCT(MAX(ROW(E$1:E2573)*(E2=E$1:E2573))))))</f>
        <v> </v>
      </c>
      <c r="K2574" s="25" t="str">
        <f>IF(OR(E2574="",E2574="!!!",F2574="NEW"),"",INDEX(J$1:J2573,SUMPRODUCT(MAX(ROW(E$1:E2573)*(E2574=E$1:E2573)))))</f>
        <v> </v>
      </c>
      <c r="L2574" s="26"/>
    </row>
    <row r="2575" spans="1:12">
      <c r="A2575" s="20" t="s">
        <v>1789</v>
      </c>
      <c r="E2575" s="21">
        <f>IF(D2575="?OLD","!!!","")</f>
        <v/>
      </c>
      <c r="F2575" s="22" t="str">
        <f>IF(OR(E2575="",E2575="!!!"),"",IF(NOT(ISNA(VLOOKUP(E2575,E$1:E2574,1,FALSE()))),"OLD",IF(AND(E2575&lt;&gt;"",E2575&lt;&gt;"!!!"),"NEW","")))</f>
        <v> </v>
      </c>
      <c r="G2575" s="23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4" t="str">
        <f>IF(J2575&lt;&gt;1,"",IF(I2575="SBJ","CB","?"))</f>
        <v> </v>
      </c>
      <c r="I2575" s="25" t="str">
        <f>IF(OR(E2575="",E2575="!!!",F2575="NEW"),"",INDEX(B2574:B$2,-1+SUMPRODUCT(MAX(ROW(E2574:E$2)*(E2575=E2574:E$2)))))</f>
        <v> </v>
      </c>
      <c r="J2575" s="25" t="str">
        <f>IF(OR(E2575="",E2575="!!!",F2575="NEW"),"",COUNTBLANK(OFFSET(A$1,,,SUMPRODUCT(MAX(ROW(E$2:E2575)*(E2575=E$2:E2575)))))-COUNTBLANK(OFFSET(A$1,,,SUMPRODUCT(MAX(ROW(E$1:E2574)*(E2=E$1:E2574))))))</f>
        <v> </v>
      </c>
      <c r="K2575" s="25" t="str">
        <f>IF(OR(E2575="",E2575="!!!",F2575="NEW"),"",INDEX(J$1:J2574,SUMPRODUCT(MAX(ROW(E$1:E2574)*(E2575=E$1:E2574)))))</f>
        <v> </v>
      </c>
      <c r="L2575" s="26"/>
    </row>
    <row r="2576" spans="1:12">
      <c r="A2576" s="20" t="s">
        <v>752</v>
      </c>
      <c r="E2576" s="21">
        <f>IF(D2576="?OLD","!!!","")</f>
        <v/>
      </c>
      <c r="F2576" s="22" t="str">
        <f>IF(OR(E2576="",E2576="!!!"),"",IF(NOT(ISNA(VLOOKUP(E2576,E$1:E2575,1,FALSE()))),"OLD",IF(AND(E2576&lt;&gt;"",E2576&lt;&gt;"!!!"),"NEW","")))</f>
        <v> </v>
      </c>
      <c r="G2576" s="23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4" t="str">
        <f>IF(J2576&lt;&gt;1,"",IF(I2576="SBJ","CB","?"))</f>
        <v> </v>
      </c>
      <c r="I2576" s="25" t="str">
        <f>IF(OR(E2576="",E2576="!!!",F2576="NEW"),"",INDEX(B2575:B$2,-1+SUMPRODUCT(MAX(ROW(E2575:E$2)*(E2576=E2575:E$2)))))</f>
        <v> </v>
      </c>
      <c r="J2576" s="25" t="str">
        <f>IF(OR(E2576="",E2576="!!!",F2576="NEW"),"",COUNTBLANK(OFFSET(A$1,,,SUMPRODUCT(MAX(ROW(E$2:E2576)*(E2576=E$2:E2576)))))-COUNTBLANK(OFFSET(A$1,,,SUMPRODUCT(MAX(ROW(E$1:E2575)*(E2=E$1:E2575))))))</f>
        <v> </v>
      </c>
      <c r="K2576" s="25" t="str">
        <f>IF(OR(E2576="",E2576="!!!",F2576="NEW"),"",INDEX(J$1:J2575,SUMPRODUCT(MAX(ROW(E$1:E2575)*(E2576=E$1:E2575)))))</f>
        <v> </v>
      </c>
      <c r="L2576" s="26"/>
    </row>
    <row r="2577" spans="1:12">
      <c r="A2577" s="20"/>
    </row>
    <row r="2578" spans="1:12">
      <c r="A2578" s="20" t="s">
        <v>1882</v>
      </c>
    </row>
    <row r="2579" spans="1:12">
      <c r="A2579" s="20" t="s">
        <v>1883</v>
      </c>
      <c r="B2579" s="27" t="s">
        <v>734</v>
      </c>
      <c r="C2579" s="27" t="s">
        <v>747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 t="s">
        <v>793</v>
      </c>
      <c r="E2580" s="21">
        <f>IF(D2580="?OLD","!!!","")</f>
        <v/>
      </c>
      <c r="F2580" s="22" t="str">
        <f>IF(OR(E2580="",E2580="!!!"),"",IF(NOT(ISNA(VLOOKUP(E2580,E$1:E2579,1,FALSE()))),"OLD",IF(AND(E2580&lt;&gt;"",E2580&lt;&gt;"!!!"),"NEW","")))</f>
        <v> </v>
      </c>
      <c r="G2580" s="23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4" t="str">
        <f>IF(J2580&lt;&gt;1,"",IF(I2580="SBJ","CB","?"))</f>
        <v> </v>
      </c>
      <c r="I2580" s="25" t="str">
        <f>IF(OR(E2580="",E2580="!!!",F2580="NEW"),"",INDEX(B2579:B$2,-1+SUMPRODUCT(MAX(ROW(E2579:E$2)*(E2580=E2579:E$2)))))</f>
        <v> </v>
      </c>
      <c r="J2580" s="25" t="str">
        <f>IF(OR(E2580="",E2580="!!!",F2580="NEW"),"",COUNTBLANK(OFFSET(A$1,,,SUMPRODUCT(MAX(ROW(E$2:E2580)*(E2580=E$2:E2580)))))-COUNTBLANK(OFFSET(A$1,,,SUMPRODUCT(MAX(ROW(E$1:E2579)*(E2=E$1:E2579))))))</f>
        <v> </v>
      </c>
      <c r="K2580" s="25" t="str">
        <f>IF(OR(E2580="",E2580="!!!",F2580="NEW"),"",INDEX(J$1:J2579,SUMPRODUCT(MAX(ROW(E$1:E2579)*(E2580=E$1:E2579)))))</f>
        <v> </v>
      </c>
      <c r="L2580" s="26"/>
    </row>
    <row r="2581" spans="1:12">
      <c r="A2581" s="20" t="s">
        <v>1884</v>
      </c>
      <c r="E2581" s="21">
        <f>IF(D2581="?OLD","!!!","")</f>
        <v/>
      </c>
      <c r="F2581" s="22" t="str">
        <f>IF(OR(E2581="",E2581="!!!"),"",IF(NOT(ISNA(VLOOKUP(E2581,E$1:E2580,1,FALSE()))),"OLD",IF(AND(E2581&lt;&gt;"",E2581&lt;&gt;"!!!"),"NEW","")))</f>
        <v> </v>
      </c>
      <c r="G2581" s="23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4" t="str">
        <f>IF(J2581&lt;&gt;1,"",IF(I2581="SBJ","CB","?"))</f>
        <v> </v>
      </c>
      <c r="I2581" s="25" t="str">
        <f>IF(OR(E2581="",E2581="!!!",F2581="NEW"),"",INDEX(B2580:B$2,-1+SUMPRODUCT(MAX(ROW(E2580:E$2)*(E2581=E2580:E$2)))))</f>
        <v> </v>
      </c>
      <c r="J2581" s="25" t="str">
        <f>IF(OR(E2581="",E2581="!!!",F2581="NEW"),"",COUNTBLANK(OFFSET(A$1,,,SUMPRODUCT(MAX(ROW(E$2:E2581)*(E2581=E$2:E2581)))))-COUNTBLANK(OFFSET(A$1,,,SUMPRODUCT(MAX(ROW(E$1:E2580)*(E2=E$1:E2580))))))</f>
        <v> </v>
      </c>
      <c r="K2581" s="25" t="str">
        <f>IF(OR(E2581="",E2581="!!!",F2581="NEW"),"",INDEX(J$1:J2580,SUMPRODUCT(MAX(ROW(E$1:E2580)*(E2581=E$1:E2580)))))</f>
        <v> </v>
      </c>
      <c r="L2581" s="26"/>
    </row>
    <row r="2582" spans="1:12">
      <c r="A2582" s="20" t="s">
        <v>752</v>
      </c>
      <c r="E2582" s="21">
        <f>IF(D2582="?OLD","!!!","")</f>
        <v/>
      </c>
      <c r="F2582" s="22" t="str">
        <f>IF(OR(E2582="",E2582="!!!"),"",IF(NOT(ISNA(VLOOKUP(E2582,E$1:E2581,1,FALSE()))),"OLD",IF(AND(E2582&lt;&gt;"",E2582&lt;&gt;"!!!"),"NEW","")))</f>
        <v> </v>
      </c>
      <c r="G2582" s="23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4" t="str">
        <f>IF(J2582&lt;&gt;1,"",IF(I2582="SBJ","CB","?"))</f>
        <v> </v>
      </c>
      <c r="I2582" s="25" t="str">
        <f>IF(OR(E2582="",E2582="!!!",F2582="NEW"),"",INDEX(B2581:B$2,-1+SUMPRODUCT(MAX(ROW(E2581:E$2)*(E2582=E2581:E$2)))))</f>
        <v> </v>
      </c>
      <c r="J2582" s="25" t="str">
        <f>IF(OR(E2582="",E2582="!!!",F2582="NEW"),"",COUNTBLANK(OFFSET(A$1,,,SUMPRODUCT(MAX(ROW(E$2:E2582)*(E2582=E$2:E2582)))))-COUNTBLANK(OFFSET(A$1,,,SUMPRODUCT(MAX(ROW(E$1:E2581)*(E2=E$1:E2581))))))</f>
        <v> </v>
      </c>
      <c r="K2582" s="25" t="str">
        <f>IF(OR(E2582="",E2582="!!!",F2582="NEW"),"",INDEX(J$1:J2581,SUMPRODUCT(MAX(ROW(E$1:E2581)*(E2582=E$1:E2581)))))</f>
        <v> </v>
      </c>
      <c r="L2582" s="26"/>
    </row>
    <row r="2583" spans="1:12">
      <c r="A2583" s="20"/>
    </row>
    <row r="2584" spans="1:12">
      <c r="A2584" s="20" t="s">
        <v>1885</v>
      </c>
    </row>
    <row r="2585" spans="1:12">
      <c r="A2585" s="20" t="s">
        <v>1886</v>
      </c>
      <c r="B2585" s="27" t="s">
        <v>734</v>
      </c>
      <c r="E2585" s="21">
        <f>IF(D2585="?OLD","!!!","")</f>
        <v/>
      </c>
      <c r="F2585" s="22" t="str">
        <f>IF(OR(E2585="",E2585="!!!"),"",IF(NOT(ISNA(VLOOKUP(E2585,E$1:E2584,1,FALSE()))),"OLD",IF(AND(E2585&lt;&gt;"",E2585&lt;&gt;"!!!"),"NEW","")))</f>
        <v> </v>
      </c>
      <c r="G2585" s="23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4" t="str">
        <f>IF(J2585&lt;&gt;1,"",IF(I2585="SBJ","CB","?"))</f>
        <v> </v>
      </c>
      <c r="I2585" s="25" t="str">
        <f>IF(OR(E2585="",E2585="!!!",F2585="NEW"),"",INDEX(B2584:B$2,-1+SUMPRODUCT(MAX(ROW(E2584:E$2)*(E2585=E2584:E$2)))))</f>
        <v> </v>
      </c>
      <c r="J2585" s="25" t="str">
        <f>IF(OR(E2585="",E2585="!!!",F2585="NEW"),"",COUNTBLANK(OFFSET(A$1,,,SUMPRODUCT(MAX(ROW(E$2:E2585)*(E2585=E$2:E2585)))))-COUNTBLANK(OFFSET(A$1,,,SUMPRODUCT(MAX(ROW(E$1:E2584)*(E2=E$1:E2584))))))</f>
        <v> </v>
      </c>
      <c r="K2585" s="25" t="str">
        <f>IF(OR(E2585="",E2585="!!!",F2585="NEW"),"",INDEX(J$1:J2584,SUMPRODUCT(MAX(ROW(E$1:E2584)*(E2585=E$1:E2584)))))</f>
        <v> </v>
      </c>
      <c r="L2585" s="26"/>
    </row>
    <row r="2586" spans="1:12">
      <c r="A2586" s="20" t="s">
        <v>1887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1888</v>
      </c>
      <c r="E2587" s="21">
        <f>IF(D2587="?OLD","!!!","")</f>
        <v/>
      </c>
      <c r="F2587" s="22" t="str">
        <f>IF(OR(E2587="",E2587="!!!"),"",IF(NOT(ISNA(VLOOKUP(E2587,E$1:E2586,1,FALSE()))),"OLD",IF(AND(E2587&lt;&gt;"",E2587&lt;&gt;"!!!"),"NEW","")))</f>
        <v> </v>
      </c>
      <c r="G2587" s="23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4" t="str">
        <f>IF(J2587&lt;&gt;1,"",IF(I2587="SBJ","CB","?"))</f>
        <v> </v>
      </c>
      <c r="I2587" s="25" t="str">
        <f>IF(OR(E2587="",E2587="!!!",F2587="NEW"),"",INDEX(B2586:B$2,-1+SUMPRODUCT(MAX(ROW(E2586:E$2)*(E2587=E2586:E$2)))))</f>
        <v> </v>
      </c>
      <c r="J2587" s="25" t="str">
        <f>IF(OR(E2587="",E2587="!!!",F2587="NEW"),"",COUNTBLANK(OFFSET(A$1,,,SUMPRODUCT(MAX(ROW(E$2:E2587)*(E2587=E$2:E2587)))))-COUNTBLANK(OFFSET(A$1,,,SUMPRODUCT(MAX(ROW(E$1:E2586)*(E2=E$1:E2586))))))</f>
        <v> </v>
      </c>
      <c r="K2587" s="25" t="str">
        <f>IF(OR(E2587="",E2587="!!!",F2587="NEW"),"",INDEX(J$1:J2586,SUMPRODUCT(MAX(ROW(E$1:E2586)*(E2587=E$1:E2586)))))</f>
        <v> </v>
      </c>
      <c r="L2587" s="26"/>
    </row>
    <row r="2588" spans="1:12">
      <c r="A2588" s="20" t="s">
        <v>1889</v>
      </c>
      <c r="B2588" s="27" t="s">
        <v>755</v>
      </c>
      <c r="E2588" s="21">
        <f>IF(D2588="?OLD","!!!","")</f>
        <v/>
      </c>
      <c r="F2588" s="22" t="str">
        <f>IF(OR(E2588="",E2588="!!!"),"",IF(NOT(ISNA(VLOOKUP(E2588,E$1:E2587,1,FALSE()))),"OLD",IF(AND(E2588&lt;&gt;"",E2588&lt;&gt;"!!!"),"NEW","")))</f>
        <v> </v>
      </c>
      <c r="G2588" s="23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4" t="str">
        <f>IF(J2588&lt;&gt;1,"",IF(I2588="SBJ","CB","?"))</f>
        <v> </v>
      </c>
      <c r="I2588" s="25" t="str">
        <f>IF(OR(E2588="",E2588="!!!",F2588="NEW"),"",INDEX(B2587:B$2,-1+SUMPRODUCT(MAX(ROW(E2587:E$2)*(E2588=E2587:E$2)))))</f>
        <v> </v>
      </c>
      <c r="J2588" s="25" t="str">
        <f>IF(OR(E2588="",E2588="!!!",F2588="NEW"),"",COUNTBLANK(OFFSET(A$1,,,SUMPRODUCT(MAX(ROW(E$2:E2588)*(E2588=E$2:E2588)))))-COUNTBLANK(OFFSET(A$1,,,SUMPRODUCT(MAX(ROW(E$1:E2587)*(E2=E$1:E2587))))))</f>
        <v> </v>
      </c>
      <c r="K2588" s="25" t="str">
        <f>IF(OR(E2588="",E2588="!!!",F2588="NEW"),"",INDEX(J$1:J2587,SUMPRODUCT(MAX(ROW(E$1:E2587)*(E2588=E$1:E2587)))))</f>
        <v> </v>
      </c>
      <c r="L2588" s="26"/>
    </row>
    <row r="2589" spans="1:12">
      <c r="A2589" s="20" t="s">
        <v>744</v>
      </c>
      <c r="E2589" s="21">
        <f>IF(D2589="?OLD","!!!","")</f>
        <v/>
      </c>
      <c r="F2589" s="22" t="str">
        <f>IF(OR(E2589="",E2589="!!!"),"",IF(NOT(ISNA(VLOOKUP(E2589,E$1:E2588,1,FALSE()))),"OLD",IF(AND(E2589&lt;&gt;"",E2589&lt;&gt;"!!!"),"NEW","")))</f>
        <v> </v>
      </c>
      <c r="G2589" s="23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4" t="str">
        <f>IF(J2589&lt;&gt;1,"",IF(I2589="SBJ","CB","?"))</f>
        <v> </v>
      </c>
      <c r="I2589" s="25" t="str">
        <f>IF(OR(E2589="",E2589="!!!",F2589="NEW"),"",INDEX(B2588:B$2,-1+SUMPRODUCT(MAX(ROW(E2588:E$2)*(E2589=E2588:E$2)))))</f>
        <v> </v>
      </c>
      <c r="J2589" s="25" t="str">
        <f>IF(OR(E2589="",E2589="!!!",F2589="NEW"),"",COUNTBLANK(OFFSET(A$1,,,SUMPRODUCT(MAX(ROW(E$2:E2589)*(E2589=E$2:E2589)))))-COUNTBLANK(OFFSET(A$1,,,SUMPRODUCT(MAX(ROW(E$1:E2588)*(E2=E$1:E2588))))))</f>
        <v> </v>
      </c>
      <c r="K2589" s="25" t="str">
        <f>IF(OR(E2589="",E2589="!!!",F2589="NEW"),"",INDEX(J$1:J2588,SUMPRODUCT(MAX(ROW(E$1:E2588)*(E2589=E$1:E2588)))))</f>
        <v> </v>
      </c>
      <c r="L2589" s="26"/>
    </row>
    <row r="2590" spans="1:12">
      <c r="A2590" s="20" t="s">
        <v>763</v>
      </c>
      <c r="E2590" s="21">
        <f>IF(D2590="?OLD","!!!","")</f>
        <v/>
      </c>
      <c r="F2590" s="22" t="str">
        <f>IF(OR(E2590="",E2590="!!!"),"",IF(NOT(ISNA(VLOOKUP(E2590,E$1:E2589,1,FALSE()))),"OLD",IF(AND(E2590&lt;&gt;"",E2590&lt;&gt;"!!!"),"NEW","")))</f>
        <v> </v>
      </c>
      <c r="G2590" s="23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4" t="str">
        <f>IF(J2590&lt;&gt;1,"",IF(I2590="SBJ","CB","?"))</f>
        <v> </v>
      </c>
      <c r="I2590" s="25" t="str">
        <f>IF(OR(E2590="",E2590="!!!",F2590="NEW"),"",INDEX(B2589:B$2,-1+SUMPRODUCT(MAX(ROW(E2589:E$2)*(E2590=E2589:E$2)))))</f>
        <v> </v>
      </c>
      <c r="J2590" s="25" t="str">
        <f>IF(OR(E2590="",E2590="!!!",F2590="NEW"),"",COUNTBLANK(OFFSET(A$1,,,SUMPRODUCT(MAX(ROW(E$2:E2590)*(E2590=E$2:E2590)))))-COUNTBLANK(OFFSET(A$1,,,SUMPRODUCT(MAX(ROW(E$1:E2589)*(E2=E$1:E2589))))))</f>
        <v> </v>
      </c>
      <c r="K2590" s="25" t="str">
        <f>IF(OR(E2590="",E2590="!!!",F2590="NEW"),"",INDEX(J$1:J2589,SUMPRODUCT(MAX(ROW(E$1:E2589)*(E2590=E$1:E2589)))))</f>
        <v> </v>
      </c>
      <c r="L2590" s="26"/>
    </row>
    <row r="2591" spans="1:12">
      <c r="A2591" s="20" t="s">
        <v>759</v>
      </c>
      <c r="E2591" s="21">
        <f>IF(D2591="?OLD","!!!","")</f>
        <v/>
      </c>
      <c r="F2591" s="22" t="str">
        <f>IF(OR(E2591="",E2591="!!!"),"",IF(NOT(ISNA(VLOOKUP(E2591,E$1:E2590,1,FALSE()))),"OLD",IF(AND(E2591&lt;&gt;"",E2591&lt;&gt;"!!!"),"NEW","")))</f>
        <v> </v>
      </c>
      <c r="G2591" s="23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4" t="str">
        <f>IF(J2591&lt;&gt;1,"",IF(I2591="SBJ","CB","?"))</f>
        <v> </v>
      </c>
      <c r="I2591" s="25" t="str">
        <f>IF(OR(E2591="",E2591="!!!",F2591="NEW"),"",INDEX(B2590:B$2,-1+SUMPRODUCT(MAX(ROW(E2590:E$2)*(E2591=E2590:E$2)))))</f>
        <v> </v>
      </c>
      <c r="J2591" s="25" t="str">
        <f>IF(OR(E2591="",E2591="!!!",F2591="NEW"),"",COUNTBLANK(OFFSET(A$1,,,SUMPRODUCT(MAX(ROW(E$2:E2591)*(E2591=E$2:E2591)))))-COUNTBLANK(OFFSET(A$1,,,SUMPRODUCT(MAX(ROW(E$1:E2590)*(E2=E$1:E2590))))))</f>
        <v> </v>
      </c>
      <c r="K2591" s="25" t="str">
        <f>IF(OR(E2591="",E2591="!!!",F2591="NEW"),"",INDEX(J$1:J2590,SUMPRODUCT(MAX(ROW(E$1:E2590)*(E2591=E$1:E2590)))))</f>
        <v> </v>
      </c>
      <c r="L2591" s="26"/>
    </row>
    <row r="2592" spans="1:12">
      <c r="A2592" s="20" t="s">
        <v>1205</v>
      </c>
      <c r="E2592" s="21">
        <f>IF(D2592="?OLD","!!!","")</f>
        <v/>
      </c>
      <c r="F2592" s="22" t="str">
        <f>IF(OR(E2592="",E2592="!!!"),"",IF(NOT(ISNA(VLOOKUP(E2592,E$1:E2591,1,FALSE()))),"OLD",IF(AND(E2592&lt;&gt;"",E2592&lt;&gt;"!!!"),"NEW","")))</f>
        <v> </v>
      </c>
      <c r="G2592" s="23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4" t="str">
        <f>IF(J2592&lt;&gt;1,"",IF(I2592="SBJ","CB","?"))</f>
        <v> </v>
      </c>
      <c r="I2592" s="25" t="str">
        <f>IF(OR(E2592="",E2592="!!!",F2592="NEW"),"",INDEX(B2591:B$2,-1+SUMPRODUCT(MAX(ROW(E2591:E$2)*(E2592=E2591:E$2)))))</f>
        <v> </v>
      </c>
      <c r="J2592" s="25" t="str">
        <f>IF(OR(E2592="",E2592="!!!",F2592="NEW"),"",COUNTBLANK(OFFSET(A$1,,,SUMPRODUCT(MAX(ROW(E$2:E2592)*(E2592=E$2:E2592)))))-COUNTBLANK(OFFSET(A$1,,,SUMPRODUCT(MAX(ROW(E$1:E2591)*(E2=E$1:E2591))))))</f>
        <v> </v>
      </c>
      <c r="K2592" s="25" t="str">
        <f>IF(OR(E2592="",E2592="!!!",F2592="NEW"),"",INDEX(J$1:J2591,SUMPRODUCT(MAX(ROW(E$1:E2591)*(E2592=E$1:E2591)))))</f>
        <v> </v>
      </c>
      <c r="L2592" s="26"/>
    </row>
    <row r="2593" spans="1:12">
      <c r="A2593" s="20" t="s">
        <v>1890</v>
      </c>
      <c r="E2593" s="21">
        <f>IF(D2593="?OLD","!!!","")</f>
        <v/>
      </c>
      <c r="F2593" s="22" t="str">
        <f>IF(OR(E2593="",E2593="!!!"),"",IF(NOT(ISNA(VLOOKUP(E2593,E$1:E2592,1,FALSE()))),"OLD",IF(AND(E2593&lt;&gt;"",E2593&lt;&gt;"!!!"),"NEW","")))</f>
        <v> </v>
      </c>
      <c r="G2593" s="23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4" t="str">
        <f>IF(J2593&lt;&gt;1,"",IF(I2593="SBJ","CB","?"))</f>
        <v> </v>
      </c>
      <c r="I2593" s="25" t="str">
        <f>IF(OR(E2593="",E2593="!!!",F2593="NEW"),"",INDEX(B2592:B$2,-1+SUMPRODUCT(MAX(ROW(E2592:E$2)*(E2593=E2592:E$2)))))</f>
        <v> </v>
      </c>
      <c r="J2593" s="25" t="str">
        <f>IF(OR(E2593="",E2593="!!!",F2593="NEW"),"",COUNTBLANK(OFFSET(A$1,,,SUMPRODUCT(MAX(ROW(E$2:E2593)*(E2593=E$2:E2593)))))-COUNTBLANK(OFFSET(A$1,,,SUMPRODUCT(MAX(ROW(E$1:E2592)*(E2=E$1:E2592))))))</f>
        <v> </v>
      </c>
      <c r="K2593" s="25" t="str">
        <f>IF(OR(E2593="",E2593="!!!",F2593="NEW"),"",INDEX(J$1:J2592,SUMPRODUCT(MAX(ROW(E$1:E2592)*(E2593=E$1:E2592)))))</f>
        <v> </v>
      </c>
      <c r="L2593" s="26"/>
    </row>
    <row r="2594" spans="1:12">
      <c r="A2594" s="20" t="s">
        <v>742</v>
      </c>
      <c r="E2594" s="21">
        <f>IF(D2594="?OLD","!!!","")</f>
        <v/>
      </c>
      <c r="F2594" s="22" t="str">
        <f>IF(OR(E2594="",E2594="!!!"),"",IF(NOT(ISNA(VLOOKUP(E2594,E$1:E2593,1,FALSE()))),"OLD",IF(AND(E2594&lt;&gt;"",E2594&lt;&gt;"!!!"),"NEW","")))</f>
        <v> </v>
      </c>
      <c r="G2594" s="23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4" t="str">
        <f>IF(J2594&lt;&gt;1,"",IF(I2594="SBJ","CB","?"))</f>
        <v> </v>
      </c>
      <c r="I2594" s="25" t="str">
        <f>IF(OR(E2594="",E2594="!!!",F2594="NEW"),"",INDEX(B2593:B$2,-1+SUMPRODUCT(MAX(ROW(E2593:E$2)*(E2594=E2593:E$2)))))</f>
        <v> </v>
      </c>
      <c r="J2594" s="25" t="str">
        <f>IF(OR(E2594="",E2594="!!!",F2594="NEW"),"",COUNTBLANK(OFFSET(A$1,,,SUMPRODUCT(MAX(ROW(E$2:E2594)*(E2594=E$2:E2594)))))-COUNTBLANK(OFFSET(A$1,,,SUMPRODUCT(MAX(ROW(E$1:E2593)*(E2=E$1:E2593))))))</f>
        <v> </v>
      </c>
      <c r="K2594" s="25" t="str">
        <f>IF(OR(E2594="",E2594="!!!",F2594="NEW"),"",INDEX(J$1:J2593,SUMPRODUCT(MAX(ROW(E$1:E2593)*(E2594=E$1:E2593)))))</f>
        <v> </v>
      </c>
      <c r="L2594" s="26"/>
    </row>
    <row r="2595" spans="1:12">
      <c r="A2595" s="20" t="s">
        <v>1891</v>
      </c>
      <c r="E2595" s="21">
        <f>IF(D2595="?OLD","!!!","")</f>
        <v/>
      </c>
      <c r="F2595" s="22" t="str">
        <f>IF(OR(E2595="",E2595="!!!"),"",IF(NOT(ISNA(VLOOKUP(E2595,E$1:E2594,1,FALSE()))),"OLD",IF(AND(E2595&lt;&gt;"",E2595&lt;&gt;"!!!"),"NEW","")))</f>
        <v> </v>
      </c>
      <c r="G2595" s="23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4" t="str">
        <f>IF(J2595&lt;&gt;1,"",IF(I2595="SBJ","CB","?"))</f>
        <v> </v>
      </c>
      <c r="I2595" s="25" t="str">
        <f>IF(OR(E2595="",E2595="!!!",F2595="NEW"),"",INDEX(B2594:B$2,-1+SUMPRODUCT(MAX(ROW(E2594:E$2)*(E2595=E2594:E$2)))))</f>
        <v> </v>
      </c>
      <c r="J2595" s="25" t="str">
        <f>IF(OR(E2595="",E2595="!!!",F2595="NEW"),"",COUNTBLANK(OFFSET(A$1,,,SUMPRODUCT(MAX(ROW(E$2:E2595)*(E2595=E$2:E2595)))))-COUNTBLANK(OFFSET(A$1,,,SUMPRODUCT(MAX(ROW(E$1:E2594)*(E2=E$1:E2594))))))</f>
        <v> </v>
      </c>
      <c r="K2595" s="25" t="str">
        <f>IF(OR(E2595="",E2595="!!!",F2595="NEW"),"",INDEX(J$1:J2594,SUMPRODUCT(MAX(ROW(E$1:E2594)*(E2595=E$1:E2594)))))</f>
        <v> </v>
      </c>
      <c r="L2595" s="26"/>
    </row>
    <row r="2596" spans="1:12">
      <c r="A2596" s="20" t="s">
        <v>765</v>
      </c>
      <c r="E2596" s="21">
        <f>IF(D2596="?OLD","!!!","")</f>
        <v/>
      </c>
      <c r="F2596" s="22" t="str">
        <f>IF(OR(E2596="",E2596="!!!"),"",IF(NOT(ISNA(VLOOKUP(E2596,E$1:E2595,1,FALSE()))),"OLD",IF(AND(E2596&lt;&gt;"",E2596&lt;&gt;"!!!"),"NEW","")))</f>
        <v> </v>
      </c>
      <c r="G2596" s="23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4" t="str">
        <f>IF(J2596&lt;&gt;1,"",IF(I2596="SBJ","CB","?"))</f>
        <v> </v>
      </c>
      <c r="I2596" s="25" t="str">
        <f>IF(OR(E2596="",E2596="!!!",F2596="NEW"),"",INDEX(B2595:B$2,-1+SUMPRODUCT(MAX(ROW(E2595:E$2)*(E2596=E2595:E$2)))))</f>
        <v> </v>
      </c>
      <c r="J2596" s="25" t="str">
        <f>IF(OR(E2596="",E2596="!!!",F2596="NEW"),"",COUNTBLANK(OFFSET(A$1,,,SUMPRODUCT(MAX(ROW(E$2:E2596)*(E2596=E$2:E2596)))))-COUNTBLANK(OFFSET(A$1,,,SUMPRODUCT(MAX(ROW(E$1:E2595)*(E2=E$1:E2595))))))</f>
        <v> </v>
      </c>
      <c r="K2596" s="25" t="str">
        <f>IF(OR(E2596="",E2596="!!!",F2596="NEW"),"",INDEX(J$1:J2595,SUMPRODUCT(MAX(ROW(E$1:E2595)*(E2596=E$1:E2595)))))</f>
        <v> </v>
      </c>
      <c r="L2596" s="26"/>
    </row>
    <row r="2597" spans="1:12">
      <c r="A2597" s="20"/>
    </row>
    <row r="2598" spans="1:12">
      <c r="A2598" s="20" t="s">
        <v>1892</v>
      </c>
    </row>
    <row r="2599" spans="1:12">
      <c r="A2599" s="20" t="s">
        <v>1175</v>
      </c>
      <c r="E2599" s="21">
        <f>IF(D2599="?OLD","!!!","")</f>
        <v/>
      </c>
      <c r="F2599" s="22" t="str">
        <f>IF(OR(E2599="",E2599="!!!"),"",IF(NOT(ISNA(VLOOKUP(E2599,E$1:E2598,1,FALSE()))),"OLD",IF(AND(E2599&lt;&gt;"",E2599&lt;&gt;"!!!"),"NEW","")))</f>
        <v> </v>
      </c>
      <c r="G2599" s="23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4" t="str">
        <f>IF(J2599&lt;&gt;1,"",IF(I2599="SBJ","CB","?"))</f>
        <v> </v>
      </c>
      <c r="I2599" s="25" t="str">
        <f>IF(OR(E2599="",E2599="!!!",F2599="NEW"),"",INDEX(B2598:B$2,-1+SUMPRODUCT(MAX(ROW(E2598:E$2)*(E2599=E2598:E$2)))))</f>
        <v> </v>
      </c>
      <c r="J2599" s="25" t="str">
        <f>IF(OR(E2599="",E2599="!!!",F2599="NEW"),"",COUNTBLANK(OFFSET(A$1,,,SUMPRODUCT(MAX(ROW(E$2:E2599)*(E2599=E$2:E2599)))))-COUNTBLANK(OFFSET(A$1,,,SUMPRODUCT(MAX(ROW(E$1:E2598)*(E2=E$1:E2598))))))</f>
        <v> </v>
      </c>
      <c r="K2599" s="25" t="str">
        <f>IF(OR(E2599="",E2599="!!!",F2599="NEW"),"",INDEX(J$1:J2598,SUMPRODUCT(MAX(ROW(E$1:E2598)*(E2599=E$1:E2598)))))</f>
        <v> </v>
      </c>
      <c r="L2599" s="26"/>
    </row>
    <row r="2600" spans="1:12">
      <c r="A2600" s="20" t="s">
        <v>584</v>
      </c>
      <c r="E2600" s="21">
        <f>IF(D2600="?OLD","!!!","")</f>
        <v/>
      </c>
      <c r="F2600" s="22" t="str">
        <f>IF(OR(E2600="",E2600="!!!"),"",IF(NOT(ISNA(VLOOKUP(E2600,E$1:E2599,1,FALSE()))),"OLD",IF(AND(E2600&lt;&gt;"",E2600&lt;&gt;"!!!"),"NEW","")))</f>
        <v> </v>
      </c>
      <c r="G2600" s="23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4" t="str">
        <f>IF(J2600&lt;&gt;1,"",IF(I2600="SBJ","CB","?"))</f>
        <v> </v>
      </c>
      <c r="I2600" s="25" t="str">
        <f>IF(OR(E2600="",E2600="!!!",F2600="NEW"),"",INDEX(B2599:B$2,-1+SUMPRODUCT(MAX(ROW(E2599:E$2)*(E2600=E2599:E$2)))))</f>
        <v> </v>
      </c>
      <c r="J2600" s="25" t="str">
        <f>IF(OR(E2600="",E2600="!!!",F2600="NEW"),"",COUNTBLANK(OFFSET(A$1,,,SUMPRODUCT(MAX(ROW(E$2:E2600)*(E2600=E$2:E2600)))))-COUNTBLANK(OFFSET(A$1,,,SUMPRODUCT(MAX(ROW(E$1:E2599)*(E2=E$1:E2599))))))</f>
        <v> </v>
      </c>
      <c r="K2600" s="25" t="str">
        <f>IF(OR(E2600="",E2600="!!!",F2600="NEW"),"",INDEX(J$1:J2599,SUMPRODUCT(MAX(ROW(E$1:E2599)*(E2600=E$1:E2599)))))</f>
        <v> </v>
      </c>
      <c r="L2600" s="26"/>
    </row>
    <row r="2601" spans="1:12">
      <c r="A2601" s="20" t="s">
        <v>739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 t="s">
        <v>842</v>
      </c>
      <c r="E2602" s="21">
        <f>IF(D2602="?OLD","!!!","")</f>
        <v/>
      </c>
      <c r="F2602" s="22" t="str">
        <f>IF(OR(E2602="",E2602="!!!"),"",IF(NOT(ISNA(VLOOKUP(E2602,E$1:E2601,1,FALSE()))),"OLD",IF(AND(E2602&lt;&gt;"",E2602&lt;&gt;"!!!"),"NEW","")))</f>
        <v> </v>
      </c>
      <c r="G2602" s="23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4" t="str">
        <f>IF(J2602&lt;&gt;1,"",IF(I2602="SBJ","CB","?"))</f>
        <v> </v>
      </c>
      <c r="I2602" s="25" t="str">
        <f>IF(OR(E2602="",E2602="!!!",F2602="NEW"),"",INDEX(B2601:B$2,-1+SUMPRODUCT(MAX(ROW(E2601:E$2)*(E2602=E2601:E$2)))))</f>
        <v> </v>
      </c>
      <c r="J2602" s="25" t="str">
        <f>IF(OR(E2602="",E2602="!!!",F2602="NEW"),"",COUNTBLANK(OFFSET(A$1,,,SUMPRODUCT(MAX(ROW(E$2:E2602)*(E2602=E$2:E2602)))))-COUNTBLANK(OFFSET(A$1,,,SUMPRODUCT(MAX(ROW(E$1:E2601)*(E2=E$1:E2601))))))</f>
        <v> </v>
      </c>
      <c r="K2602" s="25" t="str">
        <f>IF(OR(E2602="",E2602="!!!",F2602="NEW"),"",INDEX(J$1:J2601,SUMPRODUCT(MAX(ROW(E$1:E2601)*(E2602=E$1:E2601)))))</f>
        <v> </v>
      </c>
      <c r="L2602" s="26"/>
    </row>
    <row r="2603" spans="1:12">
      <c r="A2603" s="20" t="s">
        <v>1893</v>
      </c>
      <c r="B2603" s="27" t="s">
        <v>762</v>
      </c>
      <c r="C2603" s="27" t="s">
        <v>747</v>
      </c>
      <c r="E2603" s="21">
        <f>IF(D2603="?OLD","!!!","")</f>
        <v/>
      </c>
      <c r="F2603" s="22" t="str">
        <f>IF(OR(E2603="",E2603="!!!"),"",IF(NOT(ISNA(VLOOKUP(E2603,E$1:E2602,1,FALSE()))),"OLD",IF(AND(E2603&lt;&gt;"",E2603&lt;&gt;"!!!"),"NEW","")))</f>
        <v> </v>
      </c>
      <c r="G2603" s="23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4" t="str">
        <f>IF(J2603&lt;&gt;1,"",IF(I2603="SBJ","CB","?"))</f>
        <v> </v>
      </c>
      <c r="I2603" s="25" t="str">
        <f>IF(OR(E2603="",E2603="!!!",F2603="NEW"),"",INDEX(B2602:B$2,-1+SUMPRODUCT(MAX(ROW(E2602:E$2)*(E2603=E2602:E$2)))))</f>
        <v> </v>
      </c>
      <c r="J2603" s="25" t="str">
        <f>IF(OR(E2603="",E2603="!!!",F2603="NEW"),"",COUNTBLANK(OFFSET(A$1,,,SUMPRODUCT(MAX(ROW(E$2:E2603)*(E2603=E$2:E2603)))))-COUNTBLANK(OFFSET(A$1,,,SUMPRODUCT(MAX(ROW(E$1:E2602)*(E2=E$1:E2602))))))</f>
        <v> </v>
      </c>
      <c r="K2603" s="25" t="str">
        <f>IF(OR(E2603="",E2603="!!!",F2603="NEW"),"",INDEX(J$1:J2602,SUMPRODUCT(MAX(ROW(E$1:E2602)*(E2603=E$1:E2602)))))</f>
        <v> </v>
      </c>
      <c r="L2603" s="26"/>
    </row>
    <row r="2604" spans="1:12">
      <c r="A2604" s="20" t="s">
        <v>793</v>
      </c>
      <c r="E2604" s="21">
        <f>IF(D2604="?OLD","!!!","")</f>
        <v/>
      </c>
      <c r="F2604" s="22" t="str">
        <f>IF(OR(E2604="",E2604="!!!"),"",IF(NOT(ISNA(VLOOKUP(E2604,E$1:E2603,1,FALSE()))),"OLD",IF(AND(E2604&lt;&gt;"",E2604&lt;&gt;"!!!"),"NEW","")))</f>
        <v> </v>
      </c>
      <c r="G2604" s="23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4" t="str">
        <f>IF(J2604&lt;&gt;1,"",IF(I2604="SBJ","CB","?"))</f>
        <v> </v>
      </c>
      <c r="I2604" s="25" t="str">
        <f>IF(OR(E2604="",E2604="!!!",F2604="NEW"),"",INDEX(B2603:B$2,-1+SUMPRODUCT(MAX(ROW(E2603:E$2)*(E2604=E2603:E$2)))))</f>
        <v> </v>
      </c>
      <c r="J2604" s="25" t="str">
        <f>IF(OR(E2604="",E2604="!!!",F2604="NEW"),"",COUNTBLANK(OFFSET(A$1,,,SUMPRODUCT(MAX(ROW(E$2:E2604)*(E2604=E$2:E2604)))))-COUNTBLANK(OFFSET(A$1,,,SUMPRODUCT(MAX(ROW(E$1:E2603)*(E2=E$1:E2603))))))</f>
        <v> </v>
      </c>
      <c r="K2604" s="25" t="str">
        <f>IF(OR(E2604="",E2604="!!!",F2604="NEW"),"",INDEX(J$1:J2603,SUMPRODUCT(MAX(ROW(E$1:E2603)*(E2604=E$1:E2603)))))</f>
        <v> </v>
      </c>
      <c r="L2604" s="26"/>
    </row>
    <row r="2605" spans="1:12">
      <c r="A2605" s="20" t="s">
        <v>1884</v>
      </c>
      <c r="E2605" s="21">
        <f>IF(D2605="?OLD","!!!","")</f>
        <v/>
      </c>
      <c r="F2605" s="22" t="str">
        <f>IF(OR(E2605="",E2605="!!!"),"",IF(NOT(ISNA(VLOOKUP(E2605,E$1:E2604,1,FALSE()))),"OLD",IF(AND(E2605&lt;&gt;"",E2605&lt;&gt;"!!!"),"NEW","")))</f>
        <v> </v>
      </c>
      <c r="G2605" s="23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4" t="str">
        <f>IF(J2605&lt;&gt;1,"",IF(I2605="SBJ","CB","?"))</f>
        <v> </v>
      </c>
      <c r="I2605" s="25" t="str">
        <f>IF(OR(E2605="",E2605="!!!",F2605="NEW"),"",INDEX(B2604:B$2,-1+SUMPRODUCT(MAX(ROW(E2604:E$2)*(E2605=E2604:E$2)))))</f>
        <v> </v>
      </c>
      <c r="J2605" s="25" t="str">
        <f>IF(OR(E2605="",E2605="!!!",F2605="NEW"),"",COUNTBLANK(OFFSET(A$1,,,SUMPRODUCT(MAX(ROW(E$2:E2605)*(E2605=E$2:E2605)))))-COUNTBLANK(OFFSET(A$1,,,SUMPRODUCT(MAX(ROW(E$1:E2604)*(E2=E$1:E2604))))))</f>
        <v> </v>
      </c>
      <c r="K2605" s="25" t="str">
        <f>IF(OR(E2605="",E2605="!!!",F2605="NEW"),"",INDEX(J$1:J2604,SUMPRODUCT(MAX(ROW(E$1:E2604)*(E2605=E$1:E2604)))))</f>
        <v> </v>
      </c>
      <c r="L2605" s="26"/>
    </row>
    <row r="2606" spans="1:12">
      <c r="A2606" s="20" t="s">
        <v>752</v>
      </c>
      <c r="E2606" s="21">
        <f>IF(D2606="?OLD","!!!","")</f>
        <v/>
      </c>
      <c r="F2606" s="22" t="str">
        <f>IF(OR(E2606="",E2606="!!!"),"",IF(NOT(ISNA(VLOOKUP(E2606,E$1:E2605,1,FALSE()))),"OLD",IF(AND(E2606&lt;&gt;"",E2606&lt;&gt;"!!!"),"NEW","")))</f>
        <v> </v>
      </c>
      <c r="G2606" s="23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4" t="str">
        <f>IF(J2606&lt;&gt;1,"",IF(I2606="SBJ","CB","?"))</f>
        <v> </v>
      </c>
      <c r="I2606" s="25" t="str">
        <f>IF(OR(E2606="",E2606="!!!",F2606="NEW"),"",INDEX(B2605:B$2,-1+SUMPRODUCT(MAX(ROW(E2605:E$2)*(E2606=E2605:E$2)))))</f>
        <v> </v>
      </c>
      <c r="J2606" s="25" t="str">
        <f>IF(OR(E2606="",E2606="!!!",F2606="NEW"),"",COUNTBLANK(OFFSET(A$1,,,SUMPRODUCT(MAX(ROW(E$2:E2606)*(E2606=E$2:E2606)))))-COUNTBLANK(OFFSET(A$1,,,SUMPRODUCT(MAX(ROW(E$1:E2605)*(E2=E$1:E2605))))))</f>
        <v> </v>
      </c>
      <c r="K2606" s="25" t="str">
        <f>IF(OR(E2606="",E2606="!!!",F2606="NEW"),"",INDEX(J$1:J2605,SUMPRODUCT(MAX(ROW(E$1:E2605)*(E2606=E$1:E2605)))))</f>
        <v> </v>
      </c>
      <c r="L2606" s="26"/>
    </row>
    <row r="2607" spans="1:12">
      <c r="A2607" s="20"/>
    </row>
    <row r="2608" spans="1:12">
      <c r="A2608" s="20" t="s">
        <v>1894</v>
      </c>
    </row>
    <row r="2609" spans="1:12">
      <c r="A2609" s="20" t="s">
        <v>957</v>
      </c>
      <c r="B2609" s="27" t="s">
        <v>734</v>
      </c>
      <c r="C2609" s="27" t="s">
        <v>756</v>
      </c>
      <c r="D2609" s="27" t="s">
        <v>736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 t="s">
        <v>1895</v>
      </c>
      <c r="E2610" s="21">
        <f>IF(D2610="?OLD","!!!","")</f>
        <v/>
      </c>
      <c r="F2610" s="22" t="str">
        <f>IF(OR(E2610="",E2610="!!!"),"",IF(NOT(ISNA(VLOOKUP(E2610,E$1:E2609,1,FALSE()))),"OLD",IF(AND(E2610&lt;&gt;"",E2610&lt;&gt;"!!!"),"NEW","")))</f>
        <v> </v>
      </c>
      <c r="G2610" s="23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4" t="str">
        <f>IF(J2610&lt;&gt;1,"",IF(I2610="SBJ","CB","?"))</f>
        <v> </v>
      </c>
      <c r="I2610" s="25" t="str">
        <f>IF(OR(E2610="",E2610="!!!",F2610="NEW"),"",INDEX(B2609:B$2,-1+SUMPRODUCT(MAX(ROW(E2609:E$2)*(E2610=E2609:E$2)))))</f>
        <v> </v>
      </c>
      <c r="J2610" s="25" t="str">
        <f>IF(OR(E2610="",E2610="!!!",F2610="NEW"),"",COUNTBLANK(OFFSET(A$1,,,SUMPRODUCT(MAX(ROW(E$2:E2610)*(E2610=E$2:E2610)))))-COUNTBLANK(OFFSET(A$1,,,SUMPRODUCT(MAX(ROW(E$1:E2609)*(E2=E$1:E2609))))))</f>
        <v> </v>
      </c>
      <c r="K2610" s="25" t="str">
        <f>IF(OR(E2610="",E2610="!!!",F2610="NEW"),"",INDEX(J$1:J2609,SUMPRODUCT(MAX(ROW(E$1:E2609)*(E2610=E$1:E2609)))))</f>
        <v> </v>
      </c>
      <c r="L2610" s="26"/>
    </row>
    <row r="2611" spans="1:12">
      <c r="A2611" s="20" t="s">
        <v>1896</v>
      </c>
      <c r="E2611" s="21">
        <f>IF(D2611="?OLD","!!!","")</f>
        <v/>
      </c>
      <c r="F2611" s="22" t="str">
        <f>IF(OR(E2611="",E2611="!!!"),"",IF(NOT(ISNA(VLOOKUP(E2611,E$1:E2610,1,FALSE()))),"OLD",IF(AND(E2611&lt;&gt;"",E2611&lt;&gt;"!!!"),"NEW","")))</f>
        <v> </v>
      </c>
      <c r="G2611" s="23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4" t="str">
        <f>IF(J2611&lt;&gt;1,"",IF(I2611="SBJ","CB","?"))</f>
        <v> </v>
      </c>
      <c r="I2611" s="25" t="str">
        <f>IF(OR(E2611="",E2611="!!!",F2611="NEW"),"",INDEX(B2610:B$2,-1+SUMPRODUCT(MAX(ROW(E2610:E$2)*(E2611=E2610:E$2)))))</f>
        <v> </v>
      </c>
      <c r="J2611" s="25" t="str">
        <f>IF(OR(E2611="",E2611="!!!",F2611="NEW"),"",COUNTBLANK(OFFSET(A$1,,,SUMPRODUCT(MAX(ROW(E$2:E2611)*(E2611=E$2:E2611)))))-COUNTBLANK(OFFSET(A$1,,,SUMPRODUCT(MAX(ROW(E$1:E2610)*(E2=E$1:E2610))))))</f>
        <v> </v>
      </c>
      <c r="K2611" s="25" t="str">
        <f>IF(OR(E2611="",E2611="!!!",F2611="NEW"),"",INDEX(J$1:J2610,SUMPRODUCT(MAX(ROW(E$1:E2610)*(E2611=E$1:E2610)))))</f>
        <v> </v>
      </c>
      <c r="L2611" s="26"/>
    </row>
    <row r="2612" spans="1:12">
      <c r="A2612" s="20" t="s">
        <v>1897</v>
      </c>
      <c r="B2612" s="27" t="s">
        <v>755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 t="s">
        <v>744</v>
      </c>
      <c r="E2613" s="21">
        <f>IF(D2613="?OLD","!!!","")</f>
        <v/>
      </c>
      <c r="F2613" s="22" t="str">
        <f>IF(OR(E2613="",E2613="!!!"),"",IF(NOT(ISNA(VLOOKUP(E2613,E$1:E2612,1,FALSE()))),"OLD",IF(AND(E2613&lt;&gt;"",E2613&lt;&gt;"!!!"),"NEW","")))</f>
        <v> </v>
      </c>
      <c r="G2613" s="23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4" t="str">
        <f>IF(J2613&lt;&gt;1,"",IF(I2613="SBJ","CB","?"))</f>
        <v> </v>
      </c>
      <c r="I2613" s="25" t="str">
        <f>IF(OR(E2613="",E2613="!!!",F2613="NEW"),"",INDEX(B2612:B$2,-1+SUMPRODUCT(MAX(ROW(E2612:E$2)*(E2613=E2612:E$2)))))</f>
        <v> </v>
      </c>
      <c r="J2613" s="25" t="str">
        <f>IF(OR(E2613="",E2613="!!!",F2613="NEW"),"",COUNTBLANK(OFFSET(A$1,,,SUMPRODUCT(MAX(ROW(E$2:E2613)*(E2613=E$2:E2613)))))-COUNTBLANK(OFFSET(A$1,,,SUMPRODUCT(MAX(ROW(E$1:E2612)*(E2=E$1:E2612))))))</f>
        <v> </v>
      </c>
      <c r="K2613" s="25" t="str">
        <f>IF(OR(E2613="",E2613="!!!",F2613="NEW"),"",INDEX(J$1:J2612,SUMPRODUCT(MAX(ROW(E$1:E2612)*(E2613=E$1:E2612)))))</f>
        <v> </v>
      </c>
      <c r="L2613" s="26"/>
    </row>
    <row r="2614" spans="1:12">
      <c r="A2614" s="20" t="s">
        <v>699</v>
      </c>
      <c r="E2614" s="21">
        <f>IF(D2614="?OLD","!!!","")</f>
        <v/>
      </c>
      <c r="F2614" s="22" t="str">
        <f>IF(OR(E2614="",E2614="!!!"),"",IF(NOT(ISNA(VLOOKUP(E2614,E$1:E2613,1,FALSE()))),"OLD",IF(AND(E2614&lt;&gt;"",E2614&lt;&gt;"!!!"),"NEW","")))</f>
        <v> </v>
      </c>
      <c r="G2614" s="23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4" t="str">
        <f>IF(J2614&lt;&gt;1,"",IF(I2614="SBJ","CB","?"))</f>
        <v> </v>
      </c>
      <c r="I2614" s="25" t="str">
        <f>IF(OR(E2614="",E2614="!!!",F2614="NEW"),"",INDEX(B2613:B$2,-1+SUMPRODUCT(MAX(ROW(E2613:E$2)*(E2614=E2613:E$2)))))</f>
        <v> </v>
      </c>
      <c r="J2614" s="25" t="str">
        <f>IF(OR(E2614="",E2614="!!!",F2614="NEW"),"",COUNTBLANK(OFFSET(A$1,,,SUMPRODUCT(MAX(ROW(E$2:E2614)*(E2614=E$2:E2614)))))-COUNTBLANK(OFFSET(A$1,,,SUMPRODUCT(MAX(ROW(E$1:E2613)*(E2=E$1:E2613))))))</f>
        <v> </v>
      </c>
      <c r="K2614" s="25" t="str">
        <f>IF(OR(E2614="",E2614="!!!",F2614="NEW"),"",INDEX(J$1:J2613,SUMPRODUCT(MAX(ROW(E$1:E2613)*(E2614=E$1:E2613)))))</f>
        <v> </v>
      </c>
      <c r="L2614" s="26"/>
    </row>
    <row r="2615" spans="1:12">
      <c r="A2615" s="20" t="s">
        <v>759</v>
      </c>
      <c r="E2615" s="21">
        <f>IF(D2615="?OLD","!!!","")</f>
        <v/>
      </c>
      <c r="F2615" s="22" t="str">
        <f>IF(OR(E2615="",E2615="!!!"),"",IF(NOT(ISNA(VLOOKUP(E2615,E$1:E2614,1,FALSE()))),"OLD",IF(AND(E2615&lt;&gt;"",E2615&lt;&gt;"!!!"),"NEW","")))</f>
        <v> </v>
      </c>
      <c r="G2615" s="23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4" t="str">
        <f>IF(J2615&lt;&gt;1,"",IF(I2615="SBJ","CB","?"))</f>
        <v> </v>
      </c>
      <c r="I2615" s="25" t="str">
        <f>IF(OR(E2615="",E2615="!!!",F2615="NEW"),"",INDEX(B2614:B$2,-1+SUMPRODUCT(MAX(ROW(E2614:E$2)*(E2615=E2614:E$2)))))</f>
        <v> </v>
      </c>
      <c r="J2615" s="25" t="str">
        <f>IF(OR(E2615="",E2615="!!!",F2615="NEW"),"",COUNTBLANK(OFFSET(A$1,,,SUMPRODUCT(MAX(ROW(E$2:E2615)*(E2615=E$2:E2615)))))-COUNTBLANK(OFFSET(A$1,,,SUMPRODUCT(MAX(ROW(E$1:E2614)*(E2=E$1:E2614))))))</f>
        <v> </v>
      </c>
      <c r="K2615" s="25" t="str">
        <f>IF(OR(E2615="",E2615="!!!",F2615="NEW"),"",INDEX(J$1:J2614,SUMPRODUCT(MAX(ROW(E$1:E2614)*(E2615=E$1:E2614)))))</f>
        <v> </v>
      </c>
      <c r="L2615" s="26"/>
    </row>
    <row r="2616" spans="1:12">
      <c r="A2616" s="20" t="s">
        <v>1898</v>
      </c>
      <c r="B2616" s="27" t="s">
        <v>762</v>
      </c>
      <c r="E2616" s="21">
        <f>IF(D2616="?OLD","!!!","")</f>
        <v/>
      </c>
      <c r="F2616" s="22" t="str">
        <f>IF(OR(E2616="",E2616="!!!"),"",IF(NOT(ISNA(VLOOKUP(E2616,E$1:E2615,1,FALSE()))),"OLD",IF(AND(E2616&lt;&gt;"",E2616&lt;&gt;"!!!"),"NEW","")))</f>
        <v> </v>
      </c>
      <c r="G2616" s="23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4" t="str">
        <f>IF(J2616&lt;&gt;1,"",IF(I2616="SBJ","CB","?"))</f>
        <v> </v>
      </c>
      <c r="I2616" s="25" t="str">
        <f>IF(OR(E2616="",E2616="!!!",F2616="NEW"),"",INDEX(B2615:B$2,-1+SUMPRODUCT(MAX(ROW(E2615:E$2)*(E2616=E2615:E$2)))))</f>
        <v> </v>
      </c>
      <c r="J2616" s="25" t="str">
        <f>IF(OR(E2616="",E2616="!!!",F2616="NEW"),"",COUNTBLANK(OFFSET(A$1,,,SUMPRODUCT(MAX(ROW(E$2:E2616)*(E2616=E$2:E2616)))))-COUNTBLANK(OFFSET(A$1,,,SUMPRODUCT(MAX(ROW(E$1:E2615)*(E2=E$1:E2615))))))</f>
        <v> </v>
      </c>
      <c r="K2616" s="25" t="str">
        <f>IF(OR(E2616="",E2616="!!!",F2616="NEW"),"",INDEX(J$1:J2615,SUMPRODUCT(MAX(ROW(E$1:E2615)*(E2616=E$1:E2615)))))</f>
        <v> </v>
      </c>
      <c r="L2616" s="26"/>
    </row>
    <row r="2617" spans="1:12">
      <c r="A2617" s="20" t="s">
        <v>1899</v>
      </c>
      <c r="E2617" s="21">
        <f>IF(D2617="?OLD","!!!","")</f>
        <v/>
      </c>
      <c r="F2617" s="22" t="str">
        <f>IF(OR(E2617="",E2617="!!!"),"",IF(NOT(ISNA(VLOOKUP(E2617,E$1:E2616,1,FALSE()))),"OLD",IF(AND(E2617&lt;&gt;"",E2617&lt;&gt;"!!!"),"NEW","")))</f>
        <v> </v>
      </c>
      <c r="G2617" s="23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4" t="str">
        <f>IF(J2617&lt;&gt;1,"",IF(I2617="SBJ","CB","?"))</f>
        <v> </v>
      </c>
      <c r="I2617" s="25" t="str">
        <f>IF(OR(E2617="",E2617="!!!",F2617="NEW"),"",INDEX(B2616:B$2,-1+SUMPRODUCT(MAX(ROW(E2616:E$2)*(E2617=E2616:E$2)))))</f>
        <v> </v>
      </c>
      <c r="J2617" s="25" t="str">
        <f>IF(OR(E2617="",E2617="!!!",F2617="NEW"),"",COUNTBLANK(OFFSET(A$1,,,SUMPRODUCT(MAX(ROW(E$2:E2617)*(E2617=E$2:E2617)))))-COUNTBLANK(OFFSET(A$1,,,SUMPRODUCT(MAX(ROW(E$1:E2616)*(E2=E$1:E2616))))))</f>
        <v> </v>
      </c>
      <c r="K2617" s="25" t="str">
        <f>IF(OR(E2617="",E2617="!!!",F2617="NEW"),"",INDEX(J$1:J2616,SUMPRODUCT(MAX(ROW(E$1:E2616)*(E2617=E$1:E2616)))))</f>
        <v> </v>
      </c>
      <c r="L2617" s="26"/>
    </row>
    <row r="2618" spans="1:12">
      <c r="A2618" s="20" t="s">
        <v>744</v>
      </c>
      <c r="E2618" s="21">
        <f>IF(D2618="?OLD","!!!","")</f>
        <v/>
      </c>
      <c r="F2618" s="22" t="str">
        <f>IF(OR(E2618="",E2618="!!!"),"",IF(NOT(ISNA(VLOOKUP(E2618,E$1:E2617,1,FALSE()))),"OLD",IF(AND(E2618&lt;&gt;"",E2618&lt;&gt;"!!!"),"NEW","")))</f>
        <v> </v>
      </c>
      <c r="G2618" s="23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4" t="str">
        <f>IF(J2618&lt;&gt;1,"",IF(I2618="SBJ","CB","?"))</f>
        <v> </v>
      </c>
      <c r="I2618" s="25" t="str">
        <f>IF(OR(E2618="",E2618="!!!",F2618="NEW"),"",INDEX(B2617:B$2,-1+SUMPRODUCT(MAX(ROW(E2617:E$2)*(E2618=E2617:E$2)))))</f>
        <v> </v>
      </c>
      <c r="J2618" s="25" t="str">
        <f>IF(OR(E2618="",E2618="!!!",F2618="NEW"),"",COUNTBLANK(OFFSET(A$1,,,SUMPRODUCT(MAX(ROW(E$2:E2618)*(E2618=E$2:E2618)))))-COUNTBLANK(OFFSET(A$1,,,SUMPRODUCT(MAX(ROW(E$1:E2617)*(E2=E$1:E2617))))))</f>
        <v> </v>
      </c>
      <c r="K2618" s="25" t="str">
        <f>IF(OR(E2618="",E2618="!!!",F2618="NEW"),"",INDEX(J$1:J2617,SUMPRODUCT(MAX(ROW(E$1:E2617)*(E2618=E$1:E2617)))))</f>
        <v> </v>
      </c>
      <c r="L2618" s="26"/>
    </row>
    <row r="2619" spans="1:12">
      <c r="A2619" s="20" t="s">
        <v>763</v>
      </c>
      <c r="E2619" s="21">
        <f>IF(D2619="?OLD","!!!","")</f>
        <v/>
      </c>
      <c r="F2619" s="22" t="str">
        <f>IF(OR(E2619="",E2619="!!!"),"",IF(NOT(ISNA(VLOOKUP(E2619,E$1:E2618,1,FALSE()))),"OLD",IF(AND(E2619&lt;&gt;"",E2619&lt;&gt;"!!!"),"NEW","")))</f>
        <v> </v>
      </c>
      <c r="G2619" s="23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4" t="str">
        <f>IF(J2619&lt;&gt;1,"",IF(I2619="SBJ","CB","?"))</f>
        <v> </v>
      </c>
      <c r="I2619" s="25" t="str">
        <f>IF(OR(E2619="",E2619="!!!",F2619="NEW"),"",INDEX(B2618:B$2,-1+SUMPRODUCT(MAX(ROW(E2618:E$2)*(E2619=E2618:E$2)))))</f>
        <v> </v>
      </c>
      <c r="J2619" s="25" t="str">
        <f>IF(OR(E2619="",E2619="!!!",F2619="NEW"),"",COUNTBLANK(OFFSET(A$1,,,SUMPRODUCT(MAX(ROW(E$2:E2619)*(E2619=E$2:E2619)))))-COUNTBLANK(OFFSET(A$1,,,SUMPRODUCT(MAX(ROW(E$1:E2618)*(E2=E$1:E2618))))))</f>
        <v> </v>
      </c>
      <c r="K2619" s="25" t="str">
        <f>IF(OR(E2619="",E2619="!!!",F2619="NEW"),"",INDEX(J$1:J2618,SUMPRODUCT(MAX(ROW(E$1:E2618)*(E2619=E$1:E2618)))))</f>
        <v> </v>
      </c>
      <c r="L2619" s="26"/>
    </row>
    <row r="2620" spans="1:12">
      <c r="A2620" s="20" t="s">
        <v>556</v>
      </c>
      <c r="E2620" s="21">
        <f>IF(D2620="?OLD","!!!","")</f>
        <v/>
      </c>
      <c r="F2620" s="22" t="str">
        <f>IF(OR(E2620="",E2620="!!!"),"",IF(NOT(ISNA(VLOOKUP(E2620,E$1:E2619,1,FALSE()))),"OLD",IF(AND(E2620&lt;&gt;"",E2620&lt;&gt;"!!!"),"NEW","")))</f>
        <v> </v>
      </c>
      <c r="G2620" s="23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4" t="str">
        <f>IF(J2620&lt;&gt;1,"",IF(I2620="SBJ","CB","?"))</f>
        <v> </v>
      </c>
      <c r="I2620" s="25" t="str">
        <f>IF(OR(E2620="",E2620="!!!",F2620="NEW"),"",INDEX(B2619:B$2,-1+SUMPRODUCT(MAX(ROW(E2619:E$2)*(E2620=E2619:E$2)))))</f>
        <v> </v>
      </c>
      <c r="J2620" s="25" t="str">
        <f>IF(OR(E2620="",E2620="!!!",F2620="NEW"),"",COUNTBLANK(OFFSET(A$1,,,SUMPRODUCT(MAX(ROW(E$2:E2620)*(E2620=E$2:E2620)))))-COUNTBLANK(OFFSET(A$1,,,SUMPRODUCT(MAX(ROW(E$1:E2619)*(E2=E$1:E2619))))))</f>
        <v> </v>
      </c>
      <c r="K2620" s="25" t="str">
        <f>IF(OR(E2620="",E2620="!!!",F2620="NEW"),"",INDEX(J$1:J2619,SUMPRODUCT(MAX(ROW(E$1:E2619)*(E2620=E$1:E2619)))))</f>
        <v> </v>
      </c>
      <c r="L2620" s="26"/>
    </row>
    <row r="2621" spans="1:12">
      <c r="A2621" s="20" t="s">
        <v>1900</v>
      </c>
      <c r="E2621" s="21">
        <f>IF(D2621="?OLD","!!!","")</f>
        <v/>
      </c>
      <c r="F2621" s="22" t="str">
        <f>IF(OR(E2621="",E2621="!!!"),"",IF(NOT(ISNA(VLOOKUP(E2621,E$1:E2620,1,FALSE()))),"OLD",IF(AND(E2621&lt;&gt;"",E2621&lt;&gt;"!!!"),"NEW","")))</f>
        <v> </v>
      </c>
      <c r="G2621" s="23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4" t="str">
        <f>IF(J2621&lt;&gt;1,"",IF(I2621="SBJ","CB","?"))</f>
        <v> </v>
      </c>
      <c r="I2621" s="25" t="str">
        <f>IF(OR(E2621="",E2621="!!!",F2621="NEW"),"",INDEX(B2620:B$2,-1+SUMPRODUCT(MAX(ROW(E2620:E$2)*(E2621=E2620:E$2)))))</f>
        <v> </v>
      </c>
      <c r="J2621" s="25" t="str">
        <f>IF(OR(E2621="",E2621="!!!",F2621="NEW"),"",COUNTBLANK(OFFSET(A$1,,,SUMPRODUCT(MAX(ROW(E$2:E2621)*(E2621=E$2:E2621)))))-COUNTBLANK(OFFSET(A$1,,,SUMPRODUCT(MAX(ROW(E$1:E2620)*(E2=E$1:E2620))))))</f>
        <v> </v>
      </c>
      <c r="K2621" s="25" t="str">
        <f>IF(OR(E2621="",E2621="!!!",F2621="NEW"),"",INDEX(J$1:J2620,SUMPRODUCT(MAX(ROW(E$1:E2620)*(E2621=E$1:E2620)))))</f>
        <v> </v>
      </c>
      <c r="L2621" s="26"/>
    </row>
    <row r="2622" spans="1:12">
      <c r="A2622" s="20" t="s">
        <v>739</v>
      </c>
      <c r="E2622" s="21">
        <f>IF(D2622="?OLD","!!!","")</f>
        <v/>
      </c>
      <c r="F2622" s="22" t="str">
        <f>IF(OR(E2622="",E2622="!!!"),"",IF(NOT(ISNA(VLOOKUP(E2622,E$1:E2621,1,FALSE()))),"OLD",IF(AND(E2622&lt;&gt;"",E2622&lt;&gt;"!!!"),"NEW","")))</f>
        <v> </v>
      </c>
      <c r="G2622" s="23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4" t="str">
        <f>IF(J2622&lt;&gt;1,"",IF(I2622="SBJ","CB","?"))</f>
        <v> </v>
      </c>
      <c r="I2622" s="25" t="str">
        <f>IF(OR(E2622="",E2622="!!!",F2622="NEW"),"",INDEX(B2621:B$2,-1+SUMPRODUCT(MAX(ROW(E2621:E$2)*(E2622=E2621:E$2)))))</f>
        <v> </v>
      </c>
      <c r="J2622" s="25" t="str">
        <f>IF(OR(E2622="",E2622="!!!",F2622="NEW"),"",COUNTBLANK(OFFSET(A$1,,,SUMPRODUCT(MAX(ROW(E$2:E2622)*(E2622=E$2:E2622)))))-COUNTBLANK(OFFSET(A$1,,,SUMPRODUCT(MAX(ROW(E$1:E2621)*(E2=E$1:E2621))))))</f>
        <v> </v>
      </c>
      <c r="K2622" s="25" t="str">
        <f>IF(OR(E2622="",E2622="!!!",F2622="NEW"),"",INDEX(J$1:J2621,SUMPRODUCT(MAX(ROW(E$1:E2621)*(E2622=E$1:E2621)))))</f>
        <v> </v>
      </c>
      <c r="L2622" s="26"/>
    </row>
    <row r="2623" spans="1:12">
      <c r="A2623" s="20" t="s">
        <v>789</v>
      </c>
      <c r="B2623" s="27" t="s">
        <v>800</v>
      </c>
      <c r="C2623" s="27" t="s">
        <v>747</v>
      </c>
      <c r="E2623" s="21">
        <f>IF(D2623="?OLD","!!!","")</f>
        <v/>
      </c>
      <c r="F2623" s="22" t="str">
        <f>IF(OR(E2623="",E2623="!!!"),"",IF(NOT(ISNA(VLOOKUP(E2623,E$1:E2622,1,FALSE()))),"OLD",IF(AND(E2623&lt;&gt;"",E2623&lt;&gt;"!!!"),"NEW","")))</f>
        <v> </v>
      </c>
      <c r="G2623" s="23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4" t="str">
        <f>IF(J2623&lt;&gt;1,"",IF(I2623="SBJ","CB","?"))</f>
        <v> </v>
      </c>
      <c r="I2623" s="25" t="str">
        <f>IF(OR(E2623="",E2623="!!!",F2623="NEW"),"",INDEX(B2622:B$2,-1+SUMPRODUCT(MAX(ROW(E2622:E$2)*(E2623=E2622:E$2)))))</f>
        <v> </v>
      </c>
      <c r="J2623" s="25" t="str">
        <f>IF(OR(E2623="",E2623="!!!",F2623="NEW"),"",COUNTBLANK(OFFSET(A$1,,,SUMPRODUCT(MAX(ROW(E$2:E2623)*(E2623=E$2:E2623)))))-COUNTBLANK(OFFSET(A$1,,,SUMPRODUCT(MAX(ROW(E$1:E2622)*(E2=E$1:E2622))))))</f>
        <v> </v>
      </c>
      <c r="K2623" s="25" t="str">
        <f>IF(OR(E2623="",E2623="!!!",F2623="NEW"),"",INDEX(J$1:J2622,SUMPRODUCT(MAX(ROW(E$1:E2622)*(E2623=E$1:E2622)))))</f>
        <v> </v>
      </c>
      <c r="L2623" s="26"/>
    </row>
    <row r="2624" spans="1:12">
      <c r="A2624" s="20" t="s">
        <v>1901</v>
      </c>
      <c r="E2624" s="21">
        <f>IF(D2624="?OLD","!!!","")</f>
        <v/>
      </c>
      <c r="F2624" s="22" t="str">
        <f>IF(OR(E2624="",E2624="!!!"),"",IF(NOT(ISNA(VLOOKUP(E2624,E$1:E2623,1,FALSE()))),"OLD",IF(AND(E2624&lt;&gt;"",E2624&lt;&gt;"!!!"),"NEW","")))</f>
        <v> </v>
      </c>
      <c r="G2624" s="23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4" t="str">
        <f>IF(J2624&lt;&gt;1,"",IF(I2624="SBJ","CB","?"))</f>
        <v> </v>
      </c>
      <c r="I2624" s="25" t="str">
        <f>IF(OR(E2624="",E2624="!!!",F2624="NEW"),"",INDEX(B2623:B$2,-1+SUMPRODUCT(MAX(ROW(E2623:E$2)*(E2624=E2623:E$2)))))</f>
        <v> </v>
      </c>
      <c r="J2624" s="25" t="str">
        <f>IF(OR(E2624="",E2624="!!!",F2624="NEW"),"",COUNTBLANK(OFFSET(A$1,,,SUMPRODUCT(MAX(ROW(E$2:E2624)*(E2624=E$2:E2624)))))-COUNTBLANK(OFFSET(A$1,,,SUMPRODUCT(MAX(ROW(E$1:E2623)*(E2=E$1:E2623))))))</f>
        <v> </v>
      </c>
      <c r="K2624" s="25" t="str">
        <f>IF(OR(E2624="",E2624="!!!",F2624="NEW"),"",INDEX(J$1:J2623,SUMPRODUCT(MAX(ROW(E$1:E2623)*(E2624=E$1:E2623)))))</f>
        <v> </v>
      </c>
      <c r="L2624" s="26"/>
    </row>
    <row r="2625" spans="1:12">
      <c r="A2625" s="20" t="s">
        <v>752</v>
      </c>
      <c r="E2625" s="21">
        <f>IF(D2625="?OLD","!!!","")</f>
        <v/>
      </c>
      <c r="F2625" s="22" t="str">
        <f>IF(OR(E2625="",E2625="!!!"),"",IF(NOT(ISNA(VLOOKUP(E2625,E$1:E2624,1,FALSE()))),"OLD",IF(AND(E2625&lt;&gt;"",E2625&lt;&gt;"!!!"),"NEW","")))</f>
        <v> </v>
      </c>
      <c r="G2625" s="23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4" t="str">
        <f>IF(J2625&lt;&gt;1,"",IF(I2625="SBJ","CB","?"))</f>
        <v> </v>
      </c>
      <c r="I2625" s="25" t="str">
        <f>IF(OR(E2625="",E2625="!!!",F2625="NEW"),"",INDEX(B2624:B$2,-1+SUMPRODUCT(MAX(ROW(E2624:E$2)*(E2625=E2624:E$2)))))</f>
        <v> </v>
      </c>
      <c r="J2625" s="25" t="str">
        <f>IF(OR(E2625="",E2625="!!!",F2625="NEW"),"",COUNTBLANK(OFFSET(A$1,,,SUMPRODUCT(MAX(ROW(E$2:E2625)*(E2625=E$2:E2625)))))-COUNTBLANK(OFFSET(A$1,,,SUMPRODUCT(MAX(ROW(E$1:E2624)*(E2=E$1:E2624))))))</f>
        <v> </v>
      </c>
      <c r="K2625" s="25" t="str">
        <f>IF(OR(E2625="",E2625="!!!",F2625="NEW"),"",INDEX(J$1:J2624,SUMPRODUCT(MAX(ROW(E$1:E2624)*(E2625=E$1:E2624)))))</f>
        <v> </v>
      </c>
      <c r="L2625" s="26"/>
    </row>
    <row r="2626" spans="1:12">
      <c r="A2626" s="20"/>
    </row>
    <row r="2627" spans="1:12">
      <c r="A2627" s="20" t="s">
        <v>1902</v>
      </c>
    </row>
    <row r="2628" spans="1:12">
      <c r="A2628" s="20" t="s">
        <v>1903</v>
      </c>
      <c r="E2628" s="21">
        <f>IF(D2628="?OLD","!!!","")</f>
        <v/>
      </c>
      <c r="F2628" s="22" t="str">
        <f>IF(OR(E2628="",E2628="!!!"),"",IF(NOT(ISNA(VLOOKUP(E2628,E$1:E2627,1,FALSE()))),"OLD",IF(AND(E2628&lt;&gt;"",E2628&lt;&gt;"!!!"),"NEW","")))</f>
        <v> </v>
      </c>
      <c r="G2628" s="23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4" t="str">
        <f>IF(J2628&lt;&gt;1,"",IF(I2628="SBJ","CB","?"))</f>
        <v> </v>
      </c>
      <c r="I2628" s="25" t="str">
        <f>IF(OR(E2628="",E2628="!!!",F2628="NEW"),"",INDEX(B2627:B$2,-1+SUMPRODUCT(MAX(ROW(E2627:E$2)*(E2628=E2627:E$2)))))</f>
        <v> </v>
      </c>
      <c r="J2628" s="25" t="str">
        <f>IF(OR(E2628="",E2628="!!!",F2628="NEW"),"",COUNTBLANK(OFFSET(A$1,,,SUMPRODUCT(MAX(ROW(E$2:E2628)*(E2628=E$2:E2628)))))-COUNTBLANK(OFFSET(A$1,,,SUMPRODUCT(MAX(ROW(E$1:E2627)*(E2=E$1:E2627))))))</f>
        <v> </v>
      </c>
      <c r="K2628" s="25" t="str">
        <f>IF(OR(E2628="",E2628="!!!",F2628="NEW"),"",INDEX(J$1:J2627,SUMPRODUCT(MAX(ROW(E$1:E2627)*(E2628=E$1:E2627)))))</f>
        <v> </v>
      </c>
      <c r="L2628" s="26"/>
    </row>
    <row r="2629" spans="1:12">
      <c r="A2629" s="20" t="s">
        <v>744</v>
      </c>
      <c r="E2629" s="21">
        <f>IF(D2629="?OLD","!!!","")</f>
        <v/>
      </c>
      <c r="F2629" s="22" t="str">
        <f>IF(OR(E2629="",E2629="!!!"),"",IF(NOT(ISNA(VLOOKUP(E2629,E$1:E2628,1,FALSE()))),"OLD",IF(AND(E2629&lt;&gt;"",E2629&lt;&gt;"!!!"),"NEW","")))</f>
        <v> </v>
      </c>
      <c r="G2629" s="23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4" t="str">
        <f>IF(J2629&lt;&gt;1,"",IF(I2629="SBJ","CB","?"))</f>
        <v> </v>
      </c>
      <c r="I2629" s="25" t="str">
        <f>IF(OR(E2629="",E2629="!!!",F2629="NEW"),"",INDEX(B2628:B$2,-1+SUMPRODUCT(MAX(ROW(E2628:E$2)*(E2629=E2628:E$2)))))</f>
        <v> </v>
      </c>
      <c r="J2629" s="25" t="str">
        <f>IF(OR(E2629="",E2629="!!!",F2629="NEW"),"",COUNTBLANK(OFFSET(A$1,,,SUMPRODUCT(MAX(ROW(E$2:E2629)*(E2629=E$2:E2629)))))-COUNTBLANK(OFFSET(A$1,,,SUMPRODUCT(MAX(ROW(E$1:E2628)*(E2=E$1:E2628))))))</f>
        <v> </v>
      </c>
      <c r="K2629" s="25" t="str">
        <f>IF(OR(E2629="",E2629="!!!",F2629="NEW"),"",INDEX(J$1:J2628,SUMPRODUCT(MAX(ROW(E$1:E2628)*(E2629=E$1:E2628)))))</f>
        <v> </v>
      </c>
      <c r="L2629" s="26"/>
    </row>
    <row r="2630" spans="1:12">
      <c r="A2630" s="20" t="s">
        <v>1904</v>
      </c>
      <c r="B2630" s="27" t="s">
        <v>734</v>
      </c>
      <c r="E2630" s="21">
        <f>IF(D2630="?OLD","!!!","")</f>
        <v/>
      </c>
      <c r="F2630" s="22" t="str">
        <f>IF(OR(E2630="",E2630="!!!"),"",IF(NOT(ISNA(VLOOKUP(E2630,E$1:E2629,1,FALSE()))),"OLD",IF(AND(E2630&lt;&gt;"",E2630&lt;&gt;"!!!"),"NEW","")))</f>
        <v> </v>
      </c>
      <c r="G2630" s="23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4" t="str">
        <f>IF(J2630&lt;&gt;1,"",IF(I2630="SBJ","CB","?"))</f>
        <v> </v>
      </c>
      <c r="I2630" s="25" t="str">
        <f>IF(OR(E2630="",E2630="!!!",F2630="NEW"),"",INDEX(B2629:B$2,-1+SUMPRODUCT(MAX(ROW(E2629:E$2)*(E2630=E2629:E$2)))))</f>
        <v> </v>
      </c>
      <c r="J2630" s="25" t="str">
        <f>IF(OR(E2630="",E2630="!!!",F2630="NEW"),"",COUNTBLANK(OFFSET(A$1,,,SUMPRODUCT(MAX(ROW(E$2:E2630)*(E2630=E$2:E2630)))))-COUNTBLANK(OFFSET(A$1,,,SUMPRODUCT(MAX(ROW(E$1:E2629)*(E2=E$1:E2629))))))</f>
        <v> </v>
      </c>
      <c r="K2630" s="25" t="str">
        <f>IF(OR(E2630="",E2630="!!!",F2630="NEW"),"",INDEX(J$1:J2629,SUMPRODUCT(MAX(ROW(E$1:E2629)*(E2630=E$1:E2629)))))</f>
        <v> </v>
      </c>
      <c r="L2630" s="26"/>
    </row>
    <row r="2631" spans="1:12">
      <c r="A2631" s="20" t="s">
        <v>749</v>
      </c>
      <c r="E2631" s="21">
        <f>IF(D2631="?OLD","!!!","")</f>
        <v/>
      </c>
      <c r="F2631" s="22" t="str">
        <f>IF(OR(E2631="",E2631="!!!"),"",IF(NOT(ISNA(VLOOKUP(E2631,E$1:E2630,1,FALSE()))),"OLD",IF(AND(E2631&lt;&gt;"",E2631&lt;&gt;"!!!"),"NEW","")))</f>
        <v> </v>
      </c>
      <c r="G2631" s="23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4" t="str">
        <f>IF(J2631&lt;&gt;1,"",IF(I2631="SBJ","CB","?"))</f>
        <v> </v>
      </c>
      <c r="I2631" s="25" t="str">
        <f>IF(OR(E2631="",E2631="!!!",F2631="NEW"),"",INDEX(B2630:B$2,-1+SUMPRODUCT(MAX(ROW(E2630:E$2)*(E2631=E2630:E$2)))))</f>
        <v> </v>
      </c>
      <c r="J2631" s="25" t="str">
        <f>IF(OR(E2631="",E2631="!!!",F2631="NEW"),"",COUNTBLANK(OFFSET(A$1,,,SUMPRODUCT(MAX(ROW(E$2:E2631)*(E2631=E$2:E2631)))))-COUNTBLANK(OFFSET(A$1,,,SUMPRODUCT(MAX(ROW(E$1:E2630)*(E2=E$1:E2630))))))</f>
        <v> </v>
      </c>
      <c r="K2631" s="25" t="str">
        <f>IF(OR(E2631="",E2631="!!!",F2631="NEW"),"",INDEX(J$1:J2630,SUMPRODUCT(MAX(ROW(E$1:E2630)*(E2631=E$1:E2630)))))</f>
        <v> </v>
      </c>
      <c r="L2631" s="26"/>
    </row>
    <row r="2632" spans="1:12">
      <c r="A2632" s="20" t="s">
        <v>1025</v>
      </c>
      <c r="B2632" s="27" t="s">
        <v>838</v>
      </c>
      <c r="C2632" s="27" t="s">
        <v>788</v>
      </c>
      <c r="D2632" s="27" t="s">
        <v>736</v>
      </c>
      <c r="E2632" s="21">
        <f>IF(D2632="?OLD","!!!","")</f>
        <v/>
      </c>
      <c r="F2632" s="22" t="str">
        <f>IF(OR(E2632="",E2632="!!!"),"",IF(NOT(ISNA(VLOOKUP(E2632,E$1:E2631,1,FALSE()))),"OLD",IF(AND(E2632&lt;&gt;"",E2632&lt;&gt;"!!!"),"NEW","")))</f>
        <v> </v>
      </c>
      <c r="G2632" s="23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4" t="str">
        <f>IF(J2632&lt;&gt;1,"",IF(I2632="SBJ","CB","?"))</f>
        <v> </v>
      </c>
      <c r="I2632" s="25" t="str">
        <f>IF(OR(E2632="",E2632="!!!",F2632="NEW"),"",INDEX(B2631:B$2,-1+SUMPRODUCT(MAX(ROW(E2631:E$2)*(E2632=E2631:E$2)))))</f>
        <v> </v>
      </c>
      <c r="J2632" s="25" t="str">
        <f>IF(OR(E2632="",E2632="!!!",F2632="NEW"),"",COUNTBLANK(OFFSET(A$1,,,SUMPRODUCT(MAX(ROW(E$2:E2632)*(E2632=E$2:E2632)))))-COUNTBLANK(OFFSET(A$1,,,SUMPRODUCT(MAX(ROW(E$1:E2631)*(E2=E$1:E2631))))))</f>
        <v> </v>
      </c>
      <c r="K2632" s="25" t="str">
        <f>IF(OR(E2632="",E2632="!!!",F2632="NEW"),"",INDEX(J$1:J2631,SUMPRODUCT(MAX(ROW(E$1:E2631)*(E2632=E$1:E2631)))))</f>
        <v> </v>
      </c>
      <c r="L2632" s="26"/>
    </row>
    <row r="2633" spans="1:12">
      <c r="A2633" s="20" t="s">
        <v>744</v>
      </c>
      <c r="E2633" s="21">
        <f>IF(D2633="?OLD","!!!","")</f>
        <v/>
      </c>
      <c r="F2633" s="22" t="str">
        <f>IF(OR(E2633="",E2633="!!!"),"",IF(NOT(ISNA(VLOOKUP(E2633,E$1:E2632,1,FALSE()))),"OLD",IF(AND(E2633&lt;&gt;"",E2633&lt;&gt;"!!!"),"NEW","")))</f>
        <v> </v>
      </c>
      <c r="G2633" s="23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4" t="str">
        <f>IF(J2633&lt;&gt;1,"",IF(I2633="SBJ","CB","?"))</f>
        <v> </v>
      </c>
      <c r="I2633" s="25" t="str">
        <f>IF(OR(E2633="",E2633="!!!",F2633="NEW"),"",INDEX(B2632:B$2,-1+SUMPRODUCT(MAX(ROW(E2632:E$2)*(E2633=E2632:E$2)))))</f>
        <v> </v>
      </c>
      <c r="J2633" s="25" t="str">
        <f>IF(OR(E2633="",E2633="!!!",F2633="NEW"),"",COUNTBLANK(OFFSET(A$1,,,SUMPRODUCT(MAX(ROW(E$2:E2633)*(E2633=E$2:E2633)))))-COUNTBLANK(OFFSET(A$1,,,SUMPRODUCT(MAX(ROW(E$1:E2632)*(E2=E$1:E2632))))))</f>
        <v> </v>
      </c>
      <c r="K2633" s="25" t="str">
        <f>IF(OR(E2633="",E2633="!!!",F2633="NEW"),"",INDEX(J$1:J2632,SUMPRODUCT(MAX(ROW(E$1:E2632)*(E2633=E$1:E2632)))))</f>
        <v> </v>
      </c>
      <c r="L2633" s="26"/>
    </row>
    <row r="2634" spans="1:12">
      <c r="A2634" s="20" t="s">
        <v>911</v>
      </c>
      <c r="E2634" s="21">
        <f>IF(D2634="?OLD","!!!","")</f>
        <v/>
      </c>
      <c r="F2634" s="22" t="str">
        <f>IF(OR(E2634="",E2634="!!!"),"",IF(NOT(ISNA(VLOOKUP(E2634,E$1:E2633,1,FALSE()))),"OLD",IF(AND(E2634&lt;&gt;"",E2634&lt;&gt;"!!!"),"NEW","")))</f>
        <v> </v>
      </c>
      <c r="G2634" s="23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4" t="str">
        <f>IF(J2634&lt;&gt;1,"",IF(I2634="SBJ","CB","?"))</f>
        <v> </v>
      </c>
      <c r="I2634" s="25" t="str">
        <f>IF(OR(E2634="",E2634="!!!",F2634="NEW"),"",INDEX(B2633:B$2,-1+SUMPRODUCT(MAX(ROW(E2633:E$2)*(E2634=E2633:E$2)))))</f>
        <v> </v>
      </c>
      <c r="J2634" s="25" t="str">
        <f>IF(OR(E2634="",E2634="!!!",F2634="NEW"),"",COUNTBLANK(OFFSET(A$1,,,SUMPRODUCT(MAX(ROW(E$2:E2634)*(E2634=E$2:E2634)))))-COUNTBLANK(OFFSET(A$1,,,SUMPRODUCT(MAX(ROW(E$1:E2633)*(E2=E$1:E2633))))))</f>
        <v> </v>
      </c>
      <c r="K2634" s="25" t="str">
        <f>IF(OR(E2634="",E2634="!!!",F2634="NEW"),"",INDEX(J$1:J2633,SUMPRODUCT(MAX(ROW(E$1:E2633)*(E2634=E$1:E2633)))))</f>
        <v> </v>
      </c>
      <c r="L2634" s="26"/>
    </row>
    <row r="2635" spans="1:12">
      <c r="A2635" s="20" t="s">
        <v>1905</v>
      </c>
      <c r="E2635" s="21">
        <f>IF(D2635="?OLD","!!!","")</f>
        <v/>
      </c>
      <c r="F2635" s="22" t="str">
        <f>IF(OR(E2635="",E2635="!!!"),"",IF(NOT(ISNA(VLOOKUP(E2635,E$1:E2634,1,FALSE()))),"OLD",IF(AND(E2635&lt;&gt;"",E2635&lt;&gt;"!!!"),"NEW","")))</f>
        <v> </v>
      </c>
      <c r="G2635" s="23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4" t="str">
        <f>IF(J2635&lt;&gt;1,"",IF(I2635="SBJ","CB","?"))</f>
        <v> </v>
      </c>
      <c r="I2635" s="25" t="str">
        <f>IF(OR(E2635="",E2635="!!!",F2635="NEW"),"",INDEX(B2634:B$2,-1+SUMPRODUCT(MAX(ROW(E2634:E$2)*(E2635=E2634:E$2)))))</f>
        <v> </v>
      </c>
      <c r="J2635" s="25" t="str">
        <f>IF(OR(E2635="",E2635="!!!",F2635="NEW"),"",COUNTBLANK(OFFSET(A$1,,,SUMPRODUCT(MAX(ROW(E$2:E2635)*(E2635=E$2:E2635)))))-COUNTBLANK(OFFSET(A$1,,,SUMPRODUCT(MAX(ROW(E$1:E2634)*(E2=E$1:E2634))))))</f>
        <v> </v>
      </c>
      <c r="K2635" s="25" t="str">
        <f>IF(OR(E2635="",E2635="!!!",F2635="NEW"),"",INDEX(J$1:J2634,SUMPRODUCT(MAX(ROW(E$1:E2634)*(E2635=E$1:E2634)))))</f>
        <v> </v>
      </c>
      <c r="L2635" s="26"/>
    </row>
    <row r="2636" spans="1:12">
      <c r="A2636" s="20" t="s">
        <v>1906</v>
      </c>
      <c r="E2636" s="21">
        <f>IF(D2636="?OLD","!!!","")</f>
        <v/>
      </c>
      <c r="F2636" s="22" t="str">
        <f>IF(OR(E2636="",E2636="!!!"),"",IF(NOT(ISNA(VLOOKUP(E2636,E$1:E2635,1,FALSE()))),"OLD",IF(AND(E2636&lt;&gt;"",E2636&lt;&gt;"!!!"),"NEW","")))</f>
        <v> </v>
      </c>
      <c r="G2636" s="23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4" t="str">
        <f>IF(J2636&lt;&gt;1,"",IF(I2636="SBJ","CB","?"))</f>
        <v> </v>
      </c>
      <c r="I2636" s="25" t="str">
        <f>IF(OR(E2636="",E2636="!!!",F2636="NEW"),"",INDEX(B2635:B$2,-1+SUMPRODUCT(MAX(ROW(E2635:E$2)*(E2636=E2635:E$2)))))</f>
        <v> </v>
      </c>
      <c r="J2636" s="25" t="str">
        <f>IF(OR(E2636="",E2636="!!!",F2636="NEW"),"",COUNTBLANK(OFFSET(A$1,,,SUMPRODUCT(MAX(ROW(E$2:E2636)*(E2636=E$2:E2636)))))-COUNTBLANK(OFFSET(A$1,,,SUMPRODUCT(MAX(ROW(E$1:E2635)*(E2=E$1:E2635))))))</f>
        <v> </v>
      </c>
      <c r="K2636" s="25" t="str">
        <f>IF(OR(E2636="",E2636="!!!",F2636="NEW"),"",INDEX(J$1:J2635,SUMPRODUCT(MAX(ROW(E$1:E2635)*(E2636=E$1:E2635)))))</f>
        <v> </v>
      </c>
      <c r="L2636" s="26"/>
    </row>
    <row r="2637" spans="1:12">
      <c r="A2637" s="20" t="s">
        <v>1798</v>
      </c>
      <c r="B2637" s="27" t="s">
        <v>819</v>
      </c>
      <c r="E2637" s="21">
        <f>IF(D2637="?OLD","!!!","")</f>
        <v/>
      </c>
      <c r="F2637" s="22" t="str">
        <f>IF(OR(E2637="",E2637="!!!"),"",IF(NOT(ISNA(VLOOKUP(E2637,E$1:E2636,1,FALSE()))),"OLD",IF(AND(E2637&lt;&gt;"",E2637&lt;&gt;"!!!"),"NEW","")))</f>
        <v> </v>
      </c>
      <c r="G2637" s="23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4" t="str">
        <f>IF(J2637&lt;&gt;1,"",IF(I2637="SBJ","CB","?"))</f>
        <v> </v>
      </c>
      <c r="I2637" s="25" t="str">
        <f>IF(OR(E2637="",E2637="!!!",F2637="NEW"),"",INDEX(B2636:B$2,-1+SUMPRODUCT(MAX(ROW(E2636:E$2)*(E2637=E2636:E$2)))))</f>
        <v> </v>
      </c>
      <c r="J2637" s="25" t="str">
        <f>IF(OR(E2637="",E2637="!!!",F2637="NEW"),"",COUNTBLANK(OFFSET(A$1,,,SUMPRODUCT(MAX(ROW(E$2:E2637)*(E2637=E$2:E2637)))))-COUNTBLANK(OFFSET(A$1,,,SUMPRODUCT(MAX(ROW(E$1:E2636)*(E2=E$1:E2636))))))</f>
        <v> </v>
      </c>
      <c r="K2637" s="25" t="str">
        <f>IF(OR(E2637="",E2637="!!!",F2637="NEW"),"",INDEX(J$1:J2636,SUMPRODUCT(MAX(ROW(E$1:E2636)*(E2637=E$1:E2636)))))</f>
        <v> </v>
      </c>
      <c r="L2637" s="26"/>
    </row>
    <row r="2638" spans="1:12">
      <c r="A2638" s="20" t="s">
        <v>942</v>
      </c>
      <c r="E2638" s="21">
        <f>IF(D2638="?OLD","!!!","")</f>
        <v/>
      </c>
      <c r="F2638" s="22" t="str">
        <f>IF(OR(E2638="",E2638="!!!"),"",IF(NOT(ISNA(VLOOKUP(E2638,E$1:E2637,1,FALSE()))),"OLD",IF(AND(E2638&lt;&gt;"",E2638&lt;&gt;"!!!"),"NEW","")))</f>
        <v> </v>
      </c>
      <c r="G2638" s="23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4" t="str">
        <f>IF(J2638&lt;&gt;1,"",IF(I2638="SBJ","CB","?"))</f>
        <v> </v>
      </c>
      <c r="I2638" s="25" t="str">
        <f>IF(OR(E2638="",E2638="!!!",F2638="NEW"),"",INDEX(B2637:B$2,-1+SUMPRODUCT(MAX(ROW(E2637:E$2)*(E2638=E2637:E$2)))))</f>
        <v> </v>
      </c>
      <c r="J2638" s="25" t="str">
        <f>IF(OR(E2638="",E2638="!!!",F2638="NEW"),"",COUNTBLANK(OFFSET(A$1,,,SUMPRODUCT(MAX(ROW(E$2:E2638)*(E2638=E$2:E2638)))))-COUNTBLANK(OFFSET(A$1,,,SUMPRODUCT(MAX(ROW(E$1:E2637)*(E2=E$1:E2637))))))</f>
        <v> </v>
      </c>
      <c r="K2638" s="25" t="str">
        <f>IF(OR(E2638="",E2638="!!!",F2638="NEW"),"",INDEX(J$1:J2637,SUMPRODUCT(MAX(ROW(E$1:E2637)*(E2638=E$1:E2637)))))</f>
        <v> </v>
      </c>
      <c r="L2638" s="26"/>
    </row>
    <row r="2639" spans="1:12">
      <c r="A2639" s="20" t="s">
        <v>744</v>
      </c>
      <c r="E2639" s="21">
        <f>IF(D2639="?OLD","!!!","")</f>
        <v/>
      </c>
      <c r="F2639" s="22" t="str">
        <f>IF(OR(E2639="",E2639="!!!"),"",IF(NOT(ISNA(VLOOKUP(E2639,E$1:E2638,1,FALSE()))),"OLD",IF(AND(E2639&lt;&gt;"",E2639&lt;&gt;"!!!"),"NEW","")))</f>
        <v> </v>
      </c>
      <c r="G2639" s="23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4" t="str">
        <f>IF(J2639&lt;&gt;1,"",IF(I2639="SBJ","CB","?"))</f>
        <v> </v>
      </c>
      <c r="I2639" s="25" t="str">
        <f>IF(OR(E2639="",E2639="!!!",F2639="NEW"),"",INDEX(B2638:B$2,-1+SUMPRODUCT(MAX(ROW(E2638:E$2)*(E2639=E2638:E$2)))))</f>
        <v> </v>
      </c>
      <c r="J2639" s="25" t="str">
        <f>IF(OR(E2639="",E2639="!!!",F2639="NEW"),"",COUNTBLANK(OFFSET(A$1,,,SUMPRODUCT(MAX(ROW(E$2:E2639)*(E2639=E$2:E2639)))))-COUNTBLANK(OFFSET(A$1,,,SUMPRODUCT(MAX(ROW(E$1:E2638)*(E2=E$1:E2638))))))</f>
        <v> </v>
      </c>
      <c r="K2639" s="25" t="str">
        <f>IF(OR(E2639="",E2639="!!!",F2639="NEW"),"",INDEX(J$1:J2638,SUMPRODUCT(MAX(ROW(E$1:E2638)*(E2639=E$1:E2638)))))</f>
        <v> </v>
      </c>
      <c r="L2639" s="26"/>
    </row>
    <row r="2640" spans="1:12">
      <c r="A2640" s="20" t="s">
        <v>789</v>
      </c>
      <c r="B2640" s="27" t="s">
        <v>762</v>
      </c>
      <c r="C2640" s="27" t="s">
        <v>747</v>
      </c>
      <c r="E2640" s="21">
        <f>IF(D2640="?OLD","!!!","")</f>
        <v/>
      </c>
      <c r="F2640" s="22" t="str">
        <f>IF(OR(E2640="",E2640="!!!"),"",IF(NOT(ISNA(VLOOKUP(E2640,E$1:E2639,1,FALSE()))),"OLD",IF(AND(E2640&lt;&gt;"",E2640&lt;&gt;"!!!"),"NEW","")))</f>
        <v> </v>
      </c>
      <c r="G2640" s="23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4" t="str">
        <f>IF(J2640&lt;&gt;1,"",IF(I2640="SBJ","CB","?"))</f>
        <v> </v>
      </c>
      <c r="I2640" s="25" t="str">
        <f>IF(OR(E2640="",E2640="!!!",F2640="NEW"),"",INDEX(B2639:B$2,-1+SUMPRODUCT(MAX(ROW(E2639:E$2)*(E2640=E2639:E$2)))))</f>
        <v> </v>
      </c>
      <c r="J2640" s="25" t="str">
        <f>IF(OR(E2640="",E2640="!!!",F2640="NEW"),"",COUNTBLANK(OFFSET(A$1,,,SUMPRODUCT(MAX(ROW(E$2:E2640)*(E2640=E$2:E2640)))))-COUNTBLANK(OFFSET(A$1,,,SUMPRODUCT(MAX(ROW(E$1:E2639)*(E2=E$1:E2639))))))</f>
        <v> </v>
      </c>
      <c r="K2640" s="25" t="str">
        <f>IF(OR(E2640="",E2640="!!!",F2640="NEW"),"",INDEX(J$1:J2639,SUMPRODUCT(MAX(ROW(E$1:E2639)*(E2640=E$1:E2639)))))</f>
        <v> </v>
      </c>
      <c r="L2640" s="26"/>
    </row>
    <row r="2641" spans="1:12">
      <c r="A2641" s="20" t="s">
        <v>1907</v>
      </c>
      <c r="E2641" s="21">
        <f>IF(D2641="?OLD","!!!","")</f>
        <v/>
      </c>
      <c r="F2641" s="22" t="str">
        <f>IF(OR(E2641="",E2641="!!!"),"",IF(NOT(ISNA(VLOOKUP(E2641,E$1:E2640,1,FALSE()))),"OLD",IF(AND(E2641&lt;&gt;"",E2641&lt;&gt;"!!!"),"NEW","")))</f>
        <v> </v>
      </c>
      <c r="G2641" s="23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4" t="str">
        <f>IF(J2641&lt;&gt;1,"",IF(I2641="SBJ","CB","?"))</f>
        <v> </v>
      </c>
      <c r="I2641" s="25" t="str">
        <f>IF(OR(E2641="",E2641="!!!",F2641="NEW"),"",INDEX(B2640:B$2,-1+SUMPRODUCT(MAX(ROW(E2640:E$2)*(E2641=E2640:E$2)))))</f>
        <v> </v>
      </c>
      <c r="J2641" s="25" t="str">
        <f>IF(OR(E2641="",E2641="!!!",F2641="NEW"),"",COUNTBLANK(OFFSET(A$1,,,SUMPRODUCT(MAX(ROW(E$2:E2641)*(E2641=E$2:E2641)))))-COUNTBLANK(OFFSET(A$1,,,SUMPRODUCT(MAX(ROW(E$1:E2640)*(E2=E$1:E2640))))))</f>
        <v> </v>
      </c>
      <c r="K2641" s="25" t="str">
        <f>IF(OR(E2641="",E2641="!!!",F2641="NEW"),"",INDEX(J$1:J2640,SUMPRODUCT(MAX(ROW(E$1:E2640)*(E2641=E$1:E2640)))))</f>
        <v> </v>
      </c>
      <c r="L2641" s="26"/>
    </row>
    <row r="2642" spans="1:12">
      <c r="A2642" s="20" t="s">
        <v>1908</v>
      </c>
      <c r="E2642" s="21">
        <f>IF(D2642="?OLD","!!!","")</f>
        <v/>
      </c>
      <c r="F2642" s="22" t="str">
        <f>IF(OR(E2642="",E2642="!!!"),"",IF(NOT(ISNA(VLOOKUP(E2642,E$1:E2641,1,FALSE()))),"OLD",IF(AND(E2642&lt;&gt;"",E2642&lt;&gt;"!!!"),"NEW","")))</f>
        <v> </v>
      </c>
      <c r="G2642" s="23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4" t="str">
        <f>IF(J2642&lt;&gt;1,"",IF(I2642="SBJ","CB","?"))</f>
        <v> </v>
      </c>
      <c r="I2642" s="25" t="str">
        <f>IF(OR(E2642="",E2642="!!!",F2642="NEW"),"",INDEX(B2641:B$2,-1+SUMPRODUCT(MAX(ROW(E2641:E$2)*(E2642=E2641:E$2)))))</f>
        <v> </v>
      </c>
      <c r="J2642" s="25" t="str">
        <f>IF(OR(E2642="",E2642="!!!",F2642="NEW"),"",COUNTBLANK(OFFSET(A$1,,,SUMPRODUCT(MAX(ROW(E$2:E2642)*(E2642=E$2:E2642)))))-COUNTBLANK(OFFSET(A$1,,,SUMPRODUCT(MAX(ROW(E$1:E2641)*(E2=E$1:E2641))))))</f>
        <v> </v>
      </c>
      <c r="K2642" s="25" t="str">
        <f>IF(OR(E2642="",E2642="!!!",F2642="NEW"),"",INDEX(J$1:J2641,SUMPRODUCT(MAX(ROW(E$1:E2641)*(E2642=E$1:E2641)))))</f>
        <v> </v>
      </c>
      <c r="L2642" s="26"/>
    </row>
    <row r="2643" spans="1:12">
      <c r="A2643" s="20" t="s">
        <v>744</v>
      </c>
      <c r="E2643" s="21">
        <f>IF(D2643="?OLD","!!!","")</f>
        <v/>
      </c>
      <c r="F2643" s="22" t="str">
        <f>IF(OR(E2643="",E2643="!!!"),"",IF(NOT(ISNA(VLOOKUP(E2643,E$1:E2642,1,FALSE()))),"OLD",IF(AND(E2643&lt;&gt;"",E2643&lt;&gt;"!!!"),"NEW","")))</f>
        <v> </v>
      </c>
      <c r="G2643" s="23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4" t="str">
        <f>IF(J2643&lt;&gt;1,"",IF(I2643="SBJ","CB","?"))</f>
        <v> </v>
      </c>
      <c r="I2643" s="25" t="str">
        <f>IF(OR(E2643="",E2643="!!!",F2643="NEW"),"",INDEX(B2642:B$2,-1+SUMPRODUCT(MAX(ROW(E2642:E$2)*(E2643=E2642:E$2)))))</f>
        <v> </v>
      </c>
      <c r="J2643" s="25" t="str">
        <f>IF(OR(E2643="",E2643="!!!",F2643="NEW"),"",COUNTBLANK(OFFSET(A$1,,,SUMPRODUCT(MAX(ROW(E$2:E2643)*(E2643=E$2:E2643)))))-COUNTBLANK(OFFSET(A$1,,,SUMPRODUCT(MAX(ROW(E$1:E2642)*(E2=E$1:E2642))))))</f>
        <v> </v>
      </c>
      <c r="K2643" s="25" t="str">
        <f>IF(OR(E2643="",E2643="!!!",F2643="NEW"),"",INDEX(J$1:J2642,SUMPRODUCT(MAX(ROW(E$1:E2642)*(E2643=E$1:E2642)))))</f>
        <v> </v>
      </c>
      <c r="L2643" s="26"/>
    </row>
    <row r="2644" spans="1:12">
      <c r="A2644" s="20" t="s">
        <v>1909</v>
      </c>
      <c r="E2644" s="21">
        <f>IF(D2644="?OLD","!!!","")</f>
        <v/>
      </c>
      <c r="F2644" s="22" t="str">
        <f>IF(OR(E2644="",E2644="!!!"),"",IF(NOT(ISNA(VLOOKUP(E2644,E$1:E2643,1,FALSE()))),"OLD",IF(AND(E2644&lt;&gt;"",E2644&lt;&gt;"!!!"),"NEW","")))</f>
        <v> </v>
      </c>
      <c r="G2644" s="23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4" t="str">
        <f>IF(J2644&lt;&gt;1,"",IF(I2644="SBJ","CB","?"))</f>
        <v> </v>
      </c>
      <c r="I2644" s="25" t="str">
        <f>IF(OR(E2644="",E2644="!!!",F2644="NEW"),"",INDEX(B2643:B$2,-1+SUMPRODUCT(MAX(ROW(E2643:E$2)*(E2644=E2643:E$2)))))</f>
        <v> </v>
      </c>
      <c r="J2644" s="25" t="str">
        <f>IF(OR(E2644="",E2644="!!!",F2644="NEW"),"",COUNTBLANK(OFFSET(A$1,,,SUMPRODUCT(MAX(ROW(E$2:E2644)*(E2644=E$2:E2644)))))-COUNTBLANK(OFFSET(A$1,,,SUMPRODUCT(MAX(ROW(E$1:E2643)*(E2=E$1:E2643))))))</f>
        <v> </v>
      </c>
      <c r="K2644" s="25" t="str">
        <f>IF(OR(E2644="",E2644="!!!",F2644="NEW"),"",INDEX(J$1:J2643,SUMPRODUCT(MAX(ROW(E$1:E2643)*(E2644=E$1:E2643)))))</f>
        <v> </v>
      </c>
      <c r="L2644" s="26"/>
    </row>
    <row r="2645" spans="1:12">
      <c r="A2645" s="20" t="s">
        <v>1910</v>
      </c>
      <c r="E2645" s="21">
        <f>IF(D2645="?OLD","!!!","")</f>
        <v/>
      </c>
      <c r="F2645" s="22" t="str">
        <f>IF(OR(E2645="",E2645="!!!"),"",IF(NOT(ISNA(VLOOKUP(E2645,E$1:E2644,1,FALSE()))),"OLD",IF(AND(E2645&lt;&gt;"",E2645&lt;&gt;"!!!"),"NEW","")))</f>
        <v> </v>
      </c>
      <c r="G2645" s="23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4" t="str">
        <f>IF(J2645&lt;&gt;1,"",IF(I2645="SBJ","CB","?"))</f>
        <v> </v>
      </c>
      <c r="I2645" s="25" t="str">
        <f>IF(OR(E2645="",E2645="!!!",F2645="NEW"),"",INDEX(B2644:B$2,-1+SUMPRODUCT(MAX(ROW(E2644:E$2)*(E2645=E2644:E$2)))))</f>
        <v> </v>
      </c>
      <c r="J2645" s="25" t="str">
        <f>IF(OR(E2645="",E2645="!!!",F2645="NEW"),"",COUNTBLANK(OFFSET(A$1,,,SUMPRODUCT(MAX(ROW(E$2:E2645)*(E2645=E$2:E2645)))))-COUNTBLANK(OFFSET(A$1,,,SUMPRODUCT(MAX(ROW(E$1:E2644)*(E2=E$1:E2644))))))</f>
        <v> </v>
      </c>
      <c r="K2645" s="25" t="str">
        <f>IF(OR(E2645="",E2645="!!!",F2645="NEW"),"",INDEX(J$1:J2644,SUMPRODUCT(MAX(ROW(E$1:E2644)*(E2645=E$1:E2644)))))</f>
        <v> </v>
      </c>
      <c r="L2645" s="26"/>
    </row>
    <row r="2646" spans="1:12">
      <c r="A2646" s="20" t="s">
        <v>1911</v>
      </c>
      <c r="E2646" s="21">
        <f>IF(D2646="?OLD","!!!","")</f>
        <v/>
      </c>
      <c r="F2646" s="22" t="str">
        <f>IF(OR(E2646="",E2646="!!!"),"",IF(NOT(ISNA(VLOOKUP(E2646,E$1:E2645,1,FALSE()))),"OLD",IF(AND(E2646&lt;&gt;"",E2646&lt;&gt;"!!!"),"NEW","")))</f>
        <v> </v>
      </c>
      <c r="G2646" s="23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4" t="str">
        <f>IF(J2646&lt;&gt;1,"",IF(I2646="SBJ","CB","?"))</f>
        <v> </v>
      </c>
      <c r="I2646" s="25" t="str">
        <f>IF(OR(E2646="",E2646="!!!",F2646="NEW"),"",INDEX(B2645:B$2,-1+SUMPRODUCT(MAX(ROW(E2645:E$2)*(E2646=E2645:E$2)))))</f>
        <v> </v>
      </c>
      <c r="J2646" s="25" t="str">
        <f>IF(OR(E2646="",E2646="!!!",F2646="NEW"),"",COUNTBLANK(OFFSET(A$1,,,SUMPRODUCT(MAX(ROW(E$2:E2646)*(E2646=E$2:E2646)))))-COUNTBLANK(OFFSET(A$1,,,SUMPRODUCT(MAX(ROW(E$1:E2645)*(E2=E$1:E2645))))))</f>
        <v> </v>
      </c>
      <c r="K2646" s="25" t="str">
        <f>IF(OR(E2646="",E2646="!!!",F2646="NEW"),"",INDEX(J$1:J2645,SUMPRODUCT(MAX(ROW(E$1:E2645)*(E2646=E$1:E2645)))))</f>
        <v> </v>
      </c>
      <c r="L2646" s="26"/>
    </row>
    <row r="2647" spans="1:12">
      <c r="A2647" s="20" t="s">
        <v>1912</v>
      </c>
      <c r="E2647" s="21">
        <f>IF(D2647="?OLD","!!!","")</f>
        <v/>
      </c>
      <c r="F2647" s="22" t="str">
        <f>IF(OR(E2647="",E2647="!!!"),"",IF(NOT(ISNA(VLOOKUP(E2647,E$1:E2646,1,FALSE()))),"OLD",IF(AND(E2647&lt;&gt;"",E2647&lt;&gt;"!!!"),"NEW","")))</f>
        <v> </v>
      </c>
      <c r="G2647" s="23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4" t="str">
        <f>IF(J2647&lt;&gt;1,"",IF(I2647="SBJ","CB","?"))</f>
        <v> </v>
      </c>
      <c r="I2647" s="25" t="str">
        <f>IF(OR(E2647="",E2647="!!!",F2647="NEW"),"",INDEX(B2646:B$2,-1+SUMPRODUCT(MAX(ROW(E2646:E$2)*(E2647=E2646:E$2)))))</f>
        <v> </v>
      </c>
      <c r="J2647" s="25" t="str">
        <f>IF(OR(E2647="",E2647="!!!",F2647="NEW"),"",COUNTBLANK(OFFSET(A$1,,,SUMPRODUCT(MAX(ROW(E$2:E2647)*(E2647=E$2:E2647)))))-COUNTBLANK(OFFSET(A$1,,,SUMPRODUCT(MAX(ROW(E$1:E2646)*(E2=E$1:E2646))))))</f>
        <v> </v>
      </c>
      <c r="K2647" s="25" t="str">
        <f>IF(OR(E2647="",E2647="!!!",F2647="NEW"),"",INDEX(J$1:J2646,SUMPRODUCT(MAX(ROW(E$1:E2646)*(E2647=E$1:E2646)))))</f>
        <v> </v>
      </c>
      <c r="L2647" s="26"/>
    </row>
    <row r="2648" spans="1:12">
      <c r="A2648" s="20" t="s">
        <v>744</v>
      </c>
      <c r="E2648" s="21">
        <f>IF(D2648="?OLD","!!!","")</f>
        <v/>
      </c>
      <c r="F2648" s="22" t="str">
        <f>IF(OR(E2648="",E2648="!!!"),"",IF(NOT(ISNA(VLOOKUP(E2648,E$1:E2647,1,FALSE()))),"OLD",IF(AND(E2648&lt;&gt;"",E2648&lt;&gt;"!!!"),"NEW","")))</f>
        <v> </v>
      </c>
      <c r="G2648" s="23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4" t="str">
        <f>IF(J2648&lt;&gt;1,"",IF(I2648="SBJ","CB","?"))</f>
        <v> </v>
      </c>
      <c r="I2648" s="25" t="str">
        <f>IF(OR(E2648="",E2648="!!!",F2648="NEW"),"",INDEX(B2647:B$2,-1+SUMPRODUCT(MAX(ROW(E2647:E$2)*(E2648=E2647:E$2)))))</f>
        <v> </v>
      </c>
      <c r="J2648" s="25" t="str">
        <f>IF(OR(E2648="",E2648="!!!",F2648="NEW"),"",COUNTBLANK(OFFSET(A$1,,,SUMPRODUCT(MAX(ROW(E$2:E2648)*(E2648=E$2:E2648)))))-COUNTBLANK(OFFSET(A$1,,,SUMPRODUCT(MAX(ROW(E$1:E2647)*(E2=E$1:E2647))))))</f>
        <v> </v>
      </c>
      <c r="K2648" s="25" t="str">
        <f>IF(OR(E2648="",E2648="!!!",F2648="NEW"),"",INDEX(J$1:J2647,SUMPRODUCT(MAX(ROW(E$1:E2647)*(E2648=E$1:E2647)))))</f>
        <v> </v>
      </c>
      <c r="L2648" s="26"/>
    </row>
    <row r="2649" spans="1:12">
      <c r="A2649" s="20" t="s">
        <v>842</v>
      </c>
      <c r="E2649" s="21">
        <f>IF(D2649="?OLD","!!!","")</f>
        <v/>
      </c>
      <c r="F2649" s="22" t="str">
        <f>IF(OR(E2649="",E2649="!!!"),"",IF(NOT(ISNA(VLOOKUP(E2649,E$1:E2648,1,FALSE()))),"OLD",IF(AND(E2649&lt;&gt;"",E2649&lt;&gt;"!!!"),"NEW","")))</f>
        <v> </v>
      </c>
      <c r="G2649" s="23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4" t="str">
        <f>IF(J2649&lt;&gt;1,"",IF(I2649="SBJ","CB","?"))</f>
        <v> </v>
      </c>
      <c r="I2649" s="25" t="str">
        <f>IF(OR(E2649="",E2649="!!!",F2649="NEW"),"",INDEX(B2648:B$2,-1+SUMPRODUCT(MAX(ROW(E2648:E$2)*(E2649=E2648:E$2)))))</f>
        <v> </v>
      </c>
      <c r="J2649" s="25" t="str">
        <f>IF(OR(E2649="",E2649="!!!",F2649="NEW"),"",COUNTBLANK(OFFSET(A$1,,,SUMPRODUCT(MAX(ROW(E$2:E2649)*(E2649=E$2:E2649)))))-COUNTBLANK(OFFSET(A$1,,,SUMPRODUCT(MAX(ROW(E$1:E2648)*(E2=E$1:E2648))))))</f>
        <v> </v>
      </c>
      <c r="K2649" s="25" t="str">
        <f>IF(OR(E2649="",E2649="!!!",F2649="NEW"),"",INDEX(J$1:J2648,SUMPRODUCT(MAX(ROW(E$1:E2648)*(E2649=E$1:E2648)))))</f>
        <v> </v>
      </c>
      <c r="L2649" s="26"/>
    </row>
    <row r="2650" spans="1:12">
      <c r="A2650" s="20" t="s">
        <v>1908</v>
      </c>
      <c r="E2650" s="21">
        <f>IF(D2650="?OLD","!!!","")</f>
        <v/>
      </c>
      <c r="F2650" s="22" t="str">
        <f>IF(OR(E2650="",E2650="!!!"),"",IF(NOT(ISNA(VLOOKUP(E2650,E$1:E2649,1,FALSE()))),"OLD",IF(AND(E2650&lt;&gt;"",E2650&lt;&gt;"!!!"),"NEW","")))</f>
        <v> </v>
      </c>
      <c r="G2650" s="23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4" t="str">
        <f>IF(J2650&lt;&gt;1,"",IF(I2650="SBJ","CB","?"))</f>
        <v> </v>
      </c>
      <c r="I2650" s="25" t="str">
        <f>IF(OR(E2650="",E2650="!!!",F2650="NEW"),"",INDEX(B2649:B$2,-1+SUMPRODUCT(MAX(ROW(E2649:E$2)*(E2650=E2649:E$2)))))</f>
        <v> </v>
      </c>
      <c r="J2650" s="25" t="str">
        <f>IF(OR(E2650="",E2650="!!!",F2650="NEW"),"",COUNTBLANK(OFFSET(A$1,,,SUMPRODUCT(MAX(ROW(E$2:E2650)*(E2650=E$2:E2650)))))-COUNTBLANK(OFFSET(A$1,,,SUMPRODUCT(MAX(ROW(E$1:E2649)*(E2=E$1:E2649))))))</f>
        <v> </v>
      </c>
      <c r="K2650" s="25" t="str">
        <f>IF(OR(E2650="",E2650="!!!",F2650="NEW"),"",INDEX(J$1:J2649,SUMPRODUCT(MAX(ROW(E$1:E2649)*(E2650=E$1:E2649)))))</f>
        <v> </v>
      </c>
      <c r="L2650" s="26"/>
    </row>
    <row r="2651" spans="1:12">
      <c r="A2651" s="20" t="s">
        <v>851</v>
      </c>
      <c r="B2651" s="27" t="s">
        <v>800</v>
      </c>
      <c r="C2651" s="27" t="s">
        <v>788</v>
      </c>
      <c r="D2651" s="27" t="s">
        <v>736</v>
      </c>
      <c r="E2651" s="21">
        <f>IF(D2651="?OLD","!!!","")</f>
        <v/>
      </c>
      <c r="F2651" s="22" t="str">
        <f>IF(OR(E2651="",E2651="!!!"),"",IF(NOT(ISNA(VLOOKUP(E2651,E$1:E2650,1,FALSE()))),"OLD",IF(AND(E2651&lt;&gt;"",E2651&lt;&gt;"!!!"),"NEW","")))</f>
        <v> </v>
      </c>
      <c r="G2651" s="23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4" t="str">
        <f>IF(J2651&lt;&gt;1,"",IF(I2651="SBJ","CB","?"))</f>
        <v> </v>
      </c>
      <c r="I2651" s="25" t="str">
        <f>IF(OR(E2651="",E2651="!!!",F2651="NEW"),"",INDEX(B2650:B$2,-1+SUMPRODUCT(MAX(ROW(E2650:E$2)*(E2651=E2650:E$2)))))</f>
        <v> </v>
      </c>
      <c r="J2651" s="25" t="str">
        <f>IF(OR(E2651="",E2651="!!!",F2651="NEW"),"",COUNTBLANK(OFFSET(A$1,,,SUMPRODUCT(MAX(ROW(E$2:E2651)*(E2651=E$2:E2651)))))-COUNTBLANK(OFFSET(A$1,,,SUMPRODUCT(MAX(ROW(E$1:E2650)*(E2=E$1:E2650))))))</f>
        <v> </v>
      </c>
      <c r="K2651" s="25" t="str">
        <f>IF(OR(E2651="",E2651="!!!",F2651="NEW"),"",INDEX(J$1:J2650,SUMPRODUCT(MAX(ROW(E$1:E2650)*(E2651=E$1:E2650)))))</f>
        <v> </v>
      </c>
      <c r="L2651" s="26"/>
    </row>
    <row r="2652" spans="1:12">
      <c r="A2652" s="20" t="s">
        <v>1116</v>
      </c>
      <c r="E2652" s="21">
        <f>IF(D2652="?OLD","!!!","")</f>
        <v/>
      </c>
      <c r="F2652" s="22" t="str">
        <f>IF(OR(E2652="",E2652="!!!"),"",IF(NOT(ISNA(VLOOKUP(E2652,E$1:E2651,1,FALSE()))),"OLD",IF(AND(E2652&lt;&gt;"",E2652&lt;&gt;"!!!"),"NEW","")))</f>
        <v> </v>
      </c>
      <c r="G2652" s="23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4" t="str">
        <f>IF(J2652&lt;&gt;1,"",IF(I2652="SBJ","CB","?"))</f>
        <v> </v>
      </c>
      <c r="I2652" s="25" t="str">
        <f>IF(OR(E2652="",E2652="!!!",F2652="NEW"),"",INDEX(B2651:B$2,-1+SUMPRODUCT(MAX(ROW(E2651:E$2)*(E2652=E2651:E$2)))))</f>
        <v> </v>
      </c>
      <c r="J2652" s="25" t="str">
        <f>IF(OR(E2652="",E2652="!!!",F2652="NEW"),"",COUNTBLANK(OFFSET(A$1,,,SUMPRODUCT(MAX(ROW(E$2:E2652)*(E2652=E$2:E2652)))))-COUNTBLANK(OFFSET(A$1,,,SUMPRODUCT(MAX(ROW(E$1:E2651)*(E2=E$1:E2651))))))</f>
        <v> </v>
      </c>
      <c r="K2652" s="25" t="str">
        <f>IF(OR(E2652="",E2652="!!!",F2652="NEW"),"",INDEX(J$1:J2651,SUMPRODUCT(MAX(ROW(E$1:E2651)*(E2652=E$1:E2651)))))</f>
        <v> </v>
      </c>
      <c r="L2652" s="26"/>
    </row>
    <row r="2653" spans="1:12">
      <c r="A2653" s="20" t="s">
        <v>744</v>
      </c>
      <c r="E2653" s="21">
        <f>IF(D2653="?OLD","!!!","")</f>
        <v/>
      </c>
      <c r="F2653" s="22" t="str">
        <f>IF(OR(E2653="",E2653="!!!"),"",IF(NOT(ISNA(VLOOKUP(E2653,E$1:E2652,1,FALSE()))),"OLD",IF(AND(E2653&lt;&gt;"",E2653&lt;&gt;"!!!"),"NEW","")))</f>
        <v> </v>
      </c>
      <c r="G2653" s="23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4" t="str">
        <f>IF(J2653&lt;&gt;1,"",IF(I2653="SBJ","CB","?"))</f>
        <v> </v>
      </c>
      <c r="I2653" s="25" t="str">
        <f>IF(OR(E2653="",E2653="!!!",F2653="NEW"),"",INDEX(B2652:B$2,-1+SUMPRODUCT(MAX(ROW(E2652:E$2)*(E2653=E2652:E$2)))))</f>
        <v> </v>
      </c>
      <c r="J2653" s="25" t="str">
        <f>IF(OR(E2653="",E2653="!!!",F2653="NEW"),"",COUNTBLANK(OFFSET(A$1,,,SUMPRODUCT(MAX(ROW(E$2:E2653)*(E2653=E$2:E2653)))))-COUNTBLANK(OFFSET(A$1,,,SUMPRODUCT(MAX(ROW(E$1:E2652)*(E2=E$1:E2652))))))</f>
        <v> </v>
      </c>
      <c r="K2653" s="25" t="str">
        <f>IF(OR(E2653="",E2653="!!!",F2653="NEW"),"",INDEX(J$1:J2652,SUMPRODUCT(MAX(ROW(E$1:E2652)*(E2653=E$1:E2652)))))</f>
        <v> </v>
      </c>
      <c r="L2653" s="26"/>
    </row>
    <row r="2654" spans="1:12">
      <c r="A2654" s="20" t="s">
        <v>789</v>
      </c>
      <c r="E2654" s="21">
        <f>IF(D2654="?OLD","!!!","")</f>
        <v/>
      </c>
      <c r="F2654" s="22" t="str">
        <f>IF(OR(E2654="",E2654="!!!"),"",IF(NOT(ISNA(VLOOKUP(E2654,E$1:E2653,1,FALSE()))),"OLD",IF(AND(E2654&lt;&gt;"",E2654&lt;&gt;"!!!"),"NEW","")))</f>
        <v> </v>
      </c>
      <c r="G2654" s="23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4" t="str">
        <f>IF(J2654&lt;&gt;1,"",IF(I2654="SBJ","CB","?"))</f>
        <v> </v>
      </c>
      <c r="I2654" s="25" t="str">
        <f>IF(OR(E2654="",E2654="!!!",F2654="NEW"),"",INDEX(B2653:B$2,-1+SUMPRODUCT(MAX(ROW(E2653:E$2)*(E2654=E2653:E$2)))))</f>
        <v> </v>
      </c>
      <c r="J2654" s="25" t="str">
        <f>IF(OR(E2654="",E2654="!!!",F2654="NEW"),"",COUNTBLANK(OFFSET(A$1,,,SUMPRODUCT(MAX(ROW(E$2:E2654)*(E2654=E$2:E2654)))))-COUNTBLANK(OFFSET(A$1,,,SUMPRODUCT(MAX(ROW(E$1:E2653)*(E2=E$1:E2653))))))</f>
        <v> </v>
      </c>
      <c r="K2654" s="25" t="str">
        <f>IF(OR(E2654="",E2654="!!!",F2654="NEW"),"",INDEX(J$1:J2653,SUMPRODUCT(MAX(ROW(E$1:E2653)*(E2654=E$1:E2653)))))</f>
        <v> </v>
      </c>
      <c r="L2654" s="26"/>
    </row>
    <row r="2655" spans="1:12">
      <c r="A2655" s="20" t="s">
        <v>1361</v>
      </c>
      <c r="E2655" s="21">
        <f>IF(D2655="?OLD","!!!","")</f>
        <v/>
      </c>
      <c r="F2655" s="22" t="str">
        <f>IF(OR(E2655="",E2655="!!!"),"",IF(NOT(ISNA(VLOOKUP(E2655,E$1:E2654,1,FALSE()))),"OLD",IF(AND(E2655&lt;&gt;"",E2655&lt;&gt;"!!!"),"NEW","")))</f>
        <v> </v>
      </c>
      <c r="G2655" s="23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4" t="str">
        <f>IF(J2655&lt;&gt;1,"",IF(I2655="SBJ","CB","?"))</f>
        <v> </v>
      </c>
      <c r="I2655" s="25" t="str">
        <f>IF(OR(E2655="",E2655="!!!",F2655="NEW"),"",INDEX(B2654:B$2,-1+SUMPRODUCT(MAX(ROW(E2654:E$2)*(E2655=E2654:E$2)))))</f>
        <v> </v>
      </c>
      <c r="J2655" s="25" t="str">
        <f>IF(OR(E2655="",E2655="!!!",F2655="NEW"),"",COUNTBLANK(OFFSET(A$1,,,SUMPRODUCT(MAX(ROW(E$2:E2655)*(E2655=E$2:E2655)))))-COUNTBLANK(OFFSET(A$1,,,SUMPRODUCT(MAX(ROW(E$1:E2654)*(E2=E$1:E2654))))))</f>
        <v> </v>
      </c>
      <c r="K2655" s="25" t="str">
        <f>IF(OR(E2655="",E2655="!!!",F2655="NEW"),"",INDEX(J$1:J2654,SUMPRODUCT(MAX(ROW(E$1:E2654)*(E2655=E$1:E2654)))))</f>
        <v> </v>
      </c>
      <c r="L2655" s="26"/>
    </row>
    <row r="2656" spans="1:12">
      <c r="A2656" s="20" t="s">
        <v>1798</v>
      </c>
      <c r="B2656" s="27" t="s">
        <v>849</v>
      </c>
      <c r="E2656" s="21">
        <f>IF(D2656="?OLD","!!!","")</f>
        <v/>
      </c>
      <c r="F2656" s="22" t="str">
        <f>IF(OR(E2656="",E2656="!!!"),"",IF(NOT(ISNA(VLOOKUP(E2656,E$1:E2655,1,FALSE()))),"OLD",IF(AND(E2656&lt;&gt;"",E2656&lt;&gt;"!!!"),"NEW","")))</f>
        <v> </v>
      </c>
      <c r="G2656" s="23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4" t="str">
        <f>IF(J2656&lt;&gt;1,"",IF(I2656="SBJ","CB","?"))</f>
        <v> </v>
      </c>
      <c r="I2656" s="25" t="str">
        <f>IF(OR(E2656="",E2656="!!!",F2656="NEW"),"",INDEX(B2655:B$2,-1+SUMPRODUCT(MAX(ROW(E2655:E$2)*(E2656=E2655:E$2)))))</f>
        <v> </v>
      </c>
      <c r="J2656" s="25" t="str">
        <f>IF(OR(E2656="",E2656="!!!",F2656="NEW"),"",COUNTBLANK(OFFSET(A$1,,,SUMPRODUCT(MAX(ROW(E$2:E2656)*(E2656=E$2:E2656)))))-COUNTBLANK(OFFSET(A$1,,,SUMPRODUCT(MAX(ROW(E$1:E2655)*(E2=E$1:E2655))))))</f>
        <v> </v>
      </c>
      <c r="K2656" s="25" t="str">
        <f>IF(OR(E2656="",E2656="!!!",F2656="NEW"),"",INDEX(J$1:J2655,SUMPRODUCT(MAX(ROW(E$1:E2655)*(E2656=E$1:E2655)))))</f>
        <v> </v>
      </c>
      <c r="L2656" s="26"/>
    </row>
    <row r="2657" spans="1:12">
      <c r="A2657" s="20" t="s">
        <v>851</v>
      </c>
      <c r="B2657" s="27" t="s">
        <v>831</v>
      </c>
      <c r="C2657" s="27" t="s">
        <v>788</v>
      </c>
      <c r="D2657" s="27" t="s">
        <v>736</v>
      </c>
      <c r="E2657" s="21">
        <f>IF(D2657="?OLD","!!!","")</f>
        <v/>
      </c>
      <c r="F2657" s="22" t="str">
        <f>IF(OR(E2657="",E2657="!!!"),"",IF(NOT(ISNA(VLOOKUP(E2657,E$1:E2656,1,FALSE()))),"OLD",IF(AND(E2657&lt;&gt;"",E2657&lt;&gt;"!!!"),"NEW","")))</f>
        <v> </v>
      </c>
      <c r="G2657" s="23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4" t="str">
        <f>IF(J2657&lt;&gt;1,"",IF(I2657="SBJ","CB","?"))</f>
        <v> </v>
      </c>
      <c r="I2657" s="25" t="str">
        <f>IF(OR(E2657="",E2657="!!!",F2657="NEW"),"",INDEX(B2656:B$2,-1+SUMPRODUCT(MAX(ROW(E2656:E$2)*(E2657=E2656:E$2)))))</f>
        <v> </v>
      </c>
      <c r="J2657" s="25" t="str">
        <f>IF(OR(E2657="",E2657="!!!",F2657="NEW"),"",COUNTBLANK(OFFSET(A$1,,,SUMPRODUCT(MAX(ROW(E$2:E2657)*(E2657=E$2:E2657)))))-COUNTBLANK(OFFSET(A$1,,,SUMPRODUCT(MAX(ROW(E$1:E2656)*(E2=E$1:E2656))))))</f>
        <v> </v>
      </c>
      <c r="K2657" s="25" t="str">
        <f>IF(OR(E2657="",E2657="!!!",F2657="NEW"),"",INDEX(J$1:J2656,SUMPRODUCT(MAX(ROW(E$1:E2656)*(E2657=E$1:E2656)))))</f>
        <v> </v>
      </c>
      <c r="L2657" s="26"/>
    </row>
    <row r="2658" spans="1:12">
      <c r="A2658" s="20" t="s">
        <v>759</v>
      </c>
      <c r="E2658" s="21">
        <f>IF(D2658="?OLD","!!!","")</f>
        <v/>
      </c>
      <c r="F2658" s="22" t="str">
        <f>IF(OR(E2658="",E2658="!!!"),"",IF(NOT(ISNA(VLOOKUP(E2658,E$1:E2657,1,FALSE()))),"OLD",IF(AND(E2658&lt;&gt;"",E2658&lt;&gt;"!!!"),"NEW","")))</f>
        <v> </v>
      </c>
      <c r="G2658" s="23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4" t="str">
        <f>IF(J2658&lt;&gt;1,"",IF(I2658="SBJ","CB","?"))</f>
        <v> </v>
      </c>
      <c r="I2658" s="25" t="str">
        <f>IF(OR(E2658="",E2658="!!!",F2658="NEW"),"",INDEX(B2657:B$2,-1+SUMPRODUCT(MAX(ROW(E2657:E$2)*(E2658=E2657:E$2)))))</f>
        <v> </v>
      </c>
      <c r="J2658" s="25" t="str">
        <f>IF(OR(E2658="",E2658="!!!",F2658="NEW"),"",COUNTBLANK(OFFSET(A$1,,,SUMPRODUCT(MAX(ROW(E$2:E2658)*(E2658=E$2:E2658)))))-COUNTBLANK(OFFSET(A$1,,,SUMPRODUCT(MAX(ROW(E$1:E2657)*(E2=E$1:E2657))))))</f>
        <v> </v>
      </c>
      <c r="K2658" s="25" t="str">
        <f>IF(OR(E2658="",E2658="!!!",F2658="NEW"),"",INDEX(J$1:J2657,SUMPRODUCT(MAX(ROW(E$1:E2657)*(E2658=E$1:E2657)))))</f>
        <v> </v>
      </c>
      <c r="L2658" s="26"/>
    </row>
    <row r="2659" spans="1:12">
      <c r="A2659" s="20" t="s">
        <v>1913</v>
      </c>
      <c r="E2659" s="21">
        <f>IF(D2659="?OLD","!!!","")</f>
        <v/>
      </c>
      <c r="F2659" s="22" t="str">
        <f>IF(OR(E2659="",E2659="!!!"),"",IF(NOT(ISNA(VLOOKUP(E2659,E$1:E2658,1,FALSE()))),"OLD",IF(AND(E2659&lt;&gt;"",E2659&lt;&gt;"!!!"),"NEW","")))</f>
        <v> </v>
      </c>
      <c r="G2659" s="23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4" t="str">
        <f>IF(J2659&lt;&gt;1,"",IF(I2659="SBJ","CB","?"))</f>
        <v> </v>
      </c>
      <c r="I2659" s="25" t="str">
        <f>IF(OR(E2659="",E2659="!!!",F2659="NEW"),"",INDEX(B2658:B$2,-1+SUMPRODUCT(MAX(ROW(E2658:E$2)*(E2659=E2658:E$2)))))</f>
        <v> </v>
      </c>
      <c r="J2659" s="25" t="str">
        <f>IF(OR(E2659="",E2659="!!!",F2659="NEW"),"",COUNTBLANK(OFFSET(A$1,,,SUMPRODUCT(MAX(ROW(E$2:E2659)*(E2659=E$2:E2659)))))-COUNTBLANK(OFFSET(A$1,,,SUMPRODUCT(MAX(ROW(E$1:E2658)*(E2=E$1:E2658))))))</f>
        <v> </v>
      </c>
      <c r="K2659" s="25" t="str">
        <f>IF(OR(E2659="",E2659="!!!",F2659="NEW"),"",INDEX(J$1:J2658,SUMPRODUCT(MAX(ROW(E$1:E2658)*(E2659=E$1:E2658)))))</f>
        <v> </v>
      </c>
      <c r="L2659" s="26"/>
    </row>
    <row r="2660" spans="1:12">
      <c r="A2660" s="20" t="s">
        <v>744</v>
      </c>
      <c r="E2660" s="21">
        <f>IF(D2660="?OLD","!!!","")</f>
        <v/>
      </c>
      <c r="F2660" s="22" t="str">
        <f>IF(OR(E2660="",E2660="!!!"),"",IF(NOT(ISNA(VLOOKUP(E2660,E$1:E2659,1,FALSE()))),"OLD",IF(AND(E2660&lt;&gt;"",E2660&lt;&gt;"!!!"),"NEW","")))</f>
        <v> </v>
      </c>
      <c r="G2660" s="23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4" t="str">
        <f>IF(J2660&lt;&gt;1,"",IF(I2660="SBJ","CB","?"))</f>
        <v> </v>
      </c>
      <c r="I2660" s="25" t="str">
        <f>IF(OR(E2660="",E2660="!!!",F2660="NEW"),"",INDEX(B2659:B$2,-1+SUMPRODUCT(MAX(ROW(E2659:E$2)*(E2660=E2659:E$2)))))</f>
        <v> </v>
      </c>
      <c r="J2660" s="25" t="str">
        <f>IF(OR(E2660="",E2660="!!!",F2660="NEW"),"",COUNTBLANK(OFFSET(A$1,,,SUMPRODUCT(MAX(ROW(E$2:E2660)*(E2660=E$2:E2660)))))-COUNTBLANK(OFFSET(A$1,,,SUMPRODUCT(MAX(ROW(E$1:E2659)*(E2=E$1:E2659))))))</f>
        <v> </v>
      </c>
      <c r="K2660" s="25" t="str">
        <f>IF(OR(E2660="",E2660="!!!",F2660="NEW"),"",INDEX(J$1:J2659,SUMPRODUCT(MAX(ROW(E$1:E2659)*(E2660=E$1:E2659)))))</f>
        <v> </v>
      </c>
      <c r="L2660" s="26"/>
    </row>
    <row r="2661" spans="1:12">
      <c r="A2661" s="20" t="s">
        <v>1914</v>
      </c>
      <c r="E2661" s="21">
        <f>IF(D2661="?OLD","!!!","")</f>
        <v/>
      </c>
      <c r="F2661" s="22" t="str">
        <f>IF(OR(E2661="",E2661="!!!"),"",IF(NOT(ISNA(VLOOKUP(E2661,E$1:E2660,1,FALSE()))),"OLD",IF(AND(E2661&lt;&gt;"",E2661&lt;&gt;"!!!"),"NEW","")))</f>
        <v> </v>
      </c>
      <c r="G2661" s="23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4" t="str">
        <f>IF(J2661&lt;&gt;1,"",IF(I2661="SBJ","CB","?"))</f>
        <v> </v>
      </c>
      <c r="I2661" s="25" t="str">
        <f>IF(OR(E2661="",E2661="!!!",F2661="NEW"),"",INDEX(B2660:B$2,-1+SUMPRODUCT(MAX(ROW(E2660:E$2)*(E2661=E2660:E$2)))))</f>
        <v> </v>
      </c>
      <c r="J2661" s="25" t="str">
        <f>IF(OR(E2661="",E2661="!!!",F2661="NEW"),"",COUNTBLANK(OFFSET(A$1,,,SUMPRODUCT(MAX(ROW(E$2:E2661)*(E2661=E$2:E2661)))))-COUNTBLANK(OFFSET(A$1,,,SUMPRODUCT(MAX(ROW(E$1:E2660)*(E2=E$1:E2660))))))</f>
        <v> </v>
      </c>
      <c r="K2661" s="25" t="str">
        <f>IF(OR(E2661="",E2661="!!!",F2661="NEW"),"",INDEX(J$1:J2660,SUMPRODUCT(MAX(ROW(E$1:E2660)*(E2661=E$1:E2660)))))</f>
        <v> </v>
      </c>
      <c r="L2661" s="26"/>
    </row>
    <row r="2662" spans="1:12">
      <c r="A2662" s="20" t="s">
        <v>1915</v>
      </c>
      <c r="E2662" s="21">
        <f>IF(D2662="?OLD","!!!","")</f>
        <v/>
      </c>
      <c r="F2662" s="22" t="str">
        <f>IF(OR(E2662="",E2662="!!!"),"",IF(NOT(ISNA(VLOOKUP(E2662,E$1:E2661,1,FALSE()))),"OLD",IF(AND(E2662&lt;&gt;"",E2662&lt;&gt;"!!!"),"NEW","")))</f>
        <v> </v>
      </c>
      <c r="G2662" s="23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4" t="str">
        <f>IF(J2662&lt;&gt;1,"",IF(I2662="SBJ","CB","?"))</f>
        <v> </v>
      </c>
      <c r="I2662" s="25" t="str">
        <f>IF(OR(E2662="",E2662="!!!",F2662="NEW"),"",INDEX(B2661:B$2,-1+SUMPRODUCT(MAX(ROW(E2661:E$2)*(E2662=E2661:E$2)))))</f>
        <v> </v>
      </c>
      <c r="J2662" s="25" t="str">
        <f>IF(OR(E2662="",E2662="!!!",F2662="NEW"),"",COUNTBLANK(OFFSET(A$1,,,SUMPRODUCT(MAX(ROW(E$2:E2662)*(E2662=E$2:E2662)))))-COUNTBLANK(OFFSET(A$1,,,SUMPRODUCT(MAX(ROW(E$1:E2661)*(E2=E$1:E2661))))))</f>
        <v> </v>
      </c>
      <c r="K2662" s="25" t="str">
        <f>IF(OR(E2662="",E2662="!!!",F2662="NEW"),"",INDEX(J$1:J2661,SUMPRODUCT(MAX(ROW(E$1:E2661)*(E2662=E$1:E2661)))))</f>
        <v> </v>
      </c>
      <c r="L2662" s="26"/>
    </row>
    <row r="2663" spans="1:12">
      <c r="A2663" s="20" t="s">
        <v>744</v>
      </c>
      <c r="E2663" s="21">
        <f>IF(D2663="?OLD","!!!","")</f>
        <v/>
      </c>
      <c r="F2663" s="22" t="str">
        <f>IF(OR(E2663="",E2663="!!!"),"",IF(NOT(ISNA(VLOOKUP(E2663,E$1:E2662,1,FALSE()))),"OLD",IF(AND(E2663&lt;&gt;"",E2663&lt;&gt;"!!!"),"NEW","")))</f>
        <v> </v>
      </c>
      <c r="G2663" s="23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4" t="str">
        <f>IF(J2663&lt;&gt;1,"",IF(I2663="SBJ","CB","?"))</f>
        <v> </v>
      </c>
      <c r="I2663" s="25" t="str">
        <f>IF(OR(E2663="",E2663="!!!",F2663="NEW"),"",INDEX(B2662:B$2,-1+SUMPRODUCT(MAX(ROW(E2662:E$2)*(E2663=E2662:E$2)))))</f>
        <v> </v>
      </c>
      <c r="J2663" s="25" t="str">
        <f>IF(OR(E2663="",E2663="!!!",F2663="NEW"),"",COUNTBLANK(OFFSET(A$1,,,SUMPRODUCT(MAX(ROW(E$2:E2663)*(E2663=E$2:E2663)))))-COUNTBLANK(OFFSET(A$1,,,SUMPRODUCT(MAX(ROW(E$1:E2662)*(E2=E$1:E2662))))))</f>
        <v> </v>
      </c>
      <c r="K2663" s="25" t="str">
        <f>IF(OR(E2663="",E2663="!!!",F2663="NEW"),"",INDEX(J$1:J2662,SUMPRODUCT(MAX(ROW(E$1:E2662)*(E2663=E$1:E2662)))))</f>
        <v> </v>
      </c>
      <c r="L2663" s="26"/>
    </row>
    <row r="2664" spans="1:12">
      <c r="A2664" s="20" t="s">
        <v>842</v>
      </c>
      <c r="E2664" s="21">
        <f>IF(D2664="?OLD","!!!","")</f>
        <v/>
      </c>
      <c r="F2664" s="22" t="str">
        <f>IF(OR(E2664="",E2664="!!!"),"",IF(NOT(ISNA(VLOOKUP(E2664,E$1:E2663,1,FALSE()))),"OLD",IF(AND(E2664&lt;&gt;"",E2664&lt;&gt;"!!!"),"NEW","")))</f>
        <v> </v>
      </c>
      <c r="G2664" s="23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4" t="str">
        <f>IF(J2664&lt;&gt;1,"",IF(I2664="SBJ","CB","?"))</f>
        <v> </v>
      </c>
      <c r="I2664" s="25" t="str">
        <f>IF(OR(E2664="",E2664="!!!",F2664="NEW"),"",INDEX(B2663:B$2,-1+SUMPRODUCT(MAX(ROW(E2663:E$2)*(E2664=E2663:E$2)))))</f>
        <v> </v>
      </c>
      <c r="J2664" s="25" t="str">
        <f>IF(OR(E2664="",E2664="!!!",F2664="NEW"),"",COUNTBLANK(OFFSET(A$1,,,SUMPRODUCT(MAX(ROW(E$2:E2664)*(E2664=E$2:E2664)))))-COUNTBLANK(OFFSET(A$1,,,SUMPRODUCT(MAX(ROW(E$1:E2663)*(E2=E$1:E2663))))))</f>
        <v> </v>
      </c>
      <c r="K2664" s="25" t="str">
        <f>IF(OR(E2664="",E2664="!!!",F2664="NEW"),"",INDEX(J$1:J2663,SUMPRODUCT(MAX(ROW(E$1:E2663)*(E2664=E$1:E2663)))))</f>
        <v> </v>
      </c>
      <c r="L2664" s="26"/>
    </row>
    <row r="2665" spans="1:12">
      <c r="A2665" s="20" t="s">
        <v>556</v>
      </c>
      <c r="E2665" s="21">
        <f>IF(D2665="?OLD","!!!","")</f>
        <v/>
      </c>
      <c r="F2665" s="22" t="str">
        <f>IF(OR(E2665="",E2665="!!!"),"",IF(NOT(ISNA(VLOOKUP(E2665,E$1:E2664,1,FALSE()))),"OLD",IF(AND(E2665&lt;&gt;"",E2665&lt;&gt;"!!!"),"NEW","")))</f>
        <v> </v>
      </c>
      <c r="G2665" s="23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4" t="str">
        <f>IF(J2665&lt;&gt;1,"",IF(I2665="SBJ","CB","?"))</f>
        <v> </v>
      </c>
      <c r="I2665" s="25" t="str">
        <f>IF(OR(E2665="",E2665="!!!",F2665="NEW"),"",INDEX(B2664:B$2,-1+SUMPRODUCT(MAX(ROW(E2664:E$2)*(E2665=E2664:E$2)))))</f>
        <v> </v>
      </c>
      <c r="J2665" s="25" t="str">
        <f>IF(OR(E2665="",E2665="!!!",F2665="NEW"),"",COUNTBLANK(OFFSET(A$1,,,SUMPRODUCT(MAX(ROW(E$2:E2665)*(E2665=E$2:E2665)))))-COUNTBLANK(OFFSET(A$1,,,SUMPRODUCT(MAX(ROW(E$1:E2664)*(E2=E$1:E2664))))))</f>
        <v> </v>
      </c>
      <c r="K2665" s="25" t="str">
        <f>IF(OR(E2665="",E2665="!!!",F2665="NEW"),"",INDEX(J$1:J2664,SUMPRODUCT(MAX(ROW(E$1:E2664)*(E2665=E$1:E2664)))))</f>
        <v> </v>
      </c>
      <c r="L2665" s="26"/>
    </row>
    <row r="2666" spans="1:12">
      <c r="A2666" s="20" t="s">
        <v>1906</v>
      </c>
      <c r="E2666" s="21">
        <f>IF(D2666="?OLD","!!!","")</f>
        <v/>
      </c>
      <c r="F2666" s="22" t="str">
        <f>IF(OR(E2666="",E2666="!!!"),"",IF(NOT(ISNA(VLOOKUP(E2666,E$1:E2665,1,FALSE()))),"OLD",IF(AND(E2666&lt;&gt;"",E2666&lt;&gt;"!!!"),"NEW","")))</f>
        <v> </v>
      </c>
      <c r="G2666" s="23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4" t="str">
        <f>IF(J2666&lt;&gt;1,"",IF(I2666="SBJ","CB","?"))</f>
        <v> </v>
      </c>
      <c r="I2666" s="25" t="str">
        <f>IF(OR(E2666="",E2666="!!!",F2666="NEW"),"",INDEX(B2665:B$2,-1+SUMPRODUCT(MAX(ROW(E2665:E$2)*(E2666=E2665:E$2)))))</f>
        <v> </v>
      </c>
      <c r="J2666" s="25" t="str">
        <f>IF(OR(E2666="",E2666="!!!",F2666="NEW"),"",COUNTBLANK(OFFSET(A$1,,,SUMPRODUCT(MAX(ROW(E$2:E2666)*(E2666=E$2:E2666)))))-COUNTBLANK(OFFSET(A$1,,,SUMPRODUCT(MAX(ROW(E$1:E2665)*(E2=E$1:E2665))))))</f>
        <v> </v>
      </c>
      <c r="K2666" s="25" t="str">
        <f>IF(OR(E2666="",E2666="!!!",F2666="NEW"),"",INDEX(J$1:J2665,SUMPRODUCT(MAX(ROW(E$1:E2665)*(E2666=E$1:E2665)))))</f>
        <v> </v>
      </c>
      <c r="L2666" s="26"/>
    </row>
    <row r="2667" spans="1:12">
      <c r="A2667" s="20" t="s">
        <v>1798</v>
      </c>
      <c r="E2667" s="21">
        <f>IF(D2667="?OLD","!!!","")</f>
        <v/>
      </c>
      <c r="F2667" s="22" t="str">
        <f>IF(OR(E2667="",E2667="!!!"),"",IF(NOT(ISNA(VLOOKUP(E2667,E$1:E2666,1,FALSE()))),"OLD",IF(AND(E2667&lt;&gt;"",E2667&lt;&gt;"!!!"),"NEW","")))</f>
        <v> </v>
      </c>
      <c r="G2667" s="23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4" t="str">
        <f>IF(J2667&lt;&gt;1,"",IF(I2667="SBJ","CB","?"))</f>
        <v> </v>
      </c>
      <c r="I2667" s="25" t="str">
        <f>IF(OR(E2667="",E2667="!!!",F2667="NEW"),"",INDEX(B2666:B$2,-1+SUMPRODUCT(MAX(ROW(E2666:E$2)*(E2667=E2666:E$2)))))</f>
        <v> </v>
      </c>
      <c r="J2667" s="25" t="str">
        <f>IF(OR(E2667="",E2667="!!!",F2667="NEW"),"",COUNTBLANK(OFFSET(A$1,,,SUMPRODUCT(MAX(ROW(E$2:E2667)*(E2667=E$2:E2667)))))-COUNTBLANK(OFFSET(A$1,,,SUMPRODUCT(MAX(ROW(E$1:E2666)*(E2=E$1:E2666))))))</f>
        <v> </v>
      </c>
      <c r="K2667" s="25" t="str">
        <f>IF(OR(E2667="",E2667="!!!",F2667="NEW"),"",INDEX(J$1:J2666,SUMPRODUCT(MAX(ROW(E$1:E2666)*(E2667=E$1:E2666)))))</f>
        <v> </v>
      </c>
      <c r="L2667" s="26"/>
    </row>
    <row r="2668" spans="1:12">
      <c r="A2668" s="20" t="s">
        <v>841</v>
      </c>
      <c r="E2668" s="21">
        <f>IF(D2668="?OLD","!!!","")</f>
        <v/>
      </c>
      <c r="F2668" s="22" t="str">
        <f>IF(OR(E2668="",E2668="!!!"),"",IF(NOT(ISNA(VLOOKUP(E2668,E$1:E2667,1,FALSE()))),"OLD",IF(AND(E2668&lt;&gt;"",E2668&lt;&gt;"!!!"),"NEW","")))</f>
        <v> </v>
      </c>
      <c r="G2668" s="23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4" t="str">
        <f>IF(J2668&lt;&gt;1,"",IF(I2668="SBJ","CB","?"))</f>
        <v> </v>
      </c>
      <c r="I2668" s="25" t="str">
        <f>IF(OR(E2668="",E2668="!!!",F2668="NEW"),"",INDEX(B2667:B$2,-1+SUMPRODUCT(MAX(ROW(E2667:E$2)*(E2668=E2667:E$2)))))</f>
        <v> </v>
      </c>
      <c r="J2668" s="25" t="str">
        <f>IF(OR(E2668="",E2668="!!!",F2668="NEW"),"",COUNTBLANK(OFFSET(A$1,,,SUMPRODUCT(MAX(ROW(E$2:E2668)*(E2668=E$2:E2668)))))-COUNTBLANK(OFFSET(A$1,,,SUMPRODUCT(MAX(ROW(E$1:E2667)*(E2=E$1:E2667))))))</f>
        <v> </v>
      </c>
      <c r="K2668" s="25" t="str">
        <f>IF(OR(E2668="",E2668="!!!",F2668="NEW"),"",INDEX(J$1:J2667,SUMPRODUCT(MAX(ROW(E$1:E2667)*(E2668=E$1:E2667)))))</f>
        <v> </v>
      </c>
      <c r="L2668" s="26"/>
    </row>
    <row r="2669" spans="1:12">
      <c r="A2669" s="20" t="s">
        <v>851</v>
      </c>
      <c r="B2669" s="27" t="s">
        <v>1197</v>
      </c>
      <c r="C2669" s="27" t="s">
        <v>788</v>
      </c>
      <c r="D2669" s="27" t="s">
        <v>736</v>
      </c>
      <c r="E2669" s="21">
        <f>IF(D2669="?OLD","!!!","")</f>
        <v/>
      </c>
      <c r="F2669" s="22" t="str">
        <f>IF(OR(E2669="",E2669="!!!"),"",IF(NOT(ISNA(VLOOKUP(E2669,E$1:E2668,1,FALSE()))),"OLD",IF(AND(E2669&lt;&gt;"",E2669&lt;&gt;"!!!"),"NEW","")))</f>
        <v> </v>
      </c>
      <c r="G2669" s="23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4" t="str">
        <f>IF(J2669&lt;&gt;1,"",IF(I2669="SBJ","CB","?"))</f>
        <v> </v>
      </c>
      <c r="I2669" s="25" t="str">
        <f>IF(OR(E2669="",E2669="!!!",F2669="NEW"),"",INDEX(B2668:B$2,-1+SUMPRODUCT(MAX(ROW(E2668:E$2)*(E2669=E2668:E$2)))))</f>
        <v> </v>
      </c>
      <c r="J2669" s="25" t="str">
        <f>IF(OR(E2669="",E2669="!!!",F2669="NEW"),"",COUNTBLANK(OFFSET(A$1,,,SUMPRODUCT(MAX(ROW(E$2:E2669)*(E2669=E$2:E2669)))))-COUNTBLANK(OFFSET(A$1,,,SUMPRODUCT(MAX(ROW(E$1:E2668)*(E2=E$1:E2668))))))</f>
        <v> </v>
      </c>
      <c r="K2669" s="25" t="str">
        <f>IF(OR(E2669="",E2669="!!!",F2669="NEW"),"",INDEX(J$1:J2668,SUMPRODUCT(MAX(ROW(E$1:E2668)*(E2669=E$1:E2668)))))</f>
        <v> </v>
      </c>
      <c r="L2669" s="26"/>
    </row>
    <row r="2670" spans="1:12">
      <c r="A2670" s="20" t="s">
        <v>1916</v>
      </c>
      <c r="E2670" s="21">
        <f>IF(D2670="?OLD","!!!","")</f>
        <v/>
      </c>
      <c r="F2670" s="22" t="str">
        <f>IF(OR(E2670="",E2670="!!!"),"",IF(NOT(ISNA(VLOOKUP(E2670,E$1:E2669,1,FALSE()))),"OLD",IF(AND(E2670&lt;&gt;"",E2670&lt;&gt;"!!!"),"NEW","")))</f>
        <v> </v>
      </c>
      <c r="G2670" s="23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4" t="str">
        <f>IF(J2670&lt;&gt;1,"",IF(I2670="SBJ","CB","?"))</f>
        <v> </v>
      </c>
      <c r="I2670" s="25" t="str">
        <f>IF(OR(E2670="",E2670="!!!",F2670="NEW"),"",INDEX(B2669:B$2,-1+SUMPRODUCT(MAX(ROW(E2669:E$2)*(E2670=E2669:E$2)))))</f>
        <v> </v>
      </c>
      <c r="J2670" s="25" t="str">
        <f>IF(OR(E2670="",E2670="!!!",F2670="NEW"),"",COUNTBLANK(OFFSET(A$1,,,SUMPRODUCT(MAX(ROW(E$2:E2670)*(E2670=E$2:E2670)))))-COUNTBLANK(OFFSET(A$1,,,SUMPRODUCT(MAX(ROW(E$1:E2669)*(E2=E$1:E2669))))))</f>
        <v> </v>
      </c>
      <c r="K2670" s="25" t="str">
        <f>IF(OR(E2670="",E2670="!!!",F2670="NEW"),"",INDEX(J$1:J2669,SUMPRODUCT(MAX(ROW(E$1:E2669)*(E2670=E$1:E2669)))))</f>
        <v> </v>
      </c>
      <c r="L2670" s="26"/>
    </row>
    <row r="2671" spans="1:12">
      <c r="A2671" s="20" t="s">
        <v>765</v>
      </c>
      <c r="E2671" s="21">
        <f>IF(D2671="?OLD","!!!","")</f>
        <v/>
      </c>
      <c r="F2671" s="22" t="str">
        <f>IF(OR(E2671="",E2671="!!!"),"",IF(NOT(ISNA(VLOOKUP(E2671,E$1:E2670,1,FALSE()))),"OLD",IF(AND(E2671&lt;&gt;"",E2671&lt;&gt;"!!!"),"NEW","")))</f>
        <v> </v>
      </c>
      <c r="G2671" s="23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4" t="str">
        <f>IF(J2671&lt;&gt;1,"",IF(I2671="SBJ","CB","?"))</f>
        <v> </v>
      </c>
      <c r="I2671" s="25" t="str">
        <f>IF(OR(E2671="",E2671="!!!",F2671="NEW"),"",INDEX(B2670:B$2,-1+SUMPRODUCT(MAX(ROW(E2670:E$2)*(E2671=E2670:E$2)))))</f>
        <v> </v>
      </c>
      <c r="J2671" s="25" t="str">
        <f>IF(OR(E2671="",E2671="!!!",F2671="NEW"),"",COUNTBLANK(OFFSET(A$1,,,SUMPRODUCT(MAX(ROW(E$2:E2671)*(E2671=E$2:E2671)))))-COUNTBLANK(OFFSET(A$1,,,SUMPRODUCT(MAX(ROW(E$1:E2670)*(E2=E$1:E2670))))))</f>
        <v> </v>
      </c>
      <c r="K2671" s="25" t="str">
        <f>IF(OR(E2671="",E2671="!!!",F2671="NEW"),"",INDEX(J$1:J2670,SUMPRODUCT(MAX(ROW(E$1:E2670)*(E2671=E$1:E2670)))))</f>
        <v> </v>
      </c>
      <c r="L2671" s="26"/>
    </row>
    <row r="2672" spans="1:12">
      <c r="A2672" s="20"/>
    </row>
    <row r="2673" spans="1:12">
      <c r="A2673" s="20" t="s">
        <v>1917</v>
      </c>
    </row>
    <row r="2674" spans="1:12">
      <c r="A2674" s="20" t="s">
        <v>1918</v>
      </c>
      <c r="E2674" s="21">
        <f>IF(D2674="?OLD","!!!","")</f>
        <v/>
      </c>
      <c r="F2674" s="22" t="str">
        <f>IF(OR(E2674="",E2674="!!!"),"",IF(NOT(ISNA(VLOOKUP(E2674,E$1:E2673,1,FALSE()))),"OLD",IF(AND(E2674&lt;&gt;"",E2674&lt;&gt;"!!!"),"NEW","")))</f>
        <v> </v>
      </c>
      <c r="G2674" s="23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4" t="str">
        <f>IF(J2674&lt;&gt;1,"",IF(I2674="SBJ","CB","?"))</f>
        <v> </v>
      </c>
      <c r="I2674" s="25" t="str">
        <f>IF(OR(E2674="",E2674="!!!",F2674="NEW"),"",INDEX(B2673:B$2,-1+SUMPRODUCT(MAX(ROW(E2673:E$2)*(E2674=E2673:E$2)))))</f>
        <v> </v>
      </c>
      <c r="J2674" s="25" t="str">
        <f>IF(OR(E2674="",E2674="!!!",F2674="NEW"),"",COUNTBLANK(OFFSET(A$1,,,SUMPRODUCT(MAX(ROW(E$2:E2674)*(E2674=E$2:E2674)))))-COUNTBLANK(OFFSET(A$1,,,SUMPRODUCT(MAX(ROW(E$1:E2673)*(E2=E$1:E2673))))))</f>
        <v> </v>
      </c>
      <c r="K2674" s="25" t="str">
        <f>IF(OR(E2674="",E2674="!!!",F2674="NEW"),"",INDEX(J$1:J2673,SUMPRODUCT(MAX(ROW(E$1:E2673)*(E2674=E$1:E2673)))))</f>
        <v> </v>
      </c>
      <c r="L2674" s="26"/>
    </row>
    <row r="2675" spans="1:12">
      <c r="A2675" s="20" t="s">
        <v>763</v>
      </c>
      <c r="E2675" s="21">
        <f>IF(D2675="?OLD","!!!","")</f>
        <v/>
      </c>
      <c r="F2675" s="22" t="str">
        <f>IF(OR(E2675="",E2675="!!!"),"",IF(NOT(ISNA(VLOOKUP(E2675,E$1:E2674,1,FALSE()))),"OLD",IF(AND(E2675&lt;&gt;"",E2675&lt;&gt;"!!!"),"NEW","")))</f>
        <v> </v>
      </c>
      <c r="G2675" s="23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4" t="str">
        <f>IF(J2675&lt;&gt;1,"",IF(I2675="SBJ","CB","?"))</f>
        <v> </v>
      </c>
      <c r="I2675" s="25" t="str">
        <f>IF(OR(E2675="",E2675="!!!",F2675="NEW"),"",INDEX(B2674:B$2,-1+SUMPRODUCT(MAX(ROW(E2674:E$2)*(E2675=E2674:E$2)))))</f>
        <v> </v>
      </c>
      <c r="J2675" s="25" t="str">
        <f>IF(OR(E2675="",E2675="!!!",F2675="NEW"),"",COUNTBLANK(OFFSET(A$1,,,SUMPRODUCT(MAX(ROW(E$2:E2675)*(E2675=E$2:E2675)))))-COUNTBLANK(OFFSET(A$1,,,SUMPRODUCT(MAX(ROW(E$1:E2674)*(E2=E$1:E2674))))))</f>
        <v> </v>
      </c>
      <c r="K2675" s="25" t="str">
        <f>IF(OR(E2675="",E2675="!!!",F2675="NEW"),"",INDEX(J$1:J2674,SUMPRODUCT(MAX(ROW(E$1:E2674)*(E2675=E$1:E2674)))))</f>
        <v> </v>
      </c>
      <c r="L2675" s="26"/>
    </row>
    <row r="2676" spans="1:12">
      <c r="A2676" s="20" t="s">
        <v>1919</v>
      </c>
      <c r="E2676" s="21">
        <f>IF(D2676="?OLD","!!!","")</f>
        <v/>
      </c>
      <c r="F2676" s="22" t="str">
        <f>IF(OR(E2676="",E2676="!!!"),"",IF(NOT(ISNA(VLOOKUP(E2676,E$1:E2675,1,FALSE()))),"OLD",IF(AND(E2676&lt;&gt;"",E2676&lt;&gt;"!!!"),"NEW","")))</f>
        <v> </v>
      </c>
      <c r="G2676" s="23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4" t="str">
        <f>IF(J2676&lt;&gt;1,"",IF(I2676="SBJ","CB","?"))</f>
        <v> </v>
      </c>
      <c r="I2676" s="25" t="str">
        <f>IF(OR(E2676="",E2676="!!!",F2676="NEW"),"",INDEX(B2675:B$2,-1+SUMPRODUCT(MAX(ROW(E2675:E$2)*(E2676=E2675:E$2)))))</f>
        <v> </v>
      </c>
      <c r="J2676" s="25" t="str">
        <f>IF(OR(E2676="",E2676="!!!",F2676="NEW"),"",COUNTBLANK(OFFSET(A$1,,,SUMPRODUCT(MAX(ROW(E$2:E2676)*(E2676=E$2:E2676)))))-COUNTBLANK(OFFSET(A$1,,,SUMPRODUCT(MAX(ROW(E$1:E2675)*(E2=E$1:E2675))))))</f>
        <v> </v>
      </c>
      <c r="K2676" s="25" t="str">
        <f>IF(OR(E2676="",E2676="!!!",F2676="NEW"),"",INDEX(J$1:J2675,SUMPRODUCT(MAX(ROW(E$1:E2675)*(E2676=E$1:E2675)))))</f>
        <v> </v>
      </c>
      <c r="L2676" s="26"/>
    </row>
    <row r="2677" spans="1:12">
      <c r="A2677" s="20" t="s">
        <v>761</v>
      </c>
      <c r="B2677" s="27" t="s">
        <v>734</v>
      </c>
      <c r="E2677" s="21">
        <f>IF(D2677="?OLD","!!!","")</f>
        <v/>
      </c>
      <c r="F2677" s="22" t="str">
        <f>IF(OR(E2677="",E2677="!!!"),"",IF(NOT(ISNA(VLOOKUP(E2677,E$1:E2676,1,FALSE()))),"OLD",IF(AND(E2677&lt;&gt;"",E2677&lt;&gt;"!!!"),"NEW","")))</f>
        <v> </v>
      </c>
      <c r="G2677" s="23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4" t="str">
        <f>IF(J2677&lt;&gt;1,"",IF(I2677="SBJ","CB","?"))</f>
        <v> </v>
      </c>
      <c r="I2677" s="25" t="str">
        <f>IF(OR(E2677="",E2677="!!!",F2677="NEW"),"",INDEX(B2676:B$2,-1+SUMPRODUCT(MAX(ROW(E2676:E$2)*(E2677=E2676:E$2)))))</f>
        <v> </v>
      </c>
      <c r="J2677" s="25" t="str">
        <f>IF(OR(E2677="",E2677="!!!",F2677="NEW"),"",COUNTBLANK(OFFSET(A$1,,,SUMPRODUCT(MAX(ROW(E$2:E2677)*(E2677=E$2:E2677)))))-COUNTBLANK(OFFSET(A$1,,,SUMPRODUCT(MAX(ROW(E$1:E2676)*(E2=E$1:E2676))))))</f>
        <v> </v>
      </c>
      <c r="K2677" s="25" t="str">
        <f>IF(OR(E2677="",E2677="!!!",F2677="NEW"),"",INDEX(J$1:J2676,SUMPRODUCT(MAX(ROW(E$1:E2676)*(E2677=E$1:E2676)))))</f>
        <v> </v>
      </c>
      <c r="L2677" s="26"/>
    </row>
    <row r="2678" spans="1:12">
      <c r="A2678" s="20" t="s">
        <v>841</v>
      </c>
      <c r="E2678" s="21">
        <f>IF(D2678="?OLD","!!!","")</f>
        <v/>
      </c>
      <c r="F2678" s="22" t="str">
        <f>IF(OR(E2678="",E2678="!!!"),"",IF(NOT(ISNA(VLOOKUP(E2678,E$1:E2677,1,FALSE()))),"OLD",IF(AND(E2678&lt;&gt;"",E2678&lt;&gt;"!!!"),"NEW","")))</f>
        <v> </v>
      </c>
      <c r="G2678" s="23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4" t="str">
        <f>IF(J2678&lt;&gt;1,"",IF(I2678="SBJ","CB","?"))</f>
        <v> </v>
      </c>
      <c r="I2678" s="25" t="str">
        <f>IF(OR(E2678="",E2678="!!!",F2678="NEW"),"",INDEX(B2677:B$2,-1+SUMPRODUCT(MAX(ROW(E2677:E$2)*(E2678=E2677:E$2)))))</f>
        <v> </v>
      </c>
      <c r="J2678" s="25" t="str">
        <f>IF(OR(E2678="",E2678="!!!",F2678="NEW"),"",COUNTBLANK(OFFSET(A$1,,,SUMPRODUCT(MAX(ROW(E$2:E2678)*(E2678=E$2:E2678)))))-COUNTBLANK(OFFSET(A$1,,,SUMPRODUCT(MAX(ROW(E$1:E2677)*(E2=E$1:E2677))))))</f>
        <v> </v>
      </c>
      <c r="K2678" s="25" t="str">
        <f>IF(OR(E2678="",E2678="!!!",F2678="NEW"),"",INDEX(J$1:J2677,SUMPRODUCT(MAX(ROW(E$1:E2677)*(E2678=E$1:E2677)))))</f>
        <v> </v>
      </c>
      <c r="L2678" s="26"/>
    </row>
    <row r="2679" spans="1:12">
      <c r="A2679" s="20" t="s">
        <v>1920</v>
      </c>
      <c r="E2679" s="21">
        <f>IF(D2679="?OLD","!!!","")</f>
        <v/>
      </c>
      <c r="F2679" s="22" t="str">
        <f>IF(OR(E2679="",E2679="!!!"),"",IF(NOT(ISNA(VLOOKUP(E2679,E$1:E2678,1,FALSE()))),"OLD",IF(AND(E2679&lt;&gt;"",E2679&lt;&gt;"!!!"),"NEW","")))</f>
        <v> </v>
      </c>
      <c r="G2679" s="23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4" t="str">
        <f>IF(J2679&lt;&gt;1,"",IF(I2679="SBJ","CB","?"))</f>
        <v> </v>
      </c>
      <c r="I2679" s="25" t="str">
        <f>IF(OR(E2679="",E2679="!!!",F2679="NEW"),"",INDEX(B2678:B$2,-1+SUMPRODUCT(MAX(ROW(E2678:E$2)*(E2679=E2678:E$2)))))</f>
        <v> </v>
      </c>
      <c r="J2679" s="25" t="str">
        <f>IF(OR(E2679="",E2679="!!!",F2679="NEW"),"",COUNTBLANK(OFFSET(A$1,,,SUMPRODUCT(MAX(ROW(E$2:E2679)*(E2679=E$2:E2679)))))-COUNTBLANK(OFFSET(A$1,,,SUMPRODUCT(MAX(ROW(E$1:E2678)*(E2=E$1:E2678))))))</f>
        <v> </v>
      </c>
      <c r="K2679" s="25" t="str">
        <f>IF(OR(E2679="",E2679="!!!",F2679="NEW"),"",INDEX(J$1:J2678,SUMPRODUCT(MAX(ROW(E$1:E2678)*(E2679=E$1:E2678)))))</f>
        <v> </v>
      </c>
      <c r="L2679" s="26"/>
    </row>
    <row r="2680" spans="1:12">
      <c r="A2680" s="20" t="s">
        <v>1921</v>
      </c>
      <c r="E2680" s="21">
        <f>IF(D2680="?OLD","!!!","")</f>
        <v/>
      </c>
      <c r="F2680" s="22" t="str">
        <f>IF(OR(E2680="",E2680="!!!"),"",IF(NOT(ISNA(VLOOKUP(E2680,E$1:E2679,1,FALSE()))),"OLD",IF(AND(E2680&lt;&gt;"",E2680&lt;&gt;"!!!"),"NEW","")))</f>
        <v> </v>
      </c>
      <c r="G2680" s="23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4" t="str">
        <f>IF(J2680&lt;&gt;1,"",IF(I2680="SBJ","CB","?"))</f>
        <v> </v>
      </c>
      <c r="I2680" s="25" t="str">
        <f>IF(OR(E2680="",E2680="!!!",F2680="NEW"),"",INDEX(B2679:B$2,-1+SUMPRODUCT(MAX(ROW(E2679:E$2)*(E2680=E2679:E$2)))))</f>
        <v> </v>
      </c>
      <c r="J2680" s="25" t="str">
        <f>IF(OR(E2680="",E2680="!!!",F2680="NEW"),"",COUNTBLANK(OFFSET(A$1,,,SUMPRODUCT(MAX(ROW(E$2:E2680)*(E2680=E$2:E2680)))))-COUNTBLANK(OFFSET(A$1,,,SUMPRODUCT(MAX(ROW(E$1:E2679)*(E2=E$1:E2679))))))</f>
        <v> </v>
      </c>
      <c r="K2680" s="25" t="str">
        <f>IF(OR(E2680="",E2680="!!!",F2680="NEW"),"",INDEX(J$1:J2679,SUMPRODUCT(MAX(ROW(E$1:E2679)*(E2680=E$1:E2679)))))</f>
        <v> </v>
      </c>
      <c r="L2680" s="26"/>
    </row>
    <row r="2681" spans="1:12">
      <c r="A2681" s="20" t="s">
        <v>765</v>
      </c>
      <c r="E2681" s="21">
        <f>IF(D2681="?OLD","!!!","")</f>
        <v/>
      </c>
      <c r="F2681" s="22" t="str">
        <f>IF(OR(E2681="",E2681="!!!"),"",IF(NOT(ISNA(VLOOKUP(E2681,E$1:E2680,1,FALSE()))),"OLD",IF(AND(E2681&lt;&gt;"",E2681&lt;&gt;"!!!"),"NEW","")))</f>
        <v> </v>
      </c>
      <c r="G2681" s="23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4" t="str">
        <f>IF(J2681&lt;&gt;1,"",IF(I2681="SBJ","CB","?"))</f>
        <v> </v>
      </c>
      <c r="I2681" s="25" t="str">
        <f>IF(OR(E2681="",E2681="!!!",F2681="NEW"),"",INDEX(B2680:B$2,-1+SUMPRODUCT(MAX(ROW(E2680:E$2)*(E2681=E2680:E$2)))))</f>
        <v> </v>
      </c>
      <c r="J2681" s="25" t="str">
        <f>IF(OR(E2681="",E2681="!!!",F2681="NEW"),"",COUNTBLANK(OFFSET(A$1,,,SUMPRODUCT(MAX(ROW(E$2:E2681)*(E2681=E$2:E2681)))))-COUNTBLANK(OFFSET(A$1,,,SUMPRODUCT(MAX(ROW(E$1:E2680)*(E2=E$1:E2680))))))</f>
        <v> </v>
      </c>
      <c r="K2681" s="25" t="str">
        <f>IF(OR(E2681="",E2681="!!!",F2681="NEW"),"",INDEX(J$1:J2680,SUMPRODUCT(MAX(ROW(E$1:E2680)*(E2681=E$1:E2680)))))</f>
        <v> </v>
      </c>
      <c r="L2681" s="26"/>
    </row>
    <row r="2682" spans="1:12">
      <c r="A2682" s="20"/>
    </row>
    <row r="2683" spans="1:12">
      <c r="A2683" s="20" t="s">
        <v>1922</v>
      </c>
    </row>
    <row r="2684" spans="1:12">
      <c r="A2684" s="20" t="s">
        <v>1923</v>
      </c>
      <c r="B2684" s="27" t="s">
        <v>734</v>
      </c>
      <c r="E2684" s="21">
        <f>IF(D2684="?OLD","!!!","")</f>
        <v/>
      </c>
      <c r="F2684" s="22" t="str">
        <f>IF(OR(E2684="",E2684="!!!"),"",IF(NOT(ISNA(VLOOKUP(E2684,E$1:E2683,1,FALSE()))),"OLD",IF(AND(E2684&lt;&gt;"",E2684&lt;&gt;"!!!"),"NEW","")))</f>
        <v> </v>
      </c>
      <c r="G2684" s="23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4" t="str">
        <f>IF(J2684&lt;&gt;1,"",IF(I2684="SBJ","CB","?"))</f>
        <v> </v>
      </c>
      <c r="I2684" s="25" t="str">
        <f>IF(OR(E2684="",E2684="!!!",F2684="NEW"),"",INDEX(B2683:B$2,-1+SUMPRODUCT(MAX(ROW(E2683:E$2)*(E2684=E2683:E$2)))))</f>
        <v> </v>
      </c>
      <c r="J2684" s="25" t="str">
        <f>IF(OR(E2684="",E2684="!!!",F2684="NEW"),"",COUNTBLANK(OFFSET(A$1,,,SUMPRODUCT(MAX(ROW(E$2:E2684)*(E2684=E$2:E2684)))))-COUNTBLANK(OFFSET(A$1,,,SUMPRODUCT(MAX(ROW(E$1:E2683)*(E2=E$1:E2683))))))</f>
        <v> </v>
      </c>
      <c r="K2684" s="25" t="str">
        <f>IF(OR(E2684="",E2684="!!!",F2684="NEW"),"",INDEX(J$1:J2683,SUMPRODUCT(MAX(ROW(E$1:E2683)*(E2684=E$1:E2683)))))</f>
        <v> </v>
      </c>
      <c r="L2684" s="26"/>
    </row>
    <row r="2685" spans="1:12">
      <c r="A2685" s="20" t="s">
        <v>1924</v>
      </c>
      <c r="E2685" s="21">
        <f>IF(D2685="?OLD","!!!","")</f>
        <v/>
      </c>
      <c r="F2685" s="22" t="str">
        <f>IF(OR(E2685="",E2685="!!!"),"",IF(NOT(ISNA(VLOOKUP(E2685,E$1:E2684,1,FALSE()))),"OLD",IF(AND(E2685&lt;&gt;"",E2685&lt;&gt;"!!!"),"NEW","")))</f>
        <v> </v>
      </c>
      <c r="G2685" s="23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4" t="str">
        <f>IF(J2685&lt;&gt;1,"",IF(I2685="SBJ","CB","?"))</f>
        <v> </v>
      </c>
      <c r="I2685" s="25" t="str">
        <f>IF(OR(E2685="",E2685="!!!",F2685="NEW"),"",INDEX(B2684:B$2,-1+SUMPRODUCT(MAX(ROW(E2684:E$2)*(E2685=E2684:E$2)))))</f>
        <v> </v>
      </c>
      <c r="J2685" s="25" t="str">
        <f>IF(OR(E2685="",E2685="!!!",F2685="NEW"),"",COUNTBLANK(OFFSET(A$1,,,SUMPRODUCT(MAX(ROW(E$2:E2685)*(E2685=E$2:E2685)))))-COUNTBLANK(OFFSET(A$1,,,SUMPRODUCT(MAX(ROW(E$1:E2684)*(E2=E$1:E2684))))))</f>
        <v> </v>
      </c>
      <c r="K2685" s="25" t="str">
        <f>IF(OR(E2685="",E2685="!!!",F2685="NEW"),"",INDEX(J$1:J2684,SUMPRODUCT(MAX(ROW(E$1:E2684)*(E2685=E$1:E2684)))))</f>
        <v> </v>
      </c>
      <c r="L2685" s="26"/>
    </row>
    <row r="2686" spans="1:12">
      <c r="A2686" s="20" t="s">
        <v>1925</v>
      </c>
      <c r="E2686" s="21">
        <f>IF(D2686="?OLD","!!!","")</f>
        <v/>
      </c>
      <c r="F2686" s="22" t="str">
        <f>IF(OR(E2686="",E2686="!!!"),"",IF(NOT(ISNA(VLOOKUP(E2686,E$1:E2685,1,FALSE()))),"OLD",IF(AND(E2686&lt;&gt;"",E2686&lt;&gt;"!!!"),"NEW","")))</f>
        <v> </v>
      </c>
      <c r="G2686" s="23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4" t="str">
        <f>IF(J2686&lt;&gt;1,"",IF(I2686="SBJ","CB","?"))</f>
        <v> </v>
      </c>
      <c r="I2686" s="25" t="str">
        <f>IF(OR(E2686="",E2686="!!!",F2686="NEW"),"",INDEX(B2685:B$2,-1+SUMPRODUCT(MAX(ROW(E2685:E$2)*(E2686=E2685:E$2)))))</f>
        <v> </v>
      </c>
      <c r="J2686" s="25" t="str">
        <f>IF(OR(E2686="",E2686="!!!",F2686="NEW"),"",COUNTBLANK(OFFSET(A$1,,,SUMPRODUCT(MAX(ROW(E$2:E2686)*(E2686=E$2:E2686)))))-COUNTBLANK(OFFSET(A$1,,,SUMPRODUCT(MAX(ROW(E$1:E2685)*(E2=E$1:E2685))))))</f>
        <v> </v>
      </c>
      <c r="K2686" s="25" t="str">
        <f>IF(OR(E2686="",E2686="!!!",F2686="NEW"),"",INDEX(J$1:J2685,SUMPRODUCT(MAX(ROW(E$1:E2685)*(E2686=E$1:E2685)))))</f>
        <v> </v>
      </c>
      <c r="L2686" s="26"/>
    </row>
    <row r="2687" spans="1:12">
      <c r="A2687" s="20" t="s">
        <v>1926</v>
      </c>
      <c r="B2687" s="27" t="s">
        <v>738</v>
      </c>
      <c r="C2687" s="27" t="s">
        <v>853</v>
      </c>
      <c r="D2687" s="27" t="s">
        <v>736</v>
      </c>
      <c r="E2687" s="21">
        <f>IF(D2687="?OLD","!!!","")</f>
        <v/>
      </c>
      <c r="F2687" s="22" t="str">
        <f>IF(OR(E2687="",E2687="!!!"),"",IF(NOT(ISNA(VLOOKUP(E2687,E$1:E2686,1,FALSE()))),"OLD",IF(AND(E2687&lt;&gt;"",E2687&lt;&gt;"!!!"),"NEW","")))</f>
        <v> </v>
      </c>
      <c r="G2687" s="23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4" t="str">
        <f>IF(J2687&lt;&gt;1,"",IF(I2687="SBJ","CB","?"))</f>
        <v> </v>
      </c>
      <c r="I2687" s="25" t="str">
        <f>IF(OR(E2687="",E2687="!!!",F2687="NEW"),"",INDEX(B2686:B$2,-1+SUMPRODUCT(MAX(ROW(E2686:E$2)*(E2687=E2686:E$2)))))</f>
        <v> </v>
      </c>
      <c r="J2687" s="25" t="str">
        <f>IF(OR(E2687="",E2687="!!!",F2687="NEW"),"",COUNTBLANK(OFFSET(A$1,,,SUMPRODUCT(MAX(ROW(E$2:E2687)*(E2687=E$2:E2687)))))-COUNTBLANK(OFFSET(A$1,,,SUMPRODUCT(MAX(ROW(E$1:E2686)*(E2=E$1:E2686))))))</f>
        <v> </v>
      </c>
      <c r="K2687" s="25" t="str">
        <f>IF(OR(E2687="",E2687="!!!",F2687="NEW"),"",INDEX(J$1:J2686,SUMPRODUCT(MAX(ROW(E$1:E2686)*(E2687=E$1:E2686)))))</f>
        <v> </v>
      </c>
      <c r="L2687" s="26"/>
    </row>
    <row r="2688" spans="1:12">
      <c r="A2688" s="20" t="s">
        <v>1927</v>
      </c>
      <c r="E2688" s="21">
        <f>IF(D2688="?OLD","!!!","")</f>
        <v/>
      </c>
      <c r="F2688" s="22" t="str">
        <f>IF(OR(E2688="",E2688="!!!"),"",IF(NOT(ISNA(VLOOKUP(E2688,E$1:E2687,1,FALSE()))),"OLD",IF(AND(E2688&lt;&gt;"",E2688&lt;&gt;"!!!"),"NEW","")))</f>
        <v> </v>
      </c>
      <c r="G2688" s="23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4" t="str">
        <f>IF(J2688&lt;&gt;1,"",IF(I2688="SBJ","CB","?"))</f>
        <v> </v>
      </c>
      <c r="I2688" s="25" t="str">
        <f>IF(OR(E2688="",E2688="!!!",F2688="NEW"),"",INDEX(B2687:B$2,-1+SUMPRODUCT(MAX(ROW(E2687:E$2)*(E2688=E2687:E$2)))))</f>
        <v> </v>
      </c>
      <c r="J2688" s="25" t="str">
        <f>IF(OR(E2688="",E2688="!!!",F2688="NEW"),"",COUNTBLANK(OFFSET(A$1,,,SUMPRODUCT(MAX(ROW(E$2:E2688)*(E2688=E$2:E2688)))))-COUNTBLANK(OFFSET(A$1,,,SUMPRODUCT(MAX(ROW(E$1:E2687)*(E2=E$1:E2687))))))</f>
        <v> </v>
      </c>
      <c r="K2688" s="25" t="str">
        <f>IF(OR(E2688="",E2688="!!!",F2688="NEW"),"",INDEX(J$1:J2687,SUMPRODUCT(MAX(ROW(E$1:E2687)*(E2688=E$1:E2687)))))</f>
        <v> </v>
      </c>
      <c r="L2688" s="26"/>
    </row>
    <row r="2689" spans="1:12">
      <c r="A2689" s="20" t="s">
        <v>744</v>
      </c>
      <c r="E2689" s="21">
        <f>IF(D2689="?OLD","!!!","")</f>
        <v/>
      </c>
      <c r="F2689" s="22" t="str">
        <f>IF(OR(E2689="",E2689="!!!"),"",IF(NOT(ISNA(VLOOKUP(E2689,E$1:E2688,1,FALSE()))),"OLD",IF(AND(E2689&lt;&gt;"",E2689&lt;&gt;"!!!"),"NEW","")))</f>
        <v> </v>
      </c>
      <c r="G2689" s="23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4" t="str">
        <f>IF(J2689&lt;&gt;1,"",IF(I2689="SBJ","CB","?"))</f>
        <v> </v>
      </c>
      <c r="I2689" s="25" t="str">
        <f>IF(OR(E2689="",E2689="!!!",F2689="NEW"),"",INDEX(B2688:B$2,-1+SUMPRODUCT(MAX(ROW(E2688:E$2)*(E2689=E2688:E$2)))))</f>
        <v> </v>
      </c>
      <c r="J2689" s="25" t="str">
        <f>IF(OR(E2689="",E2689="!!!",F2689="NEW"),"",COUNTBLANK(OFFSET(A$1,,,SUMPRODUCT(MAX(ROW(E$2:E2689)*(E2689=E$2:E2689)))))-COUNTBLANK(OFFSET(A$1,,,SUMPRODUCT(MAX(ROW(E$1:E2688)*(E2=E$1:E2688))))))</f>
        <v> </v>
      </c>
      <c r="K2689" s="25" t="str">
        <f>IF(OR(E2689="",E2689="!!!",F2689="NEW"),"",INDEX(J$1:J2688,SUMPRODUCT(MAX(ROW(E$1:E2688)*(E2689=E$1:E2688)))))</f>
        <v> </v>
      </c>
      <c r="L2689" s="26"/>
    </row>
    <row r="2690" spans="1:12">
      <c r="A2690" s="20" t="s">
        <v>842</v>
      </c>
      <c r="E2690" s="21">
        <f>IF(D2690="?OLD","!!!","")</f>
        <v/>
      </c>
      <c r="F2690" s="22" t="str">
        <f>IF(OR(E2690="",E2690="!!!"),"",IF(NOT(ISNA(VLOOKUP(E2690,E$1:E2689,1,FALSE()))),"OLD",IF(AND(E2690&lt;&gt;"",E2690&lt;&gt;"!!!"),"NEW","")))</f>
        <v> </v>
      </c>
      <c r="G2690" s="23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4" t="str">
        <f>IF(J2690&lt;&gt;1,"",IF(I2690="SBJ","CB","?"))</f>
        <v> </v>
      </c>
      <c r="I2690" s="25" t="str">
        <f>IF(OR(E2690="",E2690="!!!",F2690="NEW"),"",INDEX(B2689:B$2,-1+SUMPRODUCT(MAX(ROW(E2689:E$2)*(E2690=E2689:E$2)))))</f>
        <v> </v>
      </c>
      <c r="J2690" s="25" t="str">
        <f>IF(OR(E2690="",E2690="!!!",F2690="NEW"),"",COUNTBLANK(OFFSET(A$1,,,SUMPRODUCT(MAX(ROW(E$2:E2690)*(E2690=E$2:E2690)))))-COUNTBLANK(OFFSET(A$1,,,SUMPRODUCT(MAX(ROW(E$1:E2689)*(E2=E$1:E2689))))))</f>
        <v> </v>
      </c>
      <c r="K2690" s="25" t="str">
        <f>IF(OR(E2690="",E2690="!!!",F2690="NEW"),"",INDEX(J$1:J2689,SUMPRODUCT(MAX(ROW(E$1:E2689)*(E2690=E$1:E2689)))))</f>
        <v> </v>
      </c>
      <c r="L2690" s="26"/>
    </row>
    <row r="2691" spans="1:12">
      <c r="A2691" s="20" t="s">
        <v>761</v>
      </c>
      <c r="B2691" s="27" t="s">
        <v>762</v>
      </c>
      <c r="E2691" s="21">
        <f>IF(D2691="?OLD","!!!","")</f>
        <v/>
      </c>
      <c r="F2691" s="22" t="str">
        <f>IF(OR(E2691="",E2691="!!!"),"",IF(NOT(ISNA(VLOOKUP(E2691,E$1:E2690,1,FALSE()))),"OLD",IF(AND(E2691&lt;&gt;"",E2691&lt;&gt;"!!!"),"NEW","")))</f>
        <v> </v>
      </c>
      <c r="G2691" s="23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4" t="str">
        <f>IF(J2691&lt;&gt;1,"",IF(I2691="SBJ","CB","?"))</f>
        <v> </v>
      </c>
      <c r="I2691" s="25" t="str">
        <f>IF(OR(E2691="",E2691="!!!",F2691="NEW"),"",INDEX(B2690:B$2,-1+SUMPRODUCT(MAX(ROW(E2690:E$2)*(E2691=E2690:E$2)))))</f>
        <v> </v>
      </c>
      <c r="J2691" s="25" t="str">
        <f>IF(OR(E2691="",E2691="!!!",F2691="NEW"),"",COUNTBLANK(OFFSET(A$1,,,SUMPRODUCT(MAX(ROW(E$2:E2691)*(E2691=E$2:E2691)))))-COUNTBLANK(OFFSET(A$1,,,SUMPRODUCT(MAX(ROW(E$1:E2690)*(E2=E$1:E2690))))))</f>
        <v> </v>
      </c>
      <c r="K2691" s="25" t="str">
        <f>IF(OR(E2691="",E2691="!!!",F2691="NEW"),"",INDEX(J$1:J2690,SUMPRODUCT(MAX(ROW(E$1:E2690)*(E2691=E$1:E2690)))))</f>
        <v> </v>
      </c>
      <c r="L2691" s="26"/>
    </row>
    <row r="2692" spans="1:12">
      <c r="A2692" s="20" t="s">
        <v>749</v>
      </c>
      <c r="E2692" s="21">
        <f>IF(D2692="?OLD","!!!","")</f>
        <v/>
      </c>
      <c r="F2692" s="22" t="str">
        <f>IF(OR(E2692="",E2692="!!!"),"",IF(NOT(ISNA(VLOOKUP(E2692,E$1:E2691,1,FALSE()))),"OLD",IF(AND(E2692&lt;&gt;"",E2692&lt;&gt;"!!!"),"NEW","")))</f>
        <v> </v>
      </c>
      <c r="G2692" s="23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4" t="str">
        <f>IF(J2692&lt;&gt;1,"",IF(I2692="SBJ","CB","?"))</f>
        <v> </v>
      </c>
      <c r="I2692" s="25" t="str">
        <f>IF(OR(E2692="",E2692="!!!",F2692="NEW"),"",INDEX(B2691:B$2,-1+SUMPRODUCT(MAX(ROW(E2691:E$2)*(E2692=E2691:E$2)))))</f>
        <v> </v>
      </c>
      <c r="J2692" s="25" t="str">
        <f>IF(OR(E2692="",E2692="!!!",F2692="NEW"),"",COUNTBLANK(OFFSET(A$1,,,SUMPRODUCT(MAX(ROW(E$2:E2692)*(E2692=E$2:E2692)))))-COUNTBLANK(OFFSET(A$1,,,SUMPRODUCT(MAX(ROW(E$1:E2691)*(E2=E$1:E2691))))))</f>
        <v> </v>
      </c>
      <c r="K2692" s="25" t="str">
        <f>IF(OR(E2692="",E2692="!!!",F2692="NEW"),"",INDEX(J$1:J2691,SUMPRODUCT(MAX(ROW(E$1:E2691)*(E2692=E$1:E2691)))))</f>
        <v> </v>
      </c>
      <c r="L2692" s="26"/>
    </row>
    <row r="2693" spans="1:12">
      <c r="A2693" s="20" t="s">
        <v>932</v>
      </c>
      <c r="E2693" s="21">
        <f>IF(D2693="?OLD","!!!","")</f>
        <v/>
      </c>
      <c r="F2693" s="22" t="str">
        <f>IF(OR(E2693="",E2693="!!!"),"",IF(NOT(ISNA(VLOOKUP(E2693,E$1:E2692,1,FALSE()))),"OLD",IF(AND(E2693&lt;&gt;"",E2693&lt;&gt;"!!!"),"NEW","")))</f>
        <v> </v>
      </c>
      <c r="G2693" s="23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4" t="str">
        <f>IF(J2693&lt;&gt;1,"",IF(I2693="SBJ","CB","?"))</f>
        <v> </v>
      </c>
      <c r="I2693" s="25" t="str">
        <f>IF(OR(E2693="",E2693="!!!",F2693="NEW"),"",INDEX(B2692:B$2,-1+SUMPRODUCT(MAX(ROW(E2692:E$2)*(E2693=E2692:E$2)))))</f>
        <v> </v>
      </c>
      <c r="J2693" s="25" t="str">
        <f>IF(OR(E2693="",E2693="!!!",F2693="NEW"),"",COUNTBLANK(OFFSET(A$1,,,SUMPRODUCT(MAX(ROW(E$2:E2693)*(E2693=E$2:E2693)))))-COUNTBLANK(OFFSET(A$1,,,SUMPRODUCT(MAX(ROW(E$1:E2692)*(E2=E$1:E2692))))))</f>
        <v> </v>
      </c>
      <c r="K2693" s="25" t="str">
        <f>IF(OR(E2693="",E2693="!!!",F2693="NEW"),"",INDEX(J$1:J2692,SUMPRODUCT(MAX(ROW(E$1:E2692)*(E2693=E$1:E2692)))))</f>
        <v> </v>
      </c>
      <c r="L2693" s="26"/>
    </row>
    <row r="2694" spans="1:12">
      <c r="A2694" s="20" t="s">
        <v>1928</v>
      </c>
      <c r="B2694" s="27" t="s">
        <v>831</v>
      </c>
      <c r="C2694" s="27" t="s">
        <v>934</v>
      </c>
      <c r="D2694" s="27" t="s">
        <v>736</v>
      </c>
      <c r="E2694" s="21">
        <f>IF(D2694="?OLD","!!!","")</f>
        <v/>
      </c>
      <c r="F2694" s="22" t="str">
        <f>IF(OR(E2694="",E2694="!!!"),"",IF(NOT(ISNA(VLOOKUP(E2694,E$1:E2693,1,FALSE()))),"OLD",IF(AND(E2694&lt;&gt;"",E2694&lt;&gt;"!!!"),"NEW","")))</f>
        <v> </v>
      </c>
      <c r="G2694" s="23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4" t="str">
        <f>IF(J2694&lt;&gt;1,"",IF(I2694="SBJ","CB","?"))</f>
        <v> </v>
      </c>
      <c r="I2694" s="25" t="str">
        <f>IF(OR(E2694="",E2694="!!!",F2694="NEW"),"",INDEX(B2693:B$2,-1+SUMPRODUCT(MAX(ROW(E2693:E$2)*(E2694=E2693:E$2)))))</f>
        <v> </v>
      </c>
      <c r="J2694" s="25" t="str">
        <f>IF(OR(E2694="",E2694="!!!",F2694="NEW"),"",COUNTBLANK(OFFSET(A$1,,,SUMPRODUCT(MAX(ROW(E$2:E2694)*(E2694=E$2:E2694)))))-COUNTBLANK(OFFSET(A$1,,,SUMPRODUCT(MAX(ROW(E$1:E2693)*(E2=E$1:E2693))))))</f>
        <v> </v>
      </c>
      <c r="K2694" s="25" t="str">
        <f>IF(OR(E2694="",E2694="!!!",F2694="NEW"),"",INDEX(J$1:J2693,SUMPRODUCT(MAX(ROW(E$1:E2693)*(E2694=E$1:E2693)))))</f>
        <v> </v>
      </c>
      <c r="L2694" s="26"/>
    </row>
    <row r="2695" spans="1:12">
      <c r="A2695" s="20" t="s">
        <v>1929</v>
      </c>
      <c r="E2695" s="21">
        <f>IF(D2695="?OLD","!!!","")</f>
        <v/>
      </c>
      <c r="F2695" s="22" t="str">
        <f>IF(OR(E2695="",E2695="!!!"),"",IF(NOT(ISNA(VLOOKUP(E2695,E$1:E2694,1,FALSE()))),"OLD",IF(AND(E2695&lt;&gt;"",E2695&lt;&gt;"!!!"),"NEW","")))</f>
        <v> </v>
      </c>
      <c r="G2695" s="23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4" t="str">
        <f>IF(J2695&lt;&gt;1,"",IF(I2695="SBJ","CB","?"))</f>
        <v> </v>
      </c>
      <c r="I2695" s="25" t="str">
        <f>IF(OR(E2695="",E2695="!!!",F2695="NEW"),"",INDEX(B2694:B$2,-1+SUMPRODUCT(MAX(ROW(E2694:E$2)*(E2695=E2694:E$2)))))</f>
        <v> </v>
      </c>
      <c r="J2695" s="25" t="str">
        <f>IF(OR(E2695="",E2695="!!!",F2695="NEW"),"",COUNTBLANK(OFFSET(A$1,,,SUMPRODUCT(MAX(ROW(E$2:E2695)*(E2695=E$2:E2695)))))-COUNTBLANK(OFFSET(A$1,,,SUMPRODUCT(MAX(ROW(E$1:E2694)*(E2=E$1:E2694))))))</f>
        <v> </v>
      </c>
      <c r="K2695" s="25" t="str">
        <f>IF(OR(E2695="",E2695="!!!",F2695="NEW"),"",INDEX(J$1:J2694,SUMPRODUCT(MAX(ROW(E$1:E2694)*(E2695=E$1:E2694)))))</f>
        <v> </v>
      </c>
      <c r="L2695" s="26"/>
    </row>
    <row r="2696" spans="1:12">
      <c r="A2696" s="20" t="s">
        <v>793</v>
      </c>
      <c r="E2696" s="21">
        <f>IF(D2696="?OLD","!!!","")</f>
        <v/>
      </c>
      <c r="F2696" s="22" t="str">
        <f>IF(OR(E2696="",E2696="!!!"),"",IF(NOT(ISNA(VLOOKUP(E2696,E$1:E2695,1,FALSE()))),"OLD",IF(AND(E2696&lt;&gt;"",E2696&lt;&gt;"!!!"),"NEW","")))</f>
        <v> </v>
      </c>
      <c r="G2696" s="23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4" t="str">
        <f>IF(J2696&lt;&gt;1,"",IF(I2696="SBJ","CB","?"))</f>
        <v> </v>
      </c>
      <c r="I2696" s="25" t="str">
        <f>IF(OR(E2696="",E2696="!!!",F2696="NEW"),"",INDEX(B2695:B$2,-1+SUMPRODUCT(MAX(ROW(E2695:E$2)*(E2696=E2695:E$2)))))</f>
        <v> </v>
      </c>
      <c r="J2696" s="25" t="str">
        <f>IF(OR(E2696="",E2696="!!!",F2696="NEW"),"",COUNTBLANK(OFFSET(A$1,,,SUMPRODUCT(MAX(ROW(E$2:E2696)*(E2696=E$2:E2696)))))-COUNTBLANK(OFFSET(A$1,,,SUMPRODUCT(MAX(ROW(E$1:E2695)*(E2=E$1:E2695))))))</f>
        <v> </v>
      </c>
      <c r="K2696" s="25" t="str">
        <f>IF(OR(E2696="",E2696="!!!",F2696="NEW"),"",INDEX(J$1:J2695,SUMPRODUCT(MAX(ROW(E$1:E2695)*(E2696=E$1:E2695)))))</f>
        <v> </v>
      </c>
      <c r="L2696" s="26"/>
    </row>
    <row r="2697" spans="1:12">
      <c r="A2697" s="20" t="s">
        <v>1930</v>
      </c>
      <c r="E2697" s="21">
        <f>IF(D2697="?OLD","!!!","")</f>
        <v/>
      </c>
      <c r="F2697" s="22" t="str">
        <f>IF(OR(E2697="",E2697="!!!"),"",IF(NOT(ISNA(VLOOKUP(E2697,E$1:E2696,1,FALSE()))),"OLD",IF(AND(E2697&lt;&gt;"",E2697&lt;&gt;"!!!"),"NEW","")))</f>
        <v> </v>
      </c>
      <c r="G2697" s="23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4" t="str">
        <f>IF(J2697&lt;&gt;1,"",IF(I2697="SBJ","CB","?"))</f>
        <v> </v>
      </c>
      <c r="I2697" s="25" t="str">
        <f>IF(OR(E2697="",E2697="!!!",F2697="NEW"),"",INDEX(B2696:B$2,-1+SUMPRODUCT(MAX(ROW(E2696:E$2)*(E2697=E2696:E$2)))))</f>
        <v> </v>
      </c>
      <c r="J2697" s="25" t="str">
        <f>IF(OR(E2697="",E2697="!!!",F2697="NEW"),"",COUNTBLANK(OFFSET(A$1,,,SUMPRODUCT(MAX(ROW(E$2:E2697)*(E2697=E$2:E2697)))))-COUNTBLANK(OFFSET(A$1,,,SUMPRODUCT(MAX(ROW(E$1:E2696)*(E2=E$1:E2696))))))</f>
        <v> </v>
      </c>
      <c r="K2697" s="25" t="str">
        <f>IF(OR(E2697="",E2697="!!!",F2697="NEW"),"",INDEX(J$1:J2696,SUMPRODUCT(MAX(ROW(E$1:E2696)*(E2697=E$1:E2696)))))</f>
        <v> </v>
      </c>
      <c r="L2697" s="26"/>
    </row>
    <row r="2698" spans="1:12">
      <c r="A2698" s="20" t="s">
        <v>749</v>
      </c>
      <c r="E2698" s="21">
        <f>IF(D2698="?OLD","!!!","")</f>
        <v/>
      </c>
      <c r="F2698" s="22" t="str">
        <f>IF(OR(E2698="",E2698="!!!"),"",IF(NOT(ISNA(VLOOKUP(E2698,E$1:E2697,1,FALSE()))),"OLD",IF(AND(E2698&lt;&gt;"",E2698&lt;&gt;"!!!"),"NEW","")))</f>
        <v> </v>
      </c>
      <c r="G2698" s="23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4" t="str">
        <f>IF(J2698&lt;&gt;1,"",IF(I2698="SBJ","CB","?"))</f>
        <v> </v>
      </c>
      <c r="I2698" s="25" t="str">
        <f>IF(OR(E2698="",E2698="!!!",F2698="NEW"),"",INDEX(B2697:B$2,-1+SUMPRODUCT(MAX(ROW(E2697:E$2)*(E2698=E2697:E$2)))))</f>
        <v> </v>
      </c>
      <c r="J2698" s="25" t="str">
        <f>IF(OR(E2698="",E2698="!!!",F2698="NEW"),"",COUNTBLANK(OFFSET(A$1,,,SUMPRODUCT(MAX(ROW(E$2:E2698)*(E2698=E$2:E2698)))))-COUNTBLANK(OFFSET(A$1,,,SUMPRODUCT(MAX(ROW(E$1:E2697)*(E2=E$1:E2697))))))</f>
        <v> </v>
      </c>
      <c r="K2698" s="25" t="str">
        <f>IF(OR(E2698="",E2698="!!!",F2698="NEW"),"",INDEX(J$1:J2697,SUMPRODUCT(MAX(ROW(E$1:E2697)*(E2698=E$1:E2697)))))</f>
        <v> </v>
      </c>
      <c r="L2698" s="26"/>
    </row>
    <row r="2699" spans="1:12">
      <c r="A2699" s="20" t="s">
        <v>1025</v>
      </c>
      <c r="E2699" s="21">
        <f>IF(D2699="?OLD","!!!","")</f>
        <v/>
      </c>
      <c r="F2699" s="22" t="str">
        <f>IF(OR(E2699="",E2699="!!!"),"",IF(NOT(ISNA(VLOOKUP(E2699,E$1:E2698,1,FALSE()))),"OLD",IF(AND(E2699&lt;&gt;"",E2699&lt;&gt;"!!!"),"NEW","")))</f>
        <v> </v>
      </c>
      <c r="G2699" s="23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4" t="str">
        <f>IF(J2699&lt;&gt;1,"",IF(I2699="SBJ","CB","?"))</f>
        <v> </v>
      </c>
      <c r="I2699" s="25" t="str">
        <f>IF(OR(E2699="",E2699="!!!",F2699="NEW"),"",INDEX(B2698:B$2,-1+SUMPRODUCT(MAX(ROW(E2698:E$2)*(E2699=E2698:E$2)))))</f>
        <v> </v>
      </c>
      <c r="J2699" s="25" t="str">
        <f>IF(OR(E2699="",E2699="!!!",F2699="NEW"),"",COUNTBLANK(OFFSET(A$1,,,SUMPRODUCT(MAX(ROW(E$2:E2699)*(E2699=E$2:E2699)))))-COUNTBLANK(OFFSET(A$1,,,SUMPRODUCT(MAX(ROW(E$1:E2698)*(E2=E$1:E2698))))))</f>
        <v> </v>
      </c>
      <c r="K2699" s="25" t="str">
        <f>IF(OR(E2699="",E2699="!!!",F2699="NEW"),"",INDEX(J$1:J2698,SUMPRODUCT(MAX(ROW(E$1:E2698)*(E2699=E$1:E2698)))))</f>
        <v> </v>
      </c>
      <c r="L2699" s="26"/>
    </row>
    <row r="2700" spans="1:12">
      <c r="A2700" s="20" t="s">
        <v>898</v>
      </c>
      <c r="E2700" s="21">
        <f>IF(D2700="?OLD","!!!","")</f>
        <v/>
      </c>
      <c r="F2700" s="22" t="str">
        <f>IF(OR(E2700="",E2700="!!!"),"",IF(NOT(ISNA(VLOOKUP(E2700,E$1:E2699,1,FALSE()))),"OLD",IF(AND(E2700&lt;&gt;"",E2700&lt;&gt;"!!!"),"NEW","")))</f>
        <v> </v>
      </c>
      <c r="G2700" s="23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4" t="str">
        <f>IF(J2700&lt;&gt;1,"",IF(I2700="SBJ","CB","?"))</f>
        <v> </v>
      </c>
      <c r="I2700" s="25" t="str">
        <f>IF(OR(E2700="",E2700="!!!",F2700="NEW"),"",INDEX(B2699:B$2,-1+SUMPRODUCT(MAX(ROW(E2699:E$2)*(E2700=E2699:E$2)))))</f>
        <v> </v>
      </c>
      <c r="J2700" s="25" t="str">
        <f>IF(OR(E2700="",E2700="!!!",F2700="NEW"),"",COUNTBLANK(OFFSET(A$1,,,SUMPRODUCT(MAX(ROW(E$2:E2700)*(E2700=E$2:E2700)))))-COUNTBLANK(OFFSET(A$1,,,SUMPRODUCT(MAX(ROW(E$1:E2699)*(E2=E$1:E2699))))))</f>
        <v> </v>
      </c>
      <c r="K2700" s="25" t="str">
        <f>IF(OR(E2700="",E2700="!!!",F2700="NEW"),"",INDEX(J$1:J2699,SUMPRODUCT(MAX(ROW(E$1:E2699)*(E2700=E$1:E2699)))))</f>
        <v> </v>
      </c>
      <c r="L2700" s="26"/>
    </row>
    <row r="2701" spans="1:12">
      <c r="A2701" s="20" t="s">
        <v>1142</v>
      </c>
      <c r="B2701" s="27" t="s">
        <v>738</v>
      </c>
      <c r="C2701" s="27" t="s">
        <v>934</v>
      </c>
      <c r="D2701" s="27" t="s">
        <v>736</v>
      </c>
      <c r="E2701" s="21">
        <f>IF(D2701="?OLD","!!!","")</f>
        <v/>
      </c>
      <c r="F2701" s="22" t="str">
        <f>IF(OR(E2701="",E2701="!!!"),"",IF(NOT(ISNA(VLOOKUP(E2701,E$1:E2700,1,FALSE()))),"OLD",IF(AND(E2701&lt;&gt;"",E2701&lt;&gt;"!!!"),"NEW","")))</f>
        <v> </v>
      </c>
      <c r="G2701" s="23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4" t="str">
        <f>IF(J2701&lt;&gt;1,"",IF(I2701="SBJ","CB","?"))</f>
        <v> </v>
      </c>
      <c r="I2701" s="25" t="str">
        <f>IF(OR(E2701="",E2701="!!!",F2701="NEW"),"",INDEX(B2700:B$2,-1+SUMPRODUCT(MAX(ROW(E2700:E$2)*(E2701=E2700:E$2)))))</f>
        <v> </v>
      </c>
      <c r="J2701" s="25" t="str">
        <f>IF(OR(E2701="",E2701="!!!",F2701="NEW"),"",COUNTBLANK(OFFSET(A$1,,,SUMPRODUCT(MAX(ROW(E$2:E2701)*(E2701=E$2:E2701)))))-COUNTBLANK(OFFSET(A$1,,,SUMPRODUCT(MAX(ROW(E$1:E2700)*(E2=E$1:E2700))))))</f>
        <v> </v>
      </c>
      <c r="K2701" s="25" t="str">
        <f>IF(OR(E2701="",E2701="!!!",F2701="NEW"),"",INDEX(J$1:J2700,SUMPRODUCT(MAX(ROW(E$1:E2700)*(E2701=E$1:E2700)))))</f>
        <v> </v>
      </c>
      <c r="L2701" s="26"/>
    </row>
    <row r="2702" spans="1:12">
      <c r="A2702" s="20" t="s">
        <v>765</v>
      </c>
      <c r="E2702" s="21">
        <f>IF(D2702="?OLD","!!!","")</f>
        <v/>
      </c>
      <c r="F2702" s="22" t="str">
        <f>IF(OR(E2702="",E2702="!!!"),"",IF(NOT(ISNA(VLOOKUP(E2702,E$1:E2701,1,FALSE()))),"OLD",IF(AND(E2702&lt;&gt;"",E2702&lt;&gt;"!!!"),"NEW","")))</f>
        <v> </v>
      </c>
      <c r="G2702" s="23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4" t="str">
        <f>IF(J2702&lt;&gt;1,"",IF(I2702="SBJ","CB","?"))</f>
        <v> </v>
      </c>
      <c r="I2702" s="25" t="str">
        <f>IF(OR(E2702="",E2702="!!!",F2702="NEW"),"",INDEX(B2701:B$2,-1+SUMPRODUCT(MAX(ROW(E2701:E$2)*(E2702=E2701:E$2)))))</f>
        <v> </v>
      </c>
      <c r="J2702" s="25" t="str">
        <f>IF(OR(E2702="",E2702="!!!",F2702="NEW"),"",COUNTBLANK(OFFSET(A$1,,,SUMPRODUCT(MAX(ROW(E$2:E2702)*(E2702=E$2:E2702)))))-COUNTBLANK(OFFSET(A$1,,,SUMPRODUCT(MAX(ROW(E$1:E2701)*(E2=E$1:E2701))))))</f>
        <v> </v>
      </c>
      <c r="K2702" s="25" t="str">
        <f>IF(OR(E2702="",E2702="!!!",F2702="NEW"),"",INDEX(J$1:J2701,SUMPRODUCT(MAX(ROW(E$1:E2701)*(E2702=E$1:E2701)))))</f>
        <v> </v>
      </c>
      <c r="L2702" s="26"/>
    </row>
    <row r="2703" spans="1:12">
      <c r="A2703" s="20"/>
    </row>
    <row r="2704" spans="1:12">
      <c r="A2704" s="20" t="s">
        <v>1931</v>
      </c>
    </row>
    <row r="2705" spans="1:12">
      <c r="A2705" s="20" t="s">
        <v>1932</v>
      </c>
      <c r="E2705" s="21">
        <f>IF(D2705="?OLD","!!!","")</f>
        <v/>
      </c>
      <c r="F2705" s="22" t="str">
        <f>IF(OR(E2705="",E2705="!!!"),"",IF(NOT(ISNA(VLOOKUP(E2705,E$1:E2704,1,FALSE()))),"OLD",IF(AND(E2705&lt;&gt;"",E2705&lt;&gt;"!!!"),"NEW","")))</f>
        <v> </v>
      </c>
      <c r="G2705" s="23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4" t="str">
        <f>IF(J2705&lt;&gt;1,"",IF(I2705="SBJ","CB","?"))</f>
        <v> </v>
      </c>
      <c r="I2705" s="25" t="str">
        <f>IF(OR(E2705="",E2705="!!!",F2705="NEW"),"",INDEX(B2704:B$2,-1+SUMPRODUCT(MAX(ROW(E2704:E$2)*(E2705=E2704:E$2)))))</f>
        <v> </v>
      </c>
      <c r="J2705" s="25" t="str">
        <f>IF(OR(E2705="",E2705="!!!",F2705="NEW"),"",COUNTBLANK(OFFSET(A$1,,,SUMPRODUCT(MAX(ROW(E$2:E2705)*(E2705=E$2:E2705)))))-COUNTBLANK(OFFSET(A$1,,,SUMPRODUCT(MAX(ROW(E$1:E2704)*(E2=E$1:E2704))))))</f>
        <v> </v>
      </c>
      <c r="K2705" s="25" t="str">
        <f>IF(OR(E2705="",E2705="!!!",F2705="NEW"),"",INDEX(J$1:J2704,SUMPRODUCT(MAX(ROW(E$1:E2704)*(E2705=E$1:E2704)))))</f>
        <v> </v>
      </c>
      <c r="L2705" s="26"/>
    </row>
    <row r="2706" spans="1:12">
      <c r="A2706" s="20" t="s">
        <v>744</v>
      </c>
      <c r="E2706" s="21">
        <f>IF(D2706="?OLD","!!!","")</f>
        <v/>
      </c>
      <c r="F2706" s="22" t="str">
        <f>IF(OR(E2706="",E2706="!!!"),"",IF(NOT(ISNA(VLOOKUP(E2706,E$1:E2705,1,FALSE()))),"OLD",IF(AND(E2706&lt;&gt;"",E2706&lt;&gt;"!!!"),"NEW","")))</f>
        <v> </v>
      </c>
      <c r="G2706" s="23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4" t="str">
        <f>IF(J2706&lt;&gt;1,"",IF(I2706="SBJ","CB","?"))</f>
        <v> </v>
      </c>
      <c r="I2706" s="25" t="str">
        <f>IF(OR(E2706="",E2706="!!!",F2706="NEW"),"",INDEX(B2705:B$2,-1+SUMPRODUCT(MAX(ROW(E2705:E$2)*(E2706=E2705:E$2)))))</f>
        <v> </v>
      </c>
      <c r="J2706" s="25" t="str">
        <f>IF(OR(E2706="",E2706="!!!",F2706="NEW"),"",COUNTBLANK(OFFSET(A$1,,,SUMPRODUCT(MAX(ROW(E$2:E2706)*(E2706=E$2:E2706)))))-COUNTBLANK(OFFSET(A$1,,,SUMPRODUCT(MAX(ROW(E$1:E2705)*(E2=E$1:E2705))))))</f>
        <v> </v>
      </c>
      <c r="K2706" s="25" t="str">
        <f>IF(OR(E2706="",E2706="!!!",F2706="NEW"),"",INDEX(J$1:J2705,SUMPRODUCT(MAX(ROW(E$1:E2705)*(E2706=E$1:E2705)))))</f>
        <v> </v>
      </c>
      <c r="L2706" s="26"/>
    </row>
    <row r="2707" spans="1:12">
      <c r="A2707" s="20" t="s">
        <v>1114</v>
      </c>
      <c r="B2707" s="27" t="s">
        <v>734</v>
      </c>
      <c r="C2707" s="27" t="s">
        <v>756</v>
      </c>
      <c r="D2707" s="27" t="s">
        <v>736</v>
      </c>
      <c r="E2707" s="21">
        <f>IF(D2707="?OLD","!!!","")</f>
        <v/>
      </c>
      <c r="F2707" s="22" t="str">
        <f>IF(OR(E2707="",E2707="!!!"),"",IF(NOT(ISNA(VLOOKUP(E2707,E$1:E2706,1,FALSE()))),"OLD",IF(AND(E2707&lt;&gt;"",E2707&lt;&gt;"!!!"),"NEW","")))</f>
        <v> </v>
      </c>
      <c r="G2707" s="23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4" t="str">
        <f>IF(J2707&lt;&gt;1,"",IF(I2707="SBJ","CB","?"))</f>
        <v> </v>
      </c>
      <c r="I2707" s="25" t="str">
        <f>IF(OR(E2707="",E2707="!!!",F2707="NEW"),"",INDEX(B2706:B$2,-1+SUMPRODUCT(MAX(ROW(E2706:E$2)*(E2707=E2706:E$2)))))</f>
        <v> </v>
      </c>
      <c r="J2707" s="25" t="str">
        <f>IF(OR(E2707="",E2707="!!!",F2707="NEW"),"",COUNTBLANK(OFFSET(A$1,,,SUMPRODUCT(MAX(ROW(E$2:E2707)*(E2707=E$2:E2707)))))-COUNTBLANK(OFFSET(A$1,,,SUMPRODUCT(MAX(ROW(E$1:E2706)*(E2=E$1:E2706))))))</f>
        <v> </v>
      </c>
      <c r="K2707" s="25" t="str">
        <f>IF(OR(E2707="",E2707="!!!",F2707="NEW"),"",INDEX(J$1:J2706,SUMPRODUCT(MAX(ROW(E$1:E2706)*(E2707=E$1:E2706)))))</f>
        <v> </v>
      </c>
      <c r="L2707" s="26"/>
    </row>
    <row r="2708" spans="1:12">
      <c r="A2708" s="20" t="s">
        <v>763</v>
      </c>
      <c r="E2708" s="21">
        <f>IF(D2708="?OLD","!!!","")</f>
        <v/>
      </c>
      <c r="F2708" s="22" t="str">
        <f>IF(OR(E2708="",E2708="!!!"),"",IF(NOT(ISNA(VLOOKUP(E2708,E$1:E2707,1,FALSE()))),"OLD",IF(AND(E2708&lt;&gt;"",E2708&lt;&gt;"!!!"),"NEW","")))</f>
        <v> </v>
      </c>
      <c r="G2708" s="23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4" t="str">
        <f>IF(J2708&lt;&gt;1,"",IF(I2708="SBJ","CB","?"))</f>
        <v> </v>
      </c>
      <c r="I2708" s="25" t="str">
        <f>IF(OR(E2708="",E2708="!!!",F2708="NEW"),"",INDEX(B2707:B$2,-1+SUMPRODUCT(MAX(ROW(E2707:E$2)*(E2708=E2707:E$2)))))</f>
        <v> </v>
      </c>
      <c r="J2708" s="25" t="str">
        <f>IF(OR(E2708="",E2708="!!!",F2708="NEW"),"",COUNTBLANK(OFFSET(A$1,,,SUMPRODUCT(MAX(ROW(E$2:E2708)*(E2708=E$2:E2708)))))-COUNTBLANK(OFFSET(A$1,,,SUMPRODUCT(MAX(ROW(E$1:E2707)*(E2=E$1:E2707))))))</f>
        <v> </v>
      </c>
      <c r="K2708" s="25" t="str">
        <f>IF(OR(E2708="",E2708="!!!",F2708="NEW"),"",INDEX(J$1:J2707,SUMPRODUCT(MAX(ROW(E$1:E2707)*(E2708=E$1:E2707)))))</f>
        <v> </v>
      </c>
      <c r="L2708" s="26"/>
    </row>
    <row r="2709" spans="1:12">
      <c r="A2709" s="20" t="s">
        <v>1933</v>
      </c>
      <c r="E2709" s="21">
        <f>IF(D2709="?OLD","!!!","")</f>
        <v/>
      </c>
      <c r="F2709" s="22" t="str">
        <f>IF(OR(E2709="",E2709="!!!"),"",IF(NOT(ISNA(VLOOKUP(E2709,E$1:E2708,1,FALSE()))),"OLD",IF(AND(E2709&lt;&gt;"",E2709&lt;&gt;"!!!"),"NEW","")))</f>
        <v> </v>
      </c>
      <c r="G2709" s="23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4" t="str">
        <f>IF(J2709&lt;&gt;1,"",IF(I2709="SBJ","CB","?"))</f>
        <v> </v>
      </c>
      <c r="I2709" s="25" t="str">
        <f>IF(OR(E2709="",E2709="!!!",F2709="NEW"),"",INDEX(B2708:B$2,-1+SUMPRODUCT(MAX(ROW(E2708:E$2)*(E2709=E2708:E$2)))))</f>
        <v> </v>
      </c>
      <c r="J2709" s="25" t="str">
        <f>IF(OR(E2709="",E2709="!!!",F2709="NEW"),"",COUNTBLANK(OFFSET(A$1,,,SUMPRODUCT(MAX(ROW(E$2:E2709)*(E2709=E$2:E2709)))))-COUNTBLANK(OFFSET(A$1,,,SUMPRODUCT(MAX(ROW(E$1:E2708)*(E2=E$1:E2708))))))</f>
        <v> </v>
      </c>
      <c r="K2709" s="25" t="str">
        <f>IF(OR(E2709="",E2709="!!!",F2709="NEW"),"",INDEX(J$1:J2708,SUMPRODUCT(MAX(ROW(E$1:E2708)*(E2709=E$1:E2708)))))</f>
        <v> </v>
      </c>
      <c r="L2709" s="26"/>
    </row>
    <row r="2710" spans="1:12">
      <c r="A2710" s="20" t="s">
        <v>744</v>
      </c>
      <c r="E2710" s="21">
        <f>IF(D2710="?OLD","!!!","")</f>
        <v/>
      </c>
      <c r="F2710" s="22" t="str">
        <f>IF(OR(E2710="",E2710="!!!"),"",IF(NOT(ISNA(VLOOKUP(E2710,E$1:E2709,1,FALSE()))),"OLD",IF(AND(E2710&lt;&gt;"",E2710&lt;&gt;"!!!"),"NEW","")))</f>
        <v> </v>
      </c>
      <c r="G2710" s="23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4" t="str">
        <f>IF(J2710&lt;&gt;1,"",IF(I2710="SBJ","CB","?"))</f>
        <v> </v>
      </c>
      <c r="I2710" s="25" t="str">
        <f>IF(OR(E2710="",E2710="!!!",F2710="NEW"),"",INDEX(B2709:B$2,-1+SUMPRODUCT(MAX(ROW(E2709:E$2)*(E2710=E2709:E$2)))))</f>
        <v> </v>
      </c>
      <c r="J2710" s="25" t="str">
        <f>IF(OR(E2710="",E2710="!!!",F2710="NEW"),"",COUNTBLANK(OFFSET(A$1,,,SUMPRODUCT(MAX(ROW(E$2:E2710)*(E2710=E$2:E2710)))))-COUNTBLANK(OFFSET(A$1,,,SUMPRODUCT(MAX(ROW(E$1:E2709)*(E2=E$1:E2709))))))</f>
        <v> </v>
      </c>
      <c r="K2710" s="25" t="str">
        <f>IF(OR(E2710="",E2710="!!!",F2710="NEW"),"",INDEX(J$1:J2709,SUMPRODUCT(MAX(ROW(E$1:E2709)*(E2710=E$1:E2709)))))</f>
        <v> </v>
      </c>
      <c r="L2710" s="26"/>
    </row>
    <row r="2711" spans="1:12">
      <c r="A2711" s="20" t="s">
        <v>1008</v>
      </c>
      <c r="E2711" s="21">
        <f>IF(D2711="?OLD","!!!","")</f>
        <v/>
      </c>
      <c r="F2711" s="22" t="str">
        <f>IF(OR(E2711="",E2711="!!!"),"",IF(NOT(ISNA(VLOOKUP(E2711,E$1:E2710,1,FALSE()))),"OLD",IF(AND(E2711&lt;&gt;"",E2711&lt;&gt;"!!!"),"NEW","")))</f>
        <v> </v>
      </c>
      <c r="G2711" s="23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4" t="str">
        <f>IF(J2711&lt;&gt;1,"",IF(I2711="SBJ","CB","?"))</f>
        <v> </v>
      </c>
      <c r="I2711" s="25" t="str">
        <f>IF(OR(E2711="",E2711="!!!",F2711="NEW"),"",INDEX(B2710:B$2,-1+SUMPRODUCT(MAX(ROW(E2710:E$2)*(E2711=E2710:E$2)))))</f>
        <v> </v>
      </c>
      <c r="J2711" s="25" t="str">
        <f>IF(OR(E2711="",E2711="!!!",F2711="NEW"),"",COUNTBLANK(OFFSET(A$1,,,SUMPRODUCT(MAX(ROW(E$2:E2711)*(E2711=E$2:E2711)))))-COUNTBLANK(OFFSET(A$1,,,SUMPRODUCT(MAX(ROW(E$1:E2710)*(E2=E$1:E2710))))))</f>
        <v> </v>
      </c>
      <c r="K2711" s="25" t="str">
        <f>IF(OR(E2711="",E2711="!!!",F2711="NEW"),"",INDEX(J$1:J2710,SUMPRODUCT(MAX(ROW(E$1:E2710)*(E2711=E$1:E2710)))))</f>
        <v> </v>
      </c>
      <c r="L2711" s="26"/>
    </row>
    <row r="2712" spans="1:12">
      <c r="A2712" s="20" t="s">
        <v>1934</v>
      </c>
      <c r="E2712" s="21">
        <f>IF(D2712="?OLD","!!!","")</f>
        <v/>
      </c>
      <c r="F2712" s="22" t="str">
        <f>IF(OR(E2712="",E2712="!!!"),"",IF(NOT(ISNA(VLOOKUP(E2712,E$1:E2711,1,FALSE()))),"OLD",IF(AND(E2712&lt;&gt;"",E2712&lt;&gt;"!!!"),"NEW","")))</f>
        <v> </v>
      </c>
      <c r="G2712" s="23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4" t="str">
        <f>IF(J2712&lt;&gt;1,"",IF(I2712="SBJ","CB","?"))</f>
        <v> </v>
      </c>
      <c r="I2712" s="25" t="str">
        <f>IF(OR(E2712="",E2712="!!!",F2712="NEW"),"",INDEX(B2711:B$2,-1+SUMPRODUCT(MAX(ROW(E2711:E$2)*(E2712=E2711:E$2)))))</f>
        <v> </v>
      </c>
      <c r="J2712" s="25" t="str">
        <f>IF(OR(E2712="",E2712="!!!",F2712="NEW"),"",COUNTBLANK(OFFSET(A$1,,,SUMPRODUCT(MAX(ROW(E$2:E2712)*(E2712=E$2:E2712)))))-COUNTBLANK(OFFSET(A$1,,,SUMPRODUCT(MAX(ROW(E$1:E2711)*(E2=E$1:E2711))))))</f>
        <v> </v>
      </c>
      <c r="K2712" s="25" t="str">
        <f>IF(OR(E2712="",E2712="!!!",F2712="NEW"),"",INDEX(J$1:J2711,SUMPRODUCT(MAX(ROW(E$1:E2711)*(E2712=E$1:E2711)))))</f>
        <v> </v>
      </c>
      <c r="L2712" s="26"/>
    </row>
    <row r="2713" spans="1:12">
      <c r="A2713" s="20" t="s">
        <v>1935</v>
      </c>
      <c r="E2713" s="21">
        <f>IF(D2713="?OLD","!!!","")</f>
        <v/>
      </c>
      <c r="F2713" s="22" t="str">
        <f>IF(OR(E2713="",E2713="!!!"),"",IF(NOT(ISNA(VLOOKUP(E2713,E$1:E2712,1,FALSE()))),"OLD",IF(AND(E2713&lt;&gt;"",E2713&lt;&gt;"!!!"),"NEW","")))</f>
        <v> </v>
      </c>
      <c r="G2713" s="23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4" t="str">
        <f>IF(J2713&lt;&gt;1,"",IF(I2713="SBJ","CB","?"))</f>
        <v> </v>
      </c>
      <c r="I2713" s="25" t="str">
        <f>IF(OR(E2713="",E2713="!!!",F2713="NEW"),"",INDEX(B2712:B$2,-1+SUMPRODUCT(MAX(ROW(E2712:E$2)*(E2713=E2712:E$2)))))</f>
        <v> </v>
      </c>
      <c r="J2713" s="25" t="str">
        <f>IF(OR(E2713="",E2713="!!!",F2713="NEW"),"",COUNTBLANK(OFFSET(A$1,,,SUMPRODUCT(MAX(ROW(E$2:E2713)*(E2713=E$2:E2713)))))-COUNTBLANK(OFFSET(A$1,,,SUMPRODUCT(MAX(ROW(E$1:E2712)*(E2=E$1:E2712))))))</f>
        <v> </v>
      </c>
      <c r="K2713" s="25" t="str">
        <f>IF(OR(E2713="",E2713="!!!",F2713="NEW"),"",INDEX(J$1:J2712,SUMPRODUCT(MAX(ROW(E$1:E2712)*(E2713=E$1:E2712)))))</f>
        <v> </v>
      </c>
      <c r="L2713" s="26"/>
    </row>
    <row r="2714" spans="1:12">
      <c r="A2714" s="20" t="s">
        <v>639</v>
      </c>
      <c r="E2714" s="21">
        <f>IF(D2714="?OLD","!!!","")</f>
        <v/>
      </c>
      <c r="F2714" s="22" t="str">
        <f>IF(OR(E2714="",E2714="!!!"),"",IF(NOT(ISNA(VLOOKUP(E2714,E$1:E2713,1,FALSE()))),"OLD",IF(AND(E2714&lt;&gt;"",E2714&lt;&gt;"!!!"),"NEW","")))</f>
        <v> </v>
      </c>
      <c r="G2714" s="23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4" t="str">
        <f>IF(J2714&lt;&gt;1,"",IF(I2714="SBJ","CB","?"))</f>
        <v> </v>
      </c>
      <c r="I2714" s="25" t="str">
        <f>IF(OR(E2714="",E2714="!!!",F2714="NEW"),"",INDEX(B2713:B$2,-1+SUMPRODUCT(MAX(ROW(E2713:E$2)*(E2714=E2713:E$2)))))</f>
        <v> </v>
      </c>
      <c r="J2714" s="25" t="str">
        <f>IF(OR(E2714="",E2714="!!!",F2714="NEW"),"",COUNTBLANK(OFFSET(A$1,,,SUMPRODUCT(MAX(ROW(E$2:E2714)*(E2714=E$2:E2714)))))-COUNTBLANK(OFFSET(A$1,,,SUMPRODUCT(MAX(ROW(E$1:E2713)*(E2=E$1:E2713))))))</f>
        <v> </v>
      </c>
      <c r="K2714" s="25" t="str">
        <f>IF(OR(E2714="",E2714="!!!",F2714="NEW"),"",INDEX(J$1:J2713,SUMPRODUCT(MAX(ROW(E$1:E2713)*(E2714=E$1:E2713)))))</f>
        <v> </v>
      </c>
      <c r="L2714" s="26"/>
    </row>
    <row r="2715" spans="1:12">
      <c r="A2715" s="20" t="s">
        <v>1936</v>
      </c>
      <c r="B2715" s="27" t="s">
        <v>791</v>
      </c>
      <c r="C2715" s="27" t="s">
        <v>756</v>
      </c>
      <c r="D2715" s="27" t="s">
        <v>736</v>
      </c>
      <c r="E2715" s="21">
        <f>IF(D2715="?OLD","!!!","")</f>
        <v/>
      </c>
      <c r="F2715" s="22" t="str">
        <f>IF(OR(E2715="",E2715="!!!"),"",IF(NOT(ISNA(VLOOKUP(E2715,E$1:E2714,1,FALSE()))),"OLD",IF(AND(E2715&lt;&gt;"",E2715&lt;&gt;"!!!"),"NEW","")))</f>
        <v> </v>
      </c>
      <c r="G2715" s="23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4" t="str">
        <f>IF(J2715&lt;&gt;1,"",IF(I2715="SBJ","CB","?"))</f>
        <v> </v>
      </c>
      <c r="I2715" s="25" t="str">
        <f>IF(OR(E2715="",E2715="!!!",F2715="NEW"),"",INDEX(B2714:B$2,-1+SUMPRODUCT(MAX(ROW(E2714:E$2)*(E2715=E2714:E$2)))))</f>
        <v> </v>
      </c>
      <c r="J2715" s="25" t="str">
        <f>IF(OR(E2715="",E2715="!!!",F2715="NEW"),"",COUNTBLANK(OFFSET(A$1,,,SUMPRODUCT(MAX(ROW(E$2:E2715)*(E2715=E$2:E2715)))))-COUNTBLANK(OFFSET(A$1,,,SUMPRODUCT(MAX(ROW(E$1:E2714)*(E2=E$1:E2714))))))</f>
        <v> </v>
      </c>
      <c r="K2715" s="25" t="str">
        <f>IF(OR(E2715="",E2715="!!!",F2715="NEW"),"",INDEX(J$1:J2714,SUMPRODUCT(MAX(ROW(E$1:E2714)*(E2715=E$1:E2714)))))</f>
        <v> </v>
      </c>
      <c r="L2715" s="26"/>
    </row>
    <row r="2716" spans="1:12">
      <c r="A2716" s="20" t="s">
        <v>744</v>
      </c>
      <c r="E2716" s="21">
        <f>IF(D2716="?OLD","!!!","")</f>
        <v/>
      </c>
      <c r="F2716" s="22" t="str">
        <f>IF(OR(E2716="",E2716="!!!"),"",IF(NOT(ISNA(VLOOKUP(E2716,E$1:E2715,1,FALSE()))),"OLD",IF(AND(E2716&lt;&gt;"",E2716&lt;&gt;"!!!"),"NEW","")))</f>
        <v> </v>
      </c>
      <c r="G2716" s="23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4" t="str">
        <f>IF(J2716&lt;&gt;1,"",IF(I2716="SBJ","CB","?"))</f>
        <v> </v>
      </c>
      <c r="I2716" s="25" t="str">
        <f>IF(OR(E2716="",E2716="!!!",F2716="NEW"),"",INDEX(B2715:B$2,-1+SUMPRODUCT(MAX(ROW(E2715:E$2)*(E2716=E2715:E$2)))))</f>
        <v> </v>
      </c>
      <c r="J2716" s="25" t="str">
        <f>IF(OR(E2716="",E2716="!!!",F2716="NEW"),"",COUNTBLANK(OFFSET(A$1,,,SUMPRODUCT(MAX(ROW(E$2:E2716)*(E2716=E$2:E2716)))))-COUNTBLANK(OFFSET(A$1,,,SUMPRODUCT(MAX(ROW(E$1:E2715)*(E2=E$1:E2715))))))</f>
        <v> </v>
      </c>
      <c r="K2716" s="25" t="str">
        <f>IF(OR(E2716="",E2716="!!!",F2716="NEW"),"",INDEX(J$1:J2715,SUMPRODUCT(MAX(ROW(E$1:E2715)*(E2716=E$1:E2715)))))</f>
        <v> </v>
      </c>
      <c r="L2716" s="26"/>
    </row>
    <row r="2717" spans="1:12">
      <c r="A2717" s="20" t="s">
        <v>1937</v>
      </c>
      <c r="E2717" s="21">
        <f>IF(D2717="?OLD","!!!","")</f>
        <v/>
      </c>
      <c r="F2717" s="22" t="str">
        <f>IF(OR(E2717="",E2717="!!!"),"",IF(NOT(ISNA(VLOOKUP(E2717,E$1:E2716,1,FALSE()))),"OLD",IF(AND(E2717&lt;&gt;"",E2717&lt;&gt;"!!!"),"NEW","")))</f>
        <v> </v>
      </c>
      <c r="G2717" s="23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4" t="str">
        <f>IF(J2717&lt;&gt;1,"",IF(I2717="SBJ","CB","?"))</f>
        <v> </v>
      </c>
      <c r="I2717" s="25" t="str">
        <f>IF(OR(E2717="",E2717="!!!",F2717="NEW"),"",INDEX(B2716:B$2,-1+SUMPRODUCT(MAX(ROW(E2716:E$2)*(E2717=E2716:E$2)))))</f>
        <v> </v>
      </c>
      <c r="J2717" s="25" t="str">
        <f>IF(OR(E2717="",E2717="!!!",F2717="NEW"),"",COUNTBLANK(OFFSET(A$1,,,SUMPRODUCT(MAX(ROW(E$2:E2717)*(E2717=E$2:E2717)))))-COUNTBLANK(OFFSET(A$1,,,SUMPRODUCT(MAX(ROW(E$1:E2716)*(E2=E$1:E2716))))))</f>
        <v> </v>
      </c>
      <c r="K2717" s="25" t="str">
        <f>IF(OR(E2717="",E2717="!!!",F2717="NEW"),"",INDEX(J$1:J2716,SUMPRODUCT(MAX(ROW(E$1:E2716)*(E2717=E$1:E2716)))))</f>
        <v> </v>
      </c>
      <c r="L2717" s="26"/>
    </row>
    <row r="2718" spans="1:12">
      <c r="A2718" s="20" t="s">
        <v>1938</v>
      </c>
      <c r="E2718" s="21">
        <f>IF(D2718="?OLD","!!!","")</f>
        <v/>
      </c>
      <c r="F2718" s="22" t="str">
        <f>IF(OR(E2718="",E2718="!!!"),"",IF(NOT(ISNA(VLOOKUP(E2718,E$1:E2717,1,FALSE()))),"OLD",IF(AND(E2718&lt;&gt;"",E2718&lt;&gt;"!!!"),"NEW","")))</f>
        <v> </v>
      </c>
      <c r="G2718" s="23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4" t="str">
        <f>IF(J2718&lt;&gt;1,"",IF(I2718="SBJ","CB","?"))</f>
        <v> </v>
      </c>
      <c r="I2718" s="25" t="str">
        <f>IF(OR(E2718="",E2718="!!!",F2718="NEW"),"",INDEX(B2717:B$2,-1+SUMPRODUCT(MAX(ROW(E2717:E$2)*(E2718=E2717:E$2)))))</f>
        <v> </v>
      </c>
      <c r="J2718" s="25" t="str">
        <f>IF(OR(E2718="",E2718="!!!",F2718="NEW"),"",COUNTBLANK(OFFSET(A$1,,,SUMPRODUCT(MAX(ROW(E$2:E2718)*(E2718=E$2:E2718)))))-COUNTBLANK(OFFSET(A$1,,,SUMPRODUCT(MAX(ROW(E$1:E2717)*(E2=E$1:E2717))))))</f>
        <v> </v>
      </c>
      <c r="K2718" s="25" t="str">
        <f>IF(OR(E2718="",E2718="!!!",F2718="NEW"),"",INDEX(J$1:J2717,SUMPRODUCT(MAX(ROW(E$1:E2717)*(E2718=E$1:E2717)))))</f>
        <v> </v>
      </c>
      <c r="L2718" s="26"/>
    </row>
    <row r="2719" spans="1:12">
      <c r="A2719" s="20" t="s">
        <v>822</v>
      </c>
      <c r="E2719" s="21">
        <f>IF(D2719="?OLD","!!!","")</f>
        <v/>
      </c>
      <c r="F2719" s="22" t="str">
        <f>IF(OR(E2719="",E2719="!!!"),"",IF(NOT(ISNA(VLOOKUP(E2719,E$1:E2718,1,FALSE()))),"OLD",IF(AND(E2719&lt;&gt;"",E2719&lt;&gt;"!!!"),"NEW","")))</f>
        <v> </v>
      </c>
      <c r="G2719" s="23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4" t="str">
        <f>IF(J2719&lt;&gt;1,"",IF(I2719="SBJ","CB","?"))</f>
        <v> </v>
      </c>
      <c r="I2719" s="25" t="str">
        <f>IF(OR(E2719="",E2719="!!!",F2719="NEW"),"",INDEX(B2718:B$2,-1+SUMPRODUCT(MAX(ROW(E2718:E$2)*(E2719=E2718:E$2)))))</f>
        <v> </v>
      </c>
      <c r="J2719" s="25" t="str">
        <f>IF(OR(E2719="",E2719="!!!",F2719="NEW"),"",COUNTBLANK(OFFSET(A$1,,,SUMPRODUCT(MAX(ROW(E$2:E2719)*(E2719=E$2:E2719)))))-COUNTBLANK(OFFSET(A$1,,,SUMPRODUCT(MAX(ROW(E$1:E2718)*(E2=E$1:E2718))))))</f>
        <v> </v>
      </c>
      <c r="K2719" s="25" t="str">
        <f>IF(OR(E2719="",E2719="!!!",F2719="NEW"),"",INDEX(J$1:J2718,SUMPRODUCT(MAX(ROW(E$1:E2718)*(E2719=E$1:E2718)))))</f>
        <v> </v>
      </c>
      <c r="L2719" s="26"/>
    </row>
    <row r="2720" spans="1:12">
      <c r="A2720" s="20" t="s">
        <v>1939</v>
      </c>
      <c r="B2720" s="27" t="s">
        <v>1071</v>
      </c>
      <c r="C2720" s="27" t="s">
        <v>756</v>
      </c>
      <c r="D2720" s="27" t="s">
        <v>736</v>
      </c>
      <c r="E2720" s="21">
        <f>IF(D2720="?OLD","!!!","")</f>
        <v/>
      </c>
      <c r="F2720" s="22" t="str">
        <f>IF(OR(E2720="",E2720="!!!"),"",IF(NOT(ISNA(VLOOKUP(E2720,E$1:E2719,1,FALSE()))),"OLD",IF(AND(E2720&lt;&gt;"",E2720&lt;&gt;"!!!"),"NEW","")))</f>
        <v> </v>
      </c>
      <c r="G2720" s="23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4" t="str">
        <f>IF(J2720&lt;&gt;1,"",IF(I2720="SBJ","CB","?"))</f>
        <v> </v>
      </c>
      <c r="I2720" s="25" t="str">
        <f>IF(OR(E2720="",E2720="!!!",F2720="NEW"),"",INDEX(B2719:B$2,-1+SUMPRODUCT(MAX(ROW(E2719:E$2)*(E2720=E2719:E$2)))))</f>
        <v> </v>
      </c>
      <c r="J2720" s="25" t="str">
        <f>IF(OR(E2720="",E2720="!!!",F2720="NEW"),"",COUNTBLANK(OFFSET(A$1,,,SUMPRODUCT(MAX(ROW(E$2:E2720)*(E2720=E$2:E2720)))))-COUNTBLANK(OFFSET(A$1,,,SUMPRODUCT(MAX(ROW(E$1:E2719)*(E2=E$1:E2719))))))</f>
        <v> </v>
      </c>
      <c r="K2720" s="25" t="str">
        <f>IF(OR(E2720="",E2720="!!!",F2720="NEW"),"",INDEX(J$1:J2719,SUMPRODUCT(MAX(ROW(E$1:E2719)*(E2720=E$1:E2719)))))</f>
        <v> </v>
      </c>
      <c r="L2720" s="26"/>
    </row>
    <row r="2721" spans="1:12">
      <c r="A2721" s="20" t="s">
        <v>1940</v>
      </c>
      <c r="B2721" s="27" t="s">
        <v>762</v>
      </c>
      <c r="E2721" s="21">
        <f>IF(D2721="?OLD","!!!","")</f>
        <v/>
      </c>
      <c r="F2721" s="22" t="str">
        <f>IF(OR(E2721="",E2721="!!!"),"",IF(NOT(ISNA(VLOOKUP(E2721,E$1:E2720,1,FALSE()))),"OLD",IF(AND(E2721&lt;&gt;"",E2721&lt;&gt;"!!!"),"NEW","")))</f>
        <v> </v>
      </c>
      <c r="G2721" s="23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4" t="str">
        <f>IF(J2721&lt;&gt;1,"",IF(I2721="SBJ","CB","?"))</f>
        <v> </v>
      </c>
      <c r="I2721" s="25" t="str">
        <f>IF(OR(E2721="",E2721="!!!",F2721="NEW"),"",INDEX(B2720:B$2,-1+SUMPRODUCT(MAX(ROW(E2720:E$2)*(E2721=E2720:E$2)))))</f>
        <v> </v>
      </c>
      <c r="J2721" s="25" t="str">
        <f>IF(OR(E2721="",E2721="!!!",F2721="NEW"),"",COUNTBLANK(OFFSET(A$1,,,SUMPRODUCT(MAX(ROW(E$2:E2721)*(E2721=E$2:E2721)))))-COUNTBLANK(OFFSET(A$1,,,SUMPRODUCT(MAX(ROW(E$1:E2720)*(E2=E$1:E2720))))))</f>
        <v> </v>
      </c>
      <c r="K2721" s="25" t="str">
        <f>IF(OR(E2721="",E2721="!!!",F2721="NEW"),"",INDEX(J$1:J2720,SUMPRODUCT(MAX(ROW(E$1:E2720)*(E2721=E$1:E2720)))))</f>
        <v> </v>
      </c>
      <c r="L2721" s="26"/>
    </row>
    <row r="2722" spans="1:12">
      <c r="A2722" s="20" t="s">
        <v>1776</v>
      </c>
      <c r="E2722" s="21">
        <f>IF(D2722="?OLD","!!!","")</f>
        <v/>
      </c>
      <c r="F2722" s="22" t="str">
        <f>IF(OR(E2722="",E2722="!!!"),"",IF(NOT(ISNA(VLOOKUP(E2722,E$1:E2721,1,FALSE()))),"OLD",IF(AND(E2722&lt;&gt;"",E2722&lt;&gt;"!!!"),"NEW","")))</f>
        <v> </v>
      </c>
      <c r="G2722" s="23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4" t="str">
        <f>IF(J2722&lt;&gt;1,"",IF(I2722="SBJ","CB","?"))</f>
        <v> </v>
      </c>
      <c r="I2722" s="25" t="str">
        <f>IF(OR(E2722="",E2722="!!!",F2722="NEW"),"",INDEX(B2721:B$2,-1+SUMPRODUCT(MAX(ROW(E2721:E$2)*(E2722=E2721:E$2)))))</f>
        <v> </v>
      </c>
      <c r="J2722" s="25" t="str">
        <f>IF(OR(E2722="",E2722="!!!",F2722="NEW"),"",COUNTBLANK(OFFSET(A$1,,,SUMPRODUCT(MAX(ROW(E$2:E2722)*(E2722=E$2:E2722)))))-COUNTBLANK(OFFSET(A$1,,,SUMPRODUCT(MAX(ROW(E$1:E2721)*(E2=E$1:E2721))))))</f>
        <v> </v>
      </c>
      <c r="K2722" s="25" t="str">
        <f>IF(OR(E2722="",E2722="!!!",F2722="NEW"),"",INDEX(J$1:J2721,SUMPRODUCT(MAX(ROW(E$1:E2721)*(E2722=E$1:E2721)))))</f>
        <v> </v>
      </c>
      <c r="L2722" s="26"/>
    </row>
    <row r="2723" spans="1:12">
      <c r="A2723" s="20" t="s">
        <v>1777</v>
      </c>
      <c r="B2723" s="27" t="s">
        <v>791</v>
      </c>
      <c r="C2723" s="27" t="s">
        <v>735</v>
      </c>
      <c r="D2723" s="27" t="s">
        <v>736</v>
      </c>
      <c r="E2723" s="21">
        <f>IF(D2723="?OLD","!!!","")</f>
        <v/>
      </c>
      <c r="F2723" s="22" t="str">
        <f>IF(OR(E2723="",E2723="!!!"),"",IF(NOT(ISNA(VLOOKUP(E2723,E$1:E2722,1,FALSE()))),"OLD",IF(AND(E2723&lt;&gt;"",E2723&lt;&gt;"!!!"),"NEW","")))</f>
        <v> </v>
      </c>
      <c r="G2723" s="23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4" t="str">
        <f>IF(J2723&lt;&gt;1,"",IF(I2723="SBJ","CB","?"))</f>
        <v> </v>
      </c>
      <c r="I2723" s="25" t="str">
        <f>IF(OR(E2723="",E2723="!!!",F2723="NEW"),"",INDEX(B2722:B$2,-1+SUMPRODUCT(MAX(ROW(E2722:E$2)*(E2723=E2722:E$2)))))</f>
        <v> </v>
      </c>
      <c r="J2723" s="25" t="str">
        <f>IF(OR(E2723="",E2723="!!!",F2723="NEW"),"",COUNTBLANK(OFFSET(A$1,,,SUMPRODUCT(MAX(ROW(E$2:E2723)*(E2723=E$2:E2723)))))-COUNTBLANK(OFFSET(A$1,,,SUMPRODUCT(MAX(ROW(E$1:E2722)*(E2=E$1:E2722))))))</f>
        <v> </v>
      </c>
      <c r="K2723" s="25" t="str">
        <f>IF(OR(E2723="",E2723="!!!",F2723="NEW"),"",INDEX(J$1:J2722,SUMPRODUCT(MAX(ROW(E$1:E2722)*(E2723=E$1:E2722)))))</f>
        <v> </v>
      </c>
      <c r="L2723" s="26"/>
    </row>
    <row r="2724" spans="1:12">
      <c r="A2724" s="20" t="s">
        <v>1778</v>
      </c>
      <c r="E2724" s="21">
        <f>IF(D2724="?OLD","!!!","")</f>
        <v/>
      </c>
      <c r="F2724" s="22" t="str">
        <f>IF(OR(E2724="",E2724="!!!"),"",IF(NOT(ISNA(VLOOKUP(E2724,E$1:E2723,1,FALSE()))),"OLD",IF(AND(E2724&lt;&gt;"",E2724&lt;&gt;"!!!"),"NEW","")))</f>
        <v> </v>
      </c>
      <c r="G2724" s="23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4" t="str">
        <f>IF(J2724&lt;&gt;1,"",IF(I2724="SBJ","CB","?"))</f>
        <v> </v>
      </c>
      <c r="I2724" s="25" t="str">
        <f>IF(OR(E2724="",E2724="!!!",F2724="NEW"),"",INDEX(B2723:B$2,-1+SUMPRODUCT(MAX(ROW(E2723:E$2)*(E2724=E2723:E$2)))))</f>
        <v> </v>
      </c>
      <c r="J2724" s="25" t="str">
        <f>IF(OR(E2724="",E2724="!!!",F2724="NEW"),"",COUNTBLANK(OFFSET(A$1,,,SUMPRODUCT(MAX(ROW(E$2:E2724)*(E2724=E$2:E2724)))))-COUNTBLANK(OFFSET(A$1,,,SUMPRODUCT(MAX(ROW(E$1:E2723)*(E2=E$1:E2723))))))</f>
        <v> </v>
      </c>
      <c r="K2724" s="25" t="str">
        <f>IF(OR(E2724="",E2724="!!!",F2724="NEW"),"",INDEX(J$1:J2723,SUMPRODUCT(MAX(ROW(E$1:E2723)*(E2724=E$1:E2723)))))</f>
        <v> </v>
      </c>
      <c r="L2724" s="26"/>
    </row>
    <row r="2725" spans="1:12">
      <c r="A2725" s="20" t="s">
        <v>1779</v>
      </c>
      <c r="B2725" s="27" t="s">
        <v>831</v>
      </c>
      <c r="C2725" s="27" t="s">
        <v>828</v>
      </c>
      <c r="E2725" s="21">
        <f>IF(D2725="?OLD","!!!","")</f>
        <v/>
      </c>
      <c r="F2725" s="22" t="str">
        <f>IF(OR(E2725="",E2725="!!!"),"",IF(NOT(ISNA(VLOOKUP(E2725,E$1:E2724,1,FALSE()))),"OLD",IF(AND(E2725&lt;&gt;"",E2725&lt;&gt;"!!!"),"NEW","")))</f>
        <v> </v>
      </c>
      <c r="G2725" s="23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4" t="str">
        <f>IF(J2725&lt;&gt;1,"",IF(I2725="SBJ","CB","?"))</f>
        <v> </v>
      </c>
      <c r="I2725" s="25" t="str">
        <f>IF(OR(E2725="",E2725="!!!",F2725="NEW"),"",INDEX(B2724:B$2,-1+SUMPRODUCT(MAX(ROW(E2724:E$2)*(E2725=E2724:E$2)))))</f>
        <v> </v>
      </c>
      <c r="J2725" s="25" t="str">
        <f>IF(OR(E2725="",E2725="!!!",F2725="NEW"),"",COUNTBLANK(OFFSET(A$1,,,SUMPRODUCT(MAX(ROW(E$2:E2725)*(E2725=E$2:E2725)))))-COUNTBLANK(OFFSET(A$1,,,SUMPRODUCT(MAX(ROW(E$1:E2724)*(E2=E$1:E2724))))))</f>
        <v> </v>
      </c>
      <c r="K2725" s="25" t="str">
        <f>IF(OR(E2725="",E2725="!!!",F2725="NEW"),"",INDEX(J$1:J2724,SUMPRODUCT(MAX(ROW(E$1:E2724)*(E2725=E$1:E2724)))))</f>
        <v> </v>
      </c>
      <c r="L2725" s="26"/>
    </row>
    <row r="2726" spans="1:12">
      <c r="A2726" s="20" t="s">
        <v>763</v>
      </c>
      <c r="E2726" s="21">
        <f>IF(D2726="?OLD","!!!","")</f>
        <v/>
      </c>
      <c r="F2726" s="22" t="str">
        <f>IF(OR(E2726="",E2726="!!!"),"",IF(NOT(ISNA(VLOOKUP(E2726,E$1:E2725,1,FALSE()))),"OLD",IF(AND(E2726&lt;&gt;"",E2726&lt;&gt;"!!!"),"NEW","")))</f>
        <v> </v>
      </c>
      <c r="G2726" s="23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4" t="str">
        <f>IF(J2726&lt;&gt;1,"",IF(I2726="SBJ","CB","?"))</f>
        <v> </v>
      </c>
      <c r="I2726" s="25" t="str">
        <f>IF(OR(E2726="",E2726="!!!",F2726="NEW"),"",INDEX(B2725:B$2,-1+SUMPRODUCT(MAX(ROW(E2725:E$2)*(E2726=E2725:E$2)))))</f>
        <v> </v>
      </c>
      <c r="J2726" s="25" t="str">
        <f>IF(OR(E2726="",E2726="!!!",F2726="NEW"),"",COUNTBLANK(OFFSET(A$1,,,SUMPRODUCT(MAX(ROW(E$2:E2726)*(E2726=E$2:E2726)))))-COUNTBLANK(OFFSET(A$1,,,SUMPRODUCT(MAX(ROW(E$1:E2725)*(E2=E$1:E2725))))))</f>
        <v> </v>
      </c>
      <c r="K2726" s="25" t="str">
        <f>IF(OR(E2726="",E2726="!!!",F2726="NEW"),"",INDEX(J$1:J2725,SUMPRODUCT(MAX(ROW(E$1:E2725)*(E2726=E$1:E2725)))))</f>
        <v> </v>
      </c>
      <c r="L2726" s="26"/>
    </row>
    <row r="2727" spans="1:12">
      <c r="A2727" s="20" t="s">
        <v>540</v>
      </c>
      <c r="E2727" s="21">
        <f>IF(D2727="?OLD","!!!","")</f>
        <v/>
      </c>
      <c r="F2727" s="22" t="str">
        <f>IF(OR(E2727="",E2727="!!!"),"",IF(NOT(ISNA(VLOOKUP(E2727,E$1:E2726,1,FALSE()))),"OLD",IF(AND(E2727&lt;&gt;"",E2727&lt;&gt;"!!!"),"NEW","")))</f>
        <v> </v>
      </c>
      <c r="G2727" s="23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4" t="str">
        <f>IF(J2727&lt;&gt;1,"",IF(I2727="SBJ","CB","?"))</f>
        <v> </v>
      </c>
      <c r="I2727" s="25" t="str">
        <f>IF(OR(E2727="",E2727="!!!",F2727="NEW"),"",INDEX(B2726:B$2,-1+SUMPRODUCT(MAX(ROW(E2726:E$2)*(E2727=E2726:E$2)))))</f>
        <v> </v>
      </c>
      <c r="J2727" s="25" t="str">
        <f>IF(OR(E2727="",E2727="!!!",F2727="NEW"),"",COUNTBLANK(OFFSET(A$1,,,SUMPRODUCT(MAX(ROW(E$2:E2727)*(E2727=E$2:E2727)))))-COUNTBLANK(OFFSET(A$1,,,SUMPRODUCT(MAX(ROW(E$1:E2726)*(E2=E$1:E2726))))))</f>
        <v> </v>
      </c>
      <c r="K2727" s="25" t="str">
        <f>IF(OR(E2727="",E2727="!!!",F2727="NEW"),"",INDEX(J$1:J2726,SUMPRODUCT(MAX(ROW(E$1:E2726)*(E2727=E$1:E2726)))))</f>
        <v> </v>
      </c>
      <c r="L2727" s="26"/>
    </row>
    <row r="2728" spans="1:12">
      <c r="A2728" s="20" t="s">
        <v>749</v>
      </c>
      <c r="E2728" s="21">
        <f>IF(D2728="?OLD","!!!","")</f>
        <v/>
      </c>
      <c r="F2728" s="22" t="str">
        <f>IF(OR(E2728="",E2728="!!!"),"",IF(NOT(ISNA(VLOOKUP(E2728,E$1:E2727,1,FALSE()))),"OLD",IF(AND(E2728&lt;&gt;"",E2728&lt;&gt;"!!!"),"NEW","")))</f>
        <v> </v>
      </c>
      <c r="G2728" s="23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4" t="str">
        <f>IF(J2728&lt;&gt;1,"",IF(I2728="SBJ","CB","?"))</f>
        <v> </v>
      </c>
      <c r="I2728" s="25" t="str">
        <f>IF(OR(E2728="",E2728="!!!",F2728="NEW"),"",INDEX(B2727:B$2,-1+SUMPRODUCT(MAX(ROW(E2727:E$2)*(E2728=E2727:E$2)))))</f>
        <v> </v>
      </c>
      <c r="J2728" s="25" t="str">
        <f>IF(OR(E2728="",E2728="!!!",F2728="NEW"),"",COUNTBLANK(OFFSET(A$1,,,SUMPRODUCT(MAX(ROW(E$2:E2728)*(E2728=E$2:E2728)))))-COUNTBLANK(OFFSET(A$1,,,SUMPRODUCT(MAX(ROW(E$1:E2727)*(E2=E$1:E2727))))))</f>
        <v> </v>
      </c>
      <c r="K2728" s="25" t="str">
        <f>IF(OR(E2728="",E2728="!!!",F2728="NEW"),"",INDEX(J$1:J2727,SUMPRODUCT(MAX(ROW(E$1:E2727)*(E2728=E$1:E2727)))))</f>
        <v> </v>
      </c>
      <c r="L2728" s="26"/>
    </row>
    <row r="2729" spans="1:12">
      <c r="A2729" s="20" t="s">
        <v>1825</v>
      </c>
      <c r="B2729" s="27" t="s">
        <v>791</v>
      </c>
      <c r="C2729" s="27" t="s">
        <v>735</v>
      </c>
      <c r="D2729" s="27" t="s">
        <v>736</v>
      </c>
      <c r="E2729" s="21">
        <f>IF(D2729="?OLD","!!!","")</f>
        <v/>
      </c>
      <c r="F2729" s="22" t="str">
        <f>IF(OR(E2729="",E2729="!!!"),"",IF(NOT(ISNA(VLOOKUP(E2729,E$1:E2728,1,FALSE()))),"OLD",IF(AND(E2729&lt;&gt;"",E2729&lt;&gt;"!!!"),"NEW","")))</f>
        <v> </v>
      </c>
      <c r="G2729" s="23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4" t="str">
        <f>IF(J2729&lt;&gt;1,"",IF(I2729="SBJ","CB","?"))</f>
        <v> </v>
      </c>
      <c r="I2729" s="25" t="str">
        <f>IF(OR(E2729="",E2729="!!!",F2729="NEW"),"",INDEX(B2728:B$2,-1+SUMPRODUCT(MAX(ROW(E2728:E$2)*(E2729=E2728:E$2)))))</f>
        <v> </v>
      </c>
      <c r="J2729" s="25" t="str">
        <f>IF(OR(E2729="",E2729="!!!",F2729="NEW"),"",COUNTBLANK(OFFSET(A$1,,,SUMPRODUCT(MAX(ROW(E$2:E2729)*(E2729=E$2:E2729)))))-COUNTBLANK(OFFSET(A$1,,,SUMPRODUCT(MAX(ROW(E$1:E2728)*(E2=E$1:E2728))))))</f>
        <v> </v>
      </c>
      <c r="K2729" s="25" t="str">
        <f>IF(OR(E2729="",E2729="!!!",F2729="NEW"),"",INDEX(J$1:J2728,SUMPRODUCT(MAX(ROW(E$1:E2728)*(E2729=E$1:E2728)))))</f>
        <v> </v>
      </c>
      <c r="L2729" s="26"/>
    </row>
    <row r="2730" spans="1:12">
      <c r="A2730" s="20" t="s">
        <v>1941</v>
      </c>
      <c r="E2730" s="21">
        <f>IF(D2730="?OLD","!!!","")</f>
        <v/>
      </c>
      <c r="F2730" s="22" t="str">
        <f>IF(OR(E2730="",E2730="!!!"),"",IF(NOT(ISNA(VLOOKUP(E2730,E$1:E2729,1,FALSE()))),"OLD",IF(AND(E2730&lt;&gt;"",E2730&lt;&gt;"!!!"),"NEW","")))</f>
        <v> </v>
      </c>
      <c r="G2730" s="23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4" t="str">
        <f>IF(J2730&lt;&gt;1,"",IF(I2730="SBJ","CB","?"))</f>
        <v> </v>
      </c>
      <c r="I2730" s="25" t="str">
        <f>IF(OR(E2730="",E2730="!!!",F2730="NEW"),"",INDEX(B2729:B$2,-1+SUMPRODUCT(MAX(ROW(E2729:E$2)*(E2730=E2729:E$2)))))</f>
        <v> </v>
      </c>
      <c r="J2730" s="25" t="str">
        <f>IF(OR(E2730="",E2730="!!!",F2730="NEW"),"",COUNTBLANK(OFFSET(A$1,,,SUMPRODUCT(MAX(ROW(E$2:E2730)*(E2730=E$2:E2730)))))-COUNTBLANK(OFFSET(A$1,,,SUMPRODUCT(MAX(ROW(E$1:E2729)*(E2=E$1:E2729))))))</f>
        <v> </v>
      </c>
      <c r="K2730" s="25" t="str">
        <f>IF(OR(E2730="",E2730="!!!",F2730="NEW"),"",INDEX(J$1:J2729,SUMPRODUCT(MAX(ROW(E$1:E2729)*(E2730=E$1:E2729)))))</f>
        <v> </v>
      </c>
      <c r="L2730" s="26"/>
    </row>
    <row r="2731" spans="1:12">
      <c r="A2731" s="20" t="s">
        <v>749</v>
      </c>
      <c r="E2731" s="21">
        <f>IF(D2731="?OLD","!!!","")</f>
        <v/>
      </c>
      <c r="F2731" s="22" t="str">
        <f>IF(OR(E2731="",E2731="!!!"),"",IF(NOT(ISNA(VLOOKUP(E2731,E$1:E2730,1,FALSE()))),"OLD",IF(AND(E2731&lt;&gt;"",E2731&lt;&gt;"!!!"),"NEW","")))</f>
        <v> </v>
      </c>
      <c r="G2731" s="23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4" t="str">
        <f>IF(J2731&lt;&gt;1,"",IF(I2731="SBJ","CB","?"))</f>
        <v> </v>
      </c>
      <c r="I2731" s="25" t="str">
        <f>IF(OR(E2731="",E2731="!!!",F2731="NEW"),"",INDEX(B2730:B$2,-1+SUMPRODUCT(MAX(ROW(E2730:E$2)*(E2731=E2730:E$2)))))</f>
        <v> </v>
      </c>
      <c r="J2731" s="25" t="str">
        <f>IF(OR(E2731="",E2731="!!!",F2731="NEW"),"",COUNTBLANK(OFFSET(A$1,,,SUMPRODUCT(MAX(ROW(E$2:E2731)*(E2731=E$2:E2731)))))-COUNTBLANK(OFFSET(A$1,,,SUMPRODUCT(MAX(ROW(E$1:E2730)*(E2=E$1:E2730))))))</f>
        <v> </v>
      </c>
      <c r="K2731" s="25" t="str">
        <f>IF(OR(E2731="",E2731="!!!",F2731="NEW"),"",INDEX(J$1:J2730,SUMPRODUCT(MAX(ROW(E$1:E2730)*(E2731=E$1:E2730)))))</f>
        <v> </v>
      </c>
      <c r="L2731" s="26"/>
    </row>
    <row r="2732" spans="1:12">
      <c r="A2732" s="20" t="s">
        <v>818</v>
      </c>
      <c r="B2732" s="27" t="s">
        <v>738</v>
      </c>
      <c r="C2732" s="27" t="s">
        <v>756</v>
      </c>
      <c r="D2732" s="27" t="s">
        <v>736</v>
      </c>
      <c r="E2732" s="21">
        <f>IF(D2732="?OLD","!!!","")</f>
        <v/>
      </c>
      <c r="F2732" s="22" t="str">
        <f>IF(OR(E2732="",E2732="!!!"),"",IF(NOT(ISNA(VLOOKUP(E2732,E$1:E2731,1,FALSE()))),"OLD",IF(AND(E2732&lt;&gt;"",E2732&lt;&gt;"!!!"),"NEW","")))</f>
        <v> </v>
      </c>
      <c r="G2732" s="23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4" t="str">
        <f>IF(J2732&lt;&gt;1,"",IF(I2732="SBJ","CB","?"))</f>
        <v> </v>
      </c>
      <c r="I2732" s="25" t="str">
        <f>IF(OR(E2732="",E2732="!!!",F2732="NEW"),"",INDEX(B2731:B$2,-1+SUMPRODUCT(MAX(ROW(E2731:E$2)*(E2732=E2731:E$2)))))</f>
        <v> </v>
      </c>
      <c r="J2732" s="25" t="str">
        <f>IF(OR(E2732="",E2732="!!!",F2732="NEW"),"",COUNTBLANK(OFFSET(A$1,,,SUMPRODUCT(MAX(ROW(E$2:E2732)*(E2732=E$2:E2732)))))-COUNTBLANK(OFFSET(A$1,,,SUMPRODUCT(MAX(ROW(E$1:E2731)*(E2=E$1:E2731))))))</f>
        <v> </v>
      </c>
      <c r="K2732" s="25" t="str">
        <f>IF(OR(E2732="",E2732="!!!",F2732="NEW"),"",INDEX(J$1:J2731,SUMPRODUCT(MAX(ROW(E$1:E2731)*(E2732=E$1:E2731)))))</f>
        <v> </v>
      </c>
      <c r="L2732" s="26"/>
    </row>
    <row r="2733" spans="1:12">
      <c r="A2733" s="20" t="s">
        <v>1942</v>
      </c>
      <c r="B2733" s="27" t="s">
        <v>819</v>
      </c>
      <c r="E2733" s="21">
        <f>IF(D2733="?OLD","!!!","")</f>
        <v/>
      </c>
      <c r="F2733" s="22" t="str">
        <f>IF(OR(E2733="",E2733="!!!"),"",IF(NOT(ISNA(VLOOKUP(E2733,E$1:E2732,1,FALSE()))),"OLD",IF(AND(E2733&lt;&gt;"",E2733&lt;&gt;"!!!"),"NEW","")))</f>
        <v> </v>
      </c>
      <c r="G2733" s="23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4" t="str">
        <f>IF(J2733&lt;&gt;1,"",IF(I2733="SBJ","CB","?"))</f>
        <v> </v>
      </c>
      <c r="I2733" s="25" t="str">
        <f>IF(OR(E2733="",E2733="!!!",F2733="NEW"),"",INDEX(B2732:B$2,-1+SUMPRODUCT(MAX(ROW(E2732:E$2)*(E2733=E2732:E$2)))))</f>
        <v> </v>
      </c>
      <c r="J2733" s="25" t="str">
        <f>IF(OR(E2733="",E2733="!!!",F2733="NEW"),"",COUNTBLANK(OFFSET(A$1,,,SUMPRODUCT(MAX(ROW(E$2:E2733)*(E2733=E$2:E2733)))))-COUNTBLANK(OFFSET(A$1,,,SUMPRODUCT(MAX(ROW(E$1:E2732)*(E2=E$1:E2732))))))</f>
        <v> </v>
      </c>
      <c r="K2733" s="25" t="str">
        <f>IF(OR(E2733="",E2733="!!!",F2733="NEW"),"",INDEX(J$1:J2732,SUMPRODUCT(MAX(ROW(E$1:E2732)*(E2733=E$1:E2732)))))</f>
        <v> </v>
      </c>
      <c r="L2733" s="26"/>
    </row>
    <row r="2734" spans="1:12">
      <c r="A2734" s="20" t="s">
        <v>744</v>
      </c>
      <c r="E2734" s="21">
        <f>IF(D2734="?OLD","!!!","")</f>
        <v/>
      </c>
      <c r="F2734" s="22" t="str">
        <f>IF(OR(E2734="",E2734="!!!"),"",IF(NOT(ISNA(VLOOKUP(E2734,E$1:E2733,1,FALSE()))),"OLD",IF(AND(E2734&lt;&gt;"",E2734&lt;&gt;"!!!"),"NEW","")))</f>
        <v> </v>
      </c>
      <c r="G2734" s="23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4" t="str">
        <f>IF(J2734&lt;&gt;1,"",IF(I2734="SBJ","CB","?"))</f>
        <v> </v>
      </c>
      <c r="I2734" s="25" t="str">
        <f>IF(OR(E2734="",E2734="!!!",F2734="NEW"),"",INDEX(B2733:B$2,-1+SUMPRODUCT(MAX(ROW(E2733:E$2)*(E2734=E2733:E$2)))))</f>
        <v> </v>
      </c>
      <c r="J2734" s="25" t="str">
        <f>IF(OR(E2734="",E2734="!!!",F2734="NEW"),"",COUNTBLANK(OFFSET(A$1,,,SUMPRODUCT(MAX(ROW(E$2:E2734)*(E2734=E$2:E2734)))))-COUNTBLANK(OFFSET(A$1,,,SUMPRODUCT(MAX(ROW(E$1:E2733)*(E2=E$1:E2733))))))</f>
        <v> </v>
      </c>
      <c r="K2734" s="25" t="str">
        <f>IF(OR(E2734="",E2734="!!!",F2734="NEW"),"",INDEX(J$1:J2733,SUMPRODUCT(MAX(ROW(E$1:E2733)*(E2734=E$1:E2733)))))</f>
        <v> </v>
      </c>
      <c r="L2734" s="26"/>
    </row>
    <row r="2735" spans="1:12">
      <c r="A2735" s="20" t="s">
        <v>789</v>
      </c>
      <c r="E2735" s="21">
        <f>IF(D2735="?OLD","!!!","")</f>
        <v/>
      </c>
      <c r="F2735" s="22" t="str">
        <f>IF(OR(E2735="",E2735="!!!"),"",IF(NOT(ISNA(VLOOKUP(E2735,E$1:E2734,1,FALSE()))),"OLD",IF(AND(E2735&lt;&gt;"",E2735&lt;&gt;"!!!"),"NEW","")))</f>
        <v> </v>
      </c>
      <c r="G2735" s="23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4" t="str">
        <f>IF(J2735&lt;&gt;1,"",IF(I2735="SBJ","CB","?"))</f>
        <v> </v>
      </c>
      <c r="I2735" s="25" t="str">
        <f>IF(OR(E2735="",E2735="!!!",F2735="NEW"),"",INDEX(B2734:B$2,-1+SUMPRODUCT(MAX(ROW(E2734:E$2)*(E2735=E2734:E$2)))))</f>
        <v> </v>
      </c>
      <c r="J2735" s="25" t="str">
        <f>IF(OR(E2735="",E2735="!!!",F2735="NEW"),"",COUNTBLANK(OFFSET(A$1,,,SUMPRODUCT(MAX(ROW(E$2:E2735)*(E2735=E$2:E2735)))))-COUNTBLANK(OFFSET(A$1,,,SUMPRODUCT(MAX(ROW(E$1:E2734)*(E2=E$1:E2734))))))</f>
        <v> </v>
      </c>
      <c r="K2735" s="25" t="str">
        <f>IF(OR(E2735="",E2735="!!!",F2735="NEW"),"",INDEX(J$1:J2734,SUMPRODUCT(MAX(ROW(E$1:E2734)*(E2735=E$1:E2734)))))</f>
        <v> </v>
      </c>
      <c r="L2735" s="26"/>
    </row>
    <row r="2736" spans="1:12">
      <c r="A2736" s="20" t="s">
        <v>769</v>
      </c>
      <c r="B2736" s="27" t="s">
        <v>800</v>
      </c>
      <c r="C2736" s="27" t="s">
        <v>756</v>
      </c>
      <c r="D2736" s="27" t="s">
        <v>736</v>
      </c>
      <c r="E2736" s="21">
        <f>IF(D2736="?OLD","!!!","")</f>
        <v/>
      </c>
      <c r="F2736" s="22" t="str">
        <f>IF(OR(E2736="",E2736="!!!"),"",IF(NOT(ISNA(VLOOKUP(E2736,E$1:E2735,1,FALSE()))),"OLD",IF(AND(E2736&lt;&gt;"",E2736&lt;&gt;"!!!"),"NEW","")))</f>
        <v> </v>
      </c>
      <c r="G2736" s="23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4" t="str">
        <f>IF(J2736&lt;&gt;1,"",IF(I2736="SBJ","CB","?"))</f>
        <v> </v>
      </c>
      <c r="I2736" s="25" t="str">
        <f>IF(OR(E2736="",E2736="!!!",F2736="NEW"),"",INDEX(B2735:B$2,-1+SUMPRODUCT(MAX(ROW(E2735:E$2)*(E2736=E2735:E$2)))))</f>
        <v> </v>
      </c>
      <c r="J2736" s="25" t="str">
        <f>IF(OR(E2736="",E2736="!!!",F2736="NEW"),"",COUNTBLANK(OFFSET(A$1,,,SUMPRODUCT(MAX(ROW(E$2:E2736)*(E2736=E$2:E2736)))))-COUNTBLANK(OFFSET(A$1,,,SUMPRODUCT(MAX(ROW(E$1:E2735)*(E2=E$1:E2735))))))</f>
        <v> </v>
      </c>
      <c r="K2736" s="25" t="str">
        <f>IF(OR(E2736="",E2736="!!!",F2736="NEW"),"",INDEX(J$1:J2735,SUMPRODUCT(MAX(ROW(E$1:E2735)*(E2736=E$1:E2735)))))</f>
        <v> </v>
      </c>
      <c r="L2736" s="26"/>
    </row>
    <row r="2737" spans="1:12">
      <c r="A2737" s="20" t="s">
        <v>1943</v>
      </c>
      <c r="E2737" s="21">
        <f>IF(D2737="?OLD","!!!","")</f>
        <v/>
      </c>
      <c r="F2737" s="22" t="str">
        <f>IF(OR(E2737="",E2737="!!!"),"",IF(NOT(ISNA(VLOOKUP(E2737,E$1:E2736,1,FALSE()))),"OLD",IF(AND(E2737&lt;&gt;"",E2737&lt;&gt;"!!!"),"NEW","")))</f>
        <v> </v>
      </c>
      <c r="G2737" s="23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4" t="str">
        <f>IF(J2737&lt;&gt;1,"",IF(I2737="SBJ","CB","?"))</f>
        <v> </v>
      </c>
      <c r="I2737" s="25" t="str">
        <f>IF(OR(E2737="",E2737="!!!",F2737="NEW"),"",INDEX(B2736:B$2,-1+SUMPRODUCT(MAX(ROW(E2736:E$2)*(E2737=E2736:E$2)))))</f>
        <v> </v>
      </c>
      <c r="J2737" s="25" t="str">
        <f>IF(OR(E2737="",E2737="!!!",F2737="NEW"),"",COUNTBLANK(OFFSET(A$1,,,SUMPRODUCT(MAX(ROW(E$2:E2737)*(E2737=E$2:E2737)))))-COUNTBLANK(OFFSET(A$1,,,SUMPRODUCT(MAX(ROW(E$1:E2736)*(E2=E$1:E2736))))))</f>
        <v> </v>
      </c>
      <c r="K2737" s="25" t="str">
        <f>IF(OR(E2737="",E2737="!!!",F2737="NEW"),"",INDEX(J$1:J2736,SUMPRODUCT(MAX(ROW(E$1:E2736)*(E2737=E$1:E2736)))))</f>
        <v> </v>
      </c>
      <c r="L2737" s="26"/>
    </row>
    <row r="2738" spans="1:12">
      <c r="A2738" s="20" t="s">
        <v>1879</v>
      </c>
      <c r="E2738" s="21">
        <f>IF(D2738="?OLD","!!!","")</f>
        <v/>
      </c>
      <c r="F2738" s="22" t="str">
        <f>IF(OR(E2738="",E2738="!!!"),"",IF(NOT(ISNA(VLOOKUP(E2738,E$1:E2737,1,FALSE()))),"OLD",IF(AND(E2738&lt;&gt;"",E2738&lt;&gt;"!!!"),"NEW","")))</f>
        <v> </v>
      </c>
      <c r="G2738" s="23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4" t="str">
        <f>IF(J2738&lt;&gt;1,"",IF(I2738="SBJ","CB","?"))</f>
        <v> </v>
      </c>
      <c r="I2738" s="25" t="str">
        <f>IF(OR(E2738="",E2738="!!!",F2738="NEW"),"",INDEX(B2737:B$2,-1+SUMPRODUCT(MAX(ROW(E2737:E$2)*(E2738=E2737:E$2)))))</f>
        <v> </v>
      </c>
      <c r="J2738" s="25" t="str">
        <f>IF(OR(E2738="",E2738="!!!",F2738="NEW"),"",COUNTBLANK(OFFSET(A$1,,,SUMPRODUCT(MAX(ROW(E$2:E2738)*(E2738=E$2:E2738)))))-COUNTBLANK(OFFSET(A$1,,,SUMPRODUCT(MAX(ROW(E$1:E2737)*(E2=E$1:E2737))))))</f>
        <v> </v>
      </c>
      <c r="K2738" s="25" t="str">
        <f>IF(OR(E2738="",E2738="!!!",F2738="NEW"),"",INDEX(J$1:J2737,SUMPRODUCT(MAX(ROW(E$1:E2737)*(E2738=E$1:E2737)))))</f>
        <v> </v>
      </c>
      <c r="L2738" s="26"/>
    </row>
    <row r="2739" spans="1:12">
      <c r="A2739" s="20" t="s">
        <v>851</v>
      </c>
      <c r="B2739" s="27" t="s">
        <v>847</v>
      </c>
      <c r="C2739" s="27" t="s">
        <v>788</v>
      </c>
      <c r="D2739" s="27" t="s">
        <v>736</v>
      </c>
      <c r="E2739" s="21">
        <f>IF(D2739="?OLD","!!!","")</f>
        <v/>
      </c>
      <c r="F2739" s="22" t="str">
        <f>IF(OR(E2739="",E2739="!!!"),"",IF(NOT(ISNA(VLOOKUP(E2739,E$1:E2738,1,FALSE()))),"OLD",IF(AND(E2739&lt;&gt;"",E2739&lt;&gt;"!!!"),"NEW","")))</f>
        <v> </v>
      </c>
      <c r="G2739" s="23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4" t="str">
        <f>IF(J2739&lt;&gt;1,"",IF(I2739="SBJ","CB","?"))</f>
        <v> </v>
      </c>
      <c r="I2739" s="25" t="str">
        <f>IF(OR(E2739="",E2739="!!!",F2739="NEW"),"",INDEX(B2738:B$2,-1+SUMPRODUCT(MAX(ROW(E2738:E$2)*(E2739=E2738:E$2)))))</f>
        <v> </v>
      </c>
      <c r="J2739" s="25" t="str">
        <f>IF(OR(E2739="",E2739="!!!",F2739="NEW"),"",COUNTBLANK(OFFSET(A$1,,,SUMPRODUCT(MAX(ROW(E$2:E2739)*(E2739=E$2:E2739)))))-COUNTBLANK(OFFSET(A$1,,,SUMPRODUCT(MAX(ROW(E$1:E2738)*(E2=E$1:E2738))))))</f>
        <v> </v>
      </c>
      <c r="K2739" s="25" t="str">
        <f>IF(OR(E2739="",E2739="!!!",F2739="NEW"),"",INDEX(J$1:J2738,SUMPRODUCT(MAX(ROW(E$1:E2738)*(E2739=E$1:E2738)))))</f>
        <v> </v>
      </c>
      <c r="L2739" s="26"/>
    </row>
    <row r="2740" spans="1:12">
      <c r="A2740" s="20" t="s">
        <v>881</v>
      </c>
      <c r="E2740" s="21">
        <f>IF(D2740="?OLD","!!!","")</f>
        <v/>
      </c>
      <c r="F2740" s="22" t="str">
        <f>IF(OR(E2740="",E2740="!!!"),"",IF(NOT(ISNA(VLOOKUP(E2740,E$1:E2739,1,FALSE()))),"OLD",IF(AND(E2740&lt;&gt;"",E2740&lt;&gt;"!!!"),"NEW","")))</f>
        <v> </v>
      </c>
      <c r="G2740" s="23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4" t="str">
        <f>IF(J2740&lt;&gt;1,"",IF(I2740="SBJ","CB","?"))</f>
        <v> </v>
      </c>
      <c r="I2740" s="25" t="str">
        <f>IF(OR(E2740="",E2740="!!!",F2740="NEW"),"",INDEX(B2739:B$2,-1+SUMPRODUCT(MAX(ROW(E2739:E$2)*(E2740=E2739:E$2)))))</f>
        <v> </v>
      </c>
      <c r="J2740" s="25" t="str">
        <f>IF(OR(E2740="",E2740="!!!",F2740="NEW"),"",COUNTBLANK(OFFSET(A$1,,,SUMPRODUCT(MAX(ROW(E$2:E2740)*(E2740=E$2:E2740)))))-COUNTBLANK(OFFSET(A$1,,,SUMPRODUCT(MAX(ROW(E$1:E2739)*(E2=E$1:E2739))))))</f>
        <v> </v>
      </c>
      <c r="K2740" s="25" t="str">
        <f>IF(OR(E2740="",E2740="!!!",F2740="NEW"),"",INDEX(J$1:J2739,SUMPRODUCT(MAX(ROW(E$1:E2739)*(E2740=E$1:E2739)))))</f>
        <v> </v>
      </c>
      <c r="L2740" s="26"/>
    </row>
    <row r="2741" spans="1:12">
      <c r="A2741" s="20" t="s">
        <v>1842</v>
      </c>
      <c r="E2741" s="21">
        <f>IF(D2741="?OLD","!!!","")</f>
        <v/>
      </c>
      <c r="F2741" s="22" t="str">
        <f>IF(OR(E2741="",E2741="!!!"),"",IF(NOT(ISNA(VLOOKUP(E2741,E$1:E2740,1,FALSE()))),"OLD",IF(AND(E2741&lt;&gt;"",E2741&lt;&gt;"!!!"),"NEW","")))</f>
        <v> </v>
      </c>
      <c r="G2741" s="23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4" t="str">
        <f>IF(J2741&lt;&gt;1,"",IF(I2741="SBJ","CB","?"))</f>
        <v> </v>
      </c>
      <c r="I2741" s="25" t="str">
        <f>IF(OR(E2741="",E2741="!!!",F2741="NEW"),"",INDEX(B2740:B$2,-1+SUMPRODUCT(MAX(ROW(E2740:E$2)*(E2741=E2740:E$2)))))</f>
        <v> </v>
      </c>
      <c r="J2741" s="25" t="str">
        <f>IF(OR(E2741="",E2741="!!!",F2741="NEW"),"",COUNTBLANK(OFFSET(A$1,,,SUMPRODUCT(MAX(ROW(E$2:E2741)*(E2741=E$2:E2741)))))-COUNTBLANK(OFFSET(A$1,,,SUMPRODUCT(MAX(ROW(E$1:E2740)*(E2=E$1:E2740))))))</f>
        <v> </v>
      </c>
      <c r="K2741" s="25" t="str">
        <f>IF(OR(E2741="",E2741="!!!",F2741="NEW"),"",INDEX(J$1:J2740,SUMPRODUCT(MAX(ROW(E$1:E2740)*(E2741=E$1:E2740)))))</f>
        <v> </v>
      </c>
      <c r="L2741" s="26"/>
    </row>
    <row r="2742" spans="1:12">
      <c r="A2742" s="20" t="s">
        <v>965</v>
      </c>
      <c r="E2742" s="21">
        <f>IF(D2742="?OLD","!!!","")</f>
        <v/>
      </c>
      <c r="F2742" s="22" t="str">
        <f>IF(OR(E2742="",E2742="!!!"),"",IF(NOT(ISNA(VLOOKUP(E2742,E$1:E2741,1,FALSE()))),"OLD",IF(AND(E2742&lt;&gt;"",E2742&lt;&gt;"!!!"),"NEW","")))</f>
        <v> </v>
      </c>
      <c r="G2742" s="23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4" t="str">
        <f>IF(J2742&lt;&gt;1,"",IF(I2742="SBJ","CB","?"))</f>
        <v> </v>
      </c>
      <c r="I2742" s="25" t="str">
        <f>IF(OR(E2742="",E2742="!!!",F2742="NEW"),"",INDEX(B2741:B$2,-1+SUMPRODUCT(MAX(ROW(E2741:E$2)*(E2742=E2741:E$2)))))</f>
        <v> </v>
      </c>
      <c r="J2742" s="25" t="str">
        <f>IF(OR(E2742="",E2742="!!!",F2742="NEW"),"",COUNTBLANK(OFFSET(A$1,,,SUMPRODUCT(MAX(ROW(E$2:E2742)*(E2742=E$2:E2742)))))-COUNTBLANK(OFFSET(A$1,,,SUMPRODUCT(MAX(ROW(E$1:E2741)*(E2=E$1:E2741))))))</f>
        <v> </v>
      </c>
      <c r="K2742" s="25" t="str">
        <f>IF(OR(E2742="",E2742="!!!",F2742="NEW"),"",INDEX(J$1:J2741,SUMPRODUCT(MAX(ROW(E$1:E2741)*(E2742=E$1:E2741)))))</f>
        <v> </v>
      </c>
      <c r="L2742" s="26"/>
    </row>
    <row r="2743" spans="1:12">
      <c r="A2743" s="20" t="s">
        <v>765</v>
      </c>
      <c r="E2743" s="21">
        <f>IF(D2743="?OLD","!!!","")</f>
        <v/>
      </c>
      <c r="F2743" s="22" t="str">
        <f>IF(OR(E2743="",E2743="!!!"),"",IF(NOT(ISNA(VLOOKUP(E2743,E$1:E2742,1,FALSE()))),"OLD",IF(AND(E2743&lt;&gt;"",E2743&lt;&gt;"!!!"),"NEW","")))</f>
        <v> </v>
      </c>
      <c r="G2743" s="23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4" t="str">
        <f>IF(J2743&lt;&gt;1,"",IF(I2743="SBJ","CB","?"))</f>
        <v> </v>
      </c>
      <c r="I2743" s="25" t="str">
        <f>IF(OR(E2743="",E2743="!!!",F2743="NEW"),"",INDEX(B2742:B$2,-1+SUMPRODUCT(MAX(ROW(E2742:E$2)*(E2743=E2742:E$2)))))</f>
        <v> </v>
      </c>
      <c r="J2743" s="25" t="str">
        <f>IF(OR(E2743="",E2743="!!!",F2743="NEW"),"",COUNTBLANK(OFFSET(A$1,,,SUMPRODUCT(MAX(ROW(E$2:E2743)*(E2743=E$2:E2743)))))-COUNTBLANK(OFFSET(A$1,,,SUMPRODUCT(MAX(ROW(E$1:E2742)*(E2=E$1:E2742))))))</f>
        <v> </v>
      </c>
      <c r="K2743" s="25" t="str">
        <f>IF(OR(E2743="",E2743="!!!",F2743="NEW"),"",INDEX(J$1:J2742,SUMPRODUCT(MAX(ROW(E$1:E2742)*(E2743=E$1:E2742)))))</f>
        <v> </v>
      </c>
      <c r="L2743" s="26"/>
    </row>
    <row r="2744" spans="1:12">
      <c r="A2744" s="20"/>
    </row>
    <row r="2745" spans="1:12">
      <c r="A2745" s="20" t="s">
        <v>1944</v>
      </c>
    </row>
    <row r="2746" spans="1:12">
      <c r="A2746" s="20" t="s">
        <v>1945</v>
      </c>
      <c r="B2746" s="27" t="s">
        <v>738</v>
      </c>
      <c r="C2746" s="27" t="s">
        <v>853</v>
      </c>
      <c r="D2746" s="27" t="s">
        <v>736</v>
      </c>
      <c r="E2746" s="21">
        <f>IF(D2746="?OLD","!!!","")</f>
        <v/>
      </c>
      <c r="F2746" s="22" t="str">
        <f>IF(OR(E2746="",E2746="!!!"),"",IF(NOT(ISNA(VLOOKUP(E2746,E$1:E2745,1,FALSE()))),"OLD",IF(AND(E2746&lt;&gt;"",E2746&lt;&gt;"!!!"),"NEW","")))</f>
        <v> </v>
      </c>
      <c r="G2746" s="23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4" t="str">
        <f>IF(J2746&lt;&gt;1,"",IF(I2746="SBJ","CB","?"))</f>
        <v> </v>
      </c>
      <c r="I2746" s="25" t="str">
        <f>IF(OR(E2746="",E2746="!!!",F2746="NEW"),"",INDEX(B2745:B$2,-1+SUMPRODUCT(MAX(ROW(E2745:E$2)*(E2746=E2745:E$2)))))</f>
        <v> </v>
      </c>
      <c r="J2746" s="25" t="str">
        <f>IF(OR(E2746="",E2746="!!!",F2746="NEW"),"",COUNTBLANK(OFFSET(A$1,,,SUMPRODUCT(MAX(ROW(E$2:E2746)*(E2746=E$2:E2746)))))-COUNTBLANK(OFFSET(A$1,,,SUMPRODUCT(MAX(ROW(E$1:E2745)*(E2=E$1:E2745))))))</f>
        <v> </v>
      </c>
      <c r="K2746" s="25" t="str">
        <f>IF(OR(E2746="",E2746="!!!",F2746="NEW"),"",INDEX(J$1:J2745,SUMPRODUCT(MAX(ROW(E$1:E2745)*(E2746=E$1:E2745)))))</f>
        <v> </v>
      </c>
      <c r="L2746" s="26"/>
    </row>
    <row r="2747" spans="1:12">
      <c r="A2747" s="20" t="s">
        <v>1946</v>
      </c>
      <c r="B2747" s="27" t="s">
        <v>734</v>
      </c>
      <c r="E2747" s="21">
        <f>IF(D2747="?OLD","!!!","")</f>
        <v/>
      </c>
      <c r="F2747" s="22" t="str">
        <f>IF(OR(E2747="",E2747="!!!"),"",IF(NOT(ISNA(VLOOKUP(E2747,E$1:E2746,1,FALSE()))),"OLD",IF(AND(E2747&lt;&gt;"",E2747&lt;&gt;"!!!"),"NEW","")))</f>
        <v> </v>
      </c>
      <c r="G2747" s="23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4" t="str">
        <f>IF(J2747&lt;&gt;1,"",IF(I2747="SBJ","CB","?"))</f>
        <v> </v>
      </c>
      <c r="I2747" s="25" t="str">
        <f>IF(OR(E2747="",E2747="!!!",F2747="NEW"),"",INDEX(B2746:B$2,-1+SUMPRODUCT(MAX(ROW(E2746:E$2)*(E2747=E2746:E$2)))))</f>
        <v> </v>
      </c>
      <c r="J2747" s="25" t="str">
        <f>IF(OR(E2747="",E2747="!!!",F2747="NEW"),"",COUNTBLANK(OFFSET(A$1,,,SUMPRODUCT(MAX(ROW(E$2:E2747)*(E2747=E$2:E2747)))))-COUNTBLANK(OFFSET(A$1,,,SUMPRODUCT(MAX(ROW(E$1:E2746)*(E2=E$1:E2746))))))</f>
        <v> </v>
      </c>
      <c r="K2747" s="25" t="str">
        <f>IF(OR(E2747="",E2747="!!!",F2747="NEW"),"",INDEX(J$1:J2746,SUMPRODUCT(MAX(ROW(E$1:E2746)*(E2747=E$1:E2746)))))</f>
        <v> </v>
      </c>
      <c r="L2747" s="26"/>
    </row>
    <row r="2748" spans="1:12">
      <c r="A2748" s="20" t="s">
        <v>607</v>
      </c>
      <c r="E2748" s="21">
        <f>IF(D2748="?OLD","!!!","")</f>
        <v/>
      </c>
      <c r="F2748" s="22" t="str">
        <f>IF(OR(E2748="",E2748="!!!"),"",IF(NOT(ISNA(VLOOKUP(E2748,E$1:E2747,1,FALSE()))),"OLD",IF(AND(E2748&lt;&gt;"",E2748&lt;&gt;"!!!"),"NEW","")))</f>
        <v> </v>
      </c>
      <c r="G2748" s="23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4" t="str">
        <f>IF(J2748&lt;&gt;1,"",IF(I2748="SBJ","CB","?"))</f>
        <v> </v>
      </c>
      <c r="I2748" s="25" t="str">
        <f>IF(OR(E2748="",E2748="!!!",F2748="NEW"),"",INDEX(B2747:B$2,-1+SUMPRODUCT(MAX(ROW(E2747:E$2)*(E2748=E2747:E$2)))))</f>
        <v> </v>
      </c>
      <c r="J2748" s="25" t="str">
        <f>IF(OR(E2748="",E2748="!!!",F2748="NEW"),"",COUNTBLANK(OFFSET(A$1,,,SUMPRODUCT(MAX(ROW(E$2:E2748)*(E2748=E$2:E2748)))))-COUNTBLANK(OFFSET(A$1,,,SUMPRODUCT(MAX(ROW(E$1:E2747)*(E2=E$1:E2747))))))</f>
        <v> </v>
      </c>
      <c r="K2748" s="25" t="str">
        <f>IF(OR(E2748="",E2748="!!!",F2748="NEW"),"",INDEX(J$1:J2747,SUMPRODUCT(MAX(ROW(E$1:E2747)*(E2748=E$1:E2747)))))</f>
        <v> </v>
      </c>
      <c r="L2748" s="26"/>
    </row>
    <row r="2749" spans="1:12">
      <c r="A2749" s="20" t="s">
        <v>841</v>
      </c>
      <c r="E2749" s="21">
        <f>IF(D2749="?OLD","!!!","")</f>
        <v/>
      </c>
      <c r="F2749" s="22" t="str">
        <f>IF(OR(E2749="",E2749="!!!"),"",IF(NOT(ISNA(VLOOKUP(E2749,E$1:E2748,1,FALSE()))),"OLD",IF(AND(E2749&lt;&gt;"",E2749&lt;&gt;"!!!"),"NEW","")))</f>
        <v> </v>
      </c>
      <c r="G2749" s="23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4" t="str">
        <f>IF(J2749&lt;&gt;1,"",IF(I2749="SBJ","CB","?"))</f>
        <v> </v>
      </c>
      <c r="I2749" s="25" t="str">
        <f>IF(OR(E2749="",E2749="!!!",F2749="NEW"),"",INDEX(B2748:B$2,-1+SUMPRODUCT(MAX(ROW(E2748:E$2)*(E2749=E2748:E$2)))))</f>
        <v> </v>
      </c>
      <c r="J2749" s="25" t="str">
        <f>IF(OR(E2749="",E2749="!!!",F2749="NEW"),"",COUNTBLANK(OFFSET(A$1,,,SUMPRODUCT(MAX(ROW(E$2:E2749)*(E2749=E$2:E2749)))))-COUNTBLANK(OFFSET(A$1,,,SUMPRODUCT(MAX(ROW(E$1:E2748)*(E2=E$1:E2748))))))</f>
        <v> </v>
      </c>
      <c r="K2749" s="25" t="str">
        <f>IF(OR(E2749="",E2749="!!!",F2749="NEW"),"",INDEX(J$1:J2748,SUMPRODUCT(MAX(ROW(E$1:E2748)*(E2749=E$1:E2748)))))</f>
        <v> </v>
      </c>
      <c r="L2749" s="26"/>
    </row>
    <row r="2750" spans="1:12">
      <c r="A2750" s="20" t="s">
        <v>639</v>
      </c>
      <c r="E2750" s="21">
        <f>IF(D2750="?OLD","!!!","")</f>
        <v/>
      </c>
      <c r="F2750" s="22" t="str">
        <f>IF(OR(E2750="",E2750="!!!"),"",IF(NOT(ISNA(VLOOKUP(E2750,E$1:E2749,1,FALSE()))),"OLD",IF(AND(E2750&lt;&gt;"",E2750&lt;&gt;"!!!"),"NEW","")))</f>
        <v> </v>
      </c>
      <c r="G2750" s="23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4" t="str">
        <f>IF(J2750&lt;&gt;1,"",IF(I2750="SBJ","CB","?"))</f>
        <v> </v>
      </c>
      <c r="I2750" s="25" t="str">
        <f>IF(OR(E2750="",E2750="!!!",F2750="NEW"),"",INDEX(B2749:B$2,-1+SUMPRODUCT(MAX(ROW(E2749:E$2)*(E2750=E2749:E$2)))))</f>
        <v> </v>
      </c>
      <c r="J2750" s="25" t="str">
        <f>IF(OR(E2750="",E2750="!!!",F2750="NEW"),"",COUNTBLANK(OFFSET(A$1,,,SUMPRODUCT(MAX(ROW(E$2:E2750)*(E2750=E$2:E2750)))))-COUNTBLANK(OFFSET(A$1,,,SUMPRODUCT(MAX(ROW(E$1:E2749)*(E2=E$1:E2749))))))</f>
        <v> </v>
      </c>
      <c r="K2750" s="25" t="str">
        <f>IF(OR(E2750="",E2750="!!!",F2750="NEW"),"",INDEX(J$1:J2749,SUMPRODUCT(MAX(ROW(E$1:E2749)*(E2750=E$1:E2749)))))</f>
        <v> </v>
      </c>
      <c r="L2750" s="26"/>
    </row>
    <row r="2751" spans="1:12">
      <c r="A2751" s="20" t="s">
        <v>1947</v>
      </c>
      <c r="E2751" s="21">
        <f>IF(D2751="?OLD","!!!","")</f>
        <v/>
      </c>
      <c r="F2751" s="22" t="str">
        <f>IF(OR(E2751="",E2751="!!!"),"",IF(NOT(ISNA(VLOOKUP(E2751,E$1:E2750,1,FALSE()))),"OLD",IF(AND(E2751&lt;&gt;"",E2751&lt;&gt;"!!!"),"NEW","")))</f>
        <v> </v>
      </c>
      <c r="G2751" s="23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4" t="str">
        <f>IF(J2751&lt;&gt;1,"",IF(I2751="SBJ","CB","?"))</f>
        <v> </v>
      </c>
      <c r="I2751" s="25" t="str">
        <f>IF(OR(E2751="",E2751="!!!",F2751="NEW"),"",INDEX(B2750:B$2,-1+SUMPRODUCT(MAX(ROW(E2750:E$2)*(E2751=E2750:E$2)))))</f>
        <v> </v>
      </c>
      <c r="J2751" s="25" t="str">
        <f>IF(OR(E2751="",E2751="!!!",F2751="NEW"),"",COUNTBLANK(OFFSET(A$1,,,SUMPRODUCT(MAX(ROW(E$2:E2751)*(E2751=E$2:E2751)))))-COUNTBLANK(OFFSET(A$1,,,SUMPRODUCT(MAX(ROW(E$1:E2750)*(E2=E$1:E2750))))))</f>
        <v> </v>
      </c>
      <c r="K2751" s="25" t="str">
        <f>IF(OR(E2751="",E2751="!!!",F2751="NEW"),"",INDEX(J$1:J2750,SUMPRODUCT(MAX(ROW(E$1:E2750)*(E2751=E$1:E2750)))))</f>
        <v> </v>
      </c>
      <c r="L2751" s="26"/>
    </row>
    <row r="2752" spans="1:12">
      <c r="A2752" s="20" t="s">
        <v>744</v>
      </c>
      <c r="E2752" s="21">
        <f>IF(D2752="?OLD","!!!","")</f>
        <v/>
      </c>
      <c r="F2752" s="22" t="str">
        <f>IF(OR(E2752="",E2752="!!!"),"",IF(NOT(ISNA(VLOOKUP(E2752,E$1:E2751,1,FALSE()))),"OLD",IF(AND(E2752&lt;&gt;"",E2752&lt;&gt;"!!!"),"NEW","")))</f>
        <v> </v>
      </c>
      <c r="G2752" s="23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4" t="str">
        <f>IF(J2752&lt;&gt;1,"",IF(I2752="SBJ","CB","?"))</f>
        <v> </v>
      </c>
      <c r="I2752" s="25" t="str">
        <f>IF(OR(E2752="",E2752="!!!",F2752="NEW"),"",INDEX(B2751:B$2,-1+SUMPRODUCT(MAX(ROW(E2751:E$2)*(E2752=E2751:E$2)))))</f>
        <v> </v>
      </c>
      <c r="J2752" s="25" t="str">
        <f>IF(OR(E2752="",E2752="!!!",F2752="NEW"),"",COUNTBLANK(OFFSET(A$1,,,SUMPRODUCT(MAX(ROW(E$2:E2752)*(E2752=E$2:E2752)))))-COUNTBLANK(OFFSET(A$1,,,SUMPRODUCT(MAX(ROW(E$1:E2751)*(E2=E$1:E2751))))))</f>
        <v> </v>
      </c>
      <c r="K2752" s="25" t="str">
        <f>IF(OR(E2752="",E2752="!!!",F2752="NEW"),"",INDEX(J$1:J2751,SUMPRODUCT(MAX(ROW(E$1:E2751)*(E2752=E$1:E2751)))))</f>
        <v> </v>
      </c>
      <c r="L2752" s="26"/>
    </row>
    <row r="2753" spans="1:12">
      <c r="A2753" s="20" t="s">
        <v>848</v>
      </c>
      <c r="B2753" s="27" t="s">
        <v>762</v>
      </c>
      <c r="C2753" s="27" t="s">
        <v>756</v>
      </c>
      <c r="D2753" s="27" t="s">
        <v>736</v>
      </c>
      <c r="E2753" s="21">
        <f>IF(D2753="?OLD","!!!","")</f>
        <v/>
      </c>
      <c r="F2753" s="22" t="str">
        <f>IF(OR(E2753="",E2753="!!!"),"",IF(NOT(ISNA(VLOOKUP(E2753,E$1:E2752,1,FALSE()))),"OLD",IF(AND(E2753&lt;&gt;"",E2753&lt;&gt;"!!!"),"NEW","")))</f>
        <v> </v>
      </c>
      <c r="G2753" s="23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4" t="str">
        <f>IF(J2753&lt;&gt;1,"",IF(I2753="SBJ","CB","?"))</f>
        <v> </v>
      </c>
      <c r="I2753" s="25" t="str">
        <f>IF(OR(E2753="",E2753="!!!",F2753="NEW"),"",INDEX(B2752:B$2,-1+SUMPRODUCT(MAX(ROW(E2752:E$2)*(E2753=E2752:E$2)))))</f>
        <v> </v>
      </c>
      <c r="J2753" s="25" t="str">
        <f>IF(OR(E2753="",E2753="!!!",F2753="NEW"),"",COUNTBLANK(OFFSET(A$1,,,SUMPRODUCT(MAX(ROW(E$2:E2753)*(E2753=E$2:E2753)))))-COUNTBLANK(OFFSET(A$1,,,SUMPRODUCT(MAX(ROW(E$1:E2752)*(E2=E$1:E2752))))))</f>
        <v> </v>
      </c>
      <c r="K2753" s="25" t="str">
        <f>IF(OR(E2753="",E2753="!!!",F2753="NEW"),"",INDEX(J$1:J2752,SUMPRODUCT(MAX(ROW(E$1:E2752)*(E2753=E$1:E2752)))))</f>
        <v> </v>
      </c>
      <c r="L2753" s="26"/>
    </row>
    <row r="2754" spans="1:12">
      <c r="A2754" s="20" t="s">
        <v>793</v>
      </c>
      <c r="E2754" s="21">
        <f>IF(D2754="?OLD","!!!","")</f>
        <v/>
      </c>
      <c r="F2754" s="22" t="str">
        <f>IF(OR(E2754="",E2754="!!!"),"",IF(NOT(ISNA(VLOOKUP(E2754,E$1:E2753,1,FALSE()))),"OLD",IF(AND(E2754&lt;&gt;"",E2754&lt;&gt;"!!!"),"NEW","")))</f>
        <v> </v>
      </c>
      <c r="G2754" s="23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4" t="str">
        <f>IF(J2754&lt;&gt;1,"",IF(I2754="SBJ","CB","?"))</f>
        <v> </v>
      </c>
      <c r="I2754" s="25" t="str">
        <f>IF(OR(E2754="",E2754="!!!",F2754="NEW"),"",INDEX(B2753:B$2,-1+SUMPRODUCT(MAX(ROW(E2753:E$2)*(E2754=E2753:E$2)))))</f>
        <v> </v>
      </c>
      <c r="J2754" s="25" t="str">
        <f>IF(OR(E2754="",E2754="!!!",F2754="NEW"),"",COUNTBLANK(OFFSET(A$1,,,SUMPRODUCT(MAX(ROW(E$2:E2754)*(E2754=E$2:E2754)))))-COUNTBLANK(OFFSET(A$1,,,SUMPRODUCT(MAX(ROW(E$1:E2753)*(E2=E$1:E2753))))))</f>
        <v> </v>
      </c>
      <c r="K2754" s="25" t="str">
        <f>IF(OR(E2754="",E2754="!!!",F2754="NEW"),"",INDEX(J$1:J2753,SUMPRODUCT(MAX(ROW(E$1:E2753)*(E2754=E$1:E2753)))))</f>
        <v> </v>
      </c>
      <c r="L2754" s="26"/>
    </row>
    <row r="2755" spans="1:12">
      <c r="A2755" s="20" t="s">
        <v>1948</v>
      </c>
      <c r="E2755" s="21">
        <f>IF(D2755="?OLD","!!!","")</f>
        <v/>
      </c>
      <c r="F2755" s="22" t="str">
        <f>IF(OR(E2755="",E2755="!!!"),"",IF(NOT(ISNA(VLOOKUP(E2755,E$1:E2754,1,FALSE()))),"OLD",IF(AND(E2755&lt;&gt;"",E2755&lt;&gt;"!!!"),"NEW","")))</f>
        <v> </v>
      </c>
      <c r="G2755" s="23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4" t="str">
        <f>IF(J2755&lt;&gt;1,"",IF(I2755="SBJ","CB","?"))</f>
        <v> </v>
      </c>
      <c r="I2755" s="25" t="str">
        <f>IF(OR(E2755="",E2755="!!!",F2755="NEW"),"",INDEX(B2754:B$2,-1+SUMPRODUCT(MAX(ROW(E2754:E$2)*(E2755=E2754:E$2)))))</f>
        <v> </v>
      </c>
      <c r="J2755" s="25" t="str">
        <f>IF(OR(E2755="",E2755="!!!",F2755="NEW"),"",COUNTBLANK(OFFSET(A$1,,,SUMPRODUCT(MAX(ROW(E$2:E2755)*(E2755=E$2:E2755)))))-COUNTBLANK(OFFSET(A$1,,,SUMPRODUCT(MAX(ROW(E$1:E2754)*(E2=E$1:E2754))))))</f>
        <v> </v>
      </c>
      <c r="K2755" s="25" t="str">
        <f>IF(OR(E2755="",E2755="!!!",F2755="NEW"),"",INDEX(J$1:J2754,SUMPRODUCT(MAX(ROW(E$1:E2754)*(E2755=E$1:E2754)))))</f>
        <v> </v>
      </c>
      <c r="L2755" s="26"/>
    </row>
    <row r="2756" spans="1:12">
      <c r="A2756" s="20" t="s">
        <v>1949</v>
      </c>
      <c r="E2756" s="21">
        <f>IF(D2756="?OLD","!!!","")</f>
        <v/>
      </c>
      <c r="F2756" s="22" t="str">
        <f>IF(OR(E2756="",E2756="!!!"),"",IF(NOT(ISNA(VLOOKUP(E2756,E$1:E2755,1,FALSE()))),"OLD",IF(AND(E2756&lt;&gt;"",E2756&lt;&gt;"!!!"),"NEW","")))</f>
        <v> </v>
      </c>
      <c r="G2756" s="23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4" t="str">
        <f>IF(J2756&lt;&gt;1,"",IF(I2756="SBJ","CB","?"))</f>
        <v> </v>
      </c>
      <c r="I2756" s="25" t="str">
        <f>IF(OR(E2756="",E2756="!!!",F2756="NEW"),"",INDEX(B2755:B$2,-1+SUMPRODUCT(MAX(ROW(E2755:E$2)*(E2756=E2755:E$2)))))</f>
        <v> </v>
      </c>
      <c r="J2756" s="25" t="str">
        <f>IF(OR(E2756="",E2756="!!!",F2756="NEW"),"",COUNTBLANK(OFFSET(A$1,,,SUMPRODUCT(MAX(ROW(E$2:E2756)*(E2756=E$2:E2756)))))-COUNTBLANK(OFFSET(A$1,,,SUMPRODUCT(MAX(ROW(E$1:E2755)*(E2=E$1:E2755))))))</f>
        <v> </v>
      </c>
      <c r="K2756" s="25" t="str">
        <f>IF(OR(E2756="",E2756="!!!",F2756="NEW"),"",INDEX(J$1:J2755,SUMPRODUCT(MAX(ROW(E$1:E2755)*(E2756=E$1:E2755)))))</f>
        <v> </v>
      </c>
      <c r="L2756" s="26"/>
    </row>
    <row r="2757" spans="1:12">
      <c r="A2757" s="20" t="s">
        <v>1717</v>
      </c>
      <c r="E2757" s="21">
        <f>IF(D2757="?OLD","!!!","")</f>
        <v/>
      </c>
      <c r="F2757" s="22" t="str">
        <f>IF(OR(E2757="",E2757="!!!"),"",IF(NOT(ISNA(VLOOKUP(E2757,E$1:E2756,1,FALSE()))),"OLD",IF(AND(E2757&lt;&gt;"",E2757&lt;&gt;"!!!"),"NEW","")))</f>
        <v> </v>
      </c>
      <c r="G2757" s="23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4" t="str">
        <f>IF(J2757&lt;&gt;1,"",IF(I2757="SBJ","CB","?"))</f>
        <v> </v>
      </c>
      <c r="I2757" s="25" t="str">
        <f>IF(OR(E2757="",E2757="!!!",F2757="NEW"),"",INDEX(B2756:B$2,-1+SUMPRODUCT(MAX(ROW(E2756:E$2)*(E2757=E2756:E$2)))))</f>
        <v> </v>
      </c>
      <c r="J2757" s="25" t="str">
        <f>IF(OR(E2757="",E2757="!!!",F2757="NEW"),"",COUNTBLANK(OFFSET(A$1,,,SUMPRODUCT(MAX(ROW(E$2:E2757)*(E2757=E$2:E2757)))))-COUNTBLANK(OFFSET(A$1,,,SUMPRODUCT(MAX(ROW(E$1:E2756)*(E2=E$1:E2756))))))</f>
        <v> </v>
      </c>
      <c r="K2757" s="25" t="str">
        <f>IF(OR(E2757="",E2757="!!!",F2757="NEW"),"",INDEX(J$1:J2756,SUMPRODUCT(MAX(ROW(E$1:E2756)*(E2757=E$1:E2756)))))</f>
        <v> </v>
      </c>
      <c r="L2757" s="26"/>
    </row>
    <row r="2758" spans="1:12">
      <c r="A2758" s="20" t="s">
        <v>1950</v>
      </c>
      <c r="B2758" s="27" t="s">
        <v>887</v>
      </c>
      <c r="E2758" s="21">
        <f>IF(D2758="?OLD","!!!","")</f>
        <v/>
      </c>
      <c r="F2758" s="22" t="str">
        <f>IF(OR(E2758="",E2758="!!!"),"",IF(NOT(ISNA(VLOOKUP(E2758,E$1:E2757,1,FALSE()))),"OLD",IF(AND(E2758&lt;&gt;"",E2758&lt;&gt;"!!!"),"NEW","")))</f>
        <v> </v>
      </c>
      <c r="G2758" s="23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4" t="str">
        <f>IF(J2758&lt;&gt;1,"",IF(I2758="SBJ","CB","?"))</f>
        <v> </v>
      </c>
      <c r="I2758" s="25" t="str">
        <f>IF(OR(E2758="",E2758="!!!",F2758="NEW"),"",INDEX(B2757:B$2,-1+SUMPRODUCT(MAX(ROW(E2757:E$2)*(E2758=E2757:E$2)))))</f>
        <v> </v>
      </c>
      <c r="J2758" s="25" t="str">
        <f>IF(OR(E2758="",E2758="!!!",F2758="NEW"),"",COUNTBLANK(OFFSET(A$1,,,SUMPRODUCT(MAX(ROW(E$2:E2758)*(E2758=E$2:E2758)))))-COUNTBLANK(OFFSET(A$1,,,SUMPRODUCT(MAX(ROW(E$1:E2757)*(E2=E$1:E2757))))))</f>
        <v> </v>
      </c>
      <c r="K2758" s="25" t="str">
        <f>IF(OR(E2758="",E2758="!!!",F2758="NEW"),"",INDEX(J$1:J2757,SUMPRODUCT(MAX(ROW(E$1:E2757)*(E2758=E$1:E2757)))))</f>
        <v> </v>
      </c>
      <c r="L2758" s="26"/>
    </row>
    <row r="2759" spans="1:12">
      <c r="A2759" s="20" t="s">
        <v>744</v>
      </c>
      <c r="E2759" s="21">
        <f>IF(D2759="?OLD","!!!","")</f>
        <v/>
      </c>
      <c r="F2759" s="22" t="str">
        <f>IF(OR(E2759="",E2759="!!!"),"",IF(NOT(ISNA(VLOOKUP(E2759,E$1:E2758,1,FALSE()))),"OLD",IF(AND(E2759&lt;&gt;"",E2759&lt;&gt;"!!!"),"NEW","")))</f>
        <v> </v>
      </c>
      <c r="G2759" s="23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4" t="str">
        <f>IF(J2759&lt;&gt;1,"",IF(I2759="SBJ","CB","?"))</f>
        <v> </v>
      </c>
      <c r="I2759" s="25" t="str">
        <f>IF(OR(E2759="",E2759="!!!",F2759="NEW"),"",INDEX(B2758:B$2,-1+SUMPRODUCT(MAX(ROW(E2758:E$2)*(E2759=E2758:E$2)))))</f>
        <v> </v>
      </c>
      <c r="J2759" s="25" t="str">
        <f>IF(OR(E2759="",E2759="!!!",F2759="NEW"),"",COUNTBLANK(OFFSET(A$1,,,SUMPRODUCT(MAX(ROW(E$2:E2759)*(E2759=E$2:E2759)))))-COUNTBLANK(OFFSET(A$1,,,SUMPRODUCT(MAX(ROW(E$1:E2758)*(E2=E$1:E2758))))))</f>
        <v> </v>
      </c>
      <c r="K2759" s="25" t="str">
        <f>IF(OR(E2759="",E2759="!!!",F2759="NEW"),"",INDEX(J$1:J2758,SUMPRODUCT(MAX(ROW(E$1:E2758)*(E2759=E$1:E2758)))))</f>
        <v> </v>
      </c>
      <c r="L2759" s="26"/>
    </row>
    <row r="2760" spans="1:12">
      <c r="A2760" s="20" t="s">
        <v>911</v>
      </c>
      <c r="E2760" s="21">
        <f>IF(D2760="?OLD","!!!","")</f>
        <v/>
      </c>
      <c r="F2760" s="22" t="str">
        <f>IF(OR(E2760="",E2760="!!!"),"",IF(NOT(ISNA(VLOOKUP(E2760,E$1:E2759,1,FALSE()))),"OLD",IF(AND(E2760&lt;&gt;"",E2760&lt;&gt;"!!!"),"NEW","")))</f>
        <v> </v>
      </c>
      <c r="G2760" s="23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4" t="str">
        <f>IF(J2760&lt;&gt;1,"",IF(I2760="SBJ","CB","?"))</f>
        <v> </v>
      </c>
      <c r="I2760" s="25" t="str">
        <f>IF(OR(E2760="",E2760="!!!",F2760="NEW"),"",INDEX(B2759:B$2,-1+SUMPRODUCT(MAX(ROW(E2759:E$2)*(E2760=E2759:E$2)))))</f>
        <v> </v>
      </c>
      <c r="J2760" s="25" t="str">
        <f>IF(OR(E2760="",E2760="!!!",F2760="NEW"),"",COUNTBLANK(OFFSET(A$1,,,SUMPRODUCT(MAX(ROW(E$2:E2760)*(E2760=E$2:E2760)))))-COUNTBLANK(OFFSET(A$1,,,SUMPRODUCT(MAX(ROW(E$1:E2759)*(E2=E$1:E2759))))))</f>
        <v> </v>
      </c>
      <c r="K2760" s="25" t="str">
        <f>IF(OR(E2760="",E2760="!!!",F2760="NEW"),"",INDEX(J$1:J2759,SUMPRODUCT(MAX(ROW(E$1:E2759)*(E2760=E$1:E2759)))))</f>
        <v> </v>
      </c>
      <c r="L2760" s="26"/>
    </row>
    <row r="2761" spans="1:12">
      <c r="A2761" s="20" t="s">
        <v>59</v>
      </c>
      <c r="E2761" s="21">
        <f>IF(D2761="?OLD","!!!","")</f>
        <v/>
      </c>
      <c r="F2761" s="22" t="str">
        <f>IF(OR(E2761="",E2761="!!!"),"",IF(NOT(ISNA(VLOOKUP(E2761,E$1:E2760,1,FALSE()))),"OLD",IF(AND(E2761&lt;&gt;"",E2761&lt;&gt;"!!!"),"NEW","")))</f>
        <v> </v>
      </c>
      <c r="G2761" s="23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4" t="str">
        <f>IF(J2761&lt;&gt;1,"",IF(I2761="SBJ","CB","?"))</f>
        <v> </v>
      </c>
      <c r="I2761" s="25" t="str">
        <f>IF(OR(E2761="",E2761="!!!",F2761="NEW"),"",INDEX(B2760:B$2,-1+SUMPRODUCT(MAX(ROW(E2760:E$2)*(E2761=E2760:E$2)))))</f>
        <v> </v>
      </c>
      <c r="J2761" s="25" t="str">
        <f>IF(OR(E2761="",E2761="!!!",F2761="NEW"),"",COUNTBLANK(OFFSET(A$1,,,SUMPRODUCT(MAX(ROW(E$2:E2761)*(E2761=E$2:E2761)))))-COUNTBLANK(OFFSET(A$1,,,SUMPRODUCT(MAX(ROW(E$1:E2760)*(E2=E$1:E2760))))))</f>
        <v> </v>
      </c>
      <c r="K2761" s="25" t="str">
        <f>IF(OR(E2761="",E2761="!!!",F2761="NEW"),"",INDEX(J$1:J2760,SUMPRODUCT(MAX(ROW(E$1:E2760)*(E2761=E$1:E2760)))))</f>
        <v> </v>
      </c>
      <c r="L2761" s="26"/>
    </row>
    <row r="2762" spans="1:12">
      <c r="A2762" s="20" t="s">
        <v>774</v>
      </c>
      <c r="B2762" s="27" t="s">
        <v>1028</v>
      </c>
      <c r="C2762" s="27" t="s">
        <v>756</v>
      </c>
      <c r="D2762" s="27" t="s">
        <v>736</v>
      </c>
      <c r="E2762" s="21">
        <f>IF(D2762="?OLD","!!!","")</f>
        <v/>
      </c>
      <c r="F2762" s="22" t="str">
        <f>IF(OR(E2762="",E2762="!!!"),"",IF(NOT(ISNA(VLOOKUP(E2762,E$1:E2761,1,FALSE()))),"OLD",IF(AND(E2762&lt;&gt;"",E2762&lt;&gt;"!!!"),"NEW","")))</f>
        <v> </v>
      </c>
      <c r="G2762" s="23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4" t="str">
        <f>IF(J2762&lt;&gt;1,"",IF(I2762="SBJ","CB","?"))</f>
        <v> </v>
      </c>
      <c r="I2762" s="25" t="str">
        <f>IF(OR(E2762="",E2762="!!!",F2762="NEW"),"",INDEX(B2761:B$2,-1+SUMPRODUCT(MAX(ROW(E2761:E$2)*(E2762=E2761:E$2)))))</f>
        <v> </v>
      </c>
      <c r="J2762" s="25" t="str">
        <f>IF(OR(E2762="",E2762="!!!",F2762="NEW"),"",COUNTBLANK(OFFSET(A$1,,,SUMPRODUCT(MAX(ROW(E$2:E2762)*(E2762=E$2:E2762)))))-COUNTBLANK(OFFSET(A$1,,,SUMPRODUCT(MAX(ROW(E$1:E2761)*(E2=E$1:E2761))))))</f>
        <v> </v>
      </c>
      <c r="K2762" s="25" t="str">
        <f>IF(OR(E2762="",E2762="!!!",F2762="NEW"),"",INDEX(J$1:J2761,SUMPRODUCT(MAX(ROW(E$1:E2761)*(E2762=E$1:E2761)))))</f>
        <v> </v>
      </c>
      <c r="L2762" s="26"/>
    </row>
    <row r="2763" spans="1:12">
      <c r="A2763" s="20" t="s">
        <v>744</v>
      </c>
      <c r="E2763" s="21">
        <f>IF(D2763="?OLD","!!!","")</f>
        <v/>
      </c>
      <c r="F2763" s="22" t="str">
        <f>IF(OR(E2763="",E2763="!!!"),"",IF(NOT(ISNA(VLOOKUP(E2763,E$1:E2762,1,FALSE()))),"OLD",IF(AND(E2763&lt;&gt;"",E2763&lt;&gt;"!!!"),"NEW","")))</f>
        <v> </v>
      </c>
      <c r="G2763" s="23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4" t="str">
        <f>IF(J2763&lt;&gt;1,"",IF(I2763="SBJ","CB","?"))</f>
        <v> </v>
      </c>
      <c r="I2763" s="25" t="str">
        <f>IF(OR(E2763="",E2763="!!!",F2763="NEW"),"",INDEX(B2762:B$2,-1+SUMPRODUCT(MAX(ROW(E2762:E$2)*(E2763=E2762:E$2)))))</f>
        <v> </v>
      </c>
      <c r="J2763" s="25" t="str">
        <f>IF(OR(E2763="",E2763="!!!",F2763="NEW"),"",COUNTBLANK(OFFSET(A$1,,,SUMPRODUCT(MAX(ROW(E$2:E2763)*(E2763=E$2:E2763)))))-COUNTBLANK(OFFSET(A$1,,,SUMPRODUCT(MAX(ROW(E$1:E2762)*(E2=E$1:E2762))))))</f>
        <v> </v>
      </c>
      <c r="K2763" s="25" t="str">
        <f>IF(OR(E2763="",E2763="!!!",F2763="NEW"),"",INDEX(J$1:J2762,SUMPRODUCT(MAX(ROW(E$1:E2762)*(E2763=E$1:E2762)))))</f>
        <v> </v>
      </c>
      <c r="L2763" s="26"/>
    </row>
    <row r="2764" spans="1:12">
      <c r="A2764" s="20" t="s">
        <v>841</v>
      </c>
      <c r="E2764" s="21">
        <f>IF(D2764="?OLD","!!!","")</f>
        <v/>
      </c>
      <c r="F2764" s="22" t="str">
        <f>IF(OR(E2764="",E2764="!!!"),"",IF(NOT(ISNA(VLOOKUP(E2764,E$1:E2763,1,FALSE()))),"OLD",IF(AND(E2764&lt;&gt;"",E2764&lt;&gt;"!!!"),"NEW","")))</f>
        <v> </v>
      </c>
      <c r="G2764" s="23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4" t="str">
        <f>IF(J2764&lt;&gt;1,"",IF(I2764="SBJ","CB","?"))</f>
        <v> </v>
      </c>
      <c r="I2764" s="25" t="str">
        <f>IF(OR(E2764="",E2764="!!!",F2764="NEW"),"",INDEX(B2763:B$2,-1+SUMPRODUCT(MAX(ROW(E2763:E$2)*(E2764=E2763:E$2)))))</f>
        <v> </v>
      </c>
      <c r="J2764" s="25" t="str">
        <f>IF(OR(E2764="",E2764="!!!",F2764="NEW"),"",COUNTBLANK(OFFSET(A$1,,,SUMPRODUCT(MAX(ROW(E$2:E2764)*(E2764=E$2:E2764)))))-COUNTBLANK(OFFSET(A$1,,,SUMPRODUCT(MAX(ROW(E$1:E2763)*(E2=E$1:E2763))))))</f>
        <v> </v>
      </c>
      <c r="K2764" s="25" t="str">
        <f>IF(OR(E2764="",E2764="!!!",F2764="NEW"),"",INDEX(J$1:J2763,SUMPRODUCT(MAX(ROW(E$1:E2763)*(E2764=E$1:E2763)))))</f>
        <v> </v>
      </c>
      <c r="L2764" s="26"/>
    </row>
    <row r="2765" spans="1:12">
      <c r="A2765" s="20" t="s">
        <v>1879</v>
      </c>
      <c r="E2765" s="21">
        <f>IF(D2765="?OLD","!!!","")</f>
        <v/>
      </c>
      <c r="F2765" s="22" t="str">
        <f>IF(OR(E2765="",E2765="!!!"),"",IF(NOT(ISNA(VLOOKUP(E2765,E$1:E2764,1,FALSE()))),"OLD",IF(AND(E2765&lt;&gt;"",E2765&lt;&gt;"!!!"),"NEW","")))</f>
        <v> </v>
      </c>
      <c r="G2765" s="23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4" t="str">
        <f>IF(J2765&lt;&gt;1,"",IF(I2765="SBJ","CB","?"))</f>
        <v> </v>
      </c>
      <c r="I2765" s="25" t="str">
        <f>IF(OR(E2765="",E2765="!!!",F2765="NEW"),"",INDEX(B2764:B$2,-1+SUMPRODUCT(MAX(ROW(E2764:E$2)*(E2765=E2764:E$2)))))</f>
        <v> </v>
      </c>
      <c r="J2765" s="25" t="str">
        <f>IF(OR(E2765="",E2765="!!!",F2765="NEW"),"",COUNTBLANK(OFFSET(A$1,,,SUMPRODUCT(MAX(ROW(E$2:E2765)*(E2765=E$2:E2765)))))-COUNTBLANK(OFFSET(A$1,,,SUMPRODUCT(MAX(ROW(E$1:E2764)*(E2=E$1:E2764))))))</f>
        <v> </v>
      </c>
      <c r="K2765" s="25" t="str">
        <f>IF(OR(E2765="",E2765="!!!",F2765="NEW"),"",INDEX(J$1:J2764,SUMPRODUCT(MAX(ROW(E$1:E2764)*(E2765=E$1:E2764)))))</f>
        <v> </v>
      </c>
      <c r="L2765" s="26"/>
    </row>
    <row r="2766" spans="1:12">
      <c r="A2766" s="20" t="s">
        <v>851</v>
      </c>
      <c r="B2766" s="27" t="s">
        <v>1028</v>
      </c>
      <c r="C2766" s="27" t="s">
        <v>788</v>
      </c>
      <c r="D2766" s="27" t="s">
        <v>736</v>
      </c>
      <c r="E2766" s="21">
        <f>IF(D2766="?OLD","!!!","")</f>
        <v/>
      </c>
      <c r="F2766" s="22" t="str">
        <f>IF(OR(E2766="",E2766="!!!"),"",IF(NOT(ISNA(VLOOKUP(E2766,E$1:E2765,1,FALSE()))),"OLD",IF(AND(E2766&lt;&gt;"",E2766&lt;&gt;"!!!"),"NEW","")))</f>
        <v> </v>
      </c>
      <c r="G2766" s="23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4" t="str">
        <f>IF(J2766&lt;&gt;1,"",IF(I2766="SBJ","CB","?"))</f>
        <v> </v>
      </c>
      <c r="I2766" s="25" t="str">
        <f>IF(OR(E2766="",E2766="!!!",F2766="NEW"),"",INDEX(B2765:B$2,-1+SUMPRODUCT(MAX(ROW(E2765:E$2)*(E2766=E2765:E$2)))))</f>
        <v> </v>
      </c>
      <c r="J2766" s="25" t="str">
        <f>IF(OR(E2766="",E2766="!!!",F2766="NEW"),"",COUNTBLANK(OFFSET(A$1,,,SUMPRODUCT(MAX(ROW(E$2:E2766)*(E2766=E$2:E2766)))))-COUNTBLANK(OFFSET(A$1,,,SUMPRODUCT(MAX(ROW(E$1:E2765)*(E2=E$1:E2765))))))</f>
        <v> </v>
      </c>
      <c r="K2766" s="25" t="str">
        <f>IF(OR(E2766="",E2766="!!!",F2766="NEW"),"",INDEX(J$1:J2765,SUMPRODUCT(MAX(ROW(E$1:E2765)*(E2766=E$1:E2765)))))</f>
        <v> </v>
      </c>
      <c r="L2766" s="26"/>
    </row>
    <row r="2767" spans="1:12">
      <c r="A2767" s="20" t="s">
        <v>822</v>
      </c>
      <c r="E2767" s="21">
        <f>IF(D2767="?OLD","!!!","")</f>
        <v/>
      </c>
      <c r="F2767" s="22" t="str">
        <f>IF(OR(E2767="",E2767="!!!"),"",IF(NOT(ISNA(VLOOKUP(E2767,E$1:E2766,1,FALSE()))),"OLD",IF(AND(E2767&lt;&gt;"",E2767&lt;&gt;"!!!"),"NEW","")))</f>
        <v> </v>
      </c>
      <c r="G2767" s="23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4" t="str">
        <f>IF(J2767&lt;&gt;1,"",IF(I2767="SBJ","CB","?"))</f>
        <v> </v>
      </c>
      <c r="I2767" s="25" t="str">
        <f>IF(OR(E2767="",E2767="!!!",F2767="NEW"),"",INDEX(B2766:B$2,-1+SUMPRODUCT(MAX(ROW(E2766:E$2)*(E2767=E2766:E$2)))))</f>
        <v> </v>
      </c>
      <c r="J2767" s="25" t="str">
        <f>IF(OR(E2767="",E2767="!!!",F2767="NEW"),"",COUNTBLANK(OFFSET(A$1,,,SUMPRODUCT(MAX(ROW(E$2:E2767)*(E2767=E$2:E2767)))))-COUNTBLANK(OFFSET(A$1,,,SUMPRODUCT(MAX(ROW(E$1:E2766)*(E2=E$1:E2766))))))</f>
        <v> </v>
      </c>
      <c r="K2767" s="25" t="str">
        <f>IF(OR(E2767="",E2767="!!!",F2767="NEW"),"",INDEX(J$1:J2766,SUMPRODUCT(MAX(ROW(E$1:E2766)*(E2767=E$1:E2766)))))</f>
        <v> </v>
      </c>
      <c r="L2767" s="26"/>
    </row>
    <row r="2768" spans="1:12">
      <c r="A2768" s="20" t="s">
        <v>1951</v>
      </c>
      <c r="E2768" s="21">
        <f>IF(D2768="?OLD","!!!","")</f>
        <v/>
      </c>
      <c r="F2768" s="22" t="str">
        <f>IF(OR(E2768="",E2768="!!!"),"",IF(NOT(ISNA(VLOOKUP(E2768,E$1:E2767,1,FALSE()))),"OLD",IF(AND(E2768&lt;&gt;"",E2768&lt;&gt;"!!!"),"NEW","")))</f>
        <v> </v>
      </c>
      <c r="G2768" s="23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4" t="str">
        <f>IF(J2768&lt;&gt;1,"",IF(I2768="SBJ","CB","?"))</f>
        <v> </v>
      </c>
      <c r="I2768" s="25" t="str">
        <f>IF(OR(E2768="",E2768="!!!",F2768="NEW"),"",INDEX(B2767:B$2,-1+SUMPRODUCT(MAX(ROW(E2767:E$2)*(E2768=E2767:E$2)))))</f>
        <v> </v>
      </c>
      <c r="J2768" s="25" t="str">
        <f>IF(OR(E2768="",E2768="!!!",F2768="NEW"),"",COUNTBLANK(OFFSET(A$1,,,SUMPRODUCT(MAX(ROW(E$2:E2768)*(E2768=E$2:E2768)))))-COUNTBLANK(OFFSET(A$1,,,SUMPRODUCT(MAX(ROW(E$1:E2767)*(E2=E$1:E2767))))))</f>
        <v> </v>
      </c>
      <c r="K2768" s="25" t="str">
        <f>IF(OR(E2768="",E2768="!!!",F2768="NEW"),"",INDEX(J$1:J2767,SUMPRODUCT(MAX(ROW(E$1:E2767)*(E2768=E$1:E2767)))))</f>
        <v> </v>
      </c>
      <c r="L2768" s="26"/>
    </row>
    <row r="2769" spans="1:12">
      <c r="A2769" s="20" t="s">
        <v>1952</v>
      </c>
      <c r="E2769" s="21">
        <f>IF(D2769="?OLD","!!!","")</f>
        <v/>
      </c>
      <c r="F2769" s="22" t="str">
        <f>IF(OR(E2769="",E2769="!!!"),"",IF(NOT(ISNA(VLOOKUP(E2769,E$1:E2768,1,FALSE()))),"OLD",IF(AND(E2769&lt;&gt;"",E2769&lt;&gt;"!!!"),"NEW","")))</f>
        <v> </v>
      </c>
      <c r="G2769" s="23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4" t="str">
        <f>IF(J2769&lt;&gt;1,"",IF(I2769="SBJ","CB","?"))</f>
        <v> </v>
      </c>
      <c r="I2769" s="25" t="str">
        <f>IF(OR(E2769="",E2769="!!!",F2769="NEW"),"",INDEX(B2768:B$2,-1+SUMPRODUCT(MAX(ROW(E2768:E$2)*(E2769=E2768:E$2)))))</f>
        <v> </v>
      </c>
      <c r="J2769" s="25" t="str">
        <f>IF(OR(E2769="",E2769="!!!",F2769="NEW"),"",COUNTBLANK(OFFSET(A$1,,,SUMPRODUCT(MAX(ROW(E$2:E2769)*(E2769=E$2:E2769)))))-COUNTBLANK(OFFSET(A$1,,,SUMPRODUCT(MAX(ROW(E$1:E2768)*(E2=E$1:E2768))))))</f>
        <v> </v>
      </c>
      <c r="K2769" s="25" t="str">
        <f>IF(OR(E2769="",E2769="!!!",F2769="NEW"),"",INDEX(J$1:J2768,SUMPRODUCT(MAX(ROW(E$1:E2768)*(E2769=E$1:E2768)))))</f>
        <v> </v>
      </c>
      <c r="L2769" s="26"/>
    </row>
    <row r="2770" spans="1:12">
      <c r="A2770" s="20" t="s">
        <v>1953</v>
      </c>
      <c r="E2770" s="21">
        <f>IF(D2770="?OLD","!!!","")</f>
        <v/>
      </c>
      <c r="F2770" s="22" t="str">
        <f>IF(OR(E2770="",E2770="!!!"),"",IF(NOT(ISNA(VLOOKUP(E2770,E$1:E2769,1,FALSE()))),"OLD",IF(AND(E2770&lt;&gt;"",E2770&lt;&gt;"!!!"),"NEW","")))</f>
        <v> </v>
      </c>
      <c r="G2770" s="23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4" t="str">
        <f>IF(J2770&lt;&gt;1,"",IF(I2770="SBJ","CB","?"))</f>
        <v> </v>
      </c>
      <c r="I2770" s="25" t="str">
        <f>IF(OR(E2770="",E2770="!!!",F2770="NEW"),"",INDEX(B2769:B$2,-1+SUMPRODUCT(MAX(ROW(E2769:E$2)*(E2770=E2769:E$2)))))</f>
        <v> </v>
      </c>
      <c r="J2770" s="25" t="str">
        <f>IF(OR(E2770="",E2770="!!!",F2770="NEW"),"",COUNTBLANK(OFFSET(A$1,,,SUMPRODUCT(MAX(ROW(E$2:E2770)*(E2770=E$2:E2770)))))-COUNTBLANK(OFFSET(A$1,,,SUMPRODUCT(MAX(ROW(E$1:E2769)*(E2=E$1:E2769))))))</f>
        <v> </v>
      </c>
      <c r="K2770" s="25" t="str">
        <f>IF(OR(E2770="",E2770="!!!",F2770="NEW"),"",INDEX(J$1:J2769,SUMPRODUCT(MAX(ROW(E$1:E2769)*(E2770=E$1:E2769)))))</f>
        <v> </v>
      </c>
      <c r="L2770" s="26"/>
    </row>
    <row r="2771" spans="1:12">
      <c r="A2771" s="20" t="s">
        <v>765</v>
      </c>
      <c r="E2771" s="21">
        <f>IF(D2771="?OLD","!!!","")</f>
        <v/>
      </c>
      <c r="F2771" s="22" t="str">
        <f>IF(OR(E2771="",E2771="!!!"),"",IF(NOT(ISNA(VLOOKUP(E2771,E$1:E2770,1,FALSE()))),"OLD",IF(AND(E2771&lt;&gt;"",E2771&lt;&gt;"!!!"),"NEW","")))</f>
        <v> </v>
      </c>
      <c r="G2771" s="23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4" t="str">
        <f>IF(J2771&lt;&gt;1,"",IF(I2771="SBJ","CB","?"))</f>
        <v> </v>
      </c>
      <c r="I2771" s="25" t="str">
        <f>IF(OR(E2771="",E2771="!!!",F2771="NEW"),"",INDEX(B2770:B$2,-1+SUMPRODUCT(MAX(ROW(E2770:E$2)*(E2771=E2770:E$2)))))</f>
        <v> </v>
      </c>
      <c r="J2771" s="25" t="str">
        <f>IF(OR(E2771="",E2771="!!!",F2771="NEW"),"",COUNTBLANK(OFFSET(A$1,,,SUMPRODUCT(MAX(ROW(E$2:E2771)*(E2771=E$2:E2771)))))-COUNTBLANK(OFFSET(A$1,,,SUMPRODUCT(MAX(ROW(E$1:E2770)*(E2=E$1:E2770))))))</f>
        <v> </v>
      </c>
      <c r="K2771" s="25" t="str">
        <f>IF(OR(E2771="",E2771="!!!",F2771="NEW"),"",INDEX(J$1:J2770,SUMPRODUCT(MAX(ROW(E$1:E2770)*(E2771=E$1:E2770)))))</f>
        <v> </v>
      </c>
      <c r="L2771" s="26"/>
    </row>
    <row r="2772" spans="1:12">
      <c r="A2772" s="20"/>
    </row>
    <row r="2773" spans="1:12">
      <c r="A2773" s="20" t="s">
        <v>1954</v>
      </c>
    </row>
    <row r="2774" spans="1:12">
      <c r="A2774" s="20" t="s">
        <v>1281</v>
      </c>
      <c r="E2774" s="21">
        <f>IF(D2774="?OLD","!!!","")</f>
        <v/>
      </c>
      <c r="F2774" s="22" t="str">
        <f>IF(OR(E2774="",E2774="!!!"),"",IF(NOT(ISNA(VLOOKUP(E2774,E$1:E2773,1,FALSE()))),"OLD",IF(AND(E2774&lt;&gt;"",E2774&lt;&gt;"!!!"),"NEW","")))</f>
        <v> </v>
      </c>
      <c r="G2774" s="23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4" t="str">
        <f>IF(J2774&lt;&gt;1,"",IF(I2774="SBJ","CB","?"))</f>
        <v> </v>
      </c>
      <c r="I2774" s="25" t="str">
        <f>IF(OR(E2774="",E2774="!!!",F2774="NEW"),"",INDEX(B2773:B$2,-1+SUMPRODUCT(MAX(ROW(E2773:E$2)*(E2774=E2773:E$2)))))</f>
        <v> </v>
      </c>
      <c r="J2774" s="25" t="str">
        <f>IF(OR(E2774="",E2774="!!!",F2774="NEW"),"",COUNTBLANK(OFFSET(A$1,,,SUMPRODUCT(MAX(ROW(E$2:E2774)*(E2774=E$2:E2774)))))-COUNTBLANK(OFFSET(A$1,,,SUMPRODUCT(MAX(ROW(E$1:E2773)*(E2=E$1:E2773))))))</f>
        <v> </v>
      </c>
      <c r="K2774" s="25" t="str">
        <f>IF(OR(E2774="",E2774="!!!",F2774="NEW"),"",INDEX(J$1:J2773,SUMPRODUCT(MAX(ROW(E$1:E2773)*(E2774=E$1:E2773)))))</f>
        <v> </v>
      </c>
      <c r="L2774" s="26"/>
    </row>
    <row r="2775" spans="1:12">
      <c r="A2775" s="20" t="s">
        <v>1955</v>
      </c>
      <c r="E2775" s="21">
        <f>IF(D2775="?OLD","!!!","")</f>
        <v/>
      </c>
      <c r="F2775" s="22" t="str">
        <f>IF(OR(E2775="",E2775="!!!"),"",IF(NOT(ISNA(VLOOKUP(E2775,E$1:E2774,1,FALSE()))),"OLD",IF(AND(E2775&lt;&gt;"",E2775&lt;&gt;"!!!"),"NEW","")))</f>
        <v> </v>
      </c>
      <c r="G2775" s="23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4" t="str">
        <f>IF(J2775&lt;&gt;1,"",IF(I2775="SBJ","CB","?"))</f>
        <v> </v>
      </c>
      <c r="I2775" s="25" t="str">
        <f>IF(OR(E2775="",E2775="!!!",F2775="NEW"),"",INDEX(B2774:B$2,-1+SUMPRODUCT(MAX(ROW(E2774:E$2)*(E2775=E2774:E$2)))))</f>
        <v> </v>
      </c>
      <c r="J2775" s="25" t="str">
        <f>IF(OR(E2775="",E2775="!!!",F2775="NEW"),"",COUNTBLANK(OFFSET(A$1,,,SUMPRODUCT(MAX(ROW(E$2:E2775)*(E2775=E$2:E2775)))))-COUNTBLANK(OFFSET(A$1,,,SUMPRODUCT(MAX(ROW(E$1:E2774)*(E2=E$1:E2774))))))</f>
        <v> </v>
      </c>
      <c r="K2775" s="25" t="str">
        <f>IF(OR(E2775="",E2775="!!!",F2775="NEW"),"",INDEX(J$1:J2774,SUMPRODUCT(MAX(ROW(E$1:E2774)*(E2775=E$1:E2774)))))</f>
        <v> </v>
      </c>
      <c r="L2775" s="26"/>
    </row>
    <row r="2776" spans="1:12">
      <c r="A2776" s="20" t="s">
        <v>1956</v>
      </c>
      <c r="B2776" s="27" t="s">
        <v>838</v>
      </c>
      <c r="C2776" s="27" t="s">
        <v>828</v>
      </c>
      <c r="E2776" s="21">
        <f>IF(D2776="?OLD","!!!","")</f>
        <v/>
      </c>
      <c r="F2776" s="22" t="str">
        <f>IF(OR(E2776="",E2776="!!!"),"",IF(NOT(ISNA(VLOOKUP(E2776,E$1:E2775,1,FALSE()))),"OLD",IF(AND(E2776&lt;&gt;"",E2776&lt;&gt;"!!!"),"NEW","")))</f>
        <v> </v>
      </c>
      <c r="G2776" s="23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4" t="str">
        <f>IF(J2776&lt;&gt;1,"",IF(I2776="SBJ","CB","?"))</f>
        <v> </v>
      </c>
      <c r="I2776" s="25" t="str">
        <f>IF(OR(E2776="",E2776="!!!",F2776="NEW"),"",INDEX(B2775:B$2,-1+SUMPRODUCT(MAX(ROW(E2775:E$2)*(E2776=E2775:E$2)))))</f>
        <v> </v>
      </c>
      <c r="J2776" s="25" t="str">
        <f>IF(OR(E2776="",E2776="!!!",F2776="NEW"),"",COUNTBLANK(OFFSET(A$1,,,SUMPRODUCT(MAX(ROW(E$2:E2776)*(E2776=E$2:E2776)))))-COUNTBLANK(OFFSET(A$1,,,SUMPRODUCT(MAX(ROW(E$1:E2775)*(E2=E$1:E2775))))))</f>
        <v> </v>
      </c>
      <c r="K2776" s="25" t="str">
        <f>IF(OR(E2776="",E2776="!!!",F2776="NEW"),"",INDEX(J$1:J2775,SUMPRODUCT(MAX(ROW(E$1:E2775)*(E2776=E$1:E2775)))))</f>
        <v> </v>
      </c>
      <c r="L2776" s="26"/>
    </row>
    <row r="2777" spans="1:12">
      <c r="A2777" s="20" t="s">
        <v>1957</v>
      </c>
      <c r="E2777" s="21">
        <f>IF(D2777="?OLD","!!!","")</f>
        <v/>
      </c>
      <c r="F2777" s="22" t="str">
        <f>IF(OR(E2777="",E2777="!!!"),"",IF(NOT(ISNA(VLOOKUP(E2777,E$1:E2776,1,FALSE()))),"OLD",IF(AND(E2777&lt;&gt;"",E2777&lt;&gt;"!!!"),"NEW","")))</f>
        <v> </v>
      </c>
      <c r="G2777" s="23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4" t="str">
        <f>IF(J2777&lt;&gt;1,"",IF(I2777="SBJ","CB","?"))</f>
        <v> </v>
      </c>
      <c r="I2777" s="25" t="str">
        <f>IF(OR(E2777="",E2777="!!!",F2777="NEW"),"",INDEX(B2776:B$2,-1+SUMPRODUCT(MAX(ROW(E2776:E$2)*(E2777=E2776:E$2)))))</f>
        <v> </v>
      </c>
      <c r="J2777" s="25" t="str">
        <f>IF(OR(E2777="",E2777="!!!",F2777="NEW"),"",COUNTBLANK(OFFSET(A$1,,,SUMPRODUCT(MAX(ROW(E$2:E2777)*(E2777=E$2:E2777)))))-COUNTBLANK(OFFSET(A$1,,,SUMPRODUCT(MAX(ROW(E$1:E2776)*(E2=E$1:E2776))))))</f>
        <v> </v>
      </c>
      <c r="K2777" s="25" t="str">
        <f>IF(OR(E2777="",E2777="!!!",F2777="NEW"),"",INDEX(J$1:J2776,SUMPRODUCT(MAX(ROW(E$1:E2776)*(E2777=E$1:E2776)))))</f>
        <v> </v>
      </c>
      <c r="L2777" s="26"/>
    </row>
    <row r="2778" spans="1:12">
      <c r="A2778" s="20" t="s">
        <v>1958</v>
      </c>
      <c r="B2778" s="27" t="s">
        <v>734</v>
      </c>
      <c r="E2778" s="21">
        <f>IF(D2778="?OLD","!!!","")</f>
        <v/>
      </c>
      <c r="F2778" s="22" t="str">
        <f>IF(OR(E2778="",E2778="!!!"),"",IF(NOT(ISNA(VLOOKUP(E2778,E$1:E2777,1,FALSE()))),"OLD",IF(AND(E2778&lt;&gt;"",E2778&lt;&gt;"!!!"),"NEW","")))</f>
        <v> </v>
      </c>
      <c r="G2778" s="23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4" t="str">
        <f>IF(J2778&lt;&gt;1,"",IF(I2778="SBJ","CB","?"))</f>
        <v> </v>
      </c>
      <c r="I2778" s="25" t="str">
        <f>IF(OR(E2778="",E2778="!!!",F2778="NEW"),"",INDEX(B2777:B$2,-1+SUMPRODUCT(MAX(ROW(E2777:E$2)*(E2778=E2777:E$2)))))</f>
        <v> </v>
      </c>
      <c r="J2778" s="25" t="str">
        <f>IF(OR(E2778="",E2778="!!!",F2778="NEW"),"",COUNTBLANK(OFFSET(A$1,,,SUMPRODUCT(MAX(ROW(E$2:E2778)*(E2778=E$2:E2778)))))-COUNTBLANK(OFFSET(A$1,,,SUMPRODUCT(MAX(ROW(E$1:E2777)*(E2=E$1:E2777))))))</f>
        <v> </v>
      </c>
      <c r="K2778" s="25" t="str">
        <f>IF(OR(E2778="",E2778="!!!",F2778="NEW"),"",INDEX(J$1:J2777,SUMPRODUCT(MAX(ROW(E$1:E2777)*(E2778=E$1:E2777)))))</f>
        <v> </v>
      </c>
      <c r="L2778" s="26"/>
    </row>
    <row r="2779" spans="1:12">
      <c r="A2779" s="20" t="s">
        <v>841</v>
      </c>
      <c r="E2779" s="21">
        <f>IF(D2779="?OLD","!!!","")</f>
        <v/>
      </c>
      <c r="F2779" s="22" t="str">
        <f>IF(OR(E2779="",E2779="!!!"),"",IF(NOT(ISNA(VLOOKUP(E2779,E$1:E2778,1,FALSE()))),"OLD",IF(AND(E2779&lt;&gt;"",E2779&lt;&gt;"!!!"),"NEW","")))</f>
        <v> </v>
      </c>
      <c r="G2779" s="23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4" t="str">
        <f>IF(J2779&lt;&gt;1,"",IF(I2779="SBJ","CB","?"))</f>
        <v> </v>
      </c>
      <c r="I2779" s="25" t="str">
        <f>IF(OR(E2779="",E2779="!!!",F2779="NEW"),"",INDEX(B2778:B$2,-1+SUMPRODUCT(MAX(ROW(E2778:E$2)*(E2779=E2778:E$2)))))</f>
        <v> </v>
      </c>
      <c r="J2779" s="25" t="str">
        <f>IF(OR(E2779="",E2779="!!!",F2779="NEW"),"",COUNTBLANK(OFFSET(A$1,,,SUMPRODUCT(MAX(ROW(E$2:E2779)*(E2779=E$2:E2779)))))-COUNTBLANK(OFFSET(A$1,,,SUMPRODUCT(MAX(ROW(E$1:E2778)*(E2=E$1:E2778))))))</f>
        <v> </v>
      </c>
      <c r="K2779" s="25" t="str">
        <f>IF(OR(E2779="",E2779="!!!",F2779="NEW"),"",INDEX(J$1:J2778,SUMPRODUCT(MAX(ROW(E$1:E2778)*(E2779=E$1:E2778)))))</f>
        <v> </v>
      </c>
      <c r="L2779" s="26"/>
    </row>
    <row r="2780" spans="1:12">
      <c r="A2780" s="20" t="s">
        <v>793</v>
      </c>
      <c r="E2780" s="21">
        <f>IF(D2780="?OLD","!!!","")</f>
        <v/>
      </c>
      <c r="F2780" s="22" t="str">
        <f>IF(OR(E2780="",E2780="!!!"),"",IF(NOT(ISNA(VLOOKUP(E2780,E$1:E2779,1,FALSE()))),"OLD",IF(AND(E2780&lt;&gt;"",E2780&lt;&gt;"!!!"),"NEW","")))</f>
        <v> </v>
      </c>
      <c r="G2780" s="23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4" t="str">
        <f>IF(J2780&lt;&gt;1,"",IF(I2780="SBJ","CB","?"))</f>
        <v> </v>
      </c>
      <c r="I2780" s="25" t="str">
        <f>IF(OR(E2780="",E2780="!!!",F2780="NEW"),"",INDEX(B2779:B$2,-1+SUMPRODUCT(MAX(ROW(E2779:E$2)*(E2780=E2779:E$2)))))</f>
        <v> </v>
      </c>
      <c r="J2780" s="25" t="str">
        <f>IF(OR(E2780="",E2780="!!!",F2780="NEW"),"",COUNTBLANK(OFFSET(A$1,,,SUMPRODUCT(MAX(ROW(E$2:E2780)*(E2780=E$2:E2780)))))-COUNTBLANK(OFFSET(A$1,,,SUMPRODUCT(MAX(ROW(E$1:E2779)*(E2=E$1:E2779))))))</f>
        <v> </v>
      </c>
      <c r="K2780" s="25" t="str">
        <f>IF(OR(E2780="",E2780="!!!",F2780="NEW"),"",INDEX(J$1:J2779,SUMPRODUCT(MAX(ROW(E$1:E2779)*(E2780=E$1:E2779)))))</f>
        <v> </v>
      </c>
      <c r="L2780" s="26"/>
    </row>
    <row r="2781" spans="1:12">
      <c r="A2781" s="20" t="s">
        <v>1880</v>
      </c>
      <c r="E2781" s="21">
        <f>IF(D2781="?OLD","!!!","")</f>
        <v/>
      </c>
      <c r="F2781" s="22" t="str">
        <f>IF(OR(E2781="",E2781="!!!"),"",IF(NOT(ISNA(VLOOKUP(E2781,E$1:E2780,1,FALSE()))),"OLD",IF(AND(E2781&lt;&gt;"",E2781&lt;&gt;"!!!"),"NEW","")))</f>
        <v> </v>
      </c>
      <c r="G2781" s="23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4" t="str">
        <f>IF(J2781&lt;&gt;1,"",IF(I2781="SBJ","CB","?"))</f>
        <v> </v>
      </c>
      <c r="I2781" s="25" t="str">
        <f>IF(OR(E2781="",E2781="!!!",F2781="NEW"),"",INDEX(B2780:B$2,-1+SUMPRODUCT(MAX(ROW(E2780:E$2)*(E2781=E2780:E$2)))))</f>
        <v> </v>
      </c>
      <c r="J2781" s="25" t="str">
        <f>IF(OR(E2781="",E2781="!!!",F2781="NEW"),"",COUNTBLANK(OFFSET(A$1,,,SUMPRODUCT(MAX(ROW(E$2:E2781)*(E2781=E$2:E2781)))))-COUNTBLANK(OFFSET(A$1,,,SUMPRODUCT(MAX(ROW(E$1:E2780)*(E2=E$1:E2780))))))</f>
        <v> </v>
      </c>
      <c r="K2781" s="25" t="str">
        <f>IF(OR(E2781="",E2781="!!!",F2781="NEW"),"",INDEX(J$1:J2780,SUMPRODUCT(MAX(ROW(E$1:E2780)*(E2781=E$1:E2780)))))</f>
        <v> </v>
      </c>
      <c r="L2781" s="26"/>
    </row>
    <row r="2782" spans="1:12">
      <c r="A2782" s="20" t="s">
        <v>1861</v>
      </c>
      <c r="E2782" s="21">
        <f>IF(D2782="?OLD","!!!","")</f>
        <v/>
      </c>
      <c r="F2782" s="22" t="str">
        <f>IF(OR(E2782="",E2782="!!!"),"",IF(NOT(ISNA(VLOOKUP(E2782,E$1:E2781,1,FALSE()))),"OLD",IF(AND(E2782&lt;&gt;"",E2782&lt;&gt;"!!!"),"NEW","")))</f>
        <v> </v>
      </c>
      <c r="G2782" s="23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4" t="str">
        <f>IF(J2782&lt;&gt;1,"",IF(I2782="SBJ","CB","?"))</f>
        <v> </v>
      </c>
      <c r="I2782" s="25" t="str">
        <f>IF(OR(E2782="",E2782="!!!",F2782="NEW"),"",INDEX(B2781:B$2,-1+SUMPRODUCT(MAX(ROW(E2781:E$2)*(E2782=E2781:E$2)))))</f>
        <v> </v>
      </c>
      <c r="J2782" s="25" t="str">
        <f>IF(OR(E2782="",E2782="!!!",F2782="NEW"),"",COUNTBLANK(OFFSET(A$1,,,SUMPRODUCT(MAX(ROW(E$2:E2782)*(E2782=E$2:E2782)))))-COUNTBLANK(OFFSET(A$1,,,SUMPRODUCT(MAX(ROW(E$1:E2781)*(E2=E$1:E2781))))))</f>
        <v> </v>
      </c>
      <c r="K2782" s="25" t="str">
        <f>IF(OR(E2782="",E2782="!!!",F2782="NEW"),"",INDEX(J$1:J2781,SUMPRODUCT(MAX(ROW(E$1:E2781)*(E2782=E$1:E2781)))))</f>
        <v> </v>
      </c>
      <c r="L2782" s="26"/>
    </row>
    <row r="2783" spans="1:12">
      <c r="A2783" s="20" t="s">
        <v>1959</v>
      </c>
      <c r="E2783" s="21">
        <f>IF(D2783="?OLD","!!!","")</f>
        <v/>
      </c>
      <c r="F2783" s="22" t="str">
        <f>IF(OR(E2783="",E2783="!!!"),"",IF(NOT(ISNA(VLOOKUP(E2783,E$1:E2782,1,FALSE()))),"OLD",IF(AND(E2783&lt;&gt;"",E2783&lt;&gt;"!!!"),"NEW","")))</f>
        <v> </v>
      </c>
      <c r="G2783" s="23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4" t="str">
        <f>IF(J2783&lt;&gt;1,"",IF(I2783="SBJ","CB","?"))</f>
        <v> </v>
      </c>
      <c r="I2783" s="25" t="str">
        <f>IF(OR(E2783="",E2783="!!!",F2783="NEW"),"",INDEX(B2782:B$2,-1+SUMPRODUCT(MAX(ROW(E2782:E$2)*(E2783=E2782:E$2)))))</f>
        <v> </v>
      </c>
      <c r="J2783" s="25" t="str">
        <f>IF(OR(E2783="",E2783="!!!",F2783="NEW"),"",COUNTBLANK(OFFSET(A$1,,,SUMPRODUCT(MAX(ROW(E$2:E2783)*(E2783=E$2:E2783)))))-COUNTBLANK(OFFSET(A$1,,,SUMPRODUCT(MAX(ROW(E$1:E2782)*(E2=E$1:E2782))))))</f>
        <v> </v>
      </c>
      <c r="K2783" s="25" t="str">
        <f>IF(OR(E2783="",E2783="!!!",F2783="NEW"),"",INDEX(J$1:J2782,SUMPRODUCT(MAX(ROW(E$1:E2782)*(E2783=E$1:E2782)))))</f>
        <v> </v>
      </c>
      <c r="L2783" s="26"/>
    </row>
    <row r="2784" spans="1:12">
      <c r="A2784" s="20" t="s">
        <v>744</v>
      </c>
      <c r="E2784" s="21">
        <f>IF(D2784="?OLD","!!!","")</f>
        <v/>
      </c>
      <c r="F2784" s="22" t="str">
        <f>IF(OR(E2784="",E2784="!!!"),"",IF(NOT(ISNA(VLOOKUP(E2784,E$1:E2783,1,FALSE()))),"OLD",IF(AND(E2784&lt;&gt;"",E2784&lt;&gt;"!!!"),"NEW","")))</f>
        <v> </v>
      </c>
      <c r="G2784" s="23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4" t="str">
        <f>IF(J2784&lt;&gt;1,"",IF(I2784="SBJ","CB","?"))</f>
        <v> </v>
      </c>
      <c r="I2784" s="25" t="str">
        <f>IF(OR(E2784="",E2784="!!!",F2784="NEW"),"",INDEX(B2783:B$2,-1+SUMPRODUCT(MAX(ROW(E2783:E$2)*(E2784=E2783:E$2)))))</f>
        <v> </v>
      </c>
      <c r="J2784" s="25" t="str">
        <f>IF(OR(E2784="",E2784="!!!",F2784="NEW"),"",COUNTBLANK(OFFSET(A$1,,,SUMPRODUCT(MAX(ROW(E$2:E2784)*(E2784=E$2:E2784)))))-COUNTBLANK(OFFSET(A$1,,,SUMPRODUCT(MAX(ROW(E$1:E2783)*(E2=E$1:E2783))))))</f>
        <v> </v>
      </c>
      <c r="K2784" s="25" t="str">
        <f>IF(OR(E2784="",E2784="!!!",F2784="NEW"),"",INDEX(J$1:J2783,SUMPRODUCT(MAX(ROW(E$1:E2783)*(E2784=E$1:E2783)))))</f>
        <v> </v>
      </c>
      <c r="L2784" s="26"/>
    </row>
    <row r="2785" spans="1:12">
      <c r="A2785" s="20" t="s">
        <v>1008</v>
      </c>
      <c r="E2785" s="21">
        <f>IF(D2785="?OLD","!!!","")</f>
        <v/>
      </c>
      <c r="F2785" s="22" t="str">
        <f>IF(OR(E2785="",E2785="!!!"),"",IF(NOT(ISNA(VLOOKUP(E2785,E$1:E2784,1,FALSE()))),"OLD",IF(AND(E2785&lt;&gt;"",E2785&lt;&gt;"!!!"),"NEW","")))</f>
        <v> </v>
      </c>
      <c r="G2785" s="23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4" t="str">
        <f>IF(J2785&lt;&gt;1,"",IF(I2785="SBJ","CB","?"))</f>
        <v> </v>
      </c>
      <c r="I2785" s="25" t="str">
        <f>IF(OR(E2785="",E2785="!!!",F2785="NEW"),"",INDEX(B2784:B$2,-1+SUMPRODUCT(MAX(ROW(E2784:E$2)*(E2785=E2784:E$2)))))</f>
        <v> </v>
      </c>
      <c r="J2785" s="25" t="str">
        <f>IF(OR(E2785="",E2785="!!!",F2785="NEW"),"",COUNTBLANK(OFFSET(A$1,,,SUMPRODUCT(MAX(ROW(E$2:E2785)*(E2785=E$2:E2785)))))-COUNTBLANK(OFFSET(A$1,,,SUMPRODUCT(MAX(ROW(E$1:E2784)*(E2=E$1:E2784))))))</f>
        <v> </v>
      </c>
      <c r="K2785" s="25" t="str">
        <f>IF(OR(E2785="",E2785="!!!",F2785="NEW"),"",INDEX(J$1:J2784,SUMPRODUCT(MAX(ROW(E$1:E2784)*(E2785=E$1:E2784)))))</f>
        <v> </v>
      </c>
      <c r="L2785" s="26"/>
    </row>
    <row r="2786" spans="1:12">
      <c r="A2786" s="20" t="s">
        <v>763</v>
      </c>
      <c r="E2786" s="21">
        <f>IF(D2786="?OLD","!!!","")</f>
        <v/>
      </c>
      <c r="F2786" s="22" t="str">
        <f>IF(OR(E2786="",E2786="!!!"),"",IF(NOT(ISNA(VLOOKUP(E2786,E$1:E2785,1,FALSE()))),"OLD",IF(AND(E2786&lt;&gt;"",E2786&lt;&gt;"!!!"),"NEW","")))</f>
        <v> </v>
      </c>
      <c r="G2786" s="23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4" t="str">
        <f>IF(J2786&lt;&gt;1,"",IF(I2786="SBJ","CB","?"))</f>
        <v> </v>
      </c>
      <c r="I2786" s="25" t="str">
        <f>IF(OR(E2786="",E2786="!!!",F2786="NEW"),"",INDEX(B2785:B$2,-1+SUMPRODUCT(MAX(ROW(E2785:E$2)*(E2786=E2785:E$2)))))</f>
        <v> </v>
      </c>
      <c r="J2786" s="25" t="str">
        <f>IF(OR(E2786="",E2786="!!!",F2786="NEW"),"",COUNTBLANK(OFFSET(A$1,,,SUMPRODUCT(MAX(ROW(E$2:E2786)*(E2786=E$2:E2786)))))-COUNTBLANK(OFFSET(A$1,,,SUMPRODUCT(MAX(ROW(E$1:E2785)*(E2=E$1:E2785))))))</f>
        <v> </v>
      </c>
      <c r="K2786" s="25" t="str">
        <f>IF(OR(E2786="",E2786="!!!",F2786="NEW"),"",INDEX(J$1:J2785,SUMPRODUCT(MAX(ROW(E$1:E2785)*(E2786=E$1:E2785)))))</f>
        <v> </v>
      </c>
      <c r="L2786" s="26"/>
    </row>
    <row r="2787" spans="1:12">
      <c r="A2787" s="20" t="s">
        <v>844</v>
      </c>
      <c r="E2787" s="21">
        <f>IF(D2787="?OLD","!!!","")</f>
        <v/>
      </c>
      <c r="F2787" s="22" t="str">
        <f>IF(OR(E2787="",E2787="!!!"),"",IF(NOT(ISNA(VLOOKUP(E2787,E$1:E2786,1,FALSE()))),"OLD",IF(AND(E2787&lt;&gt;"",E2787&lt;&gt;"!!!"),"NEW","")))</f>
        <v> </v>
      </c>
      <c r="G2787" s="23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4" t="str">
        <f>IF(J2787&lt;&gt;1,"",IF(I2787="SBJ","CB","?"))</f>
        <v> </v>
      </c>
      <c r="I2787" s="25" t="str">
        <f>IF(OR(E2787="",E2787="!!!",F2787="NEW"),"",INDEX(B2786:B$2,-1+SUMPRODUCT(MAX(ROW(E2786:E$2)*(E2787=E2786:E$2)))))</f>
        <v> </v>
      </c>
      <c r="J2787" s="25" t="str">
        <f>IF(OR(E2787="",E2787="!!!",F2787="NEW"),"",COUNTBLANK(OFFSET(A$1,,,SUMPRODUCT(MAX(ROW(E$2:E2787)*(E2787=E$2:E2787)))))-COUNTBLANK(OFFSET(A$1,,,SUMPRODUCT(MAX(ROW(E$1:E2786)*(E2=E$1:E2786))))))</f>
        <v> </v>
      </c>
      <c r="K2787" s="25" t="str">
        <f>IF(OR(E2787="",E2787="!!!",F2787="NEW"),"",INDEX(J$1:J2786,SUMPRODUCT(MAX(ROW(E$1:E2786)*(E2787=E$1:E2786)))))</f>
        <v> </v>
      </c>
      <c r="L2787" s="26"/>
    </row>
    <row r="2788" spans="1:12">
      <c r="A2788" s="20" t="s">
        <v>1955</v>
      </c>
      <c r="E2788" s="21">
        <f>IF(D2788="?OLD","!!!","")</f>
        <v/>
      </c>
      <c r="F2788" s="22" t="str">
        <f>IF(OR(E2788="",E2788="!!!"),"",IF(NOT(ISNA(VLOOKUP(E2788,E$1:E2787,1,FALSE()))),"OLD",IF(AND(E2788&lt;&gt;"",E2788&lt;&gt;"!!!"),"NEW","")))</f>
        <v> </v>
      </c>
      <c r="G2788" s="23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4" t="str">
        <f>IF(J2788&lt;&gt;1,"",IF(I2788="SBJ","CB","?"))</f>
        <v> </v>
      </c>
      <c r="I2788" s="25" t="str">
        <f>IF(OR(E2788="",E2788="!!!",F2788="NEW"),"",INDEX(B2787:B$2,-1+SUMPRODUCT(MAX(ROW(E2787:E$2)*(E2788=E2787:E$2)))))</f>
        <v> </v>
      </c>
      <c r="J2788" s="25" t="str">
        <f>IF(OR(E2788="",E2788="!!!",F2788="NEW"),"",COUNTBLANK(OFFSET(A$1,,,SUMPRODUCT(MAX(ROW(E$2:E2788)*(E2788=E$2:E2788)))))-COUNTBLANK(OFFSET(A$1,,,SUMPRODUCT(MAX(ROW(E$1:E2787)*(E2=E$1:E2787))))))</f>
        <v> </v>
      </c>
      <c r="K2788" s="25" t="str">
        <f>IF(OR(E2788="",E2788="!!!",F2788="NEW"),"",INDEX(J$1:J2787,SUMPRODUCT(MAX(ROW(E$1:E2787)*(E2788=E$1:E2787)))))</f>
        <v> </v>
      </c>
      <c r="L2788" s="26"/>
    </row>
    <row r="2789" spans="1:12">
      <c r="A2789" s="20" t="s">
        <v>1956</v>
      </c>
      <c r="B2789" s="27" t="s">
        <v>831</v>
      </c>
      <c r="C2789" s="27" t="s">
        <v>828</v>
      </c>
      <c r="E2789" s="21">
        <f>IF(D2789="?OLD","!!!","")</f>
        <v/>
      </c>
      <c r="F2789" s="22" t="str">
        <f>IF(OR(E2789="",E2789="!!!"),"",IF(NOT(ISNA(VLOOKUP(E2789,E$1:E2788,1,FALSE()))),"OLD",IF(AND(E2789&lt;&gt;"",E2789&lt;&gt;"!!!"),"NEW","")))</f>
        <v> </v>
      </c>
      <c r="G2789" s="23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4" t="str">
        <f>IF(J2789&lt;&gt;1,"",IF(I2789="SBJ","CB","?"))</f>
        <v> </v>
      </c>
      <c r="I2789" s="25" t="str">
        <f>IF(OR(E2789="",E2789="!!!",F2789="NEW"),"",INDEX(B2788:B$2,-1+SUMPRODUCT(MAX(ROW(E2788:E$2)*(E2789=E2788:E$2)))))</f>
        <v> </v>
      </c>
      <c r="J2789" s="25" t="str">
        <f>IF(OR(E2789="",E2789="!!!",F2789="NEW"),"",COUNTBLANK(OFFSET(A$1,,,SUMPRODUCT(MAX(ROW(E$2:E2789)*(E2789=E$2:E2789)))))-COUNTBLANK(OFFSET(A$1,,,SUMPRODUCT(MAX(ROW(E$1:E2788)*(E2=E$1:E2788))))))</f>
        <v> </v>
      </c>
      <c r="K2789" s="25" t="str">
        <f>IF(OR(E2789="",E2789="!!!",F2789="NEW"),"",INDEX(J$1:J2788,SUMPRODUCT(MAX(ROW(E$1:E2788)*(E2789=E$1:E2788)))))</f>
        <v> </v>
      </c>
      <c r="L2789" s="26"/>
    </row>
    <row r="2790" spans="1:12">
      <c r="A2790" s="20" t="s">
        <v>841</v>
      </c>
      <c r="E2790" s="21">
        <f>IF(D2790="?OLD","!!!","")</f>
        <v/>
      </c>
      <c r="F2790" s="22" t="str">
        <f>IF(OR(E2790="",E2790="!!!"),"",IF(NOT(ISNA(VLOOKUP(E2790,E$1:E2789,1,FALSE()))),"OLD",IF(AND(E2790&lt;&gt;"",E2790&lt;&gt;"!!!"),"NEW","")))</f>
        <v> </v>
      </c>
      <c r="G2790" s="23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4" t="str">
        <f>IF(J2790&lt;&gt;1,"",IF(I2790="SBJ","CB","?"))</f>
        <v> </v>
      </c>
      <c r="I2790" s="25" t="str">
        <f>IF(OR(E2790="",E2790="!!!",F2790="NEW"),"",INDEX(B2789:B$2,-1+SUMPRODUCT(MAX(ROW(E2789:E$2)*(E2790=E2789:E$2)))))</f>
        <v> </v>
      </c>
      <c r="J2790" s="25" t="str">
        <f>IF(OR(E2790="",E2790="!!!",F2790="NEW"),"",COUNTBLANK(OFFSET(A$1,,,SUMPRODUCT(MAX(ROW(E$2:E2790)*(E2790=E$2:E2790)))))-COUNTBLANK(OFFSET(A$1,,,SUMPRODUCT(MAX(ROW(E$1:E2789)*(E2=E$1:E2789))))))</f>
        <v> </v>
      </c>
      <c r="K2790" s="25" t="str">
        <f>IF(OR(E2790="",E2790="!!!",F2790="NEW"),"",INDEX(J$1:J2789,SUMPRODUCT(MAX(ROW(E$1:E2789)*(E2790=E$1:E2789)))))</f>
        <v> </v>
      </c>
      <c r="L2790" s="26"/>
    </row>
    <row r="2791" spans="1:12">
      <c r="A2791" s="20" t="s">
        <v>443</v>
      </c>
      <c r="E2791" s="21">
        <f>IF(D2791="?OLD","!!!","")</f>
        <v/>
      </c>
      <c r="F2791" s="22" t="str">
        <f>IF(OR(E2791="",E2791="!!!"),"",IF(NOT(ISNA(VLOOKUP(E2791,E$1:E2790,1,FALSE()))),"OLD",IF(AND(E2791&lt;&gt;"",E2791&lt;&gt;"!!!"),"NEW","")))</f>
        <v> </v>
      </c>
      <c r="G2791" s="23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4" t="str">
        <f>IF(J2791&lt;&gt;1,"",IF(I2791="SBJ","CB","?"))</f>
        <v> </v>
      </c>
      <c r="I2791" s="25" t="str">
        <f>IF(OR(E2791="",E2791="!!!",F2791="NEW"),"",INDEX(B2790:B$2,-1+SUMPRODUCT(MAX(ROW(E2790:E$2)*(E2791=E2790:E$2)))))</f>
        <v> </v>
      </c>
      <c r="J2791" s="25" t="str">
        <f>IF(OR(E2791="",E2791="!!!",F2791="NEW"),"",COUNTBLANK(OFFSET(A$1,,,SUMPRODUCT(MAX(ROW(E$2:E2791)*(E2791=E$2:E2791)))))-COUNTBLANK(OFFSET(A$1,,,SUMPRODUCT(MAX(ROW(E$1:E2790)*(E2=E$1:E2790))))))</f>
        <v> </v>
      </c>
      <c r="K2791" s="25" t="str">
        <f>IF(OR(E2791="",E2791="!!!",F2791="NEW"),"",INDEX(J$1:J2790,SUMPRODUCT(MAX(ROW(E$1:E2790)*(E2791=E$1:E2790)))))</f>
        <v> </v>
      </c>
      <c r="L2791" s="26"/>
    </row>
    <row r="2792" spans="1:12">
      <c r="A2792" s="20" t="s">
        <v>765</v>
      </c>
      <c r="E2792" s="21">
        <f>IF(D2792="?OLD","!!!","")</f>
        <v/>
      </c>
      <c r="F2792" s="22" t="str">
        <f>IF(OR(E2792="",E2792="!!!"),"",IF(NOT(ISNA(VLOOKUP(E2792,E$1:E2791,1,FALSE()))),"OLD",IF(AND(E2792&lt;&gt;"",E2792&lt;&gt;"!!!"),"NEW","")))</f>
        <v> </v>
      </c>
      <c r="G2792" s="23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4" t="str">
        <f>IF(J2792&lt;&gt;1,"",IF(I2792="SBJ","CB","?"))</f>
        <v> </v>
      </c>
      <c r="I2792" s="25" t="str">
        <f>IF(OR(E2792="",E2792="!!!",F2792="NEW"),"",INDEX(B2791:B$2,-1+SUMPRODUCT(MAX(ROW(E2791:E$2)*(E2792=E2791:E$2)))))</f>
        <v> </v>
      </c>
      <c r="J2792" s="25" t="str">
        <f>IF(OR(E2792="",E2792="!!!",F2792="NEW"),"",COUNTBLANK(OFFSET(A$1,,,SUMPRODUCT(MAX(ROW(E$2:E2792)*(E2792=E$2:E2792)))))-COUNTBLANK(OFFSET(A$1,,,SUMPRODUCT(MAX(ROW(E$1:E2791)*(E2=E$1:E2791))))))</f>
        <v> </v>
      </c>
      <c r="K2792" s="25" t="str">
        <f>IF(OR(E2792="",E2792="!!!",F2792="NEW"),"",INDEX(J$1:J2791,SUMPRODUCT(MAX(ROW(E$1:E2791)*(E2792=E$1:E2791)))))</f>
        <v> </v>
      </c>
      <c r="L2792" s="26"/>
    </row>
    <row r="2793" spans="1:12">
      <c r="A2793" s="20"/>
    </row>
    <row r="2794" spans="1:12">
      <c r="A2794" s="20" t="s">
        <v>1960</v>
      </c>
    </row>
    <row r="2795" spans="1:12">
      <c r="A2795" s="20" t="s">
        <v>1841</v>
      </c>
      <c r="E2795" s="21">
        <f>IF(D2795="?OLD","!!!","")</f>
        <v/>
      </c>
      <c r="F2795" s="22" t="str">
        <f>IF(OR(E2795="",E2795="!!!"),"",IF(NOT(ISNA(VLOOKUP(E2795,E$1:E2794,1,FALSE()))),"OLD",IF(AND(E2795&lt;&gt;"",E2795&lt;&gt;"!!!"),"NEW","")))</f>
        <v> </v>
      </c>
      <c r="G2795" s="23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4" t="str">
        <f>IF(J2795&lt;&gt;1,"",IF(I2795="SBJ","CB","?"))</f>
        <v> </v>
      </c>
      <c r="I2795" s="25" t="str">
        <f>IF(OR(E2795="",E2795="!!!",F2795="NEW"),"",INDEX(B2794:B$2,-1+SUMPRODUCT(MAX(ROW(E2794:E$2)*(E2795=E2794:E$2)))))</f>
        <v> </v>
      </c>
      <c r="J2795" s="25" t="str">
        <f>IF(OR(E2795="",E2795="!!!",F2795="NEW"),"",COUNTBLANK(OFFSET(A$1,,,SUMPRODUCT(MAX(ROW(E$2:E2795)*(E2795=E$2:E2795)))))-COUNTBLANK(OFFSET(A$1,,,SUMPRODUCT(MAX(ROW(E$1:E2794)*(E2=E$1:E2794))))))</f>
        <v> </v>
      </c>
      <c r="K2795" s="25" t="str">
        <f>IF(OR(E2795="",E2795="!!!",F2795="NEW"),"",INDEX(J$1:J2794,SUMPRODUCT(MAX(ROW(E$1:E2794)*(E2795=E$1:E2794)))))</f>
        <v> </v>
      </c>
      <c r="L2795" s="26"/>
    </row>
    <row r="2796" spans="1:12">
      <c r="A2796" s="20" t="s">
        <v>11</v>
      </c>
      <c r="E2796" s="21">
        <f>IF(D2796="?OLD","!!!","")</f>
        <v/>
      </c>
      <c r="F2796" s="22" t="str">
        <f>IF(OR(E2796="",E2796="!!!"),"",IF(NOT(ISNA(VLOOKUP(E2796,E$1:E2795,1,FALSE()))),"OLD",IF(AND(E2796&lt;&gt;"",E2796&lt;&gt;"!!!"),"NEW","")))</f>
        <v> </v>
      </c>
      <c r="G2796" s="23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4" t="str">
        <f>IF(J2796&lt;&gt;1,"",IF(I2796="SBJ","CB","?"))</f>
        <v> </v>
      </c>
      <c r="I2796" s="25" t="str">
        <f>IF(OR(E2796="",E2796="!!!",F2796="NEW"),"",INDEX(B2795:B$2,-1+SUMPRODUCT(MAX(ROW(E2795:E$2)*(E2796=E2795:E$2)))))</f>
        <v> </v>
      </c>
      <c r="J2796" s="25" t="str">
        <f>IF(OR(E2796="",E2796="!!!",F2796="NEW"),"",COUNTBLANK(OFFSET(A$1,,,SUMPRODUCT(MAX(ROW(E$2:E2796)*(E2796=E$2:E2796)))))-COUNTBLANK(OFFSET(A$1,,,SUMPRODUCT(MAX(ROW(E$1:E2795)*(E2=E$1:E2795))))))</f>
        <v> </v>
      </c>
      <c r="K2796" s="25" t="str">
        <f>IF(OR(E2796="",E2796="!!!",F2796="NEW"),"",INDEX(J$1:J2795,SUMPRODUCT(MAX(ROW(E$1:E2795)*(E2796=E$1:E2795)))))</f>
        <v> </v>
      </c>
      <c r="L2796" s="26"/>
    </row>
    <row r="2797" spans="1:12">
      <c r="A2797" s="20" t="s">
        <v>1912</v>
      </c>
      <c r="B2797" s="27" t="s">
        <v>738</v>
      </c>
      <c r="C2797" s="27" t="s">
        <v>828</v>
      </c>
      <c r="E2797" s="21">
        <f>IF(D2797="?OLD","!!!","")</f>
        <v/>
      </c>
      <c r="F2797" s="22" t="str">
        <f>IF(OR(E2797="",E2797="!!!"),"",IF(NOT(ISNA(VLOOKUP(E2797,E$1:E2796,1,FALSE()))),"OLD",IF(AND(E2797&lt;&gt;"",E2797&lt;&gt;"!!!"),"NEW","")))</f>
        <v> </v>
      </c>
      <c r="G2797" s="23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4" t="str">
        <f>IF(J2797&lt;&gt;1,"",IF(I2797="SBJ","CB","?"))</f>
        <v> </v>
      </c>
      <c r="I2797" s="25" t="str">
        <f>IF(OR(E2797="",E2797="!!!",F2797="NEW"),"",INDEX(B2796:B$2,-1+SUMPRODUCT(MAX(ROW(E2796:E$2)*(E2797=E2796:E$2)))))</f>
        <v> </v>
      </c>
      <c r="J2797" s="25" t="str">
        <f>IF(OR(E2797="",E2797="!!!",F2797="NEW"),"",COUNTBLANK(OFFSET(A$1,,,SUMPRODUCT(MAX(ROW(E$2:E2797)*(E2797=E$2:E2797)))))-COUNTBLANK(OFFSET(A$1,,,SUMPRODUCT(MAX(ROW(E$1:E2796)*(E2=E$1:E2796))))))</f>
        <v> </v>
      </c>
      <c r="K2797" s="25" t="str">
        <f>IF(OR(E2797="",E2797="!!!",F2797="NEW"),"",INDEX(J$1:J2796,SUMPRODUCT(MAX(ROW(E$1:E2796)*(E2797=E$1:E2796)))))</f>
        <v> </v>
      </c>
      <c r="L2797" s="26"/>
    </row>
    <row r="2798" spans="1:12">
      <c r="A2798" s="20" t="s">
        <v>1799</v>
      </c>
      <c r="E2798" s="21">
        <f>IF(D2798="?OLD","!!!","")</f>
        <v/>
      </c>
      <c r="F2798" s="22" t="str">
        <f>IF(OR(E2798="",E2798="!!!"),"",IF(NOT(ISNA(VLOOKUP(E2798,E$1:E2797,1,FALSE()))),"OLD",IF(AND(E2798&lt;&gt;"",E2798&lt;&gt;"!!!"),"NEW","")))</f>
        <v> </v>
      </c>
      <c r="G2798" s="23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4" t="str">
        <f>IF(J2798&lt;&gt;1,"",IF(I2798="SBJ","CB","?"))</f>
        <v> </v>
      </c>
      <c r="I2798" s="25" t="str">
        <f>IF(OR(E2798="",E2798="!!!",F2798="NEW"),"",INDEX(B2797:B$2,-1+SUMPRODUCT(MAX(ROW(E2797:E$2)*(E2798=E2797:E$2)))))</f>
        <v> </v>
      </c>
      <c r="J2798" s="25" t="str">
        <f>IF(OR(E2798="",E2798="!!!",F2798="NEW"),"",COUNTBLANK(OFFSET(A$1,,,SUMPRODUCT(MAX(ROW(E$2:E2798)*(E2798=E$2:E2798)))))-COUNTBLANK(OFFSET(A$1,,,SUMPRODUCT(MAX(ROW(E$1:E2797)*(E2=E$1:E2797))))))</f>
        <v> </v>
      </c>
      <c r="K2798" s="25" t="str">
        <f>IF(OR(E2798="",E2798="!!!",F2798="NEW"),"",INDEX(J$1:J2797,SUMPRODUCT(MAX(ROW(E$1:E2797)*(E2798=E$1:E2797)))))</f>
        <v> </v>
      </c>
      <c r="L2798" s="26"/>
    </row>
    <row r="2799" spans="1:12">
      <c r="A2799" s="20" t="s">
        <v>614</v>
      </c>
      <c r="E2799" s="21">
        <f>IF(D2799="?OLD","!!!","")</f>
        <v/>
      </c>
      <c r="F2799" s="22" t="str">
        <f>IF(OR(E2799="",E2799="!!!"),"",IF(NOT(ISNA(VLOOKUP(E2799,E$1:E2798,1,FALSE()))),"OLD",IF(AND(E2799&lt;&gt;"",E2799&lt;&gt;"!!!"),"NEW","")))</f>
        <v> </v>
      </c>
      <c r="G2799" s="23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4" t="str">
        <f>IF(J2799&lt;&gt;1,"",IF(I2799="SBJ","CB","?"))</f>
        <v> </v>
      </c>
      <c r="I2799" s="25" t="str">
        <f>IF(OR(E2799="",E2799="!!!",F2799="NEW"),"",INDEX(B2798:B$2,-1+SUMPRODUCT(MAX(ROW(E2798:E$2)*(E2799=E2798:E$2)))))</f>
        <v> </v>
      </c>
      <c r="J2799" s="25" t="str">
        <f>IF(OR(E2799="",E2799="!!!",F2799="NEW"),"",COUNTBLANK(OFFSET(A$1,,,SUMPRODUCT(MAX(ROW(E$2:E2799)*(E2799=E$2:E2799)))))-COUNTBLANK(OFFSET(A$1,,,SUMPRODUCT(MAX(ROW(E$1:E2798)*(E2=E$1:E2798))))))</f>
        <v> </v>
      </c>
      <c r="K2799" s="25" t="str">
        <f>IF(OR(E2799="",E2799="!!!",F2799="NEW"),"",INDEX(J$1:J2798,SUMPRODUCT(MAX(ROW(E$1:E2798)*(E2799=E$1:E2798)))))</f>
        <v> </v>
      </c>
      <c r="L2799" s="26"/>
    </row>
    <row r="2800" spans="1:12">
      <c r="A2800" s="20" t="s">
        <v>1961</v>
      </c>
      <c r="E2800" s="21">
        <f>IF(D2800="?OLD","!!!","")</f>
        <v/>
      </c>
      <c r="F2800" s="22" t="str">
        <f>IF(OR(E2800="",E2800="!!!"),"",IF(NOT(ISNA(VLOOKUP(E2800,E$1:E2799,1,FALSE()))),"OLD",IF(AND(E2800&lt;&gt;"",E2800&lt;&gt;"!!!"),"NEW","")))</f>
        <v> </v>
      </c>
      <c r="G2800" s="23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4" t="str">
        <f>IF(J2800&lt;&gt;1,"",IF(I2800="SBJ","CB","?"))</f>
        <v> </v>
      </c>
      <c r="I2800" s="25" t="str">
        <f>IF(OR(E2800="",E2800="!!!",F2800="NEW"),"",INDEX(B2799:B$2,-1+SUMPRODUCT(MAX(ROW(E2799:E$2)*(E2800=E2799:E$2)))))</f>
        <v> </v>
      </c>
      <c r="J2800" s="25" t="str">
        <f>IF(OR(E2800="",E2800="!!!",F2800="NEW"),"",COUNTBLANK(OFFSET(A$1,,,SUMPRODUCT(MAX(ROW(E$2:E2800)*(E2800=E$2:E2800)))))-COUNTBLANK(OFFSET(A$1,,,SUMPRODUCT(MAX(ROW(E$1:E2799)*(E2=E$1:E2799))))))</f>
        <v> </v>
      </c>
      <c r="K2800" s="25" t="str">
        <f>IF(OR(E2800="",E2800="!!!",F2800="NEW"),"",INDEX(J$1:J2799,SUMPRODUCT(MAX(ROW(E$1:E2799)*(E2800=E$1:E2799)))))</f>
        <v> </v>
      </c>
      <c r="L2800" s="26"/>
    </row>
    <row r="2801" spans="1:12">
      <c r="A2801" s="20" t="s">
        <v>960</v>
      </c>
      <c r="E2801" s="21">
        <f>IF(D2801="?OLD","!!!","")</f>
        <v/>
      </c>
      <c r="F2801" s="22" t="str">
        <f>IF(OR(E2801="",E2801="!!!"),"",IF(NOT(ISNA(VLOOKUP(E2801,E$1:E2800,1,FALSE()))),"OLD",IF(AND(E2801&lt;&gt;"",E2801&lt;&gt;"!!!"),"NEW","")))</f>
        <v> </v>
      </c>
      <c r="G2801" s="23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4" t="str">
        <f>IF(J2801&lt;&gt;1,"",IF(I2801="SBJ","CB","?"))</f>
        <v> </v>
      </c>
      <c r="I2801" s="25" t="str">
        <f>IF(OR(E2801="",E2801="!!!",F2801="NEW"),"",INDEX(B2800:B$2,-1+SUMPRODUCT(MAX(ROW(E2800:E$2)*(E2801=E2800:E$2)))))</f>
        <v> </v>
      </c>
      <c r="J2801" s="25" t="str">
        <f>IF(OR(E2801="",E2801="!!!",F2801="NEW"),"",COUNTBLANK(OFFSET(A$1,,,SUMPRODUCT(MAX(ROW(E$2:E2801)*(E2801=E$2:E2801)))))-COUNTBLANK(OFFSET(A$1,,,SUMPRODUCT(MAX(ROW(E$1:E2800)*(E2=E$1:E2800))))))</f>
        <v> </v>
      </c>
      <c r="K2801" s="25" t="str">
        <f>IF(OR(E2801="",E2801="!!!",F2801="NEW"),"",INDEX(J$1:J2800,SUMPRODUCT(MAX(ROW(E$1:E2800)*(E2801=E$1:E2800)))))</f>
        <v> </v>
      </c>
      <c r="L2801" s="26"/>
    </row>
    <row r="2802" spans="1:12">
      <c r="A2802" s="20" t="s">
        <v>385</v>
      </c>
      <c r="E2802" s="21">
        <f>IF(D2802="?OLD","!!!","")</f>
        <v/>
      </c>
      <c r="F2802" s="22" t="str">
        <f>IF(OR(E2802="",E2802="!!!"),"",IF(NOT(ISNA(VLOOKUP(E2802,E$1:E2801,1,FALSE()))),"OLD",IF(AND(E2802&lt;&gt;"",E2802&lt;&gt;"!!!"),"NEW","")))</f>
        <v> </v>
      </c>
      <c r="G2802" s="23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4" t="str">
        <f>IF(J2802&lt;&gt;1,"",IF(I2802="SBJ","CB","?"))</f>
        <v> </v>
      </c>
      <c r="I2802" s="25" t="str">
        <f>IF(OR(E2802="",E2802="!!!",F2802="NEW"),"",INDEX(B2801:B$2,-1+SUMPRODUCT(MAX(ROW(E2801:E$2)*(E2802=E2801:E$2)))))</f>
        <v> </v>
      </c>
      <c r="J2802" s="25" t="str">
        <f>IF(OR(E2802="",E2802="!!!",F2802="NEW"),"",COUNTBLANK(OFFSET(A$1,,,SUMPRODUCT(MAX(ROW(E$2:E2802)*(E2802=E$2:E2802)))))-COUNTBLANK(OFFSET(A$1,,,SUMPRODUCT(MAX(ROW(E$1:E2801)*(E2=E$1:E2801))))))</f>
        <v> </v>
      </c>
      <c r="K2802" s="25" t="str">
        <f>IF(OR(E2802="",E2802="!!!",F2802="NEW"),"",INDEX(J$1:J2801,SUMPRODUCT(MAX(ROW(E$1:E2801)*(E2802=E$1:E2801)))))</f>
        <v> </v>
      </c>
      <c r="L2802" s="26"/>
    </row>
    <row r="2803" spans="1:12">
      <c r="A2803" s="20" t="s">
        <v>1962</v>
      </c>
      <c r="B2803" s="27" t="s">
        <v>738</v>
      </c>
      <c r="C2803" s="27" t="s">
        <v>828</v>
      </c>
      <c r="E2803" s="21">
        <f>IF(D2803="?OLD","!!!","")</f>
        <v/>
      </c>
      <c r="F2803" s="22" t="str">
        <f>IF(OR(E2803="",E2803="!!!"),"",IF(NOT(ISNA(VLOOKUP(E2803,E$1:E2802,1,FALSE()))),"OLD",IF(AND(E2803&lt;&gt;"",E2803&lt;&gt;"!!!"),"NEW","")))</f>
        <v> </v>
      </c>
      <c r="G2803" s="23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4" t="str">
        <f>IF(J2803&lt;&gt;1,"",IF(I2803="SBJ","CB","?"))</f>
        <v> </v>
      </c>
      <c r="I2803" s="25" t="str">
        <f>IF(OR(E2803="",E2803="!!!",F2803="NEW"),"",INDEX(B2802:B$2,-1+SUMPRODUCT(MAX(ROW(E2802:E$2)*(E2803=E2802:E$2)))))</f>
        <v> </v>
      </c>
      <c r="J2803" s="25" t="str">
        <f>IF(OR(E2803="",E2803="!!!",F2803="NEW"),"",COUNTBLANK(OFFSET(A$1,,,SUMPRODUCT(MAX(ROW(E$2:E2803)*(E2803=E$2:E2803)))))-COUNTBLANK(OFFSET(A$1,,,SUMPRODUCT(MAX(ROW(E$1:E2802)*(E2=E$1:E2802))))))</f>
        <v> </v>
      </c>
      <c r="K2803" s="25" t="str">
        <f>IF(OR(E2803="",E2803="!!!",F2803="NEW"),"",INDEX(J$1:J2802,SUMPRODUCT(MAX(ROW(E$1:E2802)*(E2803=E$1:E2802)))))</f>
        <v> </v>
      </c>
      <c r="L2803" s="26"/>
    </row>
    <row r="2804" spans="1:12">
      <c r="A2804" s="20" t="s">
        <v>1177</v>
      </c>
      <c r="E2804" s="21">
        <f>IF(D2804="?OLD","!!!","")</f>
        <v/>
      </c>
      <c r="F2804" s="22" t="str">
        <f>IF(OR(E2804="",E2804="!!!"),"",IF(NOT(ISNA(VLOOKUP(E2804,E$1:E2803,1,FALSE()))),"OLD",IF(AND(E2804&lt;&gt;"",E2804&lt;&gt;"!!!"),"NEW","")))</f>
        <v> </v>
      </c>
      <c r="G2804" s="23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4" t="str">
        <f>IF(J2804&lt;&gt;1,"",IF(I2804="SBJ","CB","?"))</f>
        <v> </v>
      </c>
      <c r="I2804" s="25" t="str">
        <f>IF(OR(E2804="",E2804="!!!",F2804="NEW"),"",INDEX(B2803:B$2,-1+SUMPRODUCT(MAX(ROW(E2803:E$2)*(E2804=E2803:E$2)))))</f>
        <v> </v>
      </c>
      <c r="J2804" s="25" t="str">
        <f>IF(OR(E2804="",E2804="!!!",F2804="NEW"),"",COUNTBLANK(OFFSET(A$1,,,SUMPRODUCT(MAX(ROW(E$2:E2804)*(E2804=E$2:E2804)))))-COUNTBLANK(OFFSET(A$1,,,SUMPRODUCT(MAX(ROW(E$1:E2803)*(E2=E$1:E2803))))))</f>
        <v> </v>
      </c>
      <c r="K2804" s="25" t="str">
        <f>IF(OR(E2804="",E2804="!!!",F2804="NEW"),"",INDEX(J$1:J2803,SUMPRODUCT(MAX(ROW(E$1:E2803)*(E2804=E$1:E2803)))))</f>
        <v> </v>
      </c>
      <c r="L2804" s="26"/>
    </row>
    <row r="2805" spans="1:12">
      <c r="A2805" s="20" t="s">
        <v>744</v>
      </c>
      <c r="E2805" s="21">
        <f>IF(D2805="?OLD","!!!","")</f>
        <v/>
      </c>
      <c r="F2805" s="22" t="str">
        <f>IF(OR(E2805="",E2805="!!!"),"",IF(NOT(ISNA(VLOOKUP(E2805,E$1:E2804,1,FALSE()))),"OLD",IF(AND(E2805&lt;&gt;"",E2805&lt;&gt;"!!!"),"NEW","")))</f>
        <v> </v>
      </c>
      <c r="G2805" s="23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4" t="str">
        <f>IF(J2805&lt;&gt;1,"",IF(I2805="SBJ","CB","?"))</f>
        <v> </v>
      </c>
      <c r="I2805" s="25" t="str">
        <f>IF(OR(E2805="",E2805="!!!",F2805="NEW"),"",INDEX(B2804:B$2,-1+SUMPRODUCT(MAX(ROW(E2804:E$2)*(E2805=E2804:E$2)))))</f>
        <v> </v>
      </c>
      <c r="J2805" s="25" t="str">
        <f>IF(OR(E2805="",E2805="!!!",F2805="NEW"),"",COUNTBLANK(OFFSET(A$1,,,SUMPRODUCT(MAX(ROW(E$2:E2805)*(E2805=E$2:E2805)))))-COUNTBLANK(OFFSET(A$1,,,SUMPRODUCT(MAX(ROW(E$1:E2804)*(E2=E$1:E2804))))))</f>
        <v> </v>
      </c>
      <c r="K2805" s="25" t="str">
        <f>IF(OR(E2805="",E2805="!!!",F2805="NEW"),"",INDEX(J$1:J2804,SUMPRODUCT(MAX(ROW(E$1:E2804)*(E2805=E$1:E2804)))))</f>
        <v> </v>
      </c>
      <c r="L2805" s="26"/>
    </row>
    <row r="2806" spans="1:12">
      <c r="A2806" s="20" t="s">
        <v>1008</v>
      </c>
      <c r="E2806" s="21">
        <f>IF(D2806="?OLD","!!!","")</f>
        <v/>
      </c>
      <c r="F2806" s="22" t="str">
        <f>IF(OR(E2806="",E2806="!!!"),"",IF(NOT(ISNA(VLOOKUP(E2806,E$1:E2805,1,FALSE()))),"OLD",IF(AND(E2806&lt;&gt;"",E2806&lt;&gt;"!!!"),"NEW","")))</f>
        <v> </v>
      </c>
      <c r="G2806" s="23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4" t="str">
        <f>IF(J2806&lt;&gt;1,"",IF(I2806="SBJ","CB","?"))</f>
        <v> </v>
      </c>
      <c r="I2806" s="25" t="str">
        <f>IF(OR(E2806="",E2806="!!!",F2806="NEW"),"",INDEX(B2805:B$2,-1+SUMPRODUCT(MAX(ROW(E2805:E$2)*(E2806=E2805:E$2)))))</f>
        <v> </v>
      </c>
      <c r="J2806" s="25" t="str">
        <f>IF(OR(E2806="",E2806="!!!",F2806="NEW"),"",COUNTBLANK(OFFSET(A$1,,,SUMPRODUCT(MAX(ROW(E$2:E2806)*(E2806=E$2:E2806)))))-COUNTBLANK(OFFSET(A$1,,,SUMPRODUCT(MAX(ROW(E$1:E2805)*(E2=E$1:E2805))))))</f>
        <v> </v>
      </c>
      <c r="K2806" s="25" t="str">
        <f>IF(OR(E2806="",E2806="!!!",F2806="NEW"),"",INDEX(J$1:J2805,SUMPRODUCT(MAX(ROW(E$1:E2805)*(E2806=E$1:E2805)))))</f>
        <v> </v>
      </c>
      <c r="L2806" s="26"/>
    </row>
    <row r="2807" spans="1:12">
      <c r="A2807" s="20" t="s">
        <v>848</v>
      </c>
      <c r="B2807" s="27" t="s">
        <v>762</v>
      </c>
      <c r="C2807" s="27" t="s">
        <v>756</v>
      </c>
      <c r="D2807" s="27" t="s">
        <v>736</v>
      </c>
      <c r="E2807" s="21">
        <f>IF(D2807="?OLD","!!!","")</f>
        <v/>
      </c>
      <c r="F2807" s="22" t="str">
        <f>IF(OR(E2807="",E2807="!!!"),"",IF(NOT(ISNA(VLOOKUP(E2807,E$1:E2806,1,FALSE()))),"OLD",IF(AND(E2807&lt;&gt;"",E2807&lt;&gt;"!!!"),"NEW","")))</f>
        <v> </v>
      </c>
      <c r="G2807" s="23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4" t="str">
        <f>IF(J2807&lt;&gt;1,"",IF(I2807="SBJ","CB","?"))</f>
        <v> </v>
      </c>
      <c r="I2807" s="25" t="str">
        <f>IF(OR(E2807="",E2807="!!!",F2807="NEW"),"",INDEX(B2806:B$2,-1+SUMPRODUCT(MAX(ROW(E2806:E$2)*(E2807=E2806:E$2)))))</f>
        <v> </v>
      </c>
      <c r="J2807" s="25" t="str">
        <f>IF(OR(E2807="",E2807="!!!",F2807="NEW"),"",COUNTBLANK(OFFSET(A$1,,,SUMPRODUCT(MAX(ROW(E$2:E2807)*(E2807=E$2:E2807)))))-COUNTBLANK(OFFSET(A$1,,,SUMPRODUCT(MAX(ROW(E$1:E2806)*(E2=E$1:E2806))))))</f>
        <v> </v>
      </c>
      <c r="K2807" s="25" t="str">
        <f>IF(OR(E2807="",E2807="!!!",F2807="NEW"),"",INDEX(J$1:J2806,SUMPRODUCT(MAX(ROW(E$1:E2806)*(E2807=E$1:E2806)))))</f>
        <v> </v>
      </c>
      <c r="L2807" s="26"/>
    </row>
    <row r="2808" spans="1:12">
      <c r="A2808" s="20" t="s">
        <v>1015</v>
      </c>
      <c r="E2808" s="21">
        <f>IF(D2808="?OLD","!!!","")</f>
        <v/>
      </c>
      <c r="F2808" s="22" t="str">
        <f>IF(OR(E2808="",E2808="!!!"),"",IF(NOT(ISNA(VLOOKUP(E2808,E$1:E2807,1,FALSE()))),"OLD",IF(AND(E2808&lt;&gt;"",E2808&lt;&gt;"!!!"),"NEW","")))</f>
        <v> </v>
      </c>
      <c r="G2808" s="23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4" t="str">
        <f>IF(J2808&lt;&gt;1,"",IF(I2808="SBJ","CB","?"))</f>
        <v> </v>
      </c>
      <c r="I2808" s="25" t="str">
        <f>IF(OR(E2808="",E2808="!!!",F2808="NEW"),"",INDEX(B2807:B$2,-1+SUMPRODUCT(MAX(ROW(E2807:E$2)*(E2808=E2807:E$2)))))</f>
        <v> </v>
      </c>
      <c r="J2808" s="25" t="str">
        <f>IF(OR(E2808="",E2808="!!!",F2808="NEW"),"",COUNTBLANK(OFFSET(A$1,,,SUMPRODUCT(MAX(ROW(E$2:E2808)*(E2808=E$2:E2808)))))-COUNTBLANK(OFFSET(A$1,,,SUMPRODUCT(MAX(ROW(E$1:E2807)*(E2=E$1:E2807))))))</f>
        <v> </v>
      </c>
      <c r="K2808" s="25" t="str">
        <f>IF(OR(E2808="",E2808="!!!",F2808="NEW"),"",INDEX(J$1:J2807,SUMPRODUCT(MAX(ROW(E$1:E2807)*(E2808=E$1:E2807)))))</f>
        <v> </v>
      </c>
      <c r="L2808" s="26"/>
    </row>
    <row r="2809" spans="1:12">
      <c r="A2809" s="20" t="s">
        <v>11</v>
      </c>
      <c r="E2809" s="21">
        <f>IF(D2809="?OLD","!!!","")</f>
        <v/>
      </c>
      <c r="F2809" s="22" t="str">
        <f>IF(OR(E2809="",E2809="!!!"),"",IF(NOT(ISNA(VLOOKUP(E2809,E$1:E2808,1,FALSE()))),"OLD",IF(AND(E2809&lt;&gt;"",E2809&lt;&gt;"!!!"),"NEW","")))</f>
        <v> </v>
      </c>
      <c r="G2809" s="23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4" t="str">
        <f>IF(J2809&lt;&gt;1,"",IF(I2809="SBJ","CB","?"))</f>
        <v> </v>
      </c>
      <c r="I2809" s="25" t="str">
        <f>IF(OR(E2809="",E2809="!!!",F2809="NEW"),"",INDEX(B2808:B$2,-1+SUMPRODUCT(MAX(ROW(E2808:E$2)*(E2809=E2808:E$2)))))</f>
        <v> </v>
      </c>
      <c r="J2809" s="25" t="str">
        <f>IF(OR(E2809="",E2809="!!!",F2809="NEW"),"",COUNTBLANK(OFFSET(A$1,,,SUMPRODUCT(MAX(ROW(E$2:E2809)*(E2809=E$2:E2809)))))-COUNTBLANK(OFFSET(A$1,,,SUMPRODUCT(MAX(ROW(E$1:E2808)*(E2=E$1:E2808))))))</f>
        <v> </v>
      </c>
      <c r="K2809" s="25" t="str">
        <f>IF(OR(E2809="",E2809="!!!",F2809="NEW"),"",INDEX(J$1:J2808,SUMPRODUCT(MAX(ROW(E$1:E2808)*(E2809=E$1:E2808)))))</f>
        <v> </v>
      </c>
      <c r="L2809" s="26"/>
    </row>
    <row r="2810" spans="1:12">
      <c r="A2810" s="20" t="s">
        <v>841</v>
      </c>
      <c r="E2810" s="21">
        <f>IF(D2810="?OLD","!!!","")</f>
        <v/>
      </c>
      <c r="F2810" s="22" t="str">
        <f>IF(OR(E2810="",E2810="!!!"),"",IF(NOT(ISNA(VLOOKUP(E2810,E$1:E2809,1,FALSE()))),"OLD",IF(AND(E2810&lt;&gt;"",E2810&lt;&gt;"!!!"),"NEW","")))</f>
        <v> </v>
      </c>
      <c r="G2810" s="23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4" t="str">
        <f>IF(J2810&lt;&gt;1,"",IF(I2810="SBJ","CB","?"))</f>
        <v> </v>
      </c>
      <c r="I2810" s="25" t="str">
        <f>IF(OR(E2810="",E2810="!!!",F2810="NEW"),"",INDEX(B2809:B$2,-1+SUMPRODUCT(MAX(ROW(E2809:E$2)*(E2810=E2809:E$2)))))</f>
        <v> </v>
      </c>
      <c r="J2810" s="25" t="str">
        <f>IF(OR(E2810="",E2810="!!!",F2810="NEW"),"",COUNTBLANK(OFFSET(A$1,,,SUMPRODUCT(MAX(ROW(E$2:E2810)*(E2810=E$2:E2810)))))-COUNTBLANK(OFFSET(A$1,,,SUMPRODUCT(MAX(ROW(E$1:E2809)*(E2=E$1:E2809))))))</f>
        <v> </v>
      </c>
      <c r="K2810" s="25" t="str">
        <f>IF(OR(E2810="",E2810="!!!",F2810="NEW"),"",INDEX(J$1:J2809,SUMPRODUCT(MAX(ROW(E$1:E2809)*(E2810=E$1:E2809)))))</f>
        <v> </v>
      </c>
      <c r="L2810" s="26"/>
    </row>
    <row r="2811" spans="1:12">
      <c r="A2811" s="20" t="s">
        <v>1963</v>
      </c>
      <c r="E2811" s="21">
        <f>IF(D2811="?OLD","!!!","")</f>
        <v/>
      </c>
      <c r="F2811" s="22" t="str">
        <f>IF(OR(E2811="",E2811="!!!"),"",IF(NOT(ISNA(VLOOKUP(E2811,E$1:E2810,1,FALSE()))),"OLD",IF(AND(E2811&lt;&gt;"",E2811&lt;&gt;"!!!"),"NEW","")))</f>
        <v> </v>
      </c>
      <c r="G2811" s="23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4" t="str">
        <f>IF(J2811&lt;&gt;1,"",IF(I2811="SBJ","CB","?"))</f>
        <v> </v>
      </c>
      <c r="I2811" s="25" t="str">
        <f>IF(OR(E2811="",E2811="!!!",F2811="NEW"),"",INDEX(B2810:B$2,-1+SUMPRODUCT(MAX(ROW(E2810:E$2)*(E2811=E2810:E$2)))))</f>
        <v> </v>
      </c>
      <c r="J2811" s="25" t="str">
        <f>IF(OR(E2811="",E2811="!!!",F2811="NEW"),"",COUNTBLANK(OFFSET(A$1,,,SUMPRODUCT(MAX(ROW(E$2:E2811)*(E2811=E$2:E2811)))))-COUNTBLANK(OFFSET(A$1,,,SUMPRODUCT(MAX(ROW(E$1:E2810)*(E2=E$1:E2810))))))</f>
        <v> </v>
      </c>
      <c r="K2811" s="25" t="str">
        <f>IF(OR(E2811="",E2811="!!!",F2811="NEW"),"",INDEX(J$1:J2810,SUMPRODUCT(MAX(ROW(E$1:E2810)*(E2811=E$1:E2810)))))</f>
        <v> </v>
      </c>
      <c r="L2811" s="26"/>
    </row>
    <row r="2812" spans="1:12">
      <c r="A2812" s="20" t="s">
        <v>1409</v>
      </c>
      <c r="E2812" s="21">
        <f>IF(D2812="?OLD","!!!","")</f>
        <v/>
      </c>
      <c r="F2812" s="22" t="str">
        <f>IF(OR(E2812="",E2812="!!!"),"",IF(NOT(ISNA(VLOOKUP(E2812,E$1:E2811,1,FALSE()))),"OLD",IF(AND(E2812&lt;&gt;"",E2812&lt;&gt;"!!!"),"NEW","")))</f>
        <v> </v>
      </c>
      <c r="G2812" s="23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4" t="str">
        <f>IF(J2812&lt;&gt;1,"",IF(I2812="SBJ","CB","?"))</f>
        <v> </v>
      </c>
      <c r="I2812" s="25" t="str">
        <f>IF(OR(E2812="",E2812="!!!",F2812="NEW"),"",INDEX(B2811:B$2,-1+SUMPRODUCT(MAX(ROW(E2811:E$2)*(E2812=E2811:E$2)))))</f>
        <v> </v>
      </c>
      <c r="J2812" s="25" t="str">
        <f>IF(OR(E2812="",E2812="!!!",F2812="NEW"),"",COUNTBLANK(OFFSET(A$1,,,SUMPRODUCT(MAX(ROW(E$2:E2812)*(E2812=E$2:E2812)))))-COUNTBLANK(OFFSET(A$1,,,SUMPRODUCT(MAX(ROW(E$1:E2811)*(E2=E$1:E2811))))))</f>
        <v> </v>
      </c>
      <c r="K2812" s="25" t="str">
        <f>IF(OR(E2812="",E2812="!!!",F2812="NEW"),"",INDEX(J$1:J2811,SUMPRODUCT(MAX(ROW(E$1:E2811)*(E2812=E$1:E2811)))))</f>
        <v> </v>
      </c>
      <c r="L2812" s="26"/>
    </row>
    <row r="2813" spans="1:12">
      <c r="A2813" s="20" t="s">
        <v>1964</v>
      </c>
      <c r="B2813" s="27" t="s">
        <v>887</v>
      </c>
      <c r="E2813" s="21">
        <f>IF(D2813="?OLD","!!!","")</f>
        <v/>
      </c>
      <c r="F2813" s="22" t="str">
        <f>IF(OR(E2813="",E2813="!!!"),"",IF(NOT(ISNA(VLOOKUP(E2813,E$1:E2812,1,FALSE()))),"OLD",IF(AND(E2813&lt;&gt;"",E2813&lt;&gt;"!!!"),"NEW","")))</f>
        <v> </v>
      </c>
      <c r="G2813" s="23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4" t="str">
        <f>IF(J2813&lt;&gt;1,"",IF(I2813="SBJ","CB","?"))</f>
        <v> </v>
      </c>
      <c r="I2813" s="25" t="str">
        <f>IF(OR(E2813="",E2813="!!!",F2813="NEW"),"",INDEX(B2812:B$2,-1+SUMPRODUCT(MAX(ROW(E2812:E$2)*(E2813=E2812:E$2)))))</f>
        <v> </v>
      </c>
      <c r="J2813" s="25" t="str">
        <f>IF(OR(E2813="",E2813="!!!",F2813="NEW"),"",COUNTBLANK(OFFSET(A$1,,,SUMPRODUCT(MAX(ROW(E$2:E2813)*(E2813=E$2:E2813)))))-COUNTBLANK(OFFSET(A$1,,,SUMPRODUCT(MAX(ROW(E$1:E2812)*(E2=E$1:E2812))))))</f>
        <v> </v>
      </c>
      <c r="K2813" s="25" t="str">
        <f>IF(OR(E2813="",E2813="!!!",F2813="NEW"),"",INDEX(J$1:J2812,SUMPRODUCT(MAX(ROW(E$1:E2812)*(E2813=E$1:E2812)))))</f>
        <v> </v>
      </c>
      <c r="L2813" s="26"/>
    </row>
    <row r="2814" spans="1:12">
      <c r="A2814" s="20" t="s">
        <v>742</v>
      </c>
      <c r="E2814" s="21">
        <f>IF(D2814="?OLD","!!!","")</f>
        <v/>
      </c>
      <c r="F2814" s="22" t="str">
        <f>IF(OR(E2814="",E2814="!!!"),"",IF(NOT(ISNA(VLOOKUP(E2814,E$1:E2813,1,FALSE()))),"OLD",IF(AND(E2814&lt;&gt;"",E2814&lt;&gt;"!!!"),"NEW","")))</f>
        <v> </v>
      </c>
      <c r="G2814" s="23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4" t="str">
        <f>IF(J2814&lt;&gt;1,"",IF(I2814="SBJ","CB","?"))</f>
        <v> </v>
      </c>
      <c r="I2814" s="25" t="str">
        <f>IF(OR(E2814="",E2814="!!!",F2814="NEW"),"",INDEX(B2813:B$2,-1+SUMPRODUCT(MAX(ROW(E2813:E$2)*(E2814=E2813:E$2)))))</f>
        <v> </v>
      </c>
      <c r="J2814" s="25" t="str">
        <f>IF(OR(E2814="",E2814="!!!",F2814="NEW"),"",COUNTBLANK(OFFSET(A$1,,,SUMPRODUCT(MAX(ROW(E$2:E2814)*(E2814=E$2:E2814)))))-COUNTBLANK(OFFSET(A$1,,,SUMPRODUCT(MAX(ROW(E$1:E2813)*(E2=E$1:E2813))))))</f>
        <v> </v>
      </c>
      <c r="K2814" s="25" t="str">
        <f>IF(OR(E2814="",E2814="!!!",F2814="NEW"),"",INDEX(J$1:J2813,SUMPRODUCT(MAX(ROW(E$1:E2813)*(E2814=E$1:E2813)))))</f>
        <v> </v>
      </c>
      <c r="L2814" s="26"/>
    </row>
    <row r="2815" spans="1:12">
      <c r="A2815" s="20" t="s">
        <v>892</v>
      </c>
      <c r="E2815" s="21">
        <f>IF(D2815="?OLD","!!!","")</f>
        <v/>
      </c>
      <c r="F2815" s="22" t="str">
        <f>IF(OR(E2815="",E2815="!!!"),"",IF(NOT(ISNA(VLOOKUP(E2815,E$1:E2814,1,FALSE()))),"OLD",IF(AND(E2815&lt;&gt;"",E2815&lt;&gt;"!!!"),"NEW","")))</f>
        <v> </v>
      </c>
      <c r="G2815" s="23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4" t="str">
        <f>IF(J2815&lt;&gt;1,"",IF(I2815="SBJ","CB","?"))</f>
        <v> </v>
      </c>
      <c r="I2815" s="25" t="str">
        <f>IF(OR(E2815="",E2815="!!!",F2815="NEW"),"",INDEX(B2814:B$2,-1+SUMPRODUCT(MAX(ROW(E2814:E$2)*(E2815=E2814:E$2)))))</f>
        <v> </v>
      </c>
      <c r="J2815" s="25" t="str">
        <f>IF(OR(E2815="",E2815="!!!",F2815="NEW"),"",COUNTBLANK(OFFSET(A$1,,,SUMPRODUCT(MAX(ROW(E$2:E2815)*(E2815=E$2:E2815)))))-COUNTBLANK(OFFSET(A$1,,,SUMPRODUCT(MAX(ROW(E$1:E2814)*(E2=E$1:E2814))))))</f>
        <v> </v>
      </c>
      <c r="K2815" s="25" t="str">
        <f>IF(OR(E2815="",E2815="!!!",F2815="NEW"),"",INDEX(J$1:J2814,SUMPRODUCT(MAX(ROW(E$1:E2814)*(E2815=E$1:E2814)))))</f>
        <v> </v>
      </c>
      <c r="L2815" s="26"/>
    </row>
    <row r="2816" spans="1:12">
      <c r="A2816" s="20" t="s">
        <v>765</v>
      </c>
      <c r="E2816" s="21">
        <f>IF(D2816="?OLD","!!!","")</f>
        <v/>
      </c>
      <c r="F2816" s="22" t="str">
        <f>IF(OR(E2816="",E2816="!!!"),"",IF(NOT(ISNA(VLOOKUP(E2816,E$1:E2815,1,FALSE()))),"OLD",IF(AND(E2816&lt;&gt;"",E2816&lt;&gt;"!!!"),"NEW","")))</f>
        <v> </v>
      </c>
      <c r="G2816" s="23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4" t="str">
        <f>IF(J2816&lt;&gt;1,"",IF(I2816="SBJ","CB","?"))</f>
        <v> </v>
      </c>
      <c r="I2816" s="25" t="str">
        <f>IF(OR(E2816="",E2816="!!!",F2816="NEW"),"",INDEX(B2815:B$2,-1+SUMPRODUCT(MAX(ROW(E2815:E$2)*(E2816=E2815:E$2)))))</f>
        <v> </v>
      </c>
      <c r="J2816" s="25" t="str">
        <f>IF(OR(E2816="",E2816="!!!",F2816="NEW"),"",COUNTBLANK(OFFSET(A$1,,,SUMPRODUCT(MAX(ROW(E$2:E2816)*(E2816=E$2:E2816)))))-COUNTBLANK(OFFSET(A$1,,,SUMPRODUCT(MAX(ROW(E$1:E2815)*(E2=E$1:E2815))))))</f>
        <v> </v>
      </c>
      <c r="K2816" s="25" t="str">
        <f>IF(OR(E2816="",E2816="!!!",F2816="NEW"),"",INDEX(J$1:J2815,SUMPRODUCT(MAX(ROW(E$1:E2815)*(E2816=E$1:E2815)))))</f>
        <v> </v>
      </c>
      <c r="L2816" s="26"/>
    </row>
    <row r="2817" spans="1:12">
      <c r="A2817" s="20"/>
    </row>
    <row r="2818" spans="1:12">
      <c r="A2818" s="20" t="s">
        <v>1965</v>
      </c>
    </row>
    <row r="2819" spans="1:12">
      <c r="A2819" s="20" t="s">
        <v>11</v>
      </c>
      <c r="E2819" s="21">
        <f>IF(D2819="?OLD","!!!","")</f>
        <v/>
      </c>
      <c r="F2819" s="22" t="str">
        <f>IF(OR(E2819="",E2819="!!!"),"",IF(NOT(ISNA(VLOOKUP(E2819,E$1:E2818,1,FALSE()))),"OLD",IF(AND(E2819&lt;&gt;"",E2819&lt;&gt;"!!!"),"NEW","")))</f>
        <v> </v>
      </c>
      <c r="G2819" s="23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4" t="str">
        <f>IF(J2819&lt;&gt;1,"",IF(I2819="SBJ","CB","?"))</f>
        <v> </v>
      </c>
      <c r="I2819" s="25" t="str">
        <f>IF(OR(E2819="",E2819="!!!",F2819="NEW"),"",INDEX(B2818:B$2,-1+SUMPRODUCT(MAX(ROW(E2818:E$2)*(E2819=E2818:E$2)))))</f>
        <v> </v>
      </c>
      <c r="J2819" s="25" t="str">
        <f>IF(OR(E2819="",E2819="!!!",F2819="NEW"),"",COUNTBLANK(OFFSET(A$1,,,SUMPRODUCT(MAX(ROW(E$2:E2819)*(E2819=E$2:E2819)))))-COUNTBLANK(OFFSET(A$1,,,SUMPRODUCT(MAX(ROW(E$1:E2818)*(E2=E$1:E2818))))))</f>
        <v> </v>
      </c>
      <c r="K2819" s="25" t="str">
        <f>IF(OR(E2819="",E2819="!!!",F2819="NEW"),"",INDEX(J$1:J2818,SUMPRODUCT(MAX(ROW(E$1:E2818)*(E2819=E$1:E2818)))))</f>
        <v> </v>
      </c>
      <c r="L2819" s="26"/>
    </row>
    <row r="2820" spans="1:12">
      <c r="A2820" s="20" t="s">
        <v>1912</v>
      </c>
      <c r="B2820" s="27" t="s">
        <v>738</v>
      </c>
      <c r="C2820" s="27" t="s">
        <v>828</v>
      </c>
      <c r="E2820" s="21">
        <f>IF(D2820="?OLD","!!!","")</f>
        <v/>
      </c>
      <c r="F2820" s="22" t="str">
        <f>IF(OR(E2820="",E2820="!!!"),"",IF(NOT(ISNA(VLOOKUP(E2820,E$1:E2819,1,FALSE()))),"OLD",IF(AND(E2820&lt;&gt;"",E2820&lt;&gt;"!!!"),"NEW","")))</f>
        <v> </v>
      </c>
      <c r="G2820" s="23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4" t="str">
        <f>IF(J2820&lt;&gt;1,"",IF(I2820="SBJ","CB","?"))</f>
        <v> </v>
      </c>
      <c r="I2820" s="25" t="str">
        <f>IF(OR(E2820="",E2820="!!!",F2820="NEW"),"",INDEX(B2819:B$2,-1+SUMPRODUCT(MAX(ROW(E2819:E$2)*(E2820=E2819:E$2)))))</f>
        <v> </v>
      </c>
      <c r="J2820" s="25" t="str">
        <f>IF(OR(E2820="",E2820="!!!",F2820="NEW"),"",COUNTBLANK(OFFSET(A$1,,,SUMPRODUCT(MAX(ROW(E$2:E2820)*(E2820=E$2:E2820)))))-COUNTBLANK(OFFSET(A$1,,,SUMPRODUCT(MAX(ROW(E$1:E2819)*(E2=E$1:E2819))))))</f>
        <v> </v>
      </c>
      <c r="K2820" s="25" t="str">
        <f>IF(OR(E2820="",E2820="!!!",F2820="NEW"),"",INDEX(J$1:J2819,SUMPRODUCT(MAX(ROW(E$1:E2819)*(E2820=E$1:E2819)))))</f>
        <v> </v>
      </c>
      <c r="L2820" s="26"/>
    </row>
    <row r="2821" spans="1:12">
      <c r="A2821" s="20" t="s">
        <v>1799</v>
      </c>
      <c r="B2821" s="27" t="s">
        <v>734</v>
      </c>
      <c r="E2821" s="21">
        <f>IF(D2821="?OLD","!!!","")</f>
        <v/>
      </c>
      <c r="F2821" s="22" t="str">
        <f>IF(OR(E2821="",E2821="!!!"),"",IF(NOT(ISNA(VLOOKUP(E2821,E$1:E2820,1,FALSE()))),"OLD",IF(AND(E2821&lt;&gt;"",E2821&lt;&gt;"!!!"),"NEW","")))</f>
        <v> </v>
      </c>
      <c r="G2821" s="23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4" t="str">
        <f>IF(J2821&lt;&gt;1,"",IF(I2821="SBJ","CB","?"))</f>
        <v> </v>
      </c>
      <c r="I2821" s="25" t="str">
        <f>IF(OR(E2821="",E2821="!!!",F2821="NEW"),"",INDEX(B2820:B$2,-1+SUMPRODUCT(MAX(ROW(E2820:E$2)*(E2821=E2820:E$2)))))</f>
        <v> </v>
      </c>
      <c r="J2821" s="25" t="str">
        <f>IF(OR(E2821="",E2821="!!!",F2821="NEW"),"",COUNTBLANK(OFFSET(A$1,,,SUMPRODUCT(MAX(ROW(E$2:E2821)*(E2821=E$2:E2821)))))-COUNTBLANK(OFFSET(A$1,,,SUMPRODUCT(MAX(ROW(E$1:E2820)*(E2=E$1:E2820))))))</f>
        <v> </v>
      </c>
      <c r="K2821" s="25" t="str">
        <f>IF(OR(E2821="",E2821="!!!",F2821="NEW"),"",INDEX(J$1:J2820,SUMPRODUCT(MAX(ROW(E$1:E2820)*(E2821=E$1:E2820)))))</f>
        <v> </v>
      </c>
      <c r="L2821" s="26"/>
    </row>
    <row r="2822" spans="1:12">
      <c r="A2822" s="20" t="s">
        <v>841</v>
      </c>
      <c r="E2822" s="21">
        <f>IF(D2822="?OLD","!!!","")</f>
        <v/>
      </c>
      <c r="F2822" s="22" t="str">
        <f>IF(OR(E2822="",E2822="!!!"),"",IF(NOT(ISNA(VLOOKUP(E2822,E$1:E2821,1,FALSE()))),"OLD",IF(AND(E2822&lt;&gt;"",E2822&lt;&gt;"!!!"),"NEW","")))</f>
        <v> </v>
      </c>
      <c r="G2822" s="23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4" t="str">
        <f>IF(J2822&lt;&gt;1,"",IF(I2822="SBJ","CB","?"))</f>
        <v> </v>
      </c>
      <c r="I2822" s="25" t="str">
        <f>IF(OR(E2822="",E2822="!!!",F2822="NEW"),"",INDEX(B2821:B$2,-1+SUMPRODUCT(MAX(ROW(E2821:E$2)*(E2822=E2821:E$2)))))</f>
        <v> </v>
      </c>
      <c r="J2822" s="25" t="str">
        <f>IF(OR(E2822="",E2822="!!!",F2822="NEW"),"",COUNTBLANK(OFFSET(A$1,,,SUMPRODUCT(MAX(ROW(E$2:E2822)*(E2822=E$2:E2822)))))-COUNTBLANK(OFFSET(A$1,,,SUMPRODUCT(MAX(ROW(E$1:E2821)*(E2=E$1:E2821))))))</f>
        <v> </v>
      </c>
      <c r="K2822" s="25" t="str">
        <f>IF(OR(E2822="",E2822="!!!",F2822="NEW"),"",INDEX(J$1:J2821,SUMPRODUCT(MAX(ROW(E$1:E2821)*(E2822=E$1:E2821)))))</f>
        <v> </v>
      </c>
      <c r="L2822" s="26"/>
    </row>
    <row r="2823" spans="1:12">
      <c r="A2823" s="20" t="s">
        <v>618</v>
      </c>
      <c r="E2823" s="21">
        <f>IF(D2823="?OLD","!!!","")</f>
        <v/>
      </c>
      <c r="F2823" s="22" t="str">
        <f>IF(OR(E2823="",E2823="!!!"),"",IF(NOT(ISNA(VLOOKUP(E2823,E$1:E2822,1,FALSE()))),"OLD",IF(AND(E2823&lt;&gt;"",E2823&lt;&gt;"!!!"),"NEW","")))</f>
        <v> </v>
      </c>
      <c r="G2823" s="23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4" t="str">
        <f>IF(J2823&lt;&gt;1,"",IF(I2823="SBJ","CB","?"))</f>
        <v> </v>
      </c>
      <c r="I2823" s="25" t="str">
        <f>IF(OR(E2823="",E2823="!!!",F2823="NEW"),"",INDEX(B2822:B$2,-1+SUMPRODUCT(MAX(ROW(E2822:E$2)*(E2823=E2822:E$2)))))</f>
        <v> </v>
      </c>
      <c r="J2823" s="25" t="str">
        <f>IF(OR(E2823="",E2823="!!!",F2823="NEW"),"",COUNTBLANK(OFFSET(A$1,,,SUMPRODUCT(MAX(ROW(E$2:E2823)*(E2823=E$2:E2823)))))-COUNTBLANK(OFFSET(A$1,,,SUMPRODUCT(MAX(ROW(E$1:E2822)*(E2=E$1:E2822))))))</f>
        <v> </v>
      </c>
      <c r="K2823" s="25" t="str">
        <f>IF(OR(E2823="",E2823="!!!",F2823="NEW"),"",INDEX(J$1:J2822,SUMPRODUCT(MAX(ROW(E$1:E2822)*(E2823=E$1:E2822)))))</f>
        <v> </v>
      </c>
      <c r="L2823" s="26"/>
    </row>
    <row r="2824" spans="1:12">
      <c r="A2824" s="20" t="s">
        <v>744</v>
      </c>
      <c r="E2824" s="21">
        <f>IF(D2824="?OLD","!!!","")</f>
        <v/>
      </c>
      <c r="F2824" s="22" t="str">
        <f>IF(OR(E2824="",E2824="!!!"),"",IF(NOT(ISNA(VLOOKUP(E2824,E$1:E2823,1,FALSE()))),"OLD",IF(AND(E2824&lt;&gt;"",E2824&lt;&gt;"!!!"),"NEW","")))</f>
        <v> </v>
      </c>
      <c r="G2824" s="23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4" t="str">
        <f>IF(J2824&lt;&gt;1,"",IF(I2824="SBJ","CB","?"))</f>
        <v> </v>
      </c>
      <c r="I2824" s="25" t="str">
        <f>IF(OR(E2824="",E2824="!!!",F2824="NEW"),"",INDEX(B2823:B$2,-1+SUMPRODUCT(MAX(ROW(E2823:E$2)*(E2824=E2823:E$2)))))</f>
        <v> </v>
      </c>
      <c r="J2824" s="25" t="str">
        <f>IF(OR(E2824="",E2824="!!!",F2824="NEW"),"",COUNTBLANK(OFFSET(A$1,,,SUMPRODUCT(MAX(ROW(E$2:E2824)*(E2824=E$2:E2824)))))-COUNTBLANK(OFFSET(A$1,,,SUMPRODUCT(MAX(ROW(E$1:E2823)*(E2=E$1:E2823))))))</f>
        <v> </v>
      </c>
      <c r="K2824" s="25" t="str">
        <f>IF(OR(E2824="",E2824="!!!",F2824="NEW"),"",INDEX(J$1:J2823,SUMPRODUCT(MAX(ROW(E$1:E2823)*(E2824=E$1:E2823)))))</f>
        <v> </v>
      </c>
      <c r="L2824" s="26"/>
    </row>
    <row r="2825" spans="1:12">
      <c r="A2825" s="20" t="s">
        <v>1966</v>
      </c>
      <c r="B2825" s="27" t="s">
        <v>819</v>
      </c>
      <c r="C2825" s="27" t="s">
        <v>747</v>
      </c>
      <c r="E2825" s="21">
        <f>IF(D2825="?OLD","!!!","")</f>
        <v/>
      </c>
      <c r="F2825" s="22" t="str">
        <f>IF(OR(E2825="",E2825="!!!"),"",IF(NOT(ISNA(VLOOKUP(E2825,E$1:E2824,1,FALSE()))),"OLD",IF(AND(E2825&lt;&gt;"",E2825&lt;&gt;"!!!"),"NEW","")))</f>
        <v> </v>
      </c>
      <c r="G2825" s="23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4" t="str">
        <f>IF(J2825&lt;&gt;1,"",IF(I2825="SBJ","CB","?"))</f>
        <v> </v>
      </c>
      <c r="I2825" s="25" t="str">
        <f>IF(OR(E2825="",E2825="!!!",F2825="NEW"),"",INDEX(B2824:B$2,-1+SUMPRODUCT(MAX(ROW(E2824:E$2)*(E2825=E2824:E$2)))))</f>
        <v> </v>
      </c>
      <c r="J2825" s="25" t="str">
        <f>IF(OR(E2825="",E2825="!!!",F2825="NEW"),"",COUNTBLANK(OFFSET(A$1,,,SUMPRODUCT(MAX(ROW(E$2:E2825)*(E2825=E$2:E2825)))))-COUNTBLANK(OFFSET(A$1,,,SUMPRODUCT(MAX(ROW(E$1:E2824)*(E2=E$1:E2824))))))</f>
        <v> </v>
      </c>
      <c r="K2825" s="25" t="str">
        <f>IF(OR(E2825="",E2825="!!!",F2825="NEW"),"",INDEX(J$1:J2824,SUMPRODUCT(MAX(ROW(E$1:E2824)*(E2825=E$1:E2824)))))</f>
        <v> </v>
      </c>
      <c r="L2825" s="26"/>
    </row>
    <row r="2826" spans="1:12">
      <c r="A2826" s="20" t="s">
        <v>769</v>
      </c>
      <c r="B2826" s="27" t="s">
        <v>762</v>
      </c>
      <c r="C2826" s="27" t="s">
        <v>756</v>
      </c>
      <c r="D2826" s="27" t="s">
        <v>736</v>
      </c>
      <c r="E2826" s="21">
        <f>IF(D2826="?OLD","!!!","")</f>
        <v/>
      </c>
      <c r="F2826" s="22" t="str">
        <f>IF(OR(E2826="",E2826="!!!"),"",IF(NOT(ISNA(VLOOKUP(E2826,E$1:E2825,1,FALSE()))),"OLD",IF(AND(E2826&lt;&gt;"",E2826&lt;&gt;"!!!"),"NEW","")))</f>
        <v> </v>
      </c>
      <c r="G2826" s="23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4" t="str">
        <f>IF(J2826&lt;&gt;1,"",IF(I2826="SBJ","CB","?"))</f>
        <v> </v>
      </c>
      <c r="I2826" s="25" t="str">
        <f>IF(OR(E2826="",E2826="!!!",F2826="NEW"),"",INDEX(B2825:B$2,-1+SUMPRODUCT(MAX(ROW(E2825:E$2)*(E2826=E2825:E$2)))))</f>
        <v> </v>
      </c>
      <c r="J2826" s="25" t="str">
        <f>IF(OR(E2826="",E2826="!!!",F2826="NEW"),"",COUNTBLANK(OFFSET(A$1,,,SUMPRODUCT(MAX(ROW(E$2:E2826)*(E2826=E$2:E2826)))))-COUNTBLANK(OFFSET(A$1,,,SUMPRODUCT(MAX(ROW(E$1:E2825)*(E2=E$1:E2825))))))</f>
        <v> </v>
      </c>
      <c r="K2826" s="25" t="str">
        <f>IF(OR(E2826="",E2826="!!!",F2826="NEW"),"",INDEX(J$1:J2825,SUMPRODUCT(MAX(ROW(E$1:E2825)*(E2826=E$1:E2825)))))</f>
        <v> </v>
      </c>
      <c r="L2826" s="26"/>
    </row>
    <row r="2827" spans="1:12">
      <c r="A2827" s="20" t="s">
        <v>1967</v>
      </c>
      <c r="E2827" s="21">
        <f>IF(D2827="?OLD","!!!","")</f>
        <v/>
      </c>
      <c r="F2827" s="22" t="str">
        <f>IF(OR(E2827="",E2827="!!!"),"",IF(NOT(ISNA(VLOOKUP(E2827,E$1:E2826,1,FALSE()))),"OLD",IF(AND(E2827&lt;&gt;"",E2827&lt;&gt;"!!!"),"NEW","")))</f>
        <v> </v>
      </c>
      <c r="G2827" s="23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4" t="str">
        <f>IF(J2827&lt;&gt;1,"",IF(I2827="SBJ","CB","?"))</f>
        <v> </v>
      </c>
      <c r="I2827" s="25" t="str">
        <f>IF(OR(E2827="",E2827="!!!",F2827="NEW"),"",INDEX(B2826:B$2,-1+SUMPRODUCT(MAX(ROW(E2826:E$2)*(E2827=E2826:E$2)))))</f>
        <v> </v>
      </c>
      <c r="J2827" s="25" t="str">
        <f>IF(OR(E2827="",E2827="!!!",F2827="NEW"),"",COUNTBLANK(OFFSET(A$1,,,SUMPRODUCT(MAX(ROW(E$2:E2827)*(E2827=E$2:E2827)))))-COUNTBLANK(OFFSET(A$1,,,SUMPRODUCT(MAX(ROW(E$1:E2826)*(E2=E$1:E2826))))))</f>
        <v> </v>
      </c>
      <c r="K2827" s="25" t="str">
        <f>IF(OR(E2827="",E2827="!!!",F2827="NEW"),"",INDEX(J$1:J2826,SUMPRODUCT(MAX(ROW(E$1:E2826)*(E2827=E$1:E2826)))))</f>
        <v> </v>
      </c>
      <c r="L2827" s="26"/>
    </row>
    <row r="2828" spans="1:12">
      <c r="A2828" s="20" t="s">
        <v>749</v>
      </c>
      <c r="E2828" s="21">
        <f>IF(D2828="?OLD","!!!","")</f>
        <v/>
      </c>
      <c r="F2828" s="22" t="str">
        <f>IF(OR(E2828="",E2828="!!!"),"",IF(NOT(ISNA(VLOOKUP(E2828,E$1:E2827,1,FALSE()))),"OLD",IF(AND(E2828&lt;&gt;"",E2828&lt;&gt;"!!!"),"NEW","")))</f>
        <v> </v>
      </c>
      <c r="G2828" s="23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4" t="str">
        <f>IF(J2828&lt;&gt;1,"",IF(I2828="SBJ","CB","?"))</f>
        <v> </v>
      </c>
      <c r="I2828" s="25" t="str">
        <f>IF(OR(E2828="",E2828="!!!",F2828="NEW"),"",INDEX(B2827:B$2,-1+SUMPRODUCT(MAX(ROW(E2827:E$2)*(E2828=E2827:E$2)))))</f>
        <v> </v>
      </c>
      <c r="J2828" s="25" t="str">
        <f>IF(OR(E2828="",E2828="!!!",F2828="NEW"),"",COUNTBLANK(OFFSET(A$1,,,SUMPRODUCT(MAX(ROW(E$2:E2828)*(E2828=E$2:E2828)))))-COUNTBLANK(OFFSET(A$1,,,SUMPRODUCT(MAX(ROW(E$1:E2827)*(E2=E$1:E2827))))))</f>
        <v> </v>
      </c>
      <c r="K2828" s="25" t="str">
        <f>IF(OR(E2828="",E2828="!!!",F2828="NEW"),"",INDEX(J$1:J2827,SUMPRODUCT(MAX(ROW(E$1:E2827)*(E2828=E$1:E2827)))))</f>
        <v> </v>
      </c>
      <c r="L2828" s="26"/>
    </row>
    <row r="2829" spans="1:12">
      <c r="A2829" s="20" t="s">
        <v>1968</v>
      </c>
      <c r="B2829" s="27" t="s">
        <v>738</v>
      </c>
      <c r="C2829" s="27" t="s">
        <v>735</v>
      </c>
      <c r="D2829" s="27" t="s">
        <v>736</v>
      </c>
      <c r="E2829" s="21">
        <f>IF(D2829="?OLD","!!!","")</f>
        <v/>
      </c>
      <c r="F2829" s="22" t="str">
        <f>IF(OR(E2829="",E2829="!!!"),"",IF(NOT(ISNA(VLOOKUP(E2829,E$1:E2828,1,FALSE()))),"OLD",IF(AND(E2829&lt;&gt;"",E2829&lt;&gt;"!!!"),"NEW","")))</f>
        <v> </v>
      </c>
      <c r="G2829" s="23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4" t="str">
        <f>IF(J2829&lt;&gt;1,"",IF(I2829="SBJ","CB","?"))</f>
        <v> </v>
      </c>
      <c r="I2829" s="25" t="str">
        <f>IF(OR(E2829="",E2829="!!!",F2829="NEW"),"",INDEX(B2828:B$2,-1+SUMPRODUCT(MAX(ROW(E2828:E$2)*(E2829=E2828:E$2)))))</f>
        <v> </v>
      </c>
      <c r="J2829" s="25" t="str">
        <f>IF(OR(E2829="",E2829="!!!",F2829="NEW"),"",COUNTBLANK(OFFSET(A$1,,,SUMPRODUCT(MAX(ROW(E$2:E2829)*(E2829=E$2:E2829)))))-COUNTBLANK(OFFSET(A$1,,,SUMPRODUCT(MAX(ROW(E$1:E2828)*(E2=E$1:E2828))))))</f>
        <v> </v>
      </c>
      <c r="K2829" s="25" t="str">
        <f>IF(OR(E2829="",E2829="!!!",F2829="NEW"),"",INDEX(J$1:J2828,SUMPRODUCT(MAX(ROW(E$1:E2828)*(E2829=E$1:E2828)))))</f>
        <v> </v>
      </c>
      <c r="L2829" s="26"/>
    </row>
    <row r="2830" spans="1:12">
      <c r="A2830" s="20" t="s">
        <v>1969</v>
      </c>
      <c r="E2830" s="21">
        <f>IF(D2830="?OLD","!!!","")</f>
        <v/>
      </c>
      <c r="F2830" s="22" t="str">
        <f>IF(OR(E2830="",E2830="!!!"),"",IF(NOT(ISNA(VLOOKUP(E2830,E$1:E2829,1,FALSE()))),"OLD",IF(AND(E2830&lt;&gt;"",E2830&lt;&gt;"!!!"),"NEW","")))</f>
        <v> </v>
      </c>
      <c r="G2830" s="23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4" t="str">
        <f>IF(J2830&lt;&gt;1,"",IF(I2830="SBJ","CB","?"))</f>
        <v> </v>
      </c>
      <c r="I2830" s="25" t="str">
        <f>IF(OR(E2830="",E2830="!!!",F2830="NEW"),"",INDEX(B2829:B$2,-1+SUMPRODUCT(MAX(ROW(E2829:E$2)*(E2830=E2829:E$2)))))</f>
        <v> </v>
      </c>
      <c r="J2830" s="25" t="str">
        <f>IF(OR(E2830="",E2830="!!!",F2830="NEW"),"",COUNTBLANK(OFFSET(A$1,,,SUMPRODUCT(MAX(ROW(E$2:E2830)*(E2830=E$2:E2830)))))-COUNTBLANK(OFFSET(A$1,,,SUMPRODUCT(MAX(ROW(E$1:E2829)*(E2=E$1:E2829))))))</f>
        <v> </v>
      </c>
      <c r="K2830" s="25" t="str">
        <f>IF(OR(E2830="",E2830="!!!",F2830="NEW"),"",INDEX(J$1:J2829,SUMPRODUCT(MAX(ROW(E$1:E2829)*(E2830=E$1:E2829)))))</f>
        <v> </v>
      </c>
      <c r="L2830" s="26"/>
    </row>
    <row r="2831" spans="1:12">
      <c r="A2831" s="20" t="s">
        <v>765</v>
      </c>
      <c r="E2831" s="21">
        <f>IF(D2831="?OLD","!!!","")</f>
        <v/>
      </c>
      <c r="F2831" s="22" t="str">
        <f>IF(OR(E2831="",E2831="!!!"),"",IF(NOT(ISNA(VLOOKUP(E2831,E$1:E2830,1,FALSE()))),"OLD",IF(AND(E2831&lt;&gt;"",E2831&lt;&gt;"!!!"),"NEW","")))</f>
        <v> </v>
      </c>
      <c r="G2831" s="23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4" t="str">
        <f>IF(J2831&lt;&gt;1,"",IF(I2831="SBJ","CB","?"))</f>
        <v> </v>
      </c>
      <c r="I2831" s="25" t="str">
        <f>IF(OR(E2831="",E2831="!!!",F2831="NEW"),"",INDEX(B2830:B$2,-1+SUMPRODUCT(MAX(ROW(E2830:E$2)*(E2831=E2830:E$2)))))</f>
        <v> </v>
      </c>
      <c r="J2831" s="25" t="str">
        <f>IF(OR(E2831="",E2831="!!!",F2831="NEW"),"",COUNTBLANK(OFFSET(A$1,,,SUMPRODUCT(MAX(ROW(E$2:E2831)*(E2831=E$2:E2831)))))-COUNTBLANK(OFFSET(A$1,,,SUMPRODUCT(MAX(ROW(E$1:E2830)*(E2=E$1:E2830))))))</f>
        <v> </v>
      </c>
      <c r="K2831" s="25" t="str">
        <f>IF(OR(E2831="",E2831="!!!",F2831="NEW"),"",INDEX(J$1:J2830,SUMPRODUCT(MAX(ROW(E$1:E2830)*(E2831=E$1:E2830)))))</f>
        <v> </v>
      </c>
      <c r="L2831" s="26"/>
    </row>
    <row r="2832" spans="1:12">
      <c r="A2832" s="20"/>
    </row>
    <row r="2833" spans="1:12">
      <c r="A2833" s="20" t="s">
        <v>1970</v>
      </c>
    </row>
    <row r="2834" spans="1:12">
      <c r="A2834" s="20" t="s">
        <v>1971</v>
      </c>
      <c r="E2834" s="21">
        <f>IF(D2834="?OLD","!!!","")</f>
        <v/>
      </c>
      <c r="F2834" s="22" t="str">
        <f>IF(OR(E2834="",E2834="!!!"),"",IF(NOT(ISNA(VLOOKUP(E2834,E$1:E2833,1,FALSE()))),"OLD",IF(AND(E2834&lt;&gt;"",E2834&lt;&gt;"!!!"),"NEW","")))</f>
        <v> </v>
      </c>
      <c r="G2834" s="23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4" t="str">
        <f>IF(J2834&lt;&gt;1,"",IF(I2834="SBJ","CB","?"))</f>
        <v> </v>
      </c>
      <c r="I2834" s="25" t="str">
        <f>IF(OR(E2834="",E2834="!!!",F2834="NEW"),"",INDEX(B2833:B$2,-1+SUMPRODUCT(MAX(ROW(E2833:E$2)*(E2834=E2833:E$2)))))</f>
        <v> </v>
      </c>
      <c r="J2834" s="25" t="str">
        <f>IF(OR(E2834="",E2834="!!!",F2834="NEW"),"",COUNTBLANK(OFFSET(A$1,,,SUMPRODUCT(MAX(ROW(E$2:E2834)*(E2834=E$2:E2834)))))-COUNTBLANK(OFFSET(A$1,,,SUMPRODUCT(MAX(ROW(E$1:E2833)*(E2=E$1:E2833))))))</f>
        <v> </v>
      </c>
      <c r="K2834" s="25" t="str">
        <f>IF(OR(E2834="",E2834="!!!",F2834="NEW"),"",INDEX(J$1:J2833,SUMPRODUCT(MAX(ROW(E$1:E2833)*(E2834=E$1:E2833)))))</f>
        <v> </v>
      </c>
      <c r="L2834" s="26"/>
    </row>
    <row r="2835" spans="1:12">
      <c r="A2835" s="20" t="s">
        <v>744</v>
      </c>
      <c r="E2835" s="21">
        <f>IF(D2835="?OLD","!!!","")</f>
        <v/>
      </c>
      <c r="F2835" s="22" t="str">
        <f>IF(OR(E2835="",E2835="!!!"),"",IF(NOT(ISNA(VLOOKUP(E2835,E$1:E2834,1,FALSE()))),"OLD",IF(AND(E2835&lt;&gt;"",E2835&lt;&gt;"!!!"),"NEW","")))</f>
        <v> </v>
      </c>
      <c r="G2835" s="23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4" t="str">
        <f>IF(J2835&lt;&gt;1,"",IF(I2835="SBJ","CB","?"))</f>
        <v> </v>
      </c>
      <c r="I2835" s="25" t="str">
        <f>IF(OR(E2835="",E2835="!!!",F2835="NEW"),"",INDEX(B2834:B$2,-1+SUMPRODUCT(MAX(ROW(E2834:E$2)*(E2835=E2834:E$2)))))</f>
        <v> </v>
      </c>
      <c r="J2835" s="25" t="str">
        <f>IF(OR(E2835="",E2835="!!!",F2835="NEW"),"",COUNTBLANK(OFFSET(A$1,,,SUMPRODUCT(MAX(ROW(E$2:E2835)*(E2835=E$2:E2835)))))-COUNTBLANK(OFFSET(A$1,,,SUMPRODUCT(MAX(ROW(E$1:E2834)*(E2=E$1:E2834))))))</f>
        <v> </v>
      </c>
      <c r="K2835" s="25" t="str">
        <f>IF(OR(E2835="",E2835="!!!",F2835="NEW"),"",INDEX(J$1:J2834,SUMPRODUCT(MAX(ROW(E$1:E2834)*(E2835=E$1:E2834)))))</f>
        <v> </v>
      </c>
      <c r="L2835" s="26"/>
    </row>
    <row r="2836" spans="1:12">
      <c r="A2836" s="20" t="s">
        <v>1093</v>
      </c>
      <c r="E2836" s="21">
        <f>IF(D2836="?OLD","!!!","")</f>
        <v/>
      </c>
      <c r="F2836" s="22" t="str">
        <f>IF(OR(E2836="",E2836="!!!"),"",IF(NOT(ISNA(VLOOKUP(E2836,E$1:E2835,1,FALSE()))),"OLD",IF(AND(E2836&lt;&gt;"",E2836&lt;&gt;"!!!"),"NEW","")))</f>
        <v> </v>
      </c>
      <c r="G2836" s="23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4" t="str">
        <f>IF(J2836&lt;&gt;1,"",IF(I2836="SBJ","CB","?"))</f>
        <v> </v>
      </c>
      <c r="I2836" s="25" t="str">
        <f>IF(OR(E2836="",E2836="!!!",F2836="NEW"),"",INDEX(B2835:B$2,-1+SUMPRODUCT(MAX(ROW(E2835:E$2)*(E2836=E2835:E$2)))))</f>
        <v> </v>
      </c>
      <c r="J2836" s="25" t="str">
        <f>IF(OR(E2836="",E2836="!!!",F2836="NEW"),"",COUNTBLANK(OFFSET(A$1,,,SUMPRODUCT(MAX(ROW(E$2:E2836)*(E2836=E$2:E2836)))))-COUNTBLANK(OFFSET(A$1,,,SUMPRODUCT(MAX(ROW(E$1:E2835)*(E2=E$1:E2835))))))</f>
        <v> </v>
      </c>
      <c r="K2836" s="25" t="str">
        <f>IF(OR(E2836="",E2836="!!!",F2836="NEW"),"",INDEX(J$1:J2835,SUMPRODUCT(MAX(ROW(E$1:E2835)*(E2836=E$1:E2835)))))</f>
        <v> </v>
      </c>
      <c r="L2836" s="26"/>
    </row>
    <row r="2837" spans="1:12">
      <c r="A2837" s="20" t="s">
        <v>769</v>
      </c>
      <c r="B2837" s="27" t="s">
        <v>762</v>
      </c>
      <c r="C2837" s="27" t="s">
        <v>756</v>
      </c>
      <c r="D2837" s="27" t="s">
        <v>736</v>
      </c>
      <c r="E2837" s="21">
        <f>IF(D2837="?OLD","!!!","")</f>
        <v/>
      </c>
      <c r="F2837" s="22" t="str">
        <f>IF(OR(E2837="",E2837="!!!"),"",IF(NOT(ISNA(VLOOKUP(E2837,E$1:E2836,1,FALSE()))),"OLD",IF(AND(E2837&lt;&gt;"",E2837&lt;&gt;"!!!"),"NEW","")))</f>
        <v> </v>
      </c>
      <c r="G2837" s="23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4" t="str">
        <f>IF(J2837&lt;&gt;1,"",IF(I2837="SBJ","CB","?"))</f>
        <v> </v>
      </c>
      <c r="I2837" s="25" t="str">
        <f>IF(OR(E2837="",E2837="!!!",F2837="NEW"),"",INDEX(B2836:B$2,-1+SUMPRODUCT(MAX(ROW(E2836:E$2)*(E2837=E2836:E$2)))))</f>
        <v> </v>
      </c>
      <c r="J2837" s="25" t="str">
        <f>IF(OR(E2837="",E2837="!!!",F2837="NEW"),"",COUNTBLANK(OFFSET(A$1,,,SUMPRODUCT(MAX(ROW(E$2:E2837)*(E2837=E$2:E2837)))))-COUNTBLANK(OFFSET(A$1,,,SUMPRODUCT(MAX(ROW(E$1:E2836)*(E2=E$1:E2836))))))</f>
        <v> </v>
      </c>
      <c r="K2837" s="25" t="str">
        <f>IF(OR(E2837="",E2837="!!!",F2837="NEW"),"",INDEX(J$1:J2836,SUMPRODUCT(MAX(ROW(E$1:E2836)*(E2837=E$1:E2836)))))</f>
        <v> </v>
      </c>
      <c r="L2837" s="26"/>
    </row>
    <row r="2838" spans="1:12">
      <c r="A2838" s="20" t="s">
        <v>1972</v>
      </c>
      <c r="E2838" s="21">
        <f>IF(D2838="?OLD","!!!","")</f>
        <v/>
      </c>
      <c r="F2838" s="22" t="str">
        <f>IF(OR(E2838="",E2838="!!!"),"",IF(NOT(ISNA(VLOOKUP(E2838,E$1:E2837,1,FALSE()))),"OLD",IF(AND(E2838&lt;&gt;"",E2838&lt;&gt;"!!!"),"NEW","")))</f>
        <v> </v>
      </c>
      <c r="G2838" s="23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4" t="str">
        <f>IF(J2838&lt;&gt;1,"",IF(I2838="SBJ","CB","?"))</f>
        <v> </v>
      </c>
      <c r="I2838" s="25" t="str">
        <f>IF(OR(E2838="",E2838="!!!",F2838="NEW"),"",INDEX(B2837:B$2,-1+SUMPRODUCT(MAX(ROW(E2837:E$2)*(E2838=E2837:E$2)))))</f>
        <v> </v>
      </c>
      <c r="J2838" s="25" t="str">
        <f>IF(OR(E2838="",E2838="!!!",F2838="NEW"),"",COUNTBLANK(OFFSET(A$1,,,SUMPRODUCT(MAX(ROW(E$2:E2838)*(E2838=E$2:E2838)))))-COUNTBLANK(OFFSET(A$1,,,SUMPRODUCT(MAX(ROW(E$1:E2837)*(E2=E$1:E2837))))))</f>
        <v> </v>
      </c>
      <c r="K2838" s="25" t="str">
        <f>IF(OR(E2838="",E2838="!!!",F2838="NEW"),"",INDEX(J$1:J2837,SUMPRODUCT(MAX(ROW(E$1:E2837)*(E2838=E$1:E2837)))))</f>
        <v> </v>
      </c>
      <c r="L2838" s="26"/>
    </row>
    <row r="2839" spans="1:12">
      <c r="A2839" s="20" t="s">
        <v>1961</v>
      </c>
      <c r="E2839" s="21">
        <f>IF(D2839="?OLD","!!!","")</f>
        <v/>
      </c>
      <c r="F2839" s="22" t="str">
        <f>IF(OR(E2839="",E2839="!!!"),"",IF(NOT(ISNA(VLOOKUP(E2839,E$1:E2838,1,FALSE()))),"OLD",IF(AND(E2839&lt;&gt;"",E2839&lt;&gt;"!!!"),"NEW","")))</f>
        <v> </v>
      </c>
      <c r="G2839" s="23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4" t="str">
        <f>IF(J2839&lt;&gt;1,"",IF(I2839="SBJ","CB","?"))</f>
        <v> </v>
      </c>
      <c r="I2839" s="25" t="str">
        <f>IF(OR(E2839="",E2839="!!!",F2839="NEW"),"",INDEX(B2838:B$2,-1+SUMPRODUCT(MAX(ROW(E2838:E$2)*(E2839=E2838:E$2)))))</f>
        <v> </v>
      </c>
      <c r="J2839" s="25" t="str">
        <f>IF(OR(E2839="",E2839="!!!",F2839="NEW"),"",COUNTBLANK(OFFSET(A$1,,,SUMPRODUCT(MAX(ROW(E$2:E2839)*(E2839=E$2:E2839)))))-COUNTBLANK(OFFSET(A$1,,,SUMPRODUCT(MAX(ROW(E$1:E2838)*(E2=E$1:E2838))))))</f>
        <v> </v>
      </c>
      <c r="K2839" s="25" t="str">
        <f>IF(OR(E2839="",E2839="!!!",F2839="NEW"),"",INDEX(J$1:J2838,SUMPRODUCT(MAX(ROW(E$1:E2838)*(E2839=E$1:E2838)))))</f>
        <v> </v>
      </c>
      <c r="L2839" s="26"/>
    </row>
    <row r="2840" spans="1:12">
      <c r="A2840" s="20" t="s">
        <v>1973</v>
      </c>
      <c r="B2840" s="27" t="s">
        <v>887</v>
      </c>
      <c r="C2840" s="27" t="s">
        <v>735</v>
      </c>
      <c r="D2840" s="27" t="s">
        <v>736</v>
      </c>
      <c r="E2840" s="21">
        <f>IF(D2840="?OLD","!!!","")</f>
        <v/>
      </c>
      <c r="F2840" s="22" t="str">
        <f>IF(OR(E2840="",E2840="!!!"),"",IF(NOT(ISNA(VLOOKUP(E2840,E$1:E2839,1,FALSE()))),"OLD",IF(AND(E2840&lt;&gt;"",E2840&lt;&gt;"!!!"),"NEW","")))</f>
        <v> </v>
      </c>
      <c r="G2840" s="23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4" t="str">
        <f>IF(J2840&lt;&gt;1,"",IF(I2840="SBJ","CB","?"))</f>
        <v> </v>
      </c>
      <c r="I2840" s="25" t="str">
        <f>IF(OR(E2840="",E2840="!!!",F2840="NEW"),"",INDEX(B2839:B$2,-1+SUMPRODUCT(MAX(ROW(E2839:E$2)*(E2840=E2839:E$2)))))</f>
        <v> </v>
      </c>
      <c r="J2840" s="25" t="str">
        <f>IF(OR(E2840="",E2840="!!!",F2840="NEW"),"",COUNTBLANK(OFFSET(A$1,,,SUMPRODUCT(MAX(ROW(E$2:E2840)*(E2840=E$2:E2840)))))-COUNTBLANK(OFFSET(A$1,,,SUMPRODUCT(MAX(ROW(E$1:E2839)*(E2=E$1:E2839))))))</f>
        <v> </v>
      </c>
      <c r="K2840" s="25" t="str">
        <f>IF(OR(E2840="",E2840="!!!",F2840="NEW"),"",INDEX(J$1:J2839,SUMPRODUCT(MAX(ROW(E$1:E2839)*(E2840=E$1:E2839)))))</f>
        <v> </v>
      </c>
      <c r="L2840" s="26"/>
    </row>
    <row r="2841" spans="1:12">
      <c r="A2841" s="20" t="s">
        <v>763</v>
      </c>
      <c r="E2841" s="21">
        <f>IF(D2841="?OLD","!!!","")</f>
        <v/>
      </c>
      <c r="F2841" s="22" t="str">
        <f>IF(OR(E2841="",E2841="!!!"),"",IF(NOT(ISNA(VLOOKUP(E2841,E$1:E2840,1,FALSE()))),"OLD",IF(AND(E2841&lt;&gt;"",E2841&lt;&gt;"!!!"),"NEW","")))</f>
        <v> </v>
      </c>
      <c r="G2841" s="23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4" t="str">
        <f>IF(J2841&lt;&gt;1,"",IF(I2841="SBJ","CB","?"))</f>
        <v> </v>
      </c>
      <c r="I2841" s="25" t="str">
        <f>IF(OR(E2841="",E2841="!!!",F2841="NEW"),"",INDEX(B2840:B$2,-1+SUMPRODUCT(MAX(ROW(E2840:E$2)*(E2841=E2840:E$2)))))</f>
        <v> </v>
      </c>
      <c r="J2841" s="25" t="str">
        <f>IF(OR(E2841="",E2841="!!!",F2841="NEW"),"",COUNTBLANK(OFFSET(A$1,,,SUMPRODUCT(MAX(ROW(E$2:E2841)*(E2841=E$2:E2841)))))-COUNTBLANK(OFFSET(A$1,,,SUMPRODUCT(MAX(ROW(E$1:E2840)*(E2=E$1:E2840))))))</f>
        <v> </v>
      </c>
      <c r="K2841" s="25" t="str">
        <f>IF(OR(E2841="",E2841="!!!",F2841="NEW"),"",INDEX(J$1:J2840,SUMPRODUCT(MAX(ROW(E$1:E2840)*(E2841=E$1:E2840)))))</f>
        <v> </v>
      </c>
      <c r="L2841" s="26"/>
    </row>
    <row r="2842" spans="1:12">
      <c r="A2842" s="20" t="s">
        <v>1906</v>
      </c>
      <c r="E2842" s="21">
        <f>IF(D2842="?OLD","!!!","")</f>
        <v/>
      </c>
      <c r="F2842" s="22" t="str">
        <f>IF(OR(E2842="",E2842="!!!"),"",IF(NOT(ISNA(VLOOKUP(E2842,E$1:E2841,1,FALSE()))),"OLD",IF(AND(E2842&lt;&gt;"",E2842&lt;&gt;"!!!"),"NEW","")))</f>
        <v> </v>
      </c>
      <c r="G2842" s="23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4" t="str">
        <f>IF(J2842&lt;&gt;1,"",IF(I2842="SBJ","CB","?"))</f>
        <v> </v>
      </c>
      <c r="I2842" s="25" t="str">
        <f>IF(OR(E2842="",E2842="!!!",F2842="NEW"),"",INDEX(B2841:B$2,-1+SUMPRODUCT(MAX(ROW(E2841:E$2)*(E2842=E2841:E$2)))))</f>
        <v> </v>
      </c>
      <c r="J2842" s="25" t="str">
        <f>IF(OR(E2842="",E2842="!!!",F2842="NEW"),"",COUNTBLANK(OFFSET(A$1,,,SUMPRODUCT(MAX(ROW(E$2:E2842)*(E2842=E$2:E2842)))))-COUNTBLANK(OFFSET(A$1,,,SUMPRODUCT(MAX(ROW(E$1:E2841)*(E2=E$1:E2841))))))</f>
        <v> </v>
      </c>
      <c r="K2842" s="25" t="str">
        <f>IF(OR(E2842="",E2842="!!!",F2842="NEW"),"",INDEX(J$1:J2841,SUMPRODUCT(MAX(ROW(E$1:E2841)*(E2842=E$1:E2841)))))</f>
        <v> </v>
      </c>
      <c r="L2842" s="26"/>
    </row>
    <row r="2843" spans="1:12">
      <c r="A2843" s="20" t="s">
        <v>1798</v>
      </c>
      <c r="E2843" s="21">
        <f>IF(D2843="?OLD","!!!","")</f>
        <v/>
      </c>
      <c r="F2843" s="22" t="str">
        <f>IF(OR(E2843="",E2843="!!!"),"",IF(NOT(ISNA(VLOOKUP(E2843,E$1:E2842,1,FALSE()))),"OLD",IF(AND(E2843&lt;&gt;"",E2843&lt;&gt;"!!!"),"NEW","")))</f>
        <v> </v>
      </c>
      <c r="G2843" s="23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4" t="str">
        <f>IF(J2843&lt;&gt;1,"",IF(I2843="SBJ","CB","?"))</f>
        <v> </v>
      </c>
      <c r="I2843" s="25" t="str">
        <f>IF(OR(E2843="",E2843="!!!",F2843="NEW"),"",INDEX(B2842:B$2,-1+SUMPRODUCT(MAX(ROW(E2842:E$2)*(E2843=E2842:E$2)))))</f>
        <v> </v>
      </c>
      <c r="J2843" s="25" t="str">
        <f>IF(OR(E2843="",E2843="!!!",F2843="NEW"),"",COUNTBLANK(OFFSET(A$1,,,SUMPRODUCT(MAX(ROW(E$2:E2843)*(E2843=E$2:E2843)))))-COUNTBLANK(OFFSET(A$1,,,SUMPRODUCT(MAX(ROW(E$1:E2842)*(E2=E$1:E2842))))))</f>
        <v> </v>
      </c>
      <c r="K2843" s="25" t="str">
        <f>IF(OR(E2843="",E2843="!!!",F2843="NEW"),"",INDEX(J$1:J2842,SUMPRODUCT(MAX(ROW(E$1:E2842)*(E2843=E$1:E2842)))))</f>
        <v> </v>
      </c>
      <c r="L2843" s="26"/>
    </row>
    <row r="2844" spans="1:12">
      <c r="A2844" s="20" t="s">
        <v>1177</v>
      </c>
      <c r="B2844" s="27" t="s">
        <v>1036</v>
      </c>
      <c r="E2844" s="21">
        <f>IF(D2844="?OLD","!!!","")</f>
        <v/>
      </c>
      <c r="F2844" s="22" t="str">
        <f>IF(OR(E2844="",E2844="!!!"),"",IF(NOT(ISNA(VLOOKUP(E2844,E$1:E2843,1,FALSE()))),"OLD",IF(AND(E2844&lt;&gt;"",E2844&lt;&gt;"!!!"),"NEW","")))</f>
        <v> </v>
      </c>
      <c r="G2844" s="23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4" t="str">
        <f>IF(J2844&lt;&gt;1,"",IF(I2844="SBJ","CB","?"))</f>
        <v> </v>
      </c>
      <c r="I2844" s="25" t="str">
        <f>IF(OR(E2844="",E2844="!!!",F2844="NEW"),"",INDEX(B2843:B$2,-1+SUMPRODUCT(MAX(ROW(E2843:E$2)*(E2844=E2843:E$2)))))</f>
        <v> </v>
      </c>
      <c r="J2844" s="25" t="str">
        <f>IF(OR(E2844="",E2844="!!!",F2844="NEW"),"",COUNTBLANK(OFFSET(A$1,,,SUMPRODUCT(MAX(ROW(E$2:E2844)*(E2844=E$2:E2844)))))-COUNTBLANK(OFFSET(A$1,,,SUMPRODUCT(MAX(ROW(E$1:E2843)*(E2=E$1:E2843))))))</f>
        <v> </v>
      </c>
      <c r="K2844" s="25" t="str">
        <f>IF(OR(E2844="",E2844="!!!",F2844="NEW"),"",INDEX(J$1:J2843,SUMPRODUCT(MAX(ROW(E$1:E2843)*(E2844=E$1:E2843)))))</f>
        <v> </v>
      </c>
      <c r="L2844" s="26"/>
    </row>
    <row r="2845" spans="1:12">
      <c r="A2845" s="20" t="s">
        <v>881</v>
      </c>
      <c r="E2845" s="21">
        <f>IF(D2845="?OLD","!!!","")</f>
        <v/>
      </c>
      <c r="F2845" s="22" t="str">
        <f>IF(OR(E2845="",E2845="!!!"),"",IF(NOT(ISNA(VLOOKUP(E2845,E$1:E2844,1,FALSE()))),"OLD",IF(AND(E2845&lt;&gt;"",E2845&lt;&gt;"!!!"),"NEW","")))</f>
        <v> </v>
      </c>
      <c r="G2845" s="23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4" t="str">
        <f>IF(J2845&lt;&gt;1,"",IF(I2845="SBJ","CB","?"))</f>
        <v> </v>
      </c>
      <c r="I2845" s="25" t="str">
        <f>IF(OR(E2845="",E2845="!!!",F2845="NEW"),"",INDEX(B2844:B$2,-1+SUMPRODUCT(MAX(ROW(E2844:E$2)*(E2845=E2844:E$2)))))</f>
        <v> </v>
      </c>
      <c r="J2845" s="25" t="str">
        <f>IF(OR(E2845="",E2845="!!!",F2845="NEW"),"",COUNTBLANK(OFFSET(A$1,,,SUMPRODUCT(MAX(ROW(E$2:E2845)*(E2845=E$2:E2845)))))-COUNTBLANK(OFFSET(A$1,,,SUMPRODUCT(MAX(ROW(E$1:E2844)*(E2=E$1:E2844))))))</f>
        <v> </v>
      </c>
      <c r="K2845" s="25" t="str">
        <f>IF(OR(E2845="",E2845="!!!",F2845="NEW"),"",INDEX(J$1:J2844,SUMPRODUCT(MAX(ROW(E$1:E2844)*(E2845=E$1:E2844)))))</f>
        <v> </v>
      </c>
      <c r="L2845" s="26"/>
    </row>
    <row r="2846" spans="1:12">
      <c r="A2846" s="20" t="s">
        <v>1974</v>
      </c>
      <c r="E2846" s="21">
        <f>IF(D2846="?OLD","!!!","")</f>
        <v/>
      </c>
      <c r="F2846" s="22" t="str">
        <f>IF(OR(E2846="",E2846="!!!"),"",IF(NOT(ISNA(VLOOKUP(E2846,E$1:E2845,1,FALSE()))),"OLD",IF(AND(E2846&lt;&gt;"",E2846&lt;&gt;"!!!"),"NEW","")))</f>
        <v> </v>
      </c>
      <c r="G2846" s="23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4" t="str">
        <f>IF(J2846&lt;&gt;1,"",IF(I2846="SBJ","CB","?"))</f>
        <v> </v>
      </c>
      <c r="I2846" s="25" t="str">
        <f>IF(OR(E2846="",E2846="!!!",F2846="NEW"),"",INDEX(B2845:B$2,-1+SUMPRODUCT(MAX(ROW(E2845:E$2)*(E2846=E2845:E$2)))))</f>
        <v> </v>
      </c>
      <c r="J2846" s="25" t="str">
        <f>IF(OR(E2846="",E2846="!!!",F2846="NEW"),"",COUNTBLANK(OFFSET(A$1,,,SUMPRODUCT(MAX(ROW(E$2:E2846)*(E2846=E$2:E2846)))))-COUNTBLANK(OFFSET(A$1,,,SUMPRODUCT(MAX(ROW(E$1:E2845)*(E2=E$1:E2845))))))</f>
        <v> </v>
      </c>
      <c r="K2846" s="25" t="str">
        <f>IF(OR(E2846="",E2846="!!!",F2846="NEW"),"",INDEX(J$1:J2845,SUMPRODUCT(MAX(ROW(E$1:E2845)*(E2846=E$1:E2845)))))</f>
        <v> </v>
      </c>
      <c r="L2846" s="26"/>
    </row>
    <row r="2847" spans="1:12">
      <c r="A2847" s="20" t="s">
        <v>1975</v>
      </c>
      <c r="B2847" s="27" t="s">
        <v>791</v>
      </c>
      <c r="C2847" s="27" t="s">
        <v>788</v>
      </c>
      <c r="E2847" s="21">
        <f>IF(D2847="?OLD","!!!","")</f>
        <v/>
      </c>
      <c r="F2847" s="22" t="str">
        <f>IF(OR(E2847="",E2847="!!!"),"",IF(NOT(ISNA(VLOOKUP(E2847,E$1:E2846,1,FALSE()))),"OLD",IF(AND(E2847&lt;&gt;"",E2847&lt;&gt;"!!!"),"NEW","")))</f>
        <v> </v>
      </c>
      <c r="G2847" s="23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4" t="str">
        <f>IF(J2847&lt;&gt;1,"",IF(I2847="SBJ","CB","?"))</f>
        <v> </v>
      </c>
      <c r="I2847" s="25" t="str">
        <f>IF(OR(E2847="",E2847="!!!",F2847="NEW"),"",INDEX(B2846:B$2,-1+SUMPRODUCT(MAX(ROW(E2846:E$2)*(E2847=E2846:E$2)))))</f>
        <v> </v>
      </c>
      <c r="J2847" s="25" t="str">
        <f>IF(OR(E2847="",E2847="!!!",F2847="NEW"),"",COUNTBLANK(OFFSET(A$1,,,SUMPRODUCT(MAX(ROW(E$2:E2847)*(E2847=E$2:E2847)))))-COUNTBLANK(OFFSET(A$1,,,SUMPRODUCT(MAX(ROW(E$1:E2846)*(E2=E$1:E2846))))))</f>
        <v> </v>
      </c>
      <c r="K2847" s="25" t="str">
        <f>IF(OR(E2847="",E2847="!!!",F2847="NEW"),"",INDEX(J$1:J2846,SUMPRODUCT(MAX(ROW(E$1:E2846)*(E2847=E$1:E2846)))))</f>
        <v> </v>
      </c>
      <c r="L2847" s="26"/>
    </row>
    <row r="2848" spans="1:12">
      <c r="A2848" s="20" t="s">
        <v>744</v>
      </c>
      <c r="E2848" s="21">
        <f>IF(D2848="?OLD","!!!","")</f>
        <v/>
      </c>
      <c r="F2848" s="22" t="str">
        <f>IF(OR(E2848="",E2848="!!!"),"",IF(NOT(ISNA(VLOOKUP(E2848,E$1:E2847,1,FALSE()))),"OLD",IF(AND(E2848&lt;&gt;"",E2848&lt;&gt;"!!!"),"NEW","")))</f>
        <v> </v>
      </c>
      <c r="G2848" s="23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4" t="str">
        <f>IF(J2848&lt;&gt;1,"",IF(I2848="SBJ","CB","?"))</f>
        <v> </v>
      </c>
      <c r="I2848" s="25" t="str">
        <f>IF(OR(E2848="",E2848="!!!",F2848="NEW"),"",INDEX(B2847:B$2,-1+SUMPRODUCT(MAX(ROW(E2847:E$2)*(E2848=E2847:E$2)))))</f>
        <v> </v>
      </c>
      <c r="J2848" s="25" t="str">
        <f>IF(OR(E2848="",E2848="!!!",F2848="NEW"),"",COUNTBLANK(OFFSET(A$1,,,SUMPRODUCT(MAX(ROW(E$2:E2848)*(E2848=E$2:E2848)))))-COUNTBLANK(OFFSET(A$1,,,SUMPRODUCT(MAX(ROW(E$1:E2847)*(E2=E$1:E2847))))))</f>
        <v> </v>
      </c>
      <c r="K2848" s="25" t="str">
        <f>IF(OR(E2848="",E2848="!!!",F2848="NEW"),"",INDEX(J$1:J2847,SUMPRODUCT(MAX(ROW(E$1:E2847)*(E2848=E$1:E2847)))))</f>
        <v> </v>
      </c>
      <c r="L2848" s="26"/>
    </row>
    <row r="2849" spans="1:12">
      <c r="A2849" s="20" t="s">
        <v>79</v>
      </c>
      <c r="E2849" s="21">
        <f>IF(D2849="?OLD","!!!","")</f>
        <v/>
      </c>
      <c r="F2849" s="22" t="str">
        <f>IF(OR(E2849="",E2849="!!!"),"",IF(NOT(ISNA(VLOOKUP(E2849,E$1:E2848,1,FALSE()))),"OLD",IF(AND(E2849&lt;&gt;"",E2849&lt;&gt;"!!!"),"NEW","")))</f>
        <v> </v>
      </c>
      <c r="G2849" s="23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4" t="str">
        <f>IF(J2849&lt;&gt;1,"",IF(I2849="SBJ","CB","?"))</f>
        <v> </v>
      </c>
      <c r="I2849" s="25" t="str">
        <f>IF(OR(E2849="",E2849="!!!",F2849="NEW"),"",INDEX(B2848:B$2,-1+SUMPRODUCT(MAX(ROW(E2848:E$2)*(E2849=E2848:E$2)))))</f>
        <v> </v>
      </c>
      <c r="J2849" s="25" t="str">
        <f>IF(OR(E2849="",E2849="!!!",F2849="NEW"),"",COUNTBLANK(OFFSET(A$1,,,SUMPRODUCT(MAX(ROW(E$2:E2849)*(E2849=E$2:E2849)))))-COUNTBLANK(OFFSET(A$1,,,SUMPRODUCT(MAX(ROW(E$1:E2848)*(E2=E$1:E2848))))))</f>
        <v> </v>
      </c>
      <c r="K2849" s="25" t="str">
        <f>IF(OR(E2849="",E2849="!!!",F2849="NEW"),"",INDEX(J$1:J2848,SUMPRODUCT(MAX(ROW(E$1:E2848)*(E2849=E$1:E2848)))))</f>
        <v> </v>
      </c>
      <c r="L2849" s="26"/>
    </row>
    <row r="2850" spans="1:12">
      <c r="A2850" s="20" t="s">
        <v>622</v>
      </c>
      <c r="E2850" s="21">
        <f>IF(D2850="?OLD","!!!","")</f>
        <v/>
      </c>
      <c r="F2850" s="22" t="str">
        <f>IF(OR(E2850="",E2850="!!!"),"",IF(NOT(ISNA(VLOOKUP(E2850,E$1:E2849,1,FALSE()))),"OLD",IF(AND(E2850&lt;&gt;"",E2850&lt;&gt;"!!!"),"NEW","")))</f>
        <v> </v>
      </c>
      <c r="G2850" s="23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4" t="str">
        <f>IF(J2850&lt;&gt;1,"",IF(I2850="SBJ","CB","?"))</f>
        <v> </v>
      </c>
      <c r="I2850" s="25" t="str">
        <f>IF(OR(E2850="",E2850="!!!",F2850="NEW"),"",INDEX(B2849:B$2,-1+SUMPRODUCT(MAX(ROW(E2849:E$2)*(E2850=E2849:E$2)))))</f>
        <v> </v>
      </c>
      <c r="J2850" s="25" t="str">
        <f>IF(OR(E2850="",E2850="!!!",F2850="NEW"),"",COUNTBLANK(OFFSET(A$1,,,SUMPRODUCT(MAX(ROW(E$2:E2850)*(E2850=E$2:E2850)))))-COUNTBLANK(OFFSET(A$1,,,SUMPRODUCT(MAX(ROW(E$1:E2849)*(E2=E$1:E2849))))))</f>
        <v> </v>
      </c>
      <c r="K2850" s="25" t="str">
        <f>IF(OR(E2850="",E2850="!!!",F2850="NEW"),"",INDEX(J$1:J2849,SUMPRODUCT(MAX(ROW(E$1:E2849)*(E2850=E$1:E2849)))))</f>
        <v> </v>
      </c>
      <c r="L2850" s="26"/>
    </row>
    <row r="2851" spans="1:12">
      <c r="A2851" s="20" t="s">
        <v>851</v>
      </c>
      <c r="B2851" s="27" t="s">
        <v>819</v>
      </c>
      <c r="C2851" s="27" t="s">
        <v>788</v>
      </c>
      <c r="D2851" s="27" t="s">
        <v>736</v>
      </c>
      <c r="E2851" s="21">
        <f>IF(D2851="?OLD","!!!","")</f>
        <v/>
      </c>
      <c r="F2851" s="22" t="str">
        <f>IF(OR(E2851="",E2851="!!!"),"",IF(NOT(ISNA(VLOOKUP(E2851,E$1:E2850,1,FALSE()))),"OLD",IF(AND(E2851&lt;&gt;"",E2851&lt;&gt;"!!!"),"NEW","")))</f>
        <v> </v>
      </c>
      <c r="G2851" s="23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4" t="str">
        <f>IF(J2851&lt;&gt;1,"",IF(I2851="SBJ","CB","?"))</f>
        <v> </v>
      </c>
      <c r="I2851" s="25" t="str">
        <f>IF(OR(E2851="",E2851="!!!",F2851="NEW"),"",INDEX(B2850:B$2,-1+SUMPRODUCT(MAX(ROW(E2850:E$2)*(E2851=E2850:E$2)))))</f>
        <v> </v>
      </c>
      <c r="J2851" s="25" t="str">
        <f>IF(OR(E2851="",E2851="!!!",F2851="NEW"),"",COUNTBLANK(OFFSET(A$1,,,SUMPRODUCT(MAX(ROW(E$2:E2851)*(E2851=E$2:E2851)))))-COUNTBLANK(OFFSET(A$1,,,SUMPRODUCT(MAX(ROW(E$1:E2850)*(E2=E$1:E2850))))))</f>
        <v> </v>
      </c>
      <c r="K2851" s="25" t="str">
        <f>IF(OR(E2851="",E2851="!!!",F2851="NEW"),"",INDEX(J$1:J2850,SUMPRODUCT(MAX(ROW(E$1:E2850)*(E2851=E$1:E2850)))))</f>
        <v> </v>
      </c>
      <c r="L2851" s="26"/>
    </row>
    <row r="2852" spans="1:12">
      <c r="A2852" s="20" t="s">
        <v>1879</v>
      </c>
      <c r="E2852" s="21">
        <f>IF(D2852="?OLD","!!!","")</f>
        <v/>
      </c>
      <c r="F2852" s="22" t="str">
        <f>IF(OR(E2852="",E2852="!!!"),"",IF(NOT(ISNA(VLOOKUP(E2852,E$1:E2851,1,FALSE()))),"OLD",IF(AND(E2852&lt;&gt;"",E2852&lt;&gt;"!!!"),"NEW","")))</f>
        <v> </v>
      </c>
      <c r="G2852" s="23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4" t="str">
        <f>IF(J2852&lt;&gt;1,"",IF(I2852="SBJ","CB","?"))</f>
        <v> </v>
      </c>
      <c r="I2852" s="25" t="str">
        <f>IF(OR(E2852="",E2852="!!!",F2852="NEW"),"",INDEX(B2851:B$2,-1+SUMPRODUCT(MAX(ROW(E2851:E$2)*(E2852=E2851:E$2)))))</f>
        <v> </v>
      </c>
      <c r="J2852" s="25" t="str">
        <f>IF(OR(E2852="",E2852="!!!",F2852="NEW"),"",COUNTBLANK(OFFSET(A$1,,,SUMPRODUCT(MAX(ROW(E$2:E2852)*(E2852=E$2:E2852)))))-COUNTBLANK(OFFSET(A$1,,,SUMPRODUCT(MAX(ROW(E$1:E2851)*(E2=E$1:E2851))))))</f>
        <v> </v>
      </c>
      <c r="K2852" s="25" t="str">
        <f>IF(OR(E2852="",E2852="!!!",F2852="NEW"),"",INDEX(J$1:J2851,SUMPRODUCT(MAX(ROW(E$1:E2851)*(E2852=E$1:E2851)))))</f>
        <v> </v>
      </c>
      <c r="L2852" s="26"/>
    </row>
    <row r="2853" spans="1:12">
      <c r="A2853" s="20" t="s">
        <v>765</v>
      </c>
      <c r="E2853" s="21">
        <f>IF(D2853="?OLD","!!!","")</f>
        <v/>
      </c>
      <c r="F2853" s="22" t="str">
        <f>IF(OR(E2853="",E2853="!!!"),"",IF(NOT(ISNA(VLOOKUP(E2853,E$1:E2852,1,FALSE()))),"OLD",IF(AND(E2853&lt;&gt;"",E2853&lt;&gt;"!!!"),"NEW","")))</f>
        <v> </v>
      </c>
      <c r="G2853" s="23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4" t="str">
        <f>IF(J2853&lt;&gt;1,"",IF(I2853="SBJ","CB","?"))</f>
        <v> </v>
      </c>
      <c r="I2853" s="25" t="str">
        <f>IF(OR(E2853="",E2853="!!!",F2853="NEW"),"",INDEX(B2852:B$2,-1+SUMPRODUCT(MAX(ROW(E2852:E$2)*(E2853=E2852:E$2)))))</f>
        <v> </v>
      </c>
      <c r="J2853" s="25" t="str">
        <f>IF(OR(E2853="",E2853="!!!",F2853="NEW"),"",COUNTBLANK(OFFSET(A$1,,,SUMPRODUCT(MAX(ROW(E$2:E2853)*(E2853=E$2:E2853)))))-COUNTBLANK(OFFSET(A$1,,,SUMPRODUCT(MAX(ROW(E$1:E2852)*(E2=E$1:E2852))))))</f>
        <v> </v>
      </c>
      <c r="K2853" s="25" t="str">
        <f>IF(OR(E2853="",E2853="!!!",F2853="NEW"),"",INDEX(J$1:J2852,SUMPRODUCT(MAX(ROW(E$1:E2852)*(E2853=E$1:E2852)))))</f>
        <v> </v>
      </c>
      <c r="L2853" s="26"/>
    </row>
    <row r="2854" spans="1:12">
      <c r="A2854" s="20"/>
    </row>
    <row r="2855" spans="1:12">
      <c r="A2855" s="20" t="s">
        <v>1976</v>
      </c>
    </row>
    <row r="2856" spans="1:12">
      <c r="A2856" s="20" t="s">
        <v>813</v>
      </c>
      <c r="B2856" s="27" t="s">
        <v>734</v>
      </c>
      <c r="E2856" s="21">
        <f>IF(D2856="?OLD","!!!","")</f>
        <v/>
      </c>
      <c r="F2856" s="22" t="str">
        <f>IF(OR(E2856="",E2856="!!!"),"",IF(NOT(ISNA(VLOOKUP(E2856,E$1:E2855,1,FALSE()))),"OLD",IF(AND(E2856&lt;&gt;"",E2856&lt;&gt;"!!!"),"NEW","")))</f>
        <v> </v>
      </c>
      <c r="G2856" s="23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4" t="str">
        <f>IF(J2856&lt;&gt;1,"",IF(I2856="SBJ","CB","?"))</f>
        <v> </v>
      </c>
      <c r="I2856" s="25" t="str">
        <f>IF(OR(E2856="",E2856="!!!",F2856="NEW"),"",INDEX(B2855:B$2,-1+SUMPRODUCT(MAX(ROW(E2855:E$2)*(E2856=E2855:E$2)))))</f>
        <v> </v>
      </c>
      <c r="J2856" s="25" t="str">
        <f>IF(OR(E2856="",E2856="!!!",F2856="NEW"),"",COUNTBLANK(OFFSET(A$1,,,SUMPRODUCT(MAX(ROW(E$2:E2856)*(E2856=E$2:E2856)))))-COUNTBLANK(OFFSET(A$1,,,SUMPRODUCT(MAX(ROW(E$1:E2855)*(E2=E$1:E2855))))))</f>
        <v> </v>
      </c>
      <c r="K2856" s="25" t="str">
        <f>IF(OR(E2856="",E2856="!!!",F2856="NEW"),"",INDEX(J$1:J2855,SUMPRODUCT(MAX(ROW(E$1:E2855)*(E2856=E$1:E2855)))))</f>
        <v> </v>
      </c>
      <c r="L2856" s="26"/>
    </row>
    <row r="2857" spans="1:12">
      <c r="A2857" s="20" t="s">
        <v>1977</v>
      </c>
      <c r="E2857" s="21">
        <f>IF(D2857="?OLD","!!!","")</f>
        <v/>
      </c>
      <c r="F2857" s="22" t="str">
        <f>IF(OR(E2857="",E2857="!!!"),"",IF(NOT(ISNA(VLOOKUP(E2857,E$1:E2856,1,FALSE()))),"OLD",IF(AND(E2857&lt;&gt;"",E2857&lt;&gt;"!!!"),"NEW","")))</f>
        <v> </v>
      </c>
      <c r="G2857" s="23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4" t="str">
        <f>IF(J2857&lt;&gt;1,"",IF(I2857="SBJ","CB","?"))</f>
        <v> </v>
      </c>
      <c r="I2857" s="25" t="str">
        <f>IF(OR(E2857="",E2857="!!!",F2857="NEW"),"",INDEX(B2856:B$2,-1+SUMPRODUCT(MAX(ROW(E2856:E$2)*(E2857=E2856:E$2)))))</f>
        <v> </v>
      </c>
      <c r="J2857" s="25" t="str">
        <f>IF(OR(E2857="",E2857="!!!",F2857="NEW"),"",COUNTBLANK(OFFSET(A$1,,,SUMPRODUCT(MAX(ROW(E$2:E2857)*(E2857=E$2:E2857)))))-COUNTBLANK(OFFSET(A$1,,,SUMPRODUCT(MAX(ROW(E$1:E2856)*(E2=E$1:E2856))))))</f>
        <v> </v>
      </c>
      <c r="K2857" s="25" t="str">
        <f>IF(OR(E2857="",E2857="!!!",F2857="NEW"),"",INDEX(J$1:J2856,SUMPRODUCT(MAX(ROW(E$1:E2856)*(E2857=E$1:E2856)))))</f>
        <v> </v>
      </c>
      <c r="L2857" s="26"/>
    </row>
    <row r="2858" spans="1:12">
      <c r="A2858" s="20" t="s">
        <v>765</v>
      </c>
      <c r="E2858" s="21">
        <f>IF(D2858="?OLD","!!!","")</f>
        <v/>
      </c>
      <c r="F2858" s="22" t="str">
        <f>IF(OR(E2858="",E2858="!!!"),"",IF(NOT(ISNA(VLOOKUP(E2858,E$1:E2857,1,FALSE()))),"OLD",IF(AND(E2858&lt;&gt;"",E2858&lt;&gt;"!!!"),"NEW","")))</f>
        <v> </v>
      </c>
      <c r="G2858" s="23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4" t="str">
        <f>IF(J2858&lt;&gt;1,"",IF(I2858="SBJ","CB","?"))</f>
        <v> </v>
      </c>
      <c r="I2858" s="25" t="str">
        <f>IF(OR(E2858="",E2858="!!!",F2858="NEW"),"",INDEX(B2857:B$2,-1+SUMPRODUCT(MAX(ROW(E2857:E$2)*(E2858=E2857:E$2)))))</f>
        <v> </v>
      </c>
      <c r="J2858" s="25" t="str">
        <f>IF(OR(E2858="",E2858="!!!",F2858="NEW"),"",COUNTBLANK(OFFSET(A$1,,,SUMPRODUCT(MAX(ROW(E$2:E2858)*(E2858=E$2:E2858)))))-COUNTBLANK(OFFSET(A$1,,,SUMPRODUCT(MAX(ROW(E$1:E2857)*(E2=E$1:E2857))))))</f>
        <v> </v>
      </c>
      <c r="K2858" s="25" t="str">
        <f>IF(OR(E2858="",E2858="!!!",F2858="NEW"),"",INDEX(J$1:J2857,SUMPRODUCT(MAX(ROW(E$1:E2857)*(E2858=E$1:E2857)))))</f>
        <v> </v>
      </c>
      <c r="L2858" s="26"/>
    </row>
    <row r="2859" spans="1:12">
      <c r="A2859" s="20"/>
    </row>
    <row r="2860" spans="1:12">
      <c r="A2860" s="20" t="s">
        <v>1978</v>
      </c>
    </row>
    <row r="2861" spans="1:12">
      <c r="A2861" s="20" t="s">
        <v>731</v>
      </c>
      <c r="E2861" s="21">
        <f>IF(D2861="?OLD","!!!","")</f>
        <v/>
      </c>
      <c r="F2861" s="22" t="str">
        <f>IF(OR(E2861="",E2861="!!!"),"",IF(NOT(ISNA(VLOOKUP(E2861,E$1:E2860,1,FALSE()))),"OLD",IF(AND(E2861&lt;&gt;"",E2861&lt;&gt;"!!!"),"NEW","")))</f>
        <v> </v>
      </c>
      <c r="G2861" s="23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4" t="str">
        <f>IF(J2861&lt;&gt;1,"",IF(I2861="SBJ","CB","?"))</f>
        <v> </v>
      </c>
      <c r="I2861" s="25" t="str">
        <f>IF(OR(E2861="",E2861="!!!",F2861="NEW"),"",INDEX(B2860:B$2,-1+SUMPRODUCT(MAX(ROW(E2860:E$2)*(E2861=E2860:E$2)))))</f>
        <v> </v>
      </c>
      <c r="J2861" s="25" t="str">
        <f>IF(OR(E2861="",E2861="!!!",F2861="NEW"),"",COUNTBLANK(OFFSET(A$1,,,SUMPRODUCT(MAX(ROW(E$2:E2861)*(E2861=E$2:E2861)))))-COUNTBLANK(OFFSET(A$1,,,SUMPRODUCT(MAX(ROW(E$1:E2860)*(E2=E$1:E2860))))))</f>
        <v> </v>
      </c>
      <c r="K2861" s="25" t="str">
        <f>IF(OR(E2861="",E2861="!!!",F2861="NEW"),"",INDEX(J$1:J2860,SUMPRODUCT(MAX(ROW(E$1:E2860)*(E2861=E$1:E2860)))))</f>
        <v> </v>
      </c>
      <c r="L2861" s="26"/>
    </row>
    <row r="2862" spans="1:12">
      <c r="A2862" s="20" t="s">
        <v>815</v>
      </c>
      <c r="E2862" s="21">
        <f>IF(D2862="?OLD","!!!","")</f>
        <v/>
      </c>
      <c r="F2862" s="22" t="str">
        <f>IF(OR(E2862="",E2862="!!!"),"",IF(NOT(ISNA(VLOOKUP(E2862,E$1:E2861,1,FALSE()))),"OLD",IF(AND(E2862&lt;&gt;"",E2862&lt;&gt;"!!!"),"NEW","")))</f>
        <v> </v>
      </c>
      <c r="G2862" s="23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4" t="str">
        <f>IF(J2862&lt;&gt;1,"",IF(I2862="SBJ","CB","?"))</f>
        <v> </v>
      </c>
      <c r="I2862" s="25" t="str">
        <f>IF(OR(E2862="",E2862="!!!",F2862="NEW"),"",INDEX(B2861:B$2,-1+SUMPRODUCT(MAX(ROW(E2861:E$2)*(E2862=E2861:E$2)))))</f>
        <v> </v>
      </c>
      <c r="J2862" s="25" t="str">
        <f>IF(OR(E2862="",E2862="!!!",F2862="NEW"),"",COUNTBLANK(OFFSET(A$1,,,SUMPRODUCT(MAX(ROW(E$2:E2862)*(E2862=E$2:E2862)))))-COUNTBLANK(OFFSET(A$1,,,SUMPRODUCT(MAX(ROW(E$1:E2861)*(E2=E$1:E2861))))))</f>
        <v> </v>
      </c>
      <c r="K2862" s="25" t="str">
        <f>IF(OR(E2862="",E2862="!!!",F2862="NEW"),"",INDEX(J$1:J2861,SUMPRODUCT(MAX(ROW(E$1:E2861)*(E2862=E$1:E2861)))))</f>
        <v> </v>
      </c>
      <c r="L2862" s="26"/>
    </row>
    <row r="2863" spans="1:12">
      <c r="A2863" s="20" t="s">
        <v>733</v>
      </c>
      <c r="E2863" s="21">
        <f>IF(D2863="?OLD","!!!","")</f>
        <v/>
      </c>
      <c r="F2863" s="22" t="str">
        <f>IF(OR(E2863="",E2863="!!!"),"",IF(NOT(ISNA(VLOOKUP(E2863,E$1:E2862,1,FALSE()))),"OLD",IF(AND(E2863&lt;&gt;"",E2863&lt;&gt;"!!!"),"NEW","")))</f>
        <v> </v>
      </c>
      <c r="G2863" s="23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4" t="str">
        <f>IF(J2863&lt;&gt;1,"",IF(I2863="SBJ","CB","?"))</f>
        <v> </v>
      </c>
      <c r="I2863" s="25" t="str">
        <f>IF(OR(E2863="",E2863="!!!",F2863="NEW"),"",INDEX(B2862:B$2,-1+SUMPRODUCT(MAX(ROW(E2862:E$2)*(E2863=E2862:E$2)))))</f>
        <v> </v>
      </c>
      <c r="J2863" s="25" t="str">
        <f>IF(OR(E2863="",E2863="!!!",F2863="NEW"),"",COUNTBLANK(OFFSET(A$1,,,SUMPRODUCT(MAX(ROW(E$2:E2863)*(E2863=E$2:E2863)))))-COUNTBLANK(OFFSET(A$1,,,SUMPRODUCT(MAX(ROW(E$1:E2862)*(E2=E$1:E2862))))))</f>
        <v> </v>
      </c>
      <c r="K2863" s="25" t="str">
        <f>IF(OR(E2863="",E2863="!!!",F2863="NEW"),"",INDEX(J$1:J2862,SUMPRODUCT(MAX(ROW(E$1:E2862)*(E2863=E$1:E2862)))))</f>
        <v> </v>
      </c>
      <c r="L2863" s="26"/>
    </row>
    <row r="2864" spans="1:12">
      <c r="A2864" s="20" t="s">
        <v>1979</v>
      </c>
      <c r="B2864" s="27" t="s">
        <v>838</v>
      </c>
      <c r="C2864" s="27" t="s">
        <v>735</v>
      </c>
      <c r="D2864" s="27" t="s">
        <v>736</v>
      </c>
      <c r="E2864" s="21">
        <f>IF(D2864="?OLD","!!!","")</f>
        <v/>
      </c>
      <c r="F2864" s="22" t="str">
        <f>IF(OR(E2864="",E2864="!!!"),"",IF(NOT(ISNA(VLOOKUP(E2864,E$1:E2863,1,FALSE()))),"OLD",IF(AND(E2864&lt;&gt;"",E2864&lt;&gt;"!!!"),"NEW","")))</f>
        <v> </v>
      </c>
      <c r="G2864" s="23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4" t="str">
        <f>IF(J2864&lt;&gt;1,"",IF(I2864="SBJ","CB","?"))</f>
        <v> </v>
      </c>
      <c r="I2864" s="25" t="str">
        <f>IF(OR(E2864="",E2864="!!!",F2864="NEW"),"",INDEX(B2863:B$2,-1+SUMPRODUCT(MAX(ROW(E2863:E$2)*(E2864=E2863:E$2)))))</f>
        <v> </v>
      </c>
      <c r="J2864" s="25" t="str">
        <f>IF(OR(E2864="",E2864="!!!",F2864="NEW"),"",COUNTBLANK(OFFSET(A$1,,,SUMPRODUCT(MAX(ROW(E$2:E2864)*(E2864=E$2:E2864)))))-COUNTBLANK(OFFSET(A$1,,,SUMPRODUCT(MAX(ROW(E$1:E2863)*(E2=E$1:E2863))))))</f>
        <v> </v>
      </c>
      <c r="K2864" s="25" t="str">
        <f>IF(OR(E2864="",E2864="!!!",F2864="NEW"),"",INDEX(J$1:J2863,SUMPRODUCT(MAX(ROW(E$1:E2863)*(E2864=E$1:E2863)))))</f>
        <v> </v>
      </c>
      <c r="L2864" s="26"/>
    </row>
    <row r="2865" spans="1:12">
      <c r="A2865" s="20" t="s">
        <v>1980</v>
      </c>
      <c r="B2865" s="27" t="s">
        <v>738</v>
      </c>
      <c r="C2865" s="27" t="s">
        <v>735</v>
      </c>
      <c r="D2865" s="27" t="s">
        <v>736</v>
      </c>
      <c r="E2865" s="21">
        <f>IF(D2865="?OLD","!!!","")</f>
        <v/>
      </c>
      <c r="F2865" s="22" t="str">
        <f>IF(OR(E2865="",E2865="!!!"),"",IF(NOT(ISNA(VLOOKUP(E2865,E$1:E2864,1,FALSE()))),"OLD",IF(AND(E2865&lt;&gt;"",E2865&lt;&gt;"!!!"),"NEW","")))</f>
        <v> </v>
      </c>
      <c r="G2865" s="23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4" t="str">
        <f>IF(J2865&lt;&gt;1,"",IF(I2865="SBJ","CB","?"))</f>
        <v> </v>
      </c>
      <c r="I2865" s="25" t="str">
        <f>IF(OR(E2865="",E2865="!!!",F2865="NEW"),"",INDEX(B2864:B$2,-1+SUMPRODUCT(MAX(ROW(E2864:E$2)*(E2865=E2864:E$2)))))</f>
        <v> </v>
      </c>
      <c r="J2865" s="25" t="str">
        <f>IF(OR(E2865="",E2865="!!!",F2865="NEW"),"",COUNTBLANK(OFFSET(A$1,,,SUMPRODUCT(MAX(ROW(E$2:E2865)*(E2865=E$2:E2865)))))-COUNTBLANK(OFFSET(A$1,,,SUMPRODUCT(MAX(ROW(E$1:E2864)*(E2=E$1:E2864))))))</f>
        <v> </v>
      </c>
      <c r="K2865" s="25" t="str">
        <f>IF(OR(E2865="",E2865="!!!",F2865="NEW"),"",INDEX(J$1:J2864,SUMPRODUCT(MAX(ROW(E$1:E2864)*(E2865=E$1:E2864)))))</f>
        <v> </v>
      </c>
      <c r="L2865" s="26"/>
    </row>
    <row r="2866" spans="1:12">
      <c r="A2866" s="20" t="s">
        <v>739</v>
      </c>
      <c r="E2866" s="21">
        <f>IF(D2866="?OLD","!!!","")</f>
        <v/>
      </c>
      <c r="F2866" s="22" t="str">
        <f>IF(OR(E2866="",E2866="!!!"),"",IF(NOT(ISNA(VLOOKUP(E2866,E$1:E2865,1,FALSE()))),"OLD",IF(AND(E2866&lt;&gt;"",E2866&lt;&gt;"!!!"),"NEW","")))</f>
        <v> </v>
      </c>
      <c r="G2866" s="23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4" t="str">
        <f>IF(J2866&lt;&gt;1,"",IF(I2866="SBJ","CB","?"))</f>
        <v> </v>
      </c>
      <c r="I2866" s="25" t="str">
        <f>IF(OR(E2866="",E2866="!!!",F2866="NEW"),"",INDEX(B2865:B$2,-1+SUMPRODUCT(MAX(ROW(E2865:E$2)*(E2866=E2865:E$2)))))</f>
        <v> </v>
      </c>
      <c r="J2866" s="25" t="str">
        <f>IF(OR(E2866="",E2866="!!!",F2866="NEW"),"",COUNTBLANK(OFFSET(A$1,,,SUMPRODUCT(MAX(ROW(E$2:E2866)*(E2866=E$2:E2866)))))-COUNTBLANK(OFFSET(A$1,,,SUMPRODUCT(MAX(ROW(E$1:E2865)*(E2=E$1:E2865))))))</f>
        <v> </v>
      </c>
      <c r="K2866" s="25" t="str">
        <f>IF(OR(E2866="",E2866="!!!",F2866="NEW"),"",INDEX(J$1:J2865,SUMPRODUCT(MAX(ROW(E$1:E2865)*(E2866=E$1:E2865)))))</f>
        <v> </v>
      </c>
      <c r="L2866" s="26"/>
    </row>
    <row r="2867" spans="1:12">
      <c r="A2867" s="20"/>
    </row>
    <row r="2868" spans="1:12">
      <c r="A2868" s="20" t="s">
        <v>1981</v>
      </c>
    </row>
    <row r="2869" spans="1:12">
      <c r="A2869" s="20" t="s">
        <v>1982</v>
      </c>
      <c r="E2869" s="21">
        <f>IF(D2869="?OLD","!!!","")</f>
        <v/>
      </c>
      <c r="F2869" s="22" t="str">
        <f>IF(OR(E2869="",E2869="!!!"),"",IF(NOT(ISNA(VLOOKUP(E2869,E$1:E2868,1,FALSE()))),"OLD",IF(AND(E2869&lt;&gt;"",E2869&lt;&gt;"!!!"),"NEW","")))</f>
        <v> </v>
      </c>
      <c r="G2869" s="23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4" t="str">
        <f>IF(J2869&lt;&gt;1,"",IF(I2869="SBJ","CB","?"))</f>
        <v> </v>
      </c>
      <c r="I2869" s="25" t="str">
        <f>IF(OR(E2869="",E2869="!!!",F2869="NEW"),"",INDEX(B2868:B$2,-1+SUMPRODUCT(MAX(ROW(E2868:E$2)*(E2869=E2868:E$2)))))</f>
        <v> </v>
      </c>
      <c r="J2869" s="25" t="str">
        <f>IF(OR(E2869="",E2869="!!!",F2869="NEW"),"",COUNTBLANK(OFFSET(A$1,,,SUMPRODUCT(MAX(ROW(E$2:E2869)*(E2869=E$2:E2869)))))-COUNTBLANK(OFFSET(A$1,,,SUMPRODUCT(MAX(ROW(E$1:E2868)*(E2=E$1:E2868))))))</f>
        <v> </v>
      </c>
      <c r="K2869" s="25" t="str">
        <f>IF(OR(E2869="",E2869="!!!",F2869="NEW"),"",INDEX(J$1:J2868,SUMPRODUCT(MAX(ROW(E$1:E2868)*(E2869=E$1:E2868)))))</f>
        <v> </v>
      </c>
      <c r="L2869" s="26"/>
    </row>
    <row r="2870" spans="1:12">
      <c r="A2870" s="20" t="s">
        <v>884</v>
      </c>
      <c r="E2870" s="21">
        <f>IF(D2870="?OLD","!!!","")</f>
        <v/>
      </c>
      <c r="F2870" s="22" t="str">
        <f>IF(OR(E2870="",E2870="!!!"),"",IF(NOT(ISNA(VLOOKUP(E2870,E$1:E2869,1,FALSE()))),"OLD",IF(AND(E2870&lt;&gt;"",E2870&lt;&gt;"!!!"),"NEW","")))</f>
        <v> </v>
      </c>
      <c r="G2870" s="23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4" t="str">
        <f>IF(J2870&lt;&gt;1,"",IF(I2870="SBJ","CB","?"))</f>
        <v> </v>
      </c>
      <c r="I2870" s="25" t="str">
        <f>IF(OR(E2870="",E2870="!!!",F2870="NEW"),"",INDEX(B2869:B$2,-1+SUMPRODUCT(MAX(ROW(E2869:E$2)*(E2870=E2869:E$2)))))</f>
        <v> </v>
      </c>
      <c r="J2870" s="25" t="str">
        <f>IF(OR(E2870="",E2870="!!!",F2870="NEW"),"",COUNTBLANK(OFFSET(A$1,,,SUMPRODUCT(MAX(ROW(E$2:E2870)*(E2870=E$2:E2870)))))-COUNTBLANK(OFFSET(A$1,,,SUMPRODUCT(MAX(ROW(E$1:E2869)*(E2=E$1:E2869))))))</f>
        <v> </v>
      </c>
      <c r="K2870" s="25" t="str">
        <f>IF(OR(E2870="",E2870="!!!",F2870="NEW"),"",INDEX(J$1:J2869,SUMPRODUCT(MAX(ROW(E$1:E2869)*(E2870=E$1:E2869)))))</f>
        <v> </v>
      </c>
      <c r="L2870" s="26"/>
    </row>
    <row r="2871" spans="1:12">
      <c r="A2871" s="20" t="s">
        <v>765</v>
      </c>
      <c r="E2871" s="21">
        <f>IF(D2871="?OLD","!!!","")</f>
        <v/>
      </c>
      <c r="F2871" s="22" t="str">
        <f>IF(OR(E2871="",E2871="!!!"),"",IF(NOT(ISNA(VLOOKUP(E2871,E$1:E2870,1,FALSE()))),"OLD",IF(AND(E2871&lt;&gt;"",E2871&lt;&gt;"!!!"),"NEW","")))</f>
        <v> </v>
      </c>
      <c r="G2871" s="23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4" t="str">
        <f>IF(J2871&lt;&gt;1,"",IF(I2871="SBJ","CB","?"))</f>
        <v> </v>
      </c>
      <c r="I2871" s="25" t="str">
        <f>IF(OR(E2871="",E2871="!!!",F2871="NEW"),"",INDEX(B2870:B$2,-1+SUMPRODUCT(MAX(ROW(E2870:E$2)*(E2871=E2870:E$2)))))</f>
        <v> </v>
      </c>
      <c r="J2871" s="25" t="str">
        <f>IF(OR(E2871="",E2871="!!!",F2871="NEW"),"",COUNTBLANK(OFFSET(A$1,,,SUMPRODUCT(MAX(ROW(E$2:E2871)*(E2871=E$2:E2871)))))-COUNTBLANK(OFFSET(A$1,,,SUMPRODUCT(MAX(ROW(E$1:E2870)*(E2=E$1:E2870))))))</f>
        <v> </v>
      </c>
      <c r="K2871" s="25" t="str">
        <f>IF(OR(E2871="",E2871="!!!",F2871="NEW"),"",INDEX(J$1:J2870,SUMPRODUCT(MAX(ROW(E$1:E2870)*(E2871=E$1:E2870)))))</f>
        <v> </v>
      </c>
      <c r="L2871" s="26"/>
    </row>
    <row r="2872" spans="1:12">
      <c r="A2872" s="20"/>
    </row>
    <row r="2873" spans="1:12">
      <c r="A2873" s="20" t="s">
        <v>1983</v>
      </c>
    </row>
    <row r="2874" spans="1:12">
      <c r="A2874" s="20" t="s">
        <v>812</v>
      </c>
      <c r="E2874" s="21">
        <f>IF(D2874="?OLD","!!!","")</f>
        <v/>
      </c>
      <c r="F2874" s="22" t="str">
        <f>IF(OR(E2874="",E2874="!!!"),"",IF(NOT(ISNA(VLOOKUP(E2874,E$1:E2873,1,FALSE()))),"OLD",IF(AND(E2874&lt;&gt;"",E2874&lt;&gt;"!!!"),"NEW","")))</f>
        <v> </v>
      </c>
      <c r="G2874" s="23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4" t="str">
        <f>IF(J2874&lt;&gt;1,"",IF(I2874="SBJ","CB","?"))</f>
        <v> </v>
      </c>
      <c r="I2874" s="25" t="str">
        <f>IF(OR(E2874="",E2874="!!!",F2874="NEW"),"",INDEX(B2873:B$2,-1+SUMPRODUCT(MAX(ROW(E2873:E$2)*(E2874=E2873:E$2)))))</f>
        <v> </v>
      </c>
      <c r="J2874" s="25" t="str">
        <f>IF(OR(E2874="",E2874="!!!",F2874="NEW"),"",COUNTBLANK(OFFSET(A$1,,,SUMPRODUCT(MAX(ROW(E$2:E2874)*(E2874=E$2:E2874)))))-COUNTBLANK(OFFSET(A$1,,,SUMPRODUCT(MAX(ROW(E$1:E2873)*(E2=E$1:E2873))))))</f>
        <v> </v>
      </c>
      <c r="K2874" s="25" t="str">
        <f>IF(OR(E2874="",E2874="!!!",F2874="NEW"),"",INDEX(J$1:J2873,SUMPRODUCT(MAX(ROW(E$1:E2873)*(E2874=E$1:E2873)))))</f>
        <v> </v>
      </c>
      <c r="L2874" s="26"/>
    </row>
    <row r="2875" spans="1:12">
      <c r="A2875" s="20" t="s">
        <v>739</v>
      </c>
      <c r="E2875" s="21">
        <f>IF(D2875="?OLD","!!!","")</f>
        <v/>
      </c>
      <c r="F2875" s="22" t="str">
        <f>IF(OR(E2875="",E2875="!!!"),"",IF(NOT(ISNA(VLOOKUP(E2875,E$1:E2874,1,FALSE()))),"OLD",IF(AND(E2875&lt;&gt;"",E2875&lt;&gt;"!!!"),"NEW","")))</f>
        <v> </v>
      </c>
      <c r="G2875" s="23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4" t="str">
        <f>IF(J2875&lt;&gt;1,"",IF(I2875="SBJ","CB","?"))</f>
        <v> </v>
      </c>
      <c r="I2875" s="25" t="str">
        <f>IF(OR(E2875="",E2875="!!!",F2875="NEW"),"",INDEX(B2874:B$2,-1+SUMPRODUCT(MAX(ROW(E2874:E$2)*(E2875=E2874:E$2)))))</f>
        <v> </v>
      </c>
      <c r="J2875" s="25" t="str">
        <f>IF(OR(E2875="",E2875="!!!",F2875="NEW"),"",COUNTBLANK(OFFSET(A$1,,,SUMPRODUCT(MAX(ROW(E$2:E2875)*(E2875=E$2:E2875)))))-COUNTBLANK(OFFSET(A$1,,,SUMPRODUCT(MAX(ROW(E$1:E2874)*(E2=E$1:E2874))))))</f>
        <v> </v>
      </c>
      <c r="K2875" s="25" t="str">
        <f>IF(OR(E2875="",E2875="!!!",F2875="NEW"),"",INDEX(J$1:J2874,SUMPRODUCT(MAX(ROW(E$1:E2874)*(E2875=E$1:E2874)))))</f>
        <v> </v>
      </c>
      <c r="L2875" s="26"/>
    </row>
    <row r="2876" spans="1:12">
      <c r="A2876" s="20" t="s">
        <v>1522</v>
      </c>
      <c r="B2876" s="27" t="s">
        <v>762</v>
      </c>
      <c r="C2876" s="27" t="s">
        <v>756</v>
      </c>
      <c r="D2876" s="27" t="s">
        <v>736</v>
      </c>
      <c r="E2876" s="21">
        <f>IF(D2876="?OLD","!!!","")</f>
        <v/>
      </c>
      <c r="F2876" s="22" t="str">
        <f>IF(OR(E2876="",E2876="!!!"),"",IF(NOT(ISNA(VLOOKUP(E2876,E$1:E2875,1,FALSE()))),"OLD",IF(AND(E2876&lt;&gt;"",E2876&lt;&gt;"!!!"),"NEW","")))</f>
        <v> </v>
      </c>
      <c r="G2876" s="23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4" t="str">
        <f>IF(J2876&lt;&gt;1,"",IF(I2876="SBJ","CB","?"))</f>
        <v> </v>
      </c>
      <c r="I2876" s="25" t="str">
        <f>IF(OR(E2876="",E2876="!!!",F2876="NEW"),"",INDEX(B2875:B$2,-1+SUMPRODUCT(MAX(ROW(E2875:E$2)*(E2876=E2875:E$2)))))</f>
        <v> </v>
      </c>
      <c r="J2876" s="25" t="str">
        <f>IF(OR(E2876="",E2876="!!!",F2876="NEW"),"",COUNTBLANK(OFFSET(A$1,,,SUMPRODUCT(MAX(ROW(E$2:E2876)*(E2876=E$2:E2876)))))-COUNTBLANK(OFFSET(A$1,,,SUMPRODUCT(MAX(ROW(E$1:E2875)*(E2=E$1:E2875))))))</f>
        <v> </v>
      </c>
      <c r="K2876" s="25" t="str">
        <f>IF(OR(E2876="",E2876="!!!",F2876="NEW"),"",INDEX(J$1:J2875,SUMPRODUCT(MAX(ROW(E$1:E2875)*(E2876=E$1:E2875)))))</f>
        <v> </v>
      </c>
      <c r="L2876" s="26"/>
    </row>
    <row r="2877" spans="1:12">
      <c r="A2877" s="20" t="s">
        <v>1494</v>
      </c>
      <c r="B2877" s="27" t="s">
        <v>819</v>
      </c>
      <c r="C2877" s="27" t="s">
        <v>756</v>
      </c>
      <c r="D2877" s="27" t="s">
        <v>736</v>
      </c>
      <c r="E2877" s="21">
        <f>IF(D2877="?OLD","!!!","")</f>
        <v/>
      </c>
      <c r="F2877" s="22" t="str">
        <f>IF(OR(E2877="",E2877="!!!"),"",IF(NOT(ISNA(VLOOKUP(E2877,E$1:E2876,1,FALSE()))),"OLD",IF(AND(E2877&lt;&gt;"",E2877&lt;&gt;"!!!"),"NEW","")))</f>
        <v> </v>
      </c>
      <c r="G2877" s="23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4" t="str">
        <f>IF(J2877&lt;&gt;1,"",IF(I2877="SBJ","CB","?"))</f>
        <v> </v>
      </c>
      <c r="I2877" s="25" t="str">
        <f>IF(OR(E2877="",E2877="!!!",F2877="NEW"),"",INDEX(B2876:B$2,-1+SUMPRODUCT(MAX(ROW(E2876:E$2)*(E2877=E2876:E$2)))))</f>
        <v> </v>
      </c>
      <c r="J2877" s="25" t="str">
        <f>IF(OR(E2877="",E2877="!!!",F2877="NEW"),"",COUNTBLANK(OFFSET(A$1,,,SUMPRODUCT(MAX(ROW(E$2:E2877)*(E2877=E$2:E2877)))))-COUNTBLANK(OFFSET(A$1,,,SUMPRODUCT(MAX(ROW(E$1:E2876)*(E2=E$1:E2876))))))</f>
        <v> </v>
      </c>
      <c r="K2877" s="25" t="str">
        <f>IF(OR(E2877="",E2877="!!!",F2877="NEW"),"",INDEX(J$1:J2876,SUMPRODUCT(MAX(ROW(E$1:E2876)*(E2877=E$1:E2876)))))</f>
        <v> </v>
      </c>
      <c r="L2877" s="26"/>
    </row>
    <row r="2878" spans="1:12">
      <c r="A2878" s="20" t="s">
        <v>1984</v>
      </c>
      <c r="E2878" s="21">
        <f>IF(D2878="?OLD","!!!","")</f>
        <v/>
      </c>
      <c r="F2878" s="22" t="str">
        <f>IF(OR(E2878="",E2878="!!!"),"",IF(NOT(ISNA(VLOOKUP(E2878,E$1:E2877,1,FALSE()))),"OLD",IF(AND(E2878&lt;&gt;"",E2878&lt;&gt;"!!!"),"NEW","")))</f>
        <v> </v>
      </c>
      <c r="G2878" s="23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4" t="str">
        <f>IF(J2878&lt;&gt;1,"",IF(I2878="SBJ","CB","?"))</f>
        <v> </v>
      </c>
      <c r="I2878" s="25" t="str">
        <f>IF(OR(E2878="",E2878="!!!",F2878="NEW"),"",INDEX(B2877:B$2,-1+SUMPRODUCT(MAX(ROW(E2877:E$2)*(E2878=E2877:E$2)))))</f>
        <v> </v>
      </c>
      <c r="J2878" s="25" t="str">
        <f>IF(OR(E2878="",E2878="!!!",F2878="NEW"),"",COUNTBLANK(OFFSET(A$1,,,SUMPRODUCT(MAX(ROW(E$2:E2878)*(E2878=E$2:E2878)))))-COUNTBLANK(OFFSET(A$1,,,SUMPRODUCT(MAX(ROW(E$1:E2877)*(E2=E$1:E2877))))))</f>
        <v> </v>
      </c>
      <c r="K2878" s="25" t="str">
        <f>IF(OR(E2878="",E2878="!!!",F2878="NEW"),"",INDEX(J$1:J2877,SUMPRODUCT(MAX(ROW(E$1:E2877)*(E2878=E$1:E2877)))))</f>
        <v> </v>
      </c>
      <c r="L2878" s="26"/>
    </row>
    <row r="2879" spans="1:12">
      <c r="A2879" s="20" t="s">
        <v>1985</v>
      </c>
      <c r="E2879" s="21">
        <f>IF(D2879="?OLD","!!!","")</f>
        <v/>
      </c>
      <c r="F2879" s="22" t="str">
        <f>IF(OR(E2879="",E2879="!!!"),"",IF(NOT(ISNA(VLOOKUP(E2879,E$1:E2878,1,FALSE()))),"OLD",IF(AND(E2879&lt;&gt;"",E2879&lt;&gt;"!!!"),"NEW","")))</f>
        <v> </v>
      </c>
      <c r="G2879" s="23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4" t="str">
        <f>IF(J2879&lt;&gt;1,"",IF(I2879="SBJ","CB","?"))</f>
        <v> </v>
      </c>
      <c r="I2879" s="25" t="str">
        <f>IF(OR(E2879="",E2879="!!!",F2879="NEW"),"",INDEX(B2878:B$2,-1+SUMPRODUCT(MAX(ROW(E2878:E$2)*(E2879=E2878:E$2)))))</f>
        <v> </v>
      </c>
      <c r="J2879" s="25" t="str">
        <f>IF(OR(E2879="",E2879="!!!",F2879="NEW"),"",COUNTBLANK(OFFSET(A$1,,,SUMPRODUCT(MAX(ROW(E$2:E2879)*(E2879=E$2:E2879)))))-COUNTBLANK(OFFSET(A$1,,,SUMPRODUCT(MAX(ROW(E$1:E2878)*(E2=E$1:E2878))))))</f>
        <v> </v>
      </c>
      <c r="K2879" s="25" t="str">
        <f>IF(OR(E2879="",E2879="!!!",F2879="NEW"),"",INDEX(J$1:J2878,SUMPRODUCT(MAX(ROW(E$1:E2878)*(E2879=E$1:E2878)))))</f>
        <v> </v>
      </c>
      <c r="L2879" s="26"/>
    </row>
    <row r="2880" spans="1:12">
      <c r="A2880" s="20" t="s">
        <v>965</v>
      </c>
      <c r="B2880" s="27" t="s">
        <v>819</v>
      </c>
      <c r="E2880" s="21">
        <f>IF(D2880="?OLD","!!!","")</f>
        <v/>
      </c>
      <c r="F2880" s="22" t="str">
        <f>IF(OR(E2880="",E2880="!!!"),"",IF(NOT(ISNA(VLOOKUP(E2880,E$1:E2879,1,FALSE()))),"OLD",IF(AND(E2880&lt;&gt;"",E2880&lt;&gt;"!!!"),"NEW","")))</f>
        <v> </v>
      </c>
      <c r="G2880" s="23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4" t="str">
        <f>IF(J2880&lt;&gt;1,"",IF(I2880="SBJ","CB","?"))</f>
        <v> </v>
      </c>
      <c r="I2880" s="25" t="str">
        <f>IF(OR(E2880="",E2880="!!!",F2880="NEW"),"",INDEX(B2879:B$2,-1+SUMPRODUCT(MAX(ROW(E2879:E$2)*(E2880=E2879:E$2)))))</f>
        <v> </v>
      </c>
      <c r="J2880" s="25" t="str">
        <f>IF(OR(E2880="",E2880="!!!",F2880="NEW"),"",COUNTBLANK(OFFSET(A$1,,,SUMPRODUCT(MAX(ROW(E$2:E2880)*(E2880=E$2:E2880)))))-COUNTBLANK(OFFSET(A$1,,,SUMPRODUCT(MAX(ROW(E$1:E2879)*(E2=E$1:E2879))))))</f>
        <v> </v>
      </c>
      <c r="K2880" s="25" t="str">
        <f>IF(OR(E2880="",E2880="!!!",F2880="NEW"),"",INDEX(J$1:J2879,SUMPRODUCT(MAX(ROW(E$1:E2879)*(E2880=E$1:E2879)))))</f>
        <v> </v>
      </c>
      <c r="L2880" s="26"/>
    </row>
    <row r="2881" spans="1:12">
      <c r="A2881" s="20" t="s">
        <v>752</v>
      </c>
      <c r="E2881" s="21">
        <f>IF(D2881="?OLD","!!!","")</f>
        <v/>
      </c>
      <c r="F2881" s="22" t="str">
        <f>IF(OR(E2881="",E2881="!!!"),"",IF(NOT(ISNA(VLOOKUP(E2881,E$1:E2880,1,FALSE()))),"OLD",IF(AND(E2881&lt;&gt;"",E2881&lt;&gt;"!!!"),"NEW","")))</f>
        <v> </v>
      </c>
      <c r="G2881" s="23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4" t="str">
        <f>IF(J2881&lt;&gt;1,"",IF(I2881="SBJ","CB","?"))</f>
        <v> </v>
      </c>
      <c r="I2881" s="25" t="str">
        <f>IF(OR(E2881="",E2881="!!!",F2881="NEW"),"",INDEX(B2880:B$2,-1+SUMPRODUCT(MAX(ROW(E2880:E$2)*(E2881=E2880:E$2)))))</f>
        <v> </v>
      </c>
      <c r="J2881" s="25" t="str">
        <f>IF(OR(E2881="",E2881="!!!",F2881="NEW"),"",COUNTBLANK(OFFSET(A$1,,,SUMPRODUCT(MAX(ROW(E$2:E2881)*(E2881=E$2:E2881)))))-COUNTBLANK(OFFSET(A$1,,,SUMPRODUCT(MAX(ROW(E$1:E2880)*(E2=E$1:E2880))))))</f>
        <v> </v>
      </c>
      <c r="K2881" s="25" t="str">
        <f>IF(OR(E2881="",E2881="!!!",F2881="NEW"),"",INDEX(J$1:J2880,SUMPRODUCT(MAX(ROW(E$1:E2880)*(E2881=E$1:E2880)))))</f>
        <v> </v>
      </c>
      <c r="L2881" s="26"/>
    </row>
    <row r="2882" spans="1:12">
      <c r="A2882" s="20"/>
    </row>
    <row r="2883" spans="1:12">
      <c r="A2883" s="20" t="s">
        <v>1986</v>
      </c>
    </row>
    <row r="2884" spans="1:12">
      <c r="A2884" s="20" t="s">
        <v>1987</v>
      </c>
      <c r="E2884" s="21">
        <f>IF(D2884="?OLD","!!!","")</f>
        <v/>
      </c>
      <c r="F2884" s="22" t="str">
        <f>IF(OR(E2884="",E2884="!!!"),"",IF(NOT(ISNA(VLOOKUP(E2884,E$1:E2883,1,FALSE()))),"OLD",IF(AND(E2884&lt;&gt;"",E2884&lt;&gt;"!!!"),"NEW","")))</f>
        <v> </v>
      </c>
      <c r="G2884" s="23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4" t="str">
        <f>IF(J2884&lt;&gt;1,"",IF(I2884="SBJ","CB","?"))</f>
        <v> </v>
      </c>
      <c r="I2884" s="25" t="str">
        <f>IF(OR(E2884="",E2884="!!!",F2884="NEW"),"",INDEX(B2883:B$2,-1+SUMPRODUCT(MAX(ROW(E2883:E$2)*(E2884=E2883:E$2)))))</f>
        <v> </v>
      </c>
      <c r="J2884" s="25" t="str">
        <f>IF(OR(E2884="",E2884="!!!",F2884="NEW"),"",COUNTBLANK(OFFSET(A$1,,,SUMPRODUCT(MAX(ROW(E$2:E2884)*(E2884=E$2:E2884)))))-COUNTBLANK(OFFSET(A$1,,,SUMPRODUCT(MAX(ROW(E$1:E2883)*(E2=E$1:E2883))))))</f>
        <v> </v>
      </c>
      <c r="K2884" s="25" t="str">
        <f>IF(OR(E2884="",E2884="!!!",F2884="NEW"),"",INDEX(J$1:J2883,SUMPRODUCT(MAX(ROW(E$1:E2883)*(E2884=E$1:E2883)))))</f>
        <v> </v>
      </c>
      <c r="L2884" s="26"/>
    </row>
    <row r="2885" spans="1:12">
      <c r="A2885" s="20" t="s">
        <v>739</v>
      </c>
      <c r="E2885" s="21">
        <f>IF(D2885="?OLD","!!!","")</f>
        <v/>
      </c>
      <c r="F2885" s="22" t="str">
        <f>IF(OR(E2885="",E2885="!!!"),"",IF(NOT(ISNA(VLOOKUP(E2885,E$1:E2884,1,FALSE()))),"OLD",IF(AND(E2885&lt;&gt;"",E2885&lt;&gt;"!!!"),"NEW","")))</f>
        <v> </v>
      </c>
      <c r="G2885" s="23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4" t="str">
        <f>IF(J2885&lt;&gt;1,"",IF(I2885="SBJ","CB","?"))</f>
        <v> </v>
      </c>
      <c r="I2885" s="25" t="str">
        <f>IF(OR(E2885="",E2885="!!!",F2885="NEW"),"",INDEX(B2884:B$2,-1+SUMPRODUCT(MAX(ROW(E2884:E$2)*(E2885=E2884:E$2)))))</f>
        <v> </v>
      </c>
      <c r="J2885" s="25" t="str">
        <f>IF(OR(E2885="",E2885="!!!",F2885="NEW"),"",COUNTBLANK(OFFSET(A$1,,,SUMPRODUCT(MAX(ROW(E$2:E2885)*(E2885=E$2:E2885)))))-COUNTBLANK(OFFSET(A$1,,,SUMPRODUCT(MAX(ROW(E$1:E2884)*(E2=E$1:E2884))))))</f>
        <v> </v>
      </c>
      <c r="K2885" s="25" t="str">
        <f>IF(OR(E2885="",E2885="!!!",F2885="NEW"),"",INDEX(J$1:J2884,SUMPRODUCT(MAX(ROW(E$1:E2884)*(E2885=E$1:E2884)))))</f>
        <v> </v>
      </c>
      <c r="L2885" s="26"/>
    </row>
    <row r="2886" spans="1:12">
      <c r="A2886" s="20" t="s">
        <v>1988</v>
      </c>
      <c r="E2886" s="21">
        <f>IF(D2886="?OLD","!!!","")</f>
        <v/>
      </c>
      <c r="F2886" s="22" t="str">
        <f>IF(OR(E2886="",E2886="!!!"),"",IF(NOT(ISNA(VLOOKUP(E2886,E$1:E2885,1,FALSE()))),"OLD",IF(AND(E2886&lt;&gt;"",E2886&lt;&gt;"!!!"),"NEW","")))</f>
        <v> </v>
      </c>
      <c r="G2886" s="23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4" t="str">
        <f>IF(J2886&lt;&gt;1,"",IF(I2886="SBJ","CB","?"))</f>
        <v> </v>
      </c>
      <c r="I2886" s="25" t="str">
        <f>IF(OR(E2886="",E2886="!!!",F2886="NEW"),"",INDEX(B2885:B$2,-1+SUMPRODUCT(MAX(ROW(E2885:E$2)*(E2886=E2885:E$2)))))</f>
        <v> </v>
      </c>
      <c r="J2886" s="25" t="str">
        <f>IF(OR(E2886="",E2886="!!!",F2886="NEW"),"",COUNTBLANK(OFFSET(A$1,,,SUMPRODUCT(MAX(ROW(E$2:E2886)*(E2886=E$2:E2886)))))-COUNTBLANK(OFFSET(A$1,,,SUMPRODUCT(MAX(ROW(E$1:E2885)*(E2=E$1:E2885))))))</f>
        <v> </v>
      </c>
      <c r="K2886" s="25" t="str">
        <f>IF(OR(E2886="",E2886="!!!",F2886="NEW"),"",INDEX(J$1:J2885,SUMPRODUCT(MAX(ROW(E$1:E2885)*(E2886=E$1:E2885)))))</f>
        <v> </v>
      </c>
      <c r="L2886" s="26"/>
    </row>
    <row r="2887" spans="1:12">
      <c r="A2887" s="20" t="s">
        <v>744</v>
      </c>
      <c r="E2887" s="21">
        <f>IF(D2887="?OLD","!!!","")</f>
        <v/>
      </c>
      <c r="F2887" s="22" t="str">
        <f>IF(OR(E2887="",E2887="!!!"),"",IF(NOT(ISNA(VLOOKUP(E2887,E$1:E2886,1,FALSE()))),"OLD",IF(AND(E2887&lt;&gt;"",E2887&lt;&gt;"!!!"),"NEW","")))</f>
        <v> </v>
      </c>
      <c r="G2887" s="23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4" t="str">
        <f>IF(J2887&lt;&gt;1,"",IF(I2887="SBJ","CB","?"))</f>
        <v> </v>
      </c>
      <c r="I2887" s="25" t="str">
        <f>IF(OR(E2887="",E2887="!!!",F2887="NEW"),"",INDEX(B2886:B$2,-1+SUMPRODUCT(MAX(ROW(E2886:E$2)*(E2887=E2886:E$2)))))</f>
        <v> </v>
      </c>
      <c r="J2887" s="25" t="str">
        <f>IF(OR(E2887="",E2887="!!!",F2887="NEW"),"",COUNTBLANK(OFFSET(A$1,,,SUMPRODUCT(MAX(ROW(E$2:E2887)*(E2887=E$2:E2887)))))-COUNTBLANK(OFFSET(A$1,,,SUMPRODUCT(MAX(ROW(E$1:E2886)*(E2=E$1:E2886))))))</f>
        <v> </v>
      </c>
      <c r="K2887" s="25" t="str">
        <f>IF(OR(E2887="",E2887="!!!",F2887="NEW"),"",INDEX(J$1:J2886,SUMPRODUCT(MAX(ROW(E$1:E2886)*(E2887=E$1:E2886)))))</f>
        <v> </v>
      </c>
      <c r="L2887" s="26"/>
    </row>
    <row r="2888" spans="1:12">
      <c r="A2888" s="20" t="s">
        <v>1008</v>
      </c>
      <c r="E2888" s="21">
        <f>IF(D2888="?OLD","!!!","")</f>
        <v/>
      </c>
      <c r="F2888" s="22" t="str">
        <f>IF(OR(E2888="",E2888="!!!"),"",IF(NOT(ISNA(VLOOKUP(E2888,E$1:E2887,1,FALSE()))),"OLD",IF(AND(E2888&lt;&gt;"",E2888&lt;&gt;"!!!"),"NEW","")))</f>
        <v> </v>
      </c>
      <c r="G2888" s="23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4" t="str">
        <f>IF(J2888&lt;&gt;1,"",IF(I2888="SBJ","CB","?"))</f>
        <v> </v>
      </c>
      <c r="I2888" s="25" t="str">
        <f>IF(OR(E2888="",E2888="!!!",F2888="NEW"),"",INDEX(B2887:B$2,-1+SUMPRODUCT(MAX(ROW(E2887:E$2)*(E2888=E2887:E$2)))))</f>
        <v> </v>
      </c>
      <c r="J2888" s="25" t="str">
        <f>IF(OR(E2888="",E2888="!!!",F2888="NEW"),"",COUNTBLANK(OFFSET(A$1,,,SUMPRODUCT(MAX(ROW(E$2:E2888)*(E2888=E$2:E2888)))))-COUNTBLANK(OFFSET(A$1,,,SUMPRODUCT(MAX(ROW(E$1:E2887)*(E2=E$1:E2887))))))</f>
        <v> </v>
      </c>
      <c r="K2888" s="25" t="str">
        <f>IF(OR(E2888="",E2888="!!!",F2888="NEW"),"",INDEX(J$1:J2887,SUMPRODUCT(MAX(ROW(E$1:E2887)*(E2888=E$1:E2887)))))</f>
        <v> </v>
      </c>
      <c r="L2888" s="26"/>
    </row>
    <row r="2889" spans="1:12">
      <c r="A2889" s="20" t="s">
        <v>851</v>
      </c>
      <c r="B2889" s="27" t="s">
        <v>800</v>
      </c>
      <c r="C2889" s="27" t="s">
        <v>788</v>
      </c>
      <c r="D2889" s="27" t="s">
        <v>736</v>
      </c>
      <c r="E2889" s="21">
        <f>IF(D2889="?OLD","!!!","")</f>
        <v/>
      </c>
      <c r="F2889" s="22" t="str">
        <f>IF(OR(E2889="",E2889="!!!"),"",IF(NOT(ISNA(VLOOKUP(E2889,E$1:E2888,1,FALSE()))),"OLD",IF(AND(E2889&lt;&gt;"",E2889&lt;&gt;"!!!"),"NEW","")))</f>
        <v> </v>
      </c>
      <c r="G2889" s="23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4" t="str">
        <f>IF(J2889&lt;&gt;1,"",IF(I2889="SBJ","CB","?"))</f>
        <v> </v>
      </c>
      <c r="I2889" s="25" t="str">
        <f>IF(OR(E2889="",E2889="!!!",F2889="NEW"),"",INDEX(B2888:B$2,-1+SUMPRODUCT(MAX(ROW(E2888:E$2)*(E2889=E2888:E$2)))))</f>
        <v> </v>
      </c>
      <c r="J2889" s="25" t="str">
        <f>IF(OR(E2889="",E2889="!!!",F2889="NEW"),"",COUNTBLANK(OFFSET(A$1,,,SUMPRODUCT(MAX(ROW(E$2:E2889)*(E2889=E$2:E2889)))))-COUNTBLANK(OFFSET(A$1,,,SUMPRODUCT(MAX(ROW(E$1:E2888)*(E2=E$1:E2888))))))</f>
        <v> </v>
      </c>
      <c r="K2889" s="25" t="str">
        <f>IF(OR(E2889="",E2889="!!!",F2889="NEW"),"",INDEX(J$1:J2888,SUMPRODUCT(MAX(ROW(E$1:E2888)*(E2889=E$1:E2888)))))</f>
        <v> </v>
      </c>
      <c r="L2889" s="26"/>
    </row>
    <row r="2890" spans="1:12">
      <c r="A2890" s="20" t="s">
        <v>871</v>
      </c>
      <c r="E2890" s="21">
        <f>IF(D2890="?OLD","!!!","")</f>
        <v/>
      </c>
      <c r="F2890" s="22" t="str">
        <f>IF(OR(E2890="",E2890="!!!"),"",IF(NOT(ISNA(VLOOKUP(E2890,E$1:E2889,1,FALSE()))),"OLD",IF(AND(E2890&lt;&gt;"",E2890&lt;&gt;"!!!"),"NEW","")))</f>
        <v> </v>
      </c>
      <c r="G2890" s="23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4" t="str">
        <f>IF(J2890&lt;&gt;1,"",IF(I2890="SBJ","CB","?"))</f>
        <v> </v>
      </c>
      <c r="I2890" s="25" t="str">
        <f>IF(OR(E2890="",E2890="!!!",F2890="NEW"),"",INDEX(B2889:B$2,-1+SUMPRODUCT(MAX(ROW(E2889:E$2)*(E2890=E2889:E$2)))))</f>
        <v> </v>
      </c>
      <c r="J2890" s="25" t="str">
        <f>IF(OR(E2890="",E2890="!!!",F2890="NEW"),"",COUNTBLANK(OFFSET(A$1,,,SUMPRODUCT(MAX(ROW(E$2:E2890)*(E2890=E$2:E2890)))))-COUNTBLANK(OFFSET(A$1,,,SUMPRODUCT(MAX(ROW(E$1:E2889)*(E2=E$1:E2889))))))</f>
        <v> </v>
      </c>
      <c r="K2890" s="25" t="str">
        <f>IF(OR(E2890="",E2890="!!!",F2890="NEW"),"",INDEX(J$1:J2889,SUMPRODUCT(MAX(ROW(E$1:E2889)*(E2890=E$1:E2889)))))</f>
        <v> </v>
      </c>
      <c r="L2890" s="26"/>
    </row>
    <row r="2891" spans="1:12">
      <c r="A2891" s="20" t="s">
        <v>1660</v>
      </c>
      <c r="B2891" s="27" t="s">
        <v>800</v>
      </c>
      <c r="E2891" s="21">
        <f>IF(D2891="?OLD","!!!","")</f>
        <v/>
      </c>
      <c r="F2891" s="22" t="str">
        <f>IF(OR(E2891="",E2891="!!!"),"",IF(NOT(ISNA(VLOOKUP(E2891,E$1:E2890,1,FALSE()))),"OLD",IF(AND(E2891&lt;&gt;"",E2891&lt;&gt;"!!!"),"NEW","")))</f>
        <v> </v>
      </c>
      <c r="G2891" s="23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4" t="str">
        <f>IF(J2891&lt;&gt;1,"",IF(I2891="SBJ","CB","?"))</f>
        <v> </v>
      </c>
      <c r="I2891" s="25" t="str">
        <f>IF(OR(E2891="",E2891="!!!",F2891="NEW"),"",INDEX(B2890:B$2,-1+SUMPRODUCT(MAX(ROW(E2890:E$2)*(E2891=E2890:E$2)))))</f>
        <v> </v>
      </c>
      <c r="J2891" s="25" t="str">
        <f>IF(OR(E2891="",E2891="!!!",F2891="NEW"),"",COUNTBLANK(OFFSET(A$1,,,SUMPRODUCT(MAX(ROW(E$2:E2891)*(E2891=E$2:E2891)))))-COUNTBLANK(OFFSET(A$1,,,SUMPRODUCT(MAX(ROW(E$1:E2890)*(E2=E$1:E2890))))))</f>
        <v> </v>
      </c>
      <c r="K2891" s="25" t="str">
        <f>IF(OR(E2891="",E2891="!!!",F2891="NEW"),"",INDEX(J$1:J2890,SUMPRODUCT(MAX(ROW(E$1:E2890)*(E2891=E$1:E2890)))))</f>
        <v> </v>
      </c>
      <c r="L2891" s="26"/>
    </row>
    <row r="2892" spans="1:12">
      <c r="A2892" s="20" t="s">
        <v>1989</v>
      </c>
      <c r="E2892" s="21">
        <f>IF(D2892="?OLD","!!!","")</f>
        <v/>
      </c>
      <c r="F2892" s="22" t="str">
        <f>IF(OR(E2892="",E2892="!!!"),"",IF(NOT(ISNA(VLOOKUP(E2892,E$1:E2891,1,FALSE()))),"OLD",IF(AND(E2892&lt;&gt;"",E2892&lt;&gt;"!!!"),"NEW","")))</f>
        <v> </v>
      </c>
      <c r="G2892" s="23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4" t="str">
        <f>IF(J2892&lt;&gt;1,"",IF(I2892="SBJ","CB","?"))</f>
        <v> </v>
      </c>
      <c r="I2892" s="25" t="str">
        <f>IF(OR(E2892="",E2892="!!!",F2892="NEW"),"",INDEX(B2891:B$2,-1+SUMPRODUCT(MAX(ROW(E2891:E$2)*(E2892=E2891:E$2)))))</f>
        <v> </v>
      </c>
      <c r="J2892" s="25" t="str">
        <f>IF(OR(E2892="",E2892="!!!",F2892="NEW"),"",COUNTBLANK(OFFSET(A$1,,,SUMPRODUCT(MAX(ROW(E$2:E2892)*(E2892=E$2:E2892)))))-COUNTBLANK(OFFSET(A$1,,,SUMPRODUCT(MAX(ROW(E$1:E2891)*(E2=E$1:E2891))))))</f>
        <v> </v>
      </c>
      <c r="K2892" s="25" t="str">
        <f>IF(OR(E2892="",E2892="!!!",F2892="NEW"),"",INDEX(J$1:J2891,SUMPRODUCT(MAX(ROW(E$1:E2891)*(E2892=E$1:E2891)))))</f>
        <v> </v>
      </c>
      <c r="L2892" s="26"/>
    </row>
    <row r="2893" spans="1:12">
      <c r="A2893" s="20" t="s">
        <v>765</v>
      </c>
      <c r="E2893" s="21">
        <f>IF(D2893="?OLD","!!!","")</f>
        <v/>
      </c>
      <c r="F2893" s="22" t="str">
        <f>IF(OR(E2893="",E2893="!!!"),"",IF(NOT(ISNA(VLOOKUP(E2893,E$1:E2892,1,FALSE()))),"OLD",IF(AND(E2893&lt;&gt;"",E2893&lt;&gt;"!!!"),"NEW","")))</f>
        <v> </v>
      </c>
      <c r="G2893" s="23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4" t="str">
        <f>IF(J2893&lt;&gt;1,"",IF(I2893="SBJ","CB","?"))</f>
        <v> </v>
      </c>
      <c r="I2893" s="25" t="str">
        <f>IF(OR(E2893="",E2893="!!!",F2893="NEW"),"",INDEX(B2892:B$2,-1+SUMPRODUCT(MAX(ROW(E2892:E$2)*(E2893=E2892:E$2)))))</f>
        <v> </v>
      </c>
      <c r="J2893" s="25" t="str">
        <f>IF(OR(E2893="",E2893="!!!",F2893="NEW"),"",COUNTBLANK(OFFSET(A$1,,,SUMPRODUCT(MAX(ROW(E$2:E2893)*(E2893=E$2:E2893)))))-COUNTBLANK(OFFSET(A$1,,,SUMPRODUCT(MAX(ROW(E$1:E2892)*(E2=E$1:E2892))))))</f>
        <v> </v>
      </c>
      <c r="K2893" s="25" t="str">
        <f>IF(OR(E2893="",E2893="!!!",F2893="NEW"),"",INDEX(J$1:J2892,SUMPRODUCT(MAX(ROW(E$1:E2892)*(E2893=E$1:E2892)))))</f>
        <v> </v>
      </c>
      <c r="L2893" s="26"/>
    </row>
    <row r="2894" spans="1:12">
      <c r="A2894" s="20"/>
    </row>
    <row r="2895" spans="1:12">
      <c r="A2895" s="20" t="s">
        <v>1990</v>
      </c>
    </row>
    <row r="2896" spans="1:12">
      <c r="A2896" s="20" t="s">
        <v>1991</v>
      </c>
      <c r="E2896" s="21">
        <f>IF(D2896="?OLD","!!!","")</f>
        <v/>
      </c>
      <c r="F2896" s="22" t="str">
        <f>IF(OR(E2896="",E2896="!!!"),"",IF(NOT(ISNA(VLOOKUP(E2896,E$1:E2895,1,FALSE()))),"OLD",IF(AND(E2896&lt;&gt;"",E2896&lt;&gt;"!!!"),"NEW","")))</f>
        <v> </v>
      </c>
      <c r="G2896" s="23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4" t="str">
        <f>IF(J2896&lt;&gt;1,"",IF(I2896="SBJ","CB","?"))</f>
        <v> </v>
      </c>
      <c r="I2896" s="25" t="str">
        <f>IF(OR(E2896="",E2896="!!!",F2896="NEW"),"",INDEX(B2895:B$2,-1+SUMPRODUCT(MAX(ROW(E2895:E$2)*(E2896=E2895:E$2)))))</f>
        <v> </v>
      </c>
      <c r="J2896" s="25" t="str">
        <f>IF(OR(E2896="",E2896="!!!",F2896="NEW"),"",COUNTBLANK(OFFSET(A$1,,,SUMPRODUCT(MAX(ROW(E$2:E2896)*(E2896=E$2:E2896)))))-COUNTBLANK(OFFSET(A$1,,,SUMPRODUCT(MAX(ROW(E$1:E2895)*(E2=E$1:E2895))))))</f>
        <v> </v>
      </c>
      <c r="K2896" s="25" t="str">
        <f>IF(OR(E2896="",E2896="!!!",F2896="NEW"),"",INDEX(J$1:J2895,SUMPRODUCT(MAX(ROW(E$1:E2895)*(E2896=E$1:E2895)))))</f>
        <v> </v>
      </c>
      <c r="L2896" s="26"/>
    </row>
    <row r="2897" spans="1:12">
      <c r="A2897" s="20" t="s">
        <v>643</v>
      </c>
      <c r="E2897" s="21">
        <f>IF(D2897="?OLD","!!!","")</f>
        <v/>
      </c>
      <c r="F2897" s="22" t="str">
        <f>IF(OR(E2897="",E2897="!!!"),"",IF(NOT(ISNA(VLOOKUP(E2897,E$1:E2896,1,FALSE()))),"OLD",IF(AND(E2897&lt;&gt;"",E2897&lt;&gt;"!!!"),"NEW","")))</f>
        <v> </v>
      </c>
      <c r="G2897" s="23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4" t="str">
        <f>IF(J2897&lt;&gt;1,"",IF(I2897="SBJ","CB","?"))</f>
        <v> </v>
      </c>
      <c r="I2897" s="25" t="str">
        <f>IF(OR(E2897="",E2897="!!!",F2897="NEW"),"",INDEX(B2896:B$2,-1+SUMPRODUCT(MAX(ROW(E2896:E$2)*(E2897=E2896:E$2)))))</f>
        <v> </v>
      </c>
      <c r="J2897" s="25" t="str">
        <f>IF(OR(E2897="",E2897="!!!",F2897="NEW"),"",COUNTBLANK(OFFSET(A$1,,,SUMPRODUCT(MAX(ROW(E$2:E2897)*(E2897=E$2:E2897)))))-COUNTBLANK(OFFSET(A$1,,,SUMPRODUCT(MAX(ROW(E$1:E2896)*(E2=E$1:E2896))))))</f>
        <v> </v>
      </c>
      <c r="K2897" s="25" t="str">
        <f>IF(OR(E2897="",E2897="!!!",F2897="NEW"),"",INDEX(J$1:J2896,SUMPRODUCT(MAX(ROW(E$1:E2896)*(E2897=E$1:E2896)))))</f>
        <v> </v>
      </c>
      <c r="L2897" s="26"/>
    </row>
    <row r="2898" spans="1:12">
      <c r="A2898" s="20" t="s">
        <v>765</v>
      </c>
      <c r="E2898" s="21">
        <f>IF(D2898="?OLD","!!!","")</f>
        <v/>
      </c>
      <c r="F2898" s="22" t="str">
        <f>IF(OR(E2898="",E2898="!!!"),"",IF(NOT(ISNA(VLOOKUP(E2898,E$1:E2897,1,FALSE()))),"OLD",IF(AND(E2898&lt;&gt;"",E2898&lt;&gt;"!!!"),"NEW","")))</f>
        <v> </v>
      </c>
      <c r="G2898" s="23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4" t="str">
        <f>IF(J2898&lt;&gt;1,"",IF(I2898="SBJ","CB","?"))</f>
        <v> </v>
      </c>
      <c r="I2898" s="25" t="str">
        <f>IF(OR(E2898="",E2898="!!!",F2898="NEW"),"",INDEX(B2897:B$2,-1+SUMPRODUCT(MAX(ROW(E2897:E$2)*(E2898=E2897:E$2)))))</f>
        <v> </v>
      </c>
      <c r="J2898" s="25" t="str">
        <f>IF(OR(E2898="",E2898="!!!",F2898="NEW"),"",COUNTBLANK(OFFSET(A$1,,,SUMPRODUCT(MAX(ROW(E$2:E2898)*(E2898=E$2:E2898)))))-COUNTBLANK(OFFSET(A$1,,,SUMPRODUCT(MAX(ROW(E$1:E2897)*(E2=E$1:E2897))))))</f>
        <v> </v>
      </c>
      <c r="K2898" s="25" t="str">
        <f>IF(OR(E2898="",E2898="!!!",F2898="NEW"),"",INDEX(J$1:J2897,SUMPRODUCT(MAX(ROW(E$1:E2897)*(E2898=E$1:E2897)))))</f>
        <v> </v>
      </c>
      <c r="L2898" s="26"/>
    </row>
    <row r="2899" spans="1:12">
      <c r="A2899" s="20"/>
    </row>
    <row r="2900" spans="1:12">
      <c r="A2900" s="20" t="s">
        <v>1992</v>
      </c>
    </row>
    <row r="2901" spans="1:12">
      <c r="A2901" s="20" t="s">
        <v>714</v>
      </c>
      <c r="E2901" s="21">
        <f>IF(D2901="?OLD","!!!","")</f>
        <v/>
      </c>
      <c r="F2901" s="22" t="str">
        <f>IF(OR(E2901="",E2901="!!!"),"",IF(NOT(ISNA(VLOOKUP(E2901,E$1:E2900,1,FALSE()))),"OLD",IF(AND(E2901&lt;&gt;"",E2901&lt;&gt;"!!!"),"NEW","")))</f>
        <v> </v>
      </c>
      <c r="G2901" s="23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4" t="str">
        <f>IF(J2901&lt;&gt;1,"",IF(I2901="SBJ","CB","?"))</f>
        <v> </v>
      </c>
      <c r="I2901" s="25" t="str">
        <f>IF(OR(E2901="",E2901="!!!",F2901="NEW"),"",INDEX(B2900:B$2,-1+SUMPRODUCT(MAX(ROW(E2900:E$2)*(E2901=E2900:E$2)))))</f>
        <v> </v>
      </c>
      <c r="J2901" s="25" t="str">
        <f>IF(OR(E2901="",E2901="!!!",F2901="NEW"),"",COUNTBLANK(OFFSET(A$1,,,SUMPRODUCT(MAX(ROW(E$2:E2901)*(E2901=E$2:E2901)))))-COUNTBLANK(OFFSET(A$1,,,SUMPRODUCT(MAX(ROW(E$1:E2900)*(E2=E$1:E2900))))))</f>
        <v> </v>
      </c>
      <c r="K2901" s="25" t="str">
        <f>IF(OR(E2901="",E2901="!!!",F2901="NEW"),"",INDEX(J$1:J2900,SUMPRODUCT(MAX(ROW(E$1:E2900)*(E2901=E$1:E2900)))))</f>
        <v> </v>
      </c>
      <c r="L2901" s="26"/>
    </row>
    <row r="2902" spans="1:12">
      <c r="A2902" s="20" t="s">
        <v>744</v>
      </c>
      <c r="E2902" s="21">
        <f>IF(D2902="?OLD","!!!","")</f>
        <v/>
      </c>
      <c r="F2902" s="22" t="str">
        <f>IF(OR(E2902="",E2902="!!!"),"",IF(NOT(ISNA(VLOOKUP(E2902,E$1:E2901,1,FALSE()))),"OLD",IF(AND(E2902&lt;&gt;"",E2902&lt;&gt;"!!!"),"NEW","")))</f>
        <v> </v>
      </c>
      <c r="G2902" s="23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4" t="str">
        <f>IF(J2902&lt;&gt;1,"",IF(I2902="SBJ","CB","?"))</f>
        <v> </v>
      </c>
      <c r="I2902" s="25" t="str">
        <f>IF(OR(E2902="",E2902="!!!",F2902="NEW"),"",INDEX(B2901:B$2,-1+SUMPRODUCT(MAX(ROW(E2901:E$2)*(E2902=E2901:E$2)))))</f>
        <v> </v>
      </c>
      <c r="J2902" s="25" t="str">
        <f>IF(OR(E2902="",E2902="!!!",F2902="NEW"),"",COUNTBLANK(OFFSET(A$1,,,SUMPRODUCT(MAX(ROW(E$2:E2902)*(E2902=E$2:E2902)))))-COUNTBLANK(OFFSET(A$1,,,SUMPRODUCT(MAX(ROW(E$1:E2901)*(E2=E$1:E2901))))))</f>
        <v> </v>
      </c>
      <c r="K2902" s="25" t="str">
        <f>IF(OR(E2902="",E2902="!!!",F2902="NEW"),"",INDEX(J$1:J2901,SUMPRODUCT(MAX(ROW(E$1:E2901)*(E2902=E$1:E2901)))))</f>
        <v> </v>
      </c>
      <c r="L2902" s="26"/>
    </row>
    <row r="2903" spans="1:12">
      <c r="A2903" s="20" t="s">
        <v>1993</v>
      </c>
      <c r="E2903" s="21">
        <f>IF(D2903="?OLD","!!!","")</f>
        <v/>
      </c>
      <c r="F2903" s="22" t="str">
        <f>IF(OR(E2903="",E2903="!!!"),"",IF(NOT(ISNA(VLOOKUP(E2903,E$1:E2902,1,FALSE()))),"OLD",IF(AND(E2903&lt;&gt;"",E2903&lt;&gt;"!!!"),"NEW","")))</f>
        <v> </v>
      </c>
      <c r="G2903" s="23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4" t="str">
        <f>IF(J2903&lt;&gt;1,"",IF(I2903="SBJ","CB","?"))</f>
        <v> </v>
      </c>
      <c r="I2903" s="25" t="str">
        <f>IF(OR(E2903="",E2903="!!!",F2903="NEW"),"",INDEX(B2902:B$2,-1+SUMPRODUCT(MAX(ROW(E2902:E$2)*(E2903=E2902:E$2)))))</f>
        <v> </v>
      </c>
      <c r="J2903" s="25" t="str">
        <f>IF(OR(E2903="",E2903="!!!",F2903="NEW"),"",COUNTBLANK(OFFSET(A$1,,,SUMPRODUCT(MAX(ROW(E$2:E2903)*(E2903=E$2:E2903)))))-COUNTBLANK(OFFSET(A$1,,,SUMPRODUCT(MAX(ROW(E$1:E2902)*(E2=E$1:E2902))))))</f>
        <v> </v>
      </c>
      <c r="K2903" s="25" t="str">
        <f>IF(OR(E2903="",E2903="!!!",F2903="NEW"),"",INDEX(J$1:J2902,SUMPRODUCT(MAX(ROW(E$1:E2902)*(E2903=E$1:E2902)))))</f>
        <v> </v>
      </c>
      <c r="L2903" s="26"/>
    </row>
    <row r="2904" spans="1:12">
      <c r="A2904" s="20" t="s">
        <v>1994</v>
      </c>
      <c r="B2904" s="27" t="s">
        <v>831</v>
      </c>
      <c r="C2904" s="27" t="s">
        <v>853</v>
      </c>
      <c r="D2904" s="27" t="s">
        <v>736</v>
      </c>
      <c r="E2904" s="21">
        <f>IF(D2904="?OLD","!!!","")</f>
        <v/>
      </c>
      <c r="F2904" s="22" t="str">
        <f>IF(OR(E2904="",E2904="!!!"),"",IF(NOT(ISNA(VLOOKUP(E2904,E$1:E2903,1,FALSE()))),"OLD",IF(AND(E2904&lt;&gt;"",E2904&lt;&gt;"!!!"),"NEW","")))</f>
        <v> </v>
      </c>
      <c r="G2904" s="23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4" t="str">
        <f>IF(J2904&lt;&gt;1,"",IF(I2904="SBJ","CB","?"))</f>
        <v> </v>
      </c>
      <c r="I2904" s="25" t="str">
        <f>IF(OR(E2904="",E2904="!!!",F2904="NEW"),"",INDEX(B2903:B$2,-1+SUMPRODUCT(MAX(ROW(E2903:E$2)*(E2904=E2903:E$2)))))</f>
        <v> </v>
      </c>
      <c r="J2904" s="25" t="str">
        <f>IF(OR(E2904="",E2904="!!!",F2904="NEW"),"",COUNTBLANK(OFFSET(A$1,,,SUMPRODUCT(MAX(ROW(E$2:E2904)*(E2904=E$2:E2904)))))-COUNTBLANK(OFFSET(A$1,,,SUMPRODUCT(MAX(ROW(E$1:E2903)*(E2=E$1:E2903))))))</f>
        <v> </v>
      </c>
      <c r="K2904" s="25" t="str">
        <f>IF(OR(E2904="",E2904="!!!",F2904="NEW"),"",INDEX(J$1:J2903,SUMPRODUCT(MAX(ROW(E$1:E2903)*(E2904=E$1:E2903)))))</f>
        <v> </v>
      </c>
      <c r="L2904" s="26"/>
    </row>
    <row r="2905" spans="1:12">
      <c r="A2905" s="20" t="s">
        <v>1897</v>
      </c>
      <c r="B2905" s="27" t="s">
        <v>762</v>
      </c>
      <c r="E2905" s="21">
        <f>IF(D2905="?OLD","!!!","")</f>
        <v/>
      </c>
      <c r="F2905" s="22" t="str">
        <f>IF(OR(E2905="",E2905="!!!"),"",IF(NOT(ISNA(VLOOKUP(E2905,E$1:E2904,1,FALSE()))),"OLD",IF(AND(E2905&lt;&gt;"",E2905&lt;&gt;"!!!"),"NEW","")))</f>
        <v> </v>
      </c>
      <c r="G2905" s="23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4" t="str">
        <f>IF(J2905&lt;&gt;1,"",IF(I2905="SBJ","CB","?"))</f>
        <v> </v>
      </c>
      <c r="I2905" s="25" t="str">
        <f>IF(OR(E2905="",E2905="!!!",F2905="NEW"),"",INDEX(B2904:B$2,-1+SUMPRODUCT(MAX(ROW(E2904:E$2)*(E2905=E2904:E$2)))))</f>
        <v> </v>
      </c>
      <c r="J2905" s="25" t="str">
        <f>IF(OR(E2905="",E2905="!!!",F2905="NEW"),"",COUNTBLANK(OFFSET(A$1,,,SUMPRODUCT(MAX(ROW(E$2:E2905)*(E2905=E$2:E2905)))))-COUNTBLANK(OFFSET(A$1,,,SUMPRODUCT(MAX(ROW(E$1:E2904)*(E2=E$1:E2904))))))</f>
        <v> </v>
      </c>
      <c r="K2905" s="25" t="str">
        <f>IF(OR(E2905="",E2905="!!!",F2905="NEW"),"",INDEX(J$1:J2904,SUMPRODUCT(MAX(ROW(E$1:E2904)*(E2905=E$1:E2904)))))</f>
        <v> </v>
      </c>
      <c r="L2905" s="26"/>
    </row>
    <row r="2906" spans="1:12">
      <c r="A2906" s="20" t="s">
        <v>752</v>
      </c>
      <c r="E2906" s="21">
        <f>IF(D2906="?OLD","!!!","")</f>
        <v/>
      </c>
      <c r="F2906" s="22" t="str">
        <f>IF(OR(E2906="",E2906="!!!"),"",IF(NOT(ISNA(VLOOKUP(E2906,E$1:E2905,1,FALSE()))),"OLD",IF(AND(E2906&lt;&gt;"",E2906&lt;&gt;"!!!"),"NEW","")))</f>
        <v> </v>
      </c>
      <c r="G2906" s="23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4" t="str">
        <f>IF(J2906&lt;&gt;1,"",IF(I2906="SBJ","CB","?"))</f>
        <v> </v>
      </c>
      <c r="I2906" s="25" t="str">
        <f>IF(OR(E2906="",E2906="!!!",F2906="NEW"),"",INDEX(B2905:B$2,-1+SUMPRODUCT(MAX(ROW(E2905:E$2)*(E2906=E2905:E$2)))))</f>
        <v> </v>
      </c>
      <c r="J2906" s="25" t="str">
        <f>IF(OR(E2906="",E2906="!!!",F2906="NEW"),"",COUNTBLANK(OFFSET(A$1,,,SUMPRODUCT(MAX(ROW(E$2:E2906)*(E2906=E$2:E2906)))))-COUNTBLANK(OFFSET(A$1,,,SUMPRODUCT(MAX(ROW(E$1:E2905)*(E2=E$1:E2905))))))</f>
        <v> </v>
      </c>
      <c r="K2906" s="25" t="str">
        <f>IF(OR(E2906="",E2906="!!!",F2906="NEW"),"",INDEX(J$1:J2905,SUMPRODUCT(MAX(ROW(E$1:E2905)*(E2906=E$1:E2905)))))</f>
        <v> </v>
      </c>
      <c r="L2906" s="26"/>
    </row>
    <row r="2907" spans="1:12">
      <c r="A2907" s="20"/>
    </row>
    <row r="2908" spans="1:12">
      <c r="A2908" s="20" t="s">
        <v>1995</v>
      </c>
    </row>
    <row r="2909" spans="1:12">
      <c r="A2909" s="20" t="s">
        <v>812</v>
      </c>
      <c r="E2909" s="21">
        <f>IF(D2909="?OLD","!!!","")</f>
        <v/>
      </c>
      <c r="F2909" s="22" t="str">
        <f>IF(OR(E2909="",E2909="!!!"),"",IF(NOT(ISNA(VLOOKUP(E2909,E$1:E2908,1,FALSE()))),"OLD",IF(AND(E2909&lt;&gt;"",E2909&lt;&gt;"!!!"),"NEW","")))</f>
        <v> </v>
      </c>
      <c r="G2909" s="23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4" t="str">
        <f>IF(J2909&lt;&gt;1,"",IF(I2909="SBJ","CB","?"))</f>
        <v> </v>
      </c>
      <c r="I2909" s="25" t="str">
        <f>IF(OR(E2909="",E2909="!!!",F2909="NEW"),"",INDEX(B2908:B$2,-1+SUMPRODUCT(MAX(ROW(E2908:E$2)*(E2909=E2908:E$2)))))</f>
        <v> </v>
      </c>
      <c r="J2909" s="25" t="str">
        <f>IF(OR(E2909="",E2909="!!!",F2909="NEW"),"",COUNTBLANK(OFFSET(A$1,,,SUMPRODUCT(MAX(ROW(E$2:E2909)*(E2909=E$2:E2909)))))-COUNTBLANK(OFFSET(A$1,,,SUMPRODUCT(MAX(ROW(E$1:E2908)*(E2=E$1:E2908))))))</f>
        <v> </v>
      </c>
      <c r="K2909" s="25" t="str">
        <f>IF(OR(E2909="",E2909="!!!",F2909="NEW"),"",INDEX(J$1:J2908,SUMPRODUCT(MAX(ROW(E$1:E2908)*(E2909=E$1:E2908)))))</f>
        <v> </v>
      </c>
      <c r="L2909" s="26"/>
    </row>
    <row r="2910" spans="1:12">
      <c r="A2910" s="20" t="s">
        <v>739</v>
      </c>
      <c r="E2910" s="21">
        <f>IF(D2910="?OLD","!!!","")</f>
        <v/>
      </c>
      <c r="F2910" s="22" t="str">
        <f>IF(OR(E2910="",E2910="!!!"),"",IF(NOT(ISNA(VLOOKUP(E2910,E$1:E2909,1,FALSE()))),"OLD",IF(AND(E2910&lt;&gt;"",E2910&lt;&gt;"!!!"),"NEW","")))</f>
        <v> </v>
      </c>
      <c r="G2910" s="23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4" t="str">
        <f>IF(J2910&lt;&gt;1,"",IF(I2910="SBJ","CB","?"))</f>
        <v> </v>
      </c>
      <c r="I2910" s="25" t="str">
        <f>IF(OR(E2910="",E2910="!!!",F2910="NEW"),"",INDEX(B2909:B$2,-1+SUMPRODUCT(MAX(ROW(E2909:E$2)*(E2910=E2909:E$2)))))</f>
        <v> </v>
      </c>
      <c r="J2910" s="25" t="str">
        <f>IF(OR(E2910="",E2910="!!!",F2910="NEW"),"",COUNTBLANK(OFFSET(A$1,,,SUMPRODUCT(MAX(ROW(E$2:E2910)*(E2910=E$2:E2910)))))-COUNTBLANK(OFFSET(A$1,,,SUMPRODUCT(MAX(ROW(E$1:E2909)*(E2=E$1:E2909))))))</f>
        <v> </v>
      </c>
      <c r="K2910" s="25" t="str">
        <f>IF(OR(E2910="",E2910="!!!",F2910="NEW"),"",INDEX(J$1:J2909,SUMPRODUCT(MAX(ROW(E$1:E2909)*(E2910=E$1:E2909)))))</f>
        <v> </v>
      </c>
      <c r="L2910" s="26"/>
    </row>
    <row r="2911" spans="1:12">
      <c r="A2911" s="20" t="s">
        <v>813</v>
      </c>
      <c r="E2911" s="21">
        <f>IF(D2911="?OLD","!!!","")</f>
        <v/>
      </c>
      <c r="F2911" s="22" t="str">
        <f>IF(OR(E2911="",E2911="!!!"),"",IF(NOT(ISNA(VLOOKUP(E2911,E$1:E2910,1,FALSE()))),"OLD",IF(AND(E2911&lt;&gt;"",E2911&lt;&gt;"!!!"),"NEW","")))</f>
        <v> </v>
      </c>
      <c r="G2911" s="23" t="str">
        <f>IF(OR(E2911="",E2911="!!!"),"",IF(OR(J2911=0,AND(J2911=1,K2911=1),AND(J2911=1,I2911="SBJ"),AND(J2911=1,I2911=0)),"?IN_FOCUS",IF(J2911&lt;=2,"?ACTIVATED",IF(J2911&lt;&gt;"","?FAMILIAR",IF(F2911="NEW",IF(ISNA(VLOOKUP(E2911,#REF!,1,FALSE())),"?TYPE_IDENTIFIABLE","?REFERENTIAL"),"_")))))</f>
        <v> </v>
      </c>
      <c r="H2911" s="24" t="str">
        <f>IF(J2911&lt;&gt;1,"",IF(I2911="SBJ","CB","?"))</f>
        <v> </v>
      </c>
      <c r="I2911" s="25" t="str">
        <f>IF(OR(E2911="",E2911="!!!",F2911="NEW"),"",INDEX(B2910:B$2,-1+SUMPRODUCT(MAX(ROW(E2910:E$2)*(E2911=E2910:E$2)))))</f>
        <v> </v>
      </c>
      <c r="J2911" s="25" t="str">
        <f>IF(OR(E2911="",E2911="!!!",F2911="NEW"),"",COUNTBLANK(OFFSET(A$1,,,SUMPRODUCT(MAX(ROW(E$2:E2911)*(E2911=E$2:E2911)))))-COUNTBLANK(OFFSET(A$1,,,SUMPRODUCT(MAX(ROW(E$1:E2910)*(E2=E$1:E2910))))))</f>
        <v> </v>
      </c>
      <c r="K2911" s="25" t="str">
        <f>IF(OR(E2911="",E2911="!!!",F2911="NEW"),"",INDEX(J$1:J2910,SUMPRODUCT(MAX(ROW(E$1:E2910)*(E2911=E$1:E2910)))))</f>
        <v> </v>
      </c>
      <c r="L2911" s="26"/>
    </row>
    <row r="2912" spans="1:12">
      <c r="A2912" s="20" t="s">
        <v>744</v>
      </c>
      <c r="E2912" s="21">
        <f>IF(D2912="?OLD","!!!","")</f>
        <v/>
      </c>
      <c r="F2912" s="22" t="str">
        <f>IF(OR(E2912="",E2912="!!!"),"",IF(NOT(ISNA(VLOOKUP(E2912,E$1:E2911,1,FALSE()))),"OLD",IF(AND(E2912&lt;&gt;"",E2912&lt;&gt;"!!!"),"NEW","")))</f>
        <v> </v>
      </c>
      <c r="G2912" s="23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4" t="str">
        <f>IF(J2912&lt;&gt;1,"",IF(I2912="SBJ","CB","?"))</f>
        <v> </v>
      </c>
      <c r="I2912" s="25" t="str">
        <f>IF(OR(E2912="",E2912="!!!",F2912="NEW"),"",INDEX(B2911:B$2,-1+SUMPRODUCT(MAX(ROW(E2911:E$2)*(E2912=E2911:E$2)))))</f>
        <v> </v>
      </c>
      <c r="J2912" s="25" t="str">
        <f>IF(OR(E2912="",E2912="!!!",F2912="NEW"),"",COUNTBLANK(OFFSET(A$1,,,SUMPRODUCT(MAX(ROW(E$2:E2912)*(E2912=E$2:E2912)))))-COUNTBLANK(OFFSET(A$1,,,SUMPRODUCT(MAX(ROW(E$1:E2911)*(E2=E$1:E2911))))))</f>
        <v> </v>
      </c>
      <c r="K2912" s="25" t="str">
        <f>IF(OR(E2912="",E2912="!!!",F2912="NEW"),"",INDEX(J$1:J2911,SUMPRODUCT(MAX(ROW(E$1:E2911)*(E2912=E$1:E2911)))))</f>
        <v> </v>
      </c>
      <c r="L2912" s="26"/>
    </row>
    <row r="2913" spans="1:12">
      <c r="A2913" s="20" t="s">
        <v>881</v>
      </c>
      <c r="E2913" s="21">
        <f>IF(D2913="?OLD","!!!","")</f>
        <v/>
      </c>
      <c r="F2913" s="22" t="str">
        <f>IF(OR(E2913="",E2913="!!!"),"",IF(NOT(ISNA(VLOOKUP(E2913,E$1:E2912,1,FALSE()))),"OLD",IF(AND(E2913&lt;&gt;"",E2913&lt;&gt;"!!!"),"NEW","")))</f>
        <v> </v>
      </c>
      <c r="G2913" s="23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4" t="str">
        <f>IF(J2913&lt;&gt;1,"",IF(I2913="SBJ","CB","?"))</f>
        <v> </v>
      </c>
      <c r="I2913" s="25" t="str">
        <f>IF(OR(E2913="",E2913="!!!",F2913="NEW"),"",INDEX(B2912:B$2,-1+SUMPRODUCT(MAX(ROW(E2912:E$2)*(E2913=E2912:E$2)))))</f>
        <v> </v>
      </c>
      <c r="J2913" s="25" t="str">
        <f>IF(OR(E2913="",E2913="!!!",F2913="NEW"),"",COUNTBLANK(OFFSET(A$1,,,SUMPRODUCT(MAX(ROW(E$2:E2913)*(E2913=E$2:E2913)))))-COUNTBLANK(OFFSET(A$1,,,SUMPRODUCT(MAX(ROW(E$1:E2912)*(E2=E$1:E2912))))))</f>
        <v> </v>
      </c>
      <c r="K2913" s="25" t="str">
        <f>IF(OR(E2913="",E2913="!!!",F2913="NEW"),"",INDEX(J$1:J2912,SUMPRODUCT(MAX(ROW(E$1:E2912)*(E2913=E$1:E2912)))))</f>
        <v> </v>
      </c>
      <c r="L2913" s="26"/>
    </row>
    <row r="2914" spans="1:12">
      <c r="A2914" s="20" t="s">
        <v>1900</v>
      </c>
      <c r="E2914" s="21">
        <f>IF(D2914="?OLD","!!!","")</f>
        <v/>
      </c>
      <c r="F2914" s="22" t="str">
        <f>IF(OR(E2914="",E2914="!!!"),"",IF(NOT(ISNA(VLOOKUP(E2914,E$1:E2913,1,FALSE()))),"OLD",IF(AND(E2914&lt;&gt;"",E2914&lt;&gt;"!!!"),"NEW","")))</f>
        <v> </v>
      </c>
      <c r="G2914" s="23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4" t="str">
        <f>IF(J2914&lt;&gt;1,"",IF(I2914="SBJ","CB","?"))</f>
        <v> </v>
      </c>
      <c r="I2914" s="25" t="str">
        <f>IF(OR(E2914="",E2914="!!!",F2914="NEW"),"",INDEX(B2913:B$2,-1+SUMPRODUCT(MAX(ROW(E2913:E$2)*(E2914=E2913:E$2)))))</f>
        <v> </v>
      </c>
      <c r="J2914" s="25" t="str">
        <f>IF(OR(E2914="",E2914="!!!",F2914="NEW"),"",COUNTBLANK(OFFSET(A$1,,,SUMPRODUCT(MAX(ROW(E$2:E2914)*(E2914=E$2:E2914)))))-COUNTBLANK(OFFSET(A$1,,,SUMPRODUCT(MAX(ROW(E$1:E2913)*(E2=E$1:E2913))))))</f>
        <v> </v>
      </c>
      <c r="K2914" s="25" t="str">
        <f>IF(OR(E2914="",E2914="!!!",F2914="NEW"),"",INDEX(J$1:J2913,SUMPRODUCT(MAX(ROW(E$1:E2913)*(E2914=E$1:E2913)))))</f>
        <v> </v>
      </c>
      <c r="L2914" s="26"/>
    </row>
    <row r="2915" spans="1:12">
      <c r="A2915" s="20" t="s">
        <v>765</v>
      </c>
      <c r="E2915" s="21">
        <f>IF(D2915="?OLD","!!!","")</f>
        <v/>
      </c>
      <c r="F2915" s="22" t="str">
        <f>IF(OR(E2915="",E2915="!!!"),"",IF(NOT(ISNA(VLOOKUP(E2915,E$1:E2914,1,FALSE()))),"OLD",IF(AND(E2915&lt;&gt;"",E2915&lt;&gt;"!!!"),"NEW","")))</f>
        <v> </v>
      </c>
      <c r="G2915" s="23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4" t="str">
        <f>IF(J2915&lt;&gt;1,"",IF(I2915="SBJ","CB","?"))</f>
        <v> </v>
      </c>
      <c r="I2915" s="25" t="str">
        <f>IF(OR(E2915="",E2915="!!!",F2915="NEW"),"",INDEX(B2914:B$2,-1+SUMPRODUCT(MAX(ROW(E2914:E$2)*(E2915=E2914:E$2)))))</f>
        <v> </v>
      </c>
      <c r="J2915" s="25" t="str">
        <f>IF(OR(E2915="",E2915="!!!",F2915="NEW"),"",COUNTBLANK(OFFSET(A$1,,,SUMPRODUCT(MAX(ROW(E$2:E2915)*(E2915=E$2:E2915)))))-COUNTBLANK(OFFSET(A$1,,,SUMPRODUCT(MAX(ROW(E$1:E2914)*(E2=E$1:E2914))))))</f>
        <v> </v>
      </c>
      <c r="K2915" s="25" t="str">
        <f>IF(OR(E2915="",E2915="!!!",F2915="NEW"),"",INDEX(J$1:J2914,SUMPRODUCT(MAX(ROW(E$1:E2914)*(E2915=E$1:E2914)))))</f>
        <v> </v>
      </c>
      <c r="L2915" s="26"/>
    </row>
    <row r="2916" spans="1:12">
      <c r="A2916" s="20"/>
    </row>
    <row r="2917" spans="1:12">
      <c r="A2917" s="20" t="s">
        <v>1996</v>
      </c>
    </row>
    <row r="2918" spans="1:12">
      <c r="A2918" s="20" t="s">
        <v>957</v>
      </c>
      <c r="B2918" s="27" t="s">
        <v>734</v>
      </c>
      <c r="C2918" s="27" t="s">
        <v>756</v>
      </c>
      <c r="D2918" s="27" t="s">
        <v>736</v>
      </c>
      <c r="E2918" s="21">
        <f>IF(D2918="?OLD","!!!","")</f>
        <v/>
      </c>
      <c r="F2918" s="22" t="str">
        <f>IF(OR(E2918="",E2918="!!!"),"",IF(NOT(ISNA(VLOOKUP(E2918,E$1:E2917,1,FALSE()))),"OLD",IF(AND(E2918&lt;&gt;"",E2918&lt;&gt;"!!!"),"NEW","")))</f>
        <v> </v>
      </c>
      <c r="G2918" s="23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4" t="str">
        <f>IF(J2918&lt;&gt;1,"",IF(I2918="SBJ","CB","?"))</f>
        <v> </v>
      </c>
      <c r="I2918" s="25" t="str">
        <f>IF(OR(E2918="",E2918="!!!",F2918="NEW"),"",INDEX(B2917:B$2,-1+SUMPRODUCT(MAX(ROW(E2917:E$2)*(E2918=E2917:E$2)))))</f>
        <v> </v>
      </c>
      <c r="J2918" s="25" t="str">
        <f>IF(OR(E2918="",E2918="!!!",F2918="NEW"),"",COUNTBLANK(OFFSET(A$1,,,SUMPRODUCT(MAX(ROW(E$2:E2918)*(E2918=E$2:E2918)))))-COUNTBLANK(OFFSET(A$1,,,SUMPRODUCT(MAX(ROW(E$1:E2917)*(E2=E$1:E2917))))))</f>
        <v> </v>
      </c>
      <c r="K2918" s="25" t="str">
        <f>IF(OR(E2918="",E2918="!!!",F2918="NEW"),"",INDEX(J$1:J2917,SUMPRODUCT(MAX(ROW(E$1:E2917)*(E2918=E$1:E2917)))))</f>
        <v> </v>
      </c>
      <c r="L2918" s="26"/>
    </row>
    <row r="2919" spans="1:12">
      <c r="A2919" s="20" t="s">
        <v>1439</v>
      </c>
      <c r="E2919" s="21">
        <f>IF(D2919="?OLD","!!!","")</f>
        <v/>
      </c>
      <c r="F2919" s="22" t="str">
        <f>IF(OR(E2919="",E2919="!!!"),"",IF(NOT(ISNA(VLOOKUP(E2919,E$1:E2918,1,FALSE()))),"OLD",IF(AND(E2919&lt;&gt;"",E2919&lt;&gt;"!!!"),"NEW","")))</f>
        <v> </v>
      </c>
      <c r="G2919" s="23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4" t="str">
        <f>IF(J2919&lt;&gt;1,"",IF(I2919="SBJ","CB","?"))</f>
        <v> </v>
      </c>
      <c r="I2919" s="25" t="str">
        <f>IF(OR(E2919="",E2919="!!!",F2919="NEW"),"",INDEX(B2918:B$2,-1+SUMPRODUCT(MAX(ROW(E2918:E$2)*(E2919=E2918:E$2)))))</f>
        <v> </v>
      </c>
      <c r="J2919" s="25" t="str">
        <f>IF(OR(E2919="",E2919="!!!",F2919="NEW"),"",COUNTBLANK(OFFSET(A$1,,,SUMPRODUCT(MAX(ROW(E$2:E2919)*(E2919=E$2:E2919)))))-COUNTBLANK(OFFSET(A$1,,,SUMPRODUCT(MAX(ROW(E$1:E2918)*(E2=E$1:E2918))))))</f>
        <v> </v>
      </c>
      <c r="K2919" s="25" t="str">
        <f>IF(OR(E2919="",E2919="!!!",F2919="NEW"),"",INDEX(J$1:J2918,SUMPRODUCT(MAX(ROW(E$1:E2918)*(E2919=E$1:E2918)))))</f>
        <v> </v>
      </c>
      <c r="L2919" s="26"/>
    </row>
    <row r="2920" spans="1:12">
      <c r="A2920" s="20" t="s">
        <v>744</v>
      </c>
      <c r="E2920" s="21">
        <f>IF(D2920="?OLD","!!!","")</f>
        <v/>
      </c>
      <c r="F2920" s="22" t="str">
        <f>IF(OR(E2920="",E2920="!!!"),"",IF(NOT(ISNA(VLOOKUP(E2920,E$1:E2919,1,FALSE()))),"OLD",IF(AND(E2920&lt;&gt;"",E2920&lt;&gt;"!!!"),"NEW","")))</f>
        <v> </v>
      </c>
      <c r="G2920" s="23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4" t="str">
        <f>IF(J2920&lt;&gt;1,"",IF(I2920="SBJ","CB","?"))</f>
        <v> </v>
      </c>
      <c r="I2920" s="25" t="str">
        <f>IF(OR(E2920="",E2920="!!!",F2920="NEW"),"",INDEX(B2919:B$2,-1+SUMPRODUCT(MAX(ROW(E2919:E$2)*(E2920=E2919:E$2)))))</f>
        <v> </v>
      </c>
      <c r="J2920" s="25" t="str">
        <f>IF(OR(E2920="",E2920="!!!",F2920="NEW"),"",COUNTBLANK(OFFSET(A$1,,,SUMPRODUCT(MAX(ROW(E$2:E2920)*(E2920=E$2:E2920)))))-COUNTBLANK(OFFSET(A$1,,,SUMPRODUCT(MAX(ROW(E$1:E2919)*(E2=E$1:E2919))))))</f>
        <v> </v>
      </c>
      <c r="K2920" s="25" t="str">
        <f>IF(OR(E2920="",E2920="!!!",F2920="NEW"),"",INDEX(J$1:J2919,SUMPRODUCT(MAX(ROW(E$1:E2919)*(E2920=E$1:E2919)))))</f>
        <v> </v>
      </c>
      <c r="L2920" s="26"/>
    </row>
    <row r="2921" spans="1:12">
      <c r="A2921" s="20" t="s">
        <v>1993</v>
      </c>
      <c r="E2921" s="21">
        <f>IF(D2921="?OLD","!!!","")</f>
        <v/>
      </c>
      <c r="F2921" s="22" t="str">
        <f>IF(OR(E2921="",E2921="!!!"),"",IF(NOT(ISNA(VLOOKUP(E2921,E$1:E2920,1,FALSE()))),"OLD",IF(AND(E2921&lt;&gt;"",E2921&lt;&gt;"!!!"),"NEW","")))</f>
        <v> </v>
      </c>
      <c r="G2921" s="23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4" t="str">
        <f>IF(J2921&lt;&gt;1,"",IF(I2921="SBJ","CB","?"))</f>
        <v> </v>
      </c>
      <c r="I2921" s="25" t="str">
        <f>IF(OR(E2921="",E2921="!!!",F2921="NEW"),"",INDEX(B2920:B$2,-1+SUMPRODUCT(MAX(ROW(E2920:E$2)*(E2921=E2920:E$2)))))</f>
        <v> </v>
      </c>
      <c r="J2921" s="25" t="str">
        <f>IF(OR(E2921="",E2921="!!!",F2921="NEW"),"",COUNTBLANK(OFFSET(A$1,,,SUMPRODUCT(MAX(ROW(E$2:E2921)*(E2921=E$2:E2921)))))-COUNTBLANK(OFFSET(A$1,,,SUMPRODUCT(MAX(ROW(E$1:E2920)*(E2=E$1:E2920))))))</f>
        <v> </v>
      </c>
      <c r="K2921" s="25" t="str">
        <f>IF(OR(E2921="",E2921="!!!",F2921="NEW"),"",INDEX(J$1:J2920,SUMPRODUCT(MAX(ROW(E$1:E2920)*(E2921=E$1:E2920)))))</f>
        <v> </v>
      </c>
      <c r="L2921" s="26"/>
    </row>
    <row r="2922" spans="1:12">
      <c r="A2922" s="20" t="s">
        <v>1997</v>
      </c>
      <c r="B2922" s="27" t="s">
        <v>831</v>
      </c>
      <c r="C2922" s="27" t="s">
        <v>853</v>
      </c>
      <c r="D2922" s="27" t="s">
        <v>736</v>
      </c>
      <c r="E2922" s="21">
        <f>IF(D2922="?OLD","!!!","")</f>
        <v/>
      </c>
      <c r="F2922" s="22" t="str">
        <f>IF(OR(E2922="",E2922="!!!"),"",IF(NOT(ISNA(VLOOKUP(E2922,E$1:E2921,1,FALSE()))),"OLD",IF(AND(E2922&lt;&gt;"",E2922&lt;&gt;"!!!"),"NEW","")))</f>
        <v> </v>
      </c>
      <c r="G2922" s="23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4" t="str">
        <f>IF(J2922&lt;&gt;1,"",IF(I2922="SBJ","CB","?"))</f>
        <v> </v>
      </c>
      <c r="I2922" s="25" t="str">
        <f>IF(OR(E2922="",E2922="!!!",F2922="NEW"),"",INDEX(B2921:B$2,-1+SUMPRODUCT(MAX(ROW(E2921:E$2)*(E2922=E2921:E$2)))))</f>
        <v> </v>
      </c>
      <c r="J2922" s="25" t="str">
        <f>IF(OR(E2922="",E2922="!!!",F2922="NEW"),"",COUNTBLANK(OFFSET(A$1,,,SUMPRODUCT(MAX(ROW(E$2:E2922)*(E2922=E$2:E2922)))))-COUNTBLANK(OFFSET(A$1,,,SUMPRODUCT(MAX(ROW(E$1:E2921)*(E2=E$1:E2921))))))</f>
        <v> </v>
      </c>
      <c r="K2922" s="25" t="str">
        <f>IF(OR(E2922="",E2922="!!!",F2922="NEW"),"",INDEX(J$1:J2921,SUMPRODUCT(MAX(ROW(E$1:E2921)*(E2922=E$1:E2921)))))</f>
        <v> </v>
      </c>
      <c r="L2922" s="26"/>
    </row>
    <row r="2923" spans="1:12">
      <c r="A2923" s="20" t="s">
        <v>1897</v>
      </c>
      <c r="B2923" s="27" t="s">
        <v>762</v>
      </c>
      <c r="E2923" s="21">
        <f>IF(D2923="?OLD","!!!","")</f>
        <v/>
      </c>
      <c r="F2923" s="22" t="str">
        <f>IF(OR(E2923="",E2923="!!!"),"",IF(NOT(ISNA(VLOOKUP(E2923,E$1:E2922,1,FALSE()))),"OLD",IF(AND(E2923&lt;&gt;"",E2923&lt;&gt;"!!!"),"NEW","")))</f>
        <v> </v>
      </c>
      <c r="G2923" s="23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4" t="str">
        <f>IF(J2923&lt;&gt;1,"",IF(I2923="SBJ","CB","?"))</f>
        <v> </v>
      </c>
      <c r="I2923" s="25" t="str">
        <f>IF(OR(E2923="",E2923="!!!",F2923="NEW"),"",INDEX(B2922:B$2,-1+SUMPRODUCT(MAX(ROW(E2922:E$2)*(E2923=E2922:E$2)))))</f>
        <v> </v>
      </c>
      <c r="J2923" s="25" t="str">
        <f>IF(OR(E2923="",E2923="!!!",F2923="NEW"),"",COUNTBLANK(OFFSET(A$1,,,SUMPRODUCT(MAX(ROW(E$2:E2923)*(E2923=E$2:E2923)))))-COUNTBLANK(OFFSET(A$1,,,SUMPRODUCT(MAX(ROW(E$1:E2922)*(E2=E$1:E2922))))))</f>
        <v> </v>
      </c>
      <c r="K2923" s="25" t="str">
        <f>IF(OR(E2923="",E2923="!!!",F2923="NEW"),"",INDEX(J$1:J2922,SUMPRODUCT(MAX(ROW(E$1:E2922)*(E2923=E$1:E2922)))))</f>
        <v> </v>
      </c>
      <c r="L2923" s="26"/>
    </row>
    <row r="2924" spans="1:12">
      <c r="A2924" s="20" t="s">
        <v>765</v>
      </c>
      <c r="E2924" s="21">
        <f>IF(D2924="?OLD","!!!","")</f>
        <v/>
      </c>
      <c r="F2924" s="22" t="str">
        <f>IF(OR(E2924="",E2924="!!!"),"",IF(NOT(ISNA(VLOOKUP(E2924,E$1:E2923,1,FALSE()))),"OLD",IF(AND(E2924&lt;&gt;"",E2924&lt;&gt;"!!!"),"NEW","")))</f>
        <v> </v>
      </c>
      <c r="G2924" s="23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4" t="str">
        <f>IF(J2924&lt;&gt;1,"",IF(I2924="SBJ","CB","?"))</f>
        <v> </v>
      </c>
      <c r="I2924" s="25" t="str">
        <f>IF(OR(E2924="",E2924="!!!",F2924="NEW"),"",INDEX(B2923:B$2,-1+SUMPRODUCT(MAX(ROW(E2923:E$2)*(E2924=E2923:E$2)))))</f>
        <v> </v>
      </c>
      <c r="J2924" s="25" t="str">
        <f>IF(OR(E2924="",E2924="!!!",F2924="NEW"),"",COUNTBLANK(OFFSET(A$1,,,SUMPRODUCT(MAX(ROW(E$2:E2924)*(E2924=E$2:E2924)))))-COUNTBLANK(OFFSET(A$1,,,SUMPRODUCT(MAX(ROW(E$1:E2923)*(E2=E$1:E2923))))))</f>
        <v> </v>
      </c>
      <c r="K2924" s="25" t="str">
        <f>IF(OR(E2924="",E2924="!!!",F2924="NEW"),"",INDEX(J$1:J2923,SUMPRODUCT(MAX(ROW(E$1:E2923)*(E2924=E$1:E2923)))))</f>
        <v> </v>
      </c>
      <c r="L2924" s="26"/>
    </row>
    <row r="2925" spans="1:12">
      <c r="A2925" s="20"/>
    </row>
    <row r="2926" spans="1:12">
      <c r="A2926" s="20" t="s">
        <v>1998</v>
      </c>
    </row>
    <row r="2927" spans="1:12">
      <c r="A2927" s="20" t="s">
        <v>1999</v>
      </c>
      <c r="E2927" s="21">
        <f>IF(D2927="?OLD","!!!","")</f>
        <v/>
      </c>
      <c r="F2927" s="22" t="str">
        <f>IF(OR(E2927="",E2927="!!!"),"",IF(NOT(ISNA(VLOOKUP(E2927,E$1:E2926,1,FALSE()))),"OLD",IF(AND(E2927&lt;&gt;"",E2927&lt;&gt;"!!!"),"NEW","")))</f>
        <v> </v>
      </c>
      <c r="G2927" s="23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4" t="str">
        <f>IF(J2927&lt;&gt;1,"",IF(I2927="SBJ","CB","?"))</f>
        <v> </v>
      </c>
      <c r="I2927" s="25" t="str">
        <f>IF(OR(E2927="",E2927="!!!",F2927="NEW"),"",INDEX(B2926:B$2,-1+SUMPRODUCT(MAX(ROW(E2926:E$2)*(E2927=E2926:E$2)))))</f>
        <v> </v>
      </c>
      <c r="J2927" s="25" t="str">
        <f>IF(OR(E2927="",E2927="!!!",F2927="NEW"),"",COUNTBLANK(OFFSET(A$1,,,SUMPRODUCT(MAX(ROW(E$2:E2927)*(E2927=E$2:E2927)))))-COUNTBLANK(OFFSET(A$1,,,SUMPRODUCT(MAX(ROW(E$1:E2926)*(E2=E$1:E2926))))))</f>
        <v> </v>
      </c>
      <c r="K2927" s="25" t="str">
        <f>IF(OR(E2927="",E2927="!!!",F2927="NEW"),"",INDEX(J$1:J2926,SUMPRODUCT(MAX(ROW(E$1:E2926)*(E2927=E$1:E2926)))))</f>
        <v> </v>
      </c>
      <c r="L2927" s="26"/>
    </row>
    <row r="2928" spans="1:12">
      <c r="A2928" s="20" t="s">
        <v>657</v>
      </c>
      <c r="E2928" s="21">
        <f>IF(D2928="?OLD","!!!","")</f>
        <v/>
      </c>
      <c r="F2928" s="22" t="str">
        <f>IF(OR(E2928="",E2928="!!!"),"",IF(NOT(ISNA(VLOOKUP(E2928,E$1:E2927,1,FALSE()))),"OLD",IF(AND(E2928&lt;&gt;"",E2928&lt;&gt;"!!!"),"NEW","")))</f>
        <v> </v>
      </c>
      <c r="G2928" s="23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4" t="str">
        <f>IF(J2928&lt;&gt;1,"",IF(I2928="SBJ","CB","?"))</f>
        <v> </v>
      </c>
      <c r="I2928" s="25" t="str">
        <f>IF(OR(E2928="",E2928="!!!",F2928="NEW"),"",INDEX(B2927:B$2,-1+SUMPRODUCT(MAX(ROW(E2927:E$2)*(E2928=E2927:E$2)))))</f>
        <v> </v>
      </c>
      <c r="J2928" s="25" t="str">
        <f>IF(OR(E2928="",E2928="!!!",F2928="NEW"),"",COUNTBLANK(OFFSET(A$1,,,SUMPRODUCT(MAX(ROW(E$2:E2928)*(E2928=E$2:E2928)))))-COUNTBLANK(OFFSET(A$1,,,SUMPRODUCT(MAX(ROW(E$1:E2927)*(E2=E$1:E2927))))))</f>
        <v> </v>
      </c>
      <c r="K2928" s="25" t="str">
        <f>IF(OR(E2928="",E2928="!!!",F2928="NEW"),"",INDEX(J$1:J2927,SUMPRODUCT(MAX(ROW(E$1:E2927)*(E2928=E$1:E2927)))))</f>
        <v> </v>
      </c>
      <c r="L2928" s="26"/>
    </row>
    <row r="2929" spans="1:12">
      <c r="A2929" s="20" t="s">
        <v>744</v>
      </c>
      <c r="E2929" s="21">
        <f>IF(D2929="?OLD","!!!","")</f>
        <v/>
      </c>
      <c r="F2929" s="22" t="str">
        <f>IF(OR(E2929="",E2929="!!!"),"",IF(NOT(ISNA(VLOOKUP(E2929,E$1:E2928,1,FALSE()))),"OLD",IF(AND(E2929&lt;&gt;"",E2929&lt;&gt;"!!!"),"NEW","")))</f>
        <v> </v>
      </c>
      <c r="G2929" s="23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4" t="str">
        <f>IF(J2929&lt;&gt;1,"",IF(I2929="SBJ","CB","?"))</f>
        <v> </v>
      </c>
      <c r="I2929" s="25" t="str">
        <f>IF(OR(E2929="",E2929="!!!",F2929="NEW"),"",INDEX(B2928:B$2,-1+SUMPRODUCT(MAX(ROW(E2928:E$2)*(E2929=E2928:E$2)))))</f>
        <v> </v>
      </c>
      <c r="J2929" s="25" t="str">
        <f>IF(OR(E2929="",E2929="!!!",F2929="NEW"),"",COUNTBLANK(OFFSET(A$1,,,SUMPRODUCT(MAX(ROW(E$2:E2929)*(E2929=E$2:E2929)))))-COUNTBLANK(OFFSET(A$1,,,SUMPRODUCT(MAX(ROW(E$1:E2928)*(E2=E$1:E2928))))))</f>
        <v> </v>
      </c>
      <c r="K2929" s="25" t="str">
        <f>IF(OR(E2929="",E2929="!!!",F2929="NEW"),"",INDEX(J$1:J2928,SUMPRODUCT(MAX(ROW(E$1:E2928)*(E2929=E$1:E2928)))))</f>
        <v> </v>
      </c>
      <c r="L2929" s="26"/>
    </row>
    <row r="2930" spans="1:12">
      <c r="A2930" s="20" t="s">
        <v>2000</v>
      </c>
      <c r="E2930" s="21">
        <f>IF(D2930="?OLD","!!!","")</f>
        <v/>
      </c>
      <c r="F2930" s="22" t="str">
        <f>IF(OR(E2930="",E2930="!!!"),"",IF(NOT(ISNA(VLOOKUP(E2930,E$1:E2929,1,FALSE()))),"OLD",IF(AND(E2930&lt;&gt;"",E2930&lt;&gt;"!!!"),"NEW","")))</f>
        <v> </v>
      </c>
      <c r="G2930" s="23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4" t="str">
        <f>IF(J2930&lt;&gt;1,"",IF(I2930="SBJ","CB","?"))</f>
        <v> </v>
      </c>
      <c r="I2930" s="25" t="str">
        <f>IF(OR(E2930="",E2930="!!!",F2930="NEW"),"",INDEX(B2929:B$2,-1+SUMPRODUCT(MAX(ROW(E2929:E$2)*(E2930=E2929:E$2)))))</f>
        <v> </v>
      </c>
      <c r="J2930" s="25" t="str">
        <f>IF(OR(E2930="",E2930="!!!",F2930="NEW"),"",COUNTBLANK(OFFSET(A$1,,,SUMPRODUCT(MAX(ROW(E$2:E2930)*(E2930=E$2:E2930)))))-COUNTBLANK(OFFSET(A$1,,,SUMPRODUCT(MAX(ROW(E$1:E2929)*(E2=E$1:E2929))))))</f>
        <v> </v>
      </c>
      <c r="K2930" s="25" t="str">
        <f>IF(OR(E2930="",E2930="!!!",F2930="NEW"),"",INDEX(J$1:J2929,SUMPRODUCT(MAX(ROW(E$1:E2929)*(E2930=E$1:E2929)))))</f>
        <v> </v>
      </c>
      <c r="L2930" s="26"/>
    </row>
    <row r="2931" spans="1:12">
      <c r="A2931" s="20" t="s">
        <v>657</v>
      </c>
      <c r="E2931" s="21">
        <f>IF(D2931="?OLD","!!!","")</f>
        <v/>
      </c>
      <c r="F2931" s="22" t="str">
        <f>IF(OR(E2931="",E2931="!!!"),"",IF(NOT(ISNA(VLOOKUP(E2931,E$1:E2930,1,FALSE()))),"OLD",IF(AND(E2931&lt;&gt;"",E2931&lt;&gt;"!!!"),"NEW","")))</f>
        <v> </v>
      </c>
      <c r="G2931" s="23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4" t="str">
        <f>IF(J2931&lt;&gt;1,"",IF(I2931="SBJ","CB","?"))</f>
        <v> </v>
      </c>
      <c r="I2931" s="25" t="str">
        <f>IF(OR(E2931="",E2931="!!!",F2931="NEW"),"",INDEX(B2930:B$2,-1+SUMPRODUCT(MAX(ROW(E2930:E$2)*(E2931=E2930:E$2)))))</f>
        <v> </v>
      </c>
      <c r="J2931" s="25" t="str">
        <f>IF(OR(E2931="",E2931="!!!",F2931="NEW"),"",COUNTBLANK(OFFSET(A$1,,,SUMPRODUCT(MAX(ROW(E$2:E2931)*(E2931=E$2:E2931)))))-COUNTBLANK(OFFSET(A$1,,,SUMPRODUCT(MAX(ROW(E$1:E2930)*(E2=E$1:E2930))))))</f>
        <v> </v>
      </c>
      <c r="K2931" s="25" t="str">
        <f>IF(OR(E2931="",E2931="!!!",F2931="NEW"),"",INDEX(J$1:J2930,SUMPRODUCT(MAX(ROW(E$1:E2930)*(E2931=E$1:E2930)))))</f>
        <v> </v>
      </c>
      <c r="L2931" s="26"/>
    </row>
    <row r="2932" spans="1:12">
      <c r="A2932" s="20" t="s">
        <v>744</v>
      </c>
      <c r="E2932" s="21">
        <f>IF(D2932="?OLD","!!!","")</f>
        <v/>
      </c>
      <c r="F2932" s="22" t="str">
        <f>IF(OR(E2932="",E2932="!!!"),"",IF(NOT(ISNA(VLOOKUP(E2932,E$1:E2931,1,FALSE()))),"OLD",IF(AND(E2932&lt;&gt;"",E2932&lt;&gt;"!!!"),"NEW","")))</f>
        <v> </v>
      </c>
      <c r="G2932" s="23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4" t="str">
        <f>IF(J2932&lt;&gt;1,"",IF(I2932="SBJ","CB","?"))</f>
        <v> </v>
      </c>
      <c r="I2932" s="25" t="str">
        <f>IF(OR(E2932="",E2932="!!!",F2932="NEW"),"",INDEX(B2931:B$2,-1+SUMPRODUCT(MAX(ROW(E2931:E$2)*(E2932=E2931:E$2)))))</f>
        <v> </v>
      </c>
      <c r="J2932" s="25" t="str">
        <f>IF(OR(E2932="",E2932="!!!",F2932="NEW"),"",COUNTBLANK(OFFSET(A$1,,,SUMPRODUCT(MAX(ROW(E$2:E2932)*(E2932=E$2:E2932)))))-COUNTBLANK(OFFSET(A$1,,,SUMPRODUCT(MAX(ROW(E$1:E2931)*(E2=E$1:E2931))))))</f>
        <v> </v>
      </c>
      <c r="K2932" s="25" t="str">
        <f>IF(OR(E2932="",E2932="!!!",F2932="NEW"),"",INDEX(J$1:J2931,SUMPRODUCT(MAX(ROW(E$1:E2931)*(E2932=E$1:E2931)))))</f>
        <v> </v>
      </c>
      <c r="L2932" s="26"/>
    </row>
    <row r="2933" spans="1:12">
      <c r="A2933" s="20" t="s">
        <v>742</v>
      </c>
      <c r="E2933" s="21">
        <f>IF(D2933="?OLD","!!!","")</f>
        <v/>
      </c>
      <c r="F2933" s="22" t="str">
        <f>IF(OR(E2933="",E2933="!!!"),"",IF(NOT(ISNA(VLOOKUP(E2933,E$1:E2932,1,FALSE()))),"OLD",IF(AND(E2933&lt;&gt;"",E2933&lt;&gt;"!!!"),"NEW","")))</f>
        <v> </v>
      </c>
      <c r="G2933" s="23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4" t="str">
        <f>IF(J2933&lt;&gt;1,"",IF(I2933="SBJ","CB","?"))</f>
        <v> </v>
      </c>
      <c r="I2933" s="25" t="str">
        <f>IF(OR(E2933="",E2933="!!!",F2933="NEW"),"",INDEX(B2932:B$2,-1+SUMPRODUCT(MAX(ROW(E2932:E$2)*(E2933=E2932:E$2)))))</f>
        <v> </v>
      </c>
      <c r="J2933" s="25" t="str">
        <f>IF(OR(E2933="",E2933="!!!",F2933="NEW"),"",COUNTBLANK(OFFSET(A$1,,,SUMPRODUCT(MAX(ROW(E$2:E2933)*(E2933=E$2:E2933)))))-COUNTBLANK(OFFSET(A$1,,,SUMPRODUCT(MAX(ROW(E$1:E2932)*(E2=E$1:E2932))))))</f>
        <v> </v>
      </c>
      <c r="K2933" s="25" t="str">
        <f>IF(OR(E2933="",E2933="!!!",F2933="NEW"),"",INDEX(J$1:J2932,SUMPRODUCT(MAX(ROW(E$1:E2932)*(E2933=E$1:E2932)))))</f>
        <v> </v>
      </c>
      <c r="L2933" s="26"/>
    </row>
    <row r="2934" spans="1:12">
      <c r="A2934" s="20" t="s">
        <v>2001</v>
      </c>
      <c r="E2934" s="21">
        <f>IF(D2934="?OLD","!!!","")</f>
        <v/>
      </c>
      <c r="F2934" s="22" t="str">
        <f>IF(OR(E2934="",E2934="!!!"),"",IF(NOT(ISNA(VLOOKUP(E2934,E$1:E2933,1,FALSE()))),"OLD",IF(AND(E2934&lt;&gt;"",E2934&lt;&gt;"!!!"),"NEW","")))</f>
        <v> </v>
      </c>
      <c r="G2934" s="23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4" t="str">
        <f>IF(J2934&lt;&gt;1,"",IF(I2934="SBJ","CB","?"))</f>
        <v> </v>
      </c>
      <c r="I2934" s="25" t="str">
        <f>IF(OR(E2934="",E2934="!!!",F2934="NEW"),"",INDEX(B2933:B$2,-1+SUMPRODUCT(MAX(ROW(E2933:E$2)*(E2934=E2933:E$2)))))</f>
        <v> </v>
      </c>
      <c r="J2934" s="25" t="str">
        <f>IF(OR(E2934="",E2934="!!!",F2934="NEW"),"",COUNTBLANK(OFFSET(A$1,,,SUMPRODUCT(MAX(ROW(E$2:E2934)*(E2934=E$2:E2934)))))-COUNTBLANK(OFFSET(A$1,,,SUMPRODUCT(MAX(ROW(E$1:E2933)*(E2=E$1:E2933))))))</f>
        <v> </v>
      </c>
      <c r="K2934" s="25" t="str">
        <f>IF(OR(E2934="",E2934="!!!",F2934="NEW"),"",INDEX(J$1:J2933,SUMPRODUCT(MAX(ROW(E$1:E2933)*(E2934=E$1:E2933)))))</f>
        <v> </v>
      </c>
      <c r="L2934" s="26"/>
    </row>
    <row r="2935" spans="1:12">
      <c r="A2935" s="20" t="s">
        <v>1287</v>
      </c>
      <c r="E2935" s="21">
        <f>IF(D2935="?OLD","!!!","")</f>
        <v/>
      </c>
      <c r="F2935" s="22" t="str">
        <f>IF(OR(E2935="",E2935="!!!"),"",IF(NOT(ISNA(VLOOKUP(E2935,E$1:E2934,1,FALSE()))),"OLD",IF(AND(E2935&lt;&gt;"",E2935&lt;&gt;"!!!"),"NEW","")))</f>
        <v> </v>
      </c>
      <c r="G2935" s="23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4" t="str">
        <f>IF(J2935&lt;&gt;1,"",IF(I2935="SBJ","CB","?"))</f>
        <v> </v>
      </c>
      <c r="I2935" s="25" t="str">
        <f>IF(OR(E2935="",E2935="!!!",F2935="NEW"),"",INDEX(B2934:B$2,-1+SUMPRODUCT(MAX(ROW(E2934:E$2)*(E2935=E2934:E$2)))))</f>
        <v> </v>
      </c>
      <c r="J2935" s="25" t="str">
        <f>IF(OR(E2935="",E2935="!!!",F2935="NEW"),"",COUNTBLANK(OFFSET(A$1,,,SUMPRODUCT(MAX(ROW(E$2:E2935)*(E2935=E$2:E2935)))))-COUNTBLANK(OFFSET(A$1,,,SUMPRODUCT(MAX(ROW(E$1:E2934)*(E2=E$1:E2934))))))</f>
        <v> </v>
      </c>
      <c r="K2935" s="25" t="str">
        <f>IF(OR(E2935="",E2935="!!!",F2935="NEW"),"",INDEX(J$1:J2934,SUMPRODUCT(MAX(ROW(E$1:E2934)*(E2935=E$1:E2934)))))</f>
        <v> </v>
      </c>
      <c r="L2935" s="26"/>
    </row>
    <row r="2936" spans="1:12">
      <c r="A2936" s="20" t="s">
        <v>123</v>
      </c>
      <c r="E2936" s="21">
        <f>IF(D2936="?OLD","!!!","")</f>
        <v/>
      </c>
      <c r="F2936" s="22" t="str">
        <f>IF(OR(E2936="",E2936="!!!"),"",IF(NOT(ISNA(VLOOKUP(E2936,E$1:E2935,1,FALSE()))),"OLD",IF(AND(E2936&lt;&gt;"",E2936&lt;&gt;"!!!"),"NEW","")))</f>
        <v> </v>
      </c>
      <c r="G2936" s="23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4" t="str">
        <f>IF(J2936&lt;&gt;1,"",IF(I2936="SBJ","CB","?"))</f>
        <v> </v>
      </c>
      <c r="I2936" s="25" t="str">
        <f>IF(OR(E2936="",E2936="!!!",F2936="NEW"),"",INDEX(B2935:B$2,-1+SUMPRODUCT(MAX(ROW(E2935:E$2)*(E2936=E2935:E$2)))))</f>
        <v> </v>
      </c>
      <c r="J2936" s="25" t="str">
        <f>IF(OR(E2936="",E2936="!!!",F2936="NEW"),"",COUNTBLANK(OFFSET(A$1,,,SUMPRODUCT(MAX(ROW(E$2:E2936)*(E2936=E$2:E2936)))))-COUNTBLANK(OFFSET(A$1,,,SUMPRODUCT(MAX(ROW(E$1:E2935)*(E2=E$1:E2935))))))</f>
        <v> </v>
      </c>
      <c r="K2936" s="25" t="str">
        <f>IF(OR(E2936="",E2936="!!!",F2936="NEW"),"",INDEX(J$1:J2935,SUMPRODUCT(MAX(ROW(E$1:E2935)*(E2936=E$1:E2935)))))</f>
        <v> </v>
      </c>
      <c r="L2936" s="26"/>
    </row>
    <row r="2937" spans="1:12">
      <c r="A2937" s="20" t="s">
        <v>863</v>
      </c>
      <c r="B2937" s="27" t="s">
        <v>738</v>
      </c>
      <c r="C2937" s="27" t="s">
        <v>828</v>
      </c>
      <c r="E2937" s="21">
        <f>IF(D2937="?OLD","!!!","")</f>
        <v/>
      </c>
      <c r="F2937" s="22" t="str">
        <f>IF(OR(E2937="",E2937="!!!"),"",IF(NOT(ISNA(VLOOKUP(E2937,E$1:E2936,1,FALSE()))),"OLD",IF(AND(E2937&lt;&gt;"",E2937&lt;&gt;"!!!"),"NEW","")))</f>
        <v> </v>
      </c>
      <c r="G2937" s="23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4" t="str">
        <f>IF(J2937&lt;&gt;1,"",IF(I2937="SBJ","CB","?"))</f>
        <v> </v>
      </c>
      <c r="I2937" s="25" t="str">
        <f>IF(OR(E2937="",E2937="!!!",F2937="NEW"),"",INDEX(B2936:B$2,-1+SUMPRODUCT(MAX(ROW(E2936:E$2)*(E2937=E2936:E$2)))))</f>
        <v> </v>
      </c>
      <c r="J2937" s="25" t="str">
        <f>IF(OR(E2937="",E2937="!!!",F2937="NEW"),"",COUNTBLANK(OFFSET(A$1,,,SUMPRODUCT(MAX(ROW(E$2:E2937)*(E2937=E$2:E2937)))))-COUNTBLANK(OFFSET(A$1,,,SUMPRODUCT(MAX(ROW(E$1:E2936)*(E2=E$1:E2936))))))</f>
        <v> </v>
      </c>
      <c r="K2937" s="25" t="str">
        <f>IF(OR(E2937="",E2937="!!!",F2937="NEW"),"",INDEX(J$1:J2936,SUMPRODUCT(MAX(ROW(E$1:E2936)*(E2937=E$1:E2936)))))</f>
        <v> </v>
      </c>
      <c r="L2937" s="26"/>
    </row>
    <row r="2938" spans="1:12">
      <c r="A2938" s="20" t="s">
        <v>765</v>
      </c>
      <c r="E2938" s="21">
        <f>IF(D2938="?OLD","!!!","")</f>
        <v/>
      </c>
      <c r="F2938" s="22" t="str">
        <f>IF(OR(E2938="",E2938="!!!"),"",IF(NOT(ISNA(VLOOKUP(E2938,E$1:E2937,1,FALSE()))),"OLD",IF(AND(E2938&lt;&gt;"",E2938&lt;&gt;"!!!"),"NEW","")))</f>
        <v> </v>
      </c>
      <c r="G2938" s="23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4" t="str">
        <f>IF(J2938&lt;&gt;1,"",IF(I2938="SBJ","CB","?"))</f>
        <v> </v>
      </c>
      <c r="I2938" s="25" t="str">
        <f>IF(OR(E2938="",E2938="!!!",F2938="NEW"),"",INDEX(B2937:B$2,-1+SUMPRODUCT(MAX(ROW(E2937:E$2)*(E2938=E2937:E$2)))))</f>
        <v> </v>
      </c>
      <c r="J2938" s="25" t="str">
        <f>IF(OR(E2938="",E2938="!!!",F2938="NEW"),"",COUNTBLANK(OFFSET(A$1,,,SUMPRODUCT(MAX(ROW(E$2:E2938)*(E2938=E$2:E2938)))))-COUNTBLANK(OFFSET(A$1,,,SUMPRODUCT(MAX(ROW(E$1:E2937)*(E2=E$1:E2937))))))</f>
        <v> </v>
      </c>
      <c r="K2938" s="25" t="str">
        <f>IF(OR(E2938="",E2938="!!!",F2938="NEW"),"",INDEX(J$1:J2937,SUMPRODUCT(MAX(ROW(E$1:E2937)*(E2938=E$1:E2937)))))</f>
        <v> </v>
      </c>
      <c r="L2938" s="26"/>
    </row>
    <row r="2939" spans="1:12">
      <c r="A2939" s="20"/>
    </row>
    <row r="2940" spans="1:12">
      <c r="A2940" s="20" t="s">
        <v>2002</v>
      </c>
    </row>
    <row r="2941" spans="1:12">
      <c r="A2941" s="20" t="s">
        <v>2003</v>
      </c>
      <c r="B2941" s="27" t="s">
        <v>734</v>
      </c>
      <c r="C2941" s="27" t="s">
        <v>756</v>
      </c>
      <c r="D2941" s="27" t="s">
        <v>736</v>
      </c>
      <c r="E2941" s="21">
        <f>IF(D2941="?OLD","!!!","")</f>
        <v/>
      </c>
      <c r="F2941" s="22" t="str">
        <f>IF(OR(E2941="",E2941="!!!"),"",IF(NOT(ISNA(VLOOKUP(E2941,E$1:E2940,1,FALSE()))),"OLD",IF(AND(E2941&lt;&gt;"",E2941&lt;&gt;"!!!"),"NEW","")))</f>
        <v> </v>
      </c>
      <c r="G2941" s="23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4" t="str">
        <f>IF(J2941&lt;&gt;1,"",IF(I2941="SBJ","CB","?"))</f>
        <v> </v>
      </c>
      <c r="I2941" s="25" t="str">
        <f>IF(OR(E2941="",E2941="!!!",F2941="NEW"),"",INDEX(B2940:B$2,-1+SUMPRODUCT(MAX(ROW(E2940:E$2)*(E2941=E2940:E$2)))))</f>
        <v> </v>
      </c>
      <c r="J2941" s="25" t="str">
        <f>IF(OR(E2941="",E2941="!!!",F2941="NEW"),"",COUNTBLANK(OFFSET(A$1,,,SUMPRODUCT(MAX(ROW(E$2:E2941)*(E2941=E$2:E2941)))))-COUNTBLANK(OFFSET(A$1,,,SUMPRODUCT(MAX(ROW(E$1:E2940)*(E2=E$1:E2940))))))</f>
        <v> </v>
      </c>
      <c r="K2941" s="25" t="str">
        <f>IF(OR(E2941="",E2941="!!!",F2941="NEW"),"",INDEX(J$1:J2940,SUMPRODUCT(MAX(ROW(E$1:E2940)*(E2941=E$1:E2940)))))</f>
        <v> </v>
      </c>
      <c r="L2941" s="26"/>
    </row>
    <row r="2942" spans="1:12">
      <c r="A2942" s="20" t="s">
        <v>1876</v>
      </c>
      <c r="E2942" s="21">
        <f>IF(D2942="?OLD","!!!","")</f>
        <v/>
      </c>
      <c r="F2942" s="22" t="str">
        <f>IF(OR(E2942="",E2942="!!!"),"",IF(NOT(ISNA(VLOOKUP(E2942,E$1:E2941,1,FALSE()))),"OLD",IF(AND(E2942&lt;&gt;"",E2942&lt;&gt;"!!!"),"NEW","")))</f>
        <v> </v>
      </c>
      <c r="G2942" s="23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4" t="str">
        <f>IF(J2942&lt;&gt;1,"",IF(I2942="SBJ","CB","?"))</f>
        <v> </v>
      </c>
      <c r="I2942" s="25" t="str">
        <f>IF(OR(E2942="",E2942="!!!",F2942="NEW"),"",INDEX(B2941:B$2,-1+SUMPRODUCT(MAX(ROW(E2941:E$2)*(E2942=E2941:E$2)))))</f>
        <v> </v>
      </c>
      <c r="J2942" s="25" t="str">
        <f>IF(OR(E2942="",E2942="!!!",F2942="NEW"),"",COUNTBLANK(OFFSET(A$1,,,SUMPRODUCT(MAX(ROW(E$2:E2942)*(E2942=E$2:E2942)))))-COUNTBLANK(OFFSET(A$1,,,SUMPRODUCT(MAX(ROW(E$1:E2941)*(E2=E$1:E2941))))))</f>
        <v> </v>
      </c>
      <c r="K2942" s="25" t="str">
        <f>IF(OR(E2942="",E2942="!!!",F2942="NEW"),"",INDEX(J$1:J2941,SUMPRODUCT(MAX(ROW(E$1:E2941)*(E2942=E$1:E2941)))))</f>
        <v> </v>
      </c>
      <c r="L2942" s="26"/>
    </row>
    <row r="2943" spans="1:12">
      <c r="A2943" s="20" t="s">
        <v>793</v>
      </c>
      <c r="E2943" s="21">
        <f>IF(D2943="?OLD","!!!","")</f>
        <v/>
      </c>
      <c r="F2943" s="22" t="str">
        <f>IF(OR(E2943="",E2943="!!!"),"",IF(NOT(ISNA(VLOOKUP(E2943,E$1:E2942,1,FALSE()))),"OLD",IF(AND(E2943&lt;&gt;"",E2943&lt;&gt;"!!!"),"NEW","")))</f>
        <v> </v>
      </c>
      <c r="G2943" s="23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4" t="str">
        <f>IF(J2943&lt;&gt;1,"",IF(I2943="SBJ","CB","?"))</f>
        <v> </v>
      </c>
      <c r="I2943" s="25" t="str">
        <f>IF(OR(E2943="",E2943="!!!",F2943="NEW"),"",INDEX(B2942:B$2,-1+SUMPRODUCT(MAX(ROW(E2942:E$2)*(E2943=E2942:E$2)))))</f>
        <v> </v>
      </c>
      <c r="J2943" s="25" t="str">
        <f>IF(OR(E2943="",E2943="!!!",F2943="NEW"),"",COUNTBLANK(OFFSET(A$1,,,SUMPRODUCT(MAX(ROW(E$2:E2943)*(E2943=E$2:E2943)))))-COUNTBLANK(OFFSET(A$1,,,SUMPRODUCT(MAX(ROW(E$1:E2942)*(E2=E$1:E2942))))))</f>
        <v> </v>
      </c>
      <c r="K2943" s="25" t="str">
        <f>IF(OR(E2943="",E2943="!!!",F2943="NEW"),"",INDEX(J$1:J2942,SUMPRODUCT(MAX(ROW(E$1:E2942)*(E2943=E$1:E2942)))))</f>
        <v> </v>
      </c>
      <c r="L2943" s="26"/>
    </row>
    <row r="2944" spans="1:12">
      <c r="A2944" s="20" t="s">
        <v>1037</v>
      </c>
      <c r="E2944" s="21">
        <f>IF(D2944="?OLD","!!!","")</f>
        <v/>
      </c>
      <c r="F2944" s="22" t="str">
        <f>IF(OR(E2944="",E2944="!!!"),"",IF(NOT(ISNA(VLOOKUP(E2944,E$1:E2943,1,FALSE()))),"OLD",IF(AND(E2944&lt;&gt;"",E2944&lt;&gt;"!!!"),"NEW","")))</f>
        <v> </v>
      </c>
      <c r="G2944" s="23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4" t="str">
        <f>IF(J2944&lt;&gt;1,"",IF(I2944="SBJ","CB","?"))</f>
        <v> </v>
      </c>
      <c r="I2944" s="25" t="str">
        <f>IF(OR(E2944="",E2944="!!!",F2944="NEW"),"",INDEX(B2943:B$2,-1+SUMPRODUCT(MAX(ROW(E2943:E$2)*(E2944=E2943:E$2)))))</f>
        <v> </v>
      </c>
      <c r="J2944" s="25" t="str">
        <f>IF(OR(E2944="",E2944="!!!",F2944="NEW"),"",COUNTBLANK(OFFSET(A$1,,,SUMPRODUCT(MAX(ROW(E$2:E2944)*(E2944=E$2:E2944)))))-COUNTBLANK(OFFSET(A$1,,,SUMPRODUCT(MAX(ROW(E$1:E2943)*(E2=E$1:E2943))))))</f>
        <v> </v>
      </c>
      <c r="K2944" s="25" t="str">
        <f>IF(OR(E2944="",E2944="!!!",F2944="NEW"),"",INDEX(J$1:J2943,SUMPRODUCT(MAX(ROW(E$1:E2943)*(E2944=E$1:E2943)))))</f>
        <v> </v>
      </c>
      <c r="L2944" s="26"/>
    </row>
    <row r="2945" spans="1:12">
      <c r="A2945" s="20" t="s">
        <v>765</v>
      </c>
      <c r="E2945" s="21">
        <f>IF(D2945="?OLD","!!!","")</f>
        <v/>
      </c>
      <c r="F2945" s="22" t="str">
        <f>IF(OR(E2945="",E2945="!!!"),"",IF(NOT(ISNA(VLOOKUP(E2945,E$1:E2944,1,FALSE()))),"OLD",IF(AND(E2945&lt;&gt;"",E2945&lt;&gt;"!!!"),"NEW","")))</f>
        <v> </v>
      </c>
      <c r="G2945" s="23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4" t="str">
        <f>IF(J2945&lt;&gt;1,"",IF(I2945="SBJ","CB","?"))</f>
        <v> </v>
      </c>
      <c r="I2945" s="25" t="str">
        <f>IF(OR(E2945="",E2945="!!!",F2945="NEW"),"",INDEX(B2944:B$2,-1+SUMPRODUCT(MAX(ROW(E2944:E$2)*(E2945=E2944:E$2)))))</f>
        <v> </v>
      </c>
      <c r="J2945" s="25" t="str">
        <f>IF(OR(E2945="",E2945="!!!",F2945="NEW"),"",COUNTBLANK(OFFSET(A$1,,,SUMPRODUCT(MAX(ROW(E$2:E2945)*(E2945=E$2:E2945)))))-COUNTBLANK(OFFSET(A$1,,,SUMPRODUCT(MAX(ROW(E$1:E2944)*(E2=E$1:E2944))))))</f>
        <v> </v>
      </c>
      <c r="K2945" s="25" t="str">
        <f>IF(OR(E2945="",E2945="!!!",F2945="NEW"),"",INDEX(J$1:J2944,SUMPRODUCT(MAX(ROW(E$1:E2944)*(E2945=E$1:E2944)))))</f>
        <v> </v>
      </c>
      <c r="L2945" s="26"/>
    </row>
    <row r="2946" spans="1:12">
      <c r="A2946" s="20"/>
    </row>
    <row r="2947" spans="1:12">
      <c r="A2947" s="20" t="s">
        <v>2004</v>
      </c>
    </row>
    <row r="2948" spans="1:12">
      <c r="A2948" s="20" t="s">
        <v>2005</v>
      </c>
      <c r="E2948" s="21">
        <f>IF(D2948="?OLD","!!!","")</f>
        <v/>
      </c>
      <c r="F2948" s="22" t="str">
        <f>IF(OR(E2948="",E2948="!!!"),"",IF(NOT(ISNA(VLOOKUP(E2948,E$1:E2947,1,FALSE()))),"OLD",IF(AND(E2948&lt;&gt;"",E2948&lt;&gt;"!!!"),"NEW","")))</f>
        <v> </v>
      </c>
      <c r="G2948" s="23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4" t="str">
        <f>IF(J2948&lt;&gt;1,"",IF(I2948="SBJ","CB","?"))</f>
        <v> </v>
      </c>
      <c r="I2948" s="25" t="str">
        <f>IF(OR(E2948="",E2948="!!!",F2948="NEW"),"",INDEX(B2947:B$2,-1+SUMPRODUCT(MAX(ROW(E2947:E$2)*(E2948=E2947:E$2)))))</f>
        <v> </v>
      </c>
      <c r="J2948" s="25" t="str">
        <f>IF(OR(E2948="",E2948="!!!",F2948="NEW"),"",COUNTBLANK(OFFSET(A$1,,,SUMPRODUCT(MAX(ROW(E$2:E2948)*(E2948=E$2:E2948)))))-COUNTBLANK(OFFSET(A$1,,,SUMPRODUCT(MAX(ROW(E$1:E2947)*(E2=E$1:E2947))))))</f>
        <v> </v>
      </c>
      <c r="K2948" s="25" t="str">
        <f>IF(OR(E2948="",E2948="!!!",F2948="NEW"),"",INDEX(J$1:J2947,SUMPRODUCT(MAX(ROW(E$1:E2947)*(E2948=E$1:E2947)))))</f>
        <v> </v>
      </c>
      <c r="L2948" s="26"/>
    </row>
    <row r="2949" spans="1:12">
      <c r="A2949" s="20" t="s">
        <v>931</v>
      </c>
      <c r="E2949" s="21">
        <f>IF(D2949="?OLD","!!!","")</f>
        <v/>
      </c>
      <c r="F2949" s="22" t="str">
        <f>IF(OR(E2949="",E2949="!!!"),"",IF(NOT(ISNA(VLOOKUP(E2949,E$1:E2948,1,FALSE()))),"OLD",IF(AND(E2949&lt;&gt;"",E2949&lt;&gt;"!!!"),"NEW","")))</f>
        <v> </v>
      </c>
      <c r="G2949" s="23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4" t="str">
        <f>IF(J2949&lt;&gt;1,"",IF(I2949="SBJ","CB","?"))</f>
        <v> </v>
      </c>
      <c r="I2949" s="25" t="str">
        <f>IF(OR(E2949="",E2949="!!!",F2949="NEW"),"",INDEX(B2948:B$2,-1+SUMPRODUCT(MAX(ROW(E2948:E$2)*(E2949=E2948:E$2)))))</f>
        <v> </v>
      </c>
      <c r="J2949" s="25" t="str">
        <f>IF(OR(E2949="",E2949="!!!",F2949="NEW"),"",COUNTBLANK(OFFSET(A$1,,,SUMPRODUCT(MAX(ROW(E$2:E2949)*(E2949=E$2:E2949)))))-COUNTBLANK(OFFSET(A$1,,,SUMPRODUCT(MAX(ROW(E$1:E2948)*(E2=E$1:E2948))))))</f>
        <v> </v>
      </c>
      <c r="K2949" s="25" t="str">
        <f>IF(OR(E2949="",E2949="!!!",F2949="NEW"),"",INDEX(J$1:J2948,SUMPRODUCT(MAX(ROW(E$1:E2948)*(E2949=E$1:E2948)))))</f>
        <v> </v>
      </c>
      <c r="L2949" s="26"/>
    </row>
    <row r="2950" spans="1:12">
      <c r="A2950" s="20" t="s">
        <v>2006</v>
      </c>
      <c r="E2950" s="21">
        <f>IF(D2950="?OLD","!!!","")</f>
        <v/>
      </c>
      <c r="F2950" s="22" t="str">
        <f>IF(OR(E2950="",E2950="!!!"),"",IF(NOT(ISNA(VLOOKUP(E2950,E$1:E2949,1,FALSE()))),"OLD",IF(AND(E2950&lt;&gt;"",E2950&lt;&gt;"!!!"),"NEW","")))</f>
        <v> </v>
      </c>
      <c r="G2950" s="23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4" t="str">
        <f>IF(J2950&lt;&gt;1,"",IF(I2950="SBJ","CB","?"))</f>
        <v> </v>
      </c>
      <c r="I2950" s="25" t="str">
        <f>IF(OR(E2950="",E2950="!!!",F2950="NEW"),"",INDEX(B2949:B$2,-1+SUMPRODUCT(MAX(ROW(E2949:E$2)*(E2950=E2949:E$2)))))</f>
        <v> </v>
      </c>
      <c r="J2950" s="25" t="str">
        <f>IF(OR(E2950="",E2950="!!!",F2950="NEW"),"",COUNTBLANK(OFFSET(A$1,,,SUMPRODUCT(MAX(ROW(E$2:E2950)*(E2950=E$2:E2950)))))-COUNTBLANK(OFFSET(A$1,,,SUMPRODUCT(MAX(ROW(E$1:E2949)*(E2=E$1:E2949))))))</f>
        <v> </v>
      </c>
      <c r="K2950" s="25" t="str">
        <f>IF(OR(E2950="",E2950="!!!",F2950="NEW"),"",INDEX(J$1:J2949,SUMPRODUCT(MAX(ROW(E$1:E2949)*(E2950=E$1:E2949)))))</f>
        <v> </v>
      </c>
      <c r="L2950" s="26"/>
    </row>
    <row r="2951" spans="1:12">
      <c r="A2951" s="20" t="s">
        <v>2007</v>
      </c>
      <c r="B2951" s="27" t="s">
        <v>819</v>
      </c>
      <c r="E2951" s="21">
        <f>IF(D2951="?OLD","!!!","")</f>
        <v/>
      </c>
      <c r="F2951" s="22" t="str">
        <f>IF(OR(E2951="",E2951="!!!"),"",IF(NOT(ISNA(VLOOKUP(E2951,E$1:E2950,1,FALSE()))),"OLD",IF(AND(E2951&lt;&gt;"",E2951&lt;&gt;"!!!"),"NEW","")))</f>
        <v> </v>
      </c>
      <c r="G2951" s="23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4" t="str">
        <f>IF(J2951&lt;&gt;1,"",IF(I2951="SBJ","CB","?"))</f>
        <v> </v>
      </c>
      <c r="I2951" s="25" t="str">
        <f>IF(OR(E2951="",E2951="!!!",F2951="NEW"),"",INDEX(B2950:B$2,-1+SUMPRODUCT(MAX(ROW(E2950:E$2)*(E2951=E2950:E$2)))))</f>
        <v> </v>
      </c>
      <c r="J2951" s="25" t="str">
        <f>IF(OR(E2951="",E2951="!!!",F2951="NEW"),"",COUNTBLANK(OFFSET(A$1,,,SUMPRODUCT(MAX(ROW(E$2:E2951)*(E2951=E$2:E2951)))))-COUNTBLANK(OFFSET(A$1,,,SUMPRODUCT(MAX(ROW(E$1:E2950)*(E2=E$1:E2950))))))</f>
        <v> </v>
      </c>
      <c r="K2951" s="25" t="str">
        <f>IF(OR(E2951="",E2951="!!!",F2951="NEW"),"",INDEX(J$1:J2950,SUMPRODUCT(MAX(ROW(E$1:E2950)*(E2951=E$1:E2950)))))</f>
        <v> </v>
      </c>
      <c r="L2951" s="26"/>
    </row>
    <row r="2952" spans="1:12">
      <c r="A2952" s="20" t="s">
        <v>739</v>
      </c>
      <c r="E2952" s="21">
        <f>IF(D2952="?OLD","!!!","")</f>
        <v/>
      </c>
      <c r="F2952" s="22" t="str">
        <f>IF(OR(E2952="",E2952="!!!"),"",IF(NOT(ISNA(VLOOKUP(E2952,E$1:E2951,1,FALSE()))),"OLD",IF(AND(E2952&lt;&gt;"",E2952&lt;&gt;"!!!"),"NEW","")))</f>
        <v> </v>
      </c>
      <c r="G2952" s="23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4" t="str">
        <f>IF(J2952&lt;&gt;1,"",IF(I2952="SBJ","CB","?"))</f>
        <v> </v>
      </c>
      <c r="I2952" s="25" t="str">
        <f>IF(OR(E2952="",E2952="!!!",F2952="NEW"),"",INDEX(B2951:B$2,-1+SUMPRODUCT(MAX(ROW(E2951:E$2)*(E2952=E2951:E$2)))))</f>
        <v> </v>
      </c>
      <c r="J2952" s="25" t="str">
        <f>IF(OR(E2952="",E2952="!!!",F2952="NEW"),"",COUNTBLANK(OFFSET(A$1,,,SUMPRODUCT(MAX(ROW(E$2:E2952)*(E2952=E$2:E2952)))))-COUNTBLANK(OFFSET(A$1,,,SUMPRODUCT(MAX(ROW(E$1:E2951)*(E2=E$1:E2951))))))</f>
        <v> </v>
      </c>
      <c r="K2952" s="25" t="str">
        <f>IF(OR(E2952="",E2952="!!!",F2952="NEW"),"",INDEX(J$1:J2951,SUMPRODUCT(MAX(ROW(E$1:E2951)*(E2952=E$1:E2951)))))</f>
        <v> </v>
      </c>
      <c r="L2952" s="26"/>
    </row>
    <row r="2953" spans="1:12">
      <c r="A2953" s="20" t="s">
        <v>769</v>
      </c>
      <c r="B2953" s="27" t="s">
        <v>762</v>
      </c>
      <c r="C2953" s="27" t="s">
        <v>756</v>
      </c>
      <c r="D2953" s="27" t="s">
        <v>736</v>
      </c>
      <c r="E2953" s="21">
        <f>IF(D2953="?OLD","!!!","")</f>
        <v/>
      </c>
      <c r="F2953" s="22" t="str">
        <f>IF(OR(E2953="",E2953="!!!"),"",IF(NOT(ISNA(VLOOKUP(E2953,E$1:E2952,1,FALSE()))),"OLD",IF(AND(E2953&lt;&gt;"",E2953&lt;&gt;"!!!"),"NEW","")))</f>
        <v> </v>
      </c>
      <c r="G2953" s="23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4" t="str">
        <f>IF(J2953&lt;&gt;1,"",IF(I2953="SBJ","CB","?"))</f>
        <v> </v>
      </c>
      <c r="I2953" s="25" t="str">
        <f>IF(OR(E2953="",E2953="!!!",F2953="NEW"),"",INDEX(B2952:B$2,-1+SUMPRODUCT(MAX(ROW(E2952:E$2)*(E2953=E2952:E$2)))))</f>
        <v> </v>
      </c>
      <c r="J2953" s="25" t="str">
        <f>IF(OR(E2953="",E2953="!!!",F2953="NEW"),"",COUNTBLANK(OFFSET(A$1,,,SUMPRODUCT(MAX(ROW(E$2:E2953)*(E2953=E$2:E2953)))))-COUNTBLANK(OFFSET(A$1,,,SUMPRODUCT(MAX(ROW(E$1:E2952)*(E2=E$1:E2952))))))</f>
        <v> </v>
      </c>
      <c r="K2953" s="25" t="str">
        <f>IF(OR(E2953="",E2953="!!!",F2953="NEW"),"",INDEX(J$1:J2952,SUMPRODUCT(MAX(ROW(E$1:E2952)*(E2953=E$1:E2952)))))</f>
        <v> </v>
      </c>
      <c r="L2953" s="26"/>
    </row>
    <row r="2954" spans="1:12">
      <c r="A2954" s="20" t="s">
        <v>2008</v>
      </c>
      <c r="E2954" s="21">
        <f>IF(D2954="?OLD","!!!","")</f>
        <v/>
      </c>
      <c r="F2954" s="22" t="str">
        <f>IF(OR(E2954="",E2954="!!!"),"",IF(NOT(ISNA(VLOOKUP(E2954,E$1:E2953,1,FALSE()))),"OLD",IF(AND(E2954&lt;&gt;"",E2954&lt;&gt;"!!!"),"NEW","")))</f>
        <v> </v>
      </c>
      <c r="G2954" s="23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4" t="str">
        <f>IF(J2954&lt;&gt;1,"",IF(I2954="SBJ","CB","?"))</f>
        <v> </v>
      </c>
      <c r="I2954" s="25" t="str">
        <f>IF(OR(E2954="",E2954="!!!",F2954="NEW"),"",INDEX(B2953:B$2,-1+SUMPRODUCT(MAX(ROW(E2953:E$2)*(E2954=E2953:E$2)))))</f>
        <v> </v>
      </c>
      <c r="J2954" s="25" t="str">
        <f>IF(OR(E2954="",E2954="!!!",F2954="NEW"),"",COUNTBLANK(OFFSET(A$1,,,SUMPRODUCT(MAX(ROW(E$2:E2954)*(E2954=E$2:E2954)))))-COUNTBLANK(OFFSET(A$1,,,SUMPRODUCT(MAX(ROW(E$1:E2953)*(E2=E$1:E2953))))))</f>
        <v> </v>
      </c>
      <c r="K2954" s="25" t="str">
        <f>IF(OR(E2954="",E2954="!!!",F2954="NEW"),"",INDEX(J$1:J2953,SUMPRODUCT(MAX(ROW(E$1:E2953)*(E2954=E$1:E2953)))))</f>
        <v> </v>
      </c>
      <c r="L2954" s="26"/>
    </row>
    <row r="2955" spans="1:12">
      <c r="A2955" s="20" t="s">
        <v>1385</v>
      </c>
      <c r="E2955" s="21">
        <f>IF(D2955="?OLD","!!!","")</f>
        <v/>
      </c>
      <c r="F2955" s="22" t="str">
        <f>IF(OR(E2955="",E2955="!!!"),"",IF(NOT(ISNA(VLOOKUP(E2955,E$1:E2954,1,FALSE()))),"OLD",IF(AND(E2955&lt;&gt;"",E2955&lt;&gt;"!!!"),"NEW","")))</f>
        <v> </v>
      </c>
      <c r="G2955" s="23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4" t="str">
        <f>IF(J2955&lt;&gt;1,"",IF(I2955="SBJ","CB","?"))</f>
        <v> </v>
      </c>
      <c r="I2955" s="25" t="str">
        <f>IF(OR(E2955="",E2955="!!!",F2955="NEW"),"",INDEX(B2954:B$2,-1+SUMPRODUCT(MAX(ROW(E2954:E$2)*(E2955=E2954:E$2)))))</f>
        <v> </v>
      </c>
      <c r="J2955" s="25" t="str">
        <f>IF(OR(E2955="",E2955="!!!",F2955="NEW"),"",COUNTBLANK(OFFSET(A$1,,,SUMPRODUCT(MAX(ROW(E$2:E2955)*(E2955=E$2:E2955)))))-COUNTBLANK(OFFSET(A$1,,,SUMPRODUCT(MAX(ROW(E$1:E2954)*(E2=E$1:E2954))))))</f>
        <v> </v>
      </c>
      <c r="K2955" s="25" t="str">
        <f>IF(OR(E2955="",E2955="!!!",F2955="NEW"),"",INDEX(J$1:J2954,SUMPRODUCT(MAX(ROW(E$1:E2954)*(E2955=E$1:E2954)))))</f>
        <v> </v>
      </c>
      <c r="L2955" s="26"/>
    </row>
    <row r="2956" spans="1:12">
      <c r="A2956" s="20" t="s">
        <v>2009</v>
      </c>
      <c r="B2956" s="27" t="s">
        <v>819</v>
      </c>
      <c r="E2956" s="21">
        <f>IF(D2956="?OLD","!!!","")</f>
        <v/>
      </c>
      <c r="F2956" s="22" t="str">
        <f>IF(OR(E2956="",E2956="!!!"),"",IF(NOT(ISNA(VLOOKUP(E2956,E$1:E2955,1,FALSE()))),"OLD",IF(AND(E2956&lt;&gt;"",E2956&lt;&gt;"!!!"),"NEW","")))</f>
        <v> </v>
      </c>
      <c r="G2956" s="23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4" t="str">
        <f>IF(J2956&lt;&gt;1,"",IF(I2956="SBJ","CB","?"))</f>
        <v> </v>
      </c>
      <c r="I2956" s="25" t="str">
        <f>IF(OR(E2956="",E2956="!!!",F2956="NEW"),"",INDEX(B2955:B$2,-1+SUMPRODUCT(MAX(ROW(E2955:E$2)*(E2956=E2955:E$2)))))</f>
        <v> </v>
      </c>
      <c r="J2956" s="25" t="str">
        <f>IF(OR(E2956="",E2956="!!!",F2956="NEW"),"",COUNTBLANK(OFFSET(A$1,,,SUMPRODUCT(MAX(ROW(E$2:E2956)*(E2956=E$2:E2956)))))-COUNTBLANK(OFFSET(A$1,,,SUMPRODUCT(MAX(ROW(E$1:E2955)*(E2=E$1:E2955))))))</f>
        <v> </v>
      </c>
      <c r="K2956" s="25" t="str">
        <f>IF(OR(E2956="",E2956="!!!",F2956="NEW"),"",INDEX(J$1:J2955,SUMPRODUCT(MAX(ROW(E$1:E2955)*(E2956=E$1:E2955)))))</f>
        <v> </v>
      </c>
      <c r="L2956" s="26"/>
    </row>
    <row r="2957" spans="1:12">
      <c r="A2957" s="20" t="s">
        <v>1314</v>
      </c>
      <c r="E2957" s="21">
        <f>IF(D2957="?OLD","!!!","")</f>
        <v/>
      </c>
      <c r="F2957" s="22" t="str">
        <f>IF(OR(E2957="",E2957="!!!"),"",IF(NOT(ISNA(VLOOKUP(E2957,E$1:E2956,1,FALSE()))),"OLD",IF(AND(E2957&lt;&gt;"",E2957&lt;&gt;"!!!"),"NEW","")))</f>
        <v> </v>
      </c>
      <c r="G2957" s="23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4" t="str">
        <f>IF(J2957&lt;&gt;1,"",IF(I2957="SBJ","CB","?"))</f>
        <v> </v>
      </c>
      <c r="I2957" s="25" t="str">
        <f>IF(OR(E2957="",E2957="!!!",F2957="NEW"),"",INDEX(B2956:B$2,-1+SUMPRODUCT(MAX(ROW(E2956:E$2)*(E2957=E2956:E$2)))))</f>
        <v> </v>
      </c>
      <c r="J2957" s="25" t="str">
        <f>IF(OR(E2957="",E2957="!!!",F2957="NEW"),"",COUNTBLANK(OFFSET(A$1,,,SUMPRODUCT(MAX(ROW(E$2:E2957)*(E2957=E$2:E2957)))))-COUNTBLANK(OFFSET(A$1,,,SUMPRODUCT(MAX(ROW(E$1:E2956)*(E2=E$1:E2956))))))</f>
        <v> </v>
      </c>
      <c r="K2957" s="25" t="str">
        <f>IF(OR(E2957="",E2957="!!!",F2957="NEW"),"",INDEX(J$1:J2956,SUMPRODUCT(MAX(ROW(E$1:E2956)*(E2957=E$1:E2956)))))</f>
        <v> </v>
      </c>
      <c r="L2957" s="26"/>
    </row>
    <row r="2958" spans="1:12">
      <c r="A2958" s="20" t="s">
        <v>744</v>
      </c>
      <c r="E2958" s="21">
        <f>IF(D2958="?OLD","!!!","")</f>
        <v/>
      </c>
      <c r="F2958" s="22" t="str">
        <f>IF(OR(E2958="",E2958="!!!"),"",IF(NOT(ISNA(VLOOKUP(E2958,E$1:E2957,1,FALSE()))),"OLD",IF(AND(E2958&lt;&gt;"",E2958&lt;&gt;"!!!"),"NEW","")))</f>
        <v> </v>
      </c>
      <c r="G2958" s="23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4" t="str">
        <f>IF(J2958&lt;&gt;1,"",IF(I2958="SBJ","CB","?"))</f>
        <v> </v>
      </c>
      <c r="I2958" s="25" t="str">
        <f>IF(OR(E2958="",E2958="!!!",F2958="NEW"),"",INDEX(B2957:B$2,-1+SUMPRODUCT(MAX(ROW(E2957:E$2)*(E2958=E2957:E$2)))))</f>
        <v> </v>
      </c>
      <c r="J2958" s="25" t="str">
        <f>IF(OR(E2958="",E2958="!!!",F2958="NEW"),"",COUNTBLANK(OFFSET(A$1,,,SUMPRODUCT(MAX(ROW(E$2:E2958)*(E2958=E$2:E2958)))))-COUNTBLANK(OFFSET(A$1,,,SUMPRODUCT(MAX(ROW(E$1:E2957)*(E2=E$1:E2957))))))</f>
        <v> </v>
      </c>
      <c r="K2958" s="25" t="str">
        <f>IF(OR(E2958="",E2958="!!!",F2958="NEW"),"",INDEX(J$1:J2957,SUMPRODUCT(MAX(ROW(E$1:E2957)*(E2958=E$1:E2957)))))</f>
        <v> </v>
      </c>
      <c r="L2958" s="26"/>
    </row>
    <row r="2959" spans="1:12">
      <c r="A2959" s="20" t="s">
        <v>2010</v>
      </c>
      <c r="E2959" s="21">
        <f>IF(D2959="?OLD","!!!","")</f>
        <v/>
      </c>
      <c r="F2959" s="22" t="str">
        <f>IF(OR(E2959="",E2959="!!!"),"",IF(NOT(ISNA(VLOOKUP(E2959,E$1:E2958,1,FALSE()))),"OLD",IF(AND(E2959&lt;&gt;"",E2959&lt;&gt;"!!!"),"NEW","")))</f>
        <v> </v>
      </c>
      <c r="G2959" s="23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4" t="str">
        <f>IF(J2959&lt;&gt;1,"",IF(I2959="SBJ","CB","?"))</f>
        <v> </v>
      </c>
      <c r="I2959" s="25" t="str">
        <f>IF(OR(E2959="",E2959="!!!",F2959="NEW"),"",INDEX(B2958:B$2,-1+SUMPRODUCT(MAX(ROW(E2958:E$2)*(E2959=E2958:E$2)))))</f>
        <v> </v>
      </c>
      <c r="J2959" s="25" t="str">
        <f>IF(OR(E2959="",E2959="!!!",F2959="NEW"),"",COUNTBLANK(OFFSET(A$1,,,SUMPRODUCT(MAX(ROW(E$2:E2959)*(E2959=E$2:E2959)))))-COUNTBLANK(OFFSET(A$1,,,SUMPRODUCT(MAX(ROW(E$1:E2958)*(E2=E$1:E2958))))))</f>
        <v> </v>
      </c>
      <c r="K2959" s="25" t="str">
        <f>IF(OR(E2959="",E2959="!!!",F2959="NEW"),"",INDEX(J$1:J2958,SUMPRODUCT(MAX(ROW(E$1:E2958)*(E2959=E$1:E2958)))))</f>
        <v> </v>
      </c>
      <c r="L2959" s="26"/>
    </row>
    <row r="2960" spans="1:12">
      <c r="A2960" s="20" t="s">
        <v>1287</v>
      </c>
      <c r="E2960" s="21">
        <f>IF(D2960="?OLD","!!!","")</f>
        <v/>
      </c>
      <c r="F2960" s="22" t="str">
        <f>IF(OR(E2960="",E2960="!!!"),"",IF(NOT(ISNA(VLOOKUP(E2960,E$1:E2959,1,FALSE()))),"OLD",IF(AND(E2960&lt;&gt;"",E2960&lt;&gt;"!!!"),"NEW","")))</f>
        <v> </v>
      </c>
      <c r="G2960" s="23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4" t="str">
        <f>IF(J2960&lt;&gt;1,"",IF(I2960="SBJ","CB","?"))</f>
        <v> </v>
      </c>
      <c r="I2960" s="25" t="str">
        <f>IF(OR(E2960="",E2960="!!!",F2960="NEW"),"",INDEX(B2959:B$2,-1+SUMPRODUCT(MAX(ROW(E2959:E$2)*(E2960=E2959:E$2)))))</f>
        <v> </v>
      </c>
      <c r="J2960" s="25" t="str">
        <f>IF(OR(E2960="",E2960="!!!",F2960="NEW"),"",COUNTBLANK(OFFSET(A$1,,,SUMPRODUCT(MAX(ROW(E$2:E2960)*(E2960=E$2:E2960)))))-COUNTBLANK(OFFSET(A$1,,,SUMPRODUCT(MAX(ROW(E$1:E2959)*(E2=E$1:E2959))))))</f>
        <v> </v>
      </c>
      <c r="K2960" s="25" t="str">
        <f>IF(OR(E2960="",E2960="!!!",F2960="NEW"),"",INDEX(J$1:J2959,SUMPRODUCT(MAX(ROW(E$1:E2959)*(E2960=E$1:E2959)))))</f>
        <v> </v>
      </c>
      <c r="L2960" s="26"/>
    </row>
    <row r="2961" spans="1:12">
      <c r="A2961" s="20" t="s">
        <v>2011</v>
      </c>
      <c r="E2961" s="21">
        <f>IF(D2961="?OLD","!!!","")</f>
        <v/>
      </c>
      <c r="F2961" s="22" t="str">
        <f>IF(OR(E2961="",E2961="!!!"),"",IF(NOT(ISNA(VLOOKUP(E2961,E$1:E2960,1,FALSE()))),"OLD",IF(AND(E2961&lt;&gt;"",E2961&lt;&gt;"!!!"),"NEW","")))</f>
        <v> </v>
      </c>
      <c r="G2961" s="23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4" t="str">
        <f>IF(J2961&lt;&gt;1,"",IF(I2961="SBJ","CB","?"))</f>
        <v> </v>
      </c>
      <c r="I2961" s="25" t="str">
        <f>IF(OR(E2961="",E2961="!!!",F2961="NEW"),"",INDEX(B2960:B$2,-1+SUMPRODUCT(MAX(ROW(E2960:E$2)*(E2961=E2960:E$2)))))</f>
        <v> </v>
      </c>
      <c r="J2961" s="25" t="str">
        <f>IF(OR(E2961="",E2961="!!!",F2961="NEW"),"",COUNTBLANK(OFFSET(A$1,,,SUMPRODUCT(MAX(ROW(E$2:E2961)*(E2961=E$2:E2961)))))-COUNTBLANK(OFFSET(A$1,,,SUMPRODUCT(MAX(ROW(E$1:E2960)*(E2=E$1:E2960))))))</f>
        <v> </v>
      </c>
      <c r="K2961" s="25" t="str">
        <f>IF(OR(E2961="",E2961="!!!",F2961="NEW"),"",INDEX(J$1:J2960,SUMPRODUCT(MAX(ROW(E$1:E2960)*(E2961=E$1:E2960)))))</f>
        <v> </v>
      </c>
      <c r="L2961" s="26"/>
    </row>
    <row r="2962" spans="1:12">
      <c r="A2962" s="20" t="s">
        <v>765</v>
      </c>
      <c r="E2962" s="21">
        <f>IF(D2962="?OLD","!!!","")</f>
        <v/>
      </c>
      <c r="F2962" s="22" t="str">
        <f>IF(OR(E2962="",E2962="!!!"),"",IF(NOT(ISNA(VLOOKUP(E2962,E$1:E2961,1,FALSE()))),"OLD",IF(AND(E2962&lt;&gt;"",E2962&lt;&gt;"!!!"),"NEW","")))</f>
        <v> </v>
      </c>
      <c r="G2962" s="23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4" t="str">
        <f>IF(J2962&lt;&gt;1,"",IF(I2962="SBJ","CB","?"))</f>
        <v> </v>
      </c>
      <c r="I2962" s="25" t="str">
        <f>IF(OR(E2962="",E2962="!!!",F2962="NEW"),"",INDEX(B2961:B$2,-1+SUMPRODUCT(MAX(ROW(E2961:E$2)*(E2962=E2961:E$2)))))</f>
        <v> </v>
      </c>
      <c r="J2962" s="25" t="str">
        <f>IF(OR(E2962="",E2962="!!!",F2962="NEW"),"",COUNTBLANK(OFFSET(A$1,,,SUMPRODUCT(MAX(ROW(E$2:E2962)*(E2962=E$2:E2962)))))-COUNTBLANK(OFFSET(A$1,,,SUMPRODUCT(MAX(ROW(E$1:E2961)*(E2=E$1:E2961))))))</f>
        <v> </v>
      </c>
      <c r="K2962" s="25" t="str">
        <f>IF(OR(E2962="",E2962="!!!",F2962="NEW"),"",INDEX(J$1:J2961,SUMPRODUCT(MAX(ROW(E$1:E2961)*(E2962=E$1:E2961)))))</f>
        <v> </v>
      </c>
      <c r="L2962" s="26"/>
    </row>
    <row r="2963" spans="1:12">
      <c r="A2963" s="20"/>
    </row>
    <row r="2964" spans="1:12">
      <c r="A2964" s="20" t="s">
        <v>2012</v>
      </c>
    </row>
    <row r="2965" spans="1:12">
      <c r="A2965" s="20" t="s">
        <v>2013</v>
      </c>
      <c r="E2965" s="21">
        <f>IF(D2965="?OLD","!!!","")</f>
        <v/>
      </c>
      <c r="F2965" s="22" t="str">
        <f>IF(OR(E2965="",E2965="!!!"),"",IF(NOT(ISNA(VLOOKUP(E2965,E$1:E2964,1,FALSE()))),"OLD",IF(AND(E2965&lt;&gt;"",E2965&lt;&gt;"!!!"),"NEW","")))</f>
        <v> </v>
      </c>
      <c r="G2965" s="23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4" t="str">
        <f>IF(J2965&lt;&gt;1,"",IF(I2965="SBJ","CB","?"))</f>
        <v> </v>
      </c>
      <c r="I2965" s="25" t="str">
        <f>IF(OR(E2965="",E2965="!!!",F2965="NEW"),"",INDEX(B2964:B$2,-1+SUMPRODUCT(MAX(ROW(E2964:E$2)*(E2965=E2964:E$2)))))</f>
        <v> </v>
      </c>
      <c r="J2965" s="25" t="str">
        <f>IF(OR(E2965="",E2965="!!!",F2965="NEW"),"",COUNTBLANK(OFFSET(A$1,,,SUMPRODUCT(MAX(ROW(E$2:E2965)*(E2965=E$2:E2965)))))-COUNTBLANK(OFFSET(A$1,,,SUMPRODUCT(MAX(ROW(E$1:E2964)*(E2=E$1:E2964))))))</f>
        <v> </v>
      </c>
      <c r="K2965" s="25" t="str">
        <f>IF(OR(E2965="",E2965="!!!",F2965="NEW"),"",INDEX(J$1:J2964,SUMPRODUCT(MAX(ROW(E$1:E2964)*(E2965=E$1:E2964)))))</f>
        <v> </v>
      </c>
      <c r="L2965" s="26"/>
    </row>
    <row r="2966" spans="1:12">
      <c r="A2966" s="20" t="s">
        <v>744</v>
      </c>
      <c r="E2966" s="21">
        <f>IF(D2966="?OLD","!!!","")</f>
        <v/>
      </c>
      <c r="F2966" s="22" t="str">
        <f>IF(OR(E2966="",E2966="!!!"),"",IF(NOT(ISNA(VLOOKUP(E2966,E$1:E2965,1,FALSE()))),"OLD",IF(AND(E2966&lt;&gt;"",E2966&lt;&gt;"!!!"),"NEW","")))</f>
        <v> </v>
      </c>
      <c r="G2966" s="23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4" t="str">
        <f>IF(J2966&lt;&gt;1,"",IF(I2966="SBJ","CB","?"))</f>
        <v> </v>
      </c>
      <c r="I2966" s="25" t="str">
        <f>IF(OR(E2966="",E2966="!!!",F2966="NEW"),"",INDEX(B2965:B$2,-1+SUMPRODUCT(MAX(ROW(E2965:E$2)*(E2966=E2965:E$2)))))</f>
        <v> </v>
      </c>
      <c r="J2966" s="25" t="str">
        <f>IF(OR(E2966="",E2966="!!!",F2966="NEW"),"",COUNTBLANK(OFFSET(A$1,,,SUMPRODUCT(MAX(ROW(E$2:E2966)*(E2966=E$2:E2966)))))-COUNTBLANK(OFFSET(A$1,,,SUMPRODUCT(MAX(ROW(E$1:E2965)*(E2=E$1:E2965))))))</f>
        <v> </v>
      </c>
      <c r="K2966" s="25" t="str">
        <f>IF(OR(E2966="",E2966="!!!",F2966="NEW"),"",INDEX(J$1:J2965,SUMPRODUCT(MAX(ROW(E$1:E2965)*(E2966=E$1:E2965)))))</f>
        <v> </v>
      </c>
      <c r="L2966" s="26"/>
    </row>
    <row r="2967" spans="1:12">
      <c r="A2967" s="20" t="s">
        <v>851</v>
      </c>
      <c r="B2967" s="27" t="s">
        <v>734</v>
      </c>
      <c r="C2967" s="27" t="s">
        <v>788</v>
      </c>
      <c r="D2967" s="27" t="s">
        <v>736</v>
      </c>
      <c r="E2967" s="21">
        <f>IF(D2967="?OLD","!!!","")</f>
        <v/>
      </c>
      <c r="F2967" s="22" t="str">
        <f>IF(OR(E2967="",E2967="!!!"),"",IF(NOT(ISNA(VLOOKUP(E2967,E$1:E2966,1,FALSE()))),"OLD",IF(AND(E2967&lt;&gt;"",E2967&lt;&gt;"!!!"),"NEW","")))</f>
        <v> </v>
      </c>
      <c r="G2967" s="23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4" t="str">
        <f>IF(J2967&lt;&gt;1,"",IF(I2967="SBJ","CB","?"))</f>
        <v> </v>
      </c>
      <c r="I2967" s="25" t="str">
        <f>IF(OR(E2967="",E2967="!!!",F2967="NEW"),"",INDEX(B2966:B$2,-1+SUMPRODUCT(MAX(ROW(E2966:E$2)*(E2967=E2966:E$2)))))</f>
        <v> </v>
      </c>
      <c r="J2967" s="25" t="str">
        <f>IF(OR(E2967="",E2967="!!!",F2967="NEW"),"",COUNTBLANK(OFFSET(A$1,,,SUMPRODUCT(MAX(ROW(E$2:E2967)*(E2967=E$2:E2967)))))-COUNTBLANK(OFFSET(A$1,,,SUMPRODUCT(MAX(ROW(E$1:E2966)*(E2=E$1:E2966))))))</f>
        <v> </v>
      </c>
      <c r="K2967" s="25" t="str">
        <f>IF(OR(E2967="",E2967="!!!",F2967="NEW"),"",INDEX(J$1:J2966,SUMPRODUCT(MAX(ROW(E$1:E2966)*(E2967=E$1:E2966)))))</f>
        <v> </v>
      </c>
      <c r="L2967" s="26"/>
    </row>
    <row r="2968" spans="1:12">
      <c r="A2968" s="20" t="s">
        <v>1783</v>
      </c>
      <c r="E2968" s="21">
        <f>IF(D2968="?OLD","!!!","")</f>
        <v/>
      </c>
      <c r="F2968" s="22" t="str">
        <f>IF(OR(E2968="",E2968="!!!"),"",IF(NOT(ISNA(VLOOKUP(E2968,E$1:E2967,1,FALSE()))),"OLD",IF(AND(E2968&lt;&gt;"",E2968&lt;&gt;"!!!"),"NEW","")))</f>
        <v> </v>
      </c>
      <c r="G2968" s="23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4" t="str">
        <f>IF(J2968&lt;&gt;1,"",IF(I2968="SBJ","CB","?"))</f>
        <v> </v>
      </c>
      <c r="I2968" s="25" t="str">
        <f>IF(OR(E2968="",E2968="!!!",F2968="NEW"),"",INDEX(B2967:B$2,-1+SUMPRODUCT(MAX(ROW(E2967:E$2)*(E2968=E2967:E$2)))))</f>
        <v> </v>
      </c>
      <c r="J2968" s="25" t="str">
        <f>IF(OR(E2968="",E2968="!!!",F2968="NEW"),"",COUNTBLANK(OFFSET(A$1,,,SUMPRODUCT(MAX(ROW(E$2:E2968)*(E2968=E$2:E2968)))))-COUNTBLANK(OFFSET(A$1,,,SUMPRODUCT(MAX(ROW(E$1:E2967)*(E2=E$1:E2967))))))</f>
        <v> </v>
      </c>
      <c r="K2968" s="25" t="str">
        <f>IF(OR(E2968="",E2968="!!!",F2968="NEW"),"",INDEX(J$1:J2967,SUMPRODUCT(MAX(ROW(E$1:E2967)*(E2968=E$1:E2967)))))</f>
        <v> </v>
      </c>
      <c r="L2968" s="26"/>
    </row>
    <row r="2969" spans="1:12">
      <c r="A2969" s="20" t="s">
        <v>2014</v>
      </c>
      <c r="E2969" s="21">
        <f>IF(D2969="?OLD","!!!","")</f>
        <v/>
      </c>
      <c r="F2969" s="22" t="str">
        <f>IF(OR(E2969="",E2969="!!!"),"",IF(NOT(ISNA(VLOOKUP(E2969,E$1:E2968,1,FALSE()))),"OLD",IF(AND(E2969&lt;&gt;"",E2969&lt;&gt;"!!!"),"NEW","")))</f>
        <v> </v>
      </c>
      <c r="G2969" s="23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4" t="str">
        <f>IF(J2969&lt;&gt;1,"",IF(I2969="SBJ","CB","?"))</f>
        <v> </v>
      </c>
      <c r="I2969" s="25" t="str">
        <f>IF(OR(E2969="",E2969="!!!",F2969="NEW"),"",INDEX(B2968:B$2,-1+SUMPRODUCT(MAX(ROW(E2968:E$2)*(E2969=E2968:E$2)))))</f>
        <v> </v>
      </c>
      <c r="J2969" s="25" t="str">
        <f>IF(OR(E2969="",E2969="!!!",F2969="NEW"),"",COUNTBLANK(OFFSET(A$1,,,SUMPRODUCT(MAX(ROW(E$2:E2969)*(E2969=E$2:E2969)))))-COUNTBLANK(OFFSET(A$1,,,SUMPRODUCT(MAX(ROW(E$1:E2968)*(E2=E$1:E2968))))))</f>
        <v> </v>
      </c>
      <c r="K2969" s="25" t="str">
        <f>IF(OR(E2969="",E2969="!!!",F2969="NEW"),"",INDEX(J$1:J2968,SUMPRODUCT(MAX(ROW(E$1:E2968)*(E2969=E$1:E2968)))))</f>
        <v> </v>
      </c>
      <c r="L2969" s="26"/>
    </row>
    <row r="2970" spans="1:12">
      <c r="A2970" s="20" t="s">
        <v>668</v>
      </c>
      <c r="E2970" s="21">
        <f>IF(D2970="?OLD","!!!","")</f>
        <v/>
      </c>
      <c r="F2970" s="22" t="str">
        <f>IF(OR(E2970="",E2970="!!!"),"",IF(NOT(ISNA(VLOOKUP(E2970,E$1:E2969,1,FALSE()))),"OLD",IF(AND(E2970&lt;&gt;"",E2970&lt;&gt;"!!!"),"NEW","")))</f>
        <v> </v>
      </c>
      <c r="G2970" s="23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4" t="str">
        <f>IF(J2970&lt;&gt;1,"",IF(I2970="SBJ","CB","?"))</f>
        <v> </v>
      </c>
      <c r="I2970" s="25" t="str">
        <f>IF(OR(E2970="",E2970="!!!",F2970="NEW"),"",INDEX(B2969:B$2,-1+SUMPRODUCT(MAX(ROW(E2969:E$2)*(E2970=E2969:E$2)))))</f>
        <v> </v>
      </c>
      <c r="J2970" s="25" t="str">
        <f>IF(OR(E2970="",E2970="!!!",F2970="NEW"),"",COUNTBLANK(OFFSET(A$1,,,SUMPRODUCT(MAX(ROW(E$2:E2970)*(E2970=E$2:E2970)))))-COUNTBLANK(OFFSET(A$1,,,SUMPRODUCT(MAX(ROW(E$1:E2969)*(E2=E$1:E2969))))))</f>
        <v> </v>
      </c>
      <c r="K2970" s="25" t="str">
        <f>IF(OR(E2970="",E2970="!!!",F2970="NEW"),"",INDEX(J$1:J2969,SUMPRODUCT(MAX(ROW(E$1:E2969)*(E2970=E$1:E2969)))))</f>
        <v> </v>
      </c>
      <c r="L2970" s="26"/>
    </row>
    <row r="2971" spans="1:12">
      <c r="A2971" s="20" t="s">
        <v>765</v>
      </c>
      <c r="E2971" s="21">
        <f>IF(D2971="?OLD","!!!","")</f>
        <v/>
      </c>
      <c r="F2971" s="22" t="str">
        <f>IF(OR(E2971="",E2971="!!!"),"",IF(NOT(ISNA(VLOOKUP(E2971,E$1:E2970,1,FALSE()))),"OLD",IF(AND(E2971&lt;&gt;"",E2971&lt;&gt;"!!!"),"NEW","")))</f>
        <v> </v>
      </c>
      <c r="G2971" s="23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4" t="str">
        <f>IF(J2971&lt;&gt;1,"",IF(I2971="SBJ","CB","?"))</f>
        <v> </v>
      </c>
      <c r="I2971" s="25" t="str">
        <f>IF(OR(E2971="",E2971="!!!",F2971="NEW"),"",INDEX(B2970:B$2,-1+SUMPRODUCT(MAX(ROW(E2970:E$2)*(E2971=E2970:E$2)))))</f>
        <v> </v>
      </c>
      <c r="J2971" s="25" t="str">
        <f>IF(OR(E2971="",E2971="!!!",F2971="NEW"),"",COUNTBLANK(OFFSET(A$1,,,SUMPRODUCT(MAX(ROW(E$2:E2971)*(E2971=E$2:E2971)))))-COUNTBLANK(OFFSET(A$1,,,SUMPRODUCT(MAX(ROW(E$1:E2970)*(E2=E$1:E2970))))))</f>
        <v> </v>
      </c>
      <c r="K2971" s="25" t="str">
        <f>IF(OR(E2971="",E2971="!!!",F2971="NEW"),"",INDEX(J$1:J2970,SUMPRODUCT(MAX(ROW(E$1:E2970)*(E2971=E$1:E2970)))))</f>
        <v> </v>
      </c>
      <c r="L2971" s="26"/>
    </row>
    <row r="2972" spans="1:12">
      <c r="A2972" s="20"/>
    </row>
    <row r="2973" spans="1:12">
      <c r="A2973" s="20" t="s">
        <v>2015</v>
      </c>
    </row>
    <row r="2974" spans="1:12">
      <c r="A2974" s="20" t="s">
        <v>1999</v>
      </c>
      <c r="E2974" s="21">
        <f>IF(D2974="?OLD","!!!","")</f>
        <v/>
      </c>
      <c r="F2974" s="22" t="str">
        <f>IF(OR(E2974="",E2974="!!!"),"",IF(NOT(ISNA(VLOOKUP(E2974,E$1:E2973,1,FALSE()))),"OLD",IF(AND(E2974&lt;&gt;"",E2974&lt;&gt;"!!!"),"NEW","")))</f>
        <v> </v>
      </c>
      <c r="G2974" s="23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4" t="str">
        <f>IF(J2974&lt;&gt;1,"",IF(I2974="SBJ","CB","?"))</f>
        <v> </v>
      </c>
      <c r="I2974" s="25" t="str">
        <f>IF(OR(E2974="",E2974="!!!",F2974="NEW"),"",INDEX(B2973:B$2,-1+SUMPRODUCT(MAX(ROW(E2973:E$2)*(E2974=E2973:E$2)))))</f>
        <v> </v>
      </c>
      <c r="J2974" s="25" t="str">
        <f>IF(OR(E2974="",E2974="!!!",F2974="NEW"),"",COUNTBLANK(OFFSET(A$1,,,SUMPRODUCT(MAX(ROW(E$2:E2974)*(E2974=E$2:E2974)))))-COUNTBLANK(OFFSET(A$1,,,SUMPRODUCT(MAX(ROW(E$1:E2973)*(E2=E$1:E2973))))))</f>
        <v> </v>
      </c>
      <c r="K2974" s="25" t="str">
        <f>IF(OR(E2974="",E2974="!!!",F2974="NEW"),"",INDEX(J$1:J2973,SUMPRODUCT(MAX(ROW(E$1:E2973)*(E2974=E$1:E2973)))))</f>
        <v> </v>
      </c>
      <c r="L2974" s="26"/>
    </row>
    <row r="2975" spans="1:12">
      <c r="A2975" s="20" t="s">
        <v>657</v>
      </c>
      <c r="E2975" s="21">
        <f>IF(D2975="?OLD","!!!","")</f>
        <v/>
      </c>
      <c r="F2975" s="22" t="str">
        <f>IF(OR(E2975="",E2975="!!!"),"",IF(NOT(ISNA(VLOOKUP(E2975,E$1:E2974,1,FALSE()))),"OLD",IF(AND(E2975&lt;&gt;"",E2975&lt;&gt;"!!!"),"NEW","")))</f>
        <v> </v>
      </c>
      <c r="G2975" s="23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4" t="str">
        <f>IF(J2975&lt;&gt;1,"",IF(I2975="SBJ","CB","?"))</f>
        <v> </v>
      </c>
      <c r="I2975" s="25" t="str">
        <f>IF(OR(E2975="",E2975="!!!",F2975="NEW"),"",INDEX(B2974:B$2,-1+SUMPRODUCT(MAX(ROW(E2974:E$2)*(E2975=E2974:E$2)))))</f>
        <v> </v>
      </c>
      <c r="J2975" s="25" t="str">
        <f>IF(OR(E2975="",E2975="!!!",F2975="NEW"),"",COUNTBLANK(OFFSET(A$1,,,SUMPRODUCT(MAX(ROW(E$2:E2975)*(E2975=E$2:E2975)))))-COUNTBLANK(OFFSET(A$1,,,SUMPRODUCT(MAX(ROW(E$1:E2974)*(E2=E$1:E2974))))))</f>
        <v> </v>
      </c>
      <c r="K2975" s="25" t="str">
        <f>IF(OR(E2975="",E2975="!!!",F2975="NEW"),"",INDEX(J$1:J2974,SUMPRODUCT(MAX(ROW(E$1:E2974)*(E2975=E$1:E2974)))))</f>
        <v> </v>
      </c>
      <c r="L2975" s="26"/>
    </row>
    <row r="2976" spans="1:12">
      <c r="A2976" s="20" t="s">
        <v>739</v>
      </c>
      <c r="E2976" s="21">
        <f>IF(D2976="?OLD","!!!","")</f>
        <v/>
      </c>
      <c r="F2976" s="22" t="str">
        <f>IF(OR(E2976="",E2976="!!!"),"",IF(NOT(ISNA(VLOOKUP(E2976,E$1:E2975,1,FALSE()))),"OLD",IF(AND(E2976&lt;&gt;"",E2976&lt;&gt;"!!!"),"NEW","")))</f>
        <v> </v>
      </c>
      <c r="G2976" s="23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4" t="str">
        <f>IF(J2976&lt;&gt;1,"",IF(I2976="SBJ","CB","?"))</f>
        <v> </v>
      </c>
      <c r="I2976" s="25" t="str">
        <f>IF(OR(E2976="",E2976="!!!",F2976="NEW"),"",INDEX(B2975:B$2,-1+SUMPRODUCT(MAX(ROW(E2975:E$2)*(E2976=E2975:E$2)))))</f>
        <v> </v>
      </c>
      <c r="J2976" s="25" t="str">
        <f>IF(OR(E2976="",E2976="!!!",F2976="NEW"),"",COUNTBLANK(OFFSET(A$1,,,SUMPRODUCT(MAX(ROW(E$2:E2976)*(E2976=E$2:E2976)))))-COUNTBLANK(OFFSET(A$1,,,SUMPRODUCT(MAX(ROW(E$1:E2975)*(E2=E$1:E2975))))))</f>
        <v> </v>
      </c>
      <c r="K2976" s="25" t="str">
        <f>IF(OR(E2976="",E2976="!!!",F2976="NEW"),"",INDEX(J$1:J2975,SUMPRODUCT(MAX(ROW(E$1:E2975)*(E2976=E$1:E2975)))))</f>
        <v> </v>
      </c>
      <c r="L2976" s="26"/>
    </row>
    <row r="2977" spans="1:12">
      <c r="A2977" s="20" t="s">
        <v>769</v>
      </c>
      <c r="B2977" s="27" t="s">
        <v>762</v>
      </c>
      <c r="C2977" s="27" t="s">
        <v>756</v>
      </c>
      <c r="D2977" s="27" t="s">
        <v>736</v>
      </c>
      <c r="E2977" s="21">
        <f>IF(D2977="?OLD","!!!","")</f>
        <v/>
      </c>
      <c r="F2977" s="22" t="str">
        <f>IF(OR(E2977="",E2977="!!!"),"",IF(NOT(ISNA(VLOOKUP(E2977,E$1:E2976,1,FALSE()))),"OLD",IF(AND(E2977&lt;&gt;"",E2977&lt;&gt;"!!!"),"NEW","")))</f>
        <v> </v>
      </c>
      <c r="G2977" s="23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4" t="str">
        <f>IF(J2977&lt;&gt;1,"",IF(I2977="SBJ","CB","?"))</f>
        <v> </v>
      </c>
      <c r="I2977" s="25" t="str">
        <f>IF(OR(E2977="",E2977="!!!",F2977="NEW"),"",INDEX(B2976:B$2,-1+SUMPRODUCT(MAX(ROW(E2976:E$2)*(E2977=E2976:E$2)))))</f>
        <v> </v>
      </c>
      <c r="J2977" s="25" t="str">
        <f>IF(OR(E2977="",E2977="!!!",F2977="NEW"),"",COUNTBLANK(OFFSET(A$1,,,SUMPRODUCT(MAX(ROW(E$2:E2977)*(E2977=E$2:E2977)))))-COUNTBLANK(OFFSET(A$1,,,SUMPRODUCT(MAX(ROW(E$1:E2976)*(E2=E$1:E2976))))))</f>
        <v> </v>
      </c>
      <c r="K2977" s="25" t="str">
        <f>IF(OR(E2977="",E2977="!!!",F2977="NEW"),"",INDEX(J$1:J2976,SUMPRODUCT(MAX(ROW(E$1:E2976)*(E2977=E$1:E2976)))))</f>
        <v> </v>
      </c>
      <c r="L2977" s="26"/>
    </row>
    <row r="2978" spans="1:12">
      <c r="A2978" s="20" t="s">
        <v>770</v>
      </c>
      <c r="E2978" s="21">
        <f>IF(D2978="?OLD","!!!","")</f>
        <v/>
      </c>
      <c r="F2978" s="22" t="str">
        <f>IF(OR(E2978="",E2978="!!!"),"",IF(NOT(ISNA(VLOOKUP(E2978,E$1:E2977,1,FALSE()))),"OLD",IF(AND(E2978&lt;&gt;"",E2978&lt;&gt;"!!!"),"NEW","")))</f>
        <v> </v>
      </c>
      <c r="G2978" s="23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4" t="str">
        <f>IF(J2978&lt;&gt;1,"",IF(I2978="SBJ","CB","?"))</f>
        <v> </v>
      </c>
      <c r="I2978" s="25" t="str">
        <f>IF(OR(E2978="",E2978="!!!",F2978="NEW"),"",INDEX(B2977:B$2,-1+SUMPRODUCT(MAX(ROW(E2977:E$2)*(E2978=E2977:E$2)))))</f>
        <v> </v>
      </c>
      <c r="J2978" s="25" t="str">
        <f>IF(OR(E2978="",E2978="!!!",F2978="NEW"),"",COUNTBLANK(OFFSET(A$1,,,SUMPRODUCT(MAX(ROW(E$2:E2978)*(E2978=E$2:E2978)))))-COUNTBLANK(OFFSET(A$1,,,SUMPRODUCT(MAX(ROW(E$1:E2977)*(E2=E$1:E2977))))))</f>
        <v> </v>
      </c>
      <c r="K2978" s="25" t="str">
        <f>IF(OR(E2978="",E2978="!!!",F2978="NEW"),"",INDEX(J$1:J2977,SUMPRODUCT(MAX(ROW(E$1:E2977)*(E2978=E$1:E2977)))))</f>
        <v> </v>
      </c>
      <c r="L2978" s="26"/>
    </row>
    <row r="2979" spans="1:12">
      <c r="A2979" s="20" t="s">
        <v>2016</v>
      </c>
      <c r="E2979" s="21">
        <f>IF(D2979="?OLD","!!!","")</f>
        <v/>
      </c>
      <c r="F2979" s="22" t="str">
        <f>IF(OR(E2979="",E2979="!!!"),"",IF(NOT(ISNA(VLOOKUP(E2979,E$1:E2978,1,FALSE()))),"OLD",IF(AND(E2979&lt;&gt;"",E2979&lt;&gt;"!!!"),"NEW","")))</f>
        <v> </v>
      </c>
      <c r="G2979" s="23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4" t="str">
        <f>IF(J2979&lt;&gt;1,"",IF(I2979="SBJ","CB","?"))</f>
        <v> </v>
      </c>
      <c r="I2979" s="25" t="str">
        <f>IF(OR(E2979="",E2979="!!!",F2979="NEW"),"",INDEX(B2978:B$2,-1+SUMPRODUCT(MAX(ROW(E2978:E$2)*(E2979=E2978:E$2)))))</f>
        <v> </v>
      </c>
      <c r="J2979" s="25" t="str">
        <f>IF(OR(E2979="",E2979="!!!",F2979="NEW"),"",COUNTBLANK(OFFSET(A$1,,,SUMPRODUCT(MAX(ROW(E$2:E2979)*(E2979=E$2:E2979)))))-COUNTBLANK(OFFSET(A$1,,,SUMPRODUCT(MAX(ROW(E$1:E2978)*(E2=E$1:E2978))))))</f>
        <v> </v>
      </c>
      <c r="K2979" s="25" t="str">
        <f>IF(OR(E2979="",E2979="!!!",F2979="NEW"),"",INDEX(J$1:J2978,SUMPRODUCT(MAX(ROW(E$1:E2978)*(E2979=E$1:E2978)))))</f>
        <v> </v>
      </c>
      <c r="L2979" s="26"/>
    </row>
    <row r="2980" spans="1:12">
      <c r="A2980" s="20" t="s">
        <v>2017</v>
      </c>
      <c r="B2980" s="27" t="s">
        <v>819</v>
      </c>
      <c r="E2980" s="21">
        <f>IF(D2980="?OLD","!!!","")</f>
        <v/>
      </c>
      <c r="F2980" s="22" t="str">
        <f>IF(OR(E2980="",E2980="!!!"),"",IF(NOT(ISNA(VLOOKUP(E2980,E$1:E2979,1,FALSE()))),"OLD",IF(AND(E2980&lt;&gt;"",E2980&lt;&gt;"!!!"),"NEW","")))</f>
        <v> </v>
      </c>
      <c r="G2980" s="23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4" t="str">
        <f>IF(J2980&lt;&gt;1,"",IF(I2980="SBJ","CB","?"))</f>
        <v> </v>
      </c>
      <c r="I2980" s="25" t="str">
        <f>IF(OR(E2980="",E2980="!!!",F2980="NEW"),"",INDEX(B2979:B$2,-1+SUMPRODUCT(MAX(ROW(E2979:E$2)*(E2980=E2979:E$2)))))</f>
        <v> </v>
      </c>
      <c r="J2980" s="25" t="str">
        <f>IF(OR(E2980="",E2980="!!!",F2980="NEW"),"",COUNTBLANK(OFFSET(A$1,,,SUMPRODUCT(MAX(ROW(E$2:E2980)*(E2980=E$2:E2980)))))-COUNTBLANK(OFFSET(A$1,,,SUMPRODUCT(MAX(ROW(E$1:E2979)*(E2=E$1:E2979))))))</f>
        <v> </v>
      </c>
      <c r="K2980" s="25" t="str">
        <f>IF(OR(E2980="",E2980="!!!",F2980="NEW"),"",INDEX(J$1:J2979,SUMPRODUCT(MAX(ROW(E$1:E2979)*(E2980=E$1:E2979)))))</f>
        <v> </v>
      </c>
      <c r="L2980" s="26"/>
    </row>
    <row r="2981" spans="1:12">
      <c r="A2981" s="20" t="s">
        <v>765</v>
      </c>
      <c r="E2981" s="21">
        <f>IF(D2981="?OLD","!!!","")</f>
        <v/>
      </c>
      <c r="F2981" s="22" t="str">
        <f>IF(OR(E2981="",E2981="!!!"),"",IF(NOT(ISNA(VLOOKUP(E2981,E$1:E2980,1,FALSE()))),"OLD",IF(AND(E2981&lt;&gt;"",E2981&lt;&gt;"!!!"),"NEW","")))</f>
        <v> </v>
      </c>
      <c r="G2981" s="23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4" t="str">
        <f>IF(J2981&lt;&gt;1,"",IF(I2981="SBJ","CB","?"))</f>
        <v> </v>
      </c>
      <c r="I2981" s="25" t="str">
        <f>IF(OR(E2981="",E2981="!!!",F2981="NEW"),"",INDEX(B2980:B$2,-1+SUMPRODUCT(MAX(ROW(E2980:E$2)*(E2981=E2980:E$2)))))</f>
        <v> </v>
      </c>
      <c r="J2981" s="25" t="str">
        <f>IF(OR(E2981="",E2981="!!!",F2981="NEW"),"",COUNTBLANK(OFFSET(A$1,,,SUMPRODUCT(MAX(ROW(E$2:E2981)*(E2981=E$2:E2981)))))-COUNTBLANK(OFFSET(A$1,,,SUMPRODUCT(MAX(ROW(E$1:E2980)*(E2=E$1:E2980))))))</f>
        <v> </v>
      </c>
      <c r="K2981" s="25" t="str">
        <f>IF(OR(E2981="",E2981="!!!",F2981="NEW"),"",INDEX(J$1:J2980,SUMPRODUCT(MAX(ROW(E$1:E2980)*(E2981=E$1:E2980)))))</f>
        <v> </v>
      </c>
      <c r="L2981" s="26"/>
    </row>
    <row r="2982" spans="1:12">
      <c r="A2982" s="20"/>
    </row>
    <row r="2983" spans="1:12">
      <c r="A2983" s="20" t="s">
        <v>2018</v>
      </c>
    </row>
    <row r="2984" spans="1:12">
      <c r="A2984" s="20" t="s">
        <v>2019</v>
      </c>
      <c r="E2984" s="21">
        <f>IF(D2984="?OLD","!!!","")</f>
        <v/>
      </c>
      <c r="F2984" s="22" t="str">
        <f>IF(OR(E2984="",E2984="!!!"),"",IF(NOT(ISNA(VLOOKUP(E2984,E$1:E2983,1,FALSE()))),"OLD",IF(AND(E2984&lt;&gt;"",E2984&lt;&gt;"!!!"),"NEW","")))</f>
        <v> </v>
      </c>
      <c r="G2984" s="23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4" t="str">
        <f>IF(J2984&lt;&gt;1,"",IF(I2984="SBJ","CB","?"))</f>
        <v> </v>
      </c>
      <c r="I2984" s="25" t="str">
        <f>IF(OR(E2984="",E2984="!!!",F2984="NEW"),"",INDEX(B2983:B$2,-1+SUMPRODUCT(MAX(ROW(E2983:E$2)*(E2984=E2983:E$2)))))</f>
        <v> </v>
      </c>
      <c r="J2984" s="25" t="str">
        <f>IF(OR(E2984="",E2984="!!!",F2984="NEW"),"",COUNTBLANK(OFFSET(A$1,,,SUMPRODUCT(MAX(ROW(E$2:E2984)*(E2984=E$2:E2984)))))-COUNTBLANK(OFFSET(A$1,,,SUMPRODUCT(MAX(ROW(E$1:E2983)*(E2=E$1:E2983))))))</f>
        <v> </v>
      </c>
      <c r="K2984" s="25" t="str">
        <f>IF(OR(E2984="",E2984="!!!",F2984="NEW"),"",INDEX(J$1:J2983,SUMPRODUCT(MAX(ROW(E$1:E2983)*(E2984=E$1:E2983)))))</f>
        <v> </v>
      </c>
      <c r="L2984" s="26"/>
    </row>
    <row r="2985" spans="1:12">
      <c r="A2985" s="20" t="s">
        <v>2020</v>
      </c>
      <c r="B2985" s="27" t="s">
        <v>755</v>
      </c>
      <c r="E2985" s="21">
        <f>IF(D2985="?OLD","!!!","")</f>
        <v/>
      </c>
      <c r="F2985" s="22" t="str">
        <f>IF(OR(E2985="",E2985="!!!"),"",IF(NOT(ISNA(VLOOKUP(E2985,E$1:E2984,1,FALSE()))),"OLD",IF(AND(E2985&lt;&gt;"",E2985&lt;&gt;"!!!"),"NEW","")))</f>
        <v> </v>
      </c>
      <c r="G2985" s="23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4" t="str">
        <f>IF(J2985&lt;&gt;1,"",IF(I2985="SBJ","CB","?"))</f>
        <v> </v>
      </c>
      <c r="I2985" s="25" t="str">
        <f>IF(OR(E2985="",E2985="!!!",F2985="NEW"),"",INDEX(B2984:B$2,-1+SUMPRODUCT(MAX(ROW(E2984:E$2)*(E2985=E2984:E$2)))))</f>
        <v> </v>
      </c>
      <c r="J2985" s="25" t="str">
        <f>IF(OR(E2985="",E2985="!!!",F2985="NEW"),"",COUNTBLANK(OFFSET(A$1,,,SUMPRODUCT(MAX(ROW(E$2:E2985)*(E2985=E$2:E2985)))))-COUNTBLANK(OFFSET(A$1,,,SUMPRODUCT(MAX(ROW(E$1:E2984)*(E2=E$1:E2984))))))</f>
        <v> </v>
      </c>
      <c r="K2985" s="25" t="str">
        <f>IF(OR(E2985="",E2985="!!!",F2985="NEW"),"",INDEX(J$1:J2984,SUMPRODUCT(MAX(ROW(E$1:E2984)*(E2985=E$1:E2984)))))</f>
        <v> </v>
      </c>
      <c r="L2985" s="26"/>
    </row>
    <row r="2986" spans="1:12">
      <c r="A2986" s="20" t="s">
        <v>841</v>
      </c>
      <c r="E2986" s="21">
        <f>IF(D2986="?OLD","!!!","")</f>
        <v/>
      </c>
      <c r="F2986" s="22" t="str">
        <f>IF(OR(E2986="",E2986="!!!"),"",IF(NOT(ISNA(VLOOKUP(E2986,E$1:E2985,1,FALSE()))),"OLD",IF(AND(E2986&lt;&gt;"",E2986&lt;&gt;"!!!"),"NEW","")))</f>
        <v> </v>
      </c>
      <c r="G2986" s="23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4" t="str">
        <f>IF(J2986&lt;&gt;1,"",IF(I2986="SBJ","CB","?"))</f>
        <v> </v>
      </c>
      <c r="I2986" s="25" t="str">
        <f>IF(OR(E2986="",E2986="!!!",F2986="NEW"),"",INDEX(B2985:B$2,-1+SUMPRODUCT(MAX(ROW(E2985:E$2)*(E2986=E2985:E$2)))))</f>
        <v> </v>
      </c>
      <c r="J2986" s="25" t="str">
        <f>IF(OR(E2986="",E2986="!!!",F2986="NEW"),"",COUNTBLANK(OFFSET(A$1,,,SUMPRODUCT(MAX(ROW(E$2:E2986)*(E2986=E$2:E2986)))))-COUNTBLANK(OFFSET(A$1,,,SUMPRODUCT(MAX(ROW(E$1:E2985)*(E2=E$1:E2985))))))</f>
        <v> </v>
      </c>
      <c r="K2986" s="25" t="str">
        <f>IF(OR(E2986="",E2986="!!!",F2986="NEW"),"",INDEX(J$1:J2985,SUMPRODUCT(MAX(ROW(E$1:E2985)*(E2986=E$1:E2985)))))</f>
        <v> </v>
      </c>
      <c r="L2986" s="26"/>
    </row>
    <row r="2987" spans="1:12">
      <c r="A2987" s="20" t="s">
        <v>763</v>
      </c>
      <c r="E2987" s="21">
        <f>IF(D2987="?OLD","!!!","")</f>
        <v/>
      </c>
      <c r="F2987" s="22" t="str">
        <f>IF(OR(E2987="",E2987="!!!"),"",IF(NOT(ISNA(VLOOKUP(E2987,E$1:E2986,1,FALSE()))),"OLD",IF(AND(E2987&lt;&gt;"",E2987&lt;&gt;"!!!"),"NEW","")))</f>
        <v> </v>
      </c>
      <c r="G2987" s="23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4" t="str">
        <f>IF(J2987&lt;&gt;1,"",IF(I2987="SBJ","CB","?"))</f>
        <v> </v>
      </c>
      <c r="I2987" s="25" t="str">
        <f>IF(OR(E2987="",E2987="!!!",F2987="NEW"),"",INDEX(B2986:B$2,-1+SUMPRODUCT(MAX(ROW(E2986:E$2)*(E2987=E2986:E$2)))))</f>
        <v> </v>
      </c>
      <c r="J2987" s="25" t="str">
        <f>IF(OR(E2987="",E2987="!!!",F2987="NEW"),"",COUNTBLANK(OFFSET(A$1,,,SUMPRODUCT(MAX(ROW(E$2:E2987)*(E2987=E$2:E2987)))))-COUNTBLANK(OFFSET(A$1,,,SUMPRODUCT(MAX(ROW(E$1:E2986)*(E2=E$1:E2986))))))</f>
        <v> </v>
      </c>
      <c r="K2987" s="25" t="str">
        <f>IF(OR(E2987="",E2987="!!!",F2987="NEW"),"",INDEX(J$1:J2986,SUMPRODUCT(MAX(ROW(E$1:E2986)*(E2987=E$1:E2986)))))</f>
        <v> </v>
      </c>
      <c r="L2987" s="26"/>
    </row>
    <row r="2988" spans="1:12">
      <c r="A2988" s="20" t="s">
        <v>1291</v>
      </c>
      <c r="B2988" s="27" t="s">
        <v>762</v>
      </c>
      <c r="C2988" s="27" t="s">
        <v>756</v>
      </c>
      <c r="D2988" s="27" t="s">
        <v>736</v>
      </c>
      <c r="E2988" s="21">
        <f>IF(D2988="?OLD","!!!","")</f>
        <v/>
      </c>
      <c r="F2988" s="22" t="str">
        <f>IF(OR(E2988="",E2988="!!!"),"",IF(NOT(ISNA(VLOOKUP(E2988,E$1:E2987,1,FALSE()))),"OLD",IF(AND(E2988&lt;&gt;"",E2988&lt;&gt;"!!!"),"NEW","")))</f>
        <v> </v>
      </c>
      <c r="G2988" s="23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4" t="str">
        <f>IF(J2988&lt;&gt;1,"",IF(I2988="SBJ","CB","?"))</f>
        <v> </v>
      </c>
      <c r="I2988" s="25" t="str">
        <f>IF(OR(E2988="",E2988="!!!",F2988="NEW"),"",INDEX(B2987:B$2,-1+SUMPRODUCT(MAX(ROW(E2987:E$2)*(E2988=E2987:E$2)))))</f>
        <v> </v>
      </c>
      <c r="J2988" s="25" t="str">
        <f>IF(OR(E2988="",E2988="!!!",F2988="NEW"),"",COUNTBLANK(OFFSET(A$1,,,SUMPRODUCT(MAX(ROW(E$2:E2988)*(E2988=E$2:E2988)))))-COUNTBLANK(OFFSET(A$1,,,SUMPRODUCT(MAX(ROW(E$1:E2987)*(E2=E$1:E2987))))))</f>
        <v> </v>
      </c>
      <c r="K2988" s="25" t="str">
        <f>IF(OR(E2988="",E2988="!!!",F2988="NEW"),"",INDEX(J$1:J2987,SUMPRODUCT(MAX(ROW(E$1:E2987)*(E2988=E$1:E2987)))))</f>
        <v> </v>
      </c>
      <c r="L2988" s="26"/>
    </row>
    <row r="2989" spans="1:12">
      <c r="A2989" s="20" t="s">
        <v>2021</v>
      </c>
      <c r="E2989" s="21">
        <f>IF(D2989="?OLD","!!!","")</f>
        <v/>
      </c>
      <c r="F2989" s="22" t="str">
        <f>IF(OR(E2989="",E2989="!!!"),"",IF(NOT(ISNA(VLOOKUP(E2989,E$1:E2988,1,FALSE()))),"OLD",IF(AND(E2989&lt;&gt;"",E2989&lt;&gt;"!!!"),"NEW","")))</f>
        <v> </v>
      </c>
      <c r="G2989" s="23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4" t="str">
        <f>IF(J2989&lt;&gt;1,"",IF(I2989="SBJ","CB","?"))</f>
        <v> </v>
      </c>
      <c r="I2989" s="25" t="str">
        <f>IF(OR(E2989="",E2989="!!!",F2989="NEW"),"",INDEX(B2988:B$2,-1+SUMPRODUCT(MAX(ROW(E2988:E$2)*(E2989=E2988:E$2)))))</f>
        <v> </v>
      </c>
      <c r="J2989" s="25" t="str">
        <f>IF(OR(E2989="",E2989="!!!",F2989="NEW"),"",COUNTBLANK(OFFSET(A$1,,,SUMPRODUCT(MAX(ROW(E$2:E2989)*(E2989=E$2:E2989)))))-COUNTBLANK(OFFSET(A$1,,,SUMPRODUCT(MAX(ROW(E$1:E2988)*(E2=E$1:E2988))))))</f>
        <v> </v>
      </c>
      <c r="K2989" s="25" t="str">
        <f>IF(OR(E2989="",E2989="!!!",F2989="NEW"),"",INDEX(J$1:J2988,SUMPRODUCT(MAX(ROW(E$1:E2988)*(E2989=E$1:E2988)))))</f>
        <v> </v>
      </c>
      <c r="L2989" s="26"/>
    </row>
    <row r="2990" spans="1:12">
      <c r="A2990" s="20" t="s">
        <v>2022</v>
      </c>
      <c r="E2990" s="21">
        <f>IF(D2990="?OLD","!!!","")</f>
        <v/>
      </c>
      <c r="F2990" s="22" t="str">
        <f>IF(OR(E2990="",E2990="!!!"),"",IF(NOT(ISNA(VLOOKUP(E2990,E$1:E2989,1,FALSE()))),"OLD",IF(AND(E2990&lt;&gt;"",E2990&lt;&gt;"!!!"),"NEW","")))</f>
        <v> </v>
      </c>
      <c r="G2990" s="23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4" t="str">
        <f>IF(J2990&lt;&gt;1,"",IF(I2990="SBJ","CB","?"))</f>
        <v> </v>
      </c>
      <c r="I2990" s="25" t="str">
        <f>IF(OR(E2990="",E2990="!!!",F2990="NEW"),"",INDEX(B2989:B$2,-1+SUMPRODUCT(MAX(ROW(E2989:E$2)*(E2990=E2989:E$2)))))</f>
        <v> </v>
      </c>
      <c r="J2990" s="25" t="str">
        <f>IF(OR(E2990="",E2990="!!!",F2990="NEW"),"",COUNTBLANK(OFFSET(A$1,,,SUMPRODUCT(MAX(ROW(E$2:E2990)*(E2990=E$2:E2990)))))-COUNTBLANK(OFFSET(A$1,,,SUMPRODUCT(MAX(ROW(E$1:E2989)*(E2=E$1:E2989))))))</f>
        <v> </v>
      </c>
      <c r="K2990" s="25" t="str">
        <f>IF(OR(E2990="",E2990="!!!",F2990="NEW"),"",INDEX(J$1:J2989,SUMPRODUCT(MAX(ROW(E$1:E2989)*(E2990=E$1:E2989)))))</f>
        <v> </v>
      </c>
      <c r="L2990" s="26"/>
    </row>
    <row r="2991" spans="1:12">
      <c r="A2991" s="20" t="s">
        <v>765</v>
      </c>
      <c r="E2991" s="21">
        <f>IF(D2991="?OLD","!!!","")</f>
        <v/>
      </c>
      <c r="F2991" s="22" t="str">
        <f>IF(OR(E2991="",E2991="!!!"),"",IF(NOT(ISNA(VLOOKUP(E2991,E$1:E2990,1,FALSE()))),"OLD",IF(AND(E2991&lt;&gt;"",E2991&lt;&gt;"!!!"),"NEW","")))</f>
        <v> </v>
      </c>
      <c r="G2991" s="23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4" t="str">
        <f>IF(J2991&lt;&gt;1,"",IF(I2991="SBJ","CB","?"))</f>
        <v> </v>
      </c>
      <c r="I2991" s="25" t="str">
        <f>IF(OR(E2991="",E2991="!!!",F2991="NEW"),"",INDEX(B2990:B$2,-1+SUMPRODUCT(MAX(ROW(E2990:E$2)*(E2991=E2990:E$2)))))</f>
        <v> </v>
      </c>
      <c r="J2991" s="25" t="str">
        <f>IF(OR(E2991="",E2991="!!!",F2991="NEW"),"",COUNTBLANK(OFFSET(A$1,,,SUMPRODUCT(MAX(ROW(E$2:E2991)*(E2991=E$2:E2991)))))-COUNTBLANK(OFFSET(A$1,,,SUMPRODUCT(MAX(ROW(E$1:E2990)*(E2=E$1:E2990))))))</f>
        <v> </v>
      </c>
      <c r="K2991" s="25" t="str">
        <f>IF(OR(E2991="",E2991="!!!",F2991="NEW"),"",INDEX(J$1:J2990,SUMPRODUCT(MAX(ROW(E$1:E2990)*(E2991=E$1:E2990)))))</f>
        <v> </v>
      </c>
      <c r="L2991" s="26"/>
    </row>
    <row r="2992" spans="1:12">
      <c r="A2992" s="20"/>
    </row>
    <row r="2993" spans="1:12">
      <c r="A2993" s="20" t="s">
        <v>2023</v>
      </c>
    </row>
    <row r="2994" spans="1:12">
      <c r="A2994" s="20" t="s">
        <v>2024</v>
      </c>
      <c r="E2994" s="21">
        <f>IF(D2994="?OLD","!!!","")</f>
        <v/>
      </c>
      <c r="F2994" s="22" t="str">
        <f>IF(OR(E2994="",E2994="!!!"),"",IF(NOT(ISNA(VLOOKUP(E2994,E$1:E2993,1,FALSE()))),"OLD",IF(AND(E2994&lt;&gt;"",E2994&lt;&gt;"!!!"),"NEW","")))</f>
        <v> </v>
      </c>
      <c r="G2994" s="23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4" t="str">
        <f>IF(J2994&lt;&gt;1,"",IF(I2994="SBJ","CB","?"))</f>
        <v> </v>
      </c>
      <c r="I2994" s="25" t="str">
        <f>IF(OR(E2994="",E2994="!!!",F2994="NEW"),"",INDEX(B2993:B$2,-1+SUMPRODUCT(MAX(ROW(E2993:E$2)*(E2994=E2993:E$2)))))</f>
        <v> </v>
      </c>
      <c r="J2994" s="25" t="str">
        <f>IF(OR(E2994="",E2994="!!!",F2994="NEW"),"",COUNTBLANK(OFFSET(A$1,,,SUMPRODUCT(MAX(ROW(E$2:E2994)*(E2994=E$2:E2994)))))-COUNTBLANK(OFFSET(A$1,,,SUMPRODUCT(MAX(ROW(E$1:E2993)*(E2=E$1:E2993))))))</f>
        <v> </v>
      </c>
      <c r="K2994" s="25" t="str">
        <f>IF(OR(E2994="",E2994="!!!",F2994="NEW"),"",INDEX(J$1:J2993,SUMPRODUCT(MAX(ROW(E$1:E2993)*(E2994=E$1:E2993)))))</f>
        <v> </v>
      </c>
      <c r="L2994" s="26"/>
    </row>
    <row r="2995" spans="1:12">
      <c r="A2995" s="20" t="s">
        <v>841</v>
      </c>
      <c r="E2995" s="21">
        <f>IF(D2995="?OLD","!!!","")</f>
        <v/>
      </c>
      <c r="F2995" s="22" t="str">
        <f>IF(OR(E2995="",E2995="!!!"),"",IF(NOT(ISNA(VLOOKUP(E2995,E$1:E2994,1,FALSE()))),"OLD",IF(AND(E2995&lt;&gt;"",E2995&lt;&gt;"!!!"),"NEW","")))</f>
        <v> </v>
      </c>
      <c r="G2995" s="23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4" t="str">
        <f>IF(J2995&lt;&gt;1,"",IF(I2995="SBJ","CB","?"))</f>
        <v> </v>
      </c>
      <c r="I2995" s="25" t="str">
        <f>IF(OR(E2995="",E2995="!!!",F2995="NEW"),"",INDEX(B2994:B$2,-1+SUMPRODUCT(MAX(ROW(E2994:E$2)*(E2995=E2994:E$2)))))</f>
        <v> </v>
      </c>
      <c r="J2995" s="25" t="str">
        <f>IF(OR(E2995="",E2995="!!!",F2995="NEW"),"",COUNTBLANK(OFFSET(A$1,,,SUMPRODUCT(MAX(ROW(E$2:E2995)*(E2995=E$2:E2995)))))-COUNTBLANK(OFFSET(A$1,,,SUMPRODUCT(MAX(ROW(E$1:E2994)*(E2=E$1:E2994))))))</f>
        <v> </v>
      </c>
      <c r="K2995" s="25" t="str">
        <f>IF(OR(E2995="",E2995="!!!",F2995="NEW"),"",INDEX(J$1:J2994,SUMPRODUCT(MAX(ROW(E$1:E2994)*(E2995=E$1:E2994)))))</f>
        <v> </v>
      </c>
      <c r="L2995" s="26"/>
    </row>
    <row r="2996" spans="1:12">
      <c r="A2996" s="20" t="s">
        <v>763</v>
      </c>
      <c r="E2996" s="21">
        <f>IF(D2996="?OLD","!!!","")</f>
        <v/>
      </c>
      <c r="F2996" s="22" t="str">
        <f>IF(OR(E2996="",E2996="!!!"),"",IF(NOT(ISNA(VLOOKUP(E2996,E$1:E2995,1,FALSE()))),"OLD",IF(AND(E2996&lt;&gt;"",E2996&lt;&gt;"!!!"),"NEW","")))</f>
        <v> </v>
      </c>
      <c r="G2996" s="23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4" t="str">
        <f>IF(J2996&lt;&gt;1,"",IF(I2996="SBJ","CB","?"))</f>
        <v> </v>
      </c>
      <c r="I2996" s="25" t="str">
        <f>IF(OR(E2996="",E2996="!!!",F2996="NEW"),"",INDEX(B2995:B$2,-1+SUMPRODUCT(MAX(ROW(E2995:E$2)*(E2996=E2995:E$2)))))</f>
        <v> </v>
      </c>
      <c r="J2996" s="25" t="str">
        <f>IF(OR(E2996="",E2996="!!!",F2996="NEW"),"",COUNTBLANK(OFFSET(A$1,,,SUMPRODUCT(MAX(ROW(E$2:E2996)*(E2996=E$2:E2996)))))-COUNTBLANK(OFFSET(A$1,,,SUMPRODUCT(MAX(ROW(E$1:E2995)*(E2=E$1:E2995))))))</f>
        <v> </v>
      </c>
      <c r="K2996" s="25" t="str">
        <f>IF(OR(E2996="",E2996="!!!",F2996="NEW"),"",INDEX(J$1:J2995,SUMPRODUCT(MAX(ROW(E$1:E2995)*(E2996=E$1:E2995)))))</f>
        <v> </v>
      </c>
      <c r="L2996" s="26"/>
    </row>
    <row r="2997" spans="1:12">
      <c r="A2997" s="20" t="s">
        <v>2021</v>
      </c>
      <c r="E2997" s="21">
        <f>IF(D2997="?OLD","!!!","")</f>
        <v/>
      </c>
      <c r="F2997" s="22" t="str">
        <f>IF(OR(E2997="",E2997="!!!"),"",IF(NOT(ISNA(VLOOKUP(E2997,E$1:E2996,1,FALSE()))),"OLD",IF(AND(E2997&lt;&gt;"",E2997&lt;&gt;"!!!"),"NEW","")))</f>
        <v> </v>
      </c>
      <c r="G2997" s="23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4" t="str">
        <f>IF(J2997&lt;&gt;1,"",IF(I2997="SBJ","CB","?"))</f>
        <v> </v>
      </c>
      <c r="I2997" s="25" t="str">
        <f>IF(OR(E2997="",E2997="!!!",F2997="NEW"),"",INDEX(B2996:B$2,-1+SUMPRODUCT(MAX(ROW(E2996:E$2)*(E2997=E2996:E$2)))))</f>
        <v> </v>
      </c>
      <c r="J2997" s="25" t="str">
        <f>IF(OR(E2997="",E2997="!!!",F2997="NEW"),"",COUNTBLANK(OFFSET(A$1,,,SUMPRODUCT(MAX(ROW(E$2:E2997)*(E2997=E$2:E2997)))))-COUNTBLANK(OFFSET(A$1,,,SUMPRODUCT(MAX(ROW(E$1:E2996)*(E2=E$1:E2996))))))</f>
        <v> </v>
      </c>
      <c r="K2997" s="25" t="str">
        <f>IF(OR(E2997="",E2997="!!!",F2997="NEW"),"",INDEX(J$1:J2996,SUMPRODUCT(MAX(ROW(E$1:E2996)*(E2997=E$1:E2996)))))</f>
        <v> </v>
      </c>
      <c r="L2997" s="26"/>
    </row>
    <row r="2998" spans="1:12">
      <c r="A2998" s="20" t="s">
        <v>2025</v>
      </c>
      <c r="B2998" s="27" t="s">
        <v>819</v>
      </c>
      <c r="C2998" s="27" t="s">
        <v>735</v>
      </c>
      <c r="D2998" s="27" t="s">
        <v>736</v>
      </c>
      <c r="E2998" s="21">
        <f>IF(D2998="?OLD","!!!","")</f>
        <v/>
      </c>
      <c r="F2998" s="22" t="str">
        <f>IF(OR(E2998="",E2998="!!!"),"",IF(NOT(ISNA(VLOOKUP(E2998,E$1:E2997,1,FALSE()))),"OLD",IF(AND(E2998&lt;&gt;"",E2998&lt;&gt;"!!!"),"NEW","")))</f>
        <v> </v>
      </c>
      <c r="G2998" s="23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4" t="str">
        <f>IF(J2998&lt;&gt;1,"",IF(I2998="SBJ","CB","?"))</f>
        <v> </v>
      </c>
      <c r="I2998" s="25" t="str">
        <f>IF(OR(E2998="",E2998="!!!",F2998="NEW"),"",INDEX(B2997:B$2,-1+SUMPRODUCT(MAX(ROW(E2997:E$2)*(E2998=E2997:E$2)))))</f>
        <v> </v>
      </c>
      <c r="J2998" s="25" t="str">
        <f>IF(OR(E2998="",E2998="!!!",F2998="NEW"),"",COUNTBLANK(OFFSET(A$1,,,SUMPRODUCT(MAX(ROW(E$2:E2998)*(E2998=E$2:E2998)))))-COUNTBLANK(OFFSET(A$1,,,SUMPRODUCT(MAX(ROW(E$1:E2997)*(E2=E$1:E2997))))))</f>
        <v> </v>
      </c>
      <c r="K2998" s="25" t="str">
        <f>IF(OR(E2998="",E2998="!!!",F2998="NEW"),"",INDEX(J$1:J2997,SUMPRODUCT(MAX(ROW(E$1:E2997)*(E2998=E$1:E2997)))))</f>
        <v> </v>
      </c>
      <c r="L2998" s="26"/>
    </row>
    <row r="2999" spans="1:12">
      <c r="A2999" s="20" t="s">
        <v>765</v>
      </c>
      <c r="E2999" s="21">
        <f>IF(D2999="?OLD","!!!","")</f>
        <v/>
      </c>
      <c r="F2999" s="22" t="str">
        <f>IF(OR(E2999="",E2999="!!!"),"",IF(NOT(ISNA(VLOOKUP(E2999,E$1:E2998,1,FALSE()))),"OLD",IF(AND(E2999&lt;&gt;"",E2999&lt;&gt;"!!!"),"NEW","")))</f>
        <v> </v>
      </c>
      <c r="G2999" s="23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4" t="str">
        <f>IF(J2999&lt;&gt;1,"",IF(I2999="SBJ","CB","?"))</f>
        <v> </v>
      </c>
      <c r="I2999" s="25" t="str">
        <f>IF(OR(E2999="",E2999="!!!",F2999="NEW"),"",INDEX(B2998:B$2,-1+SUMPRODUCT(MAX(ROW(E2998:E$2)*(E2999=E2998:E$2)))))</f>
        <v> </v>
      </c>
      <c r="J2999" s="25" t="str">
        <f>IF(OR(E2999="",E2999="!!!",F2999="NEW"),"",COUNTBLANK(OFFSET(A$1,,,SUMPRODUCT(MAX(ROW(E$2:E2999)*(E2999=E$2:E2999)))))-COUNTBLANK(OFFSET(A$1,,,SUMPRODUCT(MAX(ROW(E$1:E2998)*(E2=E$1:E2998))))))</f>
        <v> </v>
      </c>
      <c r="K2999" s="25" t="str">
        <f>IF(OR(E2999="",E2999="!!!",F2999="NEW"),"",INDEX(J$1:J2998,SUMPRODUCT(MAX(ROW(E$1:E2998)*(E2999=E$1:E2998)))))</f>
        <v> </v>
      </c>
      <c r="L2999" s="26"/>
    </row>
    <row r="3000" spans="1:12">
      <c r="A3000" s="20"/>
    </row>
    <row r="3001" spans="1:12">
      <c r="A3001" s="20" t="s">
        <v>2026</v>
      </c>
    </row>
    <row r="3002" spans="1:12">
      <c r="A3002" s="20" t="s">
        <v>1175</v>
      </c>
      <c r="E3002" s="21">
        <f>IF(D3002="?OLD","!!!","")</f>
        <v/>
      </c>
      <c r="F3002" s="22" t="str">
        <f>IF(OR(E3002="",E3002="!!!"),"",IF(NOT(ISNA(VLOOKUP(E3002,E$1:E3001,1,FALSE()))),"OLD",IF(AND(E3002&lt;&gt;"",E3002&lt;&gt;"!!!"),"NEW","")))</f>
        <v> </v>
      </c>
      <c r="G3002" s="23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4" t="str">
        <f>IF(J3002&lt;&gt;1,"",IF(I3002="SBJ","CB","?"))</f>
        <v> </v>
      </c>
      <c r="I3002" s="25" t="str">
        <f>IF(OR(E3002="",E3002="!!!",F3002="NEW"),"",INDEX(B3001:B$2,-1+SUMPRODUCT(MAX(ROW(E3001:E$2)*(E3002=E3001:E$2)))))</f>
        <v> </v>
      </c>
      <c r="J3002" s="25" t="str">
        <f>IF(OR(E3002="",E3002="!!!",F3002="NEW"),"",COUNTBLANK(OFFSET(A$1,,,SUMPRODUCT(MAX(ROW(E$2:E3002)*(E3002=E$2:E3002)))))-COUNTBLANK(OFFSET(A$1,,,SUMPRODUCT(MAX(ROW(E$1:E3001)*(E2=E$1:E3001))))))</f>
        <v> </v>
      </c>
      <c r="K3002" s="25" t="str">
        <f>IF(OR(E3002="",E3002="!!!",F3002="NEW"),"",INDEX(J$1:J3001,SUMPRODUCT(MAX(ROW(E$1:E3001)*(E3002=E$1:E3001)))))</f>
        <v> </v>
      </c>
      <c r="L3002" s="26"/>
    </row>
    <row r="3003" spans="1:12">
      <c r="A3003" s="20" t="s">
        <v>1879</v>
      </c>
      <c r="E3003" s="21">
        <f>IF(D3003="?OLD","!!!","")</f>
        <v/>
      </c>
      <c r="F3003" s="22" t="str">
        <f>IF(OR(E3003="",E3003="!!!"),"",IF(NOT(ISNA(VLOOKUP(E3003,E$1:E3002,1,FALSE()))),"OLD",IF(AND(E3003&lt;&gt;"",E3003&lt;&gt;"!!!"),"NEW","")))</f>
        <v> </v>
      </c>
      <c r="G3003" s="23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4" t="str">
        <f>IF(J3003&lt;&gt;1,"",IF(I3003="SBJ","CB","?"))</f>
        <v> </v>
      </c>
      <c r="I3003" s="25" t="str">
        <f>IF(OR(E3003="",E3003="!!!",F3003="NEW"),"",INDEX(B3002:B$2,-1+SUMPRODUCT(MAX(ROW(E3002:E$2)*(E3003=E3002:E$2)))))</f>
        <v> </v>
      </c>
      <c r="J3003" s="25" t="str">
        <f>IF(OR(E3003="",E3003="!!!",F3003="NEW"),"",COUNTBLANK(OFFSET(A$1,,,SUMPRODUCT(MAX(ROW(E$2:E3003)*(E3003=E$2:E3003)))))-COUNTBLANK(OFFSET(A$1,,,SUMPRODUCT(MAX(ROW(E$1:E3002)*(E2=E$1:E3002))))))</f>
        <v> </v>
      </c>
      <c r="K3003" s="25" t="str">
        <f>IF(OR(E3003="",E3003="!!!",F3003="NEW"),"",INDEX(J$1:J3002,SUMPRODUCT(MAX(ROW(E$1:E3002)*(E3003=E$1:E3002)))))</f>
        <v> </v>
      </c>
      <c r="L3003" s="26"/>
    </row>
    <row r="3004" spans="1:12">
      <c r="A3004" s="20" t="s">
        <v>851</v>
      </c>
      <c r="B3004" s="27" t="s">
        <v>819</v>
      </c>
      <c r="C3004" s="27" t="s">
        <v>788</v>
      </c>
      <c r="D3004" s="27" t="s">
        <v>736</v>
      </c>
      <c r="E3004" s="21">
        <f>IF(D3004="?OLD","!!!","")</f>
        <v/>
      </c>
      <c r="F3004" s="22" t="str">
        <f>IF(OR(E3004="",E3004="!!!"),"",IF(NOT(ISNA(VLOOKUP(E3004,E$1:E3003,1,FALSE()))),"OLD",IF(AND(E3004&lt;&gt;"",E3004&lt;&gt;"!!!"),"NEW","")))</f>
        <v> </v>
      </c>
      <c r="G3004" s="23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4" t="str">
        <f>IF(J3004&lt;&gt;1,"",IF(I3004="SBJ","CB","?"))</f>
        <v> </v>
      </c>
      <c r="I3004" s="25" t="str">
        <f>IF(OR(E3004="",E3004="!!!",F3004="NEW"),"",INDEX(B3003:B$2,-1+SUMPRODUCT(MAX(ROW(E3003:E$2)*(E3004=E3003:E$2)))))</f>
        <v> </v>
      </c>
      <c r="J3004" s="25" t="str">
        <f>IF(OR(E3004="",E3004="!!!",F3004="NEW"),"",COUNTBLANK(OFFSET(A$1,,,SUMPRODUCT(MAX(ROW(E$2:E3004)*(E3004=E$2:E3004)))))-COUNTBLANK(OFFSET(A$1,,,SUMPRODUCT(MAX(ROW(E$1:E3003)*(E2=E$1:E3003))))))</f>
        <v> </v>
      </c>
      <c r="K3004" s="25" t="str">
        <f>IF(OR(E3004="",E3004="!!!",F3004="NEW"),"",INDEX(J$1:J3003,SUMPRODUCT(MAX(ROW(E$1:E3003)*(E3004=E$1:E3003)))))</f>
        <v> </v>
      </c>
      <c r="L3004" s="26"/>
    </row>
    <row r="3005" spans="1:12">
      <c r="A3005" s="20" t="s">
        <v>614</v>
      </c>
      <c r="E3005" s="21">
        <f>IF(D3005="?OLD","!!!","")</f>
        <v/>
      </c>
      <c r="F3005" s="22" t="str">
        <f>IF(OR(E3005="",E3005="!!!"),"",IF(NOT(ISNA(VLOOKUP(E3005,E$1:E3004,1,FALSE()))),"OLD",IF(AND(E3005&lt;&gt;"",E3005&lt;&gt;"!!!"),"NEW","")))</f>
        <v> </v>
      </c>
      <c r="G3005" s="23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4" t="str">
        <f>IF(J3005&lt;&gt;1,"",IF(I3005="SBJ","CB","?"))</f>
        <v> </v>
      </c>
      <c r="I3005" s="25" t="str">
        <f>IF(OR(E3005="",E3005="!!!",F3005="NEW"),"",INDEX(B3004:B$2,-1+SUMPRODUCT(MAX(ROW(E3004:E$2)*(E3005=E3004:E$2)))))</f>
        <v> </v>
      </c>
      <c r="J3005" s="25" t="str">
        <f>IF(OR(E3005="",E3005="!!!",F3005="NEW"),"",COUNTBLANK(OFFSET(A$1,,,SUMPRODUCT(MAX(ROW(E$2:E3005)*(E3005=E$2:E3005)))))-COUNTBLANK(OFFSET(A$1,,,SUMPRODUCT(MAX(ROW(E$1:E3004)*(E2=E$1:E3004))))))</f>
        <v> </v>
      </c>
      <c r="K3005" s="25" t="str">
        <f>IF(OR(E3005="",E3005="!!!",F3005="NEW"),"",INDEX(J$1:J3004,SUMPRODUCT(MAX(ROW(E$1:E3004)*(E3005=E$1:E3004)))))</f>
        <v> </v>
      </c>
      <c r="L3005" s="26"/>
    </row>
    <row r="3006" spans="1:12">
      <c r="A3006" s="20" t="s">
        <v>1287</v>
      </c>
      <c r="E3006" s="21">
        <f>IF(D3006="?OLD","!!!","")</f>
        <v/>
      </c>
      <c r="F3006" s="22" t="str">
        <f>IF(OR(E3006="",E3006="!!!"),"",IF(NOT(ISNA(VLOOKUP(E3006,E$1:E3005,1,FALSE()))),"OLD",IF(AND(E3006&lt;&gt;"",E3006&lt;&gt;"!!!"),"NEW","")))</f>
        <v> </v>
      </c>
      <c r="G3006" s="23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4" t="str">
        <f>IF(J3006&lt;&gt;1,"",IF(I3006="SBJ","CB","?"))</f>
        <v> </v>
      </c>
      <c r="I3006" s="25" t="str">
        <f>IF(OR(E3006="",E3006="!!!",F3006="NEW"),"",INDEX(B3005:B$2,-1+SUMPRODUCT(MAX(ROW(E3005:E$2)*(E3006=E3005:E$2)))))</f>
        <v> </v>
      </c>
      <c r="J3006" s="25" t="str">
        <f>IF(OR(E3006="",E3006="!!!",F3006="NEW"),"",COUNTBLANK(OFFSET(A$1,,,SUMPRODUCT(MAX(ROW(E$2:E3006)*(E3006=E$2:E3006)))))-COUNTBLANK(OFFSET(A$1,,,SUMPRODUCT(MAX(ROW(E$1:E3005)*(E2=E$1:E3005))))))</f>
        <v> </v>
      </c>
      <c r="K3006" s="25" t="str">
        <f>IF(OR(E3006="",E3006="!!!",F3006="NEW"),"",INDEX(J$1:J3005,SUMPRODUCT(MAX(ROW(E$1:E3005)*(E3006=E$1:E3005)))))</f>
        <v> </v>
      </c>
      <c r="L3006" s="26"/>
    </row>
    <row r="3007" spans="1:12">
      <c r="A3007" s="20" t="s">
        <v>2027</v>
      </c>
      <c r="E3007" s="21">
        <f>IF(D3007="?OLD","!!!","")</f>
        <v/>
      </c>
      <c r="F3007" s="22" t="str">
        <f>IF(OR(E3007="",E3007="!!!"),"",IF(NOT(ISNA(VLOOKUP(E3007,E$1:E3006,1,FALSE()))),"OLD",IF(AND(E3007&lt;&gt;"",E3007&lt;&gt;"!!!"),"NEW","")))</f>
        <v> </v>
      </c>
      <c r="G3007" s="23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4" t="str">
        <f>IF(J3007&lt;&gt;1,"",IF(I3007="SBJ","CB","?"))</f>
        <v> </v>
      </c>
      <c r="I3007" s="25" t="str">
        <f>IF(OR(E3007="",E3007="!!!",F3007="NEW"),"",INDEX(B3006:B$2,-1+SUMPRODUCT(MAX(ROW(E3006:E$2)*(E3007=E3006:E$2)))))</f>
        <v> </v>
      </c>
      <c r="J3007" s="25" t="str">
        <f>IF(OR(E3007="",E3007="!!!",F3007="NEW"),"",COUNTBLANK(OFFSET(A$1,,,SUMPRODUCT(MAX(ROW(E$2:E3007)*(E3007=E$2:E3007)))))-COUNTBLANK(OFFSET(A$1,,,SUMPRODUCT(MAX(ROW(E$1:E3006)*(E2=E$1:E3006))))))</f>
        <v> </v>
      </c>
      <c r="K3007" s="25" t="str">
        <f>IF(OR(E3007="",E3007="!!!",F3007="NEW"),"",INDEX(J$1:J3006,SUMPRODUCT(MAX(ROW(E$1:E3006)*(E3007=E$1:E3006)))))</f>
        <v> </v>
      </c>
      <c r="L3007" s="26"/>
    </row>
    <row r="3008" spans="1:12">
      <c r="A3008" s="20" t="s">
        <v>765</v>
      </c>
      <c r="E3008" s="21">
        <f>IF(D3008="?OLD","!!!","")</f>
        <v/>
      </c>
      <c r="F3008" s="22" t="str">
        <f>IF(OR(E3008="",E3008="!!!"),"",IF(NOT(ISNA(VLOOKUP(E3008,E$1:E3007,1,FALSE()))),"OLD",IF(AND(E3008&lt;&gt;"",E3008&lt;&gt;"!!!"),"NEW","")))</f>
        <v> </v>
      </c>
      <c r="G3008" s="23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4" t="str">
        <f>IF(J3008&lt;&gt;1,"",IF(I3008="SBJ","CB","?"))</f>
        <v> </v>
      </c>
      <c r="I3008" s="25" t="str">
        <f>IF(OR(E3008="",E3008="!!!",F3008="NEW"),"",INDEX(B3007:B$2,-1+SUMPRODUCT(MAX(ROW(E3007:E$2)*(E3008=E3007:E$2)))))</f>
        <v> </v>
      </c>
      <c r="J3008" s="25" t="str">
        <f>IF(OR(E3008="",E3008="!!!",F3008="NEW"),"",COUNTBLANK(OFFSET(A$1,,,SUMPRODUCT(MAX(ROW(E$2:E3008)*(E3008=E$2:E3008)))))-COUNTBLANK(OFFSET(A$1,,,SUMPRODUCT(MAX(ROW(E$1:E3007)*(E2=E$1:E3007))))))</f>
        <v> </v>
      </c>
      <c r="K3008" s="25" t="str">
        <f>IF(OR(E3008="",E3008="!!!",F3008="NEW"),"",INDEX(J$1:J3007,SUMPRODUCT(MAX(ROW(E$1:E3007)*(E3008=E$1:E3007)))))</f>
        <v> </v>
      </c>
      <c r="L3008" s="26"/>
    </row>
    <row r="3009" spans="1:12">
      <c r="A3009" s="20"/>
    </row>
    <row r="3010" spans="1:12">
      <c r="A3010" s="20" t="s">
        <v>2028</v>
      </c>
    </row>
    <row r="3011" spans="1:12">
      <c r="A3011" s="20" t="s">
        <v>2029</v>
      </c>
      <c r="E3011" s="21">
        <f>IF(D3011="?OLD","!!!","")</f>
        <v/>
      </c>
      <c r="F3011" s="22" t="str">
        <f>IF(OR(E3011="",E3011="!!!"),"",IF(NOT(ISNA(VLOOKUP(E3011,E$1:E3010,1,FALSE()))),"OLD",IF(AND(E3011&lt;&gt;"",E3011&lt;&gt;"!!!"),"NEW","")))</f>
        <v> </v>
      </c>
      <c r="G3011" s="23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4" t="str">
        <f>IF(J3011&lt;&gt;1,"",IF(I3011="SBJ","CB","?"))</f>
        <v> </v>
      </c>
      <c r="I3011" s="25" t="str">
        <f>IF(OR(E3011="",E3011="!!!",F3011="NEW"),"",INDEX(B3010:B$2,-1+SUMPRODUCT(MAX(ROW(E3010:E$2)*(E3011=E3010:E$2)))))</f>
        <v> </v>
      </c>
      <c r="J3011" s="25" t="str">
        <f>IF(OR(E3011="",E3011="!!!",F3011="NEW"),"",COUNTBLANK(OFFSET(A$1,,,SUMPRODUCT(MAX(ROW(E$2:E3011)*(E3011=E$2:E3011)))))-COUNTBLANK(OFFSET(A$1,,,SUMPRODUCT(MAX(ROW(E$1:E3010)*(E2=E$1:E3010))))))</f>
        <v> </v>
      </c>
      <c r="K3011" s="25" t="str">
        <f>IF(OR(E3011="",E3011="!!!",F3011="NEW"),"",INDEX(J$1:J3010,SUMPRODUCT(MAX(ROW(E$1:E3010)*(E3011=E$1:E3010)))))</f>
        <v> </v>
      </c>
      <c r="L3011" s="26"/>
    </row>
    <row r="3012" spans="1:12">
      <c r="A3012" s="20" t="s">
        <v>1468</v>
      </c>
      <c r="E3012" s="21">
        <f>IF(D3012="?OLD","!!!","")</f>
        <v/>
      </c>
      <c r="F3012" s="22" t="str">
        <f>IF(OR(E3012="",E3012="!!!"),"",IF(NOT(ISNA(VLOOKUP(E3012,E$1:E3011,1,FALSE()))),"OLD",IF(AND(E3012&lt;&gt;"",E3012&lt;&gt;"!!!"),"NEW","")))</f>
        <v> </v>
      </c>
      <c r="G3012" s="23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4" t="str">
        <f>IF(J3012&lt;&gt;1,"",IF(I3012="SBJ","CB","?"))</f>
        <v> </v>
      </c>
      <c r="I3012" s="25" t="str">
        <f>IF(OR(E3012="",E3012="!!!",F3012="NEW"),"",INDEX(B3011:B$2,-1+SUMPRODUCT(MAX(ROW(E3011:E$2)*(E3012=E3011:E$2)))))</f>
        <v> </v>
      </c>
      <c r="J3012" s="25" t="str">
        <f>IF(OR(E3012="",E3012="!!!",F3012="NEW"),"",COUNTBLANK(OFFSET(A$1,,,SUMPRODUCT(MAX(ROW(E$2:E3012)*(E3012=E$2:E3012)))))-COUNTBLANK(OFFSET(A$1,,,SUMPRODUCT(MAX(ROW(E$1:E3011)*(E2=E$1:E3011))))))</f>
        <v> </v>
      </c>
      <c r="K3012" s="25" t="str">
        <f>IF(OR(E3012="",E3012="!!!",F3012="NEW"),"",INDEX(J$1:J3011,SUMPRODUCT(MAX(ROW(E$1:E3011)*(E3012=E$1:E3011)))))</f>
        <v> </v>
      </c>
      <c r="L3012" s="26"/>
    </row>
    <row r="3013" spans="1:12">
      <c r="A3013" s="20" t="s">
        <v>290</v>
      </c>
      <c r="B3013" s="27" t="s">
        <v>762</v>
      </c>
      <c r="C3013" s="27" t="s">
        <v>756</v>
      </c>
      <c r="D3013" s="27" t="s">
        <v>736</v>
      </c>
      <c r="E3013" s="21">
        <f>IF(D3013="?OLD","!!!","")</f>
        <v/>
      </c>
      <c r="F3013" s="22" t="str">
        <f>IF(OR(E3013="",E3013="!!!"),"",IF(NOT(ISNA(VLOOKUP(E3013,E$1:E3012,1,FALSE()))),"OLD",IF(AND(E3013&lt;&gt;"",E3013&lt;&gt;"!!!"),"NEW","")))</f>
        <v> </v>
      </c>
      <c r="G3013" s="23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4" t="str">
        <f>IF(J3013&lt;&gt;1,"",IF(I3013="SBJ","CB","?"))</f>
        <v> </v>
      </c>
      <c r="I3013" s="25" t="str">
        <f>IF(OR(E3013="",E3013="!!!",F3013="NEW"),"",INDEX(B3012:B$2,-1+SUMPRODUCT(MAX(ROW(E3012:E$2)*(E3013=E3012:E$2)))))</f>
        <v> </v>
      </c>
      <c r="J3013" s="25" t="str">
        <f>IF(OR(E3013="",E3013="!!!",F3013="NEW"),"",COUNTBLANK(OFFSET(A$1,,,SUMPRODUCT(MAX(ROW(E$2:E3013)*(E3013=E$2:E3013)))))-COUNTBLANK(OFFSET(A$1,,,SUMPRODUCT(MAX(ROW(E$1:E3012)*(E2=E$1:E3012))))))</f>
        <v> </v>
      </c>
      <c r="K3013" s="25" t="str">
        <f>IF(OR(E3013="",E3013="!!!",F3013="NEW"),"",INDEX(J$1:J3012,SUMPRODUCT(MAX(ROW(E$1:E3012)*(E3013=E$1:E3012)))))</f>
        <v> </v>
      </c>
      <c r="L3013" s="26"/>
    </row>
    <row r="3014" spans="1:12">
      <c r="A3014" s="20" t="s">
        <v>2030</v>
      </c>
      <c r="E3014" s="21">
        <f>IF(D3014="?OLD","!!!","")</f>
        <v/>
      </c>
      <c r="F3014" s="22" t="str">
        <f>IF(OR(E3014="",E3014="!!!"),"",IF(NOT(ISNA(VLOOKUP(E3014,E$1:E3013,1,FALSE()))),"OLD",IF(AND(E3014&lt;&gt;"",E3014&lt;&gt;"!!!"),"NEW","")))</f>
        <v> </v>
      </c>
      <c r="G3014" s="23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4" t="str">
        <f>IF(J3014&lt;&gt;1,"",IF(I3014="SBJ","CB","?"))</f>
        <v> </v>
      </c>
      <c r="I3014" s="25" t="str">
        <f>IF(OR(E3014="",E3014="!!!",F3014="NEW"),"",INDEX(B3013:B$2,-1+SUMPRODUCT(MAX(ROW(E3013:E$2)*(E3014=E3013:E$2)))))</f>
        <v> </v>
      </c>
      <c r="J3014" s="25" t="str">
        <f>IF(OR(E3014="",E3014="!!!",F3014="NEW"),"",COUNTBLANK(OFFSET(A$1,,,SUMPRODUCT(MAX(ROW(E$2:E3014)*(E3014=E$2:E3014)))))-COUNTBLANK(OFFSET(A$1,,,SUMPRODUCT(MAX(ROW(E$1:E3013)*(E2=E$1:E3013))))))</f>
        <v> </v>
      </c>
      <c r="K3014" s="25" t="str">
        <f>IF(OR(E3014="",E3014="!!!",F3014="NEW"),"",INDEX(J$1:J3013,SUMPRODUCT(MAX(ROW(E$1:E3013)*(E3014=E$1:E3013)))))</f>
        <v> </v>
      </c>
      <c r="L3014" s="26"/>
    </row>
    <row r="3015" spans="1:12">
      <c r="A3015" s="20" t="s">
        <v>749</v>
      </c>
      <c r="E3015" s="21">
        <f>IF(D3015="?OLD","!!!","")</f>
        <v/>
      </c>
      <c r="F3015" s="22" t="str">
        <f>IF(OR(E3015="",E3015="!!!"),"",IF(NOT(ISNA(VLOOKUP(E3015,E$1:E3014,1,FALSE()))),"OLD",IF(AND(E3015&lt;&gt;"",E3015&lt;&gt;"!!!"),"NEW","")))</f>
        <v> </v>
      </c>
      <c r="G3015" s="23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4" t="str">
        <f>IF(J3015&lt;&gt;1,"",IF(I3015="SBJ","CB","?"))</f>
        <v> </v>
      </c>
      <c r="I3015" s="25" t="str">
        <f>IF(OR(E3015="",E3015="!!!",F3015="NEW"),"",INDEX(B3014:B$2,-1+SUMPRODUCT(MAX(ROW(E3014:E$2)*(E3015=E3014:E$2)))))</f>
        <v> </v>
      </c>
      <c r="J3015" s="25" t="str">
        <f>IF(OR(E3015="",E3015="!!!",F3015="NEW"),"",COUNTBLANK(OFFSET(A$1,,,SUMPRODUCT(MAX(ROW(E$2:E3015)*(E3015=E$2:E3015)))))-COUNTBLANK(OFFSET(A$1,,,SUMPRODUCT(MAX(ROW(E$1:E3014)*(E2=E$1:E3014))))))</f>
        <v> </v>
      </c>
      <c r="K3015" s="25" t="str">
        <f>IF(OR(E3015="",E3015="!!!",F3015="NEW"),"",INDEX(J$1:J3014,SUMPRODUCT(MAX(ROW(E$1:E3014)*(E3015=E$1:E3014)))))</f>
        <v> </v>
      </c>
      <c r="L3015" s="26"/>
    </row>
    <row r="3016" spans="1:12">
      <c r="A3016" s="20" t="s">
        <v>2027</v>
      </c>
      <c r="E3016" s="21">
        <f>IF(D3016="?OLD","!!!","")</f>
        <v/>
      </c>
      <c r="F3016" s="22" t="str">
        <f>IF(OR(E3016="",E3016="!!!"),"",IF(NOT(ISNA(VLOOKUP(E3016,E$1:E3015,1,FALSE()))),"OLD",IF(AND(E3016&lt;&gt;"",E3016&lt;&gt;"!!!"),"NEW","")))</f>
        <v> </v>
      </c>
      <c r="G3016" s="23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4" t="str">
        <f>IF(J3016&lt;&gt;1,"",IF(I3016="SBJ","CB","?"))</f>
        <v> </v>
      </c>
      <c r="I3016" s="25" t="str">
        <f>IF(OR(E3016="",E3016="!!!",F3016="NEW"),"",INDEX(B3015:B$2,-1+SUMPRODUCT(MAX(ROW(E3015:E$2)*(E3016=E3015:E$2)))))</f>
        <v> </v>
      </c>
      <c r="J3016" s="25" t="str">
        <f>IF(OR(E3016="",E3016="!!!",F3016="NEW"),"",COUNTBLANK(OFFSET(A$1,,,SUMPRODUCT(MAX(ROW(E$2:E3016)*(E3016=E$2:E3016)))))-COUNTBLANK(OFFSET(A$1,,,SUMPRODUCT(MAX(ROW(E$1:E3015)*(E2=E$1:E3015))))))</f>
        <v> </v>
      </c>
      <c r="K3016" s="25" t="str">
        <f>IF(OR(E3016="",E3016="!!!",F3016="NEW"),"",INDEX(J$1:J3015,SUMPRODUCT(MAX(ROW(E$1:E3015)*(E3016=E$1:E3015)))))</f>
        <v> </v>
      </c>
      <c r="L3016" s="26"/>
    </row>
    <row r="3017" spans="1:12">
      <c r="A3017" s="20" t="s">
        <v>744</v>
      </c>
      <c r="E3017" s="21">
        <f>IF(D3017="?OLD","!!!","")</f>
        <v/>
      </c>
      <c r="F3017" s="22" t="str">
        <f>IF(OR(E3017="",E3017="!!!"),"",IF(NOT(ISNA(VLOOKUP(E3017,E$1:E3016,1,FALSE()))),"OLD",IF(AND(E3017&lt;&gt;"",E3017&lt;&gt;"!!!"),"NEW","")))</f>
        <v> </v>
      </c>
      <c r="G3017" s="23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4" t="str">
        <f>IF(J3017&lt;&gt;1,"",IF(I3017="SBJ","CB","?"))</f>
        <v> </v>
      </c>
      <c r="I3017" s="25" t="str">
        <f>IF(OR(E3017="",E3017="!!!",F3017="NEW"),"",INDEX(B3016:B$2,-1+SUMPRODUCT(MAX(ROW(E3016:E$2)*(E3017=E3016:E$2)))))</f>
        <v> </v>
      </c>
      <c r="J3017" s="25" t="str">
        <f>IF(OR(E3017="",E3017="!!!",F3017="NEW"),"",COUNTBLANK(OFFSET(A$1,,,SUMPRODUCT(MAX(ROW(E$2:E3017)*(E3017=E$2:E3017)))))-COUNTBLANK(OFFSET(A$1,,,SUMPRODUCT(MAX(ROW(E$1:E3016)*(E2=E$1:E3016))))))</f>
        <v> </v>
      </c>
      <c r="K3017" s="25" t="str">
        <f>IF(OR(E3017="",E3017="!!!",F3017="NEW"),"",INDEX(J$1:J3016,SUMPRODUCT(MAX(ROW(E$1:E3016)*(E3017=E$1:E3016)))))</f>
        <v> </v>
      </c>
      <c r="L3017" s="26"/>
    </row>
    <row r="3018" spans="1:12">
      <c r="A3018" s="20" t="s">
        <v>844</v>
      </c>
      <c r="E3018" s="21">
        <f>IF(D3018="?OLD","!!!","")</f>
        <v/>
      </c>
      <c r="F3018" s="22" t="str">
        <f>IF(OR(E3018="",E3018="!!!"),"",IF(NOT(ISNA(VLOOKUP(E3018,E$1:E3017,1,FALSE()))),"OLD",IF(AND(E3018&lt;&gt;"",E3018&lt;&gt;"!!!"),"NEW","")))</f>
        <v> </v>
      </c>
      <c r="G3018" s="23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4" t="str">
        <f>IF(J3018&lt;&gt;1,"",IF(I3018="SBJ","CB","?"))</f>
        <v> </v>
      </c>
      <c r="I3018" s="25" t="str">
        <f>IF(OR(E3018="",E3018="!!!",F3018="NEW"),"",INDEX(B3017:B$2,-1+SUMPRODUCT(MAX(ROW(E3017:E$2)*(E3018=E3017:E$2)))))</f>
        <v> </v>
      </c>
      <c r="J3018" s="25" t="str">
        <f>IF(OR(E3018="",E3018="!!!",F3018="NEW"),"",COUNTBLANK(OFFSET(A$1,,,SUMPRODUCT(MAX(ROW(E$2:E3018)*(E3018=E$2:E3018)))))-COUNTBLANK(OFFSET(A$1,,,SUMPRODUCT(MAX(ROW(E$1:E3017)*(E2=E$1:E3017))))))</f>
        <v> </v>
      </c>
      <c r="K3018" s="25" t="str">
        <f>IF(OR(E3018="",E3018="!!!",F3018="NEW"),"",INDEX(J$1:J3017,SUMPRODUCT(MAX(ROW(E$1:E3017)*(E3018=E$1:E3017)))))</f>
        <v> </v>
      </c>
      <c r="L3018" s="26"/>
    </row>
    <row r="3019" spans="1:12">
      <c r="A3019" s="20" t="s">
        <v>2031</v>
      </c>
      <c r="E3019" s="21">
        <f>IF(D3019="?OLD","!!!","")</f>
        <v/>
      </c>
      <c r="F3019" s="22" t="str">
        <f>IF(OR(E3019="",E3019="!!!"),"",IF(NOT(ISNA(VLOOKUP(E3019,E$1:E3018,1,FALSE()))),"OLD",IF(AND(E3019&lt;&gt;"",E3019&lt;&gt;"!!!"),"NEW","")))</f>
        <v> </v>
      </c>
      <c r="G3019" s="23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4" t="str">
        <f>IF(J3019&lt;&gt;1,"",IF(I3019="SBJ","CB","?"))</f>
        <v> </v>
      </c>
      <c r="I3019" s="25" t="str">
        <f>IF(OR(E3019="",E3019="!!!",F3019="NEW"),"",INDEX(B3018:B$2,-1+SUMPRODUCT(MAX(ROW(E3018:E$2)*(E3019=E3018:E$2)))))</f>
        <v> </v>
      </c>
      <c r="J3019" s="25" t="str">
        <f>IF(OR(E3019="",E3019="!!!",F3019="NEW"),"",COUNTBLANK(OFFSET(A$1,,,SUMPRODUCT(MAX(ROW(E$2:E3019)*(E3019=E$2:E3019)))))-COUNTBLANK(OFFSET(A$1,,,SUMPRODUCT(MAX(ROW(E$1:E3018)*(E2=E$1:E3018))))))</f>
        <v> </v>
      </c>
      <c r="K3019" s="25" t="str">
        <f>IF(OR(E3019="",E3019="!!!",F3019="NEW"),"",INDEX(J$1:J3018,SUMPRODUCT(MAX(ROW(E$1:E3018)*(E3019=E$1:E3018)))))</f>
        <v> </v>
      </c>
      <c r="L3019" s="26"/>
    </row>
    <row r="3020" spans="1:12">
      <c r="A3020" s="20" t="s">
        <v>2032</v>
      </c>
      <c r="E3020" s="21">
        <f>IF(D3020="?OLD","!!!","")</f>
        <v/>
      </c>
      <c r="F3020" s="22" t="str">
        <f>IF(OR(E3020="",E3020="!!!"),"",IF(NOT(ISNA(VLOOKUP(E3020,E$1:E3019,1,FALSE()))),"OLD",IF(AND(E3020&lt;&gt;"",E3020&lt;&gt;"!!!"),"NEW","")))</f>
        <v> </v>
      </c>
      <c r="G3020" s="23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4" t="str">
        <f>IF(J3020&lt;&gt;1,"",IF(I3020="SBJ","CB","?"))</f>
        <v> </v>
      </c>
      <c r="I3020" s="25" t="str">
        <f>IF(OR(E3020="",E3020="!!!",F3020="NEW"),"",INDEX(B3019:B$2,-1+SUMPRODUCT(MAX(ROW(E3019:E$2)*(E3020=E3019:E$2)))))</f>
        <v> </v>
      </c>
      <c r="J3020" s="25" t="str">
        <f>IF(OR(E3020="",E3020="!!!",F3020="NEW"),"",COUNTBLANK(OFFSET(A$1,,,SUMPRODUCT(MAX(ROW(E$2:E3020)*(E3020=E$2:E3020)))))-COUNTBLANK(OFFSET(A$1,,,SUMPRODUCT(MAX(ROW(E$1:E3019)*(E2=E$1:E3019))))))</f>
        <v> </v>
      </c>
      <c r="K3020" s="25" t="str">
        <f>IF(OR(E3020="",E3020="!!!",F3020="NEW"),"",INDEX(J$1:J3019,SUMPRODUCT(MAX(ROW(E$1:E3019)*(E3020=E$1:E3019)))))</f>
        <v> </v>
      </c>
      <c r="L3020" s="26"/>
    </row>
    <row r="3021" spans="1:12">
      <c r="A3021" s="20" t="s">
        <v>901</v>
      </c>
      <c r="E3021" s="21">
        <f>IF(D3021="?OLD","!!!","")</f>
        <v/>
      </c>
      <c r="F3021" s="22" t="str">
        <f>IF(OR(E3021="",E3021="!!!"),"",IF(NOT(ISNA(VLOOKUP(E3021,E$1:E3020,1,FALSE()))),"OLD",IF(AND(E3021&lt;&gt;"",E3021&lt;&gt;"!!!"),"NEW","")))</f>
        <v> </v>
      </c>
      <c r="G3021" s="23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4" t="str">
        <f>IF(J3021&lt;&gt;1,"",IF(I3021="SBJ","CB","?"))</f>
        <v> </v>
      </c>
      <c r="I3021" s="25" t="str">
        <f>IF(OR(E3021="",E3021="!!!",F3021="NEW"),"",INDEX(B3020:B$2,-1+SUMPRODUCT(MAX(ROW(E3020:E$2)*(E3021=E3020:E$2)))))</f>
        <v> </v>
      </c>
      <c r="J3021" s="25" t="str">
        <f>IF(OR(E3021="",E3021="!!!",F3021="NEW"),"",COUNTBLANK(OFFSET(A$1,,,SUMPRODUCT(MAX(ROW(E$2:E3021)*(E3021=E$2:E3021)))))-COUNTBLANK(OFFSET(A$1,,,SUMPRODUCT(MAX(ROW(E$1:E3020)*(E2=E$1:E3020))))))</f>
        <v> </v>
      </c>
      <c r="K3021" s="25" t="str">
        <f>IF(OR(E3021="",E3021="!!!",F3021="NEW"),"",INDEX(J$1:J3020,SUMPRODUCT(MAX(ROW(E$1:E3020)*(E3021=E$1:E3020)))))</f>
        <v> </v>
      </c>
      <c r="L3021" s="26"/>
    </row>
    <row r="3022" spans="1:12">
      <c r="A3022" s="20" t="s">
        <v>2033</v>
      </c>
      <c r="E3022" s="21">
        <f>IF(D3022="?OLD","!!!","")</f>
        <v/>
      </c>
      <c r="F3022" s="22" t="str">
        <f>IF(OR(E3022="",E3022="!!!"),"",IF(NOT(ISNA(VLOOKUP(E3022,E$1:E3021,1,FALSE()))),"OLD",IF(AND(E3022&lt;&gt;"",E3022&lt;&gt;"!!!"),"NEW","")))</f>
        <v> </v>
      </c>
      <c r="G3022" s="23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4" t="str">
        <f>IF(J3022&lt;&gt;1,"",IF(I3022="SBJ","CB","?"))</f>
        <v> </v>
      </c>
      <c r="I3022" s="25" t="str">
        <f>IF(OR(E3022="",E3022="!!!",F3022="NEW"),"",INDEX(B3021:B$2,-1+SUMPRODUCT(MAX(ROW(E3021:E$2)*(E3022=E3021:E$2)))))</f>
        <v> </v>
      </c>
      <c r="J3022" s="25" t="str">
        <f>IF(OR(E3022="",E3022="!!!",F3022="NEW"),"",COUNTBLANK(OFFSET(A$1,,,SUMPRODUCT(MAX(ROW(E$2:E3022)*(E3022=E$2:E3022)))))-COUNTBLANK(OFFSET(A$1,,,SUMPRODUCT(MAX(ROW(E$1:E3021)*(E2=E$1:E3021))))))</f>
        <v> </v>
      </c>
      <c r="K3022" s="25" t="str">
        <f>IF(OR(E3022="",E3022="!!!",F3022="NEW"),"",INDEX(J$1:J3021,SUMPRODUCT(MAX(ROW(E$1:E3021)*(E3022=E$1:E3021)))))</f>
        <v> </v>
      </c>
      <c r="L3022" s="26"/>
    </row>
    <row r="3023" spans="1:12">
      <c r="A3023" s="20" t="s">
        <v>744</v>
      </c>
      <c r="E3023" s="21">
        <f>IF(D3023="?OLD","!!!","")</f>
        <v/>
      </c>
      <c r="F3023" s="22" t="str">
        <f>IF(OR(E3023="",E3023="!!!"),"",IF(NOT(ISNA(VLOOKUP(E3023,E$1:E3022,1,FALSE()))),"OLD",IF(AND(E3023&lt;&gt;"",E3023&lt;&gt;"!!!"),"NEW","")))</f>
        <v> </v>
      </c>
      <c r="G3023" s="23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4" t="str">
        <f>IF(J3023&lt;&gt;1,"",IF(I3023="SBJ","CB","?"))</f>
        <v> </v>
      </c>
      <c r="I3023" s="25" t="str">
        <f>IF(OR(E3023="",E3023="!!!",F3023="NEW"),"",INDEX(B3022:B$2,-1+SUMPRODUCT(MAX(ROW(E3022:E$2)*(E3023=E3022:E$2)))))</f>
        <v> </v>
      </c>
      <c r="J3023" s="25" t="str">
        <f>IF(OR(E3023="",E3023="!!!",F3023="NEW"),"",COUNTBLANK(OFFSET(A$1,,,SUMPRODUCT(MAX(ROW(E$2:E3023)*(E3023=E$2:E3023)))))-COUNTBLANK(OFFSET(A$1,,,SUMPRODUCT(MAX(ROW(E$1:E3022)*(E2=E$1:E3022))))))</f>
        <v> </v>
      </c>
      <c r="K3023" s="25" t="str">
        <f>IF(OR(E3023="",E3023="!!!",F3023="NEW"),"",INDEX(J$1:J3022,SUMPRODUCT(MAX(ROW(E$1:E3022)*(E3023=E$1:E3022)))))</f>
        <v> </v>
      </c>
      <c r="L3023" s="26"/>
    </row>
    <row r="3024" spans="1:12">
      <c r="A3024" s="20" t="s">
        <v>763</v>
      </c>
      <c r="E3024" s="21">
        <f>IF(D3024="?OLD","!!!","")</f>
        <v/>
      </c>
      <c r="F3024" s="22" t="str">
        <f>IF(OR(E3024="",E3024="!!!"),"",IF(NOT(ISNA(VLOOKUP(E3024,E$1:E3023,1,FALSE()))),"OLD",IF(AND(E3024&lt;&gt;"",E3024&lt;&gt;"!!!"),"NEW","")))</f>
        <v> </v>
      </c>
      <c r="G3024" s="23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4" t="str">
        <f>IF(J3024&lt;&gt;1,"",IF(I3024="SBJ","CB","?"))</f>
        <v> </v>
      </c>
      <c r="I3024" s="25" t="str">
        <f>IF(OR(E3024="",E3024="!!!",F3024="NEW"),"",INDEX(B3023:B$2,-1+SUMPRODUCT(MAX(ROW(E3023:E$2)*(E3024=E3023:E$2)))))</f>
        <v> </v>
      </c>
      <c r="J3024" s="25" t="str">
        <f>IF(OR(E3024="",E3024="!!!",F3024="NEW"),"",COUNTBLANK(OFFSET(A$1,,,SUMPRODUCT(MAX(ROW(E$2:E3024)*(E3024=E$2:E3024)))))-COUNTBLANK(OFFSET(A$1,,,SUMPRODUCT(MAX(ROW(E$1:E3023)*(E2=E$1:E3023))))))</f>
        <v> </v>
      </c>
      <c r="K3024" s="25" t="str">
        <f>IF(OR(E3024="",E3024="!!!",F3024="NEW"),"",INDEX(J$1:J3023,SUMPRODUCT(MAX(ROW(E$1:E3023)*(E3024=E$1:E3023)))))</f>
        <v> </v>
      </c>
      <c r="L3024" s="26"/>
    </row>
    <row r="3025" spans="1:12">
      <c r="A3025" s="20" t="s">
        <v>699</v>
      </c>
      <c r="E3025" s="21">
        <f>IF(D3025="?OLD","!!!","")</f>
        <v/>
      </c>
      <c r="F3025" s="22" t="str">
        <f>IF(OR(E3025="",E3025="!!!"),"",IF(NOT(ISNA(VLOOKUP(E3025,E$1:E3024,1,FALSE()))),"OLD",IF(AND(E3025&lt;&gt;"",E3025&lt;&gt;"!!!"),"NEW","")))</f>
        <v> </v>
      </c>
      <c r="G3025" s="23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4" t="str">
        <f>IF(J3025&lt;&gt;1,"",IF(I3025="SBJ","CB","?"))</f>
        <v> </v>
      </c>
      <c r="I3025" s="25" t="str">
        <f>IF(OR(E3025="",E3025="!!!",F3025="NEW"),"",INDEX(B3024:B$2,-1+SUMPRODUCT(MAX(ROW(E3024:E$2)*(E3025=E3024:E$2)))))</f>
        <v> </v>
      </c>
      <c r="J3025" s="25" t="str">
        <f>IF(OR(E3025="",E3025="!!!",F3025="NEW"),"",COUNTBLANK(OFFSET(A$1,,,SUMPRODUCT(MAX(ROW(E$2:E3025)*(E3025=E$2:E3025)))))-COUNTBLANK(OFFSET(A$1,,,SUMPRODUCT(MAX(ROW(E$1:E3024)*(E2=E$1:E3024))))))</f>
        <v> </v>
      </c>
      <c r="K3025" s="25" t="str">
        <f>IF(OR(E3025="",E3025="!!!",F3025="NEW"),"",INDEX(J$1:J3024,SUMPRODUCT(MAX(ROW(E$1:E3024)*(E3025=E$1:E3024)))))</f>
        <v> </v>
      </c>
      <c r="L3025" s="26"/>
    </row>
    <row r="3026" spans="1:12">
      <c r="A3026" s="20" t="s">
        <v>759</v>
      </c>
      <c r="E3026" s="21">
        <f>IF(D3026="?OLD","!!!","")</f>
        <v/>
      </c>
      <c r="F3026" s="22" t="str">
        <f>IF(OR(E3026="",E3026="!!!"),"",IF(NOT(ISNA(VLOOKUP(E3026,E$1:E3025,1,FALSE()))),"OLD",IF(AND(E3026&lt;&gt;"",E3026&lt;&gt;"!!!"),"NEW","")))</f>
        <v> </v>
      </c>
      <c r="G3026" s="23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4" t="str">
        <f>IF(J3026&lt;&gt;1,"",IF(I3026="SBJ","CB","?"))</f>
        <v> </v>
      </c>
      <c r="I3026" s="25" t="str">
        <f>IF(OR(E3026="",E3026="!!!",F3026="NEW"),"",INDEX(B3025:B$2,-1+SUMPRODUCT(MAX(ROW(E3025:E$2)*(E3026=E3025:E$2)))))</f>
        <v> </v>
      </c>
      <c r="J3026" s="25" t="str">
        <f>IF(OR(E3026="",E3026="!!!",F3026="NEW"),"",COUNTBLANK(OFFSET(A$1,,,SUMPRODUCT(MAX(ROW(E$2:E3026)*(E3026=E$2:E3026)))))-COUNTBLANK(OFFSET(A$1,,,SUMPRODUCT(MAX(ROW(E$1:E3025)*(E2=E$1:E3025))))))</f>
        <v> </v>
      </c>
      <c r="K3026" s="25" t="str">
        <f>IF(OR(E3026="",E3026="!!!",F3026="NEW"),"",INDEX(J$1:J3025,SUMPRODUCT(MAX(ROW(E$1:E3025)*(E3026=E$1:E3025)))))</f>
        <v> </v>
      </c>
      <c r="L3026" s="26"/>
    </row>
    <row r="3027" spans="1:12">
      <c r="A3027" s="20" t="s">
        <v>2034</v>
      </c>
      <c r="B3027" s="27" t="s">
        <v>800</v>
      </c>
      <c r="E3027" s="21">
        <f>IF(D3027="?OLD","!!!","")</f>
        <v/>
      </c>
      <c r="F3027" s="22" t="str">
        <f>IF(OR(E3027="",E3027="!!!"),"",IF(NOT(ISNA(VLOOKUP(E3027,E$1:E3026,1,FALSE()))),"OLD",IF(AND(E3027&lt;&gt;"",E3027&lt;&gt;"!!!"),"NEW","")))</f>
        <v> </v>
      </c>
      <c r="G3027" s="23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4" t="str">
        <f>IF(J3027&lt;&gt;1,"",IF(I3027="SBJ","CB","?"))</f>
        <v> </v>
      </c>
      <c r="I3027" s="25" t="str">
        <f>IF(OR(E3027="",E3027="!!!",F3027="NEW"),"",INDEX(B3026:B$2,-1+SUMPRODUCT(MAX(ROW(E3026:E$2)*(E3027=E3026:E$2)))))</f>
        <v> </v>
      </c>
      <c r="J3027" s="25" t="str">
        <f>IF(OR(E3027="",E3027="!!!",F3027="NEW"),"",COUNTBLANK(OFFSET(A$1,,,SUMPRODUCT(MAX(ROW(E$2:E3027)*(E3027=E$2:E3027)))))-COUNTBLANK(OFFSET(A$1,,,SUMPRODUCT(MAX(ROW(E$1:E3026)*(E2=E$1:E3026))))))</f>
        <v> </v>
      </c>
      <c r="K3027" s="25" t="str">
        <f>IF(OR(E3027="",E3027="!!!",F3027="NEW"),"",INDEX(J$1:J3026,SUMPRODUCT(MAX(ROW(E$1:E3026)*(E3027=E$1:E3026)))))</f>
        <v> </v>
      </c>
      <c r="L3027" s="26"/>
    </row>
    <row r="3028" spans="1:12">
      <c r="A3028" s="20" t="s">
        <v>2035</v>
      </c>
      <c r="E3028" s="21">
        <f>IF(D3028="?OLD","!!!","")</f>
        <v/>
      </c>
      <c r="F3028" s="22" t="str">
        <f>IF(OR(E3028="",E3028="!!!"),"",IF(NOT(ISNA(VLOOKUP(E3028,E$1:E3027,1,FALSE()))),"OLD",IF(AND(E3028&lt;&gt;"",E3028&lt;&gt;"!!!"),"NEW","")))</f>
        <v> </v>
      </c>
      <c r="G3028" s="23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4" t="str">
        <f>IF(J3028&lt;&gt;1,"",IF(I3028="SBJ","CB","?"))</f>
        <v> </v>
      </c>
      <c r="I3028" s="25" t="str">
        <f>IF(OR(E3028="",E3028="!!!",F3028="NEW"),"",INDEX(B3027:B$2,-1+SUMPRODUCT(MAX(ROW(E3027:E$2)*(E3028=E3027:E$2)))))</f>
        <v> </v>
      </c>
      <c r="J3028" s="25" t="str">
        <f>IF(OR(E3028="",E3028="!!!",F3028="NEW"),"",COUNTBLANK(OFFSET(A$1,,,SUMPRODUCT(MAX(ROW(E$2:E3028)*(E3028=E$2:E3028)))))-COUNTBLANK(OFFSET(A$1,,,SUMPRODUCT(MAX(ROW(E$1:E3027)*(E2=E$1:E3027))))))</f>
        <v> </v>
      </c>
      <c r="K3028" s="25" t="str">
        <f>IF(OR(E3028="",E3028="!!!",F3028="NEW"),"",INDEX(J$1:J3027,SUMPRODUCT(MAX(ROW(E$1:E3027)*(E3028=E$1:E3027)))))</f>
        <v> </v>
      </c>
      <c r="L3028" s="26"/>
    </row>
    <row r="3029" spans="1:12">
      <c r="A3029" s="20" t="s">
        <v>744</v>
      </c>
      <c r="E3029" s="21">
        <f>IF(D3029="?OLD","!!!","")</f>
        <v/>
      </c>
      <c r="F3029" s="22" t="str">
        <f>IF(OR(E3029="",E3029="!!!"),"",IF(NOT(ISNA(VLOOKUP(E3029,E$1:E3028,1,FALSE()))),"OLD",IF(AND(E3029&lt;&gt;"",E3029&lt;&gt;"!!!"),"NEW","")))</f>
        <v> </v>
      </c>
      <c r="G3029" s="23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4" t="str">
        <f>IF(J3029&lt;&gt;1,"",IF(I3029="SBJ","CB","?"))</f>
        <v> </v>
      </c>
      <c r="I3029" s="25" t="str">
        <f>IF(OR(E3029="",E3029="!!!",F3029="NEW"),"",INDEX(B3028:B$2,-1+SUMPRODUCT(MAX(ROW(E3028:E$2)*(E3029=E3028:E$2)))))</f>
        <v> </v>
      </c>
      <c r="J3029" s="25" t="str">
        <f>IF(OR(E3029="",E3029="!!!",F3029="NEW"),"",COUNTBLANK(OFFSET(A$1,,,SUMPRODUCT(MAX(ROW(E$2:E3029)*(E3029=E$2:E3029)))))-COUNTBLANK(OFFSET(A$1,,,SUMPRODUCT(MAX(ROW(E$1:E3028)*(E2=E$1:E3028))))))</f>
        <v> </v>
      </c>
      <c r="K3029" s="25" t="str">
        <f>IF(OR(E3029="",E3029="!!!",F3029="NEW"),"",INDEX(J$1:J3028,SUMPRODUCT(MAX(ROW(E$1:E3028)*(E3029=E$1:E3028)))))</f>
        <v> </v>
      </c>
      <c r="L3029" s="26"/>
    </row>
    <row r="3030" spans="1:12">
      <c r="A3030" s="20" t="s">
        <v>789</v>
      </c>
      <c r="E3030" s="21">
        <f>IF(D3030="?OLD","!!!","")</f>
        <v/>
      </c>
      <c r="F3030" s="22" t="str">
        <f>IF(OR(E3030="",E3030="!!!"),"",IF(NOT(ISNA(VLOOKUP(E3030,E$1:E3029,1,FALSE()))),"OLD",IF(AND(E3030&lt;&gt;"",E3030&lt;&gt;"!!!"),"NEW","")))</f>
        <v> </v>
      </c>
      <c r="G3030" s="23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4" t="str">
        <f>IF(J3030&lt;&gt;1,"",IF(I3030="SBJ","CB","?"))</f>
        <v> </v>
      </c>
      <c r="I3030" s="25" t="str">
        <f>IF(OR(E3030="",E3030="!!!",F3030="NEW"),"",INDEX(B3029:B$2,-1+SUMPRODUCT(MAX(ROW(E3029:E$2)*(E3030=E3029:E$2)))))</f>
        <v> </v>
      </c>
      <c r="J3030" s="25" t="str">
        <f>IF(OR(E3030="",E3030="!!!",F3030="NEW"),"",COUNTBLANK(OFFSET(A$1,,,SUMPRODUCT(MAX(ROW(E$2:E3030)*(E3030=E$2:E3030)))))-COUNTBLANK(OFFSET(A$1,,,SUMPRODUCT(MAX(ROW(E$1:E3029)*(E2=E$1:E3029))))))</f>
        <v> </v>
      </c>
      <c r="K3030" s="25" t="str">
        <f>IF(OR(E3030="",E3030="!!!",F3030="NEW"),"",INDEX(J$1:J3029,SUMPRODUCT(MAX(ROW(E$1:E3029)*(E3030=E$1:E3029)))))</f>
        <v> </v>
      </c>
      <c r="L3030" s="26"/>
    </row>
    <row r="3031" spans="1:12">
      <c r="A3031" s="20" t="s">
        <v>905</v>
      </c>
      <c r="E3031" s="21">
        <f>IF(D3031="?OLD","!!!","")</f>
        <v/>
      </c>
      <c r="F3031" s="22" t="str">
        <f>IF(OR(E3031="",E3031="!!!"),"",IF(NOT(ISNA(VLOOKUP(E3031,E$1:E3030,1,FALSE()))),"OLD",IF(AND(E3031&lt;&gt;"",E3031&lt;&gt;"!!!"),"NEW","")))</f>
        <v> </v>
      </c>
      <c r="G3031" s="23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4" t="str">
        <f>IF(J3031&lt;&gt;1,"",IF(I3031="SBJ","CB","?"))</f>
        <v> </v>
      </c>
      <c r="I3031" s="25" t="str">
        <f>IF(OR(E3031="",E3031="!!!",F3031="NEW"),"",INDEX(B3030:B$2,-1+SUMPRODUCT(MAX(ROW(E3030:E$2)*(E3031=E3030:E$2)))))</f>
        <v> </v>
      </c>
      <c r="J3031" s="25" t="str">
        <f>IF(OR(E3031="",E3031="!!!",F3031="NEW"),"",COUNTBLANK(OFFSET(A$1,,,SUMPRODUCT(MAX(ROW(E$2:E3031)*(E3031=E$2:E3031)))))-COUNTBLANK(OFFSET(A$1,,,SUMPRODUCT(MAX(ROW(E$1:E3030)*(E2=E$1:E3030))))))</f>
        <v> </v>
      </c>
      <c r="K3031" s="25" t="str">
        <f>IF(OR(E3031="",E3031="!!!",F3031="NEW"),"",INDEX(J$1:J3030,SUMPRODUCT(MAX(ROW(E$1:E3030)*(E3031=E$1:E3030)))))</f>
        <v> </v>
      </c>
      <c r="L3031" s="26"/>
    </row>
    <row r="3032" spans="1:12">
      <c r="A3032" s="20" t="s">
        <v>2033</v>
      </c>
      <c r="E3032" s="21">
        <f>IF(D3032="?OLD","!!!","")</f>
        <v/>
      </c>
      <c r="F3032" s="22" t="str">
        <f>IF(OR(E3032="",E3032="!!!"),"",IF(NOT(ISNA(VLOOKUP(E3032,E$1:E3031,1,FALSE()))),"OLD",IF(AND(E3032&lt;&gt;"",E3032&lt;&gt;"!!!"),"NEW","")))</f>
        <v> </v>
      </c>
      <c r="G3032" s="23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4" t="str">
        <f>IF(J3032&lt;&gt;1,"",IF(I3032="SBJ","CB","?"))</f>
        <v> </v>
      </c>
      <c r="I3032" s="25" t="str">
        <f>IF(OR(E3032="",E3032="!!!",F3032="NEW"),"",INDEX(B3031:B$2,-1+SUMPRODUCT(MAX(ROW(E3031:E$2)*(E3032=E3031:E$2)))))</f>
        <v> </v>
      </c>
      <c r="J3032" s="25" t="str">
        <f>IF(OR(E3032="",E3032="!!!",F3032="NEW"),"",COUNTBLANK(OFFSET(A$1,,,SUMPRODUCT(MAX(ROW(E$2:E3032)*(E3032=E$2:E3032)))))-COUNTBLANK(OFFSET(A$1,,,SUMPRODUCT(MAX(ROW(E$1:E3031)*(E2=E$1:E3031))))))</f>
        <v> </v>
      </c>
      <c r="K3032" s="25" t="str">
        <f>IF(OR(E3032="",E3032="!!!",F3032="NEW"),"",INDEX(J$1:J3031,SUMPRODUCT(MAX(ROW(E$1:E3031)*(E3032=E$1:E3031)))))</f>
        <v> </v>
      </c>
      <c r="L3032" s="26"/>
    </row>
    <row r="3033" spans="1:12">
      <c r="A3033" s="20" t="s">
        <v>930</v>
      </c>
      <c r="E3033" s="21">
        <f>IF(D3033="?OLD","!!!","")</f>
        <v/>
      </c>
      <c r="F3033" s="22" t="str">
        <f>IF(OR(E3033="",E3033="!!!"),"",IF(NOT(ISNA(VLOOKUP(E3033,E$1:E3032,1,FALSE()))),"OLD",IF(AND(E3033&lt;&gt;"",E3033&lt;&gt;"!!!"),"NEW","")))</f>
        <v> </v>
      </c>
      <c r="G3033" s="23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4" t="str">
        <f>IF(J3033&lt;&gt;1,"",IF(I3033="SBJ","CB","?"))</f>
        <v> </v>
      </c>
      <c r="I3033" s="25" t="str">
        <f>IF(OR(E3033="",E3033="!!!",F3033="NEW"),"",INDEX(B3032:B$2,-1+SUMPRODUCT(MAX(ROW(E3032:E$2)*(E3033=E3032:E$2)))))</f>
        <v> </v>
      </c>
      <c r="J3033" s="25" t="str">
        <f>IF(OR(E3033="",E3033="!!!",F3033="NEW"),"",COUNTBLANK(OFFSET(A$1,,,SUMPRODUCT(MAX(ROW(E$2:E3033)*(E3033=E$2:E3033)))))-COUNTBLANK(OFFSET(A$1,,,SUMPRODUCT(MAX(ROW(E$1:E3032)*(E2=E$1:E3032))))))</f>
        <v> </v>
      </c>
      <c r="K3033" s="25" t="str">
        <f>IF(OR(E3033="",E3033="!!!",F3033="NEW"),"",INDEX(J$1:J3032,SUMPRODUCT(MAX(ROW(E$1:E3032)*(E3033=E$1:E3032)))))</f>
        <v> </v>
      </c>
      <c r="L3033" s="26"/>
    </row>
    <row r="3034" spans="1:12">
      <c r="A3034" s="20" t="s">
        <v>1921</v>
      </c>
      <c r="E3034" s="21">
        <f>IF(D3034="?OLD","!!!","")</f>
        <v/>
      </c>
      <c r="F3034" s="22" t="str">
        <f>IF(OR(E3034="",E3034="!!!"),"",IF(NOT(ISNA(VLOOKUP(E3034,E$1:E3033,1,FALSE()))),"OLD",IF(AND(E3034&lt;&gt;"",E3034&lt;&gt;"!!!"),"NEW","")))</f>
        <v> </v>
      </c>
      <c r="G3034" s="23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4" t="str">
        <f>IF(J3034&lt;&gt;1,"",IF(I3034="SBJ","CB","?"))</f>
        <v> </v>
      </c>
      <c r="I3034" s="25" t="str">
        <f>IF(OR(E3034="",E3034="!!!",F3034="NEW"),"",INDEX(B3033:B$2,-1+SUMPRODUCT(MAX(ROW(E3033:E$2)*(E3034=E3033:E$2)))))</f>
        <v> </v>
      </c>
      <c r="J3034" s="25" t="str">
        <f>IF(OR(E3034="",E3034="!!!",F3034="NEW"),"",COUNTBLANK(OFFSET(A$1,,,SUMPRODUCT(MAX(ROW(E$2:E3034)*(E3034=E$2:E3034)))))-COUNTBLANK(OFFSET(A$1,,,SUMPRODUCT(MAX(ROW(E$1:E3033)*(E2=E$1:E3033))))))</f>
        <v> </v>
      </c>
      <c r="K3034" s="25" t="str">
        <f>IF(OR(E3034="",E3034="!!!",F3034="NEW"),"",INDEX(J$1:J3033,SUMPRODUCT(MAX(ROW(E$1:E3033)*(E3034=E$1:E3033)))))</f>
        <v> </v>
      </c>
      <c r="L3034" s="26"/>
    </row>
    <row r="3035" spans="1:12">
      <c r="A3035" s="20" t="s">
        <v>2036</v>
      </c>
      <c r="B3035" s="27" t="s">
        <v>849</v>
      </c>
      <c r="E3035" s="21">
        <f>IF(D3035="?OLD","!!!","")</f>
        <v/>
      </c>
      <c r="F3035" s="22" t="str">
        <f>IF(OR(E3035="",E3035="!!!"),"",IF(NOT(ISNA(VLOOKUP(E3035,E$1:E3034,1,FALSE()))),"OLD",IF(AND(E3035&lt;&gt;"",E3035&lt;&gt;"!!!"),"NEW","")))</f>
        <v> </v>
      </c>
      <c r="G3035" s="23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4" t="str">
        <f>IF(J3035&lt;&gt;1,"",IF(I3035="SBJ","CB","?"))</f>
        <v> </v>
      </c>
      <c r="I3035" s="25" t="str">
        <f>IF(OR(E3035="",E3035="!!!",F3035="NEW"),"",INDEX(B3034:B$2,-1+SUMPRODUCT(MAX(ROW(E3034:E$2)*(E3035=E3034:E$2)))))</f>
        <v> </v>
      </c>
      <c r="J3035" s="25" t="str">
        <f>IF(OR(E3035="",E3035="!!!",F3035="NEW"),"",COUNTBLANK(OFFSET(A$1,,,SUMPRODUCT(MAX(ROW(E$2:E3035)*(E3035=E$2:E3035)))))-COUNTBLANK(OFFSET(A$1,,,SUMPRODUCT(MAX(ROW(E$1:E3034)*(E2=E$1:E3034))))))</f>
        <v> </v>
      </c>
      <c r="K3035" s="25" t="str">
        <f>IF(OR(E3035="",E3035="!!!",F3035="NEW"),"",INDEX(J$1:J3034,SUMPRODUCT(MAX(ROW(E$1:E3034)*(E3035=E$1:E3034)))))</f>
        <v> </v>
      </c>
      <c r="L3035" s="26"/>
    </row>
    <row r="3036" spans="1:12">
      <c r="A3036" s="20" t="s">
        <v>744</v>
      </c>
      <c r="E3036" s="21">
        <f>IF(D3036="?OLD","!!!","")</f>
        <v/>
      </c>
      <c r="F3036" s="22" t="str">
        <f>IF(OR(E3036="",E3036="!!!"),"",IF(NOT(ISNA(VLOOKUP(E3036,E$1:E3035,1,FALSE()))),"OLD",IF(AND(E3036&lt;&gt;"",E3036&lt;&gt;"!!!"),"NEW","")))</f>
        <v> </v>
      </c>
      <c r="G3036" s="23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4" t="str">
        <f>IF(J3036&lt;&gt;1,"",IF(I3036="SBJ","CB","?"))</f>
        <v> </v>
      </c>
      <c r="I3036" s="25" t="str">
        <f>IF(OR(E3036="",E3036="!!!",F3036="NEW"),"",INDEX(B3035:B$2,-1+SUMPRODUCT(MAX(ROW(E3035:E$2)*(E3036=E3035:E$2)))))</f>
        <v> </v>
      </c>
      <c r="J3036" s="25" t="str">
        <f>IF(OR(E3036="",E3036="!!!",F3036="NEW"),"",COUNTBLANK(OFFSET(A$1,,,SUMPRODUCT(MAX(ROW(E$2:E3036)*(E3036=E$2:E3036)))))-COUNTBLANK(OFFSET(A$1,,,SUMPRODUCT(MAX(ROW(E$1:E3035)*(E2=E$1:E3035))))))</f>
        <v> </v>
      </c>
      <c r="K3036" s="25" t="str">
        <f>IF(OR(E3036="",E3036="!!!",F3036="NEW"),"",INDEX(J$1:J3035,SUMPRODUCT(MAX(ROW(E$1:E3035)*(E3036=E$1:E3035)))))</f>
        <v> </v>
      </c>
      <c r="L3036" s="26"/>
    </row>
    <row r="3037" spans="1:12">
      <c r="A3037" s="20" t="s">
        <v>290</v>
      </c>
      <c r="B3037" s="27" t="s">
        <v>762</v>
      </c>
      <c r="C3037" s="27" t="s">
        <v>756</v>
      </c>
      <c r="D3037" s="27" t="s">
        <v>736</v>
      </c>
      <c r="E3037" s="21">
        <f>IF(D3037="?OLD","!!!","")</f>
        <v/>
      </c>
      <c r="F3037" s="22" t="str">
        <f>IF(OR(E3037="",E3037="!!!"),"",IF(NOT(ISNA(VLOOKUP(E3037,E$1:E3036,1,FALSE()))),"OLD",IF(AND(E3037&lt;&gt;"",E3037&lt;&gt;"!!!"),"NEW","")))</f>
        <v> </v>
      </c>
      <c r="G3037" s="23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4" t="str">
        <f>IF(J3037&lt;&gt;1,"",IF(I3037="SBJ","CB","?"))</f>
        <v> </v>
      </c>
      <c r="I3037" s="25" t="str">
        <f>IF(OR(E3037="",E3037="!!!",F3037="NEW"),"",INDEX(B3036:B$2,-1+SUMPRODUCT(MAX(ROW(E3036:E$2)*(E3037=E3036:E$2)))))</f>
        <v> </v>
      </c>
      <c r="J3037" s="25" t="str">
        <f>IF(OR(E3037="",E3037="!!!",F3037="NEW"),"",COUNTBLANK(OFFSET(A$1,,,SUMPRODUCT(MAX(ROW(E$2:E3037)*(E3037=E$2:E3037)))))-COUNTBLANK(OFFSET(A$1,,,SUMPRODUCT(MAX(ROW(E$1:E3036)*(E2=E$1:E3036))))))</f>
        <v> </v>
      </c>
      <c r="K3037" s="25" t="str">
        <f>IF(OR(E3037="",E3037="!!!",F3037="NEW"),"",INDEX(J$1:J3036,SUMPRODUCT(MAX(ROW(E$1:E3036)*(E3037=E$1:E3036)))))</f>
        <v> </v>
      </c>
      <c r="L3037" s="26"/>
    </row>
    <row r="3038" spans="1:12">
      <c r="A3038" s="20" t="s">
        <v>2037</v>
      </c>
      <c r="E3038" s="21">
        <f>IF(D3038="?OLD","!!!","")</f>
        <v/>
      </c>
      <c r="F3038" s="22" t="str">
        <f>IF(OR(E3038="",E3038="!!!"),"",IF(NOT(ISNA(VLOOKUP(E3038,E$1:E3037,1,FALSE()))),"OLD",IF(AND(E3038&lt;&gt;"",E3038&lt;&gt;"!!!"),"NEW","")))</f>
        <v> </v>
      </c>
      <c r="G3038" s="23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4" t="str">
        <f>IF(J3038&lt;&gt;1,"",IF(I3038="SBJ","CB","?"))</f>
        <v> </v>
      </c>
      <c r="I3038" s="25" t="str">
        <f>IF(OR(E3038="",E3038="!!!",F3038="NEW"),"",INDEX(B3037:B$2,-1+SUMPRODUCT(MAX(ROW(E3037:E$2)*(E3038=E3037:E$2)))))</f>
        <v> </v>
      </c>
      <c r="J3038" s="25" t="str">
        <f>IF(OR(E3038="",E3038="!!!",F3038="NEW"),"",COUNTBLANK(OFFSET(A$1,,,SUMPRODUCT(MAX(ROW(E$2:E3038)*(E3038=E$2:E3038)))))-COUNTBLANK(OFFSET(A$1,,,SUMPRODUCT(MAX(ROW(E$1:E3037)*(E2=E$1:E3037))))))</f>
        <v> </v>
      </c>
      <c r="K3038" s="25" t="str">
        <f>IF(OR(E3038="",E3038="!!!",F3038="NEW"),"",INDEX(J$1:J3037,SUMPRODUCT(MAX(ROW(E$1:E3037)*(E3038=E$1:E3037)))))</f>
        <v> </v>
      </c>
      <c r="L3038" s="26"/>
    </row>
    <row r="3039" spans="1:12">
      <c r="A3039" s="20" t="s">
        <v>2017</v>
      </c>
      <c r="B3039" s="27" t="s">
        <v>819</v>
      </c>
      <c r="E3039" s="21">
        <f>IF(D3039="?OLD","!!!","")</f>
        <v/>
      </c>
      <c r="F3039" s="22" t="str">
        <f>IF(OR(E3039="",E3039="!!!"),"",IF(NOT(ISNA(VLOOKUP(E3039,E$1:E3038,1,FALSE()))),"OLD",IF(AND(E3039&lt;&gt;"",E3039&lt;&gt;"!!!"),"NEW","")))</f>
        <v> </v>
      </c>
      <c r="G3039" s="23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4" t="str">
        <f>IF(J3039&lt;&gt;1,"",IF(I3039="SBJ","CB","?"))</f>
        <v> </v>
      </c>
      <c r="I3039" s="25" t="str">
        <f>IF(OR(E3039="",E3039="!!!",F3039="NEW"),"",INDEX(B3038:B$2,-1+SUMPRODUCT(MAX(ROW(E3038:E$2)*(E3039=E3038:E$2)))))</f>
        <v> </v>
      </c>
      <c r="J3039" s="25" t="str">
        <f>IF(OR(E3039="",E3039="!!!",F3039="NEW"),"",COUNTBLANK(OFFSET(A$1,,,SUMPRODUCT(MAX(ROW(E$2:E3039)*(E3039=E$2:E3039)))))-COUNTBLANK(OFFSET(A$1,,,SUMPRODUCT(MAX(ROW(E$1:E3038)*(E2=E$1:E3038))))))</f>
        <v> </v>
      </c>
      <c r="K3039" s="25" t="str">
        <f>IF(OR(E3039="",E3039="!!!",F3039="NEW"),"",INDEX(J$1:J3038,SUMPRODUCT(MAX(ROW(E$1:E3038)*(E3039=E$1:E3038)))))</f>
        <v> </v>
      </c>
      <c r="L3039" s="26"/>
    </row>
    <row r="3040" spans="1:12">
      <c r="A3040" s="20" t="s">
        <v>749</v>
      </c>
      <c r="E3040" s="21">
        <f>IF(D3040="?OLD","!!!","")</f>
        <v/>
      </c>
      <c r="F3040" s="22" t="str">
        <f>IF(OR(E3040="",E3040="!!!"),"",IF(NOT(ISNA(VLOOKUP(E3040,E$1:E3039,1,FALSE()))),"OLD",IF(AND(E3040&lt;&gt;"",E3040&lt;&gt;"!!!"),"NEW","")))</f>
        <v> </v>
      </c>
      <c r="G3040" s="23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4" t="str">
        <f>IF(J3040&lt;&gt;1,"",IF(I3040="SBJ","CB","?"))</f>
        <v> </v>
      </c>
      <c r="I3040" s="25" t="str">
        <f>IF(OR(E3040="",E3040="!!!",F3040="NEW"),"",INDEX(B3039:B$2,-1+SUMPRODUCT(MAX(ROW(E3039:E$2)*(E3040=E3039:E$2)))))</f>
        <v> </v>
      </c>
      <c r="J3040" s="25" t="str">
        <f>IF(OR(E3040="",E3040="!!!",F3040="NEW"),"",COUNTBLANK(OFFSET(A$1,,,SUMPRODUCT(MAX(ROW(E$2:E3040)*(E3040=E$2:E3040)))))-COUNTBLANK(OFFSET(A$1,,,SUMPRODUCT(MAX(ROW(E$1:E3039)*(E2=E$1:E3039))))))</f>
        <v> </v>
      </c>
      <c r="K3040" s="25" t="str">
        <f>IF(OR(E3040="",E3040="!!!",F3040="NEW"),"",INDEX(J$1:J3039,SUMPRODUCT(MAX(ROW(E$1:E3039)*(E3040=E$1:E3039)))))</f>
        <v> </v>
      </c>
      <c r="L3040" s="26"/>
    </row>
    <row r="3041" spans="1:12">
      <c r="A3041" s="20" t="s">
        <v>2038</v>
      </c>
      <c r="E3041" s="21">
        <f>IF(D3041="?OLD","!!!","")</f>
        <v/>
      </c>
      <c r="F3041" s="22" t="str">
        <f>IF(OR(E3041="",E3041="!!!"),"",IF(NOT(ISNA(VLOOKUP(E3041,E$1:E3040,1,FALSE()))),"OLD",IF(AND(E3041&lt;&gt;"",E3041&lt;&gt;"!!!"),"NEW","")))</f>
        <v> </v>
      </c>
      <c r="G3041" s="23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4" t="str">
        <f>IF(J3041&lt;&gt;1,"",IF(I3041="SBJ","CB","?"))</f>
        <v> </v>
      </c>
      <c r="I3041" s="25" t="str">
        <f>IF(OR(E3041="",E3041="!!!",F3041="NEW"),"",INDEX(B3040:B$2,-1+SUMPRODUCT(MAX(ROW(E3040:E$2)*(E3041=E3040:E$2)))))</f>
        <v> </v>
      </c>
      <c r="J3041" s="25" t="str">
        <f>IF(OR(E3041="",E3041="!!!",F3041="NEW"),"",COUNTBLANK(OFFSET(A$1,,,SUMPRODUCT(MAX(ROW(E$2:E3041)*(E3041=E$2:E3041)))))-COUNTBLANK(OFFSET(A$1,,,SUMPRODUCT(MAX(ROW(E$1:E3040)*(E2=E$1:E3040))))))</f>
        <v> </v>
      </c>
      <c r="K3041" s="25" t="str">
        <f>IF(OR(E3041="",E3041="!!!",F3041="NEW"),"",INDEX(J$1:J3040,SUMPRODUCT(MAX(ROW(E$1:E3040)*(E3041=E$1:E3040)))))</f>
        <v> </v>
      </c>
      <c r="L3041" s="26"/>
    </row>
    <row r="3042" spans="1:12">
      <c r="A3042" s="20" t="s">
        <v>765</v>
      </c>
      <c r="E3042" s="21">
        <f>IF(D3042="?OLD","!!!","")</f>
        <v/>
      </c>
      <c r="F3042" s="22" t="str">
        <f>IF(OR(E3042="",E3042="!!!"),"",IF(NOT(ISNA(VLOOKUP(E3042,E$1:E3041,1,FALSE()))),"OLD",IF(AND(E3042&lt;&gt;"",E3042&lt;&gt;"!!!"),"NEW","")))</f>
        <v> </v>
      </c>
      <c r="G3042" s="23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4" t="str">
        <f>IF(J3042&lt;&gt;1,"",IF(I3042="SBJ","CB","?"))</f>
        <v> </v>
      </c>
      <c r="I3042" s="25" t="str">
        <f>IF(OR(E3042="",E3042="!!!",F3042="NEW"),"",INDEX(B3041:B$2,-1+SUMPRODUCT(MAX(ROW(E3041:E$2)*(E3042=E3041:E$2)))))</f>
        <v> </v>
      </c>
      <c r="J3042" s="25" t="str">
        <f>IF(OR(E3042="",E3042="!!!",F3042="NEW"),"",COUNTBLANK(OFFSET(A$1,,,SUMPRODUCT(MAX(ROW(E$2:E3042)*(E3042=E$2:E3042)))))-COUNTBLANK(OFFSET(A$1,,,SUMPRODUCT(MAX(ROW(E$1:E3041)*(E2=E$1:E3041))))))</f>
        <v> </v>
      </c>
      <c r="K3042" s="25" t="str">
        <f>IF(OR(E3042="",E3042="!!!",F3042="NEW"),"",INDEX(J$1:J3041,SUMPRODUCT(MAX(ROW(E$1:E3041)*(E3042=E$1:E3041)))))</f>
        <v> </v>
      </c>
      <c r="L3042" s="26"/>
    </row>
    <row r="3043" spans="1:12">
      <c r="A3043" s="20"/>
    </row>
    <row r="3044" spans="1:12">
      <c r="A3044" s="20" t="s">
        <v>2039</v>
      </c>
    </row>
    <row r="3045" spans="1:12">
      <c r="A3045" s="20" t="s">
        <v>926</v>
      </c>
      <c r="E3045" s="21">
        <f>IF(D3045="?OLD","!!!","")</f>
        <v/>
      </c>
      <c r="F3045" s="22" t="str">
        <f>IF(OR(E3045="",E3045="!!!"),"",IF(NOT(ISNA(VLOOKUP(E3045,E$1:E3044,1,FALSE()))),"OLD",IF(AND(E3045&lt;&gt;"",E3045&lt;&gt;"!!!"),"NEW","")))</f>
        <v> </v>
      </c>
      <c r="G3045" s="23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4" t="str">
        <f>IF(J3045&lt;&gt;1,"",IF(I3045="SBJ","CB","?"))</f>
        <v> </v>
      </c>
      <c r="I3045" s="25" t="str">
        <f>IF(OR(E3045="",E3045="!!!",F3045="NEW"),"",INDEX(B3044:B$2,-1+SUMPRODUCT(MAX(ROW(E3044:E$2)*(E3045=E3044:E$2)))))</f>
        <v> </v>
      </c>
      <c r="J3045" s="25" t="str">
        <f>IF(OR(E3045="",E3045="!!!",F3045="NEW"),"",COUNTBLANK(OFFSET(A$1,,,SUMPRODUCT(MAX(ROW(E$2:E3045)*(E3045=E$2:E3045)))))-COUNTBLANK(OFFSET(A$1,,,SUMPRODUCT(MAX(ROW(E$1:E3044)*(E2=E$1:E3044))))))</f>
        <v> </v>
      </c>
      <c r="K3045" s="25" t="str">
        <f>IF(OR(E3045="",E3045="!!!",F3045="NEW"),"",INDEX(J$1:J3044,SUMPRODUCT(MAX(ROW(E$1:E3044)*(E3045=E$1:E3044)))))</f>
        <v> </v>
      </c>
      <c r="L3045" s="26"/>
    </row>
    <row r="3046" spans="1:12">
      <c r="A3046" s="20" t="s">
        <v>789</v>
      </c>
      <c r="E3046" s="21">
        <f>IF(D3046="?OLD","!!!","")</f>
        <v/>
      </c>
      <c r="F3046" s="22" t="str">
        <f>IF(OR(E3046="",E3046="!!!"),"",IF(NOT(ISNA(VLOOKUP(E3046,E$1:E3045,1,FALSE()))),"OLD",IF(AND(E3046&lt;&gt;"",E3046&lt;&gt;"!!!"),"NEW","")))</f>
        <v> </v>
      </c>
      <c r="G3046" s="23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4" t="str">
        <f>IF(J3046&lt;&gt;1,"",IF(I3046="SBJ","CB","?"))</f>
        <v> </v>
      </c>
      <c r="I3046" s="25" t="str">
        <f>IF(OR(E3046="",E3046="!!!",F3046="NEW"),"",INDEX(B3045:B$2,-1+SUMPRODUCT(MAX(ROW(E3045:E$2)*(E3046=E3045:E$2)))))</f>
        <v> </v>
      </c>
      <c r="J3046" s="25" t="str">
        <f>IF(OR(E3046="",E3046="!!!",F3046="NEW"),"",COUNTBLANK(OFFSET(A$1,,,SUMPRODUCT(MAX(ROW(E$2:E3046)*(E3046=E$2:E3046)))))-COUNTBLANK(OFFSET(A$1,,,SUMPRODUCT(MAX(ROW(E$1:E3045)*(E2=E$1:E3045))))))</f>
        <v> </v>
      </c>
      <c r="K3046" s="25" t="str">
        <f>IF(OR(E3046="",E3046="!!!",F3046="NEW"),"",INDEX(J$1:J3045,SUMPRODUCT(MAX(ROW(E$1:E3045)*(E3046=E$1:E3045)))))</f>
        <v> </v>
      </c>
      <c r="L3046" s="26"/>
    </row>
    <row r="3047" spans="1:12">
      <c r="A3047" s="20" t="s">
        <v>841</v>
      </c>
      <c r="E3047" s="21">
        <f>IF(D3047="?OLD","!!!","")</f>
        <v/>
      </c>
      <c r="F3047" s="22" t="str">
        <f>IF(OR(E3047="",E3047="!!!"),"",IF(NOT(ISNA(VLOOKUP(E3047,E$1:E3046,1,FALSE()))),"OLD",IF(AND(E3047&lt;&gt;"",E3047&lt;&gt;"!!!"),"NEW","")))</f>
        <v> </v>
      </c>
      <c r="G3047" s="23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4" t="str">
        <f>IF(J3047&lt;&gt;1,"",IF(I3047="SBJ","CB","?"))</f>
        <v> </v>
      </c>
      <c r="I3047" s="25" t="str">
        <f>IF(OR(E3047="",E3047="!!!",F3047="NEW"),"",INDEX(B3046:B$2,-1+SUMPRODUCT(MAX(ROW(E3046:E$2)*(E3047=E3046:E$2)))))</f>
        <v> </v>
      </c>
      <c r="J3047" s="25" t="str">
        <f>IF(OR(E3047="",E3047="!!!",F3047="NEW"),"",COUNTBLANK(OFFSET(A$1,,,SUMPRODUCT(MAX(ROW(E$2:E3047)*(E3047=E$2:E3047)))))-COUNTBLANK(OFFSET(A$1,,,SUMPRODUCT(MAX(ROW(E$1:E3046)*(E2=E$1:E3046))))))</f>
        <v> </v>
      </c>
      <c r="K3047" s="25" t="str">
        <f>IF(OR(E3047="",E3047="!!!",F3047="NEW"),"",INDEX(J$1:J3046,SUMPRODUCT(MAX(ROW(E$1:E3046)*(E3047=E$1:E3046)))))</f>
        <v> </v>
      </c>
      <c r="L3047" s="26"/>
    </row>
    <row r="3048" spans="1:12">
      <c r="A3048" s="20" t="s">
        <v>689</v>
      </c>
      <c r="E3048" s="21">
        <f>IF(D3048="?OLD","!!!","")</f>
        <v/>
      </c>
      <c r="F3048" s="22" t="str">
        <f>IF(OR(E3048="",E3048="!!!"),"",IF(NOT(ISNA(VLOOKUP(E3048,E$1:E3047,1,FALSE()))),"OLD",IF(AND(E3048&lt;&gt;"",E3048&lt;&gt;"!!!"),"NEW","")))</f>
        <v> </v>
      </c>
      <c r="G3048" s="23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4" t="str">
        <f>IF(J3048&lt;&gt;1,"",IF(I3048="SBJ","CB","?"))</f>
        <v> </v>
      </c>
      <c r="I3048" s="25" t="str">
        <f>IF(OR(E3048="",E3048="!!!",F3048="NEW"),"",INDEX(B3047:B$2,-1+SUMPRODUCT(MAX(ROW(E3047:E$2)*(E3048=E3047:E$2)))))</f>
        <v> </v>
      </c>
      <c r="J3048" s="25" t="str">
        <f>IF(OR(E3048="",E3048="!!!",F3048="NEW"),"",COUNTBLANK(OFFSET(A$1,,,SUMPRODUCT(MAX(ROW(E$2:E3048)*(E3048=E$2:E3048)))))-COUNTBLANK(OFFSET(A$1,,,SUMPRODUCT(MAX(ROW(E$1:E3047)*(E2=E$1:E3047))))))</f>
        <v> </v>
      </c>
      <c r="K3048" s="25" t="str">
        <f>IF(OR(E3048="",E3048="!!!",F3048="NEW"),"",INDEX(J$1:J3047,SUMPRODUCT(MAX(ROW(E$1:E3047)*(E3048=E$1:E3047)))))</f>
        <v> </v>
      </c>
      <c r="L3048" s="26"/>
    </row>
    <row r="3049" spans="1:12">
      <c r="A3049" s="20" t="s">
        <v>765</v>
      </c>
      <c r="E3049" s="21">
        <f>IF(D3049="?OLD","!!!","")</f>
        <v/>
      </c>
      <c r="F3049" s="22" t="str">
        <f>IF(OR(E3049="",E3049="!!!"),"",IF(NOT(ISNA(VLOOKUP(E3049,E$1:E3048,1,FALSE()))),"OLD",IF(AND(E3049&lt;&gt;"",E3049&lt;&gt;"!!!"),"NEW","")))</f>
        <v> </v>
      </c>
      <c r="G3049" s="23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4" t="str">
        <f>IF(J3049&lt;&gt;1,"",IF(I3049="SBJ","CB","?"))</f>
        <v> </v>
      </c>
      <c r="I3049" s="25" t="str">
        <f>IF(OR(E3049="",E3049="!!!",F3049="NEW"),"",INDEX(B3048:B$2,-1+SUMPRODUCT(MAX(ROW(E3048:E$2)*(E3049=E3048:E$2)))))</f>
        <v> </v>
      </c>
      <c r="J3049" s="25" t="str">
        <f>IF(OR(E3049="",E3049="!!!",F3049="NEW"),"",COUNTBLANK(OFFSET(A$1,,,SUMPRODUCT(MAX(ROW(E$2:E3049)*(E3049=E$2:E3049)))))-COUNTBLANK(OFFSET(A$1,,,SUMPRODUCT(MAX(ROW(E$1:E3048)*(E2=E$1:E3048))))))</f>
        <v> </v>
      </c>
      <c r="K3049" s="25" t="str">
        <f>IF(OR(E3049="",E3049="!!!",F3049="NEW"),"",INDEX(J$1:J3048,SUMPRODUCT(MAX(ROW(E$1:E3048)*(E3049=E$1:E3048)))))</f>
        <v> </v>
      </c>
      <c r="L3049" s="26"/>
    </row>
    <row r="3050" spans="1:12">
      <c r="A3050" s="20"/>
    </row>
    <row r="3051" spans="1:12">
      <c r="A3051" s="20" t="s">
        <v>2040</v>
      </c>
    </row>
    <row r="3052" spans="1:12">
      <c r="A3052" s="20" t="s">
        <v>1987</v>
      </c>
      <c r="E3052" s="21">
        <f>IF(D3052="?OLD","!!!","")</f>
        <v/>
      </c>
      <c r="F3052" s="22" t="str">
        <f>IF(OR(E3052="",E3052="!!!"),"",IF(NOT(ISNA(VLOOKUP(E3052,E$1:E3051,1,FALSE()))),"OLD",IF(AND(E3052&lt;&gt;"",E3052&lt;&gt;"!!!"),"NEW","")))</f>
        <v> </v>
      </c>
      <c r="G3052" s="23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4" t="str">
        <f>IF(J3052&lt;&gt;1,"",IF(I3052="SBJ","CB","?"))</f>
        <v> </v>
      </c>
      <c r="I3052" s="25" t="str">
        <f>IF(OR(E3052="",E3052="!!!",F3052="NEW"),"",INDEX(B3051:B$2,-1+SUMPRODUCT(MAX(ROW(E3051:E$2)*(E3052=E3051:E$2)))))</f>
        <v> </v>
      </c>
      <c r="J3052" s="25" t="str">
        <f>IF(OR(E3052="",E3052="!!!",F3052="NEW"),"",COUNTBLANK(OFFSET(A$1,,,SUMPRODUCT(MAX(ROW(E$2:E3052)*(E3052=E$2:E3052)))))-COUNTBLANK(OFFSET(A$1,,,SUMPRODUCT(MAX(ROW(E$1:E3051)*(E2=E$1:E3051))))))</f>
        <v> </v>
      </c>
      <c r="K3052" s="25" t="str">
        <f>IF(OR(E3052="",E3052="!!!",F3052="NEW"),"",INDEX(J$1:J3051,SUMPRODUCT(MAX(ROW(E$1:E3051)*(E3052=E$1:E3051)))))</f>
        <v> </v>
      </c>
      <c r="L3052" s="26"/>
    </row>
    <row r="3053" spans="1:12">
      <c r="A3053" s="20" t="s">
        <v>739</v>
      </c>
      <c r="E3053" s="21">
        <f>IF(D3053="?OLD","!!!","")</f>
        <v/>
      </c>
      <c r="F3053" s="22" t="str">
        <f>IF(OR(E3053="",E3053="!!!"),"",IF(NOT(ISNA(VLOOKUP(E3053,E$1:E3052,1,FALSE()))),"OLD",IF(AND(E3053&lt;&gt;"",E3053&lt;&gt;"!!!"),"NEW","")))</f>
        <v> </v>
      </c>
      <c r="G3053" s="23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4" t="str">
        <f>IF(J3053&lt;&gt;1,"",IF(I3053="SBJ","CB","?"))</f>
        <v> </v>
      </c>
      <c r="I3053" s="25" t="str">
        <f>IF(OR(E3053="",E3053="!!!",F3053="NEW"),"",INDEX(B3052:B$2,-1+SUMPRODUCT(MAX(ROW(E3052:E$2)*(E3053=E3052:E$2)))))</f>
        <v> </v>
      </c>
      <c r="J3053" s="25" t="str">
        <f>IF(OR(E3053="",E3053="!!!",F3053="NEW"),"",COUNTBLANK(OFFSET(A$1,,,SUMPRODUCT(MAX(ROW(E$2:E3053)*(E3053=E$2:E3053)))))-COUNTBLANK(OFFSET(A$1,,,SUMPRODUCT(MAX(ROW(E$1:E3052)*(E2=E$1:E3052))))))</f>
        <v> </v>
      </c>
      <c r="K3053" s="25" t="str">
        <f>IF(OR(E3053="",E3053="!!!",F3053="NEW"),"",INDEX(J$1:J3052,SUMPRODUCT(MAX(ROW(E$1:E3052)*(E3053=E$1:E3052)))))</f>
        <v> </v>
      </c>
      <c r="L3053" s="26"/>
    </row>
    <row r="3054" spans="1:12">
      <c r="A3054" s="20" t="s">
        <v>2041</v>
      </c>
      <c r="B3054" s="27" t="s">
        <v>762</v>
      </c>
      <c r="C3054" s="27" t="s">
        <v>756</v>
      </c>
      <c r="D3054" s="27" t="s">
        <v>736</v>
      </c>
      <c r="E3054" s="21">
        <f>IF(D3054="?OLD","!!!","")</f>
        <v/>
      </c>
      <c r="F3054" s="22" t="str">
        <f>IF(OR(E3054="",E3054="!!!"),"",IF(NOT(ISNA(VLOOKUP(E3054,E$1:E3053,1,FALSE()))),"OLD",IF(AND(E3054&lt;&gt;"",E3054&lt;&gt;"!!!"),"NEW","")))</f>
        <v> </v>
      </c>
      <c r="G3054" s="23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4" t="str">
        <f>IF(J3054&lt;&gt;1,"",IF(I3054="SBJ","CB","?"))</f>
        <v> </v>
      </c>
      <c r="I3054" s="25" t="str">
        <f>IF(OR(E3054="",E3054="!!!",F3054="NEW"),"",INDEX(B3053:B$2,-1+SUMPRODUCT(MAX(ROW(E3053:E$2)*(E3054=E3053:E$2)))))</f>
        <v> </v>
      </c>
      <c r="J3054" s="25" t="str">
        <f>IF(OR(E3054="",E3054="!!!",F3054="NEW"),"",COUNTBLANK(OFFSET(A$1,,,SUMPRODUCT(MAX(ROW(E$2:E3054)*(E3054=E$2:E3054)))))-COUNTBLANK(OFFSET(A$1,,,SUMPRODUCT(MAX(ROW(E$1:E3053)*(E2=E$1:E3053))))))</f>
        <v> </v>
      </c>
      <c r="K3054" s="25" t="str">
        <f>IF(OR(E3054="",E3054="!!!",F3054="NEW"),"",INDEX(J$1:J3053,SUMPRODUCT(MAX(ROW(E$1:E3053)*(E3054=E$1:E3053)))))</f>
        <v> </v>
      </c>
      <c r="L3054" s="26"/>
    </row>
    <row r="3055" spans="1:12">
      <c r="A3055" s="20" t="s">
        <v>2042</v>
      </c>
      <c r="E3055" s="21">
        <f>IF(D3055="?OLD","!!!","")</f>
        <v/>
      </c>
      <c r="F3055" s="22" t="str">
        <f>IF(OR(E3055="",E3055="!!!"),"",IF(NOT(ISNA(VLOOKUP(E3055,E$1:E3054,1,FALSE()))),"OLD",IF(AND(E3055&lt;&gt;"",E3055&lt;&gt;"!!!"),"NEW","")))</f>
        <v> </v>
      </c>
      <c r="G3055" s="23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4" t="str">
        <f>IF(J3055&lt;&gt;1,"",IF(I3055="SBJ","CB","?"))</f>
        <v> </v>
      </c>
      <c r="I3055" s="25" t="str">
        <f>IF(OR(E3055="",E3055="!!!",F3055="NEW"),"",INDEX(B3054:B$2,-1+SUMPRODUCT(MAX(ROW(E3054:E$2)*(E3055=E3054:E$2)))))</f>
        <v> </v>
      </c>
      <c r="J3055" s="25" t="str">
        <f>IF(OR(E3055="",E3055="!!!",F3055="NEW"),"",COUNTBLANK(OFFSET(A$1,,,SUMPRODUCT(MAX(ROW(E$2:E3055)*(E3055=E$2:E3055)))))-COUNTBLANK(OFFSET(A$1,,,SUMPRODUCT(MAX(ROW(E$1:E3054)*(E2=E$1:E3054))))))</f>
        <v> </v>
      </c>
      <c r="K3055" s="25" t="str">
        <f>IF(OR(E3055="",E3055="!!!",F3055="NEW"),"",INDEX(J$1:J3054,SUMPRODUCT(MAX(ROW(E$1:E3054)*(E3055=E$1:E3054)))))</f>
        <v> </v>
      </c>
      <c r="L3055" s="26"/>
    </row>
    <row r="3056" spans="1:12">
      <c r="A3056" s="20" t="s">
        <v>2043</v>
      </c>
      <c r="E3056" s="21">
        <f>IF(D3056="?OLD","!!!","")</f>
        <v/>
      </c>
      <c r="F3056" s="22" t="str">
        <f>IF(OR(E3056="",E3056="!!!"),"",IF(NOT(ISNA(VLOOKUP(E3056,E$1:E3055,1,FALSE()))),"OLD",IF(AND(E3056&lt;&gt;"",E3056&lt;&gt;"!!!"),"NEW","")))</f>
        <v> </v>
      </c>
      <c r="G3056" s="23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4" t="str">
        <f>IF(J3056&lt;&gt;1,"",IF(I3056="SBJ","CB","?"))</f>
        <v> </v>
      </c>
      <c r="I3056" s="25" t="str">
        <f>IF(OR(E3056="",E3056="!!!",F3056="NEW"),"",INDEX(B3055:B$2,-1+SUMPRODUCT(MAX(ROW(E3055:E$2)*(E3056=E3055:E$2)))))</f>
        <v> </v>
      </c>
      <c r="J3056" s="25" t="str">
        <f>IF(OR(E3056="",E3056="!!!",F3056="NEW"),"",COUNTBLANK(OFFSET(A$1,,,SUMPRODUCT(MAX(ROW(E$2:E3056)*(E3056=E$2:E3056)))))-COUNTBLANK(OFFSET(A$1,,,SUMPRODUCT(MAX(ROW(E$1:E3055)*(E2=E$1:E3055))))))</f>
        <v> </v>
      </c>
      <c r="K3056" s="25" t="str">
        <f>IF(OR(E3056="",E3056="!!!",F3056="NEW"),"",INDEX(J$1:J3055,SUMPRODUCT(MAX(ROW(E$1:E3055)*(E3056=E$1:E3055)))))</f>
        <v> </v>
      </c>
      <c r="L3056" s="26"/>
    </row>
    <row r="3057" spans="1:12">
      <c r="A3057" s="20" t="s">
        <v>822</v>
      </c>
      <c r="E3057" s="21">
        <f>IF(D3057="?OLD","!!!","")</f>
        <v/>
      </c>
      <c r="F3057" s="22" t="str">
        <f>IF(OR(E3057="",E3057="!!!"),"",IF(NOT(ISNA(VLOOKUP(E3057,E$1:E3056,1,FALSE()))),"OLD",IF(AND(E3057&lt;&gt;"",E3057&lt;&gt;"!!!"),"NEW","")))</f>
        <v> </v>
      </c>
      <c r="G3057" s="23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4" t="str">
        <f>IF(J3057&lt;&gt;1,"",IF(I3057="SBJ","CB","?"))</f>
        <v> </v>
      </c>
      <c r="I3057" s="25" t="str">
        <f>IF(OR(E3057="",E3057="!!!",F3057="NEW"),"",INDEX(B3056:B$2,-1+SUMPRODUCT(MAX(ROW(E3056:E$2)*(E3057=E3056:E$2)))))</f>
        <v> </v>
      </c>
      <c r="J3057" s="25" t="str">
        <f>IF(OR(E3057="",E3057="!!!",F3057="NEW"),"",COUNTBLANK(OFFSET(A$1,,,SUMPRODUCT(MAX(ROW(E$2:E3057)*(E3057=E$2:E3057)))))-COUNTBLANK(OFFSET(A$1,,,SUMPRODUCT(MAX(ROW(E$1:E3056)*(E2=E$1:E3056))))))</f>
        <v> </v>
      </c>
      <c r="K3057" s="25" t="str">
        <f>IF(OR(E3057="",E3057="!!!",F3057="NEW"),"",INDEX(J$1:J3056,SUMPRODUCT(MAX(ROW(E$1:E3056)*(E3057=E$1:E3056)))))</f>
        <v> </v>
      </c>
      <c r="L3057" s="26"/>
    </row>
    <row r="3058" spans="1:12">
      <c r="A3058" s="20" t="s">
        <v>2044</v>
      </c>
      <c r="B3058" s="27" t="s">
        <v>738</v>
      </c>
      <c r="C3058" s="27" t="s">
        <v>735</v>
      </c>
      <c r="D3058" s="27" t="s">
        <v>736</v>
      </c>
      <c r="E3058" s="21">
        <f>IF(D3058="?OLD","!!!","")</f>
        <v/>
      </c>
      <c r="F3058" s="22" t="str">
        <f>IF(OR(E3058="",E3058="!!!"),"",IF(NOT(ISNA(VLOOKUP(E3058,E$1:E3057,1,FALSE()))),"OLD",IF(AND(E3058&lt;&gt;"",E3058&lt;&gt;"!!!"),"NEW","")))</f>
        <v> </v>
      </c>
      <c r="G3058" s="23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4" t="str">
        <f>IF(J3058&lt;&gt;1,"",IF(I3058="SBJ","CB","?"))</f>
        <v> </v>
      </c>
      <c r="I3058" s="25" t="str">
        <f>IF(OR(E3058="",E3058="!!!",F3058="NEW"),"",INDEX(B3057:B$2,-1+SUMPRODUCT(MAX(ROW(E3057:E$2)*(E3058=E3057:E$2)))))</f>
        <v> </v>
      </c>
      <c r="J3058" s="25" t="str">
        <f>IF(OR(E3058="",E3058="!!!",F3058="NEW"),"",COUNTBLANK(OFFSET(A$1,,,SUMPRODUCT(MAX(ROW(E$2:E3058)*(E3058=E$2:E3058)))))-COUNTBLANK(OFFSET(A$1,,,SUMPRODUCT(MAX(ROW(E$1:E3057)*(E2=E$1:E3057))))))</f>
        <v> </v>
      </c>
      <c r="K3058" s="25" t="str">
        <f>IF(OR(E3058="",E3058="!!!",F3058="NEW"),"",INDEX(J$1:J3057,SUMPRODUCT(MAX(ROW(E$1:E3057)*(E3058=E$1:E3057)))))</f>
        <v> </v>
      </c>
      <c r="L3058" s="26"/>
    </row>
    <row r="3059" spans="1:12">
      <c r="A3059" s="20" t="s">
        <v>2045</v>
      </c>
      <c r="B3059" s="27" t="s">
        <v>831</v>
      </c>
      <c r="C3059" s="27" t="s">
        <v>735</v>
      </c>
      <c r="D3059" s="27" t="s">
        <v>736</v>
      </c>
      <c r="E3059" s="21">
        <f>IF(D3059="?OLD","!!!","")</f>
        <v/>
      </c>
      <c r="F3059" s="22" t="str">
        <f>IF(OR(E3059="",E3059="!!!"),"",IF(NOT(ISNA(VLOOKUP(E3059,E$1:E3058,1,FALSE()))),"OLD",IF(AND(E3059&lt;&gt;"",E3059&lt;&gt;"!!!"),"NEW","")))</f>
        <v> </v>
      </c>
      <c r="G3059" s="23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4" t="str">
        <f>IF(J3059&lt;&gt;1,"",IF(I3059="SBJ","CB","?"))</f>
        <v> </v>
      </c>
      <c r="I3059" s="25" t="str">
        <f>IF(OR(E3059="",E3059="!!!",F3059="NEW"),"",INDEX(B3058:B$2,-1+SUMPRODUCT(MAX(ROW(E3058:E$2)*(E3059=E3058:E$2)))))</f>
        <v> </v>
      </c>
      <c r="J3059" s="25" t="str">
        <f>IF(OR(E3059="",E3059="!!!",F3059="NEW"),"",COUNTBLANK(OFFSET(A$1,,,SUMPRODUCT(MAX(ROW(E$2:E3059)*(E3059=E$2:E3059)))))-COUNTBLANK(OFFSET(A$1,,,SUMPRODUCT(MAX(ROW(E$1:E3058)*(E2=E$1:E3058))))))</f>
        <v> </v>
      </c>
      <c r="K3059" s="25" t="str">
        <f>IF(OR(E3059="",E3059="!!!",F3059="NEW"),"",INDEX(J$1:J3058,SUMPRODUCT(MAX(ROW(E$1:E3058)*(E3059=E$1:E3058)))))</f>
        <v> </v>
      </c>
      <c r="L3059" s="26"/>
    </row>
    <row r="3060" spans="1:12">
      <c r="A3060" s="20" t="s">
        <v>752</v>
      </c>
      <c r="E3060" s="21">
        <f>IF(D3060="?OLD","!!!","")</f>
        <v/>
      </c>
      <c r="F3060" s="22" t="str">
        <f>IF(OR(E3060="",E3060="!!!"),"",IF(NOT(ISNA(VLOOKUP(E3060,E$1:E3059,1,FALSE()))),"OLD",IF(AND(E3060&lt;&gt;"",E3060&lt;&gt;"!!!"),"NEW","")))</f>
        <v> </v>
      </c>
      <c r="G3060" s="23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4" t="str">
        <f>IF(J3060&lt;&gt;1,"",IF(I3060="SBJ","CB","?"))</f>
        <v> </v>
      </c>
      <c r="I3060" s="25" t="str">
        <f>IF(OR(E3060="",E3060="!!!",F3060="NEW"),"",INDEX(B3059:B$2,-1+SUMPRODUCT(MAX(ROW(E3059:E$2)*(E3060=E3059:E$2)))))</f>
        <v> </v>
      </c>
      <c r="J3060" s="25" t="str">
        <f>IF(OR(E3060="",E3060="!!!",F3060="NEW"),"",COUNTBLANK(OFFSET(A$1,,,SUMPRODUCT(MAX(ROW(E$2:E3060)*(E3060=E$2:E3060)))))-COUNTBLANK(OFFSET(A$1,,,SUMPRODUCT(MAX(ROW(E$1:E3059)*(E2=E$1:E3059))))))</f>
        <v> </v>
      </c>
      <c r="K3060" s="25" t="str">
        <f>IF(OR(E3060="",E3060="!!!",F3060="NEW"),"",INDEX(J$1:J3059,SUMPRODUCT(MAX(ROW(E$1:E3059)*(E3060=E$1:E3059)))))</f>
        <v> </v>
      </c>
      <c r="L3060" s="26"/>
    </row>
    <row r="3061" spans="1:12">
      <c r="A3061" s="20"/>
    </row>
    <row r="3062" spans="1:12">
      <c r="A3062" s="20" t="s">
        <v>2046</v>
      </c>
    </row>
    <row r="3063" spans="1:12">
      <c r="A3063" s="20" t="s">
        <v>812</v>
      </c>
      <c r="E3063" s="21">
        <f>IF(D3063="?OLD","!!!","")</f>
        <v/>
      </c>
      <c r="F3063" s="22" t="str">
        <f>IF(OR(E3063="",E3063="!!!"),"",IF(NOT(ISNA(VLOOKUP(E3063,E$1:E3062,1,FALSE()))),"OLD",IF(AND(E3063&lt;&gt;"",E3063&lt;&gt;"!!!"),"NEW","")))</f>
        <v> </v>
      </c>
      <c r="G3063" s="23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4" t="str">
        <f>IF(J3063&lt;&gt;1,"",IF(I3063="SBJ","CB","?"))</f>
        <v> </v>
      </c>
      <c r="I3063" s="25" t="str">
        <f>IF(OR(E3063="",E3063="!!!",F3063="NEW"),"",INDEX(B3062:B$2,-1+SUMPRODUCT(MAX(ROW(E3062:E$2)*(E3063=E3062:E$2)))))</f>
        <v> </v>
      </c>
      <c r="J3063" s="25" t="str">
        <f>IF(OR(E3063="",E3063="!!!",F3063="NEW"),"",COUNTBLANK(OFFSET(A$1,,,SUMPRODUCT(MAX(ROW(E$2:E3063)*(E3063=E$2:E3063)))))-COUNTBLANK(OFFSET(A$1,,,SUMPRODUCT(MAX(ROW(E$1:E3062)*(E2=E$1:E3062))))))</f>
        <v> </v>
      </c>
      <c r="K3063" s="25" t="str">
        <f>IF(OR(E3063="",E3063="!!!",F3063="NEW"),"",INDEX(J$1:J3062,SUMPRODUCT(MAX(ROW(E$1:E3062)*(E3063=E$1:E3062)))))</f>
        <v> </v>
      </c>
      <c r="L3063" s="26"/>
    </row>
    <row r="3064" spans="1:12">
      <c r="A3064" s="20" t="s">
        <v>739</v>
      </c>
      <c r="E3064" s="21">
        <f>IF(D3064="?OLD","!!!","")</f>
        <v/>
      </c>
      <c r="F3064" s="22" t="str">
        <f>IF(OR(E3064="",E3064="!!!"),"",IF(NOT(ISNA(VLOOKUP(E3064,E$1:E3063,1,FALSE()))),"OLD",IF(AND(E3064&lt;&gt;"",E3064&lt;&gt;"!!!"),"NEW","")))</f>
        <v> </v>
      </c>
      <c r="G3064" s="23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4" t="str">
        <f>IF(J3064&lt;&gt;1,"",IF(I3064="SBJ","CB","?"))</f>
        <v> </v>
      </c>
      <c r="I3064" s="25" t="str">
        <f>IF(OR(E3064="",E3064="!!!",F3064="NEW"),"",INDEX(B3063:B$2,-1+SUMPRODUCT(MAX(ROW(E3063:E$2)*(E3064=E3063:E$2)))))</f>
        <v> </v>
      </c>
      <c r="J3064" s="25" t="str">
        <f>IF(OR(E3064="",E3064="!!!",F3064="NEW"),"",COUNTBLANK(OFFSET(A$1,,,SUMPRODUCT(MAX(ROW(E$2:E3064)*(E3064=E$2:E3064)))))-COUNTBLANK(OFFSET(A$1,,,SUMPRODUCT(MAX(ROW(E$1:E3063)*(E2=E$1:E3063))))))</f>
        <v> </v>
      </c>
      <c r="K3064" s="25" t="str">
        <f>IF(OR(E3064="",E3064="!!!",F3064="NEW"),"",INDEX(J$1:J3063,SUMPRODUCT(MAX(ROW(E$1:E3063)*(E3064=E$1:E3063)))))</f>
        <v> </v>
      </c>
      <c r="L3064" s="26"/>
    </row>
    <row r="3065" spans="1:12">
      <c r="A3065" s="20" t="s">
        <v>1988</v>
      </c>
      <c r="E3065" s="21">
        <f>IF(D3065="?OLD","!!!","")</f>
        <v/>
      </c>
      <c r="F3065" s="22" t="str">
        <f>IF(OR(E3065="",E3065="!!!"),"",IF(NOT(ISNA(VLOOKUP(E3065,E$1:E3064,1,FALSE()))),"OLD",IF(AND(E3065&lt;&gt;"",E3065&lt;&gt;"!!!"),"NEW","")))</f>
        <v> </v>
      </c>
      <c r="G3065" s="23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4" t="str">
        <f>IF(J3065&lt;&gt;1,"",IF(I3065="SBJ","CB","?"))</f>
        <v> </v>
      </c>
      <c r="I3065" s="25" t="str">
        <f>IF(OR(E3065="",E3065="!!!",F3065="NEW"),"",INDEX(B3064:B$2,-1+SUMPRODUCT(MAX(ROW(E3064:E$2)*(E3065=E3064:E$2)))))</f>
        <v> </v>
      </c>
      <c r="J3065" s="25" t="str">
        <f>IF(OR(E3065="",E3065="!!!",F3065="NEW"),"",COUNTBLANK(OFFSET(A$1,,,SUMPRODUCT(MAX(ROW(E$2:E3065)*(E3065=E$2:E3065)))))-COUNTBLANK(OFFSET(A$1,,,SUMPRODUCT(MAX(ROW(E$1:E3064)*(E2=E$1:E3064))))))</f>
        <v> </v>
      </c>
      <c r="K3065" s="25" t="str">
        <f>IF(OR(E3065="",E3065="!!!",F3065="NEW"),"",INDEX(J$1:J3064,SUMPRODUCT(MAX(ROW(E$1:E3064)*(E3065=E$1:E3064)))))</f>
        <v> </v>
      </c>
      <c r="L3065" s="26"/>
    </row>
    <row r="3066" spans="1:12">
      <c r="A3066" s="20" t="s">
        <v>744</v>
      </c>
      <c r="E3066" s="21">
        <f>IF(D3066="?OLD","!!!","")</f>
        <v/>
      </c>
      <c r="F3066" s="22" t="str">
        <f>IF(OR(E3066="",E3066="!!!"),"",IF(NOT(ISNA(VLOOKUP(E3066,E$1:E3065,1,FALSE()))),"OLD",IF(AND(E3066&lt;&gt;"",E3066&lt;&gt;"!!!"),"NEW","")))</f>
        <v> </v>
      </c>
      <c r="G3066" s="23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4" t="str">
        <f>IF(J3066&lt;&gt;1,"",IF(I3066="SBJ","CB","?"))</f>
        <v> </v>
      </c>
      <c r="I3066" s="25" t="str">
        <f>IF(OR(E3066="",E3066="!!!",F3066="NEW"),"",INDEX(B3065:B$2,-1+SUMPRODUCT(MAX(ROW(E3065:E$2)*(E3066=E3065:E$2)))))</f>
        <v> </v>
      </c>
      <c r="J3066" s="25" t="str">
        <f>IF(OR(E3066="",E3066="!!!",F3066="NEW"),"",COUNTBLANK(OFFSET(A$1,,,SUMPRODUCT(MAX(ROW(E$2:E3066)*(E3066=E$2:E3066)))))-COUNTBLANK(OFFSET(A$1,,,SUMPRODUCT(MAX(ROW(E$1:E3065)*(E2=E$1:E3065))))))</f>
        <v> </v>
      </c>
      <c r="K3066" s="25" t="str">
        <f>IF(OR(E3066="",E3066="!!!",F3066="NEW"),"",INDEX(J$1:J3065,SUMPRODUCT(MAX(ROW(E$1:E3065)*(E3066=E$1:E3065)))))</f>
        <v> </v>
      </c>
      <c r="L3066" s="26"/>
    </row>
    <row r="3067" spans="1:12">
      <c r="A3067" s="20" t="s">
        <v>1008</v>
      </c>
      <c r="E3067" s="21">
        <f>IF(D3067="?OLD","!!!","")</f>
        <v/>
      </c>
      <c r="F3067" s="22" t="str">
        <f>IF(OR(E3067="",E3067="!!!"),"",IF(NOT(ISNA(VLOOKUP(E3067,E$1:E3066,1,FALSE()))),"OLD",IF(AND(E3067&lt;&gt;"",E3067&lt;&gt;"!!!"),"NEW","")))</f>
        <v> </v>
      </c>
      <c r="G3067" s="23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4" t="str">
        <f>IF(J3067&lt;&gt;1,"",IF(I3067="SBJ","CB","?"))</f>
        <v> </v>
      </c>
      <c r="I3067" s="25" t="str">
        <f>IF(OR(E3067="",E3067="!!!",F3067="NEW"),"",INDEX(B3066:B$2,-1+SUMPRODUCT(MAX(ROW(E3066:E$2)*(E3067=E3066:E$2)))))</f>
        <v> </v>
      </c>
      <c r="J3067" s="25" t="str">
        <f>IF(OR(E3067="",E3067="!!!",F3067="NEW"),"",COUNTBLANK(OFFSET(A$1,,,SUMPRODUCT(MAX(ROW(E$2:E3067)*(E3067=E$2:E3067)))))-COUNTBLANK(OFFSET(A$1,,,SUMPRODUCT(MAX(ROW(E$1:E3066)*(E2=E$1:E3066))))))</f>
        <v> </v>
      </c>
      <c r="K3067" s="25" t="str">
        <f>IF(OR(E3067="",E3067="!!!",F3067="NEW"),"",INDEX(J$1:J3066,SUMPRODUCT(MAX(ROW(E$1:E3066)*(E3067=E$1:E3066)))))</f>
        <v> </v>
      </c>
      <c r="L3067" s="26"/>
    </row>
    <row r="3068" spans="1:12">
      <c r="A3068" s="20" t="s">
        <v>848</v>
      </c>
      <c r="B3068" s="27" t="s">
        <v>800</v>
      </c>
      <c r="C3068" s="27" t="s">
        <v>756</v>
      </c>
      <c r="D3068" s="27" t="s">
        <v>736</v>
      </c>
      <c r="E3068" s="21">
        <f>IF(D3068="?OLD","!!!","")</f>
        <v/>
      </c>
      <c r="F3068" s="22" t="str">
        <f>IF(OR(E3068="",E3068="!!!"),"",IF(NOT(ISNA(VLOOKUP(E3068,E$1:E3067,1,FALSE()))),"OLD",IF(AND(E3068&lt;&gt;"",E3068&lt;&gt;"!!!"),"NEW","")))</f>
        <v> </v>
      </c>
      <c r="G3068" s="23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4" t="str">
        <f>IF(J3068&lt;&gt;1,"",IF(I3068="SBJ","CB","?"))</f>
        <v> </v>
      </c>
      <c r="I3068" s="25" t="str">
        <f>IF(OR(E3068="",E3068="!!!",F3068="NEW"),"",INDEX(B3067:B$2,-1+SUMPRODUCT(MAX(ROW(E3067:E$2)*(E3068=E3067:E$2)))))</f>
        <v> </v>
      </c>
      <c r="J3068" s="25" t="str">
        <f>IF(OR(E3068="",E3068="!!!",F3068="NEW"),"",COUNTBLANK(OFFSET(A$1,,,SUMPRODUCT(MAX(ROW(E$2:E3068)*(E3068=E$2:E3068)))))-COUNTBLANK(OFFSET(A$1,,,SUMPRODUCT(MAX(ROW(E$1:E3067)*(E2=E$1:E3067))))))</f>
        <v> </v>
      </c>
      <c r="K3068" s="25" t="str">
        <f>IF(OR(E3068="",E3068="!!!",F3068="NEW"),"",INDEX(J$1:J3067,SUMPRODUCT(MAX(ROW(E$1:E3067)*(E3068=E$1:E3067)))))</f>
        <v> </v>
      </c>
      <c r="L3068" s="26"/>
    </row>
    <row r="3069" spans="1:12">
      <c r="A3069" s="20" t="s">
        <v>2043</v>
      </c>
      <c r="E3069" s="21">
        <f>IF(D3069="?OLD","!!!","")</f>
        <v/>
      </c>
      <c r="F3069" s="22" t="str">
        <f>IF(OR(E3069="",E3069="!!!"),"",IF(NOT(ISNA(VLOOKUP(E3069,E$1:E3068,1,FALSE()))),"OLD",IF(AND(E3069&lt;&gt;"",E3069&lt;&gt;"!!!"),"NEW","")))</f>
        <v> </v>
      </c>
      <c r="G3069" s="23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4" t="str">
        <f>IF(J3069&lt;&gt;1,"",IF(I3069="SBJ","CB","?"))</f>
        <v> </v>
      </c>
      <c r="I3069" s="25" t="str">
        <f>IF(OR(E3069="",E3069="!!!",F3069="NEW"),"",INDEX(B3068:B$2,-1+SUMPRODUCT(MAX(ROW(E3068:E$2)*(E3069=E3068:E$2)))))</f>
        <v> </v>
      </c>
      <c r="J3069" s="25" t="str">
        <f>IF(OR(E3069="",E3069="!!!",F3069="NEW"),"",COUNTBLANK(OFFSET(A$1,,,SUMPRODUCT(MAX(ROW(E$2:E3069)*(E3069=E$2:E3069)))))-COUNTBLANK(OFFSET(A$1,,,SUMPRODUCT(MAX(ROW(E$1:E3068)*(E2=E$1:E3068))))))</f>
        <v> </v>
      </c>
      <c r="K3069" s="25" t="str">
        <f>IF(OR(E3069="",E3069="!!!",F3069="NEW"),"",INDEX(J$1:J3068,SUMPRODUCT(MAX(ROW(E$1:E3068)*(E3069=E$1:E3068)))))</f>
        <v> </v>
      </c>
      <c r="L3069" s="26"/>
    </row>
    <row r="3070" spans="1:12">
      <c r="A3070" s="20" t="s">
        <v>822</v>
      </c>
      <c r="E3070" s="21">
        <f>IF(D3070="?OLD","!!!","")</f>
        <v/>
      </c>
      <c r="F3070" s="22" t="str">
        <f>IF(OR(E3070="",E3070="!!!"),"",IF(NOT(ISNA(VLOOKUP(E3070,E$1:E3069,1,FALSE()))),"OLD",IF(AND(E3070&lt;&gt;"",E3070&lt;&gt;"!!!"),"NEW","")))</f>
        <v> </v>
      </c>
      <c r="G3070" s="23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4" t="str">
        <f>IF(J3070&lt;&gt;1,"",IF(I3070="SBJ","CB","?"))</f>
        <v> </v>
      </c>
      <c r="I3070" s="25" t="str">
        <f>IF(OR(E3070="",E3070="!!!",F3070="NEW"),"",INDEX(B3069:B$2,-1+SUMPRODUCT(MAX(ROW(E3069:E$2)*(E3070=E3069:E$2)))))</f>
        <v> </v>
      </c>
      <c r="J3070" s="25" t="str">
        <f>IF(OR(E3070="",E3070="!!!",F3070="NEW"),"",COUNTBLANK(OFFSET(A$1,,,SUMPRODUCT(MAX(ROW(E$2:E3070)*(E3070=E$2:E3070)))))-COUNTBLANK(OFFSET(A$1,,,SUMPRODUCT(MAX(ROW(E$1:E3069)*(E2=E$1:E3069))))))</f>
        <v> </v>
      </c>
      <c r="K3070" s="25" t="str">
        <f>IF(OR(E3070="",E3070="!!!",F3070="NEW"),"",INDEX(J$1:J3069,SUMPRODUCT(MAX(ROW(E$1:E3069)*(E3070=E$1:E3069)))))</f>
        <v> </v>
      </c>
      <c r="L3070" s="26"/>
    </row>
    <row r="3071" spans="1:12">
      <c r="A3071" s="20" t="s">
        <v>2047</v>
      </c>
      <c r="B3071" s="27" t="s">
        <v>831</v>
      </c>
      <c r="C3071" s="27" t="s">
        <v>735</v>
      </c>
      <c r="D3071" s="27" t="s">
        <v>736</v>
      </c>
      <c r="E3071" s="21">
        <f>IF(D3071="?OLD","!!!","")</f>
        <v/>
      </c>
      <c r="F3071" s="22" t="str">
        <f>IF(OR(E3071="",E3071="!!!"),"",IF(NOT(ISNA(VLOOKUP(E3071,E$1:E3070,1,FALSE()))),"OLD",IF(AND(E3071&lt;&gt;"",E3071&lt;&gt;"!!!"),"NEW","")))</f>
        <v> </v>
      </c>
      <c r="G3071" s="23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4" t="str">
        <f>IF(J3071&lt;&gt;1,"",IF(I3071="SBJ","CB","?"))</f>
        <v> </v>
      </c>
      <c r="I3071" s="25" t="str">
        <f>IF(OR(E3071="",E3071="!!!",F3071="NEW"),"",INDEX(B3070:B$2,-1+SUMPRODUCT(MAX(ROW(E3070:E$2)*(E3071=E3070:E$2)))))</f>
        <v> </v>
      </c>
      <c r="J3071" s="25" t="str">
        <f>IF(OR(E3071="",E3071="!!!",F3071="NEW"),"",COUNTBLANK(OFFSET(A$1,,,SUMPRODUCT(MAX(ROW(E$2:E3071)*(E3071=E$2:E3071)))))-COUNTBLANK(OFFSET(A$1,,,SUMPRODUCT(MAX(ROW(E$1:E3070)*(E2=E$1:E3070))))))</f>
        <v> </v>
      </c>
      <c r="K3071" s="25" t="str">
        <f>IF(OR(E3071="",E3071="!!!",F3071="NEW"),"",INDEX(J$1:J3070,SUMPRODUCT(MAX(ROW(E$1:E3070)*(E3071=E$1:E3070)))))</f>
        <v> </v>
      </c>
      <c r="L3071" s="26"/>
    </row>
    <row r="3072" spans="1:12">
      <c r="A3072" s="20" t="s">
        <v>2048</v>
      </c>
      <c r="B3072" s="27" t="s">
        <v>791</v>
      </c>
      <c r="C3072" s="27" t="s">
        <v>735</v>
      </c>
      <c r="D3072" s="27" t="s">
        <v>736</v>
      </c>
      <c r="E3072" s="21">
        <f>IF(D3072="?OLD","!!!","")</f>
        <v/>
      </c>
      <c r="F3072" s="22" t="str">
        <f>IF(OR(E3072="",E3072="!!!"),"",IF(NOT(ISNA(VLOOKUP(E3072,E$1:E3071,1,FALSE()))),"OLD",IF(AND(E3072&lt;&gt;"",E3072&lt;&gt;"!!!"),"NEW","")))</f>
        <v> </v>
      </c>
      <c r="G3072" s="23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4" t="str">
        <f>IF(J3072&lt;&gt;1,"",IF(I3072="SBJ","CB","?"))</f>
        <v> </v>
      </c>
      <c r="I3072" s="25" t="str">
        <f>IF(OR(E3072="",E3072="!!!",F3072="NEW"),"",INDEX(B3071:B$2,-1+SUMPRODUCT(MAX(ROW(E3071:E$2)*(E3072=E3071:E$2)))))</f>
        <v> </v>
      </c>
      <c r="J3072" s="25" t="str">
        <f>IF(OR(E3072="",E3072="!!!",F3072="NEW"),"",COUNTBLANK(OFFSET(A$1,,,SUMPRODUCT(MAX(ROW(E$2:E3072)*(E3072=E$2:E3072)))))-COUNTBLANK(OFFSET(A$1,,,SUMPRODUCT(MAX(ROW(E$1:E3071)*(E2=E$1:E3071))))))</f>
        <v> </v>
      </c>
      <c r="K3072" s="25" t="str">
        <f>IF(OR(E3072="",E3072="!!!",F3072="NEW"),"",INDEX(J$1:J3071,SUMPRODUCT(MAX(ROW(E$1:E3071)*(E3072=E$1:E3071)))))</f>
        <v> </v>
      </c>
      <c r="L3072" s="26"/>
    </row>
    <row r="3073" spans="1:12">
      <c r="A3073" s="20" t="s">
        <v>763</v>
      </c>
      <c r="E3073" s="21">
        <f>IF(D3073="?OLD","!!!","")</f>
        <v/>
      </c>
      <c r="F3073" s="22" t="str">
        <f>IF(OR(E3073="",E3073="!!!"),"",IF(NOT(ISNA(VLOOKUP(E3073,E$1:E3072,1,FALSE()))),"OLD",IF(AND(E3073&lt;&gt;"",E3073&lt;&gt;"!!!"),"NEW","")))</f>
        <v> </v>
      </c>
      <c r="G3073" s="23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4" t="str">
        <f>IF(J3073&lt;&gt;1,"",IF(I3073="SBJ","CB","?"))</f>
        <v> </v>
      </c>
      <c r="I3073" s="25" t="str">
        <f>IF(OR(E3073="",E3073="!!!",F3073="NEW"),"",INDEX(B3072:B$2,-1+SUMPRODUCT(MAX(ROW(E3072:E$2)*(E3073=E3072:E$2)))))</f>
        <v> </v>
      </c>
      <c r="J3073" s="25" t="str">
        <f>IF(OR(E3073="",E3073="!!!",F3073="NEW"),"",COUNTBLANK(OFFSET(A$1,,,SUMPRODUCT(MAX(ROW(E$2:E3073)*(E3073=E$2:E3073)))))-COUNTBLANK(OFFSET(A$1,,,SUMPRODUCT(MAX(ROW(E$1:E3072)*(E2=E$1:E3072))))))</f>
        <v> </v>
      </c>
      <c r="K3073" s="25" t="str">
        <f>IF(OR(E3073="",E3073="!!!",F3073="NEW"),"",INDEX(J$1:J3072,SUMPRODUCT(MAX(ROW(E$1:E3072)*(E3073=E$1:E3072)))))</f>
        <v> </v>
      </c>
      <c r="L3073" s="26"/>
    </row>
    <row r="3074" spans="1:12">
      <c r="A3074" s="20" t="s">
        <v>2049</v>
      </c>
      <c r="E3074" s="21">
        <f>IF(D3074="?OLD","!!!","")</f>
        <v/>
      </c>
      <c r="F3074" s="22" t="str">
        <f>IF(OR(E3074="",E3074="!!!"),"",IF(NOT(ISNA(VLOOKUP(E3074,E$1:E3073,1,FALSE()))),"OLD",IF(AND(E3074&lt;&gt;"",E3074&lt;&gt;"!!!"),"NEW","")))</f>
        <v> </v>
      </c>
      <c r="G3074" s="23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4" t="str">
        <f>IF(J3074&lt;&gt;1,"",IF(I3074="SBJ","CB","?"))</f>
        <v> </v>
      </c>
      <c r="I3074" s="25" t="str">
        <f>IF(OR(E3074="",E3074="!!!",F3074="NEW"),"",INDEX(B3073:B$2,-1+SUMPRODUCT(MAX(ROW(E3073:E$2)*(E3074=E3073:E$2)))))</f>
        <v> </v>
      </c>
      <c r="J3074" s="25" t="str">
        <f>IF(OR(E3074="",E3074="!!!",F3074="NEW"),"",COUNTBLANK(OFFSET(A$1,,,SUMPRODUCT(MAX(ROW(E$2:E3074)*(E3074=E$2:E3074)))))-COUNTBLANK(OFFSET(A$1,,,SUMPRODUCT(MAX(ROW(E$1:E3073)*(E2=E$1:E3073))))))</f>
        <v> </v>
      </c>
      <c r="K3074" s="25" t="str">
        <f>IF(OR(E3074="",E3074="!!!",F3074="NEW"),"",INDEX(J$1:J3073,SUMPRODUCT(MAX(ROW(E$1:E3073)*(E3074=E$1:E3073)))))</f>
        <v> </v>
      </c>
      <c r="L3074" s="26"/>
    </row>
    <row r="3075" spans="1:12">
      <c r="A3075" s="20" t="s">
        <v>1137</v>
      </c>
      <c r="E3075" s="21">
        <f>IF(D3075="?OLD","!!!","")</f>
        <v/>
      </c>
      <c r="F3075" s="22" t="str">
        <f>IF(OR(E3075="",E3075="!!!"),"",IF(NOT(ISNA(VLOOKUP(E3075,E$1:E3074,1,FALSE()))),"OLD",IF(AND(E3075&lt;&gt;"",E3075&lt;&gt;"!!!"),"NEW","")))</f>
        <v> </v>
      </c>
      <c r="G3075" s="23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4" t="str">
        <f>IF(J3075&lt;&gt;1,"",IF(I3075="SBJ","CB","?"))</f>
        <v> </v>
      </c>
      <c r="I3075" s="25" t="str">
        <f>IF(OR(E3075="",E3075="!!!",F3075="NEW"),"",INDEX(B3074:B$2,-1+SUMPRODUCT(MAX(ROW(E3074:E$2)*(E3075=E3074:E$2)))))</f>
        <v> </v>
      </c>
      <c r="J3075" s="25" t="str">
        <f>IF(OR(E3075="",E3075="!!!",F3075="NEW"),"",COUNTBLANK(OFFSET(A$1,,,SUMPRODUCT(MAX(ROW(E$2:E3075)*(E3075=E$2:E3075)))))-COUNTBLANK(OFFSET(A$1,,,SUMPRODUCT(MAX(ROW(E$1:E3074)*(E2=E$1:E3074))))))</f>
        <v> </v>
      </c>
      <c r="K3075" s="25" t="str">
        <f>IF(OR(E3075="",E3075="!!!",F3075="NEW"),"",INDEX(J$1:J3074,SUMPRODUCT(MAX(ROW(E$1:E3074)*(E3075=E$1:E3074)))))</f>
        <v> </v>
      </c>
      <c r="L3075" s="26"/>
    </row>
    <row r="3076" spans="1:12">
      <c r="A3076" s="20" t="s">
        <v>2050</v>
      </c>
      <c r="E3076" s="21">
        <f>IF(D3076="?OLD","!!!","")</f>
        <v/>
      </c>
      <c r="F3076" s="22" t="str">
        <f>IF(OR(E3076="",E3076="!!!"),"",IF(NOT(ISNA(VLOOKUP(E3076,E$1:E3075,1,FALSE()))),"OLD",IF(AND(E3076&lt;&gt;"",E3076&lt;&gt;"!!!"),"NEW","")))</f>
        <v> </v>
      </c>
      <c r="G3076" s="23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4" t="str">
        <f>IF(J3076&lt;&gt;1,"",IF(I3076="SBJ","CB","?"))</f>
        <v> </v>
      </c>
      <c r="I3076" s="25" t="str">
        <f>IF(OR(E3076="",E3076="!!!",F3076="NEW"),"",INDEX(B3075:B$2,-1+SUMPRODUCT(MAX(ROW(E3075:E$2)*(E3076=E3075:E$2)))))</f>
        <v> </v>
      </c>
      <c r="J3076" s="25" t="str">
        <f>IF(OR(E3076="",E3076="!!!",F3076="NEW"),"",COUNTBLANK(OFFSET(A$1,,,SUMPRODUCT(MAX(ROW(E$2:E3076)*(E3076=E$2:E3076)))))-COUNTBLANK(OFFSET(A$1,,,SUMPRODUCT(MAX(ROW(E$1:E3075)*(E2=E$1:E3075))))))</f>
        <v> </v>
      </c>
      <c r="K3076" s="25" t="str">
        <f>IF(OR(E3076="",E3076="!!!",F3076="NEW"),"",INDEX(J$1:J3075,SUMPRODUCT(MAX(ROW(E$1:E3075)*(E3076=E$1:E3075)))))</f>
        <v> </v>
      </c>
      <c r="L3076" s="26"/>
    </row>
    <row r="3077" spans="1:12">
      <c r="A3077" s="20" t="s">
        <v>2051</v>
      </c>
      <c r="E3077" s="21">
        <f>IF(D3077="?OLD","!!!","")</f>
        <v/>
      </c>
      <c r="F3077" s="22" t="str">
        <f>IF(OR(E3077="",E3077="!!!"),"",IF(NOT(ISNA(VLOOKUP(E3077,E$1:E3076,1,FALSE()))),"OLD",IF(AND(E3077&lt;&gt;"",E3077&lt;&gt;"!!!"),"NEW","")))</f>
        <v> </v>
      </c>
      <c r="G3077" s="23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4" t="str">
        <f>IF(J3077&lt;&gt;1,"",IF(I3077="SBJ","CB","?"))</f>
        <v> </v>
      </c>
      <c r="I3077" s="25" t="str">
        <f>IF(OR(E3077="",E3077="!!!",F3077="NEW"),"",INDEX(B3076:B$2,-1+SUMPRODUCT(MAX(ROW(E3076:E$2)*(E3077=E3076:E$2)))))</f>
        <v> </v>
      </c>
      <c r="J3077" s="25" t="str">
        <f>IF(OR(E3077="",E3077="!!!",F3077="NEW"),"",COUNTBLANK(OFFSET(A$1,,,SUMPRODUCT(MAX(ROW(E$2:E3077)*(E3077=E$2:E3077)))))-COUNTBLANK(OFFSET(A$1,,,SUMPRODUCT(MAX(ROW(E$1:E3076)*(E2=E$1:E3076))))))</f>
        <v> </v>
      </c>
      <c r="K3077" s="25" t="str">
        <f>IF(OR(E3077="",E3077="!!!",F3077="NEW"),"",INDEX(J$1:J3076,SUMPRODUCT(MAX(ROW(E$1:E3076)*(E3077=E$1:E3076)))))</f>
        <v> </v>
      </c>
      <c r="L3077" s="26"/>
    </row>
    <row r="3078" spans="1:12">
      <c r="A3078" s="20" t="s">
        <v>744</v>
      </c>
      <c r="E3078" s="21">
        <f>IF(D3078="?OLD","!!!","")</f>
        <v/>
      </c>
      <c r="F3078" s="22" t="str">
        <f>IF(OR(E3078="",E3078="!!!"),"",IF(NOT(ISNA(VLOOKUP(E3078,E$1:E3077,1,FALSE()))),"OLD",IF(AND(E3078&lt;&gt;"",E3078&lt;&gt;"!!!"),"NEW","")))</f>
        <v> </v>
      </c>
      <c r="G3078" s="23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4" t="str">
        <f>IF(J3078&lt;&gt;1,"",IF(I3078="SBJ","CB","?"))</f>
        <v> </v>
      </c>
      <c r="I3078" s="25" t="str">
        <f>IF(OR(E3078="",E3078="!!!",F3078="NEW"),"",INDEX(B3077:B$2,-1+SUMPRODUCT(MAX(ROW(E3077:E$2)*(E3078=E3077:E$2)))))</f>
        <v> </v>
      </c>
      <c r="J3078" s="25" t="str">
        <f>IF(OR(E3078="",E3078="!!!",F3078="NEW"),"",COUNTBLANK(OFFSET(A$1,,,SUMPRODUCT(MAX(ROW(E$2:E3078)*(E3078=E$2:E3078)))))-COUNTBLANK(OFFSET(A$1,,,SUMPRODUCT(MAX(ROW(E$1:E3077)*(E2=E$1:E3077))))))</f>
        <v> </v>
      </c>
      <c r="K3078" s="25" t="str">
        <f>IF(OR(E3078="",E3078="!!!",F3078="NEW"),"",INDEX(J$1:J3077,SUMPRODUCT(MAX(ROW(E$1:E3077)*(E3078=E$1:E3077)))))</f>
        <v> </v>
      </c>
      <c r="L3078" s="26"/>
    </row>
    <row r="3079" spans="1:12">
      <c r="A3079" s="20" t="s">
        <v>2052</v>
      </c>
      <c r="B3079" s="27" t="s">
        <v>738</v>
      </c>
      <c r="C3079" s="27" t="s">
        <v>735</v>
      </c>
      <c r="D3079" s="27" t="s">
        <v>736</v>
      </c>
      <c r="E3079" s="21">
        <f>IF(D3079="?OLD","!!!","")</f>
        <v/>
      </c>
      <c r="F3079" s="22" t="str">
        <f>IF(OR(E3079="",E3079="!!!"),"",IF(NOT(ISNA(VLOOKUP(E3079,E$1:E3078,1,FALSE()))),"OLD",IF(AND(E3079&lt;&gt;"",E3079&lt;&gt;"!!!"),"NEW","")))</f>
        <v> </v>
      </c>
      <c r="G3079" s="23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4" t="str">
        <f>IF(J3079&lt;&gt;1,"",IF(I3079="SBJ","CB","?"))</f>
        <v> </v>
      </c>
      <c r="I3079" s="25" t="str">
        <f>IF(OR(E3079="",E3079="!!!",F3079="NEW"),"",INDEX(B3078:B$2,-1+SUMPRODUCT(MAX(ROW(E3078:E$2)*(E3079=E3078:E$2)))))</f>
        <v> </v>
      </c>
      <c r="J3079" s="25" t="str">
        <f>IF(OR(E3079="",E3079="!!!",F3079="NEW"),"",COUNTBLANK(OFFSET(A$1,,,SUMPRODUCT(MAX(ROW(E$2:E3079)*(E3079=E$2:E3079)))))-COUNTBLANK(OFFSET(A$1,,,SUMPRODUCT(MAX(ROW(E$1:E3078)*(E2=E$1:E3078))))))</f>
        <v> </v>
      </c>
      <c r="K3079" s="25" t="str">
        <f>IF(OR(E3079="",E3079="!!!",F3079="NEW"),"",INDEX(J$1:J3078,SUMPRODUCT(MAX(ROW(E$1:E3078)*(E3079=E$1:E3078)))))</f>
        <v> </v>
      </c>
      <c r="L3079" s="26"/>
    </row>
    <row r="3080" spans="1:12">
      <c r="A3080" s="20" t="s">
        <v>2053</v>
      </c>
      <c r="B3080" s="27" t="s">
        <v>831</v>
      </c>
      <c r="C3080" s="27" t="s">
        <v>735</v>
      </c>
      <c r="D3080" s="27" t="s">
        <v>736</v>
      </c>
      <c r="E3080" s="21">
        <f>IF(D3080="?OLD","!!!","")</f>
        <v/>
      </c>
      <c r="F3080" s="22" t="str">
        <f>IF(OR(E3080="",E3080="!!!"),"",IF(NOT(ISNA(VLOOKUP(E3080,E$1:E3079,1,FALSE()))),"OLD",IF(AND(E3080&lt;&gt;"",E3080&lt;&gt;"!!!"),"NEW","")))</f>
        <v> </v>
      </c>
      <c r="G3080" s="23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4" t="str">
        <f>IF(J3080&lt;&gt;1,"",IF(I3080="SBJ","CB","?"))</f>
        <v> </v>
      </c>
      <c r="I3080" s="25" t="str">
        <f>IF(OR(E3080="",E3080="!!!",F3080="NEW"),"",INDEX(B3079:B$2,-1+SUMPRODUCT(MAX(ROW(E3079:E$2)*(E3080=E3079:E$2)))))</f>
        <v> </v>
      </c>
      <c r="J3080" s="25" t="str">
        <f>IF(OR(E3080="",E3080="!!!",F3080="NEW"),"",COUNTBLANK(OFFSET(A$1,,,SUMPRODUCT(MAX(ROW(E$2:E3080)*(E3080=E$2:E3080)))))-COUNTBLANK(OFFSET(A$1,,,SUMPRODUCT(MAX(ROW(E$1:E3079)*(E2=E$1:E3079))))))</f>
        <v> </v>
      </c>
      <c r="K3080" s="25" t="str">
        <f>IF(OR(E3080="",E3080="!!!",F3080="NEW"),"",INDEX(J$1:J3079,SUMPRODUCT(MAX(ROW(E$1:E3079)*(E3080=E$1:E3079)))))</f>
        <v> </v>
      </c>
      <c r="L3080" s="26"/>
    </row>
    <row r="3081" spans="1:12">
      <c r="A3081" s="20" t="s">
        <v>744</v>
      </c>
      <c r="E3081" s="21">
        <f>IF(D3081="?OLD","!!!","")</f>
        <v/>
      </c>
      <c r="F3081" s="22" t="str">
        <f>IF(OR(E3081="",E3081="!!!"),"",IF(NOT(ISNA(VLOOKUP(E3081,E$1:E3080,1,FALSE()))),"OLD",IF(AND(E3081&lt;&gt;"",E3081&lt;&gt;"!!!"),"NEW","")))</f>
        <v> </v>
      </c>
      <c r="G3081" s="23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4" t="str">
        <f>IF(J3081&lt;&gt;1,"",IF(I3081="SBJ","CB","?"))</f>
        <v> </v>
      </c>
      <c r="I3081" s="25" t="str">
        <f>IF(OR(E3081="",E3081="!!!",F3081="NEW"),"",INDEX(B3080:B$2,-1+SUMPRODUCT(MAX(ROW(E3080:E$2)*(E3081=E3080:E$2)))))</f>
        <v> </v>
      </c>
      <c r="J3081" s="25" t="str">
        <f>IF(OR(E3081="",E3081="!!!",F3081="NEW"),"",COUNTBLANK(OFFSET(A$1,,,SUMPRODUCT(MAX(ROW(E$2:E3081)*(E3081=E$2:E3081)))))-COUNTBLANK(OFFSET(A$1,,,SUMPRODUCT(MAX(ROW(E$1:E3080)*(E2=E$1:E3080))))))</f>
        <v> </v>
      </c>
      <c r="K3081" s="25" t="str">
        <f>IF(OR(E3081="",E3081="!!!",F3081="NEW"),"",INDEX(J$1:J3080,SUMPRODUCT(MAX(ROW(E$1:E3080)*(E3081=E$1:E3080)))))</f>
        <v> </v>
      </c>
      <c r="L3081" s="26"/>
    </row>
    <row r="3082" spans="1:12">
      <c r="A3082" s="20" t="s">
        <v>763</v>
      </c>
      <c r="E3082" s="21">
        <f>IF(D3082="?OLD","!!!","")</f>
        <v/>
      </c>
      <c r="F3082" s="22" t="str">
        <f>IF(OR(E3082="",E3082="!!!"),"",IF(NOT(ISNA(VLOOKUP(E3082,E$1:E3081,1,FALSE()))),"OLD",IF(AND(E3082&lt;&gt;"",E3082&lt;&gt;"!!!"),"NEW","")))</f>
        <v> </v>
      </c>
      <c r="G3082" s="23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4" t="str">
        <f>IF(J3082&lt;&gt;1,"",IF(I3082="SBJ","CB","?"))</f>
        <v> </v>
      </c>
      <c r="I3082" s="25" t="str">
        <f>IF(OR(E3082="",E3082="!!!",F3082="NEW"),"",INDEX(B3081:B$2,-1+SUMPRODUCT(MAX(ROW(E3081:E$2)*(E3082=E3081:E$2)))))</f>
        <v> </v>
      </c>
      <c r="J3082" s="25" t="str">
        <f>IF(OR(E3082="",E3082="!!!",F3082="NEW"),"",COUNTBLANK(OFFSET(A$1,,,SUMPRODUCT(MAX(ROW(E$2:E3082)*(E3082=E$2:E3082)))))-COUNTBLANK(OFFSET(A$1,,,SUMPRODUCT(MAX(ROW(E$1:E3081)*(E2=E$1:E3081))))))</f>
        <v> </v>
      </c>
      <c r="K3082" s="25" t="str">
        <f>IF(OR(E3082="",E3082="!!!",F3082="NEW"),"",INDEX(J$1:J3081,SUMPRODUCT(MAX(ROW(E$1:E3081)*(E3082=E$1:E3081)))))</f>
        <v> </v>
      </c>
      <c r="L3082" s="26"/>
    </row>
    <row r="3083" spans="1:12">
      <c r="A3083" s="20" t="s">
        <v>940</v>
      </c>
      <c r="E3083" s="21">
        <f>IF(D3083="?OLD","!!!","")</f>
        <v/>
      </c>
      <c r="F3083" s="22" t="str">
        <f>IF(OR(E3083="",E3083="!!!"),"",IF(NOT(ISNA(VLOOKUP(E3083,E$1:E3082,1,FALSE()))),"OLD",IF(AND(E3083&lt;&gt;"",E3083&lt;&gt;"!!!"),"NEW","")))</f>
        <v> </v>
      </c>
      <c r="G3083" s="23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4" t="str">
        <f>IF(J3083&lt;&gt;1,"",IF(I3083="SBJ","CB","?"))</f>
        <v> </v>
      </c>
      <c r="I3083" s="25" t="str">
        <f>IF(OR(E3083="",E3083="!!!",F3083="NEW"),"",INDEX(B3082:B$2,-1+SUMPRODUCT(MAX(ROW(E3082:E$2)*(E3083=E3082:E$2)))))</f>
        <v> </v>
      </c>
      <c r="J3083" s="25" t="str">
        <f>IF(OR(E3083="",E3083="!!!",F3083="NEW"),"",COUNTBLANK(OFFSET(A$1,,,SUMPRODUCT(MAX(ROW(E$2:E3083)*(E3083=E$2:E3083)))))-COUNTBLANK(OFFSET(A$1,,,SUMPRODUCT(MAX(ROW(E$1:E3082)*(E2=E$1:E3082))))))</f>
        <v> </v>
      </c>
      <c r="K3083" s="25" t="str">
        <f>IF(OR(E3083="",E3083="!!!",F3083="NEW"),"",INDEX(J$1:J3082,SUMPRODUCT(MAX(ROW(E$1:E3082)*(E3083=E$1:E3082)))))</f>
        <v> </v>
      </c>
      <c r="L3083" s="26"/>
    </row>
    <row r="3084" spans="1:12">
      <c r="A3084" s="20" t="s">
        <v>2054</v>
      </c>
      <c r="E3084" s="21">
        <f>IF(D3084="?OLD","!!!","")</f>
        <v/>
      </c>
      <c r="F3084" s="22" t="str">
        <f>IF(OR(E3084="",E3084="!!!"),"",IF(NOT(ISNA(VLOOKUP(E3084,E$1:E3083,1,FALSE()))),"OLD",IF(AND(E3084&lt;&gt;"",E3084&lt;&gt;"!!!"),"NEW","")))</f>
        <v> </v>
      </c>
      <c r="G3084" s="23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4" t="str">
        <f>IF(J3084&lt;&gt;1,"",IF(I3084="SBJ","CB","?"))</f>
        <v> </v>
      </c>
      <c r="I3084" s="25" t="str">
        <f>IF(OR(E3084="",E3084="!!!",F3084="NEW"),"",INDEX(B3083:B$2,-1+SUMPRODUCT(MAX(ROW(E3083:E$2)*(E3084=E3083:E$2)))))</f>
        <v> </v>
      </c>
      <c r="J3084" s="25" t="str">
        <f>IF(OR(E3084="",E3084="!!!",F3084="NEW"),"",COUNTBLANK(OFFSET(A$1,,,SUMPRODUCT(MAX(ROW(E$2:E3084)*(E3084=E$2:E3084)))))-COUNTBLANK(OFFSET(A$1,,,SUMPRODUCT(MAX(ROW(E$1:E3083)*(E2=E$1:E3083))))))</f>
        <v> </v>
      </c>
      <c r="K3084" s="25" t="str">
        <f>IF(OR(E3084="",E3084="!!!",F3084="NEW"),"",INDEX(J$1:J3083,SUMPRODUCT(MAX(ROW(E$1:E3083)*(E3084=E$1:E3083)))))</f>
        <v> </v>
      </c>
      <c r="L3084" s="26"/>
    </row>
    <row r="3085" spans="1:12">
      <c r="A3085" s="20" t="s">
        <v>2055</v>
      </c>
      <c r="E3085" s="21">
        <f>IF(D3085="?OLD","!!!","")</f>
        <v/>
      </c>
      <c r="F3085" s="22" t="str">
        <f>IF(OR(E3085="",E3085="!!!"),"",IF(NOT(ISNA(VLOOKUP(E3085,E$1:E3084,1,FALSE()))),"OLD",IF(AND(E3085&lt;&gt;"",E3085&lt;&gt;"!!!"),"NEW","")))</f>
        <v> </v>
      </c>
      <c r="G3085" s="23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4" t="str">
        <f>IF(J3085&lt;&gt;1,"",IF(I3085="SBJ","CB","?"))</f>
        <v> </v>
      </c>
      <c r="I3085" s="25" t="str">
        <f>IF(OR(E3085="",E3085="!!!",F3085="NEW"),"",INDEX(B3084:B$2,-1+SUMPRODUCT(MAX(ROW(E3084:E$2)*(E3085=E3084:E$2)))))</f>
        <v> </v>
      </c>
      <c r="J3085" s="25" t="str">
        <f>IF(OR(E3085="",E3085="!!!",F3085="NEW"),"",COUNTBLANK(OFFSET(A$1,,,SUMPRODUCT(MAX(ROW(E$2:E3085)*(E3085=E$2:E3085)))))-COUNTBLANK(OFFSET(A$1,,,SUMPRODUCT(MAX(ROW(E$1:E3084)*(E2=E$1:E3084))))))</f>
        <v> </v>
      </c>
      <c r="K3085" s="25" t="str">
        <f>IF(OR(E3085="",E3085="!!!",F3085="NEW"),"",INDEX(J$1:J3084,SUMPRODUCT(MAX(ROW(E$1:E3084)*(E3085=E$1:E3084)))))</f>
        <v> </v>
      </c>
      <c r="L3085" s="26"/>
    </row>
    <row r="3086" spans="1:12">
      <c r="A3086" s="20" t="s">
        <v>765</v>
      </c>
      <c r="E3086" s="21">
        <f>IF(D3086="?OLD","!!!","")</f>
        <v/>
      </c>
      <c r="F3086" s="22" t="str">
        <f>IF(OR(E3086="",E3086="!!!"),"",IF(NOT(ISNA(VLOOKUP(E3086,E$1:E3085,1,FALSE()))),"OLD",IF(AND(E3086&lt;&gt;"",E3086&lt;&gt;"!!!"),"NEW","")))</f>
        <v> </v>
      </c>
      <c r="G3086" s="23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4" t="str">
        <f>IF(J3086&lt;&gt;1,"",IF(I3086="SBJ","CB","?"))</f>
        <v> </v>
      </c>
      <c r="I3086" s="25" t="str">
        <f>IF(OR(E3086="",E3086="!!!",F3086="NEW"),"",INDEX(B3085:B$2,-1+SUMPRODUCT(MAX(ROW(E3085:E$2)*(E3086=E3085:E$2)))))</f>
        <v> </v>
      </c>
      <c r="J3086" s="25" t="str">
        <f>IF(OR(E3086="",E3086="!!!",F3086="NEW"),"",COUNTBLANK(OFFSET(A$1,,,SUMPRODUCT(MAX(ROW(E$2:E3086)*(E3086=E$2:E3086)))))-COUNTBLANK(OFFSET(A$1,,,SUMPRODUCT(MAX(ROW(E$1:E3085)*(E2=E$1:E3085))))))</f>
        <v> </v>
      </c>
      <c r="K3086" s="25" t="str">
        <f>IF(OR(E3086="",E3086="!!!",F3086="NEW"),"",INDEX(J$1:J3085,SUMPRODUCT(MAX(ROW(E$1:E3085)*(E3086=E$1:E3085)))))</f>
        <v> </v>
      </c>
      <c r="L3086" s="26"/>
    </row>
    <row r="3087" spans="1:12">
      <c r="A3087" s="20"/>
    </row>
    <row r="3088" spans="1:12">
      <c r="A3088" s="20" t="s">
        <v>2056</v>
      </c>
    </row>
    <row r="3089" spans="1:12">
      <c r="A3089" s="20" t="s">
        <v>978</v>
      </c>
      <c r="B3089" s="27" t="s">
        <v>734</v>
      </c>
      <c r="C3089" s="27" t="s">
        <v>788</v>
      </c>
      <c r="D3089" s="27" t="s">
        <v>736</v>
      </c>
      <c r="E3089" s="21">
        <f>IF(D3089="?OLD","!!!","")</f>
        <v/>
      </c>
      <c r="F3089" s="22" t="str">
        <f>IF(OR(E3089="",E3089="!!!"),"",IF(NOT(ISNA(VLOOKUP(E3089,E$1:E3088,1,FALSE()))),"OLD",IF(AND(E3089&lt;&gt;"",E3089&lt;&gt;"!!!"),"NEW","")))</f>
        <v> </v>
      </c>
      <c r="G3089" s="23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4" t="str">
        <f>IF(J3089&lt;&gt;1,"",IF(I3089="SBJ","CB","?"))</f>
        <v> </v>
      </c>
      <c r="I3089" s="25" t="str">
        <f>IF(OR(E3089="",E3089="!!!",F3089="NEW"),"",INDEX(B3088:B$2,-1+SUMPRODUCT(MAX(ROW(E3088:E$2)*(E3089=E3088:E$2)))))</f>
        <v> </v>
      </c>
      <c r="J3089" s="25" t="str">
        <f>IF(OR(E3089="",E3089="!!!",F3089="NEW"),"",COUNTBLANK(OFFSET(A$1,,,SUMPRODUCT(MAX(ROW(E$2:E3089)*(E3089=E$2:E3089)))))-COUNTBLANK(OFFSET(A$1,,,SUMPRODUCT(MAX(ROW(E$1:E3088)*(E2=E$1:E3088))))))</f>
        <v> </v>
      </c>
      <c r="K3089" s="25" t="str">
        <f>IF(OR(E3089="",E3089="!!!",F3089="NEW"),"",INDEX(J$1:J3088,SUMPRODUCT(MAX(ROW(E$1:E3088)*(E3089=E$1:E3088)))))</f>
        <v> </v>
      </c>
      <c r="L3089" s="26"/>
    </row>
    <row r="3090" spans="1:12">
      <c r="A3090" s="20" t="s">
        <v>793</v>
      </c>
      <c r="E3090" s="21">
        <f>IF(D3090="?OLD","!!!","")</f>
        <v/>
      </c>
      <c r="F3090" s="22" t="str">
        <f>IF(OR(E3090="",E3090="!!!"),"",IF(NOT(ISNA(VLOOKUP(E3090,E$1:E3089,1,FALSE()))),"OLD",IF(AND(E3090&lt;&gt;"",E3090&lt;&gt;"!!!"),"NEW","")))</f>
        <v> </v>
      </c>
      <c r="G3090" s="23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4" t="str">
        <f>IF(J3090&lt;&gt;1,"",IF(I3090="SBJ","CB","?"))</f>
        <v> </v>
      </c>
      <c r="I3090" s="25" t="str">
        <f>IF(OR(E3090="",E3090="!!!",F3090="NEW"),"",INDEX(B3089:B$2,-1+SUMPRODUCT(MAX(ROW(E3089:E$2)*(E3090=E3089:E$2)))))</f>
        <v> </v>
      </c>
      <c r="J3090" s="25" t="str">
        <f>IF(OR(E3090="",E3090="!!!",F3090="NEW"),"",COUNTBLANK(OFFSET(A$1,,,SUMPRODUCT(MAX(ROW(E$2:E3090)*(E3090=E$2:E3090)))))-COUNTBLANK(OFFSET(A$1,,,SUMPRODUCT(MAX(ROW(E$1:E3089)*(E2=E$1:E3089))))))</f>
        <v> </v>
      </c>
      <c r="K3090" s="25" t="str">
        <f>IF(OR(E3090="",E3090="!!!",F3090="NEW"),"",INDEX(J$1:J3089,SUMPRODUCT(MAX(ROW(E$1:E3089)*(E3090=E$1:E3089)))))</f>
        <v> </v>
      </c>
      <c r="L3090" s="26"/>
    </row>
    <row r="3091" spans="1:12">
      <c r="A3091" s="20" t="s">
        <v>699</v>
      </c>
      <c r="E3091" s="21">
        <f>IF(D3091="?OLD","!!!","")</f>
        <v/>
      </c>
      <c r="F3091" s="22" t="str">
        <f>IF(OR(E3091="",E3091="!!!"),"",IF(NOT(ISNA(VLOOKUP(E3091,E$1:E3090,1,FALSE()))),"OLD",IF(AND(E3091&lt;&gt;"",E3091&lt;&gt;"!!!"),"NEW","")))</f>
        <v> </v>
      </c>
      <c r="G3091" s="23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4" t="str">
        <f>IF(J3091&lt;&gt;1,"",IF(I3091="SBJ","CB","?"))</f>
        <v> </v>
      </c>
      <c r="I3091" s="25" t="str">
        <f>IF(OR(E3091="",E3091="!!!",F3091="NEW"),"",INDEX(B3090:B$2,-1+SUMPRODUCT(MAX(ROW(E3090:E$2)*(E3091=E3090:E$2)))))</f>
        <v> </v>
      </c>
      <c r="J3091" s="25" t="str">
        <f>IF(OR(E3091="",E3091="!!!",F3091="NEW"),"",COUNTBLANK(OFFSET(A$1,,,SUMPRODUCT(MAX(ROW(E$2:E3091)*(E3091=E$2:E3091)))))-COUNTBLANK(OFFSET(A$1,,,SUMPRODUCT(MAX(ROW(E$1:E3090)*(E2=E$1:E3090))))))</f>
        <v> </v>
      </c>
      <c r="K3091" s="25" t="str">
        <f>IF(OR(E3091="",E3091="!!!",F3091="NEW"),"",INDEX(J$1:J3090,SUMPRODUCT(MAX(ROW(E$1:E3090)*(E3091=E$1:E3090)))))</f>
        <v> </v>
      </c>
      <c r="L3091" s="26"/>
    </row>
    <row r="3092" spans="1:12">
      <c r="A3092" s="20" t="s">
        <v>2057</v>
      </c>
      <c r="E3092" s="21">
        <f>IF(D3092="?OLD","!!!","")</f>
        <v/>
      </c>
      <c r="F3092" s="22" t="str">
        <f>IF(OR(E3092="",E3092="!!!"),"",IF(NOT(ISNA(VLOOKUP(E3092,E$1:E3091,1,FALSE()))),"OLD",IF(AND(E3092&lt;&gt;"",E3092&lt;&gt;"!!!"),"NEW","")))</f>
        <v> </v>
      </c>
      <c r="G3092" s="23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4" t="str">
        <f>IF(J3092&lt;&gt;1,"",IF(I3092="SBJ","CB","?"))</f>
        <v> </v>
      </c>
      <c r="I3092" s="25" t="str">
        <f>IF(OR(E3092="",E3092="!!!",F3092="NEW"),"",INDEX(B3091:B$2,-1+SUMPRODUCT(MAX(ROW(E3091:E$2)*(E3092=E3091:E$2)))))</f>
        <v> </v>
      </c>
      <c r="J3092" s="25" t="str">
        <f>IF(OR(E3092="",E3092="!!!",F3092="NEW"),"",COUNTBLANK(OFFSET(A$1,,,SUMPRODUCT(MAX(ROW(E$2:E3092)*(E3092=E$2:E3092)))))-COUNTBLANK(OFFSET(A$1,,,SUMPRODUCT(MAX(ROW(E$1:E3091)*(E2=E$1:E3091))))))</f>
        <v> </v>
      </c>
      <c r="K3092" s="25" t="str">
        <f>IF(OR(E3092="",E3092="!!!",F3092="NEW"),"",INDEX(J$1:J3091,SUMPRODUCT(MAX(ROW(E$1:E3091)*(E3092=E$1:E3091)))))</f>
        <v> </v>
      </c>
      <c r="L3092" s="26"/>
    </row>
    <row r="3093" spans="1:12">
      <c r="A3093" s="20" t="s">
        <v>763</v>
      </c>
      <c r="E3093" s="21">
        <f>IF(D3093="?OLD","!!!","")</f>
        <v/>
      </c>
      <c r="F3093" s="22" t="str">
        <f>IF(OR(E3093="",E3093="!!!"),"",IF(NOT(ISNA(VLOOKUP(E3093,E$1:E3092,1,FALSE()))),"OLD",IF(AND(E3093&lt;&gt;"",E3093&lt;&gt;"!!!"),"NEW","")))</f>
        <v> </v>
      </c>
      <c r="G3093" s="23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4" t="str">
        <f>IF(J3093&lt;&gt;1,"",IF(I3093="SBJ","CB","?"))</f>
        <v> </v>
      </c>
      <c r="I3093" s="25" t="str">
        <f>IF(OR(E3093="",E3093="!!!",F3093="NEW"),"",INDEX(B3092:B$2,-1+SUMPRODUCT(MAX(ROW(E3092:E$2)*(E3093=E3092:E$2)))))</f>
        <v> </v>
      </c>
      <c r="J3093" s="25" t="str">
        <f>IF(OR(E3093="",E3093="!!!",F3093="NEW"),"",COUNTBLANK(OFFSET(A$1,,,SUMPRODUCT(MAX(ROW(E$2:E3093)*(E3093=E$2:E3093)))))-COUNTBLANK(OFFSET(A$1,,,SUMPRODUCT(MAX(ROW(E$1:E3092)*(E2=E$1:E3092))))))</f>
        <v> </v>
      </c>
      <c r="K3093" s="25" t="str">
        <f>IF(OR(E3093="",E3093="!!!",F3093="NEW"),"",INDEX(J$1:J3092,SUMPRODUCT(MAX(ROW(E$1:E3092)*(E3093=E$1:E3092)))))</f>
        <v> </v>
      </c>
      <c r="L3093" s="26"/>
    </row>
    <row r="3094" spans="1:12">
      <c r="A3094" s="20" t="s">
        <v>2058</v>
      </c>
      <c r="E3094" s="21">
        <f>IF(D3094="?OLD","!!!","")</f>
        <v/>
      </c>
      <c r="F3094" s="22" t="str">
        <f>IF(OR(E3094="",E3094="!!!"),"",IF(NOT(ISNA(VLOOKUP(E3094,E$1:E3093,1,FALSE()))),"OLD",IF(AND(E3094&lt;&gt;"",E3094&lt;&gt;"!!!"),"NEW","")))</f>
        <v> </v>
      </c>
      <c r="G3094" s="23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4" t="str">
        <f>IF(J3094&lt;&gt;1,"",IF(I3094="SBJ","CB","?"))</f>
        <v> </v>
      </c>
      <c r="I3094" s="25" t="str">
        <f>IF(OR(E3094="",E3094="!!!",F3094="NEW"),"",INDEX(B3093:B$2,-1+SUMPRODUCT(MAX(ROW(E3093:E$2)*(E3094=E3093:E$2)))))</f>
        <v> </v>
      </c>
      <c r="J3094" s="25" t="str">
        <f>IF(OR(E3094="",E3094="!!!",F3094="NEW"),"",COUNTBLANK(OFFSET(A$1,,,SUMPRODUCT(MAX(ROW(E$2:E3094)*(E3094=E$2:E3094)))))-COUNTBLANK(OFFSET(A$1,,,SUMPRODUCT(MAX(ROW(E$1:E3093)*(E2=E$1:E3093))))))</f>
        <v> </v>
      </c>
      <c r="K3094" s="25" t="str">
        <f>IF(OR(E3094="",E3094="!!!",F3094="NEW"),"",INDEX(J$1:J3093,SUMPRODUCT(MAX(ROW(E$1:E3093)*(E3094=E$1:E3093)))))</f>
        <v> </v>
      </c>
      <c r="L3094" s="26"/>
    </row>
    <row r="3095" spans="1:12">
      <c r="A3095" s="20" t="s">
        <v>744</v>
      </c>
      <c r="E3095" s="21">
        <f>IF(D3095="?OLD","!!!","")</f>
        <v/>
      </c>
      <c r="F3095" s="22" t="str">
        <f>IF(OR(E3095="",E3095="!!!"),"",IF(NOT(ISNA(VLOOKUP(E3095,E$1:E3094,1,FALSE()))),"OLD",IF(AND(E3095&lt;&gt;"",E3095&lt;&gt;"!!!"),"NEW","")))</f>
        <v> </v>
      </c>
      <c r="G3095" s="23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4" t="str">
        <f>IF(J3095&lt;&gt;1,"",IF(I3095="SBJ","CB","?"))</f>
        <v> </v>
      </c>
      <c r="I3095" s="25" t="str">
        <f>IF(OR(E3095="",E3095="!!!",F3095="NEW"),"",INDEX(B3094:B$2,-1+SUMPRODUCT(MAX(ROW(E3094:E$2)*(E3095=E3094:E$2)))))</f>
        <v> </v>
      </c>
      <c r="J3095" s="25" t="str">
        <f>IF(OR(E3095="",E3095="!!!",F3095="NEW"),"",COUNTBLANK(OFFSET(A$1,,,SUMPRODUCT(MAX(ROW(E$2:E3095)*(E3095=E$2:E3095)))))-COUNTBLANK(OFFSET(A$1,,,SUMPRODUCT(MAX(ROW(E$1:E3094)*(E2=E$1:E3094))))))</f>
        <v> </v>
      </c>
      <c r="K3095" s="25" t="str">
        <f>IF(OR(E3095="",E3095="!!!",F3095="NEW"),"",INDEX(J$1:J3094,SUMPRODUCT(MAX(ROW(E$1:E3094)*(E3095=E$1:E3094)))))</f>
        <v> </v>
      </c>
      <c r="L3095" s="26"/>
    </row>
    <row r="3096" spans="1:12">
      <c r="A3096" s="20" t="s">
        <v>699</v>
      </c>
      <c r="E3096" s="21">
        <f>IF(D3096="?OLD","!!!","")</f>
        <v/>
      </c>
      <c r="F3096" s="22" t="str">
        <f>IF(OR(E3096="",E3096="!!!"),"",IF(NOT(ISNA(VLOOKUP(E3096,E$1:E3095,1,FALSE()))),"OLD",IF(AND(E3096&lt;&gt;"",E3096&lt;&gt;"!!!"),"NEW","")))</f>
        <v> </v>
      </c>
      <c r="G3096" s="23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4" t="str">
        <f>IF(J3096&lt;&gt;1,"",IF(I3096="SBJ","CB","?"))</f>
        <v> </v>
      </c>
      <c r="I3096" s="25" t="str">
        <f>IF(OR(E3096="",E3096="!!!",F3096="NEW"),"",INDEX(B3095:B$2,-1+SUMPRODUCT(MAX(ROW(E3095:E$2)*(E3096=E3095:E$2)))))</f>
        <v> </v>
      </c>
      <c r="J3096" s="25" t="str">
        <f>IF(OR(E3096="",E3096="!!!",F3096="NEW"),"",COUNTBLANK(OFFSET(A$1,,,SUMPRODUCT(MAX(ROW(E$2:E3096)*(E3096=E$2:E3096)))))-COUNTBLANK(OFFSET(A$1,,,SUMPRODUCT(MAX(ROW(E$1:E3095)*(E2=E$1:E3095))))))</f>
        <v> </v>
      </c>
      <c r="K3096" s="25" t="str">
        <f>IF(OR(E3096="",E3096="!!!",F3096="NEW"),"",INDEX(J$1:J3095,SUMPRODUCT(MAX(ROW(E$1:E3095)*(E3096=E$1:E3095)))))</f>
        <v> </v>
      </c>
      <c r="L3096" s="26"/>
    </row>
    <row r="3097" spans="1:12">
      <c r="A3097" s="20" t="s">
        <v>789</v>
      </c>
      <c r="E3097" s="21">
        <f>IF(D3097="?OLD","!!!","")</f>
        <v/>
      </c>
      <c r="F3097" s="22" t="str">
        <f>IF(OR(E3097="",E3097="!!!"),"",IF(NOT(ISNA(VLOOKUP(E3097,E$1:E3096,1,FALSE()))),"OLD",IF(AND(E3097&lt;&gt;"",E3097&lt;&gt;"!!!"),"NEW","")))</f>
        <v> </v>
      </c>
      <c r="G3097" s="23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4" t="str">
        <f>IF(J3097&lt;&gt;1,"",IF(I3097="SBJ","CB","?"))</f>
        <v> </v>
      </c>
      <c r="I3097" s="25" t="str">
        <f>IF(OR(E3097="",E3097="!!!",F3097="NEW"),"",INDEX(B3096:B$2,-1+SUMPRODUCT(MAX(ROW(E3096:E$2)*(E3097=E3096:E$2)))))</f>
        <v> </v>
      </c>
      <c r="J3097" s="25" t="str">
        <f>IF(OR(E3097="",E3097="!!!",F3097="NEW"),"",COUNTBLANK(OFFSET(A$1,,,SUMPRODUCT(MAX(ROW(E$2:E3097)*(E3097=E$2:E3097)))))-COUNTBLANK(OFFSET(A$1,,,SUMPRODUCT(MAX(ROW(E$1:E3096)*(E2=E$1:E3096))))))</f>
        <v> </v>
      </c>
      <c r="K3097" s="25" t="str">
        <f>IF(OR(E3097="",E3097="!!!",F3097="NEW"),"",INDEX(J$1:J3096,SUMPRODUCT(MAX(ROW(E$1:E3096)*(E3097=E$1:E3096)))))</f>
        <v> </v>
      </c>
      <c r="L3097" s="26"/>
    </row>
    <row r="3098" spans="1:12">
      <c r="A3098" s="20" t="s">
        <v>841</v>
      </c>
      <c r="E3098" s="21">
        <f>IF(D3098="?OLD","!!!","")</f>
        <v/>
      </c>
      <c r="F3098" s="22" t="str">
        <f>IF(OR(E3098="",E3098="!!!"),"",IF(NOT(ISNA(VLOOKUP(E3098,E$1:E3097,1,FALSE()))),"OLD",IF(AND(E3098&lt;&gt;"",E3098&lt;&gt;"!!!"),"NEW","")))</f>
        <v> </v>
      </c>
      <c r="G3098" s="23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4" t="str">
        <f>IF(J3098&lt;&gt;1,"",IF(I3098="SBJ","CB","?"))</f>
        <v> </v>
      </c>
      <c r="I3098" s="25" t="str">
        <f>IF(OR(E3098="",E3098="!!!",F3098="NEW"),"",INDEX(B3097:B$2,-1+SUMPRODUCT(MAX(ROW(E3097:E$2)*(E3098=E3097:E$2)))))</f>
        <v> </v>
      </c>
      <c r="J3098" s="25" t="str">
        <f>IF(OR(E3098="",E3098="!!!",F3098="NEW"),"",COUNTBLANK(OFFSET(A$1,,,SUMPRODUCT(MAX(ROW(E$2:E3098)*(E3098=E$2:E3098)))))-COUNTBLANK(OFFSET(A$1,,,SUMPRODUCT(MAX(ROW(E$1:E3097)*(E2=E$1:E3097))))))</f>
        <v> </v>
      </c>
      <c r="K3098" s="25" t="str">
        <f>IF(OR(E3098="",E3098="!!!",F3098="NEW"),"",INDEX(J$1:J3097,SUMPRODUCT(MAX(ROW(E$1:E3097)*(E3098=E$1:E3097)))))</f>
        <v> </v>
      </c>
      <c r="L3098" s="26"/>
    </row>
    <row r="3099" spans="1:12">
      <c r="A3099" s="20" t="s">
        <v>1287</v>
      </c>
      <c r="E3099" s="21">
        <f>IF(D3099="?OLD","!!!","")</f>
        <v/>
      </c>
      <c r="F3099" s="22" t="str">
        <f>IF(OR(E3099="",E3099="!!!"),"",IF(NOT(ISNA(VLOOKUP(E3099,E$1:E3098,1,FALSE()))),"OLD",IF(AND(E3099&lt;&gt;"",E3099&lt;&gt;"!!!"),"NEW","")))</f>
        <v> </v>
      </c>
      <c r="G3099" s="23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4" t="str">
        <f>IF(J3099&lt;&gt;1,"",IF(I3099="SBJ","CB","?"))</f>
        <v> </v>
      </c>
      <c r="I3099" s="25" t="str">
        <f>IF(OR(E3099="",E3099="!!!",F3099="NEW"),"",INDEX(B3098:B$2,-1+SUMPRODUCT(MAX(ROW(E3098:E$2)*(E3099=E3098:E$2)))))</f>
        <v> </v>
      </c>
      <c r="J3099" s="25" t="str">
        <f>IF(OR(E3099="",E3099="!!!",F3099="NEW"),"",COUNTBLANK(OFFSET(A$1,,,SUMPRODUCT(MAX(ROW(E$2:E3099)*(E3099=E$2:E3099)))))-COUNTBLANK(OFFSET(A$1,,,SUMPRODUCT(MAX(ROW(E$1:E3098)*(E2=E$1:E3098))))))</f>
        <v> </v>
      </c>
      <c r="K3099" s="25" t="str">
        <f>IF(OR(E3099="",E3099="!!!",F3099="NEW"),"",INDEX(J$1:J3098,SUMPRODUCT(MAX(ROW(E$1:E3098)*(E3099=E$1:E3098)))))</f>
        <v> </v>
      </c>
      <c r="L3099" s="26"/>
    </row>
    <row r="3100" spans="1:12">
      <c r="A3100" s="20" t="s">
        <v>123</v>
      </c>
      <c r="E3100" s="21">
        <f>IF(D3100="?OLD","!!!","")</f>
        <v/>
      </c>
      <c r="F3100" s="22" t="str">
        <f>IF(OR(E3100="",E3100="!!!"),"",IF(NOT(ISNA(VLOOKUP(E3100,E$1:E3099,1,FALSE()))),"OLD",IF(AND(E3100&lt;&gt;"",E3100&lt;&gt;"!!!"),"NEW","")))</f>
        <v> </v>
      </c>
      <c r="G3100" s="23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4" t="str">
        <f>IF(J3100&lt;&gt;1,"",IF(I3100="SBJ","CB","?"))</f>
        <v> </v>
      </c>
      <c r="I3100" s="25" t="str">
        <f>IF(OR(E3100="",E3100="!!!",F3100="NEW"),"",INDEX(B3099:B$2,-1+SUMPRODUCT(MAX(ROW(E3099:E$2)*(E3100=E3099:E$2)))))</f>
        <v> </v>
      </c>
      <c r="J3100" s="25" t="str">
        <f>IF(OR(E3100="",E3100="!!!",F3100="NEW"),"",COUNTBLANK(OFFSET(A$1,,,SUMPRODUCT(MAX(ROW(E$2:E3100)*(E3100=E$2:E3100)))))-COUNTBLANK(OFFSET(A$1,,,SUMPRODUCT(MAX(ROW(E$1:E3099)*(E2=E$1:E3099))))))</f>
        <v> </v>
      </c>
      <c r="K3100" s="25" t="str">
        <f>IF(OR(E3100="",E3100="!!!",F3100="NEW"),"",INDEX(J$1:J3099,SUMPRODUCT(MAX(ROW(E$1:E3099)*(E3100=E$1:E3099)))))</f>
        <v> </v>
      </c>
      <c r="L3100" s="26"/>
    </row>
    <row r="3101" spans="1:12">
      <c r="A3101" s="20" t="s">
        <v>863</v>
      </c>
      <c r="B3101" s="27" t="s">
        <v>838</v>
      </c>
      <c r="C3101" s="27" t="s">
        <v>828</v>
      </c>
      <c r="E3101" s="21">
        <f>IF(D3101="?OLD","!!!","")</f>
        <v/>
      </c>
      <c r="F3101" s="22" t="str">
        <f>IF(OR(E3101="",E3101="!!!"),"",IF(NOT(ISNA(VLOOKUP(E3101,E$1:E3100,1,FALSE()))),"OLD",IF(AND(E3101&lt;&gt;"",E3101&lt;&gt;"!!!"),"NEW","")))</f>
        <v> </v>
      </c>
      <c r="G3101" s="23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4" t="str">
        <f>IF(J3101&lt;&gt;1,"",IF(I3101="SBJ","CB","?"))</f>
        <v> </v>
      </c>
      <c r="I3101" s="25" t="str">
        <f>IF(OR(E3101="",E3101="!!!",F3101="NEW"),"",INDEX(B3100:B$2,-1+SUMPRODUCT(MAX(ROW(E3100:E$2)*(E3101=E3100:E$2)))))</f>
        <v> </v>
      </c>
      <c r="J3101" s="25" t="str">
        <f>IF(OR(E3101="",E3101="!!!",F3101="NEW"),"",COUNTBLANK(OFFSET(A$1,,,SUMPRODUCT(MAX(ROW(E$2:E3101)*(E3101=E$2:E3101)))))-COUNTBLANK(OFFSET(A$1,,,SUMPRODUCT(MAX(ROW(E$1:E3100)*(E2=E$1:E3100))))))</f>
        <v> </v>
      </c>
      <c r="K3101" s="25" t="str">
        <f>IF(OR(E3101="",E3101="!!!",F3101="NEW"),"",INDEX(J$1:J3100,SUMPRODUCT(MAX(ROW(E$1:E3100)*(E3101=E$1:E3100)))))</f>
        <v> </v>
      </c>
      <c r="L3101" s="26"/>
    </row>
    <row r="3102" spans="1:12">
      <c r="A3102" s="20" t="s">
        <v>765</v>
      </c>
      <c r="E3102" s="21">
        <f>IF(D3102="?OLD","!!!","")</f>
        <v/>
      </c>
      <c r="F3102" s="22" t="str">
        <f>IF(OR(E3102="",E3102="!!!"),"",IF(NOT(ISNA(VLOOKUP(E3102,E$1:E3101,1,FALSE()))),"OLD",IF(AND(E3102&lt;&gt;"",E3102&lt;&gt;"!!!"),"NEW","")))</f>
        <v> </v>
      </c>
      <c r="G3102" s="23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4" t="str">
        <f>IF(J3102&lt;&gt;1,"",IF(I3102="SBJ","CB","?"))</f>
        <v> </v>
      </c>
      <c r="I3102" s="25" t="str">
        <f>IF(OR(E3102="",E3102="!!!",F3102="NEW"),"",INDEX(B3101:B$2,-1+SUMPRODUCT(MAX(ROW(E3101:E$2)*(E3102=E3101:E$2)))))</f>
        <v> </v>
      </c>
      <c r="J3102" s="25" t="str">
        <f>IF(OR(E3102="",E3102="!!!",F3102="NEW"),"",COUNTBLANK(OFFSET(A$1,,,SUMPRODUCT(MAX(ROW(E$2:E3102)*(E3102=E$2:E3102)))))-COUNTBLANK(OFFSET(A$1,,,SUMPRODUCT(MAX(ROW(E$1:E3101)*(E2=E$1:E3101))))))</f>
        <v> </v>
      </c>
      <c r="K3102" s="25" t="str">
        <f>IF(OR(E3102="",E3102="!!!",F3102="NEW"),"",INDEX(J$1:J3101,SUMPRODUCT(MAX(ROW(E$1:E3101)*(E3102=E$1:E3101)))))</f>
        <v> </v>
      </c>
      <c r="L3102" s="26"/>
    </row>
    <row r="3103" spans="1:12">
      <c r="A3103" s="20"/>
    </row>
    <row r="3104" spans="1:12">
      <c r="A3104" s="20" t="s">
        <v>2059</v>
      </c>
    </row>
    <row r="3105" spans="1:12">
      <c r="A3105" s="20" t="s">
        <v>1987</v>
      </c>
      <c r="E3105" s="21">
        <f>IF(D3105="?OLD","!!!","")</f>
        <v/>
      </c>
      <c r="F3105" s="22" t="str">
        <f>IF(OR(E3105="",E3105="!!!"),"",IF(NOT(ISNA(VLOOKUP(E3105,E$1:E3104,1,FALSE()))),"OLD",IF(AND(E3105&lt;&gt;"",E3105&lt;&gt;"!!!"),"NEW","")))</f>
        <v> </v>
      </c>
      <c r="G3105" s="23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4" t="str">
        <f>IF(J3105&lt;&gt;1,"",IF(I3105="SBJ","CB","?"))</f>
        <v> </v>
      </c>
      <c r="I3105" s="25" t="str">
        <f>IF(OR(E3105="",E3105="!!!",F3105="NEW"),"",INDEX(B3104:B$2,-1+SUMPRODUCT(MAX(ROW(E3104:E$2)*(E3105=E3104:E$2)))))</f>
        <v> </v>
      </c>
      <c r="J3105" s="25" t="str">
        <f>IF(OR(E3105="",E3105="!!!",F3105="NEW"),"",COUNTBLANK(OFFSET(A$1,,,SUMPRODUCT(MAX(ROW(E$2:E3105)*(E3105=E$2:E3105)))))-COUNTBLANK(OFFSET(A$1,,,SUMPRODUCT(MAX(ROW(E$1:E3104)*(E2=E$1:E3104))))))</f>
        <v> </v>
      </c>
      <c r="K3105" s="25" t="str">
        <f>IF(OR(E3105="",E3105="!!!",F3105="NEW"),"",INDEX(J$1:J3104,SUMPRODUCT(MAX(ROW(E$1:E3104)*(E3105=E$1:E3104)))))</f>
        <v> </v>
      </c>
      <c r="L3105" s="26"/>
    </row>
    <row r="3106" spans="1:12">
      <c r="A3106" s="20" t="s">
        <v>739</v>
      </c>
      <c r="E3106" s="21">
        <f>IF(D3106="?OLD","!!!","")</f>
        <v/>
      </c>
      <c r="F3106" s="22" t="str">
        <f>IF(OR(E3106="",E3106="!!!"),"",IF(NOT(ISNA(VLOOKUP(E3106,E$1:E3105,1,FALSE()))),"OLD",IF(AND(E3106&lt;&gt;"",E3106&lt;&gt;"!!!"),"NEW","")))</f>
        <v> </v>
      </c>
      <c r="G3106" s="23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4" t="str">
        <f>IF(J3106&lt;&gt;1,"",IF(I3106="SBJ","CB","?"))</f>
        <v> </v>
      </c>
      <c r="I3106" s="25" t="str">
        <f>IF(OR(E3106="",E3106="!!!",F3106="NEW"),"",INDEX(B3105:B$2,-1+SUMPRODUCT(MAX(ROW(E3105:E$2)*(E3106=E3105:E$2)))))</f>
        <v> </v>
      </c>
      <c r="J3106" s="25" t="str">
        <f>IF(OR(E3106="",E3106="!!!",F3106="NEW"),"",COUNTBLANK(OFFSET(A$1,,,SUMPRODUCT(MAX(ROW(E$2:E3106)*(E3106=E$2:E3106)))))-COUNTBLANK(OFFSET(A$1,,,SUMPRODUCT(MAX(ROW(E$1:E3105)*(E2=E$1:E3105))))))</f>
        <v> </v>
      </c>
      <c r="K3106" s="25" t="str">
        <f>IF(OR(E3106="",E3106="!!!",F3106="NEW"),"",INDEX(J$1:J3105,SUMPRODUCT(MAX(ROW(E$1:E3105)*(E3106=E$1:E3105)))))</f>
        <v> </v>
      </c>
      <c r="L3106" s="26"/>
    </row>
    <row r="3107" spans="1:12">
      <c r="A3107" s="20" t="s">
        <v>2060</v>
      </c>
      <c r="E3107" s="21">
        <f>IF(D3107="?OLD","!!!","")</f>
        <v/>
      </c>
      <c r="F3107" s="22" t="str">
        <f>IF(OR(E3107="",E3107="!!!"),"",IF(NOT(ISNA(VLOOKUP(E3107,E$1:E3106,1,FALSE()))),"OLD",IF(AND(E3107&lt;&gt;"",E3107&lt;&gt;"!!!"),"NEW","")))</f>
        <v> </v>
      </c>
      <c r="G3107" s="23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4" t="str">
        <f>IF(J3107&lt;&gt;1,"",IF(I3107="SBJ","CB","?"))</f>
        <v> </v>
      </c>
      <c r="I3107" s="25" t="str">
        <f>IF(OR(E3107="",E3107="!!!",F3107="NEW"),"",INDEX(B3106:B$2,-1+SUMPRODUCT(MAX(ROW(E3106:E$2)*(E3107=E3106:E$2)))))</f>
        <v> </v>
      </c>
      <c r="J3107" s="25" t="str">
        <f>IF(OR(E3107="",E3107="!!!",F3107="NEW"),"",COUNTBLANK(OFFSET(A$1,,,SUMPRODUCT(MAX(ROW(E$2:E3107)*(E3107=E$2:E3107)))))-COUNTBLANK(OFFSET(A$1,,,SUMPRODUCT(MAX(ROW(E$1:E3106)*(E2=E$1:E3106))))))</f>
        <v> </v>
      </c>
      <c r="K3107" s="25" t="str">
        <f>IF(OR(E3107="",E3107="!!!",F3107="NEW"),"",INDEX(J$1:J3106,SUMPRODUCT(MAX(ROW(E$1:E3106)*(E3107=E$1:E3106)))))</f>
        <v> </v>
      </c>
      <c r="L3107" s="26"/>
    </row>
    <row r="3108" spans="1:12">
      <c r="A3108" s="20" t="s">
        <v>765</v>
      </c>
      <c r="E3108" s="21">
        <f>IF(D3108="?OLD","!!!","")</f>
        <v/>
      </c>
      <c r="F3108" s="22" t="str">
        <f>IF(OR(E3108="",E3108="!!!"),"",IF(NOT(ISNA(VLOOKUP(E3108,E$1:E3107,1,FALSE()))),"OLD",IF(AND(E3108&lt;&gt;"",E3108&lt;&gt;"!!!"),"NEW","")))</f>
        <v> </v>
      </c>
      <c r="G3108" s="23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4" t="str">
        <f>IF(J3108&lt;&gt;1,"",IF(I3108="SBJ","CB","?"))</f>
        <v> </v>
      </c>
      <c r="I3108" s="25" t="str">
        <f>IF(OR(E3108="",E3108="!!!",F3108="NEW"),"",INDEX(B3107:B$2,-1+SUMPRODUCT(MAX(ROW(E3107:E$2)*(E3108=E3107:E$2)))))</f>
        <v> </v>
      </c>
      <c r="J3108" s="25" t="str">
        <f>IF(OR(E3108="",E3108="!!!",F3108="NEW"),"",COUNTBLANK(OFFSET(A$1,,,SUMPRODUCT(MAX(ROW(E$2:E3108)*(E3108=E$2:E3108)))))-COUNTBLANK(OFFSET(A$1,,,SUMPRODUCT(MAX(ROW(E$1:E3107)*(E2=E$1:E3107))))))</f>
        <v> </v>
      </c>
      <c r="K3108" s="25" t="str">
        <f>IF(OR(E3108="",E3108="!!!",F3108="NEW"),"",INDEX(J$1:J3107,SUMPRODUCT(MAX(ROW(E$1:E3107)*(E3108=E$1:E3107)))))</f>
        <v> </v>
      </c>
      <c r="L3108" s="26"/>
    </row>
    <row r="3109" spans="1:12">
      <c r="A3109" s="20"/>
    </row>
    <row r="3110" spans="1:12">
      <c r="A3110" s="20" t="s">
        <v>2061</v>
      </c>
    </row>
    <row r="3111" spans="1:12">
      <c r="A3111" s="20" t="s">
        <v>1157</v>
      </c>
      <c r="B3111" s="27" t="s">
        <v>734</v>
      </c>
      <c r="C3111" s="27" t="s">
        <v>756</v>
      </c>
      <c r="D3111" s="27" t="s">
        <v>736</v>
      </c>
      <c r="E3111" s="21">
        <f>IF(D3111="?OLD","!!!","")</f>
        <v/>
      </c>
      <c r="F3111" s="22" t="str">
        <f>IF(OR(E3111="",E3111="!!!"),"",IF(NOT(ISNA(VLOOKUP(E3111,E$1:E3110,1,FALSE()))),"OLD",IF(AND(E3111&lt;&gt;"",E3111&lt;&gt;"!!!"),"NEW","")))</f>
        <v> </v>
      </c>
      <c r="G3111" s="23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4" t="str">
        <f>IF(J3111&lt;&gt;1,"",IF(I3111="SBJ","CB","?"))</f>
        <v> </v>
      </c>
      <c r="I3111" s="25" t="str">
        <f>IF(OR(E3111="",E3111="!!!",F3111="NEW"),"",INDEX(B3110:B$2,-1+SUMPRODUCT(MAX(ROW(E3110:E$2)*(E3111=E3110:E$2)))))</f>
        <v> </v>
      </c>
      <c r="J3111" s="25" t="str">
        <f>IF(OR(E3111="",E3111="!!!",F3111="NEW"),"",COUNTBLANK(OFFSET(A$1,,,SUMPRODUCT(MAX(ROW(E$2:E3111)*(E3111=E$2:E3111)))))-COUNTBLANK(OFFSET(A$1,,,SUMPRODUCT(MAX(ROW(E$1:E3110)*(E2=E$1:E3110))))))</f>
        <v> </v>
      </c>
      <c r="K3111" s="25" t="str">
        <f>IF(OR(E3111="",E3111="!!!",F3111="NEW"),"",INDEX(J$1:J3110,SUMPRODUCT(MAX(ROW(E$1:E3110)*(E3111=E$1:E3110)))))</f>
        <v> </v>
      </c>
      <c r="L3111" s="26"/>
    </row>
    <row r="3112" spans="1:12">
      <c r="A3112" s="20" t="s">
        <v>2062</v>
      </c>
      <c r="E3112" s="21">
        <f>IF(D3112="?OLD","!!!","")</f>
        <v/>
      </c>
      <c r="F3112" s="22" t="str">
        <f>IF(OR(E3112="",E3112="!!!"),"",IF(NOT(ISNA(VLOOKUP(E3112,E$1:E3111,1,FALSE()))),"OLD",IF(AND(E3112&lt;&gt;"",E3112&lt;&gt;"!!!"),"NEW","")))</f>
        <v> </v>
      </c>
      <c r="G3112" s="23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4" t="str">
        <f>IF(J3112&lt;&gt;1,"",IF(I3112="SBJ","CB","?"))</f>
        <v> </v>
      </c>
      <c r="I3112" s="25" t="str">
        <f>IF(OR(E3112="",E3112="!!!",F3112="NEW"),"",INDEX(B3111:B$2,-1+SUMPRODUCT(MAX(ROW(E3111:E$2)*(E3112=E3111:E$2)))))</f>
        <v> </v>
      </c>
      <c r="J3112" s="25" t="str">
        <f>IF(OR(E3112="",E3112="!!!",F3112="NEW"),"",COUNTBLANK(OFFSET(A$1,,,SUMPRODUCT(MAX(ROW(E$2:E3112)*(E3112=E$2:E3112)))))-COUNTBLANK(OFFSET(A$1,,,SUMPRODUCT(MAX(ROW(E$1:E3111)*(E2=E$1:E3111))))))</f>
        <v> </v>
      </c>
      <c r="K3112" s="25" t="str">
        <f>IF(OR(E3112="",E3112="!!!",F3112="NEW"),"",INDEX(J$1:J3111,SUMPRODUCT(MAX(ROW(E$1:E3111)*(E3112=E$1:E3111)))))</f>
        <v> </v>
      </c>
      <c r="L3112" s="26"/>
    </row>
    <row r="3113" spans="1:12">
      <c r="A3113" s="20" t="s">
        <v>763</v>
      </c>
      <c r="E3113" s="21">
        <f>IF(D3113="?OLD","!!!","")</f>
        <v/>
      </c>
      <c r="F3113" s="22" t="str">
        <f>IF(OR(E3113="",E3113="!!!"),"",IF(NOT(ISNA(VLOOKUP(E3113,E$1:E3112,1,FALSE()))),"OLD",IF(AND(E3113&lt;&gt;"",E3113&lt;&gt;"!!!"),"NEW","")))</f>
        <v> </v>
      </c>
      <c r="G3113" s="23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4" t="str">
        <f>IF(J3113&lt;&gt;1,"",IF(I3113="SBJ","CB","?"))</f>
        <v> </v>
      </c>
      <c r="I3113" s="25" t="str">
        <f>IF(OR(E3113="",E3113="!!!",F3113="NEW"),"",INDEX(B3112:B$2,-1+SUMPRODUCT(MAX(ROW(E3112:E$2)*(E3113=E3112:E$2)))))</f>
        <v> </v>
      </c>
      <c r="J3113" s="25" t="str">
        <f>IF(OR(E3113="",E3113="!!!",F3113="NEW"),"",COUNTBLANK(OFFSET(A$1,,,SUMPRODUCT(MAX(ROW(E$2:E3113)*(E3113=E$2:E3113)))))-COUNTBLANK(OFFSET(A$1,,,SUMPRODUCT(MAX(ROW(E$1:E3112)*(E2=E$1:E3112))))))</f>
        <v> </v>
      </c>
      <c r="K3113" s="25" t="str">
        <f>IF(OR(E3113="",E3113="!!!",F3113="NEW"),"",INDEX(J$1:J3112,SUMPRODUCT(MAX(ROW(E$1:E3112)*(E3113=E$1:E3112)))))</f>
        <v> </v>
      </c>
      <c r="L3113" s="26"/>
    </row>
    <row r="3114" spans="1:12">
      <c r="A3114" s="20" t="s">
        <v>1287</v>
      </c>
      <c r="E3114" s="21">
        <f>IF(D3114="?OLD","!!!","")</f>
        <v/>
      </c>
      <c r="F3114" s="22" t="str">
        <f>IF(OR(E3114="",E3114="!!!"),"",IF(NOT(ISNA(VLOOKUP(E3114,E$1:E3113,1,FALSE()))),"OLD",IF(AND(E3114&lt;&gt;"",E3114&lt;&gt;"!!!"),"NEW","")))</f>
        <v> </v>
      </c>
      <c r="G3114" s="23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4" t="str">
        <f>IF(J3114&lt;&gt;1,"",IF(I3114="SBJ","CB","?"))</f>
        <v> </v>
      </c>
      <c r="I3114" s="25" t="str">
        <f>IF(OR(E3114="",E3114="!!!",F3114="NEW"),"",INDEX(B3113:B$2,-1+SUMPRODUCT(MAX(ROW(E3113:E$2)*(E3114=E3113:E$2)))))</f>
        <v> </v>
      </c>
      <c r="J3114" s="25" t="str">
        <f>IF(OR(E3114="",E3114="!!!",F3114="NEW"),"",COUNTBLANK(OFFSET(A$1,,,SUMPRODUCT(MAX(ROW(E$2:E3114)*(E3114=E$2:E3114)))))-COUNTBLANK(OFFSET(A$1,,,SUMPRODUCT(MAX(ROW(E$1:E3113)*(E2=E$1:E3113))))))</f>
        <v> </v>
      </c>
      <c r="K3114" s="25" t="str">
        <f>IF(OR(E3114="",E3114="!!!",F3114="NEW"),"",INDEX(J$1:J3113,SUMPRODUCT(MAX(ROW(E$1:E3113)*(E3114=E$1:E3113)))))</f>
        <v> </v>
      </c>
      <c r="L3114" s="26"/>
    </row>
    <row r="3115" spans="1:12">
      <c r="A3115" s="20" t="s">
        <v>123</v>
      </c>
      <c r="E3115" s="21">
        <f>IF(D3115="?OLD","!!!","")</f>
        <v/>
      </c>
      <c r="F3115" s="22" t="str">
        <f>IF(OR(E3115="",E3115="!!!"),"",IF(NOT(ISNA(VLOOKUP(E3115,E$1:E3114,1,FALSE()))),"OLD",IF(AND(E3115&lt;&gt;"",E3115&lt;&gt;"!!!"),"NEW","")))</f>
        <v> </v>
      </c>
      <c r="G3115" s="23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4" t="str">
        <f>IF(J3115&lt;&gt;1,"",IF(I3115="SBJ","CB","?"))</f>
        <v> </v>
      </c>
      <c r="I3115" s="25" t="str">
        <f>IF(OR(E3115="",E3115="!!!",F3115="NEW"),"",INDEX(B3114:B$2,-1+SUMPRODUCT(MAX(ROW(E3114:E$2)*(E3115=E3114:E$2)))))</f>
        <v> </v>
      </c>
      <c r="J3115" s="25" t="str">
        <f>IF(OR(E3115="",E3115="!!!",F3115="NEW"),"",COUNTBLANK(OFFSET(A$1,,,SUMPRODUCT(MAX(ROW(E$2:E3115)*(E3115=E$2:E3115)))))-COUNTBLANK(OFFSET(A$1,,,SUMPRODUCT(MAX(ROW(E$1:E3114)*(E2=E$1:E3114))))))</f>
        <v> </v>
      </c>
      <c r="K3115" s="25" t="str">
        <f>IF(OR(E3115="",E3115="!!!",F3115="NEW"),"",INDEX(J$1:J3114,SUMPRODUCT(MAX(ROW(E$1:E3114)*(E3115=E$1:E3114)))))</f>
        <v> </v>
      </c>
      <c r="L3115" s="26"/>
    </row>
    <row r="3116" spans="1:12">
      <c r="A3116" s="20" t="s">
        <v>863</v>
      </c>
      <c r="B3116" s="27" t="s">
        <v>838</v>
      </c>
      <c r="C3116" s="27" t="s">
        <v>828</v>
      </c>
      <c r="E3116" s="21">
        <f>IF(D3116="?OLD","!!!","")</f>
        <v/>
      </c>
      <c r="F3116" s="22" t="str">
        <f>IF(OR(E3116="",E3116="!!!"),"",IF(NOT(ISNA(VLOOKUP(E3116,E$1:E3115,1,FALSE()))),"OLD",IF(AND(E3116&lt;&gt;"",E3116&lt;&gt;"!!!"),"NEW","")))</f>
        <v> </v>
      </c>
      <c r="G3116" s="23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4" t="str">
        <f>IF(J3116&lt;&gt;1,"",IF(I3116="SBJ","CB","?"))</f>
        <v> </v>
      </c>
      <c r="I3116" s="25" t="str">
        <f>IF(OR(E3116="",E3116="!!!",F3116="NEW"),"",INDEX(B3115:B$2,-1+SUMPRODUCT(MAX(ROW(E3115:E$2)*(E3116=E3115:E$2)))))</f>
        <v> </v>
      </c>
      <c r="J3116" s="25" t="str">
        <f>IF(OR(E3116="",E3116="!!!",F3116="NEW"),"",COUNTBLANK(OFFSET(A$1,,,SUMPRODUCT(MAX(ROW(E$2:E3116)*(E3116=E$2:E3116)))))-COUNTBLANK(OFFSET(A$1,,,SUMPRODUCT(MAX(ROW(E$1:E3115)*(E2=E$1:E3115))))))</f>
        <v> </v>
      </c>
      <c r="K3116" s="25" t="str">
        <f>IF(OR(E3116="",E3116="!!!",F3116="NEW"),"",INDEX(J$1:J3115,SUMPRODUCT(MAX(ROW(E$1:E3115)*(E3116=E$1:E3115)))))</f>
        <v> </v>
      </c>
      <c r="L3116" s="26"/>
    </row>
    <row r="3117" spans="1:12">
      <c r="A3117" s="20" t="s">
        <v>2063</v>
      </c>
      <c r="E3117" s="21">
        <f>IF(D3117="?OLD","!!!","")</f>
        <v/>
      </c>
      <c r="F3117" s="22" t="str">
        <f>IF(OR(E3117="",E3117="!!!"),"",IF(NOT(ISNA(VLOOKUP(E3117,E$1:E3116,1,FALSE()))),"OLD",IF(AND(E3117&lt;&gt;"",E3117&lt;&gt;"!!!"),"NEW","")))</f>
        <v> </v>
      </c>
      <c r="G3117" s="23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4" t="str">
        <f>IF(J3117&lt;&gt;1,"",IF(I3117="SBJ","CB","?"))</f>
        <v> </v>
      </c>
      <c r="I3117" s="25" t="str">
        <f>IF(OR(E3117="",E3117="!!!",F3117="NEW"),"",INDEX(B3116:B$2,-1+SUMPRODUCT(MAX(ROW(E3116:E$2)*(E3117=E3116:E$2)))))</f>
        <v> </v>
      </c>
      <c r="J3117" s="25" t="str">
        <f>IF(OR(E3117="",E3117="!!!",F3117="NEW"),"",COUNTBLANK(OFFSET(A$1,,,SUMPRODUCT(MAX(ROW(E$2:E3117)*(E3117=E$2:E3117)))))-COUNTBLANK(OFFSET(A$1,,,SUMPRODUCT(MAX(ROW(E$1:E3116)*(E2=E$1:E3116))))))</f>
        <v> </v>
      </c>
      <c r="K3117" s="25" t="str">
        <f>IF(OR(E3117="",E3117="!!!",F3117="NEW"),"",INDEX(J$1:J3116,SUMPRODUCT(MAX(ROW(E$1:E3116)*(E3117=E$1:E3116)))))</f>
        <v> </v>
      </c>
      <c r="L3117" s="26"/>
    </row>
    <row r="3118" spans="1:12">
      <c r="A3118" s="20" t="s">
        <v>851</v>
      </c>
      <c r="E3118" s="21">
        <f>IF(D3118="?OLD","!!!","")</f>
        <v/>
      </c>
      <c r="F3118" s="22" t="str">
        <f>IF(OR(E3118="",E3118="!!!"),"",IF(NOT(ISNA(VLOOKUP(E3118,E$1:E3117,1,FALSE()))),"OLD",IF(AND(E3118&lt;&gt;"",E3118&lt;&gt;"!!!"),"NEW","")))</f>
        <v> </v>
      </c>
      <c r="G3118" s="23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4" t="str">
        <f>IF(J3118&lt;&gt;1,"",IF(I3118="SBJ","CB","?"))</f>
        <v> </v>
      </c>
      <c r="I3118" s="25" t="str">
        <f>IF(OR(E3118="",E3118="!!!",F3118="NEW"),"",INDEX(B3117:B$2,-1+SUMPRODUCT(MAX(ROW(E3117:E$2)*(E3118=E3117:E$2)))))</f>
        <v> </v>
      </c>
      <c r="J3118" s="25" t="str">
        <f>IF(OR(E3118="",E3118="!!!",F3118="NEW"),"",COUNTBLANK(OFFSET(A$1,,,SUMPRODUCT(MAX(ROW(E$2:E3118)*(E3118=E$2:E3118)))))-COUNTBLANK(OFFSET(A$1,,,SUMPRODUCT(MAX(ROW(E$1:E3117)*(E2=E$1:E3117))))))</f>
        <v> </v>
      </c>
      <c r="K3118" s="25" t="str">
        <f>IF(OR(E3118="",E3118="!!!",F3118="NEW"),"",INDEX(J$1:J3117,SUMPRODUCT(MAX(ROW(E$1:E3117)*(E3118=E$1:E3117)))))</f>
        <v> </v>
      </c>
      <c r="L3118" s="26"/>
    </row>
    <row r="3119" spans="1:12">
      <c r="A3119" s="20" t="s">
        <v>13</v>
      </c>
      <c r="B3119" s="27" t="s">
        <v>819</v>
      </c>
      <c r="C3119" s="27" t="s">
        <v>934</v>
      </c>
      <c r="D3119" s="27" t="s">
        <v>736</v>
      </c>
      <c r="E3119" s="21">
        <f>IF(D3119="?OLD","!!!","")</f>
        <v/>
      </c>
      <c r="F3119" s="22" t="str">
        <f>IF(OR(E3119="",E3119="!!!"),"",IF(NOT(ISNA(VLOOKUP(E3119,E$1:E3118,1,FALSE()))),"OLD",IF(AND(E3119&lt;&gt;"",E3119&lt;&gt;"!!!"),"NEW","")))</f>
        <v> </v>
      </c>
      <c r="G3119" s="23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4" t="str">
        <f>IF(J3119&lt;&gt;1,"",IF(I3119="SBJ","CB","?"))</f>
        <v> </v>
      </c>
      <c r="I3119" s="25" t="str">
        <f>IF(OR(E3119="",E3119="!!!",F3119="NEW"),"",INDEX(B3118:B$2,-1+SUMPRODUCT(MAX(ROW(E3118:E$2)*(E3119=E3118:E$2)))))</f>
        <v> </v>
      </c>
      <c r="J3119" s="25" t="str">
        <f>IF(OR(E3119="",E3119="!!!",F3119="NEW"),"",COUNTBLANK(OFFSET(A$1,,,SUMPRODUCT(MAX(ROW(E$2:E3119)*(E3119=E$2:E3119)))))-COUNTBLANK(OFFSET(A$1,,,SUMPRODUCT(MAX(ROW(E$1:E3118)*(E2=E$1:E3118))))))</f>
        <v> </v>
      </c>
      <c r="K3119" s="25" t="str">
        <f>IF(OR(E3119="",E3119="!!!",F3119="NEW"),"",INDEX(J$1:J3118,SUMPRODUCT(MAX(ROW(E$1:E3118)*(E3119=E$1:E3118)))))</f>
        <v> </v>
      </c>
      <c r="L3119" s="26"/>
    </row>
    <row r="3120" spans="1:12">
      <c r="A3120" s="20" t="s">
        <v>744</v>
      </c>
      <c r="E3120" s="21">
        <f>IF(D3120="?OLD","!!!","")</f>
        <v/>
      </c>
      <c r="F3120" s="22" t="str">
        <f>IF(OR(E3120="",E3120="!!!"),"",IF(NOT(ISNA(VLOOKUP(E3120,E$1:E3119,1,FALSE()))),"OLD",IF(AND(E3120&lt;&gt;"",E3120&lt;&gt;"!!!"),"NEW","")))</f>
        <v> </v>
      </c>
      <c r="G3120" s="23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4" t="str">
        <f>IF(J3120&lt;&gt;1,"",IF(I3120="SBJ","CB","?"))</f>
        <v> </v>
      </c>
      <c r="I3120" s="25" t="str">
        <f>IF(OR(E3120="",E3120="!!!",F3120="NEW"),"",INDEX(B3119:B$2,-1+SUMPRODUCT(MAX(ROW(E3119:E$2)*(E3120=E3119:E$2)))))</f>
        <v> </v>
      </c>
      <c r="J3120" s="25" t="str">
        <f>IF(OR(E3120="",E3120="!!!",F3120="NEW"),"",COUNTBLANK(OFFSET(A$1,,,SUMPRODUCT(MAX(ROW(E$2:E3120)*(E3120=E$2:E3120)))))-COUNTBLANK(OFFSET(A$1,,,SUMPRODUCT(MAX(ROW(E$1:E3119)*(E2=E$1:E3119))))))</f>
        <v> </v>
      </c>
      <c r="K3120" s="25" t="str">
        <f>IF(OR(E3120="",E3120="!!!",F3120="NEW"),"",INDEX(J$1:J3119,SUMPRODUCT(MAX(ROW(E$1:E3119)*(E3120=E$1:E3119)))))</f>
        <v> </v>
      </c>
      <c r="L3120" s="26"/>
    </row>
    <row r="3121" spans="1:12">
      <c r="A3121" s="20" t="s">
        <v>763</v>
      </c>
      <c r="E3121" s="21">
        <f>IF(D3121="?OLD","!!!","")</f>
        <v/>
      </c>
      <c r="F3121" s="22" t="str">
        <f>IF(OR(E3121="",E3121="!!!"),"",IF(NOT(ISNA(VLOOKUP(E3121,E$1:E3120,1,FALSE()))),"OLD",IF(AND(E3121&lt;&gt;"",E3121&lt;&gt;"!!!"),"NEW","")))</f>
        <v> </v>
      </c>
      <c r="G3121" s="23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4" t="str">
        <f>IF(J3121&lt;&gt;1,"",IF(I3121="SBJ","CB","?"))</f>
        <v> </v>
      </c>
      <c r="I3121" s="25" t="str">
        <f>IF(OR(E3121="",E3121="!!!",F3121="NEW"),"",INDEX(B3120:B$2,-1+SUMPRODUCT(MAX(ROW(E3120:E$2)*(E3121=E3120:E$2)))))</f>
        <v> </v>
      </c>
      <c r="J3121" s="25" t="str">
        <f>IF(OR(E3121="",E3121="!!!",F3121="NEW"),"",COUNTBLANK(OFFSET(A$1,,,SUMPRODUCT(MAX(ROW(E$2:E3121)*(E3121=E$2:E3121)))))-COUNTBLANK(OFFSET(A$1,,,SUMPRODUCT(MAX(ROW(E$1:E3120)*(E2=E$1:E3120))))))</f>
        <v> </v>
      </c>
      <c r="K3121" s="25" t="str">
        <f>IF(OR(E3121="",E3121="!!!",F3121="NEW"),"",INDEX(J$1:J3120,SUMPRODUCT(MAX(ROW(E$1:E3120)*(E3121=E$1:E3120)))))</f>
        <v> </v>
      </c>
      <c r="L3121" s="26"/>
    </row>
    <row r="3122" spans="1:12">
      <c r="A3122" s="20" t="s">
        <v>1018</v>
      </c>
      <c r="E3122" s="21">
        <f>IF(D3122="?OLD","!!!","")</f>
        <v/>
      </c>
      <c r="F3122" s="22" t="str">
        <f>IF(OR(E3122="",E3122="!!!"),"",IF(NOT(ISNA(VLOOKUP(E3122,E$1:E3121,1,FALSE()))),"OLD",IF(AND(E3122&lt;&gt;"",E3122&lt;&gt;"!!!"),"NEW","")))</f>
        <v> </v>
      </c>
      <c r="G3122" s="23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4" t="str">
        <f>IF(J3122&lt;&gt;1,"",IF(I3122="SBJ","CB","?"))</f>
        <v> </v>
      </c>
      <c r="I3122" s="25" t="str">
        <f>IF(OR(E3122="",E3122="!!!",F3122="NEW"),"",INDEX(B3121:B$2,-1+SUMPRODUCT(MAX(ROW(E3121:E$2)*(E3122=E3121:E$2)))))</f>
        <v> </v>
      </c>
      <c r="J3122" s="25" t="str">
        <f>IF(OR(E3122="",E3122="!!!",F3122="NEW"),"",COUNTBLANK(OFFSET(A$1,,,SUMPRODUCT(MAX(ROW(E$2:E3122)*(E3122=E$2:E3122)))))-COUNTBLANK(OFFSET(A$1,,,SUMPRODUCT(MAX(ROW(E$1:E3121)*(E2=E$1:E3121))))))</f>
        <v> </v>
      </c>
      <c r="K3122" s="25" t="str">
        <f>IF(OR(E3122="",E3122="!!!",F3122="NEW"),"",INDEX(J$1:J3121,SUMPRODUCT(MAX(ROW(E$1:E3121)*(E3122=E$1:E3121)))))</f>
        <v> </v>
      </c>
      <c r="L3122" s="26"/>
    </row>
    <row r="3123" spans="1:12">
      <c r="A3123" s="20" t="s">
        <v>826</v>
      </c>
      <c r="B3123" s="27" t="s">
        <v>887</v>
      </c>
      <c r="C3123" s="27" t="s">
        <v>756</v>
      </c>
      <c r="D3123" s="27" t="s">
        <v>736</v>
      </c>
      <c r="E3123" s="21">
        <f>IF(D3123="?OLD","!!!","")</f>
        <v/>
      </c>
      <c r="F3123" s="22" t="str">
        <f>IF(OR(E3123="",E3123="!!!"),"",IF(NOT(ISNA(VLOOKUP(E3123,E$1:E3122,1,FALSE()))),"OLD",IF(AND(E3123&lt;&gt;"",E3123&lt;&gt;"!!!"),"NEW","")))</f>
        <v> </v>
      </c>
      <c r="G3123" s="23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4" t="str">
        <f>IF(J3123&lt;&gt;1,"",IF(I3123="SBJ","CB","?"))</f>
        <v> </v>
      </c>
      <c r="I3123" s="25" t="str">
        <f>IF(OR(E3123="",E3123="!!!",F3123="NEW"),"",INDEX(B3122:B$2,-1+SUMPRODUCT(MAX(ROW(E3122:E$2)*(E3123=E3122:E$2)))))</f>
        <v> </v>
      </c>
      <c r="J3123" s="25" t="str">
        <f>IF(OR(E3123="",E3123="!!!",F3123="NEW"),"",COUNTBLANK(OFFSET(A$1,,,SUMPRODUCT(MAX(ROW(E$2:E3123)*(E3123=E$2:E3123)))))-COUNTBLANK(OFFSET(A$1,,,SUMPRODUCT(MAX(ROW(E$1:E3122)*(E2=E$1:E3122))))))</f>
        <v> </v>
      </c>
      <c r="K3123" s="25" t="str">
        <f>IF(OR(E3123="",E3123="!!!",F3123="NEW"),"",INDEX(J$1:J3122,SUMPRODUCT(MAX(ROW(E$1:E3122)*(E3123=E$1:E3122)))))</f>
        <v> </v>
      </c>
      <c r="L3123" s="26"/>
    </row>
    <row r="3124" spans="1:12">
      <c r="A3124" s="20" t="s">
        <v>2064</v>
      </c>
      <c r="E3124" s="21">
        <f>IF(D3124="?OLD","!!!","")</f>
        <v/>
      </c>
      <c r="F3124" s="22" t="str">
        <f>IF(OR(E3124="",E3124="!!!"),"",IF(NOT(ISNA(VLOOKUP(E3124,E$1:E3123,1,FALSE()))),"OLD",IF(AND(E3124&lt;&gt;"",E3124&lt;&gt;"!!!"),"NEW","")))</f>
        <v> </v>
      </c>
      <c r="G3124" s="23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4" t="str">
        <f>IF(J3124&lt;&gt;1,"",IF(I3124="SBJ","CB","?"))</f>
        <v> </v>
      </c>
      <c r="I3124" s="25" t="str">
        <f>IF(OR(E3124="",E3124="!!!",F3124="NEW"),"",INDEX(B3123:B$2,-1+SUMPRODUCT(MAX(ROW(E3123:E$2)*(E3124=E3123:E$2)))))</f>
        <v> </v>
      </c>
      <c r="J3124" s="25" t="str">
        <f>IF(OR(E3124="",E3124="!!!",F3124="NEW"),"",COUNTBLANK(OFFSET(A$1,,,SUMPRODUCT(MAX(ROW(E$2:E3124)*(E3124=E$2:E3124)))))-COUNTBLANK(OFFSET(A$1,,,SUMPRODUCT(MAX(ROW(E$1:E3123)*(E2=E$1:E3123))))))</f>
        <v> </v>
      </c>
      <c r="K3124" s="25" t="str">
        <f>IF(OR(E3124="",E3124="!!!",F3124="NEW"),"",INDEX(J$1:J3123,SUMPRODUCT(MAX(ROW(E$1:E3123)*(E3124=E$1:E3123)))))</f>
        <v> </v>
      </c>
      <c r="L3124" s="26"/>
    </row>
    <row r="3125" spans="1:12">
      <c r="A3125" s="20" t="s">
        <v>2065</v>
      </c>
      <c r="E3125" s="21">
        <f>IF(D3125="?OLD","!!!","")</f>
        <v/>
      </c>
      <c r="F3125" s="22" t="str">
        <f>IF(OR(E3125="",E3125="!!!"),"",IF(NOT(ISNA(VLOOKUP(E3125,E$1:E3124,1,FALSE()))),"OLD",IF(AND(E3125&lt;&gt;"",E3125&lt;&gt;"!!!"),"NEW","")))</f>
        <v> </v>
      </c>
      <c r="G3125" s="23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4" t="str">
        <f>IF(J3125&lt;&gt;1,"",IF(I3125="SBJ","CB","?"))</f>
        <v> </v>
      </c>
      <c r="I3125" s="25" t="str">
        <f>IF(OR(E3125="",E3125="!!!",F3125="NEW"),"",INDEX(B3124:B$2,-1+SUMPRODUCT(MAX(ROW(E3124:E$2)*(E3125=E3124:E$2)))))</f>
        <v> </v>
      </c>
      <c r="J3125" s="25" t="str">
        <f>IF(OR(E3125="",E3125="!!!",F3125="NEW"),"",COUNTBLANK(OFFSET(A$1,,,SUMPRODUCT(MAX(ROW(E$2:E3125)*(E3125=E$2:E3125)))))-COUNTBLANK(OFFSET(A$1,,,SUMPRODUCT(MAX(ROW(E$1:E3124)*(E2=E$1:E3124))))))</f>
        <v> </v>
      </c>
      <c r="K3125" s="25" t="str">
        <f>IF(OR(E3125="",E3125="!!!",F3125="NEW"),"",INDEX(J$1:J3124,SUMPRODUCT(MAX(ROW(E$1:E3124)*(E3125=E$1:E3124)))))</f>
        <v> </v>
      </c>
      <c r="L3125" s="26"/>
    </row>
    <row r="3126" spans="1:12">
      <c r="A3126" s="20" t="s">
        <v>2020</v>
      </c>
      <c r="B3126" s="27" t="s">
        <v>887</v>
      </c>
      <c r="E3126" s="21">
        <f>IF(D3126="?OLD","!!!","")</f>
        <v/>
      </c>
      <c r="F3126" s="22" t="str">
        <f>IF(OR(E3126="",E3126="!!!"),"",IF(NOT(ISNA(VLOOKUP(E3126,E$1:E3125,1,FALSE()))),"OLD",IF(AND(E3126&lt;&gt;"",E3126&lt;&gt;"!!!"),"NEW","")))</f>
        <v> </v>
      </c>
      <c r="G3126" s="23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4" t="str">
        <f>IF(J3126&lt;&gt;1,"",IF(I3126="SBJ","CB","?"))</f>
        <v> </v>
      </c>
      <c r="I3126" s="25" t="str">
        <f>IF(OR(E3126="",E3126="!!!",F3126="NEW"),"",INDEX(B3125:B$2,-1+SUMPRODUCT(MAX(ROW(E3125:E$2)*(E3126=E3125:E$2)))))</f>
        <v> </v>
      </c>
      <c r="J3126" s="25" t="str">
        <f>IF(OR(E3126="",E3126="!!!",F3126="NEW"),"",COUNTBLANK(OFFSET(A$1,,,SUMPRODUCT(MAX(ROW(E$2:E3126)*(E3126=E$2:E3126)))))-COUNTBLANK(OFFSET(A$1,,,SUMPRODUCT(MAX(ROW(E$1:E3125)*(E2=E$1:E3125))))))</f>
        <v> </v>
      </c>
      <c r="K3126" s="25" t="str">
        <f>IF(OR(E3126="",E3126="!!!",F3126="NEW"),"",INDEX(J$1:J3125,SUMPRODUCT(MAX(ROW(E$1:E3125)*(E3126=E$1:E3125)))))</f>
        <v> </v>
      </c>
      <c r="L3126" s="26"/>
    </row>
    <row r="3127" spans="1:12">
      <c r="A3127" s="20" t="s">
        <v>765</v>
      </c>
      <c r="E3127" s="21">
        <f>IF(D3127="?OLD","!!!","")</f>
        <v/>
      </c>
      <c r="F3127" s="22" t="str">
        <f>IF(OR(E3127="",E3127="!!!"),"",IF(NOT(ISNA(VLOOKUP(E3127,E$1:E3126,1,FALSE()))),"OLD",IF(AND(E3127&lt;&gt;"",E3127&lt;&gt;"!!!"),"NEW","")))</f>
        <v> </v>
      </c>
      <c r="G3127" s="23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4" t="str">
        <f>IF(J3127&lt;&gt;1,"",IF(I3127="SBJ","CB","?"))</f>
        <v> </v>
      </c>
      <c r="I3127" s="25" t="str">
        <f>IF(OR(E3127="",E3127="!!!",F3127="NEW"),"",INDEX(B3126:B$2,-1+SUMPRODUCT(MAX(ROW(E3126:E$2)*(E3127=E3126:E$2)))))</f>
        <v> </v>
      </c>
      <c r="J3127" s="25" t="str">
        <f>IF(OR(E3127="",E3127="!!!",F3127="NEW"),"",COUNTBLANK(OFFSET(A$1,,,SUMPRODUCT(MAX(ROW(E$2:E3127)*(E3127=E$2:E3127)))))-COUNTBLANK(OFFSET(A$1,,,SUMPRODUCT(MAX(ROW(E$1:E3126)*(E2=E$1:E3126))))))</f>
        <v> </v>
      </c>
      <c r="K3127" s="25" t="str">
        <f>IF(OR(E3127="",E3127="!!!",F3127="NEW"),"",INDEX(J$1:J3126,SUMPRODUCT(MAX(ROW(E$1:E3126)*(E3127=E$1:E3126)))))</f>
        <v> </v>
      </c>
      <c r="L3127" s="26"/>
    </row>
    <row r="3128" spans="1:12">
      <c r="A3128" s="20"/>
    </row>
    <row r="3129" spans="1:12">
      <c r="A3129" s="20" t="s">
        <v>2066</v>
      </c>
    </row>
    <row r="3130" spans="1:12">
      <c r="A3130" s="20" t="s">
        <v>813</v>
      </c>
      <c r="B3130" s="27" t="s">
        <v>838</v>
      </c>
      <c r="C3130" s="27" t="s">
        <v>1010</v>
      </c>
      <c r="D3130" s="27" t="s">
        <v>736</v>
      </c>
      <c r="E3130" s="21">
        <f>IF(D3130="?OLD","!!!","")</f>
        <v/>
      </c>
      <c r="F3130" s="22" t="str">
        <f>IF(OR(E3130="",E3130="!!!"),"",IF(NOT(ISNA(VLOOKUP(E3130,E$1:E3129,1,FALSE()))),"OLD",IF(AND(E3130&lt;&gt;"",E3130&lt;&gt;"!!!"),"NEW","")))</f>
        <v> </v>
      </c>
      <c r="G3130" s="23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4" t="str">
        <f>IF(J3130&lt;&gt;1,"",IF(I3130="SBJ","CB","?"))</f>
        <v> </v>
      </c>
      <c r="I3130" s="25" t="str">
        <f>IF(OR(E3130="",E3130="!!!",F3130="NEW"),"",INDEX(B3129:B$2,-1+SUMPRODUCT(MAX(ROW(E3129:E$2)*(E3130=E3129:E$2)))))</f>
        <v> </v>
      </c>
      <c r="J3130" s="25" t="str">
        <f>IF(OR(E3130="",E3130="!!!",F3130="NEW"),"",COUNTBLANK(OFFSET(A$1,,,SUMPRODUCT(MAX(ROW(E$2:E3130)*(E3130=E$2:E3130)))))-COUNTBLANK(OFFSET(A$1,,,SUMPRODUCT(MAX(ROW(E$1:E3129)*(E2=E$1:E3129))))))</f>
        <v> </v>
      </c>
      <c r="K3130" s="25" t="str">
        <f>IF(OR(E3130="",E3130="!!!",F3130="NEW"),"",INDEX(J$1:J3129,SUMPRODUCT(MAX(ROW(E$1:E3129)*(E3130=E$1:E3129)))))</f>
        <v> </v>
      </c>
      <c r="L3130" s="26"/>
    </row>
    <row r="3131" spans="1:12">
      <c r="A3131" s="20" t="s">
        <v>881</v>
      </c>
      <c r="E3131" s="21">
        <f>IF(D3131="?OLD","!!!","")</f>
        <v/>
      </c>
      <c r="F3131" s="22" t="str">
        <f>IF(OR(E3131="",E3131="!!!"),"",IF(NOT(ISNA(VLOOKUP(E3131,E$1:E3130,1,FALSE()))),"OLD",IF(AND(E3131&lt;&gt;"",E3131&lt;&gt;"!!!"),"NEW","")))</f>
        <v> </v>
      </c>
      <c r="G3131" s="23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4" t="str">
        <f>IF(J3131&lt;&gt;1,"",IF(I3131="SBJ","CB","?"))</f>
        <v> </v>
      </c>
      <c r="I3131" s="25" t="str">
        <f>IF(OR(E3131="",E3131="!!!",F3131="NEW"),"",INDEX(B3130:B$2,-1+SUMPRODUCT(MAX(ROW(E3130:E$2)*(E3131=E3130:E$2)))))</f>
        <v> </v>
      </c>
      <c r="J3131" s="25" t="str">
        <f>IF(OR(E3131="",E3131="!!!",F3131="NEW"),"",COUNTBLANK(OFFSET(A$1,,,SUMPRODUCT(MAX(ROW(E$2:E3131)*(E3131=E$2:E3131)))))-COUNTBLANK(OFFSET(A$1,,,SUMPRODUCT(MAX(ROW(E$1:E3130)*(E2=E$1:E3130))))))</f>
        <v> </v>
      </c>
      <c r="K3131" s="25" t="str">
        <f>IF(OR(E3131="",E3131="!!!",F3131="NEW"),"",INDEX(J$1:J3130,SUMPRODUCT(MAX(ROW(E$1:E3130)*(E3131=E$1:E3130)))))</f>
        <v> </v>
      </c>
      <c r="L3131" s="26"/>
    </row>
    <row r="3132" spans="1:12">
      <c r="A3132" s="20" t="s">
        <v>851</v>
      </c>
      <c r="B3132" s="27" t="s">
        <v>838</v>
      </c>
      <c r="C3132" s="27" t="s">
        <v>788</v>
      </c>
      <c r="D3132" s="27" t="s">
        <v>736</v>
      </c>
      <c r="E3132" s="21">
        <f>IF(D3132="?OLD","!!!","")</f>
        <v/>
      </c>
      <c r="F3132" s="22" t="str">
        <f>IF(OR(E3132="",E3132="!!!"),"",IF(NOT(ISNA(VLOOKUP(E3132,E$1:E3131,1,FALSE()))),"OLD",IF(AND(E3132&lt;&gt;"",E3132&lt;&gt;"!!!"),"NEW","")))</f>
        <v> </v>
      </c>
      <c r="G3132" s="23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4" t="str">
        <f>IF(J3132&lt;&gt;1,"",IF(I3132="SBJ","CB","?"))</f>
        <v> </v>
      </c>
      <c r="I3132" s="25" t="str">
        <f>IF(OR(E3132="",E3132="!!!",F3132="NEW"),"",INDEX(B3131:B$2,-1+SUMPRODUCT(MAX(ROW(E3131:E$2)*(E3132=E3131:E$2)))))</f>
        <v> </v>
      </c>
      <c r="J3132" s="25" t="str">
        <f>IF(OR(E3132="",E3132="!!!",F3132="NEW"),"",COUNTBLANK(OFFSET(A$1,,,SUMPRODUCT(MAX(ROW(E$2:E3132)*(E3132=E$2:E3132)))))-COUNTBLANK(OFFSET(A$1,,,SUMPRODUCT(MAX(ROW(E$1:E3131)*(E2=E$1:E3131))))))</f>
        <v> </v>
      </c>
      <c r="K3132" s="25" t="str">
        <f>IF(OR(E3132="",E3132="!!!",F3132="NEW"),"",INDEX(J$1:J3131,SUMPRODUCT(MAX(ROW(E$1:E3131)*(E3132=E$1:E3131)))))</f>
        <v> </v>
      </c>
      <c r="L3132" s="26"/>
    </row>
    <row r="3133" spans="1:12">
      <c r="A3133" s="20" t="s">
        <v>765</v>
      </c>
      <c r="E3133" s="21">
        <f>IF(D3133="?OLD","!!!","")</f>
        <v/>
      </c>
      <c r="F3133" s="22" t="str">
        <f>IF(OR(E3133="",E3133="!!!"),"",IF(NOT(ISNA(VLOOKUP(E3133,E$1:E3132,1,FALSE()))),"OLD",IF(AND(E3133&lt;&gt;"",E3133&lt;&gt;"!!!"),"NEW","")))</f>
        <v> </v>
      </c>
      <c r="G3133" s="23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4" t="str">
        <f>IF(J3133&lt;&gt;1,"",IF(I3133="SBJ","CB","?"))</f>
        <v> </v>
      </c>
      <c r="I3133" s="25" t="str">
        <f>IF(OR(E3133="",E3133="!!!",F3133="NEW"),"",INDEX(B3132:B$2,-1+SUMPRODUCT(MAX(ROW(E3132:E$2)*(E3133=E3132:E$2)))))</f>
        <v> </v>
      </c>
      <c r="J3133" s="25" t="str">
        <f>IF(OR(E3133="",E3133="!!!",F3133="NEW"),"",COUNTBLANK(OFFSET(A$1,,,SUMPRODUCT(MAX(ROW(E$2:E3133)*(E3133=E$2:E3133)))))-COUNTBLANK(OFFSET(A$1,,,SUMPRODUCT(MAX(ROW(E$1:E3132)*(E2=E$1:E3132))))))</f>
        <v> </v>
      </c>
      <c r="K3133" s="25" t="str">
        <f>IF(OR(E3133="",E3133="!!!",F3133="NEW"),"",INDEX(J$1:J3132,SUMPRODUCT(MAX(ROW(E$1:E3132)*(E3133=E$1:E3132)))))</f>
        <v> </v>
      </c>
      <c r="L3133" s="26"/>
    </row>
    <row r="3134" spans="1:12">
      <c r="A3134" s="20"/>
    </row>
    <row r="3135" spans="1:12">
      <c r="A3135" s="20" t="s">
        <v>2067</v>
      </c>
    </row>
    <row r="3136" spans="1:12">
      <c r="A3136" s="20" t="s">
        <v>714</v>
      </c>
      <c r="B3136" s="27" t="s">
        <v>838</v>
      </c>
      <c r="C3136" s="27" t="s">
        <v>735</v>
      </c>
      <c r="D3136" s="27" t="s">
        <v>736</v>
      </c>
      <c r="E3136" s="21">
        <f>IF(D3136="?OLD","!!!","")</f>
        <v/>
      </c>
      <c r="F3136" s="22" t="str">
        <f>IF(OR(E3136="",E3136="!!!"),"",IF(NOT(ISNA(VLOOKUP(E3136,E$1:E3135,1,FALSE()))),"OLD",IF(AND(E3136&lt;&gt;"",E3136&lt;&gt;"!!!"),"NEW","")))</f>
        <v> </v>
      </c>
      <c r="G3136" s="23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4" t="str">
        <f>IF(J3136&lt;&gt;1,"",IF(I3136="SBJ","CB","?"))</f>
        <v> </v>
      </c>
      <c r="I3136" s="25" t="str">
        <f>IF(OR(E3136="",E3136="!!!",F3136="NEW"),"",INDEX(B3135:B$2,-1+SUMPRODUCT(MAX(ROW(E3135:E$2)*(E3136=E3135:E$2)))))</f>
        <v> </v>
      </c>
      <c r="J3136" s="25" t="str">
        <f>IF(OR(E3136="",E3136="!!!",F3136="NEW"),"",COUNTBLANK(OFFSET(A$1,,,SUMPRODUCT(MAX(ROW(E$2:E3136)*(E3136=E$2:E3136)))))-COUNTBLANK(OFFSET(A$1,,,SUMPRODUCT(MAX(ROW(E$1:E3135)*(E2=E$1:E3135))))))</f>
        <v> </v>
      </c>
      <c r="K3136" s="25" t="str">
        <f>IF(OR(E3136="",E3136="!!!",F3136="NEW"),"",INDEX(J$1:J3135,SUMPRODUCT(MAX(ROW(E$1:E3135)*(E3136=E$1:E3135)))))</f>
        <v> </v>
      </c>
      <c r="L3136" s="26"/>
    </row>
    <row r="3137" spans="1:12">
      <c r="A3137" s="20" t="s">
        <v>737</v>
      </c>
      <c r="B3137" s="27" t="s">
        <v>838</v>
      </c>
      <c r="C3137" s="27" t="s">
        <v>735</v>
      </c>
      <c r="D3137" s="27" t="s">
        <v>736</v>
      </c>
      <c r="E3137" s="21">
        <f>IF(D3137="?OLD","!!!","")</f>
        <v/>
      </c>
      <c r="F3137" s="22" t="str">
        <f>IF(OR(E3137="",E3137="!!!"),"",IF(NOT(ISNA(VLOOKUP(E3137,E$1:E3136,1,FALSE()))),"OLD",IF(AND(E3137&lt;&gt;"",E3137&lt;&gt;"!!!"),"NEW","")))</f>
        <v> </v>
      </c>
      <c r="G3137" s="23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4" t="str">
        <f>IF(J3137&lt;&gt;1,"",IF(I3137="SBJ","CB","?"))</f>
        <v> </v>
      </c>
      <c r="I3137" s="25" t="str">
        <f>IF(OR(E3137="",E3137="!!!",F3137="NEW"),"",INDEX(B3136:B$2,-1+SUMPRODUCT(MAX(ROW(E3136:E$2)*(E3137=E3136:E$2)))))</f>
        <v> </v>
      </c>
      <c r="J3137" s="25" t="str">
        <f>IF(OR(E3137="",E3137="!!!",F3137="NEW"),"",COUNTBLANK(OFFSET(A$1,,,SUMPRODUCT(MAX(ROW(E$2:E3137)*(E3137=E$2:E3137)))))-COUNTBLANK(OFFSET(A$1,,,SUMPRODUCT(MAX(ROW(E$1:E3136)*(E2=E$1:E3136))))))</f>
        <v> </v>
      </c>
      <c r="K3137" s="25" t="str">
        <f>IF(OR(E3137="",E3137="!!!",F3137="NEW"),"",INDEX(J$1:J3136,SUMPRODUCT(MAX(ROW(E$1:E3136)*(E3137=E$1:E3136)))))</f>
        <v> </v>
      </c>
      <c r="L3137" s="26"/>
    </row>
    <row r="3138" spans="1:12">
      <c r="A3138" s="20" t="s">
        <v>1085</v>
      </c>
      <c r="E3138" s="21">
        <f>IF(D3138="?OLD","!!!","")</f>
        <v/>
      </c>
      <c r="F3138" s="22" t="str">
        <f>IF(OR(E3138="",E3138="!!!"),"",IF(NOT(ISNA(VLOOKUP(E3138,E$1:E3137,1,FALSE()))),"OLD",IF(AND(E3138&lt;&gt;"",E3138&lt;&gt;"!!!"),"NEW","")))</f>
        <v> </v>
      </c>
      <c r="G3138" s="23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4" t="str">
        <f>IF(J3138&lt;&gt;1,"",IF(I3138="SBJ","CB","?"))</f>
        <v> </v>
      </c>
      <c r="I3138" s="25" t="str">
        <f>IF(OR(E3138="",E3138="!!!",F3138="NEW"),"",INDEX(B3137:B$2,-1+SUMPRODUCT(MAX(ROW(E3137:E$2)*(E3138=E3137:E$2)))))</f>
        <v> </v>
      </c>
      <c r="J3138" s="25" t="str">
        <f>IF(OR(E3138="",E3138="!!!",F3138="NEW"),"",COUNTBLANK(OFFSET(A$1,,,SUMPRODUCT(MAX(ROW(E$2:E3138)*(E3138=E$2:E3138)))))-COUNTBLANK(OFFSET(A$1,,,SUMPRODUCT(MAX(ROW(E$1:E3137)*(E2=E$1:E3137))))))</f>
        <v> </v>
      </c>
      <c r="K3138" s="25" t="str">
        <f>IF(OR(E3138="",E3138="!!!",F3138="NEW"),"",INDEX(J$1:J3137,SUMPRODUCT(MAX(ROW(E$1:E3137)*(E3138=E$1:E3137)))))</f>
        <v> </v>
      </c>
      <c r="L3138" s="26"/>
    </row>
    <row r="3139" spans="1:12">
      <c r="A3139" s="20"/>
    </row>
    <row r="3140" spans="1:12">
      <c r="A3140" s="20" t="s">
        <v>811</v>
      </c>
    </row>
    <row r="3141" spans="1:12">
      <c r="A3141" s="20" t="s">
        <v>812</v>
      </c>
      <c r="E3141" s="21">
        <f>IF(D3141="?OLD","!!!","")</f>
        <v/>
      </c>
      <c r="F3141" s="22" t="str">
        <f>IF(OR(E3141="",E3141="!!!"),"",IF(NOT(ISNA(VLOOKUP(E3141,E$1:E3140,1,FALSE()))),"OLD",IF(AND(E3141&lt;&gt;"",E3141&lt;&gt;"!!!"),"NEW","")))</f>
        <v> </v>
      </c>
      <c r="G3141" s="23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4" t="str">
        <f>IF(J3141&lt;&gt;1,"",IF(I3141="SBJ","CB","?"))</f>
        <v> </v>
      </c>
      <c r="I3141" s="25" t="str">
        <f>IF(OR(E3141="",E3141="!!!",F3141="NEW"),"",INDEX(B3140:B$2,-1+SUMPRODUCT(MAX(ROW(E3140:E$2)*(E3141=E3140:E$2)))))</f>
        <v> </v>
      </c>
      <c r="J3141" s="25" t="str">
        <f>IF(OR(E3141="",E3141="!!!",F3141="NEW"),"",COUNTBLANK(OFFSET(A$1,,,SUMPRODUCT(MAX(ROW(E$2:E3141)*(E3141=E$2:E3141)))))-COUNTBLANK(OFFSET(A$1,,,SUMPRODUCT(MAX(ROW(E$1:E3140)*(E2=E$1:E3140))))))</f>
        <v> </v>
      </c>
      <c r="K3141" s="25" t="str">
        <f>IF(OR(E3141="",E3141="!!!",F3141="NEW"),"",INDEX(J$1:J3140,SUMPRODUCT(MAX(ROW(E$1:E3140)*(E3141=E$1:E3140)))))</f>
        <v> </v>
      </c>
      <c r="L3141" s="26"/>
    </row>
    <row r="3142" spans="1:12">
      <c r="A3142" s="20" t="s">
        <v>739</v>
      </c>
      <c r="E3142" s="21">
        <f>IF(D3142="?OLD","!!!","")</f>
        <v/>
      </c>
      <c r="F3142" s="22" t="str">
        <f>IF(OR(E3142="",E3142="!!!"),"",IF(NOT(ISNA(VLOOKUP(E3142,E$1:E3141,1,FALSE()))),"OLD",IF(AND(E3142&lt;&gt;"",E3142&lt;&gt;"!!!"),"NEW","")))</f>
        <v> </v>
      </c>
      <c r="G3142" s="23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4" t="str">
        <f>IF(J3142&lt;&gt;1,"",IF(I3142="SBJ","CB","?"))</f>
        <v> </v>
      </c>
      <c r="I3142" s="25" t="str">
        <f>IF(OR(E3142="",E3142="!!!",F3142="NEW"),"",INDEX(B3141:B$2,-1+SUMPRODUCT(MAX(ROW(E3141:E$2)*(E3142=E3141:E$2)))))</f>
        <v> </v>
      </c>
      <c r="J3142" s="25" t="str">
        <f>IF(OR(E3142="",E3142="!!!",F3142="NEW"),"",COUNTBLANK(OFFSET(A$1,,,SUMPRODUCT(MAX(ROW(E$2:E3142)*(E3142=E$2:E3142)))))-COUNTBLANK(OFFSET(A$1,,,SUMPRODUCT(MAX(ROW(E$1:E3141)*(E2=E$1:E3141))))))</f>
        <v> </v>
      </c>
      <c r="K3142" s="25" t="str">
        <f>IF(OR(E3142="",E3142="!!!",F3142="NEW"),"",INDEX(J$1:J3141,SUMPRODUCT(MAX(ROW(E$1:E3141)*(E3142=E$1:E3141)))))</f>
        <v> </v>
      </c>
      <c r="L3142" s="26"/>
    </row>
    <row r="3143" spans="1:12">
      <c r="A3143" s="20" t="s">
        <v>813</v>
      </c>
      <c r="E3143" s="21">
        <f>IF(D3143="?OLD","!!!","")</f>
        <v/>
      </c>
      <c r="F3143" s="22" t="str">
        <f>IF(OR(E3143="",E3143="!!!"),"",IF(NOT(ISNA(VLOOKUP(E3143,E$1:E3142,1,FALSE()))),"OLD",IF(AND(E3143&lt;&gt;"",E3143&lt;&gt;"!!!"),"NEW","")))</f>
        <v> </v>
      </c>
      <c r="G3143" s="23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4" t="str">
        <f>IF(J3143&lt;&gt;1,"",IF(I3143="SBJ","CB","?"))</f>
        <v> </v>
      </c>
      <c r="I3143" s="25" t="str">
        <f>IF(OR(E3143="",E3143="!!!",F3143="NEW"),"",INDEX(B3142:B$2,-1+SUMPRODUCT(MAX(ROW(E3142:E$2)*(E3143=E3142:E$2)))))</f>
        <v> </v>
      </c>
      <c r="J3143" s="25" t="str">
        <f>IF(OR(E3143="",E3143="!!!",F3143="NEW"),"",COUNTBLANK(OFFSET(A$1,,,SUMPRODUCT(MAX(ROW(E$2:E3143)*(E3143=E$2:E3143)))))-COUNTBLANK(OFFSET(A$1,,,SUMPRODUCT(MAX(ROW(E$1:E3142)*(E2=E$1:E3142))))))</f>
        <v> </v>
      </c>
      <c r="K3143" s="25" t="str">
        <f>IF(OR(E3143="",E3143="!!!",F3143="NEW"),"",INDEX(J$1:J3142,SUMPRODUCT(MAX(ROW(E$1:E3142)*(E3143=E$1:E3142)))))</f>
        <v> </v>
      </c>
      <c r="L3143" s="26"/>
    </row>
    <row r="3144" spans="1:12">
      <c r="A3144" s="20" t="s">
        <v>765</v>
      </c>
      <c r="E3144" s="21">
        <f>IF(D3144="?OLD","!!!","")</f>
        <v/>
      </c>
      <c r="F3144" s="22" t="str">
        <f>IF(OR(E3144="",E3144="!!!"),"",IF(NOT(ISNA(VLOOKUP(E3144,E$1:E3143,1,FALSE()))),"OLD",IF(AND(E3144&lt;&gt;"",E3144&lt;&gt;"!!!"),"NEW","")))</f>
        <v> </v>
      </c>
      <c r="G3144" s="23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4" t="str">
        <f>IF(J3144&lt;&gt;1,"",IF(I3144="SBJ","CB","?"))</f>
        <v> </v>
      </c>
      <c r="I3144" s="25" t="str">
        <f>IF(OR(E3144="",E3144="!!!",F3144="NEW"),"",INDEX(B3143:B$2,-1+SUMPRODUCT(MAX(ROW(E3143:E$2)*(E3144=E3143:E$2)))))</f>
        <v> </v>
      </c>
      <c r="J3144" s="25" t="str">
        <f>IF(OR(E3144="",E3144="!!!",F3144="NEW"),"",COUNTBLANK(OFFSET(A$1,,,SUMPRODUCT(MAX(ROW(E$2:E3144)*(E3144=E$2:E3144)))))-COUNTBLANK(OFFSET(A$1,,,SUMPRODUCT(MAX(ROW(E$1:E3143)*(E2=E$1:E3143))))))</f>
        <v> </v>
      </c>
      <c r="K3144" s="25" t="str">
        <f>IF(OR(E3144="",E3144="!!!",F3144="NEW"),"",INDEX(J$1:J3143,SUMPRODUCT(MAX(ROW(E$1:E3143)*(E3144=E$1:E3143)))))</f>
        <v> </v>
      </c>
      <c r="L3144" s="26"/>
    </row>
    <row r="3145" spans="1:12">
      <c r="A314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2024-12-05T18:03:51Z</dcterms:created>
  <dcterms:modified xsi:type="dcterms:W3CDTF">2024-12-05T18:03:51Z</dcterms:modified>
</cp:coreProperties>
</file>