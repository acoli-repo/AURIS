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<sst xmlns="http://schemas.openxmlformats.org/spreadsheetml/2006/main" count="1658" uniqueCount="796">
  <si>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</si>
  <si>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</si>
  <si>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</si>
  <si>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</si>
  <si>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</si>
  <si>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</si>
  <si>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</si>
  <si>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</si>
  <si>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</si>
  <si>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</si>
  <si>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</si>
  <si>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_</t>
  </si>
  <si>
    <t>Россия</t>
  </si>
  <si>
    <t>Россия и Турция : &amp;quot; Альянс плохих &amp;quot; ?</t>
  </si>
  <si>
    <t>file://conllu/ru/bbc.242334.conllu#s1_0</t>
  </si>
  <si>
    <t>2</t>
  </si>
  <si>
    <t>быть (быть жест)</t>
  </si>
  <si>
    <t>Это был жест , который завершил кризис .</t>
  </si>
  <si>
    <t>file://conllu/ru/bbc.242334.conllu#s2_0</t>
  </si>
  <si>
    <t>3</t>
  </si>
  <si>
    <t>5</t>
  </si>
  <si>
    <t>встретиться</t>
  </si>
  <si>
    <t>Лидеры России и Турции встретились во вторник , чтобы пожать руки и объявить официальный конец восьмимесячной войне слов и экономических санкций .</t>
  </si>
  <si>
    <t>file://conllu/ru/bbc.242334.conllu#s3_0</t>
  </si>
  <si>
    <t>4</t>
  </si>
  <si>
    <t>18</t>
  </si>
  <si>
    <t>сложиться</t>
  </si>
  <si>
    <t>Но когда Владимир Путин приветствовал своего турецкого коллегу в позолоченном зале дворца в Санкт-Петербурге , у меня сложилось устойчивое впечатление , что Анкара хочет этого примирения больше .</t>
  </si>
  <si>
    <t>file://conllu/ru/bbc.242334.conllu#s4_0</t>
  </si>
  <si>
    <t>быть</t>
  </si>
  <si>
    <t>Было рукопожатие , да .</t>
  </si>
  <si>
    <t>file://conllu/ru/bbc.242334.conllu#s5_0</t>
  </si>
  <si>
    <t>6</t>
  </si>
  <si>
    <t>выглядеть</t>
  </si>
  <si>
    <t>Но улыбка господина Путина выглядела натянутой , а он едва ли излучал тепло даже по его собственным сдержанным стандартам .</t>
  </si>
  <si>
    <t>file://conllu/ru/bbc.242334.conllu#s6_0</t>
  </si>
  <si>
    <t>7</t>
  </si>
  <si>
    <t>говорить</t>
  </si>
  <si>
    <t>Реджеп Тайип Эрдоган в противоположность этому говорил неоднократно о своем &amp;quot; дорогом друге &amp;quot; господине Путине — пять раз , согласно одному отчету .</t>
  </si>
  <si>
    <t>file://conllu/ru/bbc.242334.conllu#s7_0</t>
  </si>
  <si>
    <t>8</t>
  </si>
  <si>
    <t>терять</t>
  </si>
  <si>
    <t>Я потерял счет .</t>
  </si>
  <si>
    <t>file://conllu/ru/bbc.242334.conllu#s8_0</t>
  </si>
  <si>
    <t>9</t>
  </si>
  <si>
    <t>обещать</t>
  </si>
  <si>
    <t>Он также обещал , что отношения с Россией вернутся не только на их докризисный уровень , но даже выше .</t>
  </si>
  <si>
    <t>file://conllu/ru/bbc.242334.conllu#s9_0</t>
  </si>
  <si>
    <t>10</t>
  </si>
  <si>
    <t>описать</t>
  </si>
  <si>
    <t>На следующий день одна газета описала действия господина Эрдогана как если бы ничего плохого никогда не случалось .</t>
  </si>
  <si>
    <t>file://conllu/ru/bbc.242334.conllu#s10_0</t>
  </si>
  <si>
    <t>11</t>
  </si>
  <si>
    <t>предполагать</t>
  </si>
  <si>
    <t>По-моему , его энтузиазм предполагал обратное .</t>
  </si>
  <si>
    <t>file://conllu/ru/bbc.242334.conllu#s11_0</t>
  </si>
  <si>
    <t>12</t>
  </si>
  <si>
    <t>показать</t>
  </si>
  <si>
    <t>Но затягивающаяся прохлада , исходящая от господина Путина , показала , что российский лидер не забыл ничего .</t>
  </si>
  <si>
    <t>file://conllu/ru/bbc.242334.conllu#s12_0</t>
  </si>
  <si>
    <t>13</t>
  </si>
  <si>
    <t>быть (быть первый)</t>
  </si>
  <si>
    <t>Фактически , причиной кризиса было первое , о чём он упомянул во вступительных комментариях :</t>
  </si>
  <si>
    <t>file://conllu/ru/bbc.242334.conllu#s13_0</t>
  </si>
  <si>
    <t>14</t>
  </si>
  <si>
    <t>сбить</t>
  </si>
  <si>
    <t>Турция сбила российский истребитель на сирийской границе .</t>
  </si>
  <si>
    <t>file://conllu/ru/bbc.242334.conllu#s14_0</t>
  </si>
  <si>
    <t>15</t>
  </si>
  <si>
    <t>быть (быть неистовый)</t>
  </si>
  <si>
    <t>Реакция Москвы в этот момент была неистовой .</t>
  </si>
  <si>
    <t>file://conllu/ru/bbc.242334.conllu#s15_0</t>
  </si>
  <si>
    <t>16</t>
  </si>
  <si>
    <t>разразиться</t>
  </si>
  <si>
    <t>Господин Путин разразился гневной тирадой , обвиняя Анкару в ударе Москвы в спину .</t>
  </si>
  <si>
    <t>file://conllu/ru/bbc.242334.conllu#s16_0</t>
  </si>
  <si>
    <t>17</t>
  </si>
  <si>
    <t>быть (быть сильно)</t>
  </si>
  <si>
    <t>Оскорбление было еще сильнее , исходя от предполагаемого друга .</t>
  </si>
  <si>
    <t>file://conllu/ru/bbc.242334.conllu#s17_0</t>
  </si>
  <si>
    <t>быть (быть трудный)</t>
  </si>
  <si>
    <t>Восстановление реального доверия будет трудным , вероятно невозможным .</t>
  </si>
  <si>
    <t>file://conllu/ru/bbc.242334.conllu#s18_0</t>
  </si>
  <si>
    <t>19</t>
  </si>
  <si>
    <t>измениться</t>
  </si>
  <si>
    <t>Российское общественное мнение также изменилось с ноября .</t>
  </si>
  <si>
    <t>file://conllu/ru/bbc.242334.conllu#s19_0</t>
  </si>
  <si>
    <t>20</t>
  </si>
  <si>
    <t>проводить</t>
  </si>
  <si>
    <t>На протяжении месяцев контролируемые государством СМИ проводили ошеломляющее , тотальное наступление на Анкару .</t>
  </si>
  <si>
    <t>file://conllu/ru/bbc.242334.conllu#s20_0</t>
  </si>
  <si>
    <t>21</t>
  </si>
  <si>
    <t>казаться</t>
  </si>
  <si>
    <t>Внезапно показалось , что турков должны считать виновными во всём .</t>
  </si>
  <si>
    <t>file://conllu/ru/bbc.242334.conllu#s21_0</t>
  </si>
  <si>
    <t>22</t>
  </si>
  <si>
    <t>быть (быть серьезный)</t>
  </si>
  <si>
    <t>Самыми серьезными были обвинения от представителей высшего руководства , что собственная семья господина Эрдогана нажилась на нелегальной торговле нефтью из зон Сирии , контролируемых так называемым Исламским Государством .</t>
  </si>
  <si>
    <t>file://conllu/ru/bbc.242334.conllu#s22_0</t>
  </si>
  <si>
    <t>23</t>
  </si>
  <si>
    <t>отрицать</t>
  </si>
  <si>
    <t>Он отрицал это решительно .</t>
  </si>
  <si>
    <t>file://conllu/ru/bbc.242334.conllu#s23_0</t>
  </si>
  <si>
    <t>24</t>
  </si>
  <si>
    <t>поступить</t>
  </si>
  <si>
    <t>Но в Санкт-Петербурге поступил официальный сигнал , что пришло время двигаться дальше .</t>
  </si>
  <si>
    <t>file://conllu/ru/bbc.242334.conllu#s24_0</t>
  </si>
  <si>
    <t>25</t>
  </si>
  <si>
    <t>Потому?</t>
  </si>
  <si>
    <t>произойти</t>
  </si>
  <si>
    <t>В конце концов , эта встреча произошла только потому , что господин Путин получил извинение , которое он требовал от президента Эрдогана .</t>
  </si>
  <si>
    <t>file://conllu/ru/bbc.242334.conllu#s25_0</t>
  </si>
  <si>
    <t>26</t>
  </si>
  <si>
    <t>мочь</t>
  </si>
  <si>
    <t>Россия могла претендовать на победу своего рода .</t>
  </si>
  <si>
    <t>file://conllu/ru/bbc.242334.conllu#s26_0</t>
  </si>
  <si>
    <t>27</t>
  </si>
  <si>
    <t>ясный</t>
  </si>
  <si>
    <t>Для Анкары преимущества объявления перемирия ясны .</t>
  </si>
  <si>
    <t>file://conllu/ru/bbc.242334.conllu#s27_0</t>
  </si>
  <si>
    <t>28</t>
  </si>
  <si>
    <t>нужный</t>
  </si>
  <si>
    <t>В первую очередь , Эрдогану нужны все друзья , которых он может получить , после того как он был почти свергнут со своего поста в прошлом месяце при попытке переворота .</t>
  </si>
  <si>
    <t>file://conllu/ru/bbc.242334.conllu#s28_0</t>
  </si>
  <si>
    <t>29</t>
  </si>
  <si>
    <t>потрясти</t>
  </si>
  <si>
    <t>Повторные террористические атаки на Турцию явно потрясли его тоже .</t>
  </si>
  <si>
    <t>file://conllu/ru/bbc.242334.conllu#s29_0</t>
  </si>
  <si>
    <t>30</t>
  </si>
  <si>
    <t>Есть также экономическая причина .</t>
  </si>
  <si>
    <t>file://conllu/ru/bbc.242334.conllu#s30_0</t>
  </si>
  <si>
    <t>31</t>
  </si>
  <si>
    <t>ударить</t>
  </si>
  <si>
    <t>Российские санкции сильно ударили — особенно запрет на чартерные полеты , которые обычно привозят несколько миллионов русских туристов на турецкое побережье ежегодно .</t>
  </si>
  <si>
    <t>file://conllu/ru/bbc.242334.conllu#s31_0</t>
  </si>
  <si>
    <t>32</t>
  </si>
  <si>
    <t>падать</t>
  </si>
  <si>
    <t>Количество резко упало почти на 90 % .</t>
  </si>
  <si>
    <t>file://conllu/ru/bbc.242334.conllu#s32_0</t>
  </si>
  <si>
    <t>33</t>
  </si>
  <si>
    <t>почувствовать</t>
  </si>
  <si>
    <t>Что касается России , туроператоры и чартерные компании здесь , конечно , почувствуют облегчение , когда полеты наконец возобновят .</t>
  </si>
  <si>
    <t>file://conllu/ru/bbc.242334.conllu#s33_0</t>
  </si>
  <si>
    <t>34</t>
  </si>
  <si>
    <t>ставить</t>
  </si>
  <si>
    <t>Они ставят на пик конца сезона на Средиземном море .</t>
  </si>
  <si>
    <t>file://conllu/ru/bbc.242334.conllu#s34_0</t>
  </si>
  <si>
    <t>35</t>
  </si>
  <si>
    <t>предсказывать</t>
  </si>
  <si>
    <t>И даже на этой неделе государственное телевидение предсказывало более дешевые фрукты и овощи , как только турецкий импорт сельскохозяйственной продукции будет разрешен вновь .</t>
  </si>
  <si>
    <t>file://conllu/ru/bbc.242334.conllu#s35_0</t>
  </si>
  <si>
    <t>36</t>
  </si>
  <si>
    <t>турист</t>
  </si>
  <si>
    <t>&amp;quot; Туристы туда , помидоры обратно сюда , &amp;quot; как было сказано в отчете в газете Ведомости .</t>
  </si>
  <si>
    <t>file://conllu/ru/bbc.242334.conllu#s36_0</t>
  </si>
  <si>
    <t>37</t>
  </si>
  <si>
    <t>иметь</t>
  </si>
  <si>
    <t>Но визит также имел дополнительную политическую ценность для Москвы .</t>
  </si>
  <si>
    <t>file://conllu/ru/bbc.242334.conllu#s37_0</t>
  </si>
  <si>
    <t>38</t>
  </si>
  <si>
    <t>анкара</t>
  </si>
  <si>
    <t>Анкара зла на Запад за то , что она считает слабым ответом на попытку переворота .</t>
  </si>
  <si>
    <t>file://conllu/ru/bbc.242334.conllu#s38_0</t>
  </si>
  <si>
    <t>39</t>
  </si>
  <si>
    <t>добавить</t>
  </si>
  <si>
    <t>Добавьте к этому ее затянувшееся недовольство черепашьим темпом разговоров о присоединении к ЕС и шаг господина Путина — который стремится воспользоваться прохладой и постепенно разрушить турецкие связи с Западом .</t>
  </si>
  <si>
    <t>file://conllu/ru/bbc.242334.conllu#s39_0</t>
  </si>
  <si>
    <t>40</t>
  </si>
  <si>
    <t>выиграть</t>
  </si>
  <si>
    <t>Российский лидер , конечно , выиграл бонусные баллы с Анкарой за призыв к поддержке избранных органов власти после попытки государственного переворота .</t>
  </si>
  <si>
    <t>file://conllu/ru/bbc.242334.conllu#s40_0</t>
  </si>
  <si>
    <t>41</t>
  </si>
  <si>
    <t>данность</t>
  </si>
  <si>
    <t>Имейте в виду , это данность для Москвы , которая имеет свой собственный глубоко укоренившийся страх смены режима .</t>
  </si>
  <si>
    <t>file://conllu/ru/bbc.242334.conllu#s41_0</t>
  </si>
  <si>
    <t>42</t>
  </si>
  <si>
    <t>Итак?</t>
  </si>
  <si>
    <t>аммить</t>
  </si>
  <si>
    <t>Итак , саммит в этом блестящем дворце на морском побережье позволил России и Турции представить то , что один аналитик описал мне как &amp;quot; альянс плохих &amp;quot; : две страны , которые чувствуют себя отвергнутыми и униженными Западом , объединяют силы .</t>
  </si>
  <si>
    <t>file://conllu/ru/bbc.242334.conllu#s42_0</t>
  </si>
  <si>
    <t>43</t>
  </si>
  <si>
    <t>Все же , несмотря на публичный показ примирения , эти двое по-прежнему имеют существенные различия .</t>
  </si>
  <si>
    <t>file://conllu/ru/bbc.242334.conllu#s43_0</t>
  </si>
  <si>
    <t>44</t>
  </si>
  <si>
    <t>являться</t>
  </si>
  <si>
    <t>Ключевой является Сирия , где Москва недавно позиционировала себя в качестве миротворца , но где Россия и Турция поддерживают противоположные стороны .</t>
  </si>
  <si>
    <t>file://conllu/ru/bbc.242334.conllu#s44_0</t>
  </si>
  <si>
    <t>45</t>
  </si>
  <si>
    <t>Возможно , говорит само за себя то , что после почти трех часов первоначальных переговоров , пока два президента давали пресс-конференцию , они даже не затронули эту тему .</t>
  </si>
  <si>
    <t>file://conllu/ru/bbc.242334.conllu#s45_0</t>
  </si>
  <si>
    <t>46</t>
  </si>
  <si>
    <t>избегать</t>
  </si>
  <si>
    <t>Президент Турции умышленно избегал ответа на вопрос об их различиях , в то время как господин Путин предпочёл сделать на них акцент .</t>
  </si>
  <si>
    <t>file://conllu/ru/bbc.242334.conllu#s46_0</t>
  </si>
  <si>
    <t>47</t>
  </si>
  <si>
    <t>нет</t>
  </si>
  <si>
    <t>Нет четкого согласия в том , как они могут найти общий язык по Сирии .</t>
  </si>
  <si>
    <t>file://conllu/ru/bbc.242334.conllu#s47_0</t>
  </si>
  <si>
    <t>48</t>
  </si>
  <si>
    <t>принимать</t>
  </si>
  <si>
    <t>Но после месяцев открытой враждебности — и принимая во внимание возможность полной катастрофы , когда член НАТО Турция сбила российский реактивный истребитель , точно лучше , что два лидера по крайней мере разговаривают снова .</t>
  </si>
  <si>
    <t>file://conllu/ru/bbc.242334.conllu#s48_0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</si>
  <si>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</si>
  <si>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</si>
  <si>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</si>
  <si>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</si>
  <si>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</si>
  <si>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</si>
  <si>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</si>
  <si>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</si>
  <si>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</si>
  <si>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</si>
  <si>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</si>
  <si>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Россия и Турция: \"Альянс плохих\"?</t>
  </si>
  <si>
    <t>other</t>
  </si>
  <si>
    <t>ne</t>
  </si>
  <si>
    <t>?OLD</t>
  </si>
  <si>
    <t>и</t>
  </si>
  <si>
    <t>Турция</t>
  </si>
  <si>
    <t>:</t>
  </si>
  <si>
    <t>&amp;quot;</t>
  </si>
  <si>
    <t>Альянс</t>
  </si>
  <si>
    <t>плохих</t>
  </si>
  <si>
    <t>?</t>
  </si>
  <si>
    <t># text = Это был жест, который завершил кризис.</t>
  </si>
  <si>
    <t>Это</t>
  </si>
  <si>
    <t>SBJ</t>
  </si>
  <si>
    <t>pron.pds</t>
  </si>
  <si>
    <t>был</t>
  </si>
  <si>
    <t>жест</t>
  </si>
  <si>
    <t>,</t>
  </si>
  <si>
    <t>который</t>
  </si>
  <si>
    <t>SBJ_2</t>
  </si>
  <si>
    <t>pron.pint</t>
  </si>
  <si>
    <t>завершил</t>
  </si>
  <si>
    <t>кризис</t>
  </si>
  <si>
    <t>OBJ_2</t>
  </si>
  <si>
    <t>.</t>
  </si>
  <si>
    <t># text = Лидеры России и Турции встретились во вторник, чтобы пожать руки и объявить официальный конец восьмимесячной войне слов и экономических санкций.</t>
  </si>
  <si>
    <t>Лидеры</t>
  </si>
  <si>
    <t>def-np.poss</t>
  </si>
  <si>
    <t>России</t>
  </si>
  <si>
    <t>other_2</t>
  </si>
  <si>
    <t>Турции</t>
  </si>
  <si>
    <t>other_3</t>
  </si>
  <si>
    <t>встретились</t>
  </si>
  <si>
    <t>во</t>
  </si>
  <si>
    <t>вторник</t>
  </si>
  <si>
    <t>чтобы</t>
  </si>
  <si>
    <t>пожать</t>
  </si>
  <si>
    <t>руки</t>
  </si>
  <si>
    <t>объявить</t>
  </si>
  <si>
    <t>официальный</t>
  </si>
  <si>
    <t>конец</t>
  </si>
  <si>
    <t>OBJ_3</t>
  </si>
  <si>
    <t>восьмимесячной</t>
  </si>
  <si>
    <t>войне</t>
  </si>
  <si>
    <t>слов</t>
  </si>
  <si>
    <t>экономических</t>
  </si>
  <si>
    <t>санкций</t>
  </si>
  <si>
    <t># text = Но когда Владимир Путин приветствовал своего турецкого коллегу в позолоченном зале дворца в Санкт-Петербурге, у меня сложилось устойчивое впечатление, что Анкара хочет этого примирения больше.</t>
  </si>
  <si>
    <t>Но</t>
  </si>
  <si>
    <t>когда</t>
  </si>
  <si>
    <t>Владимир</t>
  </si>
  <si>
    <t>Путин</t>
  </si>
  <si>
    <t>приветствовал</t>
  </si>
  <si>
    <t>своего</t>
  </si>
  <si>
    <t>турецкого</t>
  </si>
  <si>
    <t>коллегу</t>
  </si>
  <si>
    <t>в</t>
  </si>
  <si>
    <t>позолоченном</t>
  </si>
  <si>
    <t>зале</t>
  </si>
  <si>
    <t>дворца</t>
  </si>
  <si>
    <t>Санкт-Петербурге</t>
  </si>
  <si>
    <t>other_4</t>
  </si>
  <si>
    <t>у</t>
  </si>
  <si>
    <t>меня</t>
  </si>
  <si>
    <t>pron</t>
  </si>
  <si>
    <t>сложилось</t>
  </si>
  <si>
    <t>устойчивое</t>
  </si>
  <si>
    <t>впечатление</t>
  </si>
  <si>
    <t>что</t>
  </si>
  <si>
    <t>Анкара</t>
  </si>
  <si>
    <t>SBJ_3</t>
  </si>
  <si>
    <t>хочет</t>
  </si>
  <si>
    <t>этого</t>
  </si>
  <si>
    <t>примирения</t>
  </si>
  <si>
    <t>def-np.dem</t>
  </si>
  <si>
    <t>больше</t>
  </si>
  <si>
    <t># text = Было рукопожатие, да.</t>
  </si>
  <si>
    <t>Было</t>
  </si>
  <si>
    <t>рукопожатие</t>
  </si>
  <si>
    <t>да</t>
  </si>
  <si>
    <t># text = Но улыбка господина Путина выглядела натянутой, а он едва ли излучал тепло даже по его собственным сдержанным стандартам.</t>
  </si>
  <si>
    <t>улыбка</t>
  </si>
  <si>
    <t>господина</t>
  </si>
  <si>
    <t>Путина</t>
  </si>
  <si>
    <t>выглядела</t>
  </si>
  <si>
    <t>натянутой</t>
  </si>
  <si>
    <t>а</t>
  </si>
  <si>
    <t>он</t>
  </si>
  <si>
    <t>едва</t>
  </si>
  <si>
    <t>ли</t>
  </si>
  <si>
    <t>излучал</t>
  </si>
  <si>
    <t>тепло</t>
  </si>
  <si>
    <t>даже</t>
  </si>
  <si>
    <t>по</t>
  </si>
  <si>
    <t>его</t>
  </si>
  <si>
    <t>pron.ppos</t>
  </si>
  <si>
    <t>собственным</t>
  </si>
  <si>
    <t>сдержанным</t>
  </si>
  <si>
    <t>стандартам</t>
  </si>
  <si>
    <t>--</t>
  </si>
  <si>
    <t># text = Реджеп Тайип Эрдоган в противоположность этому говорил неоднократно о своем \"дорогом друге\" господине Путине — пять раз, согласно одному отчету.</t>
  </si>
  <si>
    <t>Реджеп</t>
  </si>
  <si>
    <t>Тайип</t>
  </si>
  <si>
    <t>Эрдоган</t>
  </si>
  <si>
    <t>противоположность</t>
  </si>
  <si>
    <t>этому</t>
  </si>
  <si>
    <t>говорил</t>
  </si>
  <si>
    <t>неоднократно</t>
  </si>
  <si>
    <t>о</t>
  </si>
  <si>
    <t>своем</t>
  </si>
  <si>
    <t>дорогом</t>
  </si>
  <si>
    <t>друге</t>
  </si>
  <si>
    <t>господине</t>
  </si>
  <si>
    <t>Путине</t>
  </si>
  <si>
    <t>—</t>
  </si>
  <si>
    <t>пять</t>
  </si>
  <si>
    <t>раз</t>
  </si>
  <si>
    <t>other_5</t>
  </si>
  <si>
    <t>indef-np.quant</t>
  </si>
  <si>
    <t>согласно</t>
  </si>
  <si>
    <t>одному</t>
  </si>
  <si>
    <t>отчету</t>
  </si>
  <si>
    <t>other_6</t>
  </si>
  <si>
    <t># text = Я потерял счет.</t>
  </si>
  <si>
    <t>Я</t>
  </si>
  <si>
    <t>потерял</t>
  </si>
  <si>
    <t>счет</t>
  </si>
  <si>
    <t>OBJ</t>
  </si>
  <si>
    <t># text = Он также обещал, что отношения с Россией вернутся не только на их докризисный уровень, но даже выше.</t>
  </si>
  <si>
    <t>Он</t>
  </si>
  <si>
    <t>также</t>
  </si>
  <si>
    <t>обещал</t>
  </si>
  <si>
    <t>отношения</t>
  </si>
  <si>
    <t>с</t>
  </si>
  <si>
    <t>Россией</t>
  </si>
  <si>
    <t>вернутся</t>
  </si>
  <si>
    <t>не</t>
  </si>
  <si>
    <t>только</t>
  </si>
  <si>
    <t>на</t>
  </si>
  <si>
    <t>их</t>
  </si>
  <si>
    <t>докризисный</t>
  </si>
  <si>
    <t>уровень</t>
  </si>
  <si>
    <t>но</t>
  </si>
  <si>
    <t>выше</t>
  </si>
  <si>
    <t># text = На следующий день одна газета описала действия господина Эрдогана как если бы ничего плохого никогда не случалось.</t>
  </si>
  <si>
    <t>На</t>
  </si>
  <si>
    <t>следующий</t>
  </si>
  <si>
    <t>день</t>
  </si>
  <si>
    <t>одна</t>
  </si>
  <si>
    <t>газета</t>
  </si>
  <si>
    <t>описала</t>
  </si>
  <si>
    <t>действия</t>
  </si>
  <si>
    <t>Эрдогана</t>
  </si>
  <si>
    <t>как</t>
  </si>
  <si>
    <t>если</t>
  </si>
  <si>
    <t>бы</t>
  </si>
  <si>
    <t>ничего</t>
  </si>
  <si>
    <t>pron.pind</t>
  </si>
  <si>
    <t>плохого</t>
  </si>
  <si>
    <t>никогда</t>
  </si>
  <si>
    <t>случалось</t>
  </si>
  <si>
    <t># text = По-моему, его энтузиазм предполагал обратное.</t>
  </si>
  <si>
    <t>По-моему</t>
  </si>
  <si>
    <t>энтузиазм</t>
  </si>
  <si>
    <t>предполагал</t>
  </si>
  <si>
    <t>обратное</t>
  </si>
  <si>
    <t># text = Но затягивающаяся прохлада, исходящая от господина Путина, показала, что российский лидер не забыл ничего.</t>
  </si>
  <si>
    <t>затягивающаяся</t>
  </si>
  <si>
    <t>прохлада</t>
  </si>
  <si>
    <t>исходящая</t>
  </si>
  <si>
    <t>от</t>
  </si>
  <si>
    <t>показала</t>
  </si>
  <si>
    <t>российский</t>
  </si>
  <si>
    <t>лидер</t>
  </si>
  <si>
    <t>забыл</t>
  </si>
  <si>
    <t># text = Фактически, причиной кризиса было первое, о чём он упомянул во вступительных комментариях:</t>
  </si>
  <si>
    <t>Фактически</t>
  </si>
  <si>
    <t>причиной</t>
  </si>
  <si>
    <t>кризиса</t>
  </si>
  <si>
    <t>было</t>
  </si>
  <si>
    <t>первое</t>
  </si>
  <si>
    <t>чём</t>
  </si>
  <si>
    <t>упомянул</t>
  </si>
  <si>
    <t>вступительных</t>
  </si>
  <si>
    <t>комментариях</t>
  </si>
  <si>
    <t># text = Турция сбила российский истребитель на сирийской границе.</t>
  </si>
  <si>
    <t>сбила</t>
  </si>
  <si>
    <t>истребитель</t>
  </si>
  <si>
    <t>сирийской</t>
  </si>
  <si>
    <t>границе</t>
  </si>
  <si>
    <t># text = Реакция Москвы в этот момент была неистовой.</t>
  </si>
  <si>
    <t>Реакция</t>
  </si>
  <si>
    <t>Москвы</t>
  </si>
  <si>
    <t>этот</t>
  </si>
  <si>
    <t>момент</t>
  </si>
  <si>
    <t>была</t>
  </si>
  <si>
    <t>неистовой</t>
  </si>
  <si>
    <t># text = Господин Путин разразился гневной тирадой, обвиняя Анкару в ударе Москвы в спину.</t>
  </si>
  <si>
    <t>Господин</t>
  </si>
  <si>
    <t>разразился</t>
  </si>
  <si>
    <t>гневной</t>
  </si>
  <si>
    <t>тирадой</t>
  </si>
  <si>
    <t>обвиняя</t>
  </si>
  <si>
    <t>Анкару</t>
  </si>
  <si>
    <t>ударе</t>
  </si>
  <si>
    <t>спину</t>
  </si>
  <si>
    <t># text = Оскорбление было еще сильнее, исходя от предполагаемого друга.</t>
  </si>
  <si>
    <t>Оскорбление</t>
  </si>
  <si>
    <t>еще</t>
  </si>
  <si>
    <t>сильнее</t>
  </si>
  <si>
    <t>исходя</t>
  </si>
  <si>
    <t>предполагаемого</t>
  </si>
  <si>
    <t>друга</t>
  </si>
  <si>
    <t># text = Восстановление реального доверия будет трудным, вероятно невозможным.</t>
  </si>
  <si>
    <t>Восстановление</t>
  </si>
  <si>
    <t>реального</t>
  </si>
  <si>
    <t>доверия</t>
  </si>
  <si>
    <t>будет</t>
  </si>
  <si>
    <t>трудным</t>
  </si>
  <si>
    <t>вероятно</t>
  </si>
  <si>
    <t>невозможным</t>
  </si>
  <si>
    <t># text = Российское общественное мнение также изменилось с ноября.</t>
  </si>
  <si>
    <t>Российское</t>
  </si>
  <si>
    <t>общественное</t>
  </si>
  <si>
    <t>мнение</t>
  </si>
  <si>
    <t>изменилось</t>
  </si>
  <si>
    <t>ноября</t>
  </si>
  <si>
    <t># text = На протяжении месяцев контролируемые государством СМИ проводили ошеломляющее, тотальное наступление на Анкару.</t>
  </si>
  <si>
    <t>протяжении</t>
  </si>
  <si>
    <t>месяцев</t>
  </si>
  <si>
    <t>контролируемые</t>
  </si>
  <si>
    <t>государством</t>
  </si>
  <si>
    <t>СМИ</t>
  </si>
  <si>
    <t>проводили</t>
  </si>
  <si>
    <t>ошеломляющее</t>
  </si>
  <si>
    <t>тотальное</t>
  </si>
  <si>
    <t>наступление</t>
  </si>
  <si>
    <t># text = Внезапно показалось, что турков должны считать виновными во всём.</t>
  </si>
  <si>
    <t>Внезапно</t>
  </si>
  <si>
    <t>показалось</t>
  </si>
  <si>
    <t>турков</t>
  </si>
  <si>
    <t>должны</t>
  </si>
  <si>
    <t>считать</t>
  </si>
  <si>
    <t>виновными</t>
  </si>
  <si>
    <t>всём</t>
  </si>
  <si>
    <t># text = Самыми серьезными были обвинения от представителей высшего руководства, что собственная семья господина Эрдогана нажилась на нелегальной торговле нефтью из зон Сирии, контролируемых так называемым Исламским Государством.</t>
  </si>
  <si>
    <t>Самыми</t>
  </si>
  <si>
    <t>серьезными</t>
  </si>
  <si>
    <t>были</t>
  </si>
  <si>
    <t>обвинения</t>
  </si>
  <si>
    <t>представителей</t>
  </si>
  <si>
    <t>высшего</t>
  </si>
  <si>
    <t>руководства</t>
  </si>
  <si>
    <t>собственная</t>
  </si>
  <si>
    <t>семья</t>
  </si>
  <si>
    <t>нажилась</t>
  </si>
  <si>
    <t>нелегальной</t>
  </si>
  <si>
    <t>торговле</t>
  </si>
  <si>
    <t>нефтью</t>
  </si>
  <si>
    <t>из</t>
  </si>
  <si>
    <t>зон</t>
  </si>
  <si>
    <t>Сирии</t>
  </si>
  <si>
    <t>контролируемых</t>
  </si>
  <si>
    <t>так</t>
  </si>
  <si>
    <t>называемым</t>
  </si>
  <si>
    <t>Исламским</t>
  </si>
  <si>
    <t>Государством</t>
  </si>
  <si>
    <t># text = Он отрицал это решительно.</t>
  </si>
  <si>
    <t>отрицал</t>
  </si>
  <si>
    <t>это</t>
  </si>
  <si>
    <t>решительно</t>
  </si>
  <si>
    <t># text = Но в Санкт-Петербурге поступил официальный сигнал, что пришло время двигаться дальше.</t>
  </si>
  <si>
    <t>поступил</t>
  </si>
  <si>
    <t>сигнал</t>
  </si>
  <si>
    <t>пришло</t>
  </si>
  <si>
    <t>время</t>
  </si>
  <si>
    <t>двигаться</t>
  </si>
  <si>
    <t>дальше</t>
  </si>
  <si>
    <t># text = В конце концов, эта встреча произошла только потому, что господин Путин получил извинение, которое он требовал от президента Эрдогана.</t>
  </si>
  <si>
    <t>В</t>
  </si>
  <si>
    <t>конце</t>
  </si>
  <si>
    <t>концов</t>
  </si>
  <si>
    <t>эта</t>
  </si>
  <si>
    <t>встреча</t>
  </si>
  <si>
    <t>произошла</t>
  </si>
  <si>
    <t>потому</t>
  </si>
  <si>
    <t>господин</t>
  </si>
  <si>
    <t>получил</t>
  </si>
  <si>
    <t>извинение</t>
  </si>
  <si>
    <t>которое</t>
  </si>
  <si>
    <t>OBJ_5</t>
  </si>
  <si>
    <t>SBJ_5</t>
  </si>
  <si>
    <t>требовал</t>
  </si>
  <si>
    <t>президента</t>
  </si>
  <si>
    <t># text = Россия могла претендовать на победу своего рода.</t>
  </si>
  <si>
    <t>могла</t>
  </si>
  <si>
    <t>претендовать</t>
  </si>
  <si>
    <t>победу</t>
  </si>
  <si>
    <t>рода</t>
  </si>
  <si>
    <t># text = Для Анкары преимущества объявления перемирия ясны.</t>
  </si>
  <si>
    <t>Для</t>
  </si>
  <si>
    <t>Анкары</t>
  </si>
  <si>
    <t>преимущества</t>
  </si>
  <si>
    <t>объявления</t>
  </si>
  <si>
    <t>перемирия</t>
  </si>
  <si>
    <t>ясны</t>
  </si>
  <si>
    <t># text = В первую очередь, Эрдогану нужны все друзья, которых он может получить, после того как он был почти свергнут со своего поста в прошлом месяце при попытке переворота.</t>
  </si>
  <si>
    <t>первую</t>
  </si>
  <si>
    <t>очередь</t>
  </si>
  <si>
    <t>Эрдогану</t>
  </si>
  <si>
    <t>нужны</t>
  </si>
  <si>
    <t>все</t>
  </si>
  <si>
    <t>друзья</t>
  </si>
  <si>
    <t>которых</t>
  </si>
  <si>
    <t>OBJ_4</t>
  </si>
  <si>
    <t>может</t>
  </si>
  <si>
    <t>получить</t>
  </si>
  <si>
    <t>после</t>
  </si>
  <si>
    <t>того</t>
  </si>
  <si>
    <t>SBJ_4</t>
  </si>
  <si>
    <t>почти</t>
  </si>
  <si>
    <t>свергнут</t>
  </si>
  <si>
    <t>со</t>
  </si>
  <si>
    <t>поста</t>
  </si>
  <si>
    <t>прошлом</t>
  </si>
  <si>
    <t>месяце</t>
  </si>
  <si>
    <t>при</t>
  </si>
  <si>
    <t>попытке</t>
  </si>
  <si>
    <t>переворота</t>
  </si>
  <si>
    <t># text = Повторные террористические атаки на Турцию явно потрясли его тоже.</t>
  </si>
  <si>
    <t>Повторные</t>
  </si>
  <si>
    <t>террористические</t>
  </si>
  <si>
    <t>атаки</t>
  </si>
  <si>
    <t>Турцию</t>
  </si>
  <si>
    <t>явно</t>
  </si>
  <si>
    <t>потрясли</t>
  </si>
  <si>
    <t>тоже</t>
  </si>
  <si>
    <t># text = Есть также экономическая причина.</t>
  </si>
  <si>
    <t>Есть</t>
  </si>
  <si>
    <t>экономическая</t>
  </si>
  <si>
    <t>причина</t>
  </si>
  <si>
    <t># text = Российские санкции сильно ударили — особенно запрет на чартерные полеты, которые обычно привозят несколько миллионов русских туристов на турецкое побережье ежегодно.</t>
  </si>
  <si>
    <t>Российские</t>
  </si>
  <si>
    <t>санкции</t>
  </si>
  <si>
    <t>сильно</t>
  </si>
  <si>
    <t>ударили</t>
  </si>
  <si>
    <t>особенно</t>
  </si>
  <si>
    <t>запрет</t>
  </si>
  <si>
    <t>чартерные</t>
  </si>
  <si>
    <t>полеты</t>
  </si>
  <si>
    <t>которые</t>
  </si>
  <si>
    <t>обычно</t>
  </si>
  <si>
    <t>привозят</t>
  </si>
  <si>
    <t>несколько</t>
  </si>
  <si>
    <t>миллионов</t>
  </si>
  <si>
    <t>русских</t>
  </si>
  <si>
    <t>туристов</t>
  </si>
  <si>
    <t>турецкое</t>
  </si>
  <si>
    <t>побережье</t>
  </si>
  <si>
    <t>ежегодно</t>
  </si>
  <si>
    <t># text = Количество резко упало почти на 90 %.</t>
  </si>
  <si>
    <t>Количество</t>
  </si>
  <si>
    <t>резко</t>
  </si>
  <si>
    <t>упало</t>
  </si>
  <si>
    <t>90</t>
  </si>
  <si>
    <t>%</t>
  </si>
  <si>
    <t># text = Что касается России, туроператоры и чартерные компании здесь, конечно, почувствуют облегчение, когда полеты наконец возобновят.</t>
  </si>
  <si>
    <t>Что</t>
  </si>
  <si>
    <t>касается</t>
  </si>
  <si>
    <t>туроператоры</t>
  </si>
  <si>
    <t>компании</t>
  </si>
  <si>
    <t>здесь</t>
  </si>
  <si>
    <t>конечно</t>
  </si>
  <si>
    <t>почувствуют</t>
  </si>
  <si>
    <t>облегчение</t>
  </si>
  <si>
    <t>наконец</t>
  </si>
  <si>
    <t>возобновят</t>
  </si>
  <si>
    <t># text = Они ставят на пик конца сезона на Средиземном море.</t>
  </si>
  <si>
    <t>Они</t>
  </si>
  <si>
    <t>ставят</t>
  </si>
  <si>
    <t>пик</t>
  </si>
  <si>
    <t>конца</t>
  </si>
  <si>
    <t>сезона</t>
  </si>
  <si>
    <t>Средиземном</t>
  </si>
  <si>
    <t>море</t>
  </si>
  <si>
    <t># text = И даже на этой неделе государственное телевидение предсказывало более дешевые фрукты и овощи, как только турецкий импорт сельскохозяйственной продукции будет разрешен вновь.</t>
  </si>
  <si>
    <t>И</t>
  </si>
  <si>
    <t>этой</t>
  </si>
  <si>
    <t>неделе</t>
  </si>
  <si>
    <t>государственное</t>
  </si>
  <si>
    <t>телевидение</t>
  </si>
  <si>
    <t>предсказывало</t>
  </si>
  <si>
    <t>более</t>
  </si>
  <si>
    <t>дешевые</t>
  </si>
  <si>
    <t>фрукты</t>
  </si>
  <si>
    <t>овощи</t>
  </si>
  <si>
    <t>турецкий</t>
  </si>
  <si>
    <t>импорт</t>
  </si>
  <si>
    <t>сельскохозяйственной</t>
  </si>
  <si>
    <t>продукции</t>
  </si>
  <si>
    <t>разрешен</t>
  </si>
  <si>
    <t>вновь</t>
  </si>
  <si>
    <t># text = \"Туристы туда, помидоры обратно сюда,\" как было сказано в отчете в газете Ведомости.</t>
  </si>
  <si>
    <t>Туристы</t>
  </si>
  <si>
    <t>туда</t>
  </si>
  <si>
    <t>помидоры</t>
  </si>
  <si>
    <t>обратно</t>
  </si>
  <si>
    <t>сюда</t>
  </si>
  <si>
    <t>сказано</t>
  </si>
  <si>
    <t>отчете</t>
  </si>
  <si>
    <t>газете</t>
  </si>
  <si>
    <t>Ведомости</t>
  </si>
  <si>
    <t>other_7</t>
  </si>
  <si>
    <t># text = Но визит также имел дополнительную политическую ценность для Москвы.</t>
  </si>
  <si>
    <t>визит</t>
  </si>
  <si>
    <t>имел</t>
  </si>
  <si>
    <t>дополнительную</t>
  </si>
  <si>
    <t>политическую</t>
  </si>
  <si>
    <t>ценность</t>
  </si>
  <si>
    <t>для</t>
  </si>
  <si>
    <t># text = Анкара зла на Запад за то, что она считает слабым ответом на попытку переворота.</t>
  </si>
  <si>
    <t>зла</t>
  </si>
  <si>
    <t>Запад</t>
  </si>
  <si>
    <t>за</t>
  </si>
  <si>
    <t>то</t>
  </si>
  <si>
    <t>она</t>
  </si>
  <si>
    <t>считает</t>
  </si>
  <si>
    <t>слабым</t>
  </si>
  <si>
    <t>ответом</t>
  </si>
  <si>
    <t>попытку</t>
  </si>
  <si>
    <t># text = Добавьте к этому ее затянувшееся недовольство черепашьим темпом разговоров о присоединении к ЕС и шаг господина Путина — который стремится воспользоваться прохладой и постепенно разрушить турецкие связи с Западом.</t>
  </si>
  <si>
    <t>Добавьте</t>
  </si>
  <si>
    <t>к</t>
  </si>
  <si>
    <t>ее</t>
  </si>
  <si>
    <t>затянувшееся</t>
  </si>
  <si>
    <t>недовольство</t>
  </si>
  <si>
    <t>черепашьим</t>
  </si>
  <si>
    <t>темпом</t>
  </si>
  <si>
    <t>разговоров</t>
  </si>
  <si>
    <t>присоединении</t>
  </si>
  <si>
    <t>ЕС</t>
  </si>
  <si>
    <t>шаг</t>
  </si>
  <si>
    <t>SBJ_7</t>
  </si>
  <si>
    <t>стремится</t>
  </si>
  <si>
    <t>воспользоваться</t>
  </si>
  <si>
    <t>прохладой</t>
  </si>
  <si>
    <t>постепенно</t>
  </si>
  <si>
    <t>разрушить</t>
  </si>
  <si>
    <t>турецкие</t>
  </si>
  <si>
    <t>связи</t>
  </si>
  <si>
    <t>OBJ_9</t>
  </si>
  <si>
    <t>Западом</t>
  </si>
  <si>
    <t>other_10</t>
  </si>
  <si>
    <t># text = Российский лидер, конечно, выиграл бонусные баллы с Анкарой за призыв к поддержке избранных органов власти после попытки государственного переворота.</t>
  </si>
  <si>
    <t>Российский</t>
  </si>
  <si>
    <t>выиграл</t>
  </si>
  <si>
    <t>бонусные</t>
  </si>
  <si>
    <t>баллы</t>
  </si>
  <si>
    <t>Анкарой</t>
  </si>
  <si>
    <t>призыв</t>
  </si>
  <si>
    <t>поддержке</t>
  </si>
  <si>
    <t>избранных</t>
  </si>
  <si>
    <t>органов</t>
  </si>
  <si>
    <t>власти</t>
  </si>
  <si>
    <t>попытки</t>
  </si>
  <si>
    <t>государственного</t>
  </si>
  <si>
    <t># text = Имейте в виду, это данность для Москвы, которая имеет свой собственный глубоко укоренившийся страх смены режима.</t>
  </si>
  <si>
    <t>Имейте</t>
  </si>
  <si>
    <t>виду</t>
  </si>
  <si>
    <t>которая</t>
  </si>
  <si>
    <t>имеет</t>
  </si>
  <si>
    <t>свой</t>
  </si>
  <si>
    <t>собственный</t>
  </si>
  <si>
    <t>глубоко</t>
  </si>
  <si>
    <t>укоренившийся</t>
  </si>
  <si>
    <t>страх</t>
  </si>
  <si>
    <t>смены</t>
  </si>
  <si>
    <t>режима</t>
  </si>
  <si>
    <t># text = Итак, саммит в этом блестящем дворце на морском побережье позволил России и Турции представить то, что один аналитик описал мне как "альянс плохих": две страны, которые чувствуют себя отвергнутыми и униженными Западом, объединяют силы.</t>
  </si>
  <si>
    <t>Итак</t>
  </si>
  <si>
    <t>саммит</t>
  </si>
  <si>
    <t>этом</t>
  </si>
  <si>
    <t>блестящем</t>
  </si>
  <si>
    <t>дворце</t>
  </si>
  <si>
    <t>морском</t>
  </si>
  <si>
    <t>позволил</t>
  </si>
  <si>
    <t>представить</t>
  </si>
  <si>
    <t>один</t>
  </si>
  <si>
    <t>аналитик</t>
  </si>
  <si>
    <t>описал</t>
  </si>
  <si>
    <t>мне</t>
  </si>
  <si>
    <t>альянс</t>
  </si>
  <si>
    <t>две</t>
  </si>
  <si>
    <t>страны</t>
  </si>
  <si>
    <t>SBJ_9</t>
  </si>
  <si>
    <t>чувствуют</t>
  </si>
  <si>
    <t>себя</t>
  </si>
  <si>
    <t>отвергнутыми</t>
  </si>
  <si>
    <t>униженными</t>
  </si>
  <si>
    <t>other_11</t>
  </si>
  <si>
    <t>объединяют</t>
  </si>
  <si>
    <t>силы</t>
  </si>
  <si>
    <t># text = Все же, несмотря на публичный показ примирения, эти двое по-прежнему имеют существенные различия.</t>
  </si>
  <si>
    <t>Все</t>
  </si>
  <si>
    <t>же</t>
  </si>
  <si>
    <t>несмотря</t>
  </si>
  <si>
    <t>публичный</t>
  </si>
  <si>
    <t>показ</t>
  </si>
  <si>
    <t>эти</t>
  </si>
  <si>
    <t>двое</t>
  </si>
  <si>
    <t>по-прежнему</t>
  </si>
  <si>
    <t>имеют</t>
  </si>
  <si>
    <t>существенные</t>
  </si>
  <si>
    <t>различия</t>
  </si>
  <si>
    <t># text = Ключевой является Сирия, где Москва недавно позиционировала себя в качестве миротворца, но где Россия и Турция поддерживают противоположные стороны.</t>
  </si>
  <si>
    <t>Ключевой</t>
  </si>
  <si>
    <t>является</t>
  </si>
  <si>
    <t>Сирия</t>
  </si>
  <si>
    <t>где</t>
  </si>
  <si>
    <t>Москва</t>
  </si>
  <si>
    <t>недавно</t>
  </si>
  <si>
    <t>позиционировала</t>
  </si>
  <si>
    <t>качестве</t>
  </si>
  <si>
    <t>миротворца</t>
  </si>
  <si>
    <t>поддерживают</t>
  </si>
  <si>
    <t>противоположные</t>
  </si>
  <si>
    <t>стороны</t>
  </si>
  <si>
    <t># text = Возможно, говорит само за себя то, что после почти трех часов первоначальных переговоров, пока два президента давали пресс-конференцию, они даже не затронули эту тему.</t>
  </si>
  <si>
    <t>Возможно</t>
  </si>
  <si>
    <t>говорит</t>
  </si>
  <si>
    <t>само</t>
  </si>
  <si>
    <t>трех</t>
  </si>
  <si>
    <t>часов</t>
  </si>
  <si>
    <t>первоначальных</t>
  </si>
  <si>
    <t>переговоров</t>
  </si>
  <si>
    <t>пока</t>
  </si>
  <si>
    <t>два</t>
  </si>
  <si>
    <t>давали</t>
  </si>
  <si>
    <t>пресс-конференцию</t>
  </si>
  <si>
    <t>они</t>
  </si>
  <si>
    <t>затронули</t>
  </si>
  <si>
    <t>эту</t>
  </si>
  <si>
    <t>тему</t>
  </si>
  <si>
    <t># text = Президент Турции умышленно избегал ответа на вопрос об их различиях, в то время как господин Путин предпочёл сделать на них акцент.</t>
  </si>
  <si>
    <t>Президент</t>
  </si>
  <si>
    <t>умышленно</t>
  </si>
  <si>
    <t>избегал</t>
  </si>
  <si>
    <t>ответа</t>
  </si>
  <si>
    <t>вопрос</t>
  </si>
  <si>
    <t>об</t>
  </si>
  <si>
    <t>различиях</t>
  </si>
  <si>
    <t>предпочёл</t>
  </si>
  <si>
    <t>сделать</t>
  </si>
  <si>
    <t>них</t>
  </si>
  <si>
    <t>акцент</t>
  </si>
  <si>
    <t># text = Нет четкого согласия в том, как они могут найти общий язык по Сирии.</t>
  </si>
  <si>
    <t>Нет</t>
  </si>
  <si>
    <t>четкого</t>
  </si>
  <si>
    <t>согласия</t>
  </si>
  <si>
    <t>том</t>
  </si>
  <si>
    <t>могут</t>
  </si>
  <si>
    <t>найти</t>
  </si>
  <si>
    <t>общий</t>
  </si>
  <si>
    <t>язык</t>
  </si>
  <si>
    <t># text = Но после месяцев открытой враждебности — и принимая во внимание возможность полной катастрофы, когда член НАТО Турция сбила российский реактивный истребитель,- точно лучше, что два лидера по крайней мере разговаривают снова.</t>
  </si>
  <si>
    <t>открытой</t>
  </si>
  <si>
    <t>враждебности</t>
  </si>
  <si>
    <t>принимая</t>
  </si>
  <si>
    <t>внимание</t>
  </si>
  <si>
    <t>возможность</t>
  </si>
  <si>
    <t>полной</t>
  </si>
  <si>
    <t>катастрофы</t>
  </si>
  <si>
    <t>член</t>
  </si>
  <si>
    <t>НАТО</t>
  </si>
  <si>
    <t>реактивный</t>
  </si>
  <si>
    <t>точно</t>
  </si>
  <si>
    <t>лучше</t>
  </si>
  <si>
    <t>лидера</t>
  </si>
  <si>
    <t>SBJ_6</t>
  </si>
  <si>
    <t>крайней</t>
  </si>
  <si>
    <t>мере</t>
  </si>
  <si>
    <t>разговаривают</t>
  </si>
  <si>
    <t>снова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</si>
</sst>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9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10</v>
      </c>
      <c r="C2" s="6" t="s">
        <v>11</v>
      </c>
      <c r="D2" s="7" t="s">
        <v>12</v>
      </c>
      <c r="E2" s="8" t="s">
        <v>13</v>
      </c>
      <c r="F2" s="6" t="s">
        <v>14</v>
      </c>
      <c r="G2" s="9">
        <f>IF(A2=1,"_",IF(C2="_","???",C2))</f>
        <v/>
      </c>
      <c r="H2" s="10" t="s">
        <v>11</v>
      </c>
      <c r="I2" s="11" t="s">
        <v>11</v>
      </c>
      <c r="J2" s="12"/>
    </row>
    <row r="3" spans="1:10" ht="60" customHeight="1">
      <c r="A3" s="6" t="s">
        <v>15</v>
      </c>
      <c r="B3" s="6" t="s">
        <v>15</v>
      </c>
      <c r="C3" s="6" t="s">
        <v>11</v>
      </c>
      <c r="D3" s="7" t="s">
        <v>16</v>
      </c>
      <c r="E3" s="8" t="s">
        <v>17</v>
      </c>
      <c r="F3" s="6" t="s">
        <v>18</v>
      </c>
      <c r="G3" s="9">
        <f>IF(A3=1,"_",IF(C3="_","???",C3))</f>
        <v/>
      </c>
      <c r="H3" s="10" t="s">
        <v>11</v>
      </c>
      <c r="I3" s="11" t="s">
        <v>11</v>
      </c>
      <c r="J3" s="12"/>
    </row>
    <row r="4" spans="1:10" ht="60" customHeight="1">
      <c r="A4" s="6" t="s">
        <v>19</v>
      </c>
      <c r="B4" s="6" t="s">
        <v>20</v>
      </c>
      <c r="C4" s="6" t="s">
        <v>11</v>
      </c>
      <c r="D4" s="7" t="s">
        <v>21</v>
      </c>
      <c r="E4" s="8" t="s">
        <v>22</v>
      </c>
      <c r="F4" s="6" t="s">
        <v>23</v>
      </c>
      <c r="G4" s="9">
        <f>IF(A4=1,"_",IF(C4="_","???",C4))</f>
        <v/>
      </c>
      <c r="H4" s="10" t="s">
        <v>11</v>
      </c>
      <c r="I4" s="11" t="s">
        <v>11</v>
      </c>
      <c r="J4" s="12"/>
    </row>
    <row r="5" spans="1:10" ht="60" customHeight="1">
      <c r="A5" s="6" t="s">
        <v>24</v>
      </c>
      <c r="B5" s="6" t="s">
        <v>25</v>
      </c>
      <c r="C5" s="6" t="s">
        <v>11</v>
      </c>
      <c r="D5" s="7" t="s">
        <v>26</v>
      </c>
      <c r="E5" s="8" t="s">
        <v>27</v>
      </c>
      <c r="F5" s="6" t="s">
        <v>28</v>
      </c>
      <c r="G5" s="9">
        <f>IF(A5=1,"_",IF(C5="_","???",C5))</f>
        <v/>
      </c>
      <c r="H5" s="10" t="s">
        <v>11</v>
      </c>
      <c r="I5" s="11" t="s">
        <v>11</v>
      </c>
      <c r="J5" s="12"/>
    </row>
    <row r="6" spans="1:10" ht="60" customHeight="1">
      <c r="A6" s="6" t="s">
        <v>20</v>
      </c>
      <c r="B6" s="6" t="s">
        <v>10</v>
      </c>
      <c r="C6" s="6" t="s">
        <v>11</v>
      </c>
      <c r="D6" s="7" t="s">
        <v>29</v>
      </c>
      <c r="E6" s="8" t="s">
        <v>30</v>
      </c>
      <c r="F6" s="6" t="s">
        <v>31</v>
      </c>
      <c r="G6" s="9">
        <f>IF(A6=1,"_",IF(C6="_","???",C6))</f>
        <v/>
      </c>
      <c r="H6" s="10" t="s">
        <v>11</v>
      </c>
      <c r="I6" s="11" t="s">
        <v>11</v>
      </c>
      <c r="J6" s="12"/>
    </row>
    <row r="7" spans="1:10" ht="60" customHeight="1">
      <c r="A7" s="6" t="s">
        <v>32</v>
      </c>
      <c r="B7" s="6" t="s">
        <v>20</v>
      </c>
      <c r="C7" s="6" t="s">
        <v>11</v>
      </c>
      <c r="D7" s="7" t="s">
        <v>33</v>
      </c>
      <c r="E7" s="8" t="s">
        <v>34</v>
      </c>
      <c r="F7" s="6" t="s">
        <v>35</v>
      </c>
      <c r="G7" s="9">
        <f>IF(A7=1,"_",IF(C7="_","???",C7))</f>
        <v/>
      </c>
      <c r="H7" s="10" t="s">
        <v>11</v>
      </c>
      <c r="I7" s="11" t="s">
        <v>11</v>
      </c>
      <c r="J7" s="12"/>
    </row>
    <row r="8" spans="1:10" ht="60" customHeight="1">
      <c r="A8" s="6" t="s">
        <v>36</v>
      </c>
      <c r="B8" s="6" t="s">
        <v>36</v>
      </c>
      <c r="C8" s="6" t="s">
        <v>11</v>
      </c>
      <c r="D8" s="7" t="s">
        <v>37</v>
      </c>
      <c r="E8" s="8" t="s">
        <v>38</v>
      </c>
      <c r="F8" s="6" t="s">
        <v>39</v>
      </c>
      <c r="G8" s="9">
        <f>IF(A8=1,"_",IF(C8="_","???",C8))</f>
        <v/>
      </c>
      <c r="H8" s="10" t="s">
        <v>11</v>
      </c>
      <c r="I8" s="11" t="s">
        <v>11</v>
      </c>
      <c r="J8" s="12"/>
    </row>
    <row r="9" spans="1:10" ht="60" customHeight="1">
      <c r="A9" s="6" t="s">
        <v>40</v>
      </c>
      <c r="B9" s="6" t="s">
        <v>15</v>
      </c>
      <c r="C9" s="6" t="s">
        <v>11</v>
      </c>
      <c r="D9" s="7" t="s">
        <v>41</v>
      </c>
      <c r="E9" s="8" t="s">
        <v>42</v>
      </c>
      <c r="F9" s="6" t="s">
        <v>43</v>
      </c>
      <c r="G9" s="9">
        <f>IF(A9=1,"_",IF(C9="_","???",C9))</f>
        <v/>
      </c>
      <c r="H9" s="10" t="s">
        <v>11</v>
      </c>
      <c r="I9" s="11" t="s">
        <v>11</v>
      </c>
      <c r="J9" s="12"/>
    </row>
    <row r="10" spans="1:10" ht="60" customHeight="1">
      <c r="A10" s="6" t="s">
        <v>44</v>
      </c>
      <c r="B10" s="6" t="s">
        <v>19</v>
      </c>
      <c r="C10" s="6" t="s">
        <v>11</v>
      </c>
      <c r="D10" s="7" t="s">
        <v>45</v>
      </c>
      <c r="E10" s="8" t="s">
        <v>46</v>
      </c>
      <c r="F10" s="6" t="s">
        <v>47</v>
      </c>
      <c r="G10" s="9">
        <f>IF(A10=1,"_",IF(C10="_","???",C10))</f>
        <v/>
      </c>
      <c r="H10" s="10" t="s">
        <v>11</v>
      </c>
      <c r="I10" s="11" t="s">
        <v>11</v>
      </c>
      <c r="J10" s="12"/>
    </row>
    <row r="11" spans="1:10" ht="60" customHeight="1">
      <c r="A11" s="6" t="s">
        <v>48</v>
      </c>
      <c r="B11" s="6" t="s">
        <v>32</v>
      </c>
      <c r="C11" s="6" t="s">
        <v>11</v>
      </c>
      <c r="D11" s="7" t="s">
        <v>49</v>
      </c>
      <c r="E11" s="8" t="s">
        <v>50</v>
      </c>
      <c r="F11" s="6" t="s">
        <v>51</v>
      </c>
      <c r="G11" s="9">
        <f>IF(A11=1,"_",IF(C11="_","???",C11))</f>
        <v/>
      </c>
      <c r="H11" s="10" t="s">
        <v>11</v>
      </c>
      <c r="I11" s="11" t="s">
        <v>11</v>
      </c>
      <c r="J11" s="12"/>
    </row>
    <row r="12" spans="1:10" ht="60" customHeight="1">
      <c r="A12" s="6" t="s">
        <v>52</v>
      </c>
      <c r="B12" s="6" t="s">
        <v>20</v>
      </c>
      <c r="C12" s="6" t="s">
        <v>11</v>
      </c>
      <c r="D12" s="7" t="s">
        <v>53</v>
      </c>
      <c r="E12" s="8" t="s">
        <v>54</v>
      </c>
      <c r="F12" s="6" t="s">
        <v>55</v>
      </c>
      <c r="G12" s="9">
        <f>IF(A12=1,"_",IF(C12="_","???",C12))</f>
        <v/>
      </c>
      <c r="H12" s="10" t="s">
        <v>11</v>
      </c>
      <c r="I12" s="11" t="s">
        <v>11</v>
      </c>
      <c r="J12" s="12"/>
    </row>
    <row r="13" spans="1:10" ht="60" customHeight="1">
      <c r="A13" s="6" t="s">
        <v>56</v>
      </c>
      <c r="B13" s="6" t="s">
        <v>48</v>
      </c>
      <c r="C13" s="6" t="s">
        <v>11</v>
      </c>
      <c r="D13" s="7" t="s">
        <v>57</v>
      </c>
      <c r="E13" s="8" t="s">
        <v>58</v>
      </c>
      <c r="F13" s="6" t="s">
        <v>59</v>
      </c>
      <c r="G13" s="9">
        <f>IF(A13=1,"_",IF(C13="_","???",C13))</f>
        <v/>
      </c>
      <c r="H13" s="10" t="s">
        <v>11</v>
      </c>
      <c r="I13" s="11" t="s">
        <v>11</v>
      </c>
      <c r="J13" s="12"/>
    </row>
    <row r="14" spans="1:10" ht="60" customHeight="1">
      <c r="A14" s="6" t="s">
        <v>60</v>
      </c>
      <c r="B14" s="6" t="s">
        <v>20</v>
      </c>
      <c r="C14" s="6" t="s">
        <v>11</v>
      </c>
      <c r="D14" s="7" t="s">
        <v>61</v>
      </c>
      <c r="E14" s="8" t="s">
        <v>62</v>
      </c>
      <c r="F14" s="6" t="s">
        <v>63</v>
      </c>
      <c r="G14" s="9">
        <f>IF(A14=1,"_",IF(C14="_","???",C14))</f>
        <v/>
      </c>
      <c r="H14" s="10" t="s">
        <v>11</v>
      </c>
      <c r="I14" s="11" t="s">
        <v>11</v>
      </c>
      <c r="J14" s="12"/>
    </row>
    <row r="15" spans="1:10" ht="60" customHeight="1">
      <c r="A15" s="6" t="s">
        <v>64</v>
      </c>
      <c r="B15" s="6" t="s">
        <v>15</v>
      </c>
      <c r="C15" s="6" t="s">
        <v>11</v>
      </c>
      <c r="D15" s="7" t="s">
        <v>65</v>
      </c>
      <c r="E15" s="8" t="s">
        <v>66</v>
      </c>
      <c r="F15" s="6" t="s">
        <v>67</v>
      </c>
      <c r="G15" s="9">
        <f>IF(A15=1,"_",IF(C15="_","???",C15))</f>
        <v/>
      </c>
      <c r="H15" s="10" t="s">
        <v>11</v>
      </c>
      <c r="I15" s="11" t="s">
        <v>11</v>
      </c>
      <c r="J15" s="12"/>
    </row>
    <row r="16" spans="1:10" ht="60" customHeight="1">
      <c r="A16" s="6" t="s">
        <v>68</v>
      </c>
      <c r="B16" s="6" t="s">
        <v>32</v>
      </c>
      <c r="C16" s="6" t="s">
        <v>11</v>
      </c>
      <c r="D16" s="7" t="s">
        <v>69</v>
      </c>
      <c r="E16" s="8" t="s">
        <v>70</v>
      </c>
      <c r="F16" s="6" t="s">
        <v>71</v>
      </c>
      <c r="G16" s="9">
        <f>IF(A16=1,"_",IF(C16="_","???",C16))</f>
        <v/>
      </c>
      <c r="H16" s="10" t="s">
        <v>11</v>
      </c>
      <c r="I16" s="11" t="s">
        <v>11</v>
      </c>
      <c r="J16" s="12"/>
    </row>
    <row r="17" spans="1:10" ht="60" customHeight="1">
      <c r="A17" s="6" t="s">
        <v>72</v>
      </c>
      <c r="B17" s="6" t="s">
        <v>19</v>
      </c>
      <c r="C17" s="6" t="s">
        <v>11</v>
      </c>
      <c r="D17" s="7" t="s">
        <v>73</v>
      </c>
      <c r="E17" s="8" t="s">
        <v>74</v>
      </c>
      <c r="F17" s="6" t="s">
        <v>75</v>
      </c>
      <c r="G17" s="9">
        <f>IF(A17=1,"_",IF(C17="_","???",C17))</f>
        <v/>
      </c>
      <c r="H17" s="10" t="s">
        <v>11</v>
      </c>
      <c r="I17" s="11" t="s">
        <v>11</v>
      </c>
      <c r="J17" s="12"/>
    </row>
    <row r="18" spans="1:10" ht="60" customHeight="1">
      <c r="A18" s="6" t="s">
        <v>76</v>
      </c>
      <c r="B18" s="6" t="s">
        <v>15</v>
      </c>
      <c r="C18" s="6" t="s">
        <v>11</v>
      </c>
      <c r="D18" s="7" t="s">
        <v>77</v>
      </c>
      <c r="E18" s="8" t="s">
        <v>78</v>
      </c>
      <c r="F18" s="6" t="s">
        <v>79</v>
      </c>
      <c r="G18" s="9">
        <f>IF(A18=1,"_",IF(C18="_","???",C18))</f>
        <v/>
      </c>
      <c r="H18" s="10" t="s">
        <v>11</v>
      </c>
      <c r="I18" s="11" t="s">
        <v>11</v>
      </c>
      <c r="J18" s="12"/>
    </row>
    <row r="19" spans="1:10" ht="60" customHeight="1">
      <c r="A19" s="6" t="s">
        <v>25</v>
      </c>
      <c r="B19" s="6" t="s">
        <v>24</v>
      </c>
      <c r="C19" s="6" t="s">
        <v>11</v>
      </c>
      <c r="D19" s="7" t="s">
        <v>80</v>
      </c>
      <c r="E19" s="8" t="s">
        <v>81</v>
      </c>
      <c r="F19" s="6" t="s">
        <v>82</v>
      </c>
      <c r="G19" s="9">
        <f>IF(A19=1,"_",IF(C19="_","???",C19))</f>
        <v/>
      </c>
      <c r="H19" s="10" t="s">
        <v>11</v>
      </c>
      <c r="I19" s="11" t="s">
        <v>11</v>
      </c>
      <c r="J19" s="12"/>
    </row>
    <row r="20" spans="1:10" ht="60" customHeight="1">
      <c r="A20" s="6" t="s">
        <v>83</v>
      </c>
      <c r="B20" s="6" t="s">
        <v>20</v>
      </c>
      <c r="C20" s="6" t="s">
        <v>11</v>
      </c>
      <c r="D20" s="7" t="s">
        <v>84</v>
      </c>
      <c r="E20" s="8" t="s">
        <v>85</v>
      </c>
      <c r="F20" s="6" t="s">
        <v>86</v>
      </c>
      <c r="G20" s="9">
        <f>IF(A20=1,"_",IF(C20="_","???",C20))</f>
        <v/>
      </c>
      <c r="H20" s="10" t="s">
        <v>11</v>
      </c>
      <c r="I20" s="11" t="s">
        <v>11</v>
      </c>
      <c r="J20" s="12"/>
    </row>
    <row r="21" spans="1:10" ht="60" customHeight="1">
      <c r="A21" s="6" t="s">
        <v>87</v>
      </c>
      <c r="B21" s="6" t="s">
        <v>36</v>
      </c>
      <c r="C21" s="6" t="s">
        <v>11</v>
      </c>
      <c r="D21" s="7" t="s">
        <v>88</v>
      </c>
      <c r="E21" s="8" t="s">
        <v>89</v>
      </c>
      <c r="F21" s="6" t="s">
        <v>90</v>
      </c>
      <c r="G21" s="9">
        <f>IF(A21=1,"_",IF(C21="_","???",C21))</f>
        <v/>
      </c>
      <c r="H21" s="10" t="s">
        <v>11</v>
      </c>
      <c r="I21" s="11" t="s">
        <v>11</v>
      </c>
      <c r="J21" s="12"/>
    </row>
    <row r="22" spans="1:10" ht="60" customHeight="1">
      <c r="A22" s="6" t="s">
        <v>91</v>
      </c>
      <c r="B22" s="6" t="s">
        <v>15</v>
      </c>
      <c r="C22" s="6" t="s">
        <v>11</v>
      </c>
      <c r="D22" s="7" t="s">
        <v>92</v>
      </c>
      <c r="E22" s="8" t="s">
        <v>93</v>
      </c>
      <c r="F22" s="6" t="s">
        <v>94</v>
      </c>
      <c r="G22" s="9">
        <f>IF(A22=1,"_",IF(C22="_","???",C22))</f>
        <v/>
      </c>
      <c r="H22" s="10" t="s">
        <v>11</v>
      </c>
      <c r="I22" s="11" t="s">
        <v>11</v>
      </c>
      <c r="J22" s="12"/>
    </row>
    <row r="23" spans="1:10" ht="60" customHeight="1">
      <c r="A23" s="6" t="s">
        <v>95</v>
      </c>
      <c r="B23" s="6" t="s">
        <v>19</v>
      </c>
      <c r="C23" s="6" t="s">
        <v>11</v>
      </c>
      <c r="D23" s="7" t="s">
        <v>96</v>
      </c>
      <c r="E23" s="8" t="s">
        <v>97</v>
      </c>
      <c r="F23" s="6" t="s">
        <v>98</v>
      </c>
      <c r="G23" s="9">
        <f>IF(A23=1,"_",IF(C23="_","???",C23))</f>
        <v/>
      </c>
      <c r="H23" s="10" t="s">
        <v>11</v>
      </c>
      <c r="I23" s="11" t="s">
        <v>11</v>
      </c>
      <c r="J23" s="12"/>
    </row>
    <row r="24" spans="1:10" ht="60" customHeight="1">
      <c r="A24" s="6" t="s">
        <v>99</v>
      </c>
      <c r="B24" s="6" t="s">
        <v>15</v>
      </c>
      <c r="C24" s="6" t="s">
        <v>11</v>
      </c>
      <c r="D24" s="7" t="s">
        <v>100</v>
      </c>
      <c r="E24" s="8" t="s">
        <v>101</v>
      </c>
      <c r="F24" s="6" t="s">
        <v>102</v>
      </c>
      <c r="G24" s="9">
        <f>IF(A24=1,"_",IF(C24="_","???",C24))</f>
        <v/>
      </c>
      <c r="H24" s="10" t="s">
        <v>11</v>
      </c>
      <c r="I24" s="11" t="s">
        <v>11</v>
      </c>
      <c r="J24" s="12"/>
    </row>
    <row r="25" spans="1:10" ht="60" customHeight="1">
      <c r="A25" s="6" t="s">
        <v>103</v>
      </c>
      <c r="B25" s="6" t="s">
        <v>24</v>
      </c>
      <c r="C25" s="6" t="s">
        <v>11</v>
      </c>
      <c r="D25" s="7" t="s">
        <v>104</v>
      </c>
      <c r="E25" s="8" t="s">
        <v>105</v>
      </c>
      <c r="F25" s="6" t="s">
        <v>106</v>
      </c>
      <c r="G25" s="9">
        <f>IF(A25=1,"_",IF(C25="_","???",C25))</f>
        <v/>
      </c>
      <c r="H25" s="10" t="s">
        <v>11</v>
      </c>
      <c r="I25" s="11" t="s">
        <v>11</v>
      </c>
      <c r="J25" s="12"/>
    </row>
    <row r="26" spans="1:10" ht="60" customHeight="1">
      <c r="A26" s="6" t="s">
        <v>107</v>
      </c>
      <c r="B26" s="6" t="s">
        <v>36</v>
      </c>
      <c r="C26" s="6" t="s">
        <v>108</v>
      </c>
      <c r="D26" s="7" t="s">
        <v>109</v>
      </c>
      <c r="E26" s="8" t="s">
        <v>110</v>
      </c>
      <c r="F26" s="6" t="s">
        <v>111</v>
      </c>
      <c r="G26" s="9">
        <f>IF(A26=1,"_",IF(C26="_","???",C26))</f>
        <v/>
      </c>
      <c r="H26" s="10" t="s">
        <v>11</v>
      </c>
      <c r="I26" s="11" t="s">
        <v>11</v>
      </c>
      <c r="J26" s="12"/>
    </row>
    <row r="27" spans="1:10" ht="60" customHeight="1">
      <c r="A27" s="6" t="s">
        <v>112</v>
      </c>
      <c r="B27" s="6" t="s">
        <v>15</v>
      </c>
      <c r="C27" s="6" t="s">
        <v>11</v>
      </c>
      <c r="D27" s="7" t="s">
        <v>113</v>
      </c>
      <c r="E27" s="8" t="s">
        <v>114</v>
      </c>
      <c r="F27" s="6" t="s">
        <v>115</v>
      </c>
      <c r="G27" s="9">
        <f>IF(A27=1,"_",IF(C27="_","???",C27))</f>
        <v/>
      </c>
      <c r="H27" s="10" t="s">
        <v>11</v>
      </c>
      <c r="I27" s="11" t="s">
        <v>11</v>
      </c>
      <c r="J27" s="12"/>
    </row>
    <row r="28" spans="1:10" ht="60" customHeight="1">
      <c r="A28" s="6" t="s">
        <v>116</v>
      </c>
      <c r="B28" s="6" t="s">
        <v>32</v>
      </c>
      <c r="C28" s="6" t="s">
        <v>11</v>
      </c>
      <c r="D28" s="7" t="s">
        <v>117</v>
      </c>
      <c r="E28" s="8" t="s">
        <v>118</v>
      </c>
      <c r="F28" s="6" t="s">
        <v>119</v>
      </c>
      <c r="G28" s="9">
        <f>IF(A28=1,"_",IF(C28="_","???",C28))</f>
        <v/>
      </c>
      <c r="H28" s="10" t="s">
        <v>11</v>
      </c>
      <c r="I28" s="11" t="s">
        <v>11</v>
      </c>
      <c r="J28" s="12"/>
    </row>
    <row r="29" spans="1:10" ht="60" customHeight="1">
      <c r="A29" s="6" t="s">
        <v>120</v>
      </c>
      <c r="B29" s="6" t="s">
        <v>32</v>
      </c>
      <c r="C29" s="6" t="s">
        <v>11</v>
      </c>
      <c r="D29" s="7" t="s">
        <v>121</v>
      </c>
      <c r="E29" s="8" t="s">
        <v>122</v>
      </c>
      <c r="F29" s="6" t="s">
        <v>123</v>
      </c>
      <c r="G29" s="9">
        <f>IF(A29=1,"_",IF(C29="_","???",C29))</f>
        <v/>
      </c>
      <c r="H29" s="10" t="s">
        <v>11</v>
      </c>
      <c r="I29" s="11" t="s">
        <v>11</v>
      </c>
      <c r="J29" s="12"/>
    </row>
    <row r="30" spans="1:10" ht="60" customHeight="1">
      <c r="A30" s="6" t="s">
        <v>124</v>
      </c>
      <c r="B30" s="6" t="s">
        <v>36</v>
      </c>
      <c r="C30" s="6" t="s">
        <v>11</v>
      </c>
      <c r="D30" s="7" t="s">
        <v>125</v>
      </c>
      <c r="E30" s="8" t="s">
        <v>126</v>
      </c>
      <c r="F30" s="6" t="s">
        <v>127</v>
      </c>
      <c r="G30" s="9">
        <f>IF(A30=1,"_",IF(C30="_","???",C30))</f>
        <v/>
      </c>
      <c r="H30" s="10" t="s">
        <v>11</v>
      </c>
      <c r="I30" s="11" t="s">
        <v>11</v>
      </c>
      <c r="J30" s="12"/>
    </row>
    <row r="31" spans="1:10" ht="60" customHeight="1">
      <c r="A31" s="6" t="s">
        <v>128</v>
      </c>
      <c r="B31" s="6" t="s">
        <v>10</v>
      </c>
      <c r="C31" s="6" t="s">
        <v>11</v>
      </c>
      <c r="D31" s="7" t="s">
        <v>29</v>
      </c>
      <c r="E31" s="8" t="s">
        <v>129</v>
      </c>
      <c r="F31" s="6" t="s">
        <v>130</v>
      </c>
      <c r="G31" s="9">
        <f>IF(A31=1,"_",IF(C31="_","???",C31))</f>
        <v/>
      </c>
      <c r="H31" s="10" t="s">
        <v>11</v>
      </c>
      <c r="I31" s="11" t="s">
        <v>11</v>
      </c>
      <c r="J31" s="12"/>
    </row>
    <row r="32" spans="1:10" ht="60" customHeight="1">
      <c r="A32" s="6" t="s">
        <v>131</v>
      </c>
      <c r="B32" s="6" t="s">
        <v>24</v>
      </c>
      <c r="C32" s="6" t="s">
        <v>11</v>
      </c>
      <c r="D32" s="7" t="s">
        <v>132</v>
      </c>
      <c r="E32" s="8" t="s">
        <v>133</v>
      </c>
      <c r="F32" s="6" t="s">
        <v>134</v>
      </c>
      <c r="G32" s="9">
        <f>IF(A32=1,"_",IF(C32="_","???",C32))</f>
        <v/>
      </c>
      <c r="H32" s="10" t="s">
        <v>11</v>
      </c>
      <c r="I32" s="11" t="s">
        <v>11</v>
      </c>
      <c r="J32" s="12"/>
    </row>
    <row r="33" spans="1:10" ht="60" customHeight="1">
      <c r="A33" s="6" t="s">
        <v>135</v>
      </c>
      <c r="B33" s="6" t="s">
        <v>19</v>
      </c>
      <c r="C33" s="6" t="s">
        <v>11</v>
      </c>
      <c r="D33" s="7" t="s">
        <v>136</v>
      </c>
      <c r="E33" s="8" t="s">
        <v>137</v>
      </c>
      <c r="F33" s="6" t="s">
        <v>138</v>
      </c>
      <c r="G33" s="9">
        <f>IF(A33=1,"_",IF(C33="_","???",C33))</f>
        <v/>
      </c>
      <c r="H33" s="10" t="s">
        <v>11</v>
      </c>
      <c r="I33" s="11" t="s">
        <v>11</v>
      </c>
      <c r="J33" s="12"/>
    </row>
    <row r="34" spans="1:10" ht="60" customHeight="1">
      <c r="A34" s="6" t="s">
        <v>139</v>
      </c>
      <c r="B34" s="6" t="s">
        <v>60</v>
      </c>
      <c r="C34" s="6" t="s">
        <v>11</v>
      </c>
      <c r="D34" s="7" t="s">
        <v>140</v>
      </c>
      <c r="E34" s="8" t="s">
        <v>141</v>
      </c>
      <c r="F34" s="6" t="s">
        <v>142</v>
      </c>
      <c r="G34" s="9">
        <f>IF(A34=1,"_",IF(C34="_","???",C34))</f>
        <v/>
      </c>
      <c r="H34" s="10" t="s">
        <v>11</v>
      </c>
      <c r="I34" s="11" t="s">
        <v>11</v>
      </c>
      <c r="J34" s="12"/>
    </row>
    <row r="35" spans="1:10" ht="60" customHeight="1">
      <c r="A35" s="6" t="s">
        <v>143</v>
      </c>
      <c r="B35" s="6" t="s">
        <v>15</v>
      </c>
      <c r="C35" s="6" t="s">
        <v>11</v>
      </c>
      <c r="D35" s="7" t="s">
        <v>144</v>
      </c>
      <c r="E35" s="8" t="s">
        <v>145</v>
      </c>
      <c r="F35" s="6" t="s">
        <v>146</v>
      </c>
      <c r="G35" s="9">
        <f>IF(A35=1,"_",IF(C35="_","???",C35))</f>
        <v/>
      </c>
      <c r="H35" s="10" t="s">
        <v>11</v>
      </c>
      <c r="I35" s="11" t="s">
        <v>11</v>
      </c>
      <c r="J35" s="12"/>
    </row>
    <row r="36" spans="1:10" ht="60" customHeight="1">
      <c r="A36" s="6" t="s">
        <v>147</v>
      </c>
      <c r="B36" s="6" t="s">
        <v>40</v>
      </c>
      <c r="C36" s="6" t="s">
        <v>11</v>
      </c>
      <c r="D36" s="7" t="s">
        <v>148</v>
      </c>
      <c r="E36" s="8" t="s">
        <v>149</v>
      </c>
      <c r="F36" s="6" t="s">
        <v>150</v>
      </c>
      <c r="G36" s="9">
        <f>IF(A36=1,"_",IF(C36="_","???",C36))</f>
        <v/>
      </c>
      <c r="H36" s="10" t="s">
        <v>11</v>
      </c>
      <c r="I36" s="11" t="s">
        <v>11</v>
      </c>
      <c r="J36" s="12"/>
    </row>
    <row r="37" spans="1:10" ht="60" customHeight="1">
      <c r="A37" s="6" t="s">
        <v>151</v>
      </c>
      <c r="B37" s="6" t="s">
        <v>15</v>
      </c>
      <c r="C37" s="6" t="s">
        <v>11</v>
      </c>
      <c r="D37" s="7" t="s">
        <v>152</v>
      </c>
      <c r="E37" s="8" t="s">
        <v>153</v>
      </c>
      <c r="F37" s="6" t="s">
        <v>154</v>
      </c>
      <c r="G37" s="9">
        <f>IF(A37=1,"_",IF(C37="_","???",C37))</f>
        <v/>
      </c>
      <c r="H37" s="10" t="s">
        <v>11</v>
      </c>
      <c r="I37" s="11" t="s">
        <v>11</v>
      </c>
      <c r="J37" s="12"/>
    </row>
    <row r="38" spans="1:10" ht="60" customHeight="1">
      <c r="A38" s="6" t="s">
        <v>155</v>
      </c>
      <c r="B38" s="6" t="s">
        <v>24</v>
      </c>
      <c r="C38" s="6" t="s">
        <v>11</v>
      </c>
      <c r="D38" s="7" t="s">
        <v>156</v>
      </c>
      <c r="E38" s="8" t="s">
        <v>157</v>
      </c>
      <c r="F38" s="6" t="s">
        <v>158</v>
      </c>
      <c r="G38" s="9">
        <f>IF(A38=1,"_",IF(C38="_","???",C38))</f>
        <v/>
      </c>
      <c r="H38" s="10" t="s">
        <v>11</v>
      </c>
      <c r="I38" s="11" t="s">
        <v>11</v>
      </c>
      <c r="J38" s="12"/>
    </row>
    <row r="39" spans="1:10" ht="60" customHeight="1">
      <c r="A39" s="6" t="s">
        <v>159</v>
      </c>
      <c r="B39" s="6" t="s">
        <v>10</v>
      </c>
      <c r="C39" s="6" t="s">
        <v>11</v>
      </c>
      <c r="D39" s="7" t="s">
        <v>160</v>
      </c>
      <c r="E39" s="8" t="s">
        <v>161</v>
      </c>
      <c r="F39" s="6" t="s">
        <v>162</v>
      </c>
      <c r="G39" s="9">
        <f>IF(A39=1,"_",IF(C39="_","???",C39))</f>
        <v/>
      </c>
      <c r="H39" s="10" t="s">
        <v>11</v>
      </c>
      <c r="I39" s="11" t="s">
        <v>11</v>
      </c>
      <c r="J39" s="12"/>
    </row>
    <row r="40" spans="1:10" ht="60" customHeight="1">
      <c r="A40" s="6" t="s">
        <v>163</v>
      </c>
      <c r="B40" s="6" t="s">
        <v>10</v>
      </c>
      <c r="C40" s="6" t="s">
        <v>11</v>
      </c>
      <c r="D40" s="7" t="s">
        <v>164</v>
      </c>
      <c r="E40" s="8" t="s">
        <v>165</v>
      </c>
      <c r="F40" s="6" t="s">
        <v>166</v>
      </c>
      <c r="G40" s="9">
        <f>IF(A40=1,"_",IF(C40="_","???",C40))</f>
        <v/>
      </c>
      <c r="H40" s="10" t="s">
        <v>11</v>
      </c>
      <c r="I40" s="11" t="s">
        <v>11</v>
      </c>
      <c r="J40" s="12"/>
    </row>
    <row r="41" spans="1:10" ht="60" customHeight="1">
      <c r="A41" s="6" t="s">
        <v>167</v>
      </c>
      <c r="B41" s="6" t="s">
        <v>32</v>
      </c>
      <c r="C41" s="6" t="s">
        <v>11</v>
      </c>
      <c r="D41" s="7" t="s">
        <v>168</v>
      </c>
      <c r="E41" s="8" t="s">
        <v>169</v>
      </c>
      <c r="F41" s="6" t="s">
        <v>170</v>
      </c>
      <c r="G41" s="9">
        <f>IF(A41=1,"_",IF(C41="_","???",C41))</f>
        <v/>
      </c>
      <c r="H41" s="10" t="s">
        <v>11</v>
      </c>
      <c r="I41" s="11" t="s">
        <v>11</v>
      </c>
      <c r="J41" s="12"/>
    </row>
    <row r="42" spans="1:10" ht="60" customHeight="1">
      <c r="A42" s="6" t="s">
        <v>171</v>
      </c>
      <c r="B42" s="6" t="s">
        <v>32</v>
      </c>
      <c r="C42" s="6" t="s">
        <v>11</v>
      </c>
      <c r="D42" s="7" t="s">
        <v>172</v>
      </c>
      <c r="E42" s="8" t="s">
        <v>173</v>
      </c>
      <c r="F42" s="6" t="s">
        <v>174</v>
      </c>
      <c r="G42" s="9">
        <f>IF(A42=1,"_",IF(C42="_","???",C42))</f>
        <v/>
      </c>
      <c r="H42" s="10" t="s">
        <v>11</v>
      </c>
      <c r="I42" s="11" t="s">
        <v>11</v>
      </c>
      <c r="J42" s="12"/>
    </row>
    <row r="43" spans="1:10" ht="60" customHeight="1">
      <c r="A43" s="6" t="s">
        <v>175</v>
      </c>
      <c r="B43" s="6" t="s">
        <v>19</v>
      </c>
      <c r="C43" s="6" t="s">
        <v>176</v>
      </c>
      <c r="D43" s="7" t="s">
        <v>177</v>
      </c>
      <c r="E43" s="8" t="s">
        <v>178</v>
      </c>
      <c r="F43" s="6" t="s">
        <v>179</v>
      </c>
      <c r="G43" s="9">
        <f>IF(A43=1,"_",IF(C43="_","???",C43))</f>
        <v/>
      </c>
      <c r="H43" s="10" t="s">
        <v>11</v>
      </c>
      <c r="I43" s="11" t="s">
        <v>11</v>
      </c>
      <c r="J43" s="12"/>
    </row>
    <row r="44" spans="1:10" ht="60" customHeight="1">
      <c r="A44" s="6" t="s">
        <v>180</v>
      </c>
      <c r="B44" s="6" t="s">
        <v>60</v>
      </c>
      <c r="C44" s="6" t="s">
        <v>11</v>
      </c>
      <c r="D44" s="7" t="s">
        <v>156</v>
      </c>
      <c r="E44" s="8" t="s">
        <v>181</v>
      </c>
      <c r="F44" s="6" t="s">
        <v>182</v>
      </c>
      <c r="G44" s="9">
        <f>IF(A44=1,"_",IF(C44="_","???",C44))</f>
        <v/>
      </c>
      <c r="H44" s="10" t="s">
        <v>11</v>
      </c>
      <c r="I44" s="11" t="s">
        <v>11</v>
      </c>
      <c r="J44" s="12"/>
    </row>
    <row r="45" spans="1:10" ht="60" customHeight="1">
      <c r="A45" s="6" t="s">
        <v>183</v>
      </c>
      <c r="B45" s="6" t="s">
        <v>15</v>
      </c>
      <c r="C45" s="6" t="s">
        <v>11</v>
      </c>
      <c r="D45" s="7" t="s">
        <v>184</v>
      </c>
      <c r="E45" s="8" t="s">
        <v>185</v>
      </c>
      <c r="F45" s="6" t="s">
        <v>186</v>
      </c>
      <c r="G45" s="9">
        <f>IF(A45=1,"_",IF(C45="_","???",C45))</f>
        <v/>
      </c>
      <c r="H45" s="10" t="s">
        <v>11</v>
      </c>
      <c r="I45" s="11" t="s">
        <v>11</v>
      </c>
      <c r="J45" s="12"/>
    </row>
    <row r="46" spans="1:10" ht="60" customHeight="1">
      <c r="A46" s="6" t="s">
        <v>187</v>
      </c>
      <c r="B46" s="6" t="s">
        <v>19</v>
      </c>
      <c r="C46" s="6" t="s">
        <v>11</v>
      </c>
      <c r="D46" s="7" t="s">
        <v>37</v>
      </c>
      <c r="E46" s="8" t="s">
        <v>188</v>
      </c>
      <c r="F46" s="6" t="s">
        <v>189</v>
      </c>
      <c r="G46" s="9">
        <f>IF(A46=1,"_",IF(C46="_","???",C46))</f>
        <v/>
      </c>
      <c r="H46" s="10" t="s">
        <v>11</v>
      </c>
      <c r="I46" s="11" t="s">
        <v>11</v>
      </c>
      <c r="J46" s="12"/>
    </row>
    <row r="47" spans="1:10" ht="60" customHeight="1">
      <c r="A47" s="6" t="s">
        <v>190</v>
      </c>
      <c r="B47" s="6" t="s">
        <v>24</v>
      </c>
      <c r="C47" s="6" t="s">
        <v>11</v>
      </c>
      <c r="D47" s="7" t="s">
        <v>191</v>
      </c>
      <c r="E47" s="8" t="s">
        <v>192</v>
      </c>
      <c r="F47" s="6" t="s">
        <v>193</v>
      </c>
      <c r="G47" s="9">
        <f>IF(A47=1,"_",IF(C47="_","???",C47))</f>
        <v/>
      </c>
      <c r="H47" s="10" t="s">
        <v>11</v>
      </c>
      <c r="I47" s="11" t="s">
        <v>11</v>
      </c>
      <c r="J47" s="12"/>
    </row>
    <row r="48" spans="1:10" ht="60" customHeight="1">
      <c r="A48" s="6" t="s">
        <v>194</v>
      </c>
      <c r="B48" s="6" t="s">
        <v>10</v>
      </c>
      <c r="C48" s="6" t="s">
        <v>11</v>
      </c>
      <c r="D48" s="7" t="s">
        <v>195</v>
      </c>
      <c r="E48" s="8" t="s">
        <v>196</v>
      </c>
      <c r="F48" s="6" t="s">
        <v>197</v>
      </c>
      <c r="G48" s="9">
        <f>IF(A48=1,"_",IF(C48="_","???",C48))</f>
        <v/>
      </c>
      <c r="H48" s="10" t="s">
        <v>11</v>
      </c>
      <c r="I48" s="11" t="s">
        <v>11</v>
      </c>
      <c r="J48" s="12"/>
    </row>
    <row r="49" spans="1:10" ht="60" customHeight="1">
      <c r="A49" s="6" t="s">
        <v>198</v>
      </c>
      <c r="B49" s="6" t="s">
        <v>40</v>
      </c>
      <c r="C49" s="6" t="s">
        <v>11</v>
      </c>
      <c r="D49" s="7" t="s">
        <v>199</v>
      </c>
      <c r="E49" s="8" t="s">
        <v>200</v>
      </c>
      <c r="F49" s="6" t="s">
        <v>201</v>
      </c>
      <c r="G49" s="9">
        <f>IF(A49=1,"_",IF(C49="_","???",C49))</f>
        <v/>
      </c>
      <c r="H49" s="10" t="s">
        <v>11</v>
      </c>
      <c r="I49" s="11" t="s">
        <v>11</v>
      </c>
      <c r="J49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9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202</v>
      </c>
      <c r="B1" s="13" t="s">
        <v>203</v>
      </c>
      <c r="C1" s="13" t="s">
        <v>204</v>
      </c>
      <c r="D1" s="13" t="s">
        <v>205</v>
      </c>
      <c r="E1" s="14" t="s">
        <v>206</v>
      </c>
      <c r="F1" s="15" t="s">
        <v>207</v>
      </c>
      <c r="G1" s="16" t="s">
        <v>208</v>
      </c>
      <c r="H1" s="17" t="s">
        <v>209</v>
      </c>
      <c r="I1" s="18" t="s">
        <v>210</v>
      </c>
      <c r="J1" s="18" t="s">
        <v>211</v>
      </c>
      <c r="K1" s="18" t="s">
        <v>212</v>
      </c>
      <c r="L1" s="19" t="s">
        <v>9</v>
      </c>
    </row>
    <row r="2" spans="1:12">
      <c r="A2" s="20" t="s">
        <v>213</v>
      </c>
    </row>
    <row r="3" spans="1:12">
      <c r="A3" s="20" t="s">
        <v>12</v>
      </c>
      <c r="B3" s="21" t="s">
        <v>214</v>
      </c>
      <c r="C3" s="21" t="s">
        <v>215</v>
      </c>
      <c r="D3" s="21" t="s">
        <v>216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217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218</v>
      </c>
      <c r="B5" s="21" t="s">
        <v>214</v>
      </c>
      <c r="C5" s="21" t="s">
        <v>215</v>
      </c>
      <c r="D5" s="21" t="s">
        <v>216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219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220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221</v>
      </c>
      <c r="B8" s="21" t="s">
        <v>214</v>
      </c>
      <c r="C8" s="21" t="s">
        <v>215</v>
      </c>
      <c r="D8" s="21" t="s">
        <v>216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222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220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223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/>
    </row>
    <row r="13" spans="1:12">
      <c r="A13" s="20" t="s">
        <v>224</v>
      </c>
    </row>
    <row r="14" spans="1:12">
      <c r="A14" s="20" t="s">
        <v>225</v>
      </c>
      <c r="B14" s="21" t="s">
        <v>226</v>
      </c>
      <c r="C14" s="21" t="s">
        <v>227</v>
      </c>
      <c r="D14" s="21" t="s">
        <v>216</v>
      </c>
      <c r="E14" s="22">
        <f>IF(D14="?OLD","!!!","")</f>
        <v/>
      </c>
      <c r="F14" s="23" t="str">
        <f>IF(OR(E14="",E14="!!!"),"",IF(NOT(ISNA(VLOOKUP(E14,E$1:E13,1,FALSE()))),"OLD",IF(AND(E14&lt;&gt;"",E14&lt;&gt;"!!!"),"NEW","")))</f>
        <v> </v>
      </c>
      <c r="G14" s="24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5" t="str">
        <f>IF(J14&lt;&gt;1,"",IF(I14="SBJ","CB","?"))</f>
        <v> </v>
      </c>
      <c r="I14" s="26" t="str">
        <f>IF(OR(E14="",E14="!!!",F14="NEW"),"",INDEX(B13:B$2,-1+SUMPRODUCT(MAX(ROW(E13:E$2)*(E14=E13:E$2)))))</f>
        <v> </v>
      </c>
      <c r="J14" s="26" t="str">
        <f>IF(OR(E14="",E14="!!!",F14="NEW"),"",COUNTBLANK(OFFSET(A$1,,,SUMPRODUCT(MAX(ROW(E$2:E14)*(E14=E$2:E14)))))-COUNTBLANK(OFFSET(A$1,,,SUMPRODUCT(MAX(ROW(E$1:E13)*(E2=E$1:E13))))))</f>
        <v> </v>
      </c>
      <c r="K14" s="26" t="str">
        <f>IF(OR(E14="",E14="!!!",F14="NEW"),"",INDEX(J$1:J13,SUMPRODUCT(MAX(ROW(E$1:E13)*(E14=E$1:E13)))))</f>
        <v> </v>
      </c>
      <c r="L14" s="27"/>
    </row>
    <row r="15" spans="1:12">
      <c r="A15" s="20" t="s">
        <v>228</v>
      </c>
      <c r="E15" s="22">
        <f>IF(D15="?OLD","!!!","")</f>
        <v/>
      </c>
      <c r="F15" s="23" t="str">
        <f>IF(OR(E15="",E15="!!!"),"",IF(NOT(ISNA(VLOOKUP(E15,E$1:E14,1,FALSE()))),"OLD",IF(AND(E15&lt;&gt;"",E15&lt;&gt;"!!!"),"NEW","")))</f>
        <v> </v>
      </c>
      <c r="G15" s="24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5" t="str">
        <f>IF(J15&lt;&gt;1,"",IF(I15="SBJ","CB","?"))</f>
        <v> </v>
      </c>
      <c r="I15" s="26" t="str">
        <f>IF(OR(E15="",E15="!!!",F15="NEW"),"",INDEX(B14:B$2,-1+SUMPRODUCT(MAX(ROW(E14:E$2)*(E15=E14:E$2)))))</f>
        <v> </v>
      </c>
      <c r="J15" s="26" t="str">
        <f>IF(OR(E15="",E15="!!!",F15="NEW"),"",COUNTBLANK(OFFSET(A$1,,,SUMPRODUCT(MAX(ROW(E$2:E15)*(E15=E$2:E15)))))-COUNTBLANK(OFFSET(A$1,,,SUMPRODUCT(MAX(ROW(E$1:E14)*(E2=E$1:E14))))))</f>
        <v> </v>
      </c>
      <c r="K15" s="26" t="str">
        <f>IF(OR(E15="",E15="!!!",F15="NEW"),"",INDEX(J$1:J14,SUMPRODUCT(MAX(ROW(E$1:E14)*(E15=E$1:E14)))))</f>
        <v> </v>
      </c>
      <c r="L15" s="27"/>
    </row>
    <row r="16" spans="1:12">
      <c r="A16" s="20" t="s">
        <v>229</v>
      </c>
      <c r="E16" s="22">
        <f>IF(D16="?OLD","!!!","")</f>
        <v/>
      </c>
      <c r="F16" s="23" t="str">
        <f>IF(OR(E16="",E16="!!!"),"",IF(NOT(ISNA(VLOOKUP(E16,E$1:E15,1,FALSE()))),"OLD",IF(AND(E16&lt;&gt;"",E16&lt;&gt;"!!!"),"NEW","")))</f>
        <v> </v>
      </c>
      <c r="G16" s="24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5" t="str">
        <f>IF(J16&lt;&gt;1,"",IF(I16="SBJ","CB","?"))</f>
        <v> </v>
      </c>
      <c r="I16" s="26" t="str">
        <f>IF(OR(E16="",E16="!!!",F16="NEW"),"",INDEX(B15:B$2,-1+SUMPRODUCT(MAX(ROW(E15:E$2)*(E16=E15:E$2)))))</f>
        <v> </v>
      </c>
      <c r="J16" s="26" t="str">
        <f>IF(OR(E16="",E16="!!!",F16="NEW"),"",COUNTBLANK(OFFSET(A$1,,,SUMPRODUCT(MAX(ROW(E$2:E16)*(E16=E$2:E16)))))-COUNTBLANK(OFFSET(A$1,,,SUMPRODUCT(MAX(ROW(E$1:E15)*(E2=E$1:E15))))))</f>
        <v> </v>
      </c>
      <c r="K16" s="26" t="str">
        <f>IF(OR(E16="",E16="!!!",F16="NEW"),"",INDEX(J$1:J15,SUMPRODUCT(MAX(ROW(E$1:E15)*(E16=E$1:E15)))))</f>
        <v> </v>
      </c>
      <c r="L16" s="27"/>
    </row>
    <row r="17" spans="1:12">
      <c r="A17" s="20" t="s">
        <v>230</v>
      </c>
      <c r="E17" s="22">
        <f>IF(D17="?OLD","!!!","")</f>
        <v/>
      </c>
      <c r="F17" s="23" t="str">
        <f>IF(OR(E17="",E17="!!!"),"",IF(NOT(ISNA(VLOOKUP(E17,E$1:E16,1,FALSE()))),"OLD",IF(AND(E17&lt;&gt;"",E17&lt;&gt;"!!!"),"NEW","")))</f>
        <v> </v>
      </c>
      <c r="G17" s="24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5" t="str">
        <f>IF(J17&lt;&gt;1,"",IF(I17="SBJ","CB","?"))</f>
        <v> </v>
      </c>
      <c r="I17" s="26" t="str">
        <f>IF(OR(E17="",E17="!!!",F17="NEW"),"",INDEX(B16:B$2,-1+SUMPRODUCT(MAX(ROW(E16:E$2)*(E17=E16:E$2)))))</f>
        <v> </v>
      </c>
      <c r="J17" s="26" t="str">
        <f>IF(OR(E17="",E17="!!!",F17="NEW"),"",COUNTBLANK(OFFSET(A$1,,,SUMPRODUCT(MAX(ROW(E$2:E17)*(E17=E$2:E17)))))-COUNTBLANK(OFFSET(A$1,,,SUMPRODUCT(MAX(ROW(E$1:E16)*(E2=E$1:E16))))))</f>
        <v> </v>
      </c>
      <c r="K17" s="26" t="str">
        <f>IF(OR(E17="",E17="!!!",F17="NEW"),"",INDEX(J$1:J16,SUMPRODUCT(MAX(ROW(E$1:E16)*(E17=E$1:E16)))))</f>
        <v> </v>
      </c>
      <c r="L17" s="27"/>
    </row>
    <row r="18" spans="1:12">
      <c r="A18" s="20" t="s">
        <v>231</v>
      </c>
      <c r="B18" s="21" t="s">
        <v>232</v>
      </c>
      <c r="C18" s="21" t="s">
        <v>233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 t="s">
        <v>234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235</v>
      </c>
      <c r="B20" s="21" t="s">
        <v>236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237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/>
    </row>
    <row r="23" spans="1:12">
      <c r="A23" s="20" t="s">
        <v>238</v>
      </c>
    </row>
    <row r="24" spans="1:12">
      <c r="A24" s="20" t="s">
        <v>239</v>
      </c>
      <c r="B24" s="21" t="s">
        <v>226</v>
      </c>
      <c r="C24" s="21" t="s">
        <v>240</v>
      </c>
      <c r="D24" s="21" t="s">
        <v>216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241</v>
      </c>
      <c r="B25" s="21" t="s">
        <v>242</v>
      </c>
      <c r="C25" s="21" t="s">
        <v>215</v>
      </c>
      <c r="D25" s="21" t="s">
        <v>216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217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 t="s">
        <v>243</v>
      </c>
      <c r="B27" s="21" t="s">
        <v>244</v>
      </c>
      <c r="C27" s="21" t="s">
        <v>215</v>
      </c>
      <c r="D27" s="21" t="s">
        <v>216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 t="s">
        <v>245</v>
      </c>
      <c r="E28" s="22">
        <f>IF(D28="?OLD","!!!","")</f>
        <v/>
      </c>
      <c r="F28" s="23" t="str">
        <f>IF(OR(E28="",E28="!!!"),"",IF(NOT(ISNA(VLOOKUP(E28,E$1:E27,1,FALSE()))),"OLD",IF(AND(E28&lt;&gt;"",E28&lt;&gt;"!!!"),"NEW","")))</f>
        <v> </v>
      </c>
      <c r="G28" s="24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5" t="str">
        <f>IF(J28&lt;&gt;1,"",IF(I28="SBJ","CB","?"))</f>
        <v> </v>
      </c>
      <c r="I28" s="26" t="str">
        <f>IF(OR(E28="",E28="!!!",F28="NEW"),"",INDEX(B27:B$2,-1+SUMPRODUCT(MAX(ROW(E27:E$2)*(E28=E27:E$2)))))</f>
        <v> </v>
      </c>
      <c r="J28" s="26" t="str">
        <f>IF(OR(E28="",E28="!!!",F28="NEW"),"",COUNTBLANK(OFFSET(A$1,,,SUMPRODUCT(MAX(ROW(E$2:E28)*(E28=E$2:E28)))))-COUNTBLANK(OFFSET(A$1,,,SUMPRODUCT(MAX(ROW(E$1:E27)*(E2=E$1:E27))))))</f>
        <v> </v>
      </c>
      <c r="K28" s="26" t="str">
        <f>IF(OR(E28="",E28="!!!",F28="NEW"),"",INDEX(J$1:J27,SUMPRODUCT(MAX(ROW(E$1:E27)*(E28=E$1:E27)))))</f>
        <v> </v>
      </c>
      <c r="L28" s="27"/>
    </row>
    <row r="29" spans="1:12">
      <c r="A29" s="20" t="s">
        <v>246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 t="s">
        <v>247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 t="s">
        <v>230</v>
      </c>
      <c r="E31" s="22">
        <f>IF(D31="?OLD","!!!","")</f>
        <v/>
      </c>
      <c r="F31" s="23" t="str">
        <f>IF(OR(E31="",E31="!!!"),"",IF(NOT(ISNA(VLOOKUP(E31,E$1:E30,1,FALSE()))),"OLD",IF(AND(E31&lt;&gt;"",E31&lt;&gt;"!!!"),"NEW","")))</f>
        <v> </v>
      </c>
      <c r="G31" s="24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5" t="str">
        <f>IF(J31&lt;&gt;1,"",IF(I31="SBJ","CB","?"))</f>
        <v> </v>
      </c>
      <c r="I31" s="26" t="str">
        <f>IF(OR(E31="",E31="!!!",F31="NEW"),"",INDEX(B30:B$2,-1+SUMPRODUCT(MAX(ROW(E30:E$2)*(E31=E30:E$2)))))</f>
        <v> </v>
      </c>
      <c r="J31" s="26" t="str">
        <f>IF(OR(E31="",E31="!!!",F31="NEW"),"",COUNTBLANK(OFFSET(A$1,,,SUMPRODUCT(MAX(ROW(E$2:E31)*(E31=E$2:E31)))))-COUNTBLANK(OFFSET(A$1,,,SUMPRODUCT(MAX(ROW(E$1:E30)*(E2=E$1:E30))))))</f>
        <v> </v>
      </c>
      <c r="K31" s="26" t="str">
        <f>IF(OR(E31="",E31="!!!",F31="NEW"),"",INDEX(J$1:J30,SUMPRODUCT(MAX(ROW(E$1:E30)*(E31=E$1:E30)))))</f>
        <v> </v>
      </c>
      <c r="L31" s="27"/>
    </row>
    <row r="32" spans="1:12">
      <c r="A32" s="20" t="s">
        <v>248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 t="s">
        <v>249</v>
      </c>
      <c r="E33" s="22">
        <f>IF(D33="?OLD","!!!","")</f>
        <v/>
      </c>
      <c r="F33" s="23" t="str">
        <f>IF(OR(E33="",E33="!!!"),"",IF(NOT(ISNA(VLOOKUP(E33,E$1:E32,1,FALSE()))),"OLD",IF(AND(E33&lt;&gt;"",E33&lt;&gt;"!!!"),"NEW","")))</f>
        <v> </v>
      </c>
      <c r="G33" s="24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5" t="str">
        <f>IF(J33&lt;&gt;1,"",IF(I33="SBJ","CB","?"))</f>
        <v> </v>
      </c>
      <c r="I33" s="26" t="str">
        <f>IF(OR(E33="",E33="!!!",F33="NEW"),"",INDEX(B32:B$2,-1+SUMPRODUCT(MAX(ROW(E32:E$2)*(E33=E32:E$2)))))</f>
        <v> </v>
      </c>
      <c r="J33" s="26" t="str">
        <f>IF(OR(E33="",E33="!!!",F33="NEW"),"",COUNTBLANK(OFFSET(A$1,,,SUMPRODUCT(MAX(ROW(E$2:E33)*(E33=E$2:E33)))))-COUNTBLANK(OFFSET(A$1,,,SUMPRODUCT(MAX(ROW(E$1:E32)*(E2=E$1:E32))))))</f>
        <v> </v>
      </c>
      <c r="K33" s="26" t="str">
        <f>IF(OR(E33="",E33="!!!",F33="NEW"),"",INDEX(J$1:J32,SUMPRODUCT(MAX(ROW(E$1:E32)*(E33=E$1:E32)))))</f>
        <v> </v>
      </c>
      <c r="L33" s="27"/>
    </row>
    <row r="34" spans="1:12">
      <c r="A34" s="20" t="s">
        <v>250</v>
      </c>
      <c r="B34" s="21" t="s">
        <v>236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 t="s">
        <v>217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251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252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253</v>
      </c>
      <c r="B38" s="21" t="s">
        <v>254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255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256</v>
      </c>
      <c r="B40" s="21" t="s">
        <v>254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 t="s">
        <v>257</v>
      </c>
      <c r="E41" s="22">
        <f>IF(D41="?OLD","!!!","")</f>
        <v/>
      </c>
      <c r="F41" s="23" t="str">
        <f>IF(OR(E41="",E41="!!!"),"",IF(NOT(ISNA(VLOOKUP(E41,E$1:E40,1,FALSE()))),"OLD",IF(AND(E41&lt;&gt;"",E41&lt;&gt;"!!!"),"NEW","")))</f>
        <v> </v>
      </c>
      <c r="G41" s="24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5" t="str">
        <f>IF(J41&lt;&gt;1,"",IF(I41="SBJ","CB","?"))</f>
        <v> </v>
      </c>
      <c r="I41" s="26" t="str">
        <f>IF(OR(E41="",E41="!!!",F41="NEW"),"",INDEX(B40:B$2,-1+SUMPRODUCT(MAX(ROW(E40:E$2)*(E41=E40:E$2)))))</f>
        <v> </v>
      </c>
      <c r="J41" s="26" t="str">
        <f>IF(OR(E41="",E41="!!!",F41="NEW"),"",COUNTBLANK(OFFSET(A$1,,,SUMPRODUCT(MAX(ROW(E$2:E41)*(E41=E$2:E41)))))-COUNTBLANK(OFFSET(A$1,,,SUMPRODUCT(MAX(ROW(E$1:E40)*(E2=E$1:E40))))))</f>
        <v> </v>
      </c>
      <c r="K41" s="26" t="str">
        <f>IF(OR(E41="",E41="!!!",F41="NEW"),"",INDEX(J$1:J40,SUMPRODUCT(MAX(ROW(E$1:E40)*(E41=E$1:E40)))))</f>
        <v> </v>
      </c>
      <c r="L41" s="27"/>
    </row>
    <row r="42" spans="1:12">
      <c r="A42" s="20" t="s">
        <v>217</v>
      </c>
      <c r="E42" s="22">
        <f>IF(D42="?OLD","!!!","")</f>
        <v/>
      </c>
      <c r="F42" s="23" t="str">
        <f>IF(OR(E42="",E42="!!!"),"",IF(NOT(ISNA(VLOOKUP(E42,E$1:E41,1,FALSE()))),"OLD",IF(AND(E42&lt;&gt;"",E42&lt;&gt;"!!!"),"NEW","")))</f>
        <v> </v>
      </c>
      <c r="G42" s="24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5" t="str">
        <f>IF(J42&lt;&gt;1,"",IF(I42="SBJ","CB","?"))</f>
        <v> </v>
      </c>
      <c r="I42" s="26" t="str">
        <f>IF(OR(E42="",E42="!!!",F42="NEW"),"",INDEX(B41:B$2,-1+SUMPRODUCT(MAX(ROW(E41:E$2)*(E42=E41:E$2)))))</f>
        <v> </v>
      </c>
      <c r="J42" s="26" t="str">
        <f>IF(OR(E42="",E42="!!!",F42="NEW"),"",COUNTBLANK(OFFSET(A$1,,,SUMPRODUCT(MAX(ROW(E$2:E42)*(E42=E$2:E42)))))-COUNTBLANK(OFFSET(A$1,,,SUMPRODUCT(MAX(ROW(E$1:E41)*(E2=E$1:E41))))))</f>
        <v> </v>
      </c>
      <c r="K42" s="26" t="str">
        <f>IF(OR(E42="",E42="!!!",F42="NEW"),"",INDEX(J$1:J41,SUMPRODUCT(MAX(ROW(E$1:E41)*(E42=E$1:E41)))))</f>
        <v> </v>
      </c>
      <c r="L42" s="27"/>
    </row>
    <row r="43" spans="1:12">
      <c r="A43" s="20" t="s">
        <v>258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 t="s">
        <v>259</v>
      </c>
      <c r="E44" s="22">
        <f>IF(D44="?OLD","!!!","")</f>
        <v/>
      </c>
      <c r="F44" s="23" t="str">
        <f>IF(OR(E44="",E44="!!!"),"",IF(NOT(ISNA(VLOOKUP(E44,E$1:E43,1,FALSE()))),"OLD",IF(AND(E44&lt;&gt;"",E44&lt;&gt;"!!!"),"NEW","")))</f>
        <v> </v>
      </c>
      <c r="G44" s="24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5" t="str">
        <f>IF(J44&lt;&gt;1,"",IF(I44="SBJ","CB","?"))</f>
        <v> </v>
      </c>
      <c r="I44" s="26" t="str">
        <f>IF(OR(E44="",E44="!!!",F44="NEW"),"",INDEX(B43:B$2,-1+SUMPRODUCT(MAX(ROW(E43:E$2)*(E44=E43:E$2)))))</f>
        <v> </v>
      </c>
      <c r="J44" s="26" t="str">
        <f>IF(OR(E44="",E44="!!!",F44="NEW"),"",COUNTBLANK(OFFSET(A$1,,,SUMPRODUCT(MAX(ROW(E$2:E44)*(E44=E$2:E44)))))-COUNTBLANK(OFFSET(A$1,,,SUMPRODUCT(MAX(ROW(E$1:E43)*(E2=E$1:E43))))))</f>
        <v> </v>
      </c>
      <c r="K44" s="26" t="str">
        <f>IF(OR(E44="",E44="!!!",F44="NEW"),"",INDEX(J$1:J43,SUMPRODUCT(MAX(ROW(E$1:E43)*(E44=E$1:E43)))))</f>
        <v> </v>
      </c>
      <c r="L44" s="27"/>
    </row>
    <row r="45" spans="1:12">
      <c r="A45" s="20" t="s">
        <v>237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/>
    </row>
    <row r="47" spans="1:12">
      <c r="A47" s="20" t="s">
        <v>260</v>
      </c>
    </row>
    <row r="48" spans="1:12">
      <c r="A48" s="20" t="s">
        <v>261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262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 t="s">
        <v>263</v>
      </c>
      <c r="B50" s="21" t="s">
        <v>232</v>
      </c>
      <c r="C50" s="21" t="s">
        <v>215</v>
      </c>
      <c r="D50" s="21" t="s">
        <v>216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264</v>
      </c>
      <c r="B51" s="21" t="s">
        <v>244</v>
      </c>
      <c r="C51" s="21" t="s">
        <v>215</v>
      </c>
      <c r="D51" s="21" t="s">
        <v>216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265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266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 t="s">
        <v>267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 t="s">
        <v>268</v>
      </c>
      <c r="B55" s="21" t="s">
        <v>236</v>
      </c>
      <c r="E55" s="22">
        <f>IF(D55="?OLD","!!!","")</f>
        <v/>
      </c>
      <c r="F55" s="23" t="str">
        <f>IF(OR(E55="",E55="!!!"),"",IF(NOT(ISNA(VLOOKUP(E55,E$1:E54,1,FALSE()))),"OLD",IF(AND(E55&lt;&gt;"",E55&lt;&gt;"!!!"),"NEW","")))</f>
        <v> </v>
      </c>
      <c r="G55" s="24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5" t="str">
        <f>IF(J55&lt;&gt;1,"",IF(I55="SBJ","CB","?"))</f>
        <v> </v>
      </c>
      <c r="I55" s="26" t="str">
        <f>IF(OR(E55="",E55="!!!",F55="NEW"),"",INDEX(B54:B$2,-1+SUMPRODUCT(MAX(ROW(E54:E$2)*(E55=E54:E$2)))))</f>
        <v> </v>
      </c>
      <c r="J55" s="26" t="str">
        <f>IF(OR(E55="",E55="!!!",F55="NEW"),"",COUNTBLANK(OFFSET(A$1,,,SUMPRODUCT(MAX(ROW(E$2:E55)*(E55=E$2:E55)))))-COUNTBLANK(OFFSET(A$1,,,SUMPRODUCT(MAX(ROW(E$1:E54)*(E2=E$1:E54))))))</f>
        <v> </v>
      </c>
      <c r="K55" s="26" t="str">
        <f>IF(OR(E55="",E55="!!!",F55="NEW"),"",INDEX(J$1:J54,SUMPRODUCT(MAX(ROW(E$1:E54)*(E55=E$1:E54)))))</f>
        <v> </v>
      </c>
      <c r="L55" s="27"/>
    </row>
    <row r="56" spans="1:12">
      <c r="A56" s="20" t="s">
        <v>269</v>
      </c>
      <c r="E56" s="22">
        <f>IF(D56="?OLD","!!!","")</f>
        <v/>
      </c>
      <c r="F56" s="23" t="str">
        <f>IF(OR(E56="",E56="!!!"),"",IF(NOT(ISNA(VLOOKUP(E56,E$1:E55,1,FALSE()))),"OLD",IF(AND(E56&lt;&gt;"",E56&lt;&gt;"!!!"),"NEW","")))</f>
        <v> </v>
      </c>
      <c r="G56" s="24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5" t="str">
        <f>IF(J56&lt;&gt;1,"",IF(I56="SBJ","CB","?"))</f>
        <v> </v>
      </c>
      <c r="I56" s="26" t="str">
        <f>IF(OR(E56="",E56="!!!",F56="NEW"),"",INDEX(B55:B$2,-1+SUMPRODUCT(MAX(ROW(E55:E$2)*(E56=E55:E$2)))))</f>
        <v> </v>
      </c>
      <c r="J56" s="26" t="str">
        <f>IF(OR(E56="",E56="!!!",F56="NEW"),"",COUNTBLANK(OFFSET(A$1,,,SUMPRODUCT(MAX(ROW(E$2:E56)*(E56=E$2:E56)))))-COUNTBLANK(OFFSET(A$1,,,SUMPRODUCT(MAX(ROW(E$1:E55)*(E2=E$1:E55))))))</f>
        <v> </v>
      </c>
      <c r="K56" s="26" t="str">
        <f>IF(OR(E56="",E56="!!!",F56="NEW"),"",INDEX(J$1:J55,SUMPRODUCT(MAX(ROW(E$1:E55)*(E56=E$1:E55)))))</f>
        <v> </v>
      </c>
      <c r="L56" s="27"/>
    </row>
    <row r="57" spans="1:12">
      <c r="A57" s="20" t="s">
        <v>270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271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272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269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273</v>
      </c>
      <c r="B61" s="21" t="s">
        <v>274</v>
      </c>
      <c r="C61" s="21" t="s">
        <v>215</v>
      </c>
      <c r="D61" s="21" t="s">
        <v>216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 t="s">
        <v>230</v>
      </c>
      <c r="E62" s="22">
        <f>IF(D62="?OLD","!!!","")</f>
        <v/>
      </c>
      <c r="F62" s="23" t="str">
        <f>IF(OR(E62="",E62="!!!"),"",IF(NOT(ISNA(VLOOKUP(E62,E$1:E61,1,FALSE()))),"OLD",IF(AND(E62&lt;&gt;"",E62&lt;&gt;"!!!"),"NEW","")))</f>
        <v> </v>
      </c>
      <c r="G62" s="24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5" t="str">
        <f>IF(J62&lt;&gt;1,"",IF(I62="SBJ","CB","?"))</f>
        <v> </v>
      </c>
      <c r="I62" s="26" t="str">
        <f>IF(OR(E62="",E62="!!!",F62="NEW"),"",INDEX(B61:B$2,-1+SUMPRODUCT(MAX(ROW(E61:E$2)*(E62=E61:E$2)))))</f>
        <v> </v>
      </c>
      <c r="J62" s="26" t="str">
        <f>IF(OR(E62="",E62="!!!",F62="NEW"),"",COUNTBLANK(OFFSET(A$1,,,SUMPRODUCT(MAX(ROW(E$2:E62)*(E62=E$2:E62)))))-COUNTBLANK(OFFSET(A$1,,,SUMPRODUCT(MAX(ROW(E$1:E61)*(E2=E$1:E61))))))</f>
        <v> </v>
      </c>
      <c r="K62" s="26" t="str">
        <f>IF(OR(E62="",E62="!!!",F62="NEW"),"",INDEX(J$1:J61,SUMPRODUCT(MAX(ROW(E$1:E61)*(E62=E$1:E61)))))</f>
        <v> </v>
      </c>
      <c r="L62" s="27"/>
    </row>
    <row r="63" spans="1:12">
      <c r="A63" s="20" t="s">
        <v>275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276</v>
      </c>
      <c r="B64" s="21" t="s">
        <v>214</v>
      </c>
      <c r="C64" s="21" t="s">
        <v>277</v>
      </c>
      <c r="D64" s="21" t="s">
        <v>216</v>
      </c>
      <c r="E64" s="22">
        <f>IF(D64="?OLD","!!!","")</f>
        <v/>
      </c>
      <c r="F64" s="23" t="str">
        <f>IF(OR(E64="",E64="!!!"),"",IF(NOT(ISNA(VLOOKUP(E64,E$1:E63,1,FALSE()))),"OLD",IF(AND(E64&lt;&gt;"",E64&lt;&gt;"!!!"),"NEW","")))</f>
        <v> </v>
      </c>
      <c r="G64" s="24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5" t="str">
        <f>IF(J64&lt;&gt;1,"",IF(I64="SBJ","CB","?"))</f>
        <v> </v>
      </c>
      <c r="I64" s="26" t="str">
        <f>IF(OR(E64="",E64="!!!",F64="NEW"),"",INDEX(B63:B$2,-1+SUMPRODUCT(MAX(ROW(E63:E$2)*(E64=E63:E$2)))))</f>
        <v> </v>
      </c>
      <c r="J64" s="26" t="str">
        <f>IF(OR(E64="",E64="!!!",F64="NEW"),"",COUNTBLANK(OFFSET(A$1,,,SUMPRODUCT(MAX(ROW(E$2:E64)*(E64=E$2:E64)))))-COUNTBLANK(OFFSET(A$1,,,SUMPRODUCT(MAX(ROW(E$1:E63)*(E2=E$1:E63))))))</f>
        <v> </v>
      </c>
      <c r="K64" s="26" t="str">
        <f>IF(OR(E64="",E64="!!!",F64="NEW"),"",INDEX(J$1:J63,SUMPRODUCT(MAX(ROW(E$1:E63)*(E64=E$1:E63)))))</f>
        <v> </v>
      </c>
      <c r="L64" s="27"/>
    </row>
    <row r="65" spans="1:12">
      <c r="A65" s="20" t="s">
        <v>278</v>
      </c>
      <c r="E65" s="22">
        <f>IF(D65="?OLD","!!!","")</f>
        <v/>
      </c>
      <c r="F65" s="23" t="str">
        <f>IF(OR(E65="",E65="!!!"),"",IF(NOT(ISNA(VLOOKUP(E65,E$1:E64,1,FALSE()))),"OLD",IF(AND(E65&lt;&gt;"",E65&lt;&gt;"!!!"),"NEW","")))</f>
        <v> </v>
      </c>
      <c r="G65" s="24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5" t="str">
        <f>IF(J65&lt;&gt;1,"",IF(I65="SBJ","CB","?"))</f>
        <v> </v>
      </c>
      <c r="I65" s="26" t="str">
        <f>IF(OR(E65="",E65="!!!",F65="NEW"),"",INDEX(B64:B$2,-1+SUMPRODUCT(MAX(ROW(E64:E$2)*(E65=E64:E$2)))))</f>
        <v> </v>
      </c>
      <c r="J65" s="26" t="str">
        <f>IF(OR(E65="",E65="!!!",F65="NEW"),"",COUNTBLANK(OFFSET(A$1,,,SUMPRODUCT(MAX(ROW(E$2:E65)*(E65=E$2:E65)))))-COUNTBLANK(OFFSET(A$1,,,SUMPRODUCT(MAX(ROW(E$1:E64)*(E2=E$1:E64))))))</f>
        <v> </v>
      </c>
      <c r="K65" s="26" t="str">
        <f>IF(OR(E65="",E65="!!!",F65="NEW"),"",INDEX(J$1:J64,SUMPRODUCT(MAX(ROW(E$1:E64)*(E65=E$1:E64)))))</f>
        <v> </v>
      </c>
      <c r="L65" s="27"/>
    </row>
    <row r="66" spans="1:12">
      <c r="A66" s="20" t="s">
        <v>279</v>
      </c>
      <c r="E66" s="22">
        <f>IF(D66="?OLD","!!!","")</f>
        <v/>
      </c>
      <c r="F66" s="23" t="str">
        <f>IF(OR(E66="",E66="!!!"),"",IF(NOT(ISNA(VLOOKUP(E66,E$1:E65,1,FALSE()))),"OLD",IF(AND(E66&lt;&gt;"",E66&lt;&gt;"!!!"),"NEW","")))</f>
        <v> </v>
      </c>
      <c r="G66" s="24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5" t="str">
        <f>IF(J66&lt;&gt;1,"",IF(I66="SBJ","CB","?"))</f>
        <v> </v>
      </c>
      <c r="I66" s="26" t="str">
        <f>IF(OR(E66="",E66="!!!",F66="NEW"),"",INDEX(B65:B$2,-1+SUMPRODUCT(MAX(ROW(E65:E$2)*(E66=E65:E$2)))))</f>
        <v> </v>
      </c>
      <c r="J66" s="26" t="str">
        <f>IF(OR(E66="",E66="!!!",F66="NEW"),"",COUNTBLANK(OFFSET(A$1,,,SUMPRODUCT(MAX(ROW(E$2:E66)*(E66=E$2:E66)))))-COUNTBLANK(OFFSET(A$1,,,SUMPRODUCT(MAX(ROW(E$1:E65)*(E2=E$1:E65))))))</f>
        <v> </v>
      </c>
      <c r="K66" s="26" t="str">
        <f>IF(OR(E66="",E66="!!!",F66="NEW"),"",INDEX(J$1:J65,SUMPRODUCT(MAX(ROW(E$1:E65)*(E66=E$1:E65)))))</f>
        <v> </v>
      </c>
      <c r="L66" s="27"/>
    </row>
    <row r="67" spans="1:12">
      <c r="A67" s="20" t="s">
        <v>280</v>
      </c>
      <c r="B67" s="21" t="s">
        <v>226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 t="s">
        <v>230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 t="s">
        <v>281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 t="s">
        <v>282</v>
      </c>
      <c r="B70" s="21" t="s">
        <v>283</v>
      </c>
      <c r="C70" s="21" t="s">
        <v>215</v>
      </c>
      <c r="D70" s="21" t="s">
        <v>216</v>
      </c>
      <c r="E70" s="22">
        <f>IF(D70="?OLD","!!!","")</f>
        <v/>
      </c>
      <c r="F70" s="23" t="str">
        <f>IF(OR(E70="",E70="!!!"),"",IF(NOT(ISNA(VLOOKUP(E70,E$1:E69,1,FALSE()))),"OLD",IF(AND(E70&lt;&gt;"",E70&lt;&gt;"!!!"),"NEW","")))</f>
        <v> </v>
      </c>
      <c r="G70" s="24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5" t="str">
        <f>IF(J70&lt;&gt;1,"",IF(I70="SBJ","CB","?"))</f>
        <v> </v>
      </c>
      <c r="I70" s="26" t="str">
        <f>IF(OR(E70="",E70="!!!",F70="NEW"),"",INDEX(B69:B$2,-1+SUMPRODUCT(MAX(ROW(E69:E$2)*(E70=E69:E$2)))))</f>
        <v> </v>
      </c>
      <c r="J70" s="26" t="str">
        <f>IF(OR(E70="",E70="!!!",F70="NEW"),"",COUNTBLANK(OFFSET(A$1,,,SUMPRODUCT(MAX(ROW(E$2:E70)*(E70=E$2:E70)))))-COUNTBLANK(OFFSET(A$1,,,SUMPRODUCT(MAX(ROW(E$1:E69)*(E2=E$1:E69))))))</f>
        <v> </v>
      </c>
      <c r="K70" s="26" t="str">
        <f>IF(OR(E70="",E70="!!!",F70="NEW"),"",INDEX(J$1:J69,SUMPRODUCT(MAX(ROW(E$1:E69)*(E70=E$1:E69)))))</f>
        <v> </v>
      </c>
      <c r="L70" s="27"/>
    </row>
    <row r="71" spans="1:12">
      <c r="A71" s="20" t="s">
        <v>284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285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286</v>
      </c>
      <c r="B73" s="21" t="s">
        <v>244</v>
      </c>
      <c r="C73" s="21" t="s">
        <v>287</v>
      </c>
      <c r="D73" s="21" t="s">
        <v>216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 t="s">
        <v>288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 t="s">
        <v>237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/>
    </row>
    <row r="77" spans="1:12">
      <c r="A77" s="20" t="s">
        <v>289</v>
      </c>
    </row>
    <row r="78" spans="1:12">
      <c r="A78" s="20" t="s">
        <v>290</v>
      </c>
      <c r="E78" s="22">
        <f>IF(D78="?OLD","!!!","")</f>
        <v/>
      </c>
      <c r="F78" s="23" t="str">
        <f>IF(OR(E78="",E78="!!!"),"",IF(NOT(ISNA(VLOOKUP(E78,E$1:E77,1,FALSE()))),"OLD",IF(AND(E78&lt;&gt;"",E78&lt;&gt;"!!!"),"NEW","")))</f>
        <v> </v>
      </c>
      <c r="G78" s="24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5" t="str">
        <f>IF(J78&lt;&gt;1,"",IF(I78="SBJ","CB","?"))</f>
        <v> </v>
      </c>
      <c r="I78" s="26" t="str">
        <f>IF(OR(E78="",E78="!!!",F78="NEW"),"",INDEX(B77:B$2,-1+SUMPRODUCT(MAX(ROW(E77:E$2)*(E78=E77:E$2)))))</f>
        <v> </v>
      </c>
      <c r="J78" s="26" t="str">
        <f>IF(OR(E78="",E78="!!!",F78="NEW"),"",COUNTBLANK(OFFSET(A$1,,,SUMPRODUCT(MAX(ROW(E$2:E78)*(E78=E$2:E78)))))-COUNTBLANK(OFFSET(A$1,,,SUMPRODUCT(MAX(ROW(E$1:E77)*(E2=E$1:E77))))))</f>
        <v> </v>
      </c>
      <c r="K78" s="26" t="str">
        <f>IF(OR(E78="",E78="!!!",F78="NEW"),"",INDEX(J$1:J77,SUMPRODUCT(MAX(ROW(E$1:E77)*(E78=E$1:E77)))))</f>
        <v> </v>
      </c>
      <c r="L78" s="27"/>
    </row>
    <row r="79" spans="1:12">
      <c r="A79" s="20" t="s">
        <v>291</v>
      </c>
      <c r="B79" s="21" t="s">
        <v>226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 t="s">
        <v>230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292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237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/>
    </row>
    <row r="84" spans="1:12">
      <c r="A84" s="20" t="s">
        <v>293</v>
      </c>
    </row>
    <row r="85" spans="1:12">
      <c r="A85" s="20" t="s">
        <v>261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 t="s">
        <v>294</v>
      </c>
      <c r="B86" s="21" t="s">
        <v>226</v>
      </c>
      <c r="E86" s="22">
        <f>IF(D86="?OLD","!!!","")</f>
        <v/>
      </c>
      <c r="F86" s="23" t="str">
        <f>IF(OR(E86="",E86="!!!"),"",IF(NOT(ISNA(VLOOKUP(E86,E$1:E85,1,FALSE()))),"OLD",IF(AND(E86&lt;&gt;"",E86&lt;&gt;"!!!"),"NEW","")))</f>
        <v> </v>
      </c>
      <c r="G86" s="24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5" t="str">
        <f>IF(J86&lt;&gt;1,"",IF(I86="SBJ","CB","?"))</f>
        <v> </v>
      </c>
      <c r="I86" s="26" t="str">
        <f>IF(OR(E86="",E86="!!!",F86="NEW"),"",INDEX(B85:B$2,-1+SUMPRODUCT(MAX(ROW(E85:E$2)*(E86=E85:E$2)))))</f>
        <v> </v>
      </c>
      <c r="J86" s="26" t="str">
        <f>IF(OR(E86="",E86="!!!",F86="NEW"),"",COUNTBLANK(OFFSET(A$1,,,SUMPRODUCT(MAX(ROW(E$2:E86)*(E86=E$2:E86)))))-COUNTBLANK(OFFSET(A$1,,,SUMPRODUCT(MAX(ROW(E$1:E85)*(E2=E$1:E85))))))</f>
        <v> </v>
      </c>
      <c r="K86" s="26" t="str">
        <f>IF(OR(E86="",E86="!!!",F86="NEW"),"",INDEX(J$1:J85,SUMPRODUCT(MAX(ROW(E$1:E85)*(E86=E$1:E85)))))</f>
        <v> </v>
      </c>
      <c r="L86" s="27"/>
    </row>
    <row r="87" spans="1:12">
      <c r="A87" s="20" t="s">
        <v>295</v>
      </c>
      <c r="E87" s="22">
        <f>IF(D87="?OLD","!!!","")</f>
        <v/>
      </c>
      <c r="F87" s="23" t="str">
        <f>IF(OR(E87="",E87="!!!"),"",IF(NOT(ISNA(VLOOKUP(E87,E$1:E86,1,FALSE()))),"OLD",IF(AND(E87&lt;&gt;"",E87&lt;&gt;"!!!"),"NEW","")))</f>
        <v> </v>
      </c>
      <c r="G87" s="24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5" t="str">
        <f>IF(J87&lt;&gt;1,"",IF(I87="SBJ","CB","?"))</f>
        <v> </v>
      </c>
      <c r="I87" s="26" t="str">
        <f>IF(OR(E87="",E87="!!!",F87="NEW"),"",INDEX(B86:B$2,-1+SUMPRODUCT(MAX(ROW(E86:E$2)*(E87=E86:E$2)))))</f>
        <v> </v>
      </c>
      <c r="J87" s="26" t="str">
        <f>IF(OR(E87="",E87="!!!",F87="NEW"),"",COUNTBLANK(OFFSET(A$1,,,SUMPRODUCT(MAX(ROW(E$2:E87)*(E87=E$2:E87)))))-COUNTBLANK(OFFSET(A$1,,,SUMPRODUCT(MAX(ROW(E$1:E86)*(E2=E$1:E86))))))</f>
        <v> </v>
      </c>
      <c r="K87" s="26" t="str">
        <f>IF(OR(E87="",E87="!!!",F87="NEW"),"",INDEX(J$1:J86,SUMPRODUCT(MAX(ROW(E$1:E86)*(E87=E$1:E86)))))</f>
        <v> </v>
      </c>
      <c r="L87" s="27"/>
    </row>
    <row r="88" spans="1:12">
      <c r="A88" s="20" t="s">
        <v>296</v>
      </c>
      <c r="B88" s="21" t="s">
        <v>244</v>
      </c>
      <c r="C88" s="21" t="s">
        <v>215</v>
      </c>
      <c r="D88" s="21" t="s">
        <v>216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297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 t="s">
        <v>298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 t="s">
        <v>230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 t="s">
        <v>299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300</v>
      </c>
      <c r="B93" s="21" t="s">
        <v>232</v>
      </c>
      <c r="C93" s="21" t="s">
        <v>277</v>
      </c>
      <c r="D93" s="21" t="s">
        <v>216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301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302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 t="s">
        <v>303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 t="s">
        <v>304</v>
      </c>
      <c r="B97" s="21" t="s">
        <v>236</v>
      </c>
      <c r="E97" s="22">
        <f>IF(D97="?OLD","!!!","")</f>
        <v/>
      </c>
      <c r="F97" s="23" t="str">
        <f>IF(OR(E97="",E97="!!!"),"",IF(NOT(ISNA(VLOOKUP(E97,E$1:E96,1,FALSE()))),"OLD",IF(AND(E97&lt;&gt;"",E97&lt;&gt;"!!!"),"NEW","")))</f>
        <v> </v>
      </c>
      <c r="G97" s="24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5" t="str">
        <f>IF(J97&lt;&gt;1,"",IF(I97="SBJ","CB","?"))</f>
        <v> </v>
      </c>
      <c r="I97" s="26" t="str">
        <f>IF(OR(E97="",E97="!!!",F97="NEW"),"",INDEX(B96:B$2,-1+SUMPRODUCT(MAX(ROW(E96:E$2)*(E97=E96:E$2)))))</f>
        <v> </v>
      </c>
      <c r="J97" s="26" t="str">
        <f>IF(OR(E97="",E97="!!!",F97="NEW"),"",COUNTBLANK(OFFSET(A$1,,,SUMPRODUCT(MAX(ROW(E$2:E97)*(E97=E$2:E97)))))-COUNTBLANK(OFFSET(A$1,,,SUMPRODUCT(MAX(ROW(E$1:E96)*(E2=E$1:E96))))))</f>
        <v> </v>
      </c>
      <c r="K97" s="26" t="str">
        <f>IF(OR(E97="",E97="!!!",F97="NEW"),"",INDEX(J$1:J96,SUMPRODUCT(MAX(ROW(E$1:E96)*(E97=E$1:E96)))))</f>
        <v> </v>
      </c>
      <c r="L97" s="27"/>
    </row>
    <row r="98" spans="1:12">
      <c r="A98" s="20" t="s">
        <v>305</v>
      </c>
      <c r="E98" s="22">
        <f>IF(D98="?OLD","!!!","")</f>
        <v/>
      </c>
      <c r="F98" s="23" t="str">
        <f>IF(OR(E98="",E98="!!!"),"",IF(NOT(ISNA(VLOOKUP(E98,E$1:E97,1,FALSE()))),"OLD",IF(AND(E98&lt;&gt;"",E98&lt;&gt;"!!!"),"NEW","")))</f>
        <v> </v>
      </c>
      <c r="G98" s="24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5" t="str">
        <f>IF(J98&lt;&gt;1,"",IF(I98="SBJ","CB","?"))</f>
        <v> </v>
      </c>
      <c r="I98" s="26" t="str">
        <f>IF(OR(E98="",E98="!!!",F98="NEW"),"",INDEX(B97:B$2,-1+SUMPRODUCT(MAX(ROW(E97:E$2)*(E98=E97:E$2)))))</f>
        <v> </v>
      </c>
      <c r="J98" s="26" t="str">
        <f>IF(OR(E98="",E98="!!!",F98="NEW"),"",COUNTBLANK(OFFSET(A$1,,,SUMPRODUCT(MAX(ROW(E$2:E98)*(E98=E$2:E98)))))-COUNTBLANK(OFFSET(A$1,,,SUMPRODUCT(MAX(ROW(E$1:E97)*(E2=E$1:E97))))))</f>
        <v> </v>
      </c>
      <c r="K98" s="26" t="str">
        <f>IF(OR(E98="",E98="!!!",F98="NEW"),"",INDEX(J$1:J97,SUMPRODUCT(MAX(ROW(E$1:E97)*(E98=E$1:E97)))))</f>
        <v> </v>
      </c>
      <c r="L98" s="27"/>
    </row>
    <row r="99" spans="1:12">
      <c r="A99" s="20" t="s">
        <v>306</v>
      </c>
      <c r="E99" s="22">
        <f>IF(D99="?OLD","!!!","")</f>
        <v/>
      </c>
      <c r="F99" s="23" t="str">
        <f>IF(OR(E99="",E99="!!!"),"",IF(NOT(ISNA(VLOOKUP(E99,E$1:E98,1,FALSE()))),"OLD",IF(AND(E99&lt;&gt;"",E99&lt;&gt;"!!!"),"NEW","")))</f>
        <v> </v>
      </c>
      <c r="G99" s="24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5" t="str">
        <f>IF(J99&lt;&gt;1,"",IF(I99="SBJ","CB","?"))</f>
        <v> </v>
      </c>
      <c r="I99" s="26" t="str">
        <f>IF(OR(E99="",E99="!!!",F99="NEW"),"",INDEX(B98:B$2,-1+SUMPRODUCT(MAX(ROW(E98:E$2)*(E99=E98:E$2)))))</f>
        <v> </v>
      </c>
      <c r="J99" s="26" t="str">
        <f>IF(OR(E99="",E99="!!!",F99="NEW"),"",COUNTBLANK(OFFSET(A$1,,,SUMPRODUCT(MAX(ROW(E$2:E99)*(E99=E$2:E99)))))-COUNTBLANK(OFFSET(A$1,,,SUMPRODUCT(MAX(ROW(E$1:E98)*(E2=E$1:E98))))))</f>
        <v> </v>
      </c>
      <c r="K99" s="26" t="str">
        <f>IF(OR(E99="",E99="!!!",F99="NEW"),"",INDEX(J$1:J98,SUMPRODUCT(MAX(ROW(E$1:E98)*(E99=E$1:E98)))))</f>
        <v> </v>
      </c>
      <c r="L99" s="27"/>
    </row>
    <row r="100" spans="1:12">
      <c r="A100" s="20" t="s">
        <v>307</v>
      </c>
      <c r="B100" s="21" t="s">
        <v>244</v>
      </c>
      <c r="C100" s="21" t="s">
        <v>308</v>
      </c>
      <c r="D100" s="21" t="s">
        <v>216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309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 t="s">
        <v>310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 t="s">
        <v>311</v>
      </c>
      <c r="E103" s="22">
        <f>IF(D103="?OLD","!!!","")</f>
        <v/>
      </c>
      <c r="F103" s="23" t="str">
        <f>IF(OR(E103="",E103="!!!"),"",IF(NOT(ISNA(VLOOKUP(E103,E$1:E102,1,FALSE()))),"OLD",IF(AND(E103&lt;&gt;"",E103&lt;&gt;"!!!"),"NEW","")))</f>
        <v> </v>
      </c>
      <c r="G103" s="24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5" t="str">
        <f>IF(J103&lt;&gt;1,"",IF(I103="SBJ","CB","?"))</f>
        <v> </v>
      </c>
      <c r="I103" s="26" t="str">
        <f>IF(OR(E103="",E103="!!!",F103="NEW"),"",INDEX(B102:B$2,-1+SUMPRODUCT(MAX(ROW(E102:E$2)*(E103=E102:E$2)))))</f>
        <v> </v>
      </c>
      <c r="J103" s="26" t="str">
        <f>IF(OR(E103="",E103="!!!",F103="NEW"),"",COUNTBLANK(OFFSET(A$1,,,SUMPRODUCT(MAX(ROW(E$2:E103)*(E103=E$2:E103)))))-COUNTBLANK(OFFSET(A$1,,,SUMPRODUCT(MAX(ROW(E$1:E102)*(E2=E$1:E102))))))</f>
        <v> </v>
      </c>
      <c r="K103" s="26" t="str">
        <f>IF(OR(E103="",E103="!!!",F103="NEW"),"",INDEX(J$1:J102,SUMPRODUCT(MAX(ROW(E$1:E102)*(E103=E$1:E102)))))</f>
        <v> </v>
      </c>
      <c r="L103" s="27"/>
    </row>
    <row r="104" spans="1:12">
      <c r="A104" s="20" t="s">
        <v>237</v>
      </c>
      <c r="E104" s="22">
        <f>IF(D104="?OLD","!!!","")</f>
        <v/>
      </c>
      <c r="F104" s="23" t="str">
        <f>IF(OR(E104="",E104="!!!"),"",IF(NOT(ISNA(VLOOKUP(E104,E$1:E103,1,FALSE()))),"OLD",IF(AND(E104&lt;&gt;"",E104&lt;&gt;"!!!"),"NEW","")))</f>
        <v> </v>
      </c>
      <c r="G104" s="24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5" t="str">
        <f>IF(J104&lt;&gt;1,"",IF(I104="SBJ","CB","?"))</f>
        <v> </v>
      </c>
      <c r="I104" s="26" t="str">
        <f>IF(OR(E104="",E104="!!!",F104="NEW"),"",INDEX(B103:B$2,-1+SUMPRODUCT(MAX(ROW(E103:E$2)*(E104=E103:E$2)))))</f>
        <v> </v>
      </c>
      <c r="J104" s="26" t="str">
        <f>IF(OR(E104="",E104="!!!",F104="NEW"),"",COUNTBLANK(OFFSET(A$1,,,SUMPRODUCT(MAX(ROW(E$2:E104)*(E104=E$2:E104)))))-COUNTBLANK(OFFSET(A$1,,,SUMPRODUCT(MAX(ROW(E$1:E103)*(E2=E$1:E103))))))</f>
        <v> </v>
      </c>
      <c r="K104" s="26" t="str">
        <f>IF(OR(E104="",E104="!!!",F104="NEW"),"",INDEX(J$1:J103,SUMPRODUCT(MAX(ROW(E$1:E103)*(E104=E$1:E103)))))</f>
        <v> </v>
      </c>
      <c r="L104" s="27"/>
    </row>
    <row r="105" spans="1:12">
      <c r="A105" s="20"/>
    </row>
    <row r="106" spans="1:12">
      <c r="A106" s="20" t="s">
        <v>312</v>
      </c>
      <c r="E106" s="22">
        <f>IF(D106="?OLD","!!!","")</f>
        <v/>
      </c>
      <c r="F106" s="23" t="str">
        <f>IF(OR(E106="",E106="!!!"),"",IF(NOT(ISNA(VLOOKUP(E106,E$1:E105,1,FALSE()))),"OLD",IF(AND(E106&lt;&gt;"",E106&lt;&gt;"!!!"),"NEW","")))</f>
        <v> </v>
      </c>
      <c r="G106" s="24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5" t="str">
        <f>IF(J106&lt;&gt;1,"",IF(I106="SBJ","CB","?"))</f>
        <v> </v>
      </c>
      <c r="I106" s="26" t="str">
        <f>IF(OR(E106="",E106="!!!",F106="NEW"),"",INDEX(B105:B$2,-1+SUMPRODUCT(MAX(ROW(E105:E$2)*(E106=E105:E$2)))))</f>
        <v> </v>
      </c>
      <c r="J106" s="26" t="str">
        <f>IF(OR(E106="",E106="!!!",F106="NEW"),"",COUNTBLANK(OFFSET(A$1,,,SUMPRODUCT(MAX(ROW(E$2:E106)*(E106=E$2:E106)))))-COUNTBLANK(OFFSET(A$1,,,SUMPRODUCT(MAX(ROW(E$1:E105)*(E2=E$1:E105))))))</f>
        <v> </v>
      </c>
      <c r="K106" s="26" t="str">
        <f>IF(OR(E106="",E106="!!!",F106="NEW"),"",INDEX(J$1:J105,SUMPRODUCT(MAX(ROW(E$1:E105)*(E106=E$1:E105)))))</f>
        <v> </v>
      </c>
      <c r="L106" s="27"/>
    </row>
    <row r="107" spans="1:12">
      <c r="A107" s="20" t="s">
        <v>313</v>
      </c>
    </row>
    <row r="108" spans="1:12">
      <c r="A108" s="20" t="s">
        <v>314</v>
      </c>
      <c r="B108" s="21" t="s">
        <v>226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 t="s">
        <v>315</v>
      </c>
      <c r="B109" s="21" t="s">
        <v>242</v>
      </c>
      <c r="C109" s="21" t="s">
        <v>215</v>
      </c>
      <c r="D109" s="21" t="s">
        <v>216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316</v>
      </c>
      <c r="B110" s="21" t="s">
        <v>244</v>
      </c>
      <c r="C110" s="21" t="s">
        <v>215</v>
      </c>
      <c r="D110" s="21" t="s">
        <v>216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269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317</v>
      </c>
      <c r="B112" s="21" t="s">
        <v>214</v>
      </c>
      <c r="C112" s="21" t="s">
        <v>287</v>
      </c>
      <c r="D112" s="21" t="s">
        <v>216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318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 t="s">
        <v>319</v>
      </c>
      <c r="E114" s="22">
        <f>IF(D114="?OLD","!!!","")</f>
        <v/>
      </c>
      <c r="F114" s="23" t="str">
        <f>IF(OR(E114="",E114="!!!"),"",IF(NOT(ISNA(VLOOKUP(E114,E$1:E113,1,FALSE()))),"OLD",IF(AND(E114&lt;&gt;"",E114&lt;&gt;"!!!"),"NEW","")))</f>
        <v> </v>
      </c>
      <c r="G114" s="24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5" t="str">
        <f>IF(J114&lt;&gt;1,"",IF(I114="SBJ","CB","?"))</f>
        <v> </v>
      </c>
      <c r="I114" s="26" t="str">
        <f>IF(OR(E114="",E114="!!!",F114="NEW"),"",INDEX(B113:B$2,-1+SUMPRODUCT(MAX(ROW(E113:E$2)*(E114=E113:E$2)))))</f>
        <v> </v>
      </c>
      <c r="J114" s="26" t="str">
        <f>IF(OR(E114="",E114="!!!",F114="NEW"),"",COUNTBLANK(OFFSET(A$1,,,SUMPRODUCT(MAX(ROW(E$2:E114)*(E114=E$2:E114)))))-COUNTBLANK(OFFSET(A$1,,,SUMPRODUCT(MAX(ROW(E$1:E113)*(E2=E$1:E113))))))</f>
        <v> </v>
      </c>
      <c r="K114" s="26" t="str">
        <f>IF(OR(E114="",E114="!!!",F114="NEW"),"",INDEX(J$1:J113,SUMPRODUCT(MAX(ROW(E$1:E113)*(E114=E$1:E113)))))</f>
        <v> </v>
      </c>
      <c r="L114" s="27"/>
    </row>
    <row r="115" spans="1:12">
      <c r="A115" s="20" t="s">
        <v>320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321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 t="s">
        <v>322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220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 t="s">
        <v>323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324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 t="s">
        <v>220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325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326</v>
      </c>
      <c r="B123" s="21" t="s">
        <v>274</v>
      </c>
      <c r="C123" s="21" t="s">
        <v>215</v>
      </c>
      <c r="D123" s="21" t="s">
        <v>216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327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328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 t="s">
        <v>329</v>
      </c>
      <c r="B126" s="21" t="s">
        <v>330</v>
      </c>
      <c r="C126" s="21" t="s">
        <v>331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 t="s">
        <v>230</v>
      </c>
      <c r="E127" s="22">
        <f>IF(D127="?OLD","!!!","")</f>
        <v/>
      </c>
      <c r="F127" s="23" t="str">
        <f>IF(OR(E127="",E127="!!!"),"",IF(NOT(ISNA(VLOOKUP(E127,E$1:E126,1,FALSE()))),"OLD",IF(AND(E127&lt;&gt;"",E127&lt;&gt;"!!!"),"NEW","")))</f>
        <v> </v>
      </c>
      <c r="G127" s="24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5" t="str">
        <f>IF(J127&lt;&gt;1,"",IF(I127="SBJ","CB","?"))</f>
        <v> </v>
      </c>
      <c r="I127" s="26" t="str">
        <f>IF(OR(E127="",E127="!!!",F127="NEW"),"",INDEX(B126:B$2,-1+SUMPRODUCT(MAX(ROW(E126:E$2)*(E127=E126:E$2)))))</f>
        <v> </v>
      </c>
      <c r="J127" s="26" t="str">
        <f>IF(OR(E127="",E127="!!!",F127="NEW"),"",COUNTBLANK(OFFSET(A$1,,,SUMPRODUCT(MAX(ROW(E$2:E127)*(E127=E$2:E127)))))-COUNTBLANK(OFFSET(A$1,,,SUMPRODUCT(MAX(ROW(E$1:E126)*(E2=E$1:E126))))))</f>
        <v> </v>
      </c>
      <c r="K127" s="26" t="str">
        <f>IF(OR(E127="",E127="!!!",F127="NEW"),"",INDEX(J$1:J126,SUMPRODUCT(MAX(ROW(E$1:E126)*(E127=E$1:E126)))))</f>
        <v> </v>
      </c>
      <c r="L127" s="27"/>
    </row>
    <row r="128" spans="1:12">
      <c r="A128" s="20" t="s">
        <v>332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 t="s">
        <v>333</v>
      </c>
      <c r="E129" s="22">
        <f>IF(D129="?OLD","!!!","")</f>
        <v/>
      </c>
      <c r="F129" s="23" t="str">
        <f>IF(OR(E129="",E129="!!!"),"",IF(NOT(ISNA(VLOOKUP(E129,E$1:E128,1,FALSE()))),"OLD",IF(AND(E129&lt;&gt;"",E129&lt;&gt;"!!!"),"NEW","")))</f>
        <v> </v>
      </c>
      <c r="G129" s="24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5" t="str">
        <f>IF(J129&lt;&gt;1,"",IF(I129="SBJ","CB","?"))</f>
        <v> </v>
      </c>
      <c r="I129" s="26" t="str">
        <f>IF(OR(E129="",E129="!!!",F129="NEW"),"",INDEX(B128:B$2,-1+SUMPRODUCT(MAX(ROW(E128:E$2)*(E129=E128:E$2)))))</f>
        <v> </v>
      </c>
      <c r="J129" s="26" t="str">
        <f>IF(OR(E129="",E129="!!!",F129="NEW"),"",COUNTBLANK(OFFSET(A$1,,,SUMPRODUCT(MAX(ROW(E$2:E129)*(E129=E$2:E129)))))-COUNTBLANK(OFFSET(A$1,,,SUMPRODUCT(MAX(ROW(E$1:E128)*(E2=E$1:E128))))))</f>
        <v> </v>
      </c>
      <c r="K129" s="26" t="str">
        <f>IF(OR(E129="",E129="!!!",F129="NEW"),"",INDEX(J$1:J128,SUMPRODUCT(MAX(ROW(E$1:E128)*(E129=E$1:E128)))))</f>
        <v> </v>
      </c>
      <c r="L129" s="27"/>
    </row>
    <row r="130" spans="1:12">
      <c r="A130" s="20" t="s">
        <v>334</v>
      </c>
      <c r="B130" s="21" t="s">
        <v>335</v>
      </c>
      <c r="C130" s="21" t="s">
        <v>331</v>
      </c>
      <c r="E130" s="22">
        <f>IF(D130="?OLD","!!!","")</f>
        <v/>
      </c>
      <c r="F130" s="23" t="str">
        <f>IF(OR(E130="",E130="!!!"),"",IF(NOT(ISNA(VLOOKUP(E130,E$1:E129,1,FALSE()))),"OLD",IF(AND(E130&lt;&gt;"",E130&lt;&gt;"!!!"),"NEW","")))</f>
        <v> </v>
      </c>
      <c r="G130" s="24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5" t="str">
        <f>IF(J130&lt;&gt;1,"",IF(I130="SBJ","CB","?"))</f>
        <v> </v>
      </c>
      <c r="I130" s="26" t="str">
        <f>IF(OR(E130="",E130="!!!",F130="NEW"),"",INDEX(B129:B$2,-1+SUMPRODUCT(MAX(ROW(E129:E$2)*(E130=E129:E$2)))))</f>
        <v> </v>
      </c>
      <c r="J130" s="26" t="str">
        <f>IF(OR(E130="",E130="!!!",F130="NEW"),"",COUNTBLANK(OFFSET(A$1,,,SUMPRODUCT(MAX(ROW(E$2:E130)*(E130=E$2:E130)))))-COUNTBLANK(OFFSET(A$1,,,SUMPRODUCT(MAX(ROW(E$1:E129)*(E2=E$1:E129))))))</f>
        <v> </v>
      </c>
      <c r="K130" s="26" t="str">
        <f>IF(OR(E130="",E130="!!!",F130="NEW"),"",INDEX(J$1:J129,SUMPRODUCT(MAX(ROW(E$1:E129)*(E130=E$1:E129)))))</f>
        <v> </v>
      </c>
      <c r="L130" s="27"/>
    </row>
    <row r="131" spans="1:12">
      <c r="A131" s="20" t="s">
        <v>237</v>
      </c>
      <c r="E131" s="22">
        <f>IF(D131="?OLD","!!!","")</f>
        <v/>
      </c>
      <c r="F131" s="23" t="str">
        <f>IF(OR(E131="",E131="!!!"),"",IF(NOT(ISNA(VLOOKUP(E131,E$1:E130,1,FALSE()))),"OLD",IF(AND(E131&lt;&gt;"",E131&lt;&gt;"!!!"),"NEW","")))</f>
        <v> </v>
      </c>
      <c r="G131" s="24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5" t="str">
        <f>IF(J131&lt;&gt;1,"",IF(I131="SBJ","CB","?"))</f>
        <v> </v>
      </c>
      <c r="I131" s="26" t="str">
        <f>IF(OR(E131="",E131="!!!",F131="NEW"),"",INDEX(B130:B$2,-1+SUMPRODUCT(MAX(ROW(E130:E$2)*(E131=E130:E$2)))))</f>
        <v> </v>
      </c>
      <c r="J131" s="26" t="str">
        <f>IF(OR(E131="",E131="!!!",F131="NEW"),"",COUNTBLANK(OFFSET(A$1,,,SUMPRODUCT(MAX(ROW(E$2:E131)*(E131=E$2:E131)))))-COUNTBLANK(OFFSET(A$1,,,SUMPRODUCT(MAX(ROW(E$1:E130)*(E2=E$1:E130))))))</f>
        <v> </v>
      </c>
      <c r="K131" s="26" t="str">
        <f>IF(OR(E131="",E131="!!!",F131="NEW"),"",INDEX(J$1:J130,SUMPRODUCT(MAX(ROW(E$1:E130)*(E131=E$1:E130)))))</f>
        <v> </v>
      </c>
      <c r="L131" s="27"/>
    </row>
    <row r="132" spans="1:12">
      <c r="A132" s="20"/>
    </row>
    <row r="133" spans="1:12">
      <c r="A133" s="20" t="s">
        <v>336</v>
      </c>
    </row>
    <row r="134" spans="1:12">
      <c r="A134" s="20" t="s">
        <v>337</v>
      </c>
      <c r="B134" s="21" t="s">
        <v>226</v>
      </c>
      <c r="C134" s="21" t="s">
        <v>277</v>
      </c>
      <c r="D134" s="21" t="s">
        <v>216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338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339</v>
      </c>
      <c r="B136" s="21" t="s">
        <v>340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 t="s">
        <v>237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/>
    </row>
    <row r="139" spans="1:12">
      <c r="A139" s="20" t="s">
        <v>341</v>
      </c>
    </row>
    <row r="140" spans="1:12">
      <c r="A140" s="20" t="s">
        <v>342</v>
      </c>
      <c r="B140" s="21" t="s">
        <v>226</v>
      </c>
      <c r="C140" s="21" t="s">
        <v>277</v>
      </c>
      <c r="D140" s="21" t="s">
        <v>216</v>
      </c>
      <c r="E140" s="22">
        <f>IF(D140="?OLD","!!!","")</f>
        <v/>
      </c>
      <c r="F140" s="23" t="str">
        <f>IF(OR(E140="",E140="!!!"),"",IF(NOT(ISNA(VLOOKUP(E140,E$1:E139,1,FALSE()))),"OLD",IF(AND(E140&lt;&gt;"",E140&lt;&gt;"!!!"),"NEW","")))</f>
        <v> </v>
      </c>
      <c r="G140" s="24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5" t="str">
        <f>IF(J140&lt;&gt;1,"",IF(I140="SBJ","CB","?"))</f>
        <v> </v>
      </c>
      <c r="I140" s="26" t="str">
        <f>IF(OR(E140="",E140="!!!",F140="NEW"),"",INDEX(B139:B$2,-1+SUMPRODUCT(MAX(ROW(E139:E$2)*(E140=E139:E$2)))))</f>
        <v> </v>
      </c>
      <c r="J140" s="26" t="str">
        <f>IF(OR(E140="",E140="!!!",F140="NEW"),"",COUNTBLANK(OFFSET(A$1,,,SUMPRODUCT(MAX(ROW(E$2:E140)*(E140=E$2:E140)))))-COUNTBLANK(OFFSET(A$1,,,SUMPRODUCT(MAX(ROW(E$1:E139)*(E2=E$1:E139))))))</f>
        <v> </v>
      </c>
      <c r="K140" s="26" t="str">
        <f>IF(OR(E140="",E140="!!!",F140="NEW"),"",INDEX(J$1:J139,SUMPRODUCT(MAX(ROW(E$1:E139)*(E140=E$1:E139)))))</f>
        <v> </v>
      </c>
      <c r="L140" s="27"/>
    </row>
    <row r="141" spans="1:12">
      <c r="A141" s="20" t="s">
        <v>343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344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230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 t="s">
        <v>281</v>
      </c>
      <c r="E144" s="22">
        <f>IF(D144="?OLD","!!!","")</f>
        <v/>
      </c>
      <c r="F144" s="23" t="str">
        <f>IF(OR(E144="",E144="!!!"),"",IF(NOT(ISNA(VLOOKUP(E144,E$1:E143,1,FALSE()))),"OLD",IF(AND(E144&lt;&gt;"",E144&lt;&gt;"!!!"),"NEW","")))</f>
        <v> </v>
      </c>
      <c r="G144" s="24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5" t="str">
        <f>IF(J144&lt;&gt;1,"",IF(I144="SBJ","CB","?"))</f>
        <v> </v>
      </c>
      <c r="I144" s="26" t="str">
        <f>IF(OR(E144="",E144="!!!",F144="NEW"),"",INDEX(B143:B$2,-1+SUMPRODUCT(MAX(ROW(E143:E$2)*(E144=E143:E$2)))))</f>
        <v> </v>
      </c>
      <c r="J144" s="26" t="str">
        <f>IF(OR(E144="",E144="!!!",F144="NEW"),"",COUNTBLANK(OFFSET(A$1,,,SUMPRODUCT(MAX(ROW(E$2:E144)*(E144=E$2:E144)))))-COUNTBLANK(OFFSET(A$1,,,SUMPRODUCT(MAX(ROW(E$1:E143)*(E2=E$1:E143))))))</f>
        <v> </v>
      </c>
      <c r="K144" s="26" t="str">
        <f>IF(OR(E144="",E144="!!!",F144="NEW"),"",INDEX(J$1:J143,SUMPRODUCT(MAX(ROW(E$1:E143)*(E144=E$1:E143)))))</f>
        <v> </v>
      </c>
      <c r="L144" s="27"/>
    </row>
    <row r="145" spans="1:12">
      <c r="A145" s="20" t="s">
        <v>345</v>
      </c>
      <c r="B145" s="21" t="s">
        <v>232</v>
      </c>
      <c r="E145" s="22">
        <f>IF(D145="?OLD","!!!","")</f>
        <v/>
      </c>
      <c r="F145" s="23" t="str">
        <f>IF(OR(E145="",E145="!!!"),"",IF(NOT(ISNA(VLOOKUP(E145,E$1:E144,1,FALSE()))),"OLD",IF(AND(E145&lt;&gt;"",E145&lt;&gt;"!!!"),"NEW","")))</f>
        <v> </v>
      </c>
      <c r="G145" s="24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5" t="str">
        <f>IF(J145&lt;&gt;1,"",IF(I145="SBJ","CB","?"))</f>
        <v> </v>
      </c>
      <c r="I145" s="26" t="str">
        <f>IF(OR(E145="",E145="!!!",F145="NEW"),"",INDEX(B144:B$2,-1+SUMPRODUCT(MAX(ROW(E144:E$2)*(E145=E144:E$2)))))</f>
        <v> </v>
      </c>
      <c r="J145" s="26" t="str">
        <f>IF(OR(E145="",E145="!!!",F145="NEW"),"",COUNTBLANK(OFFSET(A$1,,,SUMPRODUCT(MAX(ROW(E$2:E145)*(E145=E$2:E145)))))-COUNTBLANK(OFFSET(A$1,,,SUMPRODUCT(MAX(ROW(E$1:E144)*(E2=E$1:E144))))))</f>
        <v> </v>
      </c>
      <c r="K145" s="26" t="str">
        <f>IF(OR(E145="",E145="!!!",F145="NEW"),"",INDEX(J$1:J144,SUMPRODUCT(MAX(ROW(E$1:E144)*(E145=E$1:E144)))))</f>
        <v> </v>
      </c>
      <c r="L145" s="27"/>
    </row>
    <row r="146" spans="1:12">
      <c r="A146" s="20" t="s">
        <v>346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347</v>
      </c>
      <c r="B147" s="21" t="s">
        <v>244</v>
      </c>
      <c r="C147" s="21" t="s">
        <v>215</v>
      </c>
      <c r="D147" s="21" t="s">
        <v>216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 t="s">
        <v>348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 t="s">
        <v>349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 t="s">
        <v>350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351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352</v>
      </c>
      <c r="B152" s="21" t="s">
        <v>244</v>
      </c>
      <c r="C152" s="21" t="s">
        <v>308</v>
      </c>
      <c r="D152" s="21" t="s">
        <v>216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 t="s">
        <v>353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 t="s">
        <v>354</v>
      </c>
      <c r="E154" s="22">
        <f>IF(D154="?OLD","!!!","")</f>
        <v/>
      </c>
      <c r="F154" s="23" t="str">
        <f>IF(OR(E154="",E154="!!!"),"",IF(NOT(ISNA(VLOOKUP(E154,E$1:E153,1,FALSE()))),"OLD",IF(AND(E154&lt;&gt;"",E154&lt;&gt;"!!!"),"NEW","")))</f>
        <v> </v>
      </c>
      <c r="G154" s="24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5" t="str">
        <f>IF(J154&lt;&gt;1,"",IF(I154="SBJ","CB","?"))</f>
        <v> </v>
      </c>
      <c r="I154" s="26" t="str">
        <f>IF(OR(E154="",E154="!!!",F154="NEW"),"",INDEX(B153:B$2,-1+SUMPRODUCT(MAX(ROW(E153:E$2)*(E154=E153:E$2)))))</f>
        <v> </v>
      </c>
      <c r="J154" s="26" t="str">
        <f>IF(OR(E154="",E154="!!!",F154="NEW"),"",COUNTBLANK(OFFSET(A$1,,,SUMPRODUCT(MAX(ROW(E$2:E154)*(E154=E$2:E154)))))-COUNTBLANK(OFFSET(A$1,,,SUMPRODUCT(MAX(ROW(E$1:E153)*(E2=E$1:E153))))))</f>
        <v> </v>
      </c>
      <c r="K154" s="26" t="str">
        <f>IF(OR(E154="",E154="!!!",F154="NEW"),"",INDEX(J$1:J153,SUMPRODUCT(MAX(ROW(E$1:E153)*(E154=E$1:E153)))))</f>
        <v> </v>
      </c>
      <c r="L154" s="27"/>
    </row>
    <row r="155" spans="1:12">
      <c r="A155" s="20" t="s">
        <v>230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 t="s">
        <v>355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305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356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237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/>
    </row>
    <row r="161" spans="1:12">
      <c r="A161" s="20" t="s">
        <v>357</v>
      </c>
    </row>
    <row r="162" spans="1:12">
      <c r="A162" s="20" t="s">
        <v>358</v>
      </c>
      <c r="E162" s="22">
        <f>IF(D162="?OLD","!!!","")</f>
        <v/>
      </c>
      <c r="F162" s="23" t="str">
        <f>IF(OR(E162="",E162="!!!"),"",IF(NOT(ISNA(VLOOKUP(E162,E$1:E161,1,FALSE()))),"OLD",IF(AND(E162&lt;&gt;"",E162&lt;&gt;"!!!"),"NEW","")))</f>
        <v> </v>
      </c>
      <c r="G162" s="24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5" t="str">
        <f>IF(J162&lt;&gt;1,"",IF(I162="SBJ","CB","?"))</f>
        <v> </v>
      </c>
      <c r="I162" s="26" t="str">
        <f>IF(OR(E162="",E162="!!!",F162="NEW"),"",INDEX(B161:B$2,-1+SUMPRODUCT(MAX(ROW(E161:E$2)*(E162=E161:E$2)))))</f>
        <v> </v>
      </c>
      <c r="J162" s="26" t="str">
        <f>IF(OR(E162="",E162="!!!",F162="NEW"),"",COUNTBLANK(OFFSET(A$1,,,SUMPRODUCT(MAX(ROW(E$2:E162)*(E162=E$2:E162)))))-COUNTBLANK(OFFSET(A$1,,,SUMPRODUCT(MAX(ROW(E$1:E161)*(E2=E$1:E161))))))</f>
        <v> </v>
      </c>
      <c r="K162" s="26" t="str">
        <f>IF(OR(E162="",E162="!!!",F162="NEW"),"",INDEX(J$1:J161,SUMPRODUCT(MAX(ROW(E$1:E161)*(E162=E$1:E161)))))</f>
        <v> </v>
      </c>
      <c r="L162" s="27"/>
    </row>
    <row r="163" spans="1:12">
      <c r="A163" s="20" t="s">
        <v>359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360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361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362</v>
      </c>
      <c r="B166" s="21" t="s">
        <v>226</v>
      </c>
      <c r="C166" s="21" t="s">
        <v>331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363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 t="s">
        <v>364</v>
      </c>
      <c r="B168" s="21" t="s">
        <v>340</v>
      </c>
      <c r="E168" s="22">
        <f>IF(D168="?OLD","!!!","")</f>
        <v/>
      </c>
      <c r="F168" s="23" t="str">
        <f>IF(OR(E168="",E168="!!!"),"",IF(NOT(ISNA(VLOOKUP(E168,E$1:E167,1,FALSE()))),"OLD",IF(AND(E168&lt;&gt;"",E168&lt;&gt;"!!!"),"NEW","")))</f>
        <v> </v>
      </c>
      <c r="G168" s="24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5" t="str">
        <f>IF(J168&lt;&gt;1,"",IF(I168="SBJ","CB","?"))</f>
        <v> </v>
      </c>
      <c r="I168" s="26" t="str">
        <f>IF(OR(E168="",E168="!!!",F168="NEW"),"",INDEX(B167:B$2,-1+SUMPRODUCT(MAX(ROW(E167:E$2)*(E168=E167:E$2)))))</f>
        <v> </v>
      </c>
      <c r="J168" s="26" t="str">
        <f>IF(OR(E168="",E168="!!!",F168="NEW"),"",COUNTBLANK(OFFSET(A$1,,,SUMPRODUCT(MAX(ROW(E$2:E168)*(E168=E$2:E168)))))-COUNTBLANK(OFFSET(A$1,,,SUMPRODUCT(MAX(ROW(E$1:E167)*(E2=E$1:E167))))))</f>
        <v> </v>
      </c>
      <c r="K168" s="26" t="str">
        <f>IF(OR(E168="",E168="!!!",F168="NEW"),"",INDEX(J$1:J167,SUMPRODUCT(MAX(ROW(E$1:E167)*(E168=E$1:E167)))))</f>
        <v> </v>
      </c>
      <c r="L168" s="27"/>
    </row>
    <row r="169" spans="1:12">
      <c r="A169" s="20" t="s">
        <v>295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 t="s">
        <v>365</v>
      </c>
      <c r="B170" s="21" t="s">
        <v>244</v>
      </c>
      <c r="C170" s="21" t="s">
        <v>215</v>
      </c>
      <c r="D170" s="21" t="s">
        <v>216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366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367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 t="s">
        <v>368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369</v>
      </c>
      <c r="B174" s="21" t="s">
        <v>232</v>
      </c>
      <c r="C174" s="21" t="s">
        <v>370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371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372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 t="s">
        <v>349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 t="s">
        <v>373</v>
      </c>
      <c r="E178" s="22">
        <f>IF(D178="?OLD","!!!","")</f>
        <v/>
      </c>
      <c r="F178" s="23" t="str">
        <f>IF(OR(E178="",E178="!!!"),"",IF(NOT(ISNA(VLOOKUP(E178,E$1:E177,1,FALSE()))),"OLD",IF(AND(E178&lt;&gt;"",E178&lt;&gt;"!!!"),"NEW","")))</f>
        <v> </v>
      </c>
      <c r="G178" s="24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5" t="str">
        <f>IF(J178&lt;&gt;1,"",IF(I178="SBJ","CB","?"))</f>
        <v> </v>
      </c>
      <c r="I178" s="26" t="str">
        <f>IF(OR(E178="",E178="!!!",F178="NEW"),"",INDEX(B177:B$2,-1+SUMPRODUCT(MAX(ROW(E177:E$2)*(E178=E177:E$2)))))</f>
        <v> </v>
      </c>
      <c r="J178" s="26" t="str">
        <f>IF(OR(E178="",E178="!!!",F178="NEW"),"",COUNTBLANK(OFFSET(A$1,,,SUMPRODUCT(MAX(ROW(E$2:E178)*(E178=E$2:E178)))))-COUNTBLANK(OFFSET(A$1,,,SUMPRODUCT(MAX(ROW(E$1:E177)*(E2=E$1:E177))))))</f>
        <v> </v>
      </c>
      <c r="K178" s="26" t="str">
        <f>IF(OR(E178="",E178="!!!",F178="NEW"),"",INDEX(J$1:J177,SUMPRODUCT(MAX(ROW(E$1:E177)*(E178=E$1:E177)))))</f>
        <v> </v>
      </c>
      <c r="L178" s="27"/>
    </row>
    <row r="179" spans="1:12">
      <c r="A179" s="20" t="s">
        <v>237</v>
      </c>
      <c r="E179" s="22">
        <f>IF(D179="?OLD","!!!","")</f>
        <v/>
      </c>
      <c r="F179" s="23" t="str">
        <f>IF(OR(E179="",E179="!!!"),"",IF(NOT(ISNA(VLOOKUP(E179,E$1:E178,1,FALSE()))),"OLD",IF(AND(E179&lt;&gt;"",E179&lt;&gt;"!!!"),"NEW","")))</f>
        <v> </v>
      </c>
      <c r="G179" s="24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5" t="str">
        <f>IF(J179&lt;&gt;1,"",IF(I179="SBJ","CB","?"))</f>
        <v> </v>
      </c>
      <c r="I179" s="26" t="str">
        <f>IF(OR(E179="",E179="!!!",F179="NEW"),"",INDEX(B178:B$2,-1+SUMPRODUCT(MAX(ROW(E178:E$2)*(E179=E178:E$2)))))</f>
        <v> </v>
      </c>
      <c r="J179" s="26" t="str">
        <f>IF(OR(E179="",E179="!!!",F179="NEW"),"",COUNTBLANK(OFFSET(A$1,,,SUMPRODUCT(MAX(ROW(E$2:E179)*(E179=E$2:E179)))))-COUNTBLANK(OFFSET(A$1,,,SUMPRODUCT(MAX(ROW(E$1:E178)*(E2=E$1:E178))))))</f>
        <v> </v>
      </c>
      <c r="K179" s="26" t="str">
        <f>IF(OR(E179="",E179="!!!",F179="NEW"),"",INDEX(J$1:J178,SUMPRODUCT(MAX(ROW(E$1:E178)*(E179=E$1:E178)))))</f>
        <v> </v>
      </c>
      <c r="L179" s="27"/>
    </row>
    <row r="180" spans="1:12">
      <c r="A180" s="20"/>
    </row>
    <row r="181" spans="1:12">
      <c r="A181" s="20" t="s">
        <v>374</v>
      </c>
    </row>
    <row r="182" spans="1:12">
      <c r="A182" s="20" t="s">
        <v>375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 t="s">
        <v>230</v>
      </c>
      <c r="E183" s="22">
        <f>IF(D183="?OLD","!!!","")</f>
        <v/>
      </c>
      <c r="F183" s="23" t="str">
        <f>IF(OR(E183="",E183="!!!"),"",IF(NOT(ISNA(VLOOKUP(E183,E$1:E182,1,FALSE()))),"OLD",IF(AND(E183&lt;&gt;"",E183&lt;&gt;"!!!"),"NEW","")))</f>
        <v> </v>
      </c>
      <c r="G183" s="24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5" t="str">
        <f>IF(J183&lt;&gt;1,"",IF(I183="SBJ","CB","?"))</f>
        <v> </v>
      </c>
      <c r="I183" s="26" t="str">
        <f>IF(OR(E183="",E183="!!!",F183="NEW"),"",INDEX(B182:B$2,-1+SUMPRODUCT(MAX(ROW(E182:E$2)*(E183=E182:E$2)))))</f>
        <v> </v>
      </c>
      <c r="J183" s="26" t="str">
        <f>IF(OR(E183="",E183="!!!",F183="NEW"),"",COUNTBLANK(OFFSET(A$1,,,SUMPRODUCT(MAX(ROW(E$2:E183)*(E183=E$2:E183)))))-COUNTBLANK(OFFSET(A$1,,,SUMPRODUCT(MAX(ROW(E$1:E182)*(E2=E$1:E182))))))</f>
        <v> </v>
      </c>
      <c r="K183" s="26" t="str">
        <f>IF(OR(E183="",E183="!!!",F183="NEW"),"",INDEX(J$1:J182,SUMPRODUCT(MAX(ROW(E$1:E182)*(E183=E$1:E182)))))</f>
        <v> </v>
      </c>
      <c r="L183" s="27"/>
    </row>
    <row r="184" spans="1:12">
      <c r="A184" s="20" t="s">
        <v>307</v>
      </c>
      <c r="E184" s="22">
        <f>IF(D184="?OLD","!!!","")</f>
        <v/>
      </c>
      <c r="F184" s="23" t="str">
        <f>IF(OR(E184="",E184="!!!"),"",IF(NOT(ISNA(VLOOKUP(E184,E$1:E183,1,FALSE()))),"OLD",IF(AND(E184&lt;&gt;"",E184&lt;&gt;"!!!"),"NEW","")))</f>
        <v> </v>
      </c>
      <c r="G184" s="24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5" t="str">
        <f>IF(J184&lt;&gt;1,"",IF(I184="SBJ","CB","?"))</f>
        <v> </v>
      </c>
      <c r="I184" s="26" t="str">
        <f>IF(OR(E184="",E184="!!!",F184="NEW"),"",INDEX(B183:B$2,-1+SUMPRODUCT(MAX(ROW(E183:E$2)*(E184=E183:E$2)))))</f>
        <v> </v>
      </c>
      <c r="J184" s="26" t="str">
        <f>IF(OR(E184="",E184="!!!",F184="NEW"),"",COUNTBLANK(OFFSET(A$1,,,SUMPRODUCT(MAX(ROW(E$2:E184)*(E184=E$2:E184)))))-COUNTBLANK(OFFSET(A$1,,,SUMPRODUCT(MAX(ROW(E$1:E183)*(E2=E$1:E183))))))</f>
        <v> </v>
      </c>
      <c r="K184" s="26" t="str">
        <f>IF(OR(E184="",E184="!!!",F184="NEW"),"",INDEX(J$1:J183,SUMPRODUCT(MAX(ROW(E$1:E183)*(E184=E$1:E183)))))</f>
        <v> </v>
      </c>
      <c r="L184" s="27"/>
    </row>
    <row r="185" spans="1:12">
      <c r="A185" s="20" t="s">
        <v>376</v>
      </c>
      <c r="B185" s="21" t="s">
        <v>226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377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 t="s">
        <v>378</v>
      </c>
      <c r="B187" s="21" t="s">
        <v>340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237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/>
    </row>
    <row r="190" spans="1:12">
      <c r="A190" s="20" t="s">
        <v>379</v>
      </c>
    </row>
    <row r="191" spans="1:12">
      <c r="A191" s="20" t="s">
        <v>261</v>
      </c>
      <c r="E191" s="22">
        <f>IF(D191="?OLD","!!!","")</f>
        <v/>
      </c>
      <c r="F191" s="23" t="str">
        <f>IF(OR(E191="",E191="!!!"),"",IF(NOT(ISNA(VLOOKUP(E191,E$1:E190,1,FALSE()))),"OLD",IF(AND(E191&lt;&gt;"",E191&lt;&gt;"!!!"),"NEW","")))</f>
        <v> </v>
      </c>
      <c r="G191" s="24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5" t="str">
        <f>IF(J191&lt;&gt;1,"",IF(I191="SBJ","CB","?"))</f>
        <v> </v>
      </c>
      <c r="I191" s="26" t="str">
        <f>IF(OR(E191="",E191="!!!",F191="NEW"),"",INDEX(B190:B$2,-1+SUMPRODUCT(MAX(ROW(E190:E$2)*(E191=E190:E$2)))))</f>
        <v> </v>
      </c>
      <c r="J191" s="26" t="str">
        <f>IF(OR(E191="",E191="!!!",F191="NEW"),"",COUNTBLANK(OFFSET(A$1,,,SUMPRODUCT(MAX(ROW(E$2:E191)*(E191=E$2:E191)))))-COUNTBLANK(OFFSET(A$1,,,SUMPRODUCT(MAX(ROW(E$1:E190)*(E2=E$1:E190))))))</f>
        <v> </v>
      </c>
      <c r="K191" s="26" t="str">
        <f>IF(OR(E191="",E191="!!!",F191="NEW"),"",INDEX(J$1:J190,SUMPRODUCT(MAX(ROW(E$1:E190)*(E191=E$1:E190)))))</f>
        <v> </v>
      </c>
      <c r="L191" s="27"/>
    </row>
    <row r="192" spans="1:12">
      <c r="A192" s="20" t="s">
        <v>380</v>
      </c>
      <c r="E192" s="22">
        <f>IF(D192="?OLD","!!!","")</f>
        <v/>
      </c>
      <c r="F192" s="23" t="str">
        <f>IF(OR(E192="",E192="!!!"),"",IF(NOT(ISNA(VLOOKUP(E192,E$1:E191,1,FALSE()))),"OLD",IF(AND(E192&lt;&gt;"",E192&lt;&gt;"!!!"),"NEW","")))</f>
        <v> </v>
      </c>
      <c r="G192" s="24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5" t="str">
        <f>IF(J192&lt;&gt;1,"",IF(I192="SBJ","CB","?"))</f>
        <v> </v>
      </c>
      <c r="I192" s="26" t="str">
        <f>IF(OR(E192="",E192="!!!",F192="NEW"),"",INDEX(B191:B$2,-1+SUMPRODUCT(MAX(ROW(E191:E$2)*(E192=E191:E$2)))))</f>
        <v> </v>
      </c>
      <c r="J192" s="26" t="str">
        <f>IF(OR(E192="",E192="!!!",F192="NEW"),"",COUNTBLANK(OFFSET(A$1,,,SUMPRODUCT(MAX(ROW(E$2:E192)*(E192=E$2:E192)))))-COUNTBLANK(OFFSET(A$1,,,SUMPRODUCT(MAX(ROW(E$1:E191)*(E2=E$1:E191))))))</f>
        <v> </v>
      </c>
      <c r="K192" s="26" t="str">
        <f>IF(OR(E192="",E192="!!!",F192="NEW"),"",INDEX(J$1:J191,SUMPRODUCT(MAX(ROW(E$1:E191)*(E192=E$1:E191)))))</f>
        <v> </v>
      </c>
      <c r="L192" s="27"/>
    </row>
    <row r="193" spans="1:12">
      <c r="A193" s="20" t="s">
        <v>381</v>
      </c>
      <c r="B193" s="21" t="s">
        <v>226</v>
      </c>
      <c r="E193" s="22">
        <f>IF(D193="?OLD","!!!","")</f>
        <v/>
      </c>
      <c r="F193" s="23" t="str">
        <f>IF(OR(E193="",E193="!!!"),"",IF(NOT(ISNA(VLOOKUP(E193,E$1:E192,1,FALSE()))),"OLD",IF(AND(E193&lt;&gt;"",E193&lt;&gt;"!!!"),"NEW","")))</f>
        <v> </v>
      </c>
      <c r="G193" s="24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5" t="str">
        <f>IF(J193&lt;&gt;1,"",IF(I193="SBJ","CB","?"))</f>
        <v> </v>
      </c>
      <c r="I193" s="26" t="str">
        <f>IF(OR(E193="",E193="!!!",F193="NEW"),"",INDEX(B192:B$2,-1+SUMPRODUCT(MAX(ROW(E192:E$2)*(E193=E192:E$2)))))</f>
        <v> </v>
      </c>
      <c r="J193" s="26" t="str">
        <f>IF(OR(E193="",E193="!!!",F193="NEW"),"",COUNTBLANK(OFFSET(A$1,,,SUMPRODUCT(MAX(ROW(E$2:E193)*(E193=E$2:E193)))))-COUNTBLANK(OFFSET(A$1,,,SUMPRODUCT(MAX(ROW(E$1:E192)*(E2=E$1:E192))))))</f>
        <v> </v>
      </c>
      <c r="K193" s="26" t="str">
        <f>IF(OR(E193="",E193="!!!",F193="NEW"),"",INDEX(J$1:J192,SUMPRODUCT(MAX(ROW(E$1:E192)*(E193=E$1:E192)))))</f>
        <v> </v>
      </c>
      <c r="L193" s="27"/>
    </row>
    <row r="194" spans="1:12">
      <c r="A194" s="20" t="s">
        <v>230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 t="s">
        <v>382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 t="s">
        <v>383</v>
      </c>
      <c r="E196" s="22">
        <f>IF(D196="?OLD","!!!","")</f>
        <v/>
      </c>
      <c r="F196" s="23" t="str">
        <f>IF(OR(E196="",E196="!!!"),"",IF(NOT(ISNA(VLOOKUP(E196,E$1:E195,1,FALSE()))),"OLD",IF(AND(E196&lt;&gt;"",E196&lt;&gt;"!!!"),"NEW","")))</f>
        <v> </v>
      </c>
      <c r="G196" s="24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5" t="str">
        <f>IF(J196&lt;&gt;1,"",IF(I196="SBJ","CB","?"))</f>
        <v> </v>
      </c>
      <c r="I196" s="26" t="str">
        <f>IF(OR(E196="",E196="!!!",F196="NEW"),"",INDEX(B195:B$2,-1+SUMPRODUCT(MAX(ROW(E195:E$2)*(E196=E195:E$2)))))</f>
        <v> </v>
      </c>
      <c r="J196" s="26" t="str">
        <f>IF(OR(E196="",E196="!!!",F196="NEW"),"",COUNTBLANK(OFFSET(A$1,,,SUMPRODUCT(MAX(ROW(E$2:E196)*(E196=E$2:E196)))))-COUNTBLANK(OFFSET(A$1,,,SUMPRODUCT(MAX(ROW(E$1:E195)*(E2=E$1:E195))))))</f>
        <v> </v>
      </c>
      <c r="K196" s="26" t="str">
        <f>IF(OR(E196="",E196="!!!",F196="NEW"),"",INDEX(J$1:J195,SUMPRODUCT(MAX(ROW(E$1:E195)*(E196=E$1:E195)))))</f>
        <v> </v>
      </c>
      <c r="L196" s="27"/>
    </row>
    <row r="197" spans="1:12">
      <c r="A197" s="20" t="s">
        <v>295</v>
      </c>
      <c r="E197" s="22">
        <f>IF(D197="?OLD","!!!","")</f>
        <v/>
      </c>
      <c r="F197" s="23" t="str">
        <f>IF(OR(E197="",E197="!!!"),"",IF(NOT(ISNA(VLOOKUP(E197,E$1:E196,1,FALSE()))),"OLD",IF(AND(E197&lt;&gt;"",E197&lt;&gt;"!!!"),"NEW","")))</f>
        <v> </v>
      </c>
      <c r="G197" s="24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5" t="str">
        <f>IF(J197&lt;&gt;1,"",IF(I197="SBJ","CB","?"))</f>
        <v> </v>
      </c>
      <c r="I197" s="26" t="str">
        <f>IF(OR(E197="",E197="!!!",F197="NEW"),"",INDEX(B196:B$2,-1+SUMPRODUCT(MAX(ROW(E196:E$2)*(E197=E196:E$2)))))</f>
        <v> </v>
      </c>
      <c r="J197" s="26" t="str">
        <f>IF(OR(E197="",E197="!!!",F197="NEW"),"",COUNTBLANK(OFFSET(A$1,,,SUMPRODUCT(MAX(ROW(E$2:E197)*(E197=E$2:E197)))))-COUNTBLANK(OFFSET(A$1,,,SUMPRODUCT(MAX(ROW(E$1:E196)*(E2=E$1:E196))))))</f>
        <v> </v>
      </c>
      <c r="K197" s="26" t="str">
        <f>IF(OR(E197="",E197="!!!",F197="NEW"),"",INDEX(J$1:J196,SUMPRODUCT(MAX(ROW(E$1:E196)*(E197=E$1:E196)))))</f>
        <v> </v>
      </c>
      <c r="L197" s="27"/>
    </row>
    <row r="198" spans="1:12">
      <c r="A198" s="20" t="s">
        <v>296</v>
      </c>
      <c r="B198" s="21" t="s">
        <v>274</v>
      </c>
      <c r="C198" s="21" t="s">
        <v>215</v>
      </c>
      <c r="D198" s="21" t="s">
        <v>216</v>
      </c>
      <c r="E198" s="22">
        <f>IF(D198="?OLD","!!!","")</f>
        <v/>
      </c>
      <c r="F198" s="23" t="str">
        <f>IF(OR(E198="",E198="!!!"),"",IF(NOT(ISNA(VLOOKUP(E198,E$1:E197,1,FALSE()))),"OLD",IF(AND(E198&lt;&gt;"",E198&lt;&gt;"!!!"),"NEW","")))</f>
        <v> </v>
      </c>
      <c r="G198" s="24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5" t="str">
        <f>IF(J198&lt;&gt;1,"",IF(I198="SBJ","CB","?"))</f>
        <v> </v>
      </c>
      <c r="I198" s="26" t="str">
        <f>IF(OR(E198="",E198="!!!",F198="NEW"),"",INDEX(B197:B$2,-1+SUMPRODUCT(MAX(ROW(E197:E$2)*(E198=E197:E$2)))))</f>
        <v> </v>
      </c>
      <c r="J198" s="26" t="str">
        <f>IF(OR(E198="",E198="!!!",F198="NEW"),"",COUNTBLANK(OFFSET(A$1,,,SUMPRODUCT(MAX(ROW(E$2:E198)*(E198=E$2:E198)))))-COUNTBLANK(OFFSET(A$1,,,SUMPRODUCT(MAX(ROW(E$1:E197)*(E2=E$1:E197))))))</f>
        <v> </v>
      </c>
      <c r="K198" s="26" t="str">
        <f>IF(OR(E198="",E198="!!!",F198="NEW"),"",INDEX(J$1:J197,SUMPRODUCT(MAX(ROW(E$1:E197)*(E198=E$1:E197)))))</f>
        <v> </v>
      </c>
      <c r="L198" s="27"/>
    </row>
    <row r="199" spans="1:12">
      <c r="A199" s="20" t="s">
        <v>230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384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230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281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 t="s">
        <v>385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 t="s">
        <v>386</v>
      </c>
      <c r="B204" s="21" t="s">
        <v>232</v>
      </c>
      <c r="E204" s="22">
        <f>IF(D204="?OLD","!!!","")</f>
        <v/>
      </c>
      <c r="F204" s="23" t="str">
        <f>IF(OR(E204="",E204="!!!"),"",IF(NOT(ISNA(VLOOKUP(E204,E$1:E203,1,FALSE()))),"OLD",IF(AND(E204&lt;&gt;"",E204&lt;&gt;"!!!"),"NEW","")))</f>
        <v> </v>
      </c>
      <c r="G204" s="24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5" t="str">
        <f>IF(J204&lt;&gt;1,"",IF(I204="SBJ","CB","?"))</f>
        <v> </v>
      </c>
      <c r="I204" s="26" t="str">
        <f>IF(OR(E204="",E204="!!!",F204="NEW"),"",INDEX(B203:B$2,-1+SUMPRODUCT(MAX(ROW(E203:E$2)*(E204=E203:E$2)))))</f>
        <v> </v>
      </c>
      <c r="J204" s="26" t="str">
        <f>IF(OR(E204="",E204="!!!",F204="NEW"),"",COUNTBLANK(OFFSET(A$1,,,SUMPRODUCT(MAX(ROW(E$2:E204)*(E204=E$2:E204)))))-COUNTBLANK(OFFSET(A$1,,,SUMPRODUCT(MAX(ROW(E$1:E203)*(E2=E$1:E203))))))</f>
        <v> </v>
      </c>
      <c r="K204" s="26" t="str">
        <f>IF(OR(E204="",E204="!!!",F204="NEW"),"",INDEX(J$1:J203,SUMPRODUCT(MAX(ROW(E$1:E203)*(E204=E$1:E203)))))</f>
        <v> </v>
      </c>
      <c r="L204" s="27"/>
    </row>
    <row r="205" spans="1:12">
      <c r="A205" s="20" t="s">
        <v>349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387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 t="s">
        <v>369</v>
      </c>
      <c r="B207" s="21" t="s">
        <v>242</v>
      </c>
      <c r="C207" s="21" t="s">
        <v>370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237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/>
    </row>
    <row r="210" spans="1:12">
      <c r="A210" s="20" t="s">
        <v>388</v>
      </c>
    </row>
    <row r="211" spans="1:12">
      <c r="A211" s="20" t="s">
        <v>389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 t="s">
        <v>230</v>
      </c>
      <c r="E212" s="22">
        <f>IF(D212="?OLD","!!!","")</f>
        <v/>
      </c>
      <c r="F212" s="23" t="str">
        <f>IF(OR(E212="",E212="!!!"),"",IF(NOT(ISNA(VLOOKUP(E212,E$1:E211,1,FALSE()))),"OLD",IF(AND(E212&lt;&gt;"",E212&lt;&gt;"!!!"),"NEW","")))</f>
        <v> </v>
      </c>
      <c r="G212" s="24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5" t="str">
        <f>IF(J212&lt;&gt;1,"",IF(I212="SBJ","CB","?"))</f>
        <v> </v>
      </c>
      <c r="I212" s="26" t="str">
        <f>IF(OR(E212="",E212="!!!",F212="NEW"),"",INDEX(B211:B$2,-1+SUMPRODUCT(MAX(ROW(E211:E$2)*(E212=E211:E$2)))))</f>
        <v> </v>
      </c>
      <c r="J212" s="26" t="str">
        <f>IF(OR(E212="",E212="!!!",F212="NEW"),"",COUNTBLANK(OFFSET(A$1,,,SUMPRODUCT(MAX(ROW(E$2:E212)*(E212=E$2:E212)))))-COUNTBLANK(OFFSET(A$1,,,SUMPRODUCT(MAX(ROW(E$1:E211)*(E2=E$1:E211))))))</f>
        <v> </v>
      </c>
      <c r="K212" s="26" t="str">
        <f>IF(OR(E212="",E212="!!!",F212="NEW"),"",INDEX(J$1:J211,SUMPRODUCT(MAX(ROW(E$1:E211)*(E212=E$1:E211)))))</f>
        <v> </v>
      </c>
      <c r="L212" s="27"/>
    </row>
    <row r="213" spans="1:12">
      <c r="A213" s="20" t="s">
        <v>390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391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392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393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230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 t="s">
        <v>321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394</v>
      </c>
      <c r="B219" s="21" t="s">
        <v>242</v>
      </c>
      <c r="C219" s="21" t="s">
        <v>233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 t="s">
        <v>300</v>
      </c>
      <c r="B220" s="21" t="s">
        <v>232</v>
      </c>
      <c r="C220" s="21" t="s">
        <v>277</v>
      </c>
      <c r="D220" s="21" t="s">
        <v>216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 t="s">
        <v>395</v>
      </c>
      <c r="E221" s="22">
        <f>IF(D221="?OLD","!!!","")</f>
        <v/>
      </c>
      <c r="F221" s="23" t="str">
        <f>IF(OR(E221="",E221="!!!"),"",IF(NOT(ISNA(VLOOKUP(E221,E$1:E220,1,FALSE()))),"OLD",IF(AND(E221&lt;&gt;"",E221&lt;&gt;"!!!"),"NEW","")))</f>
        <v> </v>
      </c>
      <c r="G221" s="24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5" t="str">
        <f>IF(J221&lt;&gt;1,"",IF(I221="SBJ","CB","?"))</f>
        <v> </v>
      </c>
      <c r="I221" s="26" t="str">
        <f>IF(OR(E221="",E221="!!!",F221="NEW"),"",INDEX(B220:B$2,-1+SUMPRODUCT(MAX(ROW(E220:E$2)*(E221=E220:E$2)))))</f>
        <v> </v>
      </c>
      <c r="J221" s="26" t="str">
        <f>IF(OR(E221="",E221="!!!",F221="NEW"),"",COUNTBLANK(OFFSET(A$1,,,SUMPRODUCT(MAX(ROW(E$2:E221)*(E221=E$2:E221)))))-COUNTBLANK(OFFSET(A$1,,,SUMPRODUCT(MAX(ROW(E$1:E220)*(E2=E$1:E220))))))</f>
        <v> </v>
      </c>
      <c r="K221" s="26" t="str">
        <f>IF(OR(E221="",E221="!!!",F221="NEW"),"",INDEX(J$1:J220,SUMPRODUCT(MAX(ROW(E$1:E220)*(E221=E$1:E220)))))</f>
        <v> </v>
      </c>
      <c r="L221" s="27"/>
    </row>
    <row r="222" spans="1:12">
      <c r="A222" s="20" t="s">
        <v>246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 t="s">
        <v>396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 t="s">
        <v>397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 t="s">
        <v>219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/>
    </row>
    <row r="227" spans="1:12">
      <c r="A227" s="20" t="s">
        <v>398</v>
      </c>
    </row>
    <row r="228" spans="1:12">
      <c r="A228" s="20" t="s">
        <v>218</v>
      </c>
      <c r="B228" s="21" t="s">
        <v>226</v>
      </c>
      <c r="C228" s="21" t="s">
        <v>215</v>
      </c>
      <c r="D228" s="21" t="s">
        <v>216</v>
      </c>
      <c r="E228" s="22">
        <f>IF(D228="?OLD","!!!","")</f>
        <v/>
      </c>
      <c r="F228" s="23" t="str">
        <f>IF(OR(E228="",E228="!!!"),"",IF(NOT(ISNA(VLOOKUP(E228,E$1:E227,1,FALSE()))),"OLD",IF(AND(E228&lt;&gt;"",E228&lt;&gt;"!!!"),"NEW","")))</f>
        <v> </v>
      </c>
      <c r="G228" s="24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5" t="str">
        <f>IF(J228&lt;&gt;1,"",IF(I228="SBJ","CB","?"))</f>
        <v> </v>
      </c>
      <c r="I228" s="26" t="str">
        <f>IF(OR(E228="",E228="!!!",F228="NEW"),"",INDEX(B227:B$2,-1+SUMPRODUCT(MAX(ROW(E227:E$2)*(E228=E227:E$2)))))</f>
        <v> </v>
      </c>
      <c r="J228" s="26" t="str">
        <f>IF(OR(E228="",E228="!!!",F228="NEW"),"",COUNTBLANK(OFFSET(A$1,,,SUMPRODUCT(MAX(ROW(E$2:E228)*(E228=E$2:E228)))))-COUNTBLANK(OFFSET(A$1,,,SUMPRODUCT(MAX(ROW(E$1:E227)*(E2=E$1:E227))))))</f>
        <v> </v>
      </c>
      <c r="K228" s="26" t="str">
        <f>IF(OR(E228="",E228="!!!",F228="NEW"),"",INDEX(J$1:J227,SUMPRODUCT(MAX(ROW(E$1:E227)*(E228=E$1:E227)))))</f>
        <v> </v>
      </c>
      <c r="L228" s="27"/>
    </row>
    <row r="229" spans="1:12">
      <c r="A229" s="20" t="s">
        <v>399</v>
      </c>
      <c r="E229" s="22">
        <f>IF(D229="?OLD","!!!","")</f>
        <v/>
      </c>
      <c r="F229" s="23" t="str">
        <f>IF(OR(E229="",E229="!!!"),"",IF(NOT(ISNA(VLOOKUP(E229,E$1:E228,1,FALSE()))),"OLD",IF(AND(E229&lt;&gt;"",E229&lt;&gt;"!!!"),"NEW","")))</f>
        <v> </v>
      </c>
      <c r="G229" s="24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5" t="str">
        <f>IF(J229&lt;&gt;1,"",IF(I229="SBJ","CB","?"))</f>
        <v> </v>
      </c>
      <c r="I229" s="26" t="str">
        <f>IF(OR(E229="",E229="!!!",F229="NEW"),"",INDEX(B228:B$2,-1+SUMPRODUCT(MAX(ROW(E228:E$2)*(E229=E228:E$2)))))</f>
        <v> </v>
      </c>
      <c r="J229" s="26" t="str">
        <f>IF(OR(E229="",E229="!!!",F229="NEW"),"",COUNTBLANK(OFFSET(A$1,,,SUMPRODUCT(MAX(ROW(E$2:E229)*(E229=E$2:E229)))))-COUNTBLANK(OFFSET(A$1,,,SUMPRODUCT(MAX(ROW(E$1:E228)*(E2=E$1:E228))))))</f>
        <v> </v>
      </c>
      <c r="K229" s="26" t="str">
        <f>IF(OR(E229="",E229="!!!",F229="NEW"),"",INDEX(J$1:J228,SUMPRODUCT(MAX(ROW(E$1:E228)*(E229=E$1:E228)))))</f>
        <v> </v>
      </c>
      <c r="L229" s="27"/>
    </row>
    <row r="230" spans="1:12">
      <c r="A230" s="20" t="s">
        <v>385</v>
      </c>
      <c r="E230" s="22">
        <f>IF(D230="?OLD","!!!","")</f>
        <v/>
      </c>
      <c r="F230" s="23" t="str">
        <f>IF(OR(E230="",E230="!!!"),"",IF(NOT(ISNA(VLOOKUP(E230,E$1:E229,1,FALSE()))),"OLD",IF(AND(E230&lt;&gt;"",E230&lt;&gt;"!!!"),"NEW","")))</f>
        <v> </v>
      </c>
      <c r="G230" s="24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5" t="str">
        <f>IF(J230&lt;&gt;1,"",IF(I230="SBJ","CB","?"))</f>
        <v> </v>
      </c>
      <c r="I230" s="26" t="str">
        <f>IF(OR(E230="",E230="!!!",F230="NEW"),"",INDEX(B229:B$2,-1+SUMPRODUCT(MAX(ROW(E229:E$2)*(E230=E229:E$2)))))</f>
        <v> </v>
      </c>
      <c r="J230" s="26" t="str">
        <f>IF(OR(E230="",E230="!!!",F230="NEW"),"",COUNTBLANK(OFFSET(A$1,,,SUMPRODUCT(MAX(ROW(E$2:E230)*(E230=E$2:E230)))))-COUNTBLANK(OFFSET(A$1,,,SUMPRODUCT(MAX(ROW(E$1:E229)*(E2=E$1:E229))))))</f>
        <v> </v>
      </c>
      <c r="K230" s="26" t="str">
        <f>IF(OR(E230="",E230="!!!",F230="NEW"),"",INDEX(J$1:J229,SUMPRODUCT(MAX(ROW(E$1:E229)*(E230=E$1:E229)))))</f>
        <v> </v>
      </c>
      <c r="L230" s="27"/>
    </row>
    <row r="231" spans="1:12">
      <c r="A231" s="20" t="s">
        <v>400</v>
      </c>
      <c r="B231" s="21" t="s">
        <v>340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 t="s">
        <v>351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 t="s">
        <v>401</v>
      </c>
      <c r="E233" s="22">
        <f>IF(D233="?OLD","!!!","")</f>
        <v/>
      </c>
      <c r="F233" s="23" t="str">
        <f>IF(OR(E233="",E233="!!!"),"",IF(NOT(ISNA(VLOOKUP(E233,E$1:E232,1,FALSE()))),"OLD",IF(AND(E233&lt;&gt;"",E233&lt;&gt;"!!!"),"NEW","")))</f>
        <v> </v>
      </c>
      <c r="G233" s="24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5" t="str">
        <f>IF(J233&lt;&gt;1,"",IF(I233="SBJ","CB","?"))</f>
        <v> </v>
      </c>
      <c r="I233" s="26" t="str">
        <f>IF(OR(E233="",E233="!!!",F233="NEW"),"",INDEX(B232:B$2,-1+SUMPRODUCT(MAX(ROW(E232:E$2)*(E233=E232:E$2)))))</f>
        <v> </v>
      </c>
      <c r="J233" s="26" t="str">
        <f>IF(OR(E233="",E233="!!!",F233="NEW"),"",COUNTBLANK(OFFSET(A$1,,,SUMPRODUCT(MAX(ROW(E$2:E233)*(E233=E$2:E233)))))-COUNTBLANK(OFFSET(A$1,,,SUMPRODUCT(MAX(ROW(E$1:E232)*(E2=E$1:E232))))))</f>
        <v> </v>
      </c>
      <c r="K233" s="26" t="str">
        <f>IF(OR(E233="",E233="!!!",F233="NEW"),"",INDEX(J$1:J232,SUMPRODUCT(MAX(ROW(E$1:E232)*(E233=E$1:E232)))))</f>
        <v> </v>
      </c>
      <c r="L233" s="27"/>
    </row>
    <row r="234" spans="1:12">
      <c r="A234" s="20" t="s">
        <v>402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 t="s">
        <v>237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/>
    </row>
    <row r="237" spans="1:12">
      <c r="A237" s="20" t="s">
        <v>403</v>
      </c>
    </row>
    <row r="238" spans="1:12">
      <c r="A238" s="20" t="s">
        <v>404</v>
      </c>
      <c r="B238" s="21" t="s">
        <v>226</v>
      </c>
      <c r="C238" s="21" t="s">
        <v>240</v>
      </c>
      <c r="D238" s="21" t="s">
        <v>216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 t="s">
        <v>405</v>
      </c>
      <c r="B239" s="21" t="s">
        <v>242</v>
      </c>
      <c r="C239" s="21" t="s">
        <v>215</v>
      </c>
      <c r="D239" s="21" t="s">
        <v>216</v>
      </c>
      <c r="E239" s="22">
        <f>IF(D239="?OLD","!!!","")</f>
        <v/>
      </c>
      <c r="F239" s="23" t="str">
        <f>IF(OR(E239="",E239="!!!"),"",IF(NOT(ISNA(VLOOKUP(E239,E$1:E238,1,FALSE()))),"OLD",IF(AND(E239&lt;&gt;"",E239&lt;&gt;"!!!"),"NEW","")))</f>
        <v> </v>
      </c>
      <c r="G239" s="24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5" t="str">
        <f>IF(J239&lt;&gt;1,"",IF(I239="SBJ","CB","?"))</f>
        <v> </v>
      </c>
      <c r="I239" s="26" t="str">
        <f>IF(OR(E239="",E239="!!!",F239="NEW"),"",INDEX(B238:B$2,-1+SUMPRODUCT(MAX(ROW(E238:E$2)*(E239=E238:E$2)))))</f>
        <v> </v>
      </c>
      <c r="J239" s="26" t="str">
        <f>IF(OR(E239="",E239="!!!",F239="NEW"),"",COUNTBLANK(OFFSET(A$1,,,SUMPRODUCT(MAX(ROW(E$2:E239)*(E239=E$2:E239)))))-COUNTBLANK(OFFSET(A$1,,,SUMPRODUCT(MAX(ROW(E$1:E238)*(E2=E$1:E238))))))</f>
        <v> </v>
      </c>
      <c r="K239" s="26" t="str">
        <f>IF(OR(E239="",E239="!!!",F239="NEW"),"",INDEX(J$1:J238,SUMPRODUCT(MAX(ROW(E$1:E238)*(E239=E$1:E238)))))</f>
        <v> </v>
      </c>
      <c r="L239" s="27"/>
    </row>
    <row r="240" spans="1:12">
      <c r="A240" s="20" t="s">
        <v>269</v>
      </c>
      <c r="E240" s="22">
        <f>IF(D240="?OLD","!!!","")</f>
        <v/>
      </c>
      <c r="F240" s="23" t="str">
        <f>IF(OR(E240="",E240="!!!"),"",IF(NOT(ISNA(VLOOKUP(E240,E$1:E239,1,FALSE()))),"OLD",IF(AND(E240&lt;&gt;"",E240&lt;&gt;"!!!"),"NEW","")))</f>
        <v> </v>
      </c>
      <c r="G240" s="24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5" t="str">
        <f>IF(J240&lt;&gt;1,"",IF(I240="SBJ","CB","?"))</f>
        <v> </v>
      </c>
      <c r="I240" s="26" t="str">
        <f>IF(OR(E240="",E240="!!!",F240="NEW"),"",INDEX(B239:B$2,-1+SUMPRODUCT(MAX(ROW(E239:E$2)*(E240=E239:E$2)))))</f>
        <v> </v>
      </c>
      <c r="J240" s="26" t="str">
        <f>IF(OR(E240="",E240="!!!",F240="NEW"),"",COUNTBLANK(OFFSET(A$1,,,SUMPRODUCT(MAX(ROW(E$2:E240)*(E240=E$2:E240)))))-COUNTBLANK(OFFSET(A$1,,,SUMPRODUCT(MAX(ROW(E$1:E239)*(E2=E$1:E239))))))</f>
        <v> </v>
      </c>
      <c r="K240" s="26" t="str">
        <f>IF(OR(E240="",E240="!!!",F240="NEW"),"",INDEX(J$1:J239,SUMPRODUCT(MAX(ROW(E$1:E239)*(E240=E$1:E239)))))</f>
        <v> </v>
      </c>
      <c r="L240" s="27"/>
    </row>
    <row r="241" spans="1:12">
      <c r="A241" s="20" t="s">
        <v>406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 t="s">
        <v>407</v>
      </c>
      <c r="B242" s="21" t="s">
        <v>214</v>
      </c>
      <c r="C242" s="21" t="s">
        <v>287</v>
      </c>
      <c r="D242" s="21" t="s">
        <v>216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408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 t="s">
        <v>409</v>
      </c>
      <c r="E244" s="22">
        <f>IF(D244="?OLD","!!!","")</f>
        <v/>
      </c>
      <c r="F244" s="23" t="str">
        <f>IF(OR(E244="",E244="!!!"),"",IF(NOT(ISNA(VLOOKUP(E244,E$1:E243,1,FALSE()))),"OLD",IF(AND(E244&lt;&gt;"",E244&lt;&gt;"!!!"),"NEW","")))</f>
        <v> </v>
      </c>
      <c r="G244" s="24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5" t="str">
        <f>IF(J244&lt;&gt;1,"",IF(I244="SBJ","CB","?"))</f>
        <v> </v>
      </c>
      <c r="I244" s="26" t="str">
        <f>IF(OR(E244="",E244="!!!",F244="NEW"),"",INDEX(B243:B$2,-1+SUMPRODUCT(MAX(ROW(E243:E$2)*(E244=E243:E$2)))))</f>
        <v> </v>
      </c>
      <c r="J244" s="26" t="str">
        <f>IF(OR(E244="",E244="!!!",F244="NEW"),"",COUNTBLANK(OFFSET(A$1,,,SUMPRODUCT(MAX(ROW(E$2:E244)*(E244=E$2:E244)))))-COUNTBLANK(OFFSET(A$1,,,SUMPRODUCT(MAX(ROW(E$1:E243)*(E2=E$1:E243))))))</f>
        <v> </v>
      </c>
      <c r="K244" s="26" t="str">
        <f>IF(OR(E244="",E244="!!!",F244="NEW"),"",INDEX(J$1:J243,SUMPRODUCT(MAX(ROW(E$1:E243)*(E244=E$1:E243)))))</f>
        <v> </v>
      </c>
      <c r="L244" s="27"/>
    </row>
    <row r="245" spans="1:12">
      <c r="A245" s="20" t="s">
        <v>237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/>
    </row>
    <row r="247" spans="1:12">
      <c r="A247" s="20" t="s">
        <v>410</v>
      </c>
    </row>
    <row r="248" spans="1:12">
      <c r="A248" s="20" t="s">
        <v>411</v>
      </c>
      <c r="B248" s="21" t="s">
        <v>226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264</v>
      </c>
      <c r="B249" s="21" t="s">
        <v>242</v>
      </c>
      <c r="C249" s="21" t="s">
        <v>215</v>
      </c>
      <c r="D249" s="21" t="s">
        <v>216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 t="s">
        <v>412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 t="s">
        <v>413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 t="s">
        <v>414</v>
      </c>
      <c r="E252" s="22">
        <f>IF(D252="?OLD","!!!","")</f>
        <v/>
      </c>
      <c r="F252" s="23" t="str">
        <f>IF(OR(E252="",E252="!!!"),"",IF(NOT(ISNA(VLOOKUP(E252,E$1:E251,1,FALSE()))),"OLD",IF(AND(E252&lt;&gt;"",E252&lt;&gt;"!!!"),"NEW","")))</f>
        <v> </v>
      </c>
      <c r="G252" s="24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5" t="str">
        <f>IF(J252&lt;&gt;1,"",IF(I252="SBJ","CB","?"))</f>
        <v> </v>
      </c>
      <c r="I252" s="26" t="str">
        <f>IF(OR(E252="",E252="!!!",F252="NEW"),"",INDEX(B251:B$2,-1+SUMPRODUCT(MAX(ROW(E251:E$2)*(E252=E251:E$2)))))</f>
        <v> </v>
      </c>
      <c r="J252" s="26" t="str">
        <f>IF(OR(E252="",E252="!!!",F252="NEW"),"",COUNTBLANK(OFFSET(A$1,,,SUMPRODUCT(MAX(ROW(E$2:E252)*(E252=E$2:E252)))))-COUNTBLANK(OFFSET(A$1,,,SUMPRODUCT(MAX(ROW(E$1:E251)*(E2=E$1:E251))))))</f>
        <v> </v>
      </c>
      <c r="K252" s="26" t="str">
        <f>IF(OR(E252="",E252="!!!",F252="NEW"),"",INDEX(J$1:J251,SUMPRODUCT(MAX(ROW(E$1:E251)*(E252=E$1:E251)))))</f>
        <v> </v>
      </c>
      <c r="L252" s="27"/>
    </row>
    <row r="253" spans="1:12">
      <c r="A253" s="20" t="s">
        <v>230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415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416</v>
      </c>
      <c r="B255" s="21" t="s">
        <v>236</v>
      </c>
      <c r="C255" s="21" t="s">
        <v>215</v>
      </c>
      <c r="D255" s="21" t="s">
        <v>216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 t="s">
        <v>269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 t="s">
        <v>417</v>
      </c>
      <c r="B257" s="21" t="s">
        <v>242</v>
      </c>
      <c r="C257" s="21" t="s">
        <v>240</v>
      </c>
      <c r="D257" s="21" t="s">
        <v>216</v>
      </c>
      <c r="E257" s="22">
        <f>IF(D257="?OLD","!!!","")</f>
        <v/>
      </c>
      <c r="F257" s="23" t="str">
        <f>IF(OR(E257="",E257="!!!"),"",IF(NOT(ISNA(VLOOKUP(E257,E$1:E256,1,FALSE()))),"OLD",IF(AND(E257&lt;&gt;"",E257&lt;&gt;"!!!"),"NEW","")))</f>
        <v> </v>
      </c>
      <c r="G257" s="24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5" t="str">
        <f>IF(J257&lt;&gt;1,"",IF(I257="SBJ","CB","?"))</f>
        <v> </v>
      </c>
      <c r="I257" s="26" t="str">
        <f>IF(OR(E257="",E257="!!!",F257="NEW"),"",INDEX(B256:B$2,-1+SUMPRODUCT(MAX(ROW(E256:E$2)*(E257=E256:E$2)))))</f>
        <v> </v>
      </c>
      <c r="J257" s="26" t="str">
        <f>IF(OR(E257="",E257="!!!",F257="NEW"),"",COUNTBLANK(OFFSET(A$1,,,SUMPRODUCT(MAX(ROW(E$2:E257)*(E257=E$2:E257)))))-COUNTBLANK(OFFSET(A$1,,,SUMPRODUCT(MAX(ROW(E$1:E256)*(E2=E$1:E256))))))</f>
        <v> </v>
      </c>
      <c r="K257" s="26" t="str">
        <f>IF(OR(E257="",E257="!!!",F257="NEW"),"",INDEX(J$1:J256,SUMPRODUCT(MAX(ROW(E$1:E256)*(E257=E$1:E256)))))</f>
        <v> </v>
      </c>
      <c r="L257" s="27"/>
    </row>
    <row r="258" spans="1:12">
      <c r="A258" s="20" t="s">
        <v>405</v>
      </c>
      <c r="B258" s="21" t="s">
        <v>244</v>
      </c>
      <c r="C258" s="21" t="s">
        <v>215</v>
      </c>
      <c r="D258" s="21" t="s">
        <v>216</v>
      </c>
      <c r="E258" s="22">
        <f>IF(D258="?OLD","!!!","")</f>
        <v/>
      </c>
      <c r="F258" s="23" t="str">
        <f>IF(OR(E258="",E258="!!!"),"",IF(NOT(ISNA(VLOOKUP(E258,E$1:E257,1,FALSE()))),"OLD",IF(AND(E258&lt;&gt;"",E258&lt;&gt;"!!!"),"NEW","")))</f>
        <v> </v>
      </c>
      <c r="G258" s="24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5" t="str">
        <f>IF(J258&lt;&gt;1,"",IF(I258="SBJ","CB","?"))</f>
        <v> </v>
      </c>
      <c r="I258" s="26" t="str">
        <f>IF(OR(E258="",E258="!!!",F258="NEW"),"",INDEX(B257:B$2,-1+SUMPRODUCT(MAX(ROW(E257:E$2)*(E258=E257:E$2)))))</f>
        <v> </v>
      </c>
      <c r="J258" s="26" t="str">
        <f>IF(OR(E258="",E258="!!!",F258="NEW"),"",COUNTBLANK(OFFSET(A$1,,,SUMPRODUCT(MAX(ROW(E$2:E258)*(E258=E$2:E258)))))-COUNTBLANK(OFFSET(A$1,,,SUMPRODUCT(MAX(ROW(E$1:E257)*(E2=E$1:E257))))))</f>
        <v> </v>
      </c>
      <c r="K258" s="26" t="str">
        <f>IF(OR(E258="",E258="!!!",F258="NEW"),"",INDEX(J$1:J257,SUMPRODUCT(MAX(ROW(E$1:E257)*(E258=E$1:E257)))))</f>
        <v> </v>
      </c>
      <c r="L258" s="27"/>
    </row>
    <row r="259" spans="1:12">
      <c r="A259" s="20" t="s">
        <v>269</v>
      </c>
      <c r="E259" s="22">
        <f>IF(D259="?OLD","!!!","")</f>
        <v/>
      </c>
      <c r="F259" s="23" t="str">
        <f>IF(OR(E259="",E259="!!!"),"",IF(NOT(ISNA(VLOOKUP(E259,E$1:E258,1,FALSE()))),"OLD",IF(AND(E259&lt;&gt;"",E259&lt;&gt;"!!!"),"NEW","")))</f>
        <v> </v>
      </c>
      <c r="G259" s="24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5" t="str">
        <f>IF(J259&lt;&gt;1,"",IF(I259="SBJ","CB","?"))</f>
        <v> </v>
      </c>
      <c r="I259" s="26" t="str">
        <f>IF(OR(E259="",E259="!!!",F259="NEW"),"",INDEX(B258:B$2,-1+SUMPRODUCT(MAX(ROW(E258:E$2)*(E259=E258:E$2)))))</f>
        <v> </v>
      </c>
      <c r="J259" s="26" t="str">
        <f>IF(OR(E259="",E259="!!!",F259="NEW"),"",COUNTBLANK(OFFSET(A$1,,,SUMPRODUCT(MAX(ROW(E$2:E259)*(E259=E$2:E259)))))-COUNTBLANK(OFFSET(A$1,,,SUMPRODUCT(MAX(ROW(E$1:E258)*(E2=E$1:E258))))))</f>
        <v> </v>
      </c>
      <c r="K259" s="26" t="str">
        <f>IF(OR(E259="",E259="!!!",F259="NEW"),"",INDEX(J$1:J258,SUMPRODUCT(MAX(ROW(E$1:E258)*(E259=E$1:E258)))))</f>
        <v> </v>
      </c>
      <c r="L259" s="27"/>
    </row>
    <row r="260" spans="1:12">
      <c r="A260" s="20" t="s">
        <v>418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237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/>
    </row>
    <row r="263" spans="1:12">
      <c r="A263" s="20" t="s">
        <v>419</v>
      </c>
    </row>
    <row r="264" spans="1:12">
      <c r="A264" s="20" t="s">
        <v>420</v>
      </c>
      <c r="B264" s="21" t="s">
        <v>226</v>
      </c>
      <c r="E264" s="22">
        <f>IF(D264="?OLD","!!!","")</f>
        <v/>
      </c>
      <c r="F264" s="23" t="str">
        <f>IF(OR(E264="",E264="!!!"),"",IF(NOT(ISNA(VLOOKUP(E264,E$1:E263,1,FALSE()))),"OLD",IF(AND(E264&lt;&gt;"",E264&lt;&gt;"!!!"),"NEW","")))</f>
        <v> </v>
      </c>
      <c r="G264" s="24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5" t="str">
        <f>IF(J264&lt;&gt;1,"",IF(I264="SBJ","CB","?"))</f>
        <v> </v>
      </c>
      <c r="I264" s="26" t="str">
        <f>IF(OR(E264="",E264="!!!",F264="NEW"),"",INDEX(B263:B$2,-1+SUMPRODUCT(MAX(ROW(E263:E$2)*(E264=E263:E$2)))))</f>
        <v> </v>
      </c>
      <c r="J264" s="26" t="str">
        <f>IF(OR(E264="",E264="!!!",F264="NEW"),"",COUNTBLANK(OFFSET(A$1,,,SUMPRODUCT(MAX(ROW(E$2:E264)*(E264=E$2:E264)))))-COUNTBLANK(OFFSET(A$1,,,SUMPRODUCT(MAX(ROW(E$1:E263)*(E2=E$1:E263))))))</f>
        <v> </v>
      </c>
      <c r="K264" s="26" t="str">
        <f>IF(OR(E264="",E264="!!!",F264="NEW"),"",INDEX(J$1:J263,SUMPRODUCT(MAX(ROW(E$1:E263)*(E264=E$1:E263)))))</f>
        <v> </v>
      </c>
      <c r="L264" s="27"/>
    </row>
    <row r="265" spans="1:12">
      <c r="A265" s="20" t="s">
        <v>392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 t="s">
        <v>421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 t="s">
        <v>422</v>
      </c>
      <c r="E267" s="22">
        <f>IF(D267="?OLD","!!!","")</f>
        <v/>
      </c>
      <c r="F267" s="23" t="str">
        <f>IF(OR(E267="",E267="!!!"),"",IF(NOT(ISNA(VLOOKUP(E267,E$1:E266,1,FALSE()))),"OLD",IF(AND(E267&lt;&gt;"",E267&lt;&gt;"!!!"),"NEW","")))</f>
        <v> </v>
      </c>
      <c r="G267" s="24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5" t="str">
        <f>IF(J267&lt;&gt;1,"",IF(I267="SBJ","CB","?"))</f>
        <v> </v>
      </c>
      <c r="I267" s="26" t="str">
        <f>IF(OR(E267="",E267="!!!",F267="NEW"),"",INDEX(B266:B$2,-1+SUMPRODUCT(MAX(ROW(E266:E$2)*(E267=E266:E$2)))))</f>
        <v> </v>
      </c>
      <c r="J267" s="26" t="str">
        <f>IF(OR(E267="",E267="!!!",F267="NEW"),"",COUNTBLANK(OFFSET(A$1,,,SUMPRODUCT(MAX(ROW(E$2:E267)*(E267=E$2:E267)))))-COUNTBLANK(OFFSET(A$1,,,SUMPRODUCT(MAX(ROW(E$1:E266)*(E2=E$1:E266))))))</f>
        <v> </v>
      </c>
      <c r="K267" s="26" t="str">
        <f>IF(OR(E267="",E267="!!!",F267="NEW"),"",INDEX(J$1:J266,SUMPRODUCT(MAX(ROW(E$1:E266)*(E267=E$1:E266)))))</f>
        <v> </v>
      </c>
      <c r="L267" s="27"/>
    </row>
    <row r="268" spans="1:12">
      <c r="A268" s="20" t="s">
        <v>230</v>
      </c>
      <c r="E268" s="22">
        <f>IF(D268="?OLD","!!!","")</f>
        <v/>
      </c>
      <c r="F268" s="23" t="str">
        <f>IF(OR(E268="",E268="!!!"),"",IF(NOT(ISNA(VLOOKUP(E268,E$1:E267,1,FALSE()))),"OLD",IF(AND(E268&lt;&gt;"",E268&lt;&gt;"!!!"),"NEW","")))</f>
        <v> </v>
      </c>
      <c r="G268" s="24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5" t="str">
        <f>IF(J268&lt;&gt;1,"",IF(I268="SBJ","CB","?"))</f>
        <v> </v>
      </c>
      <c r="I268" s="26" t="str">
        <f>IF(OR(E268="",E268="!!!",F268="NEW"),"",INDEX(B267:B$2,-1+SUMPRODUCT(MAX(ROW(E267:E$2)*(E268=E267:E$2)))))</f>
        <v> </v>
      </c>
      <c r="J268" s="26" t="str">
        <f>IF(OR(E268="",E268="!!!",F268="NEW"),"",COUNTBLANK(OFFSET(A$1,,,SUMPRODUCT(MAX(ROW(E$2:E268)*(E268=E$2:E268)))))-COUNTBLANK(OFFSET(A$1,,,SUMPRODUCT(MAX(ROW(E$1:E267)*(E2=E$1:E267))))))</f>
        <v> </v>
      </c>
      <c r="K268" s="26" t="str">
        <f>IF(OR(E268="",E268="!!!",F268="NEW"),"",INDEX(J$1:J267,SUMPRODUCT(MAX(ROW(E$1:E267)*(E268=E$1:E267)))))</f>
        <v> </v>
      </c>
      <c r="L268" s="27"/>
    </row>
    <row r="269" spans="1:12">
      <c r="A269" s="20" t="s">
        <v>423</v>
      </c>
      <c r="E269" s="22">
        <f>IF(D269="?OLD","!!!","")</f>
        <v/>
      </c>
      <c r="F269" s="23" t="str">
        <f>IF(OR(E269="",E269="!!!"),"",IF(NOT(ISNA(VLOOKUP(E269,E$1:E268,1,FALSE()))),"OLD",IF(AND(E269&lt;&gt;"",E269&lt;&gt;"!!!"),"NEW","")))</f>
        <v> </v>
      </c>
      <c r="G269" s="24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5" t="str">
        <f>IF(J269&lt;&gt;1,"",IF(I269="SBJ","CB","?"))</f>
        <v> </v>
      </c>
      <c r="I269" s="26" t="str">
        <f>IF(OR(E269="",E269="!!!",F269="NEW"),"",INDEX(B268:B$2,-1+SUMPRODUCT(MAX(ROW(E268:E$2)*(E269=E268:E$2)))))</f>
        <v> </v>
      </c>
      <c r="J269" s="26" t="str">
        <f>IF(OR(E269="",E269="!!!",F269="NEW"),"",COUNTBLANK(OFFSET(A$1,,,SUMPRODUCT(MAX(ROW(E$2:E269)*(E269=E$2:E269)))))-COUNTBLANK(OFFSET(A$1,,,SUMPRODUCT(MAX(ROW(E$1:E268)*(E2=E$1:E268))))))</f>
        <v> </v>
      </c>
      <c r="K269" s="26" t="str">
        <f>IF(OR(E269="",E269="!!!",F269="NEW"),"",INDEX(J$1:J268,SUMPRODUCT(MAX(ROW(E$1:E268)*(E269=E$1:E268)))))</f>
        <v> </v>
      </c>
      <c r="L269" s="27"/>
    </row>
    <row r="270" spans="1:12">
      <c r="A270" s="20" t="s">
        <v>383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 t="s">
        <v>424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 t="s">
        <v>425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 t="s">
        <v>237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/>
    </row>
    <row r="275" spans="1:12">
      <c r="A275" s="20" t="s">
        <v>426</v>
      </c>
    </row>
    <row r="276" spans="1:12">
      <c r="A276" s="20" t="s">
        <v>427</v>
      </c>
      <c r="B276" s="21" t="s">
        <v>226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428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429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430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 t="s">
        <v>431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 t="s">
        <v>230</v>
      </c>
      <c r="E281" s="22">
        <f>IF(D281="?OLD","!!!","")</f>
        <v/>
      </c>
      <c r="F281" s="23" t="str">
        <f>IF(OR(E281="",E281="!!!"),"",IF(NOT(ISNA(VLOOKUP(E281,E$1:E280,1,FALSE()))),"OLD",IF(AND(E281&lt;&gt;"",E281&lt;&gt;"!!!"),"NEW","")))</f>
        <v> </v>
      </c>
      <c r="G281" s="24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5" t="str">
        <f>IF(J281&lt;&gt;1,"",IF(I281="SBJ","CB","?"))</f>
        <v> </v>
      </c>
      <c r="I281" s="26" t="str">
        <f>IF(OR(E281="",E281="!!!",F281="NEW"),"",INDEX(B280:B$2,-1+SUMPRODUCT(MAX(ROW(E280:E$2)*(E281=E280:E$2)))))</f>
        <v> </v>
      </c>
      <c r="J281" s="26" t="str">
        <f>IF(OR(E281="",E281="!!!",F281="NEW"),"",COUNTBLANK(OFFSET(A$1,,,SUMPRODUCT(MAX(ROW(E$2:E281)*(E281=E$2:E281)))))-COUNTBLANK(OFFSET(A$1,,,SUMPRODUCT(MAX(ROW(E$1:E280)*(E2=E$1:E280))))))</f>
        <v> </v>
      </c>
      <c r="K281" s="26" t="str">
        <f>IF(OR(E281="",E281="!!!",F281="NEW"),"",INDEX(J$1:J280,SUMPRODUCT(MAX(ROW(E$1:E280)*(E281=E$1:E280)))))</f>
        <v> </v>
      </c>
      <c r="L281" s="27"/>
    </row>
    <row r="282" spans="1:12">
      <c r="A282" s="20" t="s">
        <v>432</v>
      </c>
      <c r="E282" s="22">
        <f>IF(D282="?OLD","!!!","")</f>
        <v/>
      </c>
      <c r="F282" s="23" t="str">
        <f>IF(OR(E282="",E282="!!!"),"",IF(NOT(ISNA(VLOOKUP(E282,E$1:E281,1,FALSE()))),"OLD",IF(AND(E282&lt;&gt;"",E282&lt;&gt;"!!!"),"NEW","")))</f>
        <v> </v>
      </c>
      <c r="G282" s="24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5" t="str">
        <f>IF(J282&lt;&gt;1,"",IF(I282="SBJ","CB","?"))</f>
        <v> </v>
      </c>
      <c r="I282" s="26" t="str">
        <f>IF(OR(E282="",E282="!!!",F282="NEW"),"",INDEX(B281:B$2,-1+SUMPRODUCT(MAX(ROW(E281:E$2)*(E282=E281:E$2)))))</f>
        <v> </v>
      </c>
      <c r="J282" s="26" t="str">
        <f>IF(OR(E282="",E282="!!!",F282="NEW"),"",COUNTBLANK(OFFSET(A$1,,,SUMPRODUCT(MAX(ROW(E$2:E282)*(E282=E$2:E282)))))-COUNTBLANK(OFFSET(A$1,,,SUMPRODUCT(MAX(ROW(E$1:E281)*(E2=E$1:E281))))))</f>
        <v> </v>
      </c>
      <c r="K282" s="26" t="str">
        <f>IF(OR(E282="",E282="!!!",F282="NEW"),"",INDEX(J$1:J281,SUMPRODUCT(MAX(ROW(E$1:E281)*(E282=E$1:E281)))))</f>
        <v> </v>
      </c>
      <c r="L282" s="27"/>
    </row>
    <row r="283" spans="1:12">
      <c r="A283" s="20" t="s">
        <v>433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 t="s">
        <v>237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/>
    </row>
    <row r="286" spans="1:12">
      <c r="A286" s="20" t="s">
        <v>434</v>
      </c>
    </row>
    <row r="287" spans="1:12">
      <c r="A287" s="20" t="s">
        <v>435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 t="s">
        <v>436</v>
      </c>
      <c r="E288" s="22">
        <f>IF(D288="?OLD","!!!","")</f>
        <v/>
      </c>
      <c r="F288" s="23" t="str">
        <f>IF(OR(E288="",E288="!!!"),"",IF(NOT(ISNA(VLOOKUP(E288,E$1:E287,1,FALSE()))),"OLD",IF(AND(E288&lt;&gt;"",E288&lt;&gt;"!!!"),"NEW","")))</f>
        <v> </v>
      </c>
      <c r="G288" s="24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5" t="str">
        <f>IF(J288&lt;&gt;1,"",IF(I288="SBJ","CB","?"))</f>
        <v> </v>
      </c>
      <c r="I288" s="26" t="str">
        <f>IF(OR(E288="",E288="!!!",F288="NEW"),"",INDEX(B287:B$2,-1+SUMPRODUCT(MAX(ROW(E287:E$2)*(E288=E287:E$2)))))</f>
        <v> </v>
      </c>
      <c r="J288" s="26" t="str">
        <f>IF(OR(E288="",E288="!!!",F288="NEW"),"",COUNTBLANK(OFFSET(A$1,,,SUMPRODUCT(MAX(ROW(E$2:E288)*(E288=E$2:E288)))))-COUNTBLANK(OFFSET(A$1,,,SUMPRODUCT(MAX(ROW(E$1:E287)*(E2=E$1:E287))))))</f>
        <v> </v>
      </c>
      <c r="K288" s="26" t="str">
        <f>IF(OR(E288="",E288="!!!",F288="NEW"),"",INDEX(J$1:J287,SUMPRODUCT(MAX(ROW(E$1:E287)*(E288=E$1:E287)))))</f>
        <v> </v>
      </c>
      <c r="L288" s="27"/>
    </row>
    <row r="289" spans="1:12">
      <c r="A289" s="20" t="s">
        <v>437</v>
      </c>
      <c r="B289" s="21" t="s">
        <v>226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 t="s">
        <v>343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438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346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439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 t="s">
        <v>237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/>
    </row>
    <row r="296" spans="1:12">
      <c r="A296" s="20" t="s">
        <v>440</v>
      </c>
    </row>
    <row r="297" spans="1:12">
      <c r="A297" s="20" t="s">
        <v>358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 t="s">
        <v>441</v>
      </c>
      <c r="E298" s="22">
        <f>IF(D298="?OLD","!!!","")</f>
        <v/>
      </c>
      <c r="F298" s="23" t="str">
        <f>IF(OR(E298="",E298="!!!"),"",IF(NOT(ISNA(VLOOKUP(E298,E$1:E297,1,FALSE()))),"OLD",IF(AND(E298&lt;&gt;"",E298&lt;&gt;"!!!"),"NEW","")))</f>
        <v> </v>
      </c>
      <c r="G298" s="24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5" t="str">
        <f>IF(J298&lt;&gt;1,"",IF(I298="SBJ","CB","?"))</f>
        <v> </v>
      </c>
      <c r="I298" s="26" t="str">
        <f>IF(OR(E298="",E298="!!!",F298="NEW"),"",INDEX(B297:B$2,-1+SUMPRODUCT(MAX(ROW(E297:E$2)*(E298=E297:E$2)))))</f>
        <v> </v>
      </c>
      <c r="J298" s="26" t="str">
        <f>IF(OR(E298="",E298="!!!",F298="NEW"),"",COUNTBLANK(OFFSET(A$1,,,SUMPRODUCT(MAX(ROW(E$2:E298)*(E298=E$2:E298)))))-COUNTBLANK(OFFSET(A$1,,,SUMPRODUCT(MAX(ROW(E$1:E297)*(E2=E$1:E297))))))</f>
        <v> </v>
      </c>
      <c r="K298" s="26" t="str">
        <f>IF(OR(E298="",E298="!!!",F298="NEW"),"",INDEX(J$1:J297,SUMPRODUCT(MAX(ROW(E$1:E297)*(E298=E$1:E297)))))</f>
        <v> </v>
      </c>
      <c r="L298" s="27"/>
    </row>
    <row r="299" spans="1:12">
      <c r="A299" s="20" t="s">
        <v>442</v>
      </c>
      <c r="E299" s="22">
        <f>IF(D299="?OLD","!!!","")</f>
        <v/>
      </c>
      <c r="F299" s="23" t="str">
        <f>IF(OR(E299="",E299="!!!"),"",IF(NOT(ISNA(VLOOKUP(E299,E$1:E298,1,FALSE()))),"OLD",IF(AND(E299&lt;&gt;"",E299&lt;&gt;"!!!"),"NEW","")))</f>
        <v> </v>
      </c>
      <c r="G299" s="24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5" t="str">
        <f>IF(J299&lt;&gt;1,"",IF(I299="SBJ","CB","?"))</f>
        <v> </v>
      </c>
      <c r="I299" s="26" t="str">
        <f>IF(OR(E299="",E299="!!!",F299="NEW"),"",INDEX(B298:B$2,-1+SUMPRODUCT(MAX(ROW(E298:E$2)*(E299=E298:E$2)))))</f>
        <v> </v>
      </c>
      <c r="J299" s="26" t="str">
        <f>IF(OR(E299="",E299="!!!",F299="NEW"),"",COUNTBLANK(OFFSET(A$1,,,SUMPRODUCT(MAX(ROW(E$2:E299)*(E299=E$2:E299)))))-COUNTBLANK(OFFSET(A$1,,,SUMPRODUCT(MAX(ROW(E$1:E298)*(E2=E$1:E298))))))</f>
        <v> </v>
      </c>
      <c r="K299" s="26" t="str">
        <f>IF(OR(E299="",E299="!!!",F299="NEW"),"",INDEX(J$1:J298,SUMPRODUCT(MAX(ROW(E$1:E298)*(E299=E$1:E298)))))</f>
        <v> </v>
      </c>
      <c r="L299" s="27"/>
    </row>
    <row r="300" spans="1:12">
      <c r="A300" s="20" t="s">
        <v>443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444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 t="s">
        <v>445</v>
      </c>
      <c r="B302" s="21" t="s">
        <v>226</v>
      </c>
      <c r="E302" s="22">
        <f>IF(D302="?OLD","!!!","")</f>
        <v/>
      </c>
      <c r="F302" s="23" t="str">
        <f>IF(OR(E302="",E302="!!!"),"",IF(NOT(ISNA(VLOOKUP(E302,E$1:E301,1,FALSE()))),"OLD",IF(AND(E302&lt;&gt;"",E302&lt;&gt;"!!!"),"NEW","")))</f>
        <v> </v>
      </c>
      <c r="G302" s="24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5" t="str">
        <f>IF(J302&lt;&gt;1,"",IF(I302="SBJ","CB","?"))</f>
        <v> </v>
      </c>
      <c r="I302" s="26" t="str">
        <f>IF(OR(E302="",E302="!!!",F302="NEW"),"",INDEX(B301:B$2,-1+SUMPRODUCT(MAX(ROW(E301:E$2)*(E302=E301:E$2)))))</f>
        <v> </v>
      </c>
      <c r="J302" s="26" t="str">
        <f>IF(OR(E302="",E302="!!!",F302="NEW"),"",COUNTBLANK(OFFSET(A$1,,,SUMPRODUCT(MAX(ROW(E$2:E302)*(E302=E$2:E302)))))-COUNTBLANK(OFFSET(A$1,,,SUMPRODUCT(MAX(ROW(E$1:E301)*(E2=E$1:E301))))))</f>
        <v> </v>
      </c>
      <c r="K302" s="26" t="str">
        <f>IF(OR(E302="",E302="!!!",F302="NEW"),"",INDEX(J$1:J301,SUMPRODUCT(MAX(ROW(E$1:E301)*(E302=E$1:E301)))))</f>
        <v> </v>
      </c>
      <c r="L302" s="27"/>
    </row>
    <row r="303" spans="1:12">
      <c r="A303" s="20" t="s">
        <v>446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 t="s">
        <v>447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230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448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449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 t="s">
        <v>351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 t="s">
        <v>416</v>
      </c>
      <c r="B309" s="21" t="s">
        <v>244</v>
      </c>
      <c r="C309" s="21" t="s">
        <v>215</v>
      </c>
      <c r="D309" s="21" t="s">
        <v>216</v>
      </c>
      <c r="E309" s="22">
        <f>IF(D309="?OLD","!!!","")</f>
        <v/>
      </c>
      <c r="F309" s="23" t="str">
        <f>IF(OR(E309="",E309="!!!"),"",IF(NOT(ISNA(VLOOKUP(E309,E$1:E308,1,FALSE()))),"OLD",IF(AND(E309&lt;&gt;"",E309&lt;&gt;"!!!"),"NEW","")))</f>
        <v> </v>
      </c>
      <c r="G309" s="24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5" t="str">
        <f>IF(J309&lt;&gt;1,"",IF(I309="SBJ","CB","?"))</f>
        <v> </v>
      </c>
      <c r="I309" s="26" t="str">
        <f>IF(OR(E309="",E309="!!!",F309="NEW"),"",INDEX(B308:B$2,-1+SUMPRODUCT(MAX(ROW(E308:E$2)*(E309=E308:E$2)))))</f>
        <v> </v>
      </c>
      <c r="J309" s="26" t="str">
        <f>IF(OR(E309="",E309="!!!",F309="NEW"),"",COUNTBLANK(OFFSET(A$1,,,SUMPRODUCT(MAX(ROW(E$2:E309)*(E309=E$2:E309)))))-COUNTBLANK(OFFSET(A$1,,,SUMPRODUCT(MAX(ROW(E$1:E308)*(E2=E$1:E308))))))</f>
        <v> </v>
      </c>
      <c r="K309" s="26" t="str">
        <f>IF(OR(E309="",E309="!!!",F309="NEW"),"",INDEX(J$1:J308,SUMPRODUCT(MAX(ROW(E$1:E308)*(E309=E$1:E308)))))</f>
        <v> </v>
      </c>
      <c r="L309" s="27"/>
    </row>
    <row r="310" spans="1:12">
      <c r="A310" s="20" t="s">
        <v>237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/>
    </row>
    <row r="312" spans="1:12">
      <c r="A312" s="20" t="s">
        <v>450</v>
      </c>
    </row>
    <row r="313" spans="1:12">
      <c r="A313" s="20" t="s">
        <v>451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 t="s">
        <v>452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230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 t="s">
        <v>281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 t="s">
        <v>453</v>
      </c>
      <c r="B317" s="21" t="s">
        <v>254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 t="s">
        <v>454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 t="s">
        <v>455</v>
      </c>
      <c r="E319" s="22">
        <f>IF(D319="?OLD","!!!","")</f>
        <v/>
      </c>
      <c r="F319" s="23" t="str">
        <f>IF(OR(E319="",E319="!!!"),"",IF(NOT(ISNA(VLOOKUP(E319,E$1:E318,1,FALSE()))),"OLD",IF(AND(E319&lt;&gt;"",E319&lt;&gt;"!!!"),"NEW","")))</f>
        <v> </v>
      </c>
      <c r="G319" s="24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5" t="str">
        <f>IF(J319&lt;&gt;1,"",IF(I319="SBJ","CB","?"))</f>
        <v> </v>
      </c>
      <c r="I319" s="26" t="str">
        <f>IF(OR(E319="",E319="!!!",F319="NEW"),"",INDEX(B318:B$2,-1+SUMPRODUCT(MAX(ROW(E318:E$2)*(E319=E318:E$2)))))</f>
        <v> </v>
      </c>
      <c r="J319" s="26" t="str">
        <f>IF(OR(E319="",E319="!!!",F319="NEW"),"",COUNTBLANK(OFFSET(A$1,,,SUMPRODUCT(MAX(ROW(E$2:E319)*(E319=E$2:E319)))))-COUNTBLANK(OFFSET(A$1,,,SUMPRODUCT(MAX(ROW(E$1:E318)*(E2=E$1:E318))))))</f>
        <v> </v>
      </c>
      <c r="K319" s="26" t="str">
        <f>IF(OR(E319="",E319="!!!",F319="NEW"),"",INDEX(J$1:J318,SUMPRODUCT(MAX(ROW(E$1:E318)*(E319=E$1:E318)))))</f>
        <v> </v>
      </c>
      <c r="L319" s="27"/>
    </row>
    <row r="320" spans="1:12">
      <c r="A320" s="20" t="s">
        <v>456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 t="s">
        <v>246</v>
      </c>
      <c r="E321" s="22">
        <f>IF(D321="?OLD","!!!","")</f>
        <v/>
      </c>
      <c r="F321" s="23" t="str">
        <f>IF(OR(E321="",E321="!!!"),"",IF(NOT(ISNA(VLOOKUP(E321,E$1:E320,1,FALSE()))),"OLD",IF(AND(E321&lt;&gt;"",E321&lt;&gt;"!!!"),"NEW","")))</f>
        <v> </v>
      </c>
      <c r="G321" s="24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5" t="str">
        <f>IF(J321&lt;&gt;1,"",IF(I321="SBJ","CB","?"))</f>
        <v> </v>
      </c>
      <c r="I321" s="26" t="str">
        <f>IF(OR(E321="",E321="!!!",F321="NEW"),"",INDEX(B320:B$2,-1+SUMPRODUCT(MAX(ROW(E320:E$2)*(E321=E320:E$2)))))</f>
        <v> </v>
      </c>
      <c r="J321" s="26" t="str">
        <f>IF(OR(E321="",E321="!!!",F321="NEW"),"",COUNTBLANK(OFFSET(A$1,,,SUMPRODUCT(MAX(ROW(E$2:E321)*(E321=E$2:E321)))))-COUNTBLANK(OFFSET(A$1,,,SUMPRODUCT(MAX(ROW(E$1:E320)*(E2=E$1:E320))))))</f>
        <v> </v>
      </c>
      <c r="K321" s="26" t="str">
        <f>IF(OR(E321="",E321="!!!",F321="NEW"),"",INDEX(J$1:J320,SUMPRODUCT(MAX(ROW(E$1:E320)*(E321=E$1:E320)))))</f>
        <v> </v>
      </c>
      <c r="L321" s="27"/>
    </row>
    <row r="322" spans="1:12">
      <c r="A322" s="20" t="s">
        <v>457</v>
      </c>
      <c r="B322" s="21" t="s">
        <v>244</v>
      </c>
      <c r="C322" s="21" t="s">
        <v>277</v>
      </c>
      <c r="D322" s="21" t="s">
        <v>216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 t="s">
        <v>237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/>
    </row>
    <row r="325" spans="1:12">
      <c r="A325" s="20" t="s">
        <v>458</v>
      </c>
    </row>
    <row r="326" spans="1:12">
      <c r="A326" s="20" t="s">
        <v>459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460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461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462</v>
      </c>
      <c r="B329" s="21" t="s">
        <v>226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383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463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464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 t="s">
        <v>465</v>
      </c>
      <c r="E333" s="22">
        <f>IF(D333="?OLD","!!!","")</f>
        <v/>
      </c>
      <c r="F333" s="23" t="str">
        <f>IF(OR(E333="",E333="!!!"),"",IF(NOT(ISNA(VLOOKUP(E333,E$1:E332,1,FALSE()))),"OLD",IF(AND(E333&lt;&gt;"",E333&lt;&gt;"!!!"),"NEW","")))</f>
        <v> </v>
      </c>
      <c r="G333" s="24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5" t="str">
        <f>IF(J333&lt;&gt;1,"",IF(I333="SBJ","CB","?"))</f>
        <v> </v>
      </c>
      <c r="I333" s="26" t="str">
        <f>IF(OR(E333="",E333="!!!",F333="NEW"),"",INDEX(B332:B$2,-1+SUMPRODUCT(MAX(ROW(E332:E$2)*(E333=E332:E$2)))))</f>
        <v> </v>
      </c>
      <c r="J333" s="26" t="str">
        <f>IF(OR(E333="",E333="!!!",F333="NEW"),"",COUNTBLANK(OFFSET(A$1,,,SUMPRODUCT(MAX(ROW(E$2:E333)*(E333=E$2:E333)))))-COUNTBLANK(OFFSET(A$1,,,SUMPRODUCT(MAX(ROW(E$1:E332)*(E2=E$1:E332))))))</f>
        <v> </v>
      </c>
      <c r="K333" s="26" t="str">
        <f>IF(OR(E333="",E333="!!!",F333="NEW"),"",INDEX(J$1:J332,SUMPRODUCT(MAX(ROW(E$1:E332)*(E333=E$1:E332)))))</f>
        <v> </v>
      </c>
      <c r="L333" s="27"/>
    </row>
    <row r="334" spans="1:12">
      <c r="A334" s="20" t="s">
        <v>230</v>
      </c>
      <c r="E334" s="22">
        <f>IF(D334="?OLD","!!!","")</f>
        <v/>
      </c>
      <c r="F334" s="23" t="str">
        <f>IF(OR(E334="",E334="!!!"),"",IF(NOT(ISNA(VLOOKUP(E334,E$1:E333,1,FALSE()))),"OLD",IF(AND(E334&lt;&gt;"",E334&lt;&gt;"!!!"),"NEW","")))</f>
        <v> </v>
      </c>
      <c r="G334" s="24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5" t="str">
        <f>IF(J334&lt;&gt;1,"",IF(I334="SBJ","CB","?"))</f>
        <v> </v>
      </c>
      <c r="I334" s="26" t="str">
        <f>IF(OR(E334="",E334="!!!",F334="NEW"),"",INDEX(B333:B$2,-1+SUMPRODUCT(MAX(ROW(E333:E$2)*(E334=E333:E$2)))))</f>
        <v> </v>
      </c>
      <c r="J334" s="26" t="str">
        <f>IF(OR(E334="",E334="!!!",F334="NEW"),"",COUNTBLANK(OFFSET(A$1,,,SUMPRODUCT(MAX(ROW(E$2:E334)*(E334=E$2:E334)))))-COUNTBLANK(OFFSET(A$1,,,SUMPRODUCT(MAX(ROW(E$1:E333)*(E2=E$1:E333))))))</f>
        <v> </v>
      </c>
      <c r="K334" s="26" t="str">
        <f>IF(OR(E334="",E334="!!!",F334="NEW"),"",INDEX(J$1:J333,SUMPRODUCT(MAX(ROW(E$1:E333)*(E334=E$1:E333)))))</f>
        <v> </v>
      </c>
      <c r="L334" s="27"/>
    </row>
    <row r="335" spans="1:12">
      <c r="A335" s="20" t="s">
        <v>281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466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467</v>
      </c>
      <c r="B337" s="21" t="s">
        <v>232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295</v>
      </c>
      <c r="B338" s="21" t="s">
        <v>244</v>
      </c>
      <c r="C338" s="21" t="s">
        <v>240</v>
      </c>
      <c r="D338" s="21" t="s">
        <v>216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365</v>
      </c>
      <c r="B339" s="21" t="s">
        <v>274</v>
      </c>
      <c r="C339" s="21" t="s">
        <v>215</v>
      </c>
      <c r="D339" s="21" t="s">
        <v>216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 t="s">
        <v>468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 t="s">
        <v>351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469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 t="s">
        <v>470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 t="s">
        <v>471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472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 t="s">
        <v>473</v>
      </c>
      <c r="B346" s="21" t="s">
        <v>242</v>
      </c>
      <c r="C346" s="21" t="s">
        <v>240</v>
      </c>
      <c r="D346" s="21" t="s">
        <v>216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 t="s">
        <v>474</v>
      </c>
      <c r="B347" s="21" t="s">
        <v>244</v>
      </c>
      <c r="C347" s="21" t="s">
        <v>215</v>
      </c>
      <c r="D347" s="21" t="s">
        <v>216</v>
      </c>
      <c r="E347" s="22">
        <f>IF(D347="?OLD","!!!","")</f>
        <v/>
      </c>
      <c r="F347" s="23" t="str">
        <f>IF(OR(E347="",E347="!!!"),"",IF(NOT(ISNA(VLOOKUP(E347,E$1:E346,1,FALSE()))),"OLD",IF(AND(E347&lt;&gt;"",E347&lt;&gt;"!!!"),"NEW","")))</f>
        <v> </v>
      </c>
      <c r="G347" s="24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5" t="str">
        <f>IF(J347&lt;&gt;1,"",IF(I347="SBJ","CB","?"))</f>
        <v> </v>
      </c>
      <c r="I347" s="26" t="str">
        <f>IF(OR(E347="",E347="!!!",F347="NEW"),"",INDEX(B346:B$2,-1+SUMPRODUCT(MAX(ROW(E346:E$2)*(E347=E346:E$2)))))</f>
        <v> </v>
      </c>
      <c r="J347" s="26" t="str">
        <f>IF(OR(E347="",E347="!!!",F347="NEW"),"",COUNTBLANK(OFFSET(A$1,,,SUMPRODUCT(MAX(ROW(E$2:E347)*(E347=E$2:E347)))))-COUNTBLANK(OFFSET(A$1,,,SUMPRODUCT(MAX(ROW(E$1:E346)*(E2=E$1:E346))))))</f>
        <v> </v>
      </c>
      <c r="K347" s="26" t="str">
        <f>IF(OR(E347="",E347="!!!",F347="NEW"),"",INDEX(J$1:J346,SUMPRODUCT(MAX(ROW(E$1:E346)*(E347=E$1:E346)))))</f>
        <v> </v>
      </c>
      <c r="L347" s="27"/>
    </row>
    <row r="348" spans="1:12">
      <c r="A348" s="20" t="s">
        <v>230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 t="s">
        <v>475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476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477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478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 t="s">
        <v>479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 t="s">
        <v>237</v>
      </c>
      <c r="E354" s="22">
        <f>IF(D354="?OLD","!!!","")</f>
        <v/>
      </c>
      <c r="F354" s="23" t="str">
        <f>IF(OR(E354="",E354="!!!"),"",IF(NOT(ISNA(VLOOKUP(E354,E$1:E353,1,FALSE()))),"OLD",IF(AND(E354&lt;&gt;"",E354&lt;&gt;"!!!"),"NEW","")))</f>
        <v> </v>
      </c>
      <c r="G354" s="24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5" t="str">
        <f>IF(J354&lt;&gt;1,"",IF(I354="SBJ","CB","?"))</f>
        <v> </v>
      </c>
      <c r="I354" s="26" t="str">
        <f>IF(OR(E354="",E354="!!!",F354="NEW"),"",INDEX(B353:B$2,-1+SUMPRODUCT(MAX(ROW(E353:E$2)*(E354=E353:E$2)))))</f>
        <v> </v>
      </c>
      <c r="J354" s="26" t="str">
        <f>IF(OR(E354="",E354="!!!",F354="NEW"),"",COUNTBLANK(OFFSET(A$1,,,SUMPRODUCT(MAX(ROW(E$2:E354)*(E354=E$2:E354)))))-COUNTBLANK(OFFSET(A$1,,,SUMPRODUCT(MAX(ROW(E$1:E353)*(E2=E$1:E353))))))</f>
        <v> </v>
      </c>
      <c r="K354" s="26" t="str">
        <f>IF(OR(E354="",E354="!!!",F354="NEW"),"",INDEX(J$1:J353,SUMPRODUCT(MAX(ROW(E$1:E353)*(E354=E$1:E353)))))</f>
        <v> </v>
      </c>
      <c r="L354" s="27"/>
    </row>
    <row r="355" spans="1:12">
      <c r="A355" s="20"/>
    </row>
    <row r="356" spans="1:12">
      <c r="A356" s="20" t="s">
        <v>480</v>
      </c>
    </row>
    <row r="357" spans="1:12">
      <c r="A357" s="20" t="s">
        <v>342</v>
      </c>
      <c r="B357" s="21" t="s">
        <v>226</v>
      </c>
      <c r="C357" s="21" t="s">
        <v>277</v>
      </c>
      <c r="D357" s="21" t="s">
        <v>216</v>
      </c>
      <c r="E357" s="22">
        <f>IF(D357="?OLD","!!!","")</f>
        <v/>
      </c>
      <c r="F357" s="23" t="str">
        <f>IF(OR(E357="",E357="!!!"),"",IF(NOT(ISNA(VLOOKUP(E357,E$1:E356,1,FALSE()))),"OLD",IF(AND(E357&lt;&gt;"",E357&lt;&gt;"!!!"),"NEW","")))</f>
        <v> </v>
      </c>
      <c r="G357" s="24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5" t="str">
        <f>IF(J357&lt;&gt;1,"",IF(I357="SBJ","CB","?"))</f>
        <v> </v>
      </c>
      <c r="I357" s="26" t="str">
        <f>IF(OR(E357="",E357="!!!",F357="NEW"),"",INDEX(B356:B$2,-1+SUMPRODUCT(MAX(ROW(E356:E$2)*(E357=E356:E$2)))))</f>
        <v> </v>
      </c>
      <c r="J357" s="26" t="str">
        <f>IF(OR(E357="",E357="!!!",F357="NEW"),"",COUNTBLANK(OFFSET(A$1,,,SUMPRODUCT(MAX(ROW(E$2:E357)*(E357=E$2:E357)))))-COUNTBLANK(OFFSET(A$1,,,SUMPRODUCT(MAX(ROW(E$1:E356)*(E2=E$1:E356))))))</f>
        <v> </v>
      </c>
      <c r="K357" s="26" t="str">
        <f>IF(OR(E357="",E357="!!!",F357="NEW"),"",INDEX(J$1:J356,SUMPRODUCT(MAX(ROW(E$1:E356)*(E357=E$1:E356)))))</f>
        <v> </v>
      </c>
      <c r="L357" s="27"/>
    </row>
    <row r="358" spans="1:12">
      <c r="A358" s="20" t="s">
        <v>481</v>
      </c>
      <c r="E358" s="22">
        <f>IF(D358="?OLD","!!!","")</f>
        <v/>
      </c>
      <c r="F358" s="23" t="str">
        <f>IF(OR(E358="",E358="!!!"),"",IF(NOT(ISNA(VLOOKUP(E358,E$1:E357,1,FALSE()))),"OLD",IF(AND(E358&lt;&gt;"",E358&lt;&gt;"!!!"),"NEW","")))</f>
        <v> </v>
      </c>
      <c r="G358" s="24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5" t="str">
        <f>IF(J358&lt;&gt;1,"",IF(I358="SBJ","CB","?"))</f>
        <v> </v>
      </c>
      <c r="I358" s="26" t="str">
        <f>IF(OR(E358="",E358="!!!",F358="NEW"),"",INDEX(B357:B$2,-1+SUMPRODUCT(MAX(ROW(E357:E$2)*(E358=E357:E$2)))))</f>
        <v> </v>
      </c>
      <c r="J358" s="26" t="str">
        <f>IF(OR(E358="",E358="!!!",F358="NEW"),"",COUNTBLANK(OFFSET(A$1,,,SUMPRODUCT(MAX(ROW(E$2:E358)*(E358=E$2:E358)))))-COUNTBLANK(OFFSET(A$1,,,SUMPRODUCT(MAX(ROW(E$1:E357)*(E2=E$1:E357))))))</f>
        <v> </v>
      </c>
      <c r="K358" s="26" t="str">
        <f>IF(OR(E358="",E358="!!!",F358="NEW"),"",INDEX(J$1:J357,SUMPRODUCT(MAX(ROW(E$1:E357)*(E358=E$1:E357)))))</f>
        <v> </v>
      </c>
      <c r="L358" s="27"/>
    </row>
    <row r="359" spans="1:12">
      <c r="A359" s="20" t="s">
        <v>482</v>
      </c>
      <c r="B359" s="21" t="s">
        <v>340</v>
      </c>
      <c r="C359" s="21" t="s">
        <v>227</v>
      </c>
      <c r="D359" s="21" t="s">
        <v>216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483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237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/>
    </row>
    <row r="363" spans="1:12">
      <c r="A363" s="20" t="s">
        <v>484</v>
      </c>
    </row>
    <row r="364" spans="1:12">
      <c r="A364" s="20" t="s">
        <v>261</v>
      </c>
      <c r="E364" s="22">
        <f>IF(D364="?OLD","!!!","")</f>
        <v/>
      </c>
      <c r="F364" s="23" t="str">
        <f>IF(OR(E364="",E364="!!!"),"",IF(NOT(ISNA(VLOOKUP(E364,E$1:E363,1,FALSE()))),"OLD",IF(AND(E364&lt;&gt;"",E364&lt;&gt;"!!!"),"NEW","")))</f>
        <v> </v>
      </c>
      <c r="G364" s="24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5" t="str">
        <f>IF(J364&lt;&gt;1,"",IF(I364="SBJ","CB","?"))</f>
        <v> </v>
      </c>
      <c r="I364" s="26" t="str">
        <f>IF(OR(E364="",E364="!!!",F364="NEW"),"",INDEX(B363:B$2,-1+SUMPRODUCT(MAX(ROW(E363:E$2)*(E364=E363:E$2)))))</f>
        <v> </v>
      </c>
      <c r="J364" s="26" t="str">
        <f>IF(OR(E364="",E364="!!!",F364="NEW"),"",COUNTBLANK(OFFSET(A$1,,,SUMPRODUCT(MAX(ROW(E$2:E364)*(E364=E$2:E364)))))-COUNTBLANK(OFFSET(A$1,,,SUMPRODUCT(MAX(ROW(E$1:E363)*(E2=E$1:E363))))))</f>
        <v> </v>
      </c>
      <c r="K364" s="26" t="str">
        <f>IF(OR(E364="",E364="!!!",F364="NEW"),"",INDEX(J$1:J363,SUMPRODUCT(MAX(ROW(E$1:E363)*(E364=E$1:E363)))))</f>
        <v> </v>
      </c>
      <c r="L364" s="27"/>
    </row>
    <row r="365" spans="1:12">
      <c r="A365" s="20" t="s">
        <v>269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273</v>
      </c>
      <c r="B366" s="21" t="s">
        <v>214</v>
      </c>
      <c r="C366" s="21" t="s">
        <v>215</v>
      </c>
      <c r="D366" s="21" t="s">
        <v>216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485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252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486</v>
      </c>
      <c r="B369" s="21" t="s">
        <v>226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230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281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487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 t="s">
        <v>488</v>
      </c>
      <c r="B373" s="21" t="s">
        <v>232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 t="s">
        <v>489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490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237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/>
    </row>
    <row r="378" spans="1:12">
      <c r="A378" s="20" t="s">
        <v>491</v>
      </c>
    </row>
    <row r="379" spans="1:12">
      <c r="A379" s="20" t="s">
        <v>492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 t="s">
        <v>493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494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 t="s">
        <v>230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495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 t="s">
        <v>496</v>
      </c>
      <c r="B384" s="21" t="s">
        <v>226</v>
      </c>
      <c r="C384" s="21" t="s">
        <v>287</v>
      </c>
      <c r="D384" s="21" t="s">
        <v>216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497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 t="s">
        <v>350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 t="s">
        <v>498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 t="s">
        <v>230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 t="s">
        <v>281</v>
      </c>
      <c r="E389" s="22">
        <f>IF(D389="?OLD","!!!","")</f>
        <v/>
      </c>
      <c r="F389" s="23" t="str">
        <f>IF(OR(E389="",E389="!!!"),"",IF(NOT(ISNA(VLOOKUP(E389,E$1:E388,1,FALSE()))),"OLD",IF(AND(E389&lt;&gt;"",E389&lt;&gt;"!!!"),"NEW","")))</f>
        <v> </v>
      </c>
      <c r="G389" s="24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5" t="str">
        <f>IF(J389&lt;&gt;1,"",IF(I389="SBJ","CB","?"))</f>
        <v> </v>
      </c>
      <c r="I389" s="26" t="str">
        <f>IF(OR(E389="",E389="!!!",F389="NEW"),"",INDEX(B388:B$2,-1+SUMPRODUCT(MAX(ROW(E388:E$2)*(E389=E388:E$2)))))</f>
        <v> </v>
      </c>
      <c r="J389" s="26" t="str">
        <f>IF(OR(E389="",E389="!!!",F389="NEW"),"",COUNTBLANK(OFFSET(A$1,,,SUMPRODUCT(MAX(ROW(E$2:E389)*(E389=E$2:E389)))))-COUNTBLANK(OFFSET(A$1,,,SUMPRODUCT(MAX(ROW(E$1:E388)*(E2=E$1:E388))))))</f>
        <v> </v>
      </c>
      <c r="K389" s="26" t="str">
        <f>IF(OR(E389="",E389="!!!",F389="NEW"),"",INDEX(J$1:J388,SUMPRODUCT(MAX(ROW(E$1:E388)*(E389=E$1:E388)))))</f>
        <v> </v>
      </c>
      <c r="L389" s="27"/>
    </row>
    <row r="390" spans="1:12">
      <c r="A390" s="20" t="s">
        <v>499</v>
      </c>
      <c r="B390" s="21" t="s">
        <v>283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264</v>
      </c>
      <c r="B391" s="21" t="s">
        <v>274</v>
      </c>
      <c r="C391" s="21" t="s">
        <v>215</v>
      </c>
      <c r="D391" s="21" t="s">
        <v>216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500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501</v>
      </c>
      <c r="B393" s="21" t="s">
        <v>254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 t="s">
        <v>230</v>
      </c>
      <c r="E394" s="22">
        <f>IF(D394="?OLD","!!!","")</f>
        <v/>
      </c>
      <c r="F394" s="23" t="str">
        <f>IF(OR(E394="",E394="!!!"),"",IF(NOT(ISNA(VLOOKUP(E394,E$1:E393,1,FALSE()))),"OLD",IF(AND(E394&lt;&gt;"",E394&lt;&gt;"!!!"),"NEW","")))</f>
        <v> </v>
      </c>
      <c r="G394" s="24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5" t="str">
        <f>IF(J394&lt;&gt;1,"",IF(I394="SBJ","CB","?"))</f>
        <v> </v>
      </c>
      <c r="I394" s="26" t="str">
        <f>IF(OR(E394="",E394="!!!",F394="NEW"),"",INDEX(B393:B$2,-1+SUMPRODUCT(MAX(ROW(E393:E$2)*(E394=E393:E$2)))))</f>
        <v> </v>
      </c>
      <c r="J394" s="26" t="str">
        <f>IF(OR(E394="",E394="!!!",F394="NEW"),"",COUNTBLANK(OFFSET(A$1,,,SUMPRODUCT(MAX(ROW(E$2:E394)*(E394=E$2:E394)))))-COUNTBLANK(OFFSET(A$1,,,SUMPRODUCT(MAX(ROW(E$1:E393)*(E2=E$1:E393))))))</f>
        <v> </v>
      </c>
      <c r="K394" s="26" t="str">
        <f>IF(OR(E394="",E394="!!!",F394="NEW"),"",INDEX(J$1:J393,SUMPRODUCT(MAX(ROW(E$1:E393)*(E394=E$1:E393)))))</f>
        <v> </v>
      </c>
      <c r="L394" s="27"/>
    </row>
    <row r="395" spans="1:12">
      <c r="A395" s="20" t="s">
        <v>502</v>
      </c>
      <c r="B395" s="21" t="s">
        <v>503</v>
      </c>
      <c r="C395" s="21" t="s">
        <v>233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300</v>
      </c>
      <c r="B396" s="21" t="s">
        <v>504</v>
      </c>
      <c r="C396" s="21" t="s">
        <v>277</v>
      </c>
      <c r="D396" s="21" t="s">
        <v>216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505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 t="s">
        <v>383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 t="s">
        <v>506</v>
      </c>
      <c r="E399" s="22">
        <f>IF(D399="?OLD","!!!","")</f>
        <v/>
      </c>
      <c r="F399" s="23" t="str">
        <f>IF(OR(E399="",E399="!!!"),"",IF(NOT(ISNA(VLOOKUP(E399,E$1:E398,1,FALSE()))),"OLD",IF(AND(E399&lt;&gt;"",E399&lt;&gt;"!!!"),"NEW","")))</f>
        <v> </v>
      </c>
      <c r="G399" s="24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5" t="str">
        <f>IF(J399&lt;&gt;1,"",IF(I399="SBJ","CB","?"))</f>
        <v> </v>
      </c>
      <c r="I399" s="26" t="str">
        <f>IF(OR(E399="",E399="!!!",F399="NEW"),"",INDEX(B398:B$2,-1+SUMPRODUCT(MAX(ROW(E398:E$2)*(E399=E398:E$2)))))</f>
        <v> </v>
      </c>
      <c r="J399" s="26" t="str">
        <f>IF(OR(E399="",E399="!!!",F399="NEW"),"",COUNTBLANK(OFFSET(A$1,,,SUMPRODUCT(MAX(ROW(E$2:E399)*(E399=E$2:E399)))))-COUNTBLANK(OFFSET(A$1,,,SUMPRODUCT(MAX(ROW(E$1:E398)*(E2=E$1:E398))))))</f>
        <v> </v>
      </c>
      <c r="K399" s="26" t="str">
        <f>IF(OR(E399="",E399="!!!",F399="NEW"),"",INDEX(J$1:J398,SUMPRODUCT(MAX(ROW(E$1:E398)*(E399=E$1:E398)))))</f>
        <v> </v>
      </c>
      <c r="L399" s="27"/>
    </row>
    <row r="400" spans="1:12">
      <c r="A400" s="20" t="s">
        <v>365</v>
      </c>
      <c r="B400" s="21" t="s">
        <v>335</v>
      </c>
      <c r="C400" s="21" t="s">
        <v>215</v>
      </c>
      <c r="D400" s="21" t="s">
        <v>216</v>
      </c>
      <c r="E400" s="22">
        <f>IF(D400="?OLD","!!!","")</f>
        <v/>
      </c>
      <c r="F400" s="23" t="str">
        <f>IF(OR(E400="",E400="!!!"),"",IF(NOT(ISNA(VLOOKUP(E400,E$1:E399,1,FALSE()))),"OLD",IF(AND(E400&lt;&gt;"",E400&lt;&gt;"!!!"),"NEW","")))</f>
        <v> </v>
      </c>
      <c r="G400" s="24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5" t="str">
        <f>IF(J400&lt;&gt;1,"",IF(I400="SBJ","CB","?"))</f>
        <v> </v>
      </c>
      <c r="I400" s="26" t="str">
        <f>IF(OR(E400="",E400="!!!",F400="NEW"),"",INDEX(B399:B$2,-1+SUMPRODUCT(MAX(ROW(E399:E$2)*(E400=E399:E$2)))))</f>
        <v> </v>
      </c>
      <c r="J400" s="26" t="str">
        <f>IF(OR(E400="",E400="!!!",F400="NEW"),"",COUNTBLANK(OFFSET(A$1,,,SUMPRODUCT(MAX(ROW(E$2:E400)*(E400=E$2:E400)))))-COUNTBLANK(OFFSET(A$1,,,SUMPRODUCT(MAX(ROW(E$1:E399)*(E2=E$1:E399))))))</f>
        <v> </v>
      </c>
      <c r="K400" s="26" t="str">
        <f>IF(OR(E400="",E400="!!!",F400="NEW"),"",INDEX(J$1:J399,SUMPRODUCT(MAX(ROW(E$1:E399)*(E400=E$1:E399)))))</f>
        <v> </v>
      </c>
      <c r="L400" s="27"/>
    </row>
    <row r="401" spans="1:12">
      <c r="A401" s="20" t="s">
        <v>237</v>
      </c>
      <c r="E401" s="22">
        <f>IF(D401="?OLD","!!!","")</f>
        <v/>
      </c>
      <c r="F401" s="23" t="str">
        <f>IF(OR(E401="",E401="!!!"),"",IF(NOT(ISNA(VLOOKUP(E401,E$1:E400,1,FALSE()))),"OLD",IF(AND(E401&lt;&gt;"",E401&lt;&gt;"!!!"),"NEW","")))</f>
        <v> </v>
      </c>
      <c r="G401" s="24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5" t="str">
        <f>IF(J401&lt;&gt;1,"",IF(I401="SBJ","CB","?"))</f>
        <v> </v>
      </c>
      <c r="I401" s="26" t="str">
        <f>IF(OR(E401="",E401="!!!",F401="NEW"),"",INDEX(B400:B$2,-1+SUMPRODUCT(MAX(ROW(E400:E$2)*(E401=E400:E$2)))))</f>
        <v> </v>
      </c>
      <c r="J401" s="26" t="str">
        <f>IF(OR(E401="",E401="!!!",F401="NEW"),"",COUNTBLANK(OFFSET(A$1,,,SUMPRODUCT(MAX(ROW(E$2:E401)*(E401=E$2:E401)))))-COUNTBLANK(OFFSET(A$1,,,SUMPRODUCT(MAX(ROW(E$1:E400)*(E2=E$1:E400))))))</f>
        <v> </v>
      </c>
      <c r="K401" s="26" t="str">
        <f>IF(OR(E401="",E401="!!!",F401="NEW"),"",INDEX(J$1:J400,SUMPRODUCT(MAX(ROW(E$1:E400)*(E401=E$1:E400)))))</f>
        <v> </v>
      </c>
      <c r="L401" s="27"/>
    </row>
    <row r="402" spans="1:12">
      <c r="A402" s="20"/>
    </row>
    <row r="403" spans="1:12">
      <c r="A403" s="20" t="s">
        <v>507</v>
      </c>
    </row>
    <row r="404" spans="1:12">
      <c r="A404" s="20" t="s">
        <v>12</v>
      </c>
      <c r="B404" s="21" t="s">
        <v>226</v>
      </c>
      <c r="C404" s="21" t="s">
        <v>215</v>
      </c>
      <c r="D404" s="21" t="s">
        <v>216</v>
      </c>
      <c r="E404" s="22">
        <f>IF(D404="?OLD","!!!","")</f>
        <v/>
      </c>
      <c r="F404" s="23" t="str">
        <f>IF(OR(E404="",E404="!!!"),"",IF(NOT(ISNA(VLOOKUP(E404,E$1:E403,1,FALSE()))),"OLD",IF(AND(E404&lt;&gt;"",E404&lt;&gt;"!!!"),"NEW","")))</f>
        <v> </v>
      </c>
      <c r="G404" s="24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5" t="str">
        <f>IF(J404&lt;&gt;1,"",IF(I404="SBJ","CB","?"))</f>
        <v> </v>
      </c>
      <c r="I404" s="26" t="str">
        <f>IF(OR(E404="",E404="!!!",F404="NEW"),"",INDEX(B403:B$2,-1+SUMPRODUCT(MAX(ROW(E403:E$2)*(E404=E403:E$2)))))</f>
        <v> </v>
      </c>
      <c r="J404" s="26" t="str">
        <f>IF(OR(E404="",E404="!!!",F404="NEW"),"",COUNTBLANK(OFFSET(A$1,,,SUMPRODUCT(MAX(ROW(E$2:E404)*(E404=E$2:E404)))))-COUNTBLANK(OFFSET(A$1,,,SUMPRODUCT(MAX(ROW(E$1:E403)*(E2=E$1:E403))))))</f>
        <v> </v>
      </c>
      <c r="K404" s="26" t="str">
        <f>IF(OR(E404="",E404="!!!",F404="NEW"),"",INDEX(J$1:J403,SUMPRODUCT(MAX(ROW(E$1:E403)*(E404=E$1:E403)))))</f>
        <v> </v>
      </c>
      <c r="L404" s="27"/>
    </row>
    <row r="405" spans="1:12">
      <c r="A405" s="20" t="s">
        <v>508</v>
      </c>
      <c r="E405" s="22">
        <f>IF(D405="?OLD","!!!","")</f>
        <v/>
      </c>
      <c r="F405" s="23" t="str">
        <f>IF(OR(E405="",E405="!!!"),"",IF(NOT(ISNA(VLOOKUP(E405,E$1:E404,1,FALSE()))),"OLD",IF(AND(E405&lt;&gt;"",E405&lt;&gt;"!!!"),"NEW","")))</f>
        <v> </v>
      </c>
      <c r="G405" s="24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5" t="str">
        <f>IF(J405&lt;&gt;1,"",IF(I405="SBJ","CB","?"))</f>
        <v> </v>
      </c>
      <c r="I405" s="26" t="str">
        <f>IF(OR(E405="",E405="!!!",F405="NEW"),"",INDEX(B404:B$2,-1+SUMPRODUCT(MAX(ROW(E404:E$2)*(E405=E404:E$2)))))</f>
        <v> </v>
      </c>
      <c r="J405" s="26" t="str">
        <f>IF(OR(E405="",E405="!!!",F405="NEW"),"",COUNTBLANK(OFFSET(A$1,,,SUMPRODUCT(MAX(ROW(E$2:E405)*(E405=E$2:E405)))))-COUNTBLANK(OFFSET(A$1,,,SUMPRODUCT(MAX(ROW(E$1:E404)*(E2=E$1:E404))))))</f>
        <v> </v>
      </c>
      <c r="K405" s="26" t="str">
        <f>IF(OR(E405="",E405="!!!",F405="NEW"),"",INDEX(J$1:J404,SUMPRODUCT(MAX(ROW(E$1:E404)*(E405=E$1:E404)))))</f>
        <v> </v>
      </c>
      <c r="L405" s="27"/>
    </row>
    <row r="406" spans="1:12">
      <c r="A406" s="20" t="s">
        <v>509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 t="s">
        <v>351</v>
      </c>
      <c r="E407" s="22">
        <f>IF(D407="?OLD","!!!","")</f>
        <v/>
      </c>
      <c r="F407" s="23" t="str">
        <f>IF(OR(E407="",E407="!!!"),"",IF(NOT(ISNA(VLOOKUP(E407,E$1:E406,1,FALSE()))),"OLD",IF(AND(E407&lt;&gt;"",E407&lt;&gt;"!!!"),"NEW","")))</f>
        <v> </v>
      </c>
      <c r="G407" s="24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5" t="str">
        <f>IF(J407&lt;&gt;1,"",IF(I407="SBJ","CB","?"))</f>
        <v> </v>
      </c>
      <c r="I407" s="26" t="str">
        <f>IF(OR(E407="",E407="!!!",F407="NEW"),"",INDEX(B406:B$2,-1+SUMPRODUCT(MAX(ROW(E406:E$2)*(E407=E406:E$2)))))</f>
        <v> </v>
      </c>
      <c r="J407" s="26" t="str">
        <f>IF(OR(E407="",E407="!!!",F407="NEW"),"",COUNTBLANK(OFFSET(A$1,,,SUMPRODUCT(MAX(ROW(E$2:E407)*(E407=E$2:E407)))))-COUNTBLANK(OFFSET(A$1,,,SUMPRODUCT(MAX(ROW(E$1:E406)*(E2=E$1:E406))))))</f>
        <v> </v>
      </c>
      <c r="K407" s="26" t="str">
        <f>IF(OR(E407="",E407="!!!",F407="NEW"),"",INDEX(J$1:J406,SUMPRODUCT(MAX(ROW(E$1:E406)*(E407=E$1:E406)))))</f>
        <v> </v>
      </c>
      <c r="L407" s="27"/>
    </row>
    <row r="408" spans="1:12">
      <c r="A408" s="20" t="s">
        <v>510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266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511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 t="s">
        <v>237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/>
    </row>
    <row r="413" spans="1:12">
      <c r="A413" s="20" t="s">
        <v>512</v>
      </c>
    </row>
    <row r="414" spans="1:12">
      <c r="A414" s="20" t="s">
        <v>513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 t="s">
        <v>514</v>
      </c>
      <c r="B415" s="21" t="s">
        <v>214</v>
      </c>
      <c r="C415" s="21" t="s">
        <v>215</v>
      </c>
      <c r="D415" s="21" t="s">
        <v>216</v>
      </c>
      <c r="E415" s="22">
        <f>IF(D415="?OLD","!!!","")</f>
        <v/>
      </c>
      <c r="F415" s="23" t="str">
        <f>IF(OR(E415="",E415="!!!"),"",IF(NOT(ISNA(VLOOKUP(E415,E$1:E414,1,FALSE()))),"OLD",IF(AND(E415&lt;&gt;"",E415&lt;&gt;"!!!"),"NEW","")))</f>
        <v> </v>
      </c>
      <c r="G415" s="24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5" t="str">
        <f>IF(J415&lt;&gt;1,"",IF(I415="SBJ","CB","?"))</f>
        <v> </v>
      </c>
      <c r="I415" s="26" t="str">
        <f>IF(OR(E415="",E415="!!!",F415="NEW"),"",INDEX(B414:B$2,-1+SUMPRODUCT(MAX(ROW(E414:E$2)*(E415=E414:E$2)))))</f>
        <v> </v>
      </c>
      <c r="J415" s="26" t="str">
        <f>IF(OR(E415="",E415="!!!",F415="NEW"),"",COUNTBLANK(OFFSET(A$1,,,SUMPRODUCT(MAX(ROW(E$2:E415)*(E415=E$2:E415)))))-COUNTBLANK(OFFSET(A$1,,,SUMPRODUCT(MAX(ROW(E$1:E414)*(E2=E$1:E414))))))</f>
        <v> </v>
      </c>
      <c r="K415" s="26" t="str">
        <f>IF(OR(E415="",E415="!!!",F415="NEW"),"",INDEX(J$1:J414,SUMPRODUCT(MAX(ROW(E$1:E414)*(E415=E$1:E414)))))</f>
        <v> </v>
      </c>
      <c r="L415" s="27"/>
    </row>
    <row r="416" spans="1:12">
      <c r="A416" s="20" t="s">
        <v>515</v>
      </c>
      <c r="B416" s="21" t="s">
        <v>226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516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517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518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 t="s">
        <v>237</v>
      </c>
      <c r="E420" s="22">
        <f>IF(D420="?OLD","!!!","")</f>
        <v/>
      </c>
      <c r="F420" s="23" t="str">
        <f>IF(OR(E420="",E420="!!!"),"",IF(NOT(ISNA(VLOOKUP(E420,E$1:E419,1,FALSE()))),"OLD",IF(AND(E420&lt;&gt;"",E420&lt;&gt;"!!!"),"NEW","")))</f>
        <v> </v>
      </c>
      <c r="G420" s="24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5" t="str">
        <f>IF(J420&lt;&gt;1,"",IF(I420="SBJ","CB","?"))</f>
        <v> </v>
      </c>
      <c r="I420" s="26" t="str">
        <f>IF(OR(E420="",E420="!!!",F420="NEW"),"",INDEX(B419:B$2,-1+SUMPRODUCT(MAX(ROW(E419:E$2)*(E420=E419:E$2)))))</f>
        <v> </v>
      </c>
      <c r="J420" s="26" t="str">
        <f>IF(OR(E420="",E420="!!!",F420="NEW"),"",COUNTBLANK(OFFSET(A$1,,,SUMPRODUCT(MAX(ROW(E$2:E420)*(E420=E$2:E420)))))-COUNTBLANK(OFFSET(A$1,,,SUMPRODUCT(MAX(ROW(E$1:E419)*(E2=E$1:E419))))))</f>
        <v> </v>
      </c>
      <c r="K420" s="26" t="str">
        <f>IF(OR(E420="",E420="!!!",F420="NEW"),"",INDEX(J$1:J419,SUMPRODUCT(MAX(ROW(E$1:E419)*(E420=E$1:E419)))))</f>
        <v> </v>
      </c>
      <c r="L420" s="27"/>
    </row>
    <row r="421" spans="1:12">
      <c r="A421" s="20"/>
    </row>
    <row r="422" spans="1:12">
      <c r="A422" s="20" t="s">
        <v>519</v>
      </c>
    </row>
    <row r="423" spans="1:12">
      <c r="A423" s="20" t="s">
        <v>492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 t="s">
        <v>520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 t="s">
        <v>521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 t="s">
        <v>230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522</v>
      </c>
      <c r="B427" s="21" t="s">
        <v>226</v>
      </c>
      <c r="C427" s="21" t="s">
        <v>215</v>
      </c>
      <c r="D427" s="21" t="s">
        <v>216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523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 t="s">
        <v>524</v>
      </c>
      <c r="E429" s="22">
        <f>IF(D429="?OLD","!!!","")</f>
        <v/>
      </c>
      <c r="F429" s="23" t="str">
        <f>IF(OR(E429="",E429="!!!"),"",IF(NOT(ISNA(VLOOKUP(E429,E$1:E428,1,FALSE()))),"OLD",IF(AND(E429&lt;&gt;"",E429&lt;&gt;"!!!"),"NEW","")))</f>
        <v> </v>
      </c>
      <c r="G429" s="24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5" t="str">
        <f>IF(J429&lt;&gt;1,"",IF(I429="SBJ","CB","?"))</f>
        <v> </v>
      </c>
      <c r="I429" s="26" t="str">
        <f>IF(OR(E429="",E429="!!!",F429="NEW"),"",INDEX(B428:B$2,-1+SUMPRODUCT(MAX(ROW(E428:E$2)*(E429=E428:E$2)))))</f>
        <v> </v>
      </c>
      <c r="J429" s="26" t="str">
        <f>IF(OR(E429="",E429="!!!",F429="NEW"),"",COUNTBLANK(OFFSET(A$1,,,SUMPRODUCT(MAX(ROW(E$2:E429)*(E429=E$2:E429)))))-COUNTBLANK(OFFSET(A$1,,,SUMPRODUCT(MAX(ROW(E$1:E428)*(E2=E$1:E428))))))</f>
        <v> </v>
      </c>
      <c r="K429" s="26" t="str">
        <f>IF(OR(E429="",E429="!!!",F429="NEW"),"",INDEX(J$1:J428,SUMPRODUCT(MAX(ROW(E$1:E428)*(E429=E$1:E428)))))</f>
        <v> </v>
      </c>
      <c r="L429" s="27"/>
    </row>
    <row r="430" spans="1:12">
      <c r="A430" s="20" t="s">
        <v>525</v>
      </c>
      <c r="B430" s="21" t="s">
        <v>340</v>
      </c>
      <c r="C430" s="21" t="s">
        <v>331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 t="s">
        <v>230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 t="s">
        <v>526</v>
      </c>
      <c r="B432" s="21" t="s">
        <v>527</v>
      </c>
      <c r="C432" s="21" t="s">
        <v>233</v>
      </c>
      <c r="E432" s="22">
        <f>IF(D432="?OLD","!!!","")</f>
        <v/>
      </c>
      <c r="F432" s="23" t="str">
        <f>IF(OR(E432="",E432="!!!"),"",IF(NOT(ISNA(VLOOKUP(E432,E$1:E431,1,FALSE()))),"OLD",IF(AND(E432&lt;&gt;"",E432&lt;&gt;"!!!"),"NEW","")))</f>
        <v> </v>
      </c>
      <c r="G432" s="24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5" t="str">
        <f>IF(J432&lt;&gt;1,"",IF(I432="SBJ","CB","?"))</f>
        <v> </v>
      </c>
      <c r="I432" s="26" t="str">
        <f>IF(OR(E432="",E432="!!!",F432="NEW"),"",INDEX(B431:B$2,-1+SUMPRODUCT(MAX(ROW(E431:E$2)*(E432=E431:E$2)))))</f>
        <v> </v>
      </c>
      <c r="J432" s="26" t="str">
        <f>IF(OR(E432="",E432="!!!",F432="NEW"),"",COUNTBLANK(OFFSET(A$1,,,SUMPRODUCT(MAX(ROW(E$2:E432)*(E432=E$2:E432)))))-COUNTBLANK(OFFSET(A$1,,,SUMPRODUCT(MAX(ROW(E$1:E431)*(E2=E$1:E431))))))</f>
        <v> </v>
      </c>
      <c r="K432" s="26" t="str">
        <f>IF(OR(E432="",E432="!!!",F432="NEW"),"",INDEX(J$1:J431,SUMPRODUCT(MAX(ROW(E$1:E431)*(E432=E$1:E431)))))</f>
        <v> </v>
      </c>
      <c r="L432" s="27"/>
    </row>
    <row r="433" spans="1:12">
      <c r="A433" s="20" t="s">
        <v>300</v>
      </c>
      <c r="B433" s="21" t="s">
        <v>283</v>
      </c>
      <c r="C433" s="21" t="s">
        <v>277</v>
      </c>
      <c r="D433" s="21" t="s">
        <v>216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 t="s">
        <v>528</v>
      </c>
      <c r="E434" s="22">
        <f>IF(D434="?OLD","!!!","")</f>
        <v/>
      </c>
      <c r="F434" s="23" t="str">
        <f>IF(OR(E434="",E434="!!!"),"",IF(NOT(ISNA(VLOOKUP(E434,E$1:E433,1,FALSE()))),"OLD",IF(AND(E434&lt;&gt;"",E434&lt;&gt;"!!!"),"NEW","")))</f>
        <v> </v>
      </c>
      <c r="G434" s="24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5" t="str">
        <f>IF(J434&lt;&gt;1,"",IF(I434="SBJ","CB","?"))</f>
        <v> </v>
      </c>
      <c r="I434" s="26" t="str">
        <f>IF(OR(E434="",E434="!!!",F434="NEW"),"",INDEX(B433:B$2,-1+SUMPRODUCT(MAX(ROW(E433:E$2)*(E434=E433:E$2)))))</f>
        <v> </v>
      </c>
      <c r="J434" s="26" t="str">
        <f>IF(OR(E434="",E434="!!!",F434="NEW"),"",COUNTBLANK(OFFSET(A$1,,,SUMPRODUCT(MAX(ROW(E$2:E434)*(E434=E$2:E434)))))-COUNTBLANK(OFFSET(A$1,,,SUMPRODUCT(MAX(ROW(E$1:E433)*(E2=E$1:E433))))))</f>
        <v> </v>
      </c>
      <c r="K434" s="26" t="str">
        <f>IF(OR(E434="",E434="!!!",F434="NEW"),"",INDEX(J$1:J433,SUMPRODUCT(MAX(ROW(E$1:E433)*(E434=E$1:E433)))))</f>
        <v> </v>
      </c>
      <c r="L434" s="27"/>
    </row>
    <row r="435" spans="1:12">
      <c r="A435" s="20" t="s">
        <v>529</v>
      </c>
      <c r="E435" s="22">
        <f>IF(D435="?OLD","!!!","")</f>
        <v/>
      </c>
      <c r="F435" s="23" t="str">
        <f>IF(OR(E435="",E435="!!!"),"",IF(NOT(ISNA(VLOOKUP(E435,E$1:E434,1,FALSE()))),"OLD",IF(AND(E435&lt;&gt;"",E435&lt;&gt;"!!!"),"NEW","")))</f>
        <v> </v>
      </c>
      <c r="G435" s="24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5" t="str">
        <f>IF(J435&lt;&gt;1,"",IF(I435="SBJ","CB","?"))</f>
        <v> </v>
      </c>
      <c r="I435" s="26" t="str">
        <f>IF(OR(E435="",E435="!!!",F435="NEW"),"",INDEX(B434:B$2,-1+SUMPRODUCT(MAX(ROW(E434:E$2)*(E435=E434:E$2)))))</f>
        <v> </v>
      </c>
      <c r="J435" s="26" t="str">
        <f>IF(OR(E435="",E435="!!!",F435="NEW"),"",COUNTBLANK(OFFSET(A$1,,,SUMPRODUCT(MAX(ROW(E$2:E435)*(E435=E$2:E435)))))-COUNTBLANK(OFFSET(A$1,,,SUMPRODUCT(MAX(ROW(E$1:E434)*(E2=E$1:E434))))))</f>
        <v> </v>
      </c>
      <c r="K435" s="26" t="str">
        <f>IF(OR(E435="",E435="!!!",F435="NEW"),"",INDEX(J$1:J434,SUMPRODUCT(MAX(ROW(E$1:E434)*(E435=E$1:E434)))))</f>
        <v> </v>
      </c>
      <c r="L435" s="27"/>
    </row>
    <row r="436" spans="1:12">
      <c r="A436" s="20" t="s">
        <v>230</v>
      </c>
      <c r="E436" s="22">
        <f>IF(D436="?OLD","!!!","")</f>
        <v/>
      </c>
      <c r="F436" s="23" t="str">
        <f>IF(OR(E436="",E436="!!!"),"",IF(NOT(ISNA(VLOOKUP(E436,E$1:E435,1,FALSE()))),"OLD",IF(AND(E436&lt;&gt;"",E436&lt;&gt;"!!!"),"NEW","")))</f>
        <v> </v>
      </c>
      <c r="G436" s="24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5" t="str">
        <f>IF(J436&lt;&gt;1,"",IF(I436="SBJ","CB","?"))</f>
        <v> </v>
      </c>
      <c r="I436" s="26" t="str">
        <f>IF(OR(E436="",E436="!!!",F436="NEW"),"",INDEX(B435:B$2,-1+SUMPRODUCT(MAX(ROW(E435:E$2)*(E436=E435:E$2)))))</f>
        <v> </v>
      </c>
      <c r="J436" s="26" t="str">
        <f>IF(OR(E436="",E436="!!!",F436="NEW"),"",COUNTBLANK(OFFSET(A$1,,,SUMPRODUCT(MAX(ROW(E$2:E436)*(E436=E$2:E436)))))-COUNTBLANK(OFFSET(A$1,,,SUMPRODUCT(MAX(ROW(E$1:E435)*(E2=E$1:E435))))))</f>
        <v> </v>
      </c>
      <c r="K436" s="26" t="str">
        <f>IF(OR(E436="",E436="!!!",F436="NEW"),"",INDEX(J$1:J435,SUMPRODUCT(MAX(ROW(E$1:E435)*(E436=E$1:E435)))))</f>
        <v> </v>
      </c>
      <c r="L436" s="27"/>
    </row>
    <row r="437" spans="1:12">
      <c r="A437" s="20" t="s">
        <v>530</v>
      </c>
      <c r="E437" s="22">
        <f>IF(D437="?OLD","!!!","")</f>
        <v/>
      </c>
      <c r="F437" s="23" t="str">
        <f>IF(OR(E437="",E437="!!!"),"",IF(NOT(ISNA(VLOOKUP(E437,E$1:E436,1,FALSE()))),"OLD",IF(AND(E437&lt;&gt;"",E437&lt;&gt;"!!!"),"NEW","")))</f>
        <v> </v>
      </c>
      <c r="G437" s="24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5" t="str">
        <f>IF(J437&lt;&gt;1,"",IF(I437="SBJ","CB","?"))</f>
        <v> </v>
      </c>
      <c r="I437" s="26" t="str">
        <f>IF(OR(E437="",E437="!!!",F437="NEW"),"",INDEX(B436:B$2,-1+SUMPRODUCT(MAX(ROW(E436:E$2)*(E437=E436:E$2)))))</f>
        <v> </v>
      </c>
      <c r="J437" s="26" t="str">
        <f>IF(OR(E437="",E437="!!!",F437="NEW"),"",COUNTBLANK(OFFSET(A$1,,,SUMPRODUCT(MAX(ROW(E$2:E437)*(E437=E$2:E437)))))-COUNTBLANK(OFFSET(A$1,,,SUMPRODUCT(MAX(ROW(E$1:E436)*(E2=E$1:E436))))))</f>
        <v> </v>
      </c>
      <c r="K437" s="26" t="str">
        <f>IF(OR(E437="",E437="!!!",F437="NEW"),"",INDEX(J$1:J436,SUMPRODUCT(MAX(ROW(E$1:E436)*(E437=E$1:E436)))))</f>
        <v> </v>
      </c>
      <c r="L437" s="27"/>
    </row>
    <row r="438" spans="1:12">
      <c r="A438" s="20" t="s">
        <v>531</v>
      </c>
      <c r="B438" s="21" t="s">
        <v>274</v>
      </c>
      <c r="C438" s="21" t="s">
        <v>227</v>
      </c>
      <c r="D438" s="21" t="s">
        <v>216</v>
      </c>
      <c r="E438" s="22">
        <f>IF(D438="?OLD","!!!","")</f>
        <v/>
      </c>
      <c r="F438" s="23" t="str">
        <f>IF(OR(E438="",E438="!!!"),"",IF(NOT(ISNA(VLOOKUP(E438,E$1:E437,1,FALSE()))),"OLD",IF(AND(E438&lt;&gt;"",E438&lt;&gt;"!!!"),"NEW","")))</f>
        <v> </v>
      </c>
      <c r="G438" s="24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5" t="str">
        <f>IF(J438&lt;&gt;1,"",IF(I438="SBJ","CB","?"))</f>
        <v> </v>
      </c>
      <c r="I438" s="26" t="str">
        <f>IF(OR(E438="",E438="!!!",F438="NEW"),"",INDEX(B437:B$2,-1+SUMPRODUCT(MAX(ROW(E437:E$2)*(E438=E437:E$2)))))</f>
        <v> </v>
      </c>
      <c r="J438" s="26" t="str">
        <f>IF(OR(E438="",E438="!!!",F438="NEW"),"",COUNTBLANK(OFFSET(A$1,,,SUMPRODUCT(MAX(ROW(E$2:E438)*(E438=E$2:E438)))))-COUNTBLANK(OFFSET(A$1,,,SUMPRODUCT(MAX(ROW(E$1:E437)*(E2=E$1:E437))))))</f>
        <v> </v>
      </c>
      <c r="K438" s="26" t="str">
        <f>IF(OR(E438="",E438="!!!",F438="NEW"),"",INDEX(J$1:J437,SUMPRODUCT(MAX(ROW(E$1:E437)*(E438=E$1:E437)))))</f>
        <v> </v>
      </c>
      <c r="L438" s="27"/>
    </row>
    <row r="439" spans="1:12">
      <c r="A439" s="20" t="s">
        <v>366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300</v>
      </c>
      <c r="B440" s="21" t="s">
        <v>532</v>
      </c>
      <c r="C440" s="21" t="s">
        <v>277</v>
      </c>
      <c r="D440" s="21" t="s">
        <v>216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228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 t="s">
        <v>533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534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535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 t="s">
        <v>266</v>
      </c>
      <c r="E445" s="22">
        <f>IF(D445="?OLD","!!!","")</f>
        <v/>
      </c>
      <c r="F445" s="23" t="str">
        <f>IF(OR(E445="",E445="!!!"),"",IF(NOT(ISNA(VLOOKUP(E445,E$1:E444,1,FALSE()))),"OLD",IF(AND(E445&lt;&gt;"",E445&lt;&gt;"!!!"),"NEW","")))</f>
        <v> </v>
      </c>
      <c r="G445" s="24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5" t="str">
        <f>IF(J445&lt;&gt;1,"",IF(I445="SBJ","CB","?"))</f>
        <v> </v>
      </c>
      <c r="I445" s="26" t="str">
        <f>IF(OR(E445="",E445="!!!",F445="NEW"),"",INDEX(B444:B$2,-1+SUMPRODUCT(MAX(ROW(E444:E$2)*(E445=E444:E$2)))))</f>
        <v> </v>
      </c>
      <c r="J445" s="26" t="str">
        <f>IF(OR(E445="",E445="!!!",F445="NEW"),"",COUNTBLANK(OFFSET(A$1,,,SUMPRODUCT(MAX(ROW(E$2:E445)*(E445=E$2:E445)))))-COUNTBLANK(OFFSET(A$1,,,SUMPRODUCT(MAX(ROW(E$1:E444)*(E2=E$1:E444))))))</f>
        <v> </v>
      </c>
      <c r="K445" s="26" t="str">
        <f>IF(OR(E445="",E445="!!!",F445="NEW"),"",INDEX(J$1:J444,SUMPRODUCT(MAX(ROW(E$1:E444)*(E445=E$1:E444)))))</f>
        <v> </v>
      </c>
      <c r="L445" s="27"/>
    </row>
    <row r="446" spans="1:12">
      <c r="A446" s="20" t="s">
        <v>536</v>
      </c>
      <c r="E446" s="22">
        <f>IF(D446="?OLD","!!!","")</f>
        <v/>
      </c>
      <c r="F446" s="23" t="str">
        <f>IF(OR(E446="",E446="!!!"),"",IF(NOT(ISNA(VLOOKUP(E446,E$1:E445,1,FALSE()))),"OLD",IF(AND(E446&lt;&gt;"",E446&lt;&gt;"!!!"),"NEW","")))</f>
        <v> </v>
      </c>
      <c r="G446" s="24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5" t="str">
        <f>IF(J446&lt;&gt;1,"",IF(I446="SBJ","CB","?"))</f>
        <v> </v>
      </c>
      <c r="I446" s="26" t="str">
        <f>IF(OR(E446="",E446="!!!",F446="NEW"),"",INDEX(B445:B$2,-1+SUMPRODUCT(MAX(ROW(E445:E$2)*(E446=E445:E$2)))))</f>
        <v> </v>
      </c>
      <c r="J446" s="26" t="str">
        <f>IF(OR(E446="",E446="!!!",F446="NEW"),"",COUNTBLANK(OFFSET(A$1,,,SUMPRODUCT(MAX(ROW(E$2:E446)*(E446=E$2:E446)))))-COUNTBLANK(OFFSET(A$1,,,SUMPRODUCT(MAX(ROW(E$1:E445)*(E2=E$1:E445))))))</f>
        <v> </v>
      </c>
      <c r="K446" s="26" t="str">
        <f>IF(OR(E446="",E446="!!!",F446="NEW"),"",INDEX(J$1:J445,SUMPRODUCT(MAX(ROW(E$1:E445)*(E446=E$1:E445)))))</f>
        <v> </v>
      </c>
      <c r="L446" s="27"/>
    </row>
    <row r="447" spans="1:12">
      <c r="A447" s="20" t="s">
        <v>269</v>
      </c>
      <c r="E447" s="22">
        <f>IF(D447="?OLD","!!!","")</f>
        <v/>
      </c>
      <c r="F447" s="23" t="str">
        <f>IF(OR(E447="",E447="!!!"),"",IF(NOT(ISNA(VLOOKUP(E447,E$1:E446,1,FALSE()))),"OLD",IF(AND(E447&lt;&gt;"",E447&lt;&gt;"!!!"),"NEW","")))</f>
        <v> </v>
      </c>
      <c r="G447" s="24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5" t="str">
        <f>IF(J447&lt;&gt;1,"",IF(I447="SBJ","CB","?"))</f>
        <v> </v>
      </c>
      <c r="I447" s="26" t="str">
        <f>IF(OR(E447="",E447="!!!",F447="NEW"),"",INDEX(B446:B$2,-1+SUMPRODUCT(MAX(ROW(E446:E$2)*(E447=E446:E$2)))))</f>
        <v> </v>
      </c>
      <c r="J447" s="26" t="str">
        <f>IF(OR(E447="",E447="!!!",F447="NEW"),"",COUNTBLANK(OFFSET(A$1,,,SUMPRODUCT(MAX(ROW(E$2:E447)*(E447=E$2:E447)))))-COUNTBLANK(OFFSET(A$1,,,SUMPRODUCT(MAX(ROW(E$1:E446)*(E2=E$1:E446))))))</f>
        <v> </v>
      </c>
      <c r="K447" s="26" t="str">
        <f>IF(OR(E447="",E447="!!!",F447="NEW"),"",INDEX(J$1:J446,SUMPRODUCT(MAX(ROW(E$1:E446)*(E447=E$1:E446)))))</f>
        <v> </v>
      </c>
      <c r="L447" s="27"/>
    </row>
    <row r="448" spans="1:12">
      <c r="A448" s="20" t="s">
        <v>537</v>
      </c>
      <c r="E448" s="22">
        <f>IF(D448="?OLD","!!!","")</f>
        <v/>
      </c>
      <c r="F448" s="23" t="str">
        <f>IF(OR(E448="",E448="!!!"),"",IF(NOT(ISNA(VLOOKUP(E448,E$1:E447,1,FALSE()))),"OLD",IF(AND(E448&lt;&gt;"",E448&lt;&gt;"!!!"),"NEW","")))</f>
        <v> </v>
      </c>
      <c r="G448" s="24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5" t="str">
        <f>IF(J448&lt;&gt;1,"",IF(I448="SBJ","CB","?"))</f>
        <v> </v>
      </c>
      <c r="I448" s="26" t="str">
        <f>IF(OR(E448="",E448="!!!",F448="NEW"),"",INDEX(B447:B$2,-1+SUMPRODUCT(MAX(ROW(E447:E$2)*(E448=E447:E$2)))))</f>
        <v> </v>
      </c>
      <c r="J448" s="26" t="str">
        <f>IF(OR(E448="",E448="!!!",F448="NEW"),"",COUNTBLANK(OFFSET(A$1,,,SUMPRODUCT(MAX(ROW(E$2:E448)*(E448=E$2:E448)))))-COUNTBLANK(OFFSET(A$1,,,SUMPRODUCT(MAX(ROW(E$1:E447)*(E2=E$1:E447))))))</f>
        <v> </v>
      </c>
      <c r="K448" s="26" t="str">
        <f>IF(OR(E448="",E448="!!!",F448="NEW"),"",INDEX(J$1:J447,SUMPRODUCT(MAX(ROW(E$1:E447)*(E448=E$1:E447)))))</f>
        <v> </v>
      </c>
      <c r="L448" s="27"/>
    </row>
    <row r="449" spans="1:12">
      <c r="A449" s="20" t="s">
        <v>538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 t="s">
        <v>539</v>
      </c>
      <c r="E450" s="22">
        <f>IF(D450="?OLD","!!!","")</f>
        <v/>
      </c>
      <c r="F450" s="23" t="str">
        <f>IF(OR(E450="",E450="!!!"),"",IF(NOT(ISNA(VLOOKUP(E450,E$1:E449,1,FALSE()))),"OLD",IF(AND(E450&lt;&gt;"",E450&lt;&gt;"!!!"),"NEW","")))</f>
        <v> </v>
      </c>
      <c r="G450" s="24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5" t="str">
        <f>IF(J450&lt;&gt;1,"",IF(I450="SBJ","CB","?"))</f>
        <v> </v>
      </c>
      <c r="I450" s="26" t="str">
        <f>IF(OR(E450="",E450="!!!",F450="NEW"),"",INDEX(B449:B$2,-1+SUMPRODUCT(MAX(ROW(E449:E$2)*(E450=E449:E$2)))))</f>
        <v> </v>
      </c>
      <c r="J450" s="26" t="str">
        <f>IF(OR(E450="",E450="!!!",F450="NEW"),"",COUNTBLANK(OFFSET(A$1,,,SUMPRODUCT(MAX(ROW(E$2:E450)*(E450=E$2:E450)))))-COUNTBLANK(OFFSET(A$1,,,SUMPRODUCT(MAX(ROW(E$1:E449)*(E2=E$1:E449))))))</f>
        <v> </v>
      </c>
      <c r="K450" s="26" t="str">
        <f>IF(OR(E450="",E450="!!!",F450="NEW"),"",INDEX(J$1:J449,SUMPRODUCT(MAX(ROW(E$1:E449)*(E450=E$1:E449)))))</f>
        <v> </v>
      </c>
      <c r="L450" s="27"/>
    </row>
    <row r="451" spans="1:12">
      <c r="A451" s="20" t="s">
        <v>540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 t="s">
        <v>541</v>
      </c>
      <c r="E452" s="22">
        <f>IF(D452="?OLD","!!!","")</f>
        <v/>
      </c>
      <c r="F452" s="23" t="str">
        <f>IF(OR(E452="",E452="!!!"),"",IF(NOT(ISNA(VLOOKUP(E452,E$1:E451,1,FALSE()))),"OLD",IF(AND(E452&lt;&gt;"",E452&lt;&gt;"!!!"),"NEW","")))</f>
        <v> </v>
      </c>
      <c r="G452" s="24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5" t="str">
        <f>IF(J452&lt;&gt;1,"",IF(I452="SBJ","CB","?"))</f>
        <v> </v>
      </c>
      <c r="I452" s="26" t="str">
        <f>IF(OR(E452="",E452="!!!",F452="NEW"),"",INDEX(B451:B$2,-1+SUMPRODUCT(MAX(ROW(E451:E$2)*(E452=E451:E$2)))))</f>
        <v> </v>
      </c>
      <c r="J452" s="26" t="str">
        <f>IF(OR(E452="",E452="!!!",F452="NEW"),"",COUNTBLANK(OFFSET(A$1,,,SUMPRODUCT(MAX(ROW(E$2:E452)*(E452=E$2:E452)))))-COUNTBLANK(OFFSET(A$1,,,SUMPRODUCT(MAX(ROW(E$1:E451)*(E2=E$1:E451))))))</f>
        <v> </v>
      </c>
      <c r="K452" s="26" t="str">
        <f>IF(OR(E452="",E452="!!!",F452="NEW"),"",INDEX(J$1:J451,SUMPRODUCT(MAX(ROW(E$1:E451)*(E452=E$1:E451)))))</f>
        <v> </v>
      </c>
      <c r="L452" s="27"/>
    </row>
    <row r="453" spans="1:12">
      <c r="A453" s="20" t="s">
        <v>237</v>
      </c>
      <c r="E453" s="22">
        <f>IF(D453="?OLD","!!!","")</f>
        <v/>
      </c>
      <c r="F453" s="23" t="str">
        <f>IF(OR(E453="",E453="!!!"),"",IF(NOT(ISNA(VLOOKUP(E453,E$1:E452,1,FALSE()))),"OLD",IF(AND(E453&lt;&gt;"",E453&lt;&gt;"!!!"),"NEW","")))</f>
        <v> </v>
      </c>
      <c r="G453" s="24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5" t="str">
        <f>IF(J453&lt;&gt;1,"",IF(I453="SBJ","CB","?"))</f>
        <v> </v>
      </c>
      <c r="I453" s="26" t="str">
        <f>IF(OR(E453="",E453="!!!",F453="NEW"),"",INDEX(B452:B$2,-1+SUMPRODUCT(MAX(ROW(E452:E$2)*(E453=E452:E$2)))))</f>
        <v> </v>
      </c>
      <c r="J453" s="26" t="str">
        <f>IF(OR(E453="",E453="!!!",F453="NEW"),"",COUNTBLANK(OFFSET(A$1,,,SUMPRODUCT(MAX(ROW(E$2:E453)*(E453=E$2:E453)))))-COUNTBLANK(OFFSET(A$1,,,SUMPRODUCT(MAX(ROW(E$1:E452)*(E2=E$1:E452))))))</f>
        <v> </v>
      </c>
      <c r="K453" s="26" t="str">
        <f>IF(OR(E453="",E453="!!!",F453="NEW"),"",INDEX(J$1:J452,SUMPRODUCT(MAX(ROW(E$1:E452)*(E453=E$1:E452)))))</f>
        <v> </v>
      </c>
      <c r="L453" s="27"/>
    </row>
    <row r="454" spans="1:12">
      <c r="A454" s="20"/>
    </row>
    <row r="455" spans="1:12">
      <c r="A455" s="20" t="s">
        <v>542</v>
      </c>
    </row>
    <row r="456" spans="1:12">
      <c r="A456" s="20" t="s">
        <v>543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 t="s">
        <v>544</v>
      </c>
      <c r="E457" s="22">
        <f>IF(D457="?OLD","!!!","")</f>
        <v/>
      </c>
      <c r="F457" s="23" t="str">
        <f>IF(OR(E457="",E457="!!!"),"",IF(NOT(ISNA(VLOOKUP(E457,E$1:E456,1,FALSE()))),"OLD",IF(AND(E457&lt;&gt;"",E457&lt;&gt;"!!!"),"NEW","")))</f>
        <v> </v>
      </c>
      <c r="G457" s="24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5" t="str">
        <f>IF(J457&lt;&gt;1,"",IF(I457="SBJ","CB","?"))</f>
        <v> </v>
      </c>
      <c r="I457" s="26" t="str">
        <f>IF(OR(E457="",E457="!!!",F457="NEW"),"",INDEX(B456:B$2,-1+SUMPRODUCT(MAX(ROW(E456:E$2)*(E457=E456:E$2)))))</f>
        <v> </v>
      </c>
      <c r="J457" s="26" t="str">
        <f>IF(OR(E457="",E457="!!!",F457="NEW"),"",COUNTBLANK(OFFSET(A$1,,,SUMPRODUCT(MAX(ROW(E$2:E457)*(E457=E$2:E457)))))-COUNTBLANK(OFFSET(A$1,,,SUMPRODUCT(MAX(ROW(E$1:E456)*(E2=E$1:E456))))))</f>
        <v> </v>
      </c>
      <c r="K457" s="26" t="str">
        <f>IF(OR(E457="",E457="!!!",F457="NEW"),"",INDEX(J$1:J456,SUMPRODUCT(MAX(ROW(E$1:E456)*(E457=E$1:E456)))))</f>
        <v> </v>
      </c>
      <c r="L457" s="27"/>
    </row>
    <row r="458" spans="1:12">
      <c r="A458" s="20" t="s">
        <v>545</v>
      </c>
      <c r="B458" s="21" t="s">
        <v>226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 t="s">
        <v>351</v>
      </c>
      <c r="E459" s="22">
        <f>IF(D459="?OLD","!!!","")</f>
        <v/>
      </c>
      <c r="F459" s="23" t="str">
        <f>IF(OR(E459="",E459="!!!"),"",IF(NOT(ISNA(VLOOKUP(E459,E$1:E458,1,FALSE()))),"OLD",IF(AND(E459&lt;&gt;"",E459&lt;&gt;"!!!"),"NEW","")))</f>
        <v> </v>
      </c>
      <c r="G459" s="24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5" t="str">
        <f>IF(J459&lt;&gt;1,"",IF(I459="SBJ","CB","?"))</f>
        <v> </v>
      </c>
      <c r="I459" s="26" t="str">
        <f>IF(OR(E459="",E459="!!!",F459="NEW"),"",INDEX(B458:B$2,-1+SUMPRODUCT(MAX(ROW(E458:E$2)*(E459=E458:E$2)))))</f>
        <v> </v>
      </c>
      <c r="J459" s="26" t="str">
        <f>IF(OR(E459="",E459="!!!",F459="NEW"),"",COUNTBLANK(OFFSET(A$1,,,SUMPRODUCT(MAX(ROW(E$2:E459)*(E459=E$2:E459)))))-COUNTBLANK(OFFSET(A$1,,,SUMPRODUCT(MAX(ROW(E$1:E458)*(E2=E$1:E458))))))</f>
        <v> </v>
      </c>
      <c r="K459" s="26" t="str">
        <f>IF(OR(E459="",E459="!!!",F459="NEW"),"",INDEX(J$1:J458,SUMPRODUCT(MAX(ROW(E$1:E458)*(E459=E$1:E458)))))</f>
        <v> </v>
      </c>
      <c r="L459" s="27"/>
    </row>
    <row r="460" spans="1:12">
      <c r="A460" s="20" t="s">
        <v>546</v>
      </c>
      <c r="B460" s="21" t="s">
        <v>214</v>
      </c>
      <c r="C460" s="21" t="s">
        <v>215</v>
      </c>
      <c r="D460" s="21" t="s">
        <v>216</v>
      </c>
      <c r="E460" s="22">
        <f>IF(D460="?OLD","!!!","")</f>
        <v/>
      </c>
      <c r="F460" s="23" t="str">
        <f>IF(OR(E460="",E460="!!!"),"",IF(NOT(ISNA(VLOOKUP(E460,E$1:E459,1,FALSE()))),"OLD",IF(AND(E460&lt;&gt;"",E460&lt;&gt;"!!!"),"NEW","")))</f>
        <v> </v>
      </c>
      <c r="G460" s="24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5" t="str">
        <f>IF(J460&lt;&gt;1,"",IF(I460="SBJ","CB","?"))</f>
        <v> </v>
      </c>
      <c r="I460" s="26" t="str">
        <f>IF(OR(E460="",E460="!!!",F460="NEW"),"",INDEX(B459:B$2,-1+SUMPRODUCT(MAX(ROW(E459:E$2)*(E460=E459:E$2)))))</f>
        <v> </v>
      </c>
      <c r="J460" s="26" t="str">
        <f>IF(OR(E460="",E460="!!!",F460="NEW"),"",COUNTBLANK(OFFSET(A$1,,,SUMPRODUCT(MAX(ROW(E$2:E460)*(E460=E$2:E460)))))-COUNTBLANK(OFFSET(A$1,,,SUMPRODUCT(MAX(ROW(E$1:E459)*(E2=E$1:E459))))))</f>
        <v> </v>
      </c>
      <c r="K460" s="26" t="str">
        <f>IF(OR(E460="",E460="!!!",F460="NEW"),"",INDEX(J$1:J459,SUMPRODUCT(MAX(ROW(E$1:E459)*(E460=E$1:E459)))))</f>
        <v> </v>
      </c>
      <c r="L460" s="27"/>
    </row>
    <row r="461" spans="1:12">
      <c r="A461" s="20" t="s">
        <v>547</v>
      </c>
      <c r="E461" s="22">
        <f>IF(D461="?OLD","!!!","")</f>
        <v/>
      </c>
      <c r="F461" s="23" t="str">
        <f>IF(OR(E461="",E461="!!!"),"",IF(NOT(ISNA(VLOOKUP(E461,E$1:E460,1,FALSE()))),"OLD",IF(AND(E461&lt;&gt;"",E461&lt;&gt;"!!!"),"NEW","")))</f>
        <v> </v>
      </c>
      <c r="G461" s="24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5" t="str">
        <f>IF(J461&lt;&gt;1,"",IF(I461="SBJ","CB","?"))</f>
        <v> </v>
      </c>
      <c r="I461" s="26" t="str">
        <f>IF(OR(E461="",E461="!!!",F461="NEW"),"",INDEX(B460:B$2,-1+SUMPRODUCT(MAX(ROW(E460:E$2)*(E461=E460:E$2)))))</f>
        <v> </v>
      </c>
      <c r="J461" s="26" t="str">
        <f>IF(OR(E461="",E461="!!!",F461="NEW"),"",COUNTBLANK(OFFSET(A$1,,,SUMPRODUCT(MAX(ROW(E$2:E461)*(E461=E$2:E461)))))-COUNTBLANK(OFFSET(A$1,,,SUMPRODUCT(MAX(ROW(E$1:E460)*(E2=E$1:E460))))))</f>
        <v> </v>
      </c>
      <c r="K461" s="26" t="str">
        <f>IF(OR(E461="",E461="!!!",F461="NEW"),"",INDEX(J$1:J460,SUMPRODUCT(MAX(ROW(E$1:E460)*(E461=E$1:E460)))))</f>
        <v> </v>
      </c>
      <c r="L461" s="27"/>
    </row>
    <row r="462" spans="1:12">
      <c r="A462" s="20" t="s">
        <v>548</v>
      </c>
      <c r="E462" s="22">
        <f>IF(D462="?OLD","!!!","")</f>
        <v/>
      </c>
      <c r="F462" s="23" t="str">
        <f>IF(OR(E462="",E462="!!!"),"",IF(NOT(ISNA(VLOOKUP(E462,E$1:E461,1,FALSE()))),"OLD",IF(AND(E462&lt;&gt;"",E462&lt;&gt;"!!!"),"NEW","")))</f>
        <v> </v>
      </c>
      <c r="G462" s="24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5" t="str">
        <f>IF(J462&lt;&gt;1,"",IF(I462="SBJ","CB","?"))</f>
        <v> </v>
      </c>
      <c r="I462" s="26" t="str">
        <f>IF(OR(E462="",E462="!!!",F462="NEW"),"",INDEX(B461:B$2,-1+SUMPRODUCT(MAX(ROW(E461:E$2)*(E462=E461:E$2)))))</f>
        <v> </v>
      </c>
      <c r="J462" s="26" t="str">
        <f>IF(OR(E462="",E462="!!!",F462="NEW"),"",COUNTBLANK(OFFSET(A$1,,,SUMPRODUCT(MAX(ROW(E$2:E462)*(E462=E$2:E462)))))-COUNTBLANK(OFFSET(A$1,,,SUMPRODUCT(MAX(ROW(E$1:E461)*(E2=E$1:E461))))))</f>
        <v> </v>
      </c>
      <c r="K462" s="26" t="str">
        <f>IF(OR(E462="",E462="!!!",F462="NEW"),"",INDEX(J$1:J461,SUMPRODUCT(MAX(ROW(E$1:E461)*(E462=E$1:E461)))))</f>
        <v> </v>
      </c>
      <c r="L462" s="27"/>
    </row>
    <row r="463" spans="1:12">
      <c r="A463" s="20" t="s">
        <v>307</v>
      </c>
      <c r="B463" s="21" t="s">
        <v>340</v>
      </c>
      <c r="C463" s="21" t="s">
        <v>277</v>
      </c>
      <c r="D463" s="21" t="s">
        <v>216</v>
      </c>
      <c r="E463" s="22">
        <f>IF(D463="?OLD","!!!","")</f>
        <v/>
      </c>
      <c r="F463" s="23" t="str">
        <f>IF(OR(E463="",E463="!!!"),"",IF(NOT(ISNA(VLOOKUP(E463,E$1:E462,1,FALSE()))),"OLD",IF(AND(E463&lt;&gt;"",E463&lt;&gt;"!!!"),"NEW","")))</f>
        <v> </v>
      </c>
      <c r="G463" s="24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5" t="str">
        <f>IF(J463&lt;&gt;1,"",IF(I463="SBJ","CB","?"))</f>
        <v> </v>
      </c>
      <c r="I463" s="26" t="str">
        <f>IF(OR(E463="",E463="!!!",F463="NEW"),"",INDEX(B462:B$2,-1+SUMPRODUCT(MAX(ROW(E462:E$2)*(E463=E462:E$2)))))</f>
        <v> </v>
      </c>
      <c r="J463" s="26" t="str">
        <f>IF(OR(E463="",E463="!!!",F463="NEW"),"",COUNTBLANK(OFFSET(A$1,,,SUMPRODUCT(MAX(ROW(E$2:E463)*(E463=E$2:E463)))))-COUNTBLANK(OFFSET(A$1,,,SUMPRODUCT(MAX(ROW(E$1:E462)*(E2=E$1:E462))))))</f>
        <v> </v>
      </c>
      <c r="K463" s="26" t="str">
        <f>IF(OR(E463="",E463="!!!",F463="NEW"),"",INDEX(J$1:J462,SUMPRODUCT(MAX(ROW(E$1:E462)*(E463=E$1:E462)))))</f>
        <v> </v>
      </c>
      <c r="L463" s="27"/>
    </row>
    <row r="464" spans="1:12">
      <c r="A464" s="20" t="s">
        <v>549</v>
      </c>
      <c r="E464" s="22">
        <f>IF(D464="?OLD","!!!","")</f>
        <v/>
      </c>
      <c r="F464" s="23" t="str">
        <f>IF(OR(E464="",E464="!!!"),"",IF(NOT(ISNA(VLOOKUP(E464,E$1:E463,1,FALSE()))),"OLD",IF(AND(E464&lt;&gt;"",E464&lt;&gt;"!!!"),"NEW","")))</f>
        <v> </v>
      </c>
      <c r="G464" s="24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5" t="str">
        <f>IF(J464&lt;&gt;1,"",IF(I464="SBJ","CB","?"))</f>
        <v> </v>
      </c>
      <c r="I464" s="26" t="str">
        <f>IF(OR(E464="",E464="!!!",F464="NEW"),"",INDEX(B463:B$2,-1+SUMPRODUCT(MAX(ROW(E463:E$2)*(E464=E463:E$2)))))</f>
        <v> </v>
      </c>
      <c r="J464" s="26" t="str">
        <f>IF(OR(E464="",E464="!!!",F464="NEW"),"",COUNTBLANK(OFFSET(A$1,,,SUMPRODUCT(MAX(ROW(E$2:E464)*(E464=E$2:E464)))))-COUNTBLANK(OFFSET(A$1,,,SUMPRODUCT(MAX(ROW(E$1:E463)*(E2=E$1:E463))))))</f>
        <v> </v>
      </c>
      <c r="K464" s="26" t="str">
        <f>IF(OR(E464="",E464="!!!",F464="NEW"),"",INDEX(J$1:J463,SUMPRODUCT(MAX(ROW(E$1:E463)*(E464=E$1:E463)))))</f>
        <v> </v>
      </c>
      <c r="L464" s="27"/>
    </row>
    <row r="465" spans="1:12">
      <c r="A465" s="20" t="s">
        <v>237</v>
      </c>
      <c r="E465" s="22">
        <f>IF(D465="?OLD","!!!","")</f>
        <v/>
      </c>
      <c r="F465" s="23" t="str">
        <f>IF(OR(E465="",E465="!!!"),"",IF(NOT(ISNA(VLOOKUP(E465,E$1:E464,1,FALSE()))),"OLD",IF(AND(E465&lt;&gt;"",E465&lt;&gt;"!!!"),"NEW","")))</f>
        <v> </v>
      </c>
      <c r="G465" s="24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5" t="str">
        <f>IF(J465&lt;&gt;1,"",IF(I465="SBJ","CB","?"))</f>
        <v> </v>
      </c>
      <c r="I465" s="26" t="str">
        <f>IF(OR(E465="",E465="!!!",F465="NEW"),"",INDEX(B464:B$2,-1+SUMPRODUCT(MAX(ROW(E464:E$2)*(E465=E464:E$2)))))</f>
        <v> </v>
      </c>
      <c r="J465" s="26" t="str">
        <f>IF(OR(E465="",E465="!!!",F465="NEW"),"",COUNTBLANK(OFFSET(A$1,,,SUMPRODUCT(MAX(ROW(E$2:E465)*(E465=E$2:E465)))))-COUNTBLANK(OFFSET(A$1,,,SUMPRODUCT(MAX(ROW(E$1:E464)*(E2=E$1:E464))))))</f>
        <v> </v>
      </c>
      <c r="K465" s="26" t="str">
        <f>IF(OR(E465="",E465="!!!",F465="NEW"),"",INDEX(J$1:J464,SUMPRODUCT(MAX(ROW(E$1:E464)*(E465=E$1:E464)))))</f>
        <v> </v>
      </c>
      <c r="L465" s="27"/>
    </row>
    <row r="466" spans="1:12">
      <c r="A466" s="20"/>
    </row>
    <row r="467" spans="1:12">
      <c r="A467" s="20" t="s">
        <v>550</v>
      </c>
    </row>
    <row r="468" spans="1:12">
      <c r="A468" s="20" t="s">
        <v>551</v>
      </c>
      <c r="E468" s="22">
        <f>IF(D468="?OLD","!!!","")</f>
        <v/>
      </c>
      <c r="F468" s="23" t="str">
        <f>IF(OR(E468="",E468="!!!"),"",IF(NOT(ISNA(VLOOKUP(E468,E$1:E467,1,FALSE()))),"OLD",IF(AND(E468&lt;&gt;"",E468&lt;&gt;"!!!"),"NEW","")))</f>
        <v> </v>
      </c>
      <c r="G468" s="24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5" t="str">
        <f>IF(J468&lt;&gt;1,"",IF(I468="SBJ","CB","?"))</f>
        <v> </v>
      </c>
      <c r="I468" s="26" t="str">
        <f>IF(OR(E468="",E468="!!!",F468="NEW"),"",INDEX(B467:B$2,-1+SUMPRODUCT(MAX(ROW(E467:E$2)*(E468=E467:E$2)))))</f>
        <v> </v>
      </c>
      <c r="J468" s="26" t="str">
        <f>IF(OR(E468="",E468="!!!",F468="NEW"),"",COUNTBLANK(OFFSET(A$1,,,SUMPRODUCT(MAX(ROW(E$2:E468)*(E468=E$2:E468)))))-COUNTBLANK(OFFSET(A$1,,,SUMPRODUCT(MAX(ROW(E$1:E467)*(E2=E$1:E467))))))</f>
        <v> </v>
      </c>
      <c r="K468" s="26" t="str">
        <f>IF(OR(E468="",E468="!!!",F468="NEW"),"",INDEX(J$1:J467,SUMPRODUCT(MAX(ROW(E$1:E467)*(E468=E$1:E467)))))</f>
        <v> </v>
      </c>
      <c r="L468" s="27"/>
    </row>
    <row r="469" spans="1:12">
      <c r="A469" s="20" t="s">
        <v>343</v>
      </c>
      <c r="E469" s="22">
        <f>IF(D469="?OLD","!!!","")</f>
        <v/>
      </c>
      <c r="F469" s="23" t="str">
        <f>IF(OR(E469="",E469="!!!"),"",IF(NOT(ISNA(VLOOKUP(E469,E$1:E468,1,FALSE()))),"OLD",IF(AND(E469&lt;&gt;"",E469&lt;&gt;"!!!"),"NEW","")))</f>
        <v> </v>
      </c>
      <c r="G469" s="24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5" t="str">
        <f>IF(J469&lt;&gt;1,"",IF(I469="SBJ","CB","?"))</f>
        <v> </v>
      </c>
      <c r="I469" s="26" t="str">
        <f>IF(OR(E469="",E469="!!!",F469="NEW"),"",INDEX(B468:B$2,-1+SUMPRODUCT(MAX(ROW(E468:E$2)*(E469=E468:E$2)))))</f>
        <v> </v>
      </c>
      <c r="J469" s="26" t="str">
        <f>IF(OR(E469="",E469="!!!",F469="NEW"),"",COUNTBLANK(OFFSET(A$1,,,SUMPRODUCT(MAX(ROW(E$2:E469)*(E469=E$2:E469)))))-COUNTBLANK(OFFSET(A$1,,,SUMPRODUCT(MAX(ROW(E$1:E468)*(E2=E$1:E468))))))</f>
        <v> </v>
      </c>
      <c r="K469" s="26" t="str">
        <f>IF(OR(E469="",E469="!!!",F469="NEW"),"",INDEX(J$1:J468,SUMPRODUCT(MAX(ROW(E$1:E468)*(E469=E$1:E468)))))</f>
        <v> </v>
      </c>
      <c r="L469" s="27"/>
    </row>
    <row r="470" spans="1:12">
      <c r="A470" s="20" t="s">
        <v>552</v>
      </c>
      <c r="E470" s="22">
        <f>IF(D470="?OLD","!!!","")</f>
        <v/>
      </c>
      <c r="F470" s="23" t="str">
        <f>IF(OR(E470="",E470="!!!"),"",IF(NOT(ISNA(VLOOKUP(E470,E$1:E469,1,FALSE()))),"OLD",IF(AND(E470&lt;&gt;"",E470&lt;&gt;"!!!"),"NEW","")))</f>
        <v> </v>
      </c>
      <c r="G470" s="24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5" t="str">
        <f>IF(J470&lt;&gt;1,"",IF(I470="SBJ","CB","?"))</f>
        <v> </v>
      </c>
      <c r="I470" s="26" t="str">
        <f>IF(OR(E470="",E470="!!!",F470="NEW"),"",INDEX(B469:B$2,-1+SUMPRODUCT(MAX(ROW(E469:E$2)*(E470=E469:E$2)))))</f>
        <v> </v>
      </c>
      <c r="J470" s="26" t="str">
        <f>IF(OR(E470="",E470="!!!",F470="NEW"),"",COUNTBLANK(OFFSET(A$1,,,SUMPRODUCT(MAX(ROW(E$2:E470)*(E470=E$2:E470)))))-COUNTBLANK(OFFSET(A$1,,,SUMPRODUCT(MAX(ROW(E$1:E469)*(E2=E$1:E469))))))</f>
        <v> </v>
      </c>
      <c r="K470" s="26" t="str">
        <f>IF(OR(E470="",E470="!!!",F470="NEW"),"",INDEX(J$1:J469,SUMPRODUCT(MAX(ROW(E$1:E469)*(E470=E$1:E469)))))</f>
        <v> </v>
      </c>
      <c r="L470" s="27"/>
    </row>
    <row r="471" spans="1:12">
      <c r="A471" s="20" t="s">
        <v>553</v>
      </c>
      <c r="B471" s="21" t="s">
        <v>226</v>
      </c>
      <c r="E471" s="22">
        <f>IF(D471="?OLD","!!!","")</f>
        <v/>
      </c>
      <c r="F471" s="23" t="str">
        <f>IF(OR(E471="",E471="!!!"),"",IF(NOT(ISNA(VLOOKUP(E471,E$1:E470,1,FALSE()))),"OLD",IF(AND(E471&lt;&gt;"",E471&lt;&gt;"!!!"),"NEW","")))</f>
        <v> </v>
      </c>
      <c r="G471" s="24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5" t="str">
        <f>IF(J471&lt;&gt;1,"",IF(I471="SBJ","CB","?"))</f>
        <v> </v>
      </c>
      <c r="I471" s="26" t="str">
        <f>IF(OR(E471="",E471="!!!",F471="NEW"),"",INDEX(B470:B$2,-1+SUMPRODUCT(MAX(ROW(E470:E$2)*(E471=E470:E$2)))))</f>
        <v> </v>
      </c>
      <c r="J471" s="26" t="str">
        <f>IF(OR(E471="",E471="!!!",F471="NEW"),"",COUNTBLANK(OFFSET(A$1,,,SUMPRODUCT(MAX(ROW(E$2:E471)*(E471=E$2:E471)))))-COUNTBLANK(OFFSET(A$1,,,SUMPRODUCT(MAX(ROW(E$1:E470)*(E2=E$1:E470))))))</f>
        <v> </v>
      </c>
      <c r="K471" s="26" t="str">
        <f>IF(OR(E471="",E471="!!!",F471="NEW"),"",INDEX(J$1:J470,SUMPRODUCT(MAX(ROW(E$1:E470)*(E471=E$1:E470)))))</f>
        <v> </v>
      </c>
      <c r="L471" s="27"/>
    </row>
    <row r="472" spans="1:12">
      <c r="A472" s="20" t="s">
        <v>237</v>
      </c>
      <c r="E472" s="22">
        <f>IF(D472="?OLD","!!!","")</f>
        <v/>
      </c>
      <c r="F472" s="23" t="str">
        <f>IF(OR(E472="",E472="!!!"),"",IF(NOT(ISNA(VLOOKUP(E472,E$1:E471,1,FALSE()))),"OLD",IF(AND(E472&lt;&gt;"",E472&lt;&gt;"!!!"),"NEW","")))</f>
        <v> </v>
      </c>
      <c r="G472" s="24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5" t="str">
        <f>IF(J472&lt;&gt;1,"",IF(I472="SBJ","CB","?"))</f>
        <v> </v>
      </c>
      <c r="I472" s="26" t="str">
        <f>IF(OR(E472="",E472="!!!",F472="NEW"),"",INDEX(B471:B$2,-1+SUMPRODUCT(MAX(ROW(E471:E$2)*(E472=E471:E$2)))))</f>
        <v> </v>
      </c>
      <c r="J472" s="26" t="str">
        <f>IF(OR(E472="",E472="!!!",F472="NEW"),"",COUNTBLANK(OFFSET(A$1,,,SUMPRODUCT(MAX(ROW(E$2:E472)*(E472=E$2:E472)))))-COUNTBLANK(OFFSET(A$1,,,SUMPRODUCT(MAX(ROW(E$1:E471)*(E2=E$1:E471))))))</f>
        <v> </v>
      </c>
      <c r="K472" s="26" t="str">
        <f>IF(OR(E472="",E472="!!!",F472="NEW"),"",INDEX(J$1:J471,SUMPRODUCT(MAX(ROW(E$1:E471)*(E472=E$1:E471)))))</f>
        <v> </v>
      </c>
      <c r="L472" s="27"/>
    </row>
    <row r="473" spans="1:12">
      <c r="A473" s="20"/>
    </row>
    <row r="474" spans="1:12">
      <c r="A474" s="20" t="s">
        <v>554</v>
      </c>
    </row>
    <row r="475" spans="1:12">
      <c r="A475" s="20" t="s">
        <v>555</v>
      </c>
      <c r="E475" s="22">
        <f>IF(D475="?OLD","!!!","")</f>
        <v/>
      </c>
      <c r="F475" s="23" t="str">
        <f>IF(OR(E475="",E475="!!!"),"",IF(NOT(ISNA(VLOOKUP(E475,E$1:E474,1,FALSE()))),"OLD",IF(AND(E475&lt;&gt;"",E475&lt;&gt;"!!!"),"NEW","")))</f>
        <v> </v>
      </c>
      <c r="G475" s="24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5" t="str">
        <f>IF(J475&lt;&gt;1,"",IF(I475="SBJ","CB","?"))</f>
        <v> </v>
      </c>
      <c r="I475" s="26" t="str">
        <f>IF(OR(E475="",E475="!!!",F475="NEW"),"",INDEX(B474:B$2,-1+SUMPRODUCT(MAX(ROW(E474:E$2)*(E475=E474:E$2)))))</f>
        <v> </v>
      </c>
      <c r="J475" s="26" t="str">
        <f>IF(OR(E475="",E475="!!!",F475="NEW"),"",COUNTBLANK(OFFSET(A$1,,,SUMPRODUCT(MAX(ROW(E$2:E475)*(E475=E$2:E475)))))-COUNTBLANK(OFFSET(A$1,,,SUMPRODUCT(MAX(ROW(E$1:E474)*(E2=E$1:E474))))))</f>
        <v> </v>
      </c>
      <c r="K475" s="26" t="str">
        <f>IF(OR(E475="",E475="!!!",F475="NEW"),"",INDEX(J$1:J474,SUMPRODUCT(MAX(ROW(E$1:E474)*(E475=E$1:E474)))))</f>
        <v> </v>
      </c>
      <c r="L475" s="27"/>
    </row>
    <row r="476" spans="1:12">
      <c r="A476" s="20" t="s">
        <v>556</v>
      </c>
      <c r="B476" s="21" t="s">
        <v>226</v>
      </c>
      <c r="E476" s="22">
        <f>IF(D476="?OLD","!!!","")</f>
        <v/>
      </c>
      <c r="F476" s="23" t="str">
        <f>IF(OR(E476="",E476="!!!"),"",IF(NOT(ISNA(VLOOKUP(E476,E$1:E475,1,FALSE()))),"OLD",IF(AND(E476&lt;&gt;"",E476&lt;&gt;"!!!"),"NEW","")))</f>
        <v> </v>
      </c>
      <c r="G476" s="24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5" t="str">
        <f>IF(J476&lt;&gt;1,"",IF(I476="SBJ","CB","?"))</f>
        <v> </v>
      </c>
      <c r="I476" s="26" t="str">
        <f>IF(OR(E476="",E476="!!!",F476="NEW"),"",INDEX(B475:B$2,-1+SUMPRODUCT(MAX(ROW(E475:E$2)*(E476=E475:E$2)))))</f>
        <v> </v>
      </c>
      <c r="J476" s="26" t="str">
        <f>IF(OR(E476="",E476="!!!",F476="NEW"),"",COUNTBLANK(OFFSET(A$1,,,SUMPRODUCT(MAX(ROW(E$2:E476)*(E476=E$2:E476)))))-COUNTBLANK(OFFSET(A$1,,,SUMPRODUCT(MAX(ROW(E$1:E475)*(E2=E$1:E475))))))</f>
        <v> </v>
      </c>
      <c r="K476" s="26" t="str">
        <f>IF(OR(E476="",E476="!!!",F476="NEW"),"",INDEX(J$1:J475,SUMPRODUCT(MAX(ROW(E$1:E475)*(E476=E$1:E475)))))</f>
        <v> </v>
      </c>
      <c r="L476" s="27"/>
    </row>
    <row r="477" spans="1:12">
      <c r="A477" s="20" t="s">
        <v>557</v>
      </c>
      <c r="E477" s="22">
        <f>IF(D477="?OLD","!!!","")</f>
        <v/>
      </c>
      <c r="F477" s="23" t="str">
        <f>IF(OR(E477="",E477="!!!"),"",IF(NOT(ISNA(VLOOKUP(E477,E$1:E476,1,FALSE()))),"OLD",IF(AND(E477&lt;&gt;"",E477&lt;&gt;"!!!"),"NEW","")))</f>
        <v> </v>
      </c>
      <c r="G477" s="24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5" t="str">
        <f>IF(J477&lt;&gt;1,"",IF(I477="SBJ","CB","?"))</f>
        <v> </v>
      </c>
      <c r="I477" s="26" t="str">
        <f>IF(OR(E477="",E477="!!!",F477="NEW"),"",INDEX(B476:B$2,-1+SUMPRODUCT(MAX(ROW(E476:E$2)*(E477=E476:E$2)))))</f>
        <v> </v>
      </c>
      <c r="J477" s="26" t="str">
        <f>IF(OR(E477="",E477="!!!",F477="NEW"),"",COUNTBLANK(OFFSET(A$1,,,SUMPRODUCT(MAX(ROW(E$2:E477)*(E477=E$2:E477)))))-COUNTBLANK(OFFSET(A$1,,,SUMPRODUCT(MAX(ROW(E$1:E476)*(E2=E$1:E476))))))</f>
        <v> </v>
      </c>
      <c r="K477" s="26" t="str">
        <f>IF(OR(E477="",E477="!!!",F477="NEW"),"",INDEX(J$1:J476,SUMPRODUCT(MAX(ROW(E$1:E476)*(E477=E$1:E476)))))</f>
        <v> </v>
      </c>
      <c r="L477" s="27"/>
    </row>
    <row r="478" spans="1:12">
      <c r="A478" s="20" t="s">
        <v>558</v>
      </c>
      <c r="E478" s="22">
        <f>IF(D478="?OLD","!!!","")</f>
        <v/>
      </c>
      <c r="F478" s="23" t="str">
        <f>IF(OR(E478="",E478="!!!"),"",IF(NOT(ISNA(VLOOKUP(E478,E$1:E477,1,FALSE()))),"OLD",IF(AND(E478&lt;&gt;"",E478&lt;&gt;"!!!"),"NEW","")))</f>
        <v> </v>
      </c>
      <c r="G478" s="24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5" t="str">
        <f>IF(J478&lt;&gt;1,"",IF(I478="SBJ","CB","?"))</f>
        <v> </v>
      </c>
      <c r="I478" s="26" t="str">
        <f>IF(OR(E478="",E478="!!!",F478="NEW"),"",INDEX(B477:B$2,-1+SUMPRODUCT(MAX(ROW(E477:E$2)*(E478=E477:E$2)))))</f>
        <v> </v>
      </c>
      <c r="J478" s="26" t="str">
        <f>IF(OR(E478="",E478="!!!",F478="NEW"),"",COUNTBLANK(OFFSET(A$1,,,SUMPRODUCT(MAX(ROW(E$2:E478)*(E478=E$2:E478)))))-COUNTBLANK(OFFSET(A$1,,,SUMPRODUCT(MAX(ROW(E$1:E477)*(E2=E$1:E477))))))</f>
        <v> </v>
      </c>
      <c r="K478" s="26" t="str">
        <f>IF(OR(E478="",E478="!!!",F478="NEW"),"",INDEX(J$1:J477,SUMPRODUCT(MAX(ROW(E$1:E477)*(E478=E$1:E477)))))</f>
        <v> </v>
      </c>
      <c r="L478" s="27"/>
    </row>
    <row r="479" spans="1:12">
      <c r="A479" s="20" t="s">
        <v>327</v>
      </c>
      <c r="E479" s="22">
        <f>IF(D479="?OLD","!!!","")</f>
        <v/>
      </c>
      <c r="F479" s="23" t="str">
        <f>IF(OR(E479="",E479="!!!"),"",IF(NOT(ISNA(VLOOKUP(E479,E$1:E478,1,FALSE()))),"OLD",IF(AND(E479&lt;&gt;"",E479&lt;&gt;"!!!"),"NEW","")))</f>
        <v> </v>
      </c>
      <c r="G479" s="24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5" t="str">
        <f>IF(J479&lt;&gt;1,"",IF(I479="SBJ","CB","?"))</f>
        <v> </v>
      </c>
      <c r="I479" s="26" t="str">
        <f>IF(OR(E479="",E479="!!!",F479="NEW"),"",INDEX(B478:B$2,-1+SUMPRODUCT(MAX(ROW(E478:E$2)*(E479=E478:E$2)))))</f>
        <v> </v>
      </c>
      <c r="J479" s="26" t="str">
        <f>IF(OR(E479="",E479="!!!",F479="NEW"),"",COUNTBLANK(OFFSET(A$1,,,SUMPRODUCT(MAX(ROW(E$2:E479)*(E479=E$2:E479)))))-COUNTBLANK(OFFSET(A$1,,,SUMPRODUCT(MAX(ROW(E$1:E478)*(E2=E$1:E478))))))</f>
        <v> </v>
      </c>
      <c r="K479" s="26" t="str">
        <f>IF(OR(E479="",E479="!!!",F479="NEW"),"",INDEX(J$1:J478,SUMPRODUCT(MAX(ROW(E$1:E478)*(E479=E$1:E478)))))</f>
        <v> </v>
      </c>
      <c r="L479" s="27"/>
    </row>
    <row r="480" spans="1:12">
      <c r="A480" s="20" t="s">
        <v>559</v>
      </c>
      <c r="E480" s="22">
        <f>IF(D480="?OLD","!!!","")</f>
        <v/>
      </c>
      <c r="F480" s="23" t="str">
        <f>IF(OR(E480="",E480="!!!"),"",IF(NOT(ISNA(VLOOKUP(E480,E$1:E479,1,FALSE()))),"OLD",IF(AND(E480&lt;&gt;"",E480&lt;&gt;"!!!"),"NEW","")))</f>
        <v> </v>
      </c>
      <c r="G480" s="24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5" t="str">
        <f>IF(J480&lt;&gt;1,"",IF(I480="SBJ","CB","?"))</f>
        <v> </v>
      </c>
      <c r="I480" s="26" t="str">
        <f>IF(OR(E480="",E480="!!!",F480="NEW"),"",INDEX(B479:B$2,-1+SUMPRODUCT(MAX(ROW(E479:E$2)*(E480=E479:E$2)))))</f>
        <v> </v>
      </c>
      <c r="J480" s="26" t="str">
        <f>IF(OR(E480="",E480="!!!",F480="NEW"),"",COUNTBLANK(OFFSET(A$1,,,SUMPRODUCT(MAX(ROW(E$2:E480)*(E480=E$2:E480)))))-COUNTBLANK(OFFSET(A$1,,,SUMPRODUCT(MAX(ROW(E$1:E479)*(E2=E$1:E479))))))</f>
        <v> </v>
      </c>
      <c r="K480" s="26" t="str">
        <f>IF(OR(E480="",E480="!!!",F480="NEW"),"",INDEX(J$1:J479,SUMPRODUCT(MAX(ROW(E$1:E479)*(E480=E$1:E479)))))</f>
        <v> </v>
      </c>
      <c r="L480" s="27"/>
    </row>
    <row r="481" spans="1:12">
      <c r="A481" s="20" t="s">
        <v>560</v>
      </c>
      <c r="E481" s="22">
        <f>IF(D481="?OLD","!!!","")</f>
        <v/>
      </c>
      <c r="F481" s="23" t="str">
        <f>IF(OR(E481="",E481="!!!"),"",IF(NOT(ISNA(VLOOKUP(E481,E$1:E480,1,FALSE()))),"OLD",IF(AND(E481&lt;&gt;"",E481&lt;&gt;"!!!"),"NEW","")))</f>
        <v> </v>
      </c>
      <c r="G481" s="24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5" t="str">
        <f>IF(J481&lt;&gt;1,"",IF(I481="SBJ","CB","?"))</f>
        <v> </v>
      </c>
      <c r="I481" s="26" t="str">
        <f>IF(OR(E481="",E481="!!!",F481="NEW"),"",INDEX(B480:B$2,-1+SUMPRODUCT(MAX(ROW(E480:E$2)*(E481=E480:E$2)))))</f>
        <v> </v>
      </c>
      <c r="J481" s="26" t="str">
        <f>IF(OR(E481="",E481="!!!",F481="NEW"),"",COUNTBLANK(OFFSET(A$1,,,SUMPRODUCT(MAX(ROW(E$2:E481)*(E481=E$2:E481)))))-COUNTBLANK(OFFSET(A$1,,,SUMPRODUCT(MAX(ROW(E$1:E480)*(E2=E$1:E480))))))</f>
        <v> </v>
      </c>
      <c r="K481" s="26" t="str">
        <f>IF(OR(E481="",E481="!!!",F481="NEW"),"",INDEX(J$1:J480,SUMPRODUCT(MAX(ROW(E$1:E480)*(E481=E$1:E480)))))</f>
        <v> </v>
      </c>
      <c r="L481" s="27"/>
    </row>
    <row r="482" spans="1:12">
      <c r="A482" s="20" t="s">
        <v>351</v>
      </c>
      <c r="E482" s="22">
        <f>IF(D482="?OLD","!!!","")</f>
        <v/>
      </c>
      <c r="F482" s="23" t="str">
        <f>IF(OR(E482="",E482="!!!"),"",IF(NOT(ISNA(VLOOKUP(E482,E$1:E481,1,FALSE()))),"OLD",IF(AND(E482&lt;&gt;"",E482&lt;&gt;"!!!"),"NEW","")))</f>
        <v> </v>
      </c>
      <c r="G482" s="24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5" t="str">
        <f>IF(J482&lt;&gt;1,"",IF(I482="SBJ","CB","?"))</f>
        <v> </v>
      </c>
      <c r="I482" s="26" t="str">
        <f>IF(OR(E482="",E482="!!!",F482="NEW"),"",INDEX(B481:B$2,-1+SUMPRODUCT(MAX(ROW(E481:E$2)*(E482=E481:E$2)))))</f>
        <v> </v>
      </c>
      <c r="J482" s="26" t="str">
        <f>IF(OR(E482="",E482="!!!",F482="NEW"),"",COUNTBLANK(OFFSET(A$1,,,SUMPRODUCT(MAX(ROW(E$2:E482)*(E482=E$2:E482)))))-COUNTBLANK(OFFSET(A$1,,,SUMPRODUCT(MAX(ROW(E$1:E481)*(E2=E$1:E481))))))</f>
        <v> </v>
      </c>
      <c r="K482" s="26" t="str">
        <f>IF(OR(E482="",E482="!!!",F482="NEW"),"",INDEX(J$1:J481,SUMPRODUCT(MAX(ROW(E$1:E481)*(E482=E$1:E481)))))</f>
        <v> </v>
      </c>
      <c r="L482" s="27"/>
    </row>
    <row r="483" spans="1:12">
      <c r="A483" s="20" t="s">
        <v>561</v>
      </c>
      <c r="E483" s="22">
        <f>IF(D483="?OLD","!!!","")</f>
        <v/>
      </c>
      <c r="F483" s="23" t="str">
        <f>IF(OR(E483="",E483="!!!"),"",IF(NOT(ISNA(VLOOKUP(E483,E$1:E482,1,FALSE()))),"OLD",IF(AND(E483&lt;&gt;"",E483&lt;&gt;"!!!"),"NEW","")))</f>
        <v> </v>
      </c>
      <c r="G483" s="24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5" t="str">
        <f>IF(J483&lt;&gt;1,"",IF(I483="SBJ","CB","?"))</f>
        <v> </v>
      </c>
      <c r="I483" s="26" t="str">
        <f>IF(OR(E483="",E483="!!!",F483="NEW"),"",INDEX(B482:B$2,-1+SUMPRODUCT(MAX(ROW(E482:E$2)*(E483=E482:E$2)))))</f>
        <v> </v>
      </c>
      <c r="J483" s="26" t="str">
        <f>IF(OR(E483="",E483="!!!",F483="NEW"),"",COUNTBLANK(OFFSET(A$1,,,SUMPRODUCT(MAX(ROW(E$2:E483)*(E483=E$2:E483)))))-COUNTBLANK(OFFSET(A$1,,,SUMPRODUCT(MAX(ROW(E$1:E482)*(E2=E$1:E482))))))</f>
        <v> </v>
      </c>
      <c r="K483" s="26" t="str">
        <f>IF(OR(E483="",E483="!!!",F483="NEW"),"",INDEX(J$1:J482,SUMPRODUCT(MAX(ROW(E$1:E482)*(E483=E$1:E482)))))</f>
        <v> </v>
      </c>
      <c r="L483" s="27"/>
    </row>
    <row r="484" spans="1:12">
      <c r="A484" s="20" t="s">
        <v>562</v>
      </c>
      <c r="E484" s="22">
        <f>IF(D484="?OLD","!!!","")</f>
        <v/>
      </c>
      <c r="F484" s="23" t="str">
        <f>IF(OR(E484="",E484="!!!"),"",IF(NOT(ISNA(VLOOKUP(E484,E$1:E483,1,FALSE()))),"OLD",IF(AND(E484&lt;&gt;"",E484&lt;&gt;"!!!"),"NEW","")))</f>
        <v> </v>
      </c>
      <c r="G484" s="24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5" t="str">
        <f>IF(J484&lt;&gt;1,"",IF(I484="SBJ","CB","?"))</f>
        <v> </v>
      </c>
      <c r="I484" s="26" t="str">
        <f>IF(OR(E484="",E484="!!!",F484="NEW"),"",INDEX(B483:B$2,-1+SUMPRODUCT(MAX(ROW(E483:E$2)*(E484=E483:E$2)))))</f>
        <v> </v>
      </c>
      <c r="J484" s="26" t="str">
        <f>IF(OR(E484="",E484="!!!",F484="NEW"),"",COUNTBLANK(OFFSET(A$1,,,SUMPRODUCT(MAX(ROW(E$2:E484)*(E484=E$2:E484)))))-COUNTBLANK(OFFSET(A$1,,,SUMPRODUCT(MAX(ROW(E$1:E483)*(E2=E$1:E483))))))</f>
        <v> </v>
      </c>
      <c r="K484" s="26" t="str">
        <f>IF(OR(E484="",E484="!!!",F484="NEW"),"",INDEX(J$1:J483,SUMPRODUCT(MAX(ROW(E$1:E483)*(E484=E$1:E483)))))</f>
        <v> </v>
      </c>
      <c r="L484" s="27"/>
    </row>
    <row r="485" spans="1:12">
      <c r="A485" s="20" t="s">
        <v>230</v>
      </c>
      <c r="E485" s="22">
        <f>IF(D485="?OLD","!!!","")</f>
        <v/>
      </c>
      <c r="F485" s="23" t="str">
        <f>IF(OR(E485="",E485="!!!"),"",IF(NOT(ISNA(VLOOKUP(E485,E$1:E484,1,FALSE()))),"OLD",IF(AND(E485&lt;&gt;"",E485&lt;&gt;"!!!"),"NEW","")))</f>
        <v> </v>
      </c>
      <c r="G485" s="24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5" t="str">
        <f>IF(J485&lt;&gt;1,"",IF(I485="SBJ","CB","?"))</f>
        <v> </v>
      </c>
      <c r="I485" s="26" t="str">
        <f>IF(OR(E485="",E485="!!!",F485="NEW"),"",INDEX(B484:B$2,-1+SUMPRODUCT(MAX(ROW(E484:E$2)*(E485=E484:E$2)))))</f>
        <v> </v>
      </c>
      <c r="J485" s="26" t="str">
        <f>IF(OR(E485="",E485="!!!",F485="NEW"),"",COUNTBLANK(OFFSET(A$1,,,SUMPRODUCT(MAX(ROW(E$2:E485)*(E485=E$2:E485)))))-COUNTBLANK(OFFSET(A$1,,,SUMPRODUCT(MAX(ROW(E$1:E484)*(E2=E$1:E484))))))</f>
        <v> </v>
      </c>
      <c r="K485" s="26" t="str">
        <f>IF(OR(E485="",E485="!!!",F485="NEW"),"",INDEX(J$1:J484,SUMPRODUCT(MAX(ROW(E$1:E484)*(E485=E$1:E484)))))</f>
        <v> </v>
      </c>
      <c r="L485" s="27"/>
    </row>
    <row r="486" spans="1:12">
      <c r="A486" s="20" t="s">
        <v>563</v>
      </c>
      <c r="B486" s="21" t="s">
        <v>532</v>
      </c>
      <c r="C486" s="21" t="s">
        <v>233</v>
      </c>
      <c r="E486" s="22">
        <f>IF(D486="?OLD","!!!","")</f>
        <v/>
      </c>
      <c r="F486" s="23" t="str">
        <f>IF(OR(E486="",E486="!!!"),"",IF(NOT(ISNA(VLOOKUP(E486,E$1:E485,1,FALSE()))),"OLD",IF(AND(E486&lt;&gt;"",E486&lt;&gt;"!!!"),"NEW","")))</f>
        <v> </v>
      </c>
      <c r="G486" s="24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5" t="str">
        <f>IF(J486&lt;&gt;1,"",IF(I486="SBJ","CB","?"))</f>
        <v> </v>
      </c>
      <c r="I486" s="26" t="str">
        <f>IF(OR(E486="",E486="!!!",F486="NEW"),"",INDEX(B485:B$2,-1+SUMPRODUCT(MAX(ROW(E485:E$2)*(E486=E485:E$2)))))</f>
        <v> </v>
      </c>
      <c r="J486" s="26" t="str">
        <f>IF(OR(E486="",E486="!!!",F486="NEW"),"",COUNTBLANK(OFFSET(A$1,,,SUMPRODUCT(MAX(ROW(E$2:E486)*(E486=E$2:E486)))))-COUNTBLANK(OFFSET(A$1,,,SUMPRODUCT(MAX(ROW(E$1:E485)*(E2=E$1:E485))))))</f>
        <v> </v>
      </c>
      <c r="K486" s="26" t="str">
        <f>IF(OR(E486="",E486="!!!",F486="NEW"),"",INDEX(J$1:J485,SUMPRODUCT(MAX(ROW(E$1:E485)*(E486=E$1:E485)))))</f>
        <v> </v>
      </c>
      <c r="L486" s="27"/>
    </row>
    <row r="487" spans="1:12">
      <c r="A487" s="20" t="s">
        <v>564</v>
      </c>
      <c r="E487" s="22">
        <f>IF(D487="?OLD","!!!","")</f>
        <v/>
      </c>
      <c r="F487" s="23" t="str">
        <f>IF(OR(E487="",E487="!!!"),"",IF(NOT(ISNA(VLOOKUP(E487,E$1:E486,1,FALSE()))),"OLD",IF(AND(E487&lt;&gt;"",E487&lt;&gt;"!!!"),"NEW","")))</f>
        <v> </v>
      </c>
      <c r="G487" s="24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5" t="str">
        <f>IF(J487&lt;&gt;1,"",IF(I487="SBJ","CB","?"))</f>
        <v> </v>
      </c>
      <c r="I487" s="26" t="str">
        <f>IF(OR(E487="",E487="!!!",F487="NEW"),"",INDEX(B486:B$2,-1+SUMPRODUCT(MAX(ROW(E486:E$2)*(E487=E486:E$2)))))</f>
        <v> </v>
      </c>
      <c r="J487" s="26" t="str">
        <f>IF(OR(E487="",E487="!!!",F487="NEW"),"",COUNTBLANK(OFFSET(A$1,,,SUMPRODUCT(MAX(ROW(E$2:E487)*(E487=E$2:E487)))))-COUNTBLANK(OFFSET(A$1,,,SUMPRODUCT(MAX(ROW(E$1:E486)*(E2=E$1:E486))))))</f>
        <v> </v>
      </c>
      <c r="K487" s="26" t="str">
        <f>IF(OR(E487="",E487="!!!",F487="NEW"),"",INDEX(J$1:J486,SUMPRODUCT(MAX(ROW(E$1:E486)*(E487=E$1:E486)))))</f>
        <v> </v>
      </c>
      <c r="L487" s="27"/>
    </row>
    <row r="488" spans="1:12">
      <c r="A488" s="20" t="s">
        <v>565</v>
      </c>
      <c r="E488" s="22">
        <f>IF(D488="?OLD","!!!","")</f>
        <v/>
      </c>
      <c r="F488" s="23" t="str">
        <f>IF(OR(E488="",E488="!!!"),"",IF(NOT(ISNA(VLOOKUP(E488,E$1:E487,1,FALSE()))),"OLD",IF(AND(E488&lt;&gt;"",E488&lt;&gt;"!!!"),"NEW","")))</f>
        <v> </v>
      </c>
      <c r="G488" s="24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5" t="str">
        <f>IF(J488&lt;&gt;1,"",IF(I488="SBJ","CB","?"))</f>
        <v> </v>
      </c>
      <c r="I488" s="26" t="str">
        <f>IF(OR(E488="",E488="!!!",F488="NEW"),"",INDEX(B487:B$2,-1+SUMPRODUCT(MAX(ROW(E487:E$2)*(E488=E487:E$2)))))</f>
        <v> </v>
      </c>
      <c r="J488" s="26" t="str">
        <f>IF(OR(E488="",E488="!!!",F488="NEW"),"",COUNTBLANK(OFFSET(A$1,,,SUMPRODUCT(MAX(ROW(E$2:E488)*(E488=E$2:E488)))))-COUNTBLANK(OFFSET(A$1,,,SUMPRODUCT(MAX(ROW(E$1:E487)*(E2=E$1:E487))))))</f>
        <v> </v>
      </c>
      <c r="K488" s="26" t="str">
        <f>IF(OR(E488="",E488="!!!",F488="NEW"),"",INDEX(J$1:J487,SUMPRODUCT(MAX(ROW(E$1:E487)*(E488=E$1:E487)))))</f>
        <v> </v>
      </c>
      <c r="L488" s="27"/>
    </row>
    <row r="489" spans="1:12">
      <c r="A489" s="20" t="s">
        <v>566</v>
      </c>
      <c r="E489" s="22">
        <f>IF(D489="?OLD","!!!","")</f>
        <v/>
      </c>
      <c r="F489" s="23" t="str">
        <f>IF(OR(E489="",E489="!!!"),"",IF(NOT(ISNA(VLOOKUP(E489,E$1:E488,1,FALSE()))),"OLD",IF(AND(E489&lt;&gt;"",E489&lt;&gt;"!!!"),"NEW","")))</f>
        <v> </v>
      </c>
      <c r="G489" s="24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5" t="str">
        <f>IF(J489&lt;&gt;1,"",IF(I489="SBJ","CB","?"))</f>
        <v> </v>
      </c>
      <c r="I489" s="26" t="str">
        <f>IF(OR(E489="",E489="!!!",F489="NEW"),"",INDEX(B488:B$2,-1+SUMPRODUCT(MAX(ROW(E488:E$2)*(E489=E488:E$2)))))</f>
        <v> </v>
      </c>
      <c r="J489" s="26" t="str">
        <f>IF(OR(E489="",E489="!!!",F489="NEW"),"",COUNTBLANK(OFFSET(A$1,,,SUMPRODUCT(MAX(ROW(E$2:E489)*(E489=E$2:E489)))))-COUNTBLANK(OFFSET(A$1,,,SUMPRODUCT(MAX(ROW(E$1:E488)*(E2=E$1:E488))))))</f>
        <v> </v>
      </c>
      <c r="K489" s="26" t="str">
        <f>IF(OR(E489="",E489="!!!",F489="NEW"),"",INDEX(J$1:J488,SUMPRODUCT(MAX(ROW(E$1:E488)*(E489=E$1:E488)))))</f>
        <v> </v>
      </c>
      <c r="L489" s="27"/>
    </row>
    <row r="490" spans="1:12">
      <c r="A490" s="20" t="s">
        <v>567</v>
      </c>
      <c r="B490" s="21" t="s">
        <v>274</v>
      </c>
      <c r="C490" s="21" t="s">
        <v>331</v>
      </c>
      <c r="E490" s="22">
        <f>IF(D490="?OLD","!!!","")</f>
        <v/>
      </c>
      <c r="F490" s="23" t="str">
        <f>IF(OR(E490="",E490="!!!"),"",IF(NOT(ISNA(VLOOKUP(E490,E$1:E489,1,FALSE()))),"OLD",IF(AND(E490&lt;&gt;"",E490&lt;&gt;"!!!"),"NEW","")))</f>
        <v> </v>
      </c>
      <c r="G490" s="24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5" t="str">
        <f>IF(J490&lt;&gt;1,"",IF(I490="SBJ","CB","?"))</f>
        <v> </v>
      </c>
      <c r="I490" s="26" t="str">
        <f>IF(OR(E490="",E490="!!!",F490="NEW"),"",INDEX(B489:B$2,-1+SUMPRODUCT(MAX(ROW(E489:E$2)*(E490=E489:E$2)))))</f>
        <v> </v>
      </c>
      <c r="J490" s="26" t="str">
        <f>IF(OR(E490="",E490="!!!",F490="NEW"),"",COUNTBLANK(OFFSET(A$1,,,SUMPRODUCT(MAX(ROW(E$2:E490)*(E490=E$2:E490)))))-COUNTBLANK(OFFSET(A$1,,,SUMPRODUCT(MAX(ROW(E$1:E489)*(E2=E$1:E489))))))</f>
        <v> </v>
      </c>
      <c r="K490" s="26" t="str">
        <f>IF(OR(E490="",E490="!!!",F490="NEW"),"",INDEX(J$1:J489,SUMPRODUCT(MAX(ROW(E$1:E489)*(E490=E$1:E489)))))</f>
        <v> </v>
      </c>
      <c r="L490" s="27"/>
    </row>
    <row r="491" spans="1:12">
      <c r="A491" s="20" t="s">
        <v>568</v>
      </c>
      <c r="E491" s="22">
        <f>IF(D491="?OLD","!!!","")</f>
        <v/>
      </c>
      <c r="F491" s="23" t="str">
        <f>IF(OR(E491="",E491="!!!"),"",IF(NOT(ISNA(VLOOKUP(E491,E$1:E490,1,FALSE()))),"OLD",IF(AND(E491&lt;&gt;"",E491&lt;&gt;"!!!"),"NEW","")))</f>
        <v> </v>
      </c>
      <c r="G491" s="24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5" t="str">
        <f>IF(J491&lt;&gt;1,"",IF(I491="SBJ","CB","?"))</f>
        <v> </v>
      </c>
      <c r="I491" s="26" t="str">
        <f>IF(OR(E491="",E491="!!!",F491="NEW"),"",INDEX(B490:B$2,-1+SUMPRODUCT(MAX(ROW(E490:E$2)*(E491=E490:E$2)))))</f>
        <v> </v>
      </c>
      <c r="J491" s="26" t="str">
        <f>IF(OR(E491="",E491="!!!",F491="NEW"),"",COUNTBLANK(OFFSET(A$1,,,SUMPRODUCT(MAX(ROW(E$2:E491)*(E491=E$2:E491)))))-COUNTBLANK(OFFSET(A$1,,,SUMPRODUCT(MAX(ROW(E$1:E490)*(E2=E$1:E490))))))</f>
        <v> </v>
      </c>
      <c r="K491" s="26" t="str">
        <f>IF(OR(E491="",E491="!!!",F491="NEW"),"",INDEX(J$1:J490,SUMPRODUCT(MAX(ROW(E$1:E490)*(E491=E$1:E490)))))</f>
        <v> </v>
      </c>
      <c r="L491" s="27"/>
    </row>
    <row r="492" spans="1:12">
      <c r="A492" s="20" t="s">
        <v>569</v>
      </c>
      <c r="E492" s="22">
        <f>IF(D492="?OLD","!!!","")</f>
        <v/>
      </c>
      <c r="F492" s="23" t="str">
        <f>IF(OR(E492="",E492="!!!"),"",IF(NOT(ISNA(VLOOKUP(E492,E$1:E491,1,FALSE()))),"OLD",IF(AND(E492&lt;&gt;"",E492&lt;&gt;"!!!"),"NEW","")))</f>
        <v> </v>
      </c>
      <c r="G492" s="24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5" t="str">
        <f>IF(J492&lt;&gt;1,"",IF(I492="SBJ","CB","?"))</f>
        <v> </v>
      </c>
      <c r="I492" s="26" t="str">
        <f>IF(OR(E492="",E492="!!!",F492="NEW"),"",INDEX(B491:B$2,-1+SUMPRODUCT(MAX(ROW(E491:E$2)*(E492=E491:E$2)))))</f>
        <v> </v>
      </c>
      <c r="J492" s="26" t="str">
        <f>IF(OR(E492="",E492="!!!",F492="NEW"),"",COUNTBLANK(OFFSET(A$1,,,SUMPRODUCT(MAX(ROW(E$2:E492)*(E492=E$2:E492)))))-COUNTBLANK(OFFSET(A$1,,,SUMPRODUCT(MAX(ROW(E$1:E491)*(E2=E$1:E491))))))</f>
        <v> </v>
      </c>
      <c r="K492" s="26" t="str">
        <f>IF(OR(E492="",E492="!!!",F492="NEW"),"",INDEX(J$1:J491,SUMPRODUCT(MAX(ROW(E$1:E491)*(E492=E$1:E491)))))</f>
        <v> </v>
      </c>
      <c r="L492" s="27"/>
    </row>
    <row r="493" spans="1:12">
      <c r="A493" s="20" t="s">
        <v>351</v>
      </c>
      <c r="E493" s="22">
        <f>IF(D493="?OLD","!!!","")</f>
        <v/>
      </c>
      <c r="F493" s="23" t="str">
        <f>IF(OR(E493="",E493="!!!"),"",IF(NOT(ISNA(VLOOKUP(E493,E$1:E492,1,FALSE()))),"OLD",IF(AND(E493&lt;&gt;"",E493&lt;&gt;"!!!"),"NEW","")))</f>
        <v> </v>
      </c>
      <c r="G493" s="24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5" t="str">
        <f>IF(J493&lt;&gt;1,"",IF(I493="SBJ","CB","?"))</f>
        <v> </v>
      </c>
      <c r="I493" s="26" t="str">
        <f>IF(OR(E493="",E493="!!!",F493="NEW"),"",INDEX(B492:B$2,-1+SUMPRODUCT(MAX(ROW(E492:E$2)*(E493=E492:E$2)))))</f>
        <v> </v>
      </c>
      <c r="J493" s="26" t="str">
        <f>IF(OR(E493="",E493="!!!",F493="NEW"),"",COUNTBLANK(OFFSET(A$1,,,SUMPRODUCT(MAX(ROW(E$2:E493)*(E493=E$2:E493)))))-COUNTBLANK(OFFSET(A$1,,,SUMPRODUCT(MAX(ROW(E$1:E492)*(E2=E$1:E492))))))</f>
        <v> </v>
      </c>
      <c r="K493" s="26" t="str">
        <f>IF(OR(E493="",E493="!!!",F493="NEW"),"",INDEX(J$1:J492,SUMPRODUCT(MAX(ROW(E$1:E492)*(E493=E$1:E492)))))</f>
        <v> </v>
      </c>
      <c r="L493" s="27"/>
    </row>
    <row r="494" spans="1:12">
      <c r="A494" s="20" t="s">
        <v>570</v>
      </c>
      <c r="E494" s="22">
        <f>IF(D494="?OLD","!!!","")</f>
        <v/>
      </c>
      <c r="F494" s="23" t="str">
        <f>IF(OR(E494="",E494="!!!"),"",IF(NOT(ISNA(VLOOKUP(E494,E$1:E493,1,FALSE()))),"OLD",IF(AND(E494&lt;&gt;"",E494&lt;&gt;"!!!"),"NEW","")))</f>
        <v> </v>
      </c>
      <c r="G494" s="24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5" t="str">
        <f>IF(J494&lt;&gt;1,"",IF(I494="SBJ","CB","?"))</f>
        <v> </v>
      </c>
      <c r="I494" s="26" t="str">
        <f>IF(OR(E494="",E494="!!!",F494="NEW"),"",INDEX(B493:B$2,-1+SUMPRODUCT(MAX(ROW(E493:E$2)*(E494=E493:E$2)))))</f>
        <v> </v>
      </c>
      <c r="J494" s="26" t="str">
        <f>IF(OR(E494="",E494="!!!",F494="NEW"),"",COUNTBLANK(OFFSET(A$1,,,SUMPRODUCT(MAX(ROW(E$2:E494)*(E494=E$2:E494)))))-COUNTBLANK(OFFSET(A$1,,,SUMPRODUCT(MAX(ROW(E$1:E493)*(E2=E$1:E493))))))</f>
        <v> </v>
      </c>
      <c r="K494" s="26" t="str">
        <f>IF(OR(E494="",E494="!!!",F494="NEW"),"",INDEX(J$1:J493,SUMPRODUCT(MAX(ROW(E$1:E493)*(E494=E$1:E493)))))</f>
        <v> </v>
      </c>
      <c r="L494" s="27"/>
    </row>
    <row r="495" spans="1:12">
      <c r="A495" s="20" t="s">
        <v>571</v>
      </c>
      <c r="E495" s="22">
        <f>IF(D495="?OLD","!!!","")</f>
        <v/>
      </c>
      <c r="F495" s="23" t="str">
        <f>IF(OR(E495="",E495="!!!"),"",IF(NOT(ISNA(VLOOKUP(E495,E$1:E494,1,FALSE()))),"OLD",IF(AND(E495&lt;&gt;"",E495&lt;&gt;"!!!"),"NEW","")))</f>
        <v> </v>
      </c>
      <c r="G495" s="24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5" t="str">
        <f>IF(J495&lt;&gt;1,"",IF(I495="SBJ","CB","?"))</f>
        <v> </v>
      </c>
      <c r="I495" s="26" t="str">
        <f>IF(OR(E495="",E495="!!!",F495="NEW"),"",INDEX(B494:B$2,-1+SUMPRODUCT(MAX(ROW(E494:E$2)*(E495=E494:E$2)))))</f>
        <v> </v>
      </c>
      <c r="J495" s="26" t="str">
        <f>IF(OR(E495="",E495="!!!",F495="NEW"),"",COUNTBLANK(OFFSET(A$1,,,SUMPRODUCT(MAX(ROW(E$2:E495)*(E495=E$2:E495)))))-COUNTBLANK(OFFSET(A$1,,,SUMPRODUCT(MAX(ROW(E$1:E494)*(E2=E$1:E494))))))</f>
        <v> </v>
      </c>
      <c r="K495" s="26" t="str">
        <f>IF(OR(E495="",E495="!!!",F495="NEW"),"",INDEX(J$1:J494,SUMPRODUCT(MAX(ROW(E$1:E494)*(E495=E$1:E494)))))</f>
        <v> </v>
      </c>
      <c r="L495" s="27"/>
    </row>
    <row r="496" spans="1:12">
      <c r="A496" s="20" t="s">
        <v>572</v>
      </c>
      <c r="E496" s="22">
        <f>IF(D496="?OLD","!!!","")</f>
        <v/>
      </c>
      <c r="F496" s="23" t="str">
        <f>IF(OR(E496="",E496="!!!"),"",IF(NOT(ISNA(VLOOKUP(E496,E$1:E495,1,FALSE()))),"OLD",IF(AND(E496&lt;&gt;"",E496&lt;&gt;"!!!"),"NEW","")))</f>
        <v> </v>
      </c>
      <c r="G496" s="24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5" t="str">
        <f>IF(J496&lt;&gt;1,"",IF(I496="SBJ","CB","?"))</f>
        <v> </v>
      </c>
      <c r="I496" s="26" t="str">
        <f>IF(OR(E496="",E496="!!!",F496="NEW"),"",INDEX(B495:B$2,-1+SUMPRODUCT(MAX(ROW(E495:E$2)*(E496=E495:E$2)))))</f>
        <v> </v>
      </c>
      <c r="J496" s="26" t="str">
        <f>IF(OR(E496="",E496="!!!",F496="NEW"),"",COUNTBLANK(OFFSET(A$1,,,SUMPRODUCT(MAX(ROW(E$2:E496)*(E496=E$2:E496)))))-COUNTBLANK(OFFSET(A$1,,,SUMPRODUCT(MAX(ROW(E$1:E495)*(E2=E$1:E495))))))</f>
        <v> </v>
      </c>
      <c r="K496" s="26" t="str">
        <f>IF(OR(E496="",E496="!!!",F496="NEW"),"",INDEX(J$1:J495,SUMPRODUCT(MAX(ROW(E$1:E495)*(E496=E$1:E495)))))</f>
        <v> </v>
      </c>
      <c r="L496" s="27"/>
    </row>
    <row r="497" spans="1:12">
      <c r="A497" s="20" t="s">
        <v>237</v>
      </c>
      <c r="E497" s="22">
        <f>IF(D497="?OLD","!!!","")</f>
        <v/>
      </c>
      <c r="F497" s="23" t="str">
        <f>IF(OR(E497="",E497="!!!"),"",IF(NOT(ISNA(VLOOKUP(E497,E$1:E496,1,FALSE()))),"OLD",IF(AND(E497&lt;&gt;"",E497&lt;&gt;"!!!"),"NEW","")))</f>
        <v> </v>
      </c>
      <c r="G497" s="24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5" t="str">
        <f>IF(J497&lt;&gt;1,"",IF(I497="SBJ","CB","?"))</f>
        <v> </v>
      </c>
      <c r="I497" s="26" t="str">
        <f>IF(OR(E497="",E497="!!!",F497="NEW"),"",INDEX(B496:B$2,-1+SUMPRODUCT(MAX(ROW(E496:E$2)*(E497=E496:E$2)))))</f>
        <v> </v>
      </c>
      <c r="J497" s="26" t="str">
        <f>IF(OR(E497="",E497="!!!",F497="NEW"),"",COUNTBLANK(OFFSET(A$1,,,SUMPRODUCT(MAX(ROW(E$2:E497)*(E497=E$2:E497)))))-COUNTBLANK(OFFSET(A$1,,,SUMPRODUCT(MAX(ROW(E$1:E496)*(E2=E$1:E496))))))</f>
        <v> </v>
      </c>
      <c r="K497" s="26" t="str">
        <f>IF(OR(E497="",E497="!!!",F497="NEW"),"",INDEX(J$1:J496,SUMPRODUCT(MAX(ROW(E$1:E496)*(E497=E$1:E496)))))</f>
        <v> </v>
      </c>
      <c r="L497" s="27"/>
    </row>
    <row r="498" spans="1:12">
      <c r="A498" s="20"/>
    </row>
    <row r="499" spans="1:12">
      <c r="A499" s="20" t="s">
        <v>573</v>
      </c>
    </row>
    <row r="500" spans="1:12">
      <c r="A500" s="20" t="s">
        <v>574</v>
      </c>
      <c r="B500" s="21" t="s">
        <v>226</v>
      </c>
      <c r="E500" s="22">
        <f>IF(D500="?OLD","!!!","")</f>
        <v/>
      </c>
      <c r="F500" s="23" t="str">
        <f>IF(OR(E500="",E500="!!!"),"",IF(NOT(ISNA(VLOOKUP(E500,E$1:E499,1,FALSE()))),"OLD",IF(AND(E500&lt;&gt;"",E500&lt;&gt;"!!!"),"NEW","")))</f>
        <v> </v>
      </c>
      <c r="G500" s="24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5" t="str">
        <f>IF(J500&lt;&gt;1,"",IF(I500="SBJ","CB","?"))</f>
        <v> </v>
      </c>
      <c r="I500" s="26" t="str">
        <f>IF(OR(E500="",E500="!!!",F500="NEW"),"",INDEX(B499:B$2,-1+SUMPRODUCT(MAX(ROW(E499:E$2)*(E500=E499:E$2)))))</f>
        <v> </v>
      </c>
      <c r="J500" s="26" t="str">
        <f>IF(OR(E500="",E500="!!!",F500="NEW"),"",COUNTBLANK(OFFSET(A$1,,,SUMPRODUCT(MAX(ROW(E$2:E500)*(E500=E$2:E500)))))-COUNTBLANK(OFFSET(A$1,,,SUMPRODUCT(MAX(ROW(E$1:E499)*(E2=E$1:E499))))))</f>
        <v> </v>
      </c>
      <c r="K500" s="26" t="str">
        <f>IF(OR(E500="",E500="!!!",F500="NEW"),"",INDEX(J$1:J499,SUMPRODUCT(MAX(ROW(E$1:E499)*(E500=E$1:E499)))))</f>
        <v> </v>
      </c>
      <c r="L500" s="27"/>
    </row>
    <row r="501" spans="1:12">
      <c r="A501" s="20" t="s">
        <v>575</v>
      </c>
      <c r="E501" s="22">
        <f>IF(D501="?OLD","!!!","")</f>
        <v/>
      </c>
      <c r="F501" s="23" t="str">
        <f>IF(OR(E501="",E501="!!!"),"",IF(NOT(ISNA(VLOOKUP(E501,E$1:E500,1,FALSE()))),"OLD",IF(AND(E501&lt;&gt;"",E501&lt;&gt;"!!!"),"NEW","")))</f>
        <v> </v>
      </c>
      <c r="G501" s="24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5" t="str">
        <f>IF(J501&lt;&gt;1,"",IF(I501="SBJ","CB","?"))</f>
        <v> </v>
      </c>
      <c r="I501" s="26" t="str">
        <f>IF(OR(E501="",E501="!!!",F501="NEW"),"",INDEX(B500:B$2,-1+SUMPRODUCT(MAX(ROW(E500:E$2)*(E501=E500:E$2)))))</f>
        <v> </v>
      </c>
      <c r="J501" s="26" t="str">
        <f>IF(OR(E501="",E501="!!!",F501="NEW"),"",COUNTBLANK(OFFSET(A$1,,,SUMPRODUCT(MAX(ROW(E$2:E501)*(E501=E$2:E501)))))-COUNTBLANK(OFFSET(A$1,,,SUMPRODUCT(MAX(ROW(E$1:E500)*(E2=E$1:E500))))))</f>
        <v> </v>
      </c>
      <c r="K501" s="26" t="str">
        <f>IF(OR(E501="",E501="!!!",F501="NEW"),"",INDEX(J$1:J500,SUMPRODUCT(MAX(ROW(E$1:E500)*(E501=E$1:E500)))))</f>
        <v> </v>
      </c>
      <c r="L501" s="27"/>
    </row>
    <row r="502" spans="1:12">
      <c r="A502" s="20" t="s">
        <v>576</v>
      </c>
      <c r="E502" s="22">
        <f>IF(D502="?OLD","!!!","")</f>
        <v/>
      </c>
      <c r="F502" s="23" t="str">
        <f>IF(OR(E502="",E502="!!!"),"",IF(NOT(ISNA(VLOOKUP(E502,E$1:E501,1,FALSE()))),"OLD",IF(AND(E502&lt;&gt;"",E502&lt;&gt;"!!!"),"NEW","")))</f>
        <v> </v>
      </c>
      <c r="G502" s="24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5" t="str">
        <f>IF(J502&lt;&gt;1,"",IF(I502="SBJ","CB","?"))</f>
        <v> </v>
      </c>
      <c r="I502" s="26" t="str">
        <f>IF(OR(E502="",E502="!!!",F502="NEW"),"",INDEX(B501:B$2,-1+SUMPRODUCT(MAX(ROW(E501:E$2)*(E502=E501:E$2)))))</f>
        <v> </v>
      </c>
      <c r="J502" s="26" t="str">
        <f>IF(OR(E502="",E502="!!!",F502="NEW"),"",COUNTBLANK(OFFSET(A$1,,,SUMPRODUCT(MAX(ROW(E$2:E502)*(E502=E$2:E502)))))-COUNTBLANK(OFFSET(A$1,,,SUMPRODUCT(MAX(ROW(E$1:E501)*(E2=E$1:E501))))))</f>
        <v> </v>
      </c>
      <c r="K502" s="26" t="str">
        <f>IF(OR(E502="",E502="!!!",F502="NEW"),"",INDEX(J$1:J501,SUMPRODUCT(MAX(ROW(E$1:E501)*(E502=E$1:E501)))))</f>
        <v> </v>
      </c>
      <c r="L502" s="27"/>
    </row>
    <row r="503" spans="1:12">
      <c r="A503" s="20" t="s">
        <v>533</v>
      </c>
      <c r="E503" s="22">
        <f>IF(D503="?OLD","!!!","")</f>
        <v/>
      </c>
      <c r="F503" s="23" t="str">
        <f>IF(OR(E503="",E503="!!!"),"",IF(NOT(ISNA(VLOOKUP(E503,E$1:E502,1,FALSE()))),"OLD",IF(AND(E503&lt;&gt;"",E503&lt;&gt;"!!!"),"NEW","")))</f>
        <v> </v>
      </c>
      <c r="G503" s="24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5" t="str">
        <f>IF(J503&lt;&gt;1,"",IF(I503="SBJ","CB","?"))</f>
        <v> </v>
      </c>
      <c r="I503" s="26" t="str">
        <f>IF(OR(E503="",E503="!!!",F503="NEW"),"",INDEX(B502:B$2,-1+SUMPRODUCT(MAX(ROW(E502:E$2)*(E503=E502:E$2)))))</f>
        <v> </v>
      </c>
      <c r="J503" s="26" t="str">
        <f>IF(OR(E503="",E503="!!!",F503="NEW"),"",COUNTBLANK(OFFSET(A$1,,,SUMPRODUCT(MAX(ROW(E$2:E503)*(E503=E$2:E503)))))-COUNTBLANK(OFFSET(A$1,,,SUMPRODUCT(MAX(ROW(E$1:E502)*(E2=E$1:E502))))))</f>
        <v> </v>
      </c>
      <c r="K503" s="26" t="str">
        <f>IF(OR(E503="",E503="!!!",F503="NEW"),"",INDEX(J$1:J502,SUMPRODUCT(MAX(ROW(E$1:E502)*(E503=E$1:E502)))))</f>
        <v> </v>
      </c>
      <c r="L503" s="27"/>
    </row>
    <row r="504" spans="1:12">
      <c r="A504" s="20" t="s">
        <v>351</v>
      </c>
      <c r="E504" s="22">
        <f>IF(D504="?OLD","!!!","")</f>
        <v/>
      </c>
      <c r="F504" s="23" t="str">
        <f>IF(OR(E504="",E504="!!!"),"",IF(NOT(ISNA(VLOOKUP(E504,E$1:E503,1,FALSE()))),"OLD",IF(AND(E504&lt;&gt;"",E504&lt;&gt;"!!!"),"NEW","")))</f>
        <v> </v>
      </c>
      <c r="G504" s="24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5" t="str">
        <f>IF(J504&lt;&gt;1,"",IF(I504="SBJ","CB","?"))</f>
        <v> </v>
      </c>
      <c r="I504" s="26" t="str">
        <f>IF(OR(E504="",E504="!!!",F504="NEW"),"",INDEX(B503:B$2,-1+SUMPRODUCT(MAX(ROW(E503:E$2)*(E504=E503:E$2)))))</f>
        <v> </v>
      </c>
      <c r="J504" s="26" t="str">
        <f>IF(OR(E504="",E504="!!!",F504="NEW"),"",COUNTBLANK(OFFSET(A$1,,,SUMPRODUCT(MAX(ROW(E$2:E504)*(E504=E$2:E504)))))-COUNTBLANK(OFFSET(A$1,,,SUMPRODUCT(MAX(ROW(E$1:E503)*(E2=E$1:E503))))))</f>
        <v> </v>
      </c>
      <c r="K504" s="26" t="str">
        <f>IF(OR(E504="",E504="!!!",F504="NEW"),"",INDEX(J$1:J503,SUMPRODUCT(MAX(ROW(E$1:E503)*(E504=E$1:E503)))))</f>
        <v> </v>
      </c>
      <c r="L504" s="27"/>
    </row>
    <row r="505" spans="1:12">
      <c r="A505" s="20" t="s">
        <v>577</v>
      </c>
      <c r="E505" s="22">
        <f>IF(D505="?OLD","!!!","")</f>
        <v/>
      </c>
      <c r="F505" s="23" t="str">
        <f>IF(OR(E505="",E505="!!!"),"",IF(NOT(ISNA(VLOOKUP(E505,E$1:E504,1,FALSE()))),"OLD",IF(AND(E505&lt;&gt;"",E505&lt;&gt;"!!!"),"NEW","")))</f>
        <v> </v>
      </c>
      <c r="G505" s="24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5" t="str">
        <f>IF(J505&lt;&gt;1,"",IF(I505="SBJ","CB","?"))</f>
        <v> </v>
      </c>
      <c r="I505" s="26" t="str">
        <f>IF(OR(E505="",E505="!!!",F505="NEW"),"",INDEX(B504:B$2,-1+SUMPRODUCT(MAX(ROW(E504:E$2)*(E505=E504:E$2)))))</f>
        <v> </v>
      </c>
      <c r="J505" s="26" t="str">
        <f>IF(OR(E505="",E505="!!!",F505="NEW"),"",COUNTBLANK(OFFSET(A$1,,,SUMPRODUCT(MAX(ROW(E$2:E505)*(E505=E$2:E505)))))-COUNTBLANK(OFFSET(A$1,,,SUMPRODUCT(MAX(ROW(E$1:E504)*(E2=E$1:E504))))))</f>
        <v> </v>
      </c>
      <c r="K505" s="26" t="str">
        <f>IF(OR(E505="",E505="!!!",F505="NEW"),"",INDEX(J$1:J504,SUMPRODUCT(MAX(ROW(E$1:E504)*(E505=E$1:E504)))))</f>
        <v> </v>
      </c>
      <c r="L505" s="27"/>
    </row>
    <row r="506" spans="1:12">
      <c r="A506" s="20" t="s">
        <v>578</v>
      </c>
      <c r="E506" s="22">
        <f>IF(D506="?OLD","!!!","")</f>
        <v/>
      </c>
      <c r="F506" s="23" t="str">
        <f>IF(OR(E506="",E506="!!!"),"",IF(NOT(ISNA(VLOOKUP(E506,E$1:E505,1,FALSE()))),"OLD",IF(AND(E506&lt;&gt;"",E506&lt;&gt;"!!!"),"NEW","")))</f>
        <v> </v>
      </c>
      <c r="G506" s="24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5" t="str">
        <f>IF(J506&lt;&gt;1,"",IF(I506="SBJ","CB","?"))</f>
        <v> </v>
      </c>
      <c r="I506" s="26" t="str">
        <f>IF(OR(E506="",E506="!!!",F506="NEW"),"",INDEX(B505:B$2,-1+SUMPRODUCT(MAX(ROW(E505:E$2)*(E506=E505:E$2)))))</f>
        <v> </v>
      </c>
      <c r="J506" s="26" t="str">
        <f>IF(OR(E506="",E506="!!!",F506="NEW"),"",COUNTBLANK(OFFSET(A$1,,,SUMPRODUCT(MAX(ROW(E$2:E506)*(E506=E$2:E506)))))-COUNTBLANK(OFFSET(A$1,,,SUMPRODUCT(MAX(ROW(E$1:E505)*(E2=E$1:E505))))))</f>
        <v> </v>
      </c>
      <c r="K506" s="26" t="str">
        <f>IF(OR(E506="",E506="!!!",F506="NEW"),"",INDEX(J$1:J505,SUMPRODUCT(MAX(ROW(E$1:E505)*(E506=E$1:E505)))))</f>
        <v> </v>
      </c>
      <c r="L506" s="27"/>
    </row>
    <row r="507" spans="1:12">
      <c r="A507" s="20" t="s">
        <v>237</v>
      </c>
      <c r="E507" s="22">
        <f>IF(D507="?OLD","!!!","")</f>
        <v/>
      </c>
      <c r="F507" s="23" t="str">
        <f>IF(OR(E507="",E507="!!!"),"",IF(NOT(ISNA(VLOOKUP(E507,E$1:E506,1,FALSE()))),"OLD",IF(AND(E507&lt;&gt;"",E507&lt;&gt;"!!!"),"NEW","")))</f>
        <v> </v>
      </c>
      <c r="G507" s="24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5" t="str">
        <f>IF(J507&lt;&gt;1,"",IF(I507="SBJ","CB","?"))</f>
        <v> </v>
      </c>
      <c r="I507" s="26" t="str">
        <f>IF(OR(E507="",E507="!!!",F507="NEW"),"",INDEX(B506:B$2,-1+SUMPRODUCT(MAX(ROW(E506:E$2)*(E507=E506:E$2)))))</f>
        <v> </v>
      </c>
      <c r="J507" s="26" t="str">
        <f>IF(OR(E507="",E507="!!!",F507="NEW"),"",COUNTBLANK(OFFSET(A$1,,,SUMPRODUCT(MAX(ROW(E$2:E507)*(E507=E$2:E507)))))-COUNTBLANK(OFFSET(A$1,,,SUMPRODUCT(MAX(ROW(E$1:E506)*(E2=E$1:E506))))))</f>
        <v> </v>
      </c>
      <c r="K507" s="26" t="str">
        <f>IF(OR(E507="",E507="!!!",F507="NEW"),"",INDEX(J$1:J506,SUMPRODUCT(MAX(ROW(E$1:E506)*(E507=E$1:E506)))))</f>
        <v> </v>
      </c>
      <c r="L507" s="27"/>
    </row>
    <row r="508" spans="1:12">
      <c r="A508" s="20"/>
    </row>
    <row r="509" spans="1:12">
      <c r="A509" s="20" t="s">
        <v>579</v>
      </c>
    </row>
    <row r="510" spans="1:12">
      <c r="A510" s="20" t="s">
        <v>580</v>
      </c>
      <c r="B510" s="21" t="s">
        <v>232</v>
      </c>
      <c r="C510" s="21" t="s">
        <v>233</v>
      </c>
      <c r="E510" s="22">
        <f>IF(D510="?OLD","!!!","")</f>
        <v/>
      </c>
      <c r="F510" s="23" t="str">
        <f>IF(OR(E510="",E510="!!!"),"",IF(NOT(ISNA(VLOOKUP(E510,E$1:E509,1,FALSE()))),"OLD",IF(AND(E510&lt;&gt;"",E510&lt;&gt;"!!!"),"NEW","")))</f>
        <v> </v>
      </c>
      <c r="G510" s="24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5" t="str">
        <f>IF(J510&lt;&gt;1,"",IF(I510="SBJ","CB","?"))</f>
        <v> </v>
      </c>
      <c r="I510" s="26" t="str">
        <f>IF(OR(E510="",E510="!!!",F510="NEW"),"",INDEX(B509:B$2,-1+SUMPRODUCT(MAX(ROW(E509:E$2)*(E510=E509:E$2)))))</f>
        <v> </v>
      </c>
      <c r="J510" s="26" t="str">
        <f>IF(OR(E510="",E510="!!!",F510="NEW"),"",COUNTBLANK(OFFSET(A$1,,,SUMPRODUCT(MAX(ROW(E$2:E510)*(E510=E$2:E510)))))-COUNTBLANK(OFFSET(A$1,,,SUMPRODUCT(MAX(ROW(E$1:E509)*(E2=E$1:E509))))))</f>
        <v> </v>
      </c>
      <c r="K510" s="26" t="str">
        <f>IF(OR(E510="",E510="!!!",F510="NEW"),"",INDEX(J$1:J509,SUMPRODUCT(MAX(ROW(E$1:E509)*(E510=E$1:E509)))))</f>
        <v> </v>
      </c>
      <c r="L510" s="27"/>
    </row>
    <row r="511" spans="1:12">
      <c r="A511" s="20" t="s">
        <v>581</v>
      </c>
      <c r="E511" s="22">
        <f>IF(D511="?OLD","!!!","")</f>
        <v/>
      </c>
      <c r="F511" s="23" t="str">
        <f>IF(OR(E511="",E511="!!!"),"",IF(NOT(ISNA(VLOOKUP(E511,E$1:E510,1,FALSE()))),"OLD",IF(AND(E511&lt;&gt;"",E511&lt;&gt;"!!!"),"NEW","")))</f>
        <v> </v>
      </c>
      <c r="G511" s="24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5" t="str">
        <f>IF(J511&lt;&gt;1,"",IF(I511="SBJ","CB","?"))</f>
        <v> </v>
      </c>
      <c r="I511" s="26" t="str">
        <f>IF(OR(E511="",E511="!!!",F511="NEW"),"",INDEX(B510:B$2,-1+SUMPRODUCT(MAX(ROW(E510:E$2)*(E511=E510:E$2)))))</f>
        <v> </v>
      </c>
      <c r="J511" s="26" t="str">
        <f>IF(OR(E511="",E511="!!!",F511="NEW"),"",COUNTBLANK(OFFSET(A$1,,,SUMPRODUCT(MAX(ROW(E$2:E511)*(E511=E$2:E511)))))-COUNTBLANK(OFFSET(A$1,,,SUMPRODUCT(MAX(ROW(E$1:E510)*(E2=E$1:E510))))))</f>
        <v> </v>
      </c>
      <c r="K511" s="26" t="str">
        <f>IF(OR(E511="",E511="!!!",F511="NEW"),"",INDEX(J$1:J510,SUMPRODUCT(MAX(ROW(E$1:E510)*(E511=E$1:E510)))))</f>
        <v> </v>
      </c>
      <c r="L511" s="27"/>
    </row>
    <row r="512" spans="1:12">
      <c r="A512" s="20" t="s">
        <v>241</v>
      </c>
      <c r="B512" s="21" t="s">
        <v>242</v>
      </c>
      <c r="C512" s="21" t="s">
        <v>215</v>
      </c>
      <c r="D512" s="21" t="s">
        <v>216</v>
      </c>
      <c r="E512" s="22">
        <f>IF(D512="?OLD","!!!","")</f>
        <v/>
      </c>
      <c r="F512" s="23" t="str">
        <f>IF(OR(E512="",E512="!!!"),"",IF(NOT(ISNA(VLOOKUP(E512,E$1:E511,1,FALSE()))),"OLD",IF(AND(E512&lt;&gt;"",E512&lt;&gt;"!!!"),"NEW","")))</f>
        <v> </v>
      </c>
      <c r="G512" s="24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5" t="str">
        <f>IF(J512&lt;&gt;1,"",IF(I512="SBJ","CB","?"))</f>
        <v> </v>
      </c>
      <c r="I512" s="26" t="str">
        <f>IF(OR(E512="",E512="!!!",F512="NEW"),"",INDEX(B511:B$2,-1+SUMPRODUCT(MAX(ROW(E511:E$2)*(E512=E511:E$2)))))</f>
        <v> </v>
      </c>
      <c r="J512" s="26" t="str">
        <f>IF(OR(E512="",E512="!!!",F512="NEW"),"",COUNTBLANK(OFFSET(A$1,,,SUMPRODUCT(MAX(ROW(E$2:E512)*(E512=E$2:E512)))))-COUNTBLANK(OFFSET(A$1,,,SUMPRODUCT(MAX(ROW(E$1:E511)*(E2=E$1:E511))))))</f>
        <v> </v>
      </c>
      <c r="K512" s="26" t="str">
        <f>IF(OR(E512="",E512="!!!",F512="NEW"),"",INDEX(J$1:J511,SUMPRODUCT(MAX(ROW(E$1:E511)*(E512=E$1:E511)))))</f>
        <v> </v>
      </c>
      <c r="L512" s="27"/>
    </row>
    <row r="513" spans="1:12">
      <c r="A513" s="20" t="s">
        <v>230</v>
      </c>
      <c r="E513" s="22">
        <f>IF(D513="?OLD","!!!","")</f>
        <v/>
      </c>
      <c r="F513" s="23" t="str">
        <f>IF(OR(E513="",E513="!!!"),"",IF(NOT(ISNA(VLOOKUP(E513,E$1:E512,1,FALSE()))),"OLD",IF(AND(E513&lt;&gt;"",E513&lt;&gt;"!!!"),"NEW","")))</f>
        <v> </v>
      </c>
      <c r="G513" s="24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5" t="str">
        <f>IF(J513&lt;&gt;1,"",IF(I513="SBJ","CB","?"))</f>
        <v> </v>
      </c>
      <c r="I513" s="26" t="str">
        <f>IF(OR(E513="",E513="!!!",F513="NEW"),"",INDEX(B512:B$2,-1+SUMPRODUCT(MAX(ROW(E512:E$2)*(E513=E512:E$2)))))</f>
        <v> </v>
      </c>
      <c r="J513" s="26" t="str">
        <f>IF(OR(E513="",E513="!!!",F513="NEW"),"",COUNTBLANK(OFFSET(A$1,,,SUMPRODUCT(MAX(ROW(E$2:E513)*(E513=E$2:E513)))))-COUNTBLANK(OFFSET(A$1,,,SUMPRODUCT(MAX(ROW(E$1:E512)*(E2=E$1:E512))))))</f>
        <v> </v>
      </c>
      <c r="K513" s="26" t="str">
        <f>IF(OR(E513="",E513="!!!",F513="NEW"),"",INDEX(J$1:J512,SUMPRODUCT(MAX(ROW(E$1:E512)*(E513=E$1:E512)))))</f>
        <v> </v>
      </c>
      <c r="L513" s="27"/>
    </row>
    <row r="514" spans="1:12">
      <c r="A514" s="20" t="s">
        <v>582</v>
      </c>
      <c r="B514" s="21" t="s">
        <v>226</v>
      </c>
      <c r="E514" s="22">
        <f>IF(D514="?OLD","!!!","")</f>
        <v/>
      </c>
      <c r="F514" s="23" t="str">
        <f>IF(OR(E514="",E514="!!!"),"",IF(NOT(ISNA(VLOOKUP(E514,E$1:E513,1,FALSE()))),"OLD",IF(AND(E514&lt;&gt;"",E514&lt;&gt;"!!!"),"NEW","")))</f>
        <v> </v>
      </c>
      <c r="G514" s="24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5" t="str">
        <f>IF(J514&lt;&gt;1,"",IF(I514="SBJ","CB","?"))</f>
        <v> </v>
      </c>
      <c r="I514" s="26" t="str">
        <f>IF(OR(E514="",E514="!!!",F514="NEW"),"",INDEX(B513:B$2,-1+SUMPRODUCT(MAX(ROW(E513:E$2)*(E514=E513:E$2)))))</f>
        <v> </v>
      </c>
      <c r="J514" s="26" t="str">
        <f>IF(OR(E514="",E514="!!!",F514="NEW"),"",COUNTBLANK(OFFSET(A$1,,,SUMPRODUCT(MAX(ROW(E$2:E514)*(E514=E$2:E514)))))-COUNTBLANK(OFFSET(A$1,,,SUMPRODUCT(MAX(ROW(E$1:E513)*(E2=E$1:E513))))))</f>
        <v> </v>
      </c>
      <c r="K514" s="26" t="str">
        <f>IF(OR(E514="",E514="!!!",F514="NEW"),"",INDEX(J$1:J513,SUMPRODUCT(MAX(ROW(E$1:E513)*(E514=E$1:E513)))))</f>
        <v> </v>
      </c>
      <c r="L514" s="27"/>
    </row>
    <row r="515" spans="1:12">
      <c r="A515" s="20" t="s">
        <v>217</v>
      </c>
      <c r="E515" s="22">
        <f>IF(D515="?OLD","!!!","")</f>
        <v/>
      </c>
      <c r="F515" s="23" t="str">
        <f>IF(OR(E515="",E515="!!!"),"",IF(NOT(ISNA(VLOOKUP(E515,E$1:E514,1,FALSE()))),"OLD",IF(AND(E515&lt;&gt;"",E515&lt;&gt;"!!!"),"NEW","")))</f>
        <v> </v>
      </c>
      <c r="G515" s="24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5" t="str">
        <f>IF(J515&lt;&gt;1,"",IF(I515="SBJ","CB","?"))</f>
        <v> </v>
      </c>
      <c r="I515" s="26" t="str">
        <f>IF(OR(E515="",E515="!!!",F515="NEW"),"",INDEX(B514:B$2,-1+SUMPRODUCT(MAX(ROW(E514:E$2)*(E515=E514:E$2)))))</f>
        <v> </v>
      </c>
      <c r="J515" s="26" t="str">
        <f>IF(OR(E515="",E515="!!!",F515="NEW"),"",COUNTBLANK(OFFSET(A$1,,,SUMPRODUCT(MAX(ROW(E$2:E515)*(E515=E$2:E515)))))-COUNTBLANK(OFFSET(A$1,,,SUMPRODUCT(MAX(ROW(E$1:E514)*(E2=E$1:E514))))))</f>
        <v> </v>
      </c>
      <c r="K515" s="26" t="str">
        <f>IF(OR(E515="",E515="!!!",F515="NEW"),"",INDEX(J$1:J514,SUMPRODUCT(MAX(ROW(E$1:E514)*(E515=E$1:E514)))))</f>
        <v> </v>
      </c>
      <c r="L515" s="27"/>
    </row>
    <row r="516" spans="1:12">
      <c r="A516" s="20" t="s">
        <v>561</v>
      </c>
      <c r="E516" s="22">
        <f>IF(D516="?OLD","!!!","")</f>
        <v/>
      </c>
      <c r="F516" s="23" t="str">
        <f>IF(OR(E516="",E516="!!!"),"",IF(NOT(ISNA(VLOOKUP(E516,E$1:E515,1,FALSE()))),"OLD",IF(AND(E516&lt;&gt;"",E516&lt;&gt;"!!!"),"NEW","")))</f>
        <v> </v>
      </c>
      <c r="G516" s="24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5" t="str">
        <f>IF(J516&lt;&gt;1,"",IF(I516="SBJ","CB","?"))</f>
        <v> </v>
      </c>
      <c r="I516" s="26" t="str">
        <f>IF(OR(E516="",E516="!!!",F516="NEW"),"",INDEX(B515:B$2,-1+SUMPRODUCT(MAX(ROW(E515:E$2)*(E516=E515:E$2)))))</f>
        <v> </v>
      </c>
      <c r="J516" s="26" t="str">
        <f>IF(OR(E516="",E516="!!!",F516="NEW"),"",COUNTBLANK(OFFSET(A$1,,,SUMPRODUCT(MAX(ROW(E$2:E516)*(E516=E$2:E516)))))-COUNTBLANK(OFFSET(A$1,,,SUMPRODUCT(MAX(ROW(E$1:E515)*(E2=E$1:E515))))))</f>
        <v> </v>
      </c>
      <c r="K516" s="26" t="str">
        <f>IF(OR(E516="",E516="!!!",F516="NEW"),"",INDEX(J$1:J515,SUMPRODUCT(MAX(ROW(E$1:E515)*(E516=E$1:E515)))))</f>
        <v> </v>
      </c>
      <c r="L516" s="27"/>
    </row>
    <row r="517" spans="1:12">
      <c r="A517" s="20" t="s">
        <v>583</v>
      </c>
      <c r="E517" s="22">
        <f>IF(D517="?OLD","!!!","")</f>
        <v/>
      </c>
      <c r="F517" s="23" t="str">
        <f>IF(OR(E517="",E517="!!!"),"",IF(NOT(ISNA(VLOOKUP(E517,E$1:E516,1,FALSE()))),"OLD",IF(AND(E517&lt;&gt;"",E517&lt;&gt;"!!!"),"NEW","")))</f>
        <v> </v>
      </c>
      <c r="G517" s="24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5" t="str">
        <f>IF(J517&lt;&gt;1,"",IF(I517="SBJ","CB","?"))</f>
        <v> </v>
      </c>
      <c r="I517" s="26" t="str">
        <f>IF(OR(E517="",E517="!!!",F517="NEW"),"",INDEX(B516:B$2,-1+SUMPRODUCT(MAX(ROW(E516:E$2)*(E517=E516:E$2)))))</f>
        <v> </v>
      </c>
      <c r="J517" s="26" t="str">
        <f>IF(OR(E517="",E517="!!!",F517="NEW"),"",COUNTBLANK(OFFSET(A$1,,,SUMPRODUCT(MAX(ROW(E$2:E517)*(E517=E$2:E517)))))-COUNTBLANK(OFFSET(A$1,,,SUMPRODUCT(MAX(ROW(E$1:E516)*(E2=E$1:E516))))))</f>
        <v> </v>
      </c>
      <c r="K517" s="26" t="str">
        <f>IF(OR(E517="",E517="!!!",F517="NEW"),"",INDEX(J$1:J516,SUMPRODUCT(MAX(ROW(E$1:E516)*(E517=E$1:E516)))))</f>
        <v> </v>
      </c>
      <c r="L517" s="27"/>
    </row>
    <row r="518" spans="1:12">
      <c r="A518" s="20" t="s">
        <v>584</v>
      </c>
      <c r="E518" s="22">
        <f>IF(D518="?OLD","!!!","")</f>
        <v/>
      </c>
      <c r="F518" s="23" t="str">
        <f>IF(OR(E518="",E518="!!!"),"",IF(NOT(ISNA(VLOOKUP(E518,E$1:E517,1,FALSE()))),"OLD",IF(AND(E518&lt;&gt;"",E518&lt;&gt;"!!!"),"NEW","")))</f>
        <v> </v>
      </c>
      <c r="G518" s="24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5" t="str">
        <f>IF(J518&lt;&gt;1,"",IF(I518="SBJ","CB","?"))</f>
        <v> </v>
      </c>
      <c r="I518" s="26" t="str">
        <f>IF(OR(E518="",E518="!!!",F518="NEW"),"",INDEX(B517:B$2,-1+SUMPRODUCT(MAX(ROW(E517:E$2)*(E518=E517:E$2)))))</f>
        <v> </v>
      </c>
      <c r="J518" s="26" t="str">
        <f>IF(OR(E518="",E518="!!!",F518="NEW"),"",COUNTBLANK(OFFSET(A$1,,,SUMPRODUCT(MAX(ROW(E$2:E518)*(E518=E$2:E518)))))-COUNTBLANK(OFFSET(A$1,,,SUMPRODUCT(MAX(ROW(E$1:E517)*(E2=E$1:E517))))))</f>
        <v> </v>
      </c>
      <c r="K518" s="26" t="str">
        <f>IF(OR(E518="",E518="!!!",F518="NEW"),"",INDEX(J$1:J517,SUMPRODUCT(MAX(ROW(E$1:E517)*(E518=E$1:E517)))))</f>
        <v> </v>
      </c>
      <c r="L518" s="27"/>
    </row>
    <row r="519" spans="1:12">
      <c r="A519" s="20" t="s">
        <v>230</v>
      </c>
      <c r="E519" s="22">
        <f>IF(D519="?OLD","!!!","")</f>
        <v/>
      </c>
      <c r="F519" s="23" t="str">
        <f>IF(OR(E519="",E519="!!!"),"",IF(NOT(ISNA(VLOOKUP(E519,E$1:E518,1,FALSE()))),"OLD",IF(AND(E519&lt;&gt;"",E519&lt;&gt;"!!!"),"NEW","")))</f>
        <v> </v>
      </c>
      <c r="G519" s="24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5" t="str">
        <f>IF(J519&lt;&gt;1,"",IF(I519="SBJ","CB","?"))</f>
        <v> </v>
      </c>
      <c r="I519" s="26" t="str">
        <f>IF(OR(E519="",E519="!!!",F519="NEW"),"",INDEX(B518:B$2,-1+SUMPRODUCT(MAX(ROW(E518:E$2)*(E519=E518:E$2)))))</f>
        <v> </v>
      </c>
      <c r="J519" s="26" t="str">
        <f>IF(OR(E519="",E519="!!!",F519="NEW"),"",COUNTBLANK(OFFSET(A$1,,,SUMPRODUCT(MAX(ROW(E$2:E519)*(E519=E$2:E519)))))-COUNTBLANK(OFFSET(A$1,,,SUMPRODUCT(MAX(ROW(E$1:E518)*(E2=E$1:E518))))))</f>
        <v> </v>
      </c>
      <c r="K519" s="26" t="str">
        <f>IF(OR(E519="",E519="!!!",F519="NEW"),"",INDEX(J$1:J518,SUMPRODUCT(MAX(ROW(E$1:E518)*(E519=E$1:E518)))))</f>
        <v> </v>
      </c>
      <c r="L519" s="27"/>
    </row>
    <row r="520" spans="1:12">
      <c r="A520" s="20" t="s">
        <v>585</v>
      </c>
      <c r="E520" s="22">
        <f>IF(D520="?OLD","!!!","")</f>
        <v/>
      </c>
      <c r="F520" s="23" t="str">
        <f>IF(OR(E520="",E520="!!!"),"",IF(NOT(ISNA(VLOOKUP(E520,E$1:E519,1,FALSE()))),"OLD",IF(AND(E520&lt;&gt;"",E520&lt;&gt;"!!!"),"NEW","")))</f>
        <v> </v>
      </c>
      <c r="G520" s="24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5" t="str">
        <f>IF(J520&lt;&gt;1,"",IF(I520="SBJ","CB","?"))</f>
        <v> </v>
      </c>
      <c r="I520" s="26" t="str">
        <f>IF(OR(E520="",E520="!!!",F520="NEW"),"",INDEX(B519:B$2,-1+SUMPRODUCT(MAX(ROW(E519:E$2)*(E520=E519:E$2)))))</f>
        <v> </v>
      </c>
      <c r="J520" s="26" t="str">
        <f>IF(OR(E520="",E520="!!!",F520="NEW"),"",COUNTBLANK(OFFSET(A$1,,,SUMPRODUCT(MAX(ROW(E$2:E520)*(E520=E$2:E520)))))-COUNTBLANK(OFFSET(A$1,,,SUMPRODUCT(MAX(ROW(E$1:E519)*(E2=E$1:E519))))))</f>
        <v> </v>
      </c>
      <c r="K520" s="26" t="str">
        <f>IF(OR(E520="",E520="!!!",F520="NEW"),"",INDEX(J$1:J519,SUMPRODUCT(MAX(ROW(E$1:E519)*(E520=E$1:E519)))))</f>
        <v> </v>
      </c>
      <c r="L520" s="27"/>
    </row>
    <row r="521" spans="1:12">
      <c r="A521" s="20" t="s">
        <v>230</v>
      </c>
      <c r="E521" s="22">
        <f>IF(D521="?OLD","!!!","")</f>
        <v/>
      </c>
      <c r="F521" s="23" t="str">
        <f>IF(OR(E521="",E521="!!!"),"",IF(NOT(ISNA(VLOOKUP(E521,E$1:E520,1,FALSE()))),"OLD",IF(AND(E521&lt;&gt;"",E521&lt;&gt;"!!!"),"NEW","")))</f>
        <v> </v>
      </c>
      <c r="G521" s="24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5" t="str">
        <f>IF(J521&lt;&gt;1,"",IF(I521="SBJ","CB","?"))</f>
        <v> </v>
      </c>
      <c r="I521" s="26" t="str">
        <f>IF(OR(E521="",E521="!!!",F521="NEW"),"",INDEX(B520:B$2,-1+SUMPRODUCT(MAX(ROW(E520:E$2)*(E521=E520:E$2)))))</f>
        <v> </v>
      </c>
      <c r="J521" s="26" t="str">
        <f>IF(OR(E521="",E521="!!!",F521="NEW"),"",COUNTBLANK(OFFSET(A$1,,,SUMPRODUCT(MAX(ROW(E$2:E521)*(E521=E$2:E521)))))-COUNTBLANK(OFFSET(A$1,,,SUMPRODUCT(MAX(ROW(E$1:E520)*(E2=E$1:E520))))))</f>
        <v> </v>
      </c>
      <c r="K521" s="26" t="str">
        <f>IF(OR(E521="",E521="!!!",F521="NEW"),"",INDEX(J$1:J520,SUMPRODUCT(MAX(ROW(E$1:E520)*(E521=E$1:E520)))))</f>
        <v> </v>
      </c>
      <c r="L521" s="27"/>
    </row>
    <row r="522" spans="1:12">
      <c r="A522" s="20" t="s">
        <v>586</v>
      </c>
      <c r="E522" s="22">
        <f>IF(D522="?OLD","!!!","")</f>
        <v/>
      </c>
      <c r="F522" s="23" t="str">
        <f>IF(OR(E522="",E522="!!!"),"",IF(NOT(ISNA(VLOOKUP(E522,E$1:E521,1,FALSE()))),"OLD",IF(AND(E522&lt;&gt;"",E522&lt;&gt;"!!!"),"NEW","")))</f>
        <v> </v>
      </c>
      <c r="G522" s="24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5" t="str">
        <f>IF(J522&lt;&gt;1,"",IF(I522="SBJ","CB","?"))</f>
        <v> </v>
      </c>
      <c r="I522" s="26" t="str">
        <f>IF(OR(E522="",E522="!!!",F522="NEW"),"",INDEX(B521:B$2,-1+SUMPRODUCT(MAX(ROW(E521:E$2)*(E522=E521:E$2)))))</f>
        <v> </v>
      </c>
      <c r="J522" s="26" t="str">
        <f>IF(OR(E522="",E522="!!!",F522="NEW"),"",COUNTBLANK(OFFSET(A$1,,,SUMPRODUCT(MAX(ROW(E$2:E522)*(E522=E$2:E522)))))-COUNTBLANK(OFFSET(A$1,,,SUMPRODUCT(MAX(ROW(E$1:E521)*(E2=E$1:E521))))))</f>
        <v> </v>
      </c>
      <c r="K522" s="26" t="str">
        <f>IF(OR(E522="",E522="!!!",F522="NEW"),"",INDEX(J$1:J521,SUMPRODUCT(MAX(ROW(E$1:E521)*(E522=E$1:E521)))))</f>
        <v> </v>
      </c>
      <c r="L522" s="27"/>
    </row>
    <row r="523" spans="1:12">
      <c r="A523" s="20" t="s">
        <v>587</v>
      </c>
      <c r="B523" s="21" t="s">
        <v>340</v>
      </c>
      <c r="E523" s="22">
        <f>IF(D523="?OLD","!!!","")</f>
        <v/>
      </c>
      <c r="F523" s="23" t="str">
        <f>IF(OR(E523="",E523="!!!"),"",IF(NOT(ISNA(VLOOKUP(E523,E$1:E522,1,FALSE()))),"OLD",IF(AND(E523&lt;&gt;"",E523&lt;&gt;"!!!"),"NEW","")))</f>
        <v> </v>
      </c>
      <c r="G523" s="24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5" t="str">
        <f>IF(J523&lt;&gt;1,"",IF(I523="SBJ","CB","?"))</f>
        <v> </v>
      </c>
      <c r="I523" s="26" t="str">
        <f>IF(OR(E523="",E523="!!!",F523="NEW"),"",INDEX(B522:B$2,-1+SUMPRODUCT(MAX(ROW(E522:E$2)*(E523=E522:E$2)))))</f>
        <v> </v>
      </c>
      <c r="J523" s="26" t="str">
        <f>IF(OR(E523="",E523="!!!",F523="NEW"),"",COUNTBLANK(OFFSET(A$1,,,SUMPRODUCT(MAX(ROW(E$2:E523)*(E523=E$2:E523)))))-COUNTBLANK(OFFSET(A$1,,,SUMPRODUCT(MAX(ROW(E$1:E522)*(E2=E$1:E522))))))</f>
        <v> </v>
      </c>
      <c r="K523" s="26" t="str">
        <f>IF(OR(E523="",E523="!!!",F523="NEW"),"",INDEX(J$1:J522,SUMPRODUCT(MAX(ROW(E$1:E522)*(E523=E$1:E522)))))</f>
        <v> </v>
      </c>
      <c r="L523" s="27"/>
    </row>
    <row r="524" spans="1:12">
      <c r="A524" s="20" t="s">
        <v>230</v>
      </c>
      <c r="E524" s="22">
        <f>IF(D524="?OLD","!!!","")</f>
        <v/>
      </c>
      <c r="F524" s="23" t="str">
        <f>IF(OR(E524="",E524="!!!"),"",IF(NOT(ISNA(VLOOKUP(E524,E$1:E523,1,FALSE()))),"OLD",IF(AND(E524&lt;&gt;"",E524&lt;&gt;"!!!"),"NEW","")))</f>
        <v> </v>
      </c>
      <c r="G524" s="24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5" t="str">
        <f>IF(J524&lt;&gt;1,"",IF(I524="SBJ","CB","?"))</f>
        <v> </v>
      </c>
      <c r="I524" s="26" t="str">
        <f>IF(OR(E524="",E524="!!!",F524="NEW"),"",INDEX(B523:B$2,-1+SUMPRODUCT(MAX(ROW(E523:E$2)*(E524=E523:E$2)))))</f>
        <v> </v>
      </c>
      <c r="J524" s="26" t="str">
        <f>IF(OR(E524="",E524="!!!",F524="NEW"),"",COUNTBLANK(OFFSET(A$1,,,SUMPRODUCT(MAX(ROW(E$2:E524)*(E524=E$2:E524)))))-COUNTBLANK(OFFSET(A$1,,,SUMPRODUCT(MAX(ROW(E$1:E523)*(E2=E$1:E523))))))</f>
        <v> </v>
      </c>
      <c r="K524" s="26" t="str">
        <f>IF(OR(E524="",E524="!!!",F524="NEW"),"",INDEX(J$1:J523,SUMPRODUCT(MAX(ROW(E$1:E523)*(E524=E$1:E523)))))</f>
        <v> </v>
      </c>
      <c r="L524" s="27"/>
    </row>
    <row r="525" spans="1:12">
      <c r="A525" s="20" t="s">
        <v>262</v>
      </c>
      <c r="E525" s="22">
        <f>IF(D525="?OLD","!!!","")</f>
        <v/>
      </c>
      <c r="F525" s="23" t="str">
        <f>IF(OR(E525="",E525="!!!"),"",IF(NOT(ISNA(VLOOKUP(E525,E$1:E524,1,FALSE()))),"OLD",IF(AND(E525&lt;&gt;"",E525&lt;&gt;"!!!"),"NEW","")))</f>
        <v> </v>
      </c>
      <c r="G525" s="24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5" t="str">
        <f>IF(J525&lt;&gt;1,"",IF(I525="SBJ","CB","?"))</f>
        <v> </v>
      </c>
      <c r="I525" s="26" t="str">
        <f>IF(OR(E525="",E525="!!!",F525="NEW"),"",INDEX(B524:B$2,-1+SUMPRODUCT(MAX(ROW(E524:E$2)*(E525=E524:E$2)))))</f>
        <v> </v>
      </c>
      <c r="J525" s="26" t="str">
        <f>IF(OR(E525="",E525="!!!",F525="NEW"),"",COUNTBLANK(OFFSET(A$1,,,SUMPRODUCT(MAX(ROW(E$2:E525)*(E525=E$2:E525)))))-COUNTBLANK(OFFSET(A$1,,,SUMPRODUCT(MAX(ROW(E$1:E524)*(E2=E$1:E524))))))</f>
        <v> </v>
      </c>
      <c r="K525" s="26" t="str">
        <f>IF(OR(E525="",E525="!!!",F525="NEW"),"",INDEX(J$1:J524,SUMPRODUCT(MAX(ROW(E$1:E524)*(E525=E$1:E524)))))</f>
        <v> </v>
      </c>
      <c r="L525" s="27"/>
    </row>
    <row r="526" spans="1:12">
      <c r="A526" s="20" t="s">
        <v>562</v>
      </c>
      <c r="B526" s="21" t="s">
        <v>232</v>
      </c>
      <c r="E526" s="22">
        <f>IF(D526="?OLD","!!!","")</f>
        <v/>
      </c>
      <c r="F526" s="23" t="str">
        <f>IF(OR(E526="",E526="!!!"),"",IF(NOT(ISNA(VLOOKUP(E526,E$1:E525,1,FALSE()))),"OLD",IF(AND(E526&lt;&gt;"",E526&lt;&gt;"!!!"),"NEW","")))</f>
        <v> </v>
      </c>
      <c r="G526" s="24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5" t="str">
        <f>IF(J526&lt;&gt;1,"",IF(I526="SBJ","CB","?"))</f>
        <v> </v>
      </c>
      <c r="I526" s="26" t="str">
        <f>IF(OR(E526="",E526="!!!",F526="NEW"),"",INDEX(B525:B$2,-1+SUMPRODUCT(MAX(ROW(E525:E$2)*(E526=E525:E$2)))))</f>
        <v> </v>
      </c>
      <c r="J526" s="26" t="str">
        <f>IF(OR(E526="",E526="!!!",F526="NEW"),"",COUNTBLANK(OFFSET(A$1,,,SUMPRODUCT(MAX(ROW(E$2:E526)*(E526=E$2:E526)))))-COUNTBLANK(OFFSET(A$1,,,SUMPRODUCT(MAX(ROW(E$1:E525)*(E2=E$1:E525))))))</f>
        <v> </v>
      </c>
      <c r="K526" s="26" t="str">
        <f>IF(OR(E526="",E526="!!!",F526="NEW"),"",INDEX(J$1:J525,SUMPRODUCT(MAX(ROW(E$1:E525)*(E526=E$1:E525)))))</f>
        <v> </v>
      </c>
      <c r="L526" s="27"/>
    </row>
    <row r="527" spans="1:12">
      <c r="A527" s="20" t="s">
        <v>588</v>
      </c>
      <c r="E527" s="22">
        <f>IF(D527="?OLD","!!!","")</f>
        <v/>
      </c>
      <c r="F527" s="23" t="str">
        <f>IF(OR(E527="",E527="!!!"),"",IF(NOT(ISNA(VLOOKUP(E527,E$1:E526,1,FALSE()))),"OLD",IF(AND(E527&lt;&gt;"",E527&lt;&gt;"!!!"),"NEW","")))</f>
        <v> </v>
      </c>
      <c r="G527" s="24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5" t="str">
        <f>IF(J527&lt;&gt;1,"",IF(I527="SBJ","CB","?"))</f>
        <v> </v>
      </c>
      <c r="I527" s="26" t="str">
        <f>IF(OR(E527="",E527="!!!",F527="NEW"),"",INDEX(B526:B$2,-1+SUMPRODUCT(MAX(ROW(E526:E$2)*(E527=E526:E$2)))))</f>
        <v> </v>
      </c>
      <c r="J527" s="26" t="str">
        <f>IF(OR(E527="",E527="!!!",F527="NEW"),"",COUNTBLANK(OFFSET(A$1,,,SUMPRODUCT(MAX(ROW(E$2:E527)*(E527=E$2:E527)))))-COUNTBLANK(OFFSET(A$1,,,SUMPRODUCT(MAX(ROW(E$1:E526)*(E2=E$1:E526))))))</f>
        <v> </v>
      </c>
      <c r="K527" s="26" t="str">
        <f>IF(OR(E527="",E527="!!!",F527="NEW"),"",INDEX(J$1:J526,SUMPRODUCT(MAX(ROW(E$1:E526)*(E527=E$1:E526)))))</f>
        <v> </v>
      </c>
      <c r="L527" s="27"/>
    </row>
    <row r="528" spans="1:12">
      <c r="A528" s="20" t="s">
        <v>589</v>
      </c>
      <c r="E528" s="22">
        <f>IF(D528="?OLD","!!!","")</f>
        <v/>
      </c>
      <c r="F528" s="23" t="str">
        <f>IF(OR(E528="",E528="!!!"),"",IF(NOT(ISNA(VLOOKUP(E528,E$1:E527,1,FALSE()))),"OLD",IF(AND(E528&lt;&gt;"",E528&lt;&gt;"!!!"),"NEW","")))</f>
        <v> </v>
      </c>
      <c r="G528" s="24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5" t="str">
        <f>IF(J528&lt;&gt;1,"",IF(I528="SBJ","CB","?"))</f>
        <v> </v>
      </c>
      <c r="I528" s="26" t="str">
        <f>IF(OR(E528="",E528="!!!",F528="NEW"),"",INDEX(B527:B$2,-1+SUMPRODUCT(MAX(ROW(E527:E$2)*(E528=E527:E$2)))))</f>
        <v> </v>
      </c>
      <c r="J528" s="26" t="str">
        <f>IF(OR(E528="",E528="!!!",F528="NEW"),"",COUNTBLANK(OFFSET(A$1,,,SUMPRODUCT(MAX(ROW(E$2:E528)*(E528=E$2:E528)))))-COUNTBLANK(OFFSET(A$1,,,SUMPRODUCT(MAX(ROW(E$1:E527)*(E2=E$1:E527))))))</f>
        <v> </v>
      </c>
      <c r="K528" s="26" t="str">
        <f>IF(OR(E528="",E528="!!!",F528="NEW"),"",INDEX(J$1:J527,SUMPRODUCT(MAX(ROW(E$1:E527)*(E528=E$1:E527)))))</f>
        <v> </v>
      </c>
      <c r="L528" s="27"/>
    </row>
    <row r="529" spans="1:12">
      <c r="A529" s="20" t="s">
        <v>237</v>
      </c>
      <c r="E529" s="22">
        <f>IF(D529="?OLD","!!!","")</f>
        <v/>
      </c>
      <c r="F529" s="23" t="str">
        <f>IF(OR(E529="",E529="!!!"),"",IF(NOT(ISNA(VLOOKUP(E529,E$1:E528,1,FALSE()))),"OLD",IF(AND(E529&lt;&gt;"",E529&lt;&gt;"!!!"),"NEW","")))</f>
        <v> </v>
      </c>
      <c r="G529" s="24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5" t="str">
        <f>IF(J529&lt;&gt;1,"",IF(I529="SBJ","CB","?"))</f>
        <v> </v>
      </c>
      <c r="I529" s="26" t="str">
        <f>IF(OR(E529="",E529="!!!",F529="NEW"),"",INDEX(B528:B$2,-1+SUMPRODUCT(MAX(ROW(E528:E$2)*(E529=E528:E$2)))))</f>
        <v> </v>
      </c>
      <c r="J529" s="26" t="str">
        <f>IF(OR(E529="",E529="!!!",F529="NEW"),"",COUNTBLANK(OFFSET(A$1,,,SUMPRODUCT(MAX(ROW(E$2:E529)*(E529=E$2:E529)))))-COUNTBLANK(OFFSET(A$1,,,SUMPRODUCT(MAX(ROW(E$1:E528)*(E2=E$1:E528))))))</f>
        <v> </v>
      </c>
      <c r="K529" s="26" t="str">
        <f>IF(OR(E529="",E529="!!!",F529="NEW"),"",INDEX(J$1:J528,SUMPRODUCT(MAX(ROW(E$1:E528)*(E529=E$1:E528)))))</f>
        <v> </v>
      </c>
      <c r="L529" s="27"/>
    </row>
    <row r="530" spans="1:12">
      <c r="A530" s="20"/>
    </row>
    <row r="531" spans="1:12">
      <c r="A531" s="20" t="s">
        <v>590</v>
      </c>
    </row>
    <row r="532" spans="1:12">
      <c r="A532" s="20" t="s">
        <v>591</v>
      </c>
      <c r="B532" s="21" t="s">
        <v>226</v>
      </c>
      <c r="C532" s="21" t="s">
        <v>277</v>
      </c>
      <c r="D532" s="21" t="s">
        <v>216</v>
      </c>
      <c r="E532" s="22">
        <f>IF(D532="?OLD","!!!","")</f>
        <v/>
      </c>
      <c r="F532" s="23" t="str">
        <f>IF(OR(E532="",E532="!!!"),"",IF(NOT(ISNA(VLOOKUP(E532,E$1:E531,1,FALSE()))),"OLD",IF(AND(E532&lt;&gt;"",E532&lt;&gt;"!!!"),"NEW","")))</f>
        <v> </v>
      </c>
      <c r="G532" s="24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5" t="str">
        <f>IF(J532&lt;&gt;1,"",IF(I532="SBJ","CB","?"))</f>
        <v> </v>
      </c>
      <c r="I532" s="26" t="str">
        <f>IF(OR(E532="",E532="!!!",F532="NEW"),"",INDEX(B531:B$2,-1+SUMPRODUCT(MAX(ROW(E531:E$2)*(E532=E531:E$2)))))</f>
        <v> </v>
      </c>
      <c r="J532" s="26" t="str">
        <f>IF(OR(E532="",E532="!!!",F532="NEW"),"",COUNTBLANK(OFFSET(A$1,,,SUMPRODUCT(MAX(ROW(E$2:E532)*(E532=E$2:E532)))))-COUNTBLANK(OFFSET(A$1,,,SUMPRODUCT(MAX(ROW(E$1:E531)*(E2=E$1:E531))))))</f>
        <v> </v>
      </c>
      <c r="K532" s="26" t="str">
        <f>IF(OR(E532="",E532="!!!",F532="NEW"),"",INDEX(J$1:J531,SUMPRODUCT(MAX(ROW(E$1:E531)*(E532=E$1:E531)))))</f>
        <v> </v>
      </c>
      <c r="L532" s="27"/>
    </row>
    <row r="533" spans="1:12">
      <c r="A533" s="20" t="s">
        <v>592</v>
      </c>
      <c r="E533" s="22">
        <f>IF(D533="?OLD","!!!","")</f>
        <v/>
      </c>
      <c r="F533" s="23" t="str">
        <f>IF(OR(E533="",E533="!!!"),"",IF(NOT(ISNA(VLOOKUP(E533,E$1:E532,1,FALSE()))),"OLD",IF(AND(E533&lt;&gt;"",E533&lt;&gt;"!!!"),"NEW","")))</f>
        <v> </v>
      </c>
      <c r="G533" s="24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5" t="str">
        <f>IF(J533&lt;&gt;1,"",IF(I533="SBJ","CB","?"))</f>
        <v> </v>
      </c>
      <c r="I533" s="26" t="str">
        <f>IF(OR(E533="",E533="!!!",F533="NEW"),"",INDEX(B532:B$2,-1+SUMPRODUCT(MAX(ROW(E532:E$2)*(E533=E532:E$2)))))</f>
        <v> </v>
      </c>
      <c r="J533" s="26" t="str">
        <f>IF(OR(E533="",E533="!!!",F533="NEW"),"",COUNTBLANK(OFFSET(A$1,,,SUMPRODUCT(MAX(ROW(E$2:E533)*(E533=E$2:E533)))))-COUNTBLANK(OFFSET(A$1,,,SUMPRODUCT(MAX(ROW(E$1:E532)*(E2=E$1:E532))))))</f>
        <v> </v>
      </c>
      <c r="K533" s="26" t="str">
        <f>IF(OR(E533="",E533="!!!",F533="NEW"),"",INDEX(J$1:J532,SUMPRODUCT(MAX(ROW(E$1:E532)*(E533=E$1:E532)))))</f>
        <v> </v>
      </c>
      <c r="L533" s="27"/>
    </row>
    <row r="534" spans="1:12">
      <c r="A534" s="20" t="s">
        <v>351</v>
      </c>
      <c r="E534" s="22">
        <f>IF(D534="?OLD","!!!","")</f>
        <v/>
      </c>
      <c r="F534" s="23" t="str">
        <f>IF(OR(E534="",E534="!!!"),"",IF(NOT(ISNA(VLOOKUP(E534,E$1:E533,1,FALSE()))),"OLD",IF(AND(E534&lt;&gt;"",E534&lt;&gt;"!!!"),"NEW","")))</f>
        <v> </v>
      </c>
      <c r="G534" s="24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5" t="str">
        <f>IF(J534&lt;&gt;1,"",IF(I534="SBJ","CB","?"))</f>
        <v> </v>
      </c>
      <c r="I534" s="26" t="str">
        <f>IF(OR(E534="",E534="!!!",F534="NEW"),"",INDEX(B533:B$2,-1+SUMPRODUCT(MAX(ROW(E533:E$2)*(E534=E533:E$2)))))</f>
        <v> </v>
      </c>
      <c r="J534" s="26" t="str">
        <f>IF(OR(E534="",E534="!!!",F534="NEW"),"",COUNTBLANK(OFFSET(A$1,,,SUMPRODUCT(MAX(ROW(E$2:E534)*(E534=E$2:E534)))))-COUNTBLANK(OFFSET(A$1,,,SUMPRODUCT(MAX(ROW(E$1:E533)*(E2=E$1:E533))))))</f>
        <v> </v>
      </c>
      <c r="K534" s="26" t="str">
        <f>IF(OR(E534="",E534="!!!",F534="NEW"),"",INDEX(J$1:J533,SUMPRODUCT(MAX(ROW(E$1:E533)*(E534=E$1:E533)))))</f>
        <v> </v>
      </c>
      <c r="L534" s="27"/>
    </row>
    <row r="535" spans="1:12">
      <c r="A535" s="20" t="s">
        <v>593</v>
      </c>
      <c r="E535" s="22">
        <f>IF(D535="?OLD","!!!","")</f>
        <v/>
      </c>
      <c r="F535" s="23" t="str">
        <f>IF(OR(E535="",E535="!!!"),"",IF(NOT(ISNA(VLOOKUP(E535,E$1:E534,1,FALSE()))),"OLD",IF(AND(E535&lt;&gt;"",E535&lt;&gt;"!!!"),"NEW","")))</f>
        <v> </v>
      </c>
      <c r="G535" s="24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5" t="str">
        <f>IF(J535&lt;&gt;1,"",IF(I535="SBJ","CB","?"))</f>
        <v> </v>
      </c>
      <c r="I535" s="26" t="str">
        <f>IF(OR(E535="",E535="!!!",F535="NEW"),"",INDEX(B534:B$2,-1+SUMPRODUCT(MAX(ROW(E534:E$2)*(E535=E534:E$2)))))</f>
        <v> </v>
      </c>
      <c r="J535" s="26" t="str">
        <f>IF(OR(E535="",E535="!!!",F535="NEW"),"",COUNTBLANK(OFFSET(A$1,,,SUMPRODUCT(MAX(ROW(E$2:E535)*(E535=E$2:E535)))))-COUNTBLANK(OFFSET(A$1,,,SUMPRODUCT(MAX(ROW(E$1:E534)*(E2=E$1:E534))))))</f>
        <v> </v>
      </c>
      <c r="K535" s="26" t="str">
        <f>IF(OR(E535="",E535="!!!",F535="NEW"),"",INDEX(J$1:J534,SUMPRODUCT(MAX(ROW(E$1:E534)*(E535=E$1:E534)))))</f>
        <v> </v>
      </c>
      <c r="L535" s="27"/>
    </row>
    <row r="536" spans="1:12">
      <c r="A536" s="20" t="s">
        <v>594</v>
      </c>
      <c r="E536" s="22">
        <f>IF(D536="?OLD","!!!","")</f>
        <v/>
      </c>
      <c r="F536" s="23" t="str">
        <f>IF(OR(E536="",E536="!!!"),"",IF(NOT(ISNA(VLOOKUP(E536,E$1:E535,1,FALSE()))),"OLD",IF(AND(E536&lt;&gt;"",E536&lt;&gt;"!!!"),"NEW","")))</f>
        <v> </v>
      </c>
      <c r="G536" s="24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5" t="str">
        <f>IF(J536&lt;&gt;1,"",IF(I536="SBJ","CB","?"))</f>
        <v> </v>
      </c>
      <c r="I536" s="26" t="str">
        <f>IF(OR(E536="",E536="!!!",F536="NEW"),"",INDEX(B535:B$2,-1+SUMPRODUCT(MAX(ROW(E535:E$2)*(E536=E535:E$2)))))</f>
        <v> </v>
      </c>
      <c r="J536" s="26" t="str">
        <f>IF(OR(E536="",E536="!!!",F536="NEW"),"",COUNTBLANK(OFFSET(A$1,,,SUMPRODUCT(MAX(ROW(E$2:E536)*(E536=E$2:E536)))))-COUNTBLANK(OFFSET(A$1,,,SUMPRODUCT(MAX(ROW(E$1:E535)*(E2=E$1:E535))))))</f>
        <v> </v>
      </c>
      <c r="K536" s="26" t="str">
        <f>IF(OR(E536="",E536="!!!",F536="NEW"),"",INDEX(J$1:J535,SUMPRODUCT(MAX(ROW(E$1:E535)*(E536=E$1:E535)))))</f>
        <v> </v>
      </c>
      <c r="L536" s="27"/>
    </row>
    <row r="537" spans="1:12">
      <c r="A537" s="20" t="s">
        <v>595</v>
      </c>
      <c r="E537" s="22">
        <f>IF(D537="?OLD","!!!","")</f>
        <v/>
      </c>
      <c r="F537" s="23" t="str">
        <f>IF(OR(E537="",E537="!!!"),"",IF(NOT(ISNA(VLOOKUP(E537,E$1:E536,1,FALSE()))),"OLD",IF(AND(E537&lt;&gt;"",E537&lt;&gt;"!!!"),"NEW","")))</f>
        <v> </v>
      </c>
      <c r="G537" s="24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5" t="str">
        <f>IF(J537&lt;&gt;1,"",IF(I537="SBJ","CB","?"))</f>
        <v> </v>
      </c>
      <c r="I537" s="26" t="str">
        <f>IF(OR(E537="",E537="!!!",F537="NEW"),"",INDEX(B536:B$2,-1+SUMPRODUCT(MAX(ROW(E536:E$2)*(E537=E536:E$2)))))</f>
        <v> </v>
      </c>
      <c r="J537" s="26" t="str">
        <f>IF(OR(E537="",E537="!!!",F537="NEW"),"",COUNTBLANK(OFFSET(A$1,,,SUMPRODUCT(MAX(ROW(E$2:E537)*(E537=E$2:E537)))))-COUNTBLANK(OFFSET(A$1,,,SUMPRODUCT(MAX(ROW(E$1:E536)*(E2=E$1:E536))))))</f>
        <v> </v>
      </c>
      <c r="K537" s="26" t="str">
        <f>IF(OR(E537="",E537="!!!",F537="NEW"),"",INDEX(J$1:J536,SUMPRODUCT(MAX(ROW(E$1:E536)*(E537=E$1:E536)))))</f>
        <v> </v>
      </c>
      <c r="L537" s="27"/>
    </row>
    <row r="538" spans="1:12">
      <c r="A538" s="20" t="s">
        <v>351</v>
      </c>
      <c r="E538" s="22">
        <f>IF(D538="?OLD","!!!","")</f>
        <v/>
      </c>
      <c r="F538" s="23" t="str">
        <f>IF(OR(E538="",E538="!!!"),"",IF(NOT(ISNA(VLOOKUP(E538,E$1:E537,1,FALSE()))),"OLD",IF(AND(E538&lt;&gt;"",E538&lt;&gt;"!!!"),"NEW","")))</f>
        <v> </v>
      </c>
      <c r="G538" s="24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5" t="str">
        <f>IF(J538&lt;&gt;1,"",IF(I538="SBJ","CB","?"))</f>
        <v> </v>
      </c>
      <c r="I538" s="26" t="str">
        <f>IF(OR(E538="",E538="!!!",F538="NEW"),"",INDEX(B537:B$2,-1+SUMPRODUCT(MAX(ROW(E537:E$2)*(E538=E537:E$2)))))</f>
        <v> </v>
      </c>
      <c r="J538" s="26" t="str">
        <f>IF(OR(E538="",E538="!!!",F538="NEW"),"",COUNTBLANK(OFFSET(A$1,,,SUMPRODUCT(MAX(ROW(E$2:E538)*(E538=E$2:E538)))))-COUNTBLANK(OFFSET(A$1,,,SUMPRODUCT(MAX(ROW(E$1:E537)*(E2=E$1:E537))))))</f>
        <v> </v>
      </c>
      <c r="K538" s="26" t="str">
        <f>IF(OR(E538="",E538="!!!",F538="NEW"),"",INDEX(J$1:J537,SUMPRODUCT(MAX(ROW(E$1:E537)*(E538=E$1:E537)))))</f>
        <v> </v>
      </c>
      <c r="L538" s="27"/>
    </row>
    <row r="539" spans="1:12">
      <c r="A539" s="20" t="s">
        <v>596</v>
      </c>
      <c r="E539" s="22">
        <f>IF(D539="?OLD","!!!","")</f>
        <v/>
      </c>
      <c r="F539" s="23" t="str">
        <f>IF(OR(E539="",E539="!!!"),"",IF(NOT(ISNA(VLOOKUP(E539,E$1:E538,1,FALSE()))),"OLD",IF(AND(E539&lt;&gt;"",E539&lt;&gt;"!!!"),"NEW","")))</f>
        <v> </v>
      </c>
      <c r="G539" s="24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5" t="str">
        <f>IF(J539&lt;&gt;1,"",IF(I539="SBJ","CB","?"))</f>
        <v> </v>
      </c>
      <c r="I539" s="26" t="str">
        <f>IF(OR(E539="",E539="!!!",F539="NEW"),"",INDEX(B538:B$2,-1+SUMPRODUCT(MAX(ROW(E538:E$2)*(E539=E538:E$2)))))</f>
        <v> </v>
      </c>
      <c r="J539" s="26" t="str">
        <f>IF(OR(E539="",E539="!!!",F539="NEW"),"",COUNTBLANK(OFFSET(A$1,,,SUMPRODUCT(MAX(ROW(E$2:E539)*(E539=E$2:E539)))))-COUNTBLANK(OFFSET(A$1,,,SUMPRODUCT(MAX(ROW(E$1:E538)*(E2=E$1:E538))))))</f>
        <v> </v>
      </c>
      <c r="K539" s="26" t="str">
        <f>IF(OR(E539="",E539="!!!",F539="NEW"),"",INDEX(J$1:J538,SUMPRODUCT(MAX(ROW(E$1:E538)*(E539=E$1:E538)))))</f>
        <v> </v>
      </c>
      <c r="L539" s="27"/>
    </row>
    <row r="540" spans="1:12">
      <c r="A540" s="20" t="s">
        <v>597</v>
      </c>
      <c r="E540" s="22">
        <f>IF(D540="?OLD","!!!","")</f>
        <v/>
      </c>
      <c r="F540" s="23" t="str">
        <f>IF(OR(E540="",E540="!!!"),"",IF(NOT(ISNA(VLOOKUP(E540,E$1:E539,1,FALSE()))),"OLD",IF(AND(E540&lt;&gt;"",E540&lt;&gt;"!!!"),"NEW","")))</f>
        <v> </v>
      </c>
      <c r="G540" s="24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5" t="str">
        <f>IF(J540&lt;&gt;1,"",IF(I540="SBJ","CB","?"))</f>
        <v> </v>
      </c>
      <c r="I540" s="26" t="str">
        <f>IF(OR(E540="",E540="!!!",F540="NEW"),"",INDEX(B539:B$2,-1+SUMPRODUCT(MAX(ROW(E539:E$2)*(E540=E539:E$2)))))</f>
        <v> </v>
      </c>
      <c r="J540" s="26" t="str">
        <f>IF(OR(E540="",E540="!!!",F540="NEW"),"",COUNTBLANK(OFFSET(A$1,,,SUMPRODUCT(MAX(ROW(E$2:E540)*(E540=E$2:E540)))))-COUNTBLANK(OFFSET(A$1,,,SUMPRODUCT(MAX(ROW(E$1:E539)*(E2=E$1:E539))))))</f>
        <v> </v>
      </c>
      <c r="K540" s="26" t="str">
        <f>IF(OR(E540="",E540="!!!",F540="NEW"),"",INDEX(J$1:J539,SUMPRODUCT(MAX(ROW(E$1:E539)*(E540=E$1:E539)))))</f>
        <v> </v>
      </c>
      <c r="L540" s="27"/>
    </row>
    <row r="541" spans="1:12">
      <c r="A541" s="20" t="s">
        <v>237</v>
      </c>
      <c r="E541" s="22">
        <f>IF(D541="?OLD","!!!","")</f>
        <v/>
      </c>
      <c r="F541" s="23" t="str">
        <f>IF(OR(E541="",E541="!!!"),"",IF(NOT(ISNA(VLOOKUP(E541,E$1:E540,1,FALSE()))),"OLD",IF(AND(E541&lt;&gt;"",E541&lt;&gt;"!!!"),"NEW","")))</f>
        <v> </v>
      </c>
      <c r="G541" s="24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5" t="str">
        <f>IF(J541&lt;&gt;1,"",IF(I541="SBJ","CB","?"))</f>
        <v> </v>
      </c>
      <c r="I541" s="26" t="str">
        <f>IF(OR(E541="",E541="!!!",F541="NEW"),"",INDEX(B540:B$2,-1+SUMPRODUCT(MAX(ROW(E540:E$2)*(E541=E540:E$2)))))</f>
        <v> </v>
      </c>
      <c r="J541" s="26" t="str">
        <f>IF(OR(E541="",E541="!!!",F541="NEW"),"",COUNTBLANK(OFFSET(A$1,,,SUMPRODUCT(MAX(ROW(E$2:E541)*(E541=E$2:E541)))))-COUNTBLANK(OFFSET(A$1,,,SUMPRODUCT(MAX(ROW(E$1:E540)*(E2=E$1:E540))))))</f>
        <v> </v>
      </c>
      <c r="K541" s="26" t="str">
        <f>IF(OR(E541="",E541="!!!",F541="NEW"),"",INDEX(J$1:J540,SUMPRODUCT(MAX(ROW(E$1:E540)*(E541=E$1:E540)))))</f>
        <v> </v>
      </c>
      <c r="L541" s="27"/>
    </row>
    <row r="542" spans="1:12">
      <c r="A542" s="20"/>
    </row>
    <row r="543" spans="1:12">
      <c r="A543" s="20" t="s">
        <v>598</v>
      </c>
    </row>
    <row r="544" spans="1:12">
      <c r="A544" s="20" t="s">
        <v>599</v>
      </c>
      <c r="E544" s="22">
        <f>IF(D544="?OLD","!!!","")</f>
        <v/>
      </c>
      <c r="F544" s="23" t="str">
        <f>IF(OR(E544="",E544="!!!"),"",IF(NOT(ISNA(VLOOKUP(E544,E$1:E543,1,FALSE()))),"OLD",IF(AND(E544&lt;&gt;"",E544&lt;&gt;"!!!"),"NEW","")))</f>
        <v> </v>
      </c>
      <c r="G544" s="24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5" t="str">
        <f>IF(J544&lt;&gt;1,"",IF(I544="SBJ","CB","?"))</f>
        <v> </v>
      </c>
      <c r="I544" s="26" t="str">
        <f>IF(OR(E544="",E544="!!!",F544="NEW"),"",INDEX(B543:B$2,-1+SUMPRODUCT(MAX(ROW(E543:E$2)*(E544=E543:E$2)))))</f>
        <v> </v>
      </c>
      <c r="J544" s="26" t="str">
        <f>IF(OR(E544="",E544="!!!",F544="NEW"),"",COUNTBLANK(OFFSET(A$1,,,SUMPRODUCT(MAX(ROW(E$2:E544)*(E544=E$2:E544)))))-COUNTBLANK(OFFSET(A$1,,,SUMPRODUCT(MAX(ROW(E$1:E543)*(E2=E$1:E543))))))</f>
        <v> </v>
      </c>
      <c r="K544" s="26" t="str">
        <f>IF(OR(E544="",E544="!!!",F544="NEW"),"",INDEX(J$1:J543,SUMPRODUCT(MAX(ROW(E$1:E543)*(E544=E$1:E543)))))</f>
        <v> </v>
      </c>
      <c r="L544" s="27"/>
    </row>
    <row r="545" spans="1:12">
      <c r="A545" s="20" t="s">
        <v>305</v>
      </c>
      <c r="E545" s="22">
        <f>IF(D545="?OLD","!!!","")</f>
        <v/>
      </c>
      <c r="F545" s="23" t="str">
        <f>IF(OR(E545="",E545="!!!"),"",IF(NOT(ISNA(VLOOKUP(E545,E$1:E544,1,FALSE()))),"OLD",IF(AND(E545&lt;&gt;"",E545&lt;&gt;"!!!"),"NEW","")))</f>
        <v> </v>
      </c>
      <c r="G545" s="24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5" t="str">
        <f>IF(J545&lt;&gt;1,"",IF(I545="SBJ","CB","?"))</f>
        <v> </v>
      </c>
      <c r="I545" s="26" t="str">
        <f>IF(OR(E545="",E545="!!!",F545="NEW"),"",INDEX(B544:B$2,-1+SUMPRODUCT(MAX(ROW(E544:E$2)*(E545=E544:E$2)))))</f>
        <v> </v>
      </c>
      <c r="J545" s="26" t="str">
        <f>IF(OR(E545="",E545="!!!",F545="NEW"),"",COUNTBLANK(OFFSET(A$1,,,SUMPRODUCT(MAX(ROW(E$2:E545)*(E545=E$2:E545)))))-COUNTBLANK(OFFSET(A$1,,,SUMPRODUCT(MAX(ROW(E$1:E544)*(E2=E$1:E544))))))</f>
        <v> </v>
      </c>
      <c r="K545" s="26" t="str">
        <f>IF(OR(E545="",E545="!!!",F545="NEW"),"",INDEX(J$1:J544,SUMPRODUCT(MAX(ROW(E$1:E544)*(E545=E$1:E544)))))</f>
        <v> </v>
      </c>
      <c r="L545" s="27"/>
    </row>
    <row r="546" spans="1:12">
      <c r="A546" s="20" t="s">
        <v>351</v>
      </c>
      <c r="E546" s="22">
        <f>IF(D546="?OLD","!!!","")</f>
        <v/>
      </c>
      <c r="F546" s="23" t="str">
        <f>IF(OR(E546="",E546="!!!"),"",IF(NOT(ISNA(VLOOKUP(E546,E$1:E545,1,FALSE()))),"OLD",IF(AND(E546&lt;&gt;"",E546&lt;&gt;"!!!"),"NEW","")))</f>
        <v> </v>
      </c>
      <c r="G546" s="24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5" t="str">
        <f>IF(J546&lt;&gt;1,"",IF(I546="SBJ","CB","?"))</f>
        <v> </v>
      </c>
      <c r="I546" s="26" t="str">
        <f>IF(OR(E546="",E546="!!!",F546="NEW"),"",INDEX(B545:B$2,-1+SUMPRODUCT(MAX(ROW(E545:E$2)*(E546=E545:E$2)))))</f>
        <v> </v>
      </c>
      <c r="J546" s="26" t="str">
        <f>IF(OR(E546="",E546="!!!",F546="NEW"),"",COUNTBLANK(OFFSET(A$1,,,SUMPRODUCT(MAX(ROW(E$2:E546)*(E546=E$2:E546)))))-COUNTBLANK(OFFSET(A$1,,,SUMPRODUCT(MAX(ROW(E$1:E545)*(E2=E$1:E545))))))</f>
        <v> </v>
      </c>
      <c r="K546" s="26" t="str">
        <f>IF(OR(E546="",E546="!!!",F546="NEW"),"",INDEX(J$1:J545,SUMPRODUCT(MAX(ROW(E$1:E545)*(E546=E$1:E545)))))</f>
        <v> </v>
      </c>
      <c r="L546" s="27"/>
    </row>
    <row r="547" spans="1:12">
      <c r="A547" s="20" t="s">
        <v>600</v>
      </c>
      <c r="E547" s="22">
        <f>IF(D547="?OLD","!!!","")</f>
        <v/>
      </c>
      <c r="F547" s="23" t="str">
        <f>IF(OR(E547="",E547="!!!"),"",IF(NOT(ISNA(VLOOKUP(E547,E$1:E546,1,FALSE()))),"OLD",IF(AND(E547&lt;&gt;"",E547&lt;&gt;"!!!"),"NEW","")))</f>
        <v> </v>
      </c>
      <c r="G547" s="24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5" t="str">
        <f>IF(J547&lt;&gt;1,"",IF(I547="SBJ","CB","?"))</f>
        <v> </v>
      </c>
      <c r="I547" s="26" t="str">
        <f>IF(OR(E547="",E547="!!!",F547="NEW"),"",INDEX(B546:B$2,-1+SUMPRODUCT(MAX(ROW(E546:E$2)*(E547=E546:E$2)))))</f>
        <v> </v>
      </c>
      <c r="J547" s="26" t="str">
        <f>IF(OR(E547="",E547="!!!",F547="NEW"),"",COUNTBLANK(OFFSET(A$1,,,SUMPRODUCT(MAX(ROW(E$2:E547)*(E547=E$2:E547)))))-COUNTBLANK(OFFSET(A$1,,,SUMPRODUCT(MAX(ROW(E$1:E546)*(E2=E$1:E546))))))</f>
        <v> </v>
      </c>
      <c r="K547" s="26" t="str">
        <f>IF(OR(E547="",E547="!!!",F547="NEW"),"",INDEX(J$1:J546,SUMPRODUCT(MAX(ROW(E$1:E546)*(E547=E$1:E546)))))</f>
        <v> </v>
      </c>
      <c r="L547" s="27"/>
    </row>
    <row r="548" spans="1:12">
      <c r="A548" s="20" t="s">
        <v>601</v>
      </c>
      <c r="B548" s="21" t="s">
        <v>214</v>
      </c>
      <c r="C548" s="21" t="s">
        <v>287</v>
      </c>
      <c r="D548" s="21" t="s">
        <v>216</v>
      </c>
      <c r="E548" s="22">
        <f>IF(D548="?OLD","!!!","")</f>
        <v/>
      </c>
      <c r="F548" s="23" t="str">
        <f>IF(OR(E548="",E548="!!!"),"",IF(NOT(ISNA(VLOOKUP(E548,E$1:E547,1,FALSE()))),"OLD",IF(AND(E548&lt;&gt;"",E548&lt;&gt;"!!!"),"NEW","")))</f>
        <v> </v>
      </c>
      <c r="G548" s="24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5" t="str">
        <f>IF(J548&lt;&gt;1,"",IF(I548="SBJ","CB","?"))</f>
        <v> </v>
      </c>
      <c r="I548" s="26" t="str">
        <f>IF(OR(E548="",E548="!!!",F548="NEW"),"",INDEX(B547:B$2,-1+SUMPRODUCT(MAX(ROW(E547:E$2)*(E548=E547:E$2)))))</f>
        <v> </v>
      </c>
      <c r="J548" s="26" t="str">
        <f>IF(OR(E548="",E548="!!!",F548="NEW"),"",COUNTBLANK(OFFSET(A$1,,,SUMPRODUCT(MAX(ROW(E$2:E548)*(E548=E$2:E548)))))-COUNTBLANK(OFFSET(A$1,,,SUMPRODUCT(MAX(ROW(E$1:E547)*(E2=E$1:E547))))))</f>
        <v> </v>
      </c>
      <c r="K548" s="26" t="str">
        <f>IF(OR(E548="",E548="!!!",F548="NEW"),"",INDEX(J$1:J547,SUMPRODUCT(MAX(ROW(E$1:E547)*(E548=E$1:E547)))))</f>
        <v> </v>
      </c>
      <c r="L548" s="27"/>
    </row>
    <row r="549" spans="1:12">
      <c r="A549" s="20" t="s">
        <v>602</v>
      </c>
      <c r="E549" s="22">
        <f>IF(D549="?OLD","!!!","")</f>
        <v/>
      </c>
      <c r="F549" s="23" t="str">
        <f>IF(OR(E549="",E549="!!!"),"",IF(NOT(ISNA(VLOOKUP(E549,E$1:E548,1,FALSE()))),"OLD",IF(AND(E549&lt;&gt;"",E549&lt;&gt;"!!!"),"NEW","")))</f>
        <v> </v>
      </c>
      <c r="G549" s="24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5" t="str">
        <f>IF(J549&lt;&gt;1,"",IF(I549="SBJ","CB","?"))</f>
        <v> </v>
      </c>
      <c r="I549" s="26" t="str">
        <f>IF(OR(E549="",E549="!!!",F549="NEW"),"",INDEX(B548:B$2,-1+SUMPRODUCT(MAX(ROW(E548:E$2)*(E549=E548:E$2)))))</f>
        <v> </v>
      </c>
      <c r="J549" s="26" t="str">
        <f>IF(OR(E549="",E549="!!!",F549="NEW"),"",COUNTBLANK(OFFSET(A$1,,,SUMPRODUCT(MAX(ROW(E$2:E549)*(E549=E$2:E549)))))-COUNTBLANK(OFFSET(A$1,,,SUMPRODUCT(MAX(ROW(E$1:E548)*(E2=E$1:E548))))))</f>
        <v> </v>
      </c>
      <c r="K549" s="26" t="str">
        <f>IF(OR(E549="",E549="!!!",F549="NEW"),"",INDEX(J$1:J548,SUMPRODUCT(MAX(ROW(E$1:E548)*(E549=E$1:E548)))))</f>
        <v> </v>
      </c>
      <c r="L549" s="27"/>
    </row>
    <row r="550" spans="1:12">
      <c r="A550" s="20" t="s">
        <v>603</v>
      </c>
      <c r="B550" s="21" t="s">
        <v>226</v>
      </c>
      <c r="E550" s="22">
        <f>IF(D550="?OLD","!!!","")</f>
        <v/>
      </c>
      <c r="F550" s="23" t="str">
        <f>IF(OR(E550="",E550="!!!"),"",IF(NOT(ISNA(VLOOKUP(E550,E$1:E549,1,FALSE()))),"OLD",IF(AND(E550&lt;&gt;"",E550&lt;&gt;"!!!"),"NEW","")))</f>
        <v> </v>
      </c>
      <c r="G550" s="24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5" t="str">
        <f>IF(J550&lt;&gt;1,"",IF(I550="SBJ","CB","?"))</f>
        <v> </v>
      </c>
      <c r="I550" s="26" t="str">
        <f>IF(OR(E550="",E550="!!!",F550="NEW"),"",INDEX(B549:B$2,-1+SUMPRODUCT(MAX(ROW(E549:E$2)*(E550=E549:E$2)))))</f>
        <v> </v>
      </c>
      <c r="J550" s="26" t="str">
        <f>IF(OR(E550="",E550="!!!",F550="NEW"),"",COUNTBLANK(OFFSET(A$1,,,SUMPRODUCT(MAX(ROW(E$2:E550)*(E550=E$2:E550)))))-COUNTBLANK(OFFSET(A$1,,,SUMPRODUCT(MAX(ROW(E$1:E549)*(E2=E$1:E549))))))</f>
        <v> </v>
      </c>
      <c r="K550" s="26" t="str">
        <f>IF(OR(E550="",E550="!!!",F550="NEW"),"",INDEX(J$1:J549,SUMPRODUCT(MAX(ROW(E$1:E549)*(E550=E$1:E549)))))</f>
        <v> </v>
      </c>
      <c r="L550" s="27"/>
    </row>
    <row r="551" spans="1:12">
      <c r="A551" s="20" t="s">
        <v>604</v>
      </c>
      <c r="E551" s="22">
        <f>IF(D551="?OLD","!!!","")</f>
        <v/>
      </c>
      <c r="F551" s="23" t="str">
        <f>IF(OR(E551="",E551="!!!"),"",IF(NOT(ISNA(VLOOKUP(E551,E$1:E550,1,FALSE()))),"OLD",IF(AND(E551&lt;&gt;"",E551&lt;&gt;"!!!"),"NEW","")))</f>
        <v> </v>
      </c>
      <c r="G551" s="24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5" t="str">
        <f>IF(J551&lt;&gt;1,"",IF(I551="SBJ","CB","?"))</f>
        <v> </v>
      </c>
      <c r="I551" s="26" t="str">
        <f>IF(OR(E551="",E551="!!!",F551="NEW"),"",INDEX(B550:B$2,-1+SUMPRODUCT(MAX(ROW(E550:E$2)*(E551=E550:E$2)))))</f>
        <v> </v>
      </c>
      <c r="J551" s="26" t="str">
        <f>IF(OR(E551="",E551="!!!",F551="NEW"),"",COUNTBLANK(OFFSET(A$1,,,SUMPRODUCT(MAX(ROW(E$2:E551)*(E551=E$2:E551)))))-COUNTBLANK(OFFSET(A$1,,,SUMPRODUCT(MAX(ROW(E$1:E550)*(E2=E$1:E550))))))</f>
        <v> </v>
      </c>
      <c r="K551" s="26" t="str">
        <f>IF(OR(E551="",E551="!!!",F551="NEW"),"",INDEX(J$1:J550,SUMPRODUCT(MAX(ROW(E$1:E550)*(E551=E$1:E550)))))</f>
        <v> </v>
      </c>
      <c r="L551" s="27"/>
    </row>
    <row r="552" spans="1:12">
      <c r="A552" s="20" t="s">
        <v>605</v>
      </c>
      <c r="E552" s="22">
        <f>IF(D552="?OLD","!!!","")</f>
        <v/>
      </c>
      <c r="F552" s="23" t="str">
        <f>IF(OR(E552="",E552="!!!"),"",IF(NOT(ISNA(VLOOKUP(E552,E$1:E551,1,FALSE()))),"OLD",IF(AND(E552&lt;&gt;"",E552&lt;&gt;"!!!"),"NEW","")))</f>
        <v> </v>
      </c>
      <c r="G552" s="24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5" t="str">
        <f>IF(J552&lt;&gt;1,"",IF(I552="SBJ","CB","?"))</f>
        <v> </v>
      </c>
      <c r="I552" s="26" t="str">
        <f>IF(OR(E552="",E552="!!!",F552="NEW"),"",INDEX(B551:B$2,-1+SUMPRODUCT(MAX(ROW(E551:E$2)*(E552=E551:E$2)))))</f>
        <v> </v>
      </c>
      <c r="J552" s="26" t="str">
        <f>IF(OR(E552="",E552="!!!",F552="NEW"),"",COUNTBLANK(OFFSET(A$1,,,SUMPRODUCT(MAX(ROW(E$2:E552)*(E552=E$2:E552)))))-COUNTBLANK(OFFSET(A$1,,,SUMPRODUCT(MAX(ROW(E$1:E551)*(E2=E$1:E551))))))</f>
        <v> </v>
      </c>
      <c r="K552" s="26" t="str">
        <f>IF(OR(E552="",E552="!!!",F552="NEW"),"",INDEX(J$1:J551,SUMPRODUCT(MAX(ROW(E$1:E551)*(E552=E$1:E551)))))</f>
        <v> </v>
      </c>
      <c r="L552" s="27"/>
    </row>
    <row r="553" spans="1:12">
      <c r="A553" s="20" t="s">
        <v>606</v>
      </c>
      <c r="E553" s="22">
        <f>IF(D553="?OLD","!!!","")</f>
        <v/>
      </c>
      <c r="F553" s="23" t="str">
        <f>IF(OR(E553="",E553="!!!"),"",IF(NOT(ISNA(VLOOKUP(E553,E$1:E552,1,FALSE()))),"OLD",IF(AND(E553&lt;&gt;"",E553&lt;&gt;"!!!"),"NEW","")))</f>
        <v> </v>
      </c>
      <c r="G553" s="24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5" t="str">
        <f>IF(J553&lt;&gt;1,"",IF(I553="SBJ","CB","?"))</f>
        <v> </v>
      </c>
      <c r="I553" s="26" t="str">
        <f>IF(OR(E553="",E553="!!!",F553="NEW"),"",INDEX(B552:B$2,-1+SUMPRODUCT(MAX(ROW(E552:E$2)*(E553=E552:E$2)))))</f>
        <v> </v>
      </c>
      <c r="J553" s="26" t="str">
        <f>IF(OR(E553="",E553="!!!",F553="NEW"),"",COUNTBLANK(OFFSET(A$1,,,SUMPRODUCT(MAX(ROW(E$2:E553)*(E553=E$2:E553)))))-COUNTBLANK(OFFSET(A$1,,,SUMPRODUCT(MAX(ROW(E$1:E552)*(E2=E$1:E552))))))</f>
        <v> </v>
      </c>
      <c r="K553" s="26" t="str">
        <f>IF(OR(E553="",E553="!!!",F553="NEW"),"",INDEX(J$1:J552,SUMPRODUCT(MAX(ROW(E$1:E552)*(E553=E$1:E552)))))</f>
        <v> </v>
      </c>
      <c r="L553" s="27"/>
    </row>
    <row r="554" spans="1:12">
      <c r="A554" s="20" t="s">
        <v>607</v>
      </c>
      <c r="B554" s="21" t="s">
        <v>340</v>
      </c>
      <c r="E554" s="22">
        <f>IF(D554="?OLD","!!!","")</f>
        <v/>
      </c>
      <c r="F554" s="23" t="str">
        <f>IF(OR(E554="",E554="!!!"),"",IF(NOT(ISNA(VLOOKUP(E554,E$1:E553,1,FALSE()))),"OLD",IF(AND(E554&lt;&gt;"",E554&lt;&gt;"!!!"),"NEW","")))</f>
        <v> </v>
      </c>
      <c r="G554" s="24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5" t="str">
        <f>IF(J554&lt;&gt;1,"",IF(I554="SBJ","CB","?"))</f>
        <v> </v>
      </c>
      <c r="I554" s="26" t="str">
        <f>IF(OR(E554="",E554="!!!",F554="NEW"),"",INDEX(B553:B$2,-1+SUMPRODUCT(MAX(ROW(E553:E$2)*(E554=E553:E$2)))))</f>
        <v> </v>
      </c>
      <c r="J554" s="26" t="str">
        <f>IF(OR(E554="",E554="!!!",F554="NEW"),"",COUNTBLANK(OFFSET(A$1,,,SUMPRODUCT(MAX(ROW(E$2:E554)*(E554=E$2:E554)))))-COUNTBLANK(OFFSET(A$1,,,SUMPRODUCT(MAX(ROW(E$1:E553)*(E2=E$1:E553))))))</f>
        <v> </v>
      </c>
      <c r="K554" s="26" t="str">
        <f>IF(OR(E554="",E554="!!!",F554="NEW"),"",INDEX(J$1:J553,SUMPRODUCT(MAX(ROW(E$1:E553)*(E554=E$1:E553)))))</f>
        <v> </v>
      </c>
      <c r="L554" s="27"/>
    </row>
    <row r="555" spans="1:12">
      <c r="A555" s="20" t="s">
        <v>217</v>
      </c>
      <c r="E555" s="22">
        <f>IF(D555="?OLD","!!!","")</f>
        <v/>
      </c>
      <c r="F555" s="23" t="str">
        <f>IF(OR(E555="",E555="!!!"),"",IF(NOT(ISNA(VLOOKUP(E555,E$1:E554,1,FALSE()))),"OLD",IF(AND(E555&lt;&gt;"",E555&lt;&gt;"!!!"),"NEW","")))</f>
        <v> </v>
      </c>
      <c r="G555" s="24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5" t="str">
        <f>IF(J555&lt;&gt;1,"",IF(I555="SBJ","CB","?"))</f>
        <v> </v>
      </c>
      <c r="I555" s="26" t="str">
        <f>IF(OR(E555="",E555="!!!",F555="NEW"),"",INDEX(B554:B$2,-1+SUMPRODUCT(MAX(ROW(E554:E$2)*(E555=E554:E$2)))))</f>
        <v> </v>
      </c>
      <c r="J555" s="26" t="str">
        <f>IF(OR(E555="",E555="!!!",F555="NEW"),"",COUNTBLANK(OFFSET(A$1,,,SUMPRODUCT(MAX(ROW(E$2:E555)*(E555=E$2:E555)))))-COUNTBLANK(OFFSET(A$1,,,SUMPRODUCT(MAX(ROW(E$1:E554)*(E2=E$1:E554))))))</f>
        <v> </v>
      </c>
      <c r="K555" s="26" t="str">
        <f>IF(OR(E555="",E555="!!!",F555="NEW"),"",INDEX(J$1:J554,SUMPRODUCT(MAX(ROW(E$1:E554)*(E555=E$1:E554)))))</f>
        <v> </v>
      </c>
      <c r="L555" s="27"/>
    </row>
    <row r="556" spans="1:12">
      <c r="A556" s="20" t="s">
        <v>608</v>
      </c>
      <c r="E556" s="22">
        <f>IF(D556="?OLD","!!!","")</f>
        <v/>
      </c>
      <c r="F556" s="23" t="str">
        <f>IF(OR(E556="",E556="!!!"),"",IF(NOT(ISNA(VLOOKUP(E556,E$1:E555,1,FALSE()))),"OLD",IF(AND(E556&lt;&gt;"",E556&lt;&gt;"!!!"),"NEW","")))</f>
        <v> </v>
      </c>
      <c r="G556" s="24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5" t="str">
        <f>IF(J556&lt;&gt;1,"",IF(I556="SBJ","CB","?"))</f>
        <v> </v>
      </c>
      <c r="I556" s="26" t="str">
        <f>IF(OR(E556="",E556="!!!",F556="NEW"),"",INDEX(B555:B$2,-1+SUMPRODUCT(MAX(ROW(E555:E$2)*(E556=E555:E$2)))))</f>
        <v> </v>
      </c>
      <c r="J556" s="26" t="str">
        <f>IF(OR(E556="",E556="!!!",F556="NEW"),"",COUNTBLANK(OFFSET(A$1,,,SUMPRODUCT(MAX(ROW(E$2:E556)*(E556=E$2:E556)))))-COUNTBLANK(OFFSET(A$1,,,SUMPRODUCT(MAX(ROW(E$1:E555)*(E2=E$1:E555))))))</f>
        <v> </v>
      </c>
      <c r="K556" s="26" t="str">
        <f>IF(OR(E556="",E556="!!!",F556="NEW"),"",INDEX(J$1:J555,SUMPRODUCT(MAX(ROW(E$1:E555)*(E556=E$1:E555)))))</f>
        <v> </v>
      </c>
      <c r="L556" s="27"/>
    </row>
    <row r="557" spans="1:12">
      <c r="A557" s="20" t="s">
        <v>230</v>
      </c>
      <c r="E557" s="22">
        <f>IF(D557="?OLD","!!!","")</f>
        <v/>
      </c>
      <c r="F557" s="23" t="str">
        <f>IF(OR(E557="",E557="!!!"),"",IF(NOT(ISNA(VLOOKUP(E557,E$1:E556,1,FALSE()))),"OLD",IF(AND(E557&lt;&gt;"",E557&lt;&gt;"!!!"),"NEW","")))</f>
        <v> </v>
      </c>
      <c r="G557" s="24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5" t="str">
        <f>IF(J557&lt;&gt;1,"",IF(I557="SBJ","CB","?"))</f>
        <v> </v>
      </c>
      <c r="I557" s="26" t="str">
        <f>IF(OR(E557="",E557="!!!",F557="NEW"),"",INDEX(B556:B$2,-1+SUMPRODUCT(MAX(ROW(E556:E$2)*(E557=E556:E$2)))))</f>
        <v> </v>
      </c>
      <c r="J557" s="26" t="str">
        <f>IF(OR(E557="",E557="!!!",F557="NEW"),"",COUNTBLANK(OFFSET(A$1,,,SUMPRODUCT(MAX(ROW(E$2:E557)*(E557=E$2:E557)))))-COUNTBLANK(OFFSET(A$1,,,SUMPRODUCT(MAX(ROW(E$1:E556)*(E2=E$1:E556))))))</f>
        <v> </v>
      </c>
      <c r="K557" s="26" t="str">
        <f>IF(OR(E557="",E557="!!!",F557="NEW"),"",INDEX(J$1:J556,SUMPRODUCT(MAX(ROW(E$1:E556)*(E557=E$1:E556)))))</f>
        <v> </v>
      </c>
      <c r="L557" s="27"/>
    </row>
    <row r="558" spans="1:12">
      <c r="A558" s="20" t="s">
        <v>366</v>
      </c>
      <c r="E558" s="22">
        <f>IF(D558="?OLD","!!!","")</f>
        <v/>
      </c>
      <c r="F558" s="23" t="str">
        <f>IF(OR(E558="",E558="!!!"),"",IF(NOT(ISNA(VLOOKUP(E558,E$1:E557,1,FALSE()))),"OLD",IF(AND(E558&lt;&gt;"",E558&lt;&gt;"!!!"),"NEW","")))</f>
        <v> </v>
      </c>
      <c r="G558" s="24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5" t="str">
        <f>IF(J558&lt;&gt;1,"",IF(I558="SBJ","CB","?"))</f>
        <v> </v>
      </c>
      <c r="I558" s="26" t="str">
        <f>IF(OR(E558="",E558="!!!",F558="NEW"),"",INDEX(B557:B$2,-1+SUMPRODUCT(MAX(ROW(E557:E$2)*(E558=E557:E$2)))))</f>
        <v> </v>
      </c>
      <c r="J558" s="26" t="str">
        <f>IF(OR(E558="",E558="!!!",F558="NEW"),"",COUNTBLANK(OFFSET(A$1,,,SUMPRODUCT(MAX(ROW(E$2:E558)*(E558=E$2:E558)))))-COUNTBLANK(OFFSET(A$1,,,SUMPRODUCT(MAX(ROW(E$1:E557)*(E2=E$1:E557))))))</f>
        <v> </v>
      </c>
      <c r="K558" s="26" t="str">
        <f>IF(OR(E558="",E558="!!!",F558="NEW"),"",INDEX(J$1:J557,SUMPRODUCT(MAX(ROW(E$1:E557)*(E558=E$1:E557)))))</f>
        <v> </v>
      </c>
      <c r="L558" s="27"/>
    </row>
    <row r="559" spans="1:12">
      <c r="A559" s="20" t="s">
        <v>350</v>
      </c>
      <c r="E559" s="22">
        <f>IF(D559="?OLD","!!!","")</f>
        <v/>
      </c>
      <c r="F559" s="23" t="str">
        <f>IF(OR(E559="",E559="!!!"),"",IF(NOT(ISNA(VLOOKUP(E559,E$1:E558,1,FALSE()))),"OLD",IF(AND(E559&lt;&gt;"",E559&lt;&gt;"!!!"),"NEW","")))</f>
        <v> </v>
      </c>
      <c r="G559" s="24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5" t="str">
        <f>IF(J559&lt;&gt;1,"",IF(I559="SBJ","CB","?"))</f>
        <v> </v>
      </c>
      <c r="I559" s="26" t="str">
        <f>IF(OR(E559="",E559="!!!",F559="NEW"),"",INDEX(B558:B$2,-1+SUMPRODUCT(MAX(ROW(E558:E$2)*(E559=E558:E$2)))))</f>
        <v> </v>
      </c>
      <c r="J559" s="26" t="str">
        <f>IF(OR(E559="",E559="!!!",F559="NEW"),"",COUNTBLANK(OFFSET(A$1,,,SUMPRODUCT(MAX(ROW(E$2:E559)*(E559=E$2:E559)))))-COUNTBLANK(OFFSET(A$1,,,SUMPRODUCT(MAX(ROW(E$1:E558)*(E2=E$1:E558))))))</f>
        <v> </v>
      </c>
      <c r="K559" s="26" t="str">
        <f>IF(OR(E559="",E559="!!!",F559="NEW"),"",INDEX(J$1:J558,SUMPRODUCT(MAX(ROW(E$1:E558)*(E559=E$1:E558)))))</f>
        <v> </v>
      </c>
      <c r="L559" s="27"/>
    </row>
    <row r="560" spans="1:12">
      <c r="A560" s="20" t="s">
        <v>609</v>
      </c>
      <c r="E560" s="22">
        <f>IF(D560="?OLD","!!!","")</f>
        <v/>
      </c>
      <c r="F560" s="23" t="str">
        <f>IF(OR(E560="",E560="!!!"),"",IF(NOT(ISNA(VLOOKUP(E560,E$1:E559,1,FALSE()))),"OLD",IF(AND(E560&lt;&gt;"",E560&lt;&gt;"!!!"),"NEW","")))</f>
        <v> </v>
      </c>
      <c r="G560" s="24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5" t="str">
        <f>IF(J560&lt;&gt;1,"",IF(I560="SBJ","CB","?"))</f>
        <v> </v>
      </c>
      <c r="I560" s="26" t="str">
        <f>IF(OR(E560="",E560="!!!",F560="NEW"),"",INDEX(B559:B$2,-1+SUMPRODUCT(MAX(ROW(E559:E$2)*(E560=E559:E$2)))))</f>
        <v> </v>
      </c>
      <c r="J560" s="26" t="str">
        <f>IF(OR(E560="",E560="!!!",F560="NEW"),"",COUNTBLANK(OFFSET(A$1,,,SUMPRODUCT(MAX(ROW(E$2:E560)*(E560=E$2:E560)))))-COUNTBLANK(OFFSET(A$1,,,SUMPRODUCT(MAX(ROW(E$1:E559)*(E2=E$1:E559))))))</f>
        <v> </v>
      </c>
      <c r="K560" s="26" t="str">
        <f>IF(OR(E560="",E560="!!!",F560="NEW"),"",INDEX(J$1:J559,SUMPRODUCT(MAX(ROW(E$1:E559)*(E560=E$1:E559)))))</f>
        <v> </v>
      </c>
      <c r="L560" s="27"/>
    </row>
    <row r="561" spans="1:12">
      <c r="A561" s="20" t="s">
        <v>610</v>
      </c>
      <c r="B561" s="21" t="s">
        <v>232</v>
      </c>
      <c r="E561" s="22">
        <f>IF(D561="?OLD","!!!","")</f>
        <v/>
      </c>
      <c r="F561" s="23" t="str">
        <f>IF(OR(E561="",E561="!!!"),"",IF(NOT(ISNA(VLOOKUP(E561,E$1:E560,1,FALSE()))),"OLD",IF(AND(E561&lt;&gt;"",E561&lt;&gt;"!!!"),"NEW","")))</f>
        <v> </v>
      </c>
      <c r="G561" s="24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5" t="str">
        <f>IF(J561&lt;&gt;1,"",IF(I561="SBJ","CB","?"))</f>
        <v> </v>
      </c>
      <c r="I561" s="26" t="str">
        <f>IF(OR(E561="",E561="!!!",F561="NEW"),"",INDEX(B560:B$2,-1+SUMPRODUCT(MAX(ROW(E560:E$2)*(E561=E560:E$2)))))</f>
        <v> </v>
      </c>
      <c r="J561" s="26" t="str">
        <f>IF(OR(E561="",E561="!!!",F561="NEW"),"",COUNTBLANK(OFFSET(A$1,,,SUMPRODUCT(MAX(ROW(E$2:E561)*(E561=E$2:E561)))))-COUNTBLANK(OFFSET(A$1,,,SUMPRODUCT(MAX(ROW(E$1:E560)*(E2=E$1:E560))))))</f>
        <v> </v>
      </c>
      <c r="K561" s="26" t="str">
        <f>IF(OR(E561="",E561="!!!",F561="NEW"),"",INDEX(J$1:J560,SUMPRODUCT(MAX(ROW(E$1:E560)*(E561=E$1:E560)))))</f>
        <v> </v>
      </c>
      <c r="L561" s="27"/>
    </row>
    <row r="562" spans="1:12">
      <c r="A562" s="20" t="s">
        <v>611</v>
      </c>
      <c r="E562" s="22">
        <f>IF(D562="?OLD","!!!","")</f>
        <v/>
      </c>
      <c r="F562" s="23" t="str">
        <f>IF(OR(E562="",E562="!!!"),"",IF(NOT(ISNA(VLOOKUP(E562,E$1:E561,1,FALSE()))),"OLD",IF(AND(E562&lt;&gt;"",E562&lt;&gt;"!!!"),"NEW","")))</f>
        <v> </v>
      </c>
      <c r="G562" s="24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5" t="str">
        <f>IF(J562&lt;&gt;1,"",IF(I562="SBJ","CB","?"))</f>
        <v> </v>
      </c>
      <c r="I562" s="26" t="str">
        <f>IF(OR(E562="",E562="!!!",F562="NEW"),"",INDEX(B561:B$2,-1+SUMPRODUCT(MAX(ROW(E561:E$2)*(E562=E561:E$2)))))</f>
        <v> </v>
      </c>
      <c r="J562" s="26" t="str">
        <f>IF(OR(E562="",E562="!!!",F562="NEW"),"",COUNTBLANK(OFFSET(A$1,,,SUMPRODUCT(MAX(ROW(E$2:E562)*(E562=E$2:E562)))))-COUNTBLANK(OFFSET(A$1,,,SUMPRODUCT(MAX(ROW(E$1:E561)*(E2=E$1:E561))))))</f>
        <v> </v>
      </c>
      <c r="K562" s="26" t="str">
        <f>IF(OR(E562="",E562="!!!",F562="NEW"),"",INDEX(J$1:J561,SUMPRODUCT(MAX(ROW(E$1:E561)*(E562=E$1:E561)))))</f>
        <v> </v>
      </c>
      <c r="L562" s="27"/>
    </row>
    <row r="563" spans="1:12">
      <c r="A563" s="20" t="s">
        <v>612</v>
      </c>
      <c r="E563" s="22">
        <f>IF(D563="?OLD","!!!","")</f>
        <v/>
      </c>
      <c r="F563" s="23" t="str">
        <f>IF(OR(E563="",E563="!!!"),"",IF(NOT(ISNA(VLOOKUP(E563,E$1:E562,1,FALSE()))),"OLD",IF(AND(E563&lt;&gt;"",E563&lt;&gt;"!!!"),"NEW","")))</f>
        <v> </v>
      </c>
      <c r="G563" s="24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5" t="str">
        <f>IF(J563&lt;&gt;1,"",IF(I563="SBJ","CB","?"))</f>
        <v> </v>
      </c>
      <c r="I563" s="26" t="str">
        <f>IF(OR(E563="",E563="!!!",F563="NEW"),"",INDEX(B562:B$2,-1+SUMPRODUCT(MAX(ROW(E562:E$2)*(E563=E562:E$2)))))</f>
        <v> </v>
      </c>
      <c r="J563" s="26" t="str">
        <f>IF(OR(E563="",E563="!!!",F563="NEW"),"",COUNTBLANK(OFFSET(A$1,,,SUMPRODUCT(MAX(ROW(E$2:E563)*(E563=E$2:E563)))))-COUNTBLANK(OFFSET(A$1,,,SUMPRODUCT(MAX(ROW(E$1:E562)*(E2=E$1:E562))))))</f>
        <v> </v>
      </c>
      <c r="K563" s="26" t="str">
        <f>IF(OR(E563="",E563="!!!",F563="NEW"),"",INDEX(J$1:J562,SUMPRODUCT(MAX(ROW(E$1:E562)*(E563=E$1:E562)))))</f>
        <v> </v>
      </c>
      <c r="L563" s="27"/>
    </row>
    <row r="564" spans="1:12">
      <c r="A564" s="20" t="s">
        <v>430</v>
      </c>
      <c r="E564" s="22">
        <f>IF(D564="?OLD","!!!","")</f>
        <v/>
      </c>
      <c r="F564" s="23" t="str">
        <f>IF(OR(E564="",E564="!!!"),"",IF(NOT(ISNA(VLOOKUP(E564,E$1:E563,1,FALSE()))),"OLD",IF(AND(E564&lt;&gt;"",E564&lt;&gt;"!!!"),"NEW","")))</f>
        <v> </v>
      </c>
      <c r="G564" s="24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5" t="str">
        <f>IF(J564&lt;&gt;1,"",IF(I564="SBJ","CB","?"))</f>
        <v> </v>
      </c>
      <c r="I564" s="26" t="str">
        <f>IF(OR(E564="",E564="!!!",F564="NEW"),"",INDEX(B563:B$2,-1+SUMPRODUCT(MAX(ROW(E563:E$2)*(E564=E563:E$2)))))</f>
        <v> </v>
      </c>
      <c r="J564" s="26" t="str">
        <f>IF(OR(E564="",E564="!!!",F564="NEW"),"",COUNTBLANK(OFFSET(A$1,,,SUMPRODUCT(MAX(ROW(E$2:E564)*(E564=E$2:E564)))))-COUNTBLANK(OFFSET(A$1,,,SUMPRODUCT(MAX(ROW(E$1:E563)*(E2=E$1:E563))))))</f>
        <v> </v>
      </c>
      <c r="K564" s="26" t="str">
        <f>IF(OR(E564="",E564="!!!",F564="NEW"),"",INDEX(J$1:J563,SUMPRODUCT(MAX(ROW(E$1:E563)*(E564=E$1:E563)))))</f>
        <v> </v>
      </c>
      <c r="L564" s="27"/>
    </row>
    <row r="565" spans="1:12">
      <c r="A565" s="20" t="s">
        <v>613</v>
      </c>
      <c r="E565" s="22">
        <f>IF(D565="?OLD","!!!","")</f>
        <v/>
      </c>
      <c r="F565" s="23" t="str">
        <f>IF(OR(E565="",E565="!!!"),"",IF(NOT(ISNA(VLOOKUP(E565,E$1:E564,1,FALSE()))),"OLD",IF(AND(E565&lt;&gt;"",E565&lt;&gt;"!!!"),"NEW","")))</f>
        <v> </v>
      </c>
      <c r="G565" s="24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5" t="str">
        <f>IF(J565&lt;&gt;1,"",IF(I565="SBJ","CB","?"))</f>
        <v> </v>
      </c>
      <c r="I565" s="26" t="str">
        <f>IF(OR(E565="",E565="!!!",F565="NEW"),"",INDEX(B564:B$2,-1+SUMPRODUCT(MAX(ROW(E564:E$2)*(E565=E564:E$2)))))</f>
        <v> </v>
      </c>
      <c r="J565" s="26" t="str">
        <f>IF(OR(E565="",E565="!!!",F565="NEW"),"",COUNTBLANK(OFFSET(A$1,,,SUMPRODUCT(MAX(ROW(E$2:E565)*(E565=E$2:E565)))))-COUNTBLANK(OFFSET(A$1,,,SUMPRODUCT(MAX(ROW(E$1:E564)*(E2=E$1:E564))))))</f>
        <v> </v>
      </c>
      <c r="K565" s="26" t="str">
        <f>IF(OR(E565="",E565="!!!",F565="NEW"),"",INDEX(J$1:J564,SUMPRODUCT(MAX(ROW(E$1:E564)*(E565=E$1:E564)))))</f>
        <v> </v>
      </c>
      <c r="L565" s="27"/>
    </row>
    <row r="566" spans="1:12">
      <c r="A566" s="20" t="s">
        <v>614</v>
      </c>
      <c r="E566" s="22">
        <f>IF(D566="?OLD","!!!","")</f>
        <v/>
      </c>
      <c r="F566" s="23" t="str">
        <f>IF(OR(E566="",E566="!!!"),"",IF(NOT(ISNA(VLOOKUP(E566,E$1:E565,1,FALSE()))),"OLD",IF(AND(E566&lt;&gt;"",E566&lt;&gt;"!!!"),"NEW","")))</f>
        <v> </v>
      </c>
      <c r="G566" s="24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5" t="str">
        <f>IF(J566&lt;&gt;1,"",IF(I566="SBJ","CB","?"))</f>
        <v> </v>
      </c>
      <c r="I566" s="26" t="str">
        <f>IF(OR(E566="",E566="!!!",F566="NEW"),"",INDEX(B565:B$2,-1+SUMPRODUCT(MAX(ROW(E565:E$2)*(E566=E565:E$2)))))</f>
        <v> </v>
      </c>
      <c r="J566" s="26" t="str">
        <f>IF(OR(E566="",E566="!!!",F566="NEW"),"",COUNTBLANK(OFFSET(A$1,,,SUMPRODUCT(MAX(ROW(E$2:E566)*(E566=E$2:E566)))))-COUNTBLANK(OFFSET(A$1,,,SUMPRODUCT(MAX(ROW(E$1:E565)*(E2=E$1:E565))))))</f>
        <v> </v>
      </c>
      <c r="K566" s="26" t="str">
        <f>IF(OR(E566="",E566="!!!",F566="NEW"),"",INDEX(J$1:J565,SUMPRODUCT(MAX(ROW(E$1:E565)*(E566=E$1:E565)))))</f>
        <v> </v>
      </c>
      <c r="L566" s="27"/>
    </row>
    <row r="567" spans="1:12">
      <c r="A567" s="20" t="s">
        <v>237</v>
      </c>
      <c r="E567" s="22">
        <f>IF(D567="?OLD","!!!","")</f>
        <v/>
      </c>
      <c r="F567" s="23" t="str">
        <f>IF(OR(E567="",E567="!!!"),"",IF(NOT(ISNA(VLOOKUP(E567,E$1:E566,1,FALSE()))),"OLD",IF(AND(E567&lt;&gt;"",E567&lt;&gt;"!!!"),"NEW","")))</f>
        <v> </v>
      </c>
      <c r="G567" s="24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5" t="str">
        <f>IF(J567&lt;&gt;1,"",IF(I567="SBJ","CB","?"))</f>
        <v> </v>
      </c>
      <c r="I567" s="26" t="str">
        <f>IF(OR(E567="",E567="!!!",F567="NEW"),"",INDEX(B566:B$2,-1+SUMPRODUCT(MAX(ROW(E566:E$2)*(E567=E566:E$2)))))</f>
        <v> </v>
      </c>
      <c r="J567" s="26" t="str">
        <f>IF(OR(E567="",E567="!!!",F567="NEW"),"",COUNTBLANK(OFFSET(A$1,,,SUMPRODUCT(MAX(ROW(E$2:E567)*(E567=E$2:E567)))))-COUNTBLANK(OFFSET(A$1,,,SUMPRODUCT(MAX(ROW(E$1:E566)*(E2=E$1:E566))))))</f>
        <v> </v>
      </c>
      <c r="K567" s="26" t="str">
        <f>IF(OR(E567="",E567="!!!",F567="NEW"),"",INDEX(J$1:J566,SUMPRODUCT(MAX(ROW(E$1:E566)*(E567=E$1:E566)))))</f>
        <v> </v>
      </c>
      <c r="L567" s="27"/>
    </row>
    <row r="568" spans="1:12">
      <c r="A568" s="20"/>
    </row>
    <row r="569" spans="1:12">
      <c r="A569" s="20" t="s">
        <v>312</v>
      </c>
      <c r="E569" s="22">
        <f>IF(D569="?OLD","!!!","")</f>
        <v/>
      </c>
      <c r="F569" s="23" t="str">
        <f>IF(OR(E569="",E569="!!!"),"",IF(NOT(ISNA(VLOOKUP(E569,E$1:E568,1,FALSE()))),"OLD",IF(AND(E569&lt;&gt;"",E569&lt;&gt;"!!!"),"NEW","")))</f>
        <v> </v>
      </c>
      <c r="G569" s="24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5" t="str">
        <f>IF(J569&lt;&gt;1,"",IF(I569="SBJ","CB","?"))</f>
        <v> </v>
      </c>
      <c r="I569" s="26" t="str">
        <f>IF(OR(E569="",E569="!!!",F569="NEW"),"",INDEX(B568:B$2,-1+SUMPRODUCT(MAX(ROW(E568:E$2)*(E569=E568:E$2)))))</f>
        <v> </v>
      </c>
      <c r="J569" s="26" t="str">
        <f>IF(OR(E569="",E569="!!!",F569="NEW"),"",COUNTBLANK(OFFSET(A$1,,,SUMPRODUCT(MAX(ROW(E$2:E569)*(E569=E$2:E569)))))-COUNTBLANK(OFFSET(A$1,,,SUMPRODUCT(MAX(ROW(E$1:E568)*(E2=E$1:E568))))))</f>
        <v> </v>
      </c>
      <c r="K569" s="26" t="str">
        <f>IF(OR(E569="",E569="!!!",F569="NEW"),"",INDEX(J$1:J568,SUMPRODUCT(MAX(ROW(E$1:E568)*(E569=E$1:E568)))))</f>
        <v> </v>
      </c>
      <c r="L569" s="27"/>
    </row>
    <row r="570" spans="1:12">
      <c r="A570" s="20" t="s">
        <v>615</v>
      </c>
    </row>
    <row r="571" spans="1:12">
      <c r="A571" s="20" t="s">
        <v>220</v>
      </c>
      <c r="E571" s="22">
        <f>IF(D571="?OLD","!!!","")</f>
        <v/>
      </c>
      <c r="F571" s="23" t="str">
        <f>IF(OR(E571="",E571="!!!"),"",IF(NOT(ISNA(VLOOKUP(E571,E$1:E570,1,FALSE()))),"OLD",IF(AND(E571&lt;&gt;"",E571&lt;&gt;"!!!"),"NEW","")))</f>
        <v> </v>
      </c>
      <c r="G571" s="24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5" t="str">
        <f>IF(J571&lt;&gt;1,"",IF(I571="SBJ","CB","?"))</f>
        <v> </v>
      </c>
      <c r="I571" s="26" t="str">
        <f>IF(OR(E571="",E571="!!!",F571="NEW"),"",INDEX(B570:B$2,-1+SUMPRODUCT(MAX(ROW(E570:E$2)*(E571=E570:E$2)))))</f>
        <v> </v>
      </c>
      <c r="J571" s="26" t="str">
        <f>IF(OR(E571="",E571="!!!",F571="NEW"),"",COUNTBLANK(OFFSET(A$1,,,SUMPRODUCT(MAX(ROW(E$2:E571)*(E571=E$2:E571)))))-COUNTBLANK(OFFSET(A$1,,,SUMPRODUCT(MAX(ROW(E$1:E570)*(E2=E$1:E570))))))</f>
        <v> </v>
      </c>
      <c r="K571" s="26" t="str">
        <f>IF(OR(E571="",E571="!!!",F571="NEW"),"",INDEX(J$1:J570,SUMPRODUCT(MAX(ROW(E$1:E570)*(E571=E$1:E570)))))</f>
        <v> </v>
      </c>
      <c r="L571" s="27"/>
    </row>
    <row r="572" spans="1:12">
      <c r="A572" s="20" t="s">
        <v>616</v>
      </c>
      <c r="E572" s="22">
        <f>IF(D572="?OLD","!!!","")</f>
        <v/>
      </c>
      <c r="F572" s="23" t="str">
        <f>IF(OR(E572="",E572="!!!"),"",IF(NOT(ISNA(VLOOKUP(E572,E$1:E571,1,FALSE()))),"OLD",IF(AND(E572&lt;&gt;"",E572&lt;&gt;"!!!"),"NEW","")))</f>
        <v> </v>
      </c>
      <c r="G572" s="24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5" t="str">
        <f>IF(J572&lt;&gt;1,"",IF(I572="SBJ","CB","?"))</f>
        <v> </v>
      </c>
      <c r="I572" s="26" t="str">
        <f>IF(OR(E572="",E572="!!!",F572="NEW"),"",INDEX(B571:B$2,-1+SUMPRODUCT(MAX(ROW(E571:E$2)*(E572=E571:E$2)))))</f>
        <v> </v>
      </c>
      <c r="J572" s="26" t="str">
        <f>IF(OR(E572="",E572="!!!",F572="NEW"),"",COUNTBLANK(OFFSET(A$1,,,SUMPRODUCT(MAX(ROW(E$2:E572)*(E572=E$2:E572)))))-COUNTBLANK(OFFSET(A$1,,,SUMPRODUCT(MAX(ROW(E$1:E571)*(E2=E$1:E571))))))</f>
        <v> </v>
      </c>
      <c r="K572" s="26" t="str">
        <f>IF(OR(E572="",E572="!!!",F572="NEW"),"",INDEX(J$1:J571,SUMPRODUCT(MAX(ROW(E$1:E571)*(E572=E$1:E571)))))</f>
        <v> </v>
      </c>
      <c r="L572" s="27"/>
    </row>
    <row r="573" spans="1:12">
      <c r="A573" s="20" t="s">
        <v>617</v>
      </c>
      <c r="E573" s="22">
        <f>IF(D573="?OLD","!!!","")</f>
        <v/>
      </c>
      <c r="F573" s="23" t="str">
        <f>IF(OR(E573="",E573="!!!"),"",IF(NOT(ISNA(VLOOKUP(E573,E$1:E572,1,FALSE()))),"OLD",IF(AND(E573&lt;&gt;"",E573&lt;&gt;"!!!"),"NEW","")))</f>
        <v> </v>
      </c>
      <c r="G573" s="24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5" t="str">
        <f>IF(J573&lt;&gt;1,"",IF(I573="SBJ","CB","?"))</f>
        <v> </v>
      </c>
      <c r="I573" s="26" t="str">
        <f>IF(OR(E573="",E573="!!!",F573="NEW"),"",INDEX(B572:B$2,-1+SUMPRODUCT(MAX(ROW(E572:E$2)*(E573=E572:E$2)))))</f>
        <v> </v>
      </c>
      <c r="J573" s="26" t="str">
        <f>IF(OR(E573="",E573="!!!",F573="NEW"),"",COUNTBLANK(OFFSET(A$1,,,SUMPRODUCT(MAX(ROW(E$2:E573)*(E573=E$2:E573)))))-COUNTBLANK(OFFSET(A$1,,,SUMPRODUCT(MAX(ROW(E$1:E572)*(E2=E$1:E572))))))</f>
        <v> </v>
      </c>
      <c r="K573" s="26" t="str">
        <f>IF(OR(E573="",E573="!!!",F573="NEW"),"",INDEX(J$1:J572,SUMPRODUCT(MAX(ROW(E$1:E572)*(E573=E$1:E572)))))</f>
        <v> </v>
      </c>
      <c r="L573" s="27"/>
    </row>
    <row r="574" spans="1:12">
      <c r="A574" s="20" t="s">
        <v>230</v>
      </c>
      <c r="E574" s="22">
        <f>IF(D574="?OLD","!!!","")</f>
        <v/>
      </c>
      <c r="F574" s="23" t="str">
        <f>IF(OR(E574="",E574="!!!"),"",IF(NOT(ISNA(VLOOKUP(E574,E$1:E573,1,FALSE()))),"OLD",IF(AND(E574&lt;&gt;"",E574&lt;&gt;"!!!"),"NEW","")))</f>
        <v> </v>
      </c>
      <c r="G574" s="24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5" t="str">
        <f>IF(J574&lt;&gt;1,"",IF(I574="SBJ","CB","?"))</f>
        <v> </v>
      </c>
      <c r="I574" s="26" t="str">
        <f>IF(OR(E574="",E574="!!!",F574="NEW"),"",INDEX(B573:B$2,-1+SUMPRODUCT(MAX(ROW(E573:E$2)*(E574=E573:E$2)))))</f>
        <v> </v>
      </c>
      <c r="J574" s="26" t="str">
        <f>IF(OR(E574="",E574="!!!",F574="NEW"),"",COUNTBLANK(OFFSET(A$1,,,SUMPRODUCT(MAX(ROW(E$2:E574)*(E574=E$2:E574)))))-COUNTBLANK(OFFSET(A$1,,,SUMPRODUCT(MAX(ROW(E$1:E573)*(E2=E$1:E573))))))</f>
        <v> </v>
      </c>
      <c r="K574" s="26" t="str">
        <f>IF(OR(E574="",E574="!!!",F574="NEW"),"",INDEX(J$1:J573,SUMPRODUCT(MAX(ROW(E$1:E573)*(E574=E$1:E573)))))</f>
        <v> </v>
      </c>
      <c r="L574" s="27"/>
    </row>
    <row r="575" spans="1:12">
      <c r="A575" s="20" t="s">
        <v>618</v>
      </c>
      <c r="B575" s="21" t="s">
        <v>236</v>
      </c>
      <c r="E575" s="22">
        <f>IF(D575="?OLD","!!!","")</f>
        <v/>
      </c>
      <c r="F575" s="23" t="str">
        <f>IF(OR(E575="",E575="!!!"),"",IF(NOT(ISNA(VLOOKUP(E575,E$1:E574,1,FALSE()))),"OLD",IF(AND(E575&lt;&gt;"",E575&lt;&gt;"!!!"),"NEW","")))</f>
        <v> </v>
      </c>
      <c r="G575" s="24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5" t="str">
        <f>IF(J575&lt;&gt;1,"",IF(I575="SBJ","CB","?"))</f>
        <v> </v>
      </c>
      <c r="I575" s="26" t="str">
        <f>IF(OR(E575="",E575="!!!",F575="NEW"),"",INDEX(B574:B$2,-1+SUMPRODUCT(MAX(ROW(E574:E$2)*(E575=E574:E$2)))))</f>
        <v> </v>
      </c>
      <c r="J575" s="26" t="str">
        <f>IF(OR(E575="",E575="!!!",F575="NEW"),"",COUNTBLANK(OFFSET(A$1,,,SUMPRODUCT(MAX(ROW(E$2:E575)*(E575=E$2:E575)))))-COUNTBLANK(OFFSET(A$1,,,SUMPRODUCT(MAX(ROW(E$1:E574)*(E2=E$1:E574))))))</f>
        <v> </v>
      </c>
      <c r="K575" s="26" t="str">
        <f>IF(OR(E575="",E575="!!!",F575="NEW"),"",INDEX(J$1:J574,SUMPRODUCT(MAX(ROW(E$1:E574)*(E575=E$1:E574)))))</f>
        <v> </v>
      </c>
      <c r="L575" s="27"/>
    </row>
    <row r="576" spans="1:12">
      <c r="A576" s="20" t="s">
        <v>619</v>
      </c>
      <c r="E576" s="22">
        <f>IF(D576="?OLD","!!!","")</f>
        <v/>
      </c>
      <c r="F576" s="23" t="str">
        <f>IF(OR(E576="",E576="!!!"),"",IF(NOT(ISNA(VLOOKUP(E576,E$1:E575,1,FALSE()))),"OLD",IF(AND(E576&lt;&gt;"",E576&lt;&gt;"!!!"),"NEW","")))</f>
        <v> </v>
      </c>
      <c r="G576" s="24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5" t="str">
        <f>IF(J576&lt;&gt;1,"",IF(I576="SBJ","CB","?"))</f>
        <v> </v>
      </c>
      <c r="I576" s="26" t="str">
        <f>IF(OR(E576="",E576="!!!",F576="NEW"),"",INDEX(B575:B$2,-1+SUMPRODUCT(MAX(ROW(E575:E$2)*(E576=E575:E$2)))))</f>
        <v> </v>
      </c>
      <c r="J576" s="26" t="str">
        <f>IF(OR(E576="",E576="!!!",F576="NEW"),"",COUNTBLANK(OFFSET(A$1,,,SUMPRODUCT(MAX(ROW(E$2:E576)*(E576=E$2:E576)))))-COUNTBLANK(OFFSET(A$1,,,SUMPRODUCT(MAX(ROW(E$1:E575)*(E2=E$1:E575))))))</f>
        <v> </v>
      </c>
      <c r="K576" s="26" t="str">
        <f>IF(OR(E576="",E576="!!!",F576="NEW"),"",INDEX(J$1:J575,SUMPRODUCT(MAX(ROW(E$1:E575)*(E576=E$1:E575)))))</f>
        <v> </v>
      </c>
      <c r="L576" s="27"/>
    </row>
    <row r="577" spans="1:12">
      <c r="A577" s="20" t="s">
        <v>620</v>
      </c>
      <c r="E577" s="22">
        <f>IF(D577="?OLD","!!!","")</f>
        <v/>
      </c>
      <c r="F577" s="23" t="str">
        <f>IF(OR(E577="",E577="!!!"),"",IF(NOT(ISNA(VLOOKUP(E577,E$1:E576,1,FALSE()))),"OLD",IF(AND(E577&lt;&gt;"",E577&lt;&gt;"!!!"),"NEW","")))</f>
        <v> </v>
      </c>
      <c r="G577" s="24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5" t="str">
        <f>IF(J577&lt;&gt;1,"",IF(I577="SBJ","CB","?"))</f>
        <v> </v>
      </c>
      <c r="I577" s="26" t="str">
        <f>IF(OR(E577="",E577="!!!",F577="NEW"),"",INDEX(B576:B$2,-1+SUMPRODUCT(MAX(ROW(E576:E$2)*(E577=E576:E$2)))))</f>
        <v> </v>
      </c>
      <c r="J577" s="26" t="str">
        <f>IF(OR(E577="",E577="!!!",F577="NEW"),"",COUNTBLANK(OFFSET(A$1,,,SUMPRODUCT(MAX(ROW(E$2:E577)*(E577=E$2:E577)))))-COUNTBLANK(OFFSET(A$1,,,SUMPRODUCT(MAX(ROW(E$1:E576)*(E2=E$1:E576))))))</f>
        <v> </v>
      </c>
      <c r="K577" s="26" t="str">
        <f>IF(OR(E577="",E577="!!!",F577="NEW"),"",INDEX(J$1:J576,SUMPRODUCT(MAX(ROW(E$1:E576)*(E577=E$1:E576)))))</f>
        <v> </v>
      </c>
      <c r="L577" s="27"/>
    </row>
    <row r="578" spans="1:12">
      <c r="A578" s="20" t="s">
        <v>230</v>
      </c>
      <c r="E578" s="22">
        <f>IF(D578="?OLD","!!!","")</f>
        <v/>
      </c>
      <c r="F578" s="23" t="str">
        <f>IF(OR(E578="",E578="!!!"),"",IF(NOT(ISNA(VLOOKUP(E578,E$1:E577,1,FALSE()))),"OLD",IF(AND(E578&lt;&gt;"",E578&lt;&gt;"!!!"),"NEW","")))</f>
        <v> </v>
      </c>
      <c r="G578" s="24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5" t="str">
        <f>IF(J578&lt;&gt;1,"",IF(I578="SBJ","CB","?"))</f>
        <v> </v>
      </c>
      <c r="I578" s="26" t="str">
        <f>IF(OR(E578="",E578="!!!",F578="NEW"),"",INDEX(B577:B$2,-1+SUMPRODUCT(MAX(ROW(E577:E$2)*(E578=E577:E$2)))))</f>
        <v> </v>
      </c>
      <c r="J578" s="26" t="str">
        <f>IF(OR(E578="",E578="!!!",F578="NEW"),"",COUNTBLANK(OFFSET(A$1,,,SUMPRODUCT(MAX(ROW(E$2:E578)*(E578=E$2:E578)))))-COUNTBLANK(OFFSET(A$1,,,SUMPRODUCT(MAX(ROW(E$1:E577)*(E2=E$1:E577))))))</f>
        <v> </v>
      </c>
      <c r="K578" s="26" t="str">
        <f>IF(OR(E578="",E578="!!!",F578="NEW"),"",INDEX(J$1:J577,SUMPRODUCT(MAX(ROW(E$1:E577)*(E578=E$1:E577)))))</f>
        <v> </v>
      </c>
      <c r="L578" s="27"/>
    </row>
    <row r="579" spans="1:12">
      <c r="A579" s="20" t="s">
        <v>220</v>
      </c>
      <c r="E579" s="22">
        <f>IF(D579="?OLD","!!!","")</f>
        <v/>
      </c>
      <c r="F579" s="23" t="str">
        <f>IF(OR(E579="",E579="!!!"),"",IF(NOT(ISNA(VLOOKUP(E579,E$1:E578,1,FALSE()))),"OLD",IF(AND(E579&lt;&gt;"",E579&lt;&gt;"!!!"),"NEW","")))</f>
        <v> </v>
      </c>
      <c r="G579" s="24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5" t="str">
        <f>IF(J579&lt;&gt;1,"",IF(I579="SBJ","CB","?"))</f>
        <v> </v>
      </c>
      <c r="I579" s="26" t="str">
        <f>IF(OR(E579="",E579="!!!",F579="NEW"),"",INDEX(B578:B$2,-1+SUMPRODUCT(MAX(ROW(E578:E$2)*(E579=E578:E$2)))))</f>
        <v> </v>
      </c>
      <c r="J579" s="26" t="str">
        <f>IF(OR(E579="",E579="!!!",F579="NEW"),"",COUNTBLANK(OFFSET(A$1,,,SUMPRODUCT(MAX(ROW(E$2:E579)*(E579=E$2:E579)))))-COUNTBLANK(OFFSET(A$1,,,SUMPRODUCT(MAX(ROW(E$1:E578)*(E2=E$1:E578))))))</f>
        <v> </v>
      </c>
      <c r="K579" s="26" t="str">
        <f>IF(OR(E579="",E579="!!!",F579="NEW"),"",INDEX(J$1:J578,SUMPRODUCT(MAX(ROW(E$1:E578)*(E579=E$1:E578)))))</f>
        <v> </v>
      </c>
      <c r="L579" s="27"/>
    </row>
    <row r="580" spans="1:12">
      <c r="A580" s="20" t="s">
        <v>366</v>
      </c>
      <c r="E580" s="22">
        <f>IF(D580="?OLD","!!!","")</f>
        <v/>
      </c>
      <c r="F580" s="23" t="str">
        <f>IF(OR(E580="",E580="!!!"),"",IF(NOT(ISNA(VLOOKUP(E580,E$1:E579,1,FALSE()))),"OLD",IF(AND(E580&lt;&gt;"",E580&lt;&gt;"!!!"),"NEW","")))</f>
        <v> </v>
      </c>
      <c r="G580" s="24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5" t="str">
        <f>IF(J580&lt;&gt;1,"",IF(I580="SBJ","CB","?"))</f>
        <v> </v>
      </c>
      <c r="I580" s="26" t="str">
        <f>IF(OR(E580="",E580="!!!",F580="NEW"),"",INDEX(B579:B$2,-1+SUMPRODUCT(MAX(ROW(E579:E$2)*(E580=E579:E$2)))))</f>
        <v> </v>
      </c>
      <c r="J580" s="26" t="str">
        <f>IF(OR(E580="",E580="!!!",F580="NEW"),"",COUNTBLANK(OFFSET(A$1,,,SUMPRODUCT(MAX(ROW(E$2:E580)*(E580=E$2:E580)))))-COUNTBLANK(OFFSET(A$1,,,SUMPRODUCT(MAX(ROW(E$1:E579)*(E2=E$1:E579))))))</f>
        <v> </v>
      </c>
      <c r="K580" s="26" t="str">
        <f>IF(OR(E580="",E580="!!!",F580="NEW"),"",INDEX(J$1:J579,SUMPRODUCT(MAX(ROW(E$1:E579)*(E580=E$1:E579)))))</f>
        <v> </v>
      </c>
      <c r="L580" s="27"/>
    </row>
    <row r="581" spans="1:12">
      <c r="A581" s="20" t="s">
        <v>392</v>
      </c>
      <c r="E581" s="22">
        <f>IF(D581="?OLD","!!!","")</f>
        <v/>
      </c>
      <c r="F581" s="23" t="str">
        <f>IF(OR(E581="",E581="!!!"),"",IF(NOT(ISNA(VLOOKUP(E581,E$1:E580,1,FALSE()))),"OLD",IF(AND(E581&lt;&gt;"",E581&lt;&gt;"!!!"),"NEW","")))</f>
        <v> </v>
      </c>
      <c r="G581" s="24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5" t="str">
        <f>IF(J581&lt;&gt;1,"",IF(I581="SBJ","CB","?"))</f>
        <v> </v>
      </c>
      <c r="I581" s="26" t="str">
        <f>IF(OR(E581="",E581="!!!",F581="NEW"),"",INDEX(B580:B$2,-1+SUMPRODUCT(MAX(ROW(E580:E$2)*(E581=E580:E$2)))))</f>
        <v> </v>
      </c>
      <c r="J581" s="26" t="str">
        <f>IF(OR(E581="",E581="!!!",F581="NEW"),"",COUNTBLANK(OFFSET(A$1,,,SUMPRODUCT(MAX(ROW(E$2:E581)*(E581=E$2:E581)))))-COUNTBLANK(OFFSET(A$1,,,SUMPRODUCT(MAX(ROW(E$1:E580)*(E2=E$1:E580))))))</f>
        <v> </v>
      </c>
      <c r="K581" s="26" t="str">
        <f>IF(OR(E581="",E581="!!!",F581="NEW"),"",INDEX(J$1:J580,SUMPRODUCT(MAX(ROW(E$1:E580)*(E581=E$1:E580)))))</f>
        <v> </v>
      </c>
      <c r="L581" s="27"/>
    </row>
    <row r="582" spans="1:12">
      <c r="A582" s="20" t="s">
        <v>621</v>
      </c>
      <c r="E582" s="22">
        <f>IF(D582="?OLD","!!!","")</f>
        <v/>
      </c>
      <c r="F582" s="23" t="str">
        <f>IF(OR(E582="",E582="!!!"),"",IF(NOT(ISNA(VLOOKUP(E582,E$1:E581,1,FALSE()))),"OLD",IF(AND(E582&lt;&gt;"",E582&lt;&gt;"!!!"),"NEW","")))</f>
        <v> </v>
      </c>
      <c r="G582" s="24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5" t="str">
        <f>IF(J582&lt;&gt;1,"",IF(I582="SBJ","CB","?"))</f>
        <v> </v>
      </c>
      <c r="I582" s="26" t="str">
        <f>IF(OR(E582="",E582="!!!",F582="NEW"),"",INDEX(B581:B$2,-1+SUMPRODUCT(MAX(ROW(E581:E$2)*(E582=E581:E$2)))))</f>
        <v> </v>
      </c>
      <c r="J582" s="26" t="str">
        <f>IF(OR(E582="",E582="!!!",F582="NEW"),"",COUNTBLANK(OFFSET(A$1,,,SUMPRODUCT(MAX(ROW(E$2:E582)*(E582=E$2:E582)))))-COUNTBLANK(OFFSET(A$1,,,SUMPRODUCT(MAX(ROW(E$1:E581)*(E2=E$1:E581))))))</f>
        <v> </v>
      </c>
      <c r="K582" s="26" t="str">
        <f>IF(OR(E582="",E582="!!!",F582="NEW"),"",INDEX(J$1:J581,SUMPRODUCT(MAX(ROW(E$1:E581)*(E582=E$1:E581)))))</f>
        <v> </v>
      </c>
      <c r="L582" s="27"/>
    </row>
    <row r="583" spans="1:12">
      <c r="A583" s="20" t="s">
        <v>269</v>
      </c>
      <c r="E583" s="22">
        <f>IF(D583="?OLD","!!!","")</f>
        <v/>
      </c>
      <c r="F583" s="23" t="str">
        <f>IF(OR(E583="",E583="!!!"),"",IF(NOT(ISNA(VLOOKUP(E583,E$1:E582,1,FALSE()))),"OLD",IF(AND(E583&lt;&gt;"",E583&lt;&gt;"!!!"),"NEW","")))</f>
        <v> </v>
      </c>
      <c r="G583" s="24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5" t="str">
        <f>IF(J583&lt;&gt;1,"",IF(I583="SBJ","CB","?"))</f>
        <v> </v>
      </c>
      <c r="I583" s="26" t="str">
        <f>IF(OR(E583="",E583="!!!",F583="NEW"),"",INDEX(B582:B$2,-1+SUMPRODUCT(MAX(ROW(E582:E$2)*(E583=E582:E$2)))))</f>
        <v> </v>
      </c>
      <c r="J583" s="26" t="str">
        <f>IF(OR(E583="",E583="!!!",F583="NEW"),"",COUNTBLANK(OFFSET(A$1,,,SUMPRODUCT(MAX(ROW(E$2:E583)*(E583=E$2:E583)))))-COUNTBLANK(OFFSET(A$1,,,SUMPRODUCT(MAX(ROW(E$1:E582)*(E2=E$1:E582))))))</f>
        <v> </v>
      </c>
      <c r="K583" s="26" t="str">
        <f>IF(OR(E583="",E583="!!!",F583="NEW"),"",INDEX(J$1:J582,SUMPRODUCT(MAX(ROW(E$1:E582)*(E583=E$1:E582)))))</f>
        <v> </v>
      </c>
      <c r="L583" s="27"/>
    </row>
    <row r="584" spans="1:12">
      <c r="A584" s="20" t="s">
        <v>622</v>
      </c>
      <c r="E584" s="22">
        <f>IF(D584="?OLD","!!!","")</f>
        <v/>
      </c>
      <c r="F584" s="23" t="str">
        <f>IF(OR(E584="",E584="!!!"),"",IF(NOT(ISNA(VLOOKUP(E584,E$1:E583,1,FALSE()))),"OLD",IF(AND(E584&lt;&gt;"",E584&lt;&gt;"!!!"),"NEW","")))</f>
        <v> </v>
      </c>
      <c r="G584" s="24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5" t="str">
        <f>IF(J584&lt;&gt;1,"",IF(I584="SBJ","CB","?"))</f>
        <v> </v>
      </c>
      <c r="I584" s="26" t="str">
        <f>IF(OR(E584="",E584="!!!",F584="NEW"),"",INDEX(B583:B$2,-1+SUMPRODUCT(MAX(ROW(E583:E$2)*(E584=E583:E$2)))))</f>
        <v> </v>
      </c>
      <c r="J584" s="26" t="str">
        <f>IF(OR(E584="",E584="!!!",F584="NEW"),"",COUNTBLANK(OFFSET(A$1,,,SUMPRODUCT(MAX(ROW(E$2:E584)*(E584=E$2:E584)))))-COUNTBLANK(OFFSET(A$1,,,SUMPRODUCT(MAX(ROW(E$1:E583)*(E2=E$1:E583))))))</f>
        <v> </v>
      </c>
      <c r="K584" s="26" t="str">
        <f>IF(OR(E584="",E584="!!!",F584="NEW"),"",INDEX(J$1:J583,SUMPRODUCT(MAX(ROW(E$1:E583)*(E584=E$1:E583)))))</f>
        <v> </v>
      </c>
      <c r="L584" s="27"/>
    </row>
    <row r="585" spans="1:12">
      <c r="A585" s="20" t="s">
        <v>269</v>
      </c>
      <c r="E585" s="22">
        <f>IF(D585="?OLD","!!!","")</f>
        <v/>
      </c>
      <c r="F585" s="23" t="str">
        <f>IF(OR(E585="",E585="!!!"),"",IF(NOT(ISNA(VLOOKUP(E585,E$1:E584,1,FALSE()))),"OLD",IF(AND(E585&lt;&gt;"",E585&lt;&gt;"!!!"),"NEW","")))</f>
        <v> </v>
      </c>
      <c r="G585" s="24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5" t="str">
        <f>IF(J585&lt;&gt;1,"",IF(I585="SBJ","CB","?"))</f>
        <v> </v>
      </c>
      <c r="I585" s="26" t="str">
        <f>IF(OR(E585="",E585="!!!",F585="NEW"),"",INDEX(B584:B$2,-1+SUMPRODUCT(MAX(ROW(E584:E$2)*(E585=E584:E$2)))))</f>
        <v> </v>
      </c>
      <c r="J585" s="26" t="str">
        <f>IF(OR(E585="",E585="!!!",F585="NEW"),"",COUNTBLANK(OFFSET(A$1,,,SUMPRODUCT(MAX(ROW(E$2:E585)*(E585=E$2:E585)))))-COUNTBLANK(OFFSET(A$1,,,SUMPRODUCT(MAX(ROW(E$1:E584)*(E2=E$1:E584))))))</f>
        <v> </v>
      </c>
      <c r="K585" s="26" t="str">
        <f>IF(OR(E585="",E585="!!!",F585="NEW"),"",INDEX(J$1:J584,SUMPRODUCT(MAX(ROW(E$1:E584)*(E585=E$1:E584)))))</f>
        <v> </v>
      </c>
      <c r="L585" s="27"/>
    </row>
    <row r="586" spans="1:12">
      <c r="A586" s="20" t="s">
        <v>623</v>
      </c>
      <c r="B586" s="21" t="s">
        <v>335</v>
      </c>
      <c r="C586" s="21" t="s">
        <v>240</v>
      </c>
      <c r="D586" s="21" t="s">
        <v>216</v>
      </c>
      <c r="E586" s="22">
        <f>IF(D586="?OLD","!!!","")</f>
        <v/>
      </c>
      <c r="F586" s="23" t="str">
        <f>IF(OR(E586="",E586="!!!"),"",IF(NOT(ISNA(VLOOKUP(E586,E$1:E585,1,FALSE()))),"OLD",IF(AND(E586&lt;&gt;"",E586&lt;&gt;"!!!"),"NEW","")))</f>
        <v> </v>
      </c>
      <c r="G586" s="24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5" t="str">
        <f>IF(J586&lt;&gt;1,"",IF(I586="SBJ","CB","?"))</f>
        <v> </v>
      </c>
      <c r="I586" s="26" t="str">
        <f>IF(OR(E586="",E586="!!!",F586="NEW"),"",INDEX(B585:B$2,-1+SUMPRODUCT(MAX(ROW(E585:E$2)*(E586=E585:E$2)))))</f>
        <v> </v>
      </c>
      <c r="J586" s="26" t="str">
        <f>IF(OR(E586="",E586="!!!",F586="NEW"),"",COUNTBLANK(OFFSET(A$1,,,SUMPRODUCT(MAX(ROW(E$2:E586)*(E586=E$2:E586)))))-COUNTBLANK(OFFSET(A$1,,,SUMPRODUCT(MAX(ROW(E$1:E585)*(E2=E$1:E585))))))</f>
        <v> </v>
      </c>
      <c r="K586" s="26" t="str">
        <f>IF(OR(E586="",E586="!!!",F586="NEW"),"",INDEX(J$1:J585,SUMPRODUCT(MAX(ROW(E$1:E585)*(E586=E$1:E585)))))</f>
        <v> </v>
      </c>
      <c r="L586" s="27"/>
    </row>
    <row r="587" spans="1:12">
      <c r="A587" s="20" t="s">
        <v>624</v>
      </c>
      <c r="B587" s="21" t="s">
        <v>625</v>
      </c>
      <c r="C587" s="21" t="s">
        <v>215</v>
      </c>
      <c r="D587" s="21" t="s">
        <v>216</v>
      </c>
      <c r="E587" s="22">
        <f>IF(D587="?OLD","!!!","")</f>
        <v/>
      </c>
      <c r="F587" s="23" t="str">
        <f>IF(OR(E587="",E587="!!!"),"",IF(NOT(ISNA(VLOOKUP(E587,E$1:E586,1,FALSE()))),"OLD",IF(AND(E587&lt;&gt;"",E587&lt;&gt;"!!!"),"NEW","")))</f>
        <v> </v>
      </c>
      <c r="G587" s="24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5" t="str">
        <f>IF(J587&lt;&gt;1,"",IF(I587="SBJ","CB","?"))</f>
        <v> </v>
      </c>
      <c r="I587" s="26" t="str">
        <f>IF(OR(E587="",E587="!!!",F587="NEW"),"",INDEX(B586:B$2,-1+SUMPRODUCT(MAX(ROW(E586:E$2)*(E587=E586:E$2)))))</f>
        <v> </v>
      </c>
      <c r="J587" s="26" t="str">
        <f>IF(OR(E587="",E587="!!!",F587="NEW"),"",COUNTBLANK(OFFSET(A$1,,,SUMPRODUCT(MAX(ROW(E$2:E587)*(E587=E$2:E587)))))-COUNTBLANK(OFFSET(A$1,,,SUMPRODUCT(MAX(ROW(E$1:E586)*(E2=E$1:E586))))))</f>
        <v> </v>
      </c>
      <c r="K587" s="26" t="str">
        <f>IF(OR(E587="",E587="!!!",F587="NEW"),"",INDEX(J$1:J586,SUMPRODUCT(MAX(ROW(E$1:E586)*(E587=E$1:E586)))))</f>
        <v> </v>
      </c>
      <c r="L587" s="27"/>
    </row>
    <row r="588" spans="1:12">
      <c r="A588" s="20" t="s">
        <v>237</v>
      </c>
      <c r="E588" s="22">
        <f>IF(D588="?OLD","!!!","")</f>
        <v/>
      </c>
      <c r="F588" s="23" t="str">
        <f>IF(OR(E588="",E588="!!!"),"",IF(NOT(ISNA(VLOOKUP(E588,E$1:E587,1,FALSE()))),"OLD",IF(AND(E588&lt;&gt;"",E588&lt;&gt;"!!!"),"NEW","")))</f>
        <v> </v>
      </c>
      <c r="G588" s="24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5" t="str">
        <f>IF(J588&lt;&gt;1,"",IF(I588="SBJ","CB","?"))</f>
        <v> </v>
      </c>
      <c r="I588" s="26" t="str">
        <f>IF(OR(E588="",E588="!!!",F588="NEW"),"",INDEX(B587:B$2,-1+SUMPRODUCT(MAX(ROW(E587:E$2)*(E588=E587:E$2)))))</f>
        <v> </v>
      </c>
      <c r="J588" s="26" t="str">
        <f>IF(OR(E588="",E588="!!!",F588="NEW"),"",COUNTBLANK(OFFSET(A$1,,,SUMPRODUCT(MAX(ROW(E$2:E588)*(E588=E$2:E588)))))-COUNTBLANK(OFFSET(A$1,,,SUMPRODUCT(MAX(ROW(E$1:E587)*(E2=E$1:E587))))))</f>
        <v> </v>
      </c>
      <c r="K588" s="26" t="str">
        <f>IF(OR(E588="",E588="!!!",F588="NEW"),"",INDEX(J$1:J587,SUMPRODUCT(MAX(ROW(E$1:E587)*(E588=E$1:E587)))))</f>
        <v> </v>
      </c>
      <c r="L588" s="27"/>
    </row>
    <row r="589" spans="1:12">
      <c r="A589" s="20"/>
    </row>
    <row r="590" spans="1:12">
      <c r="A590" s="20" t="s">
        <v>626</v>
      </c>
    </row>
    <row r="591" spans="1:12">
      <c r="A591" s="20" t="s">
        <v>261</v>
      </c>
      <c r="E591" s="22">
        <f>IF(D591="?OLD","!!!","")</f>
        <v/>
      </c>
      <c r="F591" s="23" t="str">
        <f>IF(OR(E591="",E591="!!!"),"",IF(NOT(ISNA(VLOOKUP(E591,E$1:E590,1,FALSE()))),"OLD",IF(AND(E591&lt;&gt;"",E591&lt;&gt;"!!!"),"NEW","")))</f>
        <v> </v>
      </c>
      <c r="G591" s="24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5" t="str">
        <f>IF(J591&lt;&gt;1,"",IF(I591="SBJ","CB","?"))</f>
        <v> </v>
      </c>
      <c r="I591" s="26" t="str">
        <f>IF(OR(E591="",E591="!!!",F591="NEW"),"",INDEX(B590:B$2,-1+SUMPRODUCT(MAX(ROW(E590:E$2)*(E591=E590:E$2)))))</f>
        <v> </v>
      </c>
      <c r="J591" s="26" t="str">
        <f>IF(OR(E591="",E591="!!!",F591="NEW"),"",COUNTBLANK(OFFSET(A$1,,,SUMPRODUCT(MAX(ROW(E$2:E591)*(E591=E$2:E591)))))-COUNTBLANK(OFFSET(A$1,,,SUMPRODUCT(MAX(ROW(E$1:E590)*(E2=E$1:E590))))))</f>
        <v> </v>
      </c>
      <c r="K591" s="26" t="str">
        <f>IF(OR(E591="",E591="!!!",F591="NEW"),"",INDEX(J$1:J590,SUMPRODUCT(MAX(ROW(E$1:E590)*(E591=E$1:E590)))))</f>
        <v> </v>
      </c>
      <c r="L591" s="27"/>
    </row>
    <row r="592" spans="1:12">
      <c r="A592" s="20" t="s">
        <v>627</v>
      </c>
      <c r="B592" s="21" t="s">
        <v>226</v>
      </c>
      <c r="E592" s="22">
        <f>IF(D592="?OLD","!!!","")</f>
        <v/>
      </c>
      <c r="F592" s="23" t="str">
        <f>IF(OR(E592="",E592="!!!"),"",IF(NOT(ISNA(VLOOKUP(E592,E$1:E591,1,FALSE()))),"OLD",IF(AND(E592&lt;&gt;"",E592&lt;&gt;"!!!"),"NEW","")))</f>
        <v> </v>
      </c>
      <c r="G592" s="24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5" t="str">
        <f>IF(J592&lt;&gt;1,"",IF(I592="SBJ","CB","?"))</f>
        <v> </v>
      </c>
      <c r="I592" s="26" t="str">
        <f>IF(OR(E592="",E592="!!!",F592="NEW"),"",INDEX(B591:B$2,-1+SUMPRODUCT(MAX(ROW(E591:E$2)*(E592=E591:E$2)))))</f>
        <v> </v>
      </c>
      <c r="J592" s="26" t="str">
        <f>IF(OR(E592="",E592="!!!",F592="NEW"),"",COUNTBLANK(OFFSET(A$1,,,SUMPRODUCT(MAX(ROW(E$2:E592)*(E592=E$2:E592)))))-COUNTBLANK(OFFSET(A$1,,,SUMPRODUCT(MAX(ROW(E$1:E591)*(E2=E$1:E591))))))</f>
        <v> </v>
      </c>
      <c r="K592" s="26" t="str">
        <f>IF(OR(E592="",E592="!!!",F592="NEW"),"",INDEX(J$1:J591,SUMPRODUCT(MAX(ROW(E$1:E591)*(E592=E$1:E591)))))</f>
        <v> </v>
      </c>
      <c r="L592" s="27"/>
    </row>
    <row r="593" spans="1:12">
      <c r="A593" s="20" t="s">
        <v>343</v>
      </c>
      <c r="E593" s="22">
        <f>IF(D593="?OLD","!!!","")</f>
        <v/>
      </c>
      <c r="F593" s="23" t="str">
        <f>IF(OR(E593="",E593="!!!"),"",IF(NOT(ISNA(VLOOKUP(E593,E$1:E592,1,FALSE()))),"OLD",IF(AND(E593&lt;&gt;"",E593&lt;&gt;"!!!"),"NEW","")))</f>
        <v> </v>
      </c>
      <c r="G593" s="24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5" t="str">
        <f>IF(J593&lt;&gt;1,"",IF(I593="SBJ","CB","?"))</f>
        <v> </v>
      </c>
      <c r="I593" s="26" t="str">
        <f>IF(OR(E593="",E593="!!!",F593="NEW"),"",INDEX(B592:B$2,-1+SUMPRODUCT(MAX(ROW(E592:E$2)*(E593=E592:E$2)))))</f>
        <v> </v>
      </c>
      <c r="J593" s="26" t="str">
        <f>IF(OR(E593="",E593="!!!",F593="NEW"),"",COUNTBLANK(OFFSET(A$1,,,SUMPRODUCT(MAX(ROW(E$2:E593)*(E593=E$2:E593)))))-COUNTBLANK(OFFSET(A$1,,,SUMPRODUCT(MAX(ROW(E$1:E592)*(E2=E$1:E592))))))</f>
        <v> </v>
      </c>
      <c r="K593" s="26" t="str">
        <f>IF(OR(E593="",E593="!!!",F593="NEW"),"",INDEX(J$1:J592,SUMPRODUCT(MAX(ROW(E$1:E592)*(E593=E$1:E592)))))</f>
        <v> </v>
      </c>
      <c r="L593" s="27"/>
    </row>
    <row r="594" spans="1:12">
      <c r="A594" s="20" t="s">
        <v>628</v>
      </c>
      <c r="E594" s="22">
        <f>IF(D594="?OLD","!!!","")</f>
        <v/>
      </c>
      <c r="F594" s="23" t="str">
        <f>IF(OR(E594="",E594="!!!"),"",IF(NOT(ISNA(VLOOKUP(E594,E$1:E593,1,FALSE()))),"OLD",IF(AND(E594&lt;&gt;"",E594&lt;&gt;"!!!"),"NEW","")))</f>
        <v> </v>
      </c>
      <c r="G594" s="24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5" t="str">
        <f>IF(J594&lt;&gt;1,"",IF(I594="SBJ","CB","?"))</f>
        <v> </v>
      </c>
      <c r="I594" s="26" t="str">
        <f>IF(OR(E594="",E594="!!!",F594="NEW"),"",INDEX(B593:B$2,-1+SUMPRODUCT(MAX(ROW(E593:E$2)*(E594=E593:E$2)))))</f>
        <v> </v>
      </c>
      <c r="J594" s="26" t="str">
        <f>IF(OR(E594="",E594="!!!",F594="NEW"),"",COUNTBLANK(OFFSET(A$1,,,SUMPRODUCT(MAX(ROW(E$2:E594)*(E594=E$2:E594)))))-COUNTBLANK(OFFSET(A$1,,,SUMPRODUCT(MAX(ROW(E$1:E593)*(E2=E$1:E593))))))</f>
        <v> </v>
      </c>
      <c r="K594" s="26" t="str">
        <f>IF(OR(E594="",E594="!!!",F594="NEW"),"",INDEX(J$1:J593,SUMPRODUCT(MAX(ROW(E$1:E593)*(E594=E$1:E593)))))</f>
        <v> </v>
      </c>
      <c r="L594" s="27"/>
    </row>
    <row r="595" spans="1:12">
      <c r="A595" s="20" t="s">
        <v>629</v>
      </c>
      <c r="E595" s="22">
        <f>IF(D595="?OLD","!!!","")</f>
        <v/>
      </c>
      <c r="F595" s="23" t="str">
        <f>IF(OR(E595="",E595="!!!"),"",IF(NOT(ISNA(VLOOKUP(E595,E$1:E594,1,FALSE()))),"OLD",IF(AND(E595&lt;&gt;"",E595&lt;&gt;"!!!"),"NEW","")))</f>
        <v> </v>
      </c>
      <c r="G595" s="24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5" t="str">
        <f>IF(J595&lt;&gt;1,"",IF(I595="SBJ","CB","?"))</f>
        <v> </v>
      </c>
      <c r="I595" s="26" t="str">
        <f>IF(OR(E595="",E595="!!!",F595="NEW"),"",INDEX(B594:B$2,-1+SUMPRODUCT(MAX(ROW(E594:E$2)*(E595=E594:E$2)))))</f>
        <v> </v>
      </c>
      <c r="J595" s="26" t="str">
        <f>IF(OR(E595="",E595="!!!",F595="NEW"),"",COUNTBLANK(OFFSET(A$1,,,SUMPRODUCT(MAX(ROW(E$2:E595)*(E595=E$2:E595)))))-COUNTBLANK(OFFSET(A$1,,,SUMPRODUCT(MAX(ROW(E$1:E594)*(E2=E$1:E594))))))</f>
        <v> </v>
      </c>
      <c r="K595" s="26" t="str">
        <f>IF(OR(E595="",E595="!!!",F595="NEW"),"",INDEX(J$1:J594,SUMPRODUCT(MAX(ROW(E$1:E594)*(E595=E$1:E594)))))</f>
        <v> </v>
      </c>
      <c r="L595" s="27"/>
    </row>
    <row r="596" spans="1:12">
      <c r="A596" s="20" t="s">
        <v>630</v>
      </c>
      <c r="E596" s="22">
        <f>IF(D596="?OLD","!!!","")</f>
        <v/>
      </c>
      <c r="F596" s="23" t="str">
        <f>IF(OR(E596="",E596="!!!"),"",IF(NOT(ISNA(VLOOKUP(E596,E$1:E595,1,FALSE()))),"OLD",IF(AND(E596&lt;&gt;"",E596&lt;&gt;"!!!"),"NEW","")))</f>
        <v> </v>
      </c>
      <c r="G596" s="24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5" t="str">
        <f>IF(J596&lt;&gt;1,"",IF(I596="SBJ","CB","?"))</f>
        <v> </v>
      </c>
      <c r="I596" s="26" t="str">
        <f>IF(OR(E596="",E596="!!!",F596="NEW"),"",INDEX(B595:B$2,-1+SUMPRODUCT(MAX(ROW(E595:E$2)*(E596=E595:E$2)))))</f>
        <v> </v>
      </c>
      <c r="J596" s="26" t="str">
        <f>IF(OR(E596="",E596="!!!",F596="NEW"),"",COUNTBLANK(OFFSET(A$1,,,SUMPRODUCT(MAX(ROW(E$2:E596)*(E596=E$2:E596)))))-COUNTBLANK(OFFSET(A$1,,,SUMPRODUCT(MAX(ROW(E$1:E595)*(E2=E$1:E595))))))</f>
        <v> </v>
      </c>
      <c r="K596" s="26" t="str">
        <f>IF(OR(E596="",E596="!!!",F596="NEW"),"",INDEX(J$1:J595,SUMPRODUCT(MAX(ROW(E$1:E595)*(E596=E$1:E595)))))</f>
        <v> </v>
      </c>
      <c r="L596" s="27"/>
    </row>
    <row r="597" spans="1:12">
      <c r="A597" s="20" t="s">
        <v>631</v>
      </c>
      <c r="B597" s="21" t="s">
        <v>340</v>
      </c>
      <c r="C597" s="21" t="s">
        <v>240</v>
      </c>
      <c r="D597" s="21" t="s">
        <v>216</v>
      </c>
      <c r="E597" s="22">
        <f>IF(D597="?OLD","!!!","")</f>
        <v/>
      </c>
      <c r="F597" s="23" t="str">
        <f>IF(OR(E597="",E597="!!!"),"",IF(NOT(ISNA(VLOOKUP(E597,E$1:E596,1,FALSE()))),"OLD",IF(AND(E597&lt;&gt;"",E597&lt;&gt;"!!!"),"NEW","")))</f>
        <v> </v>
      </c>
      <c r="G597" s="24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5" t="str">
        <f>IF(J597&lt;&gt;1,"",IF(I597="SBJ","CB","?"))</f>
        <v> </v>
      </c>
      <c r="I597" s="26" t="str">
        <f>IF(OR(E597="",E597="!!!",F597="NEW"),"",INDEX(B596:B$2,-1+SUMPRODUCT(MAX(ROW(E596:E$2)*(E597=E596:E$2)))))</f>
        <v> </v>
      </c>
      <c r="J597" s="26" t="str">
        <f>IF(OR(E597="",E597="!!!",F597="NEW"),"",COUNTBLANK(OFFSET(A$1,,,SUMPRODUCT(MAX(ROW(E$2:E597)*(E597=E$2:E597)))))-COUNTBLANK(OFFSET(A$1,,,SUMPRODUCT(MAX(ROW(E$1:E596)*(E2=E$1:E596))))))</f>
        <v> </v>
      </c>
      <c r="K597" s="26" t="str">
        <f>IF(OR(E597="",E597="!!!",F597="NEW"),"",INDEX(J$1:J596,SUMPRODUCT(MAX(ROW(E$1:E596)*(E597=E$1:E596)))))</f>
        <v> </v>
      </c>
      <c r="L597" s="27"/>
    </row>
    <row r="598" spans="1:12">
      <c r="A598" s="20" t="s">
        <v>632</v>
      </c>
      <c r="E598" s="22">
        <f>IF(D598="?OLD","!!!","")</f>
        <v/>
      </c>
      <c r="F598" s="23" t="str">
        <f>IF(OR(E598="",E598="!!!"),"",IF(NOT(ISNA(VLOOKUP(E598,E$1:E597,1,FALSE()))),"OLD",IF(AND(E598&lt;&gt;"",E598&lt;&gt;"!!!"),"NEW","")))</f>
        <v> </v>
      </c>
      <c r="G598" s="24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5" t="str">
        <f>IF(J598&lt;&gt;1,"",IF(I598="SBJ","CB","?"))</f>
        <v> </v>
      </c>
      <c r="I598" s="26" t="str">
        <f>IF(OR(E598="",E598="!!!",F598="NEW"),"",INDEX(B597:B$2,-1+SUMPRODUCT(MAX(ROW(E597:E$2)*(E598=E597:E$2)))))</f>
        <v> </v>
      </c>
      <c r="J598" s="26" t="str">
        <f>IF(OR(E598="",E598="!!!",F598="NEW"),"",COUNTBLANK(OFFSET(A$1,,,SUMPRODUCT(MAX(ROW(E$2:E598)*(E598=E$2:E598)))))-COUNTBLANK(OFFSET(A$1,,,SUMPRODUCT(MAX(ROW(E$1:E597)*(E2=E$1:E597))))))</f>
        <v> </v>
      </c>
      <c r="K598" s="26" t="str">
        <f>IF(OR(E598="",E598="!!!",F598="NEW"),"",INDEX(J$1:J597,SUMPRODUCT(MAX(ROW(E$1:E597)*(E598=E$1:E597)))))</f>
        <v> </v>
      </c>
      <c r="L598" s="27"/>
    </row>
    <row r="599" spans="1:12">
      <c r="A599" s="20" t="s">
        <v>405</v>
      </c>
      <c r="B599" s="21" t="s">
        <v>242</v>
      </c>
      <c r="C599" s="21" t="s">
        <v>215</v>
      </c>
      <c r="D599" s="21" t="s">
        <v>216</v>
      </c>
      <c r="E599" s="22">
        <f>IF(D599="?OLD","!!!","")</f>
        <v/>
      </c>
      <c r="F599" s="23" t="str">
        <f>IF(OR(E599="",E599="!!!"),"",IF(NOT(ISNA(VLOOKUP(E599,E$1:E598,1,FALSE()))),"OLD",IF(AND(E599&lt;&gt;"",E599&lt;&gt;"!!!"),"NEW","")))</f>
        <v> </v>
      </c>
      <c r="G599" s="24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5" t="str">
        <f>IF(J599&lt;&gt;1,"",IF(I599="SBJ","CB","?"))</f>
        <v> </v>
      </c>
      <c r="I599" s="26" t="str">
        <f>IF(OR(E599="",E599="!!!",F599="NEW"),"",INDEX(B598:B$2,-1+SUMPRODUCT(MAX(ROW(E598:E$2)*(E599=E598:E$2)))))</f>
        <v> </v>
      </c>
      <c r="J599" s="26" t="str">
        <f>IF(OR(E599="",E599="!!!",F599="NEW"),"",COUNTBLANK(OFFSET(A$1,,,SUMPRODUCT(MAX(ROW(E$2:E599)*(E599=E$2:E599)))))-COUNTBLANK(OFFSET(A$1,,,SUMPRODUCT(MAX(ROW(E$1:E598)*(E2=E$1:E598))))))</f>
        <v> </v>
      </c>
      <c r="K599" s="26" t="str">
        <f>IF(OR(E599="",E599="!!!",F599="NEW"),"",INDEX(J$1:J598,SUMPRODUCT(MAX(ROW(E$1:E598)*(E599=E$1:E598)))))</f>
        <v> </v>
      </c>
      <c r="L599" s="27"/>
    </row>
    <row r="600" spans="1:12">
      <c r="A600" s="20" t="s">
        <v>237</v>
      </c>
      <c r="E600" s="22">
        <f>IF(D600="?OLD","!!!","")</f>
        <v/>
      </c>
      <c r="F600" s="23" t="str">
        <f>IF(OR(E600="",E600="!!!"),"",IF(NOT(ISNA(VLOOKUP(E600,E$1:E599,1,FALSE()))),"OLD",IF(AND(E600&lt;&gt;"",E600&lt;&gt;"!!!"),"NEW","")))</f>
        <v> </v>
      </c>
      <c r="G600" s="24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5" t="str">
        <f>IF(J600&lt;&gt;1,"",IF(I600="SBJ","CB","?"))</f>
        <v> </v>
      </c>
      <c r="I600" s="26" t="str">
        <f>IF(OR(E600="",E600="!!!",F600="NEW"),"",INDEX(B599:B$2,-1+SUMPRODUCT(MAX(ROW(E599:E$2)*(E600=E599:E$2)))))</f>
        <v> </v>
      </c>
      <c r="J600" s="26" t="str">
        <f>IF(OR(E600="",E600="!!!",F600="NEW"),"",COUNTBLANK(OFFSET(A$1,,,SUMPRODUCT(MAX(ROW(E$2:E600)*(E600=E$2:E600)))))-COUNTBLANK(OFFSET(A$1,,,SUMPRODUCT(MAX(ROW(E$1:E599)*(E2=E$1:E599))))))</f>
        <v> </v>
      </c>
      <c r="K600" s="26" t="str">
        <f>IF(OR(E600="",E600="!!!",F600="NEW"),"",INDEX(J$1:J599,SUMPRODUCT(MAX(ROW(E$1:E599)*(E600=E$1:E599)))))</f>
        <v> </v>
      </c>
      <c r="L600" s="27"/>
    </row>
    <row r="601" spans="1:12">
      <c r="A601" s="20"/>
    </row>
    <row r="602" spans="1:12">
      <c r="A602" s="20" t="s">
        <v>633</v>
      </c>
    </row>
    <row r="603" spans="1:12">
      <c r="A603" s="20" t="s">
        <v>282</v>
      </c>
      <c r="B603" s="21" t="s">
        <v>214</v>
      </c>
      <c r="C603" s="21" t="s">
        <v>240</v>
      </c>
      <c r="D603" s="21" t="s">
        <v>216</v>
      </c>
      <c r="E603" s="22">
        <f>IF(D603="?OLD","!!!","")</f>
        <v/>
      </c>
      <c r="F603" s="23" t="str">
        <f>IF(OR(E603="",E603="!!!"),"",IF(NOT(ISNA(VLOOKUP(E603,E$1:E602,1,FALSE()))),"OLD",IF(AND(E603&lt;&gt;"",E603&lt;&gt;"!!!"),"NEW","")))</f>
        <v> </v>
      </c>
      <c r="G603" s="24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5" t="str">
        <f>IF(J603&lt;&gt;1,"",IF(I603="SBJ","CB","?"))</f>
        <v> </v>
      </c>
      <c r="I603" s="26" t="str">
        <f>IF(OR(E603="",E603="!!!",F603="NEW"),"",INDEX(B602:B$2,-1+SUMPRODUCT(MAX(ROW(E602:E$2)*(E603=E602:E$2)))))</f>
        <v> </v>
      </c>
      <c r="J603" s="26" t="str">
        <f>IF(OR(E603="",E603="!!!",F603="NEW"),"",COUNTBLANK(OFFSET(A$1,,,SUMPRODUCT(MAX(ROW(E$2:E603)*(E603=E$2:E603)))))-COUNTBLANK(OFFSET(A$1,,,SUMPRODUCT(MAX(ROW(E$1:E602)*(E2=E$1:E602))))))</f>
        <v> </v>
      </c>
      <c r="K603" s="26" t="str">
        <f>IF(OR(E603="",E603="!!!",F603="NEW"),"",INDEX(J$1:J602,SUMPRODUCT(MAX(ROW(E$1:E602)*(E603=E$1:E602)))))</f>
        <v> </v>
      </c>
      <c r="L603" s="27"/>
    </row>
    <row r="604" spans="1:12">
      <c r="A604" s="20" t="s">
        <v>634</v>
      </c>
      <c r="E604" s="22">
        <f>IF(D604="?OLD","!!!","")</f>
        <v/>
      </c>
      <c r="F604" s="23" t="str">
        <f>IF(OR(E604="",E604="!!!"),"",IF(NOT(ISNA(VLOOKUP(E604,E$1:E603,1,FALSE()))),"OLD",IF(AND(E604&lt;&gt;"",E604&lt;&gt;"!!!"),"NEW","")))</f>
        <v> </v>
      </c>
      <c r="G604" s="24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5" t="str">
        <f>IF(J604&lt;&gt;1,"",IF(I604="SBJ","CB","?"))</f>
        <v> </v>
      </c>
      <c r="I604" s="26" t="str">
        <f>IF(OR(E604="",E604="!!!",F604="NEW"),"",INDEX(B603:B$2,-1+SUMPRODUCT(MAX(ROW(E603:E$2)*(E604=E603:E$2)))))</f>
        <v> </v>
      </c>
      <c r="J604" s="26" t="str">
        <f>IF(OR(E604="",E604="!!!",F604="NEW"),"",COUNTBLANK(OFFSET(A$1,,,SUMPRODUCT(MAX(ROW(E$2:E604)*(E604=E$2:E604)))))-COUNTBLANK(OFFSET(A$1,,,SUMPRODUCT(MAX(ROW(E$1:E603)*(E2=E$1:E603))))))</f>
        <v> </v>
      </c>
      <c r="K604" s="26" t="str">
        <f>IF(OR(E604="",E604="!!!",F604="NEW"),"",INDEX(J$1:J603,SUMPRODUCT(MAX(ROW(E$1:E603)*(E604=E$1:E603)))))</f>
        <v> </v>
      </c>
      <c r="L604" s="27"/>
    </row>
    <row r="605" spans="1:12">
      <c r="A605" s="20" t="s">
        <v>351</v>
      </c>
      <c r="E605" s="22">
        <f>IF(D605="?OLD","!!!","")</f>
        <v/>
      </c>
      <c r="F605" s="23" t="str">
        <f>IF(OR(E605="",E605="!!!"),"",IF(NOT(ISNA(VLOOKUP(E605,E$1:E604,1,FALSE()))),"OLD",IF(AND(E605&lt;&gt;"",E605&lt;&gt;"!!!"),"NEW","")))</f>
        <v> </v>
      </c>
      <c r="G605" s="24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5" t="str">
        <f>IF(J605&lt;&gt;1,"",IF(I605="SBJ","CB","?"))</f>
        <v> </v>
      </c>
      <c r="I605" s="26" t="str">
        <f>IF(OR(E605="",E605="!!!",F605="NEW"),"",INDEX(B604:B$2,-1+SUMPRODUCT(MAX(ROW(E604:E$2)*(E605=E604:E$2)))))</f>
        <v> </v>
      </c>
      <c r="J605" s="26" t="str">
        <f>IF(OR(E605="",E605="!!!",F605="NEW"),"",COUNTBLANK(OFFSET(A$1,,,SUMPRODUCT(MAX(ROW(E$2:E605)*(E605=E$2:E605)))))-COUNTBLANK(OFFSET(A$1,,,SUMPRODUCT(MAX(ROW(E$1:E604)*(E2=E$1:E604))))))</f>
        <v> </v>
      </c>
      <c r="K605" s="26" t="str">
        <f>IF(OR(E605="",E605="!!!",F605="NEW"),"",INDEX(J$1:J604,SUMPRODUCT(MAX(ROW(E$1:E604)*(E605=E$1:E604)))))</f>
        <v> </v>
      </c>
      <c r="L605" s="27"/>
    </row>
    <row r="606" spans="1:12">
      <c r="A606" s="20" t="s">
        <v>635</v>
      </c>
      <c r="B606" s="21" t="s">
        <v>242</v>
      </c>
      <c r="C606" s="21" t="s">
        <v>215</v>
      </c>
      <c r="D606" s="21" t="s">
        <v>216</v>
      </c>
      <c r="E606" s="22">
        <f>IF(D606="?OLD","!!!","")</f>
        <v/>
      </c>
      <c r="F606" s="23" t="str">
        <f>IF(OR(E606="",E606="!!!"),"",IF(NOT(ISNA(VLOOKUP(E606,E$1:E605,1,FALSE()))),"OLD",IF(AND(E606&lt;&gt;"",E606&lt;&gt;"!!!"),"NEW","")))</f>
        <v> </v>
      </c>
      <c r="G606" s="24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5" t="str">
        <f>IF(J606&lt;&gt;1,"",IF(I606="SBJ","CB","?"))</f>
        <v> </v>
      </c>
      <c r="I606" s="26" t="str">
        <f>IF(OR(E606="",E606="!!!",F606="NEW"),"",INDEX(B605:B$2,-1+SUMPRODUCT(MAX(ROW(E605:E$2)*(E606=E605:E$2)))))</f>
        <v> </v>
      </c>
      <c r="J606" s="26" t="str">
        <f>IF(OR(E606="",E606="!!!",F606="NEW"),"",COUNTBLANK(OFFSET(A$1,,,SUMPRODUCT(MAX(ROW(E$2:E606)*(E606=E$2:E606)))))-COUNTBLANK(OFFSET(A$1,,,SUMPRODUCT(MAX(ROW(E$1:E605)*(E2=E$1:E605))))))</f>
        <v> </v>
      </c>
      <c r="K606" s="26" t="str">
        <f>IF(OR(E606="",E606="!!!",F606="NEW"),"",INDEX(J$1:J605,SUMPRODUCT(MAX(ROW(E$1:E605)*(E606=E$1:E605)))))</f>
        <v> </v>
      </c>
      <c r="L606" s="27"/>
    </row>
    <row r="607" spans="1:12">
      <c r="A607" s="20" t="s">
        <v>636</v>
      </c>
      <c r="E607" s="22">
        <f>IF(D607="?OLD","!!!","")</f>
        <v/>
      </c>
      <c r="F607" s="23" t="str">
        <f>IF(OR(E607="",E607="!!!"),"",IF(NOT(ISNA(VLOOKUP(E607,E$1:E606,1,FALSE()))),"OLD",IF(AND(E607&lt;&gt;"",E607&lt;&gt;"!!!"),"NEW","")))</f>
        <v> </v>
      </c>
      <c r="G607" s="24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5" t="str">
        <f>IF(J607&lt;&gt;1,"",IF(I607="SBJ","CB","?"))</f>
        <v> </v>
      </c>
      <c r="I607" s="26" t="str">
        <f>IF(OR(E607="",E607="!!!",F607="NEW"),"",INDEX(B606:B$2,-1+SUMPRODUCT(MAX(ROW(E606:E$2)*(E607=E606:E$2)))))</f>
        <v> </v>
      </c>
      <c r="J607" s="26" t="str">
        <f>IF(OR(E607="",E607="!!!",F607="NEW"),"",COUNTBLANK(OFFSET(A$1,,,SUMPRODUCT(MAX(ROW(E$2:E607)*(E607=E$2:E607)))))-COUNTBLANK(OFFSET(A$1,,,SUMPRODUCT(MAX(ROW(E$1:E606)*(E2=E$1:E606))))))</f>
        <v> </v>
      </c>
      <c r="K607" s="26" t="str">
        <f>IF(OR(E607="",E607="!!!",F607="NEW"),"",INDEX(J$1:J606,SUMPRODUCT(MAX(ROW(E$1:E606)*(E607=E$1:E606)))))</f>
        <v> </v>
      </c>
      <c r="L607" s="27"/>
    </row>
    <row r="608" spans="1:12">
      <c r="A608" s="20" t="s">
        <v>637</v>
      </c>
      <c r="B608" s="21" t="s">
        <v>214</v>
      </c>
      <c r="C608" s="21" t="s">
        <v>227</v>
      </c>
      <c r="D608" s="21" t="s">
        <v>216</v>
      </c>
      <c r="E608" s="22">
        <f>IF(D608="?OLD","!!!","")</f>
        <v/>
      </c>
      <c r="F608" s="23" t="str">
        <f>IF(OR(E608="",E608="!!!"),"",IF(NOT(ISNA(VLOOKUP(E608,E$1:E607,1,FALSE()))),"OLD",IF(AND(E608&lt;&gt;"",E608&lt;&gt;"!!!"),"NEW","")))</f>
        <v> </v>
      </c>
      <c r="G608" s="24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5" t="str">
        <f>IF(J608&lt;&gt;1,"",IF(I608="SBJ","CB","?"))</f>
        <v> </v>
      </c>
      <c r="I608" s="26" t="str">
        <f>IF(OR(E608="",E608="!!!",F608="NEW"),"",INDEX(B607:B$2,-1+SUMPRODUCT(MAX(ROW(E607:E$2)*(E608=E607:E$2)))))</f>
        <v> </v>
      </c>
      <c r="J608" s="26" t="str">
        <f>IF(OR(E608="",E608="!!!",F608="NEW"),"",COUNTBLANK(OFFSET(A$1,,,SUMPRODUCT(MAX(ROW(E$2:E608)*(E608=E$2:E608)))))-COUNTBLANK(OFFSET(A$1,,,SUMPRODUCT(MAX(ROW(E$1:E607)*(E2=E$1:E607))))))</f>
        <v> </v>
      </c>
      <c r="K608" s="26" t="str">
        <f>IF(OR(E608="",E608="!!!",F608="NEW"),"",INDEX(J$1:J607,SUMPRODUCT(MAX(ROW(E$1:E607)*(E608=E$1:E607)))))</f>
        <v> </v>
      </c>
      <c r="L608" s="27"/>
    </row>
    <row r="609" spans="1:12">
      <c r="A609" s="20" t="s">
        <v>230</v>
      </c>
      <c r="E609" s="22">
        <f>IF(D609="?OLD","!!!","")</f>
        <v/>
      </c>
      <c r="F609" s="23" t="str">
        <f>IF(OR(E609="",E609="!!!"),"",IF(NOT(ISNA(VLOOKUP(E609,E$1:E608,1,FALSE()))),"OLD",IF(AND(E609&lt;&gt;"",E609&lt;&gt;"!!!"),"NEW","")))</f>
        <v> </v>
      </c>
      <c r="G609" s="24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5" t="str">
        <f>IF(J609&lt;&gt;1,"",IF(I609="SBJ","CB","?"))</f>
        <v> </v>
      </c>
      <c r="I609" s="26" t="str">
        <f>IF(OR(E609="",E609="!!!",F609="NEW"),"",INDEX(B608:B$2,-1+SUMPRODUCT(MAX(ROW(E608:E$2)*(E609=E608:E$2)))))</f>
        <v> </v>
      </c>
      <c r="J609" s="26" t="str">
        <f>IF(OR(E609="",E609="!!!",F609="NEW"),"",COUNTBLANK(OFFSET(A$1,,,SUMPRODUCT(MAX(ROW(E$2:E609)*(E609=E$2:E609)))))-COUNTBLANK(OFFSET(A$1,,,SUMPRODUCT(MAX(ROW(E$1:E608)*(E2=E$1:E608))))))</f>
        <v> </v>
      </c>
      <c r="K609" s="26" t="str">
        <f>IF(OR(E609="",E609="!!!",F609="NEW"),"",INDEX(J$1:J608,SUMPRODUCT(MAX(ROW(E$1:E608)*(E609=E$1:E608)))))</f>
        <v> </v>
      </c>
      <c r="L609" s="27"/>
    </row>
    <row r="610" spans="1:12">
      <c r="A610" s="20" t="s">
        <v>281</v>
      </c>
      <c r="E610" s="22">
        <f>IF(D610="?OLD","!!!","")</f>
        <v/>
      </c>
      <c r="F610" s="23" t="str">
        <f>IF(OR(E610="",E610="!!!"),"",IF(NOT(ISNA(VLOOKUP(E610,E$1:E609,1,FALSE()))),"OLD",IF(AND(E610&lt;&gt;"",E610&lt;&gt;"!!!"),"NEW","")))</f>
        <v> </v>
      </c>
      <c r="G610" s="24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5" t="str">
        <f>IF(J610&lt;&gt;1,"",IF(I610="SBJ","CB","?"))</f>
        <v> </v>
      </c>
      <c r="I610" s="26" t="str">
        <f>IF(OR(E610="",E610="!!!",F610="NEW"),"",INDEX(B609:B$2,-1+SUMPRODUCT(MAX(ROW(E609:E$2)*(E610=E609:E$2)))))</f>
        <v> </v>
      </c>
      <c r="J610" s="26" t="str">
        <f>IF(OR(E610="",E610="!!!",F610="NEW"),"",COUNTBLANK(OFFSET(A$1,,,SUMPRODUCT(MAX(ROW(E$2:E610)*(E610=E$2:E610)))))-COUNTBLANK(OFFSET(A$1,,,SUMPRODUCT(MAX(ROW(E$1:E609)*(E2=E$1:E609))))))</f>
        <v> </v>
      </c>
      <c r="K610" s="26" t="str">
        <f>IF(OR(E610="",E610="!!!",F610="NEW"),"",INDEX(J$1:J609,SUMPRODUCT(MAX(ROW(E$1:E609)*(E610=E$1:E609)))))</f>
        <v> </v>
      </c>
      <c r="L610" s="27"/>
    </row>
    <row r="611" spans="1:12">
      <c r="A611" s="20" t="s">
        <v>638</v>
      </c>
      <c r="B611" s="21" t="s">
        <v>283</v>
      </c>
      <c r="C611" s="21" t="s">
        <v>277</v>
      </c>
      <c r="D611" s="21" t="s">
        <v>216</v>
      </c>
      <c r="E611" s="22">
        <f>IF(D611="?OLD","!!!","")</f>
        <v/>
      </c>
      <c r="F611" s="23" t="str">
        <f>IF(OR(E611="",E611="!!!"),"",IF(NOT(ISNA(VLOOKUP(E611,E$1:E610,1,FALSE()))),"OLD",IF(AND(E611&lt;&gt;"",E611&lt;&gt;"!!!"),"NEW","")))</f>
        <v> </v>
      </c>
      <c r="G611" s="24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5" t="str">
        <f>IF(J611&lt;&gt;1,"",IF(I611="SBJ","CB","?"))</f>
        <v> </v>
      </c>
      <c r="I611" s="26" t="str">
        <f>IF(OR(E611="",E611="!!!",F611="NEW"),"",INDEX(B610:B$2,-1+SUMPRODUCT(MAX(ROW(E610:E$2)*(E611=E610:E$2)))))</f>
        <v> </v>
      </c>
      <c r="J611" s="26" t="str">
        <f>IF(OR(E611="",E611="!!!",F611="NEW"),"",COUNTBLANK(OFFSET(A$1,,,SUMPRODUCT(MAX(ROW(E$2:E611)*(E611=E$2:E611)))))-COUNTBLANK(OFFSET(A$1,,,SUMPRODUCT(MAX(ROW(E$1:E610)*(E2=E$1:E610))))))</f>
        <v> </v>
      </c>
      <c r="K611" s="26" t="str">
        <f>IF(OR(E611="",E611="!!!",F611="NEW"),"",INDEX(J$1:J610,SUMPRODUCT(MAX(ROW(E$1:E610)*(E611=E$1:E610)))))</f>
        <v> </v>
      </c>
      <c r="L611" s="27"/>
    </row>
    <row r="612" spans="1:12">
      <c r="A612" s="20" t="s">
        <v>639</v>
      </c>
      <c r="E612" s="22">
        <f>IF(D612="?OLD","!!!","")</f>
        <v/>
      </c>
      <c r="F612" s="23" t="str">
        <f>IF(OR(E612="",E612="!!!"),"",IF(NOT(ISNA(VLOOKUP(E612,E$1:E611,1,FALSE()))),"OLD",IF(AND(E612&lt;&gt;"",E612&lt;&gt;"!!!"),"NEW","")))</f>
        <v> </v>
      </c>
      <c r="G612" s="24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5" t="str">
        <f>IF(J612&lt;&gt;1,"",IF(I612="SBJ","CB","?"))</f>
        <v> </v>
      </c>
      <c r="I612" s="26" t="str">
        <f>IF(OR(E612="",E612="!!!",F612="NEW"),"",INDEX(B611:B$2,-1+SUMPRODUCT(MAX(ROW(E611:E$2)*(E612=E611:E$2)))))</f>
        <v> </v>
      </c>
      <c r="J612" s="26" t="str">
        <f>IF(OR(E612="",E612="!!!",F612="NEW"),"",COUNTBLANK(OFFSET(A$1,,,SUMPRODUCT(MAX(ROW(E$2:E612)*(E612=E$2:E612)))))-COUNTBLANK(OFFSET(A$1,,,SUMPRODUCT(MAX(ROW(E$1:E611)*(E2=E$1:E611))))))</f>
        <v> </v>
      </c>
      <c r="K612" s="26" t="str">
        <f>IF(OR(E612="",E612="!!!",F612="NEW"),"",INDEX(J$1:J611,SUMPRODUCT(MAX(ROW(E$1:E611)*(E612=E$1:E611)))))</f>
        <v> </v>
      </c>
      <c r="L612" s="27"/>
    </row>
    <row r="613" spans="1:12">
      <c r="A613" s="20" t="s">
        <v>640</v>
      </c>
      <c r="E613" s="22">
        <f>IF(D613="?OLD","!!!","")</f>
        <v/>
      </c>
      <c r="F613" s="23" t="str">
        <f>IF(OR(E613="",E613="!!!"),"",IF(NOT(ISNA(VLOOKUP(E613,E$1:E612,1,FALSE()))),"OLD",IF(AND(E613&lt;&gt;"",E613&lt;&gt;"!!!"),"NEW","")))</f>
        <v> </v>
      </c>
      <c r="G613" s="24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5" t="str">
        <f>IF(J613&lt;&gt;1,"",IF(I613="SBJ","CB","?"))</f>
        <v> </v>
      </c>
      <c r="I613" s="26" t="str">
        <f>IF(OR(E613="",E613="!!!",F613="NEW"),"",INDEX(B612:B$2,-1+SUMPRODUCT(MAX(ROW(E612:E$2)*(E613=E612:E$2)))))</f>
        <v> </v>
      </c>
      <c r="J613" s="26" t="str">
        <f>IF(OR(E613="",E613="!!!",F613="NEW"),"",COUNTBLANK(OFFSET(A$1,,,SUMPRODUCT(MAX(ROW(E$2:E613)*(E613=E$2:E613)))))-COUNTBLANK(OFFSET(A$1,,,SUMPRODUCT(MAX(ROW(E$1:E612)*(E2=E$1:E612))))))</f>
        <v> </v>
      </c>
      <c r="K613" s="26" t="str">
        <f>IF(OR(E613="",E613="!!!",F613="NEW"),"",INDEX(J$1:J612,SUMPRODUCT(MAX(ROW(E$1:E612)*(E613=E$1:E612)))))</f>
        <v> </v>
      </c>
      <c r="L613" s="27"/>
    </row>
    <row r="614" spans="1:12">
      <c r="A614" s="20" t="s">
        <v>641</v>
      </c>
      <c r="E614" s="22">
        <f>IF(D614="?OLD","!!!","")</f>
        <v/>
      </c>
      <c r="F614" s="23" t="str">
        <f>IF(OR(E614="",E614="!!!"),"",IF(NOT(ISNA(VLOOKUP(E614,E$1:E613,1,FALSE()))),"OLD",IF(AND(E614&lt;&gt;"",E614&lt;&gt;"!!!"),"NEW","")))</f>
        <v> </v>
      </c>
      <c r="G614" s="24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5" t="str">
        <f>IF(J614&lt;&gt;1,"",IF(I614="SBJ","CB","?"))</f>
        <v> </v>
      </c>
      <c r="I614" s="26" t="str">
        <f>IF(OR(E614="",E614="!!!",F614="NEW"),"",INDEX(B613:B$2,-1+SUMPRODUCT(MAX(ROW(E613:E$2)*(E614=E613:E$2)))))</f>
        <v> </v>
      </c>
      <c r="J614" s="26" t="str">
        <f>IF(OR(E614="",E614="!!!",F614="NEW"),"",COUNTBLANK(OFFSET(A$1,,,SUMPRODUCT(MAX(ROW(E$2:E614)*(E614=E$2:E614)))))-COUNTBLANK(OFFSET(A$1,,,SUMPRODUCT(MAX(ROW(E$1:E613)*(E2=E$1:E613))))))</f>
        <v> </v>
      </c>
      <c r="K614" s="26" t="str">
        <f>IF(OR(E614="",E614="!!!",F614="NEW"),"",INDEX(J$1:J613,SUMPRODUCT(MAX(ROW(E$1:E613)*(E614=E$1:E613)))))</f>
        <v> </v>
      </c>
      <c r="L614" s="27"/>
    </row>
    <row r="615" spans="1:12">
      <c r="A615" s="20" t="s">
        <v>351</v>
      </c>
      <c r="E615" s="22">
        <f>IF(D615="?OLD","!!!","")</f>
        <v/>
      </c>
      <c r="F615" s="23" t="str">
        <f>IF(OR(E615="",E615="!!!"),"",IF(NOT(ISNA(VLOOKUP(E615,E$1:E614,1,FALSE()))),"OLD",IF(AND(E615&lt;&gt;"",E615&lt;&gt;"!!!"),"NEW","")))</f>
        <v> </v>
      </c>
      <c r="G615" s="24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5" t="str">
        <f>IF(J615&lt;&gt;1,"",IF(I615="SBJ","CB","?"))</f>
        <v> </v>
      </c>
      <c r="I615" s="26" t="str">
        <f>IF(OR(E615="",E615="!!!",F615="NEW"),"",INDEX(B614:B$2,-1+SUMPRODUCT(MAX(ROW(E614:E$2)*(E615=E614:E$2)))))</f>
        <v> </v>
      </c>
      <c r="J615" s="26" t="str">
        <f>IF(OR(E615="",E615="!!!",F615="NEW"),"",COUNTBLANK(OFFSET(A$1,,,SUMPRODUCT(MAX(ROW(E$2:E615)*(E615=E$2:E615)))))-COUNTBLANK(OFFSET(A$1,,,SUMPRODUCT(MAX(ROW(E$1:E614)*(E2=E$1:E614))))))</f>
        <v> </v>
      </c>
      <c r="K615" s="26" t="str">
        <f>IF(OR(E615="",E615="!!!",F615="NEW"),"",INDEX(J$1:J614,SUMPRODUCT(MAX(ROW(E$1:E614)*(E615=E$1:E614)))))</f>
        <v> </v>
      </c>
      <c r="L615" s="27"/>
    </row>
    <row r="616" spans="1:12">
      <c r="A616" s="20" t="s">
        <v>642</v>
      </c>
      <c r="E616" s="22">
        <f>IF(D616="?OLD","!!!","")</f>
        <v/>
      </c>
      <c r="F616" s="23" t="str">
        <f>IF(OR(E616="",E616="!!!"),"",IF(NOT(ISNA(VLOOKUP(E616,E$1:E615,1,FALSE()))),"OLD",IF(AND(E616&lt;&gt;"",E616&lt;&gt;"!!!"),"NEW","")))</f>
        <v> </v>
      </c>
      <c r="G616" s="24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5" t="str">
        <f>IF(J616&lt;&gt;1,"",IF(I616="SBJ","CB","?"))</f>
        <v> </v>
      </c>
      <c r="I616" s="26" t="str">
        <f>IF(OR(E616="",E616="!!!",F616="NEW"),"",INDEX(B615:B$2,-1+SUMPRODUCT(MAX(ROW(E615:E$2)*(E616=E615:E$2)))))</f>
        <v> </v>
      </c>
      <c r="J616" s="26" t="str">
        <f>IF(OR(E616="",E616="!!!",F616="NEW"),"",COUNTBLANK(OFFSET(A$1,,,SUMPRODUCT(MAX(ROW(E$2:E616)*(E616=E$2:E616)))))-COUNTBLANK(OFFSET(A$1,,,SUMPRODUCT(MAX(ROW(E$1:E615)*(E2=E$1:E615))))))</f>
        <v> </v>
      </c>
      <c r="K616" s="26" t="str">
        <f>IF(OR(E616="",E616="!!!",F616="NEW"),"",INDEX(J$1:J615,SUMPRODUCT(MAX(ROW(E$1:E615)*(E616=E$1:E615)))))</f>
        <v> </v>
      </c>
      <c r="L616" s="27"/>
    </row>
    <row r="617" spans="1:12">
      <c r="A617" s="20" t="s">
        <v>541</v>
      </c>
      <c r="E617" s="22">
        <f>IF(D617="?OLD","!!!","")</f>
        <v/>
      </c>
      <c r="F617" s="23" t="str">
        <f>IF(OR(E617="",E617="!!!"),"",IF(NOT(ISNA(VLOOKUP(E617,E$1:E616,1,FALSE()))),"OLD",IF(AND(E617&lt;&gt;"",E617&lt;&gt;"!!!"),"NEW","")))</f>
        <v> </v>
      </c>
      <c r="G617" s="24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5" t="str">
        <f>IF(J617&lt;&gt;1,"",IF(I617="SBJ","CB","?"))</f>
        <v> </v>
      </c>
      <c r="I617" s="26" t="str">
        <f>IF(OR(E617="",E617="!!!",F617="NEW"),"",INDEX(B616:B$2,-1+SUMPRODUCT(MAX(ROW(E616:E$2)*(E617=E616:E$2)))))</f>
        <v> </v>
      </c>
      <c r="J617" s="26" t="str">
        <f>IF(OR(E617="",E617="!!!",F617="NEW"),"",COUNTBLANK(OFFSET(A$1,,,SUMPRODUCT(MAX(ROW(E$2:E617)*(E617=E$2:E617)))))-COUNTBLANK(OFFSET(A$1,,,SUMPRODUCT(MAX(ROW(E$1:E616)*(E2=E$1:E616))))))</f>
        <v> </v>
      </c>
      <c r="K617" s="26" t="str">
        <f>IF(OR(E617="",E617="!!!",F617="NEW"),"",INDEX(J$1:J616,SUMPRODUCT(MAX(ROW(E$1:E616)*(E617=E$1:E616)))))</f>
        <v> </v>
      </c>
      <c r="L617" s="27"/>
    </row>
    <row r="618" spans="1:12">
      <c r="A618" s="20" t="s">
        <v>237</v>
      </c>
      <c r="E618" s="22">
        <f>IF(D618="?OLD","!!!","")</f>
        <v/>
      </c>
      <c r="F618" s="23" t="str">
        <f>IF(OR(E618="",E618="!!!"),"",IF(NOT(ISNA(VLOOKUP(E618,E$1:E617,1,FALSE()))),"OLD",IF(AND(E618&lt;&gt;"",E618&lt;&gt;"!!!"),"NEW","")))</f>
        <v> </v>
      </c>
      <c r="G618" s="24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5" t="str">
        <f>IF(J618&lt;&gt;1,"",IF(I618="SBJ","CB","?"))</f>
        <v> </v>
      </c>
      <c r="I618" s="26" t="str">
        <f>IF(OR(E618="",E618="!!!",F618="NEW"),"",INDEX(B617:B$2,-1+SUMPRODUCT(MAX(ROW(E617:E$2)*(E618=E617:E$2)))))</f>
        <v> </v>
      </c>
      <c r="J618" s="26" t="str">
        <f>IF(OR(E618="",E618="!!!",F618="NEW"),"",COUNTBLANK(OFFSET(A$1,,,SUMPRODUCT(MAX(ROW(E$2:E618)*(E618=E$2:E618)))))-COUNTBLANK(OFFSET(A$1,,,SUMPRODUCT(MAX(ROW(E$1:E617)*(E2=E$1:E617))))))</f>
        <v> </v>
      </c>
      <c r="K618" s="26" t="str">
        <f>IF(OR(E618="",E618="!!!",F618="NEW"),"",INDEX(J$1:J617,SUMPRODUCT(MAX(ROW(E$1:E617)*(E618=E$1:E617)))))</f>
        <v> </v>
      </c>
      <c r="L618" s="27"/>
    </row>
    <row r="619" spans="1:12">
      <c r="A619" s="20"/>
    </row>
    <row r="620" spans="1:12">
      <c r="A620" s="20" t="s">
        <v>643</v>
      </c>
    </row>
    <row r="621" spans="1:12">
      <c r="A621" s="20" t="s">
        <v>644</v>
      </c>
      <c r="E621" s="22">
        <f>IF(D621="?OLD","!!!","")</f>
        <v/>
      </c>
      <c r="F621" s="23" t="str">
        <f>IF(OR(E621="",E621="!!!"),"",IF(NOT(ISNA(VLOOKUP(E621,E$1:E620,1,FALSE()))),"OLD",IF(AND(E621&lt;&gt;"",E621&lt;&gt;"!!!"),"NEW","")))</f>
        <v> </v>
      </c>
      <c r="G621" s="24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5" t="str">
        <f>IF(J621&lt;&gt;1,"",IF(I621="SBJ","CB","?"))</f>
        <v> </v>
      </c>
      <c r="I621" s="26" t="str">
        <f>IF(OR(E621="",E621="!!!",F621="NEW"),"",INDEX(B620:B$2,-1+SUMPRODUCT(MAX(ROW(E620:E$2)*(E621=E620:E$2)))))</f>
        <v> </v>
      </c>
      <c r="J621" s="26" t="str">
        <f>IF(OR(E621="",E621="!!!",F621="NEW"),"",COUNTBLANK(OFFSET(A$1,,,SUMPRODUCT(MAX(ROW(E$2:E621)*(E621=E$2:E621)))))-COUNTBLANK(OFFSET(A$1,,,SUMPRODUCT(MAX(ROW(E$1:E620)*(E2=E$1:E620))))))</f>
        <v> </v>
      </c>
      <c r="K621" s="26" t="str">
        <f>IF(OR(E621="",E621="!!!",F621="NEW"),"",INDEX(J$1:J620,SUMPRODUCT(MAX(ROW(E$1:E620)*(E621=E$1:E620)))))</f>
        <v> </v>
      </c>
      <c r="L621" s="27"/>
    </row>
    <row r="622" spans="1:12">
      <c r="A622" s="20" t="s">
        <v>645</v>
      </c>
      <c r="E622" s="22">
        <f>IF(D622="?OLD","!!!","")</f>
        <v/>
      </c>
      <c r="F622" s="23" t="str">
        <f>IF(OR(E622="",E622="!!!"),"",IF(NOT(ISNA(VLOOKUP(E622,E$1:E621,1,FALSE()))),"OLD",IF(AND(E622&lt;&gt;"",E622&lt;&gt;"!!!"),"NEW","")))</f>
        <v> </v>
      </c>
      <c r="G622" s="24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5" t="str">
        <f>IF(J622&lt;&gt;1,"",IF(I622="SBJ","CB","?"))</f>
        <v> </v>
      </c>
      <c r="I622" s="26" t="str">
        <f>IF(OR(E622="",E622="!!!",F622="NEW"),"",INDEX(B621:B$2,-1+SUMPRODUCT(MAX(ROW(E621:E$2)*(E622=E621:E$2)))))</f>
        <v> </v>
      </c>
      <c r="J622" s="26" t="str">
        <f>IF(OR(E622="",E622="!!!",F622="NEW"),"",COUNTBLANK(OFFSET(A$1,,,SUMPRODUCT(MAX(ROW(E$2:E622)*(E622=E$2:E622)))))-COUNTBLANK(OFFSET(A$1,,,SUMPRODUCT(MAX(ROW(E$1:E621)*(E2=E$1:E621))))))</f>
        <v> </v>
      </c>
      <c r="K622" s="26" t="str">
        <f>IF(OR(E622="",E622="!!!",F622="NEW"),"",INDEX(J$1:J621,SUMPRODUCT(MAX(ROW(E$1:E621)*(E622=E$1:E621)))))</f>
        <v> </v>
      </c>
      <c r="L622" s="27"/>
    </row>
    <row r="623" spans="1:12">
      <c r="A623" s="20" t="s">
        <v>318</v>
      </c>
      <c r="B623" s="21" t="s">
        <v>214</v>
      </c>
      <c r="C623" s="21" t="s">
        <v>227</v>
      </c>
      <c r="D623" s="21" t="s">
        <v>216</v>
      </c>
      <c r="E623" s="22">
        <f>IF(D623="?OLD","!!!","")</f>
        <v/>
      </c>
      <c r="F623" s="23" t="str">
        <f>IF(OR(E623="",E623="!!!"),"",IF(NOT(ISNA(VLOOKUP(E623,E$1:E622,1,FALSE()))),"OLD",IF(AND(E623&lt;&gt;"",E623&lt;&gt;"!!!"),"NEW","")))</f>
        <v> </v>
      </c>
      <c r="G623" s="24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5" t="str">
        <f>IF(J623&lt;&gt;1,"",IF(I623="SBJ","CB","?"))</f>
        <v> </v>
      </c>
      <c r="I623" s="26" t="str">
        <f>IF(OR(E623="",E623="!!!",F623="NEW"),"",INDEX(B622:B$2,-1+SUMPRODUCT(MAX(ROW(E622:E$2)*(E623=E622:E$2)))))</f>
        <v> </v>
      </c>
      <c r="J623" s="26" t="str">
        <f>IF(OR(E623="",E623="!!!",F623="NEW"),"",COUNTBLANK(OFFSET(A$1,,,SUMPRODUCT(MAX(ROW(E$2:E623)*(E623=E$2:E623)))))-COUNTBLANK(OFFSET(A$1,,,SUMPRODUCT(MAX(ROW(E$1:E622)*(E2=E$1:E622))))))</f>
        <v> </v>
      </c>
      <c r="K623" s="26" t="str">
        <f>IF(OR(E623="",E623="!!!",F623="NEW"),"",INDEX(J$1:J622,SUMPRODUCT(MAX(ROW(E$1:E622)*(E623=E$1:E622)))))</f>
        <v> </v>
      </c>
      <c r="L623" s="27"/>
    </row>
    <row r="624" spans="1:12">
      <c r="A624" s="20" t="s">
        <v>646</v>
      </c>
      <c r="B624" s="21" t="s">
        <v>242</v>
      </c>
      <c r="C624" s="21" t="s">
        <v>277</v>
      </c>
      <c r="D624" s="21" t="s">
        <v>216</v>
      </c>
      <c r="E624" s="22">
        <f>IF(D624="?OLD","!!!","")</f>
        <v/>
      </c>
      <c r="F624" s="23" t="str">
        <f>IF(OR(E624="",E624="!!!"),"",IF(NOT(ISNA(VLOOKUP(E624,E$1:E623,1,FALSE()))),"OLD",IF(AND(E624&lt;&gt;"",E624&lt;&gt;"!!!"),"NEW","")))</f>
        <v> </v>
      </c>
      <c r="G624" s="24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5" t="str">
        <f>IF(J624&lt;&gt;1,"",IF(I624="SBJ","CB","?"))</f>
        <v> </v>
      </c>
      <c r="I624" s="26" t="str">
        <f>IF(OR(E624="",E624="!!!",F624="NEW"),"",INDEX(B623:B$2,-1+SUMPRODUCT(MAX(ROW(E623:E$2)*(E624=E623:E$2)))))</f>
        <v> </v>
      </c>
      <c r="J624" s="26" t="str">
        <f>IF(OR(E624="",E624="!!!",F624="NEW"),"",COUNTBLANK(OFFSET(A$1,,,SUMPRODUCT(MAX(ROW(E$2:E624)*(E624=E$2:E624)))))-COUNTBLANK(OFFSET(A$1,,,SUMPRODUCT(MAX(ROW(E$1:E623)*(E2=E$1:E623))))))</f>
        <v> </v>
      </c>
      <c r="K624" s="26" t="str">
        <f>IF(OR(E624="",E624="!!!",F624="NEW"),"",INDEX(J$1:J623,SUMPRODUCT(MAX(ROW(E$1:E623)*(E624=E$1:E623)))))</f>
        <v> </v>
      </c>
      <c r="L624" s="27"/>
    </row>
    <row r="625" spans="1:12">
      <c r="A625" s="20" t="s">
        <v>647</v>
      </c>
      <c r="E625" s="22">
        <f>IF(D625="?OLD","!!!","")</f>
        <v/>
      </c>
      <c r="F625" s="23" t="str">
        <f>IF(OR(E625="",E625="!!!"),"",IF(NOT(ISNA(VLOOKUP(E625,E$1:E624,1,FALSE()))),"OLD",IF(AND(E625&lt;&gt;"",E625&lt;&gt;"!!!"),"NEW","")))</f>
        <v> </v>
      </c>
      <c r="G625" s="24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5" t="str">
        <f>IF(J625&lt;&gt;1,"",IF(I625="SBJ","CB","?"))</f>
        <v> </v>
      </c>
      <c r="I625" s="26" t="str">
        <f>IF(OR(E625="",E625="!!!",F625="NEW"),"",INDEX(B624:B$2,-1+SUMPRODUCT(MAX(ROW(E624:E$2)*(E625=E624:E$2)))))</f>
        <v> </v>
      </c>
      <c r="J625" s="26" t="str">
        <f>IF(OR(E625="",E625="!!!",F625="NEW"),"",COUNTBLANK(OFFSET(A$1,,,SUMPRODUCT(MAX(ROW(E$2:E625)*(E625=E$2:E625)))))-COUNTBLANK(OFFSET(A$1,,,SUMPRODUCT(MAX(ROW(E$1:E624)*(E2=E$1:E624))))))</f>
        <v> </v>
      </c>
      <c r="K625" s="26" t="str">
        <f>IF(OR(E625="",E625="!!!",F625="NEW"),"",INDEX(J$1:J624,SUMPRODUCT(MAX(ROW(E$1:E624)*(E625=E$1:E624)))))</f>
        <v> </v>
      </c>
      <c r="L625" s="27"/>
    </row>
    <row r="626" spans="1:12">
      <c r="A626" s="20" t="s">
        <v>648</v>
      </c>
      <c r="B626" s="21" t="s">
        <v>340</v>
      </c>
      <c r="E626" s="22">
        <f>IF(D626="?OLD","!!!","")</f>
        <v/>
      </c>
      <c r="F626" s="23" t="str">
        <f>IF(OR(E626="",E626="!!!"),"",IF(NOT(ISNA(VLOOKUP(E626,E$1:E625,1,FALSE()))),"OLD",IF(AND(E626&lt;&gt;"",E626&lt;&gt;"!!!"),"NEW","")))</f>
        <v> </v>
      </c>
      <c r="G626" s="24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5" t="str">
        <f>IF(J626&lt;&gt;1,"",IF(I626="SBJ","CB","?"))</f>
        <v> </v>
      </c>
      <c r="I626" s="26" t="str">
        <f>IF(OR(E626="",E626="!!!",F626="NEW"),"",INDEX(B625:B$2,-1+SUMPRODUCT(MAX(ROW(E625:E$2)*(E626=E625:E$2)))))</f>
        <v> </v>
      </c>
      <c r="J626" s="26" t="str">
        <f>IF(OR(E626="",E626="!!!",F626="NEW"),"",COUNTBLANK(OFFSET(A$1,,,SUMPRODUCT(MAX(ROW(E$2:E626)*(E626=E$2:E626)))))-COUNTBLANK(OFFSET(A$1,,,SUMPRODUCT(MAX(ROW(E$1:E625)*(E2=E$1:E625))))))</f>
        <v> </v>
      </c>
      <c r="K626" s="26" t="str">
        <f>IF(OR(E626="",E626="!!!",F626="NEW"),"",INDEX(J$1:J625,SUMPRODUCT(MAX(ROW(E$1:E625)*(E626=E$1:E625)))))</f>
        <v> </v>
      </c>
      <c r="L626" s="27"/>
    </row>
    <row r="627" spans="1:12">
      <c r="A627" s="20" t="s">
        <v>649</v>
      </c>
      <c r="E627" s="22">
        <f>IF(D627="?OLD","!!!","")</f>
        <v/>
      </c>
      <c r="F627" s="23" t="str">
        <f>IF(OR(E627="",E627="!!!"),"",IF(NOT(ISNA(VLOOKUP(E627,E$1:E626,1,FALSE()))),"OLD",IF(AND(E627&lt;&gt;"",E627&lt;&gt;"!!!"),"NEW","")))</f>
        <v> </v>
      </c>
      <c r="G627" s="24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5" t="str">
        <f>IF(J627&lt;&gt;1,"",IF(I627="SBJ","CB","?"))</f>
        <v> </v>
      </c>
      <c r="I627" s="26" t="str">
        <f>IF(OR(E627="",E627="!!!",F627="NEW"),"",INDEX(B626:B$2,-1+SUMPRODUCT(MAX(ROW(E626:E$2)*(E627=E626:E$2)))))</f>
        <v> </v>
      </c>
      <c r="J627" s="26" t="str">
        <f>IF(OR(E627="",E627="!!!",F627="NEW"),"",COUNTBLANK(OFFSET(A$1,,,SUMPRODUCT(MAX(ROW(E$2:E627)*(E627=E$2:E627)))))-COUNTBLANK(OFFSET(A$1,,,SUMPRODUCT(MAX(ROW(E$1:E626)*(E2=E$1:E626))))))</f>
        <v> </v>
      </c>
      <c r="K627" s="26" t="str">
        <f>IF(OR(E627="",E627="!!!",F627="NEW"),"",INDEX(J$1:J626,SUMPRODUCT(MAX(ROW(E$1:E626)*(E627=E$1:E626)))))</f>
        <v> </v>
      </c>
      <c r="L627" s="27"/>
    </row>
    <row r="628" spans="1:12">
      <c r="A628" s="20" t="s">
        <v>650</v>
      </c>
      <c r="E628" s="22">
        <f>IF(D628="?OLD","!!!","")</f>
        <v/>
      </c>
      <c r="F628" s="23" t="str">
        <f>IF(OR(E628="",E628="!!!"),"",IF(NOT(ISNA(VLOOKUP(E628,E$1:E627,1,FALSE()))),"OLD",IF(AND(E628&lt;&gt;"",E628&lt;&gt;"!!!"),"NEW","")))</f>
        <v> </v>
      </c>
      <c r="G628" s="24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5" t="str">
        <f>IF(J628&lt;&gt;1,"",IF(I628="SBJ","CB","?"))</f>
        <v> </v>
      </c>
      <c r="I628" s="26" t="str">
        <f>IF(OR(E628="",E628="!!!",F628="NEW"),"",INDEX(B627:B$2,-1+SUMPRODUCT(MAX(ROW(E627:E$2)*(E628=E627:E$2)))))</f>
        <v> </v>
      </c>
      <c r="J628" s="26" t="str">
        <f>IF(OR(E628="",E628="!!!",F628="NEW"),"",COUNTBLANK(OFFSET(A$1,,,SUMPRODUCT(MAX(ROW(E$2:E628)*(E628=E$2:E628)))))-COUNTBLANK(OFFSET(A$1,,,SUMPRODUCT(MAX(ROW(E$1:E627)*(E2=E$1:E627))))))</f>
        <v> </v>
      </c>
      <c r="K628" s="26" t="str">
        <f>IF(OR(E628="",E628="!!!",F628="NEW"),"",INDEX(J$1:J627,SUMPRODUCT(MAX(ROW(E$1:E627)*(E628=E$1:E627)))))</f>
        <v> </v>
      </c>
      <c r="L628" s="27"/>
    </row>
    <row r="629" spans="1:12">
      <c r="A629" s="20" t="s">
        <v>651</v>
      </c>
      <c r="E629" s="22">
        <f>IF(D629="?OLD","!!!","")</f>
        <v/>
      </c>
      <c r="F629" s="23" t="str">
        <f>IF(OR(E629="",E629="!!!"),"",IF(NOT(ISNA(VLOOKUP(E629,E$1:E628,1,FALSE()))),"OLD",IF(AND(E629&lt;&gt;"",E629&lt;&gt;"!!!"),"NEW","")))</f>
        <v> </v>
      </c>
      <c r="G629" s="24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5" t="str">
        <f>IF(J629&lt;&gt;1,"",IF(I629="SBJ","CB","?"))</f>
        <v> </v>
      </c>
      <c r="I629" s="26" t="str">
        <f>IF(OR(E629="",E629="!!!",F629="NEW"),"",INDEX(B628:B$2,-1+SUMPRODUCT(MAX(ROW(E628:E$2)*(E629=E628:E$2)))))</f>
        <v> </v>
      </c>
      <c r="J629" s="26" t="str">
        <f>IF(OR(E629="",E629="!!!",F629="NEW"),"",COUNTBLANK(OFFSET(A$1,,,SUMPRODUCT(MAX(ROW(E$2:E629)*(E629=E$2:E629)))))-COUNTBLANK(OFFSET(A$1,,,SUMPRODUCT(MAX(ROW(E$1:E628)*(E2=E$1:E628))))))</f>
        <v> </v>
      </c>
      <c r="K629" s="26" t="str">
        <f>IF(OR(E629="",E629="!!!",F629="NEW"),"",INDEX(J$1:J628,SUMPRODUCT(MAX(ROW(E$1:E628)*(E629=E$1:E628)))))</f>
        <v> </v>
      </c>
      <c r="L629" s="27"/>
    </row>
    <row r="630" spans="1:12">
      <c r="A630" s="20" t="s">
        <v>321</v>
      </c>
      <c r="E630" s="22">
        <f>IF(D630="?OLD","!!!","")</f>
        <v/>
      </c>
      <c r="F630" s="23" t="str">
        <f>IF(OR(E630="",E630="!!!"),"",IF(NOT(ISNA(VLOOKUP(E630,E$1:E629,1,FALSE()))),"OLD",IF(AND(E630&lt;&gt;"",E630&lt;&gt;"!!!"),"NEW","")))</f>
        <v> </v>
      </c>
      <c r="G630" s="24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5" t="str">
        <f>IF(J630&lt;&gt;1,"",IF(I630="SBJ","CB","?"))</f>
        <v> </v>
      </c>
      <c r="I630" s="26" t="str">
        <f>IF(OR(E630="",E630="!!!",F630="NEW"),"",INDEX(B629:B$2,-1+SUMPRODUCT(MAX(ROW(E629:E$2)*(E630=E629:E$2)))))</f>
        <v> </v>
      </c>
      <c r="J630" s="26" t="str">
        <f>IF(OR(E630="",E630="!!!",F630="NEW"),"",COUNTBLANK(OFFSET(A$1,,,SUMPRODUCT(MAX(ROW(E$2:E630)*(E630=E$2:E630)))))-COUNTBLANK(OFFSET(A$1,,,SUMPRODUCT(MAX(ROW(E$1:E629)*(E2=E$1:E629))))))</f>
        <v> </v>
      </c>
      <c r="K630" s="26" t="str">
        <f>IF(OR(E630="",E630="!!!",F630="NEW"),"",INDEX(J$1:J629,SUMPRODUCT(MAX(ROW(E$1:E629)*(E630=E$1:E629)))))</f>
        <v> </v>
      </c>
      <c r="L630" s="27"/>
    </row>
    <row r="631" spans="1:12">
      <c r="A631" s="20" t="s">
        <v>652</v>
      </c>
      <c r="E631" s="22">
        <f>IF(D631="?OLD","!!!","")</f>
        <v/>
      </c>
      <c r="F631" s="23" t="str">
        <f>IF(OR(E631="",E631="!!!"),"",IF(NOT(ISNA(VLOOKUP(E631,E$1:E630,1,FALSE()))),"OLD",IF(AND(E631&lt;&gt;"",E631&lt;&gt;"!!!"),"NEW","")))</f>
        <v> </v>
      </c>
      <c r="G631" s="24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5" t="str">
        <f>IF(J631&lt;&gt;1,"",IF(I631="SBJ","CB","?"))</f>
        <v> </v>
      </c>
      <c r="I631" s="26" t="str">
        <f>IF(OR(E631="",E631="!!!",F631="NEW"),"",INDEX(B630:B$2,-1+SUMPRODUCT(MAX(ROW(E630:E$2)*(E631=E630:E$2)))))</f>
        <v> </v>
      </c>
      <c r="J631" s="26" t="str">
        <f>IF(OR(E631="",E631="!!!",F631="NEW"),"",COUNTBLANK(OFFSET(A$1,,,SUMPRODUCT(MAX(ROW(E$2:E631)*(E631=E$2:E631)))))-COUNTBLANK(OFFSET(A$1,,,SUMPRODUCT(MAX(ROW(E$1:E630)*(E2=E$1:E630))))))</f>
        <v> </v>
      </c>
      <c r="K631" s="26" t="str">
        <f>IF(OR(E631="",E631="!!!",F631="NEW"),"",INDEX(J$1:J630,SUMPRODUCT(MAX(ROW(E$1:E630)*(E631=E$1:E630)))))</f>
        <v> </v>
      </c>
      <c r="L631" s="27"/>
    </row>
    <row r="632" spans="1:12">
      <c r="A632" s="20" t="s">
        <v>645</v>
      </c>
      <c r="E632" s="22">
        <f>IF(D632="?OLD","!!!","")</f>
        <v/>
      </c>
      <c r="F632" s="23" t="str">
        <f>IF(OR(E632="",E632="!!!"),"",IF(NOT(ISNA(VLOOKUP(E632,E$1:E631,1,FALSE()))),"OLD",IF(AND(E632&lt;&gt;"",E632&lt;&gt;"!!!"),"NEW","")))</f>
        <v> </v>
      </c>
      <c r="G632" s="24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5" t="str">
        <f>IF(J632&lt;&gt;1,"",IF(I632="SBJ","CB","?"))</f>
        <v> </v>
      </c>
      <c r="I632" s="26" t="str">
        <f>IF(OR(E632="",E632="!!!",F632="NEW"),"",INDEX(B631:B$2,-1+SUMPRODUCT(MAX(ROW(E631:E$2)*(E632=E631:E$2)))))</f>
        <v> </v>
      </c>
      <c r="J632" s="26" t="str">
        <f>IF(OR(E632="",E632="!!!",F632="NEW"),"",COUNTBLANK(OFFSET(A$1,,,SUMPRODUCT(MAX(ROW(E$2:E632)*(E632=E$2:E632)))))-COUNTBLANK(OFFSET(A$1,,,SUMPRODUCT(MAX(ROW(E$1:E631)*(E2=E$1:E631))))))</f>
        <v> </v>
      </c>
      <c r="K632" s="26" t="str">
        <f>IF(OR(E632="",E632="!!!",F632="NEW"),"",INDEX(J$1:J631,SUMPRODUCT(MAX(ROW(E$1:E631)*(E632=E$1:E631)))))</f>
        <v> </v>
      </c>
      <c r="L632" s="27"/>
    </row>
    <row r="633" spans="1:12">
      <c r="A633" s="20" t="s">
        <v>653</v>
      </c>
      <c r="B633" s="21" t="s">
        <v>330</v>
      </c>
      <c r="C633" s="21" t="s">
        <v>215</v>
      </c>
      <c r="D633" s="21" t="s">
        <v>216</v>
      </c>
      <c r="E633" s="22">
        <f>IF(D633="?OLD","!!!","")</f>
        <v/>
      </c>
      <c r="F633" s="23" t="str">
        <f>IF(OR(E633="",E633="!!!"),"",IF(NOT(ISNA(VLOOKUP(E633,E$1:E632,1,FALSE()))),"OLD",IF(AND(E633&lt;&gt;"",E633&lt;&gt;"!!!"),"NEW","")))</f>
        <v> </v>
      </c>
      <c r="G633" s="24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5" t="str">
        <f>IF(J633&lt;&gt;1,"",IF(I633="SBJ","CB","?"))</f>
        <v> </v>
      </c>
      <c r="I633" s="26" t="str">
        <f>IF(OR(E633="",E633="!!!",F633="NEW"),"",INDEX(B632:B$2,-1+SUMPRODUCT(MAX(ROW(E632:E$2)*(E633=E632:E$2)))))</f>
        <v> </v>
      </c>
      <c r="J633" s="26" t="str">
        <f>IF(OR(E633="",E633="!!!",F633="NEW"),"",COUNTBLANK(OFFSET(A$1,,,SUMPRODUCT(MAX(ROW(E$2:E633)*(E633=E$2:E633)))))-COUNTBLANK(OFFSET(A$1,,,SUMPRODUCT(MAX(ROW(E$1:E632)*(E2=E$1:E632))))))</f>
        <v> </v>
      </c>
      <c r="K633" s="26" t="str">
        <f>IF(OR(E633="",E633="!!!",F633="NEW"),"",INDEX(J$1:J632,SUMPRODUCT(MAX(ROW(E$1:E632)*(E633=E$1:E632)))))</f>
        <v> </v>
      </c>
      <c r="L633" s="27"/>
    </row>
    <row r="634" spans="1:12">
      <c r="A634" s="20" t="s">
        <v>217</v>
      </c>
      <c r="E634" s="22">
        <f>IF(D634="?OLD","!!!","")</f>
        <v/>
      </c>
      <c r="F634" s="23" t="str">
        <f>IF(OR(E634="",E634="!!!"),"",IF(NOT(ISNA(VLOOKUP(E634,E$1:E633,1,FALSE()))),"OLD",IF(AND(E634&lt;&gt;"",E634&lt;&gt;"!!!"),"NEW","")))</f>
        <v> </v>
      </c>
      <c r="G634" s="24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5" t="str">
        <f>IF(J634&lt;&gt;1,"",IF(I634="SBJ","CB","?"))</f>
        <v> </v>
      </c>
      <c r="I634" s="26" t="str">
        <f>IF(OR(E634="",E634="!!!",F634="NEW"),"",INDEX(B633:B$2,-1+SUMPRODUCT(MAX(ROW(E633:E$2)*(E634=E633:E$2)))))</f>
        <v> </v>
      </c>
      <c r="J634" s="26" t="str">
        <f>IF(OR(E634="",E634="!!!",F634="NEW"),"",COUNTBLANK(OFFSET(A$1,,,SUMPRODUCT(MAX(ROW(E$2:E634)*(E634=E$2:E634)))))-COUNTBLANK(OFFSET(A$1,,,SUMPRODUCT(MAX(ROW(E$1:E633)*(E2=E$1:E633))))))</f>
        <v> </v>
      </c>
      <c r="K634" s="26" t="str">
        <f>IF(OR(E634="",E634="!!!",F634="NEW"),"",INDEX(J$1:J633,SUMPRODUCT(MAX(ROW(E$1:E633)*(E634=E$1:E633)))))</f>
        <v> </v>
      </c>
      <c r="L634" s="27"/>
    </row>
    <row r="635" spans="1:12">
      <c r="A635" s="20" t="s">
        <v>654</v>
      </c>
      <c r="E635" s="22">
        <f>IF(D635="?OLD","!!!","")</f>
        <v/>
      </c>
      <c r="F635" s="23" t="str">
        <f>IF(OR(E635="",E635="!!!"),"",IF(NOT(ISNA(VLOOKUP(E635,E$1:E634,1,FALSE()))),"OLD",IF(AND(E635&lt;&gt;"",E635&lt;&gt;"!!!"),"NEW","")))</f>
        <v> </v>
      </c>
      <c r="G635" s="24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5" t="str">
        <f>IF(J635&lt;&gt;1,"",IF(I635="SBJ","CB","?"))</f>
        <v> </v>
      </c>
      <c r="I635" s="26" t="str">
        <f>IF(OR(E635="",E635="!!!",F635="NEW"),"",INDEX(B634:B$2,-1+SUMPRODUCT(MAX(ROW(E634:E$2)*(E635=E634:E$2)))))</f>
        <v> </v>
      </c>
      <c r="J635" s="26" t="str">
        <f>IF(OR(E635="",E635="!!!",F635="NEW"),"",COUNTBLANK(OFFSET(A$1,,,SUMPRODUCT(MAX(ROW(E$2:E635)*(E635=E$2:E635)))))-COUNTBLANK(OFFSET(A$1,,,SUMPRODUCT(MAX(ROW(E$1:E634)*(E2=E$1:E634))))))</f>
        <v> </v>
      </c>
      <c r="K635" s="26" t="str">
        <f>IF(OR(E635="",E635="!!!",F635="NEW"),"",INDEX(J$1:J634,SUMPRODUCT(MAX(ROW(E$1:E634)*(E635=E$1:E634)))))</f>
        <v> </v>
      </c>
      <c r="L635" s="27"/>
    </row>
    <row r="636" spans="1:12">
      <c r="A636" s="20" t="s">
        <v>295</v>
      </c>
      <c r="E636" s="22">
        <f>IF(D636="?OLD","!!!","")</f>
        <v/>
      </c>
      <c r="F636" s="23" t="str">
        <f>IF(OR(E636="",E636="!!!"),"",IF(NOT(ISNA(VLOOKUP(E636,E$1:E635,1,FALSE()))),"OLD",IF(AND(E636&lt;&gt;"",E636&lt;&gt;"!!!"),"NEW","")))</f>
        <v> </v>
      </c>
      <c r="G636" s="24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5" t="str">
        <f>IF(J636&lt;&gt;1,"",IF(I636="SBJ","CB","?"))</f>
        <v> </v>
      </c>
      <c r="I636" s="26" t="str">
        <f>IF(OR(E636="",E636="!!!",F636="NEW"),"",INDEX(B635:B$2,-1+SUMPRODUCT(MAX(ROW(E635:E$2)*(E636=E635:E$2)))))</f>
        <v> </v>
      </c>
      <c r="J636" s="26" t="str">
        <f>IF(OR(E636="",E636="!!!",F636="NEW"),"",COUNTBLANK(OFFSET(A$1,,,SUMPRODUCT(MAX(ROW(E$2:E636)*(E636=E$2:E636)))))-COUNTBLANK(OFFSET(A$1,,,SUMPRODUCT(MAX(ROW(E$1:E635)*(E2=E$1:E635))))))</f>
        <v> </v>
      </c>
      <c r="K636" s="26" t="str">
        <f>IF(OR(E636="",E636="!!!",F636="NEW"),"",INDEX(J$1:J635,SUMPRODUCT(MAX(ROW(E$1:E635)*(E636=E$1:E635)))))</f>
        <v> </v>
      </c>
      <c r="L636" s="27"/>
    </row>
    <row r="637" spans="1:12">
      <c r="A637" s="20" t="s">
        <v>296</v>
      </c>
      <c r="B637" s="21" t="s">
        <v>330</v>
      </c>
      <c r="C637" s="21" t="s">
        <v>215</v>
      </c>
      <c r="D637" s="21" t="s">
        <v>216</v>
      </c>
      <c r="E637" s="22">
        <f>IF(D637="?OLD","!!!","")</f>
        <v/>
      </c>
      <c r="F637" s="23" t="str">
        <f>IF(OR(E637="",E637="!!!"),"",IF(NOT(ISNA(VLOOKUP(E637,E$1:E636,1,FALSE()))),"OLD",IF(AND(E637&lt;&gt;"",E637&lt;&gt;"!!!"),"NEW","")))</f>
        <v> </v>
      </c>
      <c r="G637" s="24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5" t="str">
        <f>IF(J637&lt;&gt;1,"",IF(I637="SBJ","CB","?"))</f>
        <v> </v>
      </c>
      <c r="I637" s="26" t="str">
        <f>IF(OR(E637="",E637="!!!",F637="NEW"),"",INDEX(B636:B$2,-1+SUMPRODUCT(MAX(ROW(E636:E$2)*(E637=E636:E$2)))))</f>
        <v> </v>
      </c>
      <c r="J637" s="26" t="str">
        <f>IF(OR(E637="",E637="!!!",F637="NEW"),"",COUNTBLANK(OFFSET(A$1,,,SUMPRODUCT(MAX(ROW(E$2:E637)*(E637=E$2:E637)))))-COUNTBLANK(OFFSET(A$1,,,SUMPRODUCT(MAX(ROW(E$1:E636)*(E2=E$1:E636))))))</f>
        <v> </v>
      </c>
      <c r="K637" s="26" t="str">
        <f>IF(OR(E637="",E637="!!!",F637="NEW"),"",INDEX(J$1:J636,SUMPRODUCT(MAX(ROW(E$1:E636)*(E637=E$1:E636)))))</f>
        <v> </v>
      </c>
      <c r="L637" s="27"/>
    </row>
    <row r="638" spans="1:12">
      <c r="A638" s="20" t="s">
        <v>327</v>
      </c>
      <c r="E638" s="22">
        <f>IF(D638="?OLD","!!!","")</f>
        <v/>
      </c>
      <c r="F638" s="23" t="str">
        <f>IF(OR(E638="",E638="!!!"),"",IF(NOT(ISNA(VLOOKUP(E638,E$1:E637,1,FALSE()))),"OLD",IF(AND(E638&lt;&gt;"",E638&lt;&gt;"!!!"),"NEW","")))</f>
        <v> </v>
      </c>
      <c r="G638" s="24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5" t="str">
        <f>IF(J638&lt;&gt;1,"",IF(I638="SBJ","CB","?"))</f>
        <v> </v>
      </c>
      <c r="I638" s="26" t="str">
        <f>IF(OR(E638="",E638="!!!",F638="NEW"),"",INDEX(B637:B$2,-1+SUMPRODUCT(MAX(ROW(E637:E$2)*(E638=E637:E$2)))))</f>
        <v> </v>
      </c>
      <c r="J638" s="26" t="str">
        <f>IF(OR(E638="",E638="!!!",F638="NEW"),"",COUNTBLANK(OFFSET(A$1,,,SUMPRODUCT(MAX(ROW(E$2:E638)*(E638=E$2:E638)))))-COUNTBLANK(OFFSET(A$1,,,SUMPRODUCT(MAX(ROW(E$1:E637)*(E2=E$1:E637))))))</f>
        <v> </v>
      </c>
      <c r="K638" s="26" t="str">
        <f>IF(OR(E638="",E638="!!!",F638="NEW"),"",INDEX(J$1:J637,SUMPRODUCT(MAX(ROW(E$1:E637)*(E638=E$1:E637)))))</f>
        <v> </v>
      </c>
      <c r="L638" s="27"/>
    </row>
    <row r="639" spans="1:12">
      <c r="A639" s="20" t="s">
        <v>231</v>
      </c>
      <c r="B639" s="21" t="s">
        <v>655</v>
      </c>
      <c r="C639" s="21" t="s">
        <v>233</v>
      </c>
      <c r="E639" s="22">
        <f>IF(D639="?OLD","!!!","")</f>
        <v/>
      </c>
      <c r="F639" s="23" t="str">
        <f>IF(OR(E639="",E639="!!!"),"",IF(NOT(ISNA(VLOOKUP(E639,E$1:E638,1,FALSE()))),"OLD",IF(AND(E639&lt;&gt;"",E639&lt;&gt;"!!!"),"NEW","")))</f>
        <v> </v>
      </c>
      <c r="G639" s="24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5" t="str">
        <f>IF(J639&lt;&gt;1,"",IF(I639="SBJ","CB","?"))</f>
        <v> </v>
      </c>
      <c r="I639" s="26" t="str">
        <f>IF(OR(E639="",E639="!!!",F639="NEW"),"",INDEX(B638:B$2,-1+SUMPRODUCT(MAX(ROW(E638:E$2)*(E639=E638:E$2)))))</f>
        <v> </v>
      </c>
      <c r="J639" s="26" t="str">
        <f>IF(OR(E639="",E639="!!!",F639="NEW"),"",COUNTBLANK(OFFSET(A$1,,,SUMPRODUCT(MAX(ROW(E$2:E639)*(E639=E$2:E639)))))-COUNTBLANK(OFFSET(A$1,,,SUMPRODUCT(MAX(ROW(E$1:E638)*(E2=E$1:E638))))))</f>
        <v> </v>
      </c>
      <c r="K639" s="26" t="str">
        <f>IF(OR(E639="",E639="!!!",F639="NEW"),"",INDEX(J$1:J638,SUMPRODUCT(MAX(ROW(E$1:E638)*(E639=E$1:E638)))))</f>
        <v> </v>
      </c>
      <c r="L639" s="27"/>
    </row>
    <row r="640" spans="1:12">
      <c r="A640" s="20" t="s">
        <v>656</v>
      </c>
      <c r="E640" s="22">
        <f>IF(D640="?OLD","!!!","")</f>
        <v/>
      </c>
      <c r="F640" s="23" t="str">
        <f>IF(OR(E640="",E640="!!!"),"",IF(NOT(ISNA(VLOOKUP(E640,E$1:E639,1,FALSE()))),"OLD",IF(AND(E640&lt;&gt;"",E640&lt;&gt;"!!!"),"NEW","")))</f>
        <v> </v>
      </c>
      <c r="G640" s="24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5" t="str">
        <f>IF(J640&lt;&gt;1,"",IF(I640="SBJ","CB","?"))</f>
        <v> </v>
      </c>
      <c r="I640" s="26" t="str">
        <f>IF(OR(E640="",E640="!!!",F640="NEW"),"",INDEX(B639:B$2,-1+SUMPRODUCT(MAX(ROW(E639:E$2)*(E640=E639:E$2)))))</f>
        <v> </v>
      </c>
      <c r="J640" s="26" t="str">
        <f>IF(OR(E640="",E640="!!!",F640="NEW"),"",COUNTBLANK(OFFSET(A$1,,,SUMPRODUCT(MAX(ROW(E$2:E640)*(E640=E$2:E640)))))-COUNTBLANK(OFFSET(A$1,,,SUMPRODUCT(MAX(ROW(E$1:E639)*(E2=E$1:E639))))))</f>
        <v> </v>
      </c>
      <c r="K640" s="26" t="str">
        <f>IF(OR(E640="",E640="!!!",F640="NEW"),"",INDEX(J$1:J639,SUMPRODUCT(MAX(ROW(E$1:E639)*(E640=E$1:E639)))))</f>
        <v> </v>
      </c>
      <c r="L640" s="27"/>
    </row>
    <row r="641" spans="1:12">
      <c r="A641" s="20" t="s">
        <v>657</v>
      </c>
      <c r="E641" s="22">
        <f>IF(D641="?OLD","!!!","")</f>
        <v/>
      </c>
      <c r="F641" s="23" t="str">
        <f>IF(OR(E641="",E641="!!!"),"",IF(NOT(ISNA(VLOOKUP(E641,E$1:E640,1,FALSE()))),"OLD",IF(AND(E641&lt;&gt;"",E641&lt;&gt;"!!!"),"NEW","")))</f>
        <v> </v>
      </c>
      <c r="G641" s="24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5" t="str">
        <f>IF(J641&lt;&gt;1,"",IF(I641="SBJ","CB","?"))</f>
        <v> </v>
      </c>
      <c r="I641" s="26" t="str">
        <f>IF(OR(E641="",E641="!!!",F641="NEW"),"",INDEX(B640:B$2,-1+SUMPRODUCT(MAX(ROW(E640:E$2)*(E641=E640:E$2)))))</f>
        <v> </v>
      </c>
      <c r="J641" s="26" t="str">
        <f>IF(OR(E641="",E641="!!!",F641="NEW"),"",COUNTBLANK(OFFSET(A$1,,,SUMPRODUCT(MAX(ROW(E$2:E641)*(E641=E$2:E641)))))-COUNTBLANK(OFFSET(A$1,,,SUMPRODUCT(MAX(ROW(E$1:E640)*(E2=E$1:E640))))))</f>
        <v> </v>
      </c>
      <c r="K641" s="26" t="str">
        <f>IF(OR(E641="",E641="!!!",F641="NEW"),"",INDEX(J$1:J640,SUMPRODUCT(MAX(ROW(E$1:E640)*(E641=E$1:E640)))))</f>
        <v> </v>
      </c>
      <c r="L641" s="27"/>
    </row>
    <row r="642" spans="1:12">
      <c r="A642" s="20" t="s">
        <v>658</v>
      </c>
      <c r="E642" s="22">
        <f>IF(D642="?OLD","!!!","")</f>
        <v/>
      </c>
      <c r="F642" s="23" t="str">
        <f>IF(OR(E642="",E642="!!!"),"",IF(NOT(ISNA(VLOOKUP(E642,E$1:E641,1,FALSE()))),"OLD",IF(AND(E642&lt;&gt;"",E642&lt;&gt;"!!!"),"NEW","")))</f>
        <v> </v>
      </c>
      <c r="G642" s="24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5" t="str">
        <f>IF(J642&lt;&gt;1,"",IF(I642="SBJ","CB","?"))</f>
        <v> </v>
      </c>
      <c r="I642" s="26" t="str">
        <f>IF(OR(E642="",E642="!!!",F642="NEW"),"",INDEX(B641:B$2,-1+SUMPRODUCT(MAX(ROW(E641:E$2)*(E642=E641:E$2)))))</f>
        <v> </v>
      </c>
      <c r="J642" s="26" t="str">
        <f>IF(OR(E642="",E642="!!!",F642="NEW"),"",COUNTBLANK(OFFSET(A$1,,,SUMPRODUCT(MAX(ROW(E$2:E642)*(E642=E$2:E642)))))-COUNTBLANK(OFFSET(A$1,,,SUMPRODUCT(MAX(ROW(E$1:E641)*(E2=E$1:E641))))))</f>
        <v> </v>
      </c>
      <c r="K642" s="26" t="str">
        <f>IF(OR(E642="",E642="!!!",F642="NEW"),"",INDEX(J$1:J641,SUMPRODUCT(MAX(ROW(E$1:E641)*(E642=E$1:E641)))))</f>
        <v> </v>
      </c>
      <c r="L642" s="27"/>
    </row>
    <row r="643" spans="1:12">
      <c r="A643" s="20" t="s">
        <v>217</v>
      </c>
      <c r="E643" s="22">
        <f>IF(D643="?OLD","!!!","")</f>
        <v/>
      </c>
      <c r="F643" s="23" t="str">
        <f>IF(OR(E643="",E643="!!!"),"",IF(NOT(ISNA(VLOOKUP(E643,E$1:E642,1,FALSE()))),"OLD",IF(AND(E643&lt;&gt;"",E643&lt;&gt;"!!!"),"NEW","")))</f>
        <v> </v>
      </c>
      <c r="G643" s="24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5" t="str">
        <f>IF(J643&lt;&gt;1,"",IF(I643="SBJ","CB","?"))</f>
        <v> </v>
      </c>
      <c r="I643" s="26" t="str">
        <f>IF(OR(E643="",E643="!!!",F643="NEW"),"",INDEX(B642:B$2,-1+SUMPRODUCT(MAX(ROW(E642:E$2)*(E643=E642:E$2)))))</f>
        <v> </v>
      </c>
      <c r="J643" s="26" t="str">
        <f>IF(OR(E643="",E643="!!!",F643="NEW"),"",COUNTBLANK(OFFSET(A$1,,,SUMPRODUCT(MAX(ROW(E$2:E643)*(E643=E$2:E643)))))-COUNTBLANK(OFFSET(A$1,,,SUMPRODUCT(MAX(ROW(E$1:E642)*(E2=E$1:E642))))))</f>
        <v> </v>
      </c>
      <c r="K643" s="26" t="str">
        <f>IF(OR(E643="",E643="!!!",F643="NEW"),"",INDEX(J$1:J642,SUMPRODUCT(MAX(ROW(E$1:E642)*(E643=E$1:E642)))))</f>
        <v> </v>
      </c>
      <c r="L643" s="27"/>
    </row>
    <row r="644" spans="1:12">
      <c r="A644" s="20" t="s">
        <v>659</v>
      </c>
      <c r="E644" s="22">
        <f>IF(D644="?OLD","!!!","")</f>
        <v/>
      </c>
      <c r="F644" s="23" t="str">
        <f>IF(OR(E644="",E644="!!!"),"",IF(NOT(ISNA(VLOOKUP(E644,E$1:E643,1,FALSE()))),"OLD",IF(AND(E644&lt;&gt;"",E644&lt;&gt;"!!!"),"NEW","")))</f>
        <v> </v>
      </c>
      <c r="G644" s="24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5" t="str">
        <f>IF(J644&lt;&gt;1,"",IF(I644="SBJ","CB","?"))</f>
        <v> </v>
      </c>
      <c r="I644" s="26" t="str">
        <f>IF(OR(E644="",E644="!!!",F644="NEW"),"",INDEX(B643:B$2,-1+SUMPRODUCT(MAX(ROW(E643:E$2)*(E644=E643:E$2)))))</f>
        <v> </v>
      </c>
      <c r="J644" s="26" t="str">
        <f>IF(OR(E644="",E644="!!!",F644="NEW"),"",COUNTBLANK(OFFSET(A$1,,,SUMPRODUCT(MAX(ROW(E$2:E644)*(E644=E$2:E644)))))-COUNTBLANK(OFFSET(A$1,,,SUMPRODUCT(MAX(ROW(E$1:E643)*(E2=E$1:E643))))))</f>
        <v> </v>
      </c>
      <c r="K644" s="26" t="str">
        <f>IF(OR(E644="",E644="!!!",F644="NEW"),"",INDEX(J$1:J643,SUMPRODUCT(MAX(ROW(E$1:E643)*(E644=E$1:E643)))))</f>
        <v> </v>
      </c>
      <c r="L644" s="27"/>
    </row>
    <row r="645" spans="1:12">
      <c r="A645" s="20" t="s">
        <v>660</v>
      </c>
      <c r="E645" s="22">
        <f>IF(D645="?OLD","!!!","")</f>
        <v/>
      </c>
      <c r="F645" s="23" t="str">
        <f>IF(OR(E645="",E645="!!!"),"",IF(NOT(ISNA(VLOOKUP(E645,E$1:E644,1,FALSE()))),"OLD",IF(AND(E645&lt;&gt;"",E645&lt;&gt;"!!!"),"NEW","")))</f>
        <v> </v>
      </c>
      <c r="G645" s="24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5" t="str">
        <f>IF(J645&lt;&gt;1,"",IF(I645="SBJ","CB","?"))</f>
        <v> </v>
      </c>
      <c r="I645" s="26" t="str">
        <f>IF(OR(E645="",E645="!!!",F645="NEW"),"",INDEX(B644:B$2,-1+SUMPRODUCT(MAX(ROW(E644:E$2)*(E645=E644:E$2)))))</f>
        <v> </v>
      </c>
      <c r="J645" s="26" t="str">
        <f>IF(OR(E645="",E645="!!!",F645="NEW"),"",COUNTBLANK(OFFSET(A$1,,,SUMPRODUCT(MAX(ROW(E$2:E645)*(E645=E$2:E645)))))-COUNTBLANK(OFFSET(A$1,,,SUMPRODUCT(MAX(ROW(E$1:E644)*(E2=E$1:E644))))))</f>
        <v> </v>
      </c>
      <c r="K645" s="26" t="str">
        <f>IF(OR(E645="",E645="!!!",F645="NEW"),"",INDEX(J$1:J644,SUMPRODUCT(MAX(ROW(E$1:E644)*(E645=E$1:E644)))))</f>
        <v> </v>
      </c>
      <c r="L645" s="27"/>
    </row>
    <row r="646" spans="1:12">
      <c r="A646" s="20" t="s">
        <v>661</v>
      </c>
      <c r="E646" s="22">
        <f>IF(D646="?OLD","!!!","")</f>
        <v/>
      </c>
      <c r="F646" s="23" t="str">
        <f>IF(OR(E646="",E646="!!!"),"",IF(NOT(ISNA(VLOOKUP(E646,E$1:E645,1,FALSE()))),"OLD",IF(AND(E646&lt;&gt;"",E646&lt;&gt;"!!!"),"NEW","")))</f>
        <v> </v>
      </c>
      <c r="G646" s="24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5" t="str">
        <f>IF(J646&lt;&gt;1,"",IF(I646="SBJ","CB","?"))</f>
        <v> </v>
      </c>
      <c r="I646" s="26" t="str">
        <f>IF(OR(E646="",E646="!!!",F646="NEW"),"",INDEX(B645:B$2,-1+SUMPRODUCT(MAX(ROW(E645:E$2)*(E646=E645:E$2)))))</f>
        <v> </v>
      </c>
      <c r="J646" s="26" t="str">
        <f>IF(OR(E646="",E646="!!!",F646="NEW"),"",COUNTBLANK(OFFSET(A$1,,,SUMPRODUCT(MAX(ROW(E$2:E646)*(E646=E$2:E646)))))-COUNTBLANK(OFFSET(A$1,,,SUMPRODUCT(MAX(ROW(E$1:E645)*(E2=E$1:E645))))))</f>
        <v> </v>
      </c>
      <c r="K646" s="26" t="str">
        <f>IF(OR(E646="",E646="!!!",F646="NEW"),"",INDEX(J$1:J645,SUMPRODUCT(MAX(ROW(E$1:E645)*(E646=E$1:E645)))))</f>
        <v> </v>
      </c>
      <c r="L646" s="27"/>
    </row>
    <row r="647" spans="1:12">
      <c r="A647" s="20" t="s">
        <v>662</v>
      </c>
      <c r="B647" s="21" t="s">
        <v>663</v>
      </c>
      <c r="E647" s="22">
        <f>IF(D647="?OLD","!!!","")</f>
        <v/>
      </c>
      <c r="F647" s="23" t="str">
        <f>IF(OR(E647="",E647="!!!"),"",IF(NOT(ISNA(VLOOKUP(E647,E$1:E646,1,FALSE()))),"OLD",IF(AND(E647&lt;&gt;"",E647&lt;&gt;"!!!"),"NEW","")))</f>
        <v> </v>
      </c>
      <c r="G647" s="24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5" t="str">
        <f>IF(J647&lt;&gt;1,"",IF(I647="SBJ","CB","?"))</f>
        <v> </v>
      </c>
      <c r="I647" s="26" t="str">
        <f>IF(OR(E647="",E647="!!!",F647="NEW"),"",INDEX(B646:B$2,-1+SUMPRODUCT(MAX(ROW(E646:E$2)*(E647=E646:E$2)))))</f>
        <v> </v>
      </c>
      <c r="J647" s="26" t="str">
        <f>IF(OR(E647="",E647="!!!",F647="NEW"),"",COUNTBLANK(OFFSET(A$1,,,SUMPRODUCT(MAX(ROW(E$2:E647)*(E647=E$2:E647)))))-COUNTBLANK(OFFSET(A$1,,,SUMPRODUCT(MAX(ROW(E$1:E646)*(E2=E$1:E646))))))</f>
        <v> </v>
      </c>
      <c r="K647" s="26" t="str">
        <f>IF(OR(E647="",E647="!!!",F647="NEW"),"",INDEX(J$1:J646,SUMPRODUCT(MAX(ROW(E$1:E646)*(E647=E$1:E646)))))</f>
        <v> </v>
      </c>
      <c r="L647" s="27"/>
    </row>
    <row r="648" spans="1:12">
      <c r="A648" s="20" t="s">
        <v>346</v>
      </c>
      <c r="E648" s="22">
        <f>IF(D648="?OLD","!!!","")</f>
        <v/>
      </c>
      <c r="F648" s="23" t="str">
        <f>IF(OR(E648="",E648="!!!"),"",IF(NOT(ISNA(VLOOKUP(E648,E$1:E647,1,FALSE()))),"OLD",IF(AND(E648&lt;&gt;"",E648&lt;&gt;"!!!"),"NEW","")))</f>
        <v> </v>
      </c>
      <c r="G648" s="24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5" t="str">
        <f>IF(J648&lt;&gt;1,"",IF(I648="SBJ","CB","?"))</f>
        <v> </v>
      </c>
      <c r="I648" s="26" t="str">
        <f>IF(OR(E648="",E648="!!!",F648="NEW"),"",INDEX(B647:B$2,-1+SUMPRODUCT(MAX(ROW(E647:E$2)*(E648=E647:E$2)))))</f>
        <v> </v>
      </c>
      <c r="J648" s="26" t="str">
        <f>IF(OR(E648="",E648="!!!",F648="NEW"),"",COUNTBLANK(OFFSET(A$1,,,SUMPRODUCT(MAX(ROW(E$2:E648)*(E648=E$2:E648)))))-COUNTBLANK(OFFSET(A$1,,,SUMPRODUCT(MAX(ROW(E$1:E647)*(E2=E$1:E647))))))</f>
        <v> </v>
      </c>
      <c r="K648" s="26" t="str">
        <f>IF(OR(E648="",E648="!!!",F648="NEW"),"",INDEX(J$1:J647,SUMPRODUCT(MAX(ROW(E$1:E647)*(E648=E$1:E647)))))</f>
        <v> </v>
      </c>
      <c r="L648" s="27"/>
    </row>
    <row r="649" spans="1:12">
      <c r="A649" s="20" t="s">
        <v>664</v>
      </c>
      <c r="B649" s="21" t="s">
        <v>665</v>
      </c>
      <c r="C649" s="21" t="s">
        <v>215</v>
      </c>
      <c r="D649" s="21" t="s">
        <v>216</v>
      </c>
      <c r="E649" s="22">
        <f>IF(D649="?OLD","!!!","")</f>
        <v/>
      </c>
      <c r="F649" s="23" t="str">
        <f>IF(OR(E649="",E649="!!!"),"",IF(NOT(ISNA(VLOOKUP(E649,E$1:E648,1,FALSE()))),"OLD",IF(AND(E649&lt;&gt;"",E649&lt;&gt;"!!!"),"NEW","")))</f>
        <v> </v>
      </c>
      <c r="G649" s="24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5" t="str">
        <f>IF(J649&lt;&gt;1,"",IF(I649="SBJ","CB","?"))</f>
        <v> </v>
      </c>
      <c r="I649" s="26" t="str">
        <f>IF(OR(E649="",E649="!!!",F649="NEW"),"",INDEX(B648:B$2,-1+SUMPRODUCT(MAX(ROW(E648:E$2)*(E649=E648:E$2)))))</f>
        <v> </v>
      </c>
      <c r="J649" s="26" t="str">
        <f>IF(OR(E649="",E649="!!!",F649="NEW"),"",COUNTBLANK(OFFSET(A$1,,,SUMPRODUCT(MAX(ROW(E$2:E649)*(E649=E$2:E649)))))-COUNTBLANK(OFFSET(A$1,,,SUMPRODUCT(MAX(ROW(E$1:E648)*(E2=E$1:E648))))))</f>
        <v> </v>
      </c>
      <c r="K649" s="26" t="str">
        <f>IF(OR(E649="",E649="!!!",F649="NEW"),"",INDEX(J$1:J648,SUMPRODUCT(MAX(ROW(E$1:E648)*(E649=E$1:E648)))))</f>
        <v> </v>
      </c>
      <c r="L649" s="27"/>
    </row>
    <row r="650" spans="1:12">
      <c r="A650" s="20" t="s">
        <v>237</v>
      </c>
      <c r="E650" s="22">
        <f>IF(D650="?OLD","!!!","")</f>
        <v/>
      </c>
      <c r="F650" s="23" t="str">
        <f>IF(OR(E650="",E650="!!!"),"",IF(NOT(ISNA(VLOOKUP(E650,E$1:E649,1,FALSE()))),"OLD",IF(AND(E650&lt;&gt;"",E650&lt;&gt;"!!!"),"NEW","")))</f>
        <v> </v>
      </c>
      <c r="G650" s="24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5" t="str">
        <f>IF(J650&lt;&gt;1,"",IF(I650="SBJ","CB","?"))</f>
        <v> </v>
      </c>
      <c r="I650" s="26" t="str">
        <f>IF(OR(E650="",E650="!!!",F650="NEW"),"",INDEX(B649:B$2,-1+SUMPRODUCT(MAX(ROW(E649:E$2)*(E650=E649:E$2)))))</f>
        <v> </v>
      </c>
      <c r="J650" s="26" t="str">
        <f>IF(OR(E650="",E650="!!!",F650="NEW"),"",COUNTBLANK(OFFSET(A$1,,,SUMPRODUCT(MAX(ROW(E$2:E650)*(E650=E$2:E650)))))-COUNTBLANK(OFFSET(A$1,,,SUMPRODUCT(MAX(ROW(E$1:E649)*(E2=E$1:E649))))))</f>
        <v> </v>
      </c>
      <c r="K650" s="26" t="str">
        <f>IF(OR(E650="",E650="!!!",F650="NEW"),"",INDEX(J$1:J649,SUMPRODUCT(MAX(ROW(E$1:E649)*(E650=E$1:E649)))))</f>
        <v> </v>
      </c>
      <c r="L650" s="27"/>
    </row>
    <row r="651" spans="1:12">
      <c r="A651" s="20"/>
    </row>
    <row r="652" spans="1:12">
      <c r="A652" s="20" t="s">
        <v>666</v>
      </c>
    </row>
    <row r="653" spans="1:12">
      <c r="A653" s="20" t="s">
        <v>667</v>
      </c>
      <c r="E653" s="22">
        <f>IF(D653="?OLD","!!!","")</f>
        <v/>
      </c>
      <c r="F653" s="23" t="str">
        <f>IF(OR(E653="",E653="!!!"),"",IF(NOT(ISNA(VLOOKUP(E653,E$1:E652,1,FALSE()))),"OLD",IF(AND(E653&lt;&gt;"",E653&lt;&gt;"!!!"),"NEW","")))</f>
        <v> </v>
      </c>
      <c r="G653" s="24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5" t="str">
        <f>IF(J653&lt;&gt;1,"",IF(I653="SBJ","CB","?"))</f>
        <v> </v>
      </c>
      <c r="I653" s="26" t="str">
        <f>IF(OR(E653="",E653="!!!",F653="NEW"),"",INDEX(B652:B$2,-1+SUMPRODUCT(MAX(ROW(E652:E$2)*(E653=E652:E$2)))))</f>
        <v> </v>
      </c>
      <c r="J653" s="26" t="str">
        <f>IF(OR(E653="",E653="!!!",F653="NEW"),"",COUNTBLANK(OFFSET(A$1,,,SUMPRODUCT(MAX(ROW(E$2:E653)*(E653=E$2:E653)))))-COUNTBLANK(OFFSET(A$1,,,SUMPRODUCT(MAX(ROW(E$1:E652)*(E2=E$1:E652))))))</f>
        <v> </v>
      </c>
      <c r="K653" s="26" t="str">
        <f>IF(OR(E653="",E653="!!!",F653="NEW"),"",INDEX(J$1:J652,SUMPRODUCT(MAX(ROW(E$1:E652)*(E653=E$1:E652)))))</f>
        <v> </v>
      </c>
      <c r="L653" s="27"/>
    </row>
    <row r="654" spans="1:12">
      <c r="A654" s="20" t="s">
        <v>386</v>
      </c>
      <c r="B654" s="21" t="s">
        <v>226</v>
      </c>
      <c r="E654" s="22">
        <f>IF(D654="?OLD","!!!","")</f>
        <v/>
      </c>
      <c r="F654" s="23" t="str">
        <f>IF(OR(E654="",E654="!!!"),"",IF(NOT(ISNA(VLOOKUP(E654,E$1:E653,1,FALSE()))),"OLD",IF(AND(E654&lt;&gt;"",E654&lt;&gt;"!!!"),"NEW","")))</f>
        <v> </v>
      </c>
      <c r="G654" s="24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5" t="str">
        <f>IF(J654&lt;&gt;1,"",IF(I654="SBJ","CB","?"))</f>
        <v> </v>
      </c>
      <c r="I654" s="26" t="str">
        <f>IF(OR(E654="",E654="!!!",F654="NEW"),"",INDEX(B653:B$2,-1+SUMPRODUCT(MAX(ROW(E653:E$2)*(E654=E653:E$2)))))</f>
        <v> </v>
      </c>
      <c r="J654" s="26" t="str">
        <f>IF(OR(E654="",E654="!!!",F654="NEW"),"",COUNTBLANK(OFFSET(A$1,,,SUMPRODUCT(MAX(ROW(E$2:E654)*(E654=E$2:E654)))))-COUNTBLANK(OFFSET(A$1,,,SUMPRODUCT(MAX(ROW(E$1:E653)*(E2=E$1:E653))))))</f>
        <v> </v>
      </c>
      <c r="K654" s="26" t="str">
        <f>IF(OR(E654="",E654="!!!",F654="NEW"),"",INDEX(J$1:J653,SUMPRODUCT(MAX(ROW(E$1:E653)*(E654=E$1:E653)))))</f>
        <v> </v>
      </c>
      <c r="L654" s="27"/>
    </row>
    <row r="655" spans="1:12">
      <c r="A655" s="20" t="s">
        <v>230</v>
      </c>
      <c r="E655" s="22">
        <f>IF(D655="?OLD","!!!","")</f>
        <v/>
      </c>
      <c r="F655" s="23" t="str">
        <f>IF(OR(E655="",E655="!!!"),"",IF(NOT(ISNA(VLOOKUP(E655,E$1:E654,1,FALSE()))),"OLD",IF(AND(E655&lt;&gt;"",E655&lt;&gt;"!!!"),"NEW","")))</f>
        <v> </v>
      </c>
      <c r="G655" s="24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5" t="str">
        <f>IF(J655&lt;&gt;1,"",IF(I655="SBJ","CB","?"))</f>
        <v> </v>
      </c>
      <c r="I655" s="26" t="str">
        <f>IF(OR(E655="",E655="!!!",F655="NEW"),"",INDEX(B654:B$2,-1+SUMPRODUCT(MAX(ROW(E654:E$2)*(E655=E654:E$2)))))</f>
        <v> </v>
      </c>
      <c r="J655" s="26" t="str">
        <f>IF(OR(E655="",E655="!!!",F655="NEW"),"",COUNTBLANK(OFFSET(A$1,,,SUMPRODUCT(MAX(ROW(E$2:E655)*(E655=E$2:E655)))))-COUNTBLANK(OFFSET(A$1,,,SUMPRODUCT(MAX(ROW(E$1:E654)*(E2=E$1:E654))))))</f>
        <v> </v>
      </c>
      <c r="K655" s="26" t="str">
        <f>IF(OR(E655="",E655="!!!",F655="NEW"),"",INDEX(J$1:J654,SUMPRODUCT(MAX(ROW(E$1:E654)*(E655=E$1:E654)))))</f>
        <v> </v>
      </c>
      <c r="L655" s="27"/>
    </row>
    <row r="656" spans="1:12">
      <c r="A656" s="20" t="s">
        <v>585</v>
      </c>
      <c r="E656" s="22">
        <f>IF(D656="?OLD","!!!","")</f>
        <v/>
      </c>
      <c r="F656" s="23" t="str">
        <f>IF(OR(E656="",E656="!!!"),"",IF(NOT(ISNA(VLOOKUP(E656,E$1:E655,1,FALSE()))),"OLD",IF(AND(E656&lt;&gt;"",E656&lt;&gt;"!!!"),"NEW","")))</f>
        <v> </v>
      </c>
      <c r="G656" s="24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5" t="str">
        <f>IF(J656&lt;&gt;1,"",IF(I656="SBJ","CB","?"))</f>
        <v> </v>
      </c>
      <c r="I656" s="26" t="str">
        <f>IF(OR(E656="",E656="!!!",F656="NEW"),"",INDEX(B655:B$2,-1+SUMPRODUCT(MAX(ROW(E655:E$2)*(E656=E655:E$2)))))</f>
        <v> </v>
      </c>
      <c r="J656" s="26" t="str">
        <f>IF(OR(E656="",E656="!!!",F656="NEW"),"",COUNTBLANK(OFFSET(A$1,,,SUMPRODUCT(MAX(ROW(E$2:E656)*(E656=E$2:E656)))))-COUNTBLANK(OFFSET(A$1,,,SUMPRODUCT(MAX(ROW(E$1:E655)*(E2=E$1:E655))))))</f>
        <v> </v>
      </c>
      <c r="K656" s="26" t="str">
        <f>IF(OR(E656="",E656="!!!",F656="NEW"),"",INDEX(J$1:J655,SUMPRODUCT(MAX(ROW(E$1:E655)*(E656=E$1:E655)))))</f>
        <v> </v>
      </c>
      <c r="L656" s="27"/>
    </row>
    <row r="657" spans="1:12">
      <c r="A657" s="20" t="s">
        <v>230</v>
      </c>
      <c r="E657" s="22">
        <f>IF(D657="?OLD","!!!","")</f>
        <v/>
      </c>
      <c r="F657" s="23" t="str">
        <f>IF(OR(E657="",E657="!!!"),"",IF(NOT(ISNA(VLOOKUP(E657,E$1:E656,1,FALSE()))),"OLD",IF(AND(E657&lt;&gt;"",E657&lt;&gt;"!!!"),"NEW","")))</f>
        <v> </v>
      </c>
      <c r="G657" s="24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5" t="str">
        <f>IF(J657&lt;&gt;1,"",IF(I657="SBJ","CB","?"))</f>
        <v> </v>
      </c>
      <c r="I657" s="26" t="str">
        <f>IF(OR(E657="",E657="!!!",F657="NEW"),"",INDEX(B656:B$2,-1+SUMPRODUCT(MAX(ROW(E656:E$2)*(E657=E656:E$2)))))</f>
        <v> </v>
      </c>
      <c r="J657" s="26" t="str">
        <f>IF(OR(E657="",E657="!!!",F657="NEW"),"",COUNTBLANK(OFFSET(A$1,,,SUMPRODUCT(MAX(ROW(E$2:E657)*(E657=E$2:E657)))))-COUNTBLANK(OFFSET(A$1,,,SUMPRODUCT(MAX(ROW(E$1:E656)*(E2=E$1:E656))))))</f>
        <v> </v>
      </c>
      <c r="K657" s="26" t="str">
        <f>IF(OR(E657="",E657="!!!",F657="NEW"),"",INDEX(J$1:J656,SUMPRODUCT(MAX(ROW(E$1:E656)*(E657=E$1:E656)))))</f>
        <v> </v>
      </c>
      <c r="L657" s="27"/>
    </row>
    <row r="658" spans="1:12">
      <c r="A658" s="20" t="s">
        <v>668</v>
      </c>
      <c r="E658" s="22">
        <f>IF(D658="?OLD","!!!","")</f>
        <v/>
      </c>
      <c r="F658" s="23" t="str">
        <f>IF(OR(E658="",E658="!!!"),"",IF(NOT(ISNA(VLOOKUP(E658,E$1:E657,1,FALSE()))),"OLD",IF(AND(E658&lt;&gt;"",E658&lt;&gt;"!!!"),"NEW","")))</f>
        <v> </v>
      </c>
      <c r="G658" s="24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5" t="str">
        <f>IF(J658&lt;&gt;1,"",IF(I658="SBJ","CB","?"))</f>
        <v> </v>
      </c>
      <c r="I658" s="26" t="str">
        <f>IF(OR(E658="",E658="!!!",F658="NEW"),"",INDEX(B657:B$2,-1+SUMPRODUCT(MAX(ROW(E657:E$2)*(E658=E657:E$2)))))</f>
        <v> </v>
      </c>
      <c r="J658" s="26" t="str">
        <f>IF(OR(E658="",E658="!!!",F658="NEW"),"",COUNTBLANK(OFFSET(A$1,,,SUMPRODUCT(MAX(ROW(E$2:E658)*(E658=E$2:E658)))))-COUNTBLANK(OFFSET(A$1,,,SUMPRODUCT(MAX(ROW(E$1:E657)*(E2=E$1:E657))))))</f>
        <v> </v>
      </c>
      <c r="K658" s="26" t="str">
        <f>IF(OR(E658="",E658="!!!",F658="NEW"),"",INDEX(J$1:J657,SUMPRODUCT(MAX(ROW(E$1:E657)*(E658=E$1:E657)))))</f>
        <v> </v>
      </c>
      <c r="L658" s="27"/>
    </row>
    <row r="659" spans="1:12">
      <c r="A659" s="20" t="s">
        <v>669</v>
      </c>
      <c r="E659" s="22">
        <f>IF(D659="?OLD","!!!","")</f>
        <v/>
      </c>
      <c r="F659" s="23" t="str">
        <f>IF(OR(E659="",E659="!!!"),"",IF(NOT(ISNA(VLOOKUP(E659,E$1:E658,1,FALSE()))),"OLD",IF(AND(E659&lt;&gt;"",E659&lt;&gt;"!!!"),"NEW","")))</f>
        <v> </v>
      </c>
      <c r="G659" s="24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5" t="str">
        <f>IF(J659&lt;&gt;1,"",IF(I659="SBJ","CB","?"))</f>
        <v> </v>
      </c>
      <c r="I659" s="26" t="str">
        <f>IF(OR(E659="",E659="!!!",F659="NEW"),"",INDEX(B658:B$2,-1+SUMPRODUCT(MAX(ROW(E658:E$2)*(E659=E658:E$2)))))</f>
        <v> </v>
      </c>
      <c r="J659" s="26" t="str">
        <f>IF(OR(E659="",E659="!!!",F659="NEW"),"",COUNTBLANK(OFFSET(A$1,,,SUMPRODUCT(MAX(ROW(E$2:E659)*(E659=E$2:E659)))))-COUNTBLANK(OFFSET(A$1,,,SUMPRODUCT(MAX(ROW(E$1:E658)*(E2=E$1:E658))))))</f>
        <v> </v>
      </c>
      <c r="K659" s="26" t="str">
        <f>IF(OR(E659="",E659="!!!",F659="NEW"),"",INDEX(J$1:J658,SUMPRODUCT(MAX(ROW(E$1:E658)*(E659=E$1:E658)))))</f>
        <v> </v>
      </c>
      <c r="L659" s="27"/>
    </row>
    <row r="660" spans="1:12">
      <c r="A660" s="20" t="s">
        <v>670</v>
      </c>
      <c r="B660" s="21" t="s">
        <v>340</v>
      </c>
      <c r="E660" s="22">
        <f>IF(D660="?OLD","!!!","")</f>
        <v/>
      </c>
      <c r="F660" s="23" t="str">
        <f>IF(OR(E660="",E660="!!!"),"",IF(NOT(ISNA(VLOOKUP(E660,E$1:E659,1,FALSE()))),"OLD",IF(AND(E660&lt;&gt;"",E660&lt;&gt;"!!!"),"NEW","")))</f>
        <v> </v>
      </c>
      <c r="G660" s="24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5" t="str">
        <f>IF(J660&lt;&gt;1,"",IF(I660="SBJ","CB","?"))</f>
        <v> </v>
      </c>
      <c r="I660" s="26" t="str">
        <f>IF(OR(E660="",E660="!!!",F660="NEW"),"",INDEX(B659:B$2,-1+SUMPRODUCT(MAX(ROW(E659:E$2)*(E660=E659:E$2)))))</f>
        <v> </v>
      </c>
      <c r="J660" s="26" t="str">
        <f>IF(OR(E660="",E660="!!!",F660="NEW"),"",COUNTBLANK(OFFSET(A$1,,,SUMPRODUCT(MAX(ROW(E$2:E660)*(E660=E$2:E660)))))-COUNTBLANK(OFFSET(A$1,,,SUMPRODUCT(MAX(ROW(E$1:E659)*(E2=E$1:E659))))))</f>
        <v> </v>
      </c>
      <c r="K660" s="26" t="str">
        <f>IF(OR(E660="",E660="!!!",F660="NEW"),"",INDEX(J$1:J659,SUMPRODUCT(MAX(ROW(E$1:E659)*(E660=E$1:E659)))))</f>
        <v> </v>
      </c>
      <c r="L660" s="27"/>
    </row>
    <row r="661" spans="1:12">
      <c r="A661" s="20" t="s">
        <v>346</v>
      </c>
      <c r="E661" s="22">
        <f>IF(D661="?OLD","!!!","")</f>
        <v/>
      </c>
      <c r="F661" s="23" t="str">
        <f>IF(OR(E661="",E661="!!!"),"",IF(NOT(ISNA(VLOOKUP(E661,E$1:E660,1,FALSE()))),"OLD",IF(AND(E661&lt;&gt;"",E661&lt;&gt;"!!!"),"NEW","")))</f>
        <v> </v>
      </c>
      <c r="G661" s="24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5" t="str">
        <f>IF(J661&lt;&gt;1,"",IF(I661="SBJ","CB","?"))</f>
        <v> </v>
      </c>
      <c r="I661" s="26" t="str">
        <f>IF(OR(E661="",E661="!!!",F661="NEW"),"",INDEX(B660:B$2,-1+SUMPRODUCT(MAX(ROW(E660:E$2)*(E661=E660:E$2)))))</f>
        <v> </v>
      </c>
      <c r="J661" s="26" t="str">
        <f>IF(OR(E661="",E661="!!!",F661="NEW"),"",COUNTBLANK(OFFSET(A$1,,,SUMPRODUCT(MAX(ROW(E$2:E661)*(E661=E$2:E661)))))-COUNTBLANK(OFFSET(A$1,,,SUMPRODUCT(MAX(ROW(E$1:E660)*(E2=E$1:E660))))))</f>
        <v> </v>
      </c>
      <c r="K661" s="26" t="str">
        <f>IF(OR(E661="",E661="!!!",F661="NEW"),"",INDEX(J$1:J660,SUMPRODUCT(MAX(ROW(E$1:E660)*(E661=E$1:E660)))))</f>
        <v> </v>
      </c>
      <c r="L661" s="27"/>
    </row>
    <row r="662" spans="1:12">
      <c r="A662" s="20" t="s">
        <v>671</v>
      </c>
      <c r="B662" s="21" t="s">
        <v>214</v>
      </c>
      <c r="C662" s="21" t="s">
        <v>215</v>
      </c>
      <c r="D662" s="21" t="s">
        <v>216</v>
      </c>
      <c r="E662" s="22">
        <f>IF(D662="?OLD","!!!","")</f>
        <v/>
      </c>
      <c r="F662" s="23" t="str">
        <f>IF(OR(E662="",E662="!!!"),"",IF(NOT(ISNA(VLOOKUP(E662,E$1:E661,1,FALSE()))),"OLD",IF(AND(E662&lt;&gt;"",E662&lt;&gt;"!!!"),"NEW","")))</f>
        <v> </v>
      </c>
      <c r="G662" s="24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5" t="str">
        <f>IF(J662&lt;&gt;1,"",IF(I662="SBJ","CB","?"))</f>
        <v> </v>
      </c>
      <c r="I662" s="26" t="str">
        <f>IF(OR(E662="",E662="!!!",F662="NEW"),"",INDEX(B661:B$2,-1+SUMPRODUCT(MAX(ROW(E661:E$2)*(E662=E661:E$2)))))</f>
        <v> </v>
      </c>
      <c r="J662" s="26" t="str">
        <f>IF(OR(E662="",E662="!!!",F662="NEW"),"",COUNTBLANK(OFFSET(A$1,,,SUMPRODUCT(MAX(ROW(E$2:E662)*(E662=E$2:E662)))))-COUNTBLANK(OFFSET(A$1,,,SUMPRODUCT(MAX(ROW(E$1:E661)*(E2=E$1:E661))))))</f>
        <v> </v>
      </c>
      <c r="K662" s="26" t="str">
        <f>IF(OR(E662="",E662="!!!",F662="NEW"),"",INDEX(J$1:J661,SUMPRODUCT(MAX(ROW(E$1:E661)*(E662=E$1:E661)))))</f>
        <v> </v>
      </c>
      <c r="L662" s="27"/>
    </row>
    <row r="663" spans="1:12">
      <c r="A663" s="20" t="s">
        <v>636</v>
      </c>
      <c r="E663" s="22">
        <f>IF(D663="?OLD","!!!","")</f>
        <v/>
      </c>
      <c r="F663" s="23" t="str">
        <f>IF(OR(E663="",E663="!!!"),"",IF(NOT(ISNA(VLOOKUP(E663,E$1:E662,1,FALSE()))),"OLD",IF(AND(E663&lt;&gt;"",E663&lt;&gt;"!!!"),"NEW","")))</f>
        <v> </v>
      </c>
      <c r="G663" s="24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5" t="str">
        <f>IF(J663&lt;&gt;1,"",IF(I663="SBJ","CB","?"))</f>
        <v> </v>
      </c>
      <c r="I663" s="26" t="str">
        <f>IF(OR(E663="",E663="!!!",F663="NEW"),"",INDEX(B662:B$2,-1+SUMPRODUCT(MAX(ROW(E662:E$2)*(E663=E662:E$2)))))</f>
        <v> </v>
      </c>
      <c r="J663" s="26" t="str">
        <f>IF(OR(E663="",E663="!!!",F663="NEW"),"",COUNTBLANK(OFFSET(A$1,,,SUMPRODUCT(MAX(ROW(E$2:E663)*(E663=E$2:E663)))))-COUNTBLANK(OFFSET(A$1,,,SUMPRODUCT(MAX(ROW(E$1:E662)*(E2=E$1:E662))))))</f>
        <v> </v>
      </c>
      <c r="K663" s="26" t="str">
        <f>IF(OR(E663="",E663="!!!",F663="NEW"),"",INDEX(J$1:J662,SUMPRODUCT(MAX(ROW(E$1:E662)*(E663=E$1:E662)))))</f>
        <v> </v>
      </c>
      <c r="L663" s="27"/>
    </row>
    <row r="664" spans="1:12">
      <c r="A664" s="20" t="s">
        <v>672</v>
      </c>
      <c r="E664" s="22">
        <f>IF(D664="?OLD","!!!","")</f>
        <v/>
      </c>
      <c r="F664" s="23" t="str">
        <f>IF(OR(E664="",E664="!!!"),"",IF(NOT(ISNA(VLOOKUP(E664,E$1:E663,1,FALSE()))),"OLD",IF(AND(E664&lt;&gt;"",E664&lt;&gt;"!!!"),"NEW","")))</f>
        <v> </v>
      </c>
      <c r="G664" s="24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5" t="str">
        <f>IF(J664&lt;&gt;1,"",IF(I664="SBJ","CB","?"))</f>
        <v> </v>
      </c>
      <c r="I664" s="26" t="str">
        <f>IF(OR(E664="",E664="!!!",F664="NEW"),"",INDEX(B663:B$2,-1+SUMPRODUCT(MAX(ROW(E663:E$2)*(E664=E663:E$2)))))</f>
        <v> </v>
      </c>
      <c r="J664" s="26" t="str">
        <f>IF(OR(E664="",E664="!!!",F664="NEW"),"",COUNTBLANK(OFFSET(A$1,,,SUMPRODUCT(MAX(ROW(E$2:E664)*(E664=E$2:E664)))))-COUNTBLANK(OFFSET(A$1,,,SUMPRODUCT(MAX(ROW(E$1:E663)*(E2=E$1:E663))))))</f>
        <v> </v>
      </c>
      <c r="K664" s="26" t="str">
        <f>IF(OR(E664="",E664="!!!",F664="NEW"),"",INDEX(J$1:J663,SUMPRODUCT(MAX(ROW(E$1:E663)*(E664=E$1:E663)))))</f>
        <v> </v>
      </c>
      <c r="L664" s="27"/>
    </row>
    <row r="665" spans="1:12">
      <c r="A665" s="20" t="s">
        <v>645</v>
      </c>
      <c r="E665" s="22">
        <f>IF(D665="?OLD","!!!","")</f>
        <v/>
      </c>
      <c r="F665" s="23" t="str">
        <f>IF(OR(E665="",E665="!!!"),"",IF(NOT(ISNA(VLOOKUP(E665,E$1:E664,1,FALSE()))),"OLD",IF(AND(E665&lt;&gt;"",E665&lt;&gt;"!!!"),"NEW","")))</f>
        <v> </v>
      </c>
      <c r="G665" s="24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5" t="str">
        <f>IF(J665&lt;&gt;1,"",IF(I665="SBJ","CB","?"))</f>
        <v> </v>
      </c>
      <c r="I665" s="26" t="str">
        <f>IF(OR(E665="",E665="!!!",F665="NEW"),"",INDEX(B664:B$2,-1+SUMPRODUCT(MAX(ROW(E664:E$2)*(E665=E664:E$2)))))</f>
        <v> </v>
      </c>
      <c r="J665" s="26" t="str">
        <f>IF(OR(E665="",E665="!!!",F665="NEW"),"",COUNTBLANK(OFFSET(A$1,,,SUMPRODUCT(MAX(ROW(E$2:E665)*(E665=E$2:E665)))))-COUNTBLANK(OFFSET(A$1,,,SUMPRODUCT(MAX(ROW(E$1:E664)*(E2=E$1:E664))))))</f>
        <v> </v>
      </c>
      <c r="K665" s="26" t="str">
        <f>IF(OR(E665="",E665="!!!",F665="NEW"),"",INDEX(J$1:J664,SUMPRODUCT(MAX(ROW(E$1:E664)*(E665=E$1:E664)))))</f>
        <v> </v>
      </c>
      <c r="L665" s="27"/>
    </row>
    <row r="666" spans="1:12">
      <c r="A666" s="20" t="s">
        <v>673</v>
      </c>
      <c r="E666" s="22">
        <f>IF(D666="?OLD","!!!","")</f>
        <v/>
      </c>
      <c r="F666" s="23" t="str">
        <f>IF(OR(E666="",E666="!!!"),"",IF(NOT(ISNA(VLOOKUP(E666,E$1:E665,1,FALSE()))),"OLD",IF(AND(E666&lt;&gt;"",E666&lt;&gt;"!!!"),"NEW","")))</f>
        <v> </v>
      </c>
      <c r="G666" s="24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5" t="str">
        <f>IF(J666&lt;&gt;1,"",IF(I666="SBJ","CB","?"))</f>
        <v> </v>
      </c>
      <c r="I666" s="26" t="str">
        <f>IF(OR(E666="",E666="!!!",F666="NEW"),"",INDEX(B665:B$2,-1+SUMPRODUCT(MAX(ROW(E665:E$2)*(E666=E665:E$2)))))</f>
        <v> </v>
      </c>
      <c r="J666" s="26" t="str">
        <f>IF(OR(E666="",E666="!!!",F666="NEW"),"",COUNTBLANK(OFFSET(A$1,,,SUMPRODUCT(MAX(ROW(E$2:E666)*(E666=E$2:E666)))))-COUNTBLANK(OFFSET(A$1,,,SUMPRODUCT(MAX(ROW(E$1:E665)*(E2=E$1:E665))))))</f>
        <v> </v>
      </c>
      <c r="K666" s="26" t="str">
        <f>IF(OR(E666="",E666="!!!",F666="NEW"),"",INDEX(J$1:J665,SUMPRODUCT(MAX(ROW(E$1:E665)*(E666=E$1:E665)))))</f>
        <v> </v>
      </c>
      <c r="L666" s="27"/>
    </row>
    <row r="667" spans="1:12">
      <c r="A667" s="20" t="s">
        <v>674</v>
      </c>
      <c r="E667" s="22">
        <f>IF(D667="?OLD","!!!","")</f>
        <v/>
      </c>
      <c r="F667" s="23" t="str">
        <f>IF(OR(E667="",E667="!!!"),"",IF(NOT(ISNA(VLOOKUP(E667,E$1:E666,1,FALSE()))),"OLD",IF(AND(E667&lt;&gt;"",E667&lt;&gt;"!!!"),"NEW","")))</f>
        <v> </v>
      </c>
      <c r="G667" s="24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5" t="str">
        <f>IF(J667&lt;&gt;1,"",IF(I667="SBJ","CB","?"))</f>
        <v> </v>
      </c>
      <c r="I667" s="26" t="str">
        <f>IF(OR(E667="",E667="!!!",F667="NEW"),"",INDEX(B666:B$2,-1+SUMPRODUCT(MAX(ROW(E666:E$2)*(E667=E666:E$2)))))</f>
        <v> </v>
      </c>
      <c r="J667" s="26" t="str">
        <f>IF(OR(E667="",E667="!!!",F667="NEW"),"",COUNTBLANK(OFFSET(A$1,,,SUMPRODUCT(MAX(ROW(E$2:E667)*(E667=E$2:E667)))))-COUNTBLANK(OFFSET(A$1,,,SUMPRODUCT(MAX(ROW(E$1:E666)*(E2=E$1:E666))))))</f>
        <v> </v>
      </c>
      <c r="K667" s="26" t="str">
        <f>IF(OR(E667="",E667="!!!",F667="NEW"),"",INDEX(J$1:J666,SUMPRODUCT(MAX(ROW(E$1:E666)*(E667=E$1:E666)))))</f>
        <v> </v>
      </c>
      <c r="L667" s="27"/>
    </row>
    <row r="668" spans="1:12">
      <c r="A668" s="20" t="s">
        <v>675</v>
      </c>
      <c r="E668" s="22">
        <f>IF(D668="?OLD","!!!","")</f>
        <v/>
      </c>
      <c r="F668" s="23" t="str">
        <f>IF(OR(E668="",E668="!!!"),"",IF(NOT(ISNA(VLOOKUP(E668,E$1:E667,1,FALSE()))),"OLD",IF(AND(E668&lt;&gt;"",E668&lt;&gt;"!!!"),"NEW","")))</f>
        <v> </v>
      </c>
      <c r="G668" s="24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5" t="str">
        <f>IF(J668&lt;&gt;1,"",IF(I668="SBJ","CB","?"))</f>
        <v> </v>
      </c>
      <c r="I668" s="26" t="str">
        <f>IF(OR(E668="",E668="!!!",F668="NEW"),"",INDEX(B667:B$2,-1+SUMPRODUCT(MAX(ROW(E667:E$2)*(E668=E667:E$2)))))</f>
        <v> </v>
      </c>
      <c r="J668" s="26" t="str">
        <f>IF(OR(E668="",E668="!!!",F668="NEW"),"",COUNTBLANK(OFFSET(A$1,,,SUMPRODUCT(MAX(ROW(E$2:E668)*(E668=E$2:E668)))))-COUNTBLANK(OFFSET(A$1,,,SUMPRODUCT(MAX(ROW(E$1:E667)*(E2=E$1:E667))))))</f>
        <v> </v>
      </c>
      <c r="K668" s="26" t="str">
        <f>IF(OR(E668="",E668="!!!",F668="NEW"),"",INDEX(J$1:J667,SUMPRODUCT(MAX(ROW(E$1:E667)*(E668=E$1:E667)))))</f>
        <v> </v>
      </c>
      <c r="L668" s="27"/>
    </row>
    <row r="669" spans="1:12">
      <c r="A669" s="20" t="s">
        <v>676</v>
      </c>
      <c r="E669" s="22">
        <f>IF(D669="?OLD","!!!","")</f>
        <v/>
      </c>
      <c r="F669" s="23" t="str">
        <f>IF(OR(E669="",E669="!!!"),"",IF(NOT(ISNA(VLOOKUP(E669,E$1:E668,1,FALSE()))),"OLD",IF(AND(E669&lt;&gt;"",E669&lt;&gt;"!!!"),"NEW","")))</f>
        <v> </v>
      </c>
      <c r="G669" s="24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5" t="str">
        <f>IF(J669&lt;&gt;1,"",IF(I669="SBJ","CB","?"))</f>
        <v> </v>
      </c>
      <c r="I669" s="26" t="str">
        <f>IF(OR(E669="",E669="!!!",F669="NEW"),"",INDEX(B668:B$2,-1+SUMPRODUCT(MAX(ROW(E668:E$2)*(E669=E668:E$2)))))</f>
        <v> </v>
      </c>
      <c r="J669" s="26" t="str">
        <f>IF(OR(E669="",E669="!!!",F669="NEW"),"",COUNTBLANK(OFFSET(A$1,,,SUMPRODUCT(MAX(ROW(E$2:E669)*(E669=E$2:E669)))))-COUNTBLANK(OFFSET(A$1,,,SUMPRODUCT(MAX(ROW(E$1:E668)*(E2=E$1:E668))))))</f>
        <v> </v>
      </c>
      <c r="K669" s="26" t="str">
        <f>IF(OR(E669="",E669="!!!",F669="NEW"),"",INDEX(J$1:J668,SUMPRODUCT(MAX(ROW(E$1:E668)*(E669=E$1:E668)))))</f>
        <v> </v>
      </c>
      <c r="L669" s="27"/>
    </row>
    <row r="670" spans="1:12">
      <c r="A670" s="20" t="s">
        <v>530</v>
      </c>
      <c r="E670" s="22">
        <f>IF(D670="?OLD","!!!","")</f>
        <v/>
      </c>
      <c r="F670" s="23" t="str">
        <f>IF(OR(E670="",E670="!!!"),"",IF(NOT(ISNA(VLOOKUP(E670,E$1:E669,1,FALSE()))),"OLD",IF(AND(E670&lt;&gt;"",E670&lt;&gt;"!!!"),"NEW","")))</f>
        <v> </v>
      </c>
      <c r="G670" s="24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5" t="str">
        <f>IF(J670&lt;&gt;1,"",IF(I670="SBJ","CB","?"))</f>
        <v> </v>
      </c>
      <c r="I670" s="26" t="str">
        <f>IF(OR(E670="",E670="!!!",F670="NEW"),"",INDEX(B669:B$2,-1+SUMPRODUCT(MAX(ROW(E669:E$2)*(E670=E669:E$2)))))</f>
        <v> </v>
      </c>
      <c r="J670" s="26" t="str">
        <f>IF(OR(E670="",E670="!!!",F670="NEW"),"",COUNTBLANK(OFFSET(A$1,,,SUMPRODUCT(MAX(ROW(E$2:E670)*(E670=E$2:E670)))))-COUNTBLANK(OFFSET(A$1,,,SUMPRODUCT(MAX(ROW(E$1:E669)*(E2=E$1:E669))))))</f>
        <v> </v>
      </c>
      <c r="K670" s="26" t="str">
        <f>IF(OR(E670="",E670="!!!",F670="NEW"),"",INDEX(J$1:J669,SUMPRODUCT(MAX(ROW(E$1:E669)*(E670=E$1:E669)))))</f>
        <v> </v>
      </c>
      <c r="L670" s="27"/>
    </row>
    <row r="671" spans="1:12">
      <c r="A671" s="20" t="s">
        <v>677</v>
      </c>
      <c r="E671" s="22">
        <f>IF(D671="?OLD","!!!","")</f>
        <v/>
      </c>
      <c r="F671" s="23" t="str">
        <f>IF(OR(E671="",E671="!!!"),"",IF(NOT(ISNA(VLOOKUP(E671,E$1:E670,1,FALSE()))),"OLD",IF(AND(E671&lt;&gt;"",E671&lt;&gt;"!!!"),"NEW","")))</f>
        <v> </v>
      </c>
      <c r="G671" s="24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5" t="str">
        <f>IF(J671&lt;&gt;1,"",IF(I671="SBJ","CB","?"))</f>
        <v> </v>
      </c>
      <c r="I671" s="26" t="str">
        <f>IF(OR(E671="",E671="!!!",F671="NEW"),"",INDEX(B670:B$2,-1+SUMPRODUCT(MAX(ROW(E670:E$2)*(E671=E670:E$2)))))</f>
        <v> </v>
      </c>
      <c r="J671" s="26" t="str">
        <f>IF(OR(E671="",E671="!!!",F671="NEW"),"",COUNTBLANK(OFFSET(A$1,,,SUMPRODUCT(MAX(ROW(E$2:E671)*(E671=E$2:E671)))))-COUNTBLANK(OFFSET(A$1,,,SUMPRODUCT(MAX(ROW(E$1:E670)*(E2=E$1:E670))))))</f>
        <v> </v>
      </c>
      <c r="K671" s="26" t="str">
        <f>IF(OR(E671="",E671="!!!",F671="NEW"),"",INDEX(J$1:J670,SUMPRODUCT(MAX(ROW(E$1:E670)*(E671=E$1:E670)))))</f>
        <v> </v>
      </c>
      <c r="L671" s="27"/>
    </row>
    <row r="672" spans="1:12">
      <c r="A672" s="20" t="s">
        <v>678</v>
      </c>
      <c r="E672" s="22">
        <f>IF(D672="?OLD","!!!","")</f>
        <v/>
      </c>
      <c r="F672" s="23" t="str">
        <f>IF(OR(E672="",E672="!!!"),"",IF(NOT(ISNA(VLOOKUP(E672,E$1:E671,1,FALSE()))),"OLD",IF(AND(E672&lt;&gt;"",E672&lt;&gt;"!!!"),"NEW","")))</f>
        <v> </v>
      </c>
      <c r="G672" s="24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5" t="str">
        <f>IF(J672&lt;&gt;1,"",IF(I672="SBJ","CB","?"))</f>
        <v> </v>
      </c>
      <c r="I672" s="26" t="str">
        <f>IF(OR(E672="",E672="!!!",F672="NEW"),"",INDEX(B671:B$2,-1+SUMPRODUCT(MAX(ROW(E671:E$2)*(E672=E671:E$2)))))</f>
        <v> </v>
      </c>
      <c r="J672" s="26" t="str">
        <f>IF(OR(E672="",E672="!!!",F672="NEW"),"",COUNTBLANK(OFFSET(A$1,,,SUMPRODUCT(MAX(ROW(E$2:E672)*(E672=E$2:E672)))))-COUNTBLANK(OFFSET(A$1,,,SUMPRODUCT(MAX(ROW(E$1:E671)*(E2=E$1:E671))))))</f>
        <v> </v>
      </c>
      <c r="K672" s="26" t="str">
        <f>IF(OR(E672="",E672="!!!",F672="NEW"),"",INDEX(J$1:J671,SUMPRODUCT(MAX(ROW(E$1:E671)*(E672=E$1:E671)))))</f>
        <v> </v>
      </c>
      <c r="L672" s="27"/>
    </row>
    <row r="673" spans="1:12">
      <c r="A673" s="20" t="s">
        <v>541</v>
      </c>
      <c r="E673" s="22">
        <f>IF(D673="?OLD","!!!","")</f>
        <v/>
      </c>
      <c r="F673" s="23" t="str">
        <f>IF(OR(E673="",E673="!!!"),"",IF(NOT(ISNA(VLOOKUP(E673,E$1:E672,1,FALSE()))),"OLD",IF(AND(E673&lt;&gt;"",E673&lt;&gt;"!!!"),"NEW","")))</f>
        <v> </v>
      </c>
      <c r="G673" s="24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5" t="str">
        <f>IF(J673&lt;&gt;1,"",IF(I673="SBJ","CB","?"))</f>
        <v> </v>
      </c>
      <c r="I673" s="26" t="str">
        <f>IF(OR(E673="",E673="!!!",F673="NEW"),"",INDEX(B672:B$2,-1+SUMPRODUCT(MAX(ROW(E672:E$2)*(E673=E672:E$2)))))</f>
        <v> </v>
      </c>
      <c r="J673" s="26" t="str">
        <f>IF(OR(E673="",E673="!!!",F673="NEW"),"",COUNTBLANK(OFFSET(A$1,,,SUMPRODUCT(MAX(ROW(E$2:E673)*(E673=E$2:E673)))))-COUNTBLANK(OFFSET(A$1,,,SUMPRODUCT(MAX(ROW(E$1:E672)*(E2=E$1:E672))))))</f>
        <v> </v>
      </c>
      <c r="K673" s="26" t="str">
        <f>IF(OR(E673="",E673="!!!",F673="NEW"),"",INDEX(J$1:J672,SUMPRODUCT(MAX(ROW(E$1:E672)*(E673=E$1:E672)))))</f>
        <v> </v>
      </c>
      <c r="L673" s="27"/>
    </row>
    <row r="674" spans="1:12">
      <c r="A674" s="20" t="s">
        <v>237</v>
      </c>
      <c r="E674" s="22">
        <f>IF(D674="?OLD","!!!","")</f>
        <v/>
      </c>
      <c r="F674" s="23" t="str">
        <f>IF(OR(E674="",E674="!!!"),"",IF(NOT(ISNA(VLOOKUP(E674,E$1:E673,1,FALSE()))),"OLD",IF(AND(E674&lt;&gt;"",E674&lt;&gt;"!!!"),"NEW","")))</f>
        <v> </v>
      </c>
      <c r="G674" s="24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5" t="str">
        <f>IF(J674&lt;&gt;1,"",IF(I674="SBJ","CB","?"))</f>
        <v> </v>
      </c>
      <c r="I674" s="26" t="str">
        <f>IF(OR(E674="",E674="!!!",F674="NEW"),"",INDEX(B673:B$2,-1+SUMPRODUCT(MAX(ROW(E673:E$2)*(E674=E673:E$2)))))</f>
        <v> </v>
      </c>
      <c r="J674" s="26" t="str">
        <f>IF(OR(E674="",E674="!!!",F674="NEW"),"",COUNTBLANK(OFFSET(A$1,,,SUMPRODUCT(MAX(ROW(E$2:E674)*(E674=E$2:E674)))))-COUNTBLANK(OFFSET(A$1,,,SUMPRODUCT(MAX(ROW(E$1:E673)*(E2=E$1:E673))))))</f>
        <v> </v>
      </c>
      <c r="K674" s="26" t="str">
        <f>IF(OR(E674="",E674="!!!",F674="NEW"),"",INDEX(J$1:J673,SUMPRODUCT(MAX(ROW(E$1:E673)*(E674=E$1:E673)))))</f>
        <v> </v>
      </c>
      <c r="L674" s="27"/>
    </row>
    <row r="675" spans="1:12">
      <c r="A675" s="20"/>
    </row>
    <row r="676" spans="1:12">
      <c r="A676" s="20" t="s">
        <v>679</v>
      </c>
    </row>
    <row r="677" spans="1:12">
      <c r="A677" s="20" t="s">
        <v>680</v>
      </c>
      <c r="E677" s="22">
        <f>IF(D677="?OLD","!!!","")</f>
        <v/>
      </c>
      <c r="F677" s="23" t="str">
        <f>IF(OR(E677="",E677="!!!"),"",IF(NOT(ISNA(VLOOKUP(E677,E$1:E676,1,FALSE()))),"OLD",IF(AND(E677&lt;&gt;"",E677&lt;&gt;"!!!"),"NEW","")))</f>
        <v> </v>
      </c>
      <c r="G677" s="24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5" t="str">
        <f>IF(J677&lt;&gt;1,"",IF(I677="SBJ","CB","?"))</f>
        <v> </v>
      </c>
      <c r="I677" s="26" t="str">
        <f>IF(OR(E677="",E677="!!!",F677="NEW"),"",INDEX(B676:B$2,-1+SUMPRODUCT(MAX(ROW(E676:E$2)*(E677=E676:E$2)))))</f>
        <v> </v>
      </c>
      <c r="J677" s="26" t="str">
        <f>IF(OR(E677="",E677="!!!",F677="NEW"),"",COUNTBLANK(OFFSET(A$1,,,SUMPRODUCT(MAX(ROW(E$2:E677)*(E677=E$2:E677)))))-COUNTBLANK(OFFSET(A$1,,,SUMPRODUCT(MAX(ROW(E$1:E676)*(E2=E$1:E676))))))</f>
        <v> </v>
      </c>
      <c r="K677" s="26" t="str">
        <f>IF(OR(E677="",E677="!!!",F677="NEW"),"",INDEX(J$1:J676,SUMPRODUCT(MAX(ROW(E$1:E676)*(E677=E$1:E676)))))</f>
        <v> </v>
      </c>
      <c r="L677" s="27"/>
    </row>
    <row r="678" spans="1:12">
      <c r="A678" s="20" t="s">
        <v>269</v>
      </c>
      <c r="E678" s="22">
        <f>IF(D678="?OLD","!!!","")</f>
        <v/>
      </c>
      <c r="F678" s="23" t="str">
        <f>IF(OR(E678="",E678="!!!"),"",IF(NOT(ISNA(VLOOKUP(E678,E$1:E677,1,FALSE()))),"OLD",IF(AND(E678&lt;&gt;"",E678&lt;&gt;"!!!"),"NEW","")))</f>
        <v> </v>
      </c>
      <c r="G678" s="24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5" t="str">
        <f>IF(J678&lt;&gt;1,"",IF(I678="SBJ","CB","?"))</f>
        <v> </v>
      </c>
      <c r="I678" s="26" t="str">
        <f>IF(OR(E678="",E678="!!!",F678="NEW"),"",INDEX(B677:B$2,-1+SUMPRODUCT(MAX(ROW(E677:E$2)*(E678=E677:E$2)))))</f>
        <v> </v>
      </c>
      <c r="J678" s="26" t="str">
        <f>IF(OR(E678="",E678="!!!",F678="NEW"),"",COUNTBLANK(OFFSET(A$1,,,SUMPRODUCT(MAX(ROW(E$2:E678)*(E678=E$2:E678)))))-COUNTBLANK(OFFSET(A$1,,,SUMPRODUCT(MAX(ROW(E$1:E677)*(E2=E$1:E677))))))</f>
        <v> </v>
      </c>
      <c r="K678" s="26" t="str">
        <f>IF(OR(E678="",E678="!!!",F678="NEW"),"",INDEX(J$1:J677,SUMPRODUCT(MAX(ROW(E$1:E677)*(E678=E$1:E677)))))</f>
        <v> </v>
      </c>
      <c r="L678" s="27"/>
    </row>
    <row r="679" spans="1:12">
      <c r="A679" s="20" t="s">
        <v>681</v>
      </c>
      <c r="E679" s="22">
        <f>IF(D679="?OLD","!!!","")</f>
        <v/>
      </c>
      <c r="F679" s="23" t="str">
        <f>IF(OR(E679="",E679="!!!"),"",IF(NOT(ISNA(VLOOKUP(E679,E$1:E678,1,FALSE()))),"OLD",IF(AND(E679&lt;&gt;"",E679&lt;&gt;"!!!"),"NEW","")))</f>
        <v> </v>
      </c>
      <c r="G679" s="24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5" t="str">
        <f>IF(J679&lt;&gt;1,"",IF(I679="SBJ","CB","?"))</f>
        <v> </v>
      </c>
      <c r="I679" s="26" t="str">
        <f>IF(OR(E679="",E679="!!!",F679="NEW"),"",INDEX(B678:B$2,-1+SUMPRODUCT(MAX(ROW(E678:E$2)*(E679=E678:E$2)))))</f>
        <v> </v>
      </c>
      <c r="J679" s="26" t="str">
        <f>IF(OR(E679="",E679="!!!",F679="NEW"),"",COUNTBLANK(OFFSET(A$1,,,SUMPRODUCT(MAX(ROW(E$2:E679)*(E679=E$2:E679)))))-COUNTBLANK(OFFSET(A$1,,,SUMPRODUCT(MAX(ROW(E$1:E678)*(E2=E$1:E678))))))</f>
        <v> </v>
      </c>
      <c r="K679" s="26" t="str">
        <f>IF(OR(E679="",E679="!!!",F679="NEW"),"",INDEX(J$1:J678,SUMPRODUCT(MAX(ROW(E$1:E678)*(E679=E$1:E678)))))</f>
        <v> </v>
      </c>
      <c r="L679" s="27"/>
    </row>
    <row r="680" spans="1:12">
      <c r="A680" s="20" t="s">
        <v>230</v>
      </c>
      <c r="E680" s="22">
        <f>IF(D680="?OLD","!!!","")</f>
        <v/>
      </c>
      <c r="F680" s="23" t="str">
        <f>IF(OR(E680="",E680="!!!"),"",IF(NOT(ISNA(VLOOKUP(E680,E$1:E679,1,FALSE()))),"OLD",IF(AND(E680&lt;&gt;"",E680&lt;&gt;"!!!"),"NEW","")))</f>
        <v> </v>
      </c>
      <c r="G680" s="24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5" t="str">
        <f>IF(J680&lt;&gt;1,"",IF(I680="SBJ","CB","?"))</f>
        <v> </v>
      </c>
      <c r="I680" s="26" t="str">
        <f>IF(OR(E680="",E680="!!!",F680="NEW"),"",INDEX(B679:B$2,-1+SUMPRODUCT(MAX(ROW(E679:E$2)*(E680=E679:E$2)))))</f>
        <v> </v>
      </c>
      <c r="J680" s="26" t="str">
        <f>IF(OR(E680="",E680="!!!",F680="NEW"),"",COUNTBLANK(OFFSET(A$1,,,SUMPRODUCT(MAX(ROW(E$2:E680)*(E680=E$2:E680)))))-COUNTBLANK(OFFSET(A$1,,,SUMPRODUCT(MAX(ROW(E$1:E679)*(E2=E$1:E679))))))</f>
        <v> </v>
      </c>
      <c r="K680" s="26" t="str">
        <f>IF(OR(E680="",E680="!!!",F680="NEW"),"",INDEX(J$1:J679,SUMPRODUCT(MAX(ROW(E$1:E679)*(E680=E$1:E679)))))</f>
        <v> </v>
      </c>
      <c r="L680" s="27"/>
    </row>
    <row r="681" spans="1:12">
      <c r="A681" s="20" t="s">
        <v>482</v>
      </c>
      <c r="B681" s="21" t="s">
        <v>226</v>
      </c>
      <c r="C681" s="21" t="s">
        <v>227</v>
      </c>
      <c r="D681" s="21" t="s">
        <v>216</v>
      </c>
      <c r="E681" s="22">
        <f>IF(D681="?OLD","!!!","")</f>
        <v/>
      </c>
      <c r="F681" s="23" t="str">
        <f>IF(OR(E681="",E681="!!!"),"",IF(NOT(ISNA(VLOOKUP(E681,E$1:E680,1,FALSE()))),"OLD",IF(AND(E681&lt;&gt;"",E681&lt;&gt;"!!!"),"NEW","")))</f>
        <v> </v>
      </c>
      <c r="G681" s="24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5" t="str">
        <f>IF(J681&lt;&gt;1,"",IF(I681="SBJ","CB","?"))</f>
        <v> </v>
      </c>
      <c r="I681" s="26" t="str">
        <f>IF(OR(E681="",E681="!!!",F681="NEW"),"",INDEX(B680:B$2,-1+SUMPRODUCT(MAX(ROW(E680:E$2)*(E681=E680:E$2)))))</f>
        <v> </v>
      </c>
      <c r="J681" s="26" t="str">
        <f>IF(OR(E681="",E681="!!!",F681="NEW"),"",COUNTBLANK(OFFSET(A$1,,,SUMPRODUCT(MAX(ROW(E$2:E681)*(E681=E$2:E681)))))-COUNTBLANK(OFFSET(A$1,,,SUMPRODUCT(MAX(ROW(E$1:E680)*(E2=E$1:E680))))))</f>
        <v> </v>
      </c>
      <c r="K681" s="26" t="str">
        <f>IF(OR(E681="",E681="!!!",F681="NEW"),"",INDEX(J$1:J680,SUMPRODUCT(MAX(ROW(E$1:E680)*(E681=E$1:E680)))))</f>
        <v> </v>
      </c>
      <c r="L681" s="27"/>
    </row>
    <row r="682" spans="1:12">
      <c r="A682" s="20" t="s">
        <v>172</v>
      </c>
      <c r="B682" s="21" t="s">
        <v>214</v>
      </c>
      <c r="C682" s="21" t="s">
        <v>240</v>
      </c>
      <c r="D682" s="21" t="s">
        <v>216</v>
      </c>
      <c r="E682" s="22">
        <f>IF(D682="?OLD","!!!","")</f>
        <v/>
      </c>
      <c r="F682" s="23" t="str">
        <f>IF(OR(E682="",E682="!!!"),"",IF(NOT(ISNA(VLOOKUP(E682,E$1:E681,1,FALSE()))),"OLD",IF(AND(E682&lt;&gt;"",E682&lt;&gt;"!!!"),"NEW","")))</f>
        <v> </v>
      </c>
      <c r="G682" s="24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5" t="str">
        <f>IF(J682&lt;&gt;1,"",IF(I682="SBJ","CB","?"))</f>
        <v> </v>
      </c>
      <c r="I682" s="26" t="str">
        <f>IF(OR(E682="",E682="!!!",F682="NEW"),"",INDEX(B681:B$2,-1+SUMPRODUCT(MAX(ROW(E681:E$2)*(E682=E681:E$2)))))</f>
        <v> </v>
      </c>
      <c r="J682" s="26" t="str">
        <f>IF(OR(E682="",E682="!!!",F682="NEW"),"",COUNTBLANK(OFFSET(A$1,,,SUMPRODUCT(MAX(ROW(E$2:E682)*(E682=E$2:E682)))))-COUNTBLANK(OFFSET(A$1,,,SUMPRODUCT(MAX(ROW(E$1:E681)*(E2=E$1:E681))))))</f>
        <v> </v>
      </c>
      <c r="K682" s="26" t="str">
        <f>IF(OR(E682="",E682="!!!",F682="NEW"),"",INDEX(J$1:J681,SUMPRODUCT(MAX(ROW(E$1:E681)*(E682=E$1:E681)))))</f>
        <v> </v>
      </c>
      <c r="L682" s="27"/>
    </row>
    <row r="683" spans="1:12">
      <c r="A683" s="20" t="s">
        <v>632</v>
      </c>
      <c r="E683" s="22">
        <f>IF(D683="?OLD","!!!","")</f>
        <v/>
      </c>
      <c r="F683" s="23" t="str">
        <f>IF(OR(E683="",E683="!!!"),"",IF(NOT(ISNA(VLOOKUP(E683,E$1:E682,1,FALSE()))),"OLD",IF(AND(E683&lt;&gt;"",E683&lt;&gt;"!!!"),"NEW","")))</f>
        <v> </v>
      </c>
      <c r="G683" s="24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5" t="str">
        <f>IF(J683&lt;&gt;1,"",IF(I683="SBJ","CB","?"))</f>
        <v> </v>
      </c>
      <c r="I683" s="26" t="str">
        <f>IF(OR(E683="",E683="!!!",F683="NEW"),"",INDEX(B682:B$2,-1+SUMPRODUCT(MAX(ROW(E682:E$2)*(E683=E682:E$2)))))</f>
        <v> </v>
      </c>
      <c r="J683" s="26" t="str">
        <f>IF(OR(E683="",E683="!!!",F683="NEW"),"",COUNTBLANK(OFFSET(A$1,,,SUMPRODUCT(MAX(ROW(E$2:E683)*(E683=E$2:E683)))))-COUNTBLANK(OFFSET(A$1,,,SUMPRODUCT(MAX(ROW(E$1:E682)*(E2=E$1:E682))))))</f>
        <v> </v>
      </c>
      <c r="K683" s="26" t="str">
        <f>IF(OR(E683="",E683="!!!",F683="NEW"),"",INDEX(J$1:J682,SUMPRODUCT(MAX(ROW(E$1:E682)*(E683=E$1:E682)))))</f>
        <v> </v>
      </c>
      <c r="L683" s="27"/>
    </row>
    <row r="684" spans="1:12">
      <c r="A684" s="20" t="s">
        <v>405</v>
      </c>
      <c r="B684" s="21" t="s">
        <v>214</v>
      </c>
      <c r="C684" s="21" t="s">
        <v>215</v>
      </c>
      <c r="D684" s="21" t="s">
        <v>216</v>
      </c>
      <c r="E684" s="22">
        <f>IF(D684="?OLD","!!!","")</f>
        <v/>
      </c>
      <c r="F684" s="23" t="str">
        <f>IF(OR(E684="",E684="!!!"),"",IF(NOT(ISNA(VLOOKUP(E684,E$1:E683,1,FALSE()))),"OLD",IF(AND(E684&lt;&gt;"",E684&lt;&gt;"!!!"),"NEW","")))</f>
        <v> </v>
      </c>
      <c r="G684" s="24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5" t="str">
        <f>IF(J684&lt;&gt;1,"",IF(I684="SBJ","CB","?"))</f>
        <v> </v>
      </c>
      <c r="I684" s="26" t="str">
        <f>IF(OR(E684="",E684="!!!",F684="NEW"),"",INDEX(B683:B$2,-1+SUMPRODUCT(MAX(ROW(E683:E$2)*(E684=E683:E$2)))))</f>
        <v> </v>
      </c>
      <c r="J684" s="26" t="str">
        <f>IF(OR(E684="",E684="!!!",F684="NEW"),"",COUNTBLANK(OFFSET(A$1,,,SUMPRODUCT(MAX(ROW(E$2:E684)*(E684=E$2:E684)))))-COUNTBLANK(OFFSET(A$1,,,SUMPRODUCT(MAX(ROW(E$1:E683)*(E2=E$1:E683))))))</f>
        <v> </v>
      </c>
      <c r="K684" s="26" t="str">
        <f>IF(OR(E684="",E684="!!!",F684="NEW"),"",INDEX(J$1:J683,SUMPRODUCT(MAX(ROW(E$1:E683)*(E684=E$1:E683)))))</f>
        <v> </v>
      </c>
      <c r="L684" s="27"/>
    </row>
    <row r="685" spans="1:12">
      <c r="A685" s="20" t="s">
        <v>230</v>
      </c>
      <c r="E685" s="22">
        <f>IF(D685="?OLD","!!!","")</f>
        <v/>
      </c>
      <c r="F685" s="23" t="str">
        <f>IF(OR(E685="",E685="!!!"),"",IF(NOT(ISNA(VLOOKUP(E685,E$1:E684,1,FALSE()))),"OLD",IF(AND(E685&lt;&gt;"",E685&lt;&gt;"!!!"),"NEW","")))</f>
        <v> </v>
      </c>
      <c r="G685" s="24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5" t="str">
        <f>IF(J685&lt;&gt;1,"",IF(I685="SBJ","CB","?"))</f>
        <v> </v>
      </c>
      <c r="I685" s="26" t="str">
        <f>IF(OR(E685="",E685="!!!",F685="NEW"),"",INDEX(B684:B$2,-1+SUMPRODUCT(MAX(ROW(E684:E$2)*(E685=E684:E$2)))))</f>
        <v> </v>
      </c>
      <c r="J685" s="26" t="str">
        <f>IF(OR(E685="",E685="!!!",F685="NEW"),"",COUNTBLANK(OFFSET(A$1,,,SUMPRODUCT(MAX(ROW(E$2:E685)*(E685=E$2:E685)))))-COUNTBLANK(OFFSET(A$1,,,SUMPRODUCT(MAX(ROW(E$1:E684)*(E2=E$1:E684))))))</f>
        <v> </v>
      </c>
      <c r="K685" s="26" t="str">
        <f>IF(OR(E685="",E685="!!!",F685="NEW"),"",INDEX(J$1:J684,SUMPRODUCT(MAX(ROW(E$1:E684)*(E685=E$1:E684)))))</f>
        <v> </v>
      </c>
      <c r="L685" s="27"/>
    </row>
    <row r="686" spans="1:12">
      <c r="A686" s="20" t="s">
        <v>682</v>
      </c>
      <c r="B686" s="21" t="s">
        <v>283</v>
      </c>
      <c r="C686" s="21" t="s">
        <v>233</v>
      </c>
      <c r="E686" s="22">
        <f>IF(D686="?OLD","!!!","")</f>
        <v/>
      </c>
      <c r="F686" s="23" t="str">
        <f>IF(OR(E686="",E686="!!!"),"",IF(NOT(ISNA(VLOOKUP(E686,E$1:E685,1,FALSE()))),"OLD",IF(AND(E686&lt;&gt;"",E686&lt;&gt;"!!!"),"NEW","")))</f>
        <v> </v>
      </c>
      <c r="G686" s="24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5" t="str">
        <f>IF(J686&lt;&gt;1,"",IF(I686="SBJ","CB","?"))</f>
        <v> </v>
      </c>
      <c r="I686" s="26" t="str">
        <f>IF(OR(E686="",E686="!!!",F686="NEW"),"",INDEX(B685:B$2,-1+SUMPRODUCT(MAX(ROW(E685:E$2)*(E686=E685:E$2)))))</f>
        <v> </v>
      </c>
      <c r="J686" s="26" t="str">
        <f>IF(OR(E686="",E686="!!!",F686="NEW"),"",COUNTBLANK(OFFSET(A$1,,,SUMPRODUCT(MAX(ROW(E$2:E686)*(E686=E$2:E686)))))-COUNTBLANK(OFFSET(A$1,,,SUMPRODUCT(MAX(ROW(E$1:E685)*(E2=E$1:E685))))))</f>
        <v> </v>
      </c>
      <c r="K686" s="26" t="str">
        <f>IF(OR(E686="",E686="!!!",F686="NEW"),"",INDEX(J$1:J685,SUMPRODUCT(MAX(ROW(E$1:E685)*(E686=E$1:E685)))))</f>
        <v> </v>
      </c>
      <c r="L686" s="27"/>
    </row>
    <row r="687" spans="1:12">
      <c r="A687" s="20" t="s">
        <v>683</v>
      </c>
      <c r="E687" s="22">
        <f>IF(D687="?OLD","!!!","")</f>
        <v/>
      </c>
      <c r="F687" s="23" t="str">
        <f>IF(OR(E687="",E687="!!!"),"",IF(NOT(ISNA(VLOOKUP(E687,E$1:E686,1,FALSE()))),"OLD",IF(AND(E687&lt;&gt;"",E687&lt;&gt;"!!!"),"NEW","")))</f>
        <v> </v>
      </c>
      <c r="G687" s="24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5" t="str">
        <f>IF(J687&lt;&gt;1,"",IF(I687="SBJ","CB","?"))</f>
        <v> </v>
      </c>
      <c r="I687" s="26" t="str">
        <f>IF(OR(E687="",E687="!!!",F687="NEW"),"",INDEX(B686:B$2,-1+SUMPRODUCT(MAX(ROW(E686:E$2)*(E687=E686:E$2)))))</f>
        <v> </v>
      </c>
      <c r="J687" s="26" t="str">
        <f>IF(OR(E687="",E687="!!!",F687="NEW"),"",COUNTBLANK(OFFSET(A$1,,,SUMPRODUCT(MAX(ROW(E$2:E687)*(E687=E$2:E687)))))-COUNTBLANK(OFFSET(A$1,,,SUMPRODUCT(MAX(ROW(E$1:E686)*(E2=E$1:E686))))))</f>
        <v> </v>
      </c>
      <c r="K687" s="26" t="str">
        <f>IF(OR(E687="",E687="!!!",F687="NEW"),"",INDEX(J$1:J686,SUMPRODUCT(MAX(ROW(E$1:E686)*(E687=E$1:E686)))))</f>
        <v> </v>
      </c>
      <c r="L687" s="27"/>
    </row>
    <row r="688" spans="1:12">
      <c r="A688" s="20" t="s">
        <v>684</v>
      </c>
      <c r="E688" s="22">
        <f>IF(D688="?OLD","!!!","")</f>
        <v/>
      </c>
      <c r="F688" s="23" t="str">
        <f>IF(OR(E688="",E688="!!!"),"",IF(NOT(ISNA(VLOOKUP(E688,E$1:E687,1,FALSE()))),"OLD",IF(AND(E688&lt;&gt;"",E688&lt;&gt;"!!!"),"NEW","")))</f>
        <v> </v>
      </c>
      <c r="G688" s="24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5" t="str">
        <f>IF(J688&lt;&gt;1,"",IF(I688="SBJ","CB","?"))</f>
        <v> </v>
      </c>
      <c r="I688" s="26" t="str">
        <f>IF(OR(E688="",E688="!!!",F688="NEW"),"",INDEX(B687:B$2,-1+SUMPRODUCT(MAX(ROW(E687:E$2)*(E688=E687:E$2)))))</f>
        <v> </v>
      </c>
      <c r="J688" s="26" t="str">
        <f>IF(OR(E688="",E688="!!!",F688="NEW"),"",COUNTBLANK(OFFSET(A$1,,,SUMPRODUCT(MAX(ROW(E$2:E688)*(E688=E$2:E688)))))-COUNTBLANK(OFFSET(A$1,,,SUMPRODUCT(MAX(ROW(E$1:E687)*(E2=E$1:E687))))))</f>
        <v> </v>
      </c>
      <c r="K688" s="26" t="str">
        <f>IF(OR(E688="",E688="!!!",F688="NEW"),"",INDEX(J$1:J687,SUMPRODUCT(MAX(ROW(E$1:E687)*(E688=E$1:E687)))))</f>
        <v> </v>
      </c>
      <c r="L688" s="27"/>
    </row>
    <row r="689" spans="1:12">
      <c r="A689" s="20" t="s">
        <v>685</v>
      </c>
      <c r="E689" s="22">
        <f>IF(D689="?OLD","!!!","")</f>
        <v/>
      </c>
      <c r="F689" s="23" t="str">
        <f>IF(OR(E689="",E689="!!!"),"",IF(NOT(ISNA(VLOOKUP(E689,E$1:E688,1,FALSE()))),"OLD",IF(AND(E689&lt;&gt;"",E689&lt;&gt;"!!!"),"NEW","")))</f>
        <v> </v>
      </c>
      <c r="G689" s="24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5" t="str">
        <f>IF(J689&lt;&gt;1,"",IF(I689="SBJ","CB","?"))</f>
        <v> </v>
      </c>
      <c r="I689" s="26" t="str">
        <f>IF(OR(E689="",E689="!!!",F689="NEW"),"",INDEX(B688:B$2,-1+SUMPRODUCT(MAX(ROW(E688:E$2)*(E689=E688:E$2)))))</f>
        <v> </v>
      </c>
      <c r="J689" s="26" t="str">
        <f>IF(OR(E689="",E689="!!!",F689="NEW"),"",COUNTBLANK(OFFSET(A$1,,,SUMPRODUCT(MAX(ROW(E$2:E689)*(E689=E$2:E689)))))-COUNTBLANK(OFFSET(A$1,,,SUMPRODUCT(MAX(ROW(E$1:E688)*(E2=E$1:E688))))))</f>
        <v> </v>
      </c>
      <c r="K689" s="26" t="str">
        <f>IF(OR(E689="",E689="!!!",F689="NEW"),"",INDEX(J$1:J688,SUMPRODUCT(MAX(ROW(E$1:E688)*(E689=E$1:E688)))))</f>
        <v> </v>
      </c>
      <c r="L689" s="27"/>
    </row>
    <row r="690" spans="1:12">
      <c r="A690" s="20" t="s">
        <v>686</v>
      </c>
      <c r="E690" s="22">
        <f>IF(D690="?OLD","!!!","")</f>
        <v/>
      </c>
      <c r="F690" s="23" t="str">
        <f>IF(OR(E690="",E690="!!!"),"",IF(NOT(ISNA(VLOOKUP(E690,E$1:E689,1,FALSE()))),"OLD",IF(AND(E690&lt;&gt;"",E690&lt;&gt;"!!!"),"NEW","")))</f>
        <v> </v>
      </c>
      <c r="G690" s="24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5" t="str">
        <f>IF(J690&lt;&gt;1,"",IF(I690="SBJ","CB","?"))</f>
        <v> </v>
      </c>
      <c r="I690" s="26" t="str">
        <f>IF(OR(E690="",E690="!!!",F690="NEW"),"",INDEX(B689:B$2,-1+SUMPRODUCT(MAX(ROW(E689:E$2)*(E690=E689:E$2)))))</f>
        <v> </v>
      </c>
      <c r="J690" s="26" t="str">
        <f>IF(OR(E690="",E690="!!!",F690="NEW"),"",COUNTBLANK(OFFSET(A$1,,,SUMPRODUCT(MAX(ROW(E$2:E690)*(E690=E$2:E690)))))-COUNTBLANK(OFFSET(A$1,,,SUMPRODUCT(MAX(ROW(E$1:E689)*(E2=E$1:E689))))))</f>
        <v> </v>
      </c>
      <c r="K690" s="26" t="str">
        <f>IF(OR(E690="",E690="!!!",F690="NEW"),"",INDEX(J$1:J689,SUMPRODUCT(MAX(ROW(E$1:E689)*(E690=E$1:E689)))))</f>
        <v> </v>
      </c>
      <c r="L690" s="27"/>
    </row>
    <row r="691" spans="1:12">
      <c r="A691" s="20" t="s">
        <v>687</v>
      </c>
      <c r="E691" s="22">
        <f>IF(D691="?OLD","!!!","")</f>
        <v/>
      </c>
      <c r="F691" s="23" t="str">
        <f>IF(OR(E691="",E691="!!!"),"",IF(NOT(ISNA(VLOOKUP(E691,E$1:E690,1,FALSE()))),"OLD",IF(AND(E691&lt;&gt;"",E691&lt;&gt;"!!!"),"NEW","")))</f>
        <v> </v>
      </c>
      <c r="G691" s="24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5" t="str">
        <f>IF(J691&lt;&gt;1,"",IF(I691="SBJ","CB","?"))</f>
        <v> </v>
      </c>
      <c r="I691" s="26" t="str">
        <f>IF(OR(E691="",E691="!!!",F691="NEW"),"",INDEX(B690:B$2,-1+SUMPRODUCT(MAX(ROW(E690:E$2)*(E691=E690:E$2)))))</f>
        <v> </v>
      </c>
      <c r="J691" s="26" t="str">
        <f>IF(OR(E691="",E691="!!!",F691="NEW"),"",COUNTBLANK(OFFSET(A$1,,,SUMPRODUCT(MAX(ROW(E$2:E691)*(E691=E$2:E691)))))-COUNTBLANK(OFFSET(A$1,,,SUMPRODUCT(MAX(ROW(E$1:E690)*(E2=E$1:E690))))))</f>
        <v> </v>
      </c>
      <c r="K691" s="26" t="str">
        <f>IF(OR(E691="",E691="!!!",F691="NEW"),"",INDEX(J$1:J690,SUMPRODUCT(MAX(ROW(E$1:E690)*(E691=E$1:E690)))))</f>
        <v> </v>
      </c>
      <c r="L691" s="27"/>
    </row>
    <row r="692" spans="1:12">
      <c r="A692" s="20" t="s">
        <v>688</v>
      </c>
      <c r="B692" s="21" t="s">
        <v>254</v>
      </c>
      <c r="E692" s="22">
        <f>IF(D692="?OLD","!!!","")</f>
        <v/>
      </c>
      <c r="F692" s="23" t="str">
        <f>IF(OR(E692="",E692="!!!"),"",IF(NOT(ISNA(VLOOKUP(E692,E$1:E691,1,FALSE()))),"OLD",IF(AND(E692&lt;&gt;"",E692&lt;&gt;"!!!"),"NEW","")))</f>
        <v> </v>
      </c>
      <c r="G692" s="24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5" t="str">
        <f>IF(J692&lt;&gt;1,"",IF(I692="SBJ","CB","?"))</f>
        <v> </v>
      </c>
      <c r="I692" s="26" t="str">
        <f>IF(OR(E692="",E692="!!!",F692="NEW"),"",INDEX(B691:B$2,-1+SUMPRODUCT(MAX(ROW(E691:E$2)*(E692=E691:E$2)))))</f>
        <v> </v>
      </c>
      <c r="J692" s="26" t="str">
        <f>IF(OR(E692="",E692="!!!",F692="NEW"),"",COUNTBLANK(OFFSET(A$1,,,SUMPRODUCT(MAX(ROW(E$2:E692)*(E692=E$2:E692)))))-COUNTBLANK(OFFSET(A$1,,,SUMPRODUCT(MAX(ROW(E$1:E691)*(E2=E$1:E691))))))</f>
        <v> </v>
      </c>
      <c r="K692" s="26" t="str">
        <f>IF(OR(E692="",E692="!!!",F692="NEW"),"",INDEX(J$1:J691,SUMPRODUCT(MAX(ROW(E$1:E691)*(E692=E$1:E691)))))</f>
        <v> </v>
      </c>
      <c r="L692" s="27"/>
    </row>
    <row r="693" spans="1:12">
      <c r="A693" s="20" t="s">
        <v>689</v>
      </c>
      <c r="E693" s="22">
        <f>IF(D693="?OLD","!!!","")</f>
        <v/>
      </c>
      <c r="F693" s="23" t="str">
        <f>IF(OR(E693="",E693="!!!"),"",IF(NOT(ISNA(VLOOKUP(E693,E$1:E692,1,FALSE()))),"OLD",IF(AND(E693&lt;&gt;"",E693&lt;&gt;"!!!"),"NEW","")))</f>
        <v> </v>
      </c>
      <c r="G693" s="24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5" t="str">
        <f>IF(J693&lt;&gt;1,"",IF(I693="SBJ","CB","?"))</f>
        <v> </v>
      </c>
      <c r="I693" s="26" t="str">
        <f>IF(OR(E693="",E693="!!!",F693="NEW"),"",INDEX(B692:B$2,-1+SUMPRODUCT(MAX(ROW(E692:E$2)*(E693=E692:E$2)))))</f>
        <v> </v>
      </c>
      <c r="J693" s="26" t="str">
        <f>IF(OR(E693="",E693="!!!",F693="NEW"),"",COUNTBLANK(OFFSET(A$1,,,SUMPRODUCT(MAX(ROW(E$2:E693)*(E693=E$2:E693)))))-COUNTBLANK(OFFSET(A$1,,,SUMPRODUCT(MAX(ROW(E$1:E692)*(E2=E$1:E692))))))</f>
        <v> </v>
      </c>
      <c r="K693" s="26" t="str">
        <f>IF(OR(E693="",E693="!!!",F693="NEW"),"",INDEX(J$1:J692,SUMPRODUCT(MAX(ROW(E$1:E692)*(E693=E$1:E692)))))</f>
        <v> </v>
      </c>
      <c r="L693" s="27"/>
    </row>
    <row r="694" spans="1:12">
      <c r="A694" s="20" t="s">
        <v>690</v>
      </c>
      <c r="E694" s="22">
        <f>IF(D694="?OLD","!!!","")</f>
        <v/>
      </c>
      <c r="F694" s="23" t="str">
        <f>IF(OR(E694="",E694="!!!"),"",IF(NOT(ISNA(VLOOKUP(E694,E$1:E693,1,FALSE()))),"OLD",IF(AND(E694&lt;&gt;"",E694&lt;&gt;"!!!"),"NEW","")))</f>
        <v> </v>
      </c>
      <c r="G694" s="24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5" t="str">
        <f>IF(J694&lt;&gt;1,"",IF(I694="SBJ","CB","?"))</f>
        <v> </v>
      </c>
      <c r="I694" s="26" t="str">
        <f>IF(OR(E694="",E694="!!!",F694="NEW"),"",INDEX(B693:B$2,-1+SUMPRODUCT(MAX(ROW(E693:E$2)*(E694=E693:E$2)))))</f>
        <v> </v>
      </c>
      <c r="J694" s="26" t="str">
        <f>IF(OR(E694="",E694="!!!",F694="NEW"),"",COUNTBLANK(OFFSET(A$1,,,SUMPRODUCT(MAX(ROW(E$2:E694)*(E694=E$2:E694)))))-COUNTBLANK(OFFSET(A$1,,,SUMPRODUCT(MAX(ROW(E$1:E693)*(E2=E$1:E693))))))</f>
        <v> </v>
      </c>
      <c r="K694" s="26" t="str">
        <f>IF(OR(E694="",E694="!!!",F694="NEW"),"",INDEX(J$1:J693,SUMPRODUCT(MAX(ROW(E$1:E693)*(E694=E$1:E693)))))</f>
        <v> </v>
      </c>
      <c r="L694" s="27"/>
    </row>
    <row r="695" spans="1:12">
      <c r="A695" s="20" t="s">
        <v>237</v>
      </c>
      <c r="E695" s="22">
        <f>IF(D695="?OLD","!!!","")</f>
        <v/>
      </c>
      <c r="F695" s="23" t="str">
        <f>IF(OR(E695="",E695="!!!"),"",IF(NOT(ISNA(VLOOKUP(E695,E$1:E694,1,FALSE()))),"OLD",IF(AND(E695&lt;&gt;"",E695&lt;&gt;"!!!"),"NEW","")))</f>
        <v> </v>
      </c>
      <c r="G695" s="24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5" t="str">
        <f>IF(J695&lt;&gt;1,"",IF(I695="SBJ","CB","?"))</f>
        <v> </v>
      </c>
      <c r="I695" s="26" t="str">
        <f>IF(OR(E695="",E695="!!!",F695="NEW"),"",INDEX(B694:B$2,-1+SUMPRODUCT(MAX(ROW(E694:E$2)*(E695=E694:E$2)))))</f>
        <v> </v>
      </c>
      <c r="J695" s="26" t="str">
        <f>IF(OR(E695="",E695="!!!",F695="NEW"),"",COUNTBLANK(OFFSET(A$1,,,SUMPRODUCT(MAX(ROW(E$2:E695)*(E695=E$2:E695)))))-COUNTBLANK(OFFSET(A$1,,,SUMPRODUCT(MAX(ROW(E$1:E694)*(E2=E$1:E694))))))</f>
        <v> </v>
      </c>
      <c r="K695" s="26" t="str">
        <f>IF(OR(E695="",E695="!!!",F695="NEW"),"",INDEX(J$1:J694,SUMPRODUCT(MAX(ROW(E$1:E694)*(E695=E$1:E694)))))</f>
        <v> </v>
      </c>
      <c r="L695" s="27"/>
    </row>
    <row r="696" spans="1:12">
      <c r="A696" s="20"/>
    </row>
    <row r="697" spans="1:12">
      <c r="A697" s="20" t="s">
        <v>312</v>
      </c>
      <c r="E697" s="22">
        <f>IF(D697="?OLD","!!!","")</f>
        <v/>
      </c>
      <c r="F697" s="23" t="str">
        <f>IF(OR(E697="",E697="!!!"),"",IF(NOT(ISNA(VLOOKUP(E697,E$1:E696,1,FALSE()))),"OLD",IF(AND(E697&lt;&gt;"",E697&lt;&gt;"!!!"),"NEW","")))</f>
        <v> </v>
      </c>
      <c r="G697" s="24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5" t="str">
        <f>IF(J697&lt;&gt;1,"",IF(I697="SBJ","CB","?"))</f>
        <v> </v>
      </c>
      <c r="I697" s="26" t="str">
        <f>IF(OR(E697="",E697="!!!",F697="NEW"),"",INDEX(B696:B$2,-1+SUMPRODUCT(MAX(ROW(E696:E$2)*(E697=E696:E$2)))))</f>
        <v> </v>
      </c>
      <c r="J697" s="26" t="str">
        <f>IF(OR(E697="",E697="!!!",F697="NEW"),"",COUNTBLANK(OFFSET(A$1,,,SUMPRODUCT(MAX(ROW(E$2:E697)*(E697=E$2:E697)))))-COUNTBLANK(OFFSET(A$1,,,SUMPRODUCT(MAX(ROW(E$1:E696)*(E2=E$1:E696))))))</f>
        <v> </v>
      </c>
      <c r="K697" s="26" t="str">
        <f>IF(OR(E697="",E697="!!!",F697="NEW"),"",INDEX(J$1:J696,SUMPRODUCT(MAX(ROW(E$1:E696)*(E697=E$1:E696)))))</f>
        <v> </v>
      </c>
      <c r="L697" s="27"/>
    </row>
    <row r="698" spans="1:12">
      <c r="A698" s="20" t="s">
        <v>691</v>
      </c>
    </row>
    <row r="699" spans="1:12">
      <c r="A699" s="20" t="s">
        <v>692</v>
      </c>
      <c r="E699" s="22">
        <f>IF(D699="?OLD","!!!","")</f>
        <v/>
      </c>
      <c r="F699" s="23" t="str">
        <f>IF(OR(E699="",E699="!!!"),"",IF(NOT(ISNA(VLOOKUP(E699,E$1:E698,1,FALSE()))),"OLD",IF(AND(E699&lt;&gt;"",E699&lt;&gt;"!!!"),"NEW","")))</f>
        <v> </v>
      </c>
      <c r="G699" s="24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5" t="str">
        <f>IF(J699&lt;&gt;1,"",IF(I699="SBJ","CB","?"))</f>
        <v> </v>
      </c>
      <c r="I699" s="26" t="str">
        <f>IF(OR(E699="",E699="!!!",F699="NEW"),"",INDEX(B698:B$2,-1+SUMPRODUCT(MAX(ROW(E698:E$2)*(E699=E698:E$2)))))</f>
        <v> </v>
      </c>
      <c r="J699" s="26" t="str">
        <f>IF(OR(E699="",E699="!!!",F699="NEW"),"",COUNTBLANK(OFFSET(A$1,,,SUMPRODUCT(MAX(ROW(E$2:E699)*(E699=E$2:E699)))))-COUNTBLANK(OFFSET(A$1,,,SUMPRODUCT(MAX(ROW(E$1:E698)*(E2=E$1:E698))))))</f>
        <v> </v>
      </c>
      <c r="K699" s="26" t="str">
        <f>IF(OR(E699="",E699="!!!",F699="NEW"),"",INDEX(J$1:J698,SUMPRODUCT(MAX(ROW(E$1:E698)*(E699=E$1:E698)))))</f>
        <v> </v>
      </c>
      <c r="L699" s="27"/>
    </row>
    <row r="700" spans="1:12">
      <c r="A700" s="20" t="s">
        <v>230</v>
      </c>
      <c r="E700" s="22">
        <f>IF(D700="?OLD","!!!","")</f>
        <v/>
      </c>
      <c r="F700" s="23" t="str">
        <f>IF(OR(E700="",E700="!!!"),"",IF(NOT(ISNA(VLOOKUP(E700,E$1:E699,1,FALSE()))),"OLD",IF(AND(E700&lt;&gt;"",E700&lt;&gt;"!!!"),"NEW","")))</f>
        <v> </v>
      </c>
      <c r="G700" s="24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5" t="str">
        <f>IF(J700&lt;&gt;1,"",IF(I700="SBJ","CB","?"))</f>
        <v> </v>
      </c>
      <c r="I700" s="26" t="str">
        <f>IF(OR(E700="",E700="!!!",F700="NEW"),"",INDEX(B699:B$2,-1+SUMPRODUCT(MAX(ROW(E699:E$2)*(E700=E699:E$2)))))</f>
        <v> </v>
      </c>
      <c r="J700" s="26" t="str">
        <f>IF(OR(E700="",E700="!!!",F700="NEW"),"",COUNTBLANK(OFFSET(A$1,,,SUMPRODUCT(MAX(ROW(E$2:E700)*(E700=E$2:E700)))))-COUNTBLANK(OFFSET(A$1,,,SUMPRODUCT(MAX(ROW(E$1:E699)*(E2=E$1:E699))))))</f>
        <v> </v>
      </c>
      <c r="K700" s="26" t="str">
        <f>IF(OR(E700="",E700="!!!",F700="NEW"),"",INDEX(J$1:J699,SUMPRODUCT(MAX(ROW(E$1:E699)*(E700=E$1:E699)))))</f>
        <v> </v>
      </c>
      <c r="L700" s="27"/>
    </row>
    <row r="701" spans="1:12">
      <c r="A701" s="20" t="s">
        <v>693</v>
      </c>
      <c r="E701" s="22">
        <f>IF(D701="?OLD","!!!","")</f>
        <v/>
      </c>
      <c r="F701" s="23" t="str">
        <f>IF(OR(E701="",E701="!!!"),"",IF(NOT(ISNA(VLOOKUP(E701,E$1:E700,1,FALSE()))),"OLD",IF(AND(E701&lt;&gt;"",E701&lt;&gt;"!!!"),"NEW","")))</f>
        <v> </v>
      </c>
      <c r="G701" s="24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5" t="str">
        <f>IF(J701&lt;&gt;1,"",IF(I701="SBJ","CB","?"))</f>
        <v> </v>
      </c>
      <c r="I701" s="26" t="str">
        <f>IF(OR(E701="",E701="!!!",F701="NEW"),"",INDEX(B700:B$2,-1+SUMPRODUCT(MAX(ROW(E700:E$2)*(E701=E700:E$2)))))</f>
        <v> </v>
      </c>
      <c r="J701" s="26" t="str">
        <f>IF(OR(E701="",E701="!!!",F701="NEW"),"",COUNTBLANK(OFFSET(A$1,,,SUMPRODUCT(MAX(ROW(E$2:E701)*(E701=E$2:E701)))))-COUNTBLANK(OFFSET(A$1,,,SUMPRODUCT(MAX(ROW(E$1:E700)*(E2=E$1:E700))))))</f>
        <v> </v>
      </c>
      <c r="K701" s="26" t="str">
        <f>IF(OR(E701="",E701="!!!",F701="NEW"),"",INDEX(J$1:J700,SUMPRODUCT(MAX(ROW(E$1:E700)*(E701=E$1:E700)))))</f>
        <v> </v>
      </c>
      <c r="L701" s="27"/>
    </row>
    <row r="702" spans="1:12">
      <c r="A702" s="20" t="s">
        <v>269</v>
      </c>
      <c r="E702" s="22">
        <f>IF(D702="?OLD","!!!","")</f>
        <v/>
      </c>
      <c r="F702" s="23" t="str">
        <f>IF(OR(E702="",E702="!!!"),"",IF(NOT(ISNA(VLOOKUP(E702,E$1:E701,1,FALSE()))),"OLD",IF(AND(E702&lt;&gt;"",E702&lt;&gt;"!!!"),"NEW","")))</f>
        <v> </v>
      </c>
      <c r="G702" s="24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5" t="str">
        <f>IF(J702&lt;&gt;1,"",IF(I702="SBJ","CB","?"))</f>
        <v> </v>
      </c>
      <c r="I702" s="26" t="str">
        <f>IF(OR(E702="",E702="!!!",F702="NEW"),"",INDEX(B701:B$2,-1+SUMPRODUCT(MAX(ROW(E701:E$2)*(E702=E701:E$2)))))</f>
        <v> </v>
      </c>
      <c r="J702" s="26" t="str">
        <f>IF(OR(E702="",E702="!!!",F702="NEW"),"",COUNTBLANK(OFFSET(A$1,,,SUMPRODUCT(MAX(ROW(E$2:E702)*(E702=E$2:E702)))))-COUNTBLANK(OFFSET(A$1,,,SUMPRODUCT(MAX(ROW(E$1:E701)*(E2=E$1:E701))))))</f>
        <v> </v>
      </c>
      <c r="K702" s="26" t="str">
        <f>IF(OR(E702="",E702="!!!",F702="NEW"),"",INDEX(J$1:J701,SUMPRODUCT(MAX(ROW(E$1:E701)*(E702=E$1:E701)))))</f>
        <v> </v>
      </c>
      <c r="L702" s="27"/>
    </row>
    <row r="703" spans="1:12">
      <c r="A703" s="20" t="s">
        <v>694</v>
      </c>
      <c r="E703" s="22">
        <f>IF(D703="?OLD","!!!","")</f>
        <v/>
      </c>
      <c r="F703" s="23" t="str">
        <f>IF(OR(E703="",E703="!!!"),"",IF(NOT(ISNA(VLOOKUP(E703,E$1:E702,1,FALSE()))),"OLD",IF(AND(E703&lt;&gt;"",E703&lt;&gt;"!!!"),"NEW","")))</f>
        <v> </v>
      </c>
      <c r="G703" s="24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5" t="str">
        <f>IF(J703&lt;&gt;1,"",IF(I703="SBJ","CB","?"))</f>
        <v> </v>
      </c>
      <c r="I703" s="26" t="str">
        <f>IF(OR(E703="",E703="!!!",F703="NEW"),"",INDEX(B702:B$2,-1+SUMPRODUCT(MAX(ROW(E702:E$2)*(E703=E702:E$2)))))</f>
        <v> </v>
      </c>
      <c r="J703" s="26" t="str">
        <f>IF(OR(E703="",E703="!!!",F703="NEW"),"",COUNTBLANK(OFFSET(A$1,,,SUMPRODUCT(MAX(ROW(E$2:E703)*(E703=E$2:E703)))))-COUNTBLANK(OFFSET(A$1,,,SUMPRODUCT(MAX(ROW(E$1:E702)*(E2=E$1:E702))))))</f>
        <v> </v>
      </c>
      <c r="K703" s="26" t="str">
        <f>IF(OR(E703="",E703="!!!",F703="NEW"),"",INDEX(J$1:J702,SUMPRODUCT(MAX(ROW(E$1:E702)*(E703=E$1:E702)))))</f>
        <v> </v>
      </c>
      <c r="L703" s="27"/>
    </row>
    <row r="704" spans="1:12">
      <c r="A704" s="20" t="s">
        <v>695</v>
      </c>
      <c r="E704" s="22">
        <f>IF(D704="?OLD","!!!","")</f>
        <v/>
      </c>
      <c r="F704" s="23" t="str">
        <f>IF(OR(E704="",E704="!!!"),"",IF(NOT(ISNA(VLOOKUP(E704,E$1:E703,1,FALSE()))),"OLD",IF(AND(E704&lt;&gt;"",E704&lt;&gt;"!!!"),"NEW","")))</f>
        <v> </v>
      </c>
      <c r="G704" s="24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5" t="str">
        <f>IF(J704&lt;&gt;1,"",IF(I704="SBJ","CB","?"))</f>
        <v> </v>
      </c>
      <c r="I704" s="26" t="str">
        <f>IF(OR(E704="",E704="!!!",F704="NEW"),"",INDEX(B703:B$2,-1+SUMPRODUCT(MAX(ROW(E703:E$2)*(E704=E703:E$2)))))</f>
        <v> </v>
      </c>
      <c r="J704" s="26" t="str">
        <f>IF(OR(E704="",E704="!!!",F704="NEW"),"",COUNTBLANK(OFFSET(A$1,,,SUMPRODUCT(MAX(ROW(E$2:E704)*(E704=E$2:E704)))))-COUNTBLANK(OFFSET(A$1,,,SUMPRODUCT(MAX(ROW(E$1:E703)*(E2=E$1:E703))))))</f>
        <v> </v>
      </c>
      <c r="K704" s="26" t="str">
        <f>IF(OR(E704="",E704="!!!",F704="NEW"),"",INDEX(J$1:J703,SUMPRODUCT(MAX(ROW(E$1:E703)*(E704=E$1:E703)))))</f>
        <v> </v>
      </c>
      <c r="L704" s="27"/>
    </row>
    <row r="705" spans="1:12">
      <c r="A705" s="20" t="s">
        <v>696</v>
      </c>
      <c r="B705" s="21" t="s">
        <v>214</v>
      </c>
      <c r="C705" s="21" t="s">
        <v>287</v>
      </c>
      <c r="D705" s="21" t="s">
        <v>216</v>
      </c>
      <c r="E705" s="22">
        <f>IF(D705="?OLD","!!!","")</f>
        <v/>
      </c>
      <c r="F705" s="23" t="str">
        <f>IF(OR(E705="",E705="!!!"),"",IF(NOT(ISNA(VLOOKUP(E705,E$1:E704,1,FALSE()))),"OLD",IF(AND(E705&lt;&gt;"",E705&lt;&gt;"!!!"),"NEW","")))</f>
        <v> </v>
      </c>
      <c r="G705" s="24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5" t="str">
        <f>IF(J705&lt;&gt;1,"",IF(I705="SBJ","CB","?"))</f>
        <v> </v>
      </c>
      <c r="I705" s="26" t="str">
        <f>IF(OR(E705="",E705="!!!",F705="NEW"),"",INDEX(B704:B$2,-1+SUMPRODUCT(MAX(ROW(E704:E$2)*(E705=E704:E$2)))))</f>
        <v> </v>
      </c>
      <c r="J705" s="26" t="str">
        <f>IF(OR(E705="",E705="!!!",F705="NEW"),"",COUNTBLANK(OFFSET(A$1,,,SUMPRODUCT(MAX(ROW(E$2:E705)*(E705=E$2:E705)))))-COUNTBLANK(OFFSET(A$1,,,SUMPRODUCT(MAX(ROW(E$1:E704)*(E2=E$1:E704))))))</f>
        <v> </v>
      </c>
      <c r="K705" s="26" t="str">
        <f>IF(OR(E705="",E705="!!!",F705="NEW"),"",INDEX(J$1:J704,SUMPRODUCT(MAX(ROW(E$1:E704)*(E705=E$1:E704)))))</f>
        <v> </v>
      </c>
      <c r="L705" s="27"/>
    </row>
    <row r="706" spans="1:12">
      <c r="A706" s="20" t="s">
        <v>351</v>
      </c>
      <c r="E706" s="22">
        <f>IF(D706="?OLD","!!!","")</f>
        <v/>
      </c>
      <c r="F706" s="23" t="str">
        <f>IF(OR(E706="",E706="!!!"),"",IF(NOT(ISNA(VLOOKUP(E706,E$1:E705,1,FALSE()))),"OLD",IF(AND(E706&lt;&gt;"",E706&lt;&gt;"!!!"),"NEW","")))</f>
        <v> </v>
      </c>
      <c r="G706" s="24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5" t="str">
        <f>IF(J706&lt;&gt;1,"",IF(I706="SBJ","CB","?"))</f>
        <v> </v>
      </c>
      <c r="I706" s="26" t="str">
        <f>IF(OR(E706="",E706="!!!",F706="NEW"),"",INDEX(B705:B$2,-1+SUMPRODUCT(MAX(ROW(E705:E$2)*(E706=E705:E$2)))))</f>
        <v> </v>
      </c>
      <c r="J706" s="26" t="str">
        <f>IF(OR(E706="",E706="!!!",F706="NEW"),"",COUNTBLANK(OFFSET(A$1,,,SUMPRODUCT(MAX(ROW(E$2:E706)*(E706=E$2:E706)))))-COUNTBLANK(OFFSET(A$1,,,SUMPRODUCT(MAX(ROW(E$1:E705)*(E2=E$1:E705))))))</f>
        <v> </v>
      </c>
      <c r="K706" s="26" t="str">
        <f>IF(OR(E706="",E706="!!!",F706="NEW"),"",INDEX(J$1:J705,SUMPRODUCT(MAX(ROW(E$1:E705)*(E706=E$1:E705)))))</f>
        <v> </v>
      </c>
      <c r="L706" s="27"/>
    </row>
    <row r="707" spans="1:12">
      <c r="A707" s="20" t="s">
        <v>697</v>
      </c>
      <c r="E707" s="22">
        <f>IF(D707="?OLD","!!!","")</f>
        <v/>
      </c>
      <c r="F707" s="23" t="str">
        <f>IF(OR(E707="",E707="!!!"),"",IF(NOT(ISNA(VLOOKUP(E707,E$1:E706,1,FALSE()))),"OLD",IF(AND(E707&lt;&gt;"",E707&lt;&gt;"!!!"),"NEW","")))</f>
        <v> </v>
      </c>
      <c r="G707" s="24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5" t="str">
        <f>IF(J707&lt;&gt;1,"",IF(I707="SBJ","CB","?"))</f>
        <v> </v>
      </c>
      <c r="I707" s="26" t="str">
        <f>IF(OR(E707="",E707="!!!",F707="NEW"),"",INDEX(B706:B$2,-1+SUMPRODUCT(MAX(ROW(E706:E$2)*(E707=E706:E$2)))))</f>
        <v> </v>
      </c>
      <c r="J707" s="26" t="str">
        <f>IF(OR(E707="",E707="!!!",F707="NEW"),"",COUNTBLANK(OFFSET(A$1,,,SUMPRODUCT(MAX(ROW(E$2:E707)*(E707=E$2:E707)))))-COUNTBLANK(OFFSET(A$1,,,SUMPRODUCT(MAX(ROW(E$1:E706)*(E2=E$1:E706))))))</f>
        <v> </v>
      </c>
      <c r="K707" s="26" t="str">
        <f>IF(OR(E707="",E707="!!!",F707="NEW"),"",INDEX(J$1:J706,SUMPRODUCT(MAX(ROW(E$1:E706)*(E707=E$1:E706)))))</f>
        <v> </v>
      </c>
      <c r="L707" s="27"/>
    </row>
    <row r="708" spans="1:12">
      <c r="A708" s="20" t="s">
        <v>571</v>
      </c>
      <c r="E708" s="22">
        <f>IF(D708="?OLD","!!!","")</f>
        <v/>
      </c>
      <c r="F708" s="23" t="str">
        <f>IF(OR(E708="",E708="!!!"),"",IF(NOT(ISNA(VLOOKUP(E708,E$1:E707,1,FALSE()))),"OLD",IF(AND(E708&lt;&gt;"",E708&lt;&gt;"!!!"),"NEW","")))</f>
        <v> </v>
      </c>
      <c r="G708" s="24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5" t="str">
        <f>IF(J708&lt;&gt;1,"",IF(I708="SBJ","CB","?"))</f>
        <v> </v>
      </c>
      <c r="I708" s="26" t="str">
        <f>IF(OR(E708="",E708="!!!",F708="NEW"),"",INDEX(B707:B$2,-1+SUMPRODUCT(MAX(ROW(E707:E$2)*(E708=E707:E$2)))))</f>
        <v> </v>
      </c>
      <c r="J708" s="26" t="str">
        <f>IF(OR(E708="",E708="!!!",F708="NEW"),"",COUNTBLANK(OFFSET(A$1,,,SUMPRODUCT(MAX(ROW(E$2:E708)*(E708=E$2:E708)))))-COUNTBLANK(OFFSET(A$1,,,SUMPRODUCT(MAX(ROW(E$1:E707)*(E2=E$1:E707))))))</f>
        <v> </v>
      </c>
      <c r="K708" s="26" t="str">
        <f>IF(OR(E708="",E708="!!!",F708="NEW"),"",INDEX(J$1:J707,SUMPRODUCT(MAX(ROW(E$1:E707)*(E708=E$1:E707)))))</f>
        <v> </v>
      </c>
      <c r="L708" s="27"/>
    </row>
    <row r="709" spans="1:12">
      <c r="A709" s="20" t="s">
        <v>698</v>
      </c>
      <c r="B709" s="21" t="s">
        <v>226</v>
      </c>
      <c r="E709" s="22">
        <f>IF(D709="?OLD","!!!","")</f>
        <v/>
      </c>
      <c r="F709" s="23" t="str">
        <f>IF(OR(E709="",E709="!!!"),"",IF(NOT(ISNA(VLOOKUP(E709,E$1:E708,1,FALSE()))),"OLD",IF(AND(E709&lt;&gt;"",E709&lt;&gt;"!!!"),"NEW","")))</f>
        <v> </v>
      </c>
      <c r="G709" s="24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5" t="str">
        <f>IF(J709&lt;&gt;1,"",IF(I709="SBJ","CB","?"))</f>
        <v> </v>
      </c>
      <c r="I709" s="26" t="str">
        <f>IF(OR(E709="",E709="!!!",F709="NEW"),"",INDEX(B708:B$2,-1+SUMPRODUCT(MAX(ROW(E708:E$2)*(E709=E708:E$2)))))</f>
        <v> </v>
      </c>
      <c r="J709" s="26" t="str">
        <f>IF(OR(E709="",E709="!!!",F709="NEW"),"",COUNTBLANK(OFFSET(A$1,,,SUMPRODUCT(MAX(ROW(E$2:E709)*(E709=E$2:E709)))))-COUNTBLANK(OFFSET(A$1,,,SUMPRODUCT(MAX(ROW(E$1:E708)*(E2=E$1:E708))))))</f>
        <v> </v>
      </c>
      <c r="K709" s="26" t="str">
        <f>IF(OR(E709="",E709="!!!",F709="NEW"),"",INDEX(J$1:J708,SUMPRODUCT(MAX(ROW(E$1:E708)*(E709=E$1:E708)))))</f>
        <v> </v>
      </c>
      <c r="L709" s="27"/>
    </row>
    <row r="710" spans="1:12">
      <c r="A710" s="20" t="s">
        <v>241</v>
      </c>
      <c r="B710" s="21" t="s">
        <v>242</v>
      </c>
      <c r="C710" s="21" t="s">
        <v>215</v>
      </c>
      <c r="D710" s="21" t="s">
        <v>216</v>
      </c>
      <c r="E710" s="22">
        <f>IF(D710="?OLD","!!!","")</f>
        <v/>
      </c>
      <c r="F710" s="23" t="str">
        <f>IF(OR(E710="",E710="!!!"),"",IF(NOT(ISNA(VLOOKUP(E710,E$1:E709,1,FALSE()))),"OLD",IF(AND(E710&lt;&gt;"",E710&lt;&gt;"!!!"),"NEW","")))</f>
        <v> </v>
      </c>
      <c r="G710" s="24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5" t="str">
        <f>IF(J710&lt;&gt;1,"",IF(I710="SBJ","CB","?"))</f>
        <v> </v>
      </c>
      <c r="I710" s="26" t="str">
        <f>IF(OR(E710="",E710="!!!",F710="NEW"),"",INDEX(B709:B$2,-1+SUMPRODUCT(MAX(ROW(E709:E$2)*(E710=E709:E$2)))))</f>
        <v> </v>
      </c>
      <c r="J710" s="26" t="str">
        <f>IF(OR(E710="",E710="!!!",F710="NEW"),"",COUNTBLANK(OFFSET(A$1,,,SUMPRODUCT(MAX(ROW(E$2:E710)*(E710=E$2:E710)))))-COUNTBLANK(OFFSET(A$1,,,SUMPRODUCT(MAX(ROW(E$1:E709)*(E2=E$1:E709))))))</f>
        <v> </v>
      </c>
      <c r="K710" s="26" t="str">
        <f>IF(OR(E710="",E710="!!!",F710="NEW"),"",INDEX(J$1:J709,SUMPRODUCT(MAX(ROW(E$1:E709)*(E710=E$1:E709)))))</f>
        <v> </v>
      </c>
      <c r="L710" s="27"/>
    </row>
    <row r="711" spans="1:12">
      <c r="A711" s="20" t="s">
        <v>217</v>
      </c>
      <c r="E711" s="22">
        <f>IF(D711="?OLD","!!!","")</f>
        <v/>
      </c>
      <c r="F711" s="23" t="str">
        <f>IF(OR(E711="",E711="!!!"),"",IF(NOT(ISNA(VLOOKUP(E711,E$1:E710,1,FALSE()))),"OLD",IF(AND(E711&lt;&gt;"",E711&lt;&gt;"!!!"),"NEW","")))</f>
        <v> </v>
      </c>
      <c r="G711" s="24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5" t="str">
        <f>IF(J711&lt;&gt;1,"",IF(I711="SBJ","CB","?"))</f>
        <v> </v>
      </c>
      <c r="I711" s="26" t="str">
        <f>IF(OR(E711="",E711="!!!",F711="NEW"),"",INDEX(B710:B$2,-1+SUMPRODUCT(MAX(ROW(E710:E$2)*(E711=E710:E$2)))))</f>
        <v> </v>
      </c>
      <c r="J711" s="26" t="str">
        <f>IF(OR(E711="",E711="!!!",F711="NEW"),"",COUNTBLANK(OFFSET(A$1,,,SUMPRODUCT(MAX(ROW(E$2:E711)*(E711=E$2:E711)))))-COUNTBLANK(OFFSET(A$1,,,SUMPRODUCT(MAX(ROW(E$1:E710)*(E2=E$1:E710))))))</f>
        <v> </v>
      </c>
      <c r="K711" s="26" t="str">
        <f>IF(OR(E711="",E711="!!!",F711="NEW"),"",INDEX(J$1:J710,SUMPRODUCT(MAX(ROW(E$1:E710)*(E711=E$1:E710)))))</f>
        <v> </v>
      </c>
      <c r="L711" s="27"/>
    </row>
    <row r="712" spans="1:12">
      <c r="A712" s="20" t="s">
        <v>243</v>
      </c>
      <c r="B712" s="21" t="s">
        <v>244</v>
      </c>
      <c r="C712" s="21" t="s">
        <v>215</v>
      </c>
      <c r="D712" s="21" t="s">
        <v>216</v>
      </c>
      <c r="E712" s="22">
        <f>IF(D712="?OLD","!!!","")</f>
        <v/>
      </c>
      <c r="F712" s="23" t="str">
        <f>IF(OR(E712="",E712="!!!"),"",IF(NOT(ISNA(VLOOKUP(E712,E$1:E711,1,FALSE()))),"OLD",IF(AND(E712&lt;&gt;"",E712&lt;&gt;"!!!"),"NEW","")))</f>
        <v> </v>
      </c>
      <c r="G712" s="24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5" t="str">
        <f>IF(J712&lt;&gt;1,"",IF(I712="SBJ","CB","?"))</f>
        <v> </v>
      </c>
      <c r="I712" s="26" t="str">
        <f>IF(OR(E712="",E712="!!!",F712="NEW"),"",INDEX(B711:B$2,-1+SUMPRODUCT(MAX(ROW(E711:E$2)*(E712=E711:E$2)))))</f>
        <v> </v>
      </c>
      <c r="J712" s="26" t="str">
        <f>IF(OR(E712="",E712="!!!",F712="NEW"),"",COUNTBLANK(OFFSET(A$1,,,SUMPRODUCT(MAX(ROW(E$2:E712)*(E712=E$2:E712)))))-COUNTBLANK(OFFSET(A$1,,,SUMPRODUCT(MAX(ROW(E$1:E711)*(E2=E$1:E711))))))</f>
        <v> </v>
      </c>
      <c r="K712" s="26" t="str">
        <f>IF(OR(E712="",E712="!!!",F712="NEW"),"",INDEX(J$1:J711,SUMPRODUCT(MAX(ROW(E$1:E711)*(E712=E$1:E711)))))</f>
        <v> </v>
      </c>
      <c r="L712" s="27"/>
    </row>
    <row r="713" spans="1:12">
      <c r="A713" s="20" t="s">
        <v>699</v>
      </c>
      <c r="E713" s="22">
        <f>IF(D713="?OLD","!!!","")</f>
        <v/>
      </c>
      <c r="F713" s="23" t="str">
        <f>IF(OR(E713="",E713="!!!"),"",IF(NOT(ISNA(VLOOKUP(E713,E$1:E712,1,FALSE()))),"OLD",IF(AND(E713&lt;&gt;"",E713&lt;&gt;"!!!"),"NEW","")))</f>
        <v> </v>
      </c>
      <c r="G713" s="24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5" t="str">
        <f>IF(J713&lt;&gt;1,"",IF(I713="SBJ","CB","?"))</f>
        <v> </v>
      </c>
      <c r="I713" s="26" t="str">
        <f>IF(OR(E713="",E713="!!!",F713="NEW"),"",INDEX(B712:B$2,-1+SUMPRODUCT(MAX(ROW(E712:E$2)*(E713=E712:E$2)))))</f>
        <v> </v>
      </c>
      <c r="J713" s="26" t="str">
        <f>IF(OR(E713="",E713="!!!",F713="NEW"),"",COUNTBLANK(OFFSET(A$1,,,SUMPRODUCT(MAX(ROW(E$2:E713)*(E713=E$2:E713)))))-COUNTBLANK(OFFSET(A$1,,,SUMPRODUCT(MAX(ROW(E$1:E712)*(E2=E$1:E712))))))</f>
        <v> </v>
      </c>
      <c r="K713" s="26" t="str">
        <f>IF(OR(E713="",E713="!!!",F713="NEW"),"",INDEX(J$1:J712,SUMPRODUCT(MAX(ROW(E$1:E712)*(E713=E$1:E712)))))</f>
        <v> </v>
      </c>
      <c r="L713" s="27"/>
    </row>
    <row r="714" spans="1:12">
      <c r="A714" s="20" t="s">
        <v>637</v>
      </c>
      <c r="B714" s="21" t="s">
        <v>254</v>
      </c>
      <c r="C714" s="21" t="s">
        <v>227</v>
      </c>
      <c r="D714" s="21" t="s">
        <v>216</v>
      </c>
      <c r="E714" s="22">
        <f>IF(D714="?OLD","!!!","")</f>
        <v/>
      </c>
      <c r="F714" s="23" t="str">
        <f>IF(OR(E714="",E714="!!!"),"",IF(NOT(ISNA(VLOOKUP(E714,E$1:E713,1,FALSE()))),"OLD",IF(AND(E714&lt;&gt;"",E714&lt;&gt;"!!!"),"NEW","")))</f>
        <v> </v>
      </c>
      <c r="G714" s="24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5" t="str">
        <f>IF(J714&lt;&gt;1,"",IF(I714="SBJ","CB","?"))</f>
        <v> </v>
      </c>
      <c r="I714" s="26" t="str">
        <f>IF(OR(E714="",E714="!!!",F714="NEW"),"",INDEX(B713:B$2,-1+SUMPRODUCT(MAX(ROW(E713:E$2)*(E714=E713:E$2)))))</f>
        <v> </v>
      </c>
      <c r="J714" s="26" t="str">
        <f>IF(OR(E714="",E714="!!!",F714="NEW"),"",COUNTBLANK(OFFSET(A$1,,,SUMPRODUCT(MAX(ROW(E$2:E714)*(E714=E$2:E714)))))-COUNTBLANK(OFFSET(A$1,,,SUMPRODUCT(MAX(ROW(E$1:E713)*(E2=E$1:E713))))))</f>
        <v> </v>
      </c>
      <c r="K714" s="26" t="str">
        <f>IF(OR(E714="",E714="!!!",F714="NEW"),"",INDEX(J$1:J713,SUMPRODUCT(MAX(ROW(E$1:E713)*(E714=E$1:E713)))))</f>
        <v> </v>
      </c>
      <c r="L714" s="27"/>
    </row>
    <row r="715" spans="1:12">
      <c r="A715" s="20" t="s">
        <v>230</v>
      </c>
      <c r="E715" s="22">
        <f>IF(D715="?OLD","!!!","")</f>
        <v/>
      </c>
      <c r="F715" s="23" t="str">
        <f>IF(OR(E715="",E715="!!!"),"",IF(NOT(ISNA(VLOOKUP(E715,E$1:E714,1,FALSE()))),"OLD",IF(AND(E715&lt;&gt;"",E715&lt;&gt;"!!!"),"NEW","")))</f>
        <v> </v>
      </c>
      <c r="G715" s="24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5" t="str">
        <f>IF(J715&lt;&gt;1,"",IF(I715="SBJ","CB","?"))</f>
        <v> </v>
      </c>
      <c r="I715" s="26" t="str">
        <f>IF(OR(E715="",E715="!!!",F715="NEW"),"",INDEX(B714:B$2,-1+SUMPRODUCT(MAX(ROW(E714:E$2)*(E715=E714:E$2)))))</f>
        <v> </v>
      </c>
      <c r="J715" s="26" t="str">
        <f>IF(OR(E715="",E715="!!!",F715="NEW"),"",COUNTBLANK(OFFSET(A$1,,,SUMPRODUCT(MAX(ROW(E$2:E715)*(E715=E$2:E715)))))-COUNTBLANK(OFFSET(A$1,,,SUMPRODUCT(MAX(ROW(E$1:E714)*(E2=E$1:E714))))))</f>
        <v> </v>
      </c>
      <c r="K715" s="26" t="str">
        <f>IF(OR(E715="",E715="!!!",F715="NEW"),"",INDEX(J$1:J714,SUMPRODUCT(MAX(ROW(E$1:E714)*(E715=E$1:E714)))))</f>
        <v> </v>
      </c>
      <c r="L715" s="27"/>
    </row>
    <row r="716" spans="1:12">
      <c r="A716" s="20" t="s">
        <v>281</v>
      </c>
      <c r="E716" s="22">
        <f>IF(D716="?OLD","!!!","")</f>
        <v/>
      </c>
      <c r="F716" s="23" t="str">
        <f>IF(OR(E716="",E716="!!!"),"",IF(NOT(ISNA(VLOOKUP(E716,E$1:E715,1,FALSE()))),"OLD",IF(AND(E716&lt;&gt;"",E716&lt;&gt;"!!!"),"NEW","")))</f>
        <v> </v>
      </c>
      <c r="G716" s="24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5" t="str">
        <f>IF(J716&lt;&gt;1,"",IF(I716="SBJ","CB","?"))</f>
        <v> </v>
      </c>
      <c r="I716" s="26" t="str">
        <f>IF(OR(E716="",E716="!!!",F716="NEW"),"",INDEX(B715:B$2,-1+SUMPRODUCT(MAX(ROW(E715:E$2)*(E716=E715:E$2)))))</f>
        <v> </v>
      </c>
      <c r="J716" s="26" t="str">
        <f>IF(OR(E716="",E716="!!!",F716="NEW"),"",COUNTBLANK(OFFSET(A$1,,,SUMPRODUCT(MAX(ROW(E$2:E716)*(E716=E$2:E716)))))-COUNTBLANK(OFFSET(A$1,,,SUMPRODUCT(MAX(ROW(E$1:E715)*(E2=E$1:E715))))))</f>
        <v> </v>
      </c>
      <c r="K716" s="26" t="str">
        <f>IF(OR(E716="",E716="!!!",F716="NEW"),"",INDEX(J$1:J715,SUMPRODUCT(MAX(ROW(E$1:E715)*(E716=E$1:E715)))))</f>
        <v> </v>
      </c>
      <c r="L716" s="27"/>
    </row>
    <row r="717" spans="1:12">
      <c r="A717" s="20" t="s">
        <v>700</v>
      </c>
      <c r="E717" s="22">
        <f>IF(D717="?OLD","!!!","")</f>
        <v/>
      </c>
      <c r="F717" s="23" t="str">
        <f>IF(OR(E717="",E717="!!!"),"",IF(NOT(ISNA(VLOOKUP(E717,E$1:E716,1,FALSE()))),"OLD",IF(AND(E717&lt;&gt;"",E717&lt;&gt;"!!!"),"NEW","")))</f>
        <v> </v>
      </c>
      <c r="G717" s="24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5" t="str">
        <f>IF(J717&lt;&gt;1,"",IF(I717="SBJ","CB","?"))</f>
        <v> </v>
      </c>
      <c r="I717" s="26" t="str">
        <f>IF(OR(E717="",E717="!!!",F717="NEW"),"",INDEX(B716:B$2,-1+SUMPRODUCT(MAX(ROW(E716:E$2)*(E717=E716:E$2)))))</f>
        <v> </v>
      </c>
      <c r="J717" s="26" t="str">
        <f>IF(OR(E717="",E717="!!!",F717="NEW"),"",COUNTBLANK(OFFSET(A$1,,,SUMPRODUCT(MAX(ROW(E$2:E717)*(E717=E$2:E717)))))-COUNTBLANK(OFFSET(A$1,,,SUMPRODUCT(MAX(ROW(E$1:E716)*(E2=E$1:E716))))))</f>
        <v> </v>
      </c>
      <c r="K717" s="26" t="str">
        <f>IF(OR(E717="",E717="!!!",F717="NEW"),"",INDEX(J$1:J716,SUMPRODUCT(MAX(ROW(E$1:E716)*(E717=E$1:E716)))))</f>
        <v> </v>
      </c>
      <c r="L717" s="27"/>
    </row>
    <row r="718" spans="1:12">
      <c r="A718" s="20" t="s">
        <v>701</v>
      </c>
      <c r="B718" s="21" t="s">
        <v>504</v>
      </c>
      <c r="C718" s="21" t="s">
        <v>331</v>
      </c>
      <c r="E718" s="22">
        <f>IF(D718="?OLD","!!!","")</f>
        <v/>
      </c>
      <c r="F718" s="23" t="str">
        <f>IF(OR(E718="",E718="!!!"),"",IF(NOT(ISNA(VLOOKUP(E718,E$1:E717,1,FALSE()))),"OLD",IF(AND(E718&lt;&gt;"",E718&lt;&gt;"!!!"),"NEW","")))</f>
        <v> </v>
      </c>
      <c r="G718" s="24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5" t="str">
        <f>IF(J718&lt;&gt;1,"",IF(I718="SBJ","CB","?"))</f>
        <v> </v>
      </c>
      <c r="I718" s="26" t="str">
        <f>IF(OR(E718="",E718="!!!",F718="NEW"),"",INDEX(B717:B$2,-1+SUMPRODUCT(MAX(ROW(E717:E$2)*(E718=E717:E$2)))))</f>
        <v> </v>
      </c>
      <c r="J718" s="26" t="str">
        <f>IF(OR(E718="",E718="!!!",F718="NEW"),"",COUNTBLANK(OFFSET(A$1,,,SUMPRODUCT(MAX(ROW(E$2:E718)*(E718=E$2:E718)))))-COUNTBLANK(OFFSET(A$1,,,SUMPRODUCT(MAX(ROW(E$1:E717)*(E2=E$1:E717))))))</f>
        <v> </v>
      </c>
      <c r="K718" s="26" t="str">
        <f>IF(OR(E718="",E718="!!!",F718="NEW"),"",INDEX(J$1:J717,SUMPRODUCT(MAX(ROW(E$1:E717)*(E718=E$1:E717)))))</f>
        <v> </v>
      </c>
      <c r="L718" s="27"/>
    </row>
    <row r="719" spans="1:12">
      <c r="A719" s="20" t="s">
        <v>702</v>
      </c>
      <c r="E719" s="22">
        <f>IF(D719="?OLD","!!!","")</f>
        <v/>
      </c>
      <c r="F719" s="23" t="str">
        <f>IF(OR(E719="",E719="!!!"),"",IF(NOT(ISNA(VLOOKUP(E719,E$1:E718,1,FALSE()))),"OLD",IF(AND(E719&lt;&gt;"",E719&lt;&gt;"!!!"),"NEW","")))</f>
        <v> </v>
      </c>
      <c r="G719" s="24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5" t="str">
        <f>IF(J719&lt;&gt;1,"",IF(I719="SBJ","CB","?"))</f>
        <v> </v>
      </c>
      <c r="I719" s="26" t="str">
        <f>IF(OR(E719="",E719="!!!",F719="NEW"),"",INDEX(B718:B$2,-1+SUMPRODUCT(MAX(ROW(E718:E$2)*(E719=E718:E$2)))))</f>
        <v> </v>
      </c>
      <c r="J719" s="26" t="str">
        <f>IF(OR(E719="",E719="!!!",F719="NEW"),"",COUNTBLANK(OFFSET(A$1,,,SUMPRODUCT(MAX(ROW(E$2:E719)*(E719=E$2:E719)))))-COUNTBLANK(OFFSET(A$1,,,SUMPRODUCT(MAX(ROW(E$1:E718)*(E2=E$1:E718))))))</f>
        <v> </v>
      </c>
      <c r="K719" s="26" t="str">
        <f>IF(OR(E719="",E719="!!!",F719="NEW"),"",INDEX(J$1:J718,SUMPRODUCT(MAX(ROW(E$1:E718)*(E719=E$1:E718)))))</f>
        <v> </v>
      </c>
      <c r="L719" s="27"/>
    </row>
    <row r="720" spans="1:12">
      <c r="A720" s="20" t="s">
        <v>703</v>
      </c>
      <c r="B720" s="21" t="s">
        <v>503</v>
      </c>
      <c r="C720" s="21" t="s">
        <v>277</v>
      </c>
      <c r="D720" s="21" t="s">
        <v>216</v>
      </c>
      <c r="E720" s="22">
        <f>IF(D720="?OLD","!!!","")</f>
        <v/>
      </c>
      <c r="F720" s="23" t="str">
        <f>IF(OR(E720="",E720="!!!"),"",IF(NOT(ISNA(VLOOKUP(E720,E$1:E719,1,FALSE()))),"OLD",IF(AND(E720&lt;&gt;"",E720&lt;&gt;"!!!"),"NEW","")))</f>
        <v> </v>
      </c>
      <c r="G720" s="24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5" t="str">
        <f>IF(J720&lt;&gt;1,"",IF(I720="SBJ","CB","?"))</f>
        <v> </v>
      </c>
      <c r="I720" s="26" t="str">
        <f>IF(OR(E720="",E720="!!!",F720="NEW"),"",INDEX(B719:B$2,-1+SUMPRODUCT(MAX(ROW(E719:E$2)*(E720=E719:E$2)))))</f>
        <v> </v>
      </c>
      <c r="J720" s="26" t="str">
        <f>IF(OR(E720="",E720="!!!",F720="NEW"),"",COUNTBLANK(OFFSET(A$1,,,SUMPRODUCT(MAX(ROW(E$2:E720)*(E720=E$2:E720)))))-COUNTBLANK(OFFSET(A$1,,,SUMPRODUCT(MAX(ROW(E$1:E719)*(E2=E$1:E719))))))</f>
        <v> </v>
      </c>
      <c r="K720" s="26" t="str">
        <f>IF(OR(E720="",E720="!!!",F720="NEW"),"",INDEX(J$1:J719,SUMPRODUCT(MAX(ROW(E$1:E719)*(E720=E$1:E719)))))</f>
        <v> </v>
      </c>
      <c r="L720" s="27"/>
    </row>
    <row r="721" spans="1:12">
      <c r="A721" s="20" t="s">
        <v>366</v>
      </c>
      <c r="E721" s="22">
        <f>IF(D721="?OLD","!!!","")</f>
        <v/>
      </c>
      <c r="F721" s="23" t="str">
        <f>IF(OR(E721="",E721="!!!"),"",IF(NOT(ISNA(VLOOKUP(E721,E$1:E720,1,FALSE()))),"OLD",IF(AND(E721&lt;&gt;"",E721&lt;&gt;"!!!"),"NEW","")))</f>
        <v> </v>
      </c>
      <c r="G721" s="24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5" t="str">
        <f>IF(J721&lt;&gt;1,"",IF(I721="SBJ","CB","?"))</f>
        <v> </v>
      </c>
      <c r="I721" s="26" t="str">
        <f>IF(OR(E721="",E721="!!!",F721="NEW"),"",INDEX(B720:B$2,-1+SUMPRODUCT(MAX(ROW(E720:E$2)*(E721=E720:E$2)))))</f>
        <v> </v>
      </c>
      <c r="J721" s="26" t="str">
        <f>IF(OR(E721="",E721="!!!",F721="NEW"),"",COUNTBLANK(OFFSET(A$1,,,SUMPRODUCT(MAX(ROW(E$2:E721)*(E721=E$2:E721)))))-COUNTBLANK(OFFSET(A$1,,,SUMPRODUCT(MAX(ROW(E$1:E720)*(E2=E$1:E720))))))</f>
        <v> </v>
      </c>
      <c r="K721" s="26" t="str">
        <f>IF(OR(E721="",E721="!!!",F721="NEW"),"",INDEX(J$1:J720,SUMPRODUCT(MAX(ROW(E$1:E720)*(E721=E$1:E720)))))</f>
        <v> </v>
      </c>
      <c r="L721" s="27"/>
    </row>
    <row r="722" spans="1:12">
      <c r="A722" s="20" t="s">
        <v>220</v>
      </c>
      <c r="E722" s="22">
        <f>IF(D722="?OLD","!!!","")</f>
        <v/>
      </c>
      <c r="F722" s="23" t="str">
        <f>IF(OR(E722="",E722="!!!"),"",IF(NOT(ISNA(VLOOKUP(E722,E$1:E721,1,FALSE()))),"OLD",IF(AND(E722&lt;&gt;"",E722&lt;&gt;"!!!"),"NEW","")))</f>
        <v> </v>
      </c>
      <c r="G722" s="24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5" t="str">
        <f>IF(J722&lt;&gt;1,"",IF(I722="SBJ","CB","?"))</f>
        <v> </v>
      </c>
      <c r="I722" s="26" t="str">
        <f>IF(OR(E722="",E722="!!!",F722="NEW"),"",INDEX(B721:B$2,-1+SUMPRODUCT(MAX(ROW(E721:E$2)*(E722=E721:E$2)))))</f>
        <v> </v>
      </c>
      <c r="J722" s="26" t="str">
        <f>IF(OR(E722="",E722="!!!",F722="NEW"),"",COUNTBLANK(OFFSET(A$1,,,SUMPRODUCT(MAX(ROW(E$2:E722)*(E722=E$2:E722)))))-COUNTBLANK(OFFSET(A$1,,,SUMPRODUCT(MAX(ROW(E$1:E721)*(E2=E$1:E721))))))</f>
        <v> </v>
      </c>
      <c r="K722" s="26" t="str">
        <f>IF(OR(E722="",E722="!!!",F722="NEW"),"",INDEX(J$1:J721,SUMPRODUCT(MAX(ROW(E$1:E721)*(E722=E$1:E721)))))</f>
        <v> </v>
      </c>
      <c r="L722" s="27"/>
    </row>
    <row r="723" spans="1:12">
      <c r="A723" s="20" t="s">
        <v>704</v>
      </c>
      <c r="E723" s="22">
        <f>IF(D723="?OLD","!!!","")</f>
        <v/>
      </c>
      <c r="F723" s="23" t="str">
        <f>IF(OR(E723="",E723="!!!"),"",IF(NOT(ISNA(VLOOKUP(E723,E$1:E722,1,FALSE()))),"OLD",IF(AND(E723&lt;&gt;"",E723&lt;&gt;"!!!"),"NEW","")))</f>
        <v> </v>
      </c>
      <c r="G723" s="24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5" t="str">
        <f>IF(J723&lt;&gt;1,"",IF(I723="SBJ","CB","?"))</f>
        <v> </v>
      </c>
      <c r="I723" s="26" t="str">
        <f>IF(OR(E723="",E723="!!!",F723="NEW"),"",INDEX(B722:B$2,-1+SUMPRODUCT(MAX(ROW(E722:E$2)*(E723=E722:E$2)))))</f>
        <v> </v>
      </c>
      <c r="J723" s="26" t="str">
        <f>IF(OR(E723="",E723="!!!",F723="NEW"),"",COUNTBLANK(OFFSET(A$1,,,SUMPRODUCT(MAX(ROW(E$2:E723)*(E723=E$2:E723)))))-COUNTBLANK(OFFSET(A$1,,,SUMPRODUCT(MAX(ROW(E$1:E722)*(E2=E$1:E722))))))</f>
        <v> </v>
      </c>
      <c r="K723" s="26" t="str">
        <f>IF(OR(E723="",E723="!!!",F723="NEW"),"",INDEX(J$1:J722,SUMPRODUCT(MAX(ROW(E$1:E722)*(E723=E$1:E722)))))</f>
        <v> </v>
      </c>
      <c r="L723" s="27"/>
    </row>
    <row r="724" spans="1:12">
      <c r="A724" s="20" t="s">
        <v>222</v>
      </c>
      <c r="E724" s="22">
        <f>IF(D724="?OLD","!!!","")</f>
        <v/>
      </c>
      <c r="F724" s="23" t="str">
        <f>IF(OR(E724="",E724="!!!"),"",IF(NOT(ISNA(VLOOKUP(E724,E$1:E723,1,FALSE()))),"OLD",IF(AND(E724&lt;&gt;"",E724&lt;&gt;"!!!"),"NEW","")))</f>
        <v> </v>
      </c>
      <c r="G724" s="24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5" t="str">
        <f>IF(J724&lt;&gt;1,"",IF(I724="SBJ","CB","?"))</f>
        <v> </v>
      </c>
      <c r="I724" s="26" t="str">
        <f>IF(OR(E724="",E724="!!!",F724="NEW"),"",INDEX(B723:B$2,-1+SUMPRODUCT(MAX(ROW(E723:E$2)*(E724=E723:E$2)))))</f>
        <v> </v>
      </c>
      <c r="J724" s="26" t="str">
        <f>IF(OR(E724="",E724="!!!",F724="NEW"),"",COUNTBLANK(OFFSET(A$1,,,SUMPRODUCT(MAX(ROW(E$2:E724)*(E724=E$2:E724)))))-COUNTBLANK(OFFSET(A$1,,,SUMPRODUCT(MAX(ROW(E$1:E723)*(E2=E$1:E723))))))</f>
        <v> </v>
      </c>
      <c r="K724" s="26" t="str">
        <f>IF(OR(E724="",E724="!!!",F724="NEW"),"",INDEX(J$1:J723,SUMPRODUCT(MAX(ROW(E$1:E723)*(E724=E$1:E723)))))</f>
        <v> </v>
      </c>
      <c r="L724" s="27"/>
    </row>
    <row r="725" spans="1:12">
      <c r="A725" s="20" t="s">
        <v>220</v>
      </c>
      <c r="E725" s="22">
        <f>IF(D725="?OLD","!!!","")</f>
        <v/>
      </c>
      <c r="F725" s="23" t="str">
        <f>IF(OR(E725="",E725="!!!"),"",IF(NOT(ISNA(VLOOKUP(E725,E$1:E724,1,FALSE()))),"OLD",IF(AND(E725&lt;&gt;"",E725&lt;&gt;"!!!"),"NEW","")))</f>
        <v> </v>
      </c>
      <c r="G725" s="24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5" t="str">
        <f>IF(J725&lt;&gt;1,"",IF(I725="SBJ","CB","?"))</f>
        <v> </v>
      </c>
      <c r="I725" s="26" t="str">
        <f>IF(OR(E725="",E725="!!!",F725="NEW"),"",INDEX(B724:B$2,-1+SUMPRODUCT(MAX(ROW(E724:E$2)*(E725=E724:E$2)))))</f>
        <v> </v>
      </c>
      <c r="J725" s="26" t="str">
        <f>IF(OR(E725="",E725="!!!",F725="NEW"),"",COUNTBLANK(OFFSET(A$1,,,SUMPRODUCT(MAX(ROW(E$2:E725)*(E725=E$2:E725)))))-COUNTBLANK(OFFSET(A$1,,,SUMPRODUCT(MAX(ROW(E$1:E724)*(E2=E$1:E724))))))</f>
        <v> </v>
      </c>
      <c r="K725" s="26" t="str">
        <f>IF(OR(E725="",E725="!!!",F725="NEW"),"",INDEX(J$1:J724,SUMPRODUCT(MAX(ROW(E$1:E724)*(E725=E$1:E724)))))</f>
        <v> </v>
      </c>
      <c r="L725" s="27"/>
    </row>
    <row r="726" spans="1:12">
      <c r="A726" s="20" t="s">
        <v>219</v>
      </c>
      <c r="E726" s="22">
        <f>IF(D726="?OLD","!!!","")</f>
        <v/>
      </c>
      <c r="F726" s="23" t="str">
        <f>IF(OR(E726="",E726="!!!"),"",IF(NOT(ISNA(VLOOKUP(E726,E$1:E725,1,FALSE()))),"OLD",IF(AND(E726&lt;&gt;"",E726&lt;&gt;"!!!"),"NEW","")))</f>
        <v> </v>
      </c>
      <c r="G726" s="24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5" t="str">
        <f>IF(J726&lt;&gt;1,"",IF(I726="SBJ","CB","?"))</f>
        <v> </v>
      </c>
      <c r="I726" s="26" t="str">
        <f>IF(OR(E726="",E726="!!!",F726="NEW"),"",INDEX(B725:B$2,-1+SUMPRODUCT(MAX(ROW(E725:E$2)*(E726=E725:E$2)))))</f>
        <v> </v>
      </c>
      <c r="J726" s="26" t="str">
        <f>IF(OR(E726="",E726="!!!",F726="NEW"),"",COUNTBLANK(OFFSET(A$1,,,SUMPRODUCT(MAX(ROW(E$2:E726)*(E726=E$2:E726)))))-COUNTBLANK(OFFSET(A$1,,,SUMPRODUCT(MAX(ROW(E$1:E725)*(E2=E$1:E725))))))</f>
        <v> </v>
      </c>
      <c r="K726" s="26" t="str">
        <f>IF(OR(E726="",E726="!!!",F726="NEW"),"",INDEX(J$1:J725,SUMPRODUCT(MAX(ROW(E$1:E725)*(E726=E$1:E725)))))</f>
        <v> </v>
      </c>
      <c r="L726" s="27"/>
    </row>
    <row r="727" spans="1:12">
      <c r="A727" s="20" t="s">
        <v>705</v>
      </c>
      <c r="E727" s="22">
        <f>IF(D727="?OLD","!!!","")</f>
        <v/>
      </c>
      <c r="F727" s="23" t="str">
        <f>IF(OR(E727="",E727="!!!"),"",IF(NOT(ISNA(VLOOKUP(E727,E$1:E726,1,FALSE()))),"OLD",IF(AND(E727&lt;&gt;"",E727&lt;&gt;"!!!"),"NEW","")))</f>
        <v> </v>
      </c>
      <c r="G727" s="24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5" t="str">
        <f>IF(J727&lt;&gt;1,"",IF(I727="SBJ","CB","?"))</f>
        <v> </v>
      </c>
      <c r="I727" s="26" t="str">
        <f>IF(OR(E727="",E727="!!!",F727="NEW"),"",INDEX(B726:B$2,-1+SUMPRODUCT(MAX(ROW(E726:E$2)*(E727=E726:E$2)))))</f>
        <v> </v>
      </c>
      <c r="J727" s="26" t="str">
        <f>IF(OR(E727="",E727="!!!",F727="NEW"),"",COUNTBLANK(OFFSET(A$1,,,SUMPRODUCT(MAX(ROW(E$2:E727)*(E727=E$2:E727)))))-COUNTBLANK(OFFSET(A$1,,,SUMPRODUCT(MAX(ROW(E$1:E726)*(E2=E$1:E726))))))</f>
        <v> </v>
      </c>
      <c r="K727" s="26" t="str">
        <f>IF(OR(E727="",E727="!!!",F727="NEW"),"",INDEX(J$1:J726,SUMPRODUCT(MAX(ROW(E$1:E726)*(E727=E$1:E726)))))</f>
        <v> </v>
      </c>
      <c r="L727" s="27"/>
    </row>
    <row r="728" spans="1:12">
      <c r="A728" s="20" t="s">
        <v>706</v>
      </c>
      <c r="B728" s="21" t="s">
        <v>625</v>
      </c>
      <c r="C728" s="21" t="s">
        <v>331</v>
      </c>
      <c r="E728" s="22">
        <f>IF(D728="?OLD","!!!","")</f>
        <v/>
      </c>
      <c r="F728" s="23" t="str">
        <f>IF(OR(E728="",E728="!!!"),"",IF(NOT(ISNA(VLOOKUP(E728,E$1:E727,1,FALSE()))),"OLD",IF(AND(E728&lt;&gt;"",E728&lt;&gt;"!!!"),"NEW","")))</f>
        <v> </v>
      </c>
      <c r="G728" s="24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5" t="str">
        <f>IF(J728&lt;&gt;1,"",IF(I728="SBJ","CB","?"))</f>
        <v> </v>
      </c>
      <c r="I728" s="26" t="str">
        <f>IF(OR(E728="",E728="!!!",F728="NEW"),"",INDEX(B727:B$2,-1+SUMPRODUCT(MAX(ROW(E727:E$2)*(E728=E727:E$2)))))</f>
        <v> </v>
      </c>
      <c r="J728" s="26" t="str">
        <f>IF(OR(E728="",E728="!!!",F728="NEW"),"",COUNTBLANK(OFFSET(A$1,,,SUMPRODUCT(MAX(ROW(E$2:E728)*(E728=E$2:E728)))))-COUNTBLANK(OFFSET(A$1,,,SUMPRODUCT(MAX(ROW(E$1:E727)*(E2=E$1:E727))))))</f>
        <v> </v>
      </c>
      <c r="K728" s="26" t="str">
        <f>IF(OR(E728="",E728="!!!",F728="NEW"),"",INDEX(J$1:J727,SUMPRODUCT(MAX(ROW(E$1:E727)*(E728=E$1:E727)))))</f>
        <v> </v>
      </c>
      <c r="L728" s="27"/>
    </row>
    <row r="729" spans="1:12">
      <c r="A729" s="20" t="s">
        <v>230</v>
      </c>
      <c r="E729" s="22">
        <f>IF(D729="?OLD","!!!","")</f>
        <v/>
      </c>
      <c r="F729" s="23" t="str">
        <f>IF(OR(E729="",E729="!!!"),"",IF(NOT(ISNA(VLOOKUP(E729,E$1:E728,1,FALSE()))),"OLD",IF(AND(E729&lt;&gt;"",E729&lt;&gt;"!!!"),"NEW","")))</f>
        <v> </v>
      </c>
      <c r="G729" s="24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5" t="str">
        <f>IF(J729&lt;&gt;1,"",IF(I729="SBJ","CB","?"))</f>
        <v> </v>
      </c>
      <c r="I729" s="26" t="str">
        <f>IF(OR(E729="",E729="!!!",F729="NEW"),"",INDEX(B728:B$2,-1+SUMPRODUCT(MAX(ROW(E728:E$2)*(E729=E728:E$2)))))</f>
        <v> </v>
      </c>
      <c r="J729" s="26" t="str">
        <f>IF(OR(E729="",E729="!!!",F729="NEW"),"",COUNTBLANK(OFFSET(A$1,,,SUMPRODUCT(MAX(ROW(E$2:E729)*(E729=E$2:E729)))))-COUNTBLANK(OFFSET(A$1,,,SUMPRODUCT(MAX(ROW(E$1:E728)*(E2=E$1:E728))))))</f>
        <v> </v>
      </c>
      <c r="K729" s="26" t="str">
        <f>IF(OR(E729="",E729="!!!",F729="NEW"),"",INDEX(J$1:J728,SUMPRODUCT(MAX(ROW(E$1:E728)*(E729=E$1:E728)))))</f>
        <v> </v>
      </c>
      <c r="L729" s="27"/>
    </row>
    <row r="730" spans="1:12">
      <c r="A730" s="20" t="s">
        <v>563</v>
      </c>
      <c r="B730" s="21" t="s">
        <v>707</v>
      </c>
      <c r="C730" s="21" t="s">
        <v>233</v>
      </c>
      <c r="E730" s="22">
        <f>IF(D730="?OLD","!!!","")</f>
        <v/>
      </c>
      <c r="F730" s="23" t="str">
        <f>IF(OR(E730="",E730="!!!"),"",IF(NOT(ISNA(VLOOKUP(E730,E$1:E729,1,FALSE()))),"OLD",IF(AND(E730&lt;&gt;"",E730&lt;&gt;"!!!"),"NEW","")))</f>
        <v> </v>
      </c>
      <c r="G730" s="24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5" t="str">
        <f>IF(J730&lt;&gt;1,"",IF(I730="SBJ","CB","?"))</f>
        <v> </v>
      </c>
      <c r="I730" s="26" t="str">
        <f>IF(OR(E730="",E730="!!!",F730="NEW"),"",INDEX(B729:B$2,-1+SUMPRODUCT(MAX(ROW(E729:E$2)*(E730=E729:E$2)))))</f>
        <v> </v>
      </c>
      <c r="J730" s="26" t="str">
        <f>IF(OR(E730="",E730="!!!",F730="NEW"),"",COUNTBLANK(OFFSET(A$1,,,SUMPRODUCT(MAX(ROW(E$2:E730)*(E730=E$2:E730)))))-COUNTBLANK(OFFSET(A$1,,,SUMPRODUCT(MAX(ROW(E$1:E729)*(E2=E$1:E729))))))</f>
        <v> </v>
      </c>
      <c r="K730" s="26" t="str">
        <f>IF(OR(E730="",E730="!!!",F730="NEW"),"",INDEX(J$1:J729,SUMPRODUCT(MAX(ROW(E$1:E729)*(E730=E$1:E729)))))</f>
        <v> </v>
      </c>
      <c r="L730" s="27"/>
    </row>
    <row r="731" spans="1:12">
      <c r="A731" s="20" t="s">
        <v>708</v>
      </c>
      <c r="E731" s="22">
        <f>IF(D731="?OLD","!!!","")</f>
        <v/>
      </c>
      <c r="F731" s="23" t="str">
        <f>IF(OR(E731="",E731="!!!"),"",IF(NOT(ISNA(VLOOKUP(E731,E$1:E730,1,FALSE()))),"OLD",IF(AND(E731&lt;&gt;"",E731&lt;&gt;"!!!"),"NEW","")))</f>
        <v> </v>
      </c>
      <c r="G731" s="24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5" t="str">
        <f>IF(J731&lt;&gt;1,"",IF(I731="SBJ","CB","?"))</f>
        <v> </v>
      </c>
      <c r="I731" s="26" t="str">
        <f>IF(OR(E731="",E731="!!!",F731="NEW"),"",INDEX(B730:B$2,-1+SUMPRODUCT(MAX(ROW(E730:E$2)*(E731=E730:E$2)))))</f>
        <v> </v>
      </c>
      <c r="J731" s="26" t="str">
        <f>IF(OR(E731="",E731="!!!",F731="NEW"),"",COUNTBLANK(OFFSET(A$1,,,SUMPRODUCT(MAX(ROW(E$2:E731)*(E731=E$2:E731)))))-COUNTBLANK(OFFSET(A$1,,,SUMPRODUCT(MAX(ROW(E$1:E730)*(E2=E$1:E730))))))</f>
        <v> </v>
      </c>
      <c r="K731" s="26" t="str">
        <f>IF(OR(E731="",E731="!!!",F731="NEW"),"",INDEX(J$1:J730,SUMPRODUCT(MAX(ROW(E$1:E730)*(E731=E$1:E730)))))</f>
        <v> </v>
      </c>
      <c r="L731" s="27"/>
    </row>
    <row r="732" spans="1:12">
      <c r="A732" s="20" t="s">
        <v>709</v>
      </c>
      <c r="B732" s="21" t="s">
        <v>663</v>
      </c>
      <c r="E732" s="22">
        <f>IF(D732="?OLD","!!!","")</f>
        <v/>
      </c>
      <c r="F732" s="23" t="str">
        <f>IF(OR(E732="",E732="!!!"),"",IF(NOT(ISNA(VLOOKUP(E732,E$1:E731,1,FALSE()))),"OLD",IF(AND(E732&lt;&gt;"",E732&lt;&gt;"!!!"),"NEW","")))</f>
        <v> </v>
      </c>
      <c r="G732" s="24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5" t="str">
        <f>IF(J732&lt;&gt;1,"",IF(I732="SBJ","CB","?"))</f>
        <v> </v>
      </c>
      <c r="I732" s="26" t="str">
        <f>IF(OR(E732="",E732="!!!",F732="NEW"),"",INDEX(B731:B$2,-1+SUMPRODUCT(MAX(ROW(E731:E$2)*(E732=E731:E$2)))))</f>
        <v> </v>
      </c>
      <c r="J732" s="26" t="str">
        <f>IF(OR(E732="",E732="!!!",F732="NEW"),"",COUNTBLANK(OFFSET(A$1,,,SUMPRODUCT(MAX(ROW(E$2:E732)*(E732=E$2:E732)))))-COUNTBLANK(OFFSET(A$1,,,SUMPRODUCT(MAX(ROW(E$1:E731)*(E2=E$1:E731))))))</f>
        <v> </v>
      </c>
      <c r="K732" s="26" t="str">
        <f>IF(OR(E732="",E732="!!!",F732="NEW"),"",INDEX(J$1:J731,SUMPRODUCT(MAX(ROW(E$1:E731)*(E732=E$1:E731)))))</f>
        <v> </v>
      </c>
      <c r="L732" s="27"/>
    </row>
    <row r="733" spans="1:12">
      <c r="A733" s="20" t="s">
        <v>710</v>
      </c>
      <c r="E733" s="22">
        <f>IF(D733="?OLD","!!!","")</f>
        <v/>
      </c>
      <c r="F733" s="23" t="str">
        <f>IF(OR(E733="",E733="!!!"),"",IF(NOT(ISNA(VLOOKUP(E733,E$1:E732,1,FALSE()))),"OLD",IF(AND(E733&lt;&gt;"",E733&lt;&gt;"!!!"),"NEW","")))</f>
        <v> </v>
      </c>
      <c r="G733" s="24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5" t="str">
        <f>IF(J733&lt;&gt;1,"",IF(I733="SBJ","CB","?"))</f>
        <v> </v>
      </c>
      <c r="I733" s="26" t="str">
        <f>IF(OR(E733="",E733="!!!",F733="NEW"),"",INDEX(B732:B$2,-1+SUMPRODUCT(MAX(ROW(E732:E$2)*(E733=E732:E$2)))))</f>
        <v> </v>
      </c>
      <c r="J733" s="26" t="str">
        <f>IF(OR(E733="",E733="!!!",F733="NEW"),"",COUNTBLANK(OFFSET(A$1,,,SUMPRODUCT(MAX(ROW(E$2:E733)*(E733=E$2:E733)))))-COUNTBLANK(OFFSET(A$1,,,SUMPRODUCT(MAX(ROW(E$1:E732)*(E2=E$1:E732))))))</f>
        <v> </v>
      </c>
      <c r="K733" s="26" t="str">
        <f>IF(OR(E733="",E733="!!!",F733="NEW"),"",INDEX(J$1:J732,SUMPRODUCT(MAX(ROW(E$1:E732)*(E733=E$1:E732)))))</f>
        <v> </v>
      </c>
      <c r="L733" s="27"/>
    </row>
    <row r="734" spans="1:12">
      <c r="A734" s="20" t="s">
        <v>217</v>
      </c>
      <c r="E734" s="22">
        <f>IF(D734="?OLD","!!!","")</f>
        <v/>
      </c>
      <c r="F734" s="23" t="str">
        <f>IF(OR(E734="",E734="!!!"),"",IF(NOT(ISNA(VLOOKUP(E734,E$1:E733,1,FALSE()))),"OLD",IF(AND(E734&lt;&gt;"",E734&lt;&gt;"!!!"),"NEW","")))</f>
        <v> </v>
      </c>
      <c r="G734" s="24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5" t="str">
        <f>IF(J734&lt;&gt;1,"",IF(I734="SBJ","CB","?"))</f>
        <v> </v>
      </c>
      <c r="I734" s="26" t="str">
        <f>IF(OR(E734="",E734="!!!",F734="NEW"),"",INDEX(B733:B$2,-1+SUMPRODUCT(MAX(ROW(E733:E$2)*(E734=E733:E$2)))))</f>
        <v> </v>
      </c>
      <c r="J734" s="26" t="str">
        <f>IF(OR(E734="",E734="!!!",F734="NEW"),"",COUNTBLANK(OFFSET(A$1,,,SUMPRODUCT(MAX(ROW(E$2:E734)*(E734=E$2:E734)))))-COUNTBLANK(OFFSET(A$1,,,SUMPRODUCT(MAX(ROW(E$1:E733)*(E2=E$1:E733))))))</f>
        <v> </v>
      </c>
      <c r="K734" s="26" t="str">
        <f>IF(OR(E734="",E734="!!!",F734="NEW"),"",INDEX(J$1:J733,SUMPRODUCT(MAX(ROW(E$1:E733)*(E734=E$1:E733)))))</f>
        <v> </v>
      </c>
      <c r="L734" s="27"/>
    </row>
    <row r="735" spans="1:12">
      <c r="A735" s="20" t="s">
        <v>711</v>
      </c>
      <c r="E735" s="22">
        <f>IF(D735="?OLD","!!!","")</f>
        <v/>
      </c>
      <c r="F735" s="23" t="str">
        <f>IF(OR(E735="",E735="!!!"),"",IF(NOT(ISNA(VLOOKUP(E735,E$1:E734,1,FALSE()))),"OLD",IF(AND(E735&lt;&gt;"",E735&lt;&gt;"!!!"),"NEW","")))</f>
        <v> </v>
      </c>
      <c r="G735" s="24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5" t="str">
        <f>IF(J735&lt;&gt;1,"",IF(I735="SBJ","CB","?"))</f>
        <v> </v>
      </c>
      <c r="I735" s="26" t="str">
        <f>IF(OR(E735="",E735="!!!",F735="NEW"),"",INDEX(B734:B$2,-1+SUMPRODUCT(MAX(ROW(E734:E$2)*(E735=E734:E$2)))))</f>
        <v> </v>
      </c>
      <c r="J735" s="26" t="str">
        <f>IF(OR(E735="",E735="!!!",F735="NEW"),"",COUNTBLANK(OFFSET(A$1,,,SUMPRODUCT(MAX(ROW(E$2:E735)*(E735=E$2:E735)))))-COUNTBLANK(OFFSET(A$1,,,SUMPRODUCT(MAX(ROW(E$1:E734)*(E2=E$1:E734))))))</f>
        <v> </v>
      </c>
      <c r="K735" s="26" t="str">
        <f>IF(OR(E735="",E735="!!!",F735="NEW"),"",INDEX(J$1:J734,SUMPRODUCT(MAX(ROW(E$1:E734)*(E735=E$1:E734)))))</f>
        <v> </v>
      </c>
      <c r="L735" s="27"/>
    </row>
    <row r="736" spans="1:12">
      <c r="A736" s="20" t="s">
        <v>664</v>
      </c>
      <c r="B736" s="21" t="s">
        <v>712</v>
      </c>
      <c r="C736" s="21" t="s">
        <v>215</v>
      </c>
      <c r="D736" s="21" t="s">
        <v>216</v>
      </c>
      <c r="E736" s="22">
        <f>IF(D736="?OLD","!!!","")</f>
        <v/>
      </c>
      <c r="F736" s="23" t="str">
        <f>IF(OR(E736="",E736="!!!"),"",IF(NOT(ISNA(VLOOKUP(E736,E$1:E735,1,FALSE()))),"OLD",IF(AND(E736&lt;&gt;"",E736&lt;&gt;"!!!"),"NEW","")))</f>
        <v> </v>
      </c>
      <c r="G736" s="24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5" t="str">
        <f>IF(J736&lt;&gt;1,"",IF(I736="SBJ","CB","?"))</f>
        <v> </v>
      </c>
      <c r="I736" s="26" t="str">
        <f>IF(OR(E736="",E736="!!!",F736="NEW"),"",INDEX(B735:B$2,-1+SUMPRODUCT(MAX(ROW(E735:E$2)*(E736=E735:E$2)))))</f>
        <v> </v>
      </c>
      <c r="J736" s="26" t="str">
        <f>IF(OR(E736="",E736="!!!",F736="NEW"),"",COUNTBLANK(OFFSET(A$1,,,SUMPRODUCT(MAX(ROW(E$2:E736)*(E736=E$2:E736)))))-COUNTBLANK(OFFSET(A$1,,,SUMPRODUCT(MAX(ROW(E$1:E735)*(E2=E$1:E735))))))</f>
        <v> </v>
      </c>
      <c r="K736" s="26" t="str">
        <f>IF(OR(E736="",E736="!!!",F736="NEW"),"",INDEX(J$1:J735,SUMPRODUCT(MAX(ROW(E$1:E735)*(E736=E$1:E735)))))</f>
        <v> </v>
      </c>
      <c r="L736" s="27"/>
    </row>
    <row r="737" spans="1:12">
      <c r="A737" s="20" t="s">
        <v>230</v>
      </c>
      <c r="E737" s="22">
        <f>IF(D737="?OLD","!!!","")</f>
        <v/>
      </c>
      <c r="F737" s="23" t="str">
        <f>IF(OR(E737="",E737="!!!"),"",IF(NOT(ISNA(VLOOKUP(E737,E$1:E736,1,FALSE()))),"OLD",IF(AND(E737&lt;&gt;"",E737&lt;&gt;"!!!"),"NEW","")))</f>
        <v> </v>
      </c>
      <c r="G737" s="24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5" t="str">
        <f>IF(J737&lt;&gt;1,"",IF(I737="SBJ","CB","?"))</f>
        <v> </v>
      </c>
      <c r="I737" s="26" t="str">
        <f>IF(OR(E737="",E737="!!!",F737="NEW"),"",INDEX(B736:B$2,-1+SUMPRODUCT(MAX(ROW(E736:E$2)*(E737=E736:E$2)))))</f>
        <v> </v>
      </c>
      <c r="J737" s="26" t="str">
        <f>IF(OR(E737="",E737="!!!",F737="NEW"),"",COUNTBLANK(OFFSET(A$1,,,SUMPRODUCT(MAX(ROW(E$2:E737)*(E737=E$2:E737)))))-COUNTBLANK(OFFSET(A$1,,,SUMPRODUCT(MAX(ROW(E$1:E736)*(E2=E$1:E736))))))</f>
        <v> </v>
      </c>
      <c r="K737" s="26" t="str">
        <f>IF(OR(E737="",E737="!!!",F737="NEW"),"",INDEX(J$1:J736,SUMPRODUCT(MAX(ROW(E$1:E736)*(E737=E$1:E736)))))</f>
        <v> </v>
      </c>
      <c r="L737" s="27"/>
    </row>
    <row r="738" spans="1:12">
      <c r="A738" s="20" t="s">
        <v>713</v>
      </c>
      <c r="E738" s="22">
        <f>IF(D738="?OLD","!!!","")</f>
        <v/>
      </c>
      <c r="F738" s="23" t="str">
        <f>IF(OR(E738="",E738="!!!"),"",IF(NOT(ISNA(VLOOKUP(E738,E$1:E737,1,FALSE()))),"OLD",IF(AND(E738&lt;&gt;"",E738&lt;&gt;"!!!"),"NEW","")))</f>
        <v> </v>
      </c>
      <c r="G738" s="24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5" t="str">
        <f>IF(J738&lt;&gt;1,"",IF(I738="SBJ","CB","?"))</f>
        <v> </v>
      </c>
      <c r="I738" s="26" t="str">
        <f>IF(OR(E738="",E738="!!!",F738="NEW"),"",INDEX(B737:B$2,-1+SUMPRODUCT(MAX(ROW(E737:E$2)*(E738=E737:E$2)))))</f>
        <v> </v>
      </c>
      <c r="J738" s="26" t="str">
        <f>IF(OR(E738="",E738="!!!",F738="NEW"),"",COUNTBLANK(OFFSET(A$1,,,SUMPRODUCT(MAX(ROW(E$2:E738)*(E738=E$2:E738)))))-COUNTBLANK(OFFSET(A$1,,,SUMPRODUCT(MAX(ROW(E$1:E737)*(E2=E$1:E737))))))</f>
        <v> </v>
      </c>
      <c r="K738" s="26" t="str">
        <f>IF(OR(E738="",E738="!!!",F738="NEW"),"",INDEX(J$1:J737,SUMPRODUCT(MAX(ROW(E$1:E737)*(E738=E$1:E737)))))</f>
        <v> </v>
      </c>
      <c r="L738" s="27"/>
    </row>
    <row r="739" spans="1:12">
      <c r="A739" s="20" t="s">
        <v>714</v>
      </c>
      <c r="B739" s="21" t="s">
        <v>655</v>
      </c>
      <c r="E739" s="22">
        <f>IF(D739="?OLD","!!!","")</f>
        <v/>
      </c>
      <c r="F739" s="23" t="str">
        <f>IF(OR(E739="",E739="!!!"),"",IF(NOT(ISNA(VLOOKUP(E739,E$1:E738,1,FALSE()))),"OLD",IF(AND(E739&lt;&gt;"",E739&lt;&gt;"!!!"),"NEW","")))</f>
        <v> </v>
      </c>
      <c r="G739" s="24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5" t="str">
        <f>IF(J739&lt;&gt;1,"",IF(I739="SBJ","CB","?"))</f>
        <v> </v>
      </c>
      <c r="I739" s="26" t="str">
        <f>IF(OR(E739="",E739="!!!",F739="NEW"),"",INDEX(B738:B$2,-1+SUMPRODUCT(MAX(ROW(E738:E$2)*(E739=E738:E$2)))))</f>
        <v> </v>
      </c>
      <c r="J739" s="26" t="str">
        <f>IF(OR(E739="",E739="!!!",F739="NEW"),"",COUNTBLANK(OFFSET(A$1,,,SUMPRODUCT(MAX(ROW(E$2:E739)*(E739=E$2:E739)))))-COUNTBLANK(OFFSET(A$1,,,SUMPRODUCT(MAX(ROW(E$1:E738)*(E2=E$1:E738))))))</f>
        <v> </v>
      </c>
      <c r="K739" s="26" t="str">
        <f>IF(OR(E739="",E739="!!!",F739="NEW"),"",INDEX(J$1:J738,SUMPRODUCT(MAX(ROW(E$1:E738)*(E739=E$1:E738)))))</f>
        <v> </v>
      </c>
      <c r="L739" s="27"/>
    </row>
    <row r="740" spans="1:12">
      <c r="A740" s="20" t="s">
        <v>237</v>
      </c>
      <c r="E740" s="22">
        <f>IF(D740="?OLD","!!!","")</f>
        <v/>
      </c>
      <c r="F740" s="23" t="str">
        <f>IF(OR(E740="",E740="!!!"),"",IF(NOT(ISNA(VLOOKUP(E740,E$1:E739,1,FALSE()))),"OLD",IF(AND(E740&lt;&gt;"",E740&lt;&gt;"!!!"),"NEW","")))</f>
        <v> </v>
      </c>
      <c r="G740" s="24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5" t="str">
        <f>IF(J740&lt;&gt;1,"",IF(I740="SBJ","CB","?"))</f>
        <v> </v>
      </c>
      <c r="I740" s="26" t="str">
        <f>IF(OR(E740="",E740="!!!",F740="NEW"),"",INDEX(B739:B$2,-1+SUMPRODUCT(MAX(ROW(E739:E$2)*(E740=E739:E$2)))))</f>
        <v> </v>
      </c>
      <c r="J740" s="26" t="str">
        <f>IF(OR(E740="",E740="!!!",F740="NEW"),"",COUNTBLANK(OFFSET(A$1,,,SUMPRODUCT(MAX(ROW(E$2:E740)*(E740=E$2:E740)))))-COUNTBLANK(OFFSET(A$1,,,SUMPRODUCT(MAX(ROW(E$1:E739)*(E2=E$1:E739))))))</f>
        <v> </v>
      </c>
      <c r="K740" s="26" t="str">
        <f>IF(OR(E740="",E740="!!!",F740="NEW"),"",INDEX(J$1:J739,SUMPRODUCT(MAX(ROW(E$1:E739)*(E740=E$1:E739)))))</f>
        <v> </v>
      </c>
      <c r="L740" s="27"/>
    </row>
    <row r="741" spans="1:12">
      <c r="A741" s="20"/>
    </row>
    <row r="742" spans="1:12">
      <c r="A742" s="20" t="s">
        <v>715</v>
      </c>
    </row>
    <row r="743" spans="1:12">
      <c r="A743" s="20" t="s">
        <v>716</v>
      </c>
      <c r="E743" s="22">
        <f>IF(D743="?OLD","!!!","")</f>
        <v/>
      </c>
      <c r="F743" s="23" t="str">
        <f>IF(OR(E743="",E743="!!!"),"",IF(NOT(ISNA(VLOOKUP(E743,E$1:E742,1,FALSE()))),"OLD",IF(AND(E743&lt;&gt;"",E743&lt;&gt;"!!!"),"NEW","")))</f>
        <v> </v>
      </c>
      <c r="G743" s="24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5" t="str">
        <f>IF(J743&lt;&gt;1,"",IF(I743="SBJ","CB","?"))</f>
        <v> </v>
      </c>
      <c r="I743" s="26" t="str">
        <f>IF(OR(E743="",E743="!!!",F743="NEW"),"",INDEX(B742:B$2,-1+SUMPRODUCT(MAX(ROW(E742:E$2)*(E743=E742:E$2)))))</f>
        <v> </v>
      </c>
      <c r="J743" s="26" t="str">
        <f>IF(OR(E743="",E743="!!!",F743="NEW"),"",COUNTBLANK(OFFSET(A$1,,,SUMPRODUCT(MAX(ROW(E$2:E743)*(E743=E$2:E743)))))-COUNTBLANK(OFFSET(A$1,,,SUMPRODUCT(MAX(ROW(E$1:E742)*(E2=E$1:E742))))))</f>
        <v> </v>
      </c>
      <c r="K743" s="26" t="str">
        <f>IF(OR(E743="",E743="!!!",F743="NEW"),"",INDEX(J$1:J742,SUMPRODUCT(MAX(ROW(E$1:E742)*(E743=E$1:E742)))))</f>
        <v> </v>
      </c>
      <c r="L743" s="27"/>
    </row>
    <row r="744" spans="1:12">
      <c r="A744" s="20" t="s">
        <v>717</v>
      </c>
      <c r="E744" s="22">
        <f>IF(D744="?OLD","!!!","")</f>
        <v/>
      </c>
      <c r="F744" s="23" t="str">
        <f>IF(OR(E744="",E744="!!!"),"",IF(NOT(ISNA(VLOOKUP(E744,E$1:E743,1,FALSE()))),"OLD",IF(AND(E744&lt;&gt;"",E744&lt;&gt;"!!!"),"NEW","")))</f>
        <v> </v>
      </c>
      <c r="G744" s="24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5" t="str">
        <f>IF(J744&lt;&gt;1,"",IF(I744="SBJ","CB","?"))</f>
        <v> </v>
      </c>
      <c r="I744" s="26" t="str">
        <f>IF(OR(E744="",E744="!!!",F744="NEW"),"",INDEX(B743:B$2,-1+SUMPRODUCT(MAX(ROW(E743:E$2)*(E744=E743:E$2)))))</f>
        <v> </v>
      </c>
      <c r="J744" s="26" t="str">
        <f>IF(OR(E744="",E744="!!!",F744="NEW"),"",COUNTBLANK(OFFSET(A$1,,,SUMPRODUCT(MAX(ROW(E$2:E744)*(E744=E$2:E744)))))-COUNTBLANK(OFFSET(A$1,,,SUMPRODUCT(MAX(ROW(E$1:E743)*(E2=E$1:E743))))))</f>
        <v> </v>
      </c>
      <c r="K744" s="26" t="str">
        <f>IF(OR(E744="",E744="!!!",F744="NEW"),"",INDEX(J$1:J743,SUMPRODUCT(MAX(ROW(E$1:E743)*(E744=E$1:E743)))))</f>
        <v> </v>
      </c>
      <c r="L744" s="27"/>
    </row>
    <row r="745" spans="1:12">
      <c r="A745" s="20" t="s">
        <v>230</v>
      </c>
      <c r="E745" s="22">
        <f>IF(D745="?OLD","!!!","")</f>
        <v/>
      </c>
      <c r="F745" s="23" t="str">
        <f>IF(OR(E745="",E745="!!!"),"",IF(NOT(ISNA(VLOOKUP(E745,E$1:E744,1,FALSE()))),"OLD",IF(AND(E745&lt;&gt;"",E745&lt;&gt;"!!!"),"NEW","")))</f>
        <v> </v>
      </c>
      <c r="G745" s="24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5" t="str">
        <f>IF(J745&lt;&gt;1,"",IF(I745="SBJ","CB","?"))</f>
        <v> </v>
      </c>
      <c r="I745" s="26" t="str">
        <f>IF(OR(E745="",E745="!!!",F745="NEW"),"",INDEX(B744:B$2,-1+SUMPRODUCT(MAX(ROW(E744:E$2)*(E745=E744:E$2)))))</f>
        <v> </v>
      </c>
      <c r="J745" s="26" t="str">
        <f>IF(OR(E745="",E745="!!!",F745="NEW"),"",COUNTBLANK(OFFSET(A$1,,,SUMPRODUCT(MAX(ROW(E$2:E745)*(E745=E$2:E745)))))-COUNTBLANK(OFFSET(A$1,,,SUMPRODUCT(MAX(ROW(E$1:E744)*(E2=E$1:E744))))))</f>
        <v> </v>
      </c>
      <c r="K745" s="26" t="str">
        <f>IF(OR(E745="",E745="!!!",F745="NEW"),"",INDEX(J$1:J744,SUMPRODUCT(MAX(ROW(E$1:E744)*(E745=E$1:E744)))))</f>
        <v> </v>
      </c>
      <c r="L745" s="27"/>
    </row>
    <row r="746" spans="1:12">
      <c r="A746" s="20" t="s">
        <v>718</v>
      </c>
      <c r="E746" s="22">
        <f>IF(D746="?OLD","!!!","")</f>
        <v/>
      </c>
      <c r="F746" s="23" t="str">
        <f>IF(OR(E746="",E746="!!!"),"",IF(NOT(ISNA(VLOOKUP(E746,E$1:E745,1,FALSE()))),"OLD",IF(AND(E746&lt;&gt;"",E746&lt;&gt;"!!!"),"NEW","")))</f>
        <v> </v>
      </c>
      <c r="G746" s="24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5" t="str">
        <f>IF(J746&lt;&gt;1,"",IF(I746="SBJ","CB","?"))</f>
        <v> </v>
      </c>
      <c r="I746" s="26" t="str">
        <f>IF(OR(E746="",E746="!!!",F746="NEW"),"",INDEX(B745:B$2,-1+SUMPRODUCT(MAX(ROW(E745:E$2)*(E746=E745:E$2)))))</f>
        <v> </v>
      </c>
      <c r="J746" s="26" t="str">
        <f>IF(OR(E746="",E746="!!!",F746="NEW"),"",COUNTBLANK(OFFSET(A$1,,,SUMPRODUCT(MAX(ROW(E$2:E746)*(E746=E$2:E746)))))-COUNTBLANK(OFFSET(A$1,,,SUMPRODUCT(MAX(ROW(E$1:E745)*(E2=E$1:E745))))))</f>
        <v> </v>
      </c>
      <c r="K746" s="26" t="str">
        <f>IF(OR(E746="",E746="!!!",F746="NEW"),"",INDEX(J$1:J745,SUMPRODUCT(MAX(ROW(E$1:E745)*(E746=E$1:E745)))))</f>
        <v> </v>
      </c>
      <c r="L746" s="27"/>
    </row>
    <row r="747" spans="1:12">
      <c r="A747" s="20" t="s">
        <v>351</v>
      </c>
      <c r="E747" s="22">
        <f>IF(D747="?OLD","!!!","")</f>
        <v/>
      </c>
      <c r="F747" s="23" t="str">
        <f>IF(OR(E747="",E747="!!!"),"",IF(NOT(ISNA(VLOOKUP(E747,E$1:E746,1,FALSE()))),"OLD",IF(AND(E747&lt;&gt;"",E747&lt;&gt;"!!!"),"NEW","")))</f>
        <v> </v>
      </c>
      <c r="G747" s="24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5" t="str">
        <f>IF(J747&lt;&gt;1,"",IF(I747="SBJ","CB","?"))</f>
        <v> </v>
      </c>
      <c r="I747" s="26" t="str">
        <f>IF(OR(E747="",E747="!!!",F747="NEW"),"",INDEX(B746:B$2,-1+SUMPRODUCT(MAX(ROW(E746:E$2)*(E747=E746:E$2)))))</f>
        <v> </v>
      </c>
      <c r="J747" s="26" t="str">
        <f>IF(OR(E747="",E747="!!!",F747="NEW"),"",COUNTBLANK(OFFSET(A$1,,,SUMPRODUCT(MAX(ROW(E$2:E747)*(E747=E$2:E747)))))-COUNTBLANK(OFFSET(A$1,,,SUMPRODUCT(MAX(ROW(E$1:E746)*(E2=E$1:E746))))))</f>
        <v> </v>
      </c>
      <c r="K747" s="26" t="str">
        <f>IF(OR(E747="",E747="!!!",F747="NEW"),"",INDEX(J$1:J746,SUMPRODUCT(MAX(ROW(E$1:E746)*(E747=E$1:E746)))))</f>
        <v> </v>
      </c>
      <c r="L747" s="27"/>
    </row>
    <row r="748" spans="1:12">
      <c r="A748" s="20" t="s">
        <v>719</v>
      </c>
      <c r="E748" s="22">
        <f>IF(D748="?OLD","!!!","")</f>
        <v/>
      </c>
      <c r="F748" s="23" t="str">
        <f>IF(OR(E748="",E748="!!!"),"",IF(NOT(ISNA(VLOOKUP(E748,E$1:E747,1,FALSE()))),"OLD",IF(AND(E748&lt;&gt;"",E748&lt;&gt;"!!!"),"NEW","")))</f>
        <v> </v>
      </c>
      <c r="G748" s="24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5" t="str">
        <f>IF(J748&lt;&gt;1,"",IF(I748="SBJ","CB","?"))</f>
        <v> </v>
      </c>
      <c r="I748" s="26" t="str">
        <f>IF(OR(E748="",E748="!!!",F748="NEW"),"",INDEX(B747:B$2,-1+SUMPRODUCT(MAX(ROW(E747:E$2)*(E748=E747:E$2)))))</f>
        <v> </v>
      </c>
      <c r="J748" s="26" t="str">
        <f>IF(OR(E748="",E748="!!!",F748="NEW"),"",COUNTBLANK(OFFSET(A$1,,,SUMPRODUCT(MAX(ROW(E$2:E748)*(E748=E$2:E748)))))-COUNTBLANK(OFFSET(A$1,,,SUMPRODUCT(MAX(ROW(E$1:E747)*(E2=E$1:E747))))))</f>
        <v> </v>
      </c>
      <c r="K748" s="26" t="str">
        <f>IF(OR(E748="",E748="!!!",F748="NEW"),"",INDEX(J$1:J747,SUMPRODUCT(MAX(ROW(E$1:E747)*(E748=E$1:E747)))))</f>
        <v> </v>
      </c>
      <c r="L748" s="27"/>
    </row>
    <row r="749" spans="1:12">
      <c r="A749" s="20" t="s">
        <v>720</v>
      </c>
      <c r="E749" s="22">
        <f>IF(D749="?OLD","!!!","")</f>
        <v/>
      </c>
      <c r="F749" s="23" t="str">
        <f>IF(OR(E749="",E749="!!!"),"",IF(NOT(ISNA(VLOOKUP(E749,E$1:E748,1,FALSE()))),"OLD",IF(AND(E749&lt;&gt;"",E749&lt;&gt;"!!!"),"NEW","")))</f>
        <v> </v>
      </c>
      <c r="G749" s="24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5" t="str">
        <f>IF(J749&lt;&gt;1,"",IF(I749="SBJ","CB","?"))</f>
        <v> </v>
      </c>
      <c r="I749" s="26" t="str">
        <f>IF(OR(E749="",E749="!!!",F749="NEW"),"",INDEX(B748:B$2,-1+SUMPRODUCT(MAX(ROW(E748:E$2)*(E749=E748:E$2)))))</f>
        <v> </v>
      </c>
      <c r="J749" s="26" t="str">
        <f>IF(OR(E749="",E749="!!!",F749="NEW"),"",COUNTBLANK(OFFSET(A$1,,,SUMPRODUCT(MAX(ROW(E$2:E749)*(E749=E$2:E749)))))-COUNTBLANK(OFFSET(A$1,,,SUMPRODUCT(MAX(ROW(E$1:E748)*(E2=E$1:E748))))))</f>
        <v> </v>
      </c>
      <c r="K749" s="26" t="str">
        <f>IF(OR(E749="",E749="!!!",F749="NEW"),"",INDEX(J$1:J748,SUMPRODUCT(MAX(ROW(E$1:E748)*(E749=E$1:E748)))))</f>
        <v> </v>
      </c>
      <c r="L749" s="27"/>
    </row>
    <row r="750" spans="1:12">
      <c r="A750" s="20" t="s">
        <v>286</v>
      </c>
      <c r="E750" s="22">
        <f>IF(D750="?OLD","!!!","")</f>
        <v/>
      </c>
      <c r="F750" s="23" t="str">
        <f>IF(OR(E750="",E750="!!!"),"",IF(NOT(ISNA(VLOOKUP(E750,E$1:E749,1,FALSE()))),"OLD",IF(AND(E750&lt;&gt;"",E750&lt;&gt;"!!!"),"NEW","")))</f>
        <v> </v>
      </c>
      <c r="G750" s="24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5" t="str">
        <f>IF(J750&lt;&gt;1,"",IF(I750="SBJ","CB","?"))</f>
        <v> </v>
      </c>
      <c r="I750" s="26" t="str">
        <f>IF(OR(E750="",E750="!!!",F750="NEW"),"",INDEX(B749:B$2,-1+SUMPRODUCT(MAX(ROW(E749:E$2)*(E750=E749:E$2)))))</f>
        <v> </v>
      </c>
      <c r="J750" s="26" t="str">
        <f>IF(OR(E750="",E750="!!!",F750="NEW"),"",COUNTBLANK(OFFSET(A$1,,,SUMPRODUCT(MAX(ROW(E$2:E750)*(E750=E$2:E750)))))-COUNTBLANK(OFFSET(A$1,,,SUMPRODUCT(MAX(ROW(E$1:E749)*(E2=E$1:E749))))))</f>
        <v> </v>
      </c>
      <c r="K750" s="26" t="str">
        <f>IF(OR(E750="",E750="!!!",F750="NEW"),"",INDEX(J$1:J749,SUMPRODUCT(MAX(ROW(E$1:E749)*(E750=E$1:E749)))))</f>
        <v> </v>
      </c>
      <c r="L750" s="27"/>
    </row>
    <row r="751" spans="1:12">
      <c r="A751" s="20" t="s">
        <v>230</v>
      </c>
      <c r="E751" s="22">
        <f>IF(D751="?OLD","!!!","")</f>
        <v/>
      </c>
      <c r="F751" s="23" t="str">
        <f>IF(OR(E751="",E751="!!!"),"",IF(NOT(ISNA(VLOOKUP(E751,E$1:E750,1,FALSE()))),"OLD",IF(AND(E751&lt;&gt;"",E751&lt;&gt;"!!!"),"NEW","")))</f>
        <v> </v>
      </c>
      <c r="G751" s="24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5" t="str">
        <f>IF(J751&lt;&gt;1,"",IF(I751="SBJ","CB","?"))</f>
        <v> </v>
      </c>
      <c r="I751" s="26" t="str">
        <f>IF(OR(E751="",E751="!!!",F751="NEW"),"",INDEX(B750:B$2,-1+SUMPRODUCT(MAX(ROW(E750:E$2)*(E751=E750:E$2)))))</f>
        <v> </v>
      </c>
      <c r="J751" s="26" t="str">
        <f>IF(OR(E751="",E751="!!!",F751="NEW"),"",COUNTBLANK(OFFSET(A$1,,,SUMPRODUCT(MAX(ROW(E$2:E751)*(E751=E$2:E751)))))-COUNTBLANK(OFFSET(A$1,,,SUMPRODUCT(MAX(ROW(E$1:E750)*(E2=E$1:E750))))))</f>
        <v> </v>
      </c>
      <c r="K751" s="26" t="str">
        <f>IF(OR(E751="",E751="!!!",F751="NEW"),"",INDEX(J$1:J750,SUMPRODUCT(MAX(ROW(E$1:E750)*(E751=E$1:E750)))))</f>
        <v> </v>
      </c>
      <c r="L751" s="27"/>
    </row>
    <row r="752" spans="1:12">
      <c r="A752" s="20" t="s">
        <v>721</v>
      </c>
      <c r="E752" s="22">
        <f>IF(D752="?OLD","!!!","")</f>
        <v/>
      </c>
      <c r="F752" s="23" t="str">
        <f>IF(OR(E752="",E752="!!!"),"",IF(NOT(ISNA(VLOOKUP(E752,E$1:E751,1,FALSE()))),"OLD",IF(AND(E752&lt;&gt;"",E752&lt;&gt;"!!!"),"NEW","")))</f>
        <v> </v>
      </c>
      <c r="G752" s="24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5" t="str">
        <f>IF(J752&lt;&gt;1,"",IF(I752="SBJ","CB","?"))</f>
        <v> </v>
      </c>
      <c r="I752" s="26" t="str">
        <f>IF(OR(E752="",E752="!!!",F752="NEW"),"",INDEX(B751:B$2,-1+SUMPRODUCT(MAX(ROW(E751:E$2)*(E752=E751:E$2)))))</f>
        <v> </v>
      </c>
      <c r="J752" s="26" t="str">
        <f>IF(OR(E752="",E752="!!!",F752="NEW"),"",COUNTBLANK(OFFSET(A$1,,,SUMPRODUCT(MAX(ROW(E$2:E752)*(E752=E$2:E752)))))-COUNTBLANK(OFFSET(A$1,,,SUMPRODUCT(MAX(ROW(E$1:E751)*(E2=E$1:E751))))))</f>
        <v> </v>
      </c>
      <c r="K752" s="26" t="str">
        <f>IF(OR(E752="",E752="!!!",F752="NEW"),"",INDEX(J$1:J751,SUMPRODUCT(MAX(ROW(E$1:E751)*(E752=E$1:E751)))))</f>
        <v> </v>
      </c>
      <c r="L752" s="27"/>
    </row>
    <row r="753" spans="1:12">
      <c r="A753" s="20" t="s">
        <v>722</v>
      </c>
      <c r="B753" s="21" t="s">
        <v>226</v>
      </c>
      <c r="E753" s="22">
        <f>IF(D753="?OLD","!!!","")</f>
        <v/>
      </c>
      <c r="F753" s="23" t="str">
        <f>IF(OR(E753="",E753="!!!"),"",IF(NOT(ISNA(VLOOKUP(E753,E$1:E752,1,FALSE()))),"OLD",IF(AND(E753&lt;&gt;"",E753&lt;&gt;"!!!"),"NEW","")))</f>
        <v> </v>
      </c>
      <c r="G753" s="24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5" t="str">
        <f>IF(J753&lt;&gt;1,"",IF(I753="SBJ","CB","?"))</f>
        <v> </v>
      </c>
      <c r="I753" s="26" t="str">
        <f>IF(OR(E753="",E753="!!!",F753="NEW"),"",INDEX(B752:B$2,-1+SUMPRODUCT(MAX(ROW(E752:E$2)*(E753=E752:E$2)))))</f>
        <v> </v>
      </c>
      <c r="J753" s="26" t="str">
        <f>IF(OR(E753="",E753="!!!",F753="NEW"),"",COUNTBLANK(OFFSET(A$1,,,SUMPRODUCT(MAX(ROW(E$2:E753)*(E753=E$2:E753)))))-COUNTBLANK(OFFSET(A$1,,,SUMPRODUCT(MAX(ROW(E$1:E752)*(E2=E$1:E752))))))</f>
        <v> </v>
      </c>
      <c r="K753" s="26" t="str">
        <f>IF(OR(E753="",E753="!!!",F753="NEW"),"",INDEX(J$1:J752,SUMPRODUCT(MAX(ROW(E$1:E752)*(E753=E$1:E752)))))</f>
        <v> </v>
      </c>
      <c r="L753" s="27"/>
    </row>
    <row r="754" spans="1:12">
      <c r="A754" s="20" t="s">
        <v>723</v>
      </c>
      <c r="E754" s="22">
        <f>IF(D754="?OLD","!!!","")</f>
        <v/>
      </c>
      <c r="F754" s="23" t="str">
        <f>IF(OR(E754="",E754="!!!"),"",IF(NOT(ISNA(VLOOKUP(E754,E$1:E753,1,FALSE()))),"OLD",IF(AND(E754&lt;&gt;"",E754&lt;&gt;"!!!"),"NEW","")))</f>
        <v> </v>
      </c>
      <c r="G754" s="24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5" t="str">
        <f>IF(J754&lt;&gt;1,"",IF(I754="SBJ","CB","?"))</f>
        <v> </v>
      </c>
      <c r="I754" s="26" t="str">
        <f>IF(OR(E754="",E754="!!!",F754="NEW"),"",INDEX(B753:B$2,-1+SUMPRODUCT(MAX(ROW(E753:E$2)*(E754=E753:E$2)))))</f>
        <v> </v>
      </c>
      <c r="J754" s="26" t="str">
        <f>IF(OR(E754="",E754="!!!",F754="NEW"),"",COUNTBLANK(OFFSET(A$1,,,SUMPRODUCT(MAX(ROW(E$2:E754)*(E754=E$2:E754)))))-COUNTBLANK(OFFSET(A$1,,,SUMPRODUCT(MAX(ROW(E$1:E753)*(E2=E$1:E753))))))</f>
        <v> </v>
      </c>
      <c r="K754" s="26" t="str">
        <f>IF(OR(E754="",E754="!!!",F754="NEW"),"",INDEX(J$1:J753,SUMPRODUCT(MAX(ROW(E$1:E753)*(E754=E$1:E753)))))</f>
        <v> </v>
      </c>
      <c r="L754" s="27"/>
    </row>
    <row r="755" spans="1:12">
      <c r="A755" s="20" t="s">
        <v>724</v>
      </c>
      <c r="E755" s="22">
        <f>IF(D755="?OLD","!!!","")</f>
        <v/>
      </c>
      <c r="F755" s="23" t="str">
        <f>IF(OR(E755="",E755="!!!"),"",IF(NOT(ISNA(VLOOKUP(E755,E$1:E754,1,FALSE()))),"OLD",IF(AND(E755&lt;&gt;"",E755&lt;&gt;"!!!"),"NEW","")))</f>
        <v> </v>
      </c>
      <c r="G755" s="24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5" t="str">
        <f>IF(J755&lt;&gt;1,"",IF(I755="SBJ","CB","?"))</f>
        <v> </v>
      </c>
      <c r="I755" s="26" t="str">
        <f>IF(OR(E755="",E755="!!!",F755="NEW"),"",INDEX(B754:B$2,-1+SUMPRODUCT(MAX(ROW(E754:E$2)*(E755=E754:E$2)))))</f>
        <v> </v>
      </c>
      <c r="J755" s="26" t="str">
        <f>IF(OR(E755="",E755="!!!",F755="NEW"),"",COUNTBLANK(OFFSET(A$1,,,SUMPRODUCT(MAX(ROW(E$2:E755)*(E755=E$2:E755)))))-COUNTBLANK(OFFSET(A$1,,,SUMPRODUCT(MAX(ROW(E$1:E754)*(E2=E$1:E754))))))</f>
        <v> </v>
      </c>
      <c r="K755" s="26" t="str">
        <f>IF(OR(E755="",E755="!!!",F755="NEW"),"",INDEX(J$1:J754,SUMPRODUCT(MAX(ROW(E$1:E754)*(E755=E$1:E754)))))</f>
        <v> </v>
      </c>
      <c r="L755" s="27"/>
    </row>
    <row r="756" spans="1:12">
      <c r="A756" s="20" t="s">
        <v>725</v>
      </c>
      <c r="E756" s="22">
        <f>IF(D756="?OLD","!!!","")</f>
        <v/>
      </c>
      <c r="F756" s="23" t="str">
        <f>IF(OR(E756="",E756="!!!"),"",IF(NOT(ISNA(VLOOKUP(E756,E$1:E755,1,FALSE()))),"OLD",IF(AND(E756&lt;&gt;"",E756&lt;&gt;"!!!"),"NEW","")))</f>
        <v> </v>
      </c>
      <c r="G756" s="24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5" t="str">
        <f>IF(J756&lt;&gt;1,"",IF(I756="SBJ","CB","?"))</f>
        <v> </v>
      </c>
      <c r="I756" s="26" t="str">
        <f>IF(OR(E756="",E756="!!!",F756="NEW"),"",INDEX(B755:B$2,-1+SUMPRODUCT(MAX(ROW(E755:E$2)*(E756=E755:E$2)))))</f>
        <v> </v>
      </c>
      <c r="J756" s="26" t="str">
        <f>IF(OR(E756="",E756="!!!",F756="NEW"),"",COUNTBLANK(OFFSET(A$1,,,SUMPRODUCT(MAX(ROW(E$2:E756)*(E756=E$2:E756)))))-COUNTBLANK(OFFSET(A$1,,,SUMPRODUCT(MAX(ROW(E$1:E755)*(E2=E$1:E755))))))</f>
        <v> </v>
      </c>
      <c r="K756" s="26" t="str">
        <f>IF(OR(E756="",E756="!!!",F756="NEW"),"",INDEX(J$1:J755,SUMPRODUCT(MAX(ROW(E$1:E755)*(E756=E$1:E755)))))</f>
        <v> </v>
      </c>
      <c r="L756" s="27"/>
    </row>
    <row r="757" spans="1:12">
      <c r="A757" s="20" t="s">
        <v>726</v>
      </c>
      <c r="B757" s="21" t="s">
        <v>340</v>
      </c>
      <c r="E757" s="22">
        <f>IF(D757="?OLD","!!!","")</f>
        <v/>
      </c>
      <c r="F757" s="23" t="str">
        <f>IF(OR(E757="",E757="!!!"),"",IF(NOT(ISNA(VLOOKUP(E757,E$1:E756,1,FALSE()))),"OLD",IF(AND(E757&lt;&gt;"",E757&lt;&gt;"!!!"),"NEW","")))</f>
        <v> </v>
      </c>
      <c r="G757" s="24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5" t="str">
        <f>IF(J757&lt;&gt;1,"",IF(I757="SBJ","CB","?"))</f>
        <v> </v>
      </c>
      <c r="I757" s="26" t="str">
        <f>IF(OR(E757="",E757="!!!",F757="NEW"),"",INDEX(B756:B$2,-1+SUMPRODUCT(MAX(ROW(E756:E$2)*(E757=E756:E$2)))))</f>
        <v> </v>
      </c>
      <c r="J757" s="26" t="str">
        <f>IF(OR(E757="",E757="!!!",F757="NEW"),"",COUNTBLANK(OFFSET(A$1,,,SUMPRODUCT(MAX(ROW(E$2:E757)*(E757=E$2:E757)))))-COUNTBLANK(OFFSET(A$1,,,SUMPRODUCT(MAX(ROW(E$1:E756)*(E2=E$1:E756))))))</f>
        <v> </v>
      </c>
      <c r="K757" s="26" t="str">
        <f>IF(OR(E757="",E757="!!!",F757="NEW"),"",INDEX(J$1:J756,SUMPRODUCT(MAX(ROW(E$1:E756)*(E757=E$1:E756)))))</f>
        <v> </v>
      </c>
      <c r="L757" s="27"/>
    </row>
    <row r="758" spans="1:12">
      <c r="A758" s="20" t="s">
        <v>237</v>
      </c>
      <c r="E758" s="22">
        <f>IF(D758="?OLD","!!!","")</f>
        <v/>
      </c>
      <c r="F758" s="23" t="str">
        <f>IF(OR(E758="",E758="!!!"),"",IF(NOT(ISNA(VLOOKUP(E758,E$1:E757,1,FALSE()))),"OLD",IF(AND(E758&lt;&gt;"",E758&lt;&gt;"!!!"),"NEW","")))</f>
        <v> </v>
      </c>
      <c r="G758" s="24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5" t="str">
        <f>IF(J758&lt;&gt;1,"",IF(I758="SBJ","CB","?"))</f>
        <v> </v>
      </c>
      <c r="I758" s="26" t="str">
        <f>IF(OR(E758="",E758="!!!",F758="NEW"),"",INDEX(B757:B$2,-1+SUMPRODUCT(MAX(ROW(E757:E$2)*(E758=E757:E$2)))))</f>
        <v> </v>
      </c>
      <c r="J758" s="26" t="str">
        <f>IF(OR(E758="",E758="!!!",F758="NEW"),"",COUNTBLANK(OFFSET(A$1,,,SUMPRODUCT(MAX(ROW(E$2:E758)*(E758=E$2:E758)))))-COUNTBLANK(OFFSET(A$1,,,SUMPRODUCT(MAX(ROW(E$1:E757)*(E2=E$1:E757))))))</f>
        <v> </v>
      </c>
      <c r="K758" s="26" t="str">
        <f>IF(OR(E758="",E758="!!!",F758="NEW"),"",INDEX(J$1:J757,SUMPRODUCT(MAX(ROW(E$1:E757)*(E758=E$1:E757)))))</f>
        <v> </v>
      </c>
      <c r="L758" s="27"/>
    </row>
    <row r="759" spans="1:12">
      <c r="A759" s="20"/>
    </row>
    <row r="760" spans="1:12">
      <c r="A760" s="20" t="s">
        <v>727</v>
      </c>
    </row>
    <row r="761" spans="1:12">
      <c r="A761" s="20" t="s">
        <v>728</v>
      </c>
      <c r="B761" s="21" t="s">
        <v>340</v>
      </c>
      <c r="C761" s="21" t="s">
        <v>215</v>
      </c>
      <c r="D761" s="21" t="s">
        <v>216</v>
      </c>
      <c r="E761" s="22">
        <f>IF(D761="?OLD","!!!","")</f>
        <v/>
      </c>
      <c r="F761" s="23" t="str">
        <f>IF(OR(E761="",E761="!!!"),"",IF(NOT(ISNA(VLOOKUP(E761,E$1:E760,1,FALSE()))),"OLD",IF(AND(E761&lt;&gt;"",E761&lt;&gt;"!!!"),"NEW","")))</f>
        <v> </v>
      </c>
      <c r="G761" s="24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5" t="str">
        <f>IF(J761&lt;&gt;1,"",IF(I761="SBJ","CB","?"))</f>
        <v> </v>
      </c>
      <c r="I761" s="26" t="str">
        <f>IF(OR(E761="",E761="!!!",F761="NEW"),"",INDEX(B760:B$2,-1+SUMPRODUCT(MAX(ROW(E760:E$2)*(E761=E760:E$2)))))</f>
        <v> </v>
      </c>
      <c r="J761" s="26" t="str">
        <f>IF(OR(E761="",E761="!!!",F761="NEW"),"",COUNTBLANK(OFFSET(A$1,,,SUMPRODUCT(MAX(ROW(E$2:E761)*(E761=E$2:E761)))))-COUNTBLANK(OFFSET(A$1,,,SUMPRODUCT(MAX(ROW(E$1:E760)*(E2=E$1:E760))))))</f>
        <v> </v>
      </c>
      <c r="K761" s="26" t="str">
        <f>IF(OR(E761="",E761="!!!",F761="NEW"),"",INDEX(J$1:J760,SUMPRODUCT(MAX(ROW(E$1:E760)*(E761=E$1:E760)))))</f>
        <v> </v>
      </c>
      <c r="L761" s="27"/>
    </row>
    <row r="762" spans="1:12">
      <c r="A762" s="20" t="s">
        <v>729</v>
      </c>
      <c r="E762" s="22">
        <f>IF(D762="?OLD","!!!","")</f>
        <v/>
      </c>
      <c r="F762" s="23" t="str">
        <f>IF(OR(E762="",E762="!!!"),"",IF(NOT(ISNA(VLOOKUP(E762,E$1:E761,1,FALSE()))),"OLD",IF(AND(E762&lt;&gt;"",E762&lt;&gt;"!!!"),"NEW","")))</f>
        <v> </v>
      </c>
      <c r="G762" s="24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5" t="str">
        <f>IF(J762&lt;&gt;1,"",IF(I762="SBJ","CB","?"))</f>
        <v> </v>
      </c>
      <c r="I762" s="26" t="str">
        <f>IF(OR(E762="",E762="!!!",F762="NEW"),"",INDEX(B761:B$2,-1+SUMPRODUCT(MAX(ROW(E761:E$2)*(E762=E761:E$2)))))</f>
        <v> </v>
      </c>
      <c r="J762" s="26" t="str">
        <f>IF(OR(E762="",E762="!!!",F762="NEW"),"",COUNTBLANK(OFFSET(A$1,,,SUMPRODUCT(MAX(ROW(E$2:E762)*(E762=E$2:E762)))))-COUNTBLANK(OFFSET(A$1,,,SUMPRODUCT(MAX(ROW(E$1:E761)*(E2=E$1:E761))))))</f>
        <v> </v>
      </c>
      <c r="K762" s="26" t="str">
        <f>IF(OR(E762="",E762="!!!",F762="NEW"),"",INDEX(J$1:J761,SUMPRODUCT(MAX(ROW(E$1:E761)*(E762=E$1:E761)))))</f>
        <v> </v>
      </c>
      <c r="L762" s="27"/>
    </row>
    <row r="763" spans="1:12">
      <c r="A763" s="20" t="s">
        <v>730</v>
      </c>
      <c r="B763" s="21" t="s">
        <v>226</v>
      </c>
      <c r="C763" s="21" t="s">
        <v>215</v>
      </c>
      <c r="D763" s="21" t="s">
        <v>216</v>
      </c>
      <c r="E763" s="22">
        <f>IF(D763="?OLD","!!!","")</f>
        <v/>
      </c>
      <c r="F763" s="23" t="str">
        <f>IF(OR(E763="",E763="!!!"),"",IF(NOT(ISNA(VLOOKUP(E763,E$1:E762,1,FALSE()))),"OLD",IF(AND(E763&lt;&gt;"",E763&lt;&gt;"!!!"),"NEW","")))</f>
        <v> </v>
      </c>
      <c r="G763" s="24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5" t="str">
        <f>IF(J763&lt;&gt;1,"",IF(I763="SBJ","CB","?"))</f>
        <v> </v>
      </c>
      <c r="I763" s="26" t="str">
        <f>IF(OR(E763="",E763="!!!",F763="NEW"),"",INDEX(B762:B$2,-1+SUMPRODUCT(MAX(ROW(E762:E$2)*(E763=E762:E$2)))))</f>
        <v> </v>
      </c>
      <c r="J763" s="26" t="str">
        <f>IF(OR(E763="",E763="!!!",F763="NEW"),"",COUNTBLANK(OFFSET(A$1,,,SUMPRODUCT(MAX(ROW(E$2:E763)*(E763=E$2:E763)))))-COUNTBLANK(OFFSET(A$1,,,SUMPRODUCT(MAX(ROW(E$1:E762)*(E2=E$1:E762))))))</f>
        <v> </v>
      </c>
      <c r="K763" s="26" t="str">
        <f>IF(OR(E763="",E763="!!!",F763="NEW"),"",INDEX(J$1:J762,SUMPRODUCT(MAX(ROW(E$1:E762)*(E763=E$1:E762)))))</f>
        <v> </v>
      </c>
      <c r="L763" s="27"/>
    </row>
    <row r="764" spans="1:12">
      <c r="A764" s="20" t="s">
        <v>230</v>
      </c>
      <c r="E764" s="22">
        <f>IF(D764="?OLD","!!!","")</f>
        <v/>
      </c>
      <c r="F764" s="23" t="str">
        <f>IF(OR(E764="",E764="!!!"),"",IF(NOT(ISNA(VLOOKUP(E764,E$1:E763,1,FALSE()))),"OLD",IF(AND(E764&lt;&gt;"",E764&lt;&gt;"!!!"),"NEW","")))</f>
        <v> </v>
      </c>
      <c r="G764" s="24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5" t="str">
        <f>IF(J764&lt;&gt;1,"",IF(I764="SBJ","CB","?"))</f>
        <v> </v>
      </c>
      <c r="I764" s="26" t="str">
        <f>IF(OR(E764="",E764="!!!",F764="NEW"),"",INDEX(B763:B$2,-1+SUMPRODUCT(MAX(ROW(E763:E$2)*(E764=E763:E$2)))))</f>
        <v> </v>
      </c>
      <c r="J764" s="26" t="str">
        <f>IF(OR(E764="",E764="!!!",F764="NEW"),"",COUNTBLANK(OFFSET(A$1,,,SUMPRODUCT(MAX(ROW(E$2:E764)*(E764=E$2:E764)))))-COUNTBLANK(OFFSET(A$1,,,SUMPRODUCT(MAX(ROW(E$1:E763)*(E2=E$1:E763))))))</f>
        <v> </v>
      </c>
      <c r="K764" s="26" t="str">
        <f>IF(OR(E764="",E764="!!!",F764="NEW"),"",INDEX(J$1:J763,SUMPRODUCT(MAX(ROW(E$1:E763)*(E764=E$1:E763)))))</f>
        <v> </v>
      </c>
      <c r="L764" s="27"/>
    </row>
    <row r="765" spans="1:12">
      <c r="A765" s="20" t="s">
        <v>731</v>
      </c>
      <c r="E765" s="22">
        <f>IF(D765="?OLD","!!!","")</f>
        <v/>
      </c>
      <c r="F765" s="23" t="str">
        <f>IF(OR(E765="",E765="!!!"),"",IF(NOT(ISNA(VLOOKUP(E765,E$1:E764,1,FALSE()))),"OLD",IF(AND(E765&lt;&gt;"",E765&lt;&gt;"!!!"),"NEW","")))</f>
        <v> </v>
      </c>
      <c r="G765" s="24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5" t="str">
        <f>IF(J765&lt;&gt;1,"",IF(I765="SBJ","CB","?"))</f>
        <v> </v>
      </c>
      <c r="I765" s="26" t="str">
        <f>IF(OR(E765="",E765="!!!",F765="NEW"),"",INDEX(B764:B$2,-1+SUMPRODUCT(MAX(ROW(E764:E$2)*(E765=E764:E$2)))))</f>
        <v> </v>
      </c>
      <c r="J765" s="26" t="str">
        <f>IF(OR(E765="",E765="!!!",F765="NEW"),"",COUNTBLANK(OFFSET(A$1,,,SUMPRODUCT(MAX(ROW(E$2:E765)*(E765=E$2:E765)))))-COUNTBLANK(OFFSET(A$1,,,SUMPRODUCT(MAX(ROW(E$1:E764)*(E2=E$1:E764))))))</f>
        <v> </v>
      </c>
      <c r="K765" s="26" t="str">
        <f>IF(OR(E765="",E765="!!!",F765="NEW"),"",INDEX(J$1:J764,SUMPRODUCT(MAX(ROW(E$1:E764)*(E765=E$1:E764)))))</f>
        <v> </v>
      </c>
      <c r="L765" s="27"/>
    </row>
    <row r="766" spans="1:12">
      <c r="A766" s="20" t="s">
        <v>732</v>
      </c>
      <c r="B766" s="21" t="s">
        <v>283</v>
      </c>
      <c r="C766" s="21" t="s">
        <v>215</v>
      </c>
      <c r="D766" s="21" t="s">
        <v>216</v>
      </c>
      <c r="E766" s="22">
        <f>IF(D766="?OLD","!!!","")</f>
        <v/>
      </c>
      <c r="F766" s="23" t="str">
        <f>IF(OR(E766="",E766="!!!"),"",IF(NOT(ISNA(VLOOKUP(E766,E$1:E765,1,FALSE()))),"OLD",IF(AND(E766&lt;&gt;"",E766&lt;&gt;"!!!"),"NEW","")))</f>
        <v> </v>
      </c>
      <c r="G766" s="24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5" t="str">
        <f>IF(J766&lt;&gt;1,"",IF(I766="SBJ","CB","?"))</f>
        <v> </v>
      </c>
      <c r="I766" s="26" t="str">
        <f>IF(OR(E766="",E766="!!!",F766="NEW"),"",INDEX(B765:B$2,-1+SUMPRODUCT(MAX(ROW(E765:E$2)*(E766=E765:E$2)))))</f>
        <v> </v>
      </c>
      <c r="J766" s="26" t="str">
        <f>IF(OR(E766="",E766="!!!",F766="NEW"),"",COUNTBLANK(OFFSET(A$1,,,SUMPRODUCT(MAX(ROW(E$2:E766)*(E766=E$2:E766)))))-COUNTBLANK(OFFSET(A$1,,,SUMPRODUCT(MAX(ROW(E$1:E765)*(E2=E$1:E765))))))</f>
        <v> </v>
      </c>
      <c r="K766" s="26" t="str">
        <f>IF(OR(E766="",E766="!!!",F766="NEW"),"",INDEX(J$1:J765,SUMPRODUCT(MAX(ROW(E$1:E765)*(E766=E$1:E765)))))</f>
        <v> </v>
      </c>
      <c r="L766" s="27"/>
    </row>
    <row r="767" spans="1:12">
      <c r="A767" s="20" t="s">
        <v>733</v>
      </c>
      <c r="E767" s="22">
        <f>IF(D767="?OLD","!!!","")</f>
        <v/>
      </c>
      <c r="F767" s="23" t="str">
        <f>IF(OR(E767="",E767="!!!"),"",IF(NOT(ISNA(VLOOKUP(E767,E$1:E766,1,FALSE()))),"OLD",IF(AND(E767&lt;&gt;"",E767&lt;&gt;"!!!"),"NEW","")))</f>
        <v> </v>
      </c>
      <c r="G767" s="24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5" t="str">
        <f>IF(J767&lt;&gt;1,"",IF(I767="SBJ","CB","?"))</f>
        <v> </v>
      </c>
      <c r="I767" s="26" t="str">
        <f>IF(OR(E767="",E767="!!!",F767="NEW"),"",INDEX(B766:B$2,-1+SUMPRODUCT(MAX(ROW(E766:E$2)*(E767=E766:E$2)))))</f>
        <v> </v>
      </c>
      <c r="J767" s="26" t="str">
        <f>IF(OR(E767="",E767="!!!",F767="NEW"),"",COUNTBLANK(OFFSET(A$1,,,SUMPRODUCT(MAX(ROW(E$2:E767)*(E767=E$2:E767)))))-COUNTBLANK(OFFSET(A$1,,,SUMPRODUCT(MAX(ROW(E$1:E766)*(E2=E$1:E766))))))</f>
        <v> </v>
      </c>
      <c r="K767" s="26" t="str">
        <f>IF(OR(E767="",E767="!!!",F767="NEW"),"",INDEX(J$1:J766,SUMPRODUCT(MAX(ROW(E$1:E766)*(E767=E$1:E766)))))</f>
        <v> </v>
      </c>
      <c r="L767" s="27"/>
    </row>
    <row r="768" spans="1:12">
      <c r="A768" s="20" t="s">
        <v>734</v>
      </c>
      <c r="E768" s="22">
        <f>IF(D768="?OLD","!!!","")</f>
        <v/>
      </c>
      <c r="F768" s="23" t="str">
        <f>IF(OR(E768="",E768="!!!"),"",IF(NOT(ISNA(VLOOKUP(E768,E$1:E767,1,FALSE()))),"OLD",IF(AND(E768&lt;&gt;"",E768&lt;&gt;"!!!"),"NEW","")))</f>
        <v> </v>
      </c>
      <c r="G768" s="24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5" t="str">
        <f>IF(J768&lt;&gt;1,"",IF(I768="SBJ","CB","?"))</f>
        <v> </v>
      </c>
      <c r="I768" s="26" t="str">
        <f>IF(OR(E768="",E768="!!!",F768="NEW"),"",INDEX(B767:B$2,-1+SUMPRODUCT(MAX(ROW(E767:E$2)*(E768=E767:E$2)))))</f>
        <v> </v>
      </c>
      <c r="J768" s="26" t="str">
        <f>IF(OR(E768="",E768="!!!",F768="NEW"),"",COUNTBLANK(OFFSET(A$1,,,SUMPRODUCT(MAX(ROW(E$2:E768)*(E768=E$2:E768)))))-COUNTBLANK(OFFSET(A$1,,,SUMPRODUCT(MAX(ROW(E$1:E767)*(E2=E$1:E767))))))</f>
        <v> </v>
      </c>
      <c r="K768" s="26" t="str">
        <f>IF(OR(E768="",E768="!!!",F768="NEW"),"",INDEX(J$1:J767,SUMPRODUCT(MAX(ROW(E$1:E767)*(E768=E$1:E767)))))</f>
        <v> </v>
      </c>
      <c r="L768" s="27"/>
    </row>
    <row r="769" spans="1:12">
      <c r="A769" s="20" t="s">
        <v>709</v>
      </c>
      <c r="B769" s="21" t="s">
        <v>254</v>
      </c>
      <c r="E769" s="22">
        <f>IF(D769="?OLD","!!!","")</f>
        <v/>
      </c>
      <c r="F769" s="23" t="str">
        <f>IF(OR(E769="",E769="!!!"),"",IF(NOT(ISNA(VLOOKUP(E769,E$1:E768,1,FALSE()))),"OLD",IF(AND(E769&lt;&gt;"",E769&lt;&gt;"!!!"),"NEW","")))</f>
        <v> </v>
      </c>
      <c r="G769" s="24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5" t="str">
        <f>IF(J769&lt;&gt;1,"",IF(I769="SBJ","CB","?"))</f>
        <v> </v>
      </c>
      <c r="I769" s="26" t="str">
        <f>IF(OR(E769="",E769="!!!",F769="NEW"),"",INDEX(B768:B$2,-1+SUMPRODUCT(MAX(ROW(E768:E$2)*(E769=E768:E$2)))))</f>
        <v> </v>
      </c>
      <c r="J769" s="26" t="str">
        <f>IF(OR(E769="",E769="!!!",F769="NEW"),"",COUNTBLANK(OFFSET(A$1,,,SUMPRODUCT(MAX(ROW(E$2:E769)*(E769=E$2:E769)))))-COUNTBLANK(OFFSET(A$1,,,SUMPRODUCT(MAX(ROW(E$1:E768)*(E2=E$1:E768))))))</f>
        <v> </v>
      </c>
      <c r="K769" s="26" t="str">
        <f>IF(OR(E769="",E769="!!!",F769="NEW"),"",INDEX(J$1:J768,SUMPRODUCT(MAX(ROW(E$1:E768)*(E769=E$1:E768)))))</f>
        <v> </v>
      </c>
      <c r="L769" s="27"/>
    </row>
    <row r="770" spans="1:12">
      <c r="A770" s="20" t="s">
        <v>269</v>
      </c>
      <c r="E770" s="22">
        <f>IF(D770="?OLD","!!!","")</f>
        <v/>
      </c>
      <c r="F770" s="23" t="str">
        <f>IF(OR(E770="",E770="!!!"),"",IF(NOT(ISNA(VLOOKUP(E770,E$1:E769,1,FALSE()))),"OLD",IF(AND(E770&lt;&gt;"",E770&lt;&gt;"!!!"),"NEW","")))</f>
        <v> </v>
      </c>
      <c r="G770" s="24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5" t="str">
        <f>IF(J770&lt;&gt;1,"",IF(I770="SBJ","CB","?"))</f>
        <v> </v>
      </c>
      <c r="I770" s="26" t="str">
        <f>IF(OR(E770="",E770="!!!",F770="NEW"),"",INDEX(B769:B$2,-1+SUMPRODUCT(MAX(ROW(E769:E$2)*(E770=E769:E$2)))))</f>
        <v> </v>
      </c>
      <c r="J770" s="26" t="str">
        <f>IF(OR(E770="",E770="!!!",F770="NEW"),"",COUNTBLANK(OFFSET(A$1,,,SUMPRODUCT(MAX(ROW(E$2:E770)*(E770=E$2:E770)))))-COUNTBLANK(OFFSET(A$1,,,SUMPRODUCT(MAX(ROW(E$1:E769)*(E2=E$1:E769))))))</f>
        <v> </v>
      </c>
      <c r="K770" s="26" t="str">
        <f>IF(OR(E770="",E770="!!!",F770="NEW"),"",INDEX(J$1:J769,SUMPRODUCT(MAX(ROW(E$1:E769)*(E770=E$1:E769)))))</f>
        <v> </v>
      </c>
      <c r="L770" s="27"/>
    </row>
    <row r="771" spans="1:12">
      <c r="A771" s="20" t="s">
        <v>735</v>
      </c>
      <c r="E771" s="22">
        <f>IF(D771="?OLD","!!!","")</f>
        <v/>
      </c>
      <c r="F771" s="23" t="str">
        <f>IF(OR(E771="",E771="!!!"),"",IF(NOT(ISNA(VLOOKUP(E771,E$1:E770,1,FALSE()))),"OLD",IF(AND(E771&lt;&gt;"",E771&lt;&gt;"!!!"),"NEW","")))</f>
        <v> </v>
      </c>
      <c r="G771" s="24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5" t="str">
        <f>IF(J771&lt;&gt;1,"",IF(I771="SBJ","CB","?"))</f>
        <v> </v>
      </c>
      <c r="I771" s="26" t="str">
        <f>IF(OR(E771="",E771="!!!",F771="NEW"),"",INDEX(B770:B$2,-1+SUMPRODUCT(MAX(ROW(E770:E$2)*(E771=E770:E$2)))))</f>
        <v> </v>
      </c>
      <c r="J771" s="26" t="str">
        <f>IF(OR(E771="",E771="!!!",F771="NEW"),"",COUNTBLANK(OFFSET(A$1,,,SUMPRODUCT(MAX(ROW(E$2:E771)*(E771=E$2:E771)))))-COUNTBLANK(OFFSET(A$1,,,SUMPRODUCT(MAX(ROW(E$1:E770)*(E2=E$1:E770))))))</f>
        <v> </v>
      </c>
      <c r="K771" s="26" t="str">
        <f>IF(OR(E771="",E771="!!!",F771="NEW"),"",INDEX(J$1:J770,SUMPRODUCT(MAX(ROW(E$1:E770)*(E771=E$1:E770)))))</f>
        <v> </v>
      </c>
      <c r="L771" s="27"/>
    </row>
    <row r="772" spans="1:12">
      <c r="A772" s="20" t="s">
        <v>736</v>
      </c>
      <c r="E772" s="22">
        <f>IF(D772="?OLD","!!!","")</f>
        <v/>
      </c>
      <c r="F772" s="23" t="str">
        <f>IF(OR(E772="",E772="!!!"),"",IF(NOT(ISNA(VLOOKUP(E772,E$1:E771,1,FALSE()))),"OLD",IF(AND(E772&lt;&gt;"",E772&lt;&gt;"!!!"),"NEW","")))</f>
        <v> </v>
      </c>
      <c r="G772" s="24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5" t="str">
        <f>IF(J772&lt;&gt;1,"",IF(I772="SBJ","CB","?"))</f>
        <v> </v>
      </c>
      <c r="I772" s="26" t="str">
        <f>IF(OR(E772="",E772="!!!",F772="NEW"),"",INDEX(B771:B$2,-1+SUMPRODUCT(MAX(ROW(E771:E$2)*(E772=E771:E$2)))))</f>
        <v> </v>
      </c>
      <c r="J772" s="26" t="str">
        <f>IF(OR(E772="",E772="!!!",F772="NEW"),"",COUNTBLANK(OFFSET(A$1,,,SUMPRODUCT(MAX(ROW(E$2:E772)*(E772=E$2:E772)))))-COUNTBLANK(OFFSET(A$1,,,SUMPRODUCT(MAX(ROW(E$1:E771)*(E2=E$1:E771))))))</f>
        <v> </v>
      </c>
      <c r="K772" s="26" t="str">
        <f>IF(OR(E772="",E772="!!!",F772="NEW"),"",INDEX(J$1:J771,SUMPRODUCT(MAX(ROW(E$1:E771)*(E772=E$1:E771)))))</f>
        <v> </v>
      </c>
      <c r="L772" s="27"/>
    </row>
    <row r="773" spans="1:12">
      <c r="A773" s="20" t="s">
        <v>230</v>
      </c>
      <c r="E773" s="22">
        <f>IF(D773="?OLD","!!!","")</f>
        <v/>
      </c>
      <c r="F773" s="23" t="str">
        <f>IF(OR(E773="",E773="!!!"),"",IF(NOT(ISNA(VLOOKUP(E773,E$1:E772,1,FALSE()))),"OLD",IF(AND(E773&lt;&gt;"",E773&lt;&gt;"!!!"),"NEW","")))</f>
        <v> </v>
      </c>
      <c r="G773" s="24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5" t="str">
        <f>IF(J773&lt;&gt;1,"",IF(I773="SBJ","CB","?"))</f>
        <v> </v>
      </c>
      <c r="I773" s="26" t="str">
        <f>IF(OR(E773="",E773="!!!",F773="NEW"),"",INDEX(B772:B$2,-1+SUMPRODUCT(MAX(ROW(E772:E$2)*(E773=E772:E$2)))))</f>
        <v> </v>
      </c>
      <c r="J773" s="26" t="str">
        <f>IF(OR(E773="",E773="!!!",F773="NEW"),"",COUNTBLANK(OFFSET(A$1,,,SUMPRODUCT(MAX(ROW(E$2:E773)*(E773=E$2:E773)))))-COUNTBLANK(OFFSET(A$1,,,SUMPRODUCT(MAX(ROW(E$1:E772)*(E2=E$1:E772))))))</f>
        <v> </v>
      </c>
      <c r="K773" s="26" t="str">
        <f>IF(OR(E773="",E773="!!!",F773="NEW"),"",INDEX(J$1:J772,SUMPRODUCT(MAX(ROW(E$1:E772)*(E773=E$1:E772)))))</f>
        <v> </v>
      </c>
      <c r="L773" s="27"/>
    </row>
    <row r="774" spans="1:12">
      <c r="A774" s="20" t="s">
        <v>355</v>
      </c>
      <c r="E774" s="22">
        <f>IF(D774="?OLD","!!!","")</f>
        <v/>
      </c>
      <c r="F774" s="23" t="str">
        <f>IF(OR(E774="",E774="!!!"),"",IF(NOT(ISNA(VLOOKUP(E774,E$1:E773,1,FALSE()))),"OLD",IF(AND(E774&lt;&gt;"",E774&lt;&gt;"!!!"),"NEW","")))</f>
        <v> </v>
      </c>
      <c r="G774" s="24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5" t="str">
        <f>IF(J774&lt;&gt;1,"",IF(I774="SBJ","CB","?"))</f>
        <v> </v>
      </c>
      <c r="I774" s="26" t="str">
        <f>IF(OR(E774="",E774="!!!",F774="NEW"),"",INDEX(B773:B$2,-1+SUMPRODUCT(MAX(ROW(E773:E$2)*(E774=E773:E$2)))))</f>
        <v> </v>
      </c>
      <c r="J774" s="26" t="str">
        <f>IF(OR(E774="",E774="!!!",F774="NEW"),"",COUNTBLANK(OFFSET(A$1,,,SUMPRODUCT(MAX(ROW(E$2:E774)*(E774=E$2:E774)))))-COUNTBLANK(OFFSET(A$1,,,SUMPRODUCT(MAX(ROW(E$1:E773)*(E2=E$1:E773))))))</f>
        <v> </v>
      </c>
      <c r="K774" s="26" t="str">
        <f>IF(OR(E774="",E774="!!!",F774="NEW"),"",INDEX(J$1:J773,SUMPRODUCT(MAX(ROW(E$1:E773)*(E774=E$1:E773)))))</f>
        <v> </v>
      </c>
      <c r="L774" s="27"/>
    </row>
    <row r="775" spans="1:12">
      <c r="A775" s="20" t="s">
        <v>731</v>
      </c>
      <c r="E775" s="22">
        <f>IF(D775="?OLD","!!!","")</f>
        <v/>
      </c>
      <c r="F775" s="23" t="str">
        <f>IF(OR(E775="",E775="!!!"),"",IF(NOT(ISNA(VLOOKUP(E775,E$1:E774,1,FALSE()))),"OLD",IF(AND(E775&lt;&gt;"",E775&lt;&gt;"!!!"),"NEW","")))</f>
        <v> </v>
      </c>
      <c r="G775" s="24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5" t="str">
        <f>IF(J775&lt;&gt;1,"",IF(I775="SBJ","CB","?"))</f>
        <v> </v>
      </c>
      <c r="I775" s="26" t="str">
        <f>IF(OR(E775="",E775="!!!",F775="NEW"),"",INDEX(B774:B$2,-1+SUMPRODUCT(MAX(ROW(E774:E$2)*(E775=E774:E$2)))))</f>
        <v> </v>
      </c>
      <c r="J775" s="26" t="str">
        <f>IF(OR(E775="",E775="!!!",F775="NEW"),"",COUNTBLANK(OFFSET(A$1,,,SUMPRODUCT(MAX(ROW(E$2:E775)*(E775=E$2:E775)))))-COUNTBLANK(OFFSET(A$1,,,SUMPRODUCT(MAX(ROW(E$1:E774)*(E2=E$1:E774))))))</f>
        <v> </v>
      </c>
      <c r="K775" s="26" t="str">
        <f>IF(OR(E775="",E775="!!!",F775="NEW"),"",INDEX(J$1:J774,SUMPRODUCT(MAX(ROW(E$1:E774)*(E775=E$1:E774)))))</f>
        <v> </v>
      </c>
      <c r="L775" s="27"/>
    </row>
    <row r="776" spans="1:12">
      <c r="A776" s="20" t="s">
        <v>12</v>
      </c>
      <c r="B776" s="21" t="s">
        <v>532</v>
      </c>
      <c r="C776" s="21" t="s">
        <v>215</v>
      </c>
      <c r="D776" s="21" t="s">
        <v>216</v>
      </c>
      <c r="E776" s="22">
        <f>IF(D776="?OLD","!!!","")</f>
        <v/>
      </c>
      <c r="F776" s="23" t="str">
        <f>IF(OR(E776="",E776="!!!"),"",IF(NOT(ISNA(VLOOKUP(E776,E$1:E775,1,FALSE()))),"OLD",IF(AND(E776&lt;&gt;"",E776&lt;&gt;"!!!"),"NEW","")))</f>
        <v> </v>
      </c>
      <c r="G776" s="24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5" t="str">
        <f>IF(J776&lt;&gt;1,"",IF(I776="SBJ","CB","?"))</f>
        <v> </v>
      </c>
      <c r="I776" s="26" t="str">
        <f>IF(OR(E776="",E776="!!!",F776="NEW"),"",INDEX(B775:B$2,-1+SUMPRODUCT(MAX(ROW(E775:E$2)*(E776=E775:E$2)))))</f>
        <v> </v>
      </c>
      <c r="J776" s="26" t="str">
        <f>IF(OR(E776="",E776="!!!",F776="NEW"),"",COUNTBLANK(OFFSET(A$1,,,SUMPRODUCT(MAX(ROW(E$2:E776)*(E776=E$2:E776)))))-COUNTBLANK(OFFSET(A$1,,,SUMPRODUCT(MAX(ROW(E$1:E775)*(E2=E$1:E775))))))</f>
        <v> </v>
      </c>
      <c r="K776" s="26" t="str">
        <f>IF(OR(E776="",E776="!!!",F776="NEW"),"",INDEX(J$1:J775,SUMPRODUCT(MAX(ROW(E$1:E775)*(E776=E$1:E775)))))</f>
        <v> </v>
      </c>
      <c r="L776" s="27"/>
    </row>
    <row r="777" spans="1:12">
      <c r="A777" s="20" t="s">
        <v>217</v>
      </c>
      <c r="E777" s="22">
        <f>IF(D777="?OLD","!!!","")</f>
        <v/>
      </c>
      <c r="F777" s="23" t="str">
        <f>IF(OR(E777="",E777="!!!"),"",IF(NOT(ISNA(VLOOKUP(E777,E$1:E776,1,FALSE()))),"OLD",IF(AND(E777&lt;&gt;"",E777&lt;&gt;"!!!"),"NEW","")))</f>
        <v> </v>
      </c>
      <c r="G777" s="24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5" t="str">
        <f>IF(J777&lt;&gt;1,"",IF(I777="SBJ","CB","?"))</f>
        <v> </v>
      </c>
      <c r="I777" s="26" t="str">
        <f>IF(OR(E777="",E777="!!!",F777="NEW"),"",INDEX(B776:B$2,-1+SUMPRODUCT(MAX(ROW(E776:E$2)*(E777=E776:E$2)))))</f>
        <v> </v>
      </c>
      <c r="J777" s="26" t="str">
        <f>IF(OR(E777="",E777="!!!",F777="NEW"),"",COUNTBLANK(OFFSET(A$1,,,SUMPRODUCT(MAX(ROW(E$2:E777)*(E777=E$2:E777)))))-COUNTBLANK(OFFSET(A$1,,,SUMPRODUCT(MAX(ROW(E$1:E776)*(E2=E$1:E776))))))</f>
        <v> </v>
      </c>
      <c r="K777" s="26" t="str">
        <f>IF(OR(E777="",E777="!!!",F777="NEW"),"",INDEX(J$1:J776,SUMPRODUCT(MAX(ROW(E$1:E776)*(E777=E$1:E776)))))</f>
        <v> </v>
      </c>
      <c r="L777" s="27"/>
    </row>
    <row r="778" spans="1:12">
      <c r="A778" s="20" t="s">
        <v>218</v>
      </c>
      <c r="B778" s="21" t="s">
        <v>330</v>
      </c>
      <c r="C778" s="21" t="s">
        <v>215</v>
      </c>
      <c r="D778" s="21" t="s">
        <v>216</v>
      </c>
      <c r="E778" s="22">
        <f>IF(D778="?OLD","!!!","")</f>
        <v/>
      </c>
      <c r="F778" s="23" t="str">
        <f>IF(OR(E778="",E778="!!!"),"",IF(NOT(ISNA(VLOOKUP(E778,E$1:E777,1,FALSE()))),"OLD",IF(AND(E778&lt;&gt;"",E778&lt;&gt;"!!!"),"NEW","")))</f>
        <v> </v>
      </c>
      <c r="G778" s="24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5" t="str">
        <f>IF(J778&lt;&gt;1,"",IF(I778="SBJ","CB","?"))</f>
        <v> </v>
      </c>
      <c r="I778" s="26" t="str">
        <f>IF(OR(E778="",E778="!!!",F778="NEW"),"",INDEX(B777:B$2,-1+SUMPRODUCT(MAX(ROW(E777:E$2)*(E778=E777:E$2)))))</f>
        <v> </v>
      </c>
      <c r="J778" s="26" t="str">
        <f>IF(OR(E778="",E778="!!!",F778="NEW"),"",COUNTBLANK(OFFSET(A$1,,,SUMPRODUCT(MAX(ROW(E$2:E778)*(E778=E$2:E778)))))-COUNTBLANK(OFFSET(A$1,,,SUMPRODUCT(MAX(ROW(E$1:E777)*(E2=E$1:E777))))))</f>
        <v> </v>
      </c>
      <c r="K778" s="26" t="str">
        <f>IF(OR(E778="",E778="!!!",F778="NEW"),"",INDEX(J$1:J777,SUMPRODUCT(MAX(ROW(E$1:E777)*(E778=E$1:E777)))))</f>
        <v> </v>
      </c>
      <c r="L778" s="27"/>
    </row>
    <row r="779" spans="1:12">
      <c r="A779" s="20" t="s">
        <v>737</v>
      </c>
      <c r="E779" s="22">
        <f>IF(D779="?OLD","!!!","")</f>
        <v/>
      </c>
      <c r="F779" s="23" t="str">
        <f>IF(OR(E779="",E779="!!!"),"",IF(NOT(ISNA(VLOOKUP(E779,E$1:E778,1,FALSE()))),"OLD",IF(AND(E779&lt;&gt;"",E779&lt;&gt;"!!!"),"NEW","")))</f>
        <v> </v>
      </c>
      <c r="G779" s="24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5" t="str">
        <f>IF(J779&lt;&gt;1,"",IF(I779="SBJ","CB","?"))</f>
        <v> </v>
      </c>
      <c r="I779" s="26" t="str">
        <f>IF(OR(E779="",E779="!!!",F779="NEW"),"",INDEX(B778:B$2,-1+SUMPRODUCT(MAX(ROW(E778:E$2)*(E779=E778:E$2)))))</f>
        <v> </v>
      </c>
      <c r="J779" s="26" t="str">
        <f>IF(OR(E779="",E779="!!!",F779="NEW"),"",COUNTBLANK(OFFSET(A$1,,,SUMPRODUCT(MAX(ROW(E$2:E779)*(E779=E$2:E779)))))-COUNTBLANK(OFFSET(A$1,,,SUMPRODUCT(MAX(ROW(E$1:E778)*(E2=E$1:E778))))))</f>
        <v> </v>
      </c>
      <c r="K779" s="26" t="str">
        <f>IF(OR(E779="",E779="!!!",F779="NEW"),"",INDEX(J$1:J778,SUMPRODUCT(MAX(ROW(E$1:E778)*(E779=E$1:E778)))))</f>
        <v> </v>
      </c>
      <c r="L779" s="27"/>
    </row>
    <row r="780" spans="1:12">
      <c r="A780" s="20" t="s">
        <v>738</v>
      </c>
      <c r="E780" s="22">
        <f>IF(D780="?OLD","!!!","")</f>
        <v/>
      </c>
      <c r="F780" s="23" t="str">
        <f>IF(OR(E780="",E780="!!!"),"",IF(NOT(ISNA(VLOOKUP(E780,E$1:E779,1,FALSE()))),"OLD",IF(AND(E780&lt;&gt;"",E780&lt;&gt;"!!!"),"NEW","")))</f>
        <v> </v>
      </c>
      <c r="G780" s="24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5" t="str">
        <f>IF(J780&lt;&gt;1,"",IF(I780="SBJ","CB","?"))</f>
        <v> </v>
      </c>
      <c r="I780" s="26" t="str">
        <f>IF(OR(E780="",E780="!!!",F780="NEW"),"",INDEX(B779:B$2,-1+SUMPRODUCT(MAX(ROW(E779:E$2)*(E780=E779:E$2)))))</f>
        <v> </v>
      </c>
      <c r="J780" s="26" t="str">
        <f>IF(OR(E780="",E780="!!!",F780="NEW"),"",COUNTBLANK(OFFSET(A$1,,,SUMPRODUCT(MAX(ROW(E$2:E780)*(E780=E$2:E780)))))-COUNTBLANK(OFFSET(A$1,,,SUMPRODUCT(MAX(ROW(E$1:E779)*(E2=E$1:E779))))))</f>
        <v> </v>
      </c>
      <c r="K780" s="26" t="str">
        <f>IF(OR(E780="",E780="!!!",F780="NEW"),"",INDEX(J$1:J779,SUMPRODUCT(MAX(ROW(E$1:E779)*(E780=E$1:E779)))))</f>
        <v> </v>
      </c>
      <c r="L780" s="27"/>
    </row>
    <row r="781" spans="1:12">
      <c r="A781" s="20" t="s">
        <v>739</v>
      </c>
      <c r="B781" s="21" t="s">
        <v>527</v>
      </c>
      <c r="E781" s="22">
        <f>IF(D781="?OLD","!!!","")</f>
        <v/>
      </c>
      <c r="F781" s="23" t="str">
        <f>IF(OR(E781="",E781="!!!"),"",IF(NOT(ISNA(VLOOKUP(E781,E$1:E780,1,FALSE()))),"OLD",IF(AND(E781&lt;&gt;"",E781&lt;&gt;"!!!"),"NEW","")))</f>
        <v> </v>
      </c>
      <c r="G781" s="24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5" t="str">
        <f>IF(J781&lt;&gt;1,"",IF(I781="SBJ","CB","?"))</f>
        <v> </v>
      </c>
      <c r="I781" s="26" t="str">
        <f>IF(OR(E781="",E781="!!!",F781="NEW"),"",INDEX(B780:B$2,-1+SUMPRODUCT(MAX(ROW(E780:E$2)*(E781=E780:E$2)))))</f>
        <v> </v>
      </c>
      <c r="J781" s="26" t="str">
        <f>IF(OR(E781="",E781="!!!",F781="NEW"),"",COUNTBLANK(OFFSET(A$1,,,SUMPRODUCT(MAX(ROW(E$2:E781)*(E781=E$2:E781)))))-COUNTBLANK(OFFSET(A$1,,,SUMPRODUCT(MAX(ROW(E$1:E780)*(E2=E$1:E780))))))</f>
        <v> </v>
      </c>
      <c r="K781" s="26" t="str">
        <f>IF(OR(E781="",E781="!!!",F781="NEW"),"",INDEX(J$1:J780,SUMPRODUCT(MAX(ROW(E$1:E780)*(E781=E$1:E780)))))</f>
        <v> </v>
      </c>
      <c r="L781" s="27"/>
    </row>
    <row r="782" spans="1:12">
      <c r="A782" s="20" t="s">
        <v>237</v>
      </c>
      <c r="E782" s="22">
        <f>IF(D782="?OLD","!!!","")</f>
        <v/>
      </c>
      <c r="F782" s="23" t="str">
        <f>IF(OR(E782="",E782="!!!"),"",IF(NOT(ISNA(VLOOKUP(E782,E$1:E781,1,FALSE()))),"OLD",IF(AND(E782&lt;&gt;"",E782&lt;&gt;"!!!"),"NEW","")))</f>
        <v> </v>
      </c>
      <c r="G782" s="24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5" t="str">
        <f>IF(J782&lt;&gt;1,"",IF(I782="SBJ","CB","?"))</f>
        <v> </v>
      </c>
      <c r="I782" s="26" t="str">
        <f>IF(OR(E782="",E782="!!!",F782="NEW"),"",INDEX(B781:B$2,-1+SUMPRODUCT(MAX(ROW(E781:E$2)*(E782=E781:E$2)))))</f>
        <v> </v>
      </c>
      <c r="J782" s="26" t="str">
        <f>IF(OR(E782="",E782="!!!",F782="NEW"),"",COUNTBLANK(OFFSET(A$1,,,SUMPRODUCT(MAX(ROW(E$2:E782)*(E782=E$2:E782)))))-COUNTBLANK(OFFSET(A$1,,,SUMPRODUCT(MAX(ROW(E$1:E781)*(E2=E$1:E781))))))</f>
        <v> </v>
      </c>
      <c r="K782" s="26" t="str">
        <f>IF(OR(E782="",E782="!!!",F782="NEW"),"",INDEX(J$1:J781,SUMPRODUCT(MAX(ROW(E$1:E781)*(E782=E$1:E781)))))</f>
        <v> </v>
      </c>
      <c r="L782" s="27"/>
    </row>
    <row r="783" spans="1:12">
      <c r="A783" s="20"/>
    </row>
    <row r="784" spans="1:12">
      <c r="A784" s="20" t="s">
        <v>740</v>
      </c>
    </row>
    <row r="785" spans="1:12">
      <c r="A785" s="20" t="s">
        <v>741</v>
      </c>
      <c r="E785" s="22">
        <f>IF(D785="?OLD","!!!","")</f>
        <v/>
      </c>
      <c r="F785" s="23" t="str">
        <f>IF(OR(E785="",E785="!!!"),"",IF(NOT(ISNA(VLOOKUP(E785,E$1:E784,1,FALSE()))),"OLD",IF(AND(E785&lt;&gt;"",E785&lt;&gt;"!!!"),"NEW","")))</f>
        <v> </v>
      </c>
      <c r="G785" s="24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5" t="str">
        <f>IF(J785&lt;&gt;1,"",IF(I785="SBJ","CB","?"))</f>
        <v> </v>
      </c>
      <c r="I785" s="26" t="str">
        <f>IF(OR(E785="",E785="!!!",F785="NEW"),"",INDEX(B784:B$2,-1+SUMPRODUCT(MAX(ROW(E784:E$2)*(E785=E784:E$2)))))</f>
        <v> </v>
      </c>
      <c r="J785" s="26" t="str">
        <f>IF(OR(E785="",E785="!!!",F785="NEW"),"",COUNTBLANK(OFFSET(A$1,,,SUMPRODUCT(MAX(ROW(E$2:E785)*(E785=E$2:E785)))))-COUNTBLANK(OFFSET(A$1,,,SUMPRODUCT(MAX(ROW(E$1:E784)*(E2=E$1:E784))))))</f>
        <v> </v>
      </c>
      <c r="K785" s="26" t="str">
        <f>IF(OR(E785="",E785="!!!",F785="NEW"),"",INDEX(J$1:J784,SUMPRODUCT(MAX(ROW(E$1:E784)*(E785=E$1:E784)))))</f>
        <v> </v>
      </c>
      <c r="L785" s="27"/>
    </row>
    <row r="786" spans="1:12">
      <c r="A786" s="20" t="s">
        <v>230</v>
      </c>
      <c r="E786" s="22">
        <f>IF(D786="?OLD","!!!","")</f>
        <v/>
      </c>
      <c r="F786" s="23" t="str">
        <f>IF(OR(E786="",E786="!!!"),"",IF(NOT(ISNA(VLOOKUP(E786,E$1:E785,1,FALSE()))),"OLD",IF(AND(E786&lt;&gt;"",E786&lt;&gt;"!!!"),"NEW","")))</f>
        <v> </v>
      </c>
      <c r="G786" s="24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5" t="str">
        <f>IF(J786&lt;&gt;1,"",IF(I786="SBJ","CB","?"))</f>
        <v> </v>
      </c>
      <c r="I786" s="26" t="str">
        <f>IF(OR(E786="",E786="!!!",F786="NEW"),"",INDEX(B785:B$2,-1+SUMPRODUCT(MAX(ROW(E785:E$2)*(E786=E785:E$2)))))</f>
        <v> </v>
      </c>
      <c r="J786" s="26" t="str">
        <f>IF(OR(E786="",E786="!!!",F786="NEW"),"",COUNTBLANK(OFFSET(A$1,,,SUMPRODUCT(MAX(ROW(E$2:E786)*(E786=E$2:E786)))))-COUNTBLANK(OFFSET(A$1,,,SUMPRODUCT(MAX(ROW(E$1:E785)*(E2=E$1:E785))))))</f>
        <v> </v>
      </c>
      <c r="K786" s="26" t="str">
        <f>IF(OR(E786="",E786="!!!",F786="NEW"),"",INDEX(J$1:J785,SUMPRODUCT(MAX(ROW(E$1:E785)*(E786=E$1:E785)))))</f>
        <v> </v>
      </c>
      <c r="L786" s="27"/>
    </row>
    <row r="787" spans="1:12">
      <c r="A787" s="20" t="s">
        <v>742</v>
      </c>
      <c r="E787" s="22">
        <f>IF(D787="?OLD","!!!","")</f>
        <v/>
      </c>
      <c r="F787" s="23" t="str">
        <f>IF(OR(E787="",E787="!!!"),"",IF(NOT(ISNA(VLOOKUP(E787,E$1:E786,1,FALSE()))),"OLD",IF(AND(E787&lt;&gt;"",E787&lt;&gt;"!!!"),"NEW","")))</f>
        <v> </v>
      </c>
      <c r="G787" s="24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5" t="str">
        <f>IF(J787&lt;&gt;1,"",IF(I787="SBJ","CB","?"))</f>
        <v> </v>
      </c>
      <c r="I787" s="26" t="str">
        <f>IF(OR(E787="",E787="!!!",F787="NEW"),"",INDEX(B786:B$2,-1+SUMPRODUCT(MAX(ROW(E786:E$2)*(E787=E786:E$2)))))</f>
        <v> </v>
      </c>
      <c r="J787" s="26" t="str">
        <f>IF(OR(E787="",E787="!!!",F787="NEW"),"",COUNTBLANK(OFFSET(A$1,,,SUMPRODUCT(MAX(ROW(E$2:E787)*(E787=E$2:E787)))))-COUNTBLANK(OFFSET(A$1,,,SUMPRODUCT(MAX(ROW(E$1:E786)*(E2=E$1:E786))))))</f>
        <v> </v>
      </c>
      <c r="K787" s="26" t="str">
        <f>IF(OR(E787="",E787="!!!",F787="NEW"),"",INDEX(J$1:J786,SUMPRODUCT(MAX(ROW(E$1:E786)*(E787=E$1:E786)))))</f>
        <v> </v>
      </c>
      <c r="L787" s="27"/>
    </row>
    <row r="788" spans="1:12">
      <c r="A788" s="20" t="s">
        <v>743</v>
      </c>
      <c r="B788" s="21" t="s">
        <v>232</v>
      </c>
      <c r="E788" s="22">
        <f>IF(D788="?OLD","!!!","")</f>
        <v/>
      </c>
      <c r="F788" s="23" t="str">
        <f>IF(OR(E788="",E788="!!!"),"",IF(NOT(ISNA(VLOOKUP(E788,E$1:E787,1,FALSE()))),"OLD",IF(AND(E788&lt;&gt;"",E788&lt;&gt;"!!!"),"NEW","")))</f>
        <v> </v>
      </c>
      <c r="G788" s="24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5" t="str">
        <f>IF(J788&lt;&gt;1,"",IF(I788="SBJ","CB","?"))</f>
        <v> </v>
      </c>
      <c r="I788" s="26" t="str">
        <f>IF(OR(E788="",E788="!!!",F788="NEW"),"",INDEX(B787:B$2,-1+SUMPRODUCT(MAX(ROW(E787:E$2)*(E788=E787:E$2)))))</f>
        <v> </v>
      </c>
      <c r="J788" s="26" t="str">
        <f>IF(OR(E788="",E788="!!!",F788="NEW"),"",COUNTBLANK(OFFSET(A$1,,,SUMPRODUCT(MAX(ROW(E$2:E788)*(E788=E$2:E788)))))-COUNTBLANK(OFFSET(A$1,,,SUMPRODUCT(MAX(ROW(E$1:E787)*(E2=E$1:E787))))))</f>
        <v> </v>
      </c>
      <c r="K788" s="26" t="str">
        <f>IF(OR(E788="",E788="!!!",F788="NEW"),"",INDEX(J$1:J787,SUMPRODUCT(MAX(ROW(E$1:E787)*(E788=E$1:E787)))))</f>
        <v> </v>
      </c>
      <c r="L788" s="27"/>
    </row>
    <row r="789" spans="1:12">
      <c r="A789" s="20" t="s">
        <v>636</v>
      </c>
      <c r="E789" s="22">
        <f>IF(D789="?OLD","!!!","")</f>
        <v/>
      </c>
      <c r="F789" s="23" t="str">
        <f>IF(OR(E789="",E789="!!!"),"",IF(NOT(ISNA(VLOOKUP(E789,E$1:E788,1,FALSE()))),"OLD",IF(AND(E789&lt;&gt;"",E789&lt;&gt;"!!!"),"NEW","")))</f>
        <v> </v>
      </c>
      <c r="G789" s="24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5" t="str">
        <f>IF(J789&lt;&gt;1,"",IF(I789="SBJ","CB","?"))</f>
        <v> </v>
      </c>
      <c r="I789" s="26" t="str">
        <f>IF(OR(E789="",E789="!!!",F789="NEW"),"",INDEX(B788:B$2,-1+SUMPRODUCT(MAX(ROW(E788:E$2)*(E789=E788:E$2)))))</f>
        <v> </v>
      </c>
      <c r="J789" s="26" t="str">
        <f>IF(OR(E789="",E789="!!!",F789="NEW"),"",COUNTBLANK(OFFSET(A$1,,,SUMPRODUCT(MAX(ROW(E$2:E789)*(E789=E$2:E789)))))-COUNTBLANK(OFFSET(A$1,,,SUMPRODUCT(MAX(ROW(E$1:E788)*(E2=E$1:E788))))))</f>
        <v> </v>
      </c>
      <c r="K789" s="26" t="str">
        <f>IF(OR(E789="",E789="!!!",F789="NEW"),"",INDEX(J$1:J788,SUMPRODUCT(MAX(ROW(E$1:E788)*(E789=E$1:E788)))))</f>
        <v> </v>
      </c>
      <c r="L789" s="27"/>
    </row>
    <row r="790" spans="1:12">
      <c r="A790" s="20" t="s">
        <v>709</v>
      </c>
      <c r="E790" s="22">
        <f>IF(D790="?OLD","!!!","")</f>
        <v/>
      </c>
      <c r="F790" s="23" t="str">
        <f>IF(OR(E790="",E790="!!!"),"",IF(NOT(ISNA(VLOOKUP(E790,E$1:E789,1,FALSE()))),"OLD",IF(AND(E790&lt;&gt;"",E790&lt;&gt;"!!!"),"NEW","")))</f>
        <v> </v>
      </c>
      <c r="G790" s="24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5" t="str">
        <f>IF(J790&lt;&gt;1,"",IF(I790="SBJ","CB","?"))</f>
        <v> </v>
      </c>
      <c r="I790" s="26" t="str">
        <f>IF(OR(E790="",E790="!!!",F790="NEW"),"",INDEX(B789:B$2,-1+SUMPRODUCT(MAX(ROW(E789:E$2)*(E790=E789:E$2)))))</f>
        <v> </v>
      </c>
      <c r="J790" s="26" t="str">
        <f>IF(OR(E790="",E790="!!!",F790="NEW"),"",COUNTBLANK(OFFSET(A$1,,,SUMPRODUCT(MAX(ROW(E$2:E790)*(E790=E$2:E790)))))-COUNTBLANK(OFFSET(A$1,,,SUMPRODUCT(MAX(ROW(E$1:E789)*(E2=E$1:E789))))))</f>
        <v> </v>
      </c>
      <c r="K790" s="26" t="str">
        <f>IF(OR(E790="",E790="!!!",F790="NEW"),"",INDEX(J$1:J789,SUMPRODUCT(MAX(ROW(E$1:E789)*(E790=E$1:E789)))))</f>
        <v> </v>
      </c>
      <c r="L790" s="27"/>
    </row>
    <row r="791" spans="1:12">
      <c r="A791" s="20" t="s">
        <v>637</v>
      </c>
      <c r="B791" s="21" t="s">
        <v>226</v>
      </c>
      <c r="C791" s="21" t="s">
        <v>227</v>
      </c>
      <c r="D791" s="21" t="s">
        <v>216</v>
      </c>
      <c r="E791" s="22">
        <f>IF(D791="?OLD","!!!","")</f>
        <v/>
      </c>
      <c r="F791" s="23" t="str">
        <f>IF(OR(E791="",E791="!!!"),"",IF(NOT(ISNA(VLOOKUP(E791,E$1:E790,1,FALSE()))),"OLD",IF(AND(E791&lt;&gt;"",E791&lt;&gt;"!!!"),"NEW","")))</f>
        <v> </v>
      </c>
      <c r="G791" s="24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5" t="str">
        <f>IF(J791&lt;&gt;1,"",IF(I791="SBJ","CB","?"))</f>
        <v> </v>
      </c>
      <c r="I791" s="26" t="str">
        <f>IF(OR(E791="",E791="!!!",F791="NEW"),"",INDEX(B790:B$2,-1+SUMPRODUCT(MAX(ROW(E790:E$2)*(E791=E790:E$2)))))</f>
        <v> </v>
      </c>
      <c r="J791" s="26" t="str">
        <f>IF(OR(E791="",E791="!!!",F791="NEW"),"",COUNTBLANK(OFFSET(A$1,,,SUMPRODUCT(MAX(ROW(E$2:E791)*(E791=E$2:E791)))))-COUNTBLANK(OFFSET(A$1,,,SUMPRODUCT(MAX(ROW(E$1:E790)*(E2=E$1:E790))))))</f>
        <v> </v>
      </c>
      <c r="K791" s="26" t="str">
        <f>IF(OR(E791="",E791="!!!",F791="NEW"),"",INDEX(J$1:J790,SUMPRODUCT(MAX(ROW(E$1:E790)*(E791=E$1:E790)))))</f>
        <v> </v>
      </c>
      <c r="L791" s="27"/>
    </row>
    <row r="792" spans="1:12">
      <c r="A792" s="20" t="s">
        <v>230</v>
      </c>
      <c r="E792" s="22">
        <f>IF(D792="?OLD","!!!","")</f>
        <v/>
      </c>
      <c r="F792" s="23" t="str">
        <f>IF(OR(E792="",E792="!!!"),"",IF(NOT(ISNA(VLOOKUP(E792,E$1:E791,1,FALSE()))),"OLD",IF(AND(E792&lt;&gt;"",E792&lt;&gt;"!!!"),"NEW","")))</f>
        <v> </v>
      </c>
      <c r="G792" s="24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5" t="str">
        <f>IF(J792&lt;&gt;1,"",IF(I792="SBJ","CB","?"))</f>
        <v> </v>
      </c>
      <c r="I792" s="26" t="str">
        <f>IF(OR(E792="",E792="!!!",F792="NEW"),"",INDEX(B791:B$2,-1+SUMPRODUCT(MAX(ROW(E791:E$2)*(E792=E791:E$2)))))</f>
        <v> </v>
      </c>
      <c r="J792" s="26" t="str">
        <f>IF(OR(E792="",E792="!!!",F792="NEW"),"",COUNTBLANK(OFFSET(A$1,,,SUMPRODUCT(MAX(ROW(E$2:E792)*(E792=E$2:E792)))))-COUNTBLANK(OFFSET(A$1,,,SUMPRODUCT(MAX(ROW(E$1:E791)*(E2=E$1:E791))))))</f>
        <v> </v>
      </c>
      <c r="K792" s="26" t="str">
        <f>IF(OR(E792="",E792="!!!",F792="NEW"),"",INDEX(J$1:J791,SUMPRODUCT(MAX(ROW(E$1:E791)*(E792=E$1:E791)))))</f>
        <v> </v>
      </c>
      <c r="L792" s="27"/>
    </row>
    <row r="793" spans="1:12">
      <c r="A793" s="20" t="s">
        <v>281</v>
      </c>
      <c r="E793" s="22">
        <f>IF(D793="?OLD","!!!","")</f>
        <v/>
      </c>
      <c r="F793" s="23" t="str">
        <f>IF(OR(E793="",E793="!!!"),"",IF(NOT(ISNA(VLOOKUP(E793,E$1:E792,1,FALSE()))),"OLD",IF(AND(E793&lt;&gt;"",E793&lt;&gt;"!!!"),"NEW","")))</f>
        <v> </v>
      </c>
      <c r="G793" s="24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5" t="str">
        <f>IF(J793&lt;&gt;1,"",IF(I793="SBJ","CB","?"))</f>
        <v> </v>
      </c>
      <c r="I793" s="26" t="str">
        <f>IF(OR(E793="",E793="!!!",F793="NEW"),"",INDEX(B792:B$2,-1+SUMPRODUCT(MAX(ROW(E792:E$2)*(E793=E792:E$2)))))</f>
        <v> </v>
      </c>
      <c r="J793" s="26" t="str">
        <f>IF(OR(E793="",E793="!!!",F793="NEW"),"",COUNTBLANK(OFFSET(A$1,,,SUMPRODUCT(MAX(ROW(E$2:E793)*(E793=E$2:E793)))))-COUNTBLANK(OFFSET(A$1,,,SUMPRODUCT(MAX(ROW(E$1:E792)*(E2=E$1:E792))))))</f>
        <v> </v>
      </c>
      <c r="K793" s="26" t="str">
        <f>IF(OR(E793="",E793="!!!",F793="NEW"),"",INDEX(J$1:J792,SUMPRODUCT(MAX(ROW(E$1:E792)*(E793=E$1:E792)))))</f>
        <v> </v>
      </c>
      <c r="L793" s="27"/>
    </row>
    <row r="794" spans="1:12">
      <c r="A794" s="20" t="s">
        <v>530</v>
      </c>
      <c r="E794" s="22">
        <f>IF(D794="?OLD","!!!","")</f>
        <v/>
      </c>
      <c r="F794" s="23" t="str">
        <f>IF(OR(E794="",E794="!!!"),"",IF(NOT(ISNA(VLOOKUP(E794,E$1:E793,1,FALSE()))),"OLD",IF(AND(E794&lt;&gt;"",E794&lt;&gt;"!!!"),"NEW","")))</f>
        <v> </v>
      </c>
      <c r="G794" s="24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5" t="str">
        <f>IF(J794&lt;&gt;1,"",IF(I794="SBJ","CB","?"))</f>
        <v> </v>
      </c>
      <c r="I794" s="26" t="str">
        <f>IF(OR(E794="",E794="!!!",F794="NEW"),"",INDEX(B793:B$2,-1+SUMPRODUCT(MAX(ROW(E793:E$2)*(E794=E793:E$2)))))</f>
        <v> </v>
      </c>
      <c r="J794" s="26" t="str">
        <f>IF(OR(E794="",E794="!!!",F794="NEW"),"",COUNTBLANK(OFFSET(A$1,,,SUMPRODUCT(MAX(ROW(E$2:E794)*(E794=E$2:E794)))))-COUNTBLANK(OFFSET(A$1,,,SUMPRODUCT(MAX(ROW(E$1:E793)*(E2=E$1:E793))))))</f>
        <v> </v>
      </c>
      <c r="K794" s="26" t="str">
        <f>IF(OR(E794="",E794="!!!",F794="NEW"),"",INDEX(J$1:J793,SUMPRODUCT(MAX(ROW(E$1:E793)*(E794=E$1:E793)))))</f>
        <v> </v>
      </c>
      <c r="L794" s="27"/>
    </row>
    <row r="795" spans="1:12">
      <c r="A795" s="20" t="s">
        <v>533</v>
      </c>
      <c r="E795" s="22">
        <f>IF(D795="?OLD","!!!","")</f>
        <v/>
      </c>
      <c r="F795" s="23" t="str">
        <f>IF(OR(E795="",E795="!!!"),"",IF(NOT(ISNA(VLOOKUP(E795,E$1:E794,1,FALSE()))),"OLD",IF(AND(E795&lt;&gt;"",E795&lt;&gt;"!!!"),"NEW","")))</f>
        <v> </v>
      </c>
      <c r="G795" s="24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5" t="str">
        <f>IF(J795&lt;&gt;1,"",IF(I795="SBJ","CB","?"))</f>
        <v> </v>
      </c>
      <c r="I795" s="26" t="str">
        <f>IF(OR(E795="",E795="!!!",F795="NEW"),"",INDEX(B794:B$2,-1+SUMPRODUCT(MAX(ROW(E794:E$2)*(E795=E794:E$2)))))</f>
        <v> </v>
      </c>
      <c r="J795" s="26" t="str">
        <f>IF(OR(E795="",E795="!!!",F795="NEW"),"",COUNTBLANK(OFFSET(A$1,,,SUMPRODUCT(MAX(ROW(E$2:E795)*(E795=E$2:E795)))))-COUNTBLANK(OFFSET(A$1,,,SUMPRODUCT(MAX(ROW(E$1:E794)*(E2=E$1:E794))))))</f>
        <v> </v>
      </c>
      <c r="K795" s="26" t="str">
        <f>IF(OR(E795="",E795="!!!",F795="NEW"),"",INDEX(J$1:J794,SUMPRODUCT(MAX(ROW(E$1:E794)*(E795=E$1:E794)))))</f>
        <v> </v>
      </c>
      <c r="L795" s="27"/>
    </row>
    <row r="796" spans="1:12">
      <c r="A796" s="20" t="s">
        <v>744</v>
      </c>
      <c r="E796" s="22">
        <f>IF(D796="?OLD","!!!","")</f>
        <v/>
      </c>
      <c r="F796" s="23" t="str">
        <f>IF(OR(E796="",E796="!!!"),"",IF(NOT(ISNA(VLOOKUP(E796,E$1:E795,1,FALSE()))),"OLD",IF(AND(E796&lt;&gt;"",E796&lt;&gt;"!!!"),"NEW","")))</f>
        <v> </v>
      </c>
      <c r="G796" s="24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5" t="str">
        <f>IF(J796&lt;&gt;1,"",IF(I796="SBJ","CB","?"))</f>
        <v> </v>
      </c>
      <c r="I796" s="26" t="str">
        <f>IF(OR(E796="",E796="!!!",F796="NEW"),"",INDEX(B795:B$2,-1+SUMPRODUCT(MAX(ROW(E795:E$2)*(E796=E795:E$2)))))</f>
        <v> </v>
      </c>
      <c r="J796" s="26" t="str">
        <f>IF(OR(E796="",E796="!!!",F796="NEW"),"",COUNTBLANK(OFFSET(A$1,,,SUMPRODUCT(MAX(ROW(E$2:E796)*(E796=E$2:E796)))))-COUNTBLANK(OFFSET(A$1,,,SUMPRODUCT(MAX(ROW(E$1:E795)*(E2=E$1:E795))))))</f>
        <v> </v>
      </c>
      <c r="K796" s="26" t="str">
        <f>IF(OR(E796="",E796="!!!",F796="NEW"),"",INDEX(J$1:J795,SUMPRODUCT(MAX(ROW(E$1:E795)*(E796=E$1:E795)))))</f>
        <v> </v>
      </c>
      <c r="L796" s="27"/>
    </row>
    <row r="797" spans="1:12">
      <c r="A797" s="20" t="s">
        <v>745</v>
      </c>
      <c r="B797" s="21" t="s">
        <v>244</v>
      </c>
      <c r="C797" s="21" t="s">
        <v>331</v>
      </c>
      <c r="E797" s="22">
        <f>IF(D797="?OLD","!!!","")</f>
        <v/>
      </c>
      <c r="F797" s="23" t="str">
        <f>IF(OR(E797="",E797="!!!"),"",IF(NOT(ISNA(VLOOKUP(E797,E$1:E796,1,FALSE()))),"OLD",IF(AND(E797&lt;&gt;"",E797&lt;&gt;"!!!"),"NEW","")))</f>
        <v> </v>
      </c>
      <c r="G797" s="24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5" t="str">
        <f>IF(J797&lt;&gt;1,"",IF(I797="SBJ","CB","?"))</f>
        <v> </v>
      </c>
      <c r="I797" s="26" t="str">
        <f>IF(OR(E797="",E797="!!!",F797="NEW"),"",INDEX(B796:B$2,-1+SUMPRODUCT(MAX(ROW(E796:E$2)*(E797=E796:E$2)))))</f>
        <v> </v>
      </c>
      <c r="J797" s="26" t="str">
        <f>IF(OR(E797="",E797="!!!",F797="NEW"),"",COUNTBLANK(OFFSET(A$1,,,SUMPRODUCT(MAX(ROW(E$2:E797)*(E797=E$2:E797)))))-COUNTBLANK(OFFSET(A$1,,,SUMPRODUCT(MAX(ROW(E$1:E796)*(E2=E$1:E796))))))</f>
        <v> </v>
      </c>
      <c r="K797" s="26" t="str">
        <f>IF(OR(E797="",E797="!!!",F797="NEW"),"",INDEX(J$1:J796,SUMPRODUCT(MAX(ROW(E$1:E796)*(E797=E$1:E796)))))</f>
        <v> </v>
      </c>
      <c r="L797" s="27"/>
    </row>
    <row r="798" spans="1:12">
      <c r="A798" s="20" t="s">
        <v>746</v>
      </c>
      <c r="E798" s="22">
        <f>IF(D798="?OLD","!!!","")</f>
        <v/>
      </c>
      <c r="F798" s="23" t="str">
        <f>IF(OR(E798="",E798="!!!"),"",IF(NOT(ISNA(VLOOKUP(E798,E$1:E797,1,FALSE()))),"OLD",IF(AND(E798&lt;&gt;"",E798&lt;&gt;"!!!"),"NEW","")))</f>
        <v> </v>
      </c>
      <c r="G798" s="24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5" t="str">
        <f>IF(J798&lt;&gt;1,"",IF(I798="SBJ","CB","?"))</f>
        <v> </v>
      </c>
      <c r="I798" s="26" t="str">
        <f>IF(OR(E798="",E798="!!!",F798="NEW"),"",INDEX(B797:B$2,-1+SUMPRODUCT(MAX(ROW(E797:E$2)*(E798=E797:E$2)))))</f>
        <v> </v>
      </c>
      <c r="J798" s="26" t="str">
        <f>IF(OR(E798="",E798="!!!",F798="NEW"),"",COUNTBLANK(OFFSET(A$1,,,SUMPRODUCT(MAX(ROW(E$2:E798)*(E798=E$2:E798)))))-COUNTBLANK(OFFSET(A$1,,,SUMPRODUCT(MAX(ROW(E$1:E797)*(E2=E$1:E797))))))</f>
        <v> </v>
      </c>
      <c r="K798" s="26" t="str">
        <f>IF(OR(E798="",E798="!!!",F798="NEW"),"",INDEX(J$1:J797,SUMPRODUCT(MAX(ROW(E$1:E797)*(E798=E$1:E797)))))</f>
        <v> </v>
      </c>
      <c r="L798" s="27"/>
    </row>
    <row r="799" spans="1:12">
      <c r="A799" s="20" t="s">
        <v>747</v>
      </c>
      <c r="E799" s="22">
        <f>IF(D799="?OLD","!!!","")</f>
        <v/>
      </c>
      <c r="F799" s="23" t="str">
        <f>IF(OR(E799="",E799="!!!"),"",IF(NOT(ISNA(VLOOKUP(E799,E$1:E798,1,FALSE()))),"OLD",IF(AND(E799&lt;&gt;"",E799&lt;&gt;"!!!"),"NEW","")))</f>
        <v> </v>
      </c>
      <c r="G799" s="24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5" t="str">
        <f>IF(J799&lt;&gt;1,"",IF(I799="SBJ","CB","?"))</f>
        <v> </v>
      </c>
      <c r="I799" s="26" t="str">
        <f>IF(OR(E799="",E799="!!!",F799="NEW"),"",INDEX(B798:B$2,-1+SUMPRODUCT(MAX(ROW(E798:E$2)*(E799=E798:E$2)))))</f>
        <v> </v>
      </c>
      <c r="J799" s="26" t="str">
        <f>IF(OR(E799="",E799="!!!",F799="NEW"),"",COUNTBLANK(OFFSET(A$1,,,SUMPRODUCT(MAX(ROW(E$2:E799)*(E799=E$2:E799)))))-COUNTBLANK(OFFSET(A$1,,,SUMPRODUCT(MAX(ROW(E$1:E798)*(E2=E$1:E798))))))</f>
        <v> </v>
      </c>
      <c r="K799" s="26" t="str">
        <f>IF(OR(E799="",E799="!!!",F799="NEW"),"",INDEX(J$1:J798,SUMPRODUCT(MAX(ROW(E$1:E798)*(E799=E$1:E798)))))</f>
        <v> </v>
      </c>
      <c r="L799" s="27"/>
    </row>
    <row r="800" spans="1:12">
      <c r="A800" s="20" t="s">
        <v>230</v>
      </c>
      <c r="E800" s="22">
        <f>IF(D800="?OLD","!!!","")</f>
        <v/>
      </c>
      <c r="F800" s="23" t="str">
        <f>IF(OR(E800="",E800="!!!"),"",IF(NOT(ISNA(VLOOKUP(E800,E$1:E799,1,FALSE()))),"OLD",IF(AND(E800&lt;&gt;"",E800&lt;&gt;"!!!"),"NEW","")))</f>
        <v> </v>
      </c>
      <c r="G800" s="24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5" t="str">
        <f>IF(J800&lt;&gt;1,"",IF(I800="SBJ","CB","?"))</f>
        <v> </v>
      </c>
      <c r="I800" s="26" t="str">
        <f>IF(OR(E800="",E800="!!!",F800="NEW"),"",INDEX(B799:B$2,-1+SUMPRODUCT(MAX(ROW(E799:E$2)*(E800=E799:E$2)))))</f>
        <v> </v>
      </c>
      <c r="J800" s="26" t="str">
        <f>IF(OR(E800="",E800="!!!",F800="NEW"),"",COUNTBLANK(OFFSET(A$1,,,SUMPRODUCT(MAX(ROW(E$2:E800)*(E800=E$2:E800)))))-COUNTBLANK(OFFSET(A$1,,,SUMPRODUCT(MAX(ROW(E$1:E799)*(E2=E$1:E799))))))</f>
        <v> </v>
      </c>
      <c r="K800" s="26" t="str">
        <f>IF(OR(E800="",E800="!!!",F800="NEW"),"",INDEX(J$1:J799,SUMPRODUCT(MAX(ROW(E$1:E799)*(E800=E$1:E799)))))</f>
        <v> </v>
      </c>
      <c r="L800" s="27"/>
    </row>
    <row r="801" spans="1:12">
      <c r="A801" s="20" t="s">
        <v>748</v>
      </c>
      <c r="E801" s="22">
        <f>IF(D801="?OLD","!!!","")</f>
        <v/>
      </c>
      <c r="F801" s="23" t="str">
        <f>IF(OR(E801="",E801="!!!"),"",IF(NOT(ISNA(VLOOKUP(E801,E$1:E800,1,FALSE()))),"OLD",IF(AND(E801&lt;&gt;"",E801&lt;&gt;"!!!"),"NEW","")))</f>
        <v> </v>
      </c>
      <c r="G801" s="24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5" t="str">
        <f>IF(J801&lt;&gt;1,"",IF(I801="SBJ","CB","?"))</f>
        <v> </v>
      </c>
      <c r="I801" s="26" t="str">
        <f>IF(OR(E801="",E801="!!!",F801="NEW"),"",INDEX(B800:B$2,-1+SUMPRODUCT(MAX(ROW(E800:E$2)*(E801=E800:E$2)))))</f>
        <v> </v>
      </c>
      <c r="J801" s="26" t="str">
        <f>IF(OR(E801="",E801="!!!",F801="NEW"),"",COUNTBLANK(OFFSET(A$1,,,SUMPRODUCT(MAX(ROW(E$2:E801)*(E801=E$2:E801)))))-COUNTBLANK(OFFSET(A$1,,,SUMPRODUCT(MAX(ROW(E$1:E800)*(E2=E$1:E800))))))</f>
        <v> </v>
      </c>
      <c r="K801" s="26" t="str">
        <f>IF(OR(E801="",E801="!!!",F801="NEW"),"",INDEX(J$1:J800,SUMPRODUCT(MAX(ROW(E$1:E800)*(E801=E$1:E800)))))</f>
        <v> </v>
      </c>
      <c r="L801" s="27"/>
    </row>
    <row r="802" spans="1:12">
      <c r="A802" s="20" t="s">
        <v>749</v>
      </c>
      <c r="E802" s="22">
        <f>IF(D802="?OLD","!!!","")</f>
        <v/>
      </c>
      <c r="F802" s="23" t="str">
        <f>IF(OR(E802="",E802="!!!"),"",IF(NOT(ISNA(VLOOKUP(E802,E$1:E801,1,FALSE()))),"OLD",IF(AND(E802&lt;&gt;"",E802&lt;&gt;"!!!"),"NEW","")))</f>
        <v> </v>
      </c>
      <c r="G802" s="24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5" t="str">
        <f>IF(J802&lt;&gt;1,"",IF(I802="SBJ","CB","?"))</f>
        <v> </v>
      </c>
      <c r="I802" s="26" t="str">
        <f>IF(OR(E802="",E802="!!!",F802="NEW"),"",INDEX(B801:B$2,-1+SUMPRODUCT(MAX(ROW(E801:E$2)*(E802=E801:E$2)))))</f>
        <v> </v>
      </c>
      <c r="J802" s="26" t="str">
        <f>IF(OR(E802="",E802="!!!",F802="NEW"),"",COUNTBLANK(OFFSET(A$1,,,SUMPRODUCT(MAX(ROW(E$2:E802)*(E802=E$2:E802)))))-COUNTBLANK(OFFSET(A$1,,,SUMPRODUCT(MAX(ROW(E$1:E801)*(E2=E$1:E801))))))</f>
        <v> </v>
      </c>
      <c r="K802" s="26" t="str">
        <f>IF(OR(E802="",E802="!!!",F802="NEW"),"",INDEX(J$1:J801,SUMPRODUCT(MAX(ROW(E$1:E801)*(E802=E$1:E801)))))</f>
        <v> </v>
      </c>
      <c r="L802" s="27"/>
    </row>
    <row r="803" spans="1:12">
      <c r="A803" s="20" t="s">
        <v>506</v>
      </c>
      <c r="B803" s="21" t="s">
        <v>532</v>
      </c>
      <c r="C803" s="21" t="s">
        <v>331</v>
      </c>
      <c r="E803" s="22">
        <f>IF(D803="?OLD","!!!","")</f>
        <v/>
      </c>
      <c r="F803" s="23" t="str">
        <f>IF(OR(E803="",E803="!!!"),"",IF(NOT(ISNA(VLOOKUP(E803,E$1:E802,1,FALSE()))),"OLD",IF(AND(E803&lt;&gt;"",E803&lt;&gt;"!!!"),"NEW","")))</f>
        <v> </v>
      </c>
      <c r="G803" s="24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5" t="str">
        <f>IF(J803&lt;&gt;1,"",IF(I803="SBJ","CB","?"))</f>
        <v> </v>
      </c>
      <c r="I803" s="26" t="str">
        <f>IF(OR(E803="",E803="!!!",F803="NEW"),"",INDEX(B802:B$2,-1+SUMPRODUCT(MAX(ROW(E802:E$2)*(E803=E802:E$2)))))</f>
        <v> </v>
      </c>
      <c r="J803" s="26" t="str">
        <f>IF(OR(E803="",E803="!!!",F803="NEW"),"",COUNTBLANK(OFFSET(A$1,,,SUMPRODUCT(MAX(ROW(E$2:E803)*(E803=E$2:E803)))))-COUNTBLANK(OFFSET(A$1,,,SUMPRODUCT(MAX(ROW(E$1:E802)*(E2=E$1:E802))))))</f>
        <v> </v>
      </c>
      <c r="K803" s="26" t="str">
        <f>IF(OR(E803="",E803="!!!",F803="NEW"),"",INDEX(J$1:J802,SUMPRODUCT(MAX(ROW(E$1:E802)*(E803=E$1:E802)))))</f>
        <v> </v>
      </c>
      <c r="L803" s="27"/>
    </row>
    <row r="804" spans="1:12">
      <c r="A804" s="20" t="s">
        <v>750</v>
      </c>
      <c r="E804" s="22">
        <f>IF(D804="?OLD","!!!","")</f>
        <v/>
      </c>
      <c r="F804" s="23" t="str">
        <f>IF(OR(E804="",E804="!!!"),"",IF(NOT(ISNA(VLOOKUP(E804,E$1:E803,1,FALSE()))),"OLD",IF(AND(E804&lt;&gt;"",E804&lt;&gt;"!!!"),"NEW","")))</f>
        <v> </v>
      </c>
      <c r="G804" s="24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5" t="str">
        <f>IF(J804&lt;&gt;1,"",IF(I804="SBJ","CB","?"))</f>
        <v> </v>
      </c>
      <c r="I804" s="26" t="str">
        <f>IF(OR(E804="",E804="!!!",F804="NEW"),"",INDEX(B803:B$2,-1+SUMPRODUCT(MAX(ROW(E803:E$2)*(E804=E803:E$2)))))</f>
        <v> </v>
      </c>
      <c r="J804" s="26" t="str">
        <f>IF(OR(E804="",E804="!!!",F804="NEW"),"",COUNTBLANK(OFFSET(A$1,,,SUMPRODUCT(MAX(ROW(E$2:E804)*(E804=E$2:E804)))))-COUNTBLANK(OFFSET(A$1,,,SUMPRODUCT(MAX(ROW(E$1:E803)*(E2=E$1:E803))))))</f>
        <v> </v>
      </c>
      <c r="K804" s="26" t="str">
        <f>IF(OR(E804="",E804="!!!",F804="NEW"),"",INDEX(J$1:J803,SUMPRODUCT(MAX(ROW(E$1:E803)*(E804=E$1:E803)))))</f>
        <v> </v>
      </c>
      <c r="L804" s="27"/>
    </row>
    <row r="805" spans="1:12">
      <c r="A805" s="20" t="s">
        <v>751</v>
      </c>
      <c r="B805" s="21" t="s">
        <v>527</v>
      </c>
      <c r="E805" s="22">
        <f>IF(D805="?OLD","!!!","")</f>
        <v/>
      </c>
      <c r="F805" s="23" t="str">
        <f>IF(OR(E805="",E805="!!!"),"",IF(NOT(ISNA(VLOOKUP(E805,E$1:E804,1,FALSE()))),"OLD",IF(AND(E805&lt;&gt;"",E805&lt;&gt;"!!!"),"NEW","")))</f>
        <v> </v>
      </c>
      <c r="G805" s="24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5" t="str">
        <f>IF(J805&lt;&gt;1,"",IF(I805="SBJ","CB","?"))</f>
        <v> </v>
      </c>
      <c r="I805" s="26" t="str">
        <f>IF(OR(E805="",E805="!!!",F805="NEW"),"",INDEX(B804:B$2,-1+SUMPRODUCT(MAX(ROW(E804:E$2)*(E805=E804:E$2)))))</f>
        <v> </v>
      </c>
      <c r="J805" s="26" t="str">
        <f>IF(OR(E805="",E805="!!!",F805="NEW"),"",COUNTBLANK(OFFSET(A$1,,,SUMPRODUCT(MAX(ROW(E$2:E805)*(E805=E$2:E805)))))-COUNTBLANK(OFFSET(A$1,,,SUMPRODUCT(MAX(ROW(E$1:E804)*(E2=E$1:E804))))))</f>
        <v> </v>
      </c>
      <c r="K805" s="26" t="str">
        <f>IF(OR(E805="",E805="!!!",F805="NEW"),"",INDEX(J$1:J804,SUMPRODUCT(MAX(ROW(E$1:E804)*(E805=E$1:E804)))))</f>
        <v> </v>
      </c>
      <c r="L805" s="27"/>
    </row>
    <row r="806" spans="1:12">
      <c r="A806" s="20" t="s">
        <v>230</v>
      </c>
      <c r="E806" s="22">
        <f>IF(D806="?OLD","!!!","")</f>
        <v/>
      </c>
      <c r="F806" s="23" t="str">
        <f>IF(OR(E806="",E806="!!!"),"",IF(NOT(ISNA(VLOOKUP(E806,E$1:E805,1,FALSE()))),"OLD",IF(AND(E806&lt;&gt;"",E806&lt;&gt;"!!!"),"NEW","")))</f>
        <v> </v>
      </c>
      <c r="G806" s="24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5" t="str">
        <f>IF(J806&lt;&gt;1,"",IF(I806="SBJ","CB","?"))</f>
        <v> </v>
      </c>
      <c r="I806" s="26" t="str">
        <f>IF(OR(E806="",E806="!!!",F806="NEW"),"",INDEX(B805:B$2,-1+SUMPRODUCT(MAX(ROW(E805:E$2)*(E806=E805:E$2)))))</f>
        <v> </v>
      </c>
      <c r="J806" s="26" t="str">
        <f>IF(OR(E806="",E806="!!!",F806="NEW"),"",COUNTBLANK(OFFSET(A$1,,,SUMPRODUCT(MAX(ROW(E$2:E806)*(E806=E$2:E806)))))-COUNTBLANK(OFFSET(A$1,,,SUMPRODUCT(MAX(ROW(E$1:E805)*(E2=E$1:E805))))))</f>
        <v> </v>
      </c>
      <c r="K806" s="26" t="str">
        <f>IF(OR(E806="",E806="!!!",F806="NEW"),"",INDEX(J$1:J805,SUMPRODUCT(MAX(ROW(E$1:E805)*(E806=E$1:E805)))))</f>
        <v> </v>
      </c>
      <c r="L806" s="27"/>
    </row>
    <row r="807" spans="1:12">
      <c r="A807" s="20" t="s">
        <v>752</v>
      </c>
      <c r="B807" s="21" t="s">
        <v>283</v>
      </c>
      <c r="C807" s="21" t="s">
        <v>277</v>
      </c>
      <c r="D807" s="21" t="s">
        <v>216</v>
      </c>
      <c r="E807" s="22">
        <f>IF(D807="?OLD","!!!","")</f>
        <v/>
      </c>
      <c r="F807" s="23" t="str">
        <f>IF(OR(E807="",E807="!!!"),"",IF(NOT(ISNA(VLOOKUP(E807,E$1:E806,1,FALSE()))),"OLD",IF(AND(E807&lt;&gt;"",E807&lt;&gt;"!!!"),"NEW","")))</f>
        <v> </v>
      </c>
      <c r="G807" s="24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5" t="str">
        <f>IF(J807&lt;&gt;1,"",IF(I807="SBJ","CB","?"))</f>
        <v> </v>
      </c>
      <c r="I807" s="26" t="str">
        <f>IF(OR(E807="",E807="!!!",F807="NEW"),"",INDEX(B806:B$2,-1+SUMPRODUCT(MAX(ROW(E806:E$2)*(E807=E806:E$2)))))</f>
        <v> </v>
      </c>
      <c r="J807" s="26" t="str">
        <f>IF(OR(E807="",E807="!!!",F807="NEW"),"",COUNTBLANK(OFFSET(A$1,,,SUMPRODUCT(MAX(ROW(E$2:E807)*(E807=E$2:E807)))))-COUNTBLANK(OFFSET(A$1,,,SUMPRODUCT(MAX(ROW(E$1:E806)*(E2=E$1:E806))))))</f>
        <v> </v>
      </c>
      <c r="K807" s="26" t="str">
        <f>IF(OR(E807="",E807="!!!",F807="NEW"),"",INDEX(J$1:J806,SUMPRODUCT(MAX(ROW(E$1:E806)*(E807=E$1:E806)))))</f>
        <v> </v>
      </c>
      <c r="L807" s="27"/>
    </row>
    <row r="808" spans="1:12">
      <c r="A808" s="20" t="s">
        <v>305</v>
      </c>
      <c r="E808" s="22">
        <f>IF(D808="?OLD","!!!","")</f>
        <v/>
      </c>
      <c r="F808" s="23" t="str">
        <f>IF(OR(E808="",E808="!!!"),"",IF(NOT(ISNA(VLOOKUP(E808,E$1:E807,1,FALSE()))),"OLD",IF(AND(E808&lt;&gt;"",E808&lt;&gt;"!!!"),"NEW","")))</f>
        <v> </v>
      </c>
      <c r="G808" s="24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5" t="str">
        <f>IF(J808&lt;&gt;1,"",IF(I808="SBJ","CB","?"))</f>
        <v> </v>
      </c>
      <c r="I808" s="26" t="str">
        <f>IF(OR(E808="",E808="!!!",F808="NEW"),"",INDEX(B807:B$2,-1+SUMPRODUCT(MAX(ROW(E807:E$2)*(E808=E807:E$2)))))</f>
        <v> </v>
      </c>
      <c r="J808" s="26" t="str">
        <f>IF(OR(E808="",E808="!!!",F808="NEW"),"",COUNTBLANK(OFFSET(A$1,,,SUMPRODUCT(MAX(ROW(E$2:E808)*(E808=E$2:E808)))))-COUNTBLANK(OFFSET(A$1,,,SUMPRODUCT(MAX(ROW(E$1:E807)*(E2=E$1:E807))))))</f>
        <v> </v>
      </c>
      <c r="K808" s="26" t="str">
        <f>IF(OR(E808="",E808="!!!",F808="NEW"),"",INDEX(J$1:J807,SUMPRODUCT(MAX(ROW(E$1:E807)*(E808=E$1:E807)))))</f>
        <v> </v>
      </c>
      <c r="L808" s="27"/>
    </row>
    <row r="809" spans="1:12">
      <c r="A809" s="20" t="s">
        <v>349</v>
      </c>
      <c r="E809" s="22">
        <f>IF(D809="?OLD","!!!","")</f>
        <v/>
      </c>
      <c r="F809" s="23" t="str">
        <f>IF(OR(E809="",E809="!!!"),"",IF(NOT(ISNA(VLOOKUP(E809,E$1:E808,1,FALSE()))),"OLD",IF(AND(E809&lt;&gt;"",E809&lt;&gt;"!!!"),"NEW","")))</f>
        <v> </v>
      </c>
      <c r="G809" s="24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5" t="str">
        <f>IF(J809&lt;&gt;1,"",IF(I809="SBJ","CB","?"))</f>
        <v> </v>
      </c>
      <c r="I809" s="26" t="str">
        <f>IF(OR(E809="",E809="!!!",F809="NEW"),"",INDEX(B808:B$2,-1+SUMPRODUCT(MAX(ROW(E808:E$2)*(E809=E808:E$2)))))</f>
        <v> </v>
      </c>
      <c r="J809" s="26" t="str">
        <f>IF(OR(E809="",E809="!!!",F809="NEW"),"",COUNTBLANK(OFFSET(A$1,,,SUMPRODUCT(MAX(ROW(E$2:E809)*(E809=E$2:E809)))))-COUNTBLANK(OFFSET(A$1,,,SUMPRODUCT(MAX(ROW(E$1:E808)*(E2=E$1:E808))))))</f>
        <v> </v>
      </c>
      <c r="K809" s="26" t="str">
        <f>IF(OR(E809="",E809="!!!",F809="NEW"),"",INDEX(J$1:J808,SUMPRODUCT(MAX(ROW(E$1:E808)*(E809=E$1:E808)))))</f>
        <v> </v>
      </c>
      <c r="L809" s="27"/>
    </row>
    <row r="810" spans="1:12">
      <c r="A810" s="20" t="s">
        <v>753</v>
      </c>
      <c r="E810" s="22">
        <f>IF(D810="?OLD","!!!","")</f>
        <v/>
      </c>
      <c r="F810" s="23" t="str">
        <f>IF(OR(E810="",E810="!!!"),"",IF(NOT(ISNA(VLOOKUP(E810,E$1:E809,1,FALSE()))),"OLD",IF(AND(E810&lt;&gt;"",E810&lt;&gt;"!!!"),"NEW","")))</f>
        <v> </v>
      </c>
      <c r="G810" s="24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5" t="str">
        <f>IF(J810&lt;&gt;1,"",IF(I810="SBJ","CB","?"))</f>
        <v> </v>
      </c>
      <c r="I810" s="26" t="str">
        <f>IF(OR(E810="",E810="!!!",F810="NEW"),"",INDEX(B809:B$2,-1+SUMPRODUCT(MAX(ROW(E809:E$2)*(E810=E809:E$2)))))</f>
        <v> </v>
      </c>
      <c r="J810" s="26" t="str">
        <f>IF(OR(E810="",E810="!!!",F810="NEW"),"",COUNTBLANK(OFFSET(A$1,,,SUMPRODUCT(MAX(ROW(E$2:E810)*(E810=E$2:E810)))))-COUNTBLANK(OFFSET(A$1,,,SUMPRODUCT(MAX(ROW(E$1:E809)*(E2=E$1:E809))))))</f>
        <v> </v>
      </c>
      <c r="K810" s="26" t="str">
        <f>IF(OR(E810="",E810="!!!",F810="NEW"),"",INDEX(J$1:J809,SUMPRODUCT(MAX(ROW(E$1:E809)*(E810=E$1:E809)))))</f>
        <v> </v>
      </c>
      <c r="L810" s="27"/>
    </row>
    <row r="811" spans="1:12">
      <c r="A811" s="20" t="s">
        <v>754</v>
      </c>
      <c r="E811" s="22">
        <f>IF(D811="?OLD","!!!","")</f>
        <v/>
      </c>
      <c r="F811" s="23" t="str">
        <f>IF(OR(E811="",E811="!!!"),"",IF(NOT(ISNA(VLOOKUP(E811,E$1:E810,1,FALSE()))),"OLD",IF(AND(E811&lt;&gt;"",E811&lt;&gt;"!!!"),"NEW","")))</f>
        <v> </v>
      </c>
      <c r="G811" s="24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5" t="str">
        <f>IF(J811&lt;&gt;1,"",IF(I811="SBJ","CB","?"))</f>
        <v> </v>
      </c>
      <c r="I811" s="26" t="str">
        <f>IF(OR(E811="",E811="!!!",F811="NEW"),"",INDEX(B810:B$2,-1+SUMPRODUCT(MAX(ROW(E810:E$2)*(E811=E810:E$2)))))</f>
        <v> </v>
      </c>
      <c r="J811" s="26" t="str">
        <f>IF(OR(E811="",E811="!!!",F811="NEW"),"",COUNTBLANK(OFFSET(A$1,,,SUMPRODUCT(MAX(ROW(E$2:E811)*(E811=E$2:E811)))))-COUNTBLANK(OFFSET(A$1,,,SUMPRODUCT(MAX(ROW(E$1:E810)*(E2=E$1:E810))))))</f>
        <v> </v>
      </c>
      <c r="K811" s="26" t="str">
        <f>IF(OR(E811="",E811="!!!",F811="NEW"),"",INDEX(J$1:J810,SUMPRODUCT(MAX(ROW(E$1:E810)*(E811=E$1:E810)))))</f>
        <v> </v>
      </c>
      <c r="L811" s="27"/>
    </row>
    <row r="812" spans="1:12">
      <c r="A812" s="20" t="s">
        <v>755</v>
      </c>
      <c r="B812" s="21" t="s">
        <v>254</v>
      </c>
      <c r="C812" s="21" t="s">
        <v>287</v>
      </c>
      <c r="D812" s="21" t="s">
        <v>216</v>
      </c>
      <c r="E812" s="22">
        <f>IF(D812="?OLD","!!!","")</f>
        <v/>
      </c>
      <c r="F812" s="23" t="str">
        <f>IF(OR(E812="",E812="!!!"),"",IF(NOT(ISNA(VLOOKUP(E812,E$1:E811,1,FALSE()))),"OLD",IF(AND(E812&lt;&gt;"",E812&lt;&gt;"!!!"),"NEW","")))</f>
        <v> </v>
      </c>
      <c r="G812" s="24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5" t="str">
        <f>IF(J812&lt;&gt;1,"",IF(I812="SBJ","CB","?"))</f>
        <v> </v>
      </c>
      <c r="I812" s="26" t="str">
        <f>IF(OR(E812="",E812="!!!",F812="NEW"),"",INDEX(B811:B$2,-1+SUMPRODUCT(MAX(ROW(E811:E$2)*(E812=E811:E$2)))))</f>
        <v> </v>
      </c>
      <c r="J812" s="26" t="str">
        <f>IF(OR(E812="",E812="!!!",F812="NEW"),"",COUNTBLANK(OFFSET(A$1,,,SUMPRODUCT(MAX(ROW(E$2:E812)*(E812=E$2:E812)))))-COUNTBLANK(OFFSET(A$1,,,SUMPRODUCT(MAX(ROW(E$1:E811)*(E2=E$1:E811))))))</f>
        <v> </v>
      </c>
      <c r="K812" s="26" t="str">
        <f>IF(OR(E812="",E812="!!!",F812="NEW"),"",INDEX(J$1:J811,SUMPRODUCT(MAX(ROW(E$1:E811)*(E812=E$1:E811)))))</f>
        <v> </v>
      </c>
      <c r="L812" s="27"/>
    </row>
    <row r="813" spans="1:12">
      <c r="A813" s="20" t="s">
        <v>237</v>
      </c>
      <c r="E813" s="22">
        <f>IF(D813="?OLD","!!!","")</f>
        <v/>
      </c>
      <c r="F813" s="23" t="str">
        <f>IF(OR(E813="",E813="!!!"),"",IF(NOT(ISNA(VLOOKUP(E813,E$1:E812,1,FALSE()))),"OLD",IF(AND(E813&lt;&gt;"",E813&lt;&gt;"!!!"),"NEW","")))</f>
        <v> </v>
      </c>
      <c r="G813" s="24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5" t="str">
        <f>IF(J813&lt;&gt;1,"",IF(I813="SBJ","CB","?"))</f>
        <v> </v>
      </c>
      <c r="I813" s="26" t="str">
        <f>IF(OR(E813="",E813="!!!",F813="NEW"),"",INDEX(B812:B$2,-1+SUMPRODUCT(MAX(ROW(E812:E$2)*(E813=E812:E$2)))))</f>
        <v> </v>
      </c>
      <c r="J813" s="26" t="str">
        <f>IF(OR(E813="",E813="!!!",F813="NEW"),"",COUNTBLANK(OFFSET(A$1,,,SUMPRODUCT(MAX(ROW(E$2:E813)*(E813=E$2:E813)))))-COUNTBLANK(OFFSET(A$1,,,SUMPRODUCT(MAX(ROW(E$1:E812)*(E2=E$1:E812))))))</f>
        <v> </v>
      </c>
      <c r="K813" s="26" t="str">
        <f>IF(OR(E813="",E813="!!!",F813="NEW"),"",INDEX(J$1:J812,SUMPRODUCT(MAX(ROW(E$1:E812)*(E813=E$1:E812)))))</f>
        <v> </v>
      </c>
      <c r="L813" s="27"/>
    </row>
    <row r="814" spans="1:12">
      <c r="A814" s="20"/>
    </row>
    <row r="815" spans="1:12">
      <c r="A815" s="20" t="s">
        <v>756</v>
      </c>
    </row>
    <row r="816" spans="1:12">
      <c r="A816" s="20" t="s">
        <v>757</v>
      </c>
      <c r="B816" s="21" t="s">
        <v>226</v>
      </c>
      <c r="C816" s="21" t="s">
        <v>240</v>
      </c>
      <c r="D816" s="21" t="s">
        <v>216</v>
      </c>
      <c r="E816" s="22">
        <f>IF(D816="?OLD","!!!","")</f>
        <v/>
      </c>
      <c r="F816" s="23" t="str">
        <f>IF(OR(E816="",E816="!!!"),"",IF(NOT(ISNA(VLOOKUP(E816,E$1:E815,1,FALSE()))),"OLD",IF(AND(E816&lt;&gt;"",E816&lt;&gt;"!!!"),"NEW","")))</f>
        <v> </v>
      </c>
      <c r="G816" s="24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5" t="str">
        <f>IF(J816&lt;&gt;1,"",IF(I816="SBJ","CB","?"))</f>
        <v> </v>
      </c>
      <c r="I816" s="26" t="str">
        <f>IF(OR(E816="",E816="!!!",F816="NEW"),"",INDEX(B815:B$2,-1+SUMPRODUCT(MAX(ROW(E815:E$2)*(E816=E815:E$2)))))</f>
        <v> </v>
      </c>
      <c r="J816" s="26" t="str">
        <f>IF(OR(E816="",E816="!!!",F816="NEW"),"",COUNTBLANK(OFFSET(A$1,,,SUMPRODUCT(MAX(ROW(E$2:E816)*(E816=E$2:E816)))))-COUNTBLANK(OFFSET(A$1,,,SUMPRODUCT(MAX(ROW(E$1:E815)*(E2=E$1:E815))))))</f>
        <v> </v>
      </c>
      <c r="K816" s="26" t="str">
        <f>IF(OR(E816="",E816="!!!",F816="NEW"),"",INDEX(J$1:J815,SUMPRODUCT(MAX(ROW(E$1:E815)*(E816=E$1:E815)))))</f>
        <v> </v>
      </c>
      <c r="L816" s="27"/>
    </row>
    <row r="817" spans="1:12">
      <c r="A817" s="20" t="s">
        <v>243</v>
      </c>
      <c r="B817" s="21" t="s">
        <v>242</v>
      </c>
      <c r="C817" s="21" t="s">
        <v>215</v>
      </c>
      <c r="D817" s="21" t="s">
        <v>216</v>
      </c>
      <c r="E817" s="22">
        <f>IF(D817="?OLD","!!!","")</f>
        <v/>
      </c>
      <c r="F817" s="23" t="str">
        <f>IF(OR(E817="",E817="!!!"),"",IF(NOT(ISNA(VLOOKUP(E817,E$1:E816,1,FALSE()))),"OLD",IF(AND(E817&lt;&gt;"",E817&lt;&gt;"!!!"),"NEW","")))</f>
        <v> </v>
      </c>
      <c r="G817" s="24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5" t="str">
        <f>IF(J817&lt;&gt;1,"",IF(I817="SBJ","CB","?"))</f>
        <v> </v>
      </c>
      <c r="I817" s="26" t="str">
        <f>IF(OR(E817="",E817="!!!",F817="NEW"),"",INDEX(B816:B$2,-1+SUMPRODUCT(MAX(ROW(E816:E$2)*(E817=E816:E$2)))))</f>
        <v> </v>
      </c>
      <c r="J817" s="26" t="str">
        <f>IF(OR(E817="",E817="!!!",F817="NEW"),"",COUNTBLANK(OFFSET(A$1,,,SUMPRODUCT(MAX(ROW(E$2:E817)*(E817=E$2:E817)))))-COUNTBLANK(OFFSET(A$1,,,SUMPRODUCT(MAX(ROW(E$1:E816)*(E2=E$1:E816))))))</f>
        <v> </v>
      </c>
      <c r="K817" s="26" t="str">
        <f>IF(OR(E817="",E817="!!!",F817="NEW"),"",INDEX(J$1:J816,SUMPRODUCT(MAX(ROW(E$1:E816)*(E817=E$1:E816)))))</f>
        <v> </v>
      </c>
      <c r="L817" s="27"/>
    </row>
    <row r="818" spans="1:12">
      <c r="A818" s="20" t="s">
        <v>758</v>
      </c>
      <c r="E818" s="22">
        <f>IF(D818="?OLD","!!!","")</f>
        <v/>
      </c>
      <c r="F818" s="23" t="str">
        <f>IF(OR(E818="",E818="!!!"),"",IF(NOT(ISNA(VLOOKUP(E818,E$1:E817,1,FALSE()))),"OLD",IF(AND(E818&lt;&gt;"",E818&lt;&gt;"!!!"),"NEW","")))</f>
        <v> </v>
      </c>
      <c r="G818" s="24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5" t="str">
        <f>IF(J818&lt;&gt;1,"",IF(I818="SBJ","CB","?"))</f>
        <v> </v>
      </c>
      <c r="I818" s="26" t="str">
        <f>IF(OR(E818="",E818="!!!",F818="NEW"),"",INDEX(B817:B$2,-1+SUMPRODUCT(MAX(ROW(E817:E$2)*(E818=E817:E$2)))))</f>
        <v> </v>
      </c>
      <c r="J818" s="26" t="str">
        <f>IF(OR(E818="",E818="!!!",F818="NEW"),"",COUNTBLANK(OFFSET(A$1,,,SUMPRODUCT(MAX(ROW(E$2:E818)*(E818=E$2:E818)))))-COUNTBLANK(OFFSET(A$1,,,SUMPRODUCT(MAX(ROW(E$1:E817)*(E2=E$1:E817))))))</f>
        <v> </v>
      </c>
      <c r="K818" s="26" t="str">
        <f>IF(OR(E818="",E818="!!!",F818="NEW"),"",INDEX(J$1:J817,SUMPRODUCT(MAX(ROW(E$1:E817)*(E818=E$1:E817)))))</f>
        <v> </v>
      </c>
      <c r="L818" s="27"/>
    </row>
    <row r="819" spans="1:12">
      <c r="A819" s="20" t="s">
        <v>759</v>
      </c>
      <c r="E819" s="22">
        <f>IF(D819="?OLD","!!!","")</f>
        <v/>
      </c>
      <c r="F819" s="23" t="str">
        <f>IF(OR(E819="",E819="!!!"),"",IF(NOT(ISNA(VLOOKUP(E819,E$1:E818,1,FALSE()))),"OLD",IF(AND(E819&lt;&gt;"",E819&lt;&gt;"!!!"),"NEW","")))</f>
        <v> </v>
      </c>
      <c r="G819" s="24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5" t="str">
        <f>IF(J819&lt;&gt;1,"",IF(I819="SBJ","CB","?"))</f>
        <v> </v>
      </c>
      <c r="I819" s="26" t="str">
        <f>IF(OR(E819="",E819="!!!",F819="NEW"),"",INDEX(B818:B$2,-1+SUMPRODUCT(MAX(ROW(E818:E$2)*(E819=E818:E$2)))))</f>
        <v> </v>
      </c>
      <c r="J819" s="26" t="str">
        <f>IF(OR(E819="",E819="!!!",F819="NEW"),"",COUNTBLANK(OFFSET(A$1,,,SUMPRODUCT(MAX(ROW(E$2:E819)*(E819=E$2:E819)))))-COUNTBLANK(OFFSET(A$1,,,SUMPRODUCT(MAX(ROW(E$1:E818)*(E2=E$1:E818))))))</f>
        <v> </v>
      </c>
      <c r="K819" s="26" t="str">
        <f>IF(OR(E819="",E819="!!!",F819="NEW"),"",INDEX(J$1:J818,SUMPRODUCT(MAX(ROW(E$1:E818)*(E819=E$1:E818)))))</f>
        <v> </v>
      </c>
      <c r="L819" s="27"/>
    </row>
    <row r="820" spans="1:12">
      <c r="A820" s="20" t="s">
        <v>760</v>
      </c>
      <c r="E820" s="22">
        <f>IF(D820="?OLD","!!!","")</f>
        <v/>
      </c>
      <c r="F820" s="23" t="str">
        <f>IF(OR(E820="",E820="!!!"),"",IF(NOT(ISNA(VLOOKUP(E820,E$1:E819,1,FALSE()))),"OLD",IF(AND(E820&lt;&gt;"",E820&lt;&gt;"!!!"),"NEW","")))</f>
        <v> </v>
      </c>
      <c r="G820" s="24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5" t="str">
        <f>IF(J820&lt;&gt;1,"",IF(I820="SBJ","CB","?"))</f>
        <v> </v>
      </c>
      <c r="I820" s="26" t="str">
        <f>IF(OR(E820="",E820="!!!",F820="NEW"),"",INDEX(B819:B$2,-1+SUMPRODUCT(MAX(ROW(E819:E$2)*(E820=E819:E$2)))))</f>
        <v> </v>
      </c>
      <c r="J820" s="26" t="str">
        <f>IF(OR(E820="",E820="!!!",F820="NEW"),"",COUNTBLANK(OFFSET(A$1,,,SUMPRODUCT(MAX(ROW(E$2:E820)*(E820=E$2:E820)))))-COUNTBLANK(OFFSET(A$1,,,SUMPRODUCT(MAX(ROW(E$1:E819)*(E2=E$1:E819))))))</f>
        <v> </v>
      </c>
      <c r="K820" s="26" t="str">
        <f>IF(OR(E820="",E820="!!!",F820="NEW"),"",INDEX(J$1:J819,SUMPRODUCT(MAX(ROW(E$1:E819)*(E820=E$1:E819)))))</f>
        <v> </v>
      </c>
      <c r="L820" s="27"/>
    </row>
    <row r="821" spans="1:12">
      <c r="A821" s="20" t="s">
        <v>351</v>
      </c>
      <c r="E821" s="22">
        <f>IF(D821="?OLD","!!!","")</f>
        <v/>
      </c>
      <c r="F821" s="23" t="str">
        <f>IF(OR(E821="",E821="!!!"),"",IF(NOT(ISNA(VLOOKUP(E821,E$1:E820,1,FALSE()))),"OLD",IF(AND(E821&lt;&gt;"",E821&lt;&gt;"!!!"),"NEW","")))</f>
        <v> </v>
      </c>
      <c r="G821" s="24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5" t="str">
        <f>IF(J821&lt;&gt;1,"",IF(I821="SBJ","CB","?"))</f>
        <v> </v>
      </c>
      <c r="I821" s="26" t="str">
        <f>IF(OR(E821="",E821="!!!",F821="NEW"),"",INDEX(B820:B$2,-1+SUMPRODUCT(MAX(ROW(E820:E$2)*(E821=E820:E$2)))))</f>
        <v> </v>
      </c>
      <c r="J821" s="26" t="str">
        <f>IF(OR(E821="",E821="!!!",F821="NEW"),"",COUNTBLANK(OFFSET(A$1,,,SUMPRODUCT(MAX(ROW(E$2:E821)*(E821=E$2:E821)))))-COUNTBLANK(OFFSET(A$1,,,SUMPRODUCT(MAX(ROW(E$1:E820)*(E2=E$1:E820))))))</f>
        <v> </v>
      </c>
      <c r="K821" s="26" t="str">
        <f>IF(OR(E821="",E821="!!!",F821="NEW"),"",INDEX(J$1:J820,SUMPRODUCT(MAX(ROW(E$1:E820)*(E821=E$1:E820)))))</f>
        <v> </v>
      </c>
      <c r="L821" s="27"/>
    </row>
    <row r="822" spans="1:12">
      <c r="A822" s="20" t="s">
        <v>761</v>
      </c>
      <c r="E822" s="22">
        <f>IF(D822="?OLD","!!!","")</f>
        <v/>
      </c>
      <c r="F822" s="23" t="str">
        <f>IF(OR(E822="",E822="!!!"),"",IF(NOT(ISNA(VLOOKUP(E822,E$1:E821,1,FALSE()))),"OLD",IF(AND(E822&lt;&gt;"",E822&lt;&gt;"!!!"),"NEW","")))</f>
        <v> </v>
      </c>
      <c r="G822" s="24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5" t="str">
        <f>IF(J822&lt;&gt;1,"",IF(I822="SBJ","CB","?"))</f>
        <v> </v>
      </c>
      <c r="I822" s="26" t="str">
        <f>IF(OR(E822="",E822="!!!",F822="NEW"),"",INDEX(B821:B$2,-1+SUMPRODUCT(MAX(ROW(E821:E$2)*(E822=E821:E$2)))))</f>
        <v> </v>
      </c>
      <c r="J822" s="26" t="str">
        <f>IF(OR(E822="",E822="!!!",F822="NEW"),"",COUNTBLANK(OFFSET(A$1,,,SUMPRODUCT(MAX(ROW(E$2:E822)*(E822=E$2:E822)))))-COUNTBLANK(OFFSET(A$1,,,SUMPRODUCT(MAX(ROW(E$1:E821)*(E2=E$1:E821))))))</f>
        <v> </v>
      </c>
      <c r="K822" s="26" t="str">
        <f>IF(OR(E822="",E822="!!!",F822="NEW"),"",INDEX(J$1:J821,SUMPRODUCT(MAX(ROW(E$1:E821)*(E822=E$1:E821)))))</f>
        <v> </v>
      </c>
      <c r="L822" s="27"/>
    </row>
    <row r="823" spans="1:12">
      <c r="A823" s="20" t="s">
        <v>762</v>
      </c>
      <c r="E823" s="22">
        <f>IF(D823="?OLD","!!!","")</f>
        <v/>
      </c>
      <c r="F823" s="23" t="str">
        <f>IF(OR(E823="",E823="!!!"),"",IF(NOT(ISNA(VLOOKUP(E823,E$1:E822,1,FALSE()))),"OLD",IF(AND(E823&lt;&gt;"",E823&lt;&gt;"!!!"),"NEW","")))</f>
        <v> </v>
      </c>
      <c r="G823" s="24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5" t="str">
        <f>IF(J823&lt;&gt;1,"",IF(I823="SBJ","CB","?"))</f>
        <v> </v>
      </c>
      <c r="I823" s="26" t="str">
        <f>IF(OR(E823="",E823="!!!",F823="NEW"),"",INDEX(B822:B$2,-1+SUMPRODUCT(MAX(ROW(E822:E$2)*(E823=E822:E$2)))))</f>
        <v> </v>
      </c>
      <c r="J823" s="26" t="str">
        <f>IF(OR(E823="",E823="!!!",F823="NEW"),"",COUNTBLANK(OFFSET(A$1,,,SUMPRODUCT(MAX(ROW(E$2:E823)*(E823=E$2:E823)))))-COUNTBLANK(OFFSET(A$1,,,SUMPRODUCT(MAX(ROW(E$1:E822)*(E2=E$1:E822))))))</f>
        <v> </v>
      </c>
      <c r="K823" s="26" t="str">
        <f>IF(OR(E823="",E823="!!!",F823="NEW"),"",INDEX(J$1:J822,SUMPRODUCT(MAX(ROW(E$1:E822)*(E823=E$1:E822)))))</f>
        <v> </v>
      </c>
      <c r="L823" s="27"/>
    </row>
    <row r="824" spans="1:12">
      <c r="A824" s="20" t="s">
        <v>352</v>
      </c>
      <c r="B824" s="21" t="s">
        <v>274</v>
      </c>
      <c r="C824" s="21" t="s">
        <v>308</v>
      </c>
      <c r="D824" s="21" t="s">
        <v>216</v>
      </c>
      <c r="E824" s="22">
        <f>IF(D824="?OLD","!!!","")</f>
        <v/>
      </c>
      <c r="F824" s="23" t="str">
        <f>IF(OR(E824="",E824="!!!"),"",IF(NOT(ISNA(VLOOKUP(E824,E$1:E823,1,FALSE()))),"OLD",IF(AND(E824&lt;&gt;"",E824&lt;&gt;"!!!"),"NEW","")))</f>
        <v> </v>
      </c>
      <c r="G824" s="24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5" t="str">
        <f>IF(J824&lt;&gt;1,"",IF(I824="SBJ","CB","?"))</f>
        <v> </v>
      </c>
      <c r="I824" s="26" t="str">
        <f>IF(OR(E824="",E824="!!!",F824="NEW"),"",INDEX(B823:B$2,-1+SUMPRODUCT(MAX(ROW(E823:E$2)*(E824=E823:E$2)))))</f>
        <v> </v>
      </c>
      <c r="J824" s="26" t="str">
        <f>IF(OR(E824="",E824="!!!",F824="NEW"),"",COUNTBLANK(OFFSET(A$1,,,SUMPRODUCT(MAX(ROW(E$2:E824)*(E824=E$2:E824)))))-COUNTBLANK(OFFSET(A$1,,,SUMPRODUCT(MAX(ROW(E$1:E823)*(E2=E$1:E823))))))</f>
        <v> </v>
      </c>
      <c r="K824" s="26" t="str">
        <f>IF(OR(E824="",E824="!!!",F824="NEW"),"",INDEX(J$1:J823,SUMPRODUCT(MAX(ROW(E$1:E823)*(E824=E$1:E823)))))</f>
        <v> </v>
      </c>
      <c r="L824" s="27"/>
    </row>
    <row r="825" spans="1:12">
      <c r="A825" s="20" t="s">
        <v>763</v>
      </c>
      <c r="E825" s="22">
        <f>IF(D825="?OLD","!!!","")</f>
        <v/>
      </c>
      <c r="F825" s="23" t="str">
        <f>IF(OR(E825="",E825="!!!"),"",IF(NOT(ISNA(VLOOKUP(E825,E$1:E824,1,FALSE()))),"OLD",IF(AND(E825&lt;&gt;"",E825&lt;&gt;"!!!"),"NEW","")))</f>
        <v> </v>
      </c>
      <c r="G825" s="24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5" t="str">
        <f>IF(J825&lt;&gt;1,"",IF(I825="SBJ","CB","?"))</f>
        <v> </v>
      </c>
      <c r="I825" s="26" t="str">
        <f>IF(OR(E825="",E825="!!!",F825="NEW"),"",INDEX(B824:B$2,-1+SUMPRODUCT(MAX(ROW(E824:E$2)*(E825=E824:E$2)))))</f>
        <v> </v>
      </c>
      <c r="J825" s="26" t="str">
        <f>IF(OR(E825="",E825="!!!",F825="NEW"),"",COUNTBLANK(OFFSET(A$1,,,SUMPRODUCT(MAX(ROW(E$2:E825)*(E825=E$2:E825)))))-COUNTBLANK(OFFSET(A$1,,,SUMPRODUCT(MAX(ROW(E$1:E824)*(E2=E$1:E824))))))</f>
        <v> </v>
      </c>
      <c r="K825" s="26" t="str">
        <f>IF(OR(E825="",E825="!!!",F825="NEW"),"",INDEX(J$1:J824,SUMPRODUCT(MAX(ROW(E$1:E824)*(E825=E$1:E824)))))</f>
        <v> </v>
      </c>
      <c r="L825" s="27"/>
    </row>
    <row r="826" spans="1:12">
      <c r="A826" s="20" t="s">
        <v>230</v>
      </c>
      <c r="E826" s="22">
        <f>IF(D826="?OLD","!!!","")</f>
        <v/>
      </c>
      <c r="F826" s="23" t="str">
        <f>IF(OR(E826="",E826="!!!"),"",IF(NOT(ISNA(VLOOKUP(E826,E$1:E825,1,FALSE()))),"OLD",IF(AND(E826&lt;&gt;"",E826&lt;&gt;"!!!"),"NEW","")))</f>
        <v> </v>
      </c>
      <c r="G826" s="24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5" t="str">
        <f>IF(J826&lt;&gt;1,"",IF(I826="SBJ","CB","?"))</f>
        <v> </v>
      </c>
      <c r="I826" s="26" t="str">
        <f>IF(OR(E826="",E826="!!!",F826="NEW"),"",INDEX(B825:B$2,-1+SUMPRODUCT(MAX(ROW(E825:E$2)*(E826=E825:E$2)))))</f>
        <v> </v>
      </c>
      <c r="J826" s="26" t="str">
        <f>IF(OR(E826="",E826="!!!",F826="NEW"),"",COUNTBLANK(OFFSET(A$1,,,SUMPRODUCT(MAX(ROW(E$2:E826)*(E826=E$2:E826)))))-COUNTBLANK(OFFSET(A$1,,,SUMPRODUCT(MAX(ROW(E$1:E825)*(E2=E$1:E825))))))</f>
        <v> </v>
      </c>
      <c r="K826" s="26" t="str">
        <f>IF(OR(E826="",E826="!!!",F826="NEW"),"",INDEX(J$1:J825,SUMPRODUCT(MAX(ROW(E$1:E825)*(E826=E$1:E825)))))</f>
        <v> </v>
      </c>
      <c r="L826" s="27"/>
    </row>
    <row r="827" spans="1:12">
      <c r="A827" s="20" t="s">
        <v>269</v>
      </c>
      <c r="E827" s="22">
        <f>IF(D827="?OLD","!!!","")</f>
        <v/>
      </c>
      <c r="F827" s="23" t="str">
        <f>IF(OR(E827="",E827="!!!"),"",IF(NOT(ISNA(VLOOKUP(E827,E$1:E826,1,FALSE()))),"OLD",IF(AND(E827&lt;&gt;"",E827&lt;&gt;"!!!"),"NEW","")))</f>
        <v> </v>
      </c>
      <c r="G827" s="24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5" t="str">
        <f>IF(J827&lt;&gt;1,"",IF(I827="SBJ","CB","?"))</f>
        <v> </v>
      </c>
      <c r="I827" s="26" t="str">
        <f>IF(OR(E827="",E827="!!!",F827="NEW"),"",INDEX(B826:B$2,-1+SUMPRODUCT(MAX(ROW(E826:E$2)*(E827=E826:E$2)))))</f>
        <v> </v>
      </c>
      <c r="J827" s="26" t="str">
        <f>IF(OR(E827="",E827="!!!",F827="NEW"),"",COUNTBLANK(OFFSET(A$1,,,SUMPRODUCT(MAX(ROW(E$2:E827)*(E827=E$2:E827)))))-COUNTBLANK(OFFSET(A$1,,,SUMPRODUCT(MAX(ROW(E$1:E826)*(E2=E$1:E826))))))</f>
        <v> </v>
      </c>
      <c r="K827" s="26" t="str">
        <f>IF(OR(E827="",E827="!!!",F827="NEW"),"",INDEX(J$1:J826,SUMPRODUCT(MAX(ROW(E$1:E826)*(E827=E$1:E826)))))</f>
        <v> </v>
      </c>
      <c r="L827" s="27"/>
    </row>
    <row r="828" spans="1:12">
      <c r="A828" s="20" t="s">
        <v>637</v>
      </c>
      <c r="E828" s="22">
        <f>IF(D828="?OLD","!!!","")</f>
        <v/>
      </c>
      <c r="F828" s="23" t="str">
        <f>IF(OR(E828="",E828="!!!"),"",IF(NOT(ISNA(VLOOKUP(E828,E$1:E827,1,FALSE()))),"OLD",IF(AND(E828&lt;&gt;"",E828&lt;&gt;"!!!"),"NEW","")))</f>
        <v> </v>
      </c>
      <c r="G828" s="24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5" t="str">
        <f>IF(J828&lt;&gt;1,"",IF(I828="SBJ","CB","?"))</f>
        <v> </v>
      </c>
      <c r="I828" s="26" t="str">
        <f>IF(OR(E828="",E828="!!!",F828="NEW"),"",INDEX(B827:B$2,-1+SUMPRODUCT(MAX(ROW(E827:E$2)*(E828=E827:E$2)))))</f>
        <v> </v>
      </c>
      <c r="J828" s="26" t="str">
        <f>IF(OR(E828="",E828="!!!",F828="NEW"),"",COUNTBLANK(OFFSET(A$1,,,SUMPRODUCT(MAX(ROW(E$2:E828)*(E828=E$2:E828)))))-COUNTBLANK(OFFSET(A$1,,,SUMPRODUCT(MAX(ROW(E$1:E827)*(E2=E$1:E827))))))</f>
        <v> </v>
      </c>
      <c r="K828" s="26" t="str">
        <f>IF(OR(E828="",E828="!!!",F828="NEW"),"",INDEX(J$1:J827,SUMPRODUCT(MAX(ROW(E$1:E827)*(E828=E$1:E827)))))</f>
        <v> </v>
      </c>
      <c r="L828" s="27"/>
    </row>
    <row r="829" spans="1:12">
      <c r="A829" s="20" t="s">
        <v>488</v>
      </c>
      <c r="E829" s="22">
        <f>IF(D829="?OLD","!!!","")</f>
        <v/>
      </c>
      <c r="F829" s="23" t="str">
        <f>IF(OR(E829="",E829="!!!"),"",IF(NOT(ISNA(VLOOKUP(E829,E$1:E828,1,FALSE()))),"OLD",IF(AND(E829&lt;&gt;"",E829&lt;&gt;"!!!"),"NEW","")))</f>
        <v> </v>
      </c>
      <c r="G829" s="24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5" t="str">
        <f>IF(J829&lt;&gt;1,"",IF(I829="SBJ","CB","?"))</f>
        <v> </v>
      </c>
      <c r="I829" s="26" t="str">
        <f>IF(OR(E829="",E829="!!!",F829="NEW"),"",INDEX(B828:B$2,-1+SUMPRODUCT(MAX(ROW(E828:E$2)*(E829=E828:E$2)))))</f>
        <v> </v>
      </c>
      <c r="J829" s="26" t="str">
        <f>IF(OR(E829="",E829="!!!",F829="NEW"),"",COUNTBLANK(OFFSET(A$1,,,SUMPRODUCT(MAX(ROW(E$2:E829)*(E829=E$2:E829)))))-COUNTBLANK(OFFSET(A$1,,,SUMPRODUCT(MAX(ROW(E$1:E828)*(E2=E$1:E828))))))</f>
        <v> </v>
      </c>
      <c r="K829" s="26" t="str">
        <f>IF(OR(E829="",E829="!!!",F829="NEW"),"",INDEX(J$1:J828,SUMPRODUCT(MAX(ROW(E$1:E828)*(E829=E$1:E828)))))</f>
        <v> </v>
      </c>
      <c r="L829" s="27"/>
    </row>
    <row r="830" spans="1:12">
      <c r="A830" s="20" t="s">
        <v>366</v>
      </c>
      <c r="E830" s="22">
        <f>IF(D830="?OLD","!!!","")</f>
        <v/>
      </c>
      <c r="F830" s="23" t="str">
        <f>IF(OR(E830="",E830="!!!"),"",IF(NOT(ISNA(VLOOKUP(E830,E$1:E829,1,FALSE()))),"OLD",IF(AND(E830&lt;&gt;"",E830&lt;&gt;"!!!"),"NEW","")))</f>
        <v> </v>
      </c>
      <c r="G830" s="24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5" t="str">
        <f>IF(J830&lt;&gt;1,"",IF(I830="SBJ","CB","?"))</f>
        <v> </v>
      </c>
      <c r="I830" s="26" t="str">
        <f>IF(OR(E830="",E830="!!!",F830="NEW"),"",INDEX(B829:B$2,-1+SUMPRODUCT(MAX(ROW(E829:E$2)*(E830=E829:E$2)))))</f>
        <v> </v>
      </c>
      <c r="J830" s="26" t="str">
        <f>IF(OR(E830="",E830="!!!",F830="NEW"),"",COUNTBLANK(OFFSET(A$1,,,SUMPRODUCT(MAX(ROW(E$2:E830)*(E830=E$2:E830)))))-COUNTBLANK(OFFSET(A$1,,,SUMPRODUCT(MAX(ROW(E$1:E829)*(E2=E$1:E829))))))</f>
        <v> </v>
      </c>
      <c r="K830" s="26" t="str">
        <f>IF(OR(E830="",E830="!!!",F830="NEW"),"",INDEX(J$1:J829,SUMPRODUCT(MAX(ROW(E$1:E829)*(E830=E$1:E829)))))</f>
        <v> </v>
      </c>
      <c r="L830" s="27"/>
    </row>
    <row r="831" spans="1:12">
      <c r="A831" s="20" t="s">
        <v>499</v>
      </c>
      <c r="B831" s="21" t="s">
        <v>232</v>
      </c>
      <c r="E831" s="22">
        <f>IF(D831="?OLD","!!!","")</f>
        <v/>
      </c>
      <c r="F831" s="23" t="str">
        <f>IF(OR(E831="",E831="!!!"),"",IF(NOT(ISNA(VLOOKUP(E831,E$1:E830,1,FALSE()))),"OLD",IF(AND(E831&lt;&gt;"",E831&lt;&gt;"!!!"),"NEW","")))</f>
        <v> </v>
      </c>
      <c r="G831" s="24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5" t="str">
        <f>IF(J831&lt;&gt;1,"",IF(I831="SBJ","CB","?"))</f>
        <v> </v>
      </c>
      <c r="I831" s="26" t="str">
        <f>IF(OR(E831="",E831="!!!",F831="NEW"),"",INDEX(B830:B$2,-1+SUMPRODUCT(MAX(ROW(E830:E$2)*(E831=E830:E$2)))))</f>
        <v> </v>
      </c>
      <c r="J831" s="26" t="str">
        <f>IF(OR(E831="",E831="!!!",F831="NEW"),"",COUNTBLANK(OFFSET(A$1,,,SUMPRODUCT(MAX(ROW(E$2:E831)*(E831=E$2:E831)))))-COUNTBLANK(OFFSET(A$1,,,SUMPRODUCT(MAX(ROW(E$1:E830)*(E2=E$1:E830))))))</f>
        <v> </v>
      </c>
      <c r="K831" s="26" t="str">
        <f>IF(OR(E831="",E831="!!!",F831="NEW"),"",INDEX(J$1:J830,SUMPRODUCT(MAX(ROW(E$1:E830)*(E831=E$1:E830)))))</f>
        <v> </v>
      </c>
      <c r="L831" s="27"/>
    </row>
    <row r="832" spans="1:12">
      <c r="A832" s="20" t="s">
        <v>264</v>
      </c>
      <c r="B832" s="21" t="s">
        <v>244</v>
      </c>
      <c r="C832" s="21" t="s">
        <v>215</v>
      </c>
      <c r="D832" s="21" t="s">
        <v>216</v>
      </c>
      <c r="E832" s="22">
        <f>IF(D832="?OLD","!!!","")</f>
        <v/>
      </c>
      <c r="F832" s="23" t="str">
        <f>IF(OR(E832="",E832="!!!"),"",IF(NOT(ISNA(VLOOKUP(E832,E$1:E831,1,FALSE()))),"OLD",IF(AND(E832&lt;&gt;"",E832&lt;&gt;"!!!"),"NEW","")))</f>
        <v> </v>
      </c>
      <c r="G832" s="24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5" t="str">
        <f>IF(J832&lt;&gt;1,"",IF(I832="SBJ","CB","?"))</f>
        <v> </v>
      </c>
      <c r="I832" s="26" t="str">
        <f>IF(OR(E832="",E832="!!!",F832="NEW"),"",INDEX(B831:B$2,-1+SUMPRODUCT(MAX(ROW(E831:E$2)*(E832=E831:E$2)))))</f>
        <v> </v>
      </c>
      <c r="J832" s="26" t="str">
        <f>IF(OR(E832="",E832="!!!",F832="NEW"),"",COUNTBLANK(OFFSET(A$1,,,SUMPRODUCT(MAX(ROW(E$2:E832)*(E832=E$2:E832)))))-COUNTBLANK(OFFSET(A$1,,,SUMPRODUCT(MAX(ROW(E$1:E831)*(E2=E$1:E831))))))</f>
        <v> </v>
      </c>
      <c r="K832" s="26" t="str">
        <f>IF(OR(E832="",E832="!!!",F832="NEW"),"",INDEX(J$1:J831,SUMPRODUCT(MAX(ROW(E$1:E831)*(E832=E$1:E831)))))</f>
        <v> </v>
      </c>
      <c r="L832" s="27"/>
    </row>
    <row r="833" spans="1:12">
      <c r="A833" s="20" t="s">
        <v>764</v>
      </c>
      <c r="E833" s="22">
        <f>IF(D833="?OLD","!!!","")</f>
        <v/>
      </c>
      <c r="F833" s="23" t="str">
        <f>IF(OR(E833="",E833="!!!"),"",IF(NOT(ISNA(VLOOKUP(E833,E$1:E832,1,FALSE()))),"OLD",IF(AND(E833&lt;&gt;"",E833&lt;&gt;"!!!"),"NEW","")))</f>
        <v> </v>
      </c>
      <c r="G833" s="24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5" t="str">
        <f>IF(J833&lt;&gt;1,"",IF(I833="SBJ","CB","?"))</f>
        <v> </v>
      </c>
      <c r="I833" s="26" t="str">
        <f>IF(OR(E833="",E833="!!!",F833="NEW"),"",INDEX(B832:B$2,-1+SUMPRODUCT(MAX(ROW(E832:E$2)*(E833=E832:E$2)))))</f>
        <v> </v>
      </c>
      <c r="J833" s="26" t="str">
        <f>IF(OR(E833="",E833="!!!",F833="NEW"),"",COUNTBLANK(OFFSET(A$1,,,SUMPRODUCT(MAX(ROW(E$2:E833)*(E833=E$2:E833)))))-COUNTBLANK(OFFSET(A$1,,,SUMPRODUCT(MAX(ROW(E$1:E832)*(E2=E$1:E832))))))</f>
        <v> </v>
      </c>
      <c r="K833" s="26" t="str">
        <f>IF(OR(E833="",E833="!!!",F833="NEW"),"",INDEX(J$1:J832,SUMPRODUCT(MAX(ROW(E$1:E832)*(E833=E$1:E832)))))</f>
        <v> </v>
      </c>
      <c r="L833" s="27"/>
    </row>
    <row r="834" spans="1:12">
      <c r="A834" s="20" t="s">
        <v>765</v>
      </c>
      <c r="E834" s="22">
        <f>IF(D834="?OLD","!!!","")</f>
        <v/>
      </c>
      <c r="F834" s="23" t="str">
        <f>IF(OR(E834="",E834="!!!"),"",IF(NOT(ISNA(VLOOKUP(E834,E$1:E833,1,FALSE()))),"OLD",IF(AND(E834&lt;&gt;"",E834&lt;&gt;"!!!"),"NEW","")))</f>
        <v> </v>
      </c>
      <c r="G834" s="24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5" t="str">
        <f>IF(J834&lt;&gt;1,"",IF(I834="SBJ","CB","?"))</f>
        <v> </v>
      </c>
      <c r="I834" s="26" t="str">
        <f>IF(OR(E834="",E834="!!!",F834="NEW"),"",INDEX(B833:B$2,-1+SUMPRODUCT(MAX(ROW(E833:E$2)*(E834=E833:E$2)))))</f>
        <v> </v>
      </c>
      <c r="J834" s="26" t="str">
        <f>IF(OR(E834="",E834="!!!",F834="NEW"),"",COUNTBLANK(OFFSET(A$1,,,SUMPRODUCT(MAX(ROW(E$2:E834)*(E834=E$2:E834)))))-COUNTBLANK(OFFSET(A$1,,,SUMPRODUCT(MAX(ROW(E$1:E833)*(E2=E$1:E833))))))</f>
        <v> </v>
      </c>
      <c r="K834" s="26" t="str">
        <f>IF(OR(E834="",E834="!!!",F834="NEW"),"",INDEX(J$1:J833,SUMPRODUCT(MAX(ROW(E$1:E833)*(E834=E$1:E833)))))</f>
        <v> </v>
      </c>
      <c r="L834" s="27"/>
    </row>
    <row r="835" spans="1:12">
      <c r="A835" s="20" t="s">
        <v>351</v>
      </c>
      <c r="E835" s="22">
        <f>IF(D835="?OLD","!!!","")</f>
        <v/>
      </c>
      <c r="F835" s="23" t="str">
        <f>IF(OR(E835="",E835="!!!"),"",IF(NOT(ISNA(VLOOKUP(E835,E$1:E834,1,FALSE()))),"OLD",IF(AND(E835&lt;&gt;"",E835&lt;&gt;"!!!"),"NEW","")))</f>
        <v> </v>
      </c>
      <c r="G835" s="24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5" t="str">
        <f>IF(J835&lt;&gt;1,"",IF(I835="SBJ","CB","?"))</f>
        <v> </v>
      </c>
      <c r="I835" s="26" t="str">
        <f>IF(OR(E835="",E835="!!!",F835="NEW"),"",INDEX(B834:B$2,-1+SUMPRODUCT(MAX(ROW(E834:E$2)*(E835=E834:E$2)))))</f>
        <v> </v>
      </c>
      <c r="J835" s="26" t="str">
        <f>IF(OR(E835="",E835="!!!",F835="NEW"),"",COUNTBLANK(OFFSET(A$1,,,SUMPRODUCT(MAX(ROW(E$2:E835)*(E835=E$2:E835)))))-COUNTBLANK(OFFSET(A$1,,,SUMPRODUCT(MAX(ROW(E$1:E834)*(E2=E$1:E834))))))</f>
        <v> </v>
      </c>
      <c r="K835" s="26" t="str">
        <f>IF(OR(E835="",E835="!!!",F835="NEW"),"",INDEX(J$1:J834,SUMPRODUCT(MAX(ROW(E$1:E834)*(E835=E$1:E834)))))</f>
        <v> </v>
      </c>
      <c r="L835" s="27"/>
    </row>
    <row r="836" spans="1:12">
      <c r="A836" s="20" t="s">
        <v>766</v>
      </c>
      <c r="B836" s="21" t="s">
        <v>244</v>
      </c>
      <c r="C836" s="21" t="s">
        <v>277</v>
      </c>
      <c r="D836" s="21" t="s">
        <v>216</v>
      </c>
      <c r="E836" s="22">
        <f>IF(D836="?OLD","!!!","")</f>
        <v/>
      </c>
      <c r="F836" s="23" t="str">
        <f>IF(OR(E836="",E836="!!!"),"",IF(NOT(ISNA(VLOOKUP(E836,E$1:E835,1,FALSE()))),"OLD",IF(AND(E836&lt;&gt;"",E836&lt;&gt;"!!!"),"NEW","")))</f>
        <v> </v>
      </c>
      <c r="G836" s="24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5" t="str">
        <f>IF(J836&lt;&gt;1,"",IF(I836="SBJ","CB","?"))</f>
        <v> </v>
      </c>
      <c r="I836" s="26" t="str">
        <f>IF(OR(E836="",E836="!!!",F836="NEW"),"",INDEX(B835:B$2,-1+SUMPRODUCT(MAX(ROW(E835:E$2)*(E836=E835:E$2)))))</f>
        <v> </v>
      </c>
      <c r="J836" s="26" t="str">
        <f>IF(OR(E836="",E836="!!!",F836="NEW"),"",COUNTBLANK(OFFSET(A$1,,,SUMPRODUCT(MAX(ROW(E$2:E836)*(E836=E$2:E836)))))-COUNTBLANK(OFFSET(A$1,,,SUMPRODUCT(MAX(ROW(E$1:E835)*(E2=E$1:E835))))))</f>
        <v> </v>
      </c>
      <c r="K836" s="26" t="str">
        <f>IF(OR(E836="",E836="!!!",F836="NEW"),"",INDEX(J$1:J835,SUMPRODUCT(MAX(ROW(E$1:E835)*(E836=E$1:E835)))))</f>
        <v> </v>
      </c>
      <c r="L836" s="27"/>
    </row>
    <row r="837" spans="1:12">
      <c r="A837" s="20" t="s">
        <v>767</v>
      </c>
      <c r="B837" s="21" t="s">
        <v>254</v>
      </c>
      <c r="E837" s="22">
        <f>IF(D837="?OLD","!!!","")</f>
        <v/>
      </c>
      <c r="F837" s="23" t="str">
        <f>IF(OR(E837="",E837="!!!"),"",IF(NOT(ISNA(VLOOKUP(E837,E$1:E836,1,FALSE()))),"OLD",IF(AND(E837&lt;&gt;"",E837&lt;&gt;"!!!"),"NEW","")))</f>
        <v> </v>
      </c>
      <c r="G837" s="24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5" t="str">
        <f>IF(J837&lt;&gt;1,"",IF(I837="SBJ","CB","?"))</f>
        <v> </v>
      </c>
      <c r="I837" s="26" t="str">
        <f>IF(OR(E837="",E837="!!!",F837="NEW"),"",INDEX(B836:B$2,-1+SUMPRODUCT(MAX(ROW(E836:E$2)*(E837=E836:E$2)))))</f>
        <v> </v>
      </c>
      <c r="J837" s="26" t="str">
        <f>IF(OR(E837="",E837="!!!",F837="NEW"),"",COUNTBLANK(OFFSET(A$1,,,SUMPRODUCT(MAX(ROW(E$2:E837)*(E837=E$2:E837)))))-COUNTBLANK(OFFSET(A$1,,,SUMPRODUCT(MAX(ROW(E$1:E836)*(E2=E$1:E836))))))</f>
        <v> </v>
      </c>
      <c r="K837" s="26" t="str">
        <f>IF(OR(E837="",E837="!!!",F837="NEW"),"",INDEX(J$1:J836,SUMPRODUCT(MAX(ROW(E$1:E836)*(E837=E$1:E836)))))</f>
        <v> </v>
      </c>
      <c r="L837" s="27"/>
    </row>
    <row r="838" spans="1:12">
      <c r="A838" s="20" t="s">
        <v>237</v>
      </c>
      <c r="E838" s="22">
        <f>IF(D838="?OLD","!!!","")</f>
        <v/>
      </c>
      <c r="F838" s="23" t="str">
        <f>IF(OR(E838="",E838="!!!"),"",IF(NOT(ISNA(VLOOKUP(E838,E$1:E837,1,FALSE()))),"OLD",IF(AND(E838&lt;&gt;"",E838&lt;&gt;"!!!"),"NEW","")))</f>
        <v> </v>
      </c>
      <c r="G838" s="24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5" t="str">
        <f>IF(J838&lt;&gt;1,"",IF(I838="SBJ","CB","?"))</f>
        <v> </v>
      </c>
      <c r="I838" s="26" t="str">
        <f>IF(OR(E838="",E838="!!!",F838="NEW"),"",INDEX(B837:B$2,-1+SUMPRODUCT(MAX(ROW(E837:E$2)*(E838=E837:E$2)))))</f>
        <v> </v>
      </c>
      <c r="J838" s="26" t="str">
        <f>IF(OR(E838="",E838="!!!",F838="NEW"),"",COUNTBLANK(OFFSET(A$1,,,SUMPRODUCT(MAX(ROW(E$2:E838)*(E838=E$2:E838)))))-COUNTBLANK(OFFSET(A$1,,,SUMPRODUCT(MAX(ROW(E$1:E837)*(E2=E$1:E837))))))</f>
        <v> </v>
      </c>
      <c r="K838" s="26" t="str">
        <f>IF(OR(E838="",E838="!!!",F838="NEW"),"",INDEX(J$1:J837,SUMPRODUCT(MAX(ROW(E$1:E837)*(E838=E$1:E837)))))</f>
        <v> </v>
      </c>
      <c r="L838" s="27"/>
    </row>
    <row r="839" spans="1:12">
      <c r="A839" s="20"/>
    </row>
    <row r="840" spans="1:12">
      <c r="A840" s="20" t="s">
        <v>768</v>
      </c>
    </row>
    <row r="841" spans="1:12">
      <c r="A841" s="20" t="s">
        <v>769</v>
      </c>
      <c r="E841" s="22">
        <f>IF(D841="?OLD","!!!","")</f>
        <v/>
      </c>
      <c r="F841" s="23" t="str">
        <f>IF(OR(E841="",E841="!!!"),"",IF(NOT(ISNA(VLOOKUP(E841,E$1:E840,1,FALSE()))),"OLD",IF(AND(E841&lt;&gt;"",E841&lt;&gt;"!!!"),"NEW","")))</f>
        <v> </v>
      </c>
      <c r="G841" s="24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25" t="str">
        <f>IF(J841&lt;&gt;1,"",IF(I841="SBJ","CB","?"))</f>
        <v> </v>
      </c>
      <c r="I841" s="26" t="str">
        <f>IF(OR(E841="",E841="!!!",F841="NEW"),"",INDEX(B840:B$2,-1+SUMPRODUCT(MAX(ROW(E840:E$2)*(E841=E840:E$2)))))</f>
        <v> </v>
      </c>
      <c r="J841" s="26" t="str">
        <f>IF(OR(E841="",E841="!!!",F841="NEW"),"",COUNTBLANK(OFFSET(A$1,,,SUMPRODUCT(MAX(ROW(E$2:E841)*(E841=E$2:E841)))))-COUNTBLANK(OFFSET(A$1,,,SUMPRODUCT(MAX(ROW(E$1:E840)*(E2=E$1:E840))))))</f>
        <v> </v>
      </c>
      <c r="K841" s="26" t="str">
        <f>IF(OR(E841="",E841="!!!",F841="NEW"),"",INDEX(J$1:J840,SUMPRODUCT(MAX(ROW(E$1:E840)*(E841=E$1:E840)))))</f>
        <v> </v>
      </c>
      <c r="L841" s="27"/>
    </row>
    <row r="842" spans="1:12">
      <c r="A842" s="20" t="s">
        <v>770</v>
      </c>
      <c r="E842" s="22">
        <f>IF(D842="?OLD","!!!","")</f>
        <v/>
      </c>
      <c r="F842" s="23" t="str">
        <f>IF(OR(E842="",E842="!!!"),"",IF(NOT(ISNA(VLOOKUP(E842,E$1:E841,1,FALSE()))),"OLD",IF(AND(E842&lt;&gt;"",E842&lt;&gt;"!!!"),"NEW","")))</f>
        <v> </v>
      </c>
      <c r="G842" s="24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5" t="str">
        <f>IF(J842&lt;&gt;1,"",IF(I842="SBJ","CB","?"))</f>
        <v> </v>
      </c>
      <c r="I842" s="26" t="str">
        <f>IF(OR(E842="",E842="!!!",F842="NEW"),"",INDEX(B841:B$2,-1+SUMPRODUCT(MAX(ROW(E841:E$2)*(E842=E841:E$2)))))</f>
        <v> </v>
      </c>
      <c r="J842" s="26" t="str">
        <f>IF(OR(E842="",E842="!!!",F842="NEW"),"",COUNTBLANK(OFFSET(A$1,,,SUMPRODUCT(MAX(ROW(E$2:E842)*(E842=E$2:E842)))))-COUNTBLANK(OFFSET(A$1,,,SUMPRODUCT(MAX(ROW(E$1:E841)*(E2=E$1:E841))))))</f>
        <v> </v>
      </c>
      <c r="K842" s="26" t="str">
        <f>IF(OR(E842="",E842="!!!",F842="NEW"),"",INDEX(J$1:J841,SUMPRODUCT(MAX(ROW(E$1:E841)*(E842=E$1:E841)))))</f>
        <v> </v>
      </c>
      <c r="L842" s="27"/>
    </row>
    <row r="843" spans="1:12">
      <c r="A843" s="20" t="s">
        <v>771</v>
      </c>
      <c r="B843" s="21" t="s">
        <v>226</v>
      </c>
      <c r="C843" s="21" t="s">
        <v>240</v>
      </c>
      <c r="D843" s="21" t="s">
        <v>216</v>
      </c>
      <c r="E843" s="22">
        <f>IF(D843="?OLD","!!!","")</f>
        <v/>
      </c>
      <c r="F843" s="23" t="str">
        <f>IF(OR(E843="",E843="!!!"),"",IF(NOT(ISNA(VLOOKUP(E843,E$1:E842,1,FALSE()))),"OLD",IF(AND(E843&lt;&gt;"",E843&lt;&gt;"!!!"),"NEW","")))</f>
        <v> </v>
      </c>
      <c r="G843" s="24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5" t="str">
        <f>IF(J843&lt;&gt;1,"",IF(I843="SBJ","CB","?"))</f>
        <v> </v>
      </c>
      <c r="I843" s="26" t="str">
        <f>IF(OR(E843="",E843="!!!",F843="NEW"),"",INDEX(B842:B$2,-1+SUMPRODUCT(MAX(ROW(E842:E$2)*(E843=E842:E$2)))))</f>
        <v> </v>
      </c>
      <c r="J843" s="26" t="str">
        <f>IF(OR(E843="",E843="!!!",F843="NEW"),"",COUNTBLANK(OFFSET(A$1,,,SUMPRODUCT(MAX(ROW(E$2:E843)*(E843=E$2:E843)))))-COUNTBLANK(OFFSET(A$1,,,SUMPRODUCT(MAX(ROW(E$1:E842)*(E2=E$1:E842))))))</f>
        <v> </v>
      </c>
      <c r="K843" s="26" t="str">
        <f>IF(OR(E843="",E843="!!!",F843="NEW"),"",INDEX(J$1:J842,SUMPRODUCT(MAX(ROW(E$1:E842)*(E843=E$1:E842)))))</f>
        <v> </v>
      </c>
      <c r="L843" s="27"/>
    </row>
    <row r="844" spans="1:12">
      <c r="A844" s="20" t="s">
        <v>269</v>
      </c>
      <c r="E844" s="22">
        <f>IF(D844="?OLD","!!!","")</f>
        <v/>
      </c>
      <c r="F844" s="23" t="str">
        <f>IF(OR(E844="",E844="!!!"),"",IF(NOT(ISNA(VLOOKUP(E844,E$1:E843,1,FALSE()))),"OLD",IF(AND(E844&lt;&gt;"",E844&lt;&gt;"!!!"),"NEW","")))</f>
        <v> </v>
      </c>
      <c r="G844" s="24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5" t="str">
        <f>IF(J844&lt;&gt;1,"",IF(I844="SBJ","CB","?"))</f>
        <v> </v>
      </c>
      <c r="I844" s="26" t="str">
        <f>IF(OR(E844="",E844="!!!",F844="NEW"),"",INDEX(B843:B$2,-1+SUMPRODUCT(MAX(ROW(E843:E$2)*(E844=E843:E$2)))))</f>
        <v> </v>
      </c>
      <c r="J844" s="26" t="str">
        <f>IF(OR(E844="",E844="!!!",F844="NEW"),"",COUNTBLANK(OFFSET(A$1,,,SUMPRODUCT(MAX(ROW(E$2:E844)*(E844=E$2:E844)))))-COUNTBLANK(OFFSET(A$1,,,SUMPRODUCT(MAX(ROW(E$1:E843)*(E2=E$1:E843))))))</f>
        <v> </v>
      </c>
      <c r="K844" s="26" t="str">
        <f>IF(OR(E844="",E844="!!!",F844="NEW"),"",INDEX(J$1:J843,SUMPRODUCT(MAX(ROW(E$1:E843)*(E844=E$1:E843)))))</f>
        <v> </v>
      </c>
      <c r="L844" s="27"/>
    </row>
    <row r="845" spans="1:12">
      <c r="A845" s="20" t="s">
        <v>772</v>
      </c>
      <c r="B845" s="21" t="s">
        <v>242</v>
      </c>
      <c r="C845" s="21" t="s">
        <v>227</v>
      </c>
      <c r="D845" s="21" t="s">
        <v>216</v>
      </c>
      <c r="E845" s="22">
        <f>IF(D845="?OLD","!!!","")</f>
        <v/>
      </c>
      <c r="F845" s="23" t="str">
        <f>IF(OR(E845="",E845="!!!"),"",IF(NOT(ISNA(VLOOKUP(E845,E$1:E844,1,FALSE()))),"OLD",IF(AND(E845&lt;&gt;"",E845&lt;&gt;"!!!"),"NEW","")))</f>
        <v> </v>
      </c>
      <c r="G845" s="24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5" t="str">
        <f>IF(J845&lt;&gt;1,"",IF(I845="SBJ","CB","?"))</f>
        <v> </v>
      </c>
      <c r="I845" s="26" t="str">
        <f>IF(OR(E845="",E845="!!!",F845="NEW"),"",INDEX(B844:B$2,-1+SUMPRODUCT(MAX(ROW(E844:E$2)*(E845=E844:E$2)))))</f>
        <v> </v>
      </c>
      <c r="J845" s="26" t="str">
        <f>IF(OR(E845="",E845="!!!",F845="NEW"),"",COUNTBLANK(OFFSET(A$1,,,SUMPRODUCT(MAX(ROW(E$2:E845)*(E845=E$2:E845)))))-COUNTBLANK(OFFSET(A$1,,,SUMPRODUCT(MAX(ROW(E$1:E844)*(E2=E$1:E844))))))</f>
        <v> </v>
      </c>
      <c r="K845" s="26" t="str">
        <f>IF(OR(E845="",E845="!!!",F845="NEW"),"",INDEX(J$1:J844,SUMPRODUCT(MAX(ROW(E$1:E844)*(E845=E$1:E844)))))</f>
        <v> </v>
      </c>
      <c r="L845" s="27"/>
    </row>
    <row r="846" spans="1:12">
      <c r="A846" s="20" t="s">
        <v>230</v>
      </c>
      <c r="E846" s="22">
        <f>IF(D846="?OLD","!!!","")</f>
        <v/>
      </c>
      <c r="F846" s="23" t="str">
        <f>IF(OR(E846="",E846="!!!"),"",IF(NOT(ISNA(VLOOKUP(E846,E$1:E845,1,FALSE()))),"OLD",IF(AND(E846&lt;&gt;"",E846&lt;&gt;"!!!"),"NEW","")))</f>
        <v> </v>
      </c>
      <c r="G846" s="24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5" t="str">
        <f>IF(J846&lt;&gt;1,"",IF(I846="SBJ","CB","?"))</f>
        <v> </v>
      </c>
      <c r="I846" s="26" t="str">
        <f>IF(OR(E846="",E846="!!!",F846="NEW"),"",INDEX(B845:B$2,-1+SUMPRODUCT(MAX(ROW(E845:E$2)*(E846=E845:E$2)))))</f>
        <v> </v>
      </c>
      <c r="J846" s="26" t="str">
        <f>IF(OR(E846="",E846="!!!",F846="NEW"),"",COUNTBLANK(OFFSET(A$1,,,SUMPRODUCT(MAX(ROW(E$2:E846)*(E846=E$2:E846)))))-COUNTBLANK(OFFSET(A$1,,,SUMPRODUCT(MAX(ROW(E$1:E845)*(E2=E$1:E845))))))</f>
        <v> </v>
      </c>
      <c r="K846" s="26" t="str">
        <f>IF(OR(E846="",E846="!!!",F846="NEW"),"",INDEX(J$1:J845,SUMPRODUCT(MAX(ROW(E$1:E845)*(E846=E$1:E845)))))</f>
        <v> </v>
      </c>
      <c r="L846" s="27"/>
    </row>
    <row r="847" spans="1:12">
      <c r="A847" s="20" t="s">
        <v>366</v>
      </c>
      <c r="E847" s="22">
        <f>IF(D847="?OLD","!!!","")</f>
        <v/>
      </c>
      <c r="F847" s="23" t="str">
        <f>IF(OR(E847="",E847="!!!"),"",IF(NOT(ISNA(VLOOKUP(E847,E$1:E846,1,FALSE()))),"OLD",IF(AND(E847&lt;&gt;"",E847&lt;&gt;"!!!"),"NEW","")))</f>
        <v> </v>
      </c>
      <c r="G847" s="24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5" t="str">
        <f>IF(J847&lt;&gt;1,"",IF(I847="SBJ","CB","?"))</f>
        <v> </v>
      </c>
      <c r="I847" s="26" t="str">
        <f>IF(OR(E847="",E847="!!!",F847="NEW"),"",INDEX(B846:B$2,-1+SUMPRODUCT(MAX(ROW(E846:E$2)*(E847=E846:E$2)))))</f>
        <v> </v>
      </c>
      <c r="J847" s="26" t="str">
        <f>IF(OR(E847="",E847="!!!",F847="NEW"),"",COUNTBLANK(OFFSET(A$1,,,SUMPRODUCT(MAX(ROW(E$2:E847)*(E847=E$2:E847)))))-COUNTBLANK(OFFSET(A$1,,,SUMPRODUCT(MAX(ROW(E$1:E846)*(E2=E$1:E846))))))</f>
        <v> </v>
      </c>
      <c r="K847" s="26" t="str">
        <f>IF(OR(E847="",E847="!!!",F847="NEW"),"",INDEX(J$1:J846,SUMPRODUCT(MAX(ROW(E$1:E846)*(E847=E$1:E846)))))</f>
        <v> </v>
      </c>
      <c r="L847" s="27"/>
    </row>
    <row r="848" spans="1:12">
      <c r="A848" s="20" t="s">
        <v>752</v>
      </c>
      <c r="B848" s="21" t="s">
        <v>532</v>
      </c>
      <c r="C848" s="21" t="s">
        <v>277</v>
      </c>
      <c r="D848" s="21" t="s">
        <v>216</v>
      </c>
      <c r="E848" s="22">
        <f>IF(D848="?OLD","!!!","")</f>
        <v/>
      </c>
      <c r="F848" s="23" t="str">
        <f>IF(OR(E848="",E848="!!!"),"",IF(NOT(ISNA(VLOOKUP(E848,E$1:E847,1,FALSE()))),"OLD",IF(AND(E848&lt;&gt;"",E848&lt;&gt;"!!!"),"NEW","")))</f>
        <v> </v>
      </c>
      <c r="G848" s="24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5" t="str">
        <f>IF(J848&lt;&gt;1,"",IF(I848="SBJ","CB","?"))</f>
        <v> </v>
      </c>
      <c r="I848" s="26" t="str">
        <f>IF(OR(E848="",E848="!!!",F848="NEW"),"",INDEX(B847:B$2,-1+SUMPRODUCT(MAX(ROW(E847:E$2)*(E848=E847:E$2)))))</f>
        <v> </v>
      </c>
      <c r="J848" s="26" t="str">
        <f>IF(OR(E848="",E848="!!!",F848="NEW"),"",COUNTBLANK(OFFSET(A$1,,,SUMPRODUCT(MAX(ROW(E$2:E848)*(E848=E$2:E848)))))-COUNTBLANK(OFFSET(A$1,,,SUMPRODUCT(MAX(ROW(E$1:E847)*(E2=E$1:E847))))))</f>
        <v> </v>
      </c>
      <c r="K848" s="26" t="str">
        <f>IF(OR(E848="",E848="!!!",F848="NEW"),"",INDEX(J$1:J847,SUMPRODUCT(MAX(ROW(E$1:E847)*(E848=E$1:E847)))))</f>
        <v> </v>
      </c>
      <c r="L848" s="27"/>
    </row>
    <row r="849" spans="1:12">
      <c r="A849" s="20" t="s">
        <v>773</v>
      </c>
      <c r="E849" s="22">
        <f>IF(D849="?OLD","!!!","")</f>
        <v/>
      </c>
      <c r="F849" s="23" t="str">
        <f>IF(OR(E849="",E849="!!!"),"",IF(NOT(ISNA(VLOOKUP(E849,E$1:E848,1,FALSE()))),"OLD",IF(AND(E849&lt;&gt;"",E849&lt;&gt;"!!!"),"NEW","")))</f>
        <v> </v>
      </c>
      <c r="G849" s="24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5" t="str">
        <f>IF(J849&lt;&gt;1,"",IF(I849="SBJ","CB","?"))</f>
        <v> </v>
      </c>
      <c r="I849" s="26" t="str">
        <f>IF(OR(E849="",E849="!!!",F849="NEW"),"",INDEX(B848:B$2,-1+SUMPRODUCT(MAX(ROW(E848:E$2)*(E849=E848:E$2)))))</f>
        <v> </v>
      </c>
      <c r="J849" s="26" t="str">
        <f>IF(OR(E849="",E849="!!!",F849="NEW"),"",COUNTBLANK(OFFSET(A$1,,,SUMPRODUCT(MAX(ROW(E$2:E849)*(E849=E$2:E849)))))-COUNTBLANK(OFFSET(A$1,,,SUMPRODUCT(MAX(ROW(E$1:E848)*(E2=E$1:E848))))))</f>
        <v> </v>
      </c>
      <c r="K849" s="26" t="str">
        <f>IF(OR(E849="",E849="!!!",F849="NEW"),"",INDEX(J$1:J848,SUMPRODUCT(MAX(ROW(E$1:E848)*(E849=E$1:E848)))))</f>
        <v> </v>
      </c>
      <c r="L849" s="27"/>
    </row>
    <row r="850" spans="1:12">
      <c r="A850" s="20" t="s">
        <v>774</v>
      </c>
      <c r="E850" s="22">
        <f>IF(D850="?OLD","!!!","")</f>
        <v/>
      </c>
      <c r="F850" s="23" t="str">
        <f>IF(OR(E850="",E850="!!!"),"",IF(NOT(ISNA(VLOOKUP(E850,E$1:E849,1,FALSE()))),"OLD",IF(AND(E850&lt;&gt;"",E850&lt;&gt;"!!!"),"NEW","")))</f>
        <v> </v>
      </c>
      <c r="G850" s="24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5" t="str">
        <f>IF(J850&lt;&gt;1,"",IF(I850="SBJ","CB","?"))</f>
        <v> </v>
      </c>
      <c r="I850" s="26" t="str">
        <f>IF(OR(E850="",E850="!!!",F850="NEW"),"",INDEX(B849:B$2,-1+SUMPRODUCT(MAX(ROW(E849:E$2)*(E850=E849:E$2)))))</f>
        <v> </v>
      </c>
      <c r="J850" s="26" t="str">
        <f>IF(OR(E850="",E850="!!!",F850="NEW"),"",COUNTBLANK(OFFSET(A$1,,,SUMPRODUCT(MAX(ROW(E$2:E850)*(E850=E$2:E850)))))-COUNTBLANK(OFFSET(A$1,,,SUMPRODUCT(MAX(ROW(E$1:E849)*(E2=E$1:E849))))))</f>
        <v> </v>
      </c>
      <c r="K850" s="26" t="str">
        <f>IF(OR(E850="",E850="!!!",F850="NEW"),"",INDEX(J$1:J849,SUMPRODUCT(MAX(ROW(E$1:E849)*(E850=E$1:E849)))))</f>
        <v> </v>
      </c>
      <c r="L850" s="27"/>
    </row>
    <row r="851" spans="1:12">
      <c r="A851" s="20" t="s">
        <v>775</v>
      </c>
      <c r="E851" s="22">
        <f>IF(D851="?OLD","!!!","")</f>
        <v/>
      </c>
      <c r="F851" s="23" t="str">
        <f>IF(OR(E851="",E851="!!!"),"",IF(NOT(ISNA(VLOOKUP(E851,E$1:E850,1,FALSE()))),"OLD",IF(AND(E851&lt;&gt;"",E851&lt;&gt;"!!!"),"NEW","")))</f>
        <v> </v>
      </c>
      <c r="G851" s="24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5" t="str">
        <f>IF(J851&lt;&gt;1,"",IF(I851="SBJ","CB","?"))</f>
        <v> </v>
      </c>
      <c r="I851" s="26" t="str">
        <f>IF(OR(E851="",E851="!!!",F851="NEW"),"",INDEX(B850:B$2,-1+SUMPRODUCT(MAX(ROW(E850:E$2)*(E851=E850:E$2)))))</f>
        <v> </v>
      </c>
      <c r="J851" s="26" t="str">
        <f>IF(OR(E851="",E851="!!!",F851="NEW"),"",COUNTBLANK(OFFSET(A$1,,,SUMPRODUCT(MAX(ROW(E$2:E851)*(E851=E$2:E851)))))-COUNTBLANK(OFFSET(A$1,,,SUMPRODUCT(MAX(ROW(E$1:E850)*(E2=E$1:E850))))))</f>
        <v> </v>
      </c>
      <c r="K851" s="26" t="str">
        <f>IF(OR(E851="",E851="!!!",F851="NEW"),"",INDEX(J$1:J850,SUMPRODUCT(MAX(ROW(E$1:E850)*(E851=E$1:E850)))))</f>
        <v> </v>
      </c>
      <c r="L851" s="27"/>
    </row>
    <row r="852" spans="1:12">
      <c r="A852" s="20" t="s">
        <v>776</v>
      </c>
      <c r="B852" s="21" t="s">
        <v>503</v>
      </c>
      <c r="E852" s="22">
        <f>IF(D852="?OLD","!!!","")</f>
        <v/>
      </c>
      <c r="F852" s="23" t="str">
        <f>IF(OR(E852="",E852="!!!"),"",IF(NOT(ISNA(VLOOKUP(E852,E$1:E851,1,FALSE()))),"OLD",IF(AND(E852&lt;&gt;"",E852&lt;&gt;"!!!"),"NEW","")))</f>
        <v> </v>
      </c>
      <c r="G852" s="24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5" t="str">
        <f>IF(J852&lt;&gt;1,"",IF(I852="SBJ","CB","?"))</f>
        <v> </v>
      </c>
      <c r="I852" s="26" t="str">
        <f>IF(OR(E852="",E852="!!!",F852="NEW"),"",INDEX(B851:B$2,-1+SUMPRODUCT(MAX(ROW(E851:E$2)*(E852=E851:E$2)))))</f>
        <v> </v>
      </c>
      <c r="J852" s="26" t="str">
        <f>IF(OR(E852="",E852="!!!",F852="NEW"),"",COUNTBLANK(OFFSET(A$1,,,SUMPRODUCT(MAX(ROW(E$2:E852)*(E852=E$2:E852)))))-COUNTBLANK(OFFSET(A$1,,,SUMPRODUCT(MAX(ROW(E$1:E851)*(E2=E$1:E851))))))</f>
        <v> </v>
      </c>
      <c r="K852" s="26" t="str">
        <f>IF(OR(E852="",E852="!!!",F852="NEW"),"",INDEX(J$1:J851,SUMPRODUCT(MAX(ROW(E$1:E851)*(E852=E$1:E851)))))</f>
        <v> </v>
      </c>
      <c r="L852" s="27"/>
    </row>
    <row r="853" spans="1:12">
      <c r="A853" s="20" t="s">
        <v>306</v>
      </c>
      <c r="E853" s="22">
        <f>IF(D853="?OLD","!!!","")</f>
        <v/>
      </c>
      <c r="F853" s="23" t="str">
        <f>IF(OR(E853="",E853="!!!"),"",IF(NOT(ISNA(VLOOKUP(E853,E$1:E852,1,FALSE()))),"OLD",IF(AND(E853&lt;&gt;"",E853&lt;&gt;"!!!"),"NEW","")))</f>
        <v> </v>
      </c>
      <c r="G853" s="24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5" t="str">
        <f>IF(J853&lt;&gt;1,"",IF(I853="SBJ","CB","?"))</f>
        <v> </v>
      </c>
      <c r="I853" s="26" t="str">
        <f>IF(OR(E853="",E853="!!!",F853="NEW"),"",INDEX(B852:B$2,-1+SUMPRODUCT(MAX(ROW(E852:E$2)*(E853=E852:E$2)))))</f>
        <v> </v>
      </c>
      <c r="J853" s="26" t="str">
        <f>IF(OR(E853="",E853="!!!",F853="NEW"),"",COUNTBLANK(OFFSET(A$1,,,SUMPRODUCT(MAX(ROW(E$2:E853)*(E853=E$2:E853)))))-COUNTBLANK(OFFSET(A$1,,,SUMPRODUCT(MAX(ROW(E$1:E852)*(E2=E$1:E852))))))</f>
        <v> </v>
      </c>
      <c r="K853" s="26" t="str">
        <f>IF(OR(E853="",E853="!!!",F853="NEW"),"",INDEX(J$1:J852,SUMPRODUCT(MAX(ROW(E$1:E852)*(E853=E$1:E852)))))</f>
        <v> </v>
      </c>
      <c r="L853" s="27"/>
    </row>
    <row r="854" spans="1:12">
      <c r="A854" s="20" t="s">
        <v>474</v>
      </c>
      <c r="E854" s="22">
        <f>IF(D854="?OLD","!!!","")</f>
        <v/>
      </c>
      <c r="F854" s="23" t="str">
        <f>IF(OR(E854="",E854="!!!"),"",IF(NOT(ISNA(VLOOKUP(E854,E$1:E853,1,FALSE()))),"OLD",IF(AND(E854&lt;&gt;"",E854&lt;&gt;"!!!"),"NEW","")))</f>
        <v> </v>
      </c>
      <c r="G854" s="24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5" t="str">
        <f>IF(J854&lt;&gt;1,"",IF(I854="SBJ","CB","?"))</f>
        <v> </v>
      </c>
      <c r="I854" s="26" t="str">
        <f>IF(OR(E854="",E854="!!!",F854="NEW"),"",INDEX(B853:B$2,-1+SUMPRODUCT(MAX(ROW(E853:E$2)*(E854=E853:E$2)))))</f>
        <v> </v>
      </c>
      <c r="J854" s="26" t="str">
        <f>IF(OR(E854="",E854="!!!",F854="NEW"),"",COUNTBLANK(OFFSET(A$1,,,SUMPRODUCT(MAX(ROW(E$2:E854)*(E854=E$2:E854)))))-COUNTBLANK(OFFSET(A$1,,,SUMPRODUCT(MAX(ROW(E$1:E853)*(E2=E$1:E853))))))</f>
        <v> </v>
      </c>
      <c r="K854" s="26" t="str">
        <f>IF(OR(E854="",E854="!!!",F854="NEW"),"",INDEX(J$1:J853,SUMPRODUCT(MAX(ROW(E$1:E853)*(E854=E$1:E853)))))</f>
        <v> </v>
      </c>
      <c r="L854" s="27"/>
    </row>
    <row r="855" spans="1:12">
      <c r="A855" s="20" t="s">
        <v>237</v>
      </c>
      <c r="E855" s="22">
        <f>IF(D855="?OLD","!!!","")</f>
        <v/>
      </c>
      <c r="F855" s="23" t="str">
        <f>IF(OR(E855="",E855="!!!"),"",IF(NOT(ISNA(VLOOKUP(E855,E$1:E854,1,FALSE()))),"OLD",IF(AND(E855&lt;&gt;"",E855&lt;&gt;"!!!"),"NEW","")))</f>
        <v> </v>
      </c>
      <c r="G855" s="24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5" t="str">
        <f>IF(J855&lt;&gt;1,"",IF(I855="SBJ","CB","?"))</f>
        <v> </v>
      </c>
      <c r="I855" s="26" t="str">
        <f>IF(OR(E855="",E855="!!!",F855="NEW"),"",INDEX(B854:B$2,-1+SUMPRODUCT(MAX(ROW(E854:E$2)*(E855=E854:E$2)))))</f>
        <v> </v>
      </c>
      <c r="J855" s="26" t="str">
        <f>IF(OR(E855="",E855="!!!",F855="NEW"),"",COUNTBLANK(OFFSET(A$1,,,SUMPRODUCT(MAX(ROW(E$2:E855)*(E855=E$2:E855)))))-COUNTBLANK(OFFSET(A$1,,,SUMPRODUCT(MAX(ROW(E$1:E854)*(E2=E$1:E854))))))</f>
        <v> </v>
      </c>
      <c r="K855" s="26" t="str">
        <f>IF(OR(E855="",E855="!!!",F855="NEW"),"",INDEX(J$1:J854,SUMPRODUCT(MAX(ROW(E$1:E854)*(E855=E$1:E854)))))</f>
        <v> </v>
      </c>
      <c r="L855" s="27"/>
    </row>
    <row r="856" spans="1:12">
      <c r="A856" s="20"/>
    </row>
    <row r="857" spans="1:12">
      <c r="A857" s="20" t="s">
        <v>777</v>
      </c>
    </row>
    <row r="858" spans="1:12">
      <c r="A858" s="20" t="s">
        <v>261</v>
      </c>
      <c r="E858" s="22">
        <f>IF(D858="?OLD","!!!","")</f>
        <v/>
      </c>
      <c r="F858" s="23" t="str">
        <f>IF(OR(E858="",E858="!!!"),"",IF(NOT(ISNA(VLOOKUP(E858,E$1:E857,1,FALSE()))),"OLD",IF(AND(E858&lt;&gt;"",E858&lt;&gt;"!!!"),"NEW","")))</f>
        <v> </v>
      </c>
      <c r="G858" s="24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5" t="str">
        <f>IF(J858&lt;&gt;1,"",IF(I858="SBJ","CB","?"))</f>
        <v> </v>
      </c>
      <c r="I858" s="26" t="str">
        <f>IF(OR(E858="",E858="!!!",F858="NEW"),"",INDEX(B857:B$2,-1+SUMPRODUCT(MAX(ROW(E857:E$2)*(E858=E857:E$2)))))</f>
        <v> </v>
      </c>
      <c r="J858" s="26" t="str">
        <f>IF(OR(E858="",E858="!!!",F858="NEW"),"",COUNTBLANK(OFFSET(A$1,,,SUMPRODUCT(MAX(ROW(E$2:E858)*(E858=E$2:E858)))))-COUNTBLANK(OFFSET(A$1,,,SUMPRODUCT(MAX(ROW(E$1:E857)*(E2=E$1:E857))))))</f>
        <v> </v>
      </c>
      <c r="K858" s="26" t="str">
        <f>IF(OR(E858="",E858="!!!",F858="NEW"),"",INDEX(J$1:J857,SUMPRODUCT(MAX(ROW(E$1:E857)*(E858=E$1:E857)))))</f>
        <v> </v>
      </c>
      <c r="L858" s="27"/>
    </row>
    <row r="859" spans="1:12">
      <c r="A859" s="20" t="s">
        <v>530</v>
      </c>
      <c r="E859" s="22">
        <f>IF(D859="?OLD","!!!","")</f>
        <v/>
      </c>
      <c r="F859" s="23" t="str">
        <f>IF(OR(E859="",E859="!!!"),"",IF(NOT(ISNA(VLOOKUP(E859,E$1:E858,1,FALSE()))),"OLD",IF(AND(E859&lt;&gt;"",E859&lt;&gt;"!!!"),"NEW","")))</f>
        <v> </v>
      </c>
      <c r="G859" s="24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5" t="str">
        <f>IF(J859&lt;&gt;1,"",IF(I859="SBJ","CB","?"))</f>
        <v> </v>
      </c>
      <c r="I859" s="26" t="str">
        <f>IF(OR(E859="",E859="!!!",F859="NEW"),"",INDEX(B858:B$2,-1+SUMPRODUCT(MAX(ROW(E858:E$2)*(E859=E858:E$2)))))</f>
        <v> </v>
      </c>
      <c r="J859" s="26" t="str">
        <f>IF(OR(E859="",E859="!!!",F859="NEW"),"",COUNTBLANK(OFFSET(A$1,,,SUMPRODUCT(MAX(ROW(E$2:E859)*(E859=E$2:E859)))))-COUNTBLANK(OFFSET(A$1,,,SUMPRODUCT(MAX(ROW(E$1:E858)*(E2=E$1:E858))))))</f>
        <v> </v>
      </c>
      <c r="K859" s="26" t="str">
        <f>IF(OR(E859="",E859="!!!",F859="NEW"),"",INDEX(J$1:J858,SUMPRODUCT(MAX(ROW(E$1:E858)*(E859=E$1:E858)))))</f>
        <v> </v>
      </c>
      <c r="L859" s="27"/>
    </row>
    <row r="860" spans="1:12">
      <c r="A860" s="20" t="s">
        <v>442</v>
      </c>
      <c r="E860" s="22">
        <f>IF(D860="?OLD","!!!","")</f>
        <v/>
      </c>
      <c r="F860" s="23" t="str">
        <f>IF(OR(E860="",E860="!!!"),"",IF(NOT(ISNA(VLOOKUP(E860,E$1:E859,1,FALSE()))),"OLD",IF(AND(E860&lt;&gt;"",E860&lt;&gt;"!!!"),"NEW","")))</f>
        <v> </v>
      </c>
      <c r="G860" s="24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5" t="str">
        <f>IF(J860&lt;&gt;1,"",IF(I860="SBJ","CB","?"))</f>
        <v> </v>
      </c>
      <c r="I860" s="26" t="str">
        <f>IF(OR(E860="",E860="!!!",F860="NEW"),"",INDEX(B859:B$2,-1+SUMPRODUCT(MAX(ROW(E859:E$2)*(E860=E859:E$2)))))</f>
        <v> </v>
      </c>
      <c r="J860" s="26" t="str">
        <f>IF(OR(E860="",E860="!!!",F860="NEW"),"",COUNTBLANK(OFFSET(A$1,,,SUMPRODUCT(MAX(ROW(E$2:E860)*(E860=E$2:E860)))))-COUNTBLANK(OFFSET(A$1,,,SUMPRODUCT(MAX(ROW(E$1:E859)*(E2=E$1:E859))))))</f>
        <v> </v>
      </c>
      <c r="K860" s="26" t="str">
        <f>IF(OR(E860="",E860="!!!",F860="NEW"),"",INDEX(J$1:J859,SUMPRODUCT(MAX(ROW(E$1:E859)*(E860=E$1:E859)))))</f>
        <v> </v>
      </c>
      <c r="L860" s="27"/>
    </row>
    <row r="861" spans="1:12">
      <c r="A861" s="20" t="s">
        <v>778</v>
      </c>
      <c r="E861" s="22">
        <f>IF(D861="?OLD","!!!","")</f>
        <v/>
      </c>
      <c r="F861" s="23" t="str">
        <f>IF(OR(E861="",E861="!!!"),"",IF(NOT(ISNA(VLOOKUP(E861,E$1:E860,1,FALSE()))),"OLD",IF(AND(E861&lt;&gt;"",E861&lt;&gt;"!!!"),"NEW","")))</f>
        <v> </v>
      </c>
      <c r="G861" s="24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5" t="str">
        <f>IF(J861&lt;&gt;1,"",IF(I861="SBJ","CB","?"))</f>
        <v> </v>
      </c>
      <c r="I861" s="26" t="str">
        <f>IF(OR(E861="",E861="!!!",F861="NEW"),"",INDEX(B860:B$2,-1+SUMPRODUCT(MAX(ROW(E860:E$2)*(E861=E860:E$2)))))</f>
        <v> </v>
      </c>
      <c r="J861" s="26" t="str">
        <f>IF(OR(E861="",E861="!!!",F861="NEW"),"",COUNTBLANK(OFFSET(A$1,,,SUMPRODUCT(MAX(ROW(E$2:E861)*(E861=E$2:E861)))))-COUNTBLANK(OFFSET(A$1,,,SUMPRODUCT(MAX(ROW(E$1:E860)*(E2=E$1:E860))))))</f>
        <v> </v>
      </c>
      <c r="K861" s="26" t="str">
        <f>IF(OR(E861="",E861="!!!",F861="NEW"),"",INDEX(J$1:J860,SUMPRODUCT(MAX(ROW(E$1:E860)*(E861=E$1:E860)))))</f>
        <v> </v>
      </c>
      <c r="L861" s="27"/>
    </row>
    <row r="862" spans="1:12">
      <c r="A862" s="20" t="s">
        <v>779</v>
      </c>
      <c r="E862" s="22">
        <f>IF(D862="?OLD","!!!","")</f>
        <v/>
      </c>
      <c r="F862" s="23" t="str">
        <f>IF(OR(E862="",E862="!!!"),"",IF(NOT(ISNA(VLOOKUP(E862,E$1:E861,1,FALSE()))),"OLD",IF(AND(E862&lt;&gt;"",E862&lt;&gt;"!!!"),"NEW","")))</f>
        <v> </v>
      </c>
      <c r="G862" s="24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5" t="str">
        <f>IF(J862&lt;&gt;1,"",IF(I862="SBJ","CB","?"))</f>
        <v> </v>
      </c>
      <c r="I862" s="26" t="str">
        <f>IF(OR(E862="",E862="!!!",F862="NEW"),"",INDEX(B861:B$2,-1+SUMPRODUCT(MAX(ROW(E861:E$2)*(E862=E861:E$2)))))</f>
        <v> </v>
      </c>
      <c r="J862" s="26" t="str">
        <f>IF(OR(E862="",E862="!!!",F862="NEW"),"",COUNTBLANK(OFFSET(A$1,,,SUMPRODUCT(MAX(ROW(E$2:E862)*(E862=E$2:E862)))))-COUNTBLANK(OFFSET(A$1,,,SUMPRODUCT(MAX(ROW(E$1:E861)*(E2=E$1:E861))))))</f>
        <v> </v>
      </c>
      <c r="K862" s="26" t="str">
        <f>IF(OR(E862="",E862="!!!",F862="NEW"),"",INDEX(J$1:J861,SUMPRODUCT(MAX(ROW(E$1:E861)*(E862=E$1:E861)))))</f>
        <v> </v>
      </c>
      <c r="L862" s="27"/>
    </row>
    <row r="863" spans="1:12">
      <c r="A863" s="20" t="s">
        <v>327</v>
      </c>
      <c r="E863" s="22">
        <f>IF(D863="?OLD","!!!","")</f>
        <v/>
      </c>
      <c r="F863" s="23" t="str">
        <f>IF(OR(E863="",E863="!!!"),"",IF(NOT(ISNA(VLOOKUP(E863,E$1:E862,1,FALSE()))),"OLD",IF(AND(E863&lt;&gt;"",E863&lt;&gt;"!!!"),"NEW","")))</f>
        <v> </v>
      </c>
      <c r="G863" s="24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5" t="str">
        <f>IF(J863&lt;&gt;1,"",IF(I863="SBJ","CB","?"))</f>
        <v> </v>
      </c>
      <c r="I863" s="26" t="str">
        <f>IF(OR(E863="",E863="!!!",F863="NEW"),"",INDEX(B862:B$2,-1+SUMPRODUCT(MAX(ROW(E862:E$2)*(E863=E862:E$2)))))</f>
        <v> </v>
      </c>
      <c r="J863" s="26" t="str">
        <f>IF(OR(E863="",E863="!!!",F863="NEW"),"",COUNTBLANK(OFFSET(A$1,,,SUMPRODUCT(MAX(ROW(E$2:E863)*(E863=E$2:E863)))))-COUNTBLANK(OFFSET(A$1,,,SUMPRODUCT(MAX(ROW(E$1:E862)*(E2=E$1:E862))))))</f>
        <v> </v>
      </c>
      <c r="K863" s="26" t="str">
        <f>IF(OR(E863="",E863="!!!",F863="NEW"),"",INDEX(J$1:J862,SUMPRODUCT(MAX(ROW(E$1:E862)*(E863=E$1:E862)))))</f>
        <v> </v>
      </c>
      <c r="L863" s="27"/>
    </row>
    <row r="864" spans="1:12">
      <c r="A864" s="20" t="s">
        <v>217</v>
      </c>
      <c r="E864" s="22">
        <f>IF(D864="?OLD","!!!","")</f>
        <v/>
      </c>
      <c r="F864" s="23" t="str">
        <f>IF(OR(E864="",E864="!!!"),"",IF(NOT(ISNA(VLOOKUP(E864,E$1:E863,1,FALSE()))),"OLD",IF(AND(E864&lt;&gt;"",E864&lt;&gt;"!!!"),"NEW","")))</f>
        <v> </v>
      </c>
      <c r="G864" s="24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5" t="str">
        <f>IF(J864&lt;&gt;1,"",IF(I864="SBJ","CB","?"))</f>
        <v> </v>
      </c>
      <c r="I864" s="26" t="str">
        <f>IF(OR(E864="",E864="!!!",F864="NEW"),"",INDEX(B863:B$2,-1+SUMPRODUCT(MAX(ROW(E863:E$2)*(E864=E863:E$2)))))</f>
        <v> </v>
      </c>
      <c r="J864" s="26" t="str">
        <f>IF(OR(E864="",E864="!!!",F864="NEW"),"",COUNTBLANK(OFFSET(A$1,,,SUMPRODUCT(MAX(ROW(E$2:E864)*(E864=E$2:E864)))))-COUNTBLANK(OFFSET(A$1,,,SUMPRODUCT(MAX(ROW(E$1:E863)*(E2=E$1:E863))))))</f>
        <v> </v>
      </c>
      <c r="K864" s="26" t="str">
        <f>IF(OR(E864="",E864="!!!",F864="NEW"),"",INDEX(J$1:J863,SUMPRODUCT(MAX(ROW(E$1:E863)*(E864=E$1:E863)))))</f>
        <v> </v>
      </c>
      <c r="L864" s="27"/>
    </row>
    <row r="865" spans="1:12">
      <c r="A865" s="20" t="s">
        <v>780</v>
      </c>
      <c r="E865" s="22">
        <f>IF(D865="?OLD","!!!","")</f>
        <v/>
      </c>
      <c r="F865" s="23" t="str">
        <f>IF(OR(E865="",E865="!!!"),"",IF(NOT(ISNA(VLOOKUP(E865,E$1:E864,1,FALSE()))),"OLD",IF(AND(E865&lt;&gt;"",E865&lt;&gt;"!!!"),"NEW","")))</f>
        <v> </v>
      </c>
      <c r="G865" s="24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5" t="str">
        <f>IF(J865&lt;&gt;1,"",IF(I865="SBJ","CB","?"))</f>
        <v> </v>
      </c>
      <c r="I865" s="26" t="str">
        <f>IF(OR(E865="",E865="!!!",F865="NEW"),"",INDEX(B864:B$2,-1+SUMPRODUCT(MAX(ROW(E864:E$2)*(E865=E864:E$2)))))</f>
        <v> </v>
      </c>
      <c r="J865" s="26" t="str">
        <f>IF(OR(E865="",E865="!!!",F865="NEW"),"",COUNTBLANK(OFFSET(A$1,,,SUMPRODUCT(MAX(ROW(E$2:E865)*(E865=E$2:E865)))))-COUNTBLANK(OFFSET(A$1,,,SUMPRODUCT(MAX(ROW(E$1:E864)*(E2=E$1:E864))))))</f>
        <v> </v>
      </c>
      <c r="K865" s="26" t="str">
        <f>IF(OR(E865="",E865="!!!",F865="NEW"),"",INDEX(J$1:J864,SUMPRODUCT(MAX(ROW(E$1:E864)*(E865=E$1:E864)))))</f>
        <v> </v>
      </c>
      <c r="L865" s="27"/>
    </row>
    <row r="866" spans="1:12">
      <c r="A866" s="20" t="s">
        <v>246</v>
      </c>
      <c r="E866" s="22">
        <f>IF(D866="?OLD","!!!","")</f>
        <v/>
      </c>
      <c r="F866" s="23" t="str">
        <f>IF(OR(E866="",E866="!!!"),"",IF(NOT(ISNA(VLOOKUP(E866,E$1:E865,1,FALSE()))),"OLD",IF(AND(E866&lt;&gt;"",E866&lt;&gt;"!!!"),"NEW","")))</f>
        <v> </v>
      </c>
      <c r="G866" s="24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5" t="str">
        <f>IF(J866&lt;&gt;1,"",IF(I866="SBJ","CB","?"))</f>
        <v> </v>
      </c>
      <c r="I866" s="26" t="str">
        <f>IF(OR(E866="",E866="!!!",F866="NEW"),"",INDEX(B865:B$2,-1+SUMPRODUCT(MAX(ROW(E865:E$2)*(E866=E865:E$2)))))</f>
        <v> </v>
      </c>
      <c r="J866" s="26" t="str">
        <f>IF(OR(E866="",E866="!!!",F866="NEW"),"",COUNTBLANK(OFFSET(A$1,,,SUMPRODUCT(MAX(ROW(E$2:E866)*(E866=E$2:E866)))))-COUNTBLANK(OFFSET(A$1,,,SUMPRODUCT(MAX(ROW(E$1:E865)*(E2=E$1:E865))))))</f>
        <v> </v>
      </c>
      <c r="K866" s="26" t="str">
        <f>IF(OR(E866="",E866="!!!",F866="NEW"),"",INDEX(J$1:J865,SUMPRODUCT(MAX(ROW(E$1:E865)*(E866=E$1:E865)))))</f>
        <v> </v>
      </c>
      <c r="L866" s="27"/>
    </row>
    <row r="867" spans="1:12">
      <c r="A867" s="20" t="s">
        <v>781</v>
      </c>
      <c r="E867" s="22">
        <f>IF(D867="?OLD","!!!","")</f>
        <v/>
      </c>
      <c r="F867" s="23" t="str">
        <f>IF(OR(E867="",E867="!!!"),"",IF(NOT(ISNA(VLOOKUP(E867,E$1:E866,1,FALSE()))),"OLD",IF(AND(E867&lt;&gt;"",E867&lt;&gt;"!!!"),"NEW","")))</f>
        <v> </v>
      </c>
      <c r="G867" s="24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5" t="str">
        <f>IF(J867&lt;&gt;1,"",IF(I867="SBJ","CB","?"))</f>
        <v> </v>
      </c>
      <c r="I867" s="26" t="str">
        <f>IF(OR(E867="",E867="!!!",F867="NEW"),"",INDEX(B866:B$2,-1+SUMPRODUCT(MAX(ROW(E866:E$2)*(E867=E866:E$2)))))</f>
        <v> </v>
      </c>
      <c r="J867" s="26" t="str">
        <f>IF(OR(E867="",E867="!!!",F867="NEW"),"",COUNTBLANK(OFFSET(A$1,,,SUMPRODUCT(MAX(ROW(E$2:E867)*(E867=E$2:E867)))))-COUNTBLANK(OFFSET(A$1,,,SUMPRODUCT(MAX(ROW(E$1:E866)*(E2=E$1:E866))))))</f>
        <v> </v>
      </c>
      <c r="K867" s="26" t="str">
        <f>IF(OR(E867="",E867="!!!",F867="NEW"),"",INDEX(J$1:J866,SUMPRODUCT(MAX(ROW(E$1:E866)*(E867=E$1:E866)))))</f>
        <v> </v>
      </c>
      <c r="L867" s="27"/>
    </row>
    <row r="868" spans="1:12">
      <c r="A868" s="20" t="s">
        <v>782</v>
      </c>
      <c r="B868" s="21" t="s">
        <v>340</v>
      </c>
      <c r="E868" s="22">
        <f>IF(D868="?OLD","!!!","")</f>
        <v/>
      </c>
      <c r="F868" s="23" t="str">
        <f>IF(OR(E868="",E868="!!!"),"",IF(NOT(ISNA(VLOOKUP(E868,E$1:E867,1,FALSE()))),"OLD",IF(AND(E868&lt;&gt;"",E868&lt;&gt;"!!!"),"NEW","")))</f>
        <v> </v>
      </c>
      <c r="G868" s="24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5" t="str">
        <f>IF(J868&lt;&gt;1,"",IF(I868="SBJ","CB","?"))</f>
        <v> </v>
      </c>
      <c r="I868" s="26" t="str">
        <f>IF(OR(E868="",E868="!!!",F868="NEW"),"",INDEX(B867:B$2,-1+SUMPRODUCT(MAX(ROW(E867:E$2)*(E868=E867:E$2)))))</f>
        <v> </v>
      </c>
      <c r="J868" s="26" t="str">
        <f>IF(OR(E868="",E868="!!!",F868="NEW"),"",COUNTBLANK(OFFSET(A$1,,,SUMPRODUCT(MAX(ROW(E$2:E868)*(E868=E$2:E868)))))-COUNTBLANK(OFFSET(A$1,,,SUMPRODUCT(MAX(ROW(E$1:E867)*(E2=E$1:E867))))))</f>
        <v> </v>
      </c>
      <c r="K868" s="26" t="str">
        <f>IF(OR(E868="",E868="!!!",F868="NEW"),"",INDEX(J$1:J867,SUMPRODUCT(MAX(ROW(E$1:E867)*(E868=E$1:E867)))))</f>
        <v> </v>
      </c>
      <c r="L868" s="27"/>
    </row>
    <row r="869" spans="1:12">
      <c r="A869" s="20" t="s">
        <v>783</v>
      </c>
      <c r="E869" s="22">
        <f>IF(D869="?OLD","!!!","")</f>
        <v/>
      </c>
      <c r="F869" s="23" t="str">
        <f>IF(OR(E869="",E869="!!!"),"",IF(NOT(ISNA(VLOOKUP(E869,E$1:E868,1,FALSE()))),"OLD",IF(AND(E869&lt;&gt;"",E869&lt;&gt;"!!!"),"NEW","")))</f>
        <v> </v>
      </c>
      <c r="G869" s="24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5" t="str">
        <f>IF(J869&lt;&gt;1,"",IF(I869="SBJ","CB","?"))</f>
        <v> </v>
      </c>
      <c r="I869" s="26" t="str">
        <f>IF(OR(E869="",E869="!!!",F869="NEW"),"",INDEX(B868:B$2,-1+SUMPRODUCT(MAX(ROW(E868:E$2)*(E869=E868:E$2)))))</f>
        <v> </v>
      </c>
      <c r="J869" s="26" t="str">
        <f>IF(OR(E869="",E869="!!!",F869="NEW"),"",COUNTBLANK(OFFSET(A$1,,,SUMPRODUCT(MAX(ROW(E$2:E869)*(E869=E$2:E869)))))-COUNTBLANK(OFFSET(A$1,,,SUMPRODUCT(MAX(ROW(E$1:E868)*(E2=E$1:E868))))))</f>
        <v> </v>
      </c>
      <c r="K869" s="26" t="str">
        <f>IF(OR(E869="",E869="!!!",F869="NEW"),"",INDEX(J$1:J868,SUMPRODUCT(MAX(ROW(E$1:E868)*(E869=E$1:E868)))))</f>
        <v> </v>
      </c>
      <c r="L869" s="27"/>
    </row>
    <row r="870" spans="1:12">
      <c r="A870" s="20" t="s">
        <v>784</v>
      </c>
      <c r="E870" s="22">
        <f>IF(D870="?OLD","!!!","")</f>
        <v/>
      </c>
      <c r="F870" s="23" t="str">
        <f>IF(OR(E870="",E870="!!!"),"",IF(NOT(ISNA(VLOOKUP(E870,E$1:E869,1,FALSE()))),"OLD",IF(AND(E870&lt;&gt;"",E870&lt;&gt;"!!!"),"NEW","")))</f>
        <v> </v>
      </c>
      <c r="G870" s="24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5" t="str">
        <f>IF(J870&lt;&gt;1,"",IF(I870="SBJ","CB","?"))</f>
        <v> </v>
      </c>
      <c r="I870" s="26" t="str">
        <f>IF(OR(E870="",E870="!!!",F870="NEW"),"",INDEX(B869:B$2,-1+SUMPRODUCT(MAX(ROW(E869:E$2)*(E870=E869:E$2)))))</f>
        <v> </v>
      </c>
      <c r="J870" s="26" t="str">
        <f>IF(OR(E870="",E870="!!!",F870="NEW"),"",COUNTBLANK(OFFSET(A$1,,,SUMPRODUCT(MAX(ROW(E$2:E870)*(E870=E$2:E870)))))-COUNTBLANK(OFFSET(A$1,,,SUMPRODUCT(MAX(ROW(E$1:E869)*(E2=E$1:E869))))))</f>
        <v> </v>
      </c>
      <c r="K870" s="26" t="str">
        <f>IF(OR(E870="",E870="!!!",F870="NEW"),"",INDEX(J$1:J869,SUMPRODUCT(MAX(ROW(E$1:E869)*(E870=E$1:E869)))))</f>
        <v> </v>
      </c>
      <c r="L870" s="27"/>
    </row>
    <row r="871" spans="1:12">
      <c r="A871" s="20" t="s">
        <v>230</v>
      </c>
      <c r="E871" s="22">
        <f>IF(D871="?OLD","!!!","")</f>
        <v/>
      </c>
      <c r="F871" s="23" t="str">
        <f>IF(OR(E871="",E871="!!!"),"",IF(NOT(ISNA(VLOOKUP(E871,E$1:E870,1,FALSE()))),"OLD",IF(AND(E871&lt;&gt;"",E871&lt;&gt;"!!!"),"NEW","")))</f>
        <v> </v>
      </c>
      <c r="G871" s="24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5" t="str">
        <f>IF(J871&lt;&gt;1,"",IF(I871="SBJ","CB","?"))</f>
        <v> </v>
      </c>
      <c r="I871" s="26" t="str">
        <f>IF(OR(E871="",E871="!!!",F871="NEW"),"",INDEX(B870:B$2,-1+SUMPRODUCT(MAX(ROW(E870:E$2)*(E871=E870:E$2)))))</f>
        <v> </v>
      </c>
      <c r="J871" s="26" t="str">
        <f>IF(OR(E871="",E871="!!!",F871="NEW"),"",COUNTBLANK(OFFSET(A$1,,,SUMPRODUCT(MAX(ROW(E$2:E871)*(E871=E$2:E871)))))-COUNTBLANK(OFFSET(A$1,,,SUMPRODUCT(MAX(ROW(E$1:E870)*(E2=E$1:E870))))))</f>
        <v> </v>
      </c>
      <c r="K871" s="26" t="str">
        <f>IF(OR(E871="",E871="!!!",F871="NEW"),"",INDEX(J$1:J870,SUMPRODUCT(MAX(ROW(E$1:E870)*(E871=E$1:E870)))))</f>
        <v> </v>
      </c>
      <c r="L871" s="27"/>
    </row>
    <row r="872" spans="1:12">
      <c r="A872" s="20" t="s">
        <v>262</v>
      </c>
      <c r="E872" s="22">
        <f>IF(D872="?OLD","!!!","")</f>
        <v/>
      </c>
      <c r="F872" s="23" t="str">
        <f>IF(OR(E872="",E872="!!!"),"",IF(NOT(ISNA(VLOOKUP(E872,E$1:E871,1,FALSE()))),"OLD",IF(AND(E872&lt;&gt;"",E872&lt;&gt;"!!!"),"NEW","")))</f>
        <v> </v>
      </c>
      <c r="G872" s="24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5" t="str">
        <f>IF(J872&lt;&gt;1,"",IF(I872="SBJ","CB","?"))</f>
        <v> </v>
      </c>
      <c r="I872" s="26" t="str">
        <f>IF(OR(E872="",E872="!!!",F872="NEW"),"",INDEX(B871:B$2,-1+SUMPRODUCT(MAX(ROW(E871:E$2)*(E872=E871:E$2)))))</f>
        <v> </v>
      </c>
      <c r="J872" s="26" t="str">
        <f>IF(OR(E872="",E872="!!!",F872="NEW"),"",COUNTBLANK(OFFSET(A$1,,,SUMPRODUCT(MAX(ROW(E$2:E872)*(E872=E$2:E872)))))-COUNTBLANK(OFFSET(A$1,,,SUMPRODUCT(MAX(ROW(E$1:E871)*(E2=E$1:E871))))))</f>
        <v> </v>
      </c>
      <c r="K872" s="26" t="str">
        <f>IF(OR(E872="",E872="!!!",F872="NEW"),"",INDEX(J$1:J871,SUMPRODUCT(MAX(ROW(E$1:E871)*(E872=E$1:E871)))))</f>
        <v> </v>
      </c>
      <c r="L872" s="27"/>
    </row>
    <row r="873" spans="1:12">
      <c r="A873" s="20" t="s">
        <v>785</v>
      </c>
      <c r="B873" s="21" t="s">
        <v>532</v>
      </c>
      <c r="C873" s="21" t="s">
        <v>240</v>
      </c>
      <c r="D873" s="21" t="s">
        <v>216</v>
      </c>
      <c r="E873" s="22">
        <f>IF(D873="?OLD","!!!","")</f>
        <v/>
      </c>
      <c r="F873" s="23" t="str">
        <f>IF(OR(E873="",E873="!!!"),"",IF(NOT(ISNA(VLOOKUP(E873,E$1:E872,1,FALSE()))),"OLD",IF(AND(E873&lt;&gt;"",E873&lt;&gt;"!!!"),"NEW","")))</f>
        <v> </v>
      </c>
      <c r="G873" s="24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5" t="str">
        <f>IF(J873&lt;&gt;1,"",IF(I873="SBJ","CB","?"))</f>
        <v> </v>
      </c>
      <c r="I873" s="26" t="str">
        <f>IF(OR(E873="",E873="!!!",F873="NEW"),"",INDEX(B872:B$2,-1+SUMPRODUCT(MAX(ROW(E872:E$2)*(E873=E872:E$2)))))</f>
        <v> </v>
      </c>
      <c r="J873" s="26" t="str">
        <f>IF(OR(E873="",E873="!!!",F873="NEW"),"",COUNTBLANK(OFFSET(A$1,,,SUMPRODUCT(MAX(ROW(E$2:E873)*(E873=E$2:E873)))))-COUNTBLANK(OFFSET(A$1,,,SUMPRODUCT(MAX(ROW(E$1:E872)*(E2=E$1:E872))))))</f>
        <v> </v>
      </c>
      <c r="K873" s="26" t="str">
        <f>IF(OR(E873="",E873="!!!",F873="NEW"),"",INDEX(J$1:J872,SUMPRODUCT(MAX(ROW(E$1:E872)*(E873=E$1:E872)))))</f>
        <v> </v>
      </c>
      <c r="L873" s="27"/>
    </row>
    <row r="874" spans="1:12">
      <c r="A874" s="20" t="s">
        <v>786</v>
      </c>
      <c r="B874" s="21" t="s">
        <v>330</v>
      </c>
      <c r="C874" s="21" t="s">
        <v>215</v>
      </c>
      <c r="D874" s="21" t="s">
        <v>216</v>
      </c>
      <c r="E874" s="22">
        <f>IF(D874="?OLD","!!!","")</f>
        <v/>
      </c>
      <c r="F874" s="23" t="str">
        <f>IF(OR(E874="",E874="!!!"),"",IF(NOT(ISNA(VLOOKUP(E874,E$1:E873,1,FALSE()))),"OLD",IF(AND(E874&lt;&gt;"",E874&lt;&gt;"!!!"),"NEW","")))</f>
        <v> </v>
      </c>
      <c r="G874" s="24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5" t="str">
        <f>IF(J874&lt;&gt;1,"",IF(I874="SBJ","CB","?"))</f>
        <v> </v>
      </c>
      <c r="I874" s="26" t="str">
        <f>IF(OR(E874="",E874="!!!",F874="NEW"),"",INDEX(B873:B$2,-1+SUMPRODUCT(MAX(ROW(E873:E$2)*(E874=E873:E$2)))))</f>
        <v> </v>
      </c>
      <c r="J874" s="26" t="str">
        <f>IF(OR(E874="",E874="!!!",F874="NEW"),"",COUNTBLANK(OFFSET(A$1,,,SUMPRODUCT(MAX(ROW(E$2:E874)*(E874=E$2:E874)))))-COUNTBLANK(OFFSET(A$1,,,SUMPRODUCT(MAX(ROW(E$1:E873)*(E2=E$1:E873))))))</f>
        <v> </v>
      </c>
      <c r="K874" s="26" t="str">
        <f>IF(OR(E874="",E874="!!!",F874="NEW"),"",INDEX(J$1:J873,SUMPRODUCT(MAX(ROW(E$1:E873)*(E874=E$1:E873)))))</f>
        <v> </v>
      </c>
      <c r="L874" s="27"/>
    </row>
    <row r="875" spans="1:12">
      <c r="A875" s="20" t="s">
        <v>218</v>
      </c>
      <c r="B875" s="21" t="s">
        <v>330</v>
      </c>
      <c r="C875" s="21" t="s">
        <v>215</v>
      </c>
      <c r="D875" s="21" t="s">
        <v>216</v>
      </c>
      <c r="E875" s="22">
        <f>IF(D875="?OLD","!!!","")</f>
        <v/>
      </c>
      <c r="F875" s="23" t="str">
        <f>IF(OR(E875="",E875="!!!"),"",IF(NOT(ISNA(VLOOKUP(E875,E$1:E874,1,FALSE()))),"OLD",IF(AND(E875&lt;&gt;"",E875&lt;&gt;"!!!"),"NEW","")))</f>
        <v> </v>
      </c>
      <c r="G875" s="24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5" t="str">
        <f>IF(J875&lt;&gt;1,"",IF(I875="SBJ","CB","?"))</f>
        <v> </v>
      </c>
      <c r="I875" s="26" t="str">
        <f>IF(OR(E875="",E875="!!!",F875="NEW"),"",INDEX(B874:B$2,-1+SUMPRODUCT(MAX(ROW(E874:E$2)*(E875=E874:E$2)))))</f>
        <v> </v>
      </c>
      <c r="J875" s="26" t="str">
        <f>IF(OR(E875="",E875="!!!",F875="NEW"),"",COUNTBLANK(OFFSET(A$1,,,SUMPRODUCT(MAX(ROW(E$2:E875)*(E875=E$2:E875)))))-COUNTBLANK(OFFSET(A$1,,,SUMPRODUCT(MAX(ROW(E$1:E874)*(E2=E$1:E874))))))</f>
        <v> </v>
      </c>
      <c r="K875" s="26" t="str">
        <f>IF(OR(E875="",E875="!!!",F875="NEW"),"",INDEX(J$1:J874,SUMPRODUCT(MAX(ROW(E$1:E874)*(E875=E$1:E874)))))</f>
        <v> </v>
      </c>
      <c r="L875" s="27"/>
    </row>
    <row r="876" spans="1:12">
      <c r="A876" s="20" t="s">
        <v>399</v>
      </c>
      <c r="E876" s="22">
        <f>IF(D876="?OLD","!!!","")</f>
        <v/>
      </c>
      <c r="F876" s="23" t="str">
        <f>IF(OR(E876="",E876="!!!"),"",IF(NOT(ISNA(VLOOKUP(E876,E$1:E875,1,FALSE()))),"OLD",IF(AND(E876&lt;&gt;"",E876&lt;&gt;"!!!"),"NEW","")))</f>
        <v> </v>
      </c>
      <c r="G876" s="24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5" t="str">
        <f>IF(J876&lt;&gt;1,"",IF(I876="SBJ","CB","?"))</f>
        <v> </v>
      </c>
      <c r="I876" s="26" t="str">
        <f>IF(OR(E876="",E876="!!!",F876="NEW"),"",INDEX(B875:B$2,-1+SUMPRODUCT(MAX(ROW(E875:E$2)*(E876=E875:E$2)))))</f>
        <v> </v>
      </c>
      <c r="J876" s="26" t="str">
        <f>IF(OR(E876="",E876="!!!",F876="NEW"),"",COUNTBLANK(OFFSET(A$1,,,SUMPRODUCT(MAX(ROW(E$2:E876)*(E876=E$2:E876)))))-COUNTBLANK(OFFSET(A$1,,,SUMPRODUCT(MAX(ROW(E$1:E875)*(E2=E$1:E875))))))</f>
        <v> </v>
      </c>
      <c r="K876" s="26" t="str">
        <f>IF(OR(E876="",E876="!!!",F876="NEW"),"",INDEX(J$1:J875,SUMPRODUCT(MAX(ROW(E$1:E875)*(E876=E$1:E875)))))</f>
        <v> </v>
      </c>
      <c r="L876" s="27"/>
    </row>
    <row r="877" spans="1:12">
      <c r="A877" s="20" t="s">
        <v>385</v>
      </c>
      <c r="E877" s="22">
        <f>IF(D877="?OLD","!!!","")</f>
        <v/>
      </c>
      <c r="F877" s="23" t="str">
        <f>IF(OR(E877="",E877="!!!"),"",IF(NOT(ISNA(VLOOKUP(E877,E$1:E876,1,FALSE()))),"OLD",IF(AND(E877&lt;&gt;"",E877&lt;&gt;"!!!"),"NEW","")))</f>
        <v> </v>
      </c>
      <c r="G877" s="24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5" t="str">
        <f>IF(J877&lt;&gt;1,"",IF(I877="SBJ","CB","?"))</f>
        <v> </v>
      </c>
      <c r="I877" s="26" t="str">
        <f>IF(OR(E877="",E877="!!!",F877="NEW"),"",INDEX(B876:B$2,-1+SUMPRODUCT(MAX(ROW(E876:E$2)*(E877=E876:E$2)))))</f>
        <v> </v>
      </c>
      <c r="J877" s="26" t="str">
        <f>IF(OR(E877="",E877="!!!",F877="NEW"),"",COUNTBLANK(OFFSET(A$1,,,SUMPRODUCT(MAX(ROW(E$2:E877)*(E877=E$2:E877)))))-COUNTBLANK(OFFSET(A$1,,,SUMPRODUCT(MAX(ROW(E$1:E876)*(E2=E$1:E876))))))</f>
        <v> </v>
      </c>
      <c r="K877" s="26" t="str">
        <f>IF(OR(E877="",E877="!!!",F877="NEW"),"",INDEX(J$1:J876,SUMPRODUCT(MAX(ROW(E$1:E876)*(E877=E$1:E876)))))</f>
        <v> </v>
      </c>
      <c r="L877" s="27"/>
    </row>
    <row r="878" spans="1:12">
      <c r="A878" s="20" t="s">
        <v>787</v>
      </c>
      <c r="E878" s="22">
        <f>IF(D878="?OLD","!!!","")</f>
        <v/>
      </c>
      <c r="F878" s="23" t="str">
        <f>IF(OR(E878="",E878="!!!"),"",IF(NOT(ISNA(VLOOKUP(E878,E$1:E877,1,FALSE()))),"OLD",IF(AND(E878&lt;&gt;"",E878&lt;&gt;"!!!"),"NEW","")))</f>
        <v> </v>
      </c>
      <c r="G878" s="24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5" t="str">
        <f>IF(J878&lt;&gt;1,"",IF(I878="SBJ","CB","?"))</f>
        <v> </v>
      </c>
      <c r="I878" s="26" t="str">
        <f>IF(OR(E878="",E878="!!!",F878="NEW"),"",INDEX(B877:B$2,-1+SUMPRODUCT(MAX(ROW(E877:E$2)*(E878=E877:E$2)))))</f>
        <v> </v>
      </c>
      <c r="J878" s="26" t="str">
        <f>IF(OR(E878="",E878="!!!",F878="NEW"),"",COUNTBLANK(OFFSET(A$1,,,SUMPRODUCT(MAX(ROW(E$2:E878)*(E878=E$2:E878)))))-COUNTBLANK(OFFSET(A$1,,,SUMPRODUCT(MAX(ROW(E$1:E877)*(E2=E$1:E877))))))</f>
        <v> </v>
      </c>
      <c r="K878" s="26" t="str">
        <f>IF(OR(E878="",E878="!!!",F878="NEW"),"",INDEX(J$1:J877,SUMPRODUCT(MAX(ROW(E$1:E877)*(E878=E$1:E877)))))</f>
        <v> </v>
      </c>
      <c r="L878" s="27"/>
    </row>
    <row r="879" spans="1:12">
      <c r="A879" s="20" t="s">
        <v>400</v>
      </c>
      <c r="B879" s="21" t="s">
        <v>527</v>
      </c>
      <c r="E879" s="22">
        <f>IF(D879="?OLD","!!!","")</f>
        <v/>
      </c>
      <c r="F879" s="23" t="str">
        <f>IF(OR(E879="",E879="!!!"),"",IF(NOT(ISNA(VLOOKUP(E879,E$1:E878,1,FALSE()))),"OLD",IF(AND(E879&lt;&gt;"",E879&lt;&gt;"!!!"),"NEW","")))</f>
        <v> </v>
      </c>
      <c r="G879" s="24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5" t="str">
        <f>IF(J879&lt;&gt;1,"",IF(I879="SBJ","CB","?"))</f>
        <v> </v>
      </c>
      <c r="I879" s="26" t="str">
        <f>IF(OR(E879="",E879="!!!",F879="NEW"),"",INDEX(B878:B$2,-1+SUMPRODUCT(MAX(ROW(E878:E$2)*(E879=E878:E$2)))))</f>
        <v> </v>
      </c>
      <c r="J879" s="26" t="str">
        <f>IF(OR(E879="",E879="!!!",F879="NEW"),"",COUNTBLANK(OFFSET(A$1,,,SUMPRODUCT(MAX(ROW(E$2:E879)*(E879=E$2:E879)))))-COUNTBLANK(OFFSET(A$1,,,SUMPRODUCT(MAX(ROW(E$1:E878)*(E2=E$1:E878))))))</f>
        <v> </v>
      </c>
      <c r="K879" s="26" t="str">
        <f>IF(OR(E879="",E879="!!!",F879="NEW"),"",INDEX(J$1:J878,SUMPRODUCT(MAX(ROW(E$1:E878)*(E879=E$1:E878)))))</f>
        <v> </v>
      </c>
      <c r="L879" s="27"/>
    </row>
    <row r="880" spans="1:12">
      <c r="A880" s="20" t="s">
        <v>230</v>
      </c>
      <c r="E880" s="22">
        <f>IF(D880="?OLD","!!!","")</f>
        <v/>
      </c>
      <c r="F880" s="23" t="str">
        <f>IF(OR(E880="",E880="!!!"),"",IF(NOT(ISNA(VLOOKUP(E880,E$1:E879,1,FALSE()))),"OLD",IF(AND(E880&lt;&gt;"",E880&lt;&gt;"!!!"),"NEW","")))</f>
        <v> </v>
      </c>
      <c r="G880" s="24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5" t="str">
        <f>IF(J880&lt;&gt;1,"",IF(I880="SBJ","CB","?"))</f>
        <v> </v>
      </c>
      <c r="I880" s="26" t="str">
        <f>IF(OR(E880="",E880="!!!",F880="NEW"),"",INDEX(B879:B$2,-1+SUMPRODUCT(MAX(ROW(E879:E$2)*(E880=E879:E$2)))))</f>
        <v> </v>
      </c>
      <c r="J880" s="26" t="str">
        <f>IF(OR(E880="",E880="!!!",F880="NEW"),"",COUNTBLANK(OFFSET(A$1,,,SUMPRODUCT(MAX(ROW(E$2:E880)*(E880=E$2:E880)))))-COUNTBLANK(OFFSET(A$1,,,SUMPRODUCT(MAX(ROW(E$1:E879)*(E2=E$1:E879))))))</f>
        <v> </v>
      </c>
      <c r="K880" s="26" t="str">
        <f>IF(OR(E880="",E880="!!!",F880="NEW"),"",INDEX(J$1:J879,SUMPRODUCT(MAX(ROW(E$1:E879)*(E880=E$1:E879)))))</f>
        <v> </v>
      </c>
      <c r="L880" s="27"/>
    </row>
    <row r="881" spans="1:12">
      <c r="A881" s="20" t="s">
        <v>11</v>
      </c>
      <c r="E881" s="22">
        <f>IF(D881="?OLD","!!!","")</f>
        <v/>
      </c>
      <c r="F881" s="23" t="str">
        <f>IF(OR(E881="",E881="!!!"),"",IF(NOT(ISNA(VLOOKUP(E881,E$1:E880,1,FALSE()))),"OLD",IF(AND(E881&lt;&gt;"",E881&lt;&gt;"!!!"),"NEW","")))</f>
        <v> </v>
      </c>
      <c r="G881" s="24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5" t="str">
        <f>IF(J881&lt;&gt;1,"",IF(I881="SBJ","CB","?"))</f>
        <v> </v>
      </c>
      <c r="I881" s="26" t="str">
        <f>IF(OR(E881="",E881="!!!",F881="NEW"),"",INDEX(B880:B$2,-1+SUMPRODUCT(MAX(ROW(E880:E$2)*(E881=E880:E$2)))))</f>
        <v> </v>
      </c>
      <c r="J881" s="26" t="str">
        <f>IF(OR(E881="",E881="!!!",F881="NEW"),"",COUNTBLANK(OFFSET(A$1,,,SUMPRODUCT(MAX(ROW(E$2:E881)*(E881=E$2:E881)))))-COUNTBLANK(OFFSET(A$1,,,SUMPRODUCT(MAX(ROW(E$1:E880)*(E2=E$1:E880))))))</f>
        <v> </v>
      </c>
      <c r="K881" s="26" t="str">
        <f>IF(OR(E881="",E881="!!!",F881="NEW"),"",INDEX(J$1:J880,SUMPRODUCT(MAX(ROW(E$1:E880)*(E881=E$1:E880)))))</f>
        <v> </v>
      </c>
      <c r="L881" s="27"/>
    </row>
    <row r="882" spans="1:12">
      <c r="A882" s="20" t="s">
        <v>788</v>
      </c>
      <c r="E882" s="22">
        <f>IF(D882="?OLD","!!!","")</f>
        <v/>
      </c>
      <c r="F882" s="23" t="str">
        <f>IF(OR(E882="",E882="!!!"),"",IF(NOT(ISNA(VLOOKUP(E882,E$1:E881,1,FALSE()))),"OLD",IF(AND(E882&lt;&gt;"",E882&lt;&gt;"!!!"),"NEW","")))</f>
        <v> </v>
      </c>
      <c r="G882" s="24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5" t="str">
        <f>IF(J882&lt;&gt;1,"",IF(I882="SBJ","CB","?"))</f>
        <v> </v>
      </c>
      <c r="I882" s="26" t="str">
        <f>IF(OR(E882="",E882="!!!",F882="NEW"),"",INDEX(B881:B$2,-1+SUMPRODUCT(MAX(ROW(E881:E$2)*(E882=E881:E$2)))))</f>
        <v> </v>
      </c>
      <c r="J882" s="26" t="str">
        <f>IF(OR(E882="",E882="!!!",F882="NEW"),"",COUNTBLANK(OFFSET(A$1,,,SUMPRODUCT(MAX(ROW(E$2:E882)*(E882=E$2:E882)))))-COUNTBLANK(OFFSET(A$1,,,SUMPRODUCT(MAX(ROW(E$1:E881)*(E2=E$1:E881))))))</f>
        <v> </v>
      </c>
      <c r="K882" s="26" t="str">
        <f>IF(OR(E882="",E882="!!!",F882="NEW"),"",INDEX(J$1:J881,SUMPRODUCT(MAX(ROW(E$1:E881)*(E882=E$1:E881)))))</f>
        <v> </v>
      </c>
      <c r="L882" s="27"/>
    </row>
    <row r="883" spans="1:12">
      <c r="A883" s="20" t="s">
        <v>789</v>
      </c>
      <c r="E883" s="22">
        <f>IF(D883="?OLD","!!!","")</f>
        <v/>
      </c>
      <c r="F883" s="23" t="str">
        <f>IF(OR(E883="",E883="!!!"),"",IF(NOT(ISNA(VLOOKUP(E883,E$1:E882,1,FALSE()))),"OLD",IF(AND(E883&lt;&gt;"",E883&lt;&gt;"!!!"),"NEW","")))</f>
        <v> </v>
      </c>
      <c r="G883" s="24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5" t="str">
        <f>IF(J883&lt;&gt;1,"",IF(I883="SBJ","CB","?"))</f>
        <v> </v>
      </c>
      <c r="I883" s="26" t="str">
        <f>IF(OR(E883="",E883="!!!",F883="NEW"),"",INDEX(B882:B$2,-1+SUMPRODUCT(MAX(ROW(E882:E$2)*(E883=E882:E$2)))))</f>
        <v> </v>
      </c>
      <c r="J883" s="26" t="str">
        <f>IF(OR(E883="",E883="!!!",F883="NEW"),"",COUNTBLANK(OFFSET(A$1,,,SUMPRODUCT(MAX(ROW(E$2:E883)*(E883=E$2:E883)))))-COUNTBLANK(OFFSET(A$1,,,SUMPRODUCT(MAX(ROW(E$1:E882)*(E2=E$1:E882))))))</f>
        <v> </v>
      </c>
      <c r="K883" s="26" t="str">
        <f>IF(OR(E883="",E883="!!!",F883="NEW"),"",INDEX(J$1:J882,SUMPRODUCT(MAX(ROW(E$1:E882)*(E883=E$1:E882)))))</f>
        <v> </v>
      </c>
      <c r="L883" s="27"/>
    </row>
    <row r="884" spans="1:12">
      <c r="A884" s="20" t="s">
        <v>230</v>
      </c>
      <c r="E884" s="22">
        <f>IF(D884="?OLD","!!!","")</f>
        <v/>
      </c>
      <c r="F884" s="23" t="str">
        <f>IF(OR(E884="",E884="!!!"),"",IF(NOT(ISNA(VLOOKUP(E884,E$1:E883,1,FALSE()))),"OLD",IF(AND(E884&lt;&gt;"",E884&lt;&gt;"!!!"),"NEW","")))</f>
        <v> </v>
      </c>
      <c r="G884" s="24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5" t="str">
        <f>IF(J884&lt;&gt;1,"",IF(I884="SBJ","CB","?"))</f>
        <v> </v>
      </c>
      <c r="I884" s="26" t="str">
        <f>IF(OR(E884="",E884="!!!",F884="NEW"),"",INDEX(B883:B$2,-1+SUMPRODUCT(MAX(ROW(E883:E$2)*(E884=E883:E$2)))))</f>
        <v> </v>
      </c>
      <c r="J884" s="26" t="str">
        <f>IF(OR(E884="",E884="!!!",F884="NEW"),"",COUNTBLANK(OFFSET(A$1,,,SUMPRODUCT(MAX(ROW(E$2:E884)*(E884=E$2:E884)))))-COUNTBLANK(OFFSET(A$1,,,SUMPRODUCT(MAX(ROW(E$1:E883)*(E2=E$1:E883))))))</f>
        <v> </v>
      </c>
      <c r="K884" s="26" t="str">
        <f>IF(OR(E884="",E884="!!!",F884="NEW"),"",INDEX(J$1:J883,SUMPRODUCT(MAX(ROW(E$1:E883)*(E884=E$1:E883)))))</f>
        <v> </v>
      </c>
      <c r="L884" s="27"/>
    </row>
    <row r="885" spans="1:12">
      <c r="A885" s="20" t="s">
        <v>281</v>
      </c>
      <c r="E885" s="22">
        <f>IF(D885="?OLD","!!!","")</f>
        <v/>
      </c>
      <c r="F885" s="23" t="str">
        <f>IF(OR(E885="",E885="!!!"),"",IF(NOT(ISNA(VLOOKUP(E885,E$1:E884,1,FALSE()))),"OLD",IF(AND(E885&lt;&gt;"",E885&lt;&gt;"!!!"),"NEW","")))</f>
        <v> </v>
      </c>
      <c r="G885" s="24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5" t="str">
        <f>IF(J885&lt;&gt;1,"",IF(I885="SBJ","CB","?"))</f>
        <v> </v>
      </c>
      <c r="I885" s="26" t="str">
        <f>IF(OR(E885="",E885="!!!",F885="NEW"),"",INDEX(B884:B$2,-1+SUMPRODUCT(MAX(ROW(E884:E$2)*(E885=E884:E$2)))))</f>
        <v> </v>
      </c>
      <c r="J885" s="26" t="str">
        <f>IF(OR(E885="",E885="!!!",F885="NEW"),"",COUNTBLANK(OFFSET(A$1,,,SUMPRODUCT(MAX(ROW(E$2:E885)*(E885=E$2:E885)))))-COUNTBLANK(OFFSET(A$1,,,SUMPRODUCT(MAX(ROW(E$1:E884)*(E2=E$1:E884))))))</f>
        <v> </v>
      </c>
      <c r="K885" s="26" t="str">
        <f>IF(OR(E885="",E885="!!!",F885="NEW"),"",INDEX(J$1:J884,SUMPRODUCT(MAX(ROW(E$1:E884)*(E885=E$1:E884)))))</f>
        <v> </v>
      </c>
      <c r="L885" s="27"/>
    </row>
    <row r="886" spans="1:12">
      <c r="A886" s="20" t="s">
        <v>749</v>
      </c>
      <c r="E886" s="22">
        <f>IF(D886="?OLD","!!!","")</f>
        <v/>
      </c>
      <c r="F886" s="23" t="str">
        <f>IF(OR(E886="",E886="!!!"),"",IF(NOT(ISNA(VLOOKUP(E886,E$1:E885,1,FALSE()))),"OLD",IF(AND(E886&lt;&gt;"",E886&lt;&gt;"!!!"),"NEW","")))</f>
        <v> </v>
      </c>
      <c r="G886" s="24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5" t="str">
        <f>IF(J886&lt;&gt;1,"",IF(I886="SBJ","CB","?"))</f>
        <v> </v>
      </c>
      <c r="I886" s="26" t="str">
        <f>IF(OR(E886="",E886="!!!",F886="NEW"),"",INDEX(B885:B$2,-1+SUMPRODUCT(MAX(ROW(E885:E$2)*(E886=E885:E$2)))))</f>
        <v> </v>
      </c>
      <c r="J886" s="26" t="str">
        <f>IF(OR(E886="",E886="!!!",F886="NEW"),"",COUNTBLANK(OFFSET(A$1,,,SUMPRODUCT(MAX(ROW(E$2:E886)*(E886=E$2:E886)))))-COUNTBLANK(OFFSET(A$1,,,SUMPRODUCT(MAX(ROW(E$1:E885)*(E2=E$1:E885))))))</f>
        <v> </v>
      </c>
      <c r="K886" s="26" t="str">
        <f>IF(OR(E886="",E886="!!!",F886="NEW"),"",INDEX(J$1:J885,SUMPRODUCT(MAX(ROW(E$1:E885)*(E886=E$1:E885)))))</f>
        <v> </v>
      </c>
      <c r="L886" s="27"/>
    </row>
    <row r="887" spans="1:12">
      <c r="A887" s="20" t="s">
        <v>790</v>
      </c>
      <c r="B887" s="21" t="s">
        <v>791</v>
      </c>
      <c r="C887" s="21" t="s">
        <v>331</v>
      </c>
      <c r="E887" s="22">
        <f>IF(D887="?OLD","!!!","")</f>
        <v/>
      </c>
      <c r="F887" s="23" t="str">
        <f>IF(OR(E887="",E887="!!!"),"",IF(NOT(ISNA(VLOOKUP(E887,E$1:E886,1,FALSE()))),"OLD",IF(AND(E887&lt;&gt;"",E887&lt;&gt;"!!!"),"NEW","")))</f>
        <v> </v>
      </c>
      <c r="G887" s="24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 </v>
      </c>
      <c r="H887" s="25" t="str">
        <f>IF(J887&lt;&gt;1,"",IF(I887="SBJ","CB","?"))</f>
        <v> </v>
      </c>
      <c r="I887" s="26" t="str">
        <f>IF(OR(E887="",E887="!!!",F887="NEW"),"",INDEX(B886:B$2,-1+SUMPRODUCT(MAX(ROW(E886:E$2)*(E887=E886:E$2)))))</f>
        <v> </v>
      </c>
      <c r="J887" s="26" t="str">
        <f>IF(OR(E887="",E887="!!!",F887="NEW"),"",COUNTBLANK(OFFSET(A$1,,,SUMPRODUCT(MAX(ROW(E$2:E887)*(E887=E$2:E887)))))-COUNTBLANK(OFFSET(A$1,,,SUMPRODUCT(MAX(ROW(E$1:E886)*(E2=E$1:E886))))))</f>
        <v> </v>
      </c>
      <c r="K887" s="26" t="str">
        <f>IF(OR(E887="",E887="!!!",F887="NEW"),"",INDEX(J$1:J886,SUMPRODUCT(MAX(ROW(E$1:E886)*(E887=E$1:E886)))))</f>
        <v> </v>
      </c>
      <c r="L887" s="27"/>
    </row>
    <row r="888" spans="1:12">
      <c r="A888" s="20" t="s">
        <v>306</v>
      </c>
      <c r="E888" s="22">
        <f>IF(D888="?OLD","!!!","")</f>
        <v/>
      </c>
      <c r="F888" s="23" t="str">
        <f>IF(OR(E888="",E888="!!!"),"",IF(NOT(ISNA(VLOOKUP(E888,E$1:E887,1,FALSE()))),"OLD",IF(AND(E888&lt;&gt;"",E888&lt;&gt;"!!!"),"NEW","")))</f>
        <v> </v>
      </c>
      <c r="G888" s="24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5" t="str">
        <f>IF(J888&lt;&gt;1,"",IF(I888="SBJ","CB","?"))</f>
        <v> </v>
      </c>
      <c r="I888" s="26" t="str">
        <f>IF(OR(E888="",E888="!!!",F888="NEW"),"",INDEX(B887:B$2,-1+SUMPRODUCT(MAX(ROW(E887:E$2)*(E888=E887:E$2)))))</f>
        <v> </v>
      </c>
      <c r="J888" s="26" t="str">
        <f>IF(OR(E888="",E888="!!!",F888="NEW"),"",COUNTBLANK(OFFSET(A$1,,,SUMPRODUCT(MAX(ROW(E$2:E888)*(E888=E$2:E888)))))-COUNTBLANK(OFFSET(A$1,,,SUMPRODUCT(MAX(ROW(E$1:E887)*(E2=E$1:E887))))))</f>
        <v> </v>
      </c>
      <c r="K888" s="26" t="str">
        <f>IF(OR(E888="",E888="!!!",F888="NEW"),"",INDEX(J$1:J887,SUMPRODUCT(MAX(ROW(E$1:E887)*(E888=E$1:E887)))))</f>
        <v> </v>
      </c>
      <c r="L888" s="27"/>
    </row>
    <row r="889" spans="1:12">
      <c r="A889" s="20" t="s">
        <v>792</v>
      </c>
      <c r="E889" s="22">
        <f>IF(D889="?OLD","!!!","")</f>
        <v/>
      </c>
      <c r="F889" s="23" t="str">
        <f>IF(OR(E889="",E889="!!!"),"",IF(NOT(ISNA(VLOOKUP(E889,E$1:E888,1,FALSE()))),"OLD",IF(AND(E889&lt;&gt;"",E889&lt;&gt;"!!!"),"NEW","")))</f>
        <v> </v>
      </c>
      <c r="G889" s="24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25" t="str">
        <f>IF(J889&lt;&gt;1,"",IF(I889="SBJ","CB","?"))</f>
        <v> </v>
      </c>
      <c r="I889" s="26" t="str">
        <f>IF(OR(E889="",E889="!!!",F889="NEW"),"",INDEX(B888:B$2,-1+SUMPRODUCT(MAX(ROW(E888:E$2)*(E889=E888:E$2)))))</f>
        <v> </v>
      </c>
      <c r="J889" s="26" t="str">
        <f>IF(OR(E889="",E889="!!!",F889="NEW"),"",COUNTBLANK(OFFSET(A$1,,,SUMPRODUCT(MAX(ROW(E$2:E889)*(E889=E$2:E889)))))-COUNTBLANK(OFFSET(A$1,,,SUMPRODUCT(MAX(ROW(E$1:E888)*(E2=E$1:E888))))))</f>
        <v> </v>
      </c>
      <c r="K889" s="26" t="str">
        <f>IF(OR(E889="",E889="!!!",F889="NEW"),"",INDEX(J$1:J888,SUMPRODUCT(MAX(ROW(E$1:E888)*(E889=E$1:E888)))))</f>
        <v> </v>
      </c>
      <c r="L889" s="27"/>
    </row>
    <row r="890" spans="1:12">
      <c r="A890" s="20" t="s">
        <v>793</v>
      </c>
      <c r="E890" s="22">
        <f>IF(D890="?OLD","!!!","")</f>
        <v/>
      </c>
      <c r="F890" s="23" t="str">
        <f>IF(OR(E890="",E890="!!!"),"",IF(NOT(ISNA(VLOOKUP(E890,E$1:E889,1,FALSE()))),"OLD",IF(AND(E890&lt;&gt;"",E890&lt;&gt;"!!!"),"NEW","")))</f>
        <v> </v>
      </c>
      <c r="G890" s="24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5" t="str">
        <f>IF(J890&lt;&gt;1,"",IF(I890="SBJ","CB","?"))</f>
        <v> </v>
      </c>
      <c r="I890" s="26" t="str">
        <f>IF(OR(E890="",E890="!!!",F890="NEW"),"",INDEX(B889:B$2,-1+SUMPRODUCT(MAX(ROW(E889:E$2)*(E890=E889:E$2)))))</f>
        <v> </v>
      </c>
      <c r="J890" s="26" t="str">
        <f>IF(OR(E890="",E890="!!!",F890="NEW"),"",COUNTBLANK(OFFSET(A$1,,,SUMPRODUCT(MAX(ROW(E$2:E890)*(E890=E$2:E890)))))-COUNTBLANK(OFFSET(A$1,,,SUMPRODUCT(MAX(ROW(E$1:E889)*(E2=E$1:E889))))))</f>
        <v> </v>
      </c>
      <c r="K890" s="26" t="str">
        <f>IF(OR(E890="",E890="!!!",F890="NEW"),"",INDEX(J$1:J889,SUMPRODUCT(MAX(ROW(E$1:E889)*(E890=E$1:E889)))))</f>
        <v> </v>
      </c>
      <c r="L890" s="27"/>
    </row>
    <row r="891" spans="1:12">
      <c r="A891" s="20" t="s">
        <v>794</v>
      </c>
      <c r="E891" s="22">
        <f>IF(D891="?OLD","!!!","")</f>
        <v/>
      </c>
      <c r="F891" s="23" t="str">
        <f>IF(OR(E891="",E891="!!!"),"",IF(NOT(ISNA(VLOOKUP(E891,E$1:E890,1,FALSE()))),"OLD",IF(AND(E891&lt;&gt;"",E891&lt;&gt;"!!!"),"NEW","")))</f>
        <v> </v>
      </c>
      <c r="G891" s="24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5" t="str">
        <f>IF(J891&lt;&gt;1,"",IF(I891="SBJ","CB","?"))</f>
        <v> </v>
      </c>
      <c r="I891" s="26" t="str">
        <f>IF(OR(E891="",E891="!!!",F891="NEW"),"",INDEX(B890:B$2,-1+SUMPRODUCT(MAX(ROW(E890:E$2)*(E891=E890:E$2)))))</f>
        <v> </v>
      </c>
      <c r="J891" s="26" t="str">
        <f>IF(OR(E891="",E891="!!!",F891="NEW"),"",COUNTBLANK(OFFSET(A$1,,,SUMPRODUCT(MAX(ROW(E$2:E891)*(E891=E$2:E891)))))-COUNTBLANK(OFFSET(A$1,,,SUMPRODUCT(MAX(ROW(E$1:E890)*(E2=E$1:E890))))))</f>
        <v> </v>
      </c>
      <c r="K891" s="26" t="str">
        <f>IF(OR(E891="",E891="!!!",F891="NEW"),"",INDEX(J$1:J890,SUMPRODUCT(MAX(ROW(E$1:E890)*(E891=E$1:E890)))))</f>
        <v> </v>
      </c>
      <c r="L891" s="27"/>
    </row>
    <row r="892" spans="1:12">
      <c r="A892" s="20" t="s">
        <v>795</v>
      </c>
      <c r="E892" s="22">
        <f>IF(D892="?OLD","!!!","")</f>
        <v/>
      </c>
      <c r="F892" s="23" t="str">
        <f>IF(OR(E892="",E892="!!!"),"",IF(NOT(ISNA(VLOOKUP(E892,E$1:E891,1,FALSE()))),"OLD",IF(AND(E892&lt;&gt;"",E892&lt;&gt;"!!!"),"NEW","")))</f>
        <v> </v>
      </c>
      <c r="G892" s="24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5" t="str">
        <f>IF(J892&lt;&gt;1,"",IF(I892="SBJ","CB","?"))</f>
        <v> </v>
      </c>
      <c r="I892" s="26" t="str">
        <f>IF(OR(E892="",E892="!!!",F892="NEW"),"",INDEX(B891:B$2,-1+SUMPRODUCT(MAX(ROW(E891:E$2)*(E892=E891:E$2)))))</f>
        <v> </v>
      </c>
      <c r="J892" s="26" t="str">
        <f>IF(OR(E892="",E892="!!!",F892="NEW"),"",COUNTBLANK(OFFSET(A$1,,,SUMPRODUCT(MAX(ROW(E$2:E892)*(E892=E$2:E892)))))-COUNTBLANK(OFFSET(A$1,,,SUMPRODUCT(MAX(ROW(E$1:E891)*(E2=E$1:E891))))))</f>
        <v> </v>
      </c>
      <c r="K892" s="26" t="str">
        <f>IF(OR(E892="",E892="!!!",F892="NEW"),"",INDEX(J$1:J891,SUMPRODUCT(MAX(ROW(E$1:E891)*(E892=E$1:E891)))))</f>
        <v> </v>
      </c>
      <c r="L892" s="27"/>
    </row>
    <row r="893" spans="1:12">
      <c r="A893" s="20" t="s">
        <v>237</v>
      </c>
      <c r="E893" s="22">
        <f>IF(D893="?OLD","!!!","")</f>
        <v/>
      </c>
      <c r="F893" s="23" t="str">
        <f>IF(OR(E893="",E893="!!!"),"",IF(NOT(ISNA(VLOOKUP(E893,E$1:E892,1,FALSE()))),"OLD",IF(AND(E893&lt;&gt;"",E893&lt;&gt;"!!!"),"NEW","")))</f>
        <v> </v>
      </c>
      <c r="G893" s="24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5" t="str">
        <f>IF(J893&lt;&gt;1,"",IF(I893="SBJ","CB","?"))</f>
        <v> </v>
      </c>
      <c r="I893" s="26" t="str">
        <f>IF(OR(E893="",E893="!!!",F893="NEW"),"",INDEX(B892:B$2,-1+SUMPRODUCT(MAX(ROW(E892:E$2)*(E893=E892:E$2)))))</f>
        <v> </v>
      </c>
      <c r="J893" s="26" t="str">
        <f>IF(OR(E893="",E893="!!!",F893="NEW"),"",COUNTBLANK(OFFSET(A$1,,,SUMPRODUCT(MAX(ROW(E$2:E893)*(E893=E$2:E893)))))-COUNTBLANK(OFFSET(A$1,,,SUMPRODUCT(MAX(ROW(E$1:E892)*(E2=E$1:E892))))))</f>
        <v> </v>
      </c>
      <c r="K893" s="26" t="str">
        <f>IF(OR(E893="",E893="!!!",F893="NEW"),"",INDEX(J$1:J892,SUMPRODUCT(MAX(ROW(E$1:E892)*(E893=E$1:E892)))))</f>
        <v> </v>
      </c>
      <c r="L893" s="27"/>
    </row>
    <row r="894" spans="1:12">
      <c r="A894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2025-07-10T18:09:04Z</dcterms:created>
  <dcterms:modified xsi:type="dcterms:W3CDTF">2025-07-10T18:09:04Z</dcterms:modified>
</cp:coreProperties>
</file>