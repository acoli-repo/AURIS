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<sst xmlns="http://schemas.openxmlformats.org/spreadsheetml/2006/main" count="1658" uniqueCount="796">
  <si>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</si>
  <si>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</si>
  <si>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</si>
  <si>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</si>
  <si>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</si>
  <si>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</si>
  <si>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</si>
  <si>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</si>
  <si>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</si>
  <si>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</si>
  <si>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</si>
  <si>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_</t>
  </si>
  <si>
    <t>Россия</t>
  </si>
  <si>
    <t>Россия и Турция : &amp;quot; Альянс плохих &amp;quot; ?</t>
  </si>
  <si>
    <t>file://conllu/ru/bbc.242334.conllu#s1_0</t>
  </si>
  <si>
    <t>2</t>
  </si>
  <si>
    <t>быть (быть жест)</t>
  </si>
  <si>
    <t>Это был жест , который завершил кризис .</t>
  </si>
  <si>
    <t>file://conllu/ru/bbc.242334.conllu#s2_0</t>
  </si>
  <si>
    <t>3</t>
  </si>
  <si>
    <t>5</t>
  </si>
  <si>
    <t>встретиться</t>
  </si>
  <si>
    <t>Лидеры России и Турции встретились во вторник , чтобы пожать руки и объявить официальный конец восьмимесячной войне слов и экономических санкций .</t>
  </si>
  <si>
    <t>file://conllu/ru/bbc.242334.conllu#s3_0</t>
  </si>
  <si>
    <t>4</t>
  </si>
  <si>
    <t>18</t>
  </si>
  <si>
    <t>сложиться</t>
  </si>
  <si>
    <t>Но когда Владимир Путин приветствовал своего турецкого коллегу в позолоченном зале дворца в Санкт-Петербурге , у меня сложилось устойчивое впечатление , что Анкара хочет этого примирения больше .</t>
  </si>
  <si>
    <t>file://conllu/ru/bbc.242334.conllu#s4_0</t>
  </si>
  <si>
    <t>быть</t>
  </si>
  <si>
    <t>Было рукопожатие , да .</t>
  </si>
  <si>
    <t>file://conllu/ru/bbc.242334.conllu#s5_0</t>
  </si>
  <si>
    <t>6</t>
  </si>
  <si>
    <t>выглядеть</t>
  </si>
  <si>
    <t>Но улыбка господина Путина выглядела натянутой , а он едва ли излучал тепло даже по его собственным сдержанным стандартам .</t>
  </si>
  <si>
    <t>file://conllu/ru/bbc.242334.conllu#s6_0</t>
  </si>
  <si>
    <t>7</t>
  </si>
  <si>
    <t>говорить</t>
  </si>
  <si>
    <t>Реджеп Тайип Эрдоган в противоположность этому говорил неоднократно о своем &amp;quot; дорогом друге &amp;quot; господине Путине — пять раз , согласно одному отчету .</t>
  </si>
  <si>
    <t>file://conllu/ru/bbc.242334.conllu#s7_0</t>
  </si>
  <si>
    <t>8</t>
  </si>
  <si>
    <t>терять</t>
  </si>
  <si>
    <t>Я потерял счет .</t>
  </si>
  <si>
    <t>file://conllu/ru/bbc.242334.conllu#s8_0</t>
  </si>
  <si>
    <t>9</t>
  </si>
  <si>
    <t>обещать</t>
  </si>
  <si>
    <t>Он также обещал , что отношения с Россией вернутся не только на их докризисный уровень , но даже выше .</t>
  </si>
  <si>
    <t>file://conllu/ru/bbc.242334.conllu#s9_0</t>
  </si>
  <si>
    <t>10</t>
  </si>
  <si>
    <t>описать</t>
  </si>
  <si>
    <t>На следующий день одна газета описала действия господина Эрдогана как если бы ничего плохого никогда не случалось .</t>
  </si>
  <si>
    <t>file://conllu/ru/bbc.242334.conllu#s10_0</t>
  </si>
  <si>
    <t>11</t>
  </si>
  <si>
    <t>предполагать</t>
  </si>
  <si>
    <t>По-моему , его энтузиазм предполагал обратное .</t>
  </si>
  <si>
    <t>file://conllu/ru/bbc.242334.conllu#s11_0</t>
  </si>
  <si>
    <t>12</t>
  </si>
  <si>
    <t>показать</t>
  </si>
  <si>
    <t>Но затягивающаяся прохлада , исходящая от господина Путина , показала , что российский лидер не забыл ничего .</t>
  </si>
  <si>
    <t>file://conllu/ru/bbc.242334.conllu#s12_0</t>
  </si>
  <si>
    <t>13</t>
  </si>
  <si>
    <t>быть (быть первый)</t>
  </si>
  <si>
    <t>Фактически , причиной кризиса было первое , о чём он упомянул во вступительных комментариях :</t>
  </si>
  <si>
    <t>file://conllu/ru/bbc.242334.conllu#s13_0</t>
  </si>
  <si>
    <t>14</t>
  </si>
  <si>
    <t>сбить</t>
  </si>
  <si>
    <t>Турция сбила российский истребитель на сирийской границе .</t>
  </si>
  <si>
    <t>file://conllu/ru/bbc.242334.conllu#s14_0</t>
  </si>
  <si>
    <t>15</t>
  </si>
  <si>
    <t>быть (быть неистовый)</t>
  </si>
  <si>
    <t>Реакция Москвы в этот момент была неистовой .</t>
  </si>
  <si>
    <t>file://conllu/ru/bbc.242334.conllu#s15_0</t>
  </si>
  <si>
    <t>16</t>
  </si>
  <si>
    <t>разразиться</t>
  </si>
  <si>
    <t>Господин Путин разразился гневной тирадой , обвиняя Анкару в ударе Москвы в спину .</t>
  </si>
  <si>
    <t>file://conllu/ru/bbc.242334.conllu#s16_0</t>
  </si>
  <si>
    <t>17</t>
  </si>
  <si>
    <t>быть (быть сильно)</t>
  </si>
  <si>
    <t>Оскорбление было еще сильнее , исходя от предполагаемого друга .</t>
  </si>
  <si>
    <t>file://conllu/ru/bbc.242334.conllu#s17_0</t>
  </si>
  <si>
    <t>быть (быть трудный)</t>
  </si>
  <si>
    <t>Восстановление реального доверия будет трудным , вероятно невозможным .</t>
  </si>
  <si>
    <t>file://conllu/ru/bbc.242334.conllu#s18_0</t>
  </si>
  <si>
    <t>19</t>
  </si>
  <si>
    <t>измениться</t>
  </si>
  <si>
    <t>Российское общественное мнение также изменилось с ноября .</t>
  </si>
  <si>
    <t>file://conllu/ru/bbc.242334.conllu#s19_0</t>
  </si>
  <si>
    <t>20</t>
  </si>
  <si>
    <t>проводить</t>
  </si>
  <si>
    <t>На протяжении месяцев контролируемые государством СМИ проводили ошеломляющее , тотальное наступление на Анкару .</t>
  </si>
  <si>
    <t>file://conllu/ru/bbc.242334.conllu#s20_0</t>
  </si>
  <si>
    <t>21</t>
  </si>
  <si>
    <t>казаться</t>
  </si>
  <si>
    <t>Внезапно показалось , что турков должны считать виновными во всём .</t>
  </si>
  <si>
    <t>file://conllu/ru/bbc.242334.conllu#s21_0</t>
  </si>
  <si>
    <t>22</t>
  </si>
  <si>
    <t>быть (быть серьезный)</t>
  </si>
  <si>
    <t>Самыми серьезными были обвинения от представителей высшего руководства , что собственная семья господина Эрдогана нажилась на нелегальной торговле нефтью из зон Сирии , контролируемых так называемым Исламским Государством .</t>
  </si>
  <si>
    <t>file://conllu/ru/bbc.242334.conllu#s22_0</t>
  </si>
  <si>
    <t>23</t>
  </si>
  <si>
    <t>отрицать</t>
  </si>
  <si>
    <t>Он отрицал это решительно .</t>
  </si>
  <si>
    <t>file://conllu/ru/bbc.242334.conllu#s23_0</t>
  </si>
  <si>
    <t>24</t>
  </si>
  <si>
    <t>поступить</t>
  </si>
  <si>
    <t>Но в Санкт-Петербурге поступил официальный сигнал , что пришло время двигаться дальше .</t>
  </si>
  <si>
    <t>file://conllu/ru/bbc.242334.conllu#s24_0</t>
  </si>
  <si>
    <t>25</t>
  </si>
  <si>
    <t>Потому?</t>
  </si>
  <si>
    <t>произойти</t>
  </si>
  <si>
    <t>В конце концов , эта встреча произошла только потому , что господин Путин получил извинение , которое он требовал от президента Эрдогана .</t>
  </si>
  <si>
    <t>file://conllu/ru/bbc.242334.conllu#s25_0</t>
  </si>
  <si>
    <t>26</t>
  </si>
  <si>
    <t>мочь</t>
  </si>
  <si>
    <t>Россия могла претендовать на победу своего рода .</t>
  </si>
  <si>
    <t>file://conllu/ru/bbc.242334.conllu#s26_0</t>
  </si>
  <si>
    <t>27</t>
  </si>
  <si>
    <t>ясный</t>
  </si>
  <si>
    <t>Для Анкары преимущества объявления перемирия ясны .</t>
  </si>
  <si>
    <t>file://conllu/ru/bbc.242334.conllu#s27_0</t>
  </si>
  <si>
    <t>28</t>
  </si>
  <si>
    <t>нужный</t>
  </si>
  <si>
    <t>В первую очередь , Эрдогану нужны все друзья , которых он может получить , после того как он был почти свергнут со своего поста в прошлом месяце при попытке переворота .</t>
  </si>
  <si>
    <t>file://conllu/ru/bbc.242334.conllu#s28_0</t>
  </si>
  <si>
    <t>29</t>
  </si>
  <si>
    <t>потрясти</t>
  </si>
  <si>
    <t>Повторные террористические атаки на Турцию явно потрясли его тоже .</t>
  </si>
  <si>
    <t>file://conllu/ru/bbc.242334.conllu#s29_0</t>
  </si>
  <si>
    <t>30</t>
  </si>
  <si>
    <t>Есть также экономическая причина .</t>
  </si>
  <si>
    <t>file://conllu/ru/bbc.242334.conllu#s30_0</t>
  </si>
  <si>
    <t>31</t>
  </si>
  <si>
    <t>ударить</t>
  </si>
  <si>
    <t>Российские санкции сильно ударили — особенно запрет на чартерные полеты , которые обычно привозят несколько миллионов русских туристов на турецкое побережье ежегодно .</t>
  </si>
  <si>
    <t>file://conllu/ru/bbc.242334.conllu#s31_0</t>
  </si>
  <si>
    <t>32</t>
  </si>
  <si>
    <t>падать</t>
  </si>
  <si>
    <t>Количество резко упало почти на 90 % .</t>
  </si>
  <si>
    <t>file://conllu/ru/bbc.242334.conllu#s32_0</t>
  </si>
  <si>
    <t>33</t>
  </si>
  <si>
    <t>почувствовать</t>
  </si>
  <si>
    <t>Что касается России , туроператоры и чартерные компании здесь , конечно , почувствуют облегчение , когда полеты наконец возобновят .</t>
  </si>
  <si>
    <t>file://conllu/ru/bbc.242334.conllu#s33_0</t>
  </si>
  <si>
    <t>34</t>
  </si>
  <si>
    <t>ставить</t>
  </si>
  <si>
    <t>Они ставят на пик конца сезона на Средиземном море .</t>
  </si>
  <si>
    <t>file://conllu/ru/bbc.242334.conllu#s34_0</t>
  </si>
  <si>
    <t>35</t>
  </si>
  <si>
    <t>предсказывать</t>
  </si>
  <si>
    <t>И даже на этой неделе государственное телевидение предсказывало более дешевые фрукты и овощи , как только турецкий импорт сельскохозяйственной продукции будет разрешен вновь .</t>
  </si>
  <si>
    <t>file://conllu/ru/bbc.242334.conllu#s35_0</t>
  </si>
  <si>
    <t>36</t>
  </si>
  <si>
    <t>турист</t>
  </si>
  <si>
    <t>&amp;quot; Туристы туда , помидоры обратно сюда , &amp;quot; как было сказано в отчете в газете Ведомости .</t>
  </si>
  <si>
    <t>file://conllu/ru/bbc.242334.conllu#s36_0</t>
  </si>
  <si>
    <t>37</t>
  </si>
  <si>
    <t>иметь</t>
  </si>
  <si>
    <t>Но визит также имел дополнительную политическую ценность для Москвы .</t>
  </si>
  <si>
    <t>file://conllu/ru/bbc.242334.conllu#s37_0</t>
  </si>
  <si>
    <t>38</t>
  </si>
  <si>
    <t>анкара</t>
  </si>
  <si>
    <t>Анкара зла на Запад за то , что она считает слабым ответом на попытку переворота .</t>
  </si>
  <si>
    <t>file://conllu/ru/bbc.242334.conllu#s38_0</t>
  </si>
  <si>
    <t>39</t>
  </si>
  <si>
    <t>добавить</t>
  </si>
  <si>
    <t>Добавьте к этому ее затянувшееся недовольство черепашьим темпом разговоров о присоединении к ЕС и шаг господина Путина — который стремится воспользоваться прохладой и постепенно разрушить турецкие связи с Западом .</t>
  </si>
  <si>
    <t>file://conllu/ru/bbc.242334.conllu#s39_0</t>
  </si>
  <si>
    <t>40</t>
  </si>
  <si>
    <t>выиграть</t>
  </si>
  <si>
    <t>Российский лидер , конечно , выиграл бонусные баллы с Анкарой за призыв к поддержке избранных органов власти после попытки государственного переворота .</t>
  </si>
  <si>
    <t>file://conllu/ru/bbc.242334.conllu#s40_0</t>
  </si>
  <si>
    <t>41</t>
  </si>
  <si>
    <t>данность</t>
  </si>
  <si>
    <t>Имейте в виду , это данность для Москвы , которая имеет свой собственный глубоко укоренившийся страх смены режима .</t>
  </si>
  <si>
    <t>file://conllu/ru/bbc.242334.conllu#s41_0</t>
  </si>
  <si>
    <t>42</t>
  </si>
  <si>
    <t>Итак?</t>
  </si>
  <si>
    <t>аммить</t>
  </si>
  <si>
    <t>Итак , саммит в этом блестящем дворце на морском побережье позволил России и Турции представить то , что один аналитик описал мне как &amp;quot; альянс плохих &amp;quot; : две страны , которые чувствуют себя отвергнутыми и униженными Западом , объединяют силы .</t>
  </si>
  <si>
    <t>file://conllu/ru/bbc.242334.conllu#s42_0</t>
  </si>
  <si>
    <t>43</t>
  </si>
  <si>
    <t>Все же , несмотря на публичный показ примирения , эти двое по-прежнему имеют существенные различия .</t>
  </si>
  <si>
    <t>file://conllu/ru/bbc.242334.conllu#s43_0</t>
  </si>
  <si>
    <t>44</t>
  </si>
  <si>
    <t>являться</t>
  </si>
  <si>
    <t>Ключевой является Сирия , где Москва недавно позиционировала себя в качестве миротворца , но где Россия и Турция поддерживают противоположные стороны .</t>
  </si>
  <si>
    <t>file://conllu/ru/bbc.242334.conllu#s44_0</t>
  </si>
  <si>
    <t>45</t>
  </si>
  <si>
    <t>Возможно , говорит само за себя то , что после почти трех часов первоначальных переговоров , пока два президента давали пресс-конференцию , они даже не затронули эту тему .</t>
  </si>
  <si>
    <t>file://conllu/ru/bbc.242334.conllu#s45_0</t>
  </si>
  <si>
    <t>46</t>
  </si>
  <si>
    <t>избегать</t>
  </si>
  <si>
    <t>Президент Турции умышленно избегал ответа на вопрос об их различиях , в то время как господин Путин предпочёл сделать на них акцент .</t>
  </si>
  <si>
    <t>file://conllu/ru/bbc.242334.conllu#s46_0</t>
  </si>
  <si>
    <t>47</t>
  </si>
  <si>
    <t>нет</t>
  </si>
  <si>
    <t>Нет четкого согласия в том , как они могут найти общий язык по Сирии .</t>
  </si>
  <si>
    <t>file://conllu/ru/bbc.242334.conllu#s47_0</t>
  </si>
  <si>
    <t>48</t>
  </si>
  <si>
    <t>принимать</t>
  </si>
  <si>
    <t>Но после месяцев открытой враждебности — и принимая во внимание возможность полной катастрофы , когда член НАТО Турция сбила российский реактивный истребитель , точно лучше , что два лидера по крайней мере разговаривают снова .</t>
  </si>
  <si>
    <t>file://conllu/ru/bbc.242334.conllu#s48_0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</si>
  <si>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</si>
  <si>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</si>
  <si>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</si>
  <si>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</si>
  <si>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</si>
  <si>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</si>
  <si>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</si>
  <si>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</si>
  <si>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</si>
  <si>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</si>
  <si>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</si>
  <si>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Россия и Турция: \"Альянс плохих\"?</t>
  </si>
  <si>
    <t>other</t>
  </si>
  <si>
    <t>ne</t>
  </si>
  <si>
    <t>?OLD</t>
  </si>
  <si>
    <t>и</t>
  </si>
  <si>
    <t>Турция</t>
  </si>
  <si>
    <t>:</t>
  </si>
  <si>
    <t>&amp;quot;</t>
  </si>
  <si>
    <t>Альянс</t>
  </si>
  <si>
    <t>плохих</t>
  </si>
  <si>
    <t>?</t>
  </si>
  <si>
    <t># text = Это был жест, который завершил кризис.</t>
  </si>
  <si>
    <t>Это</t>
  </si>
  <si>
    <t>SBJ</t>
  </si>
  <si>
    <t>pron.pds</t>
  </si>
  <si>
    <t>был</t>
  </si>
  <si>
    <t>жест</t>
  </si>
  <si>
    <t>,</t>
  </si>
  <si>
    <t>который</t>
  </si>
  <si>
    <t>SBJ_2</t>
  </si>
  <si>
    <t>pron.pint</t>
  </si>
  <si>
    <t>завершил</t>
  </si>
  <si>
    <t>кризис</t>
  </si>
  <si>
    <t>OBJ_2</t>
  </si>
  <si>
    <t>.</t>
  </si>
  <si>
    <t># text = Лидеры России и Турции встретились во вторник, чтобы пожать руки и объявить официальный конец восьмимесячной войне слов и экономических санкций.</t>
  </si>
  <si>
    <t>Лидеры</t>
  </si>
  <si>
    <t>def-np.poss</t>
  </si>
  <si>
    <t>России</t>
  </si>
  <si>
    <t>other_2</t>
  </si>
  <si>
    <t>Турции</t>
  </si>
  <si>
    <t>other_3</t>
  </si>
  <si>
    <t>встретились</t>
  </si>
  <si>
    <t>во</t>
  </si>
  <si>
    <t>вторник</t>
  </si>
  <si>
    <t>чтобы</t>
  </si>
  <si>
    <t>пожать</t>
  </si>
  <si>
    <t>руки</t>
  </si>
  <si>
    <t>объявить</t>
  </si>
  <si>
    <t>официальный</t>
  </si>
  <si>
    <t>конец</t>
  </si>
  <si>
    <t>OBJ_3</t>
  </si>
  <si>
    <t>восьмимесячной</t>
  </si>
  <si>
    <t>войне</t>
  </si>
  <si>
    <t>слов</t>
  </si>
  <si>
    <t>экономических</t>
  </si>
  <si>
    <t>санкций</t>
  </si>
  <si>
    <t># text = Но когда Владимир Путин приветствовал своего турецкого коллегу в позолоченном зале дворца в Санкт-Петербурге, у меня сложилось устойчивое впечатление, что Анкара хочет этого примирения больше.</t>
  </si>
  <si>
    <t>Но</t>
  </si>
  <si>
    <t>когда</t>
  </si>
  <si>
    <t>Владимир</t>
  </si>
  <si>
    <t>Путин</t>
  </si>
  <si>
    <t>приветствовал</t>
  </si>
  <si>
    <t>своего</t>
  </si>
  <si>
    <t>турецкого</t>
  </si>
  <si>
    <t>коллегу</t>
  </si>
  <si>
    <t>в</t>
  </si>
  <si>
    <t>позолоченном</t>
  </si>
  <si>
    <t>зале</t>
  </si>
  <si>
    <t>дворца</t>
  </si>
  <si>
    <t>Санкт-Петербурге</t>
  </si>
  <si>
    <t>other_4</t>
  </si>
  <si>
    <t>у</t>
  </si>
  <si>
    <t>меня</t>
  </si>
  <si>
    <t>pron</t>
  </si>
  <si>
    <t>сложилось</t>
  </si>
  <si>
    <t>устойчивое</t>
  </si>
  <si>
    <t>впечатление</t>
  </si>
  <si>
    <t>что</t>
  </si>
  <si>
    <t>Анкара</t>
  </si>
  <si>
    <t>SBJ_3</t>
  </si>
  <si>
    <t>хочет</t>
  </si>
  <si>
    <t>этого</t>
  </si>
  <si>
    <t>примирения</t>
  </si>
  <si>
    <t>def-np.dem</t>
  </si>
  <si>
    <t>больше</t>
  </si>
  <si>
    <t># text = Было рукопожатие, да.</t>
  </si>
  <si>
    <t>Было</t>
  </si>
  <si>
    <t>рукопожатие</t>
  </si>
  <si>
    <t>да</t>
  </si>
  <si>
    <t># text = Но улыбка господина Путина выглядела натянутой, а он едва ли излучал тепло даже по его собственным сдержанным стандартам.</t>
  </si>
  <si>
    <t>улыбка</t>
  </si>
  <si>
    <t>господина</t>
  </si>
  <si>
    <t>Путина</t>
  </si>
  <si>
    <t>выглядела</t>
  </si>
  <si>
    <t>натянутой</t>
  </si>
  <si>
    <t>а</t>
  </si>
  <si>
    <t>он</t>
  </si>
  <si>
    <t>едва</t>
  </si>
  <si>
    <t>ли</t>
  </si>
  <si>
    <t>излучал</t>
  </si>
  <si>
    <t>тепло</t>
  </si>
  <si>
    <t>даже</t>
  </si>
  <si>
    <t>по</t>
  </si>
  <si>
    <t>его</t>
  </si>
  <si>
    <t>pron.ppos</t>
  </si>
  <si>
    <t>собственным</t>
  </si>
  <si>
    <t>сдержанным</t>
  </si>
  <si>
    <t>стандартам</t>
  </si>
  <si>
    <t>--</t>
  </si>
  <si>
    <t># text = Реджеп Тайип Эрдоган в противоположность этому говорил неоднократно о своем \"дорогом друге\" господине Путине — пять раз, согласно одному отчету.</t>
  </si>
  <si>
    <t>Реджеп</t>
  </si>
  <si>
    <t>Тайип</t>
  </si>
  <si>
    <t>Эрдоган</t>
  </si>
  <si>
    <t>противоположность</t>
  </si>
  <si>
    <t>этому</t>
  </si>
  <si>
    <t>говорил</t>
  </si>
  <si>
    <t>неоднократно</t>
  </si>
  <si>
    <t>о</t>
  </si>
  <si>
    <t>своем</t>
  </si>
  <si>
    <t>дорогом</t>
  </si>
  <si>
    <t>друге</t>
  </si>
  <si>
    <t>господине</t>
  </si>
  <si>
    <t>Путине</t>
  </si>
  <si>
    <t>—</t>
  </si>
  <si>
    <t>пять</t>
  </si>
  <si>
    <t>раз</t>
  </si>
  <si>
    <t>other_5</t>
  </si>
  <si>
    <t>indef-np.quant</t>
  </si>
  <si>
    <t>согласно</t>
  </si>
  <si>
    <t>одному</t>
  </si>
  <si>
    <t>отчету</t>
  </si>
  <si>
    <t>other_6</t>
  </si>
  <si>
    <t># text = Я потерял счет.</t>
  </si>
  <si>
    <t>Я</t>
  </si>
  <si>
    <t>потерял</t>
  </si>
  <si>
    <t>счет</t>
  </si>
  <si>
    <t>OBJ</t>
  </si>
  <si>
    <t># text = Он также обещал, что отношения с Россией вернутся не только на их докризисный уровень, но даже выше.</t>
  </si>
  <si>
    <t>Он</t>
  </si>
  <si>
    <t>также</t>
  </si>
  <si>
    <t>обещал</t>
  </si>
  <si>
    <t>отношения</t>
  </si>
  <si>
    <t>с</t>
  </si>
  <si>
    <t>Россией</t>
  </si>
  <si>
    <t>вернутся</t>
  </si>
  <si>
    <t>не</t>
  </si>
  <si>
    <t>только</t>
  </si>
  <si>
    <t>на</t>
  </si>
  <si>
    <t>их</t>
  </si>
  <si>
    <t>докризисный</t>
  </si>
  <si>
    <t>уровень</t>
  </si>
  <si>
    <t>но</t>
  </si>
  <si>
    <t>выше</t>
  </si>
  <si>
    <t># text = На следующий день одна газета описала действия господина Эрдогана как если бы ничего плохого никогда не случалось.</t>
  </si>
  <si>
    <t>На</t>
  </si>
  <si>
    <t>следующий</t>
  </si>
  <si>
    <t>день</t>
  </si>
  <si>
    <t>одна</t>
  </si>
  <si>
    <t>газета</t>
  </si>
  <si>
    <t>описала</t>
  </si>
  <si>
    <t>действия</t>
  </si>
  <si>
    <t>Эрдогана</t>
  </si>
  <si>
    <t>как</t>
  </si>
  <si>
    <t>если</t>
  </si>
  <si>
    <t>бы</t>
  </si>
  <si>
    <t>ничего</t>
  </si>
  <si>
    <t>pron.pind</t>
  </si>
  <si>
    <t>плохого</t>
  </si>
  <si>
    <t>никогда</t>
  </si>
  <si>
    <t>случалось</t>
  </si>
  <si>
    <t># text = По-моему, его энтузиазм предполагал обратное.</t>
  </si>
  <si>
    <t>По-моему</t>
  </si>
  <si>
    <t>энтузиазм</t>
  </si>
  <si>
    <t>предполагал</t>
  </si>
  <si>
    <t>обратное</t>
  </si>
  <si>
    <t># text = Но затягивающаяся прохлада, исходящая от господина Путина, показала, что российский лидер не забыл ничего.</t>
  </si>
  <si>
    <t>затягивающаяся</t>
  </si>
  <si>
    <t>прохлада</t>
  </si>
  <si>
    <t>исходящая</t>
  </si>
  <si>
    <t>от</t>
  </si>
  <si>
    <t>показала</t>
  </si>
  <si>
    <t>российский</t>
  </si>
  <si>
    <t>лидер</t>
  </si>
  <si>
    <t>забыл</t>
  </si>
  <si>
    <t># text = Фактически, причиной кризиса было первое, о чём он упомянул во вступительных комментариях:</t>
  </si>
  <si>
    <t>Фактически</t>
  </si>
  <si>
    <t>причиной</t>
  </si>
  <si>
    <t>кризиса</t>
  </si>
  <si>
    <t>было</t>
  </si>
  <si>
    <t>первое</t>
  </si>
  <si>
    <t>чём</t>
  </si>
  <si>
    <t>упомянул</t>
  </si>
  <si>
    <t>вступительных</t>
  </si>
  <si>
    <t>комментариях</t>
  </si>
  <si>
    <t># text = Турция сбила российский истребитель на сирийской границе.</t>
  </si>
  <si>
    <t>сбила</t>
  </si>
  <si>
    <t>истребитель</t>
  </si>
  <si>
    <t>сирийской</t>
  </si>
  <si>
    <t>границе</t>
  </si>
  <si>
    <t># text = Реакция Москвы в этот момент была неистовой.</t>
  </si>
  <si>
    <t>Реакция</t>
  </si>
  <si>
    <t>Москвы</t>
  </si>
  <si>
    <t>этот</t>
  </si>
  <si>
    <t>момент</t>
  </si>
  <si>
    <t>была</t>
  </si>
  <si>
    <t>неистовой</t>
  </si>
  <si>
    <t># text = Господин Путин разразился гневной тирадой, обвиняя Анкару в ударе Москвы в спину.</t>
  </si>
  <si>
    <t>Господин</t>
  </si>
  <si>
    <t>разразился</t>
  </si>
  <si>
    <t>гневной</t>
  </si>
  <si>
    <t>тирадой</t>
  </si>
  <si>
    <t>обвиняя</t>
  </si>
  <si>
    <t>Анкару</t>
  </si>
  <si>
    <t>ударе</t>
  </si>
  <si>
    <t>спину</t>
  </si>
  <si>
    <t># text = Оскорбление было еще сильнее, исходя от предполагаемого друга.</t>
  </si>
  <si>
    <t>Оскорбление</t>
  </si>
  <si>
    <t>еще</t>
  </si>
  <si>
    <t>сильнее</t>
  </si>
  <si>
    <t>исходя</t>
  </si>
  <si>
    <t>предполагаемого</t>
  </si>
  <si>
    <t>друга</t>
  </si>
  <si>
    <t># text = Восстановление реального доверия будет трудным, вероятно невозможным.</t>
  </si>
  <si>
    <t>Восстановление</t>
  </si>
  <si>
    <t>реального</t>
  </si>
  <si>
    <t>доверия</t>
  </si>
  <si>
    <t>будет</t>
  </si>
  <si>
    <t>трудным</t>
  </si>
  <si>
    <t>вероятно</t>
  </si>
  <si>
    <t>невозможным</t>
  </si>
  <si>
    <t># text = Российское общественное мнение также изменилось с ноября.</t>
  </si>
  <si>
    <t>Российское</t>
  </si>
  <si>
    <t>общественное</t>
  </si>
  <si>
    <t>мнение</t>
  </si>
  <si>
    <t>изменилось</t>
  </si>
  <si>
    <t>ноября</t>
  </si>
  <si>
    <t># text = На протяжении месяцев контролируемые государством СМИ проводили ошеломляющее, тотальное наступление на Анкару.</t>
  </si>
  <si>
    <t>протяжении</t>
  </si>
  <si>
    <t>месяцев</t>
  </si>
  <si>
    <t>контролируемые</t>
  </si>
  <si>
    <t>государством</t>
  </si>
  <si>
    <t>СМИ</t>
  </si>
  <si>
    <t>проводили</t>
  </si>
  <si>
    <t>ошеломляющее</t>
  </si>
  <si>
    <t>тотальное</t>
  </si>
  <si>
    <t>наступление</t>
  </si>
  <si>
    <t># text = Внезапно показалось, что турков должны считать виновными во всём.</t>
  </si>
  <si>
    <t>Внезапно</t>
  </si>
  <si>
    <t>показалось</t>
  </si>
  <si>
    <t>турков</t>
  </si>
  <si>
    <t>должны</t>
  </si>
  <si>
    <t>считать</t>
  </si>
  <si>
    <t>виновными</t>
  </si>
  <si>
    <t>всём</t>
  </si>
  <si>
    <t># text = Самыми серьезными были обвинения от представителей высшего руководства, что собственная семья господина Эрдогана нажилась на нелегальной торговле нефтью из зон Сирии, контролируемых так называемым Исламским Государством.</t>
  </si>
  <si>
    <t>Самыми</t>
  </si>
  <si>
    <t>серьезными</t>
  </si>
  <si>
    <t>были</t>
  </si>
  <si>
    <t>обвинения</t>
  </si>
  <si>
    <t>представителей</t>
  </si>
  <si>
    <t>высшего</t>
  </si>
  <si>
    <t>руководства</t>
  </si>
  <si>
    <t>собственная</t>
  </si>
  <si>
    <t>семья</t>
  </si>
  <si>
    <t>нажилась</t>
  </si>
  <si>
    <t>нелегальной</t>
  </si>
  <si>
    <t>торговле</t>
  </si>
  <si>
    <t>нефтью</t>
  </si>
  <si>
    <t>из</t>
  </si>
  <si>
    <t>зон</t>
  </si>
  <si>
    <t>Сирии</t>
  </si>
  <si>
    <t>контролируемых</t>
  </si>
  <si>
    <t>так</t>
  </si>
  <si>
    <t>называемым</t>
  </si>
  <si>
    <t>Исламским</t>
  </si>
  <si>
    <t>Государством</t>
  </si>
  <si>
    <t># text = Он отрицал это решительно.</t>
  </si>
  <si>
    <t>отрицал</t>
  </si>
  <si>
    <t>это</t>
  </si>
  <si>
    <t>решительно</t>
  </si>
  <si>
    <t># text = Но в Санкт-Петербурге поступил официальный сигнал, что пришло время двигаться дальше.</t>
  </si>
  <si>
    <t>поступил</t>
  </si>
  <si>
    <t>сигнал</t>
  </si>
  <si>
    <t>пришло</t>
  </si>
  <si>
    <t>время</t>
  </si>
  <si>
    <t>двигаться</t>
  </si>
  <si>
    <t>дальше</t>
  </si>
  <si>
    <t># text = В конце концов, эта встреча произошла только потому, что господин Путин получил извинение, которое он требовал от президента Эрдогана.</t>
  </si>
  <si>
    <t>В</t>
  </si>
  <si>
    <t>конце</t>
  </si>
  <si>
    <t>концов</t>
  </si>
  <si>
    <t>эта</t>
  </si>
  <si>
    <t>встреча</t>
  </si>
  <si>
    <t>произошла</t>
  </si>
  <si>
    <t>потому</t>
  </si>
  <si>
    <t>господин</t>
  </si>
  <si>
    <t>получил</t>
  </si>
  <si>
    <t>извинение</t>
  </si>
  <si>
    <t>которое</t>
  </si>
  <si>
    <t>OBJ_5</t>
  </si>
  <si>
    <t>SBJ_5</t>
  </si>
  <si>
    <t>требовал</t>
  </si>
  <si>
    <t>президента</t>
  </si>
  <si>
    <t># text = Россия могла претендовать на победу своего рода.</t>
  </si>
  <si>
    <t>могла</t>
  </si>
  <si>
    <t>претендовать</t>
  </si>
  <si>
    <t>победу</t>
  </si>
  <si>
    <t>рода</t>
  </si>
  <si>
    <t># text = Для Анкары преимущества объявления перемирия ясны.</t>
  </si>
  <si>
    <t>Для</t>
  </si>
  <si>
    <t>Анкары</t>
  </si>
  <si>
    <t>преимущества</t>
  </si>
  <si>
    <t>объявления</t>
  </si>
  <si>
    <t>перемирия</t>
  </si>
  <si>
    <t>ясны</t>
  </si>
  <si>
    <t># text = В первую очередь, Эрдогану нужны все друзья, которых он может получить, после того как он был почти свергнут со своего поста в прошлом месяце при попытке переворота.</t>
  </si>
  <si>
    <t>первую</t>
  </si>
  <si>
    <t>очередь</t>
  </si>
  <si>
    <t>Эрдогану</t>
  </si>
  <si>
    <t>нужны</t>
  </si>
  <si>
    <t>все</t>
  </si>
  <si>
    <t>друзья</t>
  </si>
  <si>
    <t>которых</t>
  </si>
  <si>
    <t>OBJ_4</t>
  </si>
  <si>
    <t>может</t>
  </si>
  <si>
    <t>получить</t>
  </si>
  <si>
    <t>после</t>
  </si>
  <si>
    <t>того</t>
  </si>
  <si>
    <t>SBJ_4</t>
  </si>
  <si>
    <t>почти</t>
  </si>
  <si>
    <t>свергнут</t>
  </si>
  <si>
    <t>со</t>
  </si>
  <si>
    <t>поста</t>
  </si>
  <si>
    <t>прошлом</t>
  </si>
  <si>
    <t>месяце</t>
  </si>
  <si>
    <t>при</t>
  </si>
  <si>
    <t>попытке</t>
  </si>
  <si>
    <t>переворота</t>
  </si>
  <si>
    <t># text = Повторные террористические атаки на Турцию явно потрясли его тоже.</t>
  </si>
  <si>
    <t>Повторные</t>
  </si>
  <si>
    <t>террористические</t>
  </si>
  <si>
    <t>атаки</t>
  </si>
  <si>
    <t>Турцию</t>
  </si>
  <si>
    <t>явно</t>
  </si>
  <si>
    <t>потрясли</t>
  </si>
  <si>
    <t>тоже</t>
  </si>
  <si>
    <t># text = Есть также экономическая причина.</t>
  </si>
  <si>
    <t>Есть</t>
  </si>
  <si>
    <t>экономическая</t>
  </si>
  <si>
    <t>причина</t>
  </si>
  <si>
    <t># text = Российские санкции сильно ударили — особенно запрет на чартерные полеты, которые обычно привозят несколько миллионов русских туристов на турецкое побережье ежегодно.</t>
  </si>
  <si>
    <t>Российские</t>
  </si>
  <si>
    <t>санкции</t>
  </si>
  <si>
    <t>сильно</t>
  </si>
  <si>
    <t>ударили</t>
  </si>
  <si>
    <t>особенно</t>
  </si>
  <si>
    <t>запрет</t>
  </si>
  <si>
    <t>чартерные</t>
  </si>
  <si>
    <t>полеты</t>
  </si>
  <si>
    <t>которые</t>
  </si>
  <si>
    <t>обычно</t>
  </si>
  <si>
    <t>привозят</t>
  </si>
  <si>
    <t>несколько</t>
  </si>
  <si>
    <t>миллионов</t>
  </si>
  <si>
    <t>русских</t>
  </si>
  <si>
    <t>туристов</t>
  </si>
  <si>
    <t>турецкое</t>
  </si>
  <si>
    <t>побережье</t>
  </si>
  <si>
    <t>ежегодно</t>
  </si>
  <si>
    <t># text = Количество резко упало почти на 90 %.</t>
  </si>
  <si>
    <t>Количество</t>
  </si>
  <si>
    <t>резко</t>
  </si>
  <si>
    <t>упало</t>
  </si>
  <si>
    <t>90</t>
  </si>
  <si>
    <t>%</t>
  </si>
  <si>
    <t># text = Что касается России, туроператоры и чартерные компании здесь, конечно, почувствуют облегчение, когда полеты наконец возобновят.</t>
  </si>
  <si>
    <t>Что</t>
  </si>
  <si>
    <t>касается</t>
  </si>
  <si>
    <t>туроператоры</t>
  </si>
  <si>
    <t>компании</t>
  </si>
  <si>
    <t>здесь</t>
  </si>
  <si>
    <t>конечно</t>
  </si>
  <si>
    <t>почувствуют</t>
  </si>
  <si>
    <t>облегчение</t>
  </si>
  <si>
    <t>наконец</t>
  </si>
  <si>
    <t>возобновят</t>
  </si>
  <si>
    <t># text = Они ставят на пик конца сезона на Средиземном море.</t>
  </si>
  <si>
    <t>Они</t>
  </si>
  <si>
    <t>ставят</t>
  </si>
  <si>
    <t>пик</t>
  </si>
  <si>
    <t>конца</t>
  </si>
  <si>
    <t>сезона</t>
  </si>
  <si>
    <t>Средиземном</t>
  </si>
  <si>
    <t>море</t>
  </si>
  <si>
    <t># text = И даже на этой неделе государственное телевидение предсказывало более дешевые фрукты и овощи, как только турецкий импорт сельскохозяйственной продукции будет разрешен вновь.</t>
  </si>
  <si>
    <t>И</t>
  </si>
  <si>
    <t>этой</t>
  </si>
  <si>
    <t>неделе</t>
  </si>
  <si>
    <t>государственное</t>
  </si>
  <si>
    <t>телевидение</t>
  </si>
  <si>
    <t>предсказывало</t>
  </si>
  <si>
    <t>более</t>
  </si>
  <si>
    <t>дешевые</t>
  </si>
  <si>
    <t>фрукты</t>
  </si>
  <si>
    <t>овощи</t>
  </si>
  <si>
    <t>турецкий</t>
  </si>
  <si>
    <t>импорт</t>
  </si>
  <si>
    <t>сельскохозяйственной</t>
  </si>
  <si>
    <t>продукции</t>
  </si>
  <si>
    <t>разрешен</t>
  </si>
  <si>
    <t>вновь</t>
  </si>
  <si>
    <t># text = \"Туристы туда, помидоры обратно сюда,\" как было сказано в отчете в газете Ведомости.</t>
  </si>
  <si>
    <t>Туристы</t>
  </si>
  <si>
    <t>туда</t>
  </si>
  <si>
    <t>помидоры</t>
  </si>
  <si>
    <t>обратно</t>
  </si>
  <si>
    <t>сюда</t>
  </si>
  <si>
    <t>сказано</t>
  </si>
  <si>
    <t>отчете</t>
  </si>
  <si>
    <t>газете</t>
  </si>
  <si>
    <t>Ведомости</t>
  </si>
  <si>
    <t>other_7</t>
  </si>
  <si>
    <t># text = Но визит также имел дополнительную политическую ценность для Москвы.</t>
  </si>
  <si>
    <t>визит</t>
  </si>
  <si>
    <t>имел</t>
  </si>
  <si>
    <t>дополнительную</t>
  </si>
  <si>
    <t>политическую</t>
  </si>
  <si>
    <t>ценность</t>
  </si>
  <si>
    <t>для</t>
  </si>
  <si>
    <t># text = Анкара зла на Запад за то, что она считает слабым ответом на попытку переворота.</t>
  </si>
  <si>
    <t>зла</t>
  </si>
  <si>
    <t>Запад</t>
  </si>
  <si>
    <t>за</t>
  </si>
  <si>
    <t>то</t>
  </si>
  <si>
    <t>она</t>
  </si>
  <si>
    <t>считает</t>
  </si>
  <si>
    <t>слабым</t>
  </si>
  <si>
    <t>ответом</t>
  </si>
  <si>
    <t>попытку</t>
  </si>
  <si>
    <t># text = Добавьте к этому ее затянувшееся недовольство черепашьим темпом разговоров о присоединении к ЕС и шаг господина Путина — который стремится воспользоваться прохладой и постепенно разрушить турецкие связи с Западом.</t>
  </si>
  <si>
    <t>Добавьте</t>
  </si>
  <si>
    <t>к</t>
  </si>
  <si>
    <t>ее</t>
  </si>
  <si>
    <t>затянувшееся</t>
  </si>
  <si>
    <t>недовольство</t>
  </si>
  <si>
    <t>черепашьим</t>
  </si>
  <si>
    <t>темпом</t>
  </si>
  <si>
    <t>разговоров</t>
  </si>
  <si>
    <t>присоединении</t>
  </si>
  <si>
    <t>ЕС</t>
  </si>
  <si>
    <t>шаг</t>
  </si>
  <si>
    <t>SBJ_7</t>
  </si>
  <si>
    <t>стремится</t>
  </si>
  <si>
    <t>воспользоваться</t>
  </si>
  <si>
    <t>прохладой</t>
  </si>
  <si>
    <t>постепенно</t>
  </si>
  <si>
    <t>разрушить</t>
  </si>
  <si>
    <t>турецкие</t>
  </si>
  <si>
    <t>связи</t>
  </si>
  <si>
    <t>OBJ_9</t>
  </si>
  <si>
    <t>Западом</t>
  </si>
  <si>
    <t>other_10</t>
  </si>
  <si>
    <t># text = Российский лидер, конечно, выиграл бонусные баллы с Анкарой за призыв к поддержке избранных органов власти после попытки государственного переворота.</t>
  </si>
  <si>
    <t>Российский</t>
  </si>
  <si>
    <t>выиграл</t>
  </si>
  <si>
    <t>бонусные</t>
  </si>
  <si>
    <t>баллы</t>
  </si>
  <si>
    <t>Анкарой</t>
  </si>
  <si>
    <t>призыв</t>
  </si>
  <si>
    <t>поддержке</t>
  </si>
  <si>
    <t>избранных</t>
  </si>
  <si>
    <t>органов</t>
  </si>
  <si>
    <t>власти</t>
  </si>
  <si>
    <t>попытки</t>
  </si>
  <si>
    <t>государственного</t>
  </si>
  <si>
    <t># text = Имейте в виду, это данность для Москвы, которая имеет свой собственный глубоко укоренившийся страх смены режима.</t>
  </si>
  <si>
    <t>Имейте</t>
  </si>
  <si>
    <t>виду</t>
  </si>
  <si>
    <t>которая</t>
  </si>
  <si>
    <t>имеет</t>
  </si>
  <si>
    <t>свой</t>
  </si>
  <si>
    <t>собственный</t>
  </si>
  <si>
    <t>глубоко</t>
  </si>
  <si>
    <t>укоренившийся</t>
  </si>
  <si>
    <t>страх</t>
  </si>
  <si>
    <t>смены</t>
  </si>
  <si>
    <t>режима</t>
  </si>
  <si>
    <t># text = Итак, саммит в этом блестящем дворце на морском побережье позволил России и Турции представить то, что один аналитик описал мне как "альянс плохих": две страны, которые чувствуют себя отвергнутыми и униженными Западом, объединяют силы.</t>
  </si>
  <si>
    <t>Итак</t>
  </si>
  <si>
    <t>саммит</t>
  </si>
  <si>
    <t>этом</t>
  </si>
  <si>
    <t>блестящем</t>
  </si>
  <si>
    <t>дворце</t>
  </si>
  <si>
    <t>морском</t>
  </si>
  <si>
    <t>позволил</t>
  </si>
  <si>
    <t>представить</t>
  </si>
  <si>
    <t>один</t>
  </si>
  <si>
    <t>аналитик</t>
  </si>
  <si>
    <t>описал</t>
  </si>
  <si>
    <t>мне</t>
  </si>
  <si>
    <t>альянс</t>
  </si>
  <si>
    <t>две</t>
  </si>
  <si>
    <t>страны</t>
  </si>
  <si>
    <t>SBJ_9</t>
  </si>
  <si>
    <t>чувствуют</t>
  </si>
  <si>
    <t>себя</t>
  </si>
  <si>
    <t>отвергнутыми</t>
  </si>
  <si>
    <t>униженными</t>
  </si>
  <si>
    <t>other_11</t>
  </si>
  <si>
    <t>объединяют</t>
  </si>
  <si>
    <t>силы</t>
  </si>
  <si>
    <t># text = Все же, несмотря на публичный показ примирения, эти двое по-прежнему имеют существенные различия.</t>
  </si>
  <si>
    <t>Все</t>
  </si>
  <si>
    <t>же</t>
  </si>
  <si>
    <t>несмотря</t>
  </si>
  <si>
    <t>публичный</t>
  </si>
  <si>
    <t>показ</t>
  </si>
  <si>
    <t>эти</t>
  </si>
  <si>
    <t>двое</t>
  </si>
  <si>
    <t>по-прежнему</t>
  </si>
  <si>
    <t>имеют</t>
  </si>
  <si>
    <t>существенные</t>
  </si>
  <si>
    <t>различия</t>
  </si>
  <si>
    <t># text = Ключевой является Сирия, где Москва недавно позиционировала себя в качестве миротворца, но где Россия и Турция поддерживают противоположные стороны.</t>
  </si>
  <si>
    <t>Ключевой</t>
  </si>
  <si>
    <t>является</t>
  </si>
  <si>
    <t>Сирия</t>
  </si>
  <si>
    <t>где</t>
  </si>
  <si>
    <t>Москва</t>
  </si>
  <si>
    <t>недавно</t>
  </si>
  <si>
    <t>позиционировала</t>
  </si>
  <si>
    <t>качестве</t>
  </si>
  <si>
    <t>миротворца</t>
  </si>
  <si>
    <t>поддерживают</t>
  </si>
  <si>
    <t>противоположные</t>
  </si>
  <si>
    <t>стороны</t>
  </si>
  <si>
    <t># text = Возможно, говорит само за себя то, что после почти трех часов первоначальных переговоров, пока два президента давали пресс-конференцию, они даже не затронули эту тему.</t>
  </si>
  <si>
    <t>Возможно</t>
  </si>
  <si>
    <t>говорит</t>
  </si>
  <si>
    <t>само</t>
  </si>
  <si>
    <t>трех</t>
  </si>
  <si>
    <t>часов</t>
  </si>
  <si>
    <t>первоначальных</t>
  </si>
  <si>
    <t>переговоров</t>
  </si>
  <si>
    <t>пока</t>
  </si>
  <si>
    <t>два</t>
  </si>
  <si>
    <t>давали</t>
  </si>
  <si>
    <t>пресс-конференцию</t>
  </si>
  <si>
    <t>они</t>
  </si>
  <si>
    <t>затронули</t>
  </si>
  <si>
    <t>эту</t>
  </si>
  <si>
    <t>тему</t>
  </si>
  <si>
    <t># text = Президент Турции умышленно избегал ответа на вопрос об их различиях, в то время как господин Путин предпочёл сделать на них акцент.</t>
  </si>
  <si>
    <t>Президент</t>
  </si>
  <si>
    <t>умышленно</t>
  </si>
  <si>
    <t>избегал</t>
  </si>
  <si>
    <t>ответа</t>
  </si>
  <si>
    <t>вопрос</t>
  </si>
  <si>
    <t>об</t>
  </si>
  <si>
    <t>различиях</t>
  </si>
  <si>
    <t>предпочёл</t>
  </si>
  <si>
    <t>сделать</t>
  </si>
  <si>
    <t>них</t>
  </si>
  <si>
    <t>акцент</t>
  </si>
  <si>
    <t># text = Нет четкого согласия в том, как они могут найти общий язык по Сирии.</t>
  </si>
  <si>
    <t>Нет</t>
  </si>
  <si>
    <t>четкого</t>
  </si>
  <si>
    <t>согласия</t>
  </si>
  <si>
    <t>том</t>
  </si>
  <si>
    <t>могут</t>
  </si>
  <si>
    <t>найти</t>
  </si>
  <si>
    <t>общий</t>
  </si>
  <si>
    <t>язык</t>
  </si>
  <si>
    <t># text = Но после месяцев открытой враждебности — и принимая во внимание возможность полной катастрофы, когда член НАТО Турция сбила российский реактивный истребитель,- точно лучше, что два лидера по крайней мере разговаривают снова.</t>
  </si>
  <si>
    <t>открытой</t>
  </si>
  <si>
    <t>враждебности</t>
  </si>
  <si>
    <t>принимая</t>
  </si>
  <si>
    <t>внимание</t>
  </si>
  <si>
    <t>возможность</t>
  </si>
  <si>
    <t>полной</t>
  </si>
  <si>
    <t>катастрофы</t>
  </si>
  <si>
    <t>член</t>
  </si>
  <si>
    <t>НАТО</t>
  </si>
  <si>
    <t>реактивный</t>
  </si>
  <si>
    <t>точно</t>
  </si>
  <si>
    <t>лучше</t>
  </si>
  <si>
    <t>лидера</t>
  </si>
  <si>
    <t>SBJ_6</t>
  </si>
  <si>
    <t>крайней</t>
  </si>
  <si>
    <t>мере</t>
  </si>
  <si>
    <t>разговаривают</t>
  </si>
  <si>
    <t>снова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</si>
</sst>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4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10</v>
      </c>
      <c r="C2" s="6" t="s">
        <v>11</v>
      </c>
      <c r="D2" s="7" t="s">
        <v>12</v>
      </c>
      <c r="E2" s="8" t="s">
        <v>13</v>
      </c>
      <c r="F2" s="6" t="s">
        <v>14</v>
      </c>
      <c r="G2" s="9">
        <f>IF(A2=1,"_",IF(C2="_","???",C2))</f>
        <v/>
      </c>
      <c r="H2" s="10" t="s">
        <v>11</v>
      </c>
      <c r="I2" s="11" t="s">
        <v>11</v>
      </c>
      <c r="J2" s="12"/>
    </row>
    <row r="3" spans="1:10" ht="60" customHeight="1">
      <c r="A3" s="6" t="s">
        <v>15</v>
      </c>
      <c r="B3" s="6" t="s">
        <v>15</v>
      </c>
      <c r="C3" s="6" t="s">
        <v>11</v>
      </c>
      <c r="D3" s="7" t="s">
        <v>16</v>
      </c>
      <c r="E3" s="8" t="s">
        <v>17</v>
      </c>
      <c r="F3" s="6" t="s">
        <v>18</v>
      </c>
      <c r="G3" s="9">
        <f>IF(A3=1,"_",IF(C3="_","???",C3))</f>
        <v/>
      </c>
      <c r="H3" s="10" t="s">
        <v>11</v>
      </c>
      <c r="I3" s="11" t="s">
        <v>11</v>
      </c>
      <c r="J3" s="12"/>
    </row>
    <row r="4" spans="1:10" ht="60" customHeight="1">
      <c r="A4" s="6" t="s">
        <v>19</v>
      </c>
      <c r="B4" s="6" t="s">
        <v>20</v>
      </c>
      <c r="C4" s="6" t="s">
        <v>11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11</v>
      </c>
      <c r="I4" s="11" t="s">
        <v>11</v>
      </c>
      <c r="J4" s="12"/>
    </row>
    <row r="5" spans="1:10" ht="60" customHeight="1">
      <c r="A5" s="6" t="s">
        <v>24</v>
      </c>
      <c r="B5" s="6" t="s">
        <v>25</v>
      </c>
      <c r="C5" s="6" t="s">
        <v>11</v>
      </c>
      <c r="D5" s="7" t="s">
        <v>26</v>
      </c>
      <c r="E5" s="8" t="s">
        <v>27</v>
      </c>
      <c r="F5" s="6" t="s">
        <v>28</v>
      </c>
      <c r="G5" s="9">
        <f>IF(A5=1,"_",IF(C5="_","???",C5))</f>
        <v/>
      </c>
      <c r="H5" s="10" t="s">
        <v>11</v>
      </c>
      <c r="I5" s="11" t="s">
        <v>11</v>
      </c>
      <c r="J5" s="12"/>
    </row>
    <row r="6" spans="1:10" ht="60" customHeight="1">
      <c r="A6" s="6" t="s">
        <v>20</v>
      </c>
      <c r="B6" s="6" t="s">
        <v>10</v>
      </c>
      <c r="C6" s="6" t="s">
        <v>11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11</v>
      </c>
      <c r="I6" s="11" t="s">
        <v>11</v>
      </c>
      <c r="J6" s="12"/>
    </row>
    <row r="7" spans="1:10" ht="60" customHeight="1">
      <c r="A7" s="6" t="s">
        <v>32</v>
      </c>
      <c r="B7" s="6" t="s">
        <v>20</v>
      </c>
      <c r="C7" s="6" t="s">
        <v>11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11</v>
      </c>
      <c r="I7" s="11" t="s">
        <v>11</v>
      </c>
      <c r="J7" s="12"/>
    </row>
    <row r="8" spans="1:10" ht="60" customHeight="1">
      <c r="A8" s="6" t="s">
        <v>36</v>
      </c>
      <c r="B8" s="6" t="s">
        <v>36</v>
      </c>
      <c r="C8" s="6" t="s">
        <v>11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11</v>
      </c>
      <c r="I8" s="11" t="s">
        <v>11</v>
      </c>
      <c r="J8" s="12"/>
    </row>
    <row r="9" spans="1:10" ht="60" customHeight="1">
      <c r="A9" s="6" t="s">
        <v>40</v>
      </c>
      <c r="B9" s="6" t="s">
        <v>15</v>
      </c>
      <c r="C9" s="6" t="s">
        <v>11</v>
      </c>
      <c r="D9" s="7" t="s">
        <v>41</v>
      </c>
      <c r="E9" s="8" t="s">
        <v>42</v>
      </c>
      <c r="F9" s="6" t="s">
        <v>43</v>
      </c>
      <c r="G9" s="9">
        <f>IF(A9=1,"_",IF(C9="_","???",C9))</f>
        <v/>
      </c>
      <c r="H9" s="10" t="s">
        <v>11</v>
      </c>
      <c r="I9" s="11" t="s">
        <v>11</v>
      </c>
      <c r="J9" s="12"/>
    </row>
    <row r="10" spans="1:10" ht="60" customHeight="1">
      <c r="A10" s="6" t="s">
        <v>44</v>
      </c>
      <c r="B10" s="6" t="s">
        <v>19</v>
      </c>
      <c r="C10" s="6" t="s">
        <v>11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11</v>
      </c>
      <c r="I10" s="11" t="s">
        <v>11</v>
      </c>
      <c r="J10" s="12"/>
    </row>
    <row r="11" spans="1:10" ht="60" customHeight="1">
      <c r="A11" s="6" t="s">
        <v>48</v>
      </c>
      <c r="B11" s="6" t="s">
        <v>32</v>
      </c>
      <c r="C11" s="6" t="s">
        <v>11</v>
      </c>
      <c r="D11" s="7" t="s">
        <v>49</v>
      </c>
      <c r="E11" s="8" t="s">
        <v>50</v>
      </c>
      <c r="F11" s="6" t="s">
        <v>51</v>
      </c>
      <c r="G11" s="9">
        <f>IF(A11=1,"_",IF(C11="_","???",C11))</f>
        <v/>
      </c>
      <c r="H11" s="10" t="s">
        <v>11</v>
      </c>
      <c r="I11" s="11" t="s">
        <v>11</v>
      </c>
      <c r="J11" s="12"/>
    </row>
    <row r="12" spans="1:10" ht="60" customHeight="1">
      <c r="A12" s="6" t="s">
        <v>52</v>
      </c>
      <c r="B12" s="6" t="s">
        <v>20</v>
      </c>
      <c r="C12" s="6" t="s">
        <v>11</v>
      </c>
      <c r="D12" s="7" t="s">
        <v>53</v>
      </c>
      <c r="E12" s="8" t="s">
        <v>54</v>
      </c>
      <c r="F12" s="6" t="s">
        <v>55</v>
      </c>
      <c r="G12" s="9">
        <f>IF(A12=1,"_",IF(C12="_","???",C12))</f>
        <v/>
      </c>
      <c r="H12" s="10" t="s">
        <v>11</v>
      </c>
      <c r="I12" s="11" t="s">
        <v>11</v>
      </c>
      <c r="J12" s="12"/>
    </row>
    <row r="13" spans="1:10" ht="60" customHeight="1">
      <c r="A13" s="6" t="s">
        <v>56</v>
      </c>
      <c r="B13" s="6" t="s">
        <v>48</v>
      </c>
      <c r="C13" s="6" t="s">
        <v>11</v>
      </c>
      <c r="D13" s="7" t="s">
        <v>57</v>
      </c>
      <c r="E13" s="8" t="s">
        <v>58</v>
      </c>
      <c r="F13" s="6" t="s">
        <v>59</v>
      </c>
      <c r="G13" s="9">
        <f>IF(A13=1,"_",IF(C13="_","???",C13))</f>
        <v/>
      </c>
      <c r="H13" s="10" t="s">
        <v>11</v>
      </c>
      <c r="I13" s="11" t="s">
        <v>11</v>
      </c>
      <c r="J13" s="12"/>
    </row>
    <row r="14" spans="1:10" ht="60" customHeight="1">
      <c r="A14" s="6" t="s">
        <v>60</v>
      </c>
      <c r="B14" s="6" t="s">
        <v>20</v>
      </c>
      <c r="C14" s="6" t="s">
        <v>11</v>
      </c>
      <c r="D14" s="7" t="s">
        <v>61</v>
      </c>
      <c r="E14" s="8" t="s">
        <v>62</v>
      </c>
      <c r="F14" s="6" t="s">
        <v>63</v>
      </c>
      <c r="G14" s="9">
        <f>IF(A14=1,"_",IF(C14="_","???",C14))</f>
        <v/>
      </c>
      <c r="H14" s="10" t="s">
        <v>11</v>
      </c>
      <c r="I14" s="11" t="s">
        <v>11</v>
      </c>
      <c r="J14" s="12"/>
    </row>
    <row r="15" spans="1:10" ht="60" customHeight="1">
      <c r="A15" s="6" t="s">
        <v>64</v>
      </c>
      <c r="B15" s="6" t="s">
        <v>15</v>
      </c>
      <c r="C15" s="6" t="s">
        <v>11</v>
      </c>
      <c r="D15" s="7" t="s">
        <v>65</v>
      </c>
      <c r="E15" s="8" t="s">
        <v>66</v>
      </c>
      <c r="F15" s="6" t="s">
        <v>67</v>
      </c>
      <c r="G15" s="9">
        <f>IF(A15=1,"_",IF(C15="_","???",C15))</f>
        <v/>
      </c>
      <c r="H15" s="10" t="s">
        <v>11</v>
      </c>
      <c r="I15" s="11" t="s">
        <v>11</v>
      </c>
      <c r="J15" s="12"/>
    </row>
    <row r="16" spans="1:10" ht="60" customHeight="1">
      <c r="A16" s="6" t="s">
        <v>68</v>
      </c>
      <c r="B16" s="6" t="s">
        <v>32</v>
      </c>
      <c r="C16" s="6" t="s">
        <v>11</v>
      </c>
      <c r="D16" s="7" t="s">
        <v>69</v>
      </c>
      <c r="E16" s="8" t="s">
        <v>70</v>
      </c>
      <c r="F16" s="6" t="s">
        <v>71</v>
      </c>
      <c r="G16" s="9">
        <f>IF(A16=1,"_",IF(C16="_","???",C16))</f>
        <v/>
      </c>
      <c r="H16" s="10" t="s">
        <v>11</v>
      </c>
      <c r="I16" s="11" t="s">
        <v>11</v>
      </c>
      <c r="J16" s="12"/>
    </row>
    <row r="17" spans="1:10" ht="60" customHeight="1">
      <c r="A17" s="6" t="s">
        <v>72</v>
      </c>
      <c r="B17" s="6" t="s">
        <v>19</v>
      </c>
      <c r="C17" s="6" t="s">
        <v>11</v>
      </c>
      <c r="D17" s="7" t="s">
        <v>73</v>
      </c>
      <c r="E17" s="8" t="s">
        <v>74</v>
      </c>
      <c r="F17" s="6" t="s">
        <v>75</v>
      </c>
      <c r="G17" s="9">
        <f>IF(A17=1,"_",IF(C17="_","???",C17))</f>
        <v/>
      </c>
      <c r="H17" s="10" t="s">
        <v>11</v>
      </c>
      <c r="I17" s="11" t="s">
        <v>11</v>
      </c>
      <c r="J17" s="12"/>
    </row>
    <row r="18" spans="1:10" ht="60" customHeight="1">
      <c r="A18" s="6" t="s">
        <v>76</v>
      </c>
      <c r="B18" s="6" t="s">
        <v>15</v>
      </c>
      <c r="C18" s="6" t="s">
        <v>11</v>
      </c>
      <c r="D18" s="7" t="s">
        <v>77</v>
      </c>
      <c r="E18" s="8" t="s">
        <v>78</v>
      </c>
      <c r="F18" s="6" t="s">
        <v>79</v>
      </c>
      <c r="G18" s="9">
        <f>IF(A18=1,"_",IF(C18="_","???",C18))</f>
        <v/>
      </c>
      <c r="H18" s="10" t="s">
        <v>11</v>
      </c>
      <c r="I18" s="11" t="s">
        <v>11</v>
      </c>
      <c r="J18" s="12"/>
    </row>
    <row r="19" spans="1:10" ht="60" customHeight="1">
      <c r="A19" s="6" t="s">
        <v>25</v>
      </c>
      <c r="B19" s="6" t="s">
        <v>24</v>
      </c>
      <c r="C19" s="6" t="s">
        <v>11</v>
      </c>
      <c r="D19" s="7" t="s">
        <v>80</v>
      </c>
      <c r="E19" s="8" t="s">
        <v>81</v>
      </c>
      <c r="F19" s="6" t="s">
        <v>82</v>
      </c>
      <c r="G19" s="9">
        <f>IF(A19=1,"_",IF(C19="_","???",C19))</f>
        <v/>
      </c>
      <c r="H19" s="10" t="s">
        <v>11</v>
      </c>
      <c r="I19" s="11" t="s">
        <v>11</v>
      </c>
      <c r="J19" s="12"/>
    </row>
    <row r="20" spans="1:10" ht="60" customHeight="1">
      <c r="A20" s="6" t="s">
        <v>83</v>
      </c>
      <c r="B20" s="6" t="s">
        <v>20</v>
      </c>
      <c r="C20" s="6" t="s">
        <v>11</v>
      </c>
      <c r="D20" s="7" t="s">
        <v>84</v>
      </c>
      <c r="E20" s="8" t="s">
        <v>85</v>
      </c>
      <c r="F20" s="6" t="s">
        <v>86</v>
      </c>
      <c r="G20" s="9">
        <f>IF(A20=1,"_",IF(C20="_","???",C20))</f>
        <v/>
      </c>
      <c r="H20" s="10" t="s">
        <v>11</v>
      </c>
      <c r="I20" s="11" t="s">
        <v>11</v>
      </c>
      <c r="J20" s="12"/>
    </row>
    <row r="21" spans="1:10" ht="60" customHeight="1">
      <c r="A21" s="6" t="s">
        <v>87</v>
      </c>
      <c r="B21" s="6" t="s">
        <v>36</v>
      </c>
      <c r="C21" s="6" t="s">
        <v>11</v>
      </c>
      <c r="D21" s="7" t="s">
        <v>88</v>
      </c>
      <c r="E21" s="8" t="s">
        <v>89</v>
      </c>
      <c r="F21" s="6" t="s">
        <v>90</v>
      </c>
      <c r="G21" s="9">
        <f>IF(A21=1,"_",IF(C21="_","???",C21))</f>
        <v/>
      </c>
      <c r="H21" s="10" t="s">
        <v>11</v>
      </c>
      <c r="I21" s="11" t="s">
        <v>11</v>
      </c>
      <c r="J21" s="12"/>
    </row>
    <row r="22" spans="1:10" ht="60" customHeight="1">
      <c r="A22" s="6" t="s">
        <v>91</v>
      </c>
      <c r="B22" s="6" t="s">
        <v>15</v>
      </c>
      <c r="C22" s="6" t="s">
        <v>11</v>
      </c>
      <c r="D22" s="7" t="s">
        <v>92</v>
      </c>
      <c r="E22" s="8" t="s">
        <v>93</v>
      </c>
      <c r="F22" s="6" t="s">
        <v>94</v>
      </c>
      <c r="G22" s="9">
        <f>IF(A22=1,"_",IF(C22="_","???",C22))</f>
        <v/>
      </c>
      <c r="H22" s="10" t="s">
        <v>11</v>
      </c>
      <c r="I22" s="11" t="s">
        <v>11</v>
      </c>
      <c r="J22" s="12"/>
    </row>
    <row r="23" spans="1:10" ht="60" customHeight="1">
      <c r="A23" s="6" t="s">
        <v>95</v>
      </c>
      <c r="B23" s="6" t="s">
        <v>19</v>
      </c>
      <c r="C23" s="6" t="s">
        <v>11</v>
      </c>
      <c r="D23" s="7" t="s">
        <v>96</v>
      </c>
      <c r="E23" s="8" t="s">
        <v>97</v>
      </c>
      <c r="F23" s="6" t="s">
        <v>98</v>
      </c>
      <c r="G23" s="9">
        <f>IF(A23=1,"_",IF(C23="_","???",C23))</f>
        <v/>
      </c>
      <c r="H23" s="10" t="s">
        <v>11</v>
      </c>
      <c r="I23" s="11" t="s">
        <v>11</v>
      </c>
      <c r="J23" s="12"/>
    </row>
    <row r="24" spans="1:10" ht="60" customHeight="1">
      <c r="A24" s="6" t="s">
        <v>99</v>
      </c>
      <c r="B24" s="6" t="s">
        <v>15</v>
      </c>
      <c r="C24" s="6" t="s">
        <v>11</v>
      </c>
      <c r="D24" s="7" t="s">
        <v>100</v>
      </c>
      <c r="E24" s="8" t="s">
        <v>101</v>
      </c>
      <c r="F24" s="6" t="s">
        <v>102</v>
      </c>
      <c r="G24" s="9">
        <f>IF(A24=1,"_",IF(C24="_","???",C24))</f>
        <v/>
      </c>
      <c r="H24" s="10" t="s">
        <v>11</v>
      </c>
      <c r="I24" s="11" t="s">
        <v>11</v>
      </c>
      <c r="J24" s="12"/>
    </row>
    <row r="25" spans="1:10" ht="60" customHeight="1">
      <c r="A25" s="6" t="s">
        <v>103</v>
      </c>
      <c r="B25" s="6" t="s">
        <v>24</v>
      </c>
      <c r="C25" s="6" t="s">
        <v>11</v>
      </c>
      <c r="D25" s="7" t="s">
        <v>104</v>
      </c>
      <c r="E25" s="8" t="s">
        <v>105</v>
      </c>
      <c r="F25" s="6" t="s">
        <v>106</v>
      </c>
      <c r="G25" s="9">
        <f>IF(A25=1,"_",IF(C25="_","???",C25))</f>
        <v/>
      </c>
      <c r="H25" s="10" t="s">
        <v>11</v>
      </c>
      <c r="I25" s="11" t="s">
        <v>11</v>
      </c>
      <c r="J25" s="12"/>
    </row>
    <row r="26" spans="1:10" ht="60" customHeight="1">
      <c r="A26" s="6" t="s">
        <v>107</v>
      </c>
      <c r="B26" s="6" t="s">
        <v>36</v>
      </c>
      <c r="C26" s="6" t="s">
        <v>108</v>
      </c>
      <c r="D26" s="7" t="s">
        <v>109</v>
      </c>
      <c r="E26" s="8" t="s">
        <v>110</v>
      </c>
      <c r="F26" s="6" t="s">
        <v>111</v>
      </c>
      <c r="G26" s="9">
        <f>IF(A26=1,"_",IF(C26="_","???",C26))</f>
        <v/>
      </c>
      <c r="H26" s="10" t="s">
        <v>11</v>
      </c>
      <c r="I26" s="11" t="s">
        <v>11</v>
      </c>
      <c r="J26" s="12"/>
    </row>
    <row r="27" spans="1:10" ht="60" customHeight="1">
      <c r="A27" s="6" t="s">
        <v>112</v>
      </c>
      <c r="B27" s="6" t="s">
        <v>15</v>
      </c>
      <c r="C27" s="6" t="s">
        <v>11</v>
      </c>
      <c r="D27" s="7" t="s">
        <v>113</v>
      </c>
      <c r="E27" s="8" t="s">
        <v>114</v>
      </c>
      <c r="F27" s="6" t="s">
        <v>115</v>
      </c>
      <c r="G27" s="9">
        <f>IF(A27=1,"_",IF(C27="_","???",C27))</f>
        <v/>
      </c>
      <c r="H27" s="10" t="s">
        <v>11</v>
      </c>
      <c r="I27" s="11" t="s">
        <v>11</v>
      </c>
      <c r="J27" s="12"/>
    </row>
    <row r="28" spans="1:10" ht="60" customHeight="1">
      <c r="A28" s="6" t="s">
        <v>116</v>
      </c>
      <c r="B28" s="6" t="s">
        <v>32</v>
      </c>
      <c r="C28" s="6" t="s">
        <v>11</v>
      </c>
      <c r="D28" s="7" t="s">
        <v>117</v>
      </c>
      <c r="E28" s="8" t="s">
        <v>118</v>
      </c>
      <c r="F28" s="6" t="s">
        <v>119</v>
      </c>
      <c r="G28" s="9">
        <f>IF(A28=1,"_",IF(C28="_","???",C28))</f>
        <v/>
      </c>
      <c r="H28" s="10" t="s">
        <v>11</v>
      </c>
      <c r="I28" s="11" t="s">
        <v>11</v>
      </c>
      <c r="J28" s="12"/>
    </row>
    <row r="29" spans="1:10" ht="60" customHeight="1">
      <c r="A29" s="6" t="s">
        <v>120</v>
      </c>
      <c r="B29" s="6" t="s">
        <v>32</v>
      </c>
      <c r="C29" s="6" t="s">
        <v>11</v>
      </c>
      <c r="D29" s="7" t="s">
        <v>121</v>
      </c>
      <c r="E29" s="8" t="s">
        <v>122</v>
      </c>
      <c r="F29" s="6" t="s">
        <v>123</v>
      </c>
      <c r="G29" s="9">
        <f>IF(A29=1,"_",IF(C29="_","???",C29))</f>
        <v/>
      </c>
      <c r="H29" s="10" t="s">
        <v>11</v>
      </c>
      <c r="I29" s="11" t="s">
        <v>11</v>
      </c>
      <c r="J29" s="12"/>
    </row>
    <row r="30" spans="1:10" ht="60" customHeight="1">
      <c r="A30" s="6" t="s">
        <v>124</v>
      </c>
      <c r="B30" s="6" t="s">
        <v>36</v>
      </c>
      <c r="C30" s="6" t="s">
        <v>11</v>
      </c>
      <c r="D30" s="7" t="s">
        <v>125</v>
      </c>
      <c r="E30" s="8" t="s">
        <v>126</v>
      </c>
      <c r="F30" s="6" t="s">
        <v>127</v>
      </c>
      <c r="G30" s="9">
        <f>IF(A30=1,"_",IF(C30="_","???",C30))</f>
        <v/>
      </c>
      <c r="H30" s="10" t="s">
        <v>11</v>
      </c>
      <c r="I30" s="11" t="s">
        <v>11</v>
      </c>
      <c r="J30" s="12"/>
    </row>
    <row r="31" spans="1:10" ht="60" customHeight="1">
      <c r="A31" s="6" t="s">
        <v>128</v>
      </c>
      <c r="B31" s="6" t="s">
        <v>10</v>
      </c>
      <c r="C31" s="6" t="s">
        <v>11</v>
      </c>
      <c r="D31" s="7" t="s">
        <v>29</v>
      </c>
      <c r="E31" s="8" t="s">
        <v>129</v>
      </c>
      <c r="F31" s="6" t="s">
        <v>130</v>
      </c>
      <c r="G31" s="9">
        <f>IF(A31=1,"_",IF(C31="_","???",C31))</f>
        <v/>
      </c>
      <c r="H31" s="10" t="s">
        <v>11</v>
      </c>
      <c r="I31" s="11" t="s">
        <v>11</v>
      </c>
      <c r="J31" s="12"/>
    </row>
    <row r="32" spans="1:10" ht="60" customHeight="1">
      <c r="A32" s="6" t="s">
        <v>131</v>
      </c>
      <c r="B32" s="6" t="s">
        <v>24</v>
      </c>
      <c r="C32" s="6" t="s">
        <v>11</v>
      </c>
      <c r="D32" s="7" t="s">
        <v>132</v>
      </c>
      <c r="E32" s="8" t="s">
        <v>133</v>
      </c>
      <c r="F32" s="6" t="s">
        <v>134</v>
      </c>
      <c r="G32" s="9">
        <f>IF(A32=1,"_",IF(C32="_","???",C32))</f>
        <v/>
      </c>
      <c r="H32" s="10" t="s">
        <v>11</v>
      </c>
      <c r="I32" s="11" t="s">
        <v>11</v>
      </c>
      <c r="J32" s="12"/>
    </row>
    <row r="33" spans="1:10" ht="60" customHeight="1">
      <c r="A33" s="6" t="s">
        <v>135</v>
      </c>
      <c r="B33" s="6" t="s">
        <v>19</v>
      </c>
      <c r="C33" s="6" t="s">
        <v>11</v>
      </c>
      <c r="D33" s="7" t="s">
        <v>136</v>
      </c>
      <c r="E33" s="8" t="s">
        <v>137</v>
      </c>
      <c r="F33" s="6" t="s">
        <v>138</v>
      </c>
      <c r="G33" s="9">
        <f>IF(A33=1,"_",IF(C33="_","???",C33))</f>
        <v/>
      </c>
      <c r="H33" s="10" t="s">
        <v>11</v>
      </c>
      <c r="I33" s="11" t="s">
        <v>11</v>
      </c>
      <c r="J33" s="12"/>
    </row>
    <row r="34" spans="1:10" ht="60" customHeight="1">
      <c r="A34" s="6" t="s">
        <v>139</v>
      </c>
      <c r="B34" s="6" t="s">
        <v>60</v>
      </c>
      <c r="C34" s="6" t="s">
        <v>11</v>
      </c>
      <c r="D34" s="7" t="s">
        <v>140</v>
      </c>
      <c r="E34" s="8" t="s">
        <v>141</v>
      </c>
      <c r="F34" s="6" t="s">
        <v>142</v>
      </c>
      <c r="G34" s="9">
        <f>IF(A34=1,"_",IF(C34="_","???",C34))</f>
        <v/>
      </c>
      <c r="H34" s="10" t="s">
        <v>11</v>
      </c>
      <c r="I34" s="11" t="s">
        <v>11</v>
      </c>
      <c r="J34" s="12"/>
    </row>
    <row r="35" spans="1:10" ht="60" customHeight="1">
      <c r="A35" s="6" t="s">
        <v>143</v>
      </c>
      <c r="B35" s="6" t="s">
        <v>15</v>
      </c>
      <c r="C35" s="6" t="s">
        <v>11</v>
      </c>
      <c r="D35" s="7" t="s">
        <v>144</v>
      </c>
      <c r="E35" s="8" t="s">
        <v>145</v>
      </c>
      <c r="F35" s="6" t="s">
        <v>146</v>
      </c>
      <c r="G35" s="9">
        <f>IF(A35=1,"_",IF(C35="_","???",C35))</f>
        <v/>
      </c>
      <c r="H35" s="10" t="s">
        <v>11</v>
      </c>
      <c r="I35" s="11" t="s">
        <v>11</v>
      </c>
      <c r="J35" s="12"/>
    </row>
    <row r="36" spans="1:10" ht="60" customHeight="1">
      <c r="A36" s="6" t="s">
        <v>147</v>
      </c>
      <c r="B36" s="6" t="s">
        <v>40</v>
      </c>
      <c r="C36" s="6" t="s">
        <v>11</v>
      </c>
      <c r="D36" s="7" t="s">
        <v>148</v>
      </c>
      <c r="E36" s="8" t="s">
        <v>149</v>
      </c>
      <c r="F36" s="6" t="s">
        <v>150</v>
      </c>
      <c r="G36" s="9">
        <f>IF(A36=1,"_",IF(C36="_","???",C36))</f>
        <v/>
      </c>
      <c r="H36" s="10" t="s">
        <v>11</v>
      </c>
      <c r="I36" s="11" t="s">
        <v>11</v>
      </c>
      <c r="J36" s="12"/>
    </row>
    <row r="37" spans="1:10" ht="60" customHeight="1">
      <c r="A37" s="6" t="s">
        <v>151</v>
      </c>
      <c r="B37" s="6" t="s">
        <v>15</v>
      </c>
      <c r="C37" s="6" t="s">
        <v>11</v>
      </c>
      <c r="D37" s="7" t="s">
        <v>152</v>
      </c>
      <c r="E37" s="8" t="s">
        <v>153</v>
      </c>
      <c r="F37" s="6" t="s">
        <v>154</v>
      </c>
      <c r="G37" s="9">
        <f>IF(A37=1,"_",IF(C37="_","???",C37))</f>
        <v/>
      </c>
      <c r="H37" s="10" t="s">
        <v>11</v>
      </c>
      <c r="I37" s="11" t="s">
        <v>11</v>
      </c>
      <c r="J37" s="12"/>
    </row>
    <row r="38" spans="1:10" ht="60" customHeight="1">
      <c r="A38" s="6" t="s">
        <v>155</v>
      </c>
      <c r="B38" s="6" t="s">
        <v>24</v>
      </c>
      <c r="C38" s="6" t="s">
        <v>11</v>
      </c>
      <c r="D38" s="7" t="s">
        <v>156</v>
      </c>
      <c r="E38" s="8" t="s">
        <v>157</v>
      </c>
      <c r="F38" s="6" t="s">
        <v>158</v>
      </c>
      <c r="G38" s="9">
        <f>IF(A38=1,"_",IF(C38="_","???",C38))</f>
        <v/>
      </c>
      <c r="H38" s="10" t="s">
        <v>11</v>
      </c>
      <c r="I38" s="11" t="s">
        <v>11</v>
      </c>
      <c r="J38" s="12"/>
    </row>
    <row r="39" spans="1:10" ht="60" customHeight="1">
      <c r="A39" s="6" t="s">
        <v>159</v>
      </c>
      <c r="B39" s="6" t="s">
        <v>10</v>
      </c>
      <c r="C39" s="6" t="s">
        <v>11</v>
      </c>
      <c r="D39" s="7" t="s">
        <v>160</v>
      </c>
      <c r="E39" s="8" t="s">
        <v>161</v>
      </c>
      <c r="F39" s="6" t="s">
        <v>162</v>
      </c>
      <c r="G39" s="9">
        <f>IF(A39=1,"_",IF(C39="_","???",C39))</f>
        <v/>
      </c>
      <c r="H39" s="10" t="s">
        <v>11</v>
      </c>
      <c r="I39" s="11" t="s">
        <v>11</v>
      </c>
      <c r="J39" s="12"/>
    </row>
    <row r="40" spans="1:10" ht="60" customHeight="1">
      <c r="A40" s="6" t="s">
        <v>163</v>
      </c>
      <c r="B40" s="6" t="s">
        <v>10</v>
      </c>
      <c r="C40" s="6" t="s">
        <v>11</v>
      </c>
      <c r="D40" s="7" t="s">
        <v>164</v>
      </c>
      <c r="E40" s="8" t="s">
        <v>165</v>
      </c>
      <c r="F40" s="6" t="s">
        <v>166</v>
      </c>
      <c r="G40" s="9">
        <f>IF(A40=1,"_",IF(C40="_","???",C40))</f>
        <v/>
      </c>
      <c r="H40" s="10" t="s">
        <v>11</v>
      </c>
      <c r="I40" s="11" t="s">
        <v>11</v>
      </c>
      <c r="J40" s="12"/>
    </row>
    <row r="41" spans="1:10" ht="60" customHeight="1">
      <c r="A41" s="6" t="s">
        <v>167</v>
      </c>
      <c r="B41" s="6" t="s">
        <v>32</v>
      </c>
      <c r="C41" s="6" t="s">
        <v>11</v>
      </c>
      <c r="D41" s="7" t="s">
        <v>168</v>
      </c>
      <c r="E41" s="8" t="s">
        <v>169</v>
      </c>
      <c r="F41" s="6" t="s">
        <v>170</v>
      </c>
      <c r="G41" s="9">
        <f>IF(A41=1,"_",IF(C41="_","???",C41))</f>
        <v/>
      </c>
      <c r="H41" s="10" t="s">
        <v>11</v>
      </c>
      <c r="I41" s="11" t="s">
        <v>11</v>
      </c>
      <c r="J41" s="12"/>
    </row>
    <row r="42" spans="1:10" ht="60" customHeight="1">
      <c r="A42" s="6" t="s">
        <v>171</v>
      </c>
      <c r="B42" s="6" t="s">
        <v>32</v>
      </c>
      <c r="C42" s="6" t="s">
        <v>11</v>
      </c>
      <c r="D42" s="7" t="s">
        <v>172</v>
      </c>
      <c r="E42" s="8" t="s">
        <v>173</v>
      </c>
      <c r="F42" s="6" t="s">
        <v>174</v>
      </c>
      <c r="G42" s="9">
        <f>IF(A42=1,"_",IF(C42="_","???",C42))</f>
        <v/>
      </c>
      <c r="H42" s="10" t="s">
        <v>11</v>
      </c>
      <c r="I42" s="11" t="s">
        <v>11</v>
      </c>
      <c r="J42" s="12"/>
    </row>
    <row r="43" spans="1:10" ht="60" customHeight="1">
      <c r="A43" s="6" t="s">
        <v>175</v>
      </c>
      <c r="B43" s="6" t="s">
        <v>19</v>
      </c>
      <c r="C43" s="6" t="s">
        <v>176</v>
      </c>
      <c r="D43" s="7" t="s">
        <v>177</v>
      </c>
      <c r="E43" s="8" t="s">
        <v>178</v>
      </c>
      <c r="F43" s="6" t="s">
        <v>179</v>
      </c>
      <c r="G43" s="9">
        <f>IF(A43=1,"_",IF(C43="_","???",C43))</f>
        <v/>
      </c>
      <c r="H43" s="10" t="s">
        <v>11</v>
      </c>
      <c r="I43" s="11" t="s">
        <v>11</v>
      </c>
      <c r="J43" s="12"/>
    </row>
    <row r="44" spans="1:10" ht="60" customHeight="1">
      <c r="A44" s="6" t="s">
        <v>180</v>
      </c>
      <c r="B44" s="6" t="s">
        <v>60</v>
      </c>
      <c r="C44" s="6" t="s">
        <v>11</v>
      </c>
      <c r="D44" s="7" t="s">
        <v>156</v>
      </c>
      <c r="E44" s="8" t="s">
        <v>181</v>
      </c>
      <c r="F44" s="6" t="s">
        <v>182</v>
      </c>
      <c r="G44" s="9">
        <f>IF(A44=1,"_",IF(C44="_","???",C44))</f>
        <v/>
      </c>
      <c r="H44" s="10" t="s">
        <v>11</v>
      </c>
      <c r="I44" s="11" t="s">
        <v>11</v>
      </c>
      <c r="J44" s="12"/>
    </row>
    <row r="45" spans="1:10" ht="60" customHeight="1">
      <c r="A45" s="6" t="s">
        <v>183</v>
      </c>
      <c r="B45" s="6" t="s">
        <v>15</v>
      </c>
      <c r="C45" s="6" t="s">
        <v>11</v>
      </c>
      <c r="D45" s="7" t="s">
        <v>184</v>
      </c>
      <c r="E45" s="8" t="s">
        <v>185</v>
      </c>
      <c r="F45" s="6" t="s">
        <v>186</v>
      </c>
      <c r="G45" s="9">
        <f>IF(A45=1,"_",IF(C45="_","???",C45))</f>
        <v/>
      </c>
      <c r="H45" s="10" t="s">
        <v>11</v>
      </c>
      <c r="I45" s="11" t="s">
        <v>11</v>
      </c>
      <c r="J45" s="12"/>
    </row>
    <row r="46" spans="1:10" ht="60" customHeight="1">
      <c r="A46" s="6" t="s">
        <v>187</v>
      </c>
      <c r="B46" s="6" t="s">
        <v>19</v>
      </c>
      <c r="C46" s="6" t="s">
        <v>11</v>
      </c>
      <c r="D46" s="7" t="s">
        <v>37</v>
      </c>
      <c r="E46" s="8" t="s">
        <v>188</v>
      </c>
      <c r="F46" s="6" t="s">
        <v>189</v>
      </c>
      <c r="G46" s="9">
        <f>IF(A46=1,"_",IF(C46="_","???",C46))</f>
        <v/>
      </c>
      <c r="H46" s="10" t="s">
        <v>11</v>
      </c>
      <c r="I46" s="11" t="s">
        <v>11</v>
      </c>
      <c r="J46" s="12"/>
    </row>
    <row r="47" spans="1:10" ht="60" customHeight="1">
      <c r="A47" s="6" t="s">
        <v>190</v>
      </c>
      <c r="B47" s="6" t="s">
        <v>24</v>
      </c>
      <c r="C47" s="6" t="s">
        <v>11</v>
      </c>
      <c r="D47" s="7" t="s">
        <v>191</v>
      </c>
      <c r="E47" s="8" t="s">
        <v>192</v>
      </c>
      <c r="F47" s="6" t="s">
        <v>193</v>
      </c>
      <c r="G47" s="9">
        <f>IF(A47=1,"_",IF(C47="_","???",C47))</f>
        <v/>
      </c>
      <c r="H47" s="10" t="s">
        <v>11</v>
      </c>
      <c r="I47" s="11" t="s">
        <v>11</v>
      </c>
      <c r="J47" s="12"/>
    </row>
    <row r="48" spans="1:10" ht="60" customHeight="1">
      <c r="A48" s="6" t="s">
        <v>194</v>
      </c>
      <c r="B48" s="6" t="s">
        <v>10</v>
      </c>
      <c r="C48" s="6" t="s">
        <v>11</v>
      </c>
      <c r="D48" s="7" t="s">
        <v>195</v>
      </c>
      <c r="E48" s="8" t="s">
        <v>196</v>
      </c>
      <c r="F48" s="6" t="s">
        <v>197</v>
      </c>
      <c r="G48" s="9">
        <f>IF(A48=1,"_",IF(C48="_","???",C48))</f>
        <v/>
      </c>
      <c r="H48" s="10" t="s">
        <v>11</v>
      </c>
      <c r="I48" s="11" t="s">
        <v>11</v>
      </c>
      <c r="J48" s="12"/>
    </row>
    <row r="49" spans="1:10" ht="60" customHeight="1">
      <c r="A49" s="6" t="s">
        <v>198</v>
      </c>
      <c r="B49" s="6" t="s">
        <v>40</v>
      </c>
      <c r="C49" s="6" t="s">
        <v>11</v>
      </c>
      <c r="D49" s="7" t="s">
        <v>199</v>
      </c>
      <c r="E49" s="8" t="s">
        <v>200</v>
      </c>
      <c r="F49" s="6" t="s">
        <v>201</v>
      </c>
      <c r="G49" s="9">
        <f>IF(A49=1,"_",IF(C49="_","???",C49))</f>
        <v/>
      </c>
      <c r="H49" s="10" t="s">
        <v>11</v>
      </c>
      <c r="I49" s="11" t="s">
        <v>11</v>
      </c>
      <c r="J49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89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202</v>
      </c>
      <c r="B1" s="13" t="s">
        <v>203</v>
      </c>
      <c r="C1" s="13" t="s">
        <v>204</v>
      </c>
      <c r="D1" s="13" t="s">
        <v>205</v>
      </c>
      <c r="E1" s="14" t="s">
        <v>206</v>
      </c>
      <c r="F1" s="15" t="s">
        <v>207</v>
      </c>
      <c r="G1" s="16" t="s">
        <v>208</v>
      </c>
      <c r="H1" s="17" t="s">
        <v>209</v>
      </c>
      <c r="I1" s="18" t="s">
        <v>210</v>
      </c>
      <c r="J1" s="18" t="s">
        <v>211</v>
      </c>
      <c r="K1" s="18" t="s">
        <v>212</v>
      </c>
      <c r="L1" s="19" t="s">
        <v>9</v>
      </c>
    </row>
    <row r="2" spans="1:12">
      <c r="A2" s="20" t="s">
        <v>213</v>
      </c>
    </row>
    <row r="3" spans="1:12">
      <c r="A3" s="20" t="s">
        <v>12</v>
      </c>
      <c r="B3" s="21" t="s">
        <v>214</v>
      </c>
      <c r="C3" s="21" t="s">
        <v>215</v>
      </c>
      <c r="D3" s="21" t="s">
        <v>216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217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218</v>
      </c>
      <c r="B5" s="21" t="s">
        <v>214</v>
      </c>
      <c r="C5" s="21" t="s">
        <v>215</v>
      </c>
      <c r="D5" s="21" t="s">
        <v>216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219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220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221</v>
      </c>
      <c r="B8" s="21" t="s">
        <v>214</v>
      </c>
      <c r="C8" s="21" t="s">
        <v>215</v>
      </c>
      <c r="D8" s="21" t="s">
        <v>216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222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220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223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/>
    </row>
    <row r="13" spans="1:12">
      <c r="A13" s="20" t="s">
        <v>224</v>
      </c>
    </row>
    <row r="14" spans="1:12">
      <c r="A14" s="20" t="s">
        <v>225</v>
      </c>
      <c r="B14" s="21" t="s">
        <v>226</v>
      </c>
      <c r="C14" s="21" t="s">
        <v>227</v>
      </c>
      <c r="D14" s="21" t="s">
        <v>216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228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229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230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231</v>
      </c>
      <c r="B18" s="21" t="s">
        <v>232</v>
      </c>
      <c r="C18" s="21" t="s">
        <v>233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234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235</v>
      </c>
      <c r="B20" s="21" t="s">
        <v>236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237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/>
    </row>
    <row r="23" spans="1:12">
      <c r="A23" s="20" t="s">
        <v>238</v>
      </c>
    </row>
    <row r="24" spans="1:12">
      <c r="A24" s="20" t="s">
        <v>239</v>
      </c>
      <c r="B24" s="21" t="s">
        <v>226</v>
      </c>
      <c r="C24" s="21" t="s">
        <v>240</v>
      </c>
      <c r="D24" s="21" t="s">
        <v>216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241</v>
      </c>
      <c r="B25" s="21" t="s">
        <v>242</v>
      </c>
      <c r="C25" s="21" t="s">
        <v>215</v>
      </c>
      <c r="D25" s="21" t="s">
        <v>216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217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243</v>
      </c>
      <c r="B27" s="21" t="s">
        <v>244</v>
      </c>
      <c r="C27" s="21" t="s">
        <v>215</v>
      </c>
      <c r="D27" s="21" t="s">
        <v>216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245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246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247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230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248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249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250</v>
      </c>
      <c r="B34" s="21" t="s">
        <v>236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217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251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252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253</v>
      </c>
      <c r="B38" s="21" t="s">
        <v>254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255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256</v>
      </c>
      <c r="B40" s="21" t="s">
        <v>254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257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217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258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259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237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/>
    </row>
    <row r="47" spans="1:12">
      <c r="A47" s="20" t="s">
        <v>260</v>
      </c>
    </row>
    <row r="48" spans="1:12">
      <c r="A48" s="20" t="s">
        <v>261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262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263</v>
      </c>
      <c r="B50" s="21" t="s">
        <v>232</v>
      </c>
      <c r="C50" s="21" t="s">
        <v>215</v>
      </c>
      <c r="D50" s="21" t="s">
        <v>216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264</v>
      </c>
      <c r="B51" s="21" t="s">
        <v>244</v>
      </c>
      <c r="C51" s="21" t="s">
        <v>215</v>
      </c>
      <c r="D51" s="21" t="s">
        <v>216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265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266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267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268</v>
      </c>
      <c r="B55" s="21" t="s">
        <v>236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269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270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271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272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269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273</v>
      </c>
      <c r="B61" s="21" t="s">
        <v>274</v>
      </c>
      <c r="C61" s="21" t="s">
        <v>215</v>
      </c>
      <c r="D61" s="21" t="s">
        <v>216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230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275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276</v>
      </c>
      <c r="B64" s="21" t="s">
        <v>214</v>
      </c>
      <c r="C64" s="21" t="s">
        <v>277</v>
      </c>
      <c r="D64" s="21" t="s">
        <v>216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278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279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280</v>
      </c>
      <c r="B67" s="21" t="s">
        <v>226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230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281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282</v>
      </c>
      <c r="B70" s="21" t="s">
        <v>283</v>
      </c>
      <c r="C70" s="21" t="s">
        <v>215</v>
      </c>
      <c r="D70" s="21" t="s">
        <v>216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284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285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286</v>
      </c>
      <c r="B73" s="21" t="s">
        <v>244</v>
      </c>
      <c r="C73" s="21" t="s">
        <v>287</v>
      </c>
      <c r="D73" s="21" t="s">
        <v>216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288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237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/>
    </row>
    <row r="77" spans="1:12">
      <c r="A77" s="20" t="s">
        <v>289</v>
      </c>
    </row>
    <row r="78" spans="1:12">
      <c r="A78" s="20" t="s">
        <v>290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291</v>
      </c>
      <c r="B79" s="21" t="s">
        <v>226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230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292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237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/>
    </row>
    <row r="84" spans="1:12">
      <c r="A84" s="20" t="s">
        <v>293</v>
      </c>
    </row>
    <row r="85" spans="1:12">
      <c r="A85" s="20" t="s">
        <v>261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294</v>
      </c>
      <c r="B86" s="21" t="s">
        <v>226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295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296</v>
      </c>
      <c r="B88" s="21" t="s">
        <v>244</v>
      </c>
      <c r="C88" s="21" t="s">
        <v>215</v>
      </c>
      <c r="D88" s="21" t="s">
        <v>216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297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298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230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299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300</v>
      </c>
      <c r="B93" s="21" t="s">
        <v>232</v>
      </c>
      <c r="C93" s="21" t="s">
        <v>277</v>
      </c>
      <c r="D93" s="21" t="s">
        <v>216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301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302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303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304</v>
      </c>
      <c r="B97" s="21" t="s">
        <v>236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305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306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307</v>
      </c>
      <c r="B100" s="21" t="s">
        <v>244</v>
      </c>
      <c r="C100" s="21" t="s">
        <v>308</v>
      </c>
      <c r="D100" s="21" t="s">
        <v>216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309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310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311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237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/>
    </row>
    <row r="106" spans="1:12">
      <c r="A106" s="20" t="s">
        <v>312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313</v>
      </c>
    </row>
    <row r="108" spans="1:12">
      <c r="A108" s="20" t="s">
        <v>314</v>
      </c>
      <c r="B108" s="21" t="s">
        <v>226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315</v>
      </c>
      <c r="B109" s="21" t="s">
        <v>242</v>
      </c>
      <c r="C109" s="21" t="s">
        <v>215</v>
      </c>
      <c r="D109" s="21" t="s">
        <v>216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316</v>
      </c>
      <c r="B110" s="21" t="s">
        <v>244</v>
      </c>
      <c r="C110" s="21" t="s">
        <v>215</v>
      </c>
      <c r="D110" s="21" t="s">
        <v>216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269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317</v>
      </c>
      <c r="B112" s="21" t="s">
        <v>214</v>
      </c>
      <c r="C112" s="21" t="s">
        <v>287</v>
      </c>
      <c r="D112" s="21" t="s">
        <v>216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318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319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320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321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322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220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323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324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220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325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326</v>
      </c>
      <c r="B123" s="21" t="s">
        <v>274</v>
      </c>
      <c r="C123" s="21" t="s">
        <v>215</v>
      </c>
      <c r="D123" s="21" t="s">
        <v>216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327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328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329</v>
      </c>
      <c r="B126" s="21" t="s">
        <v>330</v>
      </c>
      <c r="C126" s="21" t="s">
        <v>331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230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332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333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334</v>
      </c>
      <c r="B130" s="21" t="s">
        <v>335</v>
      </c>
      <c r="C130" s="21" t="s">
        <v>331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237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/>
    </row>
    <row r="133" spans="1:12">
      <c r="A133" s="20" t="s">
        <v>336</v>
      </c>
    </row>
    <row r="134" spans="1:12">
      <c r="A134" s="20" t="s">
        <v>337</v>
      </c>
      <c r="B134" s="21" t="s">
        <v>226</v>
      </c>
      <c r="C134" s="21" t="s">
        <v>277</v>
      </c>
      <c r="D134" s="21" t="s">
        <v>216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338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339</v>
      </c>
      <c r="B136" s="21" t="s">
        <v>340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237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/>
    </row>
    <row r="139" spans="1:12">
      <c r="A139" s="20" t="s">
        <v>341</v>
      </c>
    </row>
    <row r="140" spans="1:12">
      <c r="A140" s="20" t="s">
        <v>342</v>
      </c>
      <c r="B140" s="21" t="s">
        <v>226</v>
      </c>
      <c r="C140" s="21" t="s">
        <v>277</v>
      </c>
      <c r="D140" s="21" t="s">
        <v>216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343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344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230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281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345</v>
      </c>
      <c r="B145" s="21" t="s">
        <v>232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346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347</v>
      </c>
      <c r="B147" s="21" t="s">
        <v>244</v>
      </c>
      <c r="C147" s="21" t="s">
        <v>215</v>
      </c>
      <c r="D147" s="21" t="s">
        <v>216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348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349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350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351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352</v>
      </c>
      <c r="B152" s="21" t="s">
        <v>244</v>
      </c>
      <c r="C152" s="21" t="s">
        <v>308</v>
      </c>
      <c r="D152" s="21" t="s">
        <v>216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353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354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230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355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305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356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237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/>
    </row>
    <row r="161" spans="1:12">
      <c r="A161" s="20" t="s">
        <v>357</v>
      </c>
    </row>
    <row r="162" spans="1:12">
      <c r="A162" s="20" t="s">
        <v>358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359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360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361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362</v>
      </c>
      <c r="B166" s="21" t="s">
        <v>226</v>
      </c>
      <c r="C166" s="21" t="s">
        <v>331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363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364</v>
      </c>
      <c r="B168" s="21" t="s">
        <v>340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295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365</v>
      </c>
      <c r="B170" s="21" t="s">
        <v>244</v>
      </c>
      <c r="C170" s="21" t="s">
        <v>215</v>
      </c>
      <c r="D170" s="21" t="s">
        <v>216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366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367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368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369</v>
      </c>
      <c r="B174" s="21" t="s">
        <v>232</v>
      </c>
      <c r="C174" s="21" t="s">
        <v>370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371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372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349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373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237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/>
    </row>
    <row r="181" spans="1:12">
      <c r="A181" s="20" t="s">
        <v>374</v>
      </c>
    </row>
    <row r="182" spans="1:12">
      <c r="A182" s="20" t="s">
        <v>375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230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307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376</v>
      </c>
      <c r="B185" s="21" t="s">
        <v>226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377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378</v>
      </c>
      <c r="B187" s="21" t="s">
        <v>340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237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/>
    </row>
    <row r="190" spans="1:12">
      <c r="A190" s="20" t="s">
        <v>379</v>
      </c>
    </row>
    <row r="191" spans="1:12">
      <c r="A191" s="20" t="s">
        <v>261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380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381</v>
      </c>
      <c r="B193" s="21" t="s">
        <v>226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230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382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383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295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296</v>
      </c>
      <c r="B198" s="21" t="s">
        <v>274</v>
      </c>
      <c r="C198" s="21" t="s">
        <v>215</v>
      </c>
      <c r="D198" s="21" t="s">
        <v>216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230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384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230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281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385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386</v>
      </c>
      <c r="B204" s="21" t="s">
        <v>232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349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387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369</v>
      </c>
      <c r="B207" s="21" t="s">
        <v>242</v>
      </c>
      <c r="C207" s="21" t="s">
        <v>370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237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/>
    </row>
    <row r="210" spans="1:12">
      <c r="A210" s="20" t="s">
        <v>388</v>
      </c>
    </row>
    <row r="211" spans="1:12">
      <c r="A211" s="20" t="s">
        <v>389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230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390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391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392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393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230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321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394</v>
      </c>
      <c r="B219" s="21" t="s">
        <v>242</v>
      </c>
      <c r="C219" s="21" t="s">
        <v>233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300</v>
      </c>
      <c r="B220" s="21" t="s">
        <v>232</v>
      </c>
      <c r="C220" s="21" t="s">
        <v>277</v>
      </c>
      <c r="D220" s="21" t="s">
        <v>216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395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246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396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397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219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/>
    </row>
    <row r="227" spans="1:12">
      <c r="A227" s="20" t="s">
        <v>398</v>
      </c>
    </row>
    <row r="228" spans="1:12">
      <c r="A228" s="20" t="s">
        <v>218</v>
      </c>
      <c r="B228" s="21" t="s">
        <v>226</v>
      </c>
      <c r="C228" s="21" t="s">
        <v>215</v>
      </c>
      <c r="D228" s="21" t="s">
        <v>216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399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385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400</v>
      </c>
      <c r="B231" s="21" t="s">
        <v>340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351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401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402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237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/>
    </row>
    <row r="237" spans="1:12">
      <c r="A237" s="20" t="s">
        <v>403</v>
      </c>
    </row>
    <row r="238" spans="1:12">
      <c r="A238" s="20" t="s">
        <v>404</v>
      </c>
      <c r="B238" s="21" t="s">
        <v>226</v>
      </c>
      <c r="C238" s="21" t="s">
        <v>240</v>
      </c>
      <c r="D238" s="21" t="s">
        <v>216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405</v>
      </c>
      <c r="B239" s="21" t="s">
        <v>242</v>
      </c>
      <c r="C239" s="21" t="s">
        <v>215</v>
      </c>
      <c r="D239" s="21" t="s">
        <v>216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269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406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407</v>
      </c>
      <c r="B242" s="21" t="s">
        <v>214</v>
      </c>
      <c r="C242" s="21" t="s">
        <v>287</v>
      </c>
      <c r="D242" s="21" t="s">
        <v>216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408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409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237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/>
    </row>
    <row r="247" spans="1:12">
      <c r="A247" s="20" t="s">
        <v>410</v>
      </c>
    </row>
    <row r="248" spans="1:12">
      <c r="A248" s="20" t="s">
        <v>411</v>
      </c>
      <c r="B248" s="21" t="s">
        <v>226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264</v>
      </c>
      <c r="B249" s="21" t="s">
        <v>242</v>
      </c>
      <c r="C249" s="21" t="s">
        <v>215</v>
      </c>
      <c r="D249" s="21" t="s">
        <v>216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412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413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414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230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415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416</v>
      </c>
      <c r="B255" s="21" t="s">
        <v>236</v>
      </c>
      <c r="C255" s="21" t="s">
        <v>215</v>
      </c>
      <c r="D255" s="21" t="s">
        <v>216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269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417</v>
      </c>
      <c r="B257" s="21" t="s">
        <v>242</v>
      </c>
      <c r="C257" s="21" t="s">
        <v>240</v>
      </c>
      <c r="D257" s="21" t="s">
        <v>216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405</v>
      </c>
      <c r="B258" s="21" t="s">
        <v>244</v>
      </c>
      <c r="C258" s="21" t="s">
        <v>215</v>
      </c>
      <c r="D258" s="21" t="s">
        <v>216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269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418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237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/>
    </row>
    <row r="263" spans="1:12">
      <c r="A263" s="20" t="s">
        <v>419</v>
      </c>
    </row>
    <row r="264" spans="1:12">
      <c r="A264" s="20" t="s">
        <v>420</v>
      </c>
      <c r="B264" s="21" t="s">
        <v>226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392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421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422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230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423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383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424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425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237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/>
    </row>
    <row r="275" spans="1:12">
      <c r="A275" s="20" t="s">
        <v>426</v>
      </c>
    </row>
    <row r="276" spans="1:12">
      <c r="A276" s="20" t="s">
        <v>427</v>
      </c>
      <c r="B276" s="21" t="s">
        <v>226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428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429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430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431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230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432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433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237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/>
    </row>
    <row r="286" spans="1:12">
      <c r="A286" s="20" t="s">
        <v>434</v>
      </c>
    </row>
    <row r="287" spans="1:12">
      <c r="A287" s="20" t="s">
        <v>435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436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437</v>
      </c>
      <c r="B289" s="21" t="s">
        <v>226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343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438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346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439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237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/>
    </row>
    <row r="296" spans="1:12">
      <c r="A296" s="20" t="s">
        <v>440</v>
      </c>
    </row>
    <row r="297" spans="1:12">
      <c r="A297" s="20" t="s">
        <v>358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441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442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443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444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445</v>
      </c>
      <c r="B302" s="21" t="s">
        <v>226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446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447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230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448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449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351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416</v>
      </c>
      <c r="B309" s="21" t="s">
        <v>244</v>
      </c>
      <c r="C309" s="21" t="s">
        <v>215</v>
      </c>
      <c r="D309" s="21" t="s">
        <v>216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237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/>
    </row>
    <row r="312" spans="1:12">
      <c r="A312" s="20" t="s">
        <v>450</v>
      </c>
    </row>
    <row r="313" spans="1:12">
      <c r="A313" s="20" t="s">
        <v>451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452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230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281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453</v>
      </c>
      <c r="B317" s="21" t="s">
        <v>254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454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455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456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246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457</v>
      </c>
      <c r="B322" s="21" t="s">
        <v>244</v>
      </c>
      <c r="C322" s="21" t="s">
        <v>277</v>
      </c>
      <c r="D322" s="21" t="s">
        <v>216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237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/>
    </row>
    <row r="325" spans="1:12">
      <c r="A325" s="20" t="s">
        <v>458</v>
      </c>
    </row>
    <row r="326" spans="1:12">
      <c r="A326" s="20" t="s">
        <v>459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460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461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462</v>
      </c>
      <c r="B329" s="21" t="s">
        <v>226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383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463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464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465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230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281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466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467</v>
      </c>
      <c r="B337" s="21" t="s">
        <v>232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295</v>
      </c>
      <c r="B338" s="21" t="s">
        <v>244</v>
      </c>
      <c r="C338" s="21" t="s">
        <v>240</v>
      </c>
      <c r="D338" s="21" t="s">
        <v>216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365</v>
      </c>
      <c r="B339" s="21" t="s">
        <v>274</v>
      </c>
      <c r="C339" s="21" t="s">
        <v>215</v>
      </c>
      <c r="D339" s="21" t="s">
        <v>216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468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351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469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470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471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472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473</v>
      </c>
      <c r="B346" s="21" t="s">
        <v>242</v>
      </c>
      <c r="C346" s="21" t="s">
        <v>240</v>
      </c>
      <c r="D346" s="21" t="s">
        <v>216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474</v>
      </c>
      <c r="B347" s="21" t="s">
        <v>244</v>
      </c>
      <c r="C347" s="21" t="s">
        <v>215</v>
      </c>
      <c r="D347" s="21" t="s">
        <v>216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230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475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476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477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478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479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237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/>
    </row>
    <row r="356" spans="1:12">
      <c r="A356" s="20" t="s">
        <v>480</v>
      </c>
    </row>
    <row r="357" spans="1:12">
      <c r="A357" s="20" t="s">
        <v>342</v>
      </c>
      <c r="B357" s="21" t="s">
        <v>226</v>
      </c>
      <c r="C357" s="21" t="s">
        <v>277</v>
      </c>
      <c r="D357" s="21" t="s">
        <v>216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481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482</v>
      </c>
      <c r="B359" s="21" t="s">
        <v>340</v>
      </c>
      <c r="C359" s="21" t="s">
        <v>227</v>
      </c>
      <c r="D359" s="21" t="s">
        <v>216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483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237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/>
    </row>
    <row r="363" spans="1:12">
      <c r="A363" s="20" t="s">
        <v>484</v>
      </c>
    </row>
    <row r="364" spans="1:12">
      <c r="A364" s="20" t="s">
        <v>261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269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273</v>
      </c>
      <c r="B366" s="21" t="s">
        <v>214</v>
      </c>
      <c r="C366" s="21" t="s">
        <v>215</v>
      </c>
      <c r="D366" s="21" t="s">
        <v>216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485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252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486</v>
      </c>
      <c r="B369" s="21" t="s">
        <v>226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230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281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487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488</v>
      </c>
      <c r="B373" s="21" t="s">
        <v>232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489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490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237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/>
    </row>
    <row r="378" spans="1:12">
      <c r="A378" s="20" t="s">
        <v>491</v>
      </c>
    </row>
    <row r="379" spans="1:12">
      <c r="A379" s="20" t="s">
        <v>492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493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494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230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495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496</v>
      </c>
      <c r="B384" s="21" t="s">
        <v>226</v>
      </c>
      <c r="C384" s="21" t="s">
        <v>287</v>
      </c>
      <c r="D384" s="21" t="s">
        <v>216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497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350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498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230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281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499</v>
      </c>
      <c r="B390" s="21" t="s">
        <v>283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264</v>
      </c>
      <c r="B391" s="21" t="s">
        <v>274</v>
      </c>
      <c r="C391" s="21" t="s">
        <v>215</v>
      </c>
      <c r="D391" s="21" t="s">
        <v>216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500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501</v>
      </c>
      <c r="B393" s="21" t="s">
        <v>254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230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502</v>
      </c>
      <c r="B395" s="21" t="s">
        <v>503</v>
      </c>
      <c r="C395" s="21" t="s">
        <v>233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300</v>
      </c>
      <c r="B396" s="21" t="s">
        <v>504</v>
      </c>
      <c r="C396" s="21" t="s">
        <v>277</v>
      </c>
      <c r="D396" s="21" t="s">
        <v>216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505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383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506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365</v>
      </c>
      <c r="B400" s="21" t="s">
        <v>335</v>
      </c>
      <c r="C400" s="21" t="s">
        <v>215</v>
      </c>
      <c r="D400" s="21" t="s">
        <v>216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237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/>
    </row>
    <row r="403" spans="1:12">
      <c r="A403" s="20" t="s">
        <v>507</v>
      </c>
    </row>
    <row r="404" spans="1:12">
      <c r="A404" s="20" t="s">
        <v>12</v>
      </c>
      <c r="B404" s="21" t="s">
        <v>226</v>
      </c>
      <c r="C404" s="21" t="s">
        <v>215</v>
      </c>
      <c r="D404" s="21" t="s">
        <v>216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508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509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351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510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266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511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237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/>
    </row>
    <row r="413" spans="1:12">
      <c r="A413" s="20" t="s">
        <v>512</v>
      </c>
    </row>
    <row r="414" spans="1:12">
      <c r="A414" s="20" t="s">
        <v>513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514</v>
      </c>
      <c r="B415" s="21" t="s">
        <v>214</v>
      </c>
      <c r="C415" s="21" t="s">
        <v>215</v>
      </c>
      <c r="D415" s="21" t="s">
        <v>216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515</v>
      </c>
      <c r="B416" s="21" t="s">
        <v>226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516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517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518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237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/>
    </row>
    <row r="422" spans="1:12">
      <c r="A422" s="20" t="s">
        <v>519</v>
      </c>
    </row>
    <row r="423" spans="1:12">
      <c r="A423" s="20" t="s">
        <v>492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520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521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230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522</v>
      </c>
      <c r="B427" s="21" t="s">
        <v>226</v>
      </c>
      <c r="C427" s="21" t="s">
        <v>215</v>
      </c>
      <c r="D427" s="21" t="s">
        <v>216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523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524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525</v>
      </c>
      <c r="B430" s="21" t="s">
        <v>340</v>
      </c>
      <c r="C430" s="21" t="s">
        <v>331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230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526</v>
      </c>
      <c r="B432" s="21" t="s">
        <v>527</v>
      </c>
      <c r="C432" s="21" t="s">
        <v>233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300</v>
      </c>
      <c r="B433" s="21" t="s">
        <v>283</v>
      </c>
      <c r="C433" s="21" t="s">
        <v>277</v>
      </c>
      <c r="D433" s="21" t="s">
        <v>216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528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529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230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530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531</v>
      </c>
      <c r="B438" s="21" t="s">
        <v>274</v>
      </c>
      <c r="C438" s="21" t="s">
        <v>227</v>
      </c>
      <c r="D438" s="21" t="s">
        <v>216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366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300</v>
      </c>
      <c r="B440" s="21" t="s">
        <v>532</v>
      </c>
      <c r="C440" s="21" t="s">
        <v>277</v>
      </c>
      <c r="D440" s="21" t="s">
        <v>216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228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533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534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535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266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536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269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537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538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539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540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541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237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/>
    </row>
    <row r="455" spans="1:12">
      <c r="A455" s="20" t="s">
        <v>542</v>
      </c>
    </row>
    <row r="456" spans="1:12">
      <c r="A456" s="20" t="s">
        <v>543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544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545</v>
      </c>
      <c r="B458" s="21" t="s">
        <v>226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351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546</v>
      </c>
      <c r="B460" s="21" t="s">
        <v>214</v>
      </c>
      <c r="C460" s="21" t="s">
        <v>215</v>
      </c>
      <c r="D460" s="21" t="s">
        <v>216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547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548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307</v>
      </c>
      <c r="B463" s="21" t="s">
        <v>340</v>
      </c>
      <c r="C463" s="21" t="s">
        <v>277</v>
      </c>
      <c r="D463" s="21" t="s">
        <v>216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549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237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/>
    </row>
    <row r="467" spans="1:12">
      <c r="A467" s="20" t="s">
        <v>550</v>
      </c>
    </row>
    <row r="468" spans="1:12">
      <c r="A468" s="20" t="s">
        <v>551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343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552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553</v>
      </c>
      <c r="B471" s="21" t="s">
        <v>226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237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/>
    </row>
    <row r="474" spans="1:12">
      <c r="A474" s="20" t="s">
        <v>554</v>
      </c>
    </row>
    <row r="475" spans="1:12">
      <c r="A475" s="20" t="s">
        <v>555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556</v>
      </c>
      <c r="B476" s="21" t="s">
        <v>226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557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558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327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559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560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351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561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562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230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563</v>
      </c>
      <c r="B486" s="21" t="s">
        <v>532</v>
      </c>
      <c r="C486" s="21" t="s">
        <v>233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564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565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566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567</v>
      </c>
      <c r="B490" s="21" t="s">
        <v>274</v>
      </c>
      <c r="C490" s="21" t="s">
        <v>331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568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569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351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570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571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572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237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/>
    </row>
    <row r="499" spans="1:12">
      <c r="A499" s="20" t="s">
        <v>573</v>
      </c>
    </row>
    <row r="500" spans="1:12">
      <c r="A500" s="20" t="s">
        <v>574</v>
      </c>
      <c r="B500" s="21" t="s">
        <v>226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575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576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533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351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577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578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237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/>
    </row>
    <row r="509" spans="1:12">
      <c r="A509" s="20" t="s">
        <v>579</v>
      </c>
    </row>
    <row r="510" spans="1:12">
      <c r="A510" s="20" t="s">
        <v>580</v>
      </c>
      <c r="B510" s="21" t="s">
        <v>232</v>
      </c>
      <c r="C510" s="21" t="s">
        <v>233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581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241</v>
      </c>
      <c r="B512" s="21" t="s">
        <v>242</v>
      </c>
      <c r="C512" s="21" t="s">
        <v>215</v>
      </c>
      <c r="D512" s="21" t="s">
        <v>216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230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582</v>
      </c>
      <c r="B514" s="21" t="s">
        <v>226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217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561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583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584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230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585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230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586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587</v>
      </c>
      <c r="B523" s="21" t="s">
        <v>340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230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262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562</v>
      </c>
      <c r="B526" s="21" t="s">
        <v>232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588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589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237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/>
    </row>
    <row r="531" spans="1:12">
      <c r="A531" s="20" t="s">
        <v>590</v>
      </c>
    </row>
    <row r="532" spans="1:12">
      <c r="A532" s="20" t="s">
        <v>591</v>
      </c>
      <c r="B532" s="21" t="s">
        <v>226</v>
      </c>
      <c r="C532" s="21" t="s">
        <v>277</v>
      </c>
      <c r="D532" s="21" t="s">
        <v>216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592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351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593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594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595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351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596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597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237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/>
    </row>
    <row r="543" spans="1:12">
      <c r="A543" s="20" t="s">
        <v>598</v>
      </c>
    </row>
    <row r="544" spans="1:12">
      <c r="A544" s="20" t="s">
        <v>599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305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351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600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601</v>
      </c>
      <c r="B548" s="21" t="s">
        <v>214</v>
      </c>
      <c r="C548" s="21" t="s">
        <v>287</v>
      </c>
      <c r="D548" s="21" t="s">
        <v>216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602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603</v>
      </c>
      <c r="B550" s="21" t="s">
        <v>226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604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605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606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607</v>
      </c>
      <c r="B554" s="21" t="s">
        <v>340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217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608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230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366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350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609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610</v>
      </c>
      <c r="B561" s="21" t="s">
        <v>232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611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612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430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613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614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237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/>
    </row>
    <row r="569" spans="1:12">
      <c r="A569" s="20" t="s">
        <v>312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615</v>
      </c>
    </row>
    <row r="571" spans="1:12">
      <c r="A571" s="20" t="s">
        <v>220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616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617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230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618</v>
      </c>
      <c r="B575" s="21" t="s">
        <v>236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619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620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230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220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366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392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621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269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622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269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623</v>
      </c>
      <c r="B586" s="21" t="s">
        <v>335</v>
      </c>
      <c r="C586" s="21" t="s">
        <v>240</v>
      </c>
      <c r="D586" s="21" t="s">
        <v>216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624</v>
      </c>
      <c r="B587" s="21" t="s">
        <v>625</v>
      </c>
      <c r="C587" s="21" t="s">
        <v>215</v>
      </c>
      <c r="D587" s="21" t="s">
        <v>216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237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/>
    </row>
    <row r="590" spans="1:12">
      <c r="A590" s="20" t="s">
        <v>626</v>
      </c>
    </row>
    <row r="591" spans="1:12">
      <c r="A591" s="20" t="s">
        <v>261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627</v>
      </c>
      <c r="B592" s="21" t="s">
        <v>226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343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628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629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630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631</v>
      </c>
      <c r="B597" s="21" t="s">
        <v>340</v>
      </c>
      <c r="C597" s="21" t="s">
        <v>240</v>
      </c>
      <c r="D597" s="21" t="s">
        <v>216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632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405</v>
      </c>
      <c r="B599" s="21" t="s">
        <v>242</v>
      </c>
      <c r="C599" s="21" t="s">
        <v>215</v>
      </c>
      <c r="D599" s="21" t="s">
        <v>216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237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/>
    </row>
    <row r="602" spans="1:12">
      <c r="A602" s="20" t="s">
        <v>633</v>
      </c>
    </row>
    <row r="603" spans="1:12">
      <c r="A603" s="20" t="s">
        <v>282</v>
      </c>
      <c r="B603" s="21" t="s">
        <v>214</v>
      </c>
      <c r="C603" s="21" t="s">
        <v>240</v>
      </c>
      <c r="D603" s="21" t="s">
        <v>216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634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351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635</v>
      </c>
      <c r="B606" s="21" t="s">
        <v>242</v>
      </c>
      <c r="C606" s="21" t="s">
        <v>215</v>
      </c>
      <c r="D606" s="21" t="s">
        <v>216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636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637</v>
      </c>
      <c r="B608" s="21" t="s">
        <v>214</v>
      </c>
      <c r="C608" s="21" t="s">
        <v>227</v>
      </c>
      <c r="D608" s="21" t="s">
        <v>216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230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281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638</v>
      </c>
      <c r="B611" s="21" t="s">
        <v>283</v>
      </c>
      <c r="C611" s="21" t="s">
        <v>277</v>
      </c>
      <c r="D611" s="21" t="s">
        <v>216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639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640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641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351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642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541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237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/>
    </row>
    <row r="620" spans="1:12">
      <c r="A620" s="20" t="s">
        <v>643</v>
      </c>
    </row>
    <row r="621" spans="1:12">
      <c r="A621" s="20" t="s">
        <v>644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645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318</v>
      </c>
      <c r="B623" s="21" t="s">
        <v>214</v>
      </c>
      <c r="C623" s="21" t="s">
        <v>227</v>
      </c>
      <c r="D623" s="21" t="s">
        <v>216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646</v>
      </c>
      <c r="B624" s="21" t="s">
        <v>242</v>
      </c>
      <c r="C624" s="21" t="s">
        <v>277</v>
      </c>
      <c r="D624" s="21" t="s">
        <v>216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647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648</v>
      </c>
      <c r="B626" s="21" t="s">
        <v>340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649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650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651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321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652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645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653</v>
      </c>
      <c r="B633" s="21" t="s">
        <v>330</v>
      </c>
      <c r="C633" s="21" t="s">
        <v>215</v>
      </c>
      <c r="D633" s="21" t="s">
        <v>216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217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654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295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296</v>
      </c>
      <c r="B637" s="21" t="s">
        <v>330</v>
      </c>
      <c r="C637" s="21" t="s">
        <v>215</v>
      </c>
      <c r="D637" s="21" t="s">
        <v>216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327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231</v>
      </c>
      <c r="B639" s="21" t="s">
        <v>655</v>
      </c>
      <c r="C639" s="21" t="s">
        <v>233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656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657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658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217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659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660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661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662</v>
      </c>
      <c r="B647" s="21" t="s">
        <v>663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346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664</v>
      </c>
      <c r="B649" s="21" t="s">
        <v>665</v>
      </c>
      <c r="C649" s="21" t="s">
        <v>215</v>
      </c>
      <c r="D649" s="21" t="s">
        <v>216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237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/>
    </row>
    <row r="652" spans="1:12">
      <c r="A652" s="20" t="s">
        <v>666</v>
      </c>
    </row>
    <row r="653" spans="1:12">
      <c r="A653" s="20" t="s">
        <v>667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386</v>
      </c>
      <c r="B654" s="21" t="s">
        <v>226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230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585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230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668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669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670</v>
      </c>
      <c r="B660" s="21" t="s">
        <v>340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346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671</v>
      </c>
      <c r="B662" s="21" t="s">
        <v>214</v>
      </c>
      <c r="C662" s="21" t="s">
        <v>215</v>
      </c>
      <c r="D662" s="21" t="s">
        <v>216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636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672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645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673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674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675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676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530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677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678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541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237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/>
    </row>
    <row r="676" spans="1:12">
      <c r="A676" s="20" t="s">
        <v>679</v>
      </c>
    </row>
    <row r="677" spans="1:12">
      <c r="A677" s="20" t="s">
        <v>680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269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681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230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482</v>
      </c>
      <c r="B681" s="21" t="s">
        <v>226</v>
      </c>
      <c r="C681" s="21" t="s">
        <v>227</v>
      </c>
      <c r="D681" s="21" t="s">
        <v>216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172</v>
      </c>
      <c r="B682" s="21" t="s">
        <v>214</v>
      </c>
      <c r="C682" s="21" t="s">
        <v>240</v>
      </c>
      <c r="D682" s="21" t="s">
        <v>216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632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405</v>
      </c>
      <c r="B684" s="21" t="s">
        <v>214</v>
      </c>
      <c r="C684" s="21" t="s">
        <v>215</v>
      </c>
      <c r="D684" s="21" t="s">
        <v>216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230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682</v>
      </c>
      <c r="B686" s="21" t="s">
        <v>283</v>
      </c>
      <c r="C686" s="21" t="s">
        <v>233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683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684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685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686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 t="s">
        <v>687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 t="s">
        <v>688</v>
      </c>
      <c r="B692" s="21" t="s">
        <v>254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689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690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237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/>
    </row>
    <row r="697" spans="1:12">
      <c r="A697" s="20" t="s">
        <v>312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691</v>
      </c>
    </row>
    <row r="699" spans="1:12">
      <c r="A699" s="20" t="s">
        <v>692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230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693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269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694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695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 t="s">
        <v>696</v>
      </c>
      <c r="B705" s="21" t="s">
        <v>214</v>
      </c>
      <c r="C705" s="21" t="s">
        <v>287</v>
      </c>
      <c r="D705" s="21" t="s">
        <v>216</v>
      </c>
      <c r="E705" s="22">
        <f>IF(D705="?OLD","!!!","")</f>
        <v/>
      </c>
      <c r="F705" s="23" t="str">
        <f>IF(OR(E705="",E705="!!!"),"",IF(NOT(ISNA(VLOOKUP(E705,E$1:E704,1,FALSE()))),"OLD",IF(AND(E705&lt;&gt;"",E705&lt;&gt;"!!!"),"NEW","")))</f>
        <v> </v>
      </c>
      <c r="G705" s="24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5" t="str">
        <f>IF(J705&lt;&gt;1,"",IF(I705="SBJ","CB","?"))</f>
        <v> </v>
      </c>
      <c r="I705" s="26" t="str">
        <f>IF(OR(E705="",E705="!!!",F705="NEW"),"",INDEX(B704:B$2,-1+SUMPRODUCT(MAX(ROW(E704:E$2)*(E705=E704:E$2)))))</f>
        <v> </v>
      </c>
      <c r="J705" s="26" t="str">
        <f>IF(OR(E705="",E705="!!!",F705="NEW"),"",COUNTBLANK(OFFSET(A$1,,,SUMPRODUCT(MAX(ROW(E$2:E705)*(E705=E$2:E705)))))-COUNTBLANK(OFFSET(A$1,,,SUMPRODUCT(MAX(ROW(E$1:E704)*(E2=E$1:E704))))))</f>
        <v> </v>
      </c>
      <c r="K705" s="26" t="str">
        <f>IF(OR(E705="",E705="!!!",F705="NEW"),"",INDEX(J$1:J704,SUMPRODUCT(MAX(ROW(E$1:E704)*(E705=E$1:E704)))))</f>
        <v> </v>
      </c>
      <c r="L705" s="27"/>
    </row>
    <row r="706" spans="1:12">
      <c r="A706" s="20" t="s">
        <v>351</v>
      </c>
      <c r="E706" s="22">
        <f>IF(D706="?OLD","!!!","")</f>
        <v/>
      </c>
      <c r="F706" s="23" t="str">
        <f>IF(OR(E706="",E706="!!!"),"",IF(NOT(ISNA(VLOOKUP(E706,E$1:E705,1,FALSE()))),"OLD",IF(AND(E706&lt;&gt;"",E706&lt;&gt;"!!!"),"NEW","")))</f>
        <v> </v>
      </c>
      <c r="G706" s="24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5" t="str">
        <f>IF(J706&lt;&gt;1,"",IF(I706="SBJ","CB","?"))</f>
        <v> </v>
      </c>
      <c r="I706" s="26" t="str">
        <f>IF(OR(E706="",E706="!!!",F706="NEW"),"",INDEX(B705:B$2,-1+SUMPRODUCT(MAX(ROW(E705:E$2)*(E706=E705:E$2)))))</f>
        <v> </v>
      </c>
      <c r="J706" s="26" t="str">
        <f>IF(OR(E706="",E706="!!!",F706="NEW"),"",COUNTBLANK(OFFSET(A$1,,,SUMPRODUCT(MAX(ROW(E$2:E706)*(E706=E$2:E706)))))-COUNTBLANK(OFFSET(A$1,,,SUMPRODUCT(MAX(ROW(E$1:E705)*(E2=E$1:E705))))))</f>
        <v> </v>
      </c>
      <c r="K706" s="26" t="str">
        <f>IF(OR(E706="",E706="!!!",F706="NEW"),"",INDEX(J$1:J705,SUMPRODUCT(MAX(ROW(E$1:E705)*(E706=E$1:E705)))))</f>
        <v> </v>
      </c>
      <c r="L706" s="27"/>
    </row>
    <row r="707" spans="1:12">
      <c r="A707" s="20" t="s">
        <v>697</v>
      </c>
      <c r="E707" s="22">
        <f>IF(D707="?OLD","!!!","")</f>
        <v/>
      </c>
      <c r="F707" s="23" t="str">
        <f>IF(OR(E707="",E707="!!!"),"",IF(NOT(ISNA(VLOOKUP(E707,E$1:E706,1,FALSE()))),"OLD",IF(AND(E707&lt;&gt;"",E707&lt;&gt;"!!!"),"NEW","")))</f>
        <v> </v>
      </c>
      <c r="G707" s="24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5" t="str">
        <f>IF(J707&lt;&gt;1,"",IF(I707="SBJ","CB","?"))</f>
        <v> </v>
      </c>
      <c r="I707" s="26" t="str">
        <f>IF(OR(E707="",E707="!!!",F707="NEW"),"",INDEX(B706:B$2,-1+SUMPRODUCT(MAX(ROW(E706:E$2)*(E707=E706:E$2)))))</f>
        <v> </v>
      </c>
      <c r="J707" s="26" t="str">
        <f>IF(OR(E707="",E707="!!!",F707="NEW"),"",COUNTBLANK(OFFSET(A$1,,,SUMPRODUCT(MAX(ROW(E$2:E707)*(E707=E$2:E707)))))-COUNTBLANK(OFFSET(A$1,,,SUMPRODUCT(MAX(ROW(E$1:E706)*(E2=E$1:E706))))))</f>
        <v> </v>
      </c>
      <c r="K707" s="26" t="str">
        <f>IF(OR(E707="",E707="!!!",F707="NEW"),"",INDEX(J$1:J706,SUMPRODUCT(MAX(ROW(E$1:E706)*(E707=E$1:E706)))))</f>
        <v> </v>
      </c>
      <c r="L707" s="27"/>
    </row>
    <row r="708" spans="1:12">
      <c r="A708" s="20" t="s">
        <v>571</v>
      </c>
      <c r="E708" s="22">
        <f>IF(D708="?OLD","!!!","")</f>
        <v/>
      </c>
      <c r="F708" s="23" t="str">
        <f>IF(OR(E708="",E708="!!!"),"",IF(NOT(ISNA(VLOOKUP(E708,E$1:E707,1,FALSE()))),"OLD",IF(AND(E708&lt;&gt;"",E708&lt;&gt;"!!!"),"NEW","")))</f>
        <v> </v>
      </c>
      <c r="G708" s="24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5" t="str">
        <f>IF(J708&lt;&gt;1,"",IF(I708="SBJ","CB","?"))</f>
        <v> </v>
      </c>
      <c r="I708" s="26" t="str">
        <f>IF(OR(E708="",E708="!!!",F708="NEW"),"",INDEX(B707:B$2,-1+SUMPRODUCT(MAX(ROW(E707:E$2)*(E708=E707:E$2)))))</f>
        <v> </v>
      </c>
      <c r="J708" s="26" t="str">
        <f>IF(OR(E708="",E708="!!!",F708="NEW"),"",COUNTBLANK(OFFSET(A$1,,,SUMPRODUCT(MAX(ROW(E$2:E708)*(E708=E$2:E708)))))-COUNTBLANK(OFFSET(A$1,,,SUMPRODUCT(MAX(ROW(E$1:E707)*(E2=E$1:E707))))))</f>
        <v> </v>
      </c>
      <c r="K708" s="26" t="str">
        <f>IF(OR(E708="",E708="!!!",F708="NEW"),"",INDEX(J$1:J707,SUMPRODUCT(MAX(ROW(E$1:E707)*(E708=E$1:E707)))))</f>
        <v> </v>
      </c>
      <c r="L708" s="27"/>
    </row>
    <row r="709" spans="1:12">
      <c r="A709" s="20" t="s">
        <v>698</v>
      </c>
      <c r="B709" s="21" t="s">
        <v>226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241</v>
      </c>
      <c r="B710" s="21" t="s">
        <v>242</v>
      </c>
      <c r="C710" s="21" t="s">
        <v>215</v>
      </c>
      <c r="D710" s="21" t="s">
        <v>216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217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 t="s">
        <v>243</v>
      </c>
      <c r="B712" s="21" t="s">
        <v>244</v>
      </c>
      <c r="C712" s="21" t="s">
        <v>215</v>
      </c>
      <c r="D712" s="21" t="s">
        <v>216</v>
      </c>
      <c r="E712" s="22">
        <f>IF(D712="?OLD","!!!","")</f>
        <v/>
      </c>
      <c r="F712" s="23" t="str">
        <f>IF(OR(E712="",E712="!!!"),"",IF(NOT(ISNA(VLOOKUP(E712,E$1:E711,1,FALSE()))),"OLD",IF(AND(E712&lt;&gt;"",E712&lt;&gt;"!!!"),"NEW","")))</f>
        <v> </v>
      </c>
      <c r="G712" s="24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5" t="str">
        <f>IF(J712&lt;&gt;1,"",IF(I712="SBJ","CB","?"))</f>
        <v> </v>
      </c>
      <c r="I712" s="26" t="str">
        <f>IF(OR(E712="",E712="!!!",F712="NEW"),"",INDEX(B711:B$2,-1+SUMPRODUCT(MAX(ROW(E711:E$2)*(E712=E711:E$2)))))</f>
        <v> </v>
      </c>
      <c r="J712" s="26" t="str">
        <f>IF(OR(E712="",E712="!!!",F712="NEW"),"",COUNTBLANK(OFFSET(A$1,,,SUMPRODUCT(MAX(ROW(E$2:E712)*(E712=E$2:E712)))))-COUNTBLANK(OFFSET(A$1,,,SUMPRODUCT(MAX(ROW(E$1:E711)*(E2=E$1:E711))))))</f>
        <v> </v>
      </c>
      <c r="K712" s="26" t="str">
        <f>IF(OR(E712="",E712="!!!",F712="NEW"),"",INDEX(J$1:J711,SUMPRODUCT(MAX(ROW(E$1:E711)*(E712=E$1:E711)))))</f>
        <v> </v>
      </c>
      <c r="L712" s="27"/>
    </row>
    <row r="713" spans="1:12">
      <c r="A713" s="20" t="s">
        <v>699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 t="s">
        <v>637</v>
      </c>
      <c r="B714" s="21" t="s">
        <v>254</v>
      </c>
      <c r="C714" s="21" t="s">
        <v>227</v>
      </c>
      <c r="D714" s="21" t="s">
        <v>216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230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281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700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 t="s">
        <v>701</v>
      </c>
      <c r="B718" s="21" t="s">
        <v>504</v>
      </c>
      <c r="C718" s="21" t="s">
        <v>331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702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703</v>
      </c>
      <c r="B720" s="21" t="s">
        <v>503</v>
      </c>
      <c r="C720" s="21" t="s">
        <v>277</v>
      </c>
      <c r="D720" s="21" t="s">
        <v>216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 t="s">
        <v>366</v>
      </c>
      <c r="E721" s="22">
        <f>IF(D721="?OLD","!!!","")</f>
        <v/>
      </c>
      <c r="F721" s="23" t="str">
        <f>IF(OR(E721="",E721="!!!"),"",IF(NOT(ISNA(VLOOKUP(E721,E$1:E720,1,FALSE()))),"OLD",IF(AND(E721&lt;&gt;"",E721&lt;&gt;"!!!"),"NEW","")))</f>
        <v> </v>
      </c>
      <c r="G721" s="24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5" t="str">
        <f>IF(J721&lt;&gt;1,"",IF(I721="SBJ","CB","?"))</f>
        <v> </v>
      </c>
      <c r="I721" s="26" t="str">
        <f>IF(OR(E721="",E721="!!!",F721="NEW"),"",INDEX(B720:B$2,-1+SUMPRODUCT(MAX(ROW(E720:E$2)*(E721=E720:E$2)))))</f>
        <v> </v>
      </c>
      <c r="J721" s="26" t="str">
        <f>IF(OR(E721="",E721="!!!",F721="NEW"),"",COUNTBLANK(OFFSET(A$1,,,SUMPRODUCT(MAX(ROW(E$2:E721)*(E721=E$2:E721)))))-COUNTBLANK(OFFSET(A$1,,,SUMPRODUCT(MAX(ROW(E$1:E720)*(E2=E$1:E720))))))</f>
        <v> </v>
      </c>
      <c r="K721" s="26" t="str">
        <f>IF(OR(E721="",E721="!!!",F721="NEW"),"",INDEX(J$1:J720,SUMPRODUCT(MAX(ROW(E$1:E720)*(E721=E$1:E720)))))</f>
        <v> </v>
      </c>
      <c r="L721" s="27"/>
    </row>
    <row r="722" spans="1:12">
      <c r="A722" s="20" t="s">
        <v>220</v>
      </c>
      <c r="E722" s="22">
        <f>IF(D722="?OLD","!!!","")</f>
        <v/>
      </c>
      <c r="F722" s="23" t="str">
        <f>IF(OR(E722="",E722="!!!"),"",IF(NOT(ISNA(VLOOKUP(E722,E$1:E721,1,FALSE()))),"OLD",IF(AND(E722&lt;&gt;"",E722&lt;&gt;"!!!"),"NEW","")))</f>
        <v> </v>
      </c>
      <c r="G722" s="24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5" t="str">
        <f>IF(J722&lt;&gt;1,"",IF(I722="SBJ","CB","?"))</f>
        <v> </v>
      </c>
      <c r="I722" s="26" t="str">
        <f>IF(OR(E722="",E722="!!!",F722="NEW"),"",INDEX(B721:B$2,-1+SUMPRODUCT(MAX(ROW(E721:E$2)*(E722=E721:E$2)))))</f>
        <v> </v>
      </c>
      <c r="J722" s="26" t="str">
        <f>IF(OR(E722="",E722="!!!",F722="NEW"),"",COUNTBLANK(OFFSET(A$1,,,SUMPRODUCT(MAX(ROW(E$2:E722)*(E722=E$2:E722)))))-COUNTBLANK(OFFSET(A$1,,,SUMPRODUCT(MAX(ROW(E$1:E721)*(E2=E$1:E721))))))</f>
        <v> </v>
      </c>
      <c r="K722" s="26" t="str">
        <f>IF(OR(E722="",E722="!!!",F722="NEW"),"",INDEX(J$1:J721,SUMPRODUCT(MAX(ROW(E$1:E721)*(E722=E$1:E721)))))</f>
        <v> </v>
      </c>
      <c r="L722" s="27"/>
    </row>
    <row r="723" spans="1:12">
      <c r="A723" s="20" t="s">
        <v>704</v>
      </c>
      <c r="E723" s="22">
        <f>IF(D723="?OLD","!!!","")</f>
        <v/>
      </c>
      <c r="F723" s="23" t="str">
        <f>IF(OR(E723="",E723="!!!"),"",IF(NOT(ISNA(VLOOKUP(E723,E$1:E722,1,FALSE()))),"OLD",IF(AND(E723&lt;&gt;"",E723&lt;&gt;"!!!"),"NEW","")))</f>
        <v> </v>
      </c>
      <c r="G723" s="24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5" t="str">
        <f>IF(J723&lt;&gt;1,"",IF(I723="SBJ","CB","?"))</f>
        <v> </v>
      </c>
      <c r="I723" s="26" t="str">
        <f>IF(OR(E723="",E723="!!!",F723="NEW"),"",INDEX(B722:B$2,-1+SUMPRODUCT(MAX(ROW(E722:E$2)*(E723=E722:E$2)))))</f>
        <v> </v>
      </c>
      <c r="J723" s="26" t="str">
        <f>IF(OR(E723="",E723="!!!",F723="NEW"),"",COUNTBLANK(OFFSET(A$1,,,SUMPRODUCT(MAX(ROW(E$2:E723)*(E723=E$2:E723)))))-COUNTBLANK(OFFSET(A$1,,,SUMPRODUCT(MAX(ROW(E$1:E722)*(E2=E$1:E722))))))</f>
        <v> </v>
      </c>
      <c r="K723" s="26" t="str">
        <f>IF(OR(E723="",E723="!!!",F723="NEW"),"",INDEX(J$1:J722,SUMPRODUCT(MAX(ROW(E$1:E722)*(E723=E$1:E722)))))</f>
        <v> </v>
      </c>
      <c r="L723" s="27"/>
    </row>
    <row r="724" spans="1:12">
      <c r="A724" s="20" t="s">
        <v>222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 t="s">
        <v>220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219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 t="s">
        <v>705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706</v>
      </c>
      <c r="B728" s="21" t="s">
        <v>625</v>
      </c>
      <c r="C728" s="21" t="s">
        <v>331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230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563</v>
      </c>
      <c r="B730" s="21" t="s">
        <v>707</v>
      </c>
      <c r="C730" s="21" t="s">
        <v>233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708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 t="s">
        <v>709</v>
      </c>
      <c r="B732" s="21" t="s">
        <v>663</v>
      </c>
      <c r="E732" s="22">
        <f>IF(D732="?OLD","!!!","")</f>
        <v/>
      </c>
      <c r="F732" s="23" t="str">
        <f>IF(OR(E732="",E732="!!!"),"",IF(NOT(ISNA(VLOOKUP(E732,E$1:E731,1,FALSE()))),"OLD",IF(AND(E732&lt;&gt;"",E732&lt;&gt;"!!!"),"NEW","")))</f>
        <v> </v>
      </c>
      <c r="G732" s="24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5" t="str">
        <f>IF(J732&lt;&gt;1,"",IF(I732="SBJ","CB","?"))</f>
        <v> </v>
      </c>
      <c r="I732" s="26" t="str">
        <f>IF(OR(E732="",E732="!!!",F732="NEW"),"",INDEX(B731:B$2,-1+SUMPRODUCT(MAX(ROW(E731:E$2)*(E732=E731:E$2)))))</f>
        <v> </v>
      </c>
      <c r="J732" s="26" t="str">
        <f>IF(OR(E732="",E732="!!!",F732="NEW"),"",COUNTBLANK(OFFSET(A$1,,,SUMPRODUCT(MAX(ROW(E$2:E732)*(E732=E$2:E732)))))-COUNTBLANK(OFFSET(A$1,,,SUMPRODUCT(MAX(ROW(E$1:E731)*(E2=E$1:E731))))))</f>
        <v> </v>
      </c>
      <c r="K732" s="26" t="str">
        <f>IF(OR(E732="",E732="!!!",F732="NEW"),"",INDEX(J$1:J731,SUMPRODUCT(MAX(ROW(E$1:E731)*(E732=E$1:E731)))))</f>
        <v> </v>
      </c>
      <c r="L732" s="27"/>
    </row>
    <row r="733" spans="1:12">
      <c r="A733" s="20" t="s">
        <v>710</v>
      </c>
      <c r="E733" s="22">
        <f>IF(D733="?OLD","!!!","")</f>
        <v/>
      </c>
      <c r="F733" s="23" t="str">
        <f>IF(OR(E733="",E733="!!!"),"",IF(NOT(ISNA(VLOOKUP(E733,E$1:E732,1,FALSE()))),"OLD",IF(AND(E733&lt;&gt;"",E733&lt;&gt;"!!!"),"NEW","")))</f>
        <v> </v>
      </c>
      <c r="G733" s="24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5" t="str">
        <f>IF(J733&lt;&gt;1,"",IF(I733="SBJ","CB","?"))</f>
        <v> </v>
      </c>
      <c r="I733" s="26" t="str">
        <f>IF(OR(E733="",E733="!!!",F733="NEW"),"",INDEX(B732:B$2,-1+SUMPRODUCT(MAX(ROW(E732:E$2)*(E733=E732:E$2)))))</f>
        <v> </v>
      </c>
      <c r="J733" s="26" t="str">
        <f>IF(OR(E733="",E733="!!!",F733="NEW"),"",COUNTBLANK(OFFSET(A$1,,,SUMPRODUCT(MAX(ROW(E$2:E733)*(E733=E$2:E733)))))-COUNTBLANK(OFFSET(A$1,,,SUMPRODUCT(MAX(ROW(E$1:E732)*(E2=E$1:E732))))))</f>
        <v> </v>
      </c>
      <c r="K733" s="26" t="str">
        <f>IF(OR(E733="",E733="!!!",F733="NEW"),"",INDEX(J$1:J732,SUMPRODUCT(MAX(ROW(E$1:E732)*(E733=E$1:E732)))))</f>
        <v> </v>
      </c>
      <c r="L733" s="27"/>
    </row>
    <row r="734" spans="1:12">
      <c r="A734" s="20" t="s">
        <v>217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711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664</v>
      </c>
      <c r="B736" s="21" t="s">
        <v>712</v>
      </c>
      <c r="C736" s="21" t="s">
        <v>215</v>
      </c>
      <c r="D736" s="21" t="s">
        <v>216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 t="s">
        <v>230</v>
      </c>
      <c r="E737" s="22">
        <f>IF(D737="?OLD","!!!","")</f>
        <v/>
      </c>
      <c r="F737" s="23" t="str">
        <f>IF(OR(E737="",E737="!!!"),"",IF(NOT(ISNA(VLOOKUP(E737,E$1:E736,1,FALSE()))),"OLD",IF(AND(E737&lt;&gt;"",E737&lt;&gt;"!!!"),"NEW","")))</f>
        <v> </v>
      </c>
      <c r="G737" s="24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5" t="str">
        <f>IF(J737&lt;&gt;1,"",IF(I737="SBJ","CB","?"))</f>
        <v> </v>
      </c>
      <c r="I737" s="26" t="str">
        <f>IF(OR(E737="",E737="!!!",F737="NEW"),"",INDEX(B736:B$2,-1+SUMPRODUCT(MAX(ROW(E736:E$2)*(E737=E736:E$2)))))</f>
        <v> </v>
      </c>
      <c r="J737" s="26" t="str">
        <f>IF(OR(E737="",E737="!!!",F737="NEW"),"",COUNTBLANK(OFFSET(A$1,,,SUMPRODUCT(MAX(ROW(E$2:E737)*(E737=E$2:E737)))))-COUNTBLANK(OFFSET(A$1,,,SUMPRODUCT(MAX(ROW(E$1:E736)*(E2=E$1:E736))))))</f>
        <v> </v>
      </c>
      <c r="K737" s="26" t="str">
        <f>IF(OR(E737="",E737="!!!",F737="NEW"),"",INDEX(J$1:J736,SUMPRODUCT(MAX(ROW(E$1:E736)*(E737=E$1:E736)))))</f>
        <v> </v>
      </c>
      <c r="L737" s="27"/>
    </row>
    <row r="738" spans="1:12">
      <c r="A738" s="20" t="s">
        <v>713</v>
      </c>
      <c r="E738" s="22">
        <f>IF(D738="?OLD","!!!","")</f>
        <v/>
      </c>
      <c r="F738" s="23" t="str">
        <f>IF(OR(E738="",E738="!!!"),"",IF(NOT(ISNA(VLOOKUP(E738,E$1:E737,1,FALSE()))),"OLD",IF(AND(E738&lt;&gt;"",E738&lt;&gt;"!!!"),"NEW","")))</f>
        <v> </v>
      </c>
      <c r="G738" s="24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5" t="str">
        <f>IF(J738&lt;&gt;1,"",IF(I738="SBJ","CB","?"))</f>
        <v> </v>
      </c>
      <c r="I738" s="26" t="str">
        <f>IF(OR(E738="",E738="!!!",F738="NEW"),"",INDEX(B737:B$2,-1+SUMPRODUCT(MAX(ROW(E737:E$2)*(E738=E737:E$2)))))</f>
        <v> </v>
      </c>
      <c r="J738" s="26" t="str">
        <f>IF(OR(E738="",E738="!!!",F738="NEW"),"",COUNTBLANK(OFFSET(A$1,,,SUMPRODUCT(MAX(ROW(E$2:E738)*(E738=E$2:E738)))))-COUNTBLANK(OFFSET(A$1,,,SUMPRODUCT(MAX(ROW(E$1:E737)*(E2=E$1:E737))))))</f>
        <v> </v>
      </c>
      <c r="K738" s="26" t="str">
        <f>IF(OR(E738="",E738="!!!",F738="NEW"),"",INDEX(J$1:J737,SUMPRODUCT(MAX(ROW(E$1:E737)*(E738=E$1:E737)))))</f>
        <v> </v>
      </c>
      <c r="L738" s="27"/>
    </row>
    <row r="739" spans="1:12">
      <c r="A739" s="20" t="s">
        <v>714</v>
      </c>
      <c r="B739" s="21" t="s">
        <v>655</v>
      </c>
      <c r="E739" s="22">
        <f>IF(D739="?OLD","!!!","")</f>
        <v/>
      </c>
      <c r="F739" s="23" t="str">
        <f>IF(OR(E739="",E739="!!!"),"",IF(NOT(ISNA(VLOOKUP(E739,E$1:E738,1,FALSE()))),"OLD",IF(AND(E739&lt;&gt;"",E739&lt;&gt;"!!!"),"NEW","")))</f>
        <v> </v>
      </c>
      <c r="G739" s="24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5" t="str">
        <f>IF(J739&lt;&gt;1,"",IF(I739="SBJ","CB","?"))</f>
        <v> </v>
      </c>
      <c r="I739" s="26" t="str">
        <f>IF(OR(E739="",E739="!!!",F739="NEW"),"",INDEX(B738:B$2,-1+SUMPRODUCT(MAX(ROW(E738:E$2)*(E739=E738:E$2)))))</f>
        <v> </v>
      </c>
      <c r="J739" s="26" t="str">
        <f>IF(OR(E739="",E739="!!!",F739="NEW"),"",COUNTBLANK(OFFSET(A$1,,,SUMPRODUCT(MAX(ROW(E$2:E739)*(E739=E$2:E739)))))-COUNTBLANK(OFFSET(A$1,,,SUMPRODUCT(MAX(ROW(E$1:E738)*(E2=E$1:E738))))))</f>
        <v> </v>
      </c>
      <c r="K739" s="26" t="str">
        <f>IF(OR(E739="",E739="!!!",F739="NEW"),"",INDEX(J$1:J738,SUMPRODUCT(MAX(ROW(E$1:E738)*(E739=E$1:E738)))))</f>
        <v> </v>
      </c>
      <c r="L739" s="27"/>
    </row>
    <row r="740" spans="1:12">
      <c r="A740" s="20" t="s">
        <v>237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/>
    </row>
    <row r="742" spans="1:12">
      <c r="A742" s="20" t="s">
        <v>715</v>
      </c>
    </row>
    <row r="743" spans="1:12">
      <c r="A743" s="20" t="s">
        <v>716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717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230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 t="s">
        <v>718</v>
      </c>
      <c r="E746" s="22">
        <f>IF(D746="?OLD","!!!","")</f>
        <v/>
      </c>
      <c r="F746" s="23" t="str">
        <f>IF(OR(E746="",E746="!!!"),"",IF(NOT(ISNA(VLOOKUP(E746,E$1:E745,1,FALSE()))),"OLD",IF(AND(E746&lt;&gt;"",E746&lt;&gt;"!!!"),"NEW","")))</f>
        <v> </v>
      </c>
      <c r="G746" s="24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5" t="str">
        <f>IF(J746&lt;&gt;1,"",IF(I746="SBJ","CB","?"))</f>
        <v> </v>
      </c>
      <c r="I746" s="26" t="str">
        <f>IF(OR(E746="",E746="!!!",F746="NEW"),"",INDEX(B745:B$2,-1+SUMPRODUCT(MAX(ROW(E745:E$2)*(E746=E745:E$2)))))</f>
        <v> </v>
      </c>
      <c r="J746" s="26" t="str">
        <f>IF(OR(E746="",E746="!!!",F746="NEW"),"",COUNTBLANK(OFFSET(A$1,,,SUMPRODUCT(MAX(ROW(E$2:E746)*(E746=E$2:E746)))))-COUNTBLANK(OFFSET(A$1,,,SUMPRODUCT(MAX(ROW(E$1:E745)*(E2=E$1:E745))))))</f>
        <v> </v>
      </c>
      <c r="K746" s="26" t="str">
        <f>IF(OR(E746="",E746="!!!",F746="NEW"),"",INDEX(J$1:J745,SUMPRODUCT(MAX(ROW(E$1:E745)*(E746=E$1:E745)))))</f>
        <v> </v>
      </c>
      <c r="L746" s="27"/>
    </row>
    <row r="747" spans="1:12">
      <c r="A747" s="20" t="s">
        <v>351</v>
      </c>
      <c r="E747" s="22">
        <f>IF(D747="?OLD","!!!","")</f>
        <v/>
      </c>
      <c r="F747" s="23" t="str">
        <f>IF(OR(E747="",E747="!!!"),"",IF(NOT(ISNA(VLOOKUP(E747,E$1:E746,1,FALSE()))),"OLD",IF(AND(E747&lt;&gt;"",E747&lt;&gt;"!!!"),"NEW","")))</f>
        <v> </v>
      </c>
      <c r="G747" s="24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5" t="str">
        <f>IF(J747&lt;&gt;1,"",IF(I747="SBJ","CB","?"))</f>
        <v> </v>
      </c>
      <c r="I747" s="26" t="str">
        <f>IF(OR(E747="",E747="!!!",F747="NEW"),"",INDEX(B746:B$2,-1+SUMPRODUCT(MAX(ROW(E746:E$2)*(E747=E746:E$2)))))</f>
        <v> </v>
      </c>
      <c r="J747" s="26" t="str">
        <f>IF(OR(E747="",E747="!!!",F747="NEW"),"",COUNTBLANK(OFFSET(A$1,,,SUMPRODUCT(MAX(ROW(E$2:E747)*(E747=E$2:E747)))))-COUNTBLANK(OFFSET(A$1,,,SUMPRODUCT(MAX(ROW(E$1:E746)*(E2=E$1:E746))))))</f>
        <v> </v>
      </c>
      <c r="K747" s="26" t="str">
        <f>IF(OR(E747="",E747="!!!",F747="NEW"),"",INDEX(J$1:J746,SUMPRODUCT(MAX(ROW(E$1:E746)*(E747=E$1:E746)))))</f>
        <v> </v>
      </c>
      <c r="L747" s="27"/>
    </row>
    <row r="748" spans="1:12">
      <c r="A748" s="20" t="s">
        <v>719</v>
      </c>
      <c r="E748" s="22">
        <f>IF(D748="?OLD","!!!","")</f>
        <v/>
      </c>
      <c r="F748" s="23" t="str">
        <f>IF(OR(E748="",E748="!!!"),"",IF(NOT(ISNA(VLOOKUP(E748,E$1:E747,1,FALSE()))),"OLD",IF(AND(E748&lt;&gt;"",E748&lt;&gt;"!!!"),"NEW","")))</f>
        <v> </v>
      </c>
      <c r="G748" s="24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5" t="str">
        <f>IF(J748&lt;&gt;1,"",IF(I748="SBJ","CB","?"))</f>
        <v> </v>
      </c>
      <c r="I748" s="26" t="str">
        <f>IF(OR(E748="",E748="!!!",F748="NEW"),"",INDEX(B747:B$2,-1+SUMPRODUCT(MAX(ROW(E747:E$2)*(E748=E747:E$2)))))</f>
        <v> </v>
      </c>
      <c r="J748" s="26" t="str">
        <f>IF(OR(E748="",E748="!!!",F748="NEW"),"",COUNTBLANK(OFFSET(A$1,,,SUMPRODUCT(MAX(ROW(E$2:E748)*(E748=E$2:E748)))))-COUNTBLANK(OFFSET(A$1,,,SUMPRODUCT(MAX(ROW(E$1:E747)*(E2=E$1:E747))))))</f>
        <v> </v>
      </c>
      <c r="K748" s="26" t="str">
        <f>IF(OR(E748="",E748="!!!",F748="NEW"),"",INDEX(J$1:J747,SUMPRODUCT(MAX(ROW(E$1:E747)*(E748=E$1:E747)))))</f>
        <v> </v>
      </c>
      <c r="L748" s="27"/>
    </row>
    <row r="749" spans="1:12">
      <c r="A749" s="20" t="s">
        <v>720</v>
      </c>
      <c r="E749" s="22">
        <f>IF(D749="?OLD","!!!","")</f>
        <v/>
      </c>
      <c r="F749" s="23" t="str">
        <f>IF(OR(E749="",E749="!!!"),"",IF(NOT(ISNA(VLOOKUP(E749,E$1:E748,1,FALSE()))),"OLD",IF(AND(E749&lt;&gt;"",E749&lt;&gt;"!!!"),"NEW","")))</f>
        <v> </v>
      </c>
      <c r="G749" s="24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5" t="str">
        <f>IF(J749&lt;&gt;1,"",IF(I749="SBJ","CB","?"))</f>
        <v> </v>
      </c>
      <c r="I749" s="26" t="str">
        <f>IF(OR(E749="",E749="!!!",F749="NEW"),"",INDEX(B748:B$2,-1+SUMPRODUCT(MAX(ROW(E748:E$2)*(E749=E748:E$2)))))</f>
        <v> </v>
      </c>
      <c r="J749" s="26" t="str">
        <f>IF(OR(E749="",E749="!!!",F749="NEW"),"",COUNTBLANK(OFFSET(A$1,,,SUMPRODUCT(MAX(ROW(E$2:E749)*(E749=E$2:E749)))))-COUNTBLANK(OFFSET(A$1,,,SUMPRODUCT(MAX(ROW(E$1:E748)*(E2=E$1:E748))))))</f>
        <v> </v>
      </c>
      <c r="K749" s="26" t="str">
        <f>IF(OR(E749="",E749="!!!",F749="NEW"),"",INDEX(J$1:J748,SUMPRODUCT(MAX(ROW(E$1:E748)*(E749=E$1:E748)))))</f>
        <v> </v>
      </c>
      <c r="L749" s="27"/>
    </row>
    <row r="750" spans="1:12">
      <c r="A750" s="20" t="s">
        <v>286</v>
      </c>
      <c r="E750" s="22">
        <f>IF(D750="?OLD","!!!","")</f>
        <v/>
      </c>
      <c r="F750" s="23" t="str">
        <f>IF(OR(E750="",E750="!!!"),"",IF(NOT(ISNA(VLOOKUP(E750,E$1:E749,1,FALSE()))),"OLD",IF(AND(E750&lt;&gt;"",E750&lt;&gt;"!!!"),"NEW","")))</f>
        <v> </v>
      </c>
      <c r="G750" s="24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5" t="str">
        <f>IF(J750&lt;&gt;1,"",IF(I750="SBJ","CB","?"))</f>
        <v> </v>
      </c>
      <c r="I750" s="26" t="str">
        <f>IF(OR(E750="",E750="!!!",F750="NEW"),"",INDEX(B749:B$2,-1+SUMPRODUCT(MAX(ROW(E749:E$2)*(E750=E749:E$2)))))</f>
        <v> </v>
      </c>
      <c r="J750" s="26" t="str">
        <f>IF(OR(E750="",E750="!!!",F750="NEW"),"",COUNTBLANK(OFFSET(A$1,,,SUMPRODUCT(MAX(ROW(E$2:E750)*(E750=E$2:E750)))))-COUNTBLANK(OFFSET(A$1,,,SUMPRODUCT(MAX(ROW(E$1:E749)*(E2=E$1:E749))))))</f>
        <v> </v>
      </c>
      <c r="K750" s="26" t="str">
        <f>IF(OR(E750="",E750="!!!",F750="NEW"),"",INDEX(J$1:J749,SUMPRODUCT(MAX(ROW(E$1:E749)*(E750=E$1:E749)))))</f>
        <v> </v>
      </c>
      <c r="L750" s="27"/>
    </row>
    <row r="751" spans="1:12">
      <c r="A751" s="20" t="s">
        <v>230</v>
      </c>
      <c r="E751" s="22">
        <f>IF(D751="?OLD","!!!","")</f>
        <v/>
      </c>
      <c r="F751" s="23" t="str">
        <f>IF(OR(E751="",E751="!!!"),"",IF(NOT(ISNA(VLOOKUP(E751,E$1:E750,1,FALSE()))),"OLD",IF(AND(E751&lt;&gt;"",E751&lt;&gt;"!!!"),"NEW","")))</f>
        <v> </v>
      </c>
      <c r="G751" s="24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5" t="str">
        <f>IF(J751&lt;&gt;1,"",IF(I751="SBJ","CB","?"))</f>
        <v> </v>
      </c>
      <c r="I751" s="26" t="str">
        <f>IF(OR(E751="",E751="!!!",F751="NEW"),"",INDEX(B750:B$2,-1+SUMPRODUCT(MAX(ROW(E750:E$2)*(E751=E750:E$2)))))</f>
        <v> </v>
      </c>
      <c r="J751" s="26" t="str">
        <f>IF(OR(E751="",E751="!!!",F751="NEW"),"",COUNTBLANK(OFFSET(A$1,,,SUMPRODUCT(MAX(ROW(E$2:E751)*(E751=E$2:E751)))))-COUNTBLANK(OFFSET(A$1,,,SUMPRODUCT(MAX(ROW(E$1:E750)*(E2=E$1:E750))))))</f>
        <v> </v>
      </c>
      <c r="K751" s="26" t="str">
        <f>IF(OR(E751="",E751="!!!",F751="NEW"),"",INDEX(J$1:J750,SUMPRODUCT(MAX(ROW(E$1:E750)*(E751=E$1:E750)))))</f>
        <v> </v>
      </c>
      <c r="L751" s="27"/>
    </row>
    <row r="752" spans="1:12">
      <c r="A752" s="20" t="s">
        <v>721</v>
      </c>
      <c r="E752" s="22">
        <f>IF(D752="?OLD","!!!","")</f>
        <v/>
      </c>
      <c r="F752" s="23" t="str">
        <f>IF(OR(E752="",E752="!!!"),"",IF(NOT(ISNA(VLOOKUP(E752,E$1:E751,1,FALSE()))),"OLD",IF(AND(E752&lt;&gt;"",E752&lt;&gt;"!!!"),"NEW","")))</f>
        <v> </v>
      </c>
      <c r="G752" s="24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5" t="str">
        <f>IF(J752&lt;&gt;1,"",IF(I752="SBJ","CB","?"))</f>
        <v> </v>
      </c>
      <c r="I752" s="26" t="str">
        <f>IF(OR(E752="",E752="!!!",F752="NEW"),"",INDEX(B751:B$2,-1+SUMPRODUCT(MAX(ROW(E751:E$2)*(E752=E751:E$2)))))</f>
        <v> </v>
      </c>
      <c r="J752" s="26" t="str">
        <f>IF(OR(E752="",E752="!!!",F752="NEW"),"",COUNTBLANK(OFFSET(A$1,,,SUMPRODUCT(MAX(ROW(E$2:E752)*(E752=E$2:E752)))))-COUNTBLANK(OFFSET(A$1,,,SUMPRODUCT(MAX(ROW(E$1:E751)*(E2=E$1:E751))))))</f>
        <v> </v>
      </c>
      <c r="K752" s="26" t="str">
        <f>IF(OR(E752="",E752="!!!",F752="NEW"),"",INDEX(J$1:J751,SUMPRODUCT(MAX(ROW(E$1:E751)*(E752=E$1:E751)))))</f>
        <v> </v>
      </c>
      <c r="L752" s="27"/>
    </row>
    <row r="753" spans="1:12">
      <c r="A753" s="20" t="s">
        <v>722</v>
      </c>
      <c r="B753" s="21" t="s">
        <v>226</v>
      </c>
      <c r="E753" s="22">
        <f>IF(D753="?OLD","!!!","")</f>
        <v/>
      </c>
      <c r="F753" s="23" t="str">
        <f>IF(OR(E753="",E753="!!!"),"",IF(NOT(ISNA(VLOOKUP(E753,E$1:E752,1,FALSE()))),"OLD",IF(AND(E753&lt;&gt;"",E753&lt;&gt;"!!!"),"NEW","")))</f>
        <v> </v>
      </c>
      <c r="G753" s="24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5" t="str">
        <f>IF(J753&lt;&gt;1,"",IF(I753="SBJ","CB","?"))</f>
        <v> </v>
      </c>
      <c r="I753" s="26" t="str">
        <f>IF(OR(E753="",E753="!!!",F753="NEW"),"",INDEX(B752:B$2,-1+SUMPRODUCT(MAX(ROW(E752:E$2)*(E753=E752:E$2)))))</f>
        <v> </v>
      </c>
      <c r="J753" s="26" t="str">
        <f>IF(OR(E753="",E753="!!!",F753="NEW"),"",COUNTBLANK(OFFSET(A$1,,,SUMPRODUCT(MAX(ROW(E$2:E753)*(E753=E$2:E753)))))-COUNTBLANK(OFFSET(A$1,,,SUMPRODUCT(MAX(ROW(E$1:E752)*(E2=E$1:E752))))))</f>
        <v> </v>
      </c>
      <c r="K753" s="26" t="str">
        <f>IF(OR(E753="",E753="!!!",F753="NEW"),"",INDEX(J$1:J752,SUMPRODUCT(MAX(ROW(E$1:E752)*(E753=E$1:E752)))))</f>
        <v> </v>
      </c>
      <c r="L753" s="27"/>
    </row>
    <row r="754" spans="1:12">
      <c r="A754" s="20" t="s">
        <v>723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724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725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 t="s">
        <v>726</v>
      </c>
      <c r="B757" s="21" t="s">
        <v>340</v>
      </c>
      <c r="E757" s="22">
        <f>IF(D757="?OLD","!!!","")</f>
        <v/>
      </c>
      <c r="F757" s="23" t="str">
        <f>IF(OR(E757="",E757="!!!"),"",IF(NOT(ISNA(VLOOKUP(E757,E$1:E756,1,FALSE()))),"OLD",IF(AND(E757&lt;&gt;"",E757&lt;&gt;"!!!"),"NEW","")))</f>
        <v> </v>
      </c>
      <c r="G757" s="24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5" t="str">
        <f>IF(J757&lt;&gt;1,"",IF(I757="SBJ","CB","?"))</f>
        <v> </v>
      </c>
      <c r="I757" s="26" t="str">
        <f>IF(OR(E757="",E757="!!!",F757="NEW"),"",INDEX(B756:B$2,-1+SUMPRODUCT(MAX(ROW(E756:E$2)*(E757=E756:E$2)))))</f>
        <v> </v>
      </c>
      <c r="J757" s="26" t="str">
        <f>IF(OR(E757="",E757="!!!",F757="NEW"),"",COUNTBLANK(OFFSET(A$1,,,SUMPRODUCT(MAX(ROW(E$2:E757)*(E757=E$2:E757)))))-COUNTBLANK(OFFSET(A$1,,,SUMPRODUCT(MAX(ROW(E$1:E756)*(E2=E$1:E756))))))</f>
        <v> </v>
      </c>
      <c r="K757" s="26" t="str">
        <f>IF(OR(E757="",E757="!!!",F757="NEW"),"",INDEX(J$1:J756,SUMPRODUCT(MAX(ROW(E$1:E756)*(E757=E$1:E756)))))</f>
        <v> </v>
      </c>
      <c r="L757" s="27"/>
    </row>
    <row r="758" spans="1:12">
      <c r="A758" s="20" t="s">
        <v>237</v>
      </c>
      <c r="E758" s="22">
        <f>IF(D758="?OLD","!!!","")</f>
        <v/>
      </c>
      <c r="F758" s="23" t="str">
        <f>IF(OR(E758="",E758="!!!"),"",IF(NOT(ISNA(VLOOKUP(E758,E$1:E757,1,FALSE()))),"OLD",IF(AND(E758&lt;&gt;"",E758&lt;&gt;"!!!"),"NEW","")))</f>
        <v> </v>
      </c>
      <c r="G758" s="24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5" t="str">
        <f>IF(J758&lt;&gt;1,"",IF(I758="SBJ","CB","?"))</f>
        <v> </v>
      </c>
      <c r="I758" s="26" t="str">
        <f>IF(OR(E758="",E758="!!!",F758="NEW"),"",INDEX(B757:B$2,-1+SUMPRODUCT(MAX(ROW(E757:E$2)*(E758=E757:E$2)))))</f>
        <v> </v>
      </c>
      <c r="J758" s="26" t="str">
        <f>IF(OR(E758="",E758="!!!",F758="NEW"),"",COUNTBLANK(OFFSET(A$1,,,SUMPRODUCT(MAX(ROW(E$2:E758)*(E758=E$2:E758)))))-COUNTBLANK(OFFSET(A$1,,,SUMPRODUCT(MAX(ROW(E$1:E757)*(E2=E$1:E757))))))</f>
        <v> </v>
      </c>
      <c r="K758" s="26" t="str">
        <f>IF(OR(E758="",E758="!!!",F758="NEW"),"",INDEX(J$1:J757,SUMPRODUCT(MAX(ROW(E$1:E757)*(E758=E$1:E757)))))</f>
        <v> </v>
      </c>
      <c r="L758" s="27"/>
    </row>
    <row r="759" spans="1:12">
      <c r="A759" s="20"/>
    </row>
    <row r="760" spans="1:12">
      <c r="A760" s="20" t="s">
        <v>727</v>
      </c>
    </row>
    <row r="761" spans="1:12">
      <c r="A761" s="20" t="s">
        <v>728</v>
      </c>
      <c r="B761" s="21" t="s">
        <v>340</v>
      </c>
      <c r="C761" s="21" t="s">
        <v>215</v>
      </c>
      <c r="D761" s="21" t="s">
        <v>216</v>
      </c>
      <c r="E761" s="22">
        <f>IF(D761="?OLD","!!!","")</f>
        <v/>
      </c>
      <c r="F761" s="23" t="str">
        <f>IF(OR(E761="",E761="!!!"),"",IF(NOT(ISNA(VLOOKUP(E761,E$1:E760,1,FALSE()))),"OLD",IF(AND(E761&lt;&gt;"",E761&lt;&gt;"!!!"),"NEW","")))</f>
        <v> </v>
      </c>
      <c r="G761" s="24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5" t="str">
        <f>IF(J761&lt;&gt;1,"",IF(I761="SBJ","CB","?"))</f>
        <v> </v>
      </c>
      <c r="I761" s="26" t="str">
        <f>IF(OR(E761="",E761="!!!",F761="NEW"),"",INDEX(B760:B$2,-1+SUMPRODUCT(MAX(ROW(E760:E$2)*(E761=E760:E$2)))))</f>
        <v> </v>
      </c>
      <c r="J761" s="26" t="str">
        <f>IF(OR(E761="",E761="!!!",F761="NEW"),"",COUNTBLANK(OFFSET(A$1,,,SUMPRODUCT(MAX(ROW(E$2:E761)*(E761=E$2:E761)))))-COUNTBLANK(OFFSET(A$1,,,SUMPRODUCT(MAX(ROW(E$1:E760)*(E2=E$1:E760))))))</f>
        <v> </v>
      </c>
      <c r="K761" s="26" t="str">
        <f>IF(OR(E761="",E761="!!!",F761="NEW"),"",INDEX(J$1:J760,SUMPRODUCT(MAX(ROW(E$1:E760)*(E761=E$1:E760)))))</f>
        <v> </v>
      </c>
      <c r="L761" s="27"/>
    </row>
    <row r="762" spans="1:12">
      <c r="A762" s="20" t="s">
        <v>729</v>
      </c>
      <c r="E762" s="22">
        <f>IF(D762="?OLD","!!!","")</f>
        <v/>
      </c>
      <c r="F762" s="23" t="str">
        <f>IF(OR(E762="",E762="!!!"),"",IF(NOT(ISNA(VLOOKUP(E762,E$1:E761,1,FALSE()))),"OLD",IF(AND(E762&lt;&gt;"",E762&lt;&gt;"!!!"),"NEW","")))</f>
        <v> </v>
      </c>
      <c r="G762" s="24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5" t="str">
        <f>IF(J762&lt;&gt;1,"",IF(I762="SBJ","CB","?"))</f>
        <v> </v>
      </c>
      <c r="I762" s="26" t="str">
        <f>IF(OR(E762="",E762="!!!",F762="NEW"),"",INDEX(B761:B$2,-1+SUMPRODUCT(MAX(ROW(E761:E$2)*(E762=E761:E$2)))))</f>
        <v> </v>
      </c>
      <c r="J762" s="26" t="str">
        <f>IF(OR(E762="",E762="!!!",F762="NEW"),"",COUNTBLANK(OFFSET(A$1,,,SUMPRODUCT(MAX(ROW(E$2:E762)*(E762=E$2:E762)))))-COUNTBLANK(OFFSET(A$1,,,SUMPRODUCT(MAX(ROW(E$1:E761)*(E2=E$1:E761))))))</f>
        <v> </v>
      </c>
      <c r="K762" s="26" t="str">
        <f>IF(OR(E762="",E762="!!!",F762="NEW"),"",INDEX(J$1:J761,SUMPRODUCT(MAX(ROW(E$1:E761)*(E762=E$1:E761)))))</f>
        <v> </v>
      </c>
      <c r="L762" s="27"/>
    </row>
    <row r="763" spans="1:12">
      <c r="A763" s="20" t="s">
        <v>730</v>
      </c>
      <c r="B763" s="21" t="s">
        <v>226</v>
      </c>
      <c r="C763" s="21" t="s">
        <v>215</v>
      </c>
      <c r="D763" s="21" t="s">
        <v>216</v>
      </c>
      <c r="E763" s="22">
        <f>IF(D763="?OLD","!!!","")</f>
        <v/>
      </c>
      <c r="F763" s="23" t="str">
        <f>IF(OR(E763="",E763="!!!"),"",IF(NOT(ISNA(VLOOKUP(E763,E$1:E762,1,FALSE()))),"OLD",IF(AND(E763&lt;&gt;"",E763&lt;&gt;"!!!"),"NEW","")))</f>
        <v> </v>
      </c>
      <c r="G763" s="24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5" t="str">
        <f>IF(J763&lt;&gt;1,"",IF(I763="SBJ","CB","?"))</f>
        <v> </v>
      </c>
      <c r="I763" s="26" t="str">
        <f>IF(OR(E763="",E763="!!!",F763="NEW"),"",INDEX(B762:B$2,-1+SUMPRODUCT(MAX(ROW(E762:E$2)*(E763=E762:E$2)))))</f>
        <v> </v>
      </c>
      <c r="J763" s="26" t="str">
        <f>IF(OR(E763="",E763="!!!",F763="NEW"),"",COUNTBLANK(OFFSET(A$1,,,SUMPRODUCT(MAX(ROW(E$2:E763)*(E763=E$2:E763)))))-COUNTBLANK(OFFSET(A$1,,,SUMPRODUCT(MAX(ROW(E$1:E762)*(E2=E$1:E762))))))</f>
        <v> </v>
      </c>
      <c r="K763" s="26" t="str">
        <f>IF(OR(E763="",E763="!!!",F763="NEW"),"",INDEX(J$1:J762,SUMPRODUCT(MAX(ROW(E$1:E762)*(E763=E$1:E762)))))</f>
        <v> </v>
      </c>
      <c r="L763" s="27"/>
    </row>
    <row r="764" spans="1:12">
      <c r="A764" s="20" t="s">
        <v>230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731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 t="s">
        <v>732</v>
      </c>
      <c r="B766" s="21" t="s">
        <v>283</v>
      </c>
      <c r="C766" s="21" t="s">
        <v>215</v>
      </c>
      <c r="D766" s="21" t="s">
        <v>216</v>
      </c>
      <c r="E766" s="22">
        <f>IF(D766="?OLD","!!!","")</f>
        <v/>
      </c>
      <c r="F766" s="23" t="str">
        <f>IF(OR(E766="",E766="!!!"),"",IF(NOT(ISNA(VLOOKUP(E766,E$1:E765,1,FALSE()))),"OLD",IF(AND(E766&lt;&gt;"",E766&lt;&gt;"!!!"),"NEW","")))</f>
        <v> </v>
      </c>
      <c r="G766" s="24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5" t="str">
        <f>IF(J766&lt;&gt;1,"",IF(I766="SBJ","CB","?"))</f>
        <v> </v>
      </c>
      <c r="I766" s="26" t="str">
        <f>IF(OR(E766="",E766="!!!",F766="NEW"),"",INDEX(B765:B$2,-1+SUMPRODUCT(MAX(ROW(E765:E$2)*(E766=E765:E$2)))))</f>
        <v> </v>
      </c>
      <c r="J766" s="26" t="str">
        <f>IF(OR(E766="",E766="!!!",F766="NEW"),"",COUNTBLANK(OFFSET(A$1,,,SUMPRODUCT(MAX(ROW(E$2:E766)*(E766=E$2:E766)))))-COUNTBLANK(OFFSET(A$1,,,SUMPRODUCT(MAX(ROW(E$1:E765)*(E2=E$1:E765))))))</f>
        <v> </v>
      </c>
      <c r="K766" s="26" t="str">
        <f>IF(OR(E766="",E766="!!!",F766="NEW"),"",INDEX(J$1:J765,SUMPRODUCT(MAX(ROW(E$1:E765)*(E766=E$1:E765)))))</f>
        <v> </v>
      </c>
      <c r="L766" s="27"/>
    </row>
    <row r="767" spans="1:12">
      <c r="A767" s="20" t="s">
        <v>733</v>
      </c>
      <c r="E767" s="22">
        <f>IF(D767="?OLD","!!!","")</f>
        <v/>
      </c>
      <c r="F767" s="23" t="str">
        <f>IF(OR(E767="",E767="!!!"),"",IF(NOT(ISNA(VLOOKUP(E767,E$1:E766,1,FALSE()))),"OLD",IF(AND(E767&lt;&gt;"",E767&lt;&gt;"!!!"),"NEW","")))</f>
        <v> </v>
      </c>
      <c r="G767" s="24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5" t="str">
        <f>IF(J767&lt;&gt;1,"",IF(I767="SBJ","CB","?"))</f>
        <v> </v>
      </c>
      <c r="I767" s="26" t="str">
        <f>IF(OR(E767="",E767="!!!",F767="NEW"),"",INDEX(B766:B$2,-1+SUMPRODUCT(MAX(ROW(E766:E$2)*(E767=E766:E$2)))))</f>
        <v> </v>
      </c>
      <c r="J767" s="26" t="str">
        <f>IF(OR(E767="",E767="!!!",F767="NEW"),"",COUNTBLANK(OFFSET(A$1,,,SUMPRODUCT(MAX(ROW(E$2:E767)*(E767=E$2:E767)))))-COUNTBLANK(OFFSET(A$1,,,SUMPRODUCT(MAX(ROW(E$1:E766)*(E2=E$1:E766))))))</f>
        <v> </v>
      </c>
      <c r="K767" s="26" t="str">
        <f>IF(OR(E767="",E767="!!!",F767="NEW"),"",INDEX(J$1:J766,SUMPRODUCT(MAX(ROW(E$1:E766)*(E767=E$1:E766)))))</f>
        <v> </v>
      </c>
      <c r="L767" s="27"/>
    </row>
    <row r="768" spans="1:12">
      <c r="A768" s="20" t="s">
        <v>734</v>
      </c>
      <c r="E768" s="22">
        <f>IF(D768="?OLD","!!!","")</f>
        <v/>
      </c>
      <c r="F768" s="23" t="str">
        <f>IF(OR(E768="",E768="!!!"),"",IF(NOT(ISNA(VLOOKUP(E768,E$1:E767,1,FALSE()))),"OLD",IF(AND(E768&lt;&gt;"",E768&lt;&gt;"!!!"),"NEW","")))</f>
        <v> </v>
      </c>
      <c r="G768" s="24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5" t="str">
        <f>IF(J768&lt;&gt;1,"",IF(I768="SBJ","CB","?"))</f>
        <v> </v>
      </c>
      <c r="I768" s="26" t="str">
        <f>IF(OR(E768="",E768="!!!",F768="NEW"),"",INDEX(B767:B$2,-1+SUMPRODUCT(MAX(ROW(E767:E$2)*(E768=E767:E$2)))))</f>
        <v> </v>
      </c>
      <c r="J768" s="26" t="str">
        <f>IF(OR(E768="",E768="!!!",F768="NEW"),"",COUNTBLANK(OFFSET(A$1,,,SUMPRODUCT(MAX(ROW(E$2:E768)*(E768=E$2:E768)))))-COUNTBLANK(OFFSET(A$1,,,SUMPRODUCT(MAX(ROW(E$1:E767)*(E2=E$1:E767))))))</f>
        <v> </v>
      </c>
      <c r="K768" s="26" t="str">
        <f>IF(OR(E768="",E768="!!!",F768="NEW"),"",INDEX(J$1:J767,SUMPRODUCT(MAX(ROW(E$1:E767)*(E768=E$1:E767)))))</f>
        <v> </v>
      </c>
      <c r="L768" s="27"/>
    </row>
    <row r="769" spans="1:12">
      <c r="A769" s="20" t="s">
        <v>709</v>
      </c>
      <c r="B769" s="21" t="s">
        <v>254</v>
      </c>
      <c r="E769" s="22">
        <f>IF(D769="?OLD","!!!","")</f>
        <v/>
      </c>
      <c r="F769" s="23" t="str">
        <f>IF(OR(E769="",E769="!!!"),"",IF(NOT(ISNA(VLOOKUP(E769,E$1:E768,1,FALSE()))),"OLD",IF(AND(E769&lt;&gt;"",E769&lt;&gt;"!!!"),"NEW","")))</f>
        <v> </v>
      </c>
      <c r="G769" s="24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5" t="str">
        <f>IF(J769&lt;&gt;1,"",IF(I769="SBJ","CB","?"))</f>
        <v> </v>
      </c>
      <c r="I769" s="26" t="str">
        <f>IF(OR(E769="",E769="!!!",F769="NEW"),"",INDEX(B768:B$2,-1+SUMPRODUCT(MAX(ROW(E768:E$2)*(E769=E768:E$2)))))</f>
        <v> </v>
      </c>
      <c r="J769" s="26" t="str">
        <f>IF(OR(E769="",E769="!!!",F769="NEW"),"",COUNTBLANK(OFFSET(A$1,,,SUMPRODUCT(MAX(ROW(E$2:E769)*(E769=E$2:E769)))))-COUNTBLANK(OFFSET(A$1,,,SUMPRODUCT(MAX(ROW(E$1:E768)*(E2=E$1:E768))))))</f>
        <v> </v>
      </c>
      <c r="K769" s="26" t="str">
        <f>IF(OR(E769="",E769="!!!",F769="NEW"),"",INDEX(J$1:J768,SUMPRODUCT(MAX(ROW(E$1:E768)*(E769=E$1:E768)))))</f>
        <v> </v>
      </c>
      <c r="L769" s="27"/>
    </row>
    <row r="770" spans="1:12">
      <c r="A770" s="20" t="s">
        <v>269</v>
      </c>
      <c r="E770" s="22">
        <f>IF(D770="?OLD","!!!","")</f>
        <v/>
      </c>
      <c r="F770" s="23" t="str">
        <f>IF(OR(E770="",E770="!!!"),"",IF(NOT(ISNA(VLOOKUP(E770,E$1:E769,1,FALSE()))),"OLD",IF(AND(E770&lt;&gt;"",E770&lt;&gt;"!!!"),"NEW","")))</f>
        <v> </v>
      </c>
      <c r="G770" s="24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5" t="str">
        <f>IF(J770&lt;&gt;1,"",IF(I770="SBJ","CB","?"))</f>
        <v> </v>
      </c>
      <c r="I770" s="26" t="str">
        <f>IF(OR(E770="",E770="!!!",F770="NEW"),"",INDEX(B769:B$2,-1+SUMPRODUCT(MAX(ROW(E769:E$2)*(E770=E769:E$2)))))</f>
        <v> </v>
      </c>
      <c r="J770" s="26" t="str">
        <f>IF(OR(E770="",E770="!!!",F770="NEW"),"",COUNTBLANK(OFFSET(A$1,,,SUMPRODUCT(MAX(ROW(E$2:E770)*(E770=E$2:E770)))))-COUNTBLANK(OFFSET(A$1,,,SUMPRODUCT(MAX(ROW(E$1:E769)*(E2=E$1:E769))))))</f>
        <v> </v>
      </c>
      <c r="K770" s="26" t="str">
        <f>IF(OR(E770="",E770="!!!",F770="NEW"),"",INDEX(J$1:J769,SUMPRODUCT(MAX(ROW(E$1:E769)*(E770=E$1:E769)))))</f>
        <v> </v>
      </c>
      <c r="L770" s="27"/>
    </row>
    <row r="771" spans="1:12">
      <c r="A771" s="20" t="s">
        <v>735</v>
      </c>
      <c r="E771" s="22">
        <f>IF(D771="?OLD","!!!","")</f>
        <v/>
      </c>
      <c r="F771" s="23" t="str">
        <f>IF(OR(E771="",E771="!!!"),"",IF(NOT(ISNA(VLOOKUP(E771,E$1:E770,1,FALSE()))),"OLD",IF(AND(E771&lt;&gt;"",E771&lt;&gt;"!!!"),"NEW","")))</f>
        <v> </v>
      </c>
      <c r="G771" s="24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5" t="str">
        <f>IF(J771&lt;&gt;1,"",IF(I771="SBJ","CB","?"))</f>
        <v> </v>
      </c>
      <c r="I771" s="26" t="str">
        <f>IF(OR(E771="",E771="!!!",F771="NEW"),"",INDEX(B770:B$2,-1+SUMPRODUCT(MAX(ROW(E770:E$2)*(E771=E770:E$2)))))</f>
        <v> </v>
      </c>
      <c r="J771" s="26" t="str">
        <f>IF(OR(E771="",E771="!!!",F771="NEW"),"",COUNTBLANK(OFFSET(A$1,,,SUMPRODUCT(MAX(ROW(E$2:E771)*(E771=E$2:E771)))))-COUNTBLANK(OFFSET(A$1,,,SUMPRODUCT(MAX(ROW(E$1:E770)*(E2=E$1:E770))))))</f>
        <v> </v>
      </c>
      <c r="K771" s="26" t="str">
        <f>IF(OR(E771="",E771="!!!",F771="NEW"),"",INDEX(J$1:J770,SUMPRODUCT(MAX(ROW(E$1:E770)*(E771=E$1:E770)))))</f>
        <v> </v>
      </c>
      <c r="L771" s="27"/>
    </row>
    <row r="772" spans="1:12">
      <c r="A772" s="20" t="s">
        <v>736</v>
      </c>
      <c r="E772" s="22">
        <f>IF(D772="?OLD","!!!","")</f>
        <v/>
      </c>
      <c r="F772" s="23" t="str">
        <f>IF(OR(E772="",E772="!!!"),"",IF(NOT(ISNA(VLOOKUP(E772,E$1:E771,1,FALSE()))),"OLD",IF(AND(E772&lt;&gt;"",E772&lt;&gt;"!!!"),"NEW","")))</f>
        <v> </v>
      </c>
      <c r="G772" s="24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5" t="str">
        <f>IF(J772&lt;&gt;1,"",IF(I772="SBJ","CB","?"))</f>
        <v> </v>
      </c>
      <c r="I772" s="26" t="str">
        <f>IF(OR(E772="",E772="!!!",F772="NEW"),"",INDEX(B771:B$2,-1+SUMPRODUCT(MAX(ROW(E771:E$2)*(E772=E771:E$2)))))</f>
        <v> </v>
      </c>
      <c r="J772" s="26" t="str">
        <f>IF(OR(E772="",E772="!!!",F772="NEW"),"",COUNTBLANK(OFFSET(A$1,,,SUMPRODUCT(MAX(ROW(E$2:E772)*(E772=E$2:E772)))))-COUNTBLANK(OFFSET(A$1,,,SUMPRODUCT(MAX(ROW(E$1:E771)*(E2=E$1:E771))))))</f>
        <v> </v>
      </c>
      <c r="K772" s="26" t="str">
        <f>IF(OR(E772="",E772="!!!",F772="NEW"),"",INDEX(J$1:J771,SUMPRODUCT(MAX(ROW(E$1:E771)*(E772=E$1:E771)))))</f>
        <v> </v>
      </c>
      <c r="L772" s="27"/>
    </row>
    <row r="773" spans="1:12">
      <c r="A773" s="20" t="s">
        <v>230</v>
      </c>
      <c r="E773" s="22">
        <f>IF(D773="?OLD","!!!","")</f>
        <v/>
      </c>
      <c r="F773" s="23" t="str">
        <f>IF(OR(E773="",E773="!!!"),"",IF(NOT(ISNA(VLOOKUP(E773,E$1:E772,1,FALSE()))),"OLD",IF(AND(E773&lt;&gt;"",E773&lt;&gt;"!!!"),"NEW","")))</f>
        <v> </v>
      </c>
      <c r="G773" s="24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5" t="str">
        <f>IF(J773&lt;&gt;1,"",IF(I773="SBJ","CB","?"))</f>
        <v> </v>
      </c>
      <c r="I773" s="26" t="str">
        <f>IF(OR(E773="",E773="!!!",F773="NEW"),"",INDEX(B772:B$2,-1+SUMPRODUCT(MAX(ROW(E772:E$2)*(E773=E772:E$2)))))</f>
        <v> </v>
      </c>
      <c r="J773" s="26" t="str">
        <f>IF(OR(E773="",E773="!!!",F773="NEW"),"",COUNTBLANK(OFFSET(A$1,,,SUMPRODUCT(MAX(ROW(E$2:E773)*(E773=E$2:E773)))))-COUNTBLANK(OFFSET(A$1,,,SUMPRODUCT(MAX(ROW(E$1:E772)*(E2=E$1:E772))))))</f>
        <v> </v>
      </c>
      <c r="K773" s="26" t="str">
        <f>IF(OR(E773="",E773="!!!",F773="NEW"),"",INDEX(J$1:J772,SUMPRODUCT(MAX(ROW(E$1:E772)*(E773=E$1:E772)))))</f>
        <v> </v>
      </c>
      <c r="L773" s="27"/>
    </row>
    <row r="774" spans="1:12">
      <c r="A774" s="20" t="s">
        <v>355</v>
      </c>
      <c r="E774" s="22">
        <f>IF(D774="?OLD","!!!","")</f>
        <v/>
      </c>
      <c r="F774" s="23" t="str">
        <f>IF(OR(E774="",E774="!!!"),"",IF(NOT(ISNA(VLOOKUP(E774,E$1:E773,1,FALSE()))),"OLD",IF(AND(E774&lt;&gt;"",E774&lt;&gt;"!!!"),"NEW","")))</f>
        <v> </v>
      </c>
      <c r="G774" s="24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5" t="str">
        <f>IF(J774&lt;&gt;1,"",IF(I774="SBJ","CB","?"))</f>
        <v> </v>
      </c>
      <c r="I774" s="26" t="str">
        <f>IF(OR(E774="",E774="!!!",F774="NEW"),"",INDEX(B773:B$2,-1+SUMPRODUCT(MAX(ROW(E773:E$2)*(E774=E773:E$2)))))</f>
        <v> </v>
      </c>
      <c r="J774" s="26" t="str">
        <f>IF(OR(E774="",E774="!!!",F774="NEW"),"",COUNTBLANK(OFFSET(A$1,,,SUMPRODUCT(MAX(ROW(E$2:E774)*(E774=E$2:E774)))))-COUNTBLANK(OFFSET(A$1,,,SUMPRODUCT(MAX(ROW(E$1:E773)*(E2=E$1:E773))))))</f>
        <v> </v>
      </c>
      <c r="K774" s="26" t="str">
        <f>IF(OR(E774="",E774="!!!",F774="NEW"),"",INDEX(J$1:J773,SUMPRODUCT(MAX(ROW(E$1:E773)*(E774=E$1:E773)))))</f>
        <v> </v>
      </c>
      <c r="L774" s="27"/>
    </row>
    <row r="775" spans="1:12">
      <c r="A775" s="20" t="s">
        <v>731</v>
      </c>
      <c r="E775" s="22">
        <f>IF(D775="?OLD","!!!","")</f>
        <v/>
      </c>
      <c r="F775" s="23" t="str">
        <f>IF(OR(E775="",E775="!!!"),"",IF(NOT(ISNA(VLOOKUP(E775,E$1:E774,1,FALSE()))),"OLD",IF(AND(E775&lt;&gt;"",E775&lt;&gt;"!!!"),"NEW","")))</f>
        <v> </v>
      </c>
      <c r="G775" s="24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5" t="str">
        <f>IF(J775&lt;&gt;1,"",IF(I775="SBJ","CB","?"))</f>
        <v> </v>
      </c>
      <c r="I775" s="26" t="str">
        <f>IF(OR(E775="",E775="!!!",F775="NEW"),"",INDEX(B774:B$2,-1+SUMPRODUCT(MAX(ROW(E774:E$2)*(E775=E774:E$2)))))</f>
        <v> </v>
      </c>
      <c r="J775" s="26" t="str">
        <f>IF(OR(E775="",E775="!!!",F775="NEW"),"",COUNTBLANK(OFFSET(A$1,,,SUMPRODUCT(MAX(ROW(E$2:E775)*(E775=E$2:E775)))))-COUNTBLANK(OFFSET(A$1,,,SUMPRODUCT(MAX(ROW(E$1:E774)*(E2=E$1:E774))))))</f>
        <v> </v>
      </c>
      <c r="K775" s="26" t="str">
        <f>IF(OR(E775="",E775="!!!",F775="NEW"),"",INDEX(J$1:J774,SUMPRODUCT(MAX(ROW(E$1:E774)*(E775=E$1:E774)))))</f>
        <v> </v>
      </c>
      <c r="L775" s="27"/>
    </row>
    <row r="776" spans="1:12">
      <c r="A776" s="20" t="s">
        <v>12</v>
      </c>
      <c r="B776" s="21" t="s">
        <v>532</v>
      </c>
      <c r="C776" s="21" t="s">
        <v>215</v>
      </c>
      <c r="D776" s="21" t="s">
        <v>216</v>
      </c>
      <c r="E776" s="22">
        <f>IF(D776="?OLD","!!!","")</f>
        <v/>
      </c>
      <c r="F776" s="23" t="str">
        <f>IF(OR(E776="",E776="!!!"),"",IF(NOT(ISNA(VLOOKUP(E776,E$1:E775,1,FALSE()))),"OLD",IF(AND(E776&lt;&gt;"",E776&lt;&gt;"!!!"),"NEW","")))</f>
        <v> </v>
      </c>
      <c r="G776" s="24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5" t="str">
        <f>IF(J776&lt;&gt;1,"",IF(I776="SBJ","CB","?"))</f>
        <v> </v>
      </c>
      <c r="I776" s="26" t="str">
        <f>IF(OR(E776="",E776="!!!",F776="NEW"),"",INDEX(B775:B$2,-1+SUMPRODUCT(MAX(ROW(E775:E$2)*(E776=E775:E$2)))))</f>
        <v> </v>
      </c>
      <c r="J776" s="26" t="str">
        <f>IF(OR(E776="",E776="!!!",F776="NEW"),"",COUNTBLANK(OFFSET(A$1,,,SUMPRODUCT(MAX(ROW(E$2:E776)*(E776=E$2:E776)))))-COUNTBLANK(OFFSET(A$1,,,SUMPRODUCT(MAX(ROW(E$1:E775)*(E2=E$1:E775))))))</f>
        <v> </v>
      </c>
      <c r="K776" s="26" t="str">
        <f>IF(OR(E776="",E776="!!!",F776="NEW"),"",INDEX(J$1:J775,SUMPRODUCT(MAX(ROW(E$1:E775)*(E776=E$1:E775)))))</f>
        <v> </v>
      </c>
      <c r="L776" s="27"/>
    </row>
    <row r="777" spans="1:12">
      <c r="A777" s="20" t="s">
        <v>217</v>
      </c>
      <c r="E777" s="22">
        <f>IF(D777="?OLD","!!!","")</f>
        <v/>
      </c>
      <c r="F777" s="23" t="str">
        <f>IF(OR(E777="",E777="!!!"),"",IF(NOT(ISNA(VLOOKUP(E777,E$1:E776,1,FALSE()))),"OLD",IF(AND(E777&lt;&gt;"",E777&lt;&gt;"!!!"),"NEW","")))</f>
        <v> </v>
      </c>
      <c r="G777" s="24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5" t="str">
        <f>IF(J777&lt;&gt;1,"",IF(I777="SBJ","CB","?"))</f>
        <v> </v>
      </c>
      <c r="I777" s="26" t="str">
        <f>IF(OR(E777="",E777="!!!",F777="NEW"),"",INDEX(B776:B$2,-1+SUMPRODUCT(MAX(ROW(E776:E$2)*(E777=E776:E$2)))))</f>
        <v> </v>
      </c>
      <c r="J777" s="26" t="str">
        <f>IF(OR(E777="",E777="!!!",F777="NEW"),"",COUNTBLANK(OFFSET(A$1,,,SUMPRODUCT(MAX(ROW(E$2:E777)*(E777=E$2:E777)))))-COUNTBLANK(OFFSET(A$1,,,SUMPRODUCT(MAX(ROW(E$1:E776)*(E2=E$1:E776))))))</f>
        <v> </v>
      </c>
      <c r="K777" s="26" t="str">
        <f>IF(OR(E777="",E777="!!!",F777="NEW"),"",INDEX(J$1:J776,SUMPRODUCT(MAX(ROW(E$1:E776)*(E777=E$1:E776)))))</f>
        <v> </v>
      </c>
      <c r="L777" s="27"/>
    </row>
    <row r="778" spans="1:12">
      <c r="A778" s="20" t="s">
        <v>218</v>
      </c>
      <c r="B778" s="21" t="s">
        <v>330</v>
      </c>
      <c r="C778" s="21" t="s">
        <v>215</v>
      </c>
      <c r="D778" s="21" t="s">
        <v>216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737</v>
      </c>
      <c r="E779" s="22">
        <f>IF(D779="?OLD","!!!","")</f>
        <v/>
      </c>
      <c r="F779" s="23" t="str">
        <f>IF(OR(E779="",E779="!!!"),"",IF(NOT(ISNA(VLOOKUP(E779,E$1:E778,1,FALSE()))),"OLD",IF(AND(E779&lt;&gt;"",E779&lt;&gt;"!!!"),"NEW","")))</f>
        <v> </v>
      </c>
      <c r="G779" s="24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5" t="str">
        <f>IF(J779&lt;&gt;1,"",IF(I779="SBJ","CB","?"))</f>
        <v> </v>
      </c>
      <c r="I779" s="26" t="str">
        <f>IF(OR(E779="",E779="!!!",F779="NEW"),"",INDEX(B778:B$2,-1+SUMPRODUCT(MAX(ROW(E778:E$2)*(E779=E778:E$2)))))</f>
        <v> </v>
      </c>
      <c r="J779" s="26" t="str">
        <f>IF(OR(E779="",E779="!!!",F779="NEW"),"",COUNTBLANK(OFFSET(A$1,,,SUMPRODUCT(MAX(ROW(E$2:E779)*(E779=E$2:E779)))))-COUNTBLANK(OFFSET(A$1,,,SUMPRODUCT(MAX(ROW(E$1:E778)*(E2=E$1:E778))))))</f>
        <v> </v>
      </c>
      <c r="K779" s="26" t="str">
        <f>IF(OR(E779="",E779="!!!",F779="NEW"),"",INDEX(J$1:J778,SUMPRODUCT(MAX(ROW(E$1:E778)*(E779=E$1:E778)))))</f>
        <v> </v>
      </c>
      <c r="L779" s="27"/>
    </row>
    <row r="780" spans="1:12">
      <c r="A780" s="20" t="s">
        <v>738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739</v>
      </c>
      <c r="B781" s="21" t="s">
        <v>527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 t="s">
        <v>237</v>
      </c>
      <c r="E782" s="22">
        <f>IF(D782="?OLD","!!!","")</f>
        <v/>
      </c>
      <c r="F782" s="23" t="str">
        <f>IF(OR(E782="",E782="!!!"),"",IF(NOT(ISNA(VLOOKUP(E782,E$1:E781,1,FALSE()))),"OLD",IF(AND(E782&lt;&gt;"",E782&lt;&gt;"!!!"),"NEW","")))</f>
        <v> </v>
      </c>
      <c r="G782" s="24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5" t="str">
        <f>IF(J782&lt;&gt;1,"",IF(I782="SBJ","CB","?"))</f>
        <v> </v>
      </c>
      <c r="I782" s="26" t="str">
        <f>IF(OR(E782="",E782="!!!",F782="NEW"),"",INDEX(B781:B$2,-1+SUMPRODUCT(MAX(ROW(E781:E$2)*(E782=E781:E$2)))))</f>
        <v> </v>
      </c>
      <c r="J782" s="26" t="str">
        <f>IF(OR(E782="",E782="!!!",F782="NEW"),"",COUNTBLANK(OFFSET(A$1,,,SUMPRODUCT(MAX(ROW(E$2:E782)*(E782=E$2:E782)))))-COUNTBLANK(OFFSET(A$1,,,SUMPRODUCT(MAX(ROW(E$1:E781)*(E2=E$1:E781))))))</f>
        <v> </v>
      </c>
      <c r="K782" s="26" t="str">
        <f>IF(OR(E782="",E782="!!!",F782="NEW"),"",INDEX(J$1:J781,SUMPRODUCT(MAX(ROW(E$1:E781)*(E782=E$1:E781)))))</f>
        <v> </v>
      </c>
      <c r="L782" s="27"/>
    </row>
    <row r="783" spans="1:12">
      <c r="A783" s="20"/>
    </row>
    <row r="784" spans="1:12">
      <c r="A784" s="20" t="s">
        <v>740</v>
      </c>
    </row>
    <row r="785" spans="1:12">
      <c r="A785" s="20" t="s">
        <v>741</v>
      </c>
      <c r="E785" s="22">
        <f>IF(D785="?OLD","!!!","")</f>
        <v/>
      </c>
      <c r="F785" s="23" t="str">
        <f>IF(OR(E785="",E785="!!!"),"",IF(NOT(ISNA(VLOOKUP(E785,E$1:E784,1,FALSE()))),"OLD",IF(AND(E785&lt;&gt;"",E785&lt;&gt;"!!!"),"NEW","")))</f>
        <v> </v>
      </c>
      <c r="G785" s="24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5" t="str">
        <f>IF(J785&lt;&gt;1,"",IF(I785="SBJ","CB","?"))</f>
        <v> </v>
      </c>
      <c r="I785" s="26" t="str">
        <f>IF(OR(E785="",E785="!!!",F785="NEW"),"",INDEX(B784:B$2,-1+SUMPRODUCT(MAX(ROW(E784:E$2)*(E785=E784:E$2)))))</f>
        <v> </v>
      </c>
      <c r="J785" s="26" t="str">
        <f>IF(OR(E785="",E785="!!!",F785="NEW"),"",COUNTBLANK(OFFSET(A$1,,,SUMPRODUCT(MAX(ROW(E$2:E785)*(E785=E$2:E785)))))-COUNTBLANK(OFFSET(A$1,,,SUMPRODUCT(MAX(ROW(E$1:E784)*(E2=E$1:E784))))))</f>
        <v> </v>
      </c>
      <c r="K785" s="26" t="str">
        <f>IF(OR(E785="",E785="!!!",F785="NEW"),"",INDEX(J$1:J784,SUMPRODUCT(MAX(ROW(E$1:E784)*(E785=E$1:E784)))))</f>
        <v> </v>
      </c>
      <c r="L785" s="27"/>
    </row>
    <row r="786" spans="1:12">
      <c r="A786" s="20" t="s">
        <v>230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 t="s">
        <v>742</v>
      </c>
      <c r="E787" s="22">
        <f>IF(D787="?OLD","!!!","")</f>
        <v/>
      </c>
      <c r="F787" s="23" t="str">
        <f>IF(OR(E787="",E787="!!!"),"",IF(NOT(ISNA(VLOOKUP(E787,E$1:E786,1,FALSE()))),"OLD",IF(AND(E787&lt;&gt;"",E787&lt;&gt;"!!!"),"NEW","")))</f>
        <v> </v>
      </c>
      <c r="G787" s="24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5" t="str">
        <f>IF(J787&lt;&gt;1,"",IF(I787="SBJ","CB","?"))</f>
        <v> </v>
      </c>
      <c r="I787" s="26" t="str">
        <f>IF(OR(E787="",E787="!!!",F787="NEW"),"",INDEX(B786:B$2,-1+SUMPRODUCT(MAX(ROW(E786:E$2)*(E787=E786:E$2)))))</f>
        <v> </v>
      </c>
      <c r="J787" s="26" t="str">
        <f>IF(OR(E787="",E787="!!!",F787="NEW"),"",COUNTBLANK(OFFSET(A$1,,,SUMPRODUCT(MAX(ROW(E$2:E787)*(E787=E$2:E787)))))-COUNTBLANK(OFFSET(A$1,,,SUMPRODUCT(MAX(ROW(E$1:E786)*(E2=E$1:E786))))))</f>
        <v> </v>
      </c>
      <c r="K787" s="26" t="str">
        <f>IF(OR(E787="",E787="!!!",F787="NEW"),"",INDEX(J$1:J786,SUMPRODUCT(MAX(ROW(E$1:E786)*(E787=E$1:E786)))))</f>
        <v> </v>
      </c>
      <c r="L787" s="27"/>
    </row>
    <row r="788" spans="1:12">
      <c r="A788" s="20" t="s">
        <v>743</v>
      </c>
      <c r="B788" s="21" t="s">
        <v>232</v>
      </c>
      <c r="E788" s="22">
        <f>IF(D788="?OLD","!!!","")</f>
        <v/>
      </c>
      <c r="F788" s="23" t="str">
        <f>IF(OR(E788="",E788="!!!"),"",IF(NOT(ISNA(VLOOKUP(E788,E$1:E787,1,FALSE()))),"OLD",IF(AND(E788&lt;&gt;"",E788&lt;&gt;"!!!"),"NEW","")))</f>
        <v> </v>
      </c>
      <c r="G788" s="24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5" t="str">
        <f>IF(J788&lt;&gt;1,"",IF(I788="SBJ","CB","?"))</f>
        <v> </v>
      </c>
      <c r="I788" s="26" t="str">
        <f>IF(OR(E788="",E788="!!!",F788="NEW"),"",INDEX(B787:B$2,-1+SUMPRODUCT(MAX(ROW(E787:E$2)*(E788=E787:E$2)))))</f>
        <v> </v>
      </c>
      <c r="J788" s="26" t="str">
        <f>IF(OR(E788="",E788="!!!",F788="NEW"),"",COUNTBLANK(OFFSET(A$1,,,SUMPRODUCT(MAX(ROW(E$2:E788)*(E788=E$2:E788)))))-COUNTBLANK(OFFSET(A$1,,,SUMPRODUCT(MAX(ROW(E$1:E787)*(E2=E$1:E787))))))</f>
        <v> </v>
      </c>
      <c r="K788" s="26" t="str">
        <f>IF(OR(E788="",E788="!!!",F788="NEW"),"",INDEX(J$1:J787,SUMPRODUCT(MAX(ROW(E$1:E787)*(E788=E$1:E787)))))</f>
        <v> </v>
      </c>
      <c r="L788" s="27"/>
    </row>
    <row r="789" spans="1:12">
      <c r="A789" s="20" t="s">
        <v>636</v>
      </c>
      <c r="E789" s="22">
        <f>IF(D789="?OLD","!!!","")</f>
        <v/>
      </c>
      <c r="F789" s="23" t="str">
        <f>IF(OR(E789="",E789="!!!"),"",IF(NOT(ISNA(VLOOKUP(E789,E$1:E788,1,FALSE()))),"OLD",IF(AND(E789&lt;&gt;"",E789&lt;&gt;"!!!"),"NEW","")))</f>
        <v> </v>
      </c>
      <c r="G789" s="24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5" t="str">
        <f>IF(J789&lt;&gt;1,"",IF(I789="SBJ","CB","?"))</f>
        <v> </v>
      </c>
      <c r="I789" s="26" t="str">
        <f>IF(OR(E789="",E789="!!!",F789="NEW"),"",INDEX(B788:B$2,-1+SUMPRODUCT(MAX(ROW(E788:E$2)*(E789=E788:E$2)))))</f>
        <v> </v>
      </c>
      <c r="J789" s="26" t="str">
        <f>IF(OR(E789="",E789="!!!",F789="NEW"),"",COUNTBLANK(OFFSET(A$1,,,SUMPRODUCT(MAX(ROW(E$2:E789)*(E789=E$2:E789)))))-COUNTBLANK(OFFSET(A$1,,,SUMPRODUCT(MAX(ROW(E$1:E788)*(E2=E$1:E788))))))</f>
        <v> </v>
      </c>
      <c r="K789" s="26" t="str">
        <f>IF(OR(E789="",E789="!!!",F789="NEW"),"",INDEX(J$1:J788,SUMPRODUCT(MAX(ROW(E$1:E788)*(E789=E$1:E788)))))</f>
        <v> </v>
      </c>
      <c r="L789" s="27"/>
    </row>
    <row r="790" spans="1:12">
      <c r="A790" s="20" t="s">
        <v>709</v>
      </c>
      <c r="E790" s="22">
        <f>IF(D790="?OLD","!!!","")</f>
        <v/>
      </c>
      <c r="F790" s="23" t="str">
        <f>IF(OR(E790="",E790="!!!"),"",IF(NOT(ISNA(VLOOKUP(E790,E$1:E789,1,FALSE()))),"OLD",IF(AND(E790&lt;&gt;"",E790&lt;&gt;"!!!"),"NEW","")))</f>
        <v> </v>
      </c>
      <c r="G790" s="24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5" t="str">
        <f>IF(J790&lt;&gt;1,"",IF(I790="SBJ","CB","?"))</f>
        <v> </v>
      </c>
      <c r="I790" s="26" t="str">
        <f>IF(OR(E790="",E790="!!!",F790="NEW"),"",INDEX(B789:B$2,-1+SUMPRODUCT(MAX(ROW(E789:E$2)*(E790=E789:E$2)))))</f>
        <v> </v>
      </c>
      <c r="J790" s="26" t="str">
        <f>IF(OR(E790="",E790="!!!",F790="NEW"),"",COUNTBLANK(OFFSET(A$1,,,SUMPRODUCT(MAX(ROW(E$2:E790)*(E790=E$2:E790)))))-COUNTBLANK(OFFSET(A$1,,,SUMPRODUCT(MAX(ROW(E$1:E789)*(E2=E$1:E789))))))</f>
        <v> </v>
      </c>
      <c r="K790" s="26" t="str">
        <f>IF(OR(E790="",E790="!!!",F790="NEW"),"",INDEX(J$1:J789,SUMPRODUCT(MAX(ROW(E$1:E789)*(E790=E$1:E789)))))</f>
        <v> </v>
      </c>
      <c r="L790" s="27"/>
    </row>
    <row r="791" spans="1:12">
      <c r="A791" s="20" t="s">
        <v>637</v>
      </c>
      <c r="B791" s="21" t="s">
        <v>226</v>
      </c>
      <c r="C791" s="21" t="s">
        <v>227</v>
      </c>
      <c r="D791" s="21" t="s">
        <v>216</v>
      </c>
      <c r="E791" s="22">
        <f>IF(D791="?OLD","!!!","")</f>
        <v/>
      </c>
      <c r="F791" s="23" t="str">
        <f>IF(OR(E791="",E791="!!!"),"",IF(NOT(ISNA(VLOOKUP(E791,E$1:E790,1,FALSE()))),"OLD",IF(AND(E791&lt;&gt;"",E791&lt;&gt;"!!!"),"NEW","")))</f>
        <v> </v>
      </c>
      <c r="G791" s="24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5" t="str">
        <f>IF(J791&lt;&gt;1,"",IF(I791="SBJ","CB","?"))</f>
        <v> </v>
      </c>
      <c r="I791" s="26" t="str">
        <f>IF(OR(E791="",E791="!!!",F791="NEW"),"",INDEX(B790:B$2,-1+SUMPRODUCT(MAX(ROW(E790:E$2)*(E791=E790:E$2)))))</f>
        <v> </v>
      </c>
      <c r="J791" s="26" t="str">
        <f>IF(OR(E791="",E791="!!!",F791="NEW"),"",COUNTBLANK(OFFSET(A$1,,,SUMPRODUCT(MAX(ROW(E$2:E791)*(E791=E$2:E791)))))-COUNTBLANK(OFFSET(A$1,,,SUMPRODUCT(MAX(ROW(E$1:E790)*(E2=E$1:E790))))))</f>
        <v> </v>
      </c>
      <c r="K791" s="26" t="str">
        <f>IF(OR(E791="",E791="!!!",F791="NEW"),"",INDEX(J$1:J790,SUMPRODUCT(MAX(ROW(E$1:E790)*(E791=E$1:E790)))))</f>
        <v> </v>
      </c>
      <c r="L791" s="27"/>
    </row>
    <row r="792" spans="1:12">
      <c r="A792" s="20" t="s">
        <v>230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 t="s">
        <v>281</v>
      </c>
      <c r="E793" s="22">
        <f>IF(D793="?OLD","!!!","")</f>
        <v/>
      </c>
      <c r="F793" s="23" t="str">
        <f>IF(OR(E793="",E793="!!!"),"",IF(NOT(ISNA(VLOOKUP(E793,E$1:E792,1,FALSE()))),"OLD",IF(AND(E793&lt;&gt;"",E793&lt;&gt;"!!!"),"NEW","")))</f>
        <v> </v>
      </c>
      <c r="G793" s="24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5" t="str">
        <f>IF(J793&lt;&gt;1,"",IF(I793="SBJ","CB","?"))</f>
        <v> </v>
      </c>
      <c r="I793" s="26" t="str">
        <f>IF(OR(E793="",E793="!!!",F793="NEW"),"",INDEX(B792:B$2,-1+SUMPRODUCT(MAX(ROW(E792:E$2)*(E793=E792:E$2)))))</f>
        <v> </v>
      </c>
      <c r="J793" s="26" t="str">
        <f>IF(OR(E793="",E793="!!!",F793="NEW"),"",COUNTBLANK(OFFSET(A$1,,,SUMPRODUCT(MAX(ROW(E$2:E793)*(E793=E$2:E793)))))-COUNTBLANK(OFFSET(A$1,,,SUMPRODUCT(MAX(ROW(E$1:E792)*(E2=E$1:E792))))))</f>
        <v> </v>
      </c>
      <c r="K793" s="26" t="str">
        <f>IF(OR(E793="",E793="!!!",F793="NEW"),"",INDEX(J$1:J792,SUMPRODUCT(MAX(ROW(E$1:E792)*(E793=E$1:E792)))))</f>
        <v> </v>
      </c>
      <c r="L793" s="27"/>
    </row>
    <row r="794" spans="1:12">
      <c r="A794" s="20" t="s">
        <v>530</v>
      </c>
      <c r="E794" s="22">
        <f>IF(D794="?OLD","!!!","")</f>
        <v/>
      </c>
      <c r="F794" s="23" t="str">
        <f>IF(OR(E794="",E794="!!!"),"",IF(NOT(ISNA(VLOOKUP(E794,E$1:E793,1,FALSE()))),"OLD",IF(AND(E794&lt;&gt;"",E794&lt;&gt;"!!!"),"NEW","")))</f>
        <v> </v>
      </c>
      <c r="G794" s="24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5" t="str">
        <f>IF(J794&lt;&gt;1,"",IF(I794="SBJ","CB","?"))</f>
        <v> </v>
      </c>
      <c r="I794" s="26" t="str">
        <f>IF(OR(E794="",E794="!!!",F794="NEW"),"",INDEX(B793:B$2,-1+SUMPRODUCT(MAX(ROW(E793:E$2)*(E794=E793:E$2)))))</f>
        <v> </v>
      </c>
      <c r="J794" s="26" t="str">
        <f>IF(OR(E794="",E794="!!!",F794="NEW"),"",COUNTBLANK(OFFSET(A$1,,,SUMPRODUCT(MAX(ROW(E$2:E794)*(E794=E$2:E794)))))-COUNTBLANK(OFFSET(A$1,,,SUMPRODUCT(MAX(ROW(E$1:E793)*(E2=E$1:E793))))))</f>
        <v> </v>
      </c>
      <c r="K794" s="26" t="str">
        <f>IF(OR(E794="",E794="!!!",F794="NEW"),"",INDEX(J$1:J793,SUMPRODUCT(MAX(ROW(E$1:E793)*(E794=E$1:E793)))))</f>
        <v> </v>
      </c>
      <c r="L794" s="27"/>
    </row>
    <row r="795" spans="1:12">
      <c r="A795" s="20" t="s">
        <v>533</v>
      </c>
      <c r="E795" s="22">
        <f>IF(D795="?OLD","!!!","")</f>
        <v/>
      </c>
      <c r="F795" s="23" t="str">
        <f>IF(OR(E795="",E795="!!!"),"",IF(NOT(ISNA(VLOOKUP(E795,E$1:E794,1,FALSE()))),"OLD",IF(AND(E795&lt;&gt;"",E795&lt;&gt;"!!!"),"NEW","")))</f>
        <v> </v>
      </c>
      <c r="G795" s="24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5" t="str">
        <f>IF(J795&lt;&gt;1,"",IF(I795="SBJ","CB","?"))</f>
        <v> </v>
      </c>
      <c r="I795" s="26" t="str">
        <f>IF(OR(E795="",E795="!!!",F795="NEW"),"",INDEX(B794:B$2,-1+SUMPRODUCT(MAX(ROW(E794:E$2)*(E795=E794:E$2)))))</f>
        <v> </v>
      </c>
      <c r="J795" s="26" t="str">
        <f>IF(OR(E795="",E795="!!!",F795="NEW"),"",COUNTBLANK(OFFSET(A$1,,,SUMPRODUCT(MAX(ROW(E$2:E795)*(E795=E$2:E795)))))-COUNTBLANK(OFFSET(A$1,,,SUMPRODUCT(MAX(ROW(E$1:E794)*(E2=E$1:E794))))))</f>
        <v> </v>
      </c>
      <c r="K795" s="26" t="str">
        <f>IF(OR(E795="",E795="!!!",F795="NEW"),"",INDEX(J$1:J794,SUMPRODUCT(MAX(ROW(E$1:E794)*(E795=E$1:E794)))))</f>
        <v> </v>
      </c>
      <c r="L795" s="27"/>
    </row>
    <row r="796" spans="1:12">
      <c r="A796" s="20" t="s">
        <v>744</v>
      </c>
      <c r="E796" s="22">
        <f>IF(D796="?OLD","!!!","")</f>
        <v/>
      </c>
      <c r="F796" s="23" t="str">
        <f>IF(OR(E796="",E796="!!!"),"",IF(NOT(ISNA(VLOOKUP(E796,E$1:E795,1,FALSE()))),"OLD",IF(AND(E796&lt;&gt;"",E796&lt;&gt;"!!!"),"NEW","")))</f>
        <v> </v>
      </c>
      <c r="G796" s="24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5" t="str">
        <f>IF(J796&lt;&gt;1,"",IF(I796="SBJ","CB","?"))</f>
        <v> </v>
      </c>
      <c r="I796" s="26" t="str">
        <f>IF(OR(E796="",E796="!!!",F796="NEW"),"",INDEX(B795:B$2,-1+SUMPRODUCT(MAX(ROW(E795:E$2)*(E796=E795:E$2)))))</f>
        <v> </v>
      </c>
      <c r="J796" s="26" t="str">
        <f>IF(OR(E796="",E796="!!!",F796="NEW"),"",COUNTBLANK(OFFSET(A$1,,,SUMPRODUCT(MAX(ROW(E$2:E796)*(E796=E$2:E796)))))-COUNTBLANK(OFFSET(A$1,,,SUMPRODUCT(MAX(ROW(E$1:E795)*(E2=E$1:E795))))))</f>
        <v> </v>
      </c>
      <c r="K796" s="26" t="str">
        <f>IF(OR(E796="",E796="!!!",F796="NEW"),"",INDEX(J$1:J795,SUMPRODUCT(MAX(ROW(E$1:E795)*(E796=E$1:E795)))))</f>
        <v> </v>
      </c>
      <c r="L796" s="27"/>
    </row>
    <row r="797" spans="1:12">
      <c r="A797" s="20" t="s">
        <v>745</v>
      </c>
      <c r="B797" s="21" t="s">
        <v>244</v>
      </c>
      <c r="C797" s="21" t="s">
        <v>331</v>
      </c>
      <c r="E797" s="22">
        <f>IF(D797="?OLD","!!!","")</f>
        <v/>
      </c>
      <c r="F797" s="23" t="str">
        <f>IF(OR(E797="",E797="!!!"),"",IF(NOT(ISNA(VLOOKUP(E797,E$1:E796,1,FALSE()))),"OLD",IF(AND(E797&lt;&gt;"",E797&lt;&gt;"!!!"),"NEW","")))</f>
        <v> </v>
      </c>
      <c r="G797" s="24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5" t="str">
        <f>IF(J797&lt;&gt;1,"",IF(I797="SBJ","CB","?"))</f>
        <v> </v>
      </c>
      <c r="I797" s="26" t="str">
        <f>IF(OR(E797="",E797="!!!",F797="NEW"),"",INDEX(B796:B$2,-1+SUMPRODUCT(MAX(ROW(E796:E$2)*(E797=E796:E$2)))))</f>
        <v> </v>
      </c>
      <c r="J797" s="26" t="str">
        <f>IF(OR(E797="",E797="!!!",F797="NEW"),"",COUNTBLANK(OFFSET(A$1,,,SUMPRODUCT(MAX(ROW(E$2:E797)*(E797=E$2:E797)))))-COUNTBLANK(OFFSET(A$1,,,SUMPRODUCT(MAX(ROW(E$1:E796)*(E2=E$1:E796))))))</f>
        <v> </v>
      </c>
      <c r="K797" s="26" t="str">
        <f>IF(OR(E797="",E797="!!!",F797="NEW"),"",INDEX(J$1:J796,SUMPRODUCT(MAX(ROW(E$1:E796)*(E797=E$1:E796)))))</f>
        <v> </v>
      </c>
      <c r="L797" s="27"/>
    </row>
    <row r="798" spans="1:12">
      <c r="A798" s="20" t="s">
        <v>746</v>
      </c>
      <c r="E798" s="22">
        <f>IF(D798="?OLD","!!!","")</f>
        <v/>
      </c>
      <c r="F798" s="23" t="str">
        <f>IF(OR(E798="",E798="!!!"),"",IF(NOT(ISNA(VLOOKUP(E798,E$1:E797,1,FALSE()))),"OLD",IF(AND(E798&lt;&gt;"",E798&lt;&gt;"!!!"),"NEW","")))</f>
        <v> </v>
      </c>
      <c r="G798" s="24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5" t="str">
        <f>IF(J798&lt;&gt;1,"",IF(I798="SBJ","CB","?"))</f>
        <v> </v>
      </c>
      <c r="I798" s="26" t="str">
        <f>IF(OR(E798="",E798="!!!",F798="NEW"),"",INDEX(B797:B$2,-1+SUMPRODUCT(MAX(ROW(E797:E$2)*(E798=E797:E$2)))))</f>
        <v> </v>
      </c>
      <c r="J798" s="26" t="str">
        <f>IF(OR(E798="",E798="!!!",F798="NEW"),"",COUNTBLANK(OFFSET(A$1,,,SUMPRODUCT(MAX(ROW(E$2:E798)*(E798=E$2:E798)))))-COUNTBLANK(OFFSET(A$1,,,SUMPRODUCT(MAX(ROW(E$1:E797)*(E2=E$1:E797))))))</f>
        <v> </v>
      </c>
      <c r="K798" s="26" t="str">
        <f>IF(OR(E798="",E798="!!!",F798="NEW"),"",INDEX(J$1:J797,SUMPRODUCT(MAX(ROW(E$1:E797)*(E798=E$1:E797)))))</f>
        <v> </v>
      </c>
      <c r="L798" s="27"/>
    </row>
    <row r="799" spans="1:12">
      <c r="A799" s="20" t="s">
        <v>747</v>
      </c>
      <c r="E799" s="22">
        <f>IF(D799="?OLD","!!!","")</f>
        <v/>
      </c>
      <c r="F799" s="23" t="str">
        <f>IF(OR(E799="",E799="!!!"),"",IF(NOT(ISNA(VLOOKUP(E799,E$1:E798,1,FALSE()))),"OLD",IF(AND(E799&lt;&gt;"",E799&lt;&gt;"!!!"),"NEW","")))</f>
        <v> </v>
      </c>
      <c r="G799" s="24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5" t="str">
        <f>IF(J799&lt;&gt;1,"",IF(I799="SBJ","CB","?"))</f>
        <v> </v>
      </c>
      <c r="I799" s="26" t="str">
        <f>IF(OR(E799="",E799="!!!",F799="NEW"),"",INDEX(B798:B$2,-1+SUMPRODUCT(MAX(ROW(E798:E$2)*(E799=E798:E$2)))))</f>
        <v> </v>
      </c>
      <c r="J799" s="26" t="str">
        <f>IF(OR(E799="",E799="!!!",F799="NEW"),"",COUNTBLANK(OFFSET(A$1,,,SUMPRODUCT(MAX(ROW(E$2:E799)*(E799=E$2:E799)))))-COUNTBLANK(OFFSET(A$1,,,SUMPRODUCT(MAX(ROW(E$1:E798)*(E2=E$1:E798))))))</f>
        <v> </v>
      </c>
      <c r="K799" s="26" t="str">
        <f>IF(OR(E799="",E799="!!!",F799="NEW"),"",INDEX(J$1:J798,SUMPRODUCT(MAX(ROW(E$1:E798)*(E799=E$1:E798)))))</f>
        <v> </v>
      </c>
      <c r="L799" s="27"/>
    </row>
    <row r="800" spans="1:12">
      <c r="A800" s="20" t="s">
        <v>230</v>
      </c>
      <c r="E800" s="22">
        <f>IF(D800="?OLD","!!!","")</f>
        <v/>
      </c>
      <c r="F800" s="23" t="str">
        <f>IF(OR(E800="",E800="!!!"),"",IF(NOT(ISNA(VLOOKUP(E800,E$1:E799,1,FALSE()))),"OLD",IF(AND(E800&lt;&gt;"",E800&lt;&gt;"!!!"),"NEW","")))</f>
        <v> </v>
      </c>
      <c r="G800" s="24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5" t="str">
        <f>IF(J800&lt;&gt;1,"",IF(I800="SBJ","CB","?"))</f>
        <v> </v>
      </c>
      <c r="I800" s="26" t="str">
        <f>IF(OR(E800="",E800="!!!",F800="NEW"),"",INDEX(B799:B$2,-1+SUMPRODUCT(MAX(ROW(E799:E$2)*(E800=E799:E$2)))))</f>
        <v> </v>
      </c>
      <c r="J800" s="26" t="str">
        <f>IF(OR(E800="",E800="!!!",F800="NEW"),"",COUNTBLANK(OFFSET(A$1,,,SUMPRODUCT(MAX(ROW(E$2:E800)*(E800=E$2:E800)))))-COUNTBLANK(OFFSET(A$1,,,SUMPRODUCT(MAX(ROW(E$1:E799)*(E2=E$1:E799))))))</f>
        <v> </v>
      </c>
      <c r="K800" s="26" t="str">
        <f>IF(OR(E800="",E800="!!!",F800="NEW"),"",INDEX(J$1:J799,SUMPRODUCT(MAX(ROW(E$1:E799)*(E800=E$1:E799)))))</f>
        <v> </v>
      </c>
      <c r="L800" s="27"/>
    </row>
    <row r="801" spans="1:12">
      <c r="A801" s="20" t="s">
        <v>748</v>
      </c>
      <c r="E801" s="22">
        <f>IF(D801="?OLD","!!!","")</f>
        <v/>
      </c>
      <c r="F801" s="23" t="str">
        <f>IF(OR(E801="",E801="!!!"),"",IF(NOT(ISNA(VLOOKUP(E801,E$1:E800,1,FALSE()))),"OLD",IF(AND(E801&lt;&gt;"",E801&lt;&gt;"!!!"),"NEW","")))</f>
        <v> </v>
      </c>
      <c r="G801" s="24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5" t="str">
        <f>IF(J801&lt;&gt;1,"",IF(I801="SBJ","CB","?"))</f>
        <v> </v>
      </c>
      <c r="I801" s="26" t="str">
        <f>IF(OR(E801="",E801="!!!",F801="NEW"),"",INDEX(B800:B$2,-1+SUMPRODUCT(MAX(ROW(E800:E$2)*(E801=E800:E$2)))))</f>
        <v> </v>
      </c>
      <c r="J801" s="26" t="str">
        <f>IF(OR(E801="",E801="!!!",F801="NEW"),"",COUNTBLANK(OFFSET(A$1,,,SUMPRODUCT(MAX(ROW(E$2:E801)*(E801=E$2:E801)))))-COUNTBLANK(OFFSET(A$1,,,SUMPRODUCT(MAX(ROW(E$1:E800)*(E2=E$1:E800))))))</f>
        <v> </v>
      </c>
      <c r="K801" s="26" t="str">
        <f>IF(OR(E801="",E801="!!!",F801="NEW"),"",INDEX(J$1:J800,SUMPRODUCT(MAX(ROW(E$1:E800)*(E801=E$1:E800)))))</f>
        <v> </v>
      </c>
      <c r="L801" s="27"/>
    </row>
    <row r="802" spans="1:12">
      <c r="A802" s="20" t="s">
        <v>749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 t="s">
        <v>506</v>
      </c>
      <c r="B803" s="21" t="s">
        <v>532</v>
      </c>
      <c r="C803" s="21" t="s">
        <v>331</v>
      </c>
      <c r="E803" s="22">
        <f>IF(D803="?OLD","!!!","")</f>
        <v/>
      </c>
      <c r="F803" s="23" t="str">
        <f>IF(OR(E803="",E803="!!!"),"",IF(NOT(ISNA(VLOOKUP(E803,E$1:E802,1,FALSE()))),"OLD",IF(AND(E803&lt;&gt;"",E803&lt;&gt;"!!!"),"NEW","")))</f>
        <v> </v>
      </c>
      <c r="G803" s="24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5" t="str">
        <f>IF(J803&lt;&gt;1,"",IF(I803="SBJ","CB","?"))</f>
        <v> </v>
      </c>
      <c r="I803" s="26" t="str">
        <f>IF(OR(E803="",E803="!!!",F803="NEW"),"",INDEX(B802:B$2,-1+SUMPRODUCT(MAX(ROW(E802:E$2)*(E803=E802:E$2)))))</f>
        <v> </v>
      </c>
      <c r="J803" s="26" t="str">
        <f>IF(OR(E803="",E803="!!!",F803="NEW"),"",COUNTBLANK(OFFSET(A$1,,,SUMPRODUCT(MAX(ROW(E$2:E803)*(E803=E$2:E803)))))-COUNTBLANK(OFFSET(A$1,,,SUMPRODUCT(MAX(ROW(E$1:E802)*(E2=E$1:E802))))))</f>
        <v> </v>
      </c>
      <c r="K803" s="26" t="str">
        <f>IF(OR(E803="",E803="!!!",F803="NEW"),"",INDEX(J$1:J802,SUMPRODUCT(MAX(ROW(E$1:E802)*(E803=E$1:E802)))))</f>
        <v> </v>
      </c>
      <c r="L803" s="27"/>
    </row>
    <row r="804" spans="1:12">
      <c r="A804" s="20" t="s">
        <v>750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751</v>
      </c>
      <c r="B805" s="21" t="s">
        <v>527</v>
      </c>
      <c r="E805" s="22">
        <f>IF(D805="?OLD","!!!","")</f>
        <v/>
      </c>
      <c r="F805" s="23" t="str">
        <f>IF(OR(E805="",E805="!!!"),"",IF(NOT(ISNA(VLOOKUP(E805,E$1:E804,1,FALSE()))),"OLD",IF(AND(E805&lt;&gt;"",E805&lt;&gt;"!!!"),"NEW","")))</f>
        <v> </v>
      </c>
      <c r="G805" s="24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5" t="str">
        <f>IF(J805&lt;&gt;1,"",IF(I805="SBJ","CB","?"))</f>
        <v> </v>
      </c>
      <c r="I805" s="26" t="str">
        <f>IF(OR(E805="",E805="!!!",F805="NEW"),"",INDEX(B804:B$2,-1+SUMPRODUCT(MAX(ROW(E804:E$2)*(E805=E804:E$2)))))</f>
        <v> </v>
      </c>
      <c r="J805" s="26" t="str">
        <f>IF(OR(E805="",E805="!!!",F805="NEW"),"",COUNTBLANK(OFFSET(A$1,,,SUMPRODUCT(MAX(ROW(E$2:E805)*(E805=E$2:E805)))))-COUNTBLANK(OFFSET(A$1,,,SUMPRODUCT(MAX(ROW(E$1:E804)*(E2=E$1:E804))))))</f>
        <v> </v>
      </c>
      <c r="K805" s="26" t="str">
        <f>IF(OR(E805="",E805="!!!",F805="NEW"),"",INDEX(J$1:J804,SUMPRODUCT(MAX(ROW(E$1:E804)*(E805=E$1:E804)))))</f>
        <v> </v>
      </c>
      <c r="L805" s="27"/>
    </row>
    <row r="806" spans="1:12">
      <c r="A806" s="20" t="s">
        <v>230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752</v>
      </c>
      <c r="B807" s="21" t="s">
        <v>283</v>
      </c>
      <c r="C807" s="21" t="s">
        <v>277</v>
      </c>
      <c r="D807" s="21" t="s">
        <v>216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 t="s">
        <v>305</v>
      </c>
      <c r="E808" s="22">
        <f>IF(D808="?OLD","!!!","")</f>
        <v/>
      </c>
      <c r="F808" s="23" t="str">
        <f>IF(OR(E808="",E808="!!!"),"",IF(NOT(ISNA(VLOOKUP(E808,E$1:E807,1,FALSE()))),"OLD",IF(AND(E808&lt;&gt;"",E808&lt;&gt;"!!!"),"NEW","")))</f>
        <v> </v>
      </c>
      <c r="G808" s="24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5" t="str">
        <f>IF(J808&lt;&gt;1,"",IF(I808="SBJ","CB","?"))</f>
        <v> </v>
      </c>
      <c r="I808" s="26" t="str">
        <f>IF(OR(E808="",E808="!!!",F808="NEW"),"",INDEX(B807:B$2,-1+SUMPRODUCT(MAX(ROW(E807:E$2)*(E808=E807:E$2)))))</f>
        <v> </v>
      </c>
      <c r="J808" s="26" t="str">
        <f>IF(OR(E808="",E808="!!!",F808="NEW"),"",COUNTBLANK(OFFSET(A$1,,,SUMPRODUCT(MAX(ROW(E$2:E808)*(E808=E$2:E808)))))-COUNTBLANK(OFFSET(A$1,,,SUMPRODUCT(MAX(ROW(E$1:E807)*(E2=E$1:E807))))))</f>
        <v> </v>
      </c>
      <c r="K808" s="26" t="str">
        <f>IF(OR(E808="",E808="!!!",F808="NEW"),"",INDEX(J$1:J807,SUMPRODUCT(MAX(ROW(E$1:E807)*(E808=E$1:E807)))))</f>
        <v> </v>
      </c>
      <c r="L808" s="27"/>
    </row>
    <row r="809" spans="1:12">
      <c r="A809" s="20" t="s">
        <v>349</v>
      </c>
      <c r="E809" s="22">
        <f>IF(D809="?OLD","!!!","")</f>
        <v/>
      </c>
      <c r="F809" s="23" t="str">
        <f>IF(OR(E809="",E809="!!!"),"",IF(NOT(ISNA(VLOOKUP(E809,E$1:E808,1,FALSE()))),"OLD",IF(AND(E809&lt;&gt;"",E809&lt;&gt;"!!!"),"NEW","")))</f>
        <v> </v>
      </c>
      <c r="G809" s="24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5" t="str">
        <f>IF(J809&lt;&gt;1,"",IF(I809="SBJ","CB","?"))</f>
        <v> </v>
      </c>
      <c r="I809" s="26" t="str">
        <f>IF(OR(E809="",E809="!!!",F809="NEW"),"",INDEX(B808:B$2,-1+SUMPRODUCT(MAX(ROW(E808:E$2)*(E809=E808:E$2)))))</f>
        <v> </v>
      </c>
      <c r="J809" s="26" t="str">
        <f>IF(OR(E809="",E809="!!!",F809="NEW"),"",COUNTBLANK(OFFSET(A$1,,,SUMPRODUCT(MAX(ROW(E$2:E809)*(E809=E$2:E809)))))-COUNTBLANK(OFFSET(A$1,,,SUMPRODUCT(MAX(ROW(E$1:E808)*(E2=E$1:E808))))))</f>
        <v> </v>
      </c>
      <c r="K809" s="26" t="str">
        <f>IF(OR(E809="",E809="!!!",F809="NEW"),"",INDEX(J$1:J808,SUMPRODUCT(MAX(ROW(E$1:E808)*(E809=E$1:E808)))))</f>
        <v> </v>
      </c>
      <c r="L809" s="27"/>
    </row>
    <row r="810" spans="1:12">
      <c r="A810" s="20" t="s">
        <v>753</v>
      </c>
      <c r="E810" s="22">
        <f>IF(D810="?OLD","!!!","")</f>
        <v/>
      </c>
      <c r="F810" s="23" t="str">
        <f>IF(OR(E810="",E810="!!!"),"",IF(NOT(ISNA(VLOOKUP(E810,E$1:E809,1,FALSE()))),"OLD",IF(AND(E810&lt;&gt;"",E810&lt;&gt;"!!!"),"NEW","")))</f>
        <v> </v>
      </c>
      <c r="G810" s="24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5" t="str">
        <f>IF(J810&lt;&gt;1,"",IF(I810="SBJ","CB","?"))</f>
        <v> </v>
      </c>
      <c r="I810" s="26" t="str">
        <f>IF(OR(E810="",E810="!!!",F810="NEW"),"",INDEX(B809:B$2,-1+SUMPRODUCT(MAX(ROW(E809:E$2)*(E810=E809:E$2)))))</f>
        <v> </v>
      </c>
      <c r="J810" s="26" t="str">
        <f>IF(OR(E810="",E810="!!!",F810="NEW"),"",COUNTBLANK(OFFSET(A$1,,,SUMPRODUCT(MAX(ROW(E$2:E810)*(E810=E$2:E810)))))-COUNTBLANK(OFFSET(A$1,,,SUMPRODUCT(MAX(ROW(E$1:E809)*(E2=E$1:E809))))))</f>
        <v> </v>
      </c>
      <c r="K810" s="26" t="str">
        <f>IF(OR(E810="",E810="!!!",F810="NEW"),"",INDEX(J$1:J809,SUMPRODUCT(MAX(ROW(E$1:E809)*(E810=E$1:E809)))))</f>
        <v> </v>
      </c>
      <c r="L810" s="27"/>
    </row>
    <row r="811" spans="1:12">
      <c r="A811" s="20" t="s">
        <v>754</v>
      </c>
      <c r="E811" s="22">
        <f>IF(D811="?OLD","!!!","")</f>
        <v/>
      </c>
      <c r="F811" s="23" t="str">
        <f>IF(OR(E811="",E811="!!!"),"",IF(NOT(ISNA(VLOOKUP(E811,E$1:E810,1,FALSE()))),"OLD",IF(AND(E811&lt;&gt;"",E811&lt;&gt;"!!!"),"NEW","")))</f>
        <v> </v>
      </c>
      <c r="G811" s="24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5" t="str">
        <f>IF(J811&lt;&gt;1,"",IF(I811="SBJ","CB","?"))</f>
        <v> </v>
      </c>
      <c r="I811" s="26" t="str">
        <f>IF(OR(E811="",E811="!!!",F811="NEW"),"",INDEX(B810:B$2,-1+SUMPRODUCT(MAX(ROW(E810:E$2)*(E811=E810:E$2)))))</f>
        <v> </v>
      </c>
      <c r="J811" s="26" t="str">
        <f>IF(OR(E811="",E811="!!!",F811="NEW"),"",COUNTBLANK(OFFSET(A$1,,,SUMPRODUCT(MAX(ROW(E$2:E811)*(E811=E$2:E811)))))-COUNTBLANK(OFFSET(A$1,,,SUMPRODUCT(MAX(ROW(E$1:E810)*(E2=E$1:E810))))))</f>
        <v> </v>
      </c>
      <c r="K811" s="26" t="str">
        <f>IF(OR(E811="",E811="!!!",F811="NEW"),"",INDEX(J$1:J810,SUMPRODUCT(MAX(ROW(E$1:E810)*(E811=E$1:E810)))))</f>
        <v> </v>
      </c>
      <c r="L811" s="27"/>
    </row>
    <row r="812" spans="1:12">
      <c r="A812" s="20" t="s">
        <v>755</v>
      </c>
      <c r="B812" s="21" t="s">
        <v>254</v>
      </c>
      <c r="C812" s="21" t="s">
        <v>287</v>
      </c>
      <c r="D812" s="21" t="s">
        <v>216</v>
      </c>
      <c r="E812" s="22">
        <f>IF(D812="?OLD","!!!","")</f>
        <v/>
      </c>
      <c r="F812" s="23" t="str">
        <f>IF(OR(E812="",E812="!!!"),"",IF(NOT(ISNA(VLOOKUP(E812,E$1:E811,1,FALSE()))),"OLD",IF(AND(E812&lt;&gt;"",E812&lt;&gt;"!!!"),"NEW","")))</f>
        <v> </v>
      </c>
      <c r="G812" s="24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5" t="str">
        <f>IF(J812&lt;&gt;1,"",IF(I812="SBJ","CB","?"))</f>
        <v> </v>
      </c>
      <c r="I812" s="26" t="str">
        <f>IF(OR(E812="",E812="!!!",F812="NEW"),"",INDEX(B811:B$2,-1+SUMPRODUCT(MAX(ROW(E811:E$2)*(E812=E811:E$2)))))</f>
        <v> </v>
      </c>
      <c r="J812" s="26" t="str">
        <f>IF(OR(E812="",E812="!!!",F812="NEW"),"",COUNTBLANK(OFFSET(A$1,,,SUMPRODUCT(MAX(ROW(E$2:E812)*(E812=E$2:E812)))))-COUNTBLANK(OFFSET(A$1,,,SUMPRODUCT(MAX(ROW(E$1:E811)*(E2=E$1:E811))))))</f>
        <v> </v>
      </c>
      <c r="K812" s="26" t="str">
        <f>IF(OR(E812="",E812="!!!",F812="NEW"),"",INDEX(J$1:J811,SUMPRODUCT(MAX(ROW(E$1:E811)*(E812=E$1:E811)))))</f>
        <v> </v>
      </c>
      <c r="L812" s="27"/>
    </row>
    <row r="813" spans="1:12">
      <c r="A813" s="20" t="s">
        <v>237</v>
      </c>
      <c r="E813" s="22">
        <f>IF(D813="?OLD","!!!","")</f>
        <v/>
      </c>
      <c r="F813" s="23" t="str">
        <f>IF(OR(E813="",E813="!!!"),"",IF(NOT(ISNA(VLOOKUP(E813,E$1:E812,1,FALSE()))),"OLD",IF(AND(E813&lt;&gt;"",E813&lt;&gt;"!!!"),"NEW","")))</f>
        <v> </v>
      </c>
      <c r="G813" s="24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5" t="str">
        <f>IF(J813&lt;&gt;1,"",IF(I813="SBJ","CB","?"))</f>
        <v> </v>
      </c>
      <c r="I813" s="26" t="str">
        <f>IF(OR(E813="",E813="!!!",F813="NEW"),"",INDEX(B812:B$2,-1+SUMPRODUCT(MAX(ROW(E812:E$2)*(E813=E812:E$2)))))</f>
        <v> </v>
      </c>
      <c r="J813" s="26" t="str">
        <f>IF(OR(E813="",E813="!!!",F813="NEW"),"",COUNTBLANK(OFFSET(A$1,,,SUMPRODUCT(MAX(ROW(E$2:E813)*(E813=E$2:E813)))))-COUNTBLANK(OFFSET(A$1,,,SUMPRODUCT(MAX(ROW(E$1:E812)*(E2=E$1:E812))))))</f>
        <v> </v>
      </c>
      <c r="K813" s="26" t="str">
        <f>IF(OR(E813="",E813="!!!",F813="NEW"),"",INDEX(J$1:J812,SUMPRODUCT(MAX(ROW(E$1:E812)*(E813=E$1:E812)))))</f>
        <v> </v>
      </c>
      <c r="L813" s="27"/>
    </row>
    <row r="814" spans="1:12">
      <c r="A814" s="20"/>
    </row>
    <row r="815" spans="1:12">
      <c r="A815" s="20" t="s">
        <v>756</v>
      </c>
    </row>
    <row r="816" spans="1:12">
      <c r="A816" s="20" t="s">
        <v>757</v>
      </c>
      <c r="B816" s="21" t="s">
        <v>226</v>
      </c>
      <c r="C816" s="21" t="s">
        <v>240</v>
      </c>
      <c r="D816" s="21" t="s">
        <v>216</v>
      </c>
      <c r="E816" s="22">
        <f>IF(D816="?OLD","!!!","")</f>
        <v/>
      </c>
      <c r="F816" s="23" t="str">
        <f>IF(OR(E816="",E816="!!!"),"",IF(NOT(ISNA(VLOOKUP(E816,E$1:E815,1,FALSE()))),"OLD",IF(AND(E816&lt;&gt;"",E816&lt;&gt;"!!!"),"NEW","")))</f>
        <v> </v>
      </c>
      <c r="G816" s="24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5" t="str">
        <f>IF(J816&lt;&gt;1,"",IF(I816="SBJ","CB","?"))</f>
        <v> </v>
      </c>
      <c r="I816" s="26" t="str">
        <f>IF(OR(E816="",E816="!!!",F816="NEW"),"",INDEX(B815:B$2,-1+SUMPRODUCT(MAX(ROW(E815:E$2)*(E816=E815:E$2)))))</f>
        <v> </v>
      </c>
      <c r="J816" s="26" t="str">
        <f>IF(OR(E816="",E816="!!!",F816="NEW"),"",COUNTBLANK(OFFSET(A$1,,,SUMPRODUCT(MAX(ROW(E$2:E816)*(E816=E$2:E816)))))-COUNTBLANK(OFFSET(A$1,,,SUMPRODUCT(MAX(ROW(E$1:E815)*(E2=E$1:E815))))))</f>
        <v> </v>
      </c>
      <c r="K816" s="26" t="str">
        <f>IF(OR(E816="",E816="!!!",F816="NEW"),"",INDEX(J$1:J815,SUMPRODUCT(MAX(ROW(E$1:E815)*(E816=E$1:E815)))))</f>
        <v> </v>
      </c>
      <c r="L816" s="27"/>
    </row>
    <row r="817" spans="1:12">
      <c r="A817" s="20" t="s">
        <v>243</v>
      </c>
      <c r="B817" s="21" t="s">
        <v>242</v>
      </c>
      <c r="C817" s="21" t="s">
        <v>215</v>
      </c>
      <c r="D817" s="21" t="s">
        <v>216</v>
      </c>
      <c r="E817" s="22">
        <f>IF(D817="?OLD","!!!","")</f>
        <v/>
      </c>
      <c r="F817" s="23" t="str">
        <f>IF(OR(E817="",E817="!!!"),"",IF(NOT(ISNA(VLOOKUP(E817,E$1:E816,1,FALSE()))),"OLD",IF(AND(E817&lt;&gt;"",E817&lt;&gt;"!!!"),"NEW","")))</f>
        <v> </v>
      </c>
      <c r="G817" s="24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5" t="str">
        <f>IF(J817&lt;&gt;1,"",IF(I817="SBJ","CB","?"))</f>
        <v> </v>
      </c>
      <c r="I817" s="26" t="str">
        <f>IF(OR(E817="",E817="!!!",F817="NEW"),"",INDEX(B816:B$2,-1+SUMPRODUCT(MAX(ROW(E816:E$2)*(E817=E816:E$2)))))</f>
        <v> </v>
      </c>
      <c r="J817" s="26" t="str">
        <f>IF(OR(E817="",E817="!!!",F817="NEW"),"",COUNTBLANK(OFFSET(A$1,,,SUMPRODUCT(MAX(ROW(E$2:E817)*(E817=E$2:E817)))))-COUNTBLANK(OFFSET(A$1,,,SUMPRODUCT(MAX(ROW(E$1:E816)*(E2=E$1:E816))))))</f>
        <v> </v>
      </c>
      <c r="K817" s="26" t="str">
        <f>IF(OR(E817="",E817="!!!",F817="NEW"),"",INDEX(J$1:J816,SUMPRODUCT(MAX(ROW(E$1:E816)*(E817=E$1:E816)))))</f>
        <v> </v>
      </c>
      <c r="L817" s="27"/>
    </row>
    <row r="818" spans="1:12">
      <c r="A818" s="20" t="s">
        <v>758</v>
      </c>
      <c r="E818" s="22">
        <f>IF(D818="?OLD","!!!","")</f>
        <v/>
      </c>
      <c r="F818" s="23" t="str">
        <f>IF(OR(E818="",E818="!!!"),"",IF(NOT(ISNA(VLOOKUP(E818,E$1:E817,1,FALSE()))),"OLD",IF(AND(E818&lt;&gt;"",E818&lt;&gt;"!!!"),"NEW","")))</f>
        <v> </v>
      </c>
      <c r="G818" s="24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5" t="str">
        <f>IF(J818&lt;&gt;1,"",IF(I818="SBJ","CB","?"))</f>
        <v> </v>
      </c>
      <c r="I818" s="26" t="str">
        <f>IF(OR(E818="",E818="!!!",F818="NEW"),"",INDEX(B817:B$2,-1+SUMPRODUCT(MAX(ROW(E817:E$2)*(E818=E817:E$2)))))</f>
        <v> </v>
      </c>
      <c r="J818" s="26" t="str">
        <f>IF(OR(E818="",E818="!!!",F818="NEW"),"",COUNTBLANK(OFFSET(A$1,,,SUMPRODUCT(MAX(ROW(E$2:E818)*(E818=E$2:E818)))))-COUNTBLANK(OFFSET(A$1,,,SUMPRODUCT(MAX(ROW(E$1:E817)*(E2=E$1:E817))))))</f>
        <v> </v>
      </c>
      <c r="K818" s="26" t="str">
        <f>IF(OR(E818="",E818="!!!",F818="NEW"),"",INDEX(J$1:J817,SUMPRODUCT(MAX(ROW(E$1:E817)*(E818=E$1:E817)))))</f>
        <v> </v>
      </c>
      <c r="L818" s="27"/>
    </row>
    <row r="819" spans="1:12">
      <c r="A819" s="20" t="s">
        <v>759</v>
      </c>
      <c r="E819" s="22">
        <f>IF(D819="?OLD","!!!","")</f>
        <v/>
      </c>
      <c r="F819" s="23" t="str">
        <f>IF(OR(E819="",E819="!!!"),"",IF(NOT(ISNA(VLOOKUP(E819,E$1:E818,1,FALSE()))),"OLD",IF(AND(E819&lt;&gt;"",E819&lt;&gt;"!!!"),"NEW","")))</f>
        <v> </v>
      </c>
      <c r="G819" s="24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5" t="str">
        <f>IF(J819&lt;&gt;1,"",IF(I819="SBJ","CB","?"))</f>
        <v> </v>
      </c>
      <c r="I819" s="26" t="str">
        <f>IF(OR(E819="",E819="!!!",F819="NEW"),"",INDEX(B818:B$2,-1+SUMPRODUCT(MAX(ROW(E818:E$2)*(E819=E818:E$2)))))</f>
        <v> </v>
      </c>
      <c r="J819" s="26" t="str">
        <f>IF(OR(E819="",E819="!!!",F819="NEW"),"",COUNTBLANK(OFFSET(A$1,,,SUMPRODUCT(MAX(ROW(E$2:E819)*(E819=E$2:E819)))))-COUNTBLANK(OFFSET(A$1,,,SUMPRODUCT(MAX(ROW(E$1:E818)*(E2=E$1:E818))))))</f>
        <v> </v>
      </c>
      <c r="K819" s="26" t="str">
        <f>IF(OR(E819="",E819="!!!",F819="NEW"),"",INDEX(J$1:J818,SUMPRODUCT(MAX(ROW(E$1:E818)*(E819=E$1:E818)))))</f>
        <v> </v>
      </c>
      <c r="L819" s="27"/>
    </row>
    <row r="820" spans="1:12">
      <c r="A820" s="20" t="s">
        <v>760</v>
      </c>
      <c r="E820" s="22">
        <f>IF(D820="?OLD","!!!","")</f>
        <v/>
      </c>
      <c r="F820" s="23" t="str">
        <f>IF(OR(E820="",E820="!!!"),"",IF(NOT(ISNA(VLOOKUP(E820,E$1:E819,1,FALSE()))),"OLD",IF(AND(E820&lt;&gt;"",E820&lt;&gt;"!!!"),"NEW","")))</f>
        <v> </v>
      </c>
      <c r="G820" s="24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5" t="str">
        <f>IF(J820&lt;&gt;1,"",IF(I820="SBJ","CB","?"))</f>
        <v> </v>
      </c>
      <c r="I820" s="26" t="str">
        <f>IF(OR(E820="",E820="!!!",F820="NEW"),"",INDEX(B819:B$2,-1+SUMPRODUCT(MAX(ROW(E819:E$2)*(E820=E819:E$2)))))</f>
        <v> </v>
      </c>
      <c r="J820" s="26" t="str">
        <f>IF(OR(E820="",E820="!!!",F820="NEW"),"",COUNTBLANK(OFFSET(A$1,,,SUMPRODUCT(MAX(ROW(E$2:E820)*(E820=E$2:E820)))))-COUNTBLANK(OFFSET(A$1,,,SUMPRODUCT(MAX(ROW(E$1:E819)*(E2=E$1:E819))))))</f>
        <v> </v>
      </c>
      <c r="K820" s="26" t="str">
        <f>IF(OR(E820="",E820="!!!",F820="NEW"),"",INDEX(J$1:J819,SUMPRODUCT(MAX(ROW(E$1:E819)*(E820=E$1:E819)))))</f>
        <v> </v>
      </c>
      <c r="L820" s="27"/>
    </row>
    <row r="821" spans="1:12">
      <c r="A821" s="20" t="s">
        <v>351</v>
      </c>
      <c r="E821" s="22">
        <f>IF(D821="?OLD","!!!","")</f>
        <v/>
      </c>
      <c r="F821" s="23" t="str">
        <f>IF(OR(E821="",E821="!!!"),"",IF(NOT(ISNA(VLOOKUP(E821,E$1:E820,1,FALSE()))),"OLD",IF(AND(E821&lt;&gt;"",E821&lt;&gt;"!!!"),"NEW","")))</f>
        <v> </v>
      </c>
      <c r="G821" s="24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5" t="str">
        <f>IF(J821&lt;&gt;1,"",IF(I821="SBJ","CB","?"))</f>
        <v> </v>
      </c>
      <c r="I821" s="26" t="str">
        <f>IF(OR(E821="",E821="!!!",F821="NEW"),"",INDEX(B820:B$2,-1+SUMPRODUCT(MAX(ROW(E820:E$2)*(E821=E820:E$2)))))</f>
        <v> </v>
      </c>
      <c r="J821" s="26" t="str">
        <f>IF(OR(E821="",E821="!!!",F821="NEW"),"",COUNTBLANK(OFFSET(A$1,,,SUMPRODUCT(MAX(ROW(E$2:E821)*(E821=E$2:E821)))))-COUNTBLANK(OFFSET(A$1,,,SUMPRODUCT(MAX(ROW(E$1:E820)*(E2=E$1:E820))))))</f>
        <v> </v>
      </c>
      <c r="K821" s="26" t="str">
        <f>IF(OR(E821="",E821="!!!",F821="NEW"),"",INDEX(J$1:J820,SUMPRODUCT(MAX(ROW(E$1:E820)*(E821=E$1:E820)))))</f>
        <v> </v>
      </c>
      <c r="L821" s="27"/>
    </row>
    <row r="822" spans="1:12">
      <c r="A822" s="20" t="s">
        <v>761</v>
      </c>
      <c r="E822" s="22">
        <f>IF(D822="?OLD","!!!","")</f>
        <v/>
      </c>
      <c r="F822" s="23" t="str">
        <f>IF(OR(E822="",E822="!!!"),"",IF(NOT(ISNA(VLOOKUP(E822,E$1:E821,1,FALSE()))),"OLD",IF(AND(E822&lt;&gt;"",E822&lt;&gt;"!!!"),"NEW","")))</f>
        <v> </v>
      </c>
      <c r="G822" s="24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5" t="str">
        <f>IF(J822&lt;&gt;1,"",IF(I822="SBJ","CB","?"))</f>
        <v> </v>
      </c>
      <c r="I822" s="26" t="str">
        <f>IF(OR(E822="",E822="!!!",F822="NEW"),"",INDEX(B821:B$2,-1+SUMPRODUCT(MAX(ROW(E821:E$2)*(E822=E821:E$2)))))</f>
        <v> </v>
      </c>
      <c r="J822" s="26" t="str">
        <f>IF(OR(E822="",E822="!!!",F822="NEW"),"",COUNTBLANK(OFFSET(A$1,,,SUMPRODUCT(MAX(ROW(E$2:E822)*(E822=E$2:E822)))))-COUNTBLANK(OFFSET(A$1,,,SUMPRODUCT(MAX(ROW(E$1:E821)*(E2=E$1:E821))))))</f>
        <v> </v>
      </c>
      <c r="K822" s="26" t="str">
        <f>IF(OR(E822="",E822="!!!",F822="NEW"),"",INDEX(J$1:J821,SUMPRODUCT(MAX(ROW(E$1:E821)*(E822=E$1:E821)))))</f>
        <v> </v>
      </c>
      <c r="L822" s="27"/>
    </row>
    <row r="823" spans="1:12">
      <c r="A823" s="20" t="s">
        <v>762</v>
      </c>
      <c r="E823" s="22">
        <f>IF(D823="?OLD","!!!","")</f>
        <v/>
      </c>
      <c r="F823" s="23" t="str">
        <f>IF(OR(E823="",E823="!!!"),"",IF(NOT(ISNA(VLOOKUP(E823,E$1:E822,1,FALSE()))),"OLD",IF(AND(E823&lt;&gt;"",E823&lt;&gt;"!!!"),"NEW","")))</f>
        <v> </v>
      </c>
      <c r="G823" s="24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5" t="str">
        <f>IF(J823&lt;&gt;1,"",IF(I823="SBJ","CB","?"))</f>
        <v> </v>
      </c>
      <c r="I823" s="26" t="str">
        <f>IF(OR(E823="",E823="!!!",F823="NEW"),"",INDEX(B822:B$2,-1+SUMPRODUCT(MAX(ROW(E822:E$2)*(E823=E822:E$2)))))</f>
        <v> </v>
      </c>
      <c r="J823" s="26" t="str">
        <f>IF(OR(E823="",E823="!!!",F823="NEW"),"",COUNTBLANK(OFFSET(A$1,,,SUMPRODUCT(MAX(ROW(E$2:E823)*(E823=E$2:E823)))))-COUNTBLANK(OFFSET(A$1,,,SUMPRODUCT(MAX(ROW(E$1:E822)*(E2=E$1:E822))))))</f>
        <v> </v>
      </c>
      <c r="K823" s="26" t="str">
        <f>IF(OR(E823="",E823="!!!",F823="NEW"),"",INDEX(J$1:J822,SUMPRODUCT(MAX(ROW(E$1:E822)*(E823=E$1:E822)))))</f>
        <v> </v>
      </c>
      <c r="L823" s="27"/>
    </row>
    <row r="824" spans="1:12">
      <c r="A824" s="20" t="s">
        <v>352</v>
      </c>
      <c r="B824" s="21" t="s">
        <v>274</v>
      </c>
      <c r="C824" s="21" t="s">
        <v>308</v>
      </c>
      <c r="D824" s="21" t="s">
        <v>216</v>
      </c>
      <c r="E824" s="22">
        <f>IF(D824="?OLD","!!!","")</f>
        <v/>
      </c>
      <c r="F824" s="23" t="str">
        <f>IF(OR(E824="",E824="!!!"),"",IF(NOT(ISNA(VLOOKUP(E824,E$1:E823,1,FALSE()))),"OLD",IF(AND(E824&lt;&gt;"",E824&lt;&gt;"!!!"),"NEW","")))</f>
        <v> </v>
      </c>
      <c r="G824" s="24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5" t="str">
        <f>IF(J824&lt;&gt;1,"",IF(I824="SBJ","CB","?"))</f>
        <v> </v>
      </c>
      <c r="I824" s="26" t="str">
        <f>IF(OR(E824="",E824="!!!",F824="NEW"),"",INDEX(B823:B$2,-1+SUMPRODUCT(MAX(ROW(E823:E$2)*(E824=E823:E$2)))))</f>
        <v> </v>
      </c>
      <c r="J824" s="26" t="str">
        <f>IF(OR(E824="",E824="!!!",F824="NEW"),"",COUNTBLANK(OFFSET(A$1,,,SUMPRODUCT(MAX(ROW(E$2:E824)*(E824=E$2:E824)))))-COUNTBLANK(OFFSET(A$1,,,SUMPRODUCT(MAX(ROW(E$1:E823)*(E2=E$1:E823))))))</f>
        <v> </v>
      </c>
      <c r="K824" s="26" t="str">
        <f>IF(OR(E824="",E824="!!!",F824="NEW"),"",INDEX(J$1:J823,SUMPRODUCT(MAX(ROW(E$1:E823)*(E824=E$1:E823)))))</f>
        <v> </v>
      </c>
      <c r="L824" s="27"/>
    </row>
    <row r="825" spans="1:12">
      <c r="A825" s="20" t="s">
        <v>763</v>
      </c>
      <c r="E825" s="22">
        <f>IF(D825="?OLD","!!!","")</f>
        <v/>
      </c>
      <c r="F825" s="23" t="str">
        <f>IF(OR(E825="",E825="!!!"),"",IF(NOT(ISNA(VLOOKUP(E825,E$1:E824,1,FALSE()))),"OLD",IF(AND(E825&lt;&gt;"",E825&lt;&gt;"!!!"),"NEW","")))</f>
        <v> </v>
      </c>
      <c r="G825" s="24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5" t="str">
        <f>IF(J825&lt;&gt;1,"",IF(I825="SBJ","CB","?"))</f>
        <v> </v>
      </c>
      <c r="I825" s="26" t="str">
        <f>IF(OR(E825="",E825="!!!",F825="NEW"),"",INDEX(B824:B$2,-1+SUMPRODUCT(MAX(ROW(E824:E$2)*(E825=E824:E$2)))))</f>
        <v> </v>
      </c>
      <c r="J825" s="26" t="str">
        <f>IF(OR(E825="",E825="!!!",F825="NEW"),"",COUNTBLANK(OFFSET(A$1,,,SUMPRODUCT(MAX(ROW(E$2:E825)*(E825=E$2:E825)))))-COUNTBLANK(OFFSET(A$1,,,SUMPRODUCT(MAX(ROW(E$1:E824)*(E2=E$1:E824))))))</f>
        <v> </v>
      </c>
      <c r="K825" s="26" t="str">
        <f>IF(OR(E825="",E825="!!!",F825="NEW"),"",INDEX(J$1:J824,SUMPRODUCT(MAX(ROW(E$1:E824)*(E825=E$1:E824)))))</f>
        <v> </v>
      </c>
      <c r="L825" s="27"/>
    </row>
    <row r="826" spans="1:12">
      <c r="A826" s="20" t="s">
        <v>230</v>
      </c>
      <c r="E826" s="22">
        <f>IF(D826="?OLD","!!!","")</f>
        <v/>
      </c>
      <c r="F826" s="23" t="str">
        <f>IF(OR(E826="",E826="!!!"),"",IF(NOT(ISNA(VLOOKUP(E826,E$1:E825,1,FALSE()))),"OLD",IF(AND(E826&lt;&gt;"",E826&lt;&gt;"!!!"),"NEW","")))</f>
        <v> </v>
      </c>
      <c r="G826" s="24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5" t="str">
        <f>IF(J826&lt;&gt;1,"",IF(I826="SBJ","CB","?"))</f>
        <v> </v>
      </c>
      <c r="I826" s="26" t="str">
        <f>IF(OR(E826="",E826="!!!",F826="NEW"),"",INDEX(B825:B$2,-1+SUMPRODUCT(MAX(ROW(E825:E$2)*(E826=E825:E$2)))))</f>
        <v> </v>
      </c>
      <c r="J826" s="26" t="str">
        <f>IF(OR(E826="",E826="!!!",F826="NEW"),"",COUNTBLANK(OFFSET(A$1,,,SUMPRODUCT(MAX(ROW(E$2:E826)*(E826=E$2:E826)))))-COUNTBLANK(OFFSET(A$1,,,SUMPRODUCT(MAX(ROW(E$1:E825)*(E2=E$1:E825))))))</f>
        <v> </v>
      </c>
      <c r="K826" s="26" t="str">
        <f>IF(OR(E826="",E826="!!!",F826="NEW"),"",INDEX(J$1:J825,SUMPRODUCT(MAX(ROW(E$1:E825)*(E826=E$1:E825)))))</f>
        <v> </v>
      </c>
      <c r="L826" s="27"/>
    </row>
    <row r="827" spans="1:12">
      <c r="A827" s="20" t="s">
        <v>269</v>
      </c>
      <c r="E827" s="22">
        <f>IF(D827="?OLD","!!!","")</f>
        <v/>
      </c>
      <c r="F827" s="23" t="str">
        <f>IF(OR(E827="",E827="!!!"),"",IF(NOT(ISNA(VLOOKUP(E827,E$1:E826,1,FALSE()))),"OLD",IF(AND(E827&lt;&gt;"",E827&lt;&gt;"!!!"),"NEW","")))</f>
        <v> </v>
      </c>
      <c r="G827" s="24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5" t="str">
        <f>IF(J827&lt;&gt;1,"",IF(I827="SBJ","CB","?"))</f>
        <v> </v>
      </c>
      <c r="I827" s="26" t="str">
        <f>IF(OR(E827="",E827="!!!",F827="NEW"),"",INDEX(B826:B$2,-1+SUMPRODUCT(MAX(ROW(E826:E$2)*(E827=E826:E$2)))))</f>
        <v> </v>
      </c>
      <c r="J827" s="26" t="str">
        <f>IF(OR(E827="",E827="!!!",F827="NEW"),"",COUNTBLANK(OFFSET(A$1,,,SUMPRODUCT(MAX(ROW(E$2:E827)*(E827=E$2:E827)))))-COUNTBLANK(OFFSET(A$1,,,SUMPRODUCT(MAX(ROW(E$1:E826)*(E2=E$1:E826))))))</f>
        <v> </v>
      </c>
      <c r="K827" s="26" t="str">
        <f>IF(OR(E827="",E827="!!!",F827="NEW"),"",INDEX(J$1:J826,SUMPRODUCT(MAX(ROW(E$1:E826)*(E827=E$1:E826)))))</f>
        <v> </v>
      </c>
      <c r="L827" s="27"/>
    </row>
    <row r="828" spans="1:12">
      <c r="A828" s="20" t="s">
        <v>637</v>
      </c>
      <c r="E828" s="22">
        <f>IF(D828="?OLD","!!!","")</f>
        <v/>
      </c>
      <c r="F828" s="23" t="str">
        <f>IF(OR(E828="",E828="!!!"),"",IF(NOT(ISNA(VLOOKUP(E828,E$1:E827,1,FALSE()))),"OLD",IF(AND(E828&lt;&gt;"",E828&lt;&gt;"!!!"),"NEW","")))</f>
        <v> </v>
      </c>
      <c r="G828" s="24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5" t="str">
        <f>IF(J828&lt;&gt;1,"",IF(I828="SBJ","CB","?"))</f>
        <v> </v>
      </c>
      <c r="I828" s="26" t="str">
        <f>IF(OR(E828="",E828="!!!",F828="NEW"),"",INDEX(B827:B$2,-1+SUMPRODUCT(MAX(ROW(E827:E$2)*(E828=E827:E$2)))))</f>
        <v> </v>
      </c>
      <c r="J828" s="26" t="str">
        <f>IF(OR(E828="",E828="!!!",F828="NEW"),"",COUNTBLANK(OFFSET(A$1,,,SUMPRODUCT(MAX(ROW(E$2:E828)*(E828=E$2:E828)))))-COUNTBLANK(OFFSET(A$1,,,SUMPRODUCT(MAX(ROW(E$1:E827)*(E2=E$1:E827))))))</f>
        <v> </v>
      </c>
      <c r="K828" s="26" t="str">
        <f>IF(OR(E828="",E828="!!!",F828="NEW"),"",INDEX(J$1:J827,SUMPRODUCT(MAX(ROW(E$1:E827)*(E828=E$1:E827)))))</f>
        <v> </v>
      </c>
      <c r="L828" s="27"/>
    </row>
    <row r="829" spans="1:12">
      <c r="A829" s="20" t="s">
        <v>488</v>
      </c>
      <c r="E829" s="22">
        <f>IF(D829="?OLD","!!!","")</f>
        <v/>
      </c>
      <c r="F829" s="23" t="str">
        <f>IF(OR(E829="",E829="!!!"),"",IF(NOT(ISNA(VLOOKUP(E829,E$1:E828,1,FALSE()))),"OLD",IF(AND(E829&lt;&gt;"",E829&lt;&gt;"!!!"),"NEW","")))</f>
        <v> </v>
      </c>
      <c r="G829" s="24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5" t="str">
        <f>IF(J829&lt;&gt;1,"",IF(I829="SBJ","CB","?"))</f>
        <v> </v>
      </c>
      <c r="I829" s="26" t="str">
        <f>IF(OR(E829="",E829="!!!",F829="NEW"),"",INDEX(B828:B$2,-1+SUMPRODUCT(MAX(ROW(E828:E$2)*(E829=E828:E$2)))))</f>
        <v> </v>
      </c>
      <c r="J829" s="26" t="str">
        <f>IF(OR(E829="",E829="!!!",F829="NEW"),"",COUNTBLANK(OFFSET(A$1,,,SUMPRODUCT(MAX(ROW(E$2:E829)*(E829=E$2:E829)))))-COUNTBLANK(OFFSET(A$1,,,SUMPRODUCT(MAX(ROW(E$1:E828)*(E2=E$1:E828))))))</f>
        <v> </v>
      </c>
      <c r="K829" s="26" t="str">
        <f>IF(OR(E829="",E829="!!!",F829="NEW"),"",INDEX(J$1:J828,SUMPRODUCT(MAX(ROW(E$1:E828)*(E829=E$1:E828)))))</f>
        <v> </v>
      </c>
      <c r="L829" s="27"/>
    </row>
    <row r="830" spans="1:12">
      <c r="A830" s="20" t="s">
        <v>366</v>
      </c>
      <c r="E830" s="22">
        <f>IF(D830="?OLD","!!!","")</f>
        <v/>
      </c>
      <c r="F830" s="23" t="str">
        <f>IF(OR(E830="",E830="!!!"),"",IF(NOT(ISNA(VLOOKUP(E830,E$1:E829,1,FALSE()))),"OLD",IF(AND(E830&lt;&gt;"",E830&lt;&gt;"!!!"),"NEW","")))</f>
        <v> </v>
      </c>
      <c r="G830" s="24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5" t="str">
        <f>IF(J830&lt;&gt;1,"",IF(I830="SBJ","CB","?"))</f>
        <v> </v>
      </c>
      <c r="I830" s="26" t="str">
        <f>IF(OR(E830="",E830="!!!",F830="NEW"),"",INDEX(B829:B$2,-1+SUMPRODUCT(MAX(ROW(E829:E$2)*(E830=E829:E$2)))))</f>
        <v> </v>
      </c>
      <c r="J830" s="26" t="str">
        <f>IF(OR(E830="",E830="!!!",F830="NEW"),"",COUNTBLANK(OFFSET(A$1,,,SUMPRODUCT(MAX(ROW(E$2:E830)*(E830=E$2:E830)))))-COUNTBLANK(OFFSET(A$1,,,SUMPRODUCT(MAX(ROW(E$1:E829)*(E2=E$1:E829))))))</f>
        <v> </v>
      </c>
      <c r="K830" s="26" t="str">
        <f>IF(OR(E830="",E830="!!!",F830="NEW"),"",INDEX(J$1:J829,SUMPRODUCT(MAX(ROW(E$1:E829)*(E830=E$1:E829)))))</f>
        <v> </v>
      </c>
      <c r="L830" s="27"/>
    </row>
    <row r="831" spans="1:12">
      <c r="A831" s="20" t="s">
        <v>499</v>
      </c>
      <c r="B831" s="21" t="s">
        <v>232</v>
      </c>
      <c r="E831" s="22">
        <f>IF(D831="?OLD","!!!","")</f>
        <v/>
      </c>
      <c r="F831" s="23" t="str">
        <f>IF(OR(E831="",E831="!!!"),"",IF(NOT(ISNA(VLOOKUP(E831,E$1:E830,1,FALSE()))),"OLD",IF(AND(E831&lt;&gt;"",E831&lt;&gt;"!!!"),"NEW","")))</f>
        <v> </v>
      </c>
      <c r="G831" s="24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5" t="str">
        <f>IF(J831&lt;&gt;1,"",IF(I831="SBJ","CB","?"))</f>
        <v> </v>
      </c>
      <c r="I831" s="26" t="str">
        <f>IF(OR(E831="",E831="!!!",F831="NEW"),"",INDEX(B830:B$2,-1+SUMPRODUCT(MAX(ROW(E830:E$2)*(E831=E830:E$2)))))</f>
        <v> </v>
      </c>
      <c r="J831" s="26" t="str">
        <f>IF(OR(E831="",E831="!!!",F831="NEW"),"",COUNTBLANK(OFFSET(A$1,,,SUMPRODUCT(MAX(ROW(E$2:E831)*(E831=E$2:E831)))))-COUNTBLANK(OFFSET(A$1,,,SUMPRODUCT(MAX(ROW(E$1:E830)*(E2=E$1:E830))))))</f>
        <v> </v>
      </c>
      <c r="K831" s="26" t="str">
        <f>IF(OR(E831="",E831="!!!",F831="NEW"),"",INDEX(J$1:J830,SUMPRODUCT(MAX(ROW(E$1:E830)*(E831=E$1:E830)))))</f>
        <v> </v>
      </c>
      <c r="L831" s="27"/>
    </row>
    <row r="832" spans="1:12">
      <c r="A832" s="20" t="s">
        <v>264</v>
      </c>
      <c r="B832" s="21" t="s">
        <v>244</v>
      </c>
      <c r="C832" s="21" t="s">
        <v>215</v>
      </c>
      <c r="D832" s="21" t="s">
        <v>216</v>
      </c>
      <c r="E832" s="22">
        <f>IF(D832="?OLD","!!!","")</f>
        <v/>
      </c>
      <c r="F832" s="23" t="str">
        <f>IF(OR(E832="",E832="!!!"),"",IF(NOT(ISNA(VLOOKUP(E832,E$1:E831,1,FALSE()))),"OLD",IF(AND(E832&lt;&gt;"",E832&lt;&gt;"!!!"),"NEW","")))</f>
        <v> </v>
      </c>
      <c r="G832" s="24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5" t="str">
        <f>IF(J832&lt;&gt;1,"",IF(I832="SBJ","CB","?"))</f>
        <v> </v>
      </c>
      <c r="I832" s="26" t="str">
        <f>IF(OR(E832="",E832="!!!",F832="NEW"),"",INDEX(B831:B$2,-1+SUMPRODUCT(MAX(ROW(E831:E$2)*(E832=E831:E$2)))))</f>
        <v> </v>
      </c>
      <c r="J832" s="26" t="str">
        <f>IF(OR(E832="",E832="!!!",F832="NEW"),"",COUNTBLANK(OFFSET(A$1,,,SUMPRODUCT(MAX(ROW(E$2:E832)*(E832=E$2:E832)))))-COUNTBLANK(OFFSET(A$1,,,SUMPRODUCT(MAX(ROW(E$1:E831)*(E2=E$1:E831))))))</f>
        <v> </v>
      </c>
      <c r="K832" s="26" t="str">
        <f>IF(OR(E832="",E832="!!!",F832="NEW"),"",INDEX(J$1:J831,SUMPRODUCT(MAX(ROW(E$1:E831)*(E832=E$1:E831)))))</f>
        <v> </v>
      </c>
      <c r="L832" s="27"/>
    </row>
    <row r="833" spans="1:12">
      <c r="A833" s="20" t="s">
        <v>764</v>
      </c>
      <c r="E833" s="22">
        <f>IF(D833="?OLD","!!!","")</f>
        <v/>
      </c>
      <c r="F833" s="23" t="str">
        <f>IF(OR(E833="",E833="!!!"),"",IF(NOT(ISNA(VLOOKUP(E833,E$1:E832,1,FALSE()))),"OLD",IF(AND(E833&lt;&gt;"",E833&lt;&gt;"!!!"),"NEW","")))</f>
        <v> </v>
      </c>
      <c r="G833" s="24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5" t="str">
        <f>IF(J833&lt;&gt;1,"",IF(I833="SBJ","CB","?"))</f>
        <v> </v>
      </c>
      <c r="I833" s="26" t="str">
        <f>IF(OR(E833="",E833="!!!",F833="NEW"),"",INDEX(B832:B$2,-1+SUMPRODUCT(MAX(ROW(E832:E$2)*(E833=E832:E$2)))))</f>
        <v> </v>
      </c>
      <c r="J833" s="26" t="str">
        <f>IF(OR(E833="",E833="!!!",F833="NEW"),"",COUNTBLANK(OFFSET(A$1,,,SUMPRODUCT(MAX(ROW(E$2:E833)*(E833=E$2:E833)))))-COUNTBLANK(OFFSET(A$1,,,SUMPRODUCT(MAX(ROW(E$1:E832)*(E2=E$1:E832))))))</f>
        <v> </v>
      </c>
      <c r="K833" s="26" t="str">
        <f>IF(OR(E833="",E833="!!!",F833="NEW"),"",INDEX(J$1:J832,SUMPRODUCT(MAX(ROW(E$1:E832)*(E833=E$1:E832)))))</f>
        <v> </v>
      </c>
      <c r="L833" s="27"/>
    </row>
    <row r="834" spans="1:12">
      <c r="A834" s="20" t="s">
        <v>765</v>
      </c>
      <c r="E834" s="22">
        <f>IF(D834="?OLD","!!!","")</f>
        <v/>
      </c>
      <c r="F834" s="23" t="str">
        <f>IF(OR(E834="",E834="!!!"),"",IF(NOT(ISNA(VLOOKUP(E834,E$1:E833,1,FALSE()))),"OLD",IF(AND(E834&lt;&gt;"",E834&lt;&gt;"!!!"),"NEW","")))</f>
        <v> </v>
      </c>
      <c r="G834" s="24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5" t="str">
        <f>IF(J834&lt;&gt;1,"",IF(I834="SBJ","CB","?"))</f>
        <v> </v>
      </c>
      <c r="I834" s="26" t="str">
        <f>IF(OR(E834="",E834="!!!",F834="NEW"),"",INDEX(B833:B$2,-1+SUMPRODUCT(MAX(ROW(E833:E$2)*(E834=E833:E$2)))))</f>
        <v> </v>
      </c>
      <c r="J834" s="26" t="str">
        <f>IF(OR(E834="",E834="!!!",F834="NEW"),"",COUNTBLANK(OFFSET(A$1,,,SUMPRODUCT(MAX(ROW(E$2:E834)*(E834=E$2:E834)))))-COUNTBLANK(OFFSET(A$1,,,SUMPRODUCT(MAX(ROW(E$1:E833)*(E2=E$1:E833))))))</f>
        <v> </v>
      </c>
      <c r="K834" s="26" t="str">
        <f>IF(OR(E834="",E834="!!!",F834="NEW"),"",INDEX(J$1:J833,SUMPRODUCT(MAX(ROW(E$1:E833)*(E834=E$1:E833)))))</f>
        <v> </v>
      </c>
      <c r="L834" s="27"/>
    </row>
    <row r="835" spans="1:12">
      <c r="A835" s="20" t="s">
        <v>351</v>
      </c>
      <c r="E835" s="22">
        <f>IF(D835="?OLD","!!!","")</f>
        <v/>
      </c>
      <c r="F835" s="23" t="str">
        <f>IF(OR(E835="",E835="!!!"),"",IF(NOT(ISNA(VLOOKUP(E835,E$1:E834,1,FALSE()))),"OLD",IF(AND(E835&lt;&gt;"",E835&lt;&gt;"!!!"),"NEW","")))</f>
        <v> </v>
      </c>
      <c r="G835" s="24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5" t="str">
        <f>IF(J835&lt;&gt;1,"",IF(I835="SBJ","CB","?"))</f>
        <v> </v>
      </c>
      <c r="I835" s="26" t="str">
        <f>IF(OR(E835="",E835="!!!",F835="NEW"),"",INDEX(B834:B$2,-1+SUMPRODUCT(MAX(ROW(E834:E$2)*(E835=E834:E$2)))))</f>
        <v> </v>
      </c>
      <c r="J835" s="26" t="str">
        <f>IF(OR(E835="",E835="!!!",F835="NEW"),"",COUNTBLANK(OFFSET(A$1,,,SUMPRODUCT(MAX(ROW(E$2:E835)*(E835=E$2:E835)))))-COUNTBLANK(OFFSET(A$1,,,SUMPRODUCT(MAX(ROW(E$1:E834)*(E2=E$1:E834))))))</f>
        <v> </v>
      </c>
      <c r="K835" s="26" t="str">
        <f>IF(OR(E835="",E835="!!!",F835="NEW"),"",INDEX(J$1:J834,SUMPRODUCT(MAX(ROW(E$1:E834)*(E835=E$1:E834)))))</f>
        <v> </v>
      </c>
      <c r="L835" s="27"/>
    </row>
    <row r="836" spans="1:12">
      <c r="A836" s="20" t="s">
        <v>766</v>
      </c>
      <c r="B836" s="21" t="s">
        <v>244</v>
      </c>
      <c r="C836" s="21" t="s">
        <v>277</v>
      </c>
      <c r="D836" s="21" t="s">
        <v>216</v>
      </c>
      <c r="E836" s="22">
        <f>IF(D836="?OLD","!!!","")</f>
        <v/>
      </c>
      <c r="F836" s="23" t="str">
        <f>IF(OR(E836="",E836="!!!"),"",IF(NOT(ISNA(VLOOKUP(E836,E$1:E835,1,FALSE()))),"OLD",IF(AND(E836&lt;&gt;"",E836&lt;&gt;"!!!"),"NEW","")))</f>
        <v> </v>
      </c>
      <c r="G836" s="24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5" t="str">
        <f>IF(J836&lt;&gt;1,"",IF(I836="SBJ","CB","?"))</f>
        <v> </v>
      </c>
      <c r="I836" s="26" t="str">
        <f>IF(OR(E836="",E836="!!!",F836="NEW"),"",INDEX(B835:B$2,-1+SUMPRODUCT(MAX(ROW(E835:E$2)*(E836=E835:E$2)))))</f>
        <v> </v>
      </c>
      <c r="J836" s="26" t="str">
        <f>IF(OR(E836="",E836="!!!",F836="NEW"),"",COUNTBLANK(OFFSET(A$1,,,SUMPRODUCT(MAX(ROW(E$2:E836)*(E836=E$2:E836)))))-COUNTBLANK(OFFSET(A$1,,,SUMPRODUCT(MAX(ROW(E$1:E835)*(E2=E$1:E835))))))</f>
        <v> </v>
      </c>
      <c r="K836" s="26" t="str">
        <f>IF(OR(E836="",E836="!!!",F836="NEW"),"",INDEX(J$1:J835,SUMPRODUCT(MAX(ROW(E$1:E835)*(E836=E$1:E835)))))</f>
        <v> </v>
      </c>
      <c r="L836" s="27"/>
    </row>
    <row r="837" spans="1:12">
      <c r="A837" s="20" t="s">
        <v>767</v>
      </c>
      <c r="B837" s="21" t="s">
        <v>254</v>
      </c>
      <c r="E837" s="22">
        <f>IF(D837="?OLD","!!!","")</f>
        <v/>
      </c>
      <c r="F837" s="23" t="str">
        <f>IF(OR(E837="",E837="!!!"),"",IF(NOT(ISNA(VLOOKUP(E837,E$1:E836,1,FALSE()))),"OLD",IF(AND(E837&lt;&gt;"",E837&lt;&gt;"!!!"),"NEW","")))</f>
        <v> </v>
      </c>
      <c r="G837" s="24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5" t="str">
        <f>IF(J837&lt;&gt;1,"",IF(I837="SBJ","CB","?"))</f>
        <v> </v>
      </c>
      <c r="I837" s="26" t="str">
        <f>IF(OR(E837="",E837="!!!",F837="NEW"),"",INDEX(B836:B$2,-1+SUMPRODUCT(MAX(ROW(E836:E$2)*(E837=E836:E$2)))))</f>
        <v> </v>
      </c>
      <c r="J837" s="26" t="str">
        <f>IF(OR(E837="",E837="!!!",F837="NEW"),"",COUNTBLANK(OFFSET(A$1,,,SUMPRODUCT(MAX(ROW(E$2:E837)*(E837=E$2:E837)))))-COUNTBLANK(OFFSET(A$1,,,SUMPRODUCT(MAX(ROW(E$1:E836)*(E2=E$1:E836))))))</f>
        <v> </v>
      </c>
      <c r="K837" s="26" t="str">
        <f>IF(OR(E837="",E837="!!!",F837="NEW"),"",INDEX(J$1:J836,SUMPRODUCT(MAX(ROW(E$1:E836)*(E837=E$1:E836)))))</f>
        <v> </v>
      </c>
      <c r="L837" s="27"/>
    </row>
    <row r="838" spans="1:12">
      <c r="A838" s="20" t="s">
        <v>237</v>
      </c>
      <c r="E838" s="22">
        <f>IF(D838="?OLD","!!!","")</f>
        <v/>
      </c>
      <c r="F838" s="23" t="str">
        <f>IF(OR(E838="",E838="!!!"),"",IF(NOT(ISNA(VLOOKUP(E838,E$1:E837,1,FALSE()))),"OLD",IF(AND(E838&lt;&gt;"",E838&lt;&gt;"!!!"),"NEW","")))</f>
        <v> </v>
      </c>
      <c r="G838" s="24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5" t="str">
        <f>IF(J838&lt;&gt;1,"",IF(I838="SBJ","CB","?"))</f>
        <v> </v>
      </c>
      <c r="I838" s="26" t="str">
        <f>IF(OR(E838="",E838="!!!",F838="NEW"),"",INDEX(B837:B$2,-1+SUMPRODUCT(MAX(ROW(E837:E$2)*(E838=E837:E$2)))))</f>
        <v> </v>
      </c>
      <c r="J838" s="26" t="str">
        <f>IF(OR(E838="",E838="!!!",F838="NEW"),"",COUNTBLANK(OFFSET(A$1,,,SUMPRODUCT(MAX(ROW(E$2:E838)*(E838=E$2:E838)))))-COUNTBLANK(OFFSET(A$1,,,SUMPRODUCT(MAX(ROW(E$1:E837)*(E2=E$1:E837))))))</f>
        <v> </v>
      </c>
      <c r="K838" s="26" t="str">
        <f>IF(OR(E838="",E838="!!!",F838="NEW"),"",INDEX(J$1:J837,SUMPRODUCT(MAX(ROW(E$1:E837)*(E838=E$1:E837)))))</f>
        <v> </v>
      </c>
      <c r="L838" s="27"/>
    </row>
    <row r="839" spans="1:12">
      <c r="A839" s="20"/>
    </row>
    <row r="840" spans="1:12">
      <c r="A840" s="20" t="s">
        <v>768</v>
      </c>
    </row>
    <row r="841" spans="1:12">
      <c r="A841" s="20" t="s">
        <v>769</v>
      </c>
      <c r="E841" s="22">
        <f>IF(D841="?OLD","!!!","")</f>
        <v/>
      </c>
      <c r="F841" s="23" t="str">
        <f>IF(OR(E841="",E841="!!!"),"",IF(NOT(ISNA(VLOOKUP(E841,E$1:E840,1,FALSE()))),"OLD",IF(AND(E841&lt;&gt;"",E841&lt;&gt;"!!!"),"NEW","")))</f>
        <v> </v>
      </c>
      <c r="G841" s="24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5" t="str">
        <f>IF(J841&lt;&gt;1,"",IF(I841="SBJ","CB","?"))</f>
        <v> </v>
      </c>
      <c r="I841" s="26" t="str">
        <f>IF(OR(E841="",E841="!!!",F841="NEW"),"",INDEX(B840:B$2,-1+SUMPRODUCT(MAX(ROW(E840:E$2)*(E841=E840:E$2)))))</f>
        <v> </v>
      </c>
      <c r="J841" s="26" t="str">
        <f>IF(OR(E841="",E841="!!!",F841="NEW"),"",COUNTBLANK(OFFSET(A$1,,,SUMPRODUCT(MAX(ROW(E$2:E841)*(E841=E$2:E841)))))-COUNTBLANK(OFFSET(A$1,,,SUMPRODUCT(MAX(ROW(E$1:E840)*(E2=E$1:E840))))))</f>
        <v> </v>
      </c>
      <c r="K841" s="26" t="str">
        <f>IF(OR(E841="",E841="!!!",F841="NEW"),"",INDEX(J$1:J840,SUMPRODUCT(MAX(ROW(E$1:E840)*(E841=E$1:E840)))))</f>
        <v> </v>
      </c>
      <c r="L841" s="27"/>
    </row>
    <row r="842" spans="1:12">
      <c r="A842" s="20" t="s">
        <v>770</v>
      </c>
      <c r="E842" s="22">
        <f>IF(D842="?OLD","!!!","")</f>
        <v/>
      </c>
      <c r="F842" s="23" t="str">
        <f>IF(OR(E842="",E842="!!!"),"",IF(NOT(ISNA(VLOOKUP(E842,E$1:E841,1,FALSE()))),"OLD",IF(AND(E842&lt;&gt;"",E842&lt;&gt;"!!!"),"NEW","")))</f>
        <v> </v>
      </c>
      <c r="G842" s="24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5" t="str">
        <f>IF(J842&lt;&gt;1,"",IF(I842="SBJ","CB","?"))</f>
        <v> </v>
      </c>
      <c r="I842" s="26" t="str">
        <f>IF(OR(E842="",E842="!!!",F842="NEW"),"",INDEX(B841:B$2,-1+SUMPRODUCT(MAX(ROW(E841:E$2)*(E842=E841:E$2)))))</f>
        <v> </v>
      </c>
      <c r="J842" s="26" t="str">
        <f>IF(OR(E842="",E842="!!!",F842="NEW"),"",COUNTBLANK(OFFSET(A$1,,,SUMPRODUCT(MAX(ROW(E$2:E842)*(E842=E$2:E842)))))-COUNTBLANK(OFFSET(A$1,,,SUMPRODUCT(MAX(ROW(E$1:E841)*(E2=E$1:E841))))))</f>
        <v> </v>
      </c>
      <c r="K842" s="26" t="str">
        <f>IF(OR(E842="",E842="!!!",F842="NEW"),"",INDEX(J$1:J841,SUMPRODUCT(MAX(ROW(E$1:E841)*(E842=E$1:E841)))))</f>
        <v> </v>
      </c>
      <c r="L842" s="27"/>
    </row>
    <row r="843" spans="1:12">
      <c r="A843" s="20" t="s">
        <v>771</v>
      </c>
      <c r="B843" s="21" t="s">
        <v>226</v>
      </c>
      <c r="C843" s="21" t="s">
        <v>240</v>
      </c>
      <c r="D843" s="21" t="s">
        <v>216</v>
      </c>
      <c r="E843" s="22">
        <f>IF(D843="?OLD","!!!","")</f>
        <v/>
      </c>
      <c r="F843" s="23" t="str">
        <f>IF(OR(E843="",E843="!!!"),"",IF(NOT(ISNA(VLOOKUP(E843,E$1:E842,1,FALSE()))),"OLD",IF(AND(E843&lt;&gt;"",E843&lt;&gt;"!!!"),"NEW","")))</f>
        <v> </v>
      </c>
      <c r="G843" s="24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5" t="str">
        <f>IF(J843&lt;&gt;1,"",IF(I843="SBJ","CB","?"))</f>
        <v> </v>
      </c>
      <c r="I843" s="26" t="str">
        <f>IF(OR(E843="",E843="!!!",F843="NEW"),"",INDEX(B842:B$2,-1+SUMPRODUCT(MAX(ROW(E842:E$2)*(E843=E842:E$2)))))</f>
        <v> </v>
      </c>
      <c r="J843" s="26" t="str">
        <f>IF(OR(E843="",E843="!!!",F843="NEW"),"",COUNTBLANK(OFFSET(A$1,,,SUMPRODUCT(MAX(ROW(E$2:E843)*(E843=E$2:E843)))))-COUNTBLANK(OFFSET(A$1,,,SUMPRODUCT(MAX(ROW(E$1:E842)*(E2=E$1:E842))))))</f>
        <v> </v>
      </c>
      <c r="K843" s="26" t="str">
        <f>IF(OR(E843="",E843="!!!",F843="NEW"),"",INDEX(J$1:J842,SUMPRODUCT(MAX(ROW(E$1:E842)*(E843=E$1:E842)))))</f>
        <v> </v>
      </c>
      <c r="L843" s="27"/>
    </row>
    <row r="844" spans="1:12">
      <c r="A844" s="20" t="s">
        <v>269</v>
      </c>
      <c r="E844" s="22">
        <f>IF(D844="?OLD","!!!","")</f>
        <v/>
      </c>
      <c r="F844" s="23" t="str">
        <f>IF(OR(E844="",E844="!!!"),"",IF(NOT(ISNA(VLOOKUP(E844,E$1:E843,1,FALSE()))),"OLD",IF(AND(E844&lt;&gt;"",E844&lt;&gt;"!!!"),"NEW","")))</f>
        <v> </v>
      </c>
      <c r="G844" s="24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5" t="str">
        <f>IF(J844&lt;&gt;1,"",IF(I844="SBJ","CB","?"))</f>
        <v> </v>
      </c>
      <c r="I844" s="26" t="str">
        <f>IF(OR(E844="",E844="!!!",F844="NEW"),"",INDEX(B843:B$2,-1+SUMPRODUCT(MAX(ROW(E843:E$2)*(E844=E843:E$2)))))</f>
        <v> </v>
      </c>
      <c r="J844" s="26" t="str">
        <f>IF(OR(E844="",E844="!!!",F844="NEW"),"",COUNTBLANK(OFFSET(A$1,,,SUMPRODUCT(MAX(ROW(E$2:E844)*(E844=E$2:E844)))))-COUNTBLANK(OFFSET(A$1,,,SUMPRODUCT(MAX(ROW(E$1:E843)*(E2=E$1:E843))))))</f>
        <v> </v>
      </c>
      <c r="K844" s="26" t="str">
        <f>IF(OR(E844="",E844="!!!",F844="NEW"),"",INDEX(J$1:J843,SUMPRODUCT(MAX(ROW(E$1:E843)*(E844=E$1:E843)))))</f>
        <v> </v>
      </c>
      <c r="L844" s="27"/>
    </row>
    <row r="845" spans="1:12">
      <c r="A845" s="20" t="s">
        <v>772</v>
      </c>
      <c r="B845" s="21" t="s">
        <v>242</v>
      </c>
      <c r="C845" s="21" t="s">
        <v>227</v>
      </c>
      <c r="D845" s="21" t="s">
        <v>216</v>
      </c>
      <c r="E845" s="22">
        <f>IF(D845="?OLD","!!!","")</f>
        <v/>
      </c>
      <c r="F845" s="23" t="str">
        <f>IF(OR(E845="",E845="!!!"),"",IF(NOT(ISNA(VLOOKUP(E845,E$1:E844,1,FALSE()))),"OLD",IF(AND(E845&lt;&gt;"",E845&lt;&gt;"!!!"),"NEW","")))</f>
        <v> </v>
      </c>
      <c r="G845" s="24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5" t="str">
        <f>IF(J845&lt;&gt;1,"",IF(I845="SBJ","CB","?"))</f>
        <v> </v>
      </c>
      <c r="I845" s="26" t="str">
        <f>IF(OR(E845="",E845="!!!",F845="NEW"),"",INDEX(B844:B$2,-1+SUMPRODUCT(MAX(ROW(E844:E$2)*(E845=E844:E$2)))))</f>
        <v> </v>
      </c>
      <c r="J845" s="26" t="str">
        <f>IF(OR(E845="",E845="!!!",F845="NEW"),"",COUNTBLANK(OFFSET(A$1,,,SUMPRODUCT(MAX(ROW(E$2:E845)*(E845=E$2:E845)))))-COUNTBLANK(OFFSET(A$1,,,SUMPRODUCT(MAX(ROW(E$1:E844)*(E2=E$1:E844))))))</f>
        <v> </v>
      </c>
      <c r="K845" s="26" t="str">
        <f>IF(OR(E845="",E845="!!!",F845="NEW"),"",INDEX(J$1:J844,SUMPRODUCT(MAX(ROW(E$1:E844)*(E845=E$1:E844)))))</f>
        <v> </v>
      </c>
      <c r="L845" s="27"/>
    </row>
    <row r="846" spans="1:12">
      <c r="A846" s="20" t="s">
        <v>230</v>
      </c>
      <c r="E846" s="22">
        <f>IF(D846="?OLD","!!!","")</f>
        <v/>
      </c>
      <c r="F846" s="23" t="str">
        <f>IF(OR(E846="",E846="!!!"),"",IF(NOT(ISNA(VLOOKUP(E846,E$1:E845,1,FALSE()))),"OLD",IF(AND(E846&lt;&gt;"",E846&lt;&gt;"!!!"),"NEW","")))</f>
        <v> </v>
      </c>
      <c r="G846" s="24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5" t="str">
        <f>IF(J846&lt;&gt;1,"",IF(I846="SBJ","CB","?"))</f>
        <v> </v>
      </c>
      <c r="I846" s="26" t="str">
        <f>IF(OR(E846="",E846="!!!",F846="NEW"),"",INDEX(B845:B$2,-1+SUMPRODUCT(MAX(ROW(E845:E$2)*(E846=E845:E$2)))))</f>
        <v> </v>
      </c>
      <c r="J846" s="26" t="str">
        <f>IF(OR(E846="",E846="!!!",F846="NEW"),"",COUNTBLANK(OFFSET(A$1,,,SUMPRODUCT(MAX(ROW(E$2:E846)*(E846=E$2:E846)))))-COUNTBLANK(OFFSET(A$1,,,SUMPRODUCT(MAX(ROW(E$1:E845)*(E2=E$1:E845))))))</f>
        <v> </v>
      </c>
      <c r="K846" s="26" t="str">
        <f>IF(OR(E846="",E846="!!!",F846="NEW"),"",INDEX(J$1:J845,SUMPRODUCT(MAX(ROW(E$1:E845)*(E846=E$1:E845)))))</f>
        <v> </v>
      </c>
      <c r="L846" s="27"/>
    </row>
    <row r="847" spans="1:12">
      <c r="A847" s="20" t="s">
        <v>366</v>
      </c>
      <c r="E847" s="22">
        <f>IF(D847="?OLD","!!!","")</f>
        <v/>
      </c>
      <c r="F847" s="23" t="str">
        <f>IF(OR(E847="",E847="!!!"),"",IF(NOT(ISNA(VLOOKUP(E847,E$1:E846,1,FALSE()))),"OLD",IF(AND(E847&lt;&gt;"",E847&lt;&gt;"!!!"),"NEW","")))</f>
        <v> </v>
      </c>
      <c r="G847" s="24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5" t="str">
        <f>IF(J847&lt;&gt;1,"",IF(I847="SBJ","CB","?"))</f>
        <v> </v>
      </c>
      <c r="I847" s="26" t="str">
        <f>IF(OR(E847="",E847="!!!",F847="NEW"),"",INDEX(B846:B$2,-1+SUMPRODUCT(MAX(ROW(E846:E$2)*(E847=E846:E$2)))))</f>
        <v> </v>
      </c>
      <c r="J847" s="26" t="str">
        <f>IF(OR(E847="",E847="!!!",F847="NEW"),"",COUNTBLANK(OFFSET(A$1,,,SUMPRODUCT(MAX(ROW(E$2:E847)*(E847=E$2:E847)))))-COUNTBLANK(OFFSET(A$1,,,SUMPRODUCT(MAX(ROW(E$1:E846)*(E2=E$1:E846))))))</f>
        <v> </v>
      </c>
      <c r="K847" s="26" t="str">
        <f>IF(OR(E847="",E847="!!!",F847="NEW"),"",INDEX(J$1:J846,SUMPRODUCT(MAX(ROW(E$1:E846)*(E847=E$1:E846)))))</f>
        <v> </v>
      </c>
      <c r="L847" s="27"/>
    </row>
    <row r="848" spans="1:12">
      <c r="A848" s="20" t="s">
        <v>752</v>
      </c>
      <c r="B848" s="21" t="s">
        <v>532</v>
      </c>
      <c r="C848" s="21" t="s">
        <v>277</v>
      </c>
      <c r="D848" s="21" t="s">
        <v>216</v>
      </c>
      <c r="E848" s="22">
        <f>IF(D848="?OLD","!!!","")</f>
        <v/>
      </c>
      <c r="F848" s="23" t="str">
        <f>IF(OR(E848="",E848="!!!"),"",IF(NOT(ISNA(VLOOKUP(E848,E$1:E847,1,FALSE()))),"OLD",IF(AND(E848&lt;&gt;"",E848&lt;&gt;"!!!"),"NEW","")))</f>
        <v> </v>
      </c>
      <c r="G848" s="24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5" t="str">
        <f>IF(J848&lt;&gt;1,"",IF(I848="SBJ","CB","?"))</f>
        <v> </v>
      </c>
      <c r="I848" s="26" t="str">
        <f>IF(OR(E848="",E848="!!!",F848="NEW"),"",INDEX(B847:B$2,-1+SUMPRODUCT(MAX(ROW(E847:E$2)*(E848=E847:E$2)))))</f>
        <v> </v>
      </c>
      <c r="J848" s="26" t="str">
        <f>IF(OR(E848="",E848="!!!",F848="NEW"),"",COUNTBLANK(OFFSET(A$1,,,SUMPRODUCT(MAX(ROW(E$2:E848)*(E848=E$2:E848)))))-COUNTBLANK(OFFSET(A$1,,,SUMPRODUCT(MAX(ROW(E$1:E847)*(E2=E$1:E847))))))</f>
        <v> </v>
      </c>
      <c r="K848" s="26" t="str">
        <f>IF(OR(E848="",E848="!!!",F848="NEW"),"",INDEX(J$1:J847,SUMPRODUCT(MAX(ROW(E$1:E847)*(E848=E$1:E847)))))</f>
        <v> </v>
      </c>
      <c r="L848" s="27"/>
    </row>
    <row r="849" spans="1:12">
      <c r="A849" s="20" t="s">
        <v>773</v>
      </c>
      <c r="E849" s="22">
        <f>IF(D849="?OLD","!!!","")</f>
        <v/>
      </c>
      <c r="F849" s="23" t="str">
        <f>IF(OR(E849="",E849="!!!"),"",IF(NOT(ISNA(VLOOKUP(E849,E$1:E848,1,FALSE()))),"OLD",IF(AND(E849&lt;&gt;"",E849&lt;&gt;"!!!"),"NEW","")))</f>
        <v> </v>
      </c>
      <c r="G849" s="24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5" t="str">
        <f>IF(J849&lt;&gt;1,"",IF(I849="SBJ","CB","?"))</f>
        <v> </v>
      </c>
      <c r="I849" s="26" t="str">
        <f>IF(OR(E849="",E849="!!!",F849="NEW"),"",INDEX(B848:B$2,-1+SUMPRODUCT(MAX(ROW(E848:E$2)*(E849=E848:E$2)))))</f>
        <v> </v>
      </c>
      <c r="J849" s="26" t="str">
        <f>IF(OR(E849="",E849="!!!",F849="NEW"),"",COUNTBLANK(OFFSET(A$1,,,SUMPRODUCT(MAX(ROW(E$2:E849)*(E849=E$2:E849)))))-COUNTBLANK(OFFSET(A$1,,,SUMPRODUCT(MAX(ROW(E$1:E848)*(E2=E$1:E848))))))</f>
        <v> </v>
      </c>
      <c r="K849" s="26" t="str">
        <f>IF(OR(E849="",E849="!!!",F849="NEW"),"",INDEX(J$1:J848,SUMPRODUCT(MAX(ROW(E$1:E848)*(E849=E$1:E848)))))</f>
        <v> </v>
      </c>
      <c r="L849" s="27"/>
    </row>
    <row r="850" spans="1:12">
      <c r="A850" s="20" t="s">
        <v>774</v>
      </c>
      <c r="E850" s="22">
        <f>IF(D850="?OLD","!!!","")</f>
        <v/>
      </c>
      <c r="F850" s="23" t="str">
        <f>IF(OR(E850="",E850="!!!"),"",IF(NOT(ISNA(VLOOKUP(E850,E$1:E849,1,FALSE()))),"OLD",IF(AND(E850&lt;&gt;"",E850&lt;&gt;"!!!"),"NEW","")))</f>
        <v> </v>
      </c>
      <c r="G850" s="24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5" t="str">
        <f>IF(J850&lt;&gt;1,"",IF(I850="SBJ","CB","?"))</f>
        <v> </v>
      </c>
      <c r="I850" s="26" t="str">
        <f>IF(OR(E850="",E850="!!!",F850="NEW"),"",INDEX(B849:B$2,-1+SUMPRODUCT(MAX(ROW(E849:E$2)*(E850=E849:E$2)))))</f>
        <v> </v>
      </c>
      <c r="J850" s="26" t="str">
        <f>IF(OR(E850="",E850="!!!",F850="NEW"),"",COUNTBLANK(OFFSET(A$1,,,SUMPRODUCT(MAX(ROW(E$2:E850)*(E850=E$2:E850)))))-COUNTBLANK(OFFSET(A$1,,,SUMPRODUCT(MAX(ROW(E$1:E849)*(E2=E$1:E849))))))</f>
        <v> </v>
      </c>
      <c r="K850" s="26" t="str">
        <f>IF(OR(E850="",E850="!!!",F850="NEW"),"",INDEX(J$1:J849,SUMPRODUCT(MAX(ROW(E$1:E849)*(E850=E$1:E849)))))</f>
        <v> </v>
      </c>
      <c r="L850" s="27"/>
    </row>
    <row r="851" spans="1:12">
      <c r="A851" s="20" t="s">
        <v>775</v>
      </c>
      <c r="E851" s="22">
        <f>IF(D851="?OLD","!!!","")</f>
        <v/>
      </c>
      <c r="F851" s="23" t="str">
        <f>IF(OR(E851="",E851="!!!"),"",IF(NOT(ISNA(VLOOKUP(E851,E$1:E850,1,FALSE()))),"OLD",IF(AND(E851&lt;&gt;"",E851&lt;&gt;"!!!"),"NEW","")))</f>
        <v> </v>
      </c>
      <c r="G851" s="24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5" t="str">
        <f>IF(J851&lt;&gt;1,"",IF(I851="SBJ","CB","?"))</f>
        <v> </v>
      </c>
      <c r="I851" s="26" t="str">
        <f>IF(OR(E851="",E851="!!!",F851="NEW"),"",INDEX(B850:B$2,-1+SUMPRODUCT(MAX(ROW(E850:E$2)*(E851=E850:E$2)))))</f>
        <v> </v>
      </c>
      <c r="J851" s="26" t="str">
        <f>IF(OR(E851="",E851="!!!",F851="NEW"),"",COUNTBLANK(OFFSET(A$1,,,SUMPRODUCT(MAX(ROW(E$2:E851)*(E851=E$2:E851)))))-COUNTBLANK(OFFSET(A$1,,,SUMPRODUCT(MAX(ROW(E$1:E850)*(E2=E$1:E850))))))</f>
        <v> </v>
      </c>
      <c r="K851" s="26" t="str">
        <f>IF(OR(E851="",E851="!!!",F851="NEW"),"",INDEX(J$1:J850,SUMPRODUCT(MAX(ROW(E$1:E850)*(E851=E$1:E850)))))</f>
        <v> </v>
      </c>
      <c r="L851" s="27"/>
    </row>
    <row r="852" spans="1:12">
      <c r="A852" s="20" t="s">
        <v>776</v>
      </c>
      <c r="B852" s="21" t="s">
        <v>503</v>
      </c>
      <c r="E852" s="22">
        <f>IF(D852="?OLD","!!!","")</f>
        <v/>
      </c>
      <c r="F852" s="23" t="str">
        <f>IF(OR(E852="",E852="!!!"),"",IF(NOT(ISNA(VLOOKUP(E852,E$1:E851,1,FALSE()))),"OLD",IF(AND(E852&lt;&gt;"",E852&lt;&gt;"!!!"),"NEW","")))</f>
        <v> </v>
      </c>
      <c r="G852" s="24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5" t="str">
        <f>IF(J852&lt;&gt;1,"",IF(I852="SBJ","CB","?"))</f>
        <v> </v>
      </c>
      <c r="I852" s="26" t="str">
        <f>IF(OR(E852="",E852="!!!",F852="NEW"),"",INDEX(B851:B$2,-1+SUMPRODUCT(MAX(ROW(E851:E$2)*(E852=E851:E$2)))))</f>
        <v> </v>
      </c>
      <c r="J852" s="26" t="str">
        <f>IF(OR(E852="",E852="!!!",F852="NEW"),"",COUNTBLANK(OFFSET(A$1,,,SUMPRODUCT(MAX(ROW(E$2:E852)*(E852=E$2:E852)))))-COUNTBLANK(OFFSET(A$1,,,SUMPRODUCT(MAX(ROW(E$1:E851)*(E2=E$1:E851))))))</f>
        <v> </v>
      </c>
      <c r="K852" s="26" t="str">
        <f>IF(OR(E852="",E852="!!!",F852="NEW"),"",INDEX(J$1:J851,SUMPRODUCT(MAX(ROW(E$1:E851)*(E852=E$1:E851)))))</f>
        <v> </v>
      </c>
      <c r="L852" s="27"/>
    </row>
    <row r="853" spans="1:12">
      <c r="A853" s="20" t="s">
        <v>306</v>
      </c>
      <c r="E853" s="22">
        <f>IF(D853="?OLD","!!!","")</f>
        <v/>
      </c>
      <c r="F853" s="23" t="str">
        <f>IF(OR(E853="",E853="!!!"),"",IF(NOT(ISNA(VLOOKUP(E853,E$1:E852,1,FALSE()))),"OLD",IF(AND(E853&lt;&gt;"",E853&lt;&gt;"!!!"),"NEW","")))</f>
        <v> </v>
      </c>
      <c r="G853" s="24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5" t="str">
        <f>IF(J853&lt;&gt;1,"",IF(I853="SBJ","CB","?"))</f>
        <v> </v>
      </c>
      <c r="I853" s="26" t="str">
        <f>IF(OR(E853="",E853="!!!",F853="NEW"),"",INDEX(B852:B$2,-1+SUMPRODUCT(MAX(ROW(E852:E$2)*(E853=E852:E$2)))))</f>
        <v> </v>
      </c>
      <c r="J853" s="26" t="str">
        <f>IF(OR(E853="",E853="!!!",F853="NEW"),"",COUNTBLANK(OFFSET(A$1,,,SUMPRODUCT(MAX(ROW(E$2:E853)*(E853=E$2:E853)))))-COUNTBLANK(OFFSET(A$1,,,SUMPRODUCT(MAX(ROW(E$1:E852)*(E2=E$1:E852))))))</f>
        <v> </v>
      </c>
      <c r="K853" s="26" t="str">
        <f>IF(OR(E853="",E853="!!!",F853="NEW"),"",INDEX(J$1:J852,SUMPRODUCT(MAX(ROW(E$1:E852)*(E853=E$1:E852)))))</f>
        <v> </v>
      </c>
      <c r="L853" s="27"/>
    </row>
    <row r="854" spans="1:12">
      <c r="A854" s="20" t="s">
        <v>474</v>
      </c>
      <c r="E854" s="22">
        <f>IF(D854="?OLD","!!!","")</f>
        <v/>
      </c>
      <c r="F854" s="23" t="str">
        <f>IF(OR(E854="",E854="!!!"),"",IF(NOT(ISNA(VLOOKUP(E854,E$1:E853,1,FALSE()))),"OLD",IF(AND(E854&lt;&gt;"",E854&lt;&gt;"!!!"),"NEW","")))</f>
        <v> </v>
      </c>
      <c r="G854" s="24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5" t="str">
        <f>IF(J854&lt;&gt;1,"",IF(I854="SBJ","CB","?"))</f>
        <v> </v>
      </c>
      <c r="I854" s="26" t="str">
        <f>IF(OR(E854="",E854="!!!",F854="NEW"),"",INDEX(B853:B$2,-1+SUMPRODUCT(MAX(ROW(E853:E$2)*(E854=E853:E$2)))))</f>
        <v> </v>
      </c>
      <c r="J854" s="26" t="str">
        <f>IF(OR(E854="",E854="!!!",F854="NEW"),"",COUNTBLANK(OFFSET(A$1,,,SUMPRODUCT(MAX(ROW(E$2:E854)*(E854=E$2:E854)))))-COUNTBLANK(OFFSET(A$1,,,SUMPRODUCT(MAX(ROW(E$1:E853)*(E2=E$1:E853))))))</f>
        <v> </v>
      </c>
      <c r="K854" s="26" t="str">
        <f>IF(OR(E854="",E854="!!!",F854="NEW"),"",INDEX(J$1:J853,SUMPRODUCT(MAX(ROW(E$1:E853)*(E854=E$1:E853)))))</f>
        <v> </v>
      </c>
      <c r="L854" s="27"/>
    </row>
    <row r="855" spans="1:12">
      <c r="A855" s="20" t="s">
        <v>237</v>
      </c>
      <c r="E855" s="22">
        <f>IF(D855="?OLD","!!!","")</f>
        <v/>
      </c>
      <c r="F855" s="23" t="str">
        <f>IF(OR(E855="",E855="!!!"),"",IF(NOT(ISNA(VLOOKUP(E855,E$1:E854,1,FALSE()))),"OLD",IF(AND(E855&lt;&gt;"",E855&lt;&gt;"!!!"),"NEW","")))</f>
        <v> </v>
      </c>
      <c r="G855" s="24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5" t="str">
        <f>IF(J855&lt;&gt;1,"",IF(I855="SBJ","CB","?"))</f>
        <v> </v>
      </c>
      <c r="I855" s="26" t="str">
        <f>IF(OR(E855="",E855="!!!",F855="NEW"),"",INDEX(B854:B$2,-1+SUMPRODUCT(MAX(ROW(E854:E$2)*(E855=E854:E$2)))))</f>
        <v> </v>
      </c>
      <c r="J855" s="26" t="str">
        <f>IF(OR(E855="",E855="!!!",F855="NEW"),"",COUNTBLANK(OFFSET(A$1,,,SUMPRODUCT(MAX(ROW(E$2:E855)*(E855=E$2:E855)))))-COUNTBLANK(OFFSET(A$1,,,SUMPRODUCT(MAX(ROW(E$1:E854)*(E2=E$1:E854))))))</f>
        <v> </v>
      </c>
      <c r="K855" s="26" t="str">
        <f>IF(OR(E855="",E855="!!!",F855="NEW"),"",INDEX(J$1:J854,SUMPRODUCT(MAX(ROW(E$1:E854)*(E855=E$1:E854)))))</f>
        <v> </v>
      </c>
      <c r="L855" s="27"/>
    </row>
    <row r="856" spans="1:12">
      <c r="A856" s="20"/>
    </row>
    <row r="857" spans="1:12">
      <c r="A857" s="20" t="s">
        <v>777</v>
      </c>
    </row>
    <row r="858" spans="1:12">
      <c r="A858" s="20" t="s">
        <v>261</v>
      </c>
      <c r="E858" s="22">
        <f>IF(D858="?OLD","!!!","")</f>
        <v/>
      </c>
      <c r="F858" s="23" t="str">
        <f>IF(OR(E858="",E858="!!!"),"",IF(NOT(ISNA(VLOOKUP(E858,E$1:E857,1,FALSE()))),"OLD",IF(AND(E858&lt;&gt;"",E858&lt;&gt;"!!!"),"NEW","")))</f>
        <v> </v>
      </c>
      <c r="G858" s="24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5" t="str">
        <f>IF(J858&lt;&gt;1,"",IF(I858="SBJ","CB","?"))</f>
        <v> </v>
      </c>
      <c r="I858" s="26" t="str">
        <f>IF(OR(E858="",E858="!!!",F858="NEW"),"",INDEX(B857:B$2,-1+SUMPRODUCT(MAX(ROW(E857:E$2)*(E858=E857:E$2)))))</f>
        <v> </v>
      </c>
      <c r="J858" s="26" t="str">
        <f>IF(OR(E858="",E858="!!!",F858="NEW"),"",COUNTBLANK(OFFSET(A$1,,,SUMPRODUCT(MAX(ROW(E$2:E858)*(E858=E$2:E858)))))-COUNTBLANK(OFFSET(A$1,,,SUMPRODUCT(MAX(ROW(E$1:E857)*(E2=E$1:E857))))))</f>
        <v> </v>
      </c>
      <c r="K858" s="26" t="str">
        <f>IF(OR(E858="",E858="!!!",F858="NEW"),"",INDEX(J$1:J857,SUMPRODUCT(MAX(ROW(E$1:E857)*(E858=E$1:E857)))))</f>
        <v> </v>
      </c>
      <c r="L858" s="27"/>
    </row>
    <row r="859" spans="1:12">
      <c r="A859" s="20" t="s">
        <v>530</v>
      </c>
      <c r="E859" s="22">
        <f>IF(D859="?OLD","!!!","")</f>
        <v/>
      </c>
      <c r="F859" s="23" t="str">
        <f>IF(OR(E859="",E859="!!!"),"",IF(NOT(ISNA(VLOOKUP(E859,E$1:E858,1,FALSE()))),"OLD",IF(AND(E859&lt;&gt;"",E859&lt;&gt;"!!!"),"NEW","")))</f>
        <v> </v>
      </c>
      <c r="G859" s="24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5" t="str">
        <f>IF(J859&lt;&gt;1,"",IF(I859="SBJ","CB","?"))</f>
        <v> </v>
      </c>
      <c r="I859" s="26" t="str">
        <f>IF(OR(E859="",E859="!!!",F859="NEW"),"",INDEX(B858:B$2,-1+SUMPRODUCT(MAX(ROW(E858:E$2)*(E859=E858:E$2)))))</f>
        <v> </v>
      </c>
      <c r="J859" s="26" t="str">
        <f>IF(OR(E859="",E859="!!!",F859="NEW"),"",COUNTBLANK(OFFSET(A$1,,,SUMPRODUCT(MAX(ROW(E$2:E859)*(E859=E$2:E859)))))-COUNTBLANK(OFFSET(A$1,,,SUMPRODUCT(MAX(ROW(E$1:E858)*(E2=E$1:E858))))))</f>
        <v> </v>
      </c>
      <c r="K859" s="26" t="str">
        <f>IF(OR(E859="",E859="!!!",F859="NEW"),"",INDEX(J$1:J858,SUMPRODUCT(MAX(ROW(E$1:E858)*(E859=E$1:E858)))))</f>
        <v> </v>
      </c>
      <c r="L859" s="27"/>
    </row>
    <row r="860" spans="1:12">
      <c r="A860" s="20" t="s">
        <v>442</v>
      </c>
      <c r="E860" s="22">
        <f>IF(D860="?OLD","!!!","")</f>
        <v/>
      </c>
      <c r="F860" s="23" t="str">
        <f>IF(OR(E860="",E860="!!!"),"",IF(NOT(ISNA(VLOOKUP(E860,E$1:E859,1,FALSE()))),"OLD",IF(AND(E860&lt;&gt;"",E860&lt;&gt;"!!!"),"NEW","")))</f>
        <v> </v>
      </c>
      <c r="G860" s="24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5" t="str">
        <f>IF(J860&lt;&gt;1,"",IF(I860="SBJ","CB","?"))</f>
        <v> </v>
      </c>
      <c r="I860" s="26" t="str">
        <f>IF(OR(E860="",E860="!!!",F860="NEW"),"",INDEX(B859:B$2,-1+SUMPRODUCT(MAX(ROW(E859:E$2)*(E860=E859:E$2)))))</f>
        <v> </v>
      </c>
      <c r="J860" s="26" t="str">
        <f>IF(OR(E860="",E860="!!!",F860="NEW"),"",COUNTBLANK(OFFSET(A$1,,,SUMPRODUCT(MAX(ROW(E$2:E860)*(E860=E$2:E860)))))-COUNTBLANK(OFFSET(A$1,,,SUMPRODUCT(MAX(ROW(E$1:E859)*(E2=E$1:E859))))))</f>
        <v> </v>
      </c>
      <c r="K860" s="26" t="str">
        <f>IF(OR(E860="",E860="!!!",F860="NEW"),"",INDEX(J$1:J859,SUMPRODUCT(MAX(ROW(E$1:E859)*(E860=E$1:E859)))))</f>
        <v> </v>
      </c>
      <c r="L860" s="27"/>
    </row>
    <row r="861" spans="1:12">
      <c r="A861" s="20" t="s">
        <v>778</v>
      </c>
      <c r="E861" s="22">
        <f>IF(D861="?OLD","!!!","")</f>
        <v/>
      </c>
      <c r="F861" s="23" t="str">
        <f>IF(OR(E861="",E861="!!!"),"",IF(NOT(ISNA(VLOOKUP(E861,E$1:E860,1,FALSE()))),"OLD",IF(AND(E861&lt;&gt;"",E861&lt;&gt;"!!!"),"NEW","")))</f>
        <v> </v>
      </c>
      <c r="G861" s="24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5" t="str">
        <f>IF(J861&lt;&gt;1,"",IF(I861="SBJ","CB","?"))</f>
        <v> </v>
      </c>
      <c r="I861" s="26" t="str">
        <f>IF(OR(E861="",E861="!!!",F861="NEW"),"",INDEX(B860:B$2,-1+SUMPRODUCT(MAX(ROW(E860:E$2)*(E861=E860:E$2)))))</f>
        <v> </v>
      </c>
      <c r="J861" s="26" t="str">
        <f>IF(OR(E861="",E861="!!!",F861="NEW"),"",COUNTBLANK(OFFSET(A$1,,,SUMPRODUCT(MAX(ROW(E$2:E861)*(E861=E$2:E861)))))-COUNTBLANK(OFFSET(A$1,,,SUMPRODUCT(MAX(ROW(E$1:E860)*(E2=E$1:E860))))))</f>
        <v> </v>
      </c>
      <c r="K861" s="26" t="str">
        <f>IF(OR(E861="",E861="!!!",F861="NEW"),"",INDEX(J$1:J860,SUMPRODUCT(MAX(ROW(E$1:E860)*(E861=E$1:E860)))))</f>
        <v> </v>
      </c>
      <c r="L861" s="27"/>
    </row>
    <row r="862" spans="1:12">
      <c r="A862" s="20" t="s">
        <v>779</v>
      </c>
      <c r="E862" s="22">
        <f>IF(D862="?OLD","!!!","")</f>
        <v/>
      </c>
      <c r="F862" s="23" t="str">
        <f>IF(OR(E862="",E862="!!!"),"",IF(NOT(ISNA(VLOOKUP(E862,E$1:E861,1,FALSE()))),"OLD",IF(AND(E862&lt;&gt;"",E862&lt;&gt;"!!!"),"NEW","")))</f>
        <v> </v>
      </c>
      <c r="G862" s="24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5" t="str">
        <f>IF(J862&lt;&gt;1,"",IF(I862="SBJ","CB","?"))</f>
        <v> </v>
      </c>
      <c r="I862" s="26" t="str">
        <f>IF(OR(E862="",E862="!!!",F862="NEW"),"",INDEX(B861:B$2,-1+SUMPRODUCT(MAX(ROW(E861:E$2)*(E862=E861:E$2)))))</f>
        <v> </v>
      </c>
      <c r="J862" s="26" t="str">
        <f>IF(OR(E862="",E862="!!!",F862="NEW"),"",COUNTBLANK(OFFSET(A$1,,,SUMPRODUCT(MAX(ROW(E$2:E862)*(E862=E$2:E862)))))-COUNTBLANK(OFFSET(A$1,,,SUMPRODUCT(MAX(ROW(E$1:E861)*(E2=E$1:E861))))))</f>
        <v> </v>
      </c>
      <c r="K862" s="26" t="str">
        <f>IF(OR(E862="",E862="!!!",F862="NEW"),"",INDEX(J$1:J861,SUMPRODUCT(MAX(ROW(E$1:E861)*(E862=E$1:E861)))))</f>
        <v> </v>
      </c>
      <c r="L862" s="27"/>
    </row>
    <row r="863" spans="1:12">
      <c r="A863" s="20" t="s">
        <v>327</v>
      </c>
      <c r="E863" s="22">
        <f>IF(D863="?OLD","!!!","")</f>
        <v/>
      </c>
      <c r="F863" s="23" t="str">
        <f>IF(OR(E863="",E863="!!!"),"",IF(NOT(ISNA(VLOOKUP(E863,E$1:E862,1,FALSE()))),"OLD",IF(AND(E863&lt;&gt;"",E863&lt;&gt;"!!!"),"NEW","")))</f>
        <v> </v>
      </c>
      <c r="G863" s="24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5" t="str">
        <f>IF(J863&lt;&gt;1,"",IF(I863="SBJ","CB","?"))</f>
        <v> </v>
      </c>
      <c r="I863" s="26" t="str">
        <f>IF(OR(E863="",E863="!!!",F863="NEW"),"",INDEX(B862:B$2,-1+SUMPRODUCT(MAX(ROW(E862:E$2)*(E863=E862:E$2)))))</f>
        <v> </v>
      </c>
      <c r="J863" s="26" t="str">
        <f>IF(OR(E863="",E863="!!!",F863="NEW"),"",COUNTBLANK(OFFSET(A$1,,,SUMPRODUCT(MAX(ROW(E$2:E863)*(E863=E$2:E863)))))-COUNTBLANK(OFFSET(A$1,,,SUMPRODUCT(MAX(ROW(E$1:E862)*(E2=E$1:E862))))))</f>
        <v> </v>
      </c>
      <c r="K863" s="26" t="str">
        <f>IF(OR(E863="",E863="!!!",F863="NEW"),"",INDEX(J$1:J862,SUMPRODUCT(MAX(ROW(E$1:E862)*(E863=E$1:E862)))))</f>
        <v> </v>
      </c>
      <c r="L863" s="27"/>
    </row>
    <row r="864" spans="1:12">
      <c r="A864" s="20" t="s">
        <v>217</v>
      </c>
      <c r="E864" s="22">
        <f>IF(D864="?OLD","!!!","")</f>
        <v/>
      </c>
      <c r="F864" s="23" t="str">
        <f>IF(OR(E864="",E864="!!!"),"",IF(NOT(ISNA(VLOOKUP(E864,E$1:E863,1,FALSE()))),"OLD",IF(AND(E864&lt;&gt;"",E864&lt;&gt;"!!!"),"NEW","")))</f>
        <v> </v>
      </c>
      <c r="G864" s="24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5" t="str">
        <f>IF(J864&lt;&gt;1,"",IF(I864="SBJ","CB","?"))</f>
        <v> </v>
      </c>
      <c r="I864" s="26" t="str">
        <f>IF(OR(E864="",E864="!!!",F864="NEW"),"",INDEX(B863:B$2,-1+SUMPRODUCT(MAX(ROW(E863:E$2)*(E864=E863:E$2)))))</f>
        <v> </v>
      </c>
      <c r="J864" s="26" t="str">
        <f>IF(OR(E864="",E864="!!!",F864="NEW"),"",COUNTBLANK(OFFSET(A$1,,,SUMPRODUCT(MAX(ROW(E$2:E864)*(E864=E$2:E864)))))-COUNTBLANK(OFFSET(A$1,,,SUMPRODUCT(MAX(ROW(E$1:E863)*(E2=E$1:E863))))))</f>
        <v> </v>
      </c>
      <c r="K864" s="26" t="str">
        <f>IF(OR(E864="",E864="!!!",F864="NEW"),"",INDEX(J$1:J863,SUMPRODUCT(MAX(ROW(E$1:E863)*(E864=E$1:E863)))))</f>
        <v> </v>
      </c>
      <c r="L864" s="27"/>
    </row>
    <row r="865" spans="1:12">
      <c r="A865" s="20" t="s">
        <v>780</v>
      </c>
      <c r="E865" s="22">
        <f>IF(D865="?OLD","!!!","")</f>
        <v/>
      </c>
      <c r="F865" s="23" t="str">
        <f>IF(OR(E865="",E865="!!!"),"",IF(NOT(ISNA(VLOOKUP(E865,E$1:E864,1,FALSE()))),"OLD",IF(AND(E865&lt;&gt;"",E865&lt;&gt;"!!!"),"NEW","")))</f>
        <v> </v>
      </c>
      <c r="G865" s="24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5" t="str">
        <f>IF(J865&lt;&gt;1,"",IF(I865="SBJ","CB","?"))</f>
        <v> </v>
      </c>
      <c r="I865" s="26" t="str">
        <f>IF(OR(E865="",E865="!!!",F865="NEW"),"",INDEX(B864:B$2,-1+SUMPRODUCT(MAX(ROW(E864:E$2)*(E865=E864:E$2)))))</f>
        <v> </v>
      </c>
      <c r="J865" s="26" t="str">
        <f>IF(OR(E865="",E865="!!!",F865="NEW"),"",COUNTBLANK(OFFSET(A$1,,,SUMPRODUCT(MAX(ROW(E$2:E865)*(E865=E$2:E865)))))-COUNTBLANK(OFFSET(A$1,,,SUMPRODUCT(MAX(ROW(E$1:E864)*(E2=E$1:E864))))))</f>
        <v> </v>
      </c>
      <c r="K865" s="26" t="str">
        <f>IF(OR(E865="",E865="!!!",F865="NEW"),"",INDEX(J$1:J864,SUMPRODUCT(MAX(ROW(E$1:E864)*(E865=E$1:E864)))))</f>
        <v> </v>
      </c>
      <c r="L865" s="27"/>
    </row>
    <row r="866" spans="1:12">
      <c r="A866" s="20" t="s">
        <v>246</v>
      </c>
      <c r="E866" s="22">
        <f>IF(D866="?OLD","!!!","")</f>
        <v/>
      </c>
      <c r="F866" s="23" t="str">
        <f>IF(OR(E866="",E866="!!!"),"",IF(NOT(ISNA(VLOOKUP(E866,E$1:E865,1,FALSE()))),"OLD",IF(AND(E866&lt;&gt;"",E866&lt;&gt;"!!!"),"NEW","")))</f>
        <v> </v>
      </c>
      <c r="G866" s="24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5" t="str">
        <f>IF(J866&lt;&gt;1,"",IF(I866="SBJ","CB","?"))</f>
        <v> </v>
      </c>
      <c r="I866" s="26" t="str">
        <f>IF(OR(E866="",E866="!!!",F866="NEW"),"",INDEX(B865:B$2,-1+SUMPRODUCT(MAX(ROW(E865:E$2)*(E866=E865:E$2)))))</f>
        <v> </v>
      </c>
      <c r="J866" s="26" t="str">
        <f>IF(OR(E866="",E866="!!!",F866="NEW"),"",COUNTBLANK(OFFSET(A$1,,,SUMPRODUCT(MAX(ROW(E$2:E866)*(E866=E$2:E866)))))-COUNTBLANK(OFFSET(A$1,,,SUMPRODUCT(MAX(ROW(E$1:E865)*(E2=E$1:E865))))))</f>
        <v> </v>
      </c>
      <c r="K866" s="26" t="str">
        <f>IF(OR(E866="",E866="!!!",F866="NEW"),"",INDEX(J$1:J865,SUMPRODUCT(MAX(ROW(E$1:E865)*(E866=E$1:E865)))))</f>
        <v> </v>
      </c>
      <c r="L866" s="27"/>
    </row>
    <row r="867" spans="1:12">
      <c r="A867" s="20" t="s">
        <v>781</v>
      </c>
      <c r="E867" s="22">
        <f>IF(D867="?OLD","!!!","")</f>
        <v/>
      </c>
      <c r="F867" s="23" t="str">
        <f>IF(OR(E867="",E867="!!!"),"",IF(NOT(ISNA(VLOOKUP(E867,E$1:E866,1,FALSE()))),"OLD",IF(AND(E867&lt;&gt;"",E867&lt;&gt;"!!!"),"NEW","")))</f>
        <v> </v>
      </c>
      <c r="G867" s="24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5" t="str">
        <f>IF(J867&lt;&gt;1,"",IF(I867="SBJ","CB","?"))</f>
        <v> </v>
      </c>
      <c r="I867" s="26" t="str">
        <f>IF(OR(E867="",E867="!!!",F867="NEW"),"",INDEX(B866:B$2,-1+SUMPRODUCT(MAX(ROW(E866:E$2)*(E867=E866:E$2)))))</f>
        <v> </v>
      </c>
      <c r="J867" s="26" t="str">
        <f>IF(OR(E867="",E867="!!!",F867="NEW"),"",COUNTBLANK(OFFSET(A$1,,,SUMPRODUCT(MAX(ROW(E$2:E867)*(E867=E$2:E867)))))-COUNTBLANK(OFFSET(A$1,,,SUMPRODUCT(MAX(ROW(E$1:E866)*(E2=E$1:E866))))))</f>
        <v> </v>
      </c>
      <c r="K867" s="26" t="str">
        <f>IF(OR(E867="",E867="!!!",F867="NEW"),"",INDEX(J$1:J866,SUMPRODUCT(MAX(ROW(E$1:E866)*(E867=E$1:E866)))))</f>
        <v> </v>
      </c>
      <c r="L867" s="27"/>
    </row>
    <row r="868" spans="1:12">
      <c r="A868" s="20" t="s">
        <v>782</v>
      </c>
      <c r="B868" s="21" t="s">
        <v>340</v>
      </c>
      <c r="E868" s="22">
        <f>IF(D868="?OLD","!!!","")</f>
        <v/>
      </c>
      <c r="F868" s="23" t="str">
        <f>IF(OR(E868="",E868="!!!"),"",IF(NOT(ISNA(VLOOKUP(E868,E$1:E867,1,FALSE()))),"OLD",IF(AND(E868&lt;&gt;"",E868&lt;&gt;"!!!"),"NEW","")))</f>
        <v> </v>
      </c>
      <c r="G868" s="24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5" t="str">
        <f>IF(J868&lt;&gt;1,"",IF(I868="SBJ","CB","?"))</f>
        <v> </v>
      </c>
      <c r="I868" s="26" t="str">
        <f>IF(OR(E868="",E868="!!!",F868="NEW"),"",INDEX(B867:B$2,-1+SUMPRODUCT(MAX(ROW(E867:E$2)*(E868=E867:E$2)))))</f>
        <v> </v>
      </c>
      <c r="J868" s="26" t="str">
        <f>IF(OR(E868="",E868="!!!",F868="NEW"),"",COUNTBLANK(OFFSET(A$1,,,SUMPRODUCT(MAX(ROW(E$2:E868)*(E868=E$2:E868)))))-COUNTBLANK(OFFSET(A$1,,,SUMPRODUCT(MAX(ROW(E$1:E867)*(E2=E$1:E867))))))</f>
        <v> </v>
      </c>
      <c r="K868" s="26" t="str">
        <f>IF(OR(E868="",E868="!!!",F868="NEW"),"",INDEX(J$1:J867,SUMPRODUCT(MAX(ROW(E$1:E867)*(E868=E$1:E867)))))</f>
        <v> </v>
      </c>
      <c r="L868" s="27"/>
    </row>
    <row r="869" spans="1:12">
      <c r="A869" s="20" t="s">
        <v>783</v>
      </c>
      <c r="E869" s="22">
        <f>IF(D869="?OLD","!!!","")</f>
        <v/>
      </c>
      <c r="F869" s="23" t="str">
        <f>IF(OR(E869="",E869="!!!"),"",IF(NOT(ISNA(VLOOKUP(E869,E$1:E868,1,FALSE()))),"OLD",IF(AND(E869&lt;&gt;"",E869&lt;&gt;"!!!"),"NEW","")))</f>
        <v> </v>
      </c>
      <c r="G869" s="24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5" t="str">
        <f>IF(J869&lt;&gt;1,"",IF(I869="SBJ","CB","?"))</f>
        <v> </v>
      </c>
      <c r="I869" s="26" t="str">
        <f>IF(OR(E869="",E869="!!!",F869="NEW"),"",INDEX(B868:B$2,-1+SUMPRODUCT(MAX(ROW(E868:E$2)*(E869=E868:E$2)))))</f>
        <v> </v>
      </c>
      <c r="J869" s="26" t="str">
        <f>IF(OR(E869="",E869="!!!",F869="NEW"),"",COUNTBLANK(OFFSET(A$1,,,SUMPRODUCT(MAX(ROW(E$2:E869)*(E869=E$2:E869)))))-COUNTBLANK(OFFSET(A$1,,,SUMPRODUCT(MAX(ROW(E$1:E868)*(E2=E$1:E868))))))</f>
        <v> </v>
      </c>
      <c r="K869" s="26" t="str">
        <f>IF(OR(E869="",E869="!!!",F869="NEW"),"",INDEX(J$1:J868,SUMPRODUCT(MAX(ROW(E$1:E868)*(E869=E$1:E868)))))</f>
        <v> </v>
      </c>
      <c r="L869" s="27"/>
    </row>
    <row r="870" spans="1:12">
      <c r="A870" s="20" t="s">
        <v>784</v>
      </c>
      <c r="E870" s="22">
        <f>IF(D870="?OLD","!!!","")</f>
        <v/>
      </c>
      <c r="F870" s="23" t="str">
        <f>IF(OR(E870="",E870="!!!"),"",IF(NOT(ISNA(VLOOKUP(E870,E$1:E869,1,FALSE()))),"OLD",IF(AND(E870&lt;&gt;"",E870&lt;&gt;"!!!"),"NEW","")))</f>
        <v> </v>
      </c>
      <c r="G870" s="24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5" t="str">
        <f>IF(J870&lt;&gt;1,"",IF(I870="SBJ","CB","?"))</f>
        <v> </v>
      </c>
      <c r="I870" s="26" t="str">
        <f>IF(OR(E870="",E870="!!!",F870="NEW"),"",INDEX(B869:B$2,-1+SUMPRODUCT(MAX(ROW(E869:E$2)*(E870=E869:E$2)))))</f>
        <v> </v>
      </c>
      <c r="J870" s="26" t="str">
        <f>IF(OR(E870="",E870="!!!",F870="NEW"),"",COUNTBLANK(OFFSET(A$1,,,SUMPRODUCT(MAX(ROW(E$2:E870)*(E870=E$2:E870)))))-COUNTBLANK(OFFSET(A$1,,,SUMPRODUCT(MAX(ROW(E$1:E869)*(E2=E$1:E869))))))</f>
        <v> </v>
      </c>
      <c r="K870" s="26" t="str">
        <f>IF(OR(E870="",E870="!!!",F870="NEW"),"",INDEX(J$1:J869,SUMPRODUCT(MAX(ROW(E$1:E869)*(E870=E$1:E869)))))</f>
        <v> </v>
      </c>
      <c r="L870" s="27"/>
    </row>
    <row r="871" spans="1:12">
      <c r="A871" s="20" t="s">
        <v>230</v>
      </c>
      <c r="E871" s="22">
        <f>IF(D871="?OLD","!!!","")</f>
        <v/>
      </c>
      <c r="F871" s="23" t="str">
        <f>IF(OR(E871="",E871="!!!"),"",IF(NOT(ISNA(VLOOKUP(E871,E$1:E870,1,FALSE()))),"OLD",IF(AND(E871&lt;&gt;"",E871&lt;&gt;"!!!"),"NEW","")))</f>
        <v> </v>
      </c>
      <c r="G871" s="24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5" t="str">
        <f>IF(J871&lt;&gt;1,"",IF(I871="SBJ","CB","?"))</f>
        <v> </v>
      </c>
      <c r="I871" s="26" t="str">
        <f>IF(OR(E871="",E871="!!!",F871="NEW"),"",INDEX(B870:B$2,-1+SUMPRODUCT(MAX(ROW(E870:E$2)*(E871=E870:E$2)))))</f>
        <v> </v>
      </c>
      <c r="J871" s="26" t="str">
        <f>IF(OR(E871="",E871="!!!",F871="NEW"),"",COUNTBLANK(OFFSET(A$1,,,SUMPRODUCT(MAX(ROW(E$2:E871)*(E871=E$2:E871)))))-COUNTBLANK(OFFSET(A$1,,,SUMPRODUCT(MAX(ROW(E$1:E870)*(E2=E$1:E870))))))</f>
        <v> </v>
      </c>
      <c r="K871" s="26" t="str">
        <f>IF(OR(E871="",E871="!!!",F871="NEW"),"",INDEX(J$1:J870,SUMPRODUCT(MAX(ROW(E$1:E870)*(E871=E$1:E870)))))</f>
        <v> </v>
      </c>
      <c r="L871" s="27"/>
    </row>
    <row r="872" spans="1:12">
      <c r="A872" s="20" t="s">
        <v>262</v>
      </c>
      <c r="E872" s="22">
        <f>IF(D872="?OLD","!!!","")</f>
        <v/>
      </c>
      <c r="F872" s="23" t="str">
        <f>IF(OR(E872="",E872="!!!"),"",IF(NOT(ISNA(VLOOKUP(E872,E$1:E871,1,FALSE()))),"OLD",IF(AND(E872&lt;&gt;"",E872&lt;&gt;"!!!"),"NEW","")))</f>
        <v> </v>
      </c>
      <c r="G872" s="24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5" t="str">
        <f>IF(J872&lt;&gt;1,"",IF(I872="SBJ","CB","?"))</f>
        <v> </v>
      </c>
      <c r="I872" s="26" t="str">
        <f>IF(OR(E872="",E872="!!!",F872="NEW"),"",INDEX(B871:B$2,-1+SUMPRODUCT(MAX(ROW(E871:E$2)*(E872=E871:E$2)))))</f>
        <v> </v>
      </c>
      <c r="J872" s="26" t="str">
        <f>IF(OR(E872="",E872="!!!",F872="NEW"),"",COUNTBLANK(OFFSET(A$1,,,SUMPRODUCT(MAX(ROW(E$2:E872)*(E872=E$2:E872)))))-COUNTBLANK(OFFSET(A$1,,,SUMPRODUCT(MAX(ROW(E$1:E871)*(E2=E$1:E871))))))</f>
        <v> </v>
      </c>
      <c r="K872" s="26" t="str">
        <f>IF(OR(E872="",E872="!!!",F872="NEW"),"",INDEX(J$1:J871,SUMPRODUCT(MAX(ROW(E$1:E871)*(E872=E$1:E871)))))</f>
        <v> </v>
      </c>
      <c r="L872" s="27"/>
    </row>
    <row r="873" spans="1:12">
      <c r="A873" s="20" t="s">
        <v>785</v>
      </c>
      <c r="B873" s="21" t="s">
        <v>532</v>
      </c>
      <c r="C873" s="21" t="s">
        <v>240</v>
      </c>
      <c r="D873" s="21" t="s">
        <v>216</v>
      </c>
      <c r="E873" s="22">
        <f>IF(D873="?OLD","!!!","")</f>
        <v/>
      </c>
      <c r="F873" s="23" t="str">
        <f>IF(OR(E873="",E873="!!!"),"",IF(NOT(ISNA(VLOOKUP(E873,E$1:E872,1,FALSE()))),"OLD",IF(AND(E873&lt;&gt;"",E873&lt;&gt;"!!!"),"NEW","")))</f>
        <v> </v>
      </c>
      <c r="G873" s="24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5" t="str">
        <f>IF(J873&lt;&gt;1,"",IF(I873="SBJ","CB","?"))</f>
        <v> </v>
      </c>
      <c r="I873" s="26" t="str">
        <f>IF(OR(E873="",E873="!!!",F873="NEW"),"",INDEX(B872:B$2,-1+SUMPRODUCT(MAX(ROW(E872:E$2)*(E873=E872:E$2)))))</f>
        <v> </v>
      </c>
      <c r="J873" s="26" t="str">
        <f>IF(OR(E873="",E873="!!!",F873="NEW"),"",COUNTBLANK(OFFSET(A$1,,,SUMPRODUCT(MAX(ROW(E$2:E873)*(E873=E$2:E873)))))-COUNTBLANK(OFFSET(A$1,,,SUMPRODUCT(MAX(ROW(E$1:E872)*(E2=E$1:E872))))))</f>
        <v> </v>
      </c>
      <c r="K873" s="26" t="str">
        <f>IF(OR(E873="",E873="!!!",F873="NEW"),"",INDEX(J$1:J872,SUMPRODUCT(MAX(ROW(E$1:E872)*(E873=E$1:E872)))))</f>
        <v> </v>
      </c>
      <c r="L873" s="27"/>
    </row>
    <row r="874" spans="1:12">
      <c r="A874" s="20" t="s">
        <v>786</v>
      </c>
      <c r="B874" s="21" t="s">
        <v>330</v>
      </c>
      <c r="C874" s="21" t="s">
        <v>215</v>
      </c>
      <c r="D874" s="21" t="s">
        <v>216</v>
      </c>
      <c r="E874" s="22">
        <f>IF(D874="?OLD","!!!","")</f>
        <v/>
      </c>
      <c r="F874" s="23" t="str">
        <f>IF(OR(E874="",E874="!!!"),"",IF(NOT(ISNA(VLOOKUP(E874,E$1:E873,1,FALSE()))),"OLD",IF(AND(E874&lt;&gt;"",E874&lt;&gt;"!!!"),"NEW","")))</f>
        <v> </v>
      </c>
      <c r="G874" s="24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5" t="str">
        <f>IF(J874&lt;&gt;1,"",IF(I874="SBJ","CB","?"))</f>
        <v> </v>
      </c>
      <c r="I874" s="26" t="str">
        <f>IF(OR(E874="",E874="!!!",F874="NEW"),"",INDEX(B873:B$2,-1+SUMPRODUCT(MAX(ROW(E873:E$2)*(E874=E873:E$2)))))</f>
        <v> </v>
      </c>
      <c r="J874" s="26" t="str">
        <f>IF(OR(E874="",E874="!!!",F874="NEW"),"",COUNTBLANK(OFFSET(A$1,,,SUMPRODUCT(MAX(ROW(E$2:E874)*(E874=E$2:E874)))))-COUNTBLANK(OFFSET(A$1,,,SUMPRODUCT(MAX(ROW(E$1:E873)*(E2=E$1:E873))))))</f>
        <v> </v>
      </c>
      <c r="K874" s="26" t="str">
        <f>IF(OR(E874="",E874="!!!",F874="NEW"),"",INDEX(J$1:J873,SUMPRODUCT(MAX(ROW(E$1:E873)*(E874=E$1:E873)))))</f>
        <v> </v>
      </c>
      <c r="L874" s="27"/>
    </row>
    <row r="875" spans="1:12">
      <c r="A875" s="20" t="s">
        <v>218</v>
      </c>
      <c r="B875" s="21" t="s">
        <v>330</v>
      </c>
      <c r="C875" s="21" t="s">
        <v>215</v>
      </c>
      <c r="D875" s="21" t="s">
        <v>216</v>
      </c>
      <c r="E875" s="22">
        <f>IF(D875="?OLD","!!!","")</f>
        <v/>
      </c>
      <c r="F875" s="23" t="str">
        <f>IF(OR(E875="",E875="!!!"),"",IF(NOT(ISNA(VLOOKUP(E875,E$1:E874,1,FALSE()))),"OLD",IF(AND(E875&lt;&gt;"",E875&lt;&gt;"!!!"),"NEW","")))</f>
        <v> </v>
      </c>
      <c r="G875" s="24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5" t="str">
        <f>IF(J875&lt;&gt;1,"",IF(I875="SBJ","CB","?"))</f>
        <v> </v>
      </c>
      <c r="I875" s="26" t="str">
        <f>IF(OR(E875="",E875="!!!",F875="NEW"),"",INDEX(B874:B$2,-1+SUMPRODUCT(MAX(ROW(E874:E$2)*(E875=E874:E$2)))))</f>
        <v> </v>
      </c>
      <c r="J875" s="26" t="str">
        <f>IF(OR(E875="",E875="!!!",F875="NEW"),"",COUNTBLANK(OFFSET(A$1,,,SUMPRODUCT(MAX(ROW(E$2:E875)*(E875=E$2:E875)))))-COUNTBLANK(OFFSET(A$1,,,SUMPRODUCT(MAX(ROW(E$1:E874)*(E2=E$1:E874))))))</f>
        <v> </v>
      </c>
      <c r="K875" s="26" t="str">
        <f>IF(OR(E875="",E875="!!!",F875="NEW"),"",INDEX(J$1:J874,SUMPRODUCT(MAX(ROW(E$1:E874)*(E875=E$1:E874)))))</f>
        <v> </v>
      </c>
      <c r="L875" s="27"/>
    </row>
    <row r="876" spans="1:12">
      <c r="A876" s="20" t="s">
        <v>399</v>
      </c>
      <c r="E876" s="22">
        <f>IF(D876="?OLD","!!!","")</f>
        <v/>
      </c>
      <c r="F876" s="23" t="str">
        <f>IF(OR(E876="",E876="!!!"),"",IF(NOT(ISNA(VLOOKUP(E876,E$1:E875,1,FALSE()))),"OLD",IF(AND(E876&lt;&gt;"",E876&lt;&gt;"!!!"),"NEW","")))</f>
        <v> </v>
      </c>
      <c r="G876" s="24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5" t="str">
        <f>IF(J876&lt;&gt;1,"",IF(I876="SBJ","CB","?"))</f>
        <v> </v>
      </c>
      <c r="I876" s="26" t="str">
        <f>IF(OR(E876="",E876="!!!",F876="NEW"),"",INDEX(B875:B$2,-1+SUMPRODUCT(MAX(ROW(E875:E$2)*(E876=E875:E$2)))))</f>
        <v> </v>
      </c>
      <c r="J876" s="26" t="str">
        <f>IF(OR(E876="",E876="!!!",F876="NEW"),"",COUNTBLANK(OFFSET(A$1,,,SUMPRODUCT(MAX(ROW(E$2:E876)*(E876=E$2:E876)))))-COUNTBLANK(OFFSET(A$1,,,SUMPRODUCT(MAX(ROW(E$1:E875)*(E2=E$1:E875))))))</f>
        <v> </v>
      </c>
      <c r="K876" s="26" t="str">
        <f>IF(OR(E876="",E876="!!!",F876="NEW"),"",INDEX(J$1:J875,SUMPRODUCT(MAX(ROW(E$1:E875)*(E876=E$1:E875)))))</f>
        <v> </v>
      </c>
      <c r="L876" s="27"/>
    </row>
    <row r="877" spans="1:12">
      <c r="A877" s="20" t="s">
        <v>385</v>
      </c>
      <c r="E877" s="22">
        <f>IF(D877="?OLD","!!!","")</f>
        <v/>
      </c>
      <c r="F877" s="23" t="str">
        <f>IF(OR(E877="",E877="!!!"),"",IF(NOT(ISNA(VLOOKUP(E877,E$1:E876,1,FALSE()))),"OLD",IF(AND(E877&lt;&gt;"",E877&lt;&gt;"!!!"),"NEW","")))</f>
        <v> </v>
      </c>
      <c r="G877" s="24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5" t="str">
        <f>IF(J877&lt;&gt;1,"",IF(I877="SBJ","CB","?"))</f>
        <v> </v>
      </c>
      <c r="I877" s="26" t="str">
        <f>IF(OR(E877="",E877="!!!",F877="NEW"),"",INDEX(B876:B$2,-1+SUMPRODUCT(MAX(ROW(E876:E$2)*(E877=E876:E$2)))))</f>
        <v> </v>
      </c>
      <c r="J877" s="26" t="str">
        <f>IF(OR(E877="",E877="!!!",F877="NEW"),"",COUNTBLANK(OFFSET(A$1,,,SUMPRODUCT(MAX(ROW(E$2:E877)*(E877=E$2:E877)))))-COUNTBLANK(OFFSET(A$1,,,SUMPRODUCT(MAX(ROW(E$1:E876)*(E2=E$1:E876))))))</f>
        <v> </v>
      </c>
      <c r="K877" s="26" t="str">
        <f>IF(OR(E877="",E877="!!!",F877="NEW"),"",INDEX(J$1:J876,SUMPRODUCT(MAX(ROW(E$1:E876)*(E877=E$1:E876)))))</f>
        <v> </v>
      </c>
      <c r="L877" s="27"/>
    </row>
    <row r="878" spans="1:12">
      <c r="A878" s="20" t="s">
        <v>787</v>
      </c>
      <c r="E878" s="22">
        <f>IF(D878="?OLD","!!!","")</f>
        <v/>
      </c>
      <c r="F878" s="23" t="str">
        <f>IF(OR(E878="",E878="!!!"),"",IF(NOT(ISNA(VLOOKUP(E878,E$1:E877,1,FALSE()))),"OLD",IF(AND(E878&lt;&gt;"",E878&lt;&gt;"!!!"),"NEW","")))</f>
        <v> </v>
      </c>
      <c r="G878" s="24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5" t="str">
        <f>IF(J878&lt;&gt;1,"",IF(I878="SBJ","CB","?"))</f>
        <v> </v>
      </c>
      <c r="I878" s="26" t="str">
        <f>IF(OR(E878="",E878="!!!",F878="NEW"),"",INDEX(B877:B$2,-1+SUMPRODUCT(MAX(ROW(E877:E$2)*(E878=E877:E$2)))))</f>
        <v> </v>
      </c>
      <c r="J878" s="26" t="str">
        <f>IF(OR(E878="",E878="!!!",F878="NEW"),"",COUNTBLANK(OFFSET(A$1,,,SUMPRODUCT(MAX(ROW(E$2:E878)*(E878=E$2:E878)))))-COUNTBLANK(OFFSET(A$1,,,SUMPRODUCT(MAX(ROW(E$1:E877)*(E2=E$1:E877))))))</f>
        <v> </v>
      </c>
      <c r="K878" s="26" t="str">
        <f>IF(OR(E878="",E878="!!!",F878="NEW"),"",INDEX(J$1:J877,SUMPRODUCT(MAX(ROW(E$1:E877)*(E878=E$1:E877)))))</f>
        <v> </v>
      </c>
      <c r="L878" s="27"/>
    </row>
    <row r="879" spans="1:12">
      <c r="A879" s="20" t="s">
        <v>400</v>
      </c>
      <c r="B879" s="21" t="s">
        <v>527</v>
      </c>
      <c r="E879" s="22">
        <f>IF(D879="?OLD","!!!","")</f>
        <v/>
      </c>
      <c r="F879" s="23" t="str">
        <f>IF(OR(E879="",E879="!!!"),"",IF(NOT(ISNA(VLOOKUP(E879,E$1:E878,1,FALSE()))),"OLD",IF(AND(E879&lt;&gt;"",E879&lt;&gt;"!!!"),"NEW","")))</f>
        <v> </v>
      </c>
      <c r="G879" s="24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5" t="str">
        <f>IF(J879&lt;&gt;1,"",IF(I879="SBJ","CB","?"))</f>
        <v> </v>
      </c>
      <c r="I879" s="26" t="str">
        <f>IF(OR(E879="",E879="!!!",F879="NEW"),"",INDEX(B878:B$2,-1+SUMPRODUCT(MAX(ROW(E878:E$2)*(E879=E878:E$2)))))</f>
        <v> </v>
      </c>
      <c r="J879" s="26" t="str">
        <f>IF(OR(E879="",E879="!!!",F879="NEW"),"",COUNTBLANK(OFFSET(A$1,,,SUMPRODUCT(MAX(ROW(E$2:E879)*(E879=E$2:E879)))))-COUNTBLANK(OFFSET(A$1,,,SUMPRODUCT(MAX(ROW(E$1:E878)*(E2=E$1:E878))))))</f>
        <v> </v>
      </c>
      <c r="K879" s="26" t="str">
        <f>IF(OR(E879="",E879="!!!",F879="NEW"),"",INDEX(J$1:J878,SUMPRODUCT(MAX(ROW(E$1:E878)*(E879=E$1:E878)))))</f>
        <v> </v>
      </c>
      <c r="L879" s="27"/>
    </row>
    <row r="880" spans="1:12">
      <c r="A880" s="20" t="s">
        <v>230</v>
      </c>
      <c r="E880" s="22">
        <f>IF(D880="?OLD","!!!","")</f>
        <v/>
      </c>
      <c r="F880" s="23" t="str">
        <f>IF(OR(E880="",E880="!!!"),"",IF(NOT(ISNA(VLOOKUP(E880,E$1:E879,1,FALSE()))),"OLD",IF(AND(E880&lt;&gt;"",E880&lt;&gt;"!!!"),"NEW","")))</f>
        <v> </v>
      </c>
      <c r="G880" s="24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5" t="str">
        <f>IF(J880&lt;&gt;1,"",IF(I880="SBJ","CB","?"))</f>
        <v> </v>
      </c>
      <c r="I880" s="26" t="str">
        <f>IF(OR(E880="",E880="!!!",F880="NEW"),"",INDEX(B879:B$2,-1+SUMPRODUCT(MAX(ROW(E879:E$2)*(E880=E879:E$2)))))</f>
        <v> </v>
      </c>
      <c r="J880" s="26" t="str">
        <f>IF(OR(E880="",E880="!!!",F880="NEW"),"",COUNTBLANK(OFFSET(A$1,,,SUMPRODUCT(MAX(ROW(E$2:E880)*(E880=E$2:E880)))))-COUNTBLANK(OFFSET(A$1,,,SUMPRODUCT(MAX(ROW(E$1:E879)*(E2=E$1:E879))))))</f>
        <v> </v>
      </c>
      <c r="K880" s="26" t="str">
        <f>IF(OR(E880="",E880="!!!",F880="NEW"),"",INDEX(J$1:J879,SUMPRODUCT(MAX(ROW(E$1:E879)*(E880=E$1:E879)))))</f>
        <v> </v>
      </c>
      <c r="L880" s="27"/>
    </row>
    <row r="881" spans="1:12">
      <c r="A881" s="20" t="s">
        <v>11</v>
      </c>
      <c r="E881" s="22">
        <f>IF(D881="?OLD","!!!","")</f>
        <v/>
      </c>
      <c r="F881" s="23" t="str">
        <f>IF(OR(E881="",E881="!!!"),"",IF(NOT(ISNA(VLOOKUP(E881,E$1:E880,1,FALSE()))),"OLD",IF(AND(E881&lt;&gt;"",E881&lt;&gt;"!!!"),"NEW","")))</f>
        <v> </v>
      </c>
      <c r="G881" s="24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5" t="str">
        <f>IF(J881&lt;&gt;1,"",IF(I881="SBJ","CB","?"))</f>
        <v> </v>
      </c>
      <c r="I881" s="26" t="str">
        <f>IF(OR(E881="",E881="!!!",F881="NEW"),"",INDEX(B880:B$2,-1+SUMPRODUCT(MAX(ROW(E880:E$2)*(E881=E880:E$2)))))</f>
        <v> </v>
      </c>
      <c r="J881" s="26" t="str">
        <f>IF(OR(E881="",E881="!!!",F881="NEW"),"",COUNTBLANK(OFFSET(A$1,,,SUMPRODUCT(MAX(ROW(E$2:E881)*(E881=E$2:E881)))))-COUNTBLANK(OFFSET(A$1,,,SUMPRODUCT(MAX(ROW(E$1:E880)*(E2=E$1:E880))))))</f>
        <v> </v>
      </c>
      <c r="K881" s="26" t="str">
        <f>IF(OR(E881="",E881="!!!",F881="NEW"),"",INDEX(J$1:J880,SUMPRODUCT(MAX(ROW(E$1:E880)*(E881=E$1:E880)))))</f>
        <v> </v>
      </c>
      <c r="L881" s="27"/>
    </row>
    <row r="882" spans="1:12">
      <c r="A882" s="20" t="s">
        <v>788</v>
      </c>
      <c r="E882" s="22">
        <f>IF(D882="?OLD","!!!","")</f>
        <v/>
      </c>
      <c r="F882" s="23" t="str">
        <f>IF(OR(E882="",E882="!!!"),"",IF(NOT(ISNA(VLOOKUP(E882,E$1:E881,1,FALSE()))),"OLD",IF(AND(E882&lt;&gt;"",E882&lt;&gt;"!!!"),"NEW","")))</f>
        <v> </v>
      </c>
      <c r="G882" s="24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5" t="str">
        <f>IF(J882&lt;&gt;1,"",IF(I882="SBJ","CB","?"))</f>
        <v> </v>
      </c>
      <c r="I882" s="26" t="str">
        <f>IF(OR(E882="",E882="!!!",F882="NEW"),"",INDEX(B881:B$2,-1+SUMPRODUCT(MAX(ROW(E881:E$2)*(E882=E881:E$2)))))</f>
        <v> </v>
      </c>
      <c r="J882" s="26" t="str">
        <f>IF(OR(E882="",E882="!!!",F882="NEW"),"",COUNTBLANK(OFFSET(A$1,,,SUMPRODUCT(MAX(ROW(E$2:E882)*(E882=E$2:E882)))))-COUNTBLANK(OFFSET(A$1,,,SUMPRODUCT(MAX(ROW(E$1:E881)*(E2=E$1:E881))))))</f>
        <v> </v>
      </c>
      <c r="K882" s="26" t="str">
        <f>IF(OR(E882="",E882="!!!",F882="NEW"),"",INDEX(J$1:J881,SUMPRODUCT(MAX(ROW(E$1:E881)*(E882=E$1:E881)))))</f>
        <v> </v>
      </c>
      <c r="L882" s="27"/>
    </row>
    <row r="883" spans="1:12">
      <c r="A883" s="20" t="s">
        <v>789</v>
      </c>
      <c r="E883" s="22">
        <f>IF(D883="?OLD","!!!","")</f>
        <v/>
      </c>
      <c r="F883" s="23" t="str">
        <f>IF(OR(E883="",E883="!!!"),"",IF(NOT(ISNA(VLOOKUP(E883,E$1:E882,1,FALSE()))),"OLD",IF(AND(E883&lt;&gt;"",E883&lt;&gt;"!!!"),"NEW","")))</f>
        <v> </v>
      </c>
      <c r="G883" s="24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5" t="str">
        <f>IF(J883&lt;&gt;1,"",IF(I883="SBJ","CB","?"))</f>
        <v> </v>
      </c>
      <c r="I883" s="26" t="str">
        <f>IF(OR(E883="",E883="!!!",F883="NEW"),"",INDEX(B882:B$2,-1+SUMPRODUCT(MAX(ROW(E882:E$2)*(E883=E882:E$2)))))</f>
        <v> </v>
      </c>
      <c r="J883" s="26" t="str">
        <f>IF(OR(E883="",E883="!!!",F883="NEW"),"",COUNTBLANK(OFFSET(A$1,,,SUMPRODUCT(MAX(ROW(E$2:E883)*(E883=E$2:E883)))))-COUNTBLANK(OFFSET(A$1,,,SUMPRODUCT(MAX(ROW(E$1:E882)*(E2=E$1:E882))))))</f>
        <v> </v>
      </c>
      <c r="K883" s="26" t="str">
        <f>IF(OR(E883="",E883="!!!",F883="NEW"),"",INDEX(J$1:J882,SUMPRODUCT(MAX(ROW(E$1:E882)*(E883=E$1:E882)))))</f>
        <v> </v>
      </c>
      <c r="L883" s="27"/>
    </row>
    <row r="884" spans="1:12">
      <c r="A884" s="20" t="s">
        <v>230</v>
      </c>
      <c r="E884" s="22">
        <f>IF(D884="?OLD","!!!","")</f>
        <v/>
      </c>
      <c r="F884" s="23" t="str">
        <f>IF(OR(E884="",E884="!!!"),"",IF(NOT(ISNA(VLOOKUP(E884,E$1:E883,1,FALSE()))),"OLD",IF(AND(E884&lt;&gt;"",E884&lt;&gt;"!!!"),"NEW","")))</f>
        <v> </v>
      </c>
      <c r="G884" s="24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5" t="str">
        <f>IF(J884&lt;&gt;1,"",IF(I884="SBJ","CB","?"))</f>
        <v> </v>
      </c>
      <c r="I884" s="26" t="str">
        <f>IF(OR(E884="",E884="!!!",F884="NEW"),"",INDEX(B883:B$2,-1+SUMPRODUCT(MAX(ROW(E883:E$2)*(E884=E883:E$2)))))</f>
        <v> </v>
      </c>
      <c r="J884" s="26" t="str">
        <f>IF(OR(E884="",E884="!!!",F884="NEW"),"",COUNTBLANK(OFFSET(A$1,,,SUMPRODUCT(MAX(ROW(E$2:E884)*(E884=E$2:E884)))))-COUNTBLANK(OFFSET(A$1,,,SUMPRODUCT(MAX(ROW(E$1:E883)*(E2=E$1:E883))))))</f>
        <v> </v>
      </c>
      <c r="K884" s="26" t="str">
        <f>IF(OR(E884="",E884="!!!",F884="NEW"),"",INDEX(J$1:J883,SUMPRODUCT(MAX(ROW(E$1:E883)*(E884=E$1:E883)))))</f>
        <v> </v>
      </c>
      <c r="L884" s="27"/>
    </row>
    <row r="885" spans="1:12">
      <c r="A885" s="20" t="s">
        <v>281</v>
      </c>
      <c r="E885" s="22">
        <f>IF(D885="?OLD","!!!","")</f>
        <v/>
      </c>
      <c r="F885" s="23" t="str">
        <f>IF(OR(E885="",E885="!!!"),"",IF(NOT(ISNA(VLOOKUP(E885,E$1:E884,1,FALSE()))),"OLD",IF(AND(E885&lt;&gt;"",E885&lt;&gt;"!!!"),"NEW","")))</f>
        <v> </v>
      </c>
      <c r="G885" s="24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5" t="str">
        <f>IF(J885&lt;&gt;1,"",IF(I885="SBJ","CB","?"))</f>
        <v> </v>
      </c>
      <c r="I885" s="26" t="str">
        <f>IF(OR(E885="",E885="!!!",F885="NEW"),"",INDEX(B884:B$2,-1+SUMPRODUCT(MAX(ROW(E884:E$2)*(E885=E884:E$2)))))</f>
        <v> </v>
      </c>
      <c r="J885" s="26" t="str">
        <f>IF(OR(E885="",E885="!!!",F885="NEW"),"",COUNTBLANK(OFFSET(A$1,,,SUMPRODUCT(MAX(ROW(E$2:E885)*(E885=E$2:E885)))))-COUNTBLANK(OFFSET(A$1,,,SUMPRODUCT(MAX(ROW(E$1:E884)*(E2=E$1:E884))))))</f>
        <v> </v>
      </c>
      <c r="K885" s="26" t="str">
        <f>IF(OR(E885="",E885="!!!",F885="NEW"),"",INDEX(J$1:J884,SUMPRODUCT(MAX(ROW(E$1:E884)*(E885=E$1:E884)))))</f>
        <v> </v>
      </c>
      <c r="L885" s="27"/>
    </row>
    <row r="886" spans="1:12">
      <c r="A886" s="20" t="s">
        <v>749</v>
      </c>
      <c r="E886" s="22">
        <f>IF(D886="?OLD","!!!","")</f>
        <v/>
      </c>
      <c r="F886" s="23" t="str">
        <f>IF(OR(E886="",E886="!!!"),"",IF(NOT(ISNA(VLOOKUP(E886,E$1:E885,1,FALSE()))),"OLD",IF(AND(E886&lt;&gt;"",E886&lt;&gt;"!!!"),"NEW","")))</f>
        <v> </v>
      </c>
      <c r="G886" s="24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5" t="str">
        <f>IF(J886&lt;&gt;1,"",IF(I886="SBJ","CB","?"))</f>
        <v> </v>
      </c>
      <c r="I886" s="26" t="str">
        <f>IF(OR(E886="",E886="!!!",F886="NEW"),"",INDEX(B885:B$2,-1+SUMPRODUCT(MAX(ROW(E885:E$2)*(E886=E885:E$2)))))</f>
        <v> </v>
      </c>
      <c r="J886" s="26" t="str">
        <f>IF(OR(E886="",E886="!!!",F886="NEW"),"",COUNTBLANK(OFFSET(A$1,,,SUMPRODUCT(MAX(ROW(E$2:E886)*(E886=E$2:E886)))))-COUNTBLANK(OFFSET(A$1,,,SUMPRODUCT(MAX(ROW(E$1:E885)*(E2=E$1:E885))))))</f>
        <v> </v>
      </c>
      <c r="K886" s="26" t="str">
        <f>IF(OR(E886="",E886="!!!",F886="NEW"),"",INDEX(J$1:J885,SUMPRODUCT(MAX(ROW(E$1:E885)*(E886=E$1:E885)))))</f>
        <v> </v>
      </c>
      <c r="L886" s="27"/>
    </row>
    <row r="887" spans="1:12">
      <c r="A887" s="20" t="s">
        <v>790</v>
      </c>
      <c r="B887" s="21" t="s">
        <v>791</v>
      </c>
      <c r="C887" s="21" t="s">
        <v>331</v>
      </c>
      <c r="E887" s="22">
        <f>IF(D887="?OLD","!!!","")</f>
        <v/>
      </c>
      <c r="F887" s="23" t="str">
        <f>IF(OR(E887="",E887="!!!"),"",IF(NOT(ISNA(VLOOKUP(E887,E$1:E886,1,FALSE()))),"OLD",IF(AND(E887&lt;&gt;"",E887&lt;&gt;"!!!"),"NEW","")))</f>
        <v> </v>
      </c>
      <c r="G887" s="24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5" t="str">
        <f>IF(J887&lt;&gt;1,"",IF(I887="SBJ","CB","?"))</f>
        <v> </v>
      </c>
      <c r="I887" s="26" t="str">
        <f>IF(OR(E887="",E887="!!!",F887="NEW"),"",INDEX(B886:B$2,-1+SUMPRODUCT(MAX(ROW(E886:E$2)*(E887=E886:E$2)))))</f>
        <v> </v>
      </c>
      <c r="J887" s="26" t="str">
        <f>IF(OR(E887="",E887="!!!",F887="NEW"),"",COUNTBLANK(OFFSET(A$1,,,SUMPRODUCT(MAX(ROW(E$2:E887)*(E887=E$2:E887)))))-COUNTBLANK(OFFSET(A$1,,,SUMPRODUCT(MAX(ROW(E$1:E886)*(E2=E$1:E886))))))</f>
        <v> </v>
      </c>
      <c r="K887" s="26" t="str">
        <f>IF(OR(E887="",E887="!!!",F887="NEW"),"",INDEX(J$1:J886,SUMPRODUCT(MAX(ROW(E$1:E886)*(E887=E$1:E886)))))</f>
        <v> </v>
      </c>
      <c r="L887" s="27"/>
    </row>
    <row r="888" spans="1:12">
      <c r="A888" s="20" t="s">
        <v>306</v>
      </c>
      <c r="E888" s="22">
        <f>IF(D888="?OLD","!!!","")</f>
        <v/>
      </c>
      <c r="F888" s="23" t="str">
        <f>IF(OR(E888="",E888="!!!"),"",IF(NOT(ISNA(VLOOKUP(E888,E$1:E887,1,FALSE()))),"OLD",IF(AND(E888&lt;&gt;"",E888&lt;&gt;"!!!"),"NEW","")))</f>
        <v> </v>
      </c>
      <c r="G888" s="24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5" t="str">
        <f>IF(J888&lt;&gt;1,"",IF(I888="SBJ","CB","?"))</f>
        <v> </v>
      </c>
      <c r="I888" s="26" t="str">
        <f>IF(OR(E888="",E888="!!!",F888="NEW"),"",INDEX(B887:B$2,-1+SUMPRODUCT(MAX(ROW(E887:E$2)*(E888=E887:E$2)))))</f>
        <v> </v>
      </c>
      <c r="J888" s="26" t="str">
        <f>IF(OR(E888="",E888="!!!",F888="NEW"),"",COUNTBLANK(OFFSET(A$1,,,SUMPRODUCT(MAX(ROW(E$2:E888)*(E888=E$2:E888)))))-COUNTBLANK(OFFSET(A$1,,,SUMPRODUCT(MAX(ROW(E$1:E887)*(E2=E$1:E887))))))</f>
        <v> </v>
      </c>
      <c r="K888" s="26" t="str">
        <f>IF(OR(E888="",E888="!!!",F888="NEW"),"",INDEX(J$1:J887,SUMPRODUCT(MAX(ROW(E$1:E887)*(E888=E$1:E887)))))</f>
        <v> </v>
      </c>
      <c r="L888" s="27"/>
    </row>
    <row r="889" spans="1:12">
      <c r="A889" s="20" t="s">
        <v>792</v>
      </c>
      <c r="E889" s="22">
        <f>IF(D889="?OLD","!!!","")</f>
        <v/>
      </c>
      <c r="F889" s="23" t="str">
        <f>IF(OR(E889="",E889="!!!"),"",IF(NOT(ISNA(VLOOKUP(E889,E$1:E888,1,FALSE()))),"OLD",IF(AND(E889&lt;&gt;"",E889&lt;&gt;"!!!"),"NEW","")))</f>
        <v> </v>
      </c>
      <c r="G889" s="24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5" t="str">
        <f>IF(J889&lt;&gt;1,"",IF(I889="SBJ","CB","?"))</f>
        <v> </v>
      </c>
      <c r="I889" s="26" t="str">
        <f>IF(OR(E889="",E889="!!!",F889="NEW"),"",INDEX(B888:B$2,-1+SUMPRODUCT(MAX(ROW(E888:E$2)*(E889=E888:E$2)))))</f>
        <v> </v>
      </c>
      <c r="J889" s="26" t="str">
        <f>IF(OR(E889="",E889="!!!",F889="NEW"),"",COUNTBLANK(OFFSET(A$1,,,SUMPRODUCT(MAX(ROW(E$2:E889)*(E889=E$2:E889)))))-COUNTBLANK(OFFSET(A$1,,,SUMPRODUCT(MAX(ROW(E$1:E888)*(E2=E$1:E888))))))</f>
        <v> </v>
      </c>
      <c r="K889" s="26" t="str">
        <f>IF(OR(E889="",E889="!!!",F889="NEW"),"",INDEX(J$1:J888,SUMPRODUCT(MAX(ROW(E$1:E888)*(E889=E$1:E888)))))</f>
        <v> </v>
      </c>
      <c r="L889" s="27"/>
    </row>
    <row r="890" spans="1:12">
      <c r="A890" s="20" t="s">
        <v>793</v>
      </c>
      <c r="E890" s="22">
        <f>IF(D890="?OLD","!!!","")</f>
        <v/>
      </c>
      <c r="F890" s="23" t="str">
        <f>IF(OR(E890="",E890="!!!"),"",IF(NOT(ISNA(VLOOKUP(E890,E$1:E889,1,FALSE()))),"OLD",IF(AND(E890&lt;&gt;"",E890&lt;&gt;"!!!"),"NEW","")))</f>
        <v> </v>
      </c>
      <c r="G890" s="24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5" t="str">
        <f>IF(J890&lt;&gt;1,"",IF(I890="SBJ","CB","?"))</f>
        <v> </v>
      </c>
      <c r="I890" s="26" t="str">
        <f>IF(OR(E890="",E890="!!!",F890="NEW"),"",INDEX(B889:B$2,-1+SUMPRODUCT(MAX(ROW(E889:E$2)*(E890=E889:E$2)))))</f>
        <v> </v>
      </c>
      <c r="J890" s="26" t="str">
        <f>IF(OR(E890="",E890="!!!",F890="NEW"),"",COUNTBLANK(OFFSET(A$1,,,SUMPRODUCT(MAX(ROW(E$2:E890)*(E890=E$2:E890)))))-COUNTBLANK(OFFSET(A$1,,,SUMPRODUCT(MAX(ROW(E$1:E889)*(E2=E$1:E889))))))</f>
        <v> </v>
      </c>
      <c r="K890" s="26" t="str">
        <f>IF(OR(E890="",E890="!!!",F890="NEW"),"",INDEX(J$1:J889,SUMPRODUCT(MAX(ROW(E$1:E889)*(E890=E$1:E889)))))</f>
        <v> </v>
      </c>
      <c r="L890" s="27"/>
    </row>
    <row r="891" spans="1:12">
      <c r="A891" s="20" t="s">
        <v>794</v>
      </c>
      <c r="E891" s="22">
        <f>IF(D891="?OLD","!!!","")</f>
        <v/>
      </c>
      <c r="F891" s="23" t="str">
        <f>IF(OR(E891="",E891="!!!"),"",IF(NOT(ISNA(VLOOKUP(E891,E$1:E890,1,FALSE()))),"OLD",IF(AND(E891&lt;&gt;"",E891&lt;&gt;"!!!"),"NEW","")))</f>
        <v> </v>
      </c>
      <c r="G891" s="24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5" t="str">
        <f>IF(J891&lt;&gt;1,"",IF(I891="SBJ","CB","?"))</f>
        <v> </v>
      </c>
      <c r="I891" s="26" t="str">
        <f>IF(OR(E891="",E891="!!!",F891="NEW"),"",INDEX(B890:B$2,-1+SUMPRODUCT(MAX(ROW(E890:E$2)*(E891=E890:E$2)))))</f>
        <v> </v>
      </c>
      <c r="J891" s="26" t="str">
        <f>IF(OR(E891="",E891="!!!",F891="NEW"),"",COUNTBLANK(OFFSET(A$1,,,SUMPRODUCT(MAX(ROW(E$2:E891)*(E891=E$2:E891)))))-COUNTBLANK(OFFSET(A$1,,,SUMPRODUCT(MAX(ROW(E$1:E890)*(E2=E$1:E890))))))</f>
        <v> </v>
      </c>
      <c r="K891" s="26" t="str">
        <f>IF(OR(E891="",E891="!!!",F891="NEW"),"",INDEX(J$1:J890,SUMPRODUCT(MAX(ROW(E$1:E890)*(E891=E$1:E890)))))</f>
        <v> </v>
      </c>
      <c r="L891" s="27"/>
    </row>
    <row r="892" spans="1:12">
      <c r="A892" s="20" t="s">
        <v>795</v>
      </c>
      <c r="E892" s="22">
        <f>IF(D892="?OLD","!!!","")</f>
        <v/>
      </c>
      <c r="F892" s="23" t="str">
        <f>IF(OR(E892="",E892="!!!"),"",IF(NOT(ISNA(VLOOKUP(E892,E$1:E891,1,FALSE()))),"OLD",IF(AND(E892&lt;&gt;"",E892&lt;&gt;"!!!"),"NEW","")))</f>
        <v> </v>
      </c>
      <c r="G892" s="24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5" t="str">
        <f>IF(J892&lt;&gt;1,"",IF(I892="SBJ","CB","?"))</f>
        <v> </v>
      </c>
      <c r="I892" s="26" t="str">
        <f>IF(OR(E892="",E892="!!!",F892="NEW"),"",INDEX(B891:B$2,-1+SUMPRODUCT(MAX(ROW(E891:E$2)*(E892=E891:E$2)))))</f>
        <v> </v>
      </c>
      <c r="J892" s="26" t="str">
        <f>IF(OR(E892="",E892="!!!",F892="NEW"),"",COUNTBLANK(OFFSET(A$1,,,SUMPRODUCT(MAX(ROW(E$2:E892)*(E892=E$2:E892)))))-COUNTBLANK(OFFSET(A$1,,,SUMPRODUCT(MAX(ROW(E$1:E891)*(E2=E$1:E891))))))</f>
        <v> </v>
      </c>
      <c r="K892" s="26" t="str">
        <f>IF(OR(E892="",E892="!!!",F892="NEW"),"",INDEX(J$1:J891,SUMPRODUCT(MAX(ROW(E$1:E891)*(E892=E$1:E891)))))</f>
        <v> </v>
      </c>
      <c r="L892" s="27"/>
    </row>
    <row r="893" spans="1:12">
      <c r="A893" s="20" t="s">
        <v>237</v>
      </c>
      <c r="E893" s="22">
        <f>IF(D893="?OLD","!!!","")</f>
        <v/>
      </c>
      <c r="F893" s="23" t="str">
        <f>IF(OR(E893="",E893="!!!"),"",IF(NOT(ISNA(VLOOKUP(E893,E$1:E892,1,FALSE()))),"OLD",IF(AND(E893&lt;&gt;"",E893&lt;&gt;"!!!"),"NEW","")))</f>
        <v> </v>
      </c>
      <c r="G893" s="24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5" t="str">
        <f>IF(J893&lt;&gt;1,"",IF(I893="SBJ","CB","?"))</f>
        <v> </v>
      </c>
      <c r="I893" s="26" t="str">
        <f>IF(OR(E893="",E893="!!!",F893="NEW"),"",INDEX(B892:B$2,-1+SUMPRODUCT(MAX(ROW(E892:E$2)*(E893=E892:E$2)))))</f>
        <v> </v>
      </c>
      <c r="J893" s="26" t="str">
        <f>IF(OR(E893="",E893="!!!",F893="NEW"),"",COUNTBLANK(OFFSET(A$1,,,SUMPRODUCT(MAX(ROW(E$2:E893)*(E893=E$2:E893)))))-COUNTBLANK(OFFSET(A$1,,,SUMPRODUCT(MAX(ROW(E$1:E892)*(E2=E$1:E892))))))</f>
        <v> </v>
      </c>
      <c r="K893" s="26" t="str">
        <f>IF(OR(E893="",E893="!!!",F893="NEW"),"",INDEX(J$1:J892,SUMPRODUCT(MAX(ROW(E$1:E892)*(E893=E$1:E892)))))</f>
        <v> </v>
      </c>
      <c r="L893" s="27"/>
    </row>
    <row r="894" spans="1:12">
      <c r="A894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2024-07-05T04:32:15Z</dcterms:created>
  <dcterms:modified xsi:type="dcterms:W3CDTF">2024-07-05T04:32:15Z</dcterms:modified>
</cp:coreProperties>
</file>